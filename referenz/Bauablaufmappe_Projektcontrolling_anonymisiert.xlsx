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ktübersicht" sheetId="1" state="visible" r:id="rId1"/>
    <sheet name="Zeiterfassung" sheetId="2" state="visible" r:id="rId2"/>
    <sheet name="Zeiterfassung Export" sheetId="3" state="hidden" r:id="rId3"/>
    <sheet name="Materialkosten" sheetId="4" state="visible" r:id="rId4"/>
    <sheet name="Rechnungsstand" sheetId="5" state="visible" r:id="rId5"/>
    <sheet name="Rechnungsprüfung" sheetId="6" state="visible" r:id="rId6"/>
    <sheet name="Nachunternehmer" sheetId="7" state="visible" r:id="rId7"/>
    <sheet name="Eigenleistung" sheetId="8" state="visible" r:id="rId8"/>
    <sheet name="KPI-Basis" sheetId="9" state="visible" r:id="rId9"/>
    <sheet name="Listen" sheetId="10" state="visible" r:id="rId10"/>
  </sheets>
  <definedNames>
    <definedName name="Berlin_Feiertage">'Listen'!$E$2:$E$82</definedName>
    <definedName name="MitarbeiterListe">'Listen'!$B$2:$B$29</definedName>
    <definedName name="GewerkeListe">'Listen'!$A$2:$A$13</definedName>
    <definedName name="Stundenexport_Druckbereich">'Zeiterfassung Export'!$A$1:INDEX('Zeiterfassung Export'!$J:$J,MAX(5,IFERROR(MATCH(9.99999999999999E+307,'Zeiterfassung Export'!$K:$K),5)))</definedName>
    <definedName name="NUGewerkeListe">'Listen'!$N$2:$N$8</definedName>
    <definedName name="LieferantenListe">'Listen'!$P$2:$P$12</definedName>
    <definedName name="RechnungsartenListe">'Listen'!$X$2:$X$4</definedName>
    <definedName name="ErfassungDatumListe">'Listen'!$AB$2:$AB$367</definedName>
    <definedName name="ErfassungKWListe">'Listen'!$AC$2:$AC$54</definedName>
    <definedName name="_xlnm.Print_Area" localSheetId="0">'Projektübersicht'!$B$2:$L$43</definedName>
    <definedName name="_xlnm._FilterDatabase" localSheetId="1" hidden="1">'Zeiterfassung'!$A$5:$J$3665</definedName>
    <definedName name="_xlnm.Print_Titles" localSheetId="1">'Zeiterfassung'!$1:$5</definedName>
    <definedName name="_xlnm.Print_Area" localSheetId="1">'Zeiterfassung'!$A$1:$J$3665</definedName>
    <definedName name="_xlnm.Print_Titles" localSheetId="2">'Zeiterfassung Export'!$1:$5</definedName>
    <definedName name="_xlnm._FilterDatabase" localSheetId="3" hidden="1">'Materialkosten'!$A$5:$F$305</definedName>
    <definedName name="_xlnm.Print_Titles" localSheetId="3">'Materialkosten'!$1:$5</definedName>
    <definedName name="_xlnm.Print_Area" localSheetId="3">'Materialkosten'!$A$1:$F$305</definedName>
    <definedName name="_xlnm.Print_Titles" localSheetId="4">'Rechnungsstand'!$1:$5</definedName>
    <definedName name="_xlnm._FilterDatabase" localSheetId="5" hidden="1">'Rechnungsprüfung'!$A$11:$W$311</definedName>
    <definedName name="_xlnm.Print_Titles" localSheetId="5">'Rechnungsprüfung'!$1:$11</definedName>
    <definedName name="_xlnm.Print_Area" localSheetId="5">'Rechnungsprüfung'!$A$1:$W$311</definedName>
    <definedName name="_xlnm._FilterDatabase" localSheetId="6" hidden="1">'Nachunternehmer'!$A$6:$J$106</definedName>
    <definedName name="_xlnm.Print_Titles" localSheetId="6">'Nachunternehmer'!$1:$6</definedName>
    <definedName name="_xlnm.Print_Area" localSheetId="6">'Nachunternehmer'!$A$1:$J$106</definedName>
    <definedName name="_xlnm._FilterDatabase" localSheetId="7" hidden="1">'Eigenleistung'!$A$5:$J$105</definedName>
    <definedName name="_xlnm.Print_Titles" localSheetId="7">'Eigenleistung'!$1:$5</definedName>
    <definedName name="_xlnm.Print_Area" localSheetId="7">'Eigenleistung'!$A$1:$J$105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0">
    <numFmt numFmtId="164" formatCode="DD.MM.YYYY"/>
    <numFmt numFmtId="165" formatCode="0.0 &quot;Std.&quot;"/>
    <numFmt numFmtId="166" formatCode="#.##0,00 [$€-407]"/>
    <numFmt numFmtId="167" formatCode="0.0%"/>
    <numFmt numFmtId="168" formatCode="0.0"/>
    <numFmt numFmtId="169" formatCode="HH:MM"/>
    <numFmt numFmtId="170" formatCode="&quot;KW &quot;00"/>
    <numFmt numFmtId="171" formatCode="0.0%;[Red](0.0%);-"/>
    <numFmt numFmtId="172" formatCode="#.##0,00 [$€-407];[Red](#.##0,00 [$€-407]);-"/>
    <numFmt numFmtId="173" formatCode="dd.mm.yyyy"/>
    <numFmt numFmtId="174" formatCode="dddd"/>
    <numFmt numFmtId="175" formatCode="hh:mm"/>
    <numFmt numFmtId="176" formatCode="#,##0.00 [$EUR-407];[Red](#,##0.00 [$EUR-407]);-"/>
    <numFmt numFmtId="177" formatCode="0.00;[Red](0.00);-"/>
    <numFmt numFmtId="178" formatCode="0.0 &quot;Std.&quot;;[Red](0.0 &quot;Std.&quot;);-"/>
    <numFmt numFmtId="179" formatCode="#,##0.00 [$€-407];[Red](#,##0.00 [$€-407]);-"/>
    <numFmt numFmtId="180" formatCode="&quot;ERGEBNIS: &quot; #,##0.00 &quot;€&quot;;[Red]&quot;ERGEBNIS: (&quot;#,##0.00 &quot;€)&quot;;-"/>
    <numFmt numFmtId="181" formatCode="#,##0.00 &quot;€&quot;;[Red](#,##0.00 &quot;€&quot;);-"/>
    <numFmt numFmtId="182" formatCode="&quot;GEWINN / DB: &quot; #,##0.00 &quot;€&quot;;[Red]&quot;GEWINN / DB: (&quot;#,##0.00 &quot;€)&quot;;-"/>
    <numFmt numFmtId="183" formatCode="#,##0.00 [$€-de-DE];[Red](#,##0.00 [$€-de-DE]);-"/>
  </numFmts>
  <fonts count="93">
    <font>
      <name val="Calibri"/>
      <family val="2"/>
      <color theme="1"/>
      <sz val="11"/>
      <scheme val="minor"/>
    </font>
    <font>
      <b val="1"/>
      <color rgb="00FFFFFF"/>
      <sz val="24"/>
    </font>
    <font>
      <b val="1"/>
      <color rgb="006B7280"/>
      <sz val="11"/>
    </font>
    <font>
      <i val="1"/>
      <color rgb="006B7280"/>
      <sz val="10"/>
    </font>
    <font>
      <b val="1"/>
      <color rgb="00FFFFFF"/>
      <sz val="11"/>
    </font>
    <font>
      <b val="1"/>
      <color rgb="00666666"/>
      <sz val="9"/>
    </font>
    <font>
      <color rgb="000000FF"/>
      <sz val="10"/>
    </font>
    <font>
      <b val="1"/>
      <color rgb="00FFFFFF"/>
      <sz val="9"/>
    </font>
    <font>
      <b val="1"/>
      <color rgb="00000000"/>
      <sz val="16"/>
    </font>
    <font>
      <color rgb="001F2937"/>
      <sz val="10"/>
    </font>
    <font>
      <b val="1"/>
      <color rgb="00000000"/>
      <sz val="10"/>
    </font>
    <font>
      <b val="1"/>
      <color rgb="006B7280"/>
      <sz val="9"/>
    </font>
    <font>
      <b val="1"/>
      <color rgb="001F2937"/>
    </font>
    <font>
      <color rgb="00000000"/>
      <sz val="9"/>
    </font>
    <font>
      <b val="1"/>
      <color rgb="00FFFFFF"/>
      <sz val="20"/>
    </font>
    <font>
      <i val="1"/>
      <color rgb="006B7280"/>
      <sz val="9"/>
    </font>
    <font>
      <color rgb="000000FF"/>
      <sz val="9"/>
    </font>
    <font>
      <color rgb="00FFFFFF"/>
      <sz val="9"/>
    </font>
    <font>
      <name val="Aptos Display"/>
      <b val="1"/>
      <color rgb="00FFFFFF"/>
      <sz val="20"/>
    </font>
    <font>
      <name val="Aptos"/>
      <i val="1"/>
      <color rgb="00FFFFFF"/>
      <sz val="10"/>
    </font>
    <font>
      <name val="Aptos"/>
      <color rgb="006B7280"/>
      <sz val="9"/>
    </font>
    <font>
      <name val="Aptos"/>
      <b val="1"/>
      <color rgb="00FFFFFF"/>
      <sz val="9"/>
    </font>
    <font>
      <name val="Aptos"/>
      <color rgb="00000000"/>
      <sz val="10"/>
    </font>
    <font>
      <name val="Aptos"/>
      <color rgb="000000FF"/>
      <sz val="10"/>
    </font>
    <font>
      <name val="Aptos"/>
      <b val="1"/>
      <color rgb="0017365D"/>
      <sz val="11"/>
    </font>
    <font>
      <b val="1"/>
      <color rgb="00FFFFFF"/>
    </font>
    <font>
      <i val="1"/>
      <color rgb="00FFFFFF"/>
    </font>
    <font>
      <name val="Aptos"/>
      <color rgb="001F2937"/>
      <sz val="10"/>
    </font>
    <font>
      <name val="Aptos Display"/>
      <b val="1"/>
      <color rgb="00FFFFFF"/>
      <sz val="11"/>
    </font>
    <font>
      <name val="Aptos Display"/>
      <b val="1"/>
      <color rgb="001F2937"/>
      <sz val="24"/>
    </font>
    <font>
      <name val="Aptos"/>
      <i val="1"/>
      <color rgb="006B7280"/>
      <sz val="8"/>
    </font>
    <font>
      <name val="Aptos Display"/>
      <b val="1"/>
      <color rgb="00FFFFFF"/>
      <sz val="16"/>
    </font>
    <font>
      <name val="Aptos"/>
      <color rgb="00008000"/>
      <sz val="10"/>
    </font>
    <font>
      <name val="Aptos"/>
      <b val="1"/>
      <color rgb="001F2937"/>
      <sz val="10"/>
    </font>
    <font>
      <name val="Aptos Display"/>
      <b val="1"/>
      <color rgb="001F2937"/>
      <sz val="13"/>
    </font>
    <font>
      <name val="Aptos"/>
      <b val="1"/>
      <color rgb="0017365D"/>
      <sz val="9"/>
    </font>
    <font>
      <name val="Aptos Display"/>
      <b val="1"/>
      <color rgb="00FFFFFF"/>
      <sz val="21"/>
    </font>
    <font>
      <name val="Aptos"/>
      <i val="1"/>
      <color rgb="004B5563"/>
      <sz val="10"/>
    </font>
    <font>
      <name val="Aptos"/>
      <b val="1"/>
      <color rgb="00FFFFFF"/>
      <sz val="10"/>
    </font>
    <font>
      <name val="Aptos"/>
      <b val="1"/>
      <color rgb="004B5563"/>
      <sz val="8"/>
    </font>
    <font>
      <name val="Aptos"/>
      <b val="1"/>
      <color rgb="00000000"/>
      <sz val="11"/>
    </font>
    <font>
      <name val="Aptos"/>
      <b val="1"/>
      <color rgb="0017365D"/>
      <sz val="8"/>
    </font>
    <font>
      <name val="Aptos Display"/>
      <b val="1"/>
      <color rgb="000F6B78"/>
      <sz val="18"/>
    </font>
    <font>
      <name val="Aptos"/>
      <color rgb="004B5563"/>
      <sz val="8"/>
    </font>
    <font>
      <name val="Aptos"/>
      <i val="1"/>
      <color rgb="004B5563"/>
      <sz val="8"/>
    </font>
    <font>
      <name val="Aptos"/>
      <color rgb="00FFFFFF"/>
      <sz val="10"/>
    </font>
    <font>
      <name val="Aptos"/>
      <color rgb="00000000"/>
      <sz val="9.5"/>
    </font>
    <font>
      <name val="Aptos"/>
      <color rgb="000000FF"/>
      <sz val="9.5"/>
    </font>
    <font>
      <name val="Aptos"/>
      <b val="1"/>
      <color rgb="0017365D"/>
      <sz val="9.5"/>
    </font>
    <font>
      <name val="Aptos"/>
      <color rgb="0017365D"/>
      <sz val="9.5"/>
    </font>
    <font>
      <name val="Aptos"/>
      <b val="1"/>
      <color rgb="00FFFFFF"/>
      <sz val="20"/>
    </font>
    <font>
      <name val="Aptos"/>
      <b val="1"/>
      <color rgb="001F2937"/>
      <sz val="12"/>
    </font>
    <font>
      <name val="Aptos"/>
      <b val="1"/>
      <color rgb="002F75B5"/>
      <sz val="9"/>
      <u val="single"/>
    </font>
    <font>
      <name val="Aptos"/>
      <color rgb="000000FF"/>
      <sz val="9"/>
    </font>
    <font>
      <name val="Aptos"/>
      <color rgb="001F2937"/>
      <sz val="9"/>
    </font>
    <font>
      <name val="Aptos"/>
      <b val="1"/>
      <color rgb="001F2937"/>
      <sz val="9"/>
    </font>
    <font>
      <name val="Aptos"/>
      <color rgb="00008000"/>
      <sz val="9"/>
    </font>
    <font>
      <name val="Aptos"/>
      <b val="1"/>
      <color rgb="00008000"/>
      <sz val="13"/>
    </font>
    <font>
      <name val="Aptos"/>
      <b val="1"/>
      <color rgb="0017365D"/>
      <sz val="9"/>
      <u val="single"/>
    </font>
    <font>
      <name val="Aptos"/>
      <b val="1"/>
      <color rgb="00FFFFFF"/>
      <sz val="9"/>
      <u val="single"/>
    </font>
    <font>
      <name val="Aptos"/>
      <i val="1"/>
      <color rgb="006B7280"/>
      <sz val="9"/>
    </font>
    <font>
      <name val="Aptos"/>
      <b val="1"/>
      <color rgb="00FFFFFF"/>
      <sz val="11"/>
    </font>
    <font>
      <name val="Aptos Display"/>
      <b val="1"/>
      <color rgb="00000000"/>
      <sz val="22"/>
    </font>
    <font>
      <name val="Aptos Display"/>
      <b val="1"/>
      <color rgb="000000FF"/>
      <sz val="21"/>
    </font>
    <font>
      <name val="Aptos Display"/>
      <b val="1"/>
      <color rgb="00000000"/>
      <sz val="21"/>
    </font>
    <font>
      <name val="Aptos Display"/>
      <b val="1"/>
      <color rgb="000000FF"/>
      <sz val="17"/>
    </font>
    <font>
      <name val="Aptos Display"/>
      <b val="1"/>
      <color rgb="00000000"/>
      <sz val="17"/>
    </font>
    <font>
      <name val="Aptos"/>
      <b val="1"/>
      <color rgb="00000000"/>
      <sz val="10"/>
    </font>
    <font>
      <name val="Aptos"/>
      <i val="1"/>
      <color rgb="005B6573"/>
      <sz val="10"/>
    </font>
    <font>
      <name val="Aptos"/>
      <b val="1"/>
      <color rgb="00FFFFFF"/>
      <sz val="10.5"/>
    </font>
    <font>
      <name val="Aptos"/>
      <color rgb="00666666"/>
      <sz val="10"/>
    </font>
    <font>
      <name val="Aptos Display"/>
      <b val="1"/>
      <color rgb="00FFFFFF"/>
      <sz val="19"/>
    </font>
    <font>
      <name val="Aptos"/>
      <color rgb="00000000"/>
      <sz val="9"/>
    </font>
    <font>
      <name val="Calibri"/>
      <family val="2"/>
      <color theme="10"/>
      <sz val="12"/>
      <scheme val="minor"/>
    </font>
    <font>
      <name val="Aptos"/>
      <b val="1"/>
      <color rgb="000000FF"/>
      <sz val="10"/>
    </font>
    <font>
      <b val="1"/>
      <color rgb="00FFFFFF"/>
      <sz val="12"/>
    </font>
    <font>
      <i val="1"/>
      <color rgb="00666666"/>
      <sz val="8"/>
    </font>
    <font>
      <name val="Aptos"/>
      <i val="1"/>
      <color rgb="0017365D"/>
      <sz val="8"/>
    </font>
    <font>
      <b val="1"/>
      <color rgb="00FFFFFF"/>
      <sz val="10"/>
    </font>
    <font>
      <color rgb="00000000"/>
      <sz val="10"/>
    </font>
    <font>
      <b val="1"/>
      <color rgb="0017365D"/>
      <u val="single"/>
    </font>
    <font>
      <b val="1"/>
      <color rgb="00FFFFFF"/>
      <sz val="18"/>
    </font>
    <font>
      <b val="1"/>
      <color rgb="001F2937"/>
      <sz val="9"/>
    </font>
    <font>
      <b val="1"/>
      <color rgb="00008000"/>
    </font>
    <font>
      <b val="1"/>
      <color rgb="000000FF"/>
    </font>
    <font>
      <b val="1"/>
      <color rgb="00000000"/>
      <sz val="11"/>
    </font>
    <font>
      <b val="1"/>
      <color rgb="00FFFFFF"/>
      <sz val="8"/>
    </font>
    <font>
      <color rgb="00008000"/>
      <sz val="9"/>
    </font>
    <font>
      <b val="1"/>
      <color rgb="0017365D"/>
    </font>
    <font>
      <i val="1"/>
      <color rgb="000F6B78"/>
      <sz val="8"/>
    </font>
    <font>
      <name val="Aptos"/>
      <sz val="10"/>
    </font>
    <font>
      <name val="Aptos"/>
      <b val="1"/>
      <color rgb="00374151"/>
      <sz val="9"/>
    </font>
    <font>
      <name val="Aptos"/>
      <i val="1"/>
      <color rgb="004B5563"/>
      <sz val="9"/>
    </font>
  </fonts>
  <fills count="3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4F6"/>
      </patternFill>
    </fill>
    <fill>
      <patternFill patternType="solid">
        <fgColor rgb="00FFFDF2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0F6B78"/>
      </patternFill>
    </fill>
    <fill>
      <patternFill patternType="solid">
        <fgColor rgb="00ED7D31"/>
      </patternFill>
    </fill>
    <fill>
      <patternFill patternType="solid">
        <fgColor rgb="00DDEBF7"/>
      </patternFill>
    </fill>
    <fill>
      <patternFill patternType="solid">
        <fgColor rgb="00FAFBFC"/>
      </patternFill>
    </fill>
    <fill>
      <patternFill patternType="solid">
        <fgColor rgb="001F4168"/>
      </patternFill>
    </fill>
    <fill>
      <patternFill patternType="solid">
        <fgColor rgb="00244A73"/>
      </patternFill>
    </fill>
    <fill>
      <patternFill patternType="solid">
        <fgColor rgb="00F6F8FB"/>
      </patternFill>
    </fill>
    <fill>
      <patternFill patternType="solid">
        <fgColor rgb="002F6F78"/>
      </patternFill>
    </fill>
    <fill>
      <patternFill patternType="solid">
        <fgColor rgb="00EAF2F8"/>
      </patternFill>
    </fill>
    <fill>
      <patternFill patternType="solid">
        <fgColor rgb="00E8F4F5"/>
      </patternFill>
    </fill>
    <fill>
      <patternFill patternType="solid">
        <fgColor rgb="00FFF3E8"/>
      </patternFill>
    </fill>
    <fill>
      <patternFill patternType="solid">
        <fgColor rgb="00E5EAF0"/>
      </patternFill>
    </fill>
    <fill>
      <patternFill patternType="solid">
        <fgColor rgb="00EEF5FB"/>
      </patternFill>
    </fill>
    <fill>
      <patternFill patternType="solid">
        <fgColor rgb="00FCE4D6"/>
      </patternFill>
    </fill>
    <fill>
      <patternFill patternType="solid">
        <fgColor rgb="00E8F3F4"/>
      </patternFill>
    </fill>
    <fill>
      <patternFill patternType="solid">
        <fgColor rgb="00FCEDE3"/>
      </patternFill>
    </fill>
    <fill>
      <patternFill patternType="solid">
        <fgColor rgb="00177E89"/>
      </patternFill>
    </fill>
    <fill>
      <patternFill patternType="solid">
        <fgColor rgb="00F5F9FC"/>
      </patternFill>
    </fill>
    <fill>
      <patternFill patternType="solid">
        <fgColor rgb="00DCEAF5"/>
      </patternFill>
    </fill>
    <fill>
      <patternFill patternType="solid">
        <fgColor rgb="00EAF1F5"/>
      </patternFill>
    </fill>
    <fill>
      <patternFill patternType="solid">
        <fgColor rgb="00FFF2CC"/>
      </patternFill>
    </fill>
    <fill>
      <patternFill patternType="solid">
        <fgColor rgb="000F766E"/>
      </patternFill>
    </fill>
    <fill>
      <patternFill patternType="solid">
        <fgColor rgb="00E9EFF6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7F6000"/>
      </patternFill>
    </fill>
    <fill>
      <patternFill patternType="solid">
        <fgColor rgb="00F9FBFD"/>
      </patternFill>
    </fill>
    <fill>
      <patternFill patternType="solid">
        <fgColor rgb="00E8EEF5"/>
      </patternFill>
    </fill>
  </fills>
  <borders count="141">
    <border>
      <left/>
      <right/>
      <top/>
      <bottom/>
      <diagonal/>
    </border>
    <border>
      <left style="medium">
        <color rgb="0017365D"/>
      </left>
      <right style="medium">
        <color rgb="0017365D"/>
      </right>
      <top style="medium">
        <color rgb="0017365D"/>
      </top>
      <bottom style="medium">
        <color rgb="0017365D"/>
      </bottom>
    </border>
    <border>
      <bottom style="thin">
        <color rgb="00D9DEE7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/>
      <bottom style="thin">
        <color rgb="00D9DEE7"/>
      </bottom>
      <diagonal/>
    </border>
    <border>
      <right/>
      <bottom style="thin">
        <color rgb="00D9DEE7"/>
      </bottom>
    </border>
    <border>
      <left/>
      <right/>
      <top style="thin">
        <color rgb="00D9DEE7"/>
      </top>
      <bottom/>
      <diagonal/>
    </border>
    <border>
      <left style="thin">
        <color rgb="00D9DEE7"/>
      </left>
      <right/>
      <top/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 style="thin">
        <color rgb="00D9DEE7"/>
      </right>
      <top/>
      <bottom/>
      <diagonal/>
    </border>
    <border>
      <left style="thin">
        <color rgb="00D9DEE7"/>
      </left>
      <right/>
      <top/>
      <bottom style="thin">
        <color rgb="00D9DEE7"/>
      </bottom>
      <diagonal/>
    </border>
    <border>
      <left/>
      <right style="thin">
        <color rgb="00D9DEE7"/>
      </right>
      <top/>
      <bottom style="thin">
        <color rgb="00D9DEE7"/>
      </bottom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  <border>
      <left/>
      <right/>
      <top style="medium">
        <color rgb="0017365D"/>
      </top>
      <bottom/>
      <diagonal/>
    </border>
    <border>
      <left style="medium">
        <color rgb="0017365D"/>
      </left>
      <right/>
      <top/>
      <bottom/>
      <diagonal/>
    </border>
    <border>
      <left/>
      <right style="medium">
        <color rgb="0017365D"/>
      </right>
      <top style="medium">
        <color rgb="0017365D"/>
      </top>
      <bottom/>
      <diagonal/>
    </border>
    <border>
      <left/>
      <right style="medium">
        <color rgb="0017365D"/>
      </right>
      <top/>
      <bottom/>
      <diagonal/>
    </border>
    <border>
      <left style="medium">
        <color rgb="0017365D"/>
      </left>
      <right/>
      <top/>
      <bottom style="medium">
        <color rgb="0017365D"/>
      </bottom>
      <diagonal/>
    </border>
    <border>
      <left/>
      <right/>
      <top/>
      <bottom style="medium">
        <color rgb="0017365D"/>
      </bottom>
      <diagonal/>
    </border>
    <border>
      <left/>
      <right style="medium">
        <color rgb="0017365D"/>
      </right>
      <top/>
      <bottom style="medium">
        <color rgb="0017365D"/>
      </bottom>
      <diagonal/>
    </border>
    <border/>
    <border>
      <left style="thin">
        <color rgb="00D9E2F3"/>
      </left>
      <right/>
      <top style="thin">
        <color rgb="00D9E2F3"/>
      </top>
      <bottom/>
    </border>
    <border>
      <left/>
      <right/>
      <top style="thin">
        <color rgb="00D9E2F3"/>
      </top>
      <bottom/>
    </border>
    <border>
      <left/>
      <right style="thin">
        <color rgb="00D9E2F3"/>
      </right>
      <top style="thin">
        <color rgb="00D9E2F3"/>
      </top>
      <bottom/>
    </border>
    <border>
      <left style="thin">
        <color rgb="00D9E2F3"/>
      </left>
      <right/>
      <top/>
      <bottom/>
    </border>
    <border>
      <left/>
      <right/>
      <top/>
      <bottom/>
    </border>
    <border>
      <left/>
      <right style="thin">
        <color rgb="00D9E2F3"/>
      </right>
      <top/>
      <bottom/>
    </border>
    <border>
      <left style="thin">
        <color rgb="00D9E2F3"/>
      </left>
      <right/>
      <top/>
      <bottom style="thin">
        <color rgb="00D9E2F3"/>
      </bottom>
    </border>
    <border>
      <left/>
      <right/>
      <top/>
      <bottom style="thin">
        <color rgb="00D9E2F3"/>
      </bottom>
    </border>
    <border>
      <left/>
      <right style="thin">
        <color rgb="00D9E2F3"/>
      </right>
      <top/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bottom style="medium">
        <color rgb="0017365D"/>
      </bottom>
    </border>
    <border>
      <bottom style="thin">
        <color rgb="00D7DEE8"/>
      </bottom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  <border>
      <bottom style="thin">
        <color rgb="00D9E1E8"/>
      </bottom>
    </border>
    <border>
      <top style="medium">
        <color rgb="0017365D"/>
      </top>
    </border>
    <border>
      <left/>
      <right/>
      <top style="thin">
        <color rgb="00D9E1E8"/>
      </top>
      <bottom/>
      <diagonal/>
    </border>
    <border>
      <left style="thin">
        <color rgb="00D9E1E8"/>
      </left>
      <right/>
      <top/>
      <bottom/>
      <diagonal/>
    </border>
    <border>
      <left/>
      <right style="thin">
        <color rgb="00D9E1E8"/>
      </right>
      <top style="thin">
        <color rgb="00D9E1E8"/>
      </top>
      <bottom/>
      <diagonal/>
    </border>
    <border>
      <left/>
      <right style="thin">
        <color rgb="00D9E1E8"/>
      </right>
      <top/>
      <bottom/>
      <diagonal/>
    </border>
    <border>
      <left style="thin">
        <color rgb="00D9E1E8"/>
      </left>
      <right/>
      <top/>
      <bottom style="thin">
        <color rgb="00D9E1E8"/>
      </bottom>
      <diagonal/>
    </border>
    <border>
      <left/>
      <right/>
      <top/>
      <bottom style="thin">
        <color rgb="00D9E1E8"/>
      </bottom>
      <diagonal/>
    </border>
    <border>
      <left/>
      <right style="thin">
        <color rgb="00D9E1E8"/>
      </right>
      <top/>
      <bottom style="thin">
        <color rgb="00D9E1E8"/>
      </bottom>
      <diagonal/>
    </border>
    <border>
      <left/>
      <right/>
      <top style="thin">
        <color rgb="00D9E1E8"/>
      </top>
      <bottom style="thin">
        <color rgb="00D9E1E8"/>
      </bottom>
      <diagonal/>
    </border>
    <border>
      <left/>
      <right style="thin">
        <color rgb="00D9E1E8"/>
      </right>
      <top style="thin">
        <color rgb="00D9E1E8"/>
      </top>
      <bottom style="thin">
        <color rgb="00D9E1E8"/>
      </bottom>
      <diagonal/>
    </border>
    <border>
      <top style="thin">
        <color rgb="00B7C3D0"/>
      </top>
      <bottom style="thin">
        <color rgb="00B7C3D0"/>
      </bottom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  <border>
      <bottom style="thin">
        <color rgb="00B7C3D0"/>
      </bottom>
    </border>
    <border>
      <top style="thin">
        <color rgb="00000000"/>
      </top>
    </border>
    <border>
      <left/>
      <right/>
      <top style="thin">
        <color rgb="00B7C3D0"/>
      </top>
      <bottom/>
      <diagonal/>
    </border>
    <border>
      <left/>
      <right/>
      <top style="thin">
        <color rgb="00B7C3D0"/>
      </top>
      <bottom style="thin">
        <color rgb="00B7C3D0"/>
      </bottom>
      <diagonal/>
    </border>
    <border>
      <left/>
      <right/>
      <top style="thin">
        <color rgb="00000000"/>
      </top>
      <bottom/>
      <diagonal/>
    </border>
    <border>
      <left/>
      <right/>
      <top/>
      <bottom style="thin">
        <color rgb="00B7C3D0"/>
      </bottom>
      <diagonal/>
    </border>
    <border>
      <left style="thin">
        <color rgb="00B7C3D0"/>
      </left>
      <right/>
      <top/>
      <bottom/>
      <diagonal/>
    </border>
    <border>
      <left/>
      <right style="thin">
        <color rgb="00B7C3D0"/>
      </right>
      <top style="thin">
        <color rgb="00B7C3D0"/>
      </top>
      <bottom/>
      <diagonal/>
    </border>
    <border>
      <left/>
      <right style="thin">
        <color rgb="00B7C3D0"/>
      </right>
      <top/>
      <bottom/>
      <diagonal/>
    </border>
    <border>
      <left style="thin">
        <color rgb="00B7C3D0"/>
      </left>
      <right/>
      <top/>
      <bottom style="thin">
        <color rgb="00B7C3D0"/>
      </bottom>
      <diagonal/>
    </border>
    <border>
      <left/>
      <right style="thin">
        <color rgb="00B7C3D0"/>
      </right>
      <top/>
      <bottom style="thin">
        <color rgb="00B7C3D0"/>
      </bottom>
      <diagonal/>
    </border>
    <border>
      <right/>
      <top style="thin">
        <color rgb="00B7C3D0"/>
      </top>
      <bottom style="thin">
        <color rgb="00B7C3D0"/>
      </bottom>
    </border>
    <border>
      <bottom style="thin">
        <color rgb="00D4D9E1"/>
      </bottom>
    </border>
    <border>
      <top style="thin">
        <color rgb="009FA8B5"/>
      </top>
      <bottom style="hair">
        <color rgb="00E5E7EB"/>
      </bottom>
    </border>
    <border>
      <bottom style="hair">
        <color rgb="00E5E7EB"/>
      </bottom>
    </border>
    <border>
      <left/>
      <right/>
      <top/>
      <bottom style="thin">
        <color rgb="00D4D9E1"/>
      </bottom>
      <diagonal/>
    </border>
    <border>
      <right/>
      <bottom style="thin">
        <color rgb="00D4D9E1"/>
      </bottom>
    </border>
    <border>
      <bottom style="thin">
        <color rgb="00CBD5E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  <border>
      <left style="thin">
        <color rgb="000E5961"/>
      </left>
      <right style="thin">
        <color rgb="000E5961"/>
      </right>
      <top style="thin">
        <color rgb="000E5961"/>
      </top>
      <bottom style="thin">
        <color rgb="000E5961"/>
      </bottom>
    </border>
    <border>
      <left/>
      <right/>
      <top style="thin">
        <color rgb="000E5961"/>
      </top>
      <bottom/>
      <diagonal/>
    </border>
    <border>
      <left/>
      <right style="thin">
        <color rgb="000E5961"/>
      </right>
      <top style="thin">
        <color rgb="000E5961"/>
      </top>
      <bottom/>
      <diagonal/>
    </border>
    <border>
      <left/>
      <right/>
      <top style="thin">
        <color rgb="000E5961"/>
      </top>
      <bottom style="thin">
        <color rgb="000E5961"/>
      </bottom>
      <diagonal/>
    </border>
    <border>
      <left/>
      <right style="thin">
        <color rgb="000E5961"/>
      </right>
      <top style="thin">
        <color rgb="000E5961"/>
      </top>
      <bottom style="thin">
        <color rgb="000E5961"/>
      </bottom>
      <diagonal/>
    </border>
    <border>
      <right/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 style="thin">
        <color rgb="00FFFFFF"/>
      </left>
      <right/>
      <top/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/>
      <bottom/>
      <diagonal/>
    </border>
    <border>
      <left style="thin">
        <color rgb="00FFFFFF"/>
      </left>
      <right/>
      <top/>
      <bottom style="thin">
        <color rgb="00FFFFFF"/>
      </bottom>
      <diagonal/>
    </border>
    <border>
      <left/>
      <right/>
      <top/>
      <bottom style="thin">
        <color rgb="00FFFFFF"/>
      </bottom>
      <diagonal/>
    </border>
    <border>
      <left/>
      <right style="thin">
        <color rgb="00FFFFFF"/>
      </right>
      <top/>
      <bottom style="thin">
        <color rgb="00FFFFFF"/>
      </bottom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  <border>
      <bottom style="thin">
        <color rgb="00C9D2DC"/>
      </bottom>
    </border>
    <border>
      <left/>
      <right/>
      <top style="thin">
        <color rgb="00C9D2DC"/>
      </top>
      <bottom/>
      <diagonal/>
    </border>
    <border>
      <left style="thin">
        <color rgb="00C9D2DC"/>
      </left>
      <right/>
      <top/>
      <bottom/>
      <diagonal/>
    </border>
    <border>
      <left/>
      <right style="thin">
        <color rgb="00C9D2DC"/>
      </right>
      <top style="thin">
        <color rgb="00C9D2DC"/>
      </top>
      <bottom/>
      <diagonal/>
    </border>
    <border>
      <left/>
      <right style="thin">
        <color rgb="00C9D2DC"/>
      </right>
      <top/>
      <bottom/>
      <diagonal/>
    </border>
    <border>
      <left style="thin">
        <color rgb="00C9D2DC"/>
      </left>
      <right/>
      <top/>
      <bottom style="thin">
        <color rgb="00C9D2DC"/>
      </bottom>
      <diagonal/>
    </border>
    <border>
      <left/>
      <right/>
      <top/>
      <bottom style="thin">
        <color rgb="00C9D2DC"/>
      </bottom>
      <diagonal/>
    </border>
    <border>
      <left/>
      <right style="thin">
        <color rgb="00C9D2DC"/>
      </right>
      <top/>
      <bottom style="thin">
        <color rgb="00C9D2DC"/>
      </bottom>
      <diagonal/>
    </border>
    <border>
      <left/>
      <right/>
      <top style="thin">
        <color rgb="00C9D2DC"/>
      </top>
      <bottom style="thin">
        <color rgb="00C9D2DC"/>
      </bottom>
      <diagonal/>
    </border>
    <border>
      <left/>
      <right style="thin">
        <color rgb="00C9D2DC"/>
      </right>
      <top style="thin">
        <color rgb="00C9D2DC"/>
      </top>
      <bottom style="thin">
        <color rgb="00C9D2DC"/>
      </bottom>
      <diagonal/>
    </border>
    <border>
      <left/>
      <right/>
      <top/>
      <bottom style="hair">
        <color rgb="00E5E7EB"/>
      </bottom>
      <diagonal/>
    </border>
    <border>
      <left/>
      <right/>
      <top/>
      <bottom style="medium">
        <color rgb="00A8B4C0"/>
      </bottom>
    </border>
    <border>
      <bottom style="medium">
        <color rgb="00A8B4C0"/>
      </bottom>
    </border>
    <border>
      <right/>
      <top style="thin">
        <color rgb="009FA8B5"/>
      </top>
      <bottom style="hair">
        <color rgb="00E5E7EB"/>
      </bottom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  <border>
      <left/>
      <right/>
      <top style="thin">
        <color rgb="00AAB7C4"/>
      </top>
      <bottom/>
      <diagonal/>
    </border>
    <border>
      <left style="thin">
        <color rgb="00AAB7C4"/>
      </left>
      <right/>
      <top/>
      <bottom/>
      <diagonal/>
    </border>
    <border>
      <left/>
      <right style="thin">
        <color rgb="00AAB7C4"/>
      </right>
      <top style="thin">
        <color rgb="00AAB7C4"/>
      </top>
      <bottom/>
      <diagonal/>
    </border>
    <border>
      <left/>
      <right style="thin">
        <color rgb="00AAB7C4"/>
      </right>
      <top/>
      <bottom/>
      <diagonal/>
    </border>
    <border>
      <left style="thin">
        <color rgb="00AAB7C4"/>
      </left>
      <right/>
      <top/>
      <bottom style="thin">
        <color rgb="00AAB7C4"/>
      </bottom>
      <diagonal/>
    </border>
    <border>
      <left/>
      <right/>
      <top/>
      <bottom style="thin">
        <color rgb="00AAB7C4"/>
      </bottom>
      <diagonal/>
    </border>
    <border>
      <left/>
      <right style="thin">
        <color rgb="00AAB7C4"/>
      </right>
      <top/>
      <bottom style="thin">
        <color rgb="00AAB7C4"/>
      </bottom>
      <diagonal/>
    </border>
    <border>
      <left style="thin">
        <color rgb="0017365D"/>
      </left>
      <right style="thin">
        <color rgb="0017365D"/>
      </right>
      <top style="thin">
        <color rgb="0017365D"/>
      </top>
      <bottom style="thin">
        <color rgb="0017365D"/>
      </bottom>
    </border>
    <border>
      <left/>
      <right/>
      <top style="thin">
        <color rgb="0017365D"/>
      </top>
      <bottom/>
      <diagonal/>
    </border>
    <border>
      <left style="thin">
        <color rgb="0017365D"/>
      </left>
      <right/>
      <top/>
      <bottom/>
      <diagonal/>
    </border>
    <border>
      <left/>
      <right style="thin">
        <color rgb="0017365D"/>
      </right>
      <top style="thin">
        <color rgb="0017365D"/>
      </top>
      <bottom/>
      <diagonal/>
    </border>
    <border>
      <left/>
      <right style="thin">
        <color rgb="0017365D"/>
      </right>
      <top/>
      <bottom/>
      <diagonal/>
    </border>
    <border>
      <left style="thin">
        <color rgb="0017365D"/>
      </left>
      <right/>
      <top/>
      <bottom style="thin">
        <color rgb="0017365D"/>
      </bottom>
      <diagonal/>
    </border>
    <border>
      <left/>
      <right/>
      <top/>
      <bottom style="thin">
        <color rgb="0017365D"/>
      </bottom>
      <diagonal/>
    </border>
    <border>
      <left/>
      <right style="thin">
        <color rgb="0017365D"/>
      </right>
      <top/>
      <bottom style="thin">
        <color rgb="0017365D"/>
      </bottom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  <border>
      <left/>
      <right/>
      <top/>
      <bottom style="thin">
        <color rgb="00B8C2CC"/>
      </bottom>
      <diagonal/>
    </border>
    <border>
      <left style="thin">
        <color rgb="00B8C2CC"/>
      </left>
      <right/>
      <top/>
      <bottom/>
      <diagonal/>
    </border>
    <border>
      <left/>
      <right style="thin">
        <color rgb="00B8C2CC"/>
      </right>
      <top/>
      <bottom/>
      <diagonal/>
    </border>
    <border>
      <left style="thin">
        <color rgb="00B8C2CC"/>
      </left>
      <right/>
      <top/>
      <bottom style="thin">
        <color rgb="00B8C2CC"/>
      </bottom>
      <diagonal/>
    </border>
    <border>
      <left/>
      <right style="thin">
        <color rgb="00B8C2CC"/>
      </right>
      <top/>
      <bottom style="thin">
        <color rgb="00B8C2CC"/>
      </bottom>
      <diagonal/>
    </border>
    <border>
      <right/>
      <bottom style="thin">
        <color rgb="00B8C2CC"/>
      </bottom>
    </border>
  </borders>
  <cellStyleXfs count="2">
    <xf numFmtId="0" fontId="0" fillId="0" borderId="0"/>
    <xf numFmtId="0" fontId="73" fillId="0" borderId="0"/>
  </cellStyleXfs>
  <cellXfs count="4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164" fontId="6" fillId="4" borderId="2" applyAlignment="1" pivotButton="0" quotePrefix="0" xfId="0">
      <alignment vertical="center"/>
    </xf>
    <xf numFmtId="0" fontId="7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7" fillId="7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165" fontId="8" fillId="6" borderId="3" applyAlignment="1" pivotButton="0" quotePrefix="0" xfId="0">
      <alignment horizontal="center" vertical="center"/>
    </xf>
    <xf numFmtId="165" fontId="6" fillId="4" borderId="2" applyAlignment="1" pivotButton="0" quotePrefix="0" xfId="0">
      <alignment vertical="center"/>
    </xf>
    <xf numFmtId="166" fontId="6" fillId="4" borderId="2" applyAlignment="1" pivotButton="0" quotePrefix="0" xfId="0">
      <alignment vertical="center"/>
    </xf>
    <xf numFmtId="0" fontId="9" fillId="0" borderId="2" pivotButton="0" quotePrefix="0" xfId="0"/>
    <xf numFmtId="0" fontId="0" fillId="0" borderId="2" pivotButton="0" quotePrefix="0" xfId="0"/>
    <xf numFmtId="166" fontId="10" fillId="0" borderId="2" applyAlignment="1" pivotButton="0" quotePrefix="0" xfId="0">
      <alignment horizontal="right"/>
    </xf>
    <xf numFmtId="0" fontId="7" fillId="7" borderId="0" applyAlignment="1" pivotButton="0" quotePrefix="0" xfId="0">
      <alignment horizontal="center"/>
    </xf>
    <xf numFmtId="0" fontId="11" fillId="0" borderId="0" pivotButton="0" quotePrefix="0" xfId="0"/>
    <xf numFmtId="167" fontId="12" fillId="9" borderId="3" applyAlignment="1" pivotButton="0" quotePrefix="0" xfId="0">
      <alignment horizontal="center"/>
    </xf>
    <xf numFmtId="167" fontId="10" fillId="0" borderId="2" applyAlignment="1" pivotButton="0" quotePrefix="0" xfId="0">
      <alignment horizontal="right"/>
    </xf>
    <xf numFmtId="0" fontId="7" fillId="5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vertical="top" wrapText="1"/>
    </xf>
    <xf numFmtId="0" fontId="0" fillId="0" borderId="4" pivotButton="0" quotePrefix="0" xfId="0"/>
    <xf numFmtId="168" fontId="13" fillId="0" borderId="2" applyAlignment="1" pivotButton="0" quotePrefix="0" xfId="0">
      <alignment vertical="top" wrapText="1"/>
    </xf>
    <xf numFmtId="0" fontId="14" fillId="2" borderId="0" applyAlignment="1" pivotButton="0" quotePrefix="0" xfId="0">
      <alignment vertical="center"/>
    </xf>
    <xf numFmtId="0" fontId="15" fillId="0" borderId="0" pivotButton="0" quotePrefix="0" xfId="0"/>
    <xf numFmtId="0" fontId="13" fillId="10" borderId="2" applyAlignment="1" pivotButton="0" quotePrefix="0" xfId="0">
      <alignment vertical="top" wrapText="1"/>
    </xf>
    <xf numFmtId="164" fontId="16" fillId="10" borderId="2" applyAlignment="1" pivotButton="0" quotePrefix="0" xfId="0">
      <alignment vertical="top" wrapText="1"/>
    </xf>
    <xf numFmtId="0" fontId="16" fillId="10" borderId="2" applyAlignment="1" pivotButton="0" quotePrefix="0" xfId="0">
      <alignment vertical="top" wrapText="1"/>
    </xf>
    <xf numFmtId="169" fontId="16" fillId="10" borderId="2" applyAlignment="1" pivotButton="0" quotePrefix="0" xfId="0">
      <alignment vertical="top" wrapText="1"/>
    </xf>
    <xf numFmtId="2" fontId="13" fillId="10" borderId="2" applyAlignment="1" pivotButton="0" quotePrefix="0" xfId="0">
      <alignment vertical="top" wrapText="1"/>
    </xf>
    <xf numFmtId="164" fontId="16" fillId="0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169" fontId="16" fillId="0" borderId="2" applyAlignment="1" pivotButton="0" quotePrefix="0" xfId="0">
      <alignment vertical="top" wrapText="1"/>
    </xf>
    <xf numFmtId="2" fontId="13" fillId="0" borderId="2" applyAlignment="1" pivotButton="0" quotePrefix="0" xfId="0">
      <alignment vertical="top" wrapText="1"/>
    </xf>
    <xf numFmtId="2" fontId="16" fillId="10" borderId="2" applyAlignment="1" pivotButton="0" quotePrefix="0" xfId="0">
      <alignment vertical="top" wrapText="1"/>
    </xf>
    <xf numFmtId="166" fontId="16" fillId="10" borderId="2" applyAlignment="1" pivotButton="0" quotePrefix="0" xfId="0">
      <alignment vertical="top" wrapText="1"/>
    </xf>
    <xf numFmtId="2" fontId="16" fillId="0" borderId="2" applyAlignment="1" pivotButton="0" quotePrefix="0" xfId="0">
      <alignment vertical="top" wrapText="1"/>
    </xf>
    <xf numFmtId="166" fontId="16" fillId="0" borderId="2" applyAlignment="1" pivotButton="0" quotePrefix="0" xfId="0">
      <alignment vertical="top" wrapText="1"/>
    </xf>
    <xf numFmtId="166" fontId="13" fillId="10" borderId="2" applyAlignment="1" pivotButton="0" quotePrefix="0" xfId="0">
      <alignment vertical="top" wrapText="1"/>
    </xf>
    <xf numFmtId="166" fontId="13" fillId="0" borderId="2" applyAlignment="1" pivotButton="0" quotePrefix="0" xfId="0">
      <alignment vertical="top" wrapText="1"/>
    </xf>
    <xf numFmtId="0" fontId="0" fillId="0" borderId="14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13" fillId="0" borderId="5" applyAlignment="1" pivotButton="0" quotePrefix="0" xfId="0">
      <alignment vertical="top" wrapText="1"/>
    </xf>
    <xf numFmtId="0" fontId="17" fillId="0" borderId="2" applyAlignment="1" pivotButton="0" quotePrefix="0" xfId="0">
      <alignment vertical="top" wrapText="1"/>
    </xf>
    <xf numFmtId="0" fontId="2" fillId="11" borderId="21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0" fontId="6" fillId="4" borderId="5" applyAlignment="1" pivotButton="0" quotePrefix="0" xfId="0">
      <alignment vertical="center"/>
    </xf>
    <xf numFmtId="164" fontId="6" fillId="4" borderId="5" applyAlignment="1" pivotButton="0" quotePrefix="0" xfId="0">
      <alignment vertical="center"/>
    </xf>
    <xf numFmtId="0" fontId="9" fillId="0" borderId="5" pivotButton="0" quotePrefix="0" xfId="0"/>
    <xf numFmtId="166" fontId="10" fillId="0" borderId="5" applyAlignment="1" pivotButton="0" quotePrefix="0" xfId="0">
      <alignment horizontal="right"/>
    </xf>
    <xf numFmtId="167" fontId="10" fillId="0" borderId="5" applyAlignment="1" pivotButton="0" quotePrefix="0" xfId="0">
      <alignment horizontal="right"/>
    </xf>
    <xf numFmtId="0" fontId="2" fillId="6" borderId="22" applyAlignment="1" pivotButton="0" quotePrefix="0" xfId="0">
      <alignment horizontal="center" vertical="center"/>
    </xf>
    <xf numFmtId="0" fontId="0" fillId="6" borderId="23" pivotButton="0" quotePrefix="0" xfId="0"/>
    <xf numFmtId="0" fontId="0" fillId="6" borderId="24" pivotButton="0" quotePrefix="0" xfId="0"/>
    <xf numFmtId="0" fontId="0" fillId="6" borderId="25" pivotButton="0" quotePrefix="0" xfId="0"/>
    <xf numFmtId="0" fontId="0" fillId="6" borderId="26" pivotButton="0" quotePrefix="0" xfId="0"/>
    <xf numFmtId="0" fontId="0" fillId="6" borderId="27" pivotButton="0" quotePrefix="0" xfId="0"/>
    <xf numFmtId="0" fontId="0" fillId="6" borderId="28" pivotButton="0" quotePrefix="0" xfId="0"/>
    <xf numFmtId="0" fontId="0" fillId="6" borderId="29" pivotButton="0" quotePrefix="0" xfId="0"/>
    <xf numFmtId="0" fontId="0" fillId="6" borderId="30" pivotButton="0" quotePrefix="0" xfId="0"/>
    <xf numFmtId="0" fontId="2" fillId="6" borderId="31" applyAlignment="1" pivotButton="0" quotePrefix="0" xfId="0">
      <alignment horizontal="center" vertical="center"/>
    </xf>
    <xf numFmtId="0" fontId="0" fillId="6" borderId="32" pivotButton="0" quotePrefix="0" xfId="0"/>
    <xf numFmtId="0" fontId="0" fillId="6" borderId="34" pivotButton="0" quotePrefix="0" xfId="0"/>
    <xf numFmtId="0" fontId="0" fillId="6" borderId="33" pivotButton="0" quotePrefix="0" xfId="0"/>
    <xf numFmtId="0" fontId="0" fillId="6" borderId="0" pivotButton="0" quotePrefix="0" xfId="0"/>
    <xf numFmtId="0" fontId="0" fillId="6" borderId="35" pivotButton="0" quotePrefix="0" xfId="0"/>
    <xf numFmtId="0" fontId="0" fillId="6" borderId="36" pivotButton="0" quotePrefix="0" xfId="0"/>
    <xf numFmtId="0" fontId="0" fillId="6" borderId="37" pivotButton="0" quotePrefix="0" xfId="0"/>
    <xf numFmtId="0" fontId="0" fillId="6" borderId="38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18" fillId="2" borderId="21" applyAlignment="1" pivotButton="0" quotePrefix="0" xfId="0">
      <alignment horizontal="left" vertical="center" indent="1"/>
    </xf>
    <xf numFmtId="0" fontId="0" fillId="0" borderId="21" pivotButton="0" quotePrefix="0" xfId="0"/>
    <xf numFmtId="0" fontId="19" fillId="12" borderId="21" applyAlignment="1" pivotButton="0" quotePrefix="0" xfId="0">
      <alignment horizontal="left" vertical="center" indent="2"/>
    </xf>
    <xf numFmtId="0" fontId="20" fillId="13" borderId="21" applyAlignment="1" pivotButton="0" quotePrefix="0" xfId="0">
      <alignment horizontal="left" vertical="center" indent="1"/>
    </xf>
    <xf numFmtId="0" fontId="21" fillId="14" borderId="39" applyAlignment="1" pivotButton="0" quotePrefix="0" xfId="0">
      <alignment horizontal="center" vertical="center" wrapText="1"/>
    </xf>
    <xf numFmtId="0" fontId="21" fillId="14" borderId="39" applyAlignment="1" pivotButton="0" quotePrefix="0" xfId="0">
      <alignment horizontal="left" vertical="center" wrapText="1"/>
    </xf>
    <xf numFmtId="0" fontId="7" fillId="0" borderId="21" pivotButton="0" quotePrefix="0" xfId="0"/>
    <xf numFmtId="170" fontId="24" fillId="6" borderId="40" applyAlignment="1" pivotButton="0" quotePrefix="0" xfId="0">
      <alignment horizontal="center" vertical="center"/>
    </xf>
    <xf numFmtId="164" fontId="23" fillId="6" borderId="40" applyAlignment="1" pivotButton="0" quotePrefix="0" xfId="0">
      <alignment horizontal="center" vertical="center"/>
    </xf>
    <xf numFmtId="0" fontId="22" fillId="6" borderId="40" applyAlignment="1" pivotButton="0" quotePrefix="0" xfId="0">
      <alignment horizontal="center" vertical="center"/>
    </xf>
    <xf numFmtId="0" fontId="23" fillId="6" borderId="40" applyAlignment="1" pivotButton="0" quotePrefix="0" xfId="0">
      <alignment horizontal="left" vertical="center"/>
    </xf>
    <xf numFmtId="2" fontId="23" fillId="6" borderId="40" applyAlignment="1" pivotButton="0" quotePrefix="0" xfId="0">
      <alignment horizontal="center" vertical="center"/>
    </xf>
    <xf numFmtId="0" fontId="23" fillId="6" borderId="40" applyAlignment="1" pivotButton="0" quotePrefix="0" xfId="0">
      <alignment horizontal="left" vertical="center" wrapText="1"/>
    </xf>
    <xf numFmtId="0" fontId="23" fillId="6" borderId="40" applyAlignment="1" pivotButton="0" quotePrefix="0" xfId="0">
      <alignment horizontal="center" vertical="center"/>
    </xf>
    <xf numFmtId="0" fontId="16" fillId="0" borderId="21" pivotButton="0" quotePrefix="0" xfId="0"/>
    <xf numFmtId="0" fontId="25" fillId="2" borderId="40" applyAlignment="1" pivotButton="0" quotePrefix="0" xfId="0">
      <alignment horizontal="right"/>
    </xf>
    <xf numFmtId="2" fontId="25" fillId="2" borderId="40" applyAlignment="1" pivotButton="0" quotePrefix="0" xfId="0">
      <alignment horizontal="center" vertical="center"/>
    </xf>
    <xf numFmtId="0" fontId="26" fillId="2" borderId="40" applyAlignment="1" pivotButton="0" quotePrefix="0" xfId="0">
      <alignment horizontal="left" vertical="center" wrapText="1"/>
    </xf>
    <xf numFmtId="0" fontId="25" fillId="2" borderId="0" pivotButton="0" quotePrefix="0" xfId="0"/>
    <xf numFmtId="164" fontId="0" fillId="0" borderId="0" pivotButton="0" quotePrefix="0" xfId="0"/>
    <xf numFmtId="0" fontId="28" fillId="2" borderId="21" applyAlignment="1" pivotButton="0" quotePrefix="0" xfId="0">
      <alignment horizontal="left" vertical="center"/>
    </xf>
    <xf numFmtId="0" fontId="27" fillId="0" borderId="21" applyAlignment="1" pivotButton="0" quotePrefix="0" xfId="0">
      <alignment vertical="center"/>
    </xf>
    <xf numFmtId="0" fontId="21" fillId="5" borderId="41" applyAlignment="1" pivotButton="0" quotePrefix="0" xfId="0">
      <alignment horizontal="center" vertical="center" wrapText="1"/>
    </xf>
    <xf numFmtId="0" fontId="0" fillId="0" borderId="41" pivotButton="0" quotePrefix="0" xfId="0"/>
    <xf numFmtId="166" fontId="27" fillId="0" borderId="21" applyAlignment="1" pivotButton="0" quotePrefix="0" xfId="0">
      <alignment vertical="center"/>
    </xf>
    <xf numFmtId="0" fontId="21" fillId="7" borderId="41" applyAlignment="1" pivotButton="0" quotePrefix="0" xfId="0">
      <alignment horizontal="center" vertical="center" wrapText="1"/>
    </xf>
    <xf numFmtId="0" fontId="21" fillId="8" borderId="41" applyAlignment="1" pivotButton="0" quotePrefix="0" xfId="0">
      <alignment horizontal="center" vertical="center" wrapText="1"/>
    </xf>
    <xf numFmtId="171" fontId="29" fillId="15" borderId="41" applyAlignment="1" pivotButton="0" quotePrefix="0" xfId="0">
      <alignment horizontal="center" vertical="center"/>
    </xf>
    <xf numFmtId="171" fontId="29" fillId="16" borderId="41" applyAlignment="1" pivotButton="0" quotePrefix="0" xfId="0">
      <alignment horizontal="center" vertical="center"/>
    </xf>
    <xf numFmtId="171" fontId="29" fillId="17" borderId="41" applyAlignment="1" pivotButton="0" quotePrefix="0" xfId="0">
      <alignment horizontal="center" vertical="center"/>
    </xf>
    <xf numFmtId="167" fontId="27" fillId="0" borderId="21" applyAlignment="1" pivotButton="0" quotePrefix="0" xfId="0">
      <alignment vertical="center"/>
    </xf>
    <xf numFmtId="0" fontId="30" fillId="0" borderId="21" applyAlignment="1" pivotButton="0" quotePrefix="0" xfId="0">
      <alignment horizontal="right" vertical="center"/>
    </xf>
    <xf numFmtId="0" fontId="31" fillId="2" borderId="0" applyAlignment="1" pivotButton="0" quotePrefix="0" xfId="0">
      <alignment vertical="center"/>
    </xf>
    <xf numFmtId="0" fontId="20" fillId="0" borderId="0" pivotButton="0" quotePrefix="0" xfId="0"/>
    <xf numFmtId="0" fontId="35" fillId="18" borderId="0" applyAlignment="1" pivotButton="0" quotePrefix="0" xfId="0">
      <alignment vertical="center"/>
    </xf>
    <xf numFmtId="0" fontId="27" fillId="0" borderId="0" pivotButton="0" quotePrefix="0" xfId="0"/>
    <xf numFmtId="172" fontId="32" fillId="0" borderId="42" applyAlignment="1" pivotButton="0" quotePrefix="0" xfId="0">
      <alignment horizontal="right" vertical="center"/>
    </xf>
    <xf numFmtId="0" fontId="20" fillId="0" borderId="0" applyAlignment="1" pivotButton="0" quotePrefix="0" xfId="0">
      <alignment vertical="top" wrapText="1"/>
    </xf>
    <xf numFmtId="172" fontId="23" fillId="4" borderId="42" applyAlignment="1" pivotButton="0" quotePrefix="0" xfId="0">
      <alignment horizontal="right" vertical="center"/>
    </xf>
    <xf numFmtId="0" fontId="33" fillId="0" borderId="43" pivotButton="0" quotePrefix="0" xfId="0"/>
    <xf numFmtId="171" fontId="34" fillId="15" borderId="43" applyAlignment="1" pivotButton="0" quotePrefix="0" xfId="0">
      <alignment horizontal="right" vertical="center"/>
    </xf>
    <xf numFmtId="0" fontId="20" fillId="0" borderId="43" applyAlignment="1" pivotButton="0" quotePrefix="0" xfId="0">
      <alignment vertical="top" wrapText="1"/>
    </xf>
    <xf numFmtId="165" fontId="32" fillId="0" borderId="42" applyAlignment="1" pivotButton="0" quotePrefix="0" xfId="0">
      <alignment horizontal="right" vertical="center"/>
    </xf>
    <xf numFmtId="166" fontId="23" fillId="4" borderId="42" applyAlignment="1" pivotButton="0" quotePrefix="0" xfId="0">
      <alignment horizontal="right" vertical="center"/>
    </xf>
    <xf numFmtId="172" fontId="22" fillId="0" borderId="42" applyAlignment="1" pivotButton="0" quotePrefix="0" xfId="0">
      <alignment horizontal="right"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35" fillId="19" borderId="53" applyAlignment="1" pivotButton="0" quotePrefix="0" xfId="0">
      <alignment horizontal="left" vertical="center"/>
    </xf>
    <xf numFmtId="0" fontId="21" fillId="2" borderId="39" applyAlignment="1" pivotButton="0" quotePrefix="0" xfId="0">
      <alignment horizontal="center" vertical="center" wrapText="1"/>
    </xf>
    <xf numFmtId="0" fontId="21" fillId="2" borderId="39" applyAlignment="1" pivotButton="0" quotePrefix="0" xfId="0">
      <alignment horizontal="left" vertical="center" wrapText="1"/>
    </xf>
    <xf numFmtId="0" fontId="3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6" borderId="54" pivotButton="0" quotePrefix="0" xfId="0"/>
    <xf numFmtId="0" fontId="37" fillId="0" borderId="0" applyAlignment="1" pivotButton="0" quotePrefix="0" xfId="0">
      <alignment horizontal="left"/>
    </xf>
    <xf numFmtId="0" fontId="38" fillId="2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bottom"/>
    </xf>
    <xf numFmtId="0" fontId="40" fillId="0" borderId="55" applyAlignment="1" pivotButton="0" quotePrefix="0" xfId="0">
      <alignment horizontal="left" vertical="top"/>
    </xf>
    <xf numFmtId="0" fontId="41" fillId="19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2" fontId="42" fillId="0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top" wrapText="1"/>
    </xf>
    <xf numFmtId="0" fontId="35" fillId="0" borderId="0" applyAlignment="1" pivotButton="0" quotePrefix="0" xfId="0">
      <alignment horizontal="left"/>
    </xf>
    <xf numFmtId="0" fontId="43" fillId="0" borderId="56" applyAlignment="1" pivotButton="0" quotePrefix="0" xfId="0">
      <alignment horizontal="left" vertical="bottom"/>
    </xf>
    <xf numFmtId="0" fontId="44" fillId="0" borderId="0" applyAlignment="1" pivotButton="0" quotePrefix="0" xfId="0">
      <alignment horizontal="left" vertical="top"/>
    </xf>
    <xf numFmtId="0" fontId="0" fillId="0" borderId="58" pivotButton="0" quotePrefix="0" xfId="0"/>
    <xf numFmtId="173" fontId="23" fillId="4" borderId="5" applyAlignment="1" pivotButton="0" quotePrefix="0" xfId="0">
      <alignment vertical="center"/>
    </xf>
    <xf numFmtId="170" fontId="13" fillId="0" borderId="2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/>
    </xf>
    <xf numFmtId="0" fontId="45" fillId="12" borderId="0" applyAlignment="1" pivotButton="0" quotePrefix="0" xfId="0">
      <alignment horizontal="left" vertical="center"/>
    </xf>
    <xf numFmtId="0" fontId="35" fillId="19" borderId="67" applyAlignment="1" pivotButton="0" quotePrefix="0" xfId="0">
      <alignment horizontal="left" vertical="center"/>
    </xf>
    <xf numFmtId="0" fontId="0" fillId="19" borderId="67" pivotButton="0" quotePrefix="0" xfId="0"/>
    <xf numFmtId="170" fontId="48" fillId="6" borderId="68" applyAlignment="1" pivotButton="0" quotePrefix="0" xfId="0">
      <alignment horizontal="center" vertical="center"/>
    </xf>
    <xf numFmtId="173" fontId="48" fillId="6" borderId="68" applyAlignment="1" pivotButton="0" quotePrefix="0" xfId="0">
      <alignment horizontal="center" vertical="center"/>
    </xf>
    <xf numFmtId="174" fontId="48" fillId="6" borderId="68" applyAlignment="1" pivotButton="0" quotePrefix="0" xfId="0">
      <alignment horizontal="center" vertical="center"/>
    </xf>
    <xf numFmtId="0" fontId="47" fillId="6" borderId="68" applyAlignment="1" pivotButton="0" quotePrefix="0" xfId="0">
      <alignment vertical="center"/>
    </xf>
    <xf numFmtId="175" fontId="47" fillId="6" borderId="68" applyAlignment="1" pivotButton="0" quotePrefix="0" xfId="0">
      <alignment horizontal="center" vertical="center"/>
    </xf>
    <xf numFmtId="2" fontId="49" fillId="6" borderId="68" applyAlignment="1" pivotButton="0" quotePrefix="0" xfId="0">
      <alignment horizontal="center" vertical="center"/>
    </xf>
    <xf numFmtId="0" fontId="47" fillId="6" borderId="68" applyAlignment="1" pivotButton="0" quotePrefix="0" xfId="0">
      <alignment vertical="center" wrapText="1"/>
    </xf>
    <xf numFmtId="173" fontId="0" fillId="0" borderId="0" pivotButton="0" quotePrefix="0" xfId="0"/>
    <xf numFmtId="170" fontId="49" fillId="6" borderId="69" applyAlignment="1" pivotButton="0" quotePrefix="0" xfId="0">
      <alignment horizontal="center" vertical="center"/>
    </xf>
    <xf numFmtId="173" fontId="49" fillId="6" borderId="69" applyAlignment="1" pivotButton="0" quotePrefix="0" xfId="0">
      <alignment horizontal="center" vertical="center"/>
    </xf>
    <xf numFmtId="174" fontId="49" fillId="6" borderId="69" applyAlignment="1" pivotButton="0" quotePrefix="0" xfId="0">
      <alignment horizontal="center" vertical="center"/>
    </xf>
    <xf numFmtId="0" fontId="47" fillId="6" borderId="69" applyAlignment="1" pivotButton="0" quotePrefix="0" xfId="0">
      <alignment vertical="center"/>
    </xf>
    <xf numFmtId="175" fontId="47" fillId="6" borderId="69" applyAlignment="1" pivotButton="0" quotePrefix="0" xfId="0">
      <alignment horizontal="center" vertical="center"/>
    </xf>
    <xf numFmtId="2" fontId="49" fillId="6" borderId="69" applyAlignment="1" pivotButton="0" quotePrefix="0" xfId="0">
      <alignment horizontal="center" vertical="center"/>
    </xf>
    <xf numFmtId="0" fontId="47" fillId="6" borderId="69" applyAlignment="1" pivotButton="0" quotePrefix="0" xfId="0">
      <alignment vertical="center" wrapText="1"/>
    </xf>
    <xf numFmtId="170" fontId="46" fillId="6" borderId="69" applyAlignment="1" pivotButton="0" quotePrefix="0" xfId="0">
      <alignment horizontal="center" vertical="center"/>
    </xf>
    <xf numFmtId="173" fontId="46" fillId="6" borderId="69" applyAlignment="1" pivotButton="0" quotePrefix="0" xfId="0">
      <alignment horizontal="center" vertical="center"/>
    </xf>
    <xf numFmtId="174" fontId="46" fillId="6" borderId="69" applyAlignment="1" pivotButton="0" quotePrefix="0" xfId="0">
      <alignment horizontal="center" vertical="center"/>
    </xf>
    <xf numFmtId="0" fontId="46" fillId="6" borderId="69" applyAlignment="1" pivotButton="0" quotePrefix="0" xfId="0">
      <alignment vertical="center"/>
    </xf>
    <xf numFmtId="175" fontId="46" fillId="6" borderId="69" applyAlignment="1" pivotButton="0" quotePrefix="0" xfId="0">
      <alignment horizontal="center" vertical="center"/>
    </xf>
    <xf numFmtId="2" fontId="46" fillId="6" borderId="69" applyAlignment="1" pivotButton="0" quotePrefix="0" xfId="0">
      <alignment horizontal="center" vertical="center"/>
    </xf>
    <xf numFmtId="0" fontId="46" fillId="6" borderId="69" applyAlignment="1" pivotButton="0" quotePrefix="0" xfId="0">
      <alignment vertical="center" wrapText="1"/>
    </xf>
    <xf numFmtId="0" fontId="0" fillId="0" borderId="70" pivotButton="0" quotePrefix="0" xfId="0"/>
    <xf numFmtId="0" fontId="38" fillId="2" borderId="0" pivotButton="0" quotePrefix="0" xfId="0"/>
    <xf numFmtId="0" fontId="23" fillId="0" borderId="0" applyAlignment="1" pivotButton="0" quotePrefix="0" xfId="0">
      <alignment horizontal="left"/>
    </xf>
    <xf numFmtId="0" fontId="35" fillId="19" borderId="71" applyAlignment="1" pivotButton="0" quotePrefix="0" xfId="0">
      <alignment horizontal="left" vertical="center"/>
    </xf>
    <xf numFmtId="0" fontId="59" fillId="5" borderId="41" applyAlignment="1" pivotButton="0" quotePrefix="0" xfId="0">
      <alignment horizontal="center" vertical="center" wrapText="1"/>
    </xf>
    <xf numFmtId="0" fontId="59" fillId="7" borderId="41" applyAlignment="1" pivotButton="0" quotePrefix="0" xfId="0">
      <alignment horizontal="center" vertical="center" wrapText="1"/>
    </xf>
    <xf numFmtId="0" fontId="59" fillId="8" borderId="41" applyAlignment="1" pivotButton="0" quotePrefix="0" xfId="0">
      <alignment horizontal="center" vertical="center" wrapText="1"/>
    </xf>
    <xf numFmtId="0" fontId="60" fillId="0" borderId="21" applyAlignment="1" pivotButton="0" quotePrefix="0" xfId="0">
      <alignment horizontal="right" vertical="center"/>
    </xf>
    <xf numFmtId="0" fontId="50" fillId="2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35" fillId="18" borderId="72" applyAlignment="1" pivotButton="0" quotePrefix="0" xfId="0">
      <alignment horizontal="left" vertical="center"/>
    </xf>
    <xf numFmtId="176" fontId="51" fillId="15" borderId="72" applyAlignment="1" pivotButton="0" quotePrefix="0" xfId="0">
      <alignment horizontal="right" vertical="center"/>
    </xf>
    <xf numFmtId="171" fontId="51" fillId="15" borderId="72" applyAlignment="1" pivotButton="0" quotePrefix="0" xfId="0">
      <alignment horizontal="right" vertical="center"/>
    </xf>
    <xf numFmtId="0" fontId="52" fillId="0" borderId="0" applyAlignment="1" pivotButton="0" quotePrefix="0" xfId="0">
      <alignment horizontal="right" vertical="center"/>
    </xf>
    <xf numFmtId="0" fontId="21" fillId="5" borderId="39" applyAlignment="1" pivotButton="0" quotePrefix="0" xfId="0">
      <alignment horizontal="center" vertical="center" wrapText="1"/>
    </xf>
    <xf numFmtId="0" fontId="53" fillId="10" borderId="69" applyAlignment="1" pivotButton="0" quotePrefix="0" xfId="0">
      <alignment vertical="top" wrapText="1"/>
    </xf>
    <xf numFmtId="176" fontId="53" fillId="10" borderId="69" applyAlignment="1" pivotButton="0" quotePrefix="0" xfId="0">
      <alignment horizontal="right" vertical="top"/>
    </xf>
    <xf numFmtId="176" fontId="54" fillId="6" borderId="69" applyAlignment="1" pivotButton="0" quotePrefix="0" xfId="0">
      <alignment horizontal="right" vertical="top"/>
    </xf>
    <xf numFmtId="171" fontId="54" fillId="6" borderId="69" applyAlignment="1" pivotButton="0" quotePrefix="0" xfId="0">
      <alignment horizontal="right" vertical="top"/>
    </xf>
    <xf numFmtId="177" fontId="51" fillId="15" borderId="72" applyAlignment="1" pivotButton="0" quotePrefix="0" xfId="0">
      <alignment horizontal="right" vertical="center"/>
    </xf>
    <xf numFmtId="0" fontId="55" fillId="20" borderId="0" applyAlignment="1" pivotButton="0" quotePrefix="0" xfId="0">
      <alignment horizontal="center" vertical="center"/>
    </xf>
    <xf numFmtId="177" fontId="56" fillId="6" borderId="69" applyAlignment="1" pivotButton="0" quotePrefix="0" xfId="0">
      <alignment horizontal="right" vertical="top"/>
    </xf>
    <xf numFmtId="0" fontId="58" fillId="18" borderId="0" applyAlignment="1" pivotButton="0" quotePrefix="0" xfId="0">
      <alignment vertical="center"/>
    </xf>
    <xf numFmtId="172" fontId="32" fillId="4" borderId="42" applyAlignment="1" pivotButton="0" quotePrefix="0" xfId="0">
      <alignment horizontal="right" vertical="center"/>
    </xf>
    <xf numFmtId="171" fontId="57" fillId="15" borderId="43" applyAlignment="1" pivotButton="0" quotePrefix="0" xfId="0">
      <alignment horizontal="right" vertical="center"/>
    </xf>
    <xf numFmtId="0" fontId="61" fillId="2" borderId="73" applyAlignment="1" pivotButton="0" quotePrefix="0" xfId="0">
      <alignment horizontal="left" vertical="center"/>
    </xf>
    <xf numFmtId="0" fontId="0" fillId="2" borderId="73" pivotButton="0" quotePrefix="0" xfId="0"/>
    <xf numFmtId="0" fontId="59" fillId="5" borderId="73" applyAlignment="1" pivotButton="0" quotePrefix="0" xfId="0">
      <alignment horizontal="center" vertical="center"/>
    </xf>
    <xf numFmtId="0" fontId="0" fillId="5" borderId="73" pivotButton="0" quotePrefix="0" xfId="0"/>
    <xf numFmtId="0" fontId="27" fillId="6" borderId="21" applyAlignment="1" pivotButton="0" quotePrefix="0" xfId="0">
      <alignment vertical="center"/>
    </xf>
    <xf numFmtId="0" fontId="59" fillId="7" borderId="73" applyAlignment="1" pivotButton="0" quotePrefix="0" xfId="0">
      <alignment horizontal="center" vertical="center"/>
    </xf>
    <xf numFmtId="0" fontId="0" fillId="7" borderId="73" pivotButton="0" quotePrefix="0" xfId="0"/>
    <xf numFmtId="0" fontId="59" fillId="8" borderId="73" applyAlignment="1" pivotButton="0" quotePrefix="0" xfId="0">
      <alignment horizontal="center" vertical="center"/>
    </xf>
    <xf numFmtId="0" fontId="0" fillId="8" borderId="73" pivotButton="0" quotePrefix="0" xfId="0"/>
    <xf numFmtId="171" fontId="62" fillId="15" borderId="73" applyAlignment="1" pivotButton="0" quotePrefix="0" xfId="0">
      <alignment horizontal="center" vertical="center"/>
    </xf>
    <xf numFmtId="0" fontId="0" fillId="15" borderId="73" pivotButton="0" quotePrefix="0" xfId="0"/>
    <xf numFmtId="171" fontId="62" fillId="21" borderId="73" applyAlignment="1" pivotButton="0" quotePrefix="0" xfId="0">
      <alignment horizontal="center" vertical="center"/>
    </xf>
    <xf numFmtId="0" fontId="0" fillId="21" borderId="73" pivotButton="0" quotePrefix="0" xfId="0"/>
    <xf numFmtId="171" fontId="62" fillId="22" borderId="73" applyAlignment="1" pivotButton="0" quotePrefix="0" xfId="0">
      <alignment horizontal="center" vertical="center"/>
    </xf>
    <xf numFmtId="0" fontId="0" fillId="22" borderId="73" pivotButton="0" quotePrefix="0" xfId="0"/>
    <xf numFmtId="0" fontId="21" fillId="5" borderId="73" applyAlignment="1" pivotButton="0" quotePrefix="0" xfId="0">
      <alignment horizontal="center" vertical="center"/>
    </xf>
    <xf numFmtId="0" fontId="21" fillId="7" borderId="73" applyAlignment="1" pivotButton="0" quotePrefix="0" xfId="0">
      <alignment horizontal="center" vertical="center"/>
    </xf>
    <xf numFmtId="0" fontId="21" fillId="8" borderId="73" applyAlignment="1" pivotButton="0" quotePrefix="0" xfId="0">
      <alignment horizontal="center" vertical="center"/>
    </xf>
    <xf numFmtId="178" fontId="63" fillId="6" borderId="73" applyAlignment="1" pivotButton="0" quotePrefix="0" xfId="0">
      <alignment horizontal="center" vertical="center"/>
    </xf>
    <xf numFmtId="0" fontId="0" fillId="6" borderId="73" pivotButton="0" quotePrefix="0" xfId="0"/>
    <xf numFmtId="178" fontId="64" fillId="6" borderId="73" applyAlignment="1" pivotButton="0" quotePrefix="0" xfId="0">
      <alignment horizontal="center" vertical="center"/>
    </xf>
    <xf numFmtId="179" fontId="65" fillId="6" borderId="73" applyAlignment="1" pivotButton="0" quotePrefix="0" xfId="0">
      <alignment horizontal="center" vertical="center"/>
    </xf>
    <xf numFmtId="179" fontId="66" fillId="6" borderId="73" applyAlignment="1" pivotButton="0" quotePrefix="0" xfId="0">
      <alignment horizontal="center" vertical="center"/>
    </xf>
    <xf numFmtId="0" fontId="30" fillId="6" borderId="21" applyAlignment="1" pivotButton="0" quotePrefix="0" xfId="0">
      <alignment horizontal="left" vertical="center"/>
    </xf>
    <xf numFmtId="0" fontId="54" fillId="3" borderId="74" applyAlignment="1" pivotButton="0" quotePrefix="0" xfId="0">
      <alignment vertical="center"/>
    </xf>
    <xf numFmtId="0" fontId="0" fillId="3" borderId="74" pivotButton="0" quotePrefix="0" xfId="0"/>
    <xf numFmtId="179" fontId="22" fillId="3" borderId="74" applyAlignment="1" pivotButton="0" quotePrefix="0" xfId="0">
      <alignment horizontal="right" vertical="center"/>
    </xf>
    <xf numFmtId="0" fontId="54" fillId="22" borderId="74" applyAlignment="1" pivotButton="0" quotePrefix="0" xfId="0">
      <alignment vertical="center"/>
    </xf>
    <xf numFmtId="0" fontId="0" fillId="22" borderId="74" pivotButton="0" quotePrefix="0" xfId="0"/>
    <xf numFmtId="179" fontId="23" fillId="22" borderId="74" applyAlignment="1" pivotButton="0" quotePrefix="0" xfId="0">
      <alignment horizontal="right" vertical="center"/>
    </xf>
    <xf numFmtId="0" fontId="55" fillId="3" borderId="74" applyAlignment="1" pivotButton="0" quotePrefix="0" xfId="0">
      <alignment vertical="center"/>
    </xf>
    <xf numFmtId="179" fontId="67" fillId="3" borderId="74" applyAlignment="1" pivotButton="0" quotePrefix="0" xfId="0">
      <alignment horizontal="right" vertical="center"/>
    </xf>
    <xf numFmtId="167" fontId="67" fillId="3" borderId="74" applyAlignment="1" pivotButton="0" quotePrefix="0" xfId="0">
      <alignment horizontal="right" vertical="center"/>
    </xf>
    <xf numFmtId="0" fontId="30" fillId="6" borderId="21" applyAlignment="1" pivotButton="0" quotePrefix="0" xfId="0">
      <alignment vertical="top" wrapText="1"/>
    </xf>
    <xf numFmtId="0" fontId="54" fillId="0" borderId="0" pivotButton="0" quotePrefix="0" xfId="0"/>
    <xf numFmtId="178" fontId="32" fillId="0" borderId="0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68" fillId="6" borderId="0" applyAlignment="1" pivotButton="0" quotePrefix="0" xfId="0">
      <alignment horizontal="left" vertical="center"/>
    </xf>
    <xf numFmtId="0" fontId="28" fillId="23" borderId="84" applyAlignment="1" pivotButton="0" quotePrefix="0" xfId="0">
      <alignment horizontal="center" vertical="center"/>
    </xf>
    <xf numFmtId="0" fontId="0" fillId="23" borderId="84" applyAlignment="1" pivotButton="0" quotePrefix="0" xfId="0">
      <alignment horizontal="center" vertical="center"/>
    </xf>
    <xf numFmtId="0" fontId="69" fillId="2" borderId="90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88" pivotButton="0" quotePrefix="0" xfId="0"/>
    <xf numFmtId="0" fontId="54" fillId="3" borderId="89" applyAlignment="1" pivotButton="0" quotePrefix="0" xfId="0">
      <alignment vertical="center"/>
    </xf>
    <xf numFmtId="0" fontId="54" fillId="22" borderId="89" applyAlignment="1" pivotButton="0" quotePrefix="0" xfId="0">
      <alignment vertical="center"/>
    </xf>
    <xf numFmtId="0" fontId="55" fillId="3" borderId="89" applyAlignment="1" pivotButton="0" quotePrefix="0" xfId="0">
      <alignment vertical="center"/>
    </xf>
    <xf numFmtId="0" fontId="0" fillId="0" borderId="91" pivotButton="0" quotePrefix="0" xfId="0"/>
    <xf numFmtId="0" fontId="0" fillId="0" borderId="93" pivotButton="0" quotePrefix="0" xfId="0"/>
    <xf numFmtId="0" fontId="0" fillId="0" borderId="95" pivotButton="0" quotePrefix="0" xfId="0"/>
    <xf numFmtId="0" fontId="0" fillId="0" borderId="96" pivotButton="0" quotePrefix="0" xfId="0"/>
    <xf numFmtId="0" fontId="0" fillId="0" borderId="97" pivotButton="0" quotePrefix="0" xfId="0"/>
    <xf numFmtId="171" fontId="62" fillId="15" borderId="98" applyAlignment="1" pivotButton="0" quotePrefix="0" xfId="0">
      <alignment horizontal="center" vertical="center"/>
    </xf>
    <xf numFmtId="0" fontId="0" fillId="0" borderId="100" pivotButton="0" quotePrefix="0" xfId="0"/>
    <xf numFmtId="0" fontId="0" fillId="0" borderId="102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180" fontId="67" fillId="25" borderId="98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71" fillId="2" borderId="0" applyAlignment="1" pivotButton="0" quotePrefix="0" xfId="0">
      <alignment horizontal="left" vertical="center"/>
    </xf>
    <xf numFmtId="0" fontId="73" fillId="0" borderId="0" pivotButton="0" quotePrefix="0" xfId="1"/>
    <xf numFmtId="0" fontId="20" fillId="0" borderId="0" applyAlignment="1" pivotButton="0" quotePrefix="0" xfId="0">
      <alignment horizontal="left" vertical="center"/>
    </xf>
    <xf numFmtId="0" fontId="21" fillId="8" borderId="98" applyAlignment="1" pivotButton="0" quotePrefix="0" xfId="0">
      <alignment horizontal="center" vertical="center"/>
    </xf>
    <xf numFmtId="0" fontId="0" fillId="8" borderId="98" pivotButton="0" quotePrefix="0" xfId="0"/>
    <xf numFmtId="0" fontId="21" fillId="5" borderId="98" applyAlignment="1" pivotButton="0" quotePrefix="0" xfId="0">
      <alignment horizontal="center" vertical="center"/>
    </xf>
    <xf numFmtId="0" fontId="0" fillId="5" borderId="98" pivotButton="0" quotePrefix="0" xfId="0"/>
    <xf numFmtId="0" fontId="21" fillId="7" borderId="98" applyAlignment="1" pivotButton="0" quotePrefix="0" xfId="0">
      <alignment horizontal="center" vertical="center"/>
    </xf>
    <xf numFmtId="0" fontId="0" fillId="7" borderId="98" pivotButton="0" quotePrefix="0" xfId="0"/>
    <xf numFmtId="0" fontId="21" fillId="2" borderId="98" applyAlignment="1" pivotButton="0" quotePrefix="0" xfId="0">
      <alignment horizontal="center" vertical="center"/>
    </xf>
    <xf numFmtId="0" fontId="0" fillId="2" borderId="98" pivotButton="0" quotePrefix="0" xfId="0"/>
    <xf numFmtId="181" fontId="66" fillId="22" borderId="98" applyAlignment="1" pivotButton="0" quotePrefix="0" xfId="0">
      <alignment horizontal="center" vertical="center"/>
    </xf>
    <xf numFmtId="0" fontId="0" fillId="22" borderId="98" pivotButton="0" quotePrefix="0" xfId="0"/>
    <xf numFmtId="181" fontId="66" fillId="15" borderId="98" applyAlignment="1" pivotButton="0" quotePrefix="0" xfId="0">
      <alignment horizontal="center" vertical="center"/>
    </xf>
    <xf numFmtId="0" fontId="0" fillId="15" borderId="98" pivotButton="0" quotePrefix="0" xfId="0"/>
    <xf numFmtId="181" fontId="66" fillId="21" borderId="98" applyAlignment="1" pivotButton="0" quotePrefix="0" xfId="0">
      <alignment horizontal="center" vertical="center"/>
    </xf>
    <xf numFmtId="0" fontId="0" fillId="21" borderId="98" pivotButton="0" quotePrefix="0" xfId="0"/>
    <xf numFmtId="171" fontId="66" fillId="24" borderId="98" applyAlignment="1" pivotButton="0" quotePrefix="0" xfId="0">
      <alignment horizontal="center" vertical="center"/>
    </xf>
    <xf numFmtId="0" fontId="0" fillId="24" borderId="98" pivotButton="0" quotePrefix="0" xfId="0"/>
    <xf numFmtId="0" fontId="53" fillId="6" borderId="99" applyAlignment="1" pivotButton="0" quotePrefix="0" xfId="0">
      <alignment vertical="center"/>
    </xf>
    <xf numFmtId="181" fontId="53" fillId="6" borderId="99" applyAlignment="1" pivotButton="0" quotePrefix="0" xfId="0">
      <alignment vertical="center"/>
    </xf>
    <xf numFmtId="0" fontId="53" fillId="6" borderId="99" applyAlignment="1" pivotButton="0" quotePrefix="0" xfId="0">
      <alignment vertical="center" wrapText="1"/>
    </xf>
    <xf numFmtId="181" fontId="72" fillId="6" borderId="99" applyAlignment="1" pivotButton="0" quotePrefix="0" xfId="0">
      <alignment horizontal="right" vertical="center"/>
    </xf>
    <xf numFmtId="171" fontId="72" fillId="6" borderId="99" applyAlignment="1" pivotButton="0" quotePrefix="0" xfId="0">
      <alignment horizontal="right" vertical="center"/>
    </xf>
    <xf numFmtId="0" fontId="53" fillId="24" borderId="99" applyAlignment="1" pivotButton="0" quotePrefix="0" xfId="0">
      <alignment vertical="center"/>
    </xf>
    <xf numFmtId="181" fontId="53" fillId="24" borderId="99" applyAlignment="1" pivotButton="0" quotePrefix="0" xfId="0">
      <alignment vertical="center"/>
    </xf>
    <xf numFmtId="0" fontId="53" fillId="24" borderId="99" applyAlignment="1" pivotButton="0" quotePrefix="0" xfId="0">
      <alignment vertical="center" wrapText="1"/>
    </xf>
    <xf numFmtId="181" fontId="72" fillId="24" borderId="99" applyAlignment="1" pivotButton="0" quotePrefix="0" xfId="0">
      <alignment horizontal="right" vertical="center"/>
    </xf>
    <xf numFmtId="171" fontId="72" fillId="24" borderId="99" applyAlignment="1" pivotButton="0" quotePrefix="0" xfId="0">
      <alignment horizontal="right" vertical="center"/>
    </xf>
    <xf numFmtId="0" fontId="70" fillId="6" borderId="0" applyAlignment="1" pivotButton="0" quotePrefix="0" xfId="0">
      <alignment horizontal="left" vertical="center"/>
    </xf>
    <xf numFmtId="0" fontId="70" fillId="3" borderId="0" applyAlignment="1" pivotButton="0" quotePrefix="0" xfId="0">
      <alignment horizontal="left" vertical="center"/>
    </xf>
    <xf numFmtId="180" fontId="67" fillId="25" borderId="98" applyAlignment="1" pivotButton="0" quotePrefix="0" xfId="0">
      <alignment horizontal="center" vertical="center"/>
    </xf>
    <xf numFmtId="181" fontId="66" fillId="22" borderId="98" applyAlignment="1" pivotButton="0" quotePrefix="0" xfId="0">
      <alignment horizontal="center" vertical="center"/>
    </xf>
    <xf numFmtId="181" fontId="66" fillId="15" borderId="98" applyAlignment="1" pivotButton="0" quotePrefix="0" xfId="0">
      <alignment horizontal="center" vertical="center"/>
    </xf>
    <xf numFmtId="181" fontId="66" fillId="21" borderId="98" applyAlignment="1" pivotButton="0" quotePrefix="0" xfId="0">
      <alignment horizontal="center" vertical="center"/>
    </xf>
    <xf numFmtId="181" fontId="53" fillId="6" borderId="99" applyAlignment="1" pivotButton="0" quotePrefix="0" xfId="0">
      <alignment vertical="center"/>
    </xf>
    <xf numFmtId="181" fontId="72" fillId="6" borderId="99" applyAlignment="1" pivotButton="0" quotePrefix="0" xfId="0">
      <alignment horizontal="right" vertical="center"/>
    </xf>
    <xf numFmtId="181" fontId="53" fillId="24" borderId="99" applyAlignment="1" pivotButton="0" quotePrefix="0" xfId="0">
      <alignment vertical="center"/>
    </xf>
    <xf numFmtId="181" fontId="72" fillId="24" borderId="99" applyAlignment="1" pivotButton="0" quotePrefix="0" xfId="0">
      <alignment horizontal="right" vertical="center"/>
    </xf>
    <xf numFmtId="182" fontId="67" fillId="25" borderId="98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center"/>
    </xf>
    <xf numFmtId="0" fontId="35" fillId="26" borderId="98" applyAlignment="1" pivotButton="0" quotePrefix="0" xfId="0">
      <alignment horizontal="center" vertical="center"/>
    </xf>
    <xf numFmtId="173" fontId="74" fillId="27" borderId="98" applyAlignment="1" pivotButton="0" quotePrefix="0" xfId="0">
      <alignment horizontal="center" vertical="center"/>
    </xf>
    <xf numFmtId="0" fontId="74" fillId="27" borderId="98" applyAlignment="1" pivotButton="0" quotePrefix="0" xfId="0">
      <alignment horizontal="center" vertical="center"/>
    </xf>
    <xf numFmtId="170" fontId="48" fillId="6" borderId="68" applyAlignment="1" pivotButton="0" quotePrefix="0" xfId="0">
      <alignment horizontal="center" vertical="center" wrapText="1"/>
    </xf>
    <xf numFmtId="173" fontId="48" fillId="6" borderId="68" applyAlignment="1" pivotButton="0" quotePrefix="0" xfId="0">
      <alignment horizontal="center" vertical="center" wrapText="1"/>
    </xf>
    <xf numFmtId="174" fontId="48" fillId="6" borderId="68" applyAlignment="1" pivotButton="0" quotePrefix="0" xfId="0">
      <alignment horizontal="center" vertical="center" wrapText="1"/>
    </xf>
    <xf numFmtId="0" fontId="23" fillId="6" borderId="68" applyAlignment="1" pivotButton="0" quotePrefix="0" xfId="0">
      <alignment horizontal="left" vertical="top" wrapText="1"/>
    </xf>
    <xf numFmtId="0" fontId="0" fillId="0" borderId="110" pivotButton="0" quotePrefix="0" xfId="0"/>
    <xf numFmtId="0" fontId="47" fillId="6" borderId="111" applyAlignment="1" pivotButton="0" quotePrefix="0" xfId="0">
      <alignment vertical="center"/>
    </xf>
    <xf numFmtId="175" fontId="47" fillId="6" borderId="111" applyAlignment="1" pivotButton="0" quotePrefix="0" xfId="0">
      <alignment horizontal="center" vertical="center"/>
    </xf>
    <xf numFmtId="2" fontId="49" fillId="6" borderId="111" applyAlignment="1" pivotButton="0" quotePrefix="0" xfId="0">
      <alignment horizontal="center" vertical="center"/>
    </xf>
    <xf numFmtId="0" fontId="46" fillId="6" borderId="69" applyAlignment="1" pivotButton="0" quotePrefix="0" xfId="0">
      <alignment vertical="top" wrapText="1"/>
    </xf>
    <xf numFmtId="170" fontId="48" fillId="6" borderId="112" applyAlignment="1" pivotButton="0" quotePrefix="0" xfId="0">
      <alignment horizontal="center" vertical="center" wrapText="1"/>
    </xf>
    <xf numFmtId="173" fontId="48" fillId="6" borderId="112" applyAlignment="1" pivotButton="0" quotePrefix="0" xfId="0">
      <alignment horizontal="center" vertical="center" wrapText="1"/>
    </xf>
    <xf numFmtId="174" fontId="48" fillId="6" borderId="112" applyAlignment="1" pivotButton="0" quotePrefix="0" xfId="0">
      <alignment horizontal="center" vertical="center" wrapText="1"/>
    </xf>
    <xf numFmtId="0" fontId="23" fillId="6" borderId="112" applyAlignment="1" pivotButton="0" quotePrefix="0" xfId="0">
      <alignment horizontal="left" vertical="top" wrapText="1"/>
    </xf>
    <xf numFmtId="0" fontId="61" fillId="28" borderId="113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0" fillId="0" borderId="109" pivotButton="0" quotePrefix="0" xfId="0"/>
    <xf numFmtId="0" fontId="60" fillId="6" borderId="0" applyAlignment="1" pivotButton="0" quotePrefix="0" xfId="0">
      <alignment horizontal="left" vertical="center"/>
    </xf>
    <xf numFmtId="0" fontId="75" fillId="2" borderId="121" applyAlignment="1" pivotButton="0" quotePrefix="0" xfId="0">
      <alignment horizontal="center" vertical="center" wrapText="1"/>
    </xf>
    <xf numFmtId="0" fontId="0" fillId="2" borderId="121" pivotButton="0" quotePrefix="0" xfId="0"/>
    <xf numFmtId="0" fontId="76" fillId="7" borderId="98" applyAlignment="1" pivotButton="0" quotePrefix="0" xfId="0">
      <alignment horizontal="center" vertical="center"/>
    </xf>
    <xf numFmtId="0" fontId="0" fillId="0" borderId="114" pivotButton="0" quotePrefix="0" xfId="0"/>
    <xf numFmtId="0" fontId="0" fillId="0" borderId="116" pivotButton="0" quotePrefix="0" xfId="0"/>
    <xf numFmtId="0" fontId="0" fillId="0" borderId="118" pivotButton="0" quotePrefix="0" xfId="0"/>
    <xf numFmtId="0" fontId="0" fillId="0" borderId="119" pivotButton="0" quotePrefix="0" xfId="0"/>
    <xf numFmtId="0" fontId="0" fillId="0" borderId="120" pivotButton="0" quotePrefix="0" xfId="0"/>
    <xf numFmtId="0" fontId="0" fillId="0" borderId="122" pivotButton="0" quotePrefix="0" xfId="0"/>
    <xf numFmtId="0" fontId="0" fillId="0" borderId="124" pivotButton="0" quotePrefix="0" xfId="0"/>
    <xf numFmtId="0" fontId="0" fillId="0" borderId="123" pivotButton="0" quotePrefix="0" xfId="0"/>
    <xf numFmtId="0" fontId="0" fillId="0" borderId="125" pivotButton="0" quotePrefix="0" xfId="0"/>
    <xf numFmtId="0" fontId="0" fillId="0" borderId="126" pivotButton="0" quotePrefix="0" xfId="0"/>
    <xf numFmtId="0" fontId="0" fillId="0" borderId="127" pivotButton="0" quotePrefix="0" xfId="0"/>
    <xf numFmtId="0" fontId="0" fillId="0" borderId="128" pivotButton="0" quotePrefix="0" xfId="0"/>
    <xf numFmtId="0" fontId="61" fillId="2" borderId="21" applyAlignment="1" pivotButton="0" quotePrefix="0" xfId="0">
      <alignment horizontal="center" vertical="center"/>
    </xf>
    <xf numFmtId="0" fontId="77" fillId="29" borderId="21" applyAlignment="1" pivotButton="0" quotePrefix="0" xfId="0">
      <alignment horizontal="center" vertical="center"/>
    </xf>
    <xf numFmtId="183" fontId="16" fillId="10" borderId="2" applyAlignment="1" pivotButton="0" quotePrefix="0" xfId="0">
      <alignment vertical="top" wrapText="1"/>
    </xf>
    <xf numFmtId="183" fontId="16" fillId="0" borderId="2" applyAlignment="1" pivotButton="0" quotePrefix="0" xfId="0">
      <alignment vertical="top" wrapText="1"/>
    </xf>
    <xf numFmtId="0" fontId="78" fillId="2" borderId="0" applyAlignment="1" pivotButton="0" quotePrefix="0" xfId="0">
      <alignment horizontal="center" vertical="center" wrapText="1"/>
    </xf>
    <xf numFmtId="173" fontId="6" fillId="10" borderId="74" applyAlignment="1" pivotButton="0" quotePrefix="0" xfId="0">
      <alignment vertical="center"/>
    </xf>
    <xf numFmtId="0" fontId="6" fillId="10" borderId="74" applyAlignment="1" pivotButton="0" quotePrefix="0" xfId="0">
      <alignment vertical="center"/>
    </xf>
    <xf numFmtId="0" fontId="6" fillId="10" borderId="74" applyAlignment="1" pivotButton="0" quotePrefix="0" xfId="0">
      <alignment vertical="center" wrapText="1"/>
    </xf>
    <xf numFmtId="179" fontId="6" fillId="10" borderId="74" applyAlignment="1" pivotButton="0" quotePrefix="0" xfId="0">
      <alignment vertical="center"/>
    </xf>
    <xf numFmtId="179" fontId="79" fillId="10" borderId="74" applyAlignment="1" pivotButton="0" quotePrefix="0" xfId="0">
      <alignment vertical="center"/>
    </xf>
    <xf numFmtId="173" fontId="6" fillId="0" borderId="74" applyAlignment="1" pivotButton="0" quotePrefix="0" xfId="0">
      <alignment vertical="center"/>
    </xf>
    <xf numFmtId="0" fontId="6" fillId="0" borderId="74" applyAlignment="1" pivotButton="0" quotePrefix="0" xfId="0">
      <alignment vertical="center"/>
    </xf>
    <xf numFmtId="0" fontId="6" fillId="0" borderId="74" applyAlignment="1" pivotButton="0" quotePrefix="0" xfId="0">
      <alignment vertical="center" wrapText="1"/>
    </xf>
    <xf numFmtId="179" fontId="6" fillId="0" borderId="74" applyAlignment="1" pivotButton="0" quotePrefix="0" xfId="0">
      <alignment vertical="center"/>
    </xf>
    <xf numFmtId="179" fontId="79" fillId="0" borderId="74" applyAlignment="1" pivotButton="0" quotePrefix="0" xfId="0">
      <alignment vertical="center"/>
    </xf>
    <xf numFmtId="0" fontId="25" fillId="7" borderId="0" applyAlignment="1" pivotButton="0" quotePrefix="0" xfId="0">
      <alignment horizontal="center"/>
    </xf>
    <xf numFmtId="0" fontId="80" fillId="30" borderId="0" applyAlignment="1" pivotButton="0" quotePrefix="0" xfId="0">
      <alignment horizontal="center"/>
    </xf>
    <xf numFmtId="0" fontId="81" fillId="2" borderId="0" applyAlignment="1" pivotButton="0" quotePrefix="0" xfId="0">
      <alignment vertical="center"/>
    </xf>
    <xf numFmtId="0" fontId="80" fillId="0" borderId="0" applyAlignment="1" pivotButton="0" quotePrefix="0" xfId="0">
      <alignment horizontal="right"/>
    </xf>
    <xf numFmtId="0" fontId="25" fillId="31" borderId="0" pivotButton="0" quotePrefix="0" xfId="0"/>
    <xf numFmtId="0" fontId="25" fillId="7" borderId="0" pivotButton="0" quotePrefix="0" xfId="0"/>
    <xf numFmtId="0" fontId="82" fillId="0" borderId="0" applyAlignment="1" pivotButton="0" quotePrefix="0" xfId="0">
      <alignment wrapText="1"/>
    </xf>
    <xf numFmtId="179" fontId="83" fillId="32" borderId="0" applyAlignment="1" pivotButton="0" quotePrefix="0" xfId="0">
      <alignment horizontal="right"/>
    </xf>
    <xf numFmtId="0" fontId="82" fillId="0" borderId="0" pivotButton="0" quotePrefix="0" xfId="0"/>
    <xf numFmtId="179" fontId="85" fillId="15" borderId="0" pivotButton="0" quotePrefix="0" xfId="0"/>
    <xf numFmtId="167" fontId="84" fillId="27" borderId="0" applyAlignment="1" pivotButton="0" quotePrefix="0" xfId="0">
      <alignment horizontal="right"/>
    </xf>
    <xf numFmtId="0" fontId="25" fillId="33" borderId="0" pivotButton="0" quotePrefix="0" xfId="0"/>
    <xf numFmtId="0" fontId="86" fillId="2" borderId="0" applyAlignment="1" pivotButton="0" quotePrefix="0" xfId="0">
      <alignment horizontal="center" vertical="center" wrapText="1"/>
    </xf>
    <xf numFmtId="0" fontId="86" fillId="7" borderId="0" applyAlignment="1" pivotButton="0" quotePrefix="0" xfId="0">
      <alignment horizontal="center" vertical="center" wrapText="1"/>
    </xf>
    <xf numFmtId="0" fontId="86" fillId="33" borderId="0" applyAlignment="1" pivotButton="0" quotePrefix="0" xfId="0">
      <alignment horizontal="center" vertical="center" wrapText="1"/>
    </xf>
    <xf numFmtId="173" fontId="87" fillId="0" borderId="74" applyAlignment="1" pivotButton="0" quotePrefix="0" xfId="0">
      <alignment vertical="center"/>
    </xf>
    <xf numFmtId="0" fontId="87" fillId="0" borderId="74" applyAlignment="1" pivotButton="0" quotePrefix="0" xfId="0">
      <alignment vertical="center"/>
    </xf>
    <xf numFmtId="0" fontId="87" fillId="0" borderId="74" applyAlignment="1" pivotButton="0" quotePrefix="0" xfId="0">
      <alignment vertical="center" wrapText="1"/>
    </xf>
    <xf numFmtId="179" fontId="87" fillId="0" borderId="74" applyAlignment="1" pivotButton="0" quotePrefix="0" xfId="0">
      <alignment vertical="center"/>
    </xf>
    <xf numFmtId="179" fontId="13" fillId="0" borderId="74" applyAlignment="1" pivotButton="0" quotePrefix="0" xfId="0">
      <alignment vertical="center"/>
    </xf>
    <xf numFmtId="179" fontId="16" fillId="34" borderId="74" applyAlignment="1" pivotButton="0" quotePrefix="0" xfId="0">
      <alignment vertical="center"/>
    </xf>
    <xf numFmtId="0" fontId="16" fillId="34" borderId="74" applyAlignment="1" pivotButton="0" quotePrefix="0" xfId="0">
      <alignment vertical="center" wrapText="1"/>
    </xf>
    <xf numFmtId="0" fontId="88" fillId="0" borderId="0" pivotButton="0" quotePrefix="0" xfId="0"/>
    <xf numFmtId="0" fontId="15" fillId="0" borderId="0" applyAlignment="1" pivotButton="0" quotePrefix="0" xfId="0">
      <alignment vertical="top" wrapText="1"/>
    </xf>
    <xf numFmtId="0" fontId="89" fillId="0" borderId="0" pivotButton="0" quotePrefix="0" xfId="0"/>
    <xf numFmtId="179" fontId="16" fillId="34" borderId="74" applyAlignment="1" pivotButton="0" quotePrefix="0" xfId="0">
      <alignment vertical="center" wrapText="1"/>
    </xf>
    <xf numFmtId="173" fontId="16" fillId="34" borderId="74" applyAlignment="1" pivotButton="0" quotePrefix="0" xfId="0">
      <alignment vertical="center"/>
    </xf>
    <xf numFmtId="179" fontId="16" fillId="34" borderId="74" applyAlignment="1" pivotButton="0" quotePrefix="0" xfId="0">
      <alignment vertical="center"/>
    </xf>
    <xf numFmtId="179" fontId="13" fillId="34" borderId="74" applyAlignment="1" pivotButton="0" quotePrefix="0" xfId="0">
      <alignment vertical="center"/>
    </xf>
    <xf numFmtId="173" fontId="6" fillId="10" borderId="74" applyAlignment="1" applyProtection="1" pivotButton="0" quotePrefix="0" xfId="0">
      <alignment vertical="center"/>
      <protection locked="0" hidden="0"/>
    </xf>
    <xf numFmtId="0" fontId="6" fillId="10" borderId="74" applyAlignment="1" applyProtection="1" pivotButton="0" quotePrefix="0" xfId="0">
      <alignment vertical="center"/>
      <protection locked="0" hidden="0"/>
    </xf>
    <xf numFmtId="0" fontId="6" fillId="10" borderId="74" applyAlignment="1" applyProtection="1" pivotButton="0" quotePrefix="0" xfId="0">
      <alignment vertical="center" wrapText="1"/>
      <protection locked="0" hidden="0"/>
    </xf>
    <xf numFmtId="179" fontId="6" fillId="10" borderId="74" applyAlignment="1" applyProtection="1" pivotButton="0" quotePrefix="0" xfId="0">
      <alignment vertical="center"/>
      <protection locked="0" hidden="0"/>
    </xf>
    <xf numFmtId="173" fontId="6" fillId="0" borderId="74" applyAlignment="1" applyProtection="1" pivotButton="0" quotePrefix="0" xfId="0">
      <alignment vertical="center"/>
      <protection locked="0" hidden="0"/>
    </xf>
    <xf numFmtId="0" fontId="6" fillId="0" borderId="74" applyAlignment="1" applyProtection="1" pivotButton="0" quotePrefix="0" xfId="0">
      <alignment vertical="center"/>
      <protection locked="0" hidden="0"/>
    </xf>
    <xf numFmtId="0" fontId="6" fillId="0" borderId="74" applyAlignment="1" applyProtection="1" pivotButton="0" quotePrefix="0" xfId="0">
      <alignment vertical="center" wrapText="1"/>
      <protection locked="0" hidden="0"/>
    </xf>
    <xf numFmtId="179" fontId="6" fillId="0" borderId="74" applyAlignment="1" applyProtection="1" pivotButton="0" quotePrefix="0" xfId="0">
      <alignment vertical="center"/>
      <protection locked="0" hidden="0"/>
    </xf>
    <xf numFmtId="0" fontId="38" fillId="2" borderId="129" applyAlignment="1" pivotButton="0" quotePrefix="0" xfId="0">
      <alignment horizontal="center" vertical="center"/>
    </xf>
    <xf numFmtId="0" fontId="0" fillId="0" borderId="129" pivotButton="0" quotePrefix="0" xfId="0"/>
    <xf numFmtId="0" fontId="38" fillId="7" borderId="129" applyAlignment="1" pivotButton="0" quotePrefix="0" xfId="0">
      <alignment horizontal="center" vertical="center"/>
    </xf>
    <xf numFmtId="0" fontId="35" fillId="35" borderId="129" applyAlignment="1" pivotButton="0" quotePrefix="0" xfId="0">
      <alignment horizontal="left" vertical="center"/>
    </xf>
    <xf numFmtId="0" fontId="91" fillId="0" borderId="21" applyAlignment="1" pivotButton="0" quotePrefix="0" xfId="0">
      <alignment horizontal="right" vertical="center"/>
    </xf>
    <xf numFmtId="173" fontId="74" fillId="27" borderId="129" applyAlignment="1" pivotButton="0" quotePrefix="0" xfId="0">
      <alignment horizontal="center" vertical="center"/>
    </xf>
    <xf numFmtId="0" fontId="58" fillId="9" borderId="129" applyAlignment="1" pivotButton="0" quotePrefix="0" xfId="0">
      <alignment horizontal="center" vertical="center"/>
    </xf>
    <xf numFmtId="0" fontId="74" fillId="27" borderId="129" applyAlignment="1" pivotButton="0" quotePrefix="0" xfId="0">
      <alignment horizontal="center" vertical="center"/>
    </xf>
    <xf numFmtId="0" fontId="90" fillId="0" borderId="21" applyAlignment="1" pivotButton="0" quotePrefix="0" xfId="0">
      <alignment vertical="center"/>
    </xf>
    <xf numFmtId="0" fontId="92" fillId="3" borderId="130" applyAlignment="1" pivotButton="0" quotePrefix="0" xfId="0">
      <alignment horizontal="center" vertical="center" wrapText="1"/>
    </xf>
    <xf numFmtId="0" fontId="0" fillId="0" borderId="130" pivotButton="0" quotePrefix="0" xfId="0"/>
    <xf numFmtId="0" fontId="0" fillId="0" borderId="131" pivotButton="0" quotePrefix="0" xfId="0"/>
    <xf numFmtId="0" fontId="0" fillId="0" borderId="132" pivotButton="0" quotePrefix="0" xfId="0"/>
    <xf numFmtId="0" fontId="0" fillId="0" borderId="138" pivotButton="0" quotePrefix="0" xfId="0"/>
    <xf numFmtId="0" fontId="0" fillId="0" borderId="135" pivotButton="0" quotePrefix="0" xfId="0"/>
    <xf numFmtId="0" fontId="0" fillId="0" borderId="139" pivotButton="0" quotePrefix="0" xfId="0"/>
    <xf numFmtId="0" fontId="0" fillId="0" borderId="133" pivotButton="0" quotePrefix="0" xfId="0"/>
    <xf numFmtId="0" fontId="0" fillId="0" borderId="134" pivotButton="0" quotePrefix="0" xfId="0"/>
    <xf numFmtId="0" fontId="92" fillId="3" borderId="14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11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EF4FA"/>
        </patternFill>
      </fill>
    </dxf>
    <dxf>
      <border>
        <top style="medium">
          <color rgb="0017365D"/>
        </top>
      </border>
    </dxf>
    <dxf>
      <font>
        <color rgb="006B7280"/>
      </font>
      <fill>
        <patternFill patternType="solid">
          <fgColor rgb="00ECEFF3"/>
        </patternFill>
      </fill>
    </dxf>
    <dxf>
      <font>
        <b val="1"/>
        <color rgb="009C1C28"/>
      </font>
      <fill>
        <patternFill patternType="solid">
          <fgColor rgb="00F8D7DA"/>
        </patternFill>
      </fill>
    </dxf>
    <dxf>
      <font>
        <name val="Aptos"/>
        <color rgb="009C1C1C"/>
        <sz val="9.5"/>
      </font>
      <fill>
        <patternFill patternType="solid">
          <fgColor rgb="00FCE8E6"/>
        </patternFill>
      </fill>
    </dxf>
    <dxf>
      <fill>
        <patternFill patternType="solid">
          <fgColor rgb="00E7E9ED"/>
        </patternFill>
      </fill>
    </dxf>
    <dxf>
      <fill>
        <patternFill patternType="solid">
          <fgColor rgb="00F6F9FC"/>
        </patternFill>
      </fill>
    </dxf>
    <dxf>
      <fill>
        <patternFill patternType="solid">
          <fgColor rgb="00FCE8E6"/>
        </patternFill>
      </fill>
    </dxf>
    <dxf>
      <font>
        <b val="1"/>
        <color rgb="00C00000"/>
      </font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Auftragssumme vs. aktueller Projektfortschritt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'Projektübersicht'!O25</f>
            </strRef>
          </tx>
          <spPr>
            <a:ln>
              <a:prstDash val="solid"/>
            </a:ln>
          </spPr>
          <cat>
            <numRef>
              <f>'Projektübersicht'!$N$26</f>
            </numRef>
          </cat>
          <val>
            <numRef>
              <f>'Projektübersicht'!$O$26</f>
            </numRef>
          </val>
        </ser>
        <ser>
          <idx val="1"/>
          <order val="1"/>
          <tx>
            <strRef>
              <f>'Projektübersicht'!P25</f>
            </strRef>
          </tx>
          <spPr>
            <a:ln>
              <a:prstDash val="solid"/>
            </a:ln>
          </spPr>
          <cat>
            <numRef>
              <f>'Projektübersicht'!$N$26</f>
            </numRef>
          </cat>
          <val>
            <numRef>
              <f>'Projektübersicht'!$P$26</f>
            </numRef>
          </val>
        </ser>
        <ser>
          <idx val="2"/>
          <order val="2"/>
          <tx>
            <strRef>
              <f>'Projektübersicht'!Q25</f>
            </strRef>
          </tx>
          <spPr>
            <a:ln>
              <a:prstDash val="solid"/>
            </a:ln>
          </spPr>
          <cat>
            <numRef>
              <f>'Projektübersicht'!$N$26</f>
            </numRef>
          </cat>
          <val>
            <numRef>
              <f>'Projektübersicht'!$Q$26</f>
            </numRef>
          </val>
        </ser>
        <dLbls>
          <showLegendKey val="0"/>
          <showVal val="1"/>
          <showCatName val="0"/>
          <showSerName val="0"/>
        </dLbls>
        <gapWidth val="55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Netto-Auftragswert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F11" authorId="0" shapeId="0">
      <text>
        <t>Manuelle Eingabe: Baubeginn. Dieser Wert steuert die Bauzeit und die automatische Tagesstruktur der Zeiterfassung.</t>
      </text>
    </comment>
    <comment ref="F13" authorId="0" shapeId="0">
      <text>
        <t>Manuelle Eingabe: Bauende. Dieser Wert steuert die Bauzeit und die automatische Tagesstruktur der Zeiterfassung.</t>
      </text>
    </comment>
    <comment ref="B21" authorId="0" shapeId="0">
      <text>
        <t>Hier das kalkulierte Stundenbudget eintragen.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4" authorId="0" shapeId="0">
      <text>
        <t>Automatisch aus Projektübersicht!F11 (Baubeginn) und Projektübersicht!F13 (Bauende).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G4" authorId="0" shapeId="0">
      <text>
        <t>Automatisch aus Projektübersicht!F11 (Baubeginn) und Projektübersicht!F13 (Bauende).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B7" authorId="0" shapeId="0">
      <text>
        <t>Baustrom ist kein pauschaler VOB/B-Abzug. Vertraglichen Satz aus Vertragsunterlagen/AG-Prüfblatt eintragen. § 16 Abs. 1 Nr. 2 VOB/B: andere Einbehalte nur bei vertraglicher oder gesetzlicher Grundlage. Quelle: https://dejure.org/gesetze/VOB-B/16.html</t>
      </text>
    </comment>
    <comment ref="E7" authorId="0" shapeId="0">
      <text>
        <t>VOB/B § 17 Abs. 6: bei vereinbartem Sicherheitseinbehalt darf die einzelne Zahlung um höchstens 10 % gekürzt werden, bis die vereinbarte Sicherheitssumme erreicht ist. Quelle: https://dejure.org/gesetze/VOB-B/17.html</t>
      </text>
    </comment>
    <comment ref="B8" authorId="0" shapeId="0">
      <text>
        <t>Versicherung ist kein pauschaler VOB/B-Abzug. Vertraglichen Satz aus Vertragsunterlagen/AG-Prüfblatt eintragen. Quelle: https://dejure.org/gesetze/VOB-B/16.html</t>
      </text>
    </comment>
    <comment ref="E8" authorId="0" shapeId="0">
      <text>
        <t>Optionales vertragliches Sicherungsziel. Ist hier 0/leer, wird der vom Nutzer vorgegebene 10%-Einbehalt je Abschlagsrechnung ohne automatische Zielkappung gerechnet. Das vertraglich zulässige Sicherungsziel ist separat zu prüfen. VOB/B § 17: https://dejure.org/gesetze/VOB-B/17.html</t>
      </text>
    </comment>
    <comment ref="B9" authorId="0" shapeId="0">
      <text>
        <t>Infrastruktur ist kein pauschaler VOB/B-Abzug. Vertraglichen Satz aus Vertragsunterlagen/AG-Prüfblatt eintragen. Quelle: https://dejure.org/gesetze/VOB-B/16.html</t>
      </text>
    </comment>
    <comment ref="E9" authorId="0" shapeId="0">
      <text>
        <t>Optionaler vertraglicher Satz für Mängelanspruchssicherheit. Nur anwenden, wenn vereinbart.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5" authorId="0" shapeId="0">
      <text>
        <t>Je Gewerk nur eine Zeile verwenden, damit die automatisch übernommenen Ist-Stunden nicht doppelt gezählt werden.</t>
      </text>
    </comment>
    <comment ref="B5" authorId="0" shapeId="0">
      <text>
        <t>Mehrere Rechnungspositionen eines Gewerks können zusammengefasst eingetragen werden, z. B. 3.01 / 3.05 / 4.02.</t>
      </text>
    </comment>
    <comment ref="E5" authorId="0" shapeId="0">
      <text>
        <t>Interner Kostenansatz je produktiver Stunde. Kein Verkaufspreis.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C7" authorId="0" shapeId="0">
      <text>
        <t>Eingabe durch Projektverantwortlichen: Leistungswert der Nachunternehmerleistungen.</t>
      </text>
    </comment>
    <comment ref="C8" authorId="0" shapeId="0">
      <text>
        <t>Eingabe durch Projektverantwortlichen: tatsächlich angefallene Nachunternehmerkosten.</t>
      </text>
    </comment>
    <comment ref="C11" authorId="0" shapeId="0">
      <text>
        <t>Eingabe durch Projektverantwortlichen: Leistungswert der eigenen Produktion.</t>
      </text>
    </comment>
    <comment ref="C13" authorId="0" shapeId="0">
      <text>
        <t>Eingabe durch Projektverantwortlichen: interner Produktivkostensatz je Stunde.</t>
      </text>
    </comment>
    <comment ref="C18" authorId="0" shapeId="0">
      <text>
        <t>Eingabe durch Projektverantwortlichen: sonstige direkte Projektkosten.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E1" authorId="0" shapeId="0">
      <text>
        <t>Gesetzliche Feiertage des Landes Berlin. Quelle: https://gesetze.berlin.de/perma?j=FeiertG_BE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6623999" cy="230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ojekt&#252;bersicht'!A1" TargetMode="External" Id="rId1" /><Relationship Type="http://schemas.openxmlformats.org/officeDocument/2006/relationships/hyperlink" Target="#'Nachunternehmer'!A1" TargetMode="External" Id="rId2" /><Relationship Type="http://schemas.openxmlformats.org/officeDocument/2006/relationships/hyperlink" Target="#'Eigenleistung'!A1" TargetMode="External" Id="rId3" /><Relationship Type="http://schemas.openxmlformats.org/officeDocument/2006/relationships/hyperlink" Target="#'KPI-Basis'!B16" TargetMode="External" Id="rId4" /><Relationship Type="http://schemas.openxmlformats.org/officeDocument/2006/relationships/hyperlink" Target="#'Nachunternehmer'!A1" TargetMode="External" Id="rId5" /><Relationship Type="http://schemas.openxmlformats.org/officeDocument/2006/relationships/hyperlink" Target="#'Nachunternehmer'!A1" TargetMode="External" Id="rId6" /><Relationship Type="http://schemas.openxmlformats.org/officeDocument/2006/relationships/hyperlink" Target="#'Rechnungsstand'!M5" TargetMode="External" Id="rId7" /><Relationship Type="http://schemas.openxmlformats.org/officeDocument/2006/relationships/drawing" Target="/xl/drawings/drawing1.xml" Id="rId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#'Projekt&#252;bersicht'!A1" TargetMode="External" Id="rId1" /><Relationship Type="http://schemas.openxmlformats.org/officeDocument/2006/relationships/hyperlink" Target="#'Zeiterfassung Export'!A1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#'Projekt&#252;bersicht'!A1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Projekt&#252;bersicht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rojekt&#252;bersicht'!A1" TargetMode="External" Id="rId1" /><Relationship Type="http://schemas.openxmlformats.org/officeDocument/2006/relationships/hyperlink" Target="#'Rechnungspr&#252;fung'!A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Projekt&#252;bersicht'!A1" TargetMode="Externa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#'Projekt&#252;bersicht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rojekt&#252;bersicht'!A1" TargetMode="Externa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#'Projekt&#252;bersicht'!A1" TargetMode="External" Id="rId1" /><Relationship Type="http://schemas.openxmlformats.org/officeDocument/2006/relationships/hyperlink" Target="#'Nachunternehmer'!A1" TargetMode="External" Id="rId2" /><Relationship Type="http://schemas.openxmlformats.org/officeDocument/2006/relationships/hyperlink" Target="#'Eigenleistung'!A1" TargetMode="External" Id="rId3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#'Projekt&#252;bersicht'!A1" TargetMode="Externa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Q70"/>
  <sheetViews>
    <sheetView showGridLines="0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3" customWidth="1" min="5" max="5"/>
    <col width="16" customWidth="1" min="6" max="6"/>
    <col width="16" customWidth="1" min="7" max="7"/>
    <col width="16" customWidth="1" min="8" max="8"/>
    <col width="3" customWidth="1" min="9" max="9"/>
    <col width="16" customWidth="1" min="10" max="10"/>
    <col width="16" customWidth="1" min="11" max="11"/>
    <col width="16" customWidth="1" min="12" max="12"/>
    <col width="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12" customHeight="1"/>
    <row r="2" ht="26" customHeight="1">
      <c r="B2" s="1" t="inlineStr">
        <is>
          <t>BAUABLAUFMAPPE</t>
        </is>
      </c>
      <c r="J2" s="74" t="inlineStr"/>
      <c r="K2" s="83" t="n"/>
      <c r="L2" s="84" t="n"/>
      <c r="N2" s="263" t="inlineStr">
        <is>
          <t>COCKPIT</t>
        </is>
      </c>
      <c r="O2" s="269" t="n"/>
      <c r="P2" s="269" t="n"/>
      <c r="Q2" s="270" t="n"/>
    </row>
    <row r="3" ht="26" customHeight="1">
      <c r="J3" s="85" t="n"/>
      <c r="L3" s="86" t="n"/>
      <c r="N3" s="271" t="n"/>
      <c r="O3" s="272" t="n"/>
      <c r="P3" s="272" t="n"/>
      <c r="Q3" s="273" t="n"/>
    </row>
    <row r="4" ht="26" customHeight="1">
      <c r="J4" s="87" t="n"/>
      <c r="K4" s="88" t="n"/>
      <c r="L4" s="89" t="n"/>
    </row>
    <row r="5">
      <c r="B5" s="3" t="inlineStr">
        <is>
          <t>Projektsteuerung · Personal · Stunden · Material · Abrechnung</t>
        </is>
      </c>
    </row>
    <row r="7" ht="23" customHeight="1">
      <c r="B7" s="4" t="inlineStr">
        <is>
          <t>PROJEKTSTAMMDATEN</t>
        </is>
      </c>
    </row>
    <row r="8">
      <c r="B8" s="5" t="inlineStr">
        <is>
          <t>BAUVORHABEN</t>
        </is>
      </c>
      <c r="F8" s="5" t="inlineStr">
        <is>
          <t>GEWERKE</t>
        </is>
      </c>
    </row>
    <row r="9">
      <c r="B9" s="60" t="inlineStr"/>
      <c r="C9" s="24" t="n"/>
      <c r="D9" s="24" t="n"/>
      <c r="F9" s="60" t="inlineStr"/>
      <c r="G9" s="24" t="n"/>
      <c r="H9" s="24" t="n"/>
    </row>
    <row r="10">
      <c r="B10" s="5" t="inlineStr">
        <is>
          <t>PROJEKTVERANTWORTLICHER</t>
        </is>
      </c>
      <c r="F10" s="5" t="inlineStr">
        <is>
          <t>BAUBEGINN</t>
        </is>
      </c>
    </row>
    <row r="11">
      <c r="B11" s="60" t="inlineStr"/>
      <c r="C11" s="24" t="n"/>
      <c r="D11" s="24" t="n"/>
      <c r="F11" s="162" t="inlineStr"/>
      <c r="G11" s="24" t="n"/>
      <c r="H11" s="24" t="n"/>
    </row>
    <row r="12">
      <c r="B12" s="5" t="inlineStr">
        <is>
          <t>AUFTRAGGEBER</t>
        </is>
      </c>
      <c r="F12" s="5" t="inlineStr">
        <is>
          <t>BAUENDE</t>
        </is>
      </c>
    </row>
    <row r="13">
      <c r="B13" s="60" t="inlineStr"/>
      <c r="C13" s="24" t="n"/>
      <c r="D13" s="24" t="n"/>
      <c r="F13" s="162" t="inlineStr"/>
      <c r="G13" s="24" t="n"/>
      <c r="H13" s="24" t="n"/>
    </row>
    <row r="15" ht="23" customHeight="1">
      <c r="B15" s="215" t="inlineStr">
        <is>
          <t>PROJEKTCOCKPIT</t>
        </is>
      </c>
      <c r="C15" s="251" t="n"/>
      <c r="D15" s="251" t="n"/>
      <c r="E15" s="251" t="n"/>
      <c r="F15" s="251" t="n"/>
      <c r="G15" s="251" t="n"/>
      <c r="H15" s="251" t="n"/>
      <c r="I15" s="251" t="n"/>
      <c r="J15" s="251" t="n"/>
      <c r="K15" s="251" t="n"/>
      <c r="L15" s="252" t="n"/>
    </row>
    <row r="16">
      <c r="B16" s="230" t="inlineStr">
        <is>
          <t>MARGE NACHUNTERNEHMER</t>
        </is>
      </c>
      <c r="C16" s="251" t="n"/>
      <c r="D16" s="252" t="n"/>
      <c r="E16" s="219" t="n"/>
      <c r="F16" s="220" t="inlineStr">
        <is>
          <t>MARGE EIGENLEISTUNG</t>
        </is>
      </c>
      <c r="G16" s="251" t="n"/>
      <c r="H16" s="252" t="n"/>
      <c r="I16" s="219" t="n"/>
      <c r="J16" s="222" t="inlineStr">
        <is>
          <t>PROJEKTMARGE TOTAL</t>
        </is>
      </c>
      <c r="K16" s="251" t="n"/>
      <c r="L16" s="252" t="n"/>
    </row>
    <row r="17" ht="22" customHeight="1">
      <c r="B17" s="274">
        <f>'KPI-Basis'!$C$9</f>
        <v/>
      </c>
      <c r="C17" s="275" t="n"/>
      <c r="D17" s="276" t="n"/>
      <c r="E17" s="219" t="n"/>
      <c r="F17" s="226">
        <f>'KPI-Basis'!$C$15</f>
        <v/>
      </c>
      <c r="G17" s="253" t="n"/>
      <c r="H17" s="254" t="n"/>
      <c r="I17" s="219" t="n"/>
      <c r="J17" s="228">
        <f>'KPI-Basis'!$C$20</f>
        <v/>
      </c>
      <c r="K17" s="253" t="n"/>
      <c r="L17" s="254" t="n"/>
    </row>
    <row r="18" ht="22" customHeight="1">
      <c r="B18" s="277" t="n"/>
      <c r="C18" s="278" t="n"/>
      <c r="D18" s="279" t="n"/>
      <c r="E18" s="219" t="n"/>
      <c r="F18" s="255" t="n"/>
      <c r="H18" s="256" t="n"/>
      <c r="I18" s="219" t="n"/>
      <c r="J18" s="255" t="n"/>
      <c r="L18" s="256" t="n"/>
    </row>
    <row r="19" ht="22" customHeight="1">
      <c r="B19" s="322">
        <f>'Nachunternehmer'!$E$4</f>
        <v/>
      </c>
      <c r="C19" s="281" t="n"/>
      <c r="D19" s="282" t="n"/>
      <c r="E19" s="219" t="n"/>
      <c r="F19" s="257" t="n"/>
      <c r="G19" s="258" t="n"/>
      <c r="H19" s="259" t="n"/>
      <c r="I19" s="219" t="n"/>
      <c r="J19" s="257" t="n"/>
      <c r="K19" s="258" t="n"/>
      <c r="L19" s="259" t="n"/>
    </row>
    <row r="20">
      <c r="B20" s="219" t="n"/>
      <c r="C20" s="219" t="n"/>
      <c r="D20" s="219" t="n"/>
      <c r="E20" s="219" t="n"/>
      <c r="F20" s="219" t="n"/>
      <c r="G20" s="219" t="n"/>
      <c r="H20" s="219" t="n"/>
      <c r="I20" s="219" t="n"/>
      <c r="J20" s="219" t="n"/>
      <c r="K20" s="219" t="n"/>
      <c r="L20" s="219" t="n"/>
    </row>
    <row r="21">
      <c r="B21" s="230" t="inlineStr">
        <is>
          <t>STUNDEN SOLL</t>
        </is>
      </c>
      <c r="C21" s="251" t="n"/>
      <c r="D21" s="252" t="n"/>
      <c r="E21" s="219" t="n"/>
      <c r="F21" s="231" t="inlineStr">
        <is>
          <t>STUNDEN IST</t>
        </is>
      </c>
      <c r="G21" s="251" t="n"/>
      <c r="H21" s="252" t="n"/>
      <c r="I21" s="219" t="n"/>
      <c r="J21" s="232" t="inlineStr">
        <is>
          <t>RESTBUDGET STUNDEN</t>
        </is>
      </c>
      <c r="K21" s="251" t="n"/>
      <c r="L21" s="252" t="n"/>
    </row>
    <row r="22" ht="21" customHeight="1">
      <c r="B22" s="233" t="n">
        <v>0</v>
      </c>
      <c r="C22" s="253" t="n"/>
      <c r="D22" s="254" t="n"/>
      <c r="E22" s="219" t="n"/>
      <c r="F22" s="235">
        <f>SUM(Zeiterfassung!$H$6:$H$3665)</f>
        <v/>
      </c>
      <c r="G22" s="253" t="n"/>
      <c r="H22" s="254" t="n"/>
      <c r="I22" s="219" t="n"/>
      <c r="J22" s="235">
        <f>IF(B22="","",B22-F22)</f>
        <v/>
      </c>
      <c r="K22" s="253" t="n"/>
      <c r="L22" s="254" t="n"/>
    </row>
    <row r="23" ht="21" customHeight="1">
      <c r="B23" s="255" t="n"/>
      <c r="D23" s="256" t="n"/>
      <c r="E23" s="219" t="n"/>
      <c r="F23" s="255" t="n"/>
      <c r="H23" s="256" t="n"/>
      <c r="I23" s="219" t="n"/>
      <c r="J23" s="255" t="n"/>
      <c r="L23" s="256" t="n"/>
    </row>
    <row r="24" ht="21" customHeight="1">
      <c r="B24" s="257" t="n"/>
      <c r="C24" s="258" t="n"/>
      <c r="D24" s="259" t="n"/>
      <c r="E24" s="219" t="n"/>
      <c r="F24" s="257" t="n"/>
      <c r="G24" s="258" t="n"/>
      <c r="H24" s="259" t="n"/>
      <c r="I24" s="219" t="n"/>
      <c r="J24" s="257" t="n"/>
      <c r="K24" s="258" t="n"/>
      <c r="L24" s="259" t="n"/>
    </row>
    <row r="25">
      <c r="B25" s="219" t="n"/>
      <c r="C25" s="219" t="n"/>
      <c r="D25" s="219" t="n"/>
      <c r="E25" s="219" t="n"/>
      <c r="F25" s="219" t="n"/>
      <c r="G25" s="219" t="n"/>
      <c r="H25" s="219" t="n"/>
      <c r="I25" s="219" t="n"/>
      <c r="J25" s="219" t="n"/>
      <c r="K25" s="219" t="n"/>
      <c r="L25" s="219" t="n"/>
      <c r="N25" t="inlineStr">
        <is>
          <t>Kategorie</t>
        </is>
      </c>
      <c r="O25" t="inlineStr">
        <is>
          <t>Fakturiert</t>
        </is>
      </c>
      <c r="P25" t="inlineStr">
        <is>
          <t>Unfertige Leistungen</t>
        </is>
      </c>
      <c r="Q25" t="inlineStr">
        <is>
          <t>Restleistung</t>
        </is>
      </c>
    </row>
    <row r="26" ht="23" customHeight="1">
      <c r="B26" s="215" t="inlineStr">
        <is>
          <t>PROJEKTFORTSCHRITT / AUFTRAGSVOLUMEN</t>
        </is>
      </c>
      <c r="C26" s="251" t="n"/>
      <c r="D26" s="251" t="n"/>
      <c r="E26" s="251" t="n"/>
      <c r="F26" s="251" t="n"/>
      <c r="G26" s="251" t="n"/>
      <c r="H26" s="251" t="n"/>
      <c r="I26" s="251" t="n"/>
      <c r="J26" s="251" t="n"/>
      <c r="K26" s="251" t="n"/>
      <c r="L26" s="252" t="n"/>
      <c r="N26" t="inlineStr">
        <is>
          <t>Auftragssumme</t>
        </is>
      </c>
      <c r="O26">
        <f>IF($B$28="",0,$F$28)</f>
        <v/>
      </c>
      <c r="P26">
        <f>IF($B$28="",0,$J$28)</f>
        <v/>
      </c>
      <c r="Q26">
        <f>IF($B$28="",0,MAX(0,$B$28-$F$28-$J$28))</f>
        <v/>
      </c>
    </row>
    <row r="27" ht="22" customHeight="1">
      <c r="B27" s="230" t="inlineStr">
        <is>
          <t>AUFTRAGSSUMME NETTO</t>
        </is>
      </c>
      <c r="C27" s="251" t="n"/>
      <c r="D27" s="252" t="n"/>
      <c r="E27" s="219" t="n"/>
      <c r="F27" s="231" t="inlineStr">
        <is>
          <t>IN RECHNUNG GESTELLT</t>
        </is>
      </c>
      <c r="G27" s="251" t="n"/>
      <c r="H27" s="252" t="n"/>
      <c r="I27" s="219" t="n"/>
      <c r="J27" s="222" t="inlineStr">
        <is>
          <t>UNFERTIGE LEISTUNGEN</t>
        </is>
      </c>
      <c r="K27" s="251" t="n"/>
      <c r="L27" s="252" t="n"/>
    </row>
    <row r="28" ht="22" customHeight="1">
      <c r="B28" s="236" t="n">
        <v>0</v>
      </c>
      <c r="C28" s="253" t="n"/>
      <c r="D28" s="254" t="n"/>
      <c r="E28" s="219" t="n"/>
      <c r="F28" s="237">
        <f>SUM(Rechnungsstand!$F$6:$F$305)</f>
        <v/>
      </c>
      <c r="G28" s="253" t="n"/>
      <c r="H28" s="254" t="n"/>
      <c r="I28" s="219" t="n"/>
      <c r="J28" s="237">
        <f>'Rechnungsstand'!$M$5</f>
        <v/>
      </c>
      <c r="K28" s="253" t="n"/>
      <c r="L28" s="254" t="n"/>
    </row>
    <row r="29" ht="22" customHeight="1">
      <c r="B29" s="257" t="n"/>
      <c r="C29" s="258" t="n"/>
      <c r="D29" s="259" t="n"/>
      <c r="E29" s="219" t="n"/>
      <c r="F29" s="257" t="n"/>
      <c r="G29" s="258" t="n"/>
      <c r="H29" s="259" t="n"/>
      <c r="I29" s="219" t="n"/>
      <c r="J29" s="257" t="n"/>
      <c r="K29" s="258" t="n"/>
      <c r="L29" s="259" t="n"/>
    </row>
    <row r="30" ht="17" customHeight="1">
      <c r="B30" s="238" t="inlineStr">
        <is>
          <t>Auftragssumme und Stunden-Soll werden im Cockpit gepflegt · Unfertige Leistungen werden im Rechnungsstand erfasst.</t>
        </is>
      </c>
    </row>
    <row r="31" ht="18" customHeight="1">
      <c r="B31" s="219" t="n"/>
      <c r="C31" s="219" t="n"/>
      <c r="D31" s="219" t="n"/>
      <c r="E31" s="219" t="n"/>
      <c r="F31" s="219" t="n"/>
      <c r="G31" s="219" t="n"/>
      <c r="H31" s="219" t="n"/>
      <c r="I31" s="219" t="n"/>
      <c r="J31" s="219" t="n"/>
      <c r="K31" s="219" t="n"/>
      <c r="L31" s="219" t="n"/>
    </row>
    <row r="32" ht="18" customHeight="1">
      <c r="B32" s="219" t="n"/>
      <c r="C32" s="219" t="n"/>
      <c r="D32" s="219" t="n"/>
      <c r="E32" s="219" t="n"/>
      <c r="F32" s="219" t="n"/>
      <c r="G32" s="219" t="n"/>
      <c r="H32" s="219" t="n"/>
      <c r="I32" s="219" t="n"/>
      <c r="J32" s="219" t="n"/>
      <c r="K32" s="219" t="n"/>
      <c r="L32" s="219" t="n"/>
    </row>
    <row r="33" ht="18" customHeight="1">
      <c r="B33" s="219" t="n"/>
      <c r="C33" s="219" t="n"/>
      <c r="D33" s="219" t="n"/>
      <c r="E33" s="219" t="n"/>
      <c r="F33" s="219" t="n"/>
      <c r="G33" s="219" t="n"/>
      <c r="H33" s="219" t="n"/>
      <c r="I33" s="219" t="n"/>
      <c r="J33" s="219" t="n"/>
      <c r="K33" s="219" t="n"/>
      <c r="L33" s="219" t="n"/>
    </row>
    <row r="34" ht="18" customHeight="1">
      <c r="B34" s="219" t="n"/>
      <c r="C34" s="219" t="n"/>
      <c r="D34" s="219" t="n"/>
      <c r="E34" s="219" t="n"/>
      <c r="F34" s="219" t="n"/>
      <c r="G34" s="219" t="n"/>
      <c r="H34" s="219" t="n"/>
      <c r="I34" s="219" t="n"/>
      <c r="J34" s="219" t="n"/>
      <c r="K34" s="219" t="n"/>
      <c r="L34" s="219" t="n"/>
    </row>
    <row r="35" ht="18" customHeight="1">
      <c r="B35" s="219" t="n"/>
      <c r="C35" s="219" t="n"/>
      <c r="D35" s="219" t="n"/>
      <c r="E35" s="219" t="n"/>
      <c r="F35" s="219" t="n"/>
      <c r="G35" s="219" t="n"/>
      <c r="H35" s="219" t="n"/>
      <c r="I35" s="219" t="n"/>
      <c r="J35" s="219" t="n"/>
      <c r="K35" s="219" t="n"/>
      <c r="L35" s="219" t="n"/>
    </row>
    <row r="36" ht="18" customHeight="1">
      <c r="B36" s="219" t="n"/>
      <c r="C36" s="219" t="n"/>
      <c r="D36" s="219" t="n"/>
      <c r="E36" s="219" t="n"/>
      <c r="F36" s="219" t="n"/>
      <c r="G36" s="219" t="n"/>
      <c r="H36" s="219" t="n"/>
      <c r="I36" s="219" t="n"/>
      <c r="J36" s="219" t="n"/>
      <c r="K36" s="219" t="n"/>
      <c r="L36" s="219" t="n"/>
    </row>
    <row r="37" ht="18" customHeight="1">
      <c r="B37" s="219" t="n"/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</row>
    <row r="38" ht="18" customHeight="1">
      <c r="B38" s="219" t="n"/>
      <c r="C38" s="219" t="n"/>
      <c r="D38" s="219" t="n"/>
      <c r="E38" s="219" t="n"/>
      <c r="F38" s="219" t="n"/>
      <c r="G38" s="219" t="n"/>
      <c r="H38" s="219" t="n"/>
      <c r="I38" s="219" t="n"/>
      <c r="J38" s="219" t="n"/>
      <c r="K38" s="219" t="n"/>
      <c r="L38" s="219" t="n"/>
    </row>
    <row r="39" ht="18" customHeight="1">
      <c r="B39" s="219" t="n"/>
      <c r="C39" s="219" t="n"/>
      <c r="D39" s="219" t="n"/>
      <c r="E39" s="219" t="n"/>
      <c r="F39" s="219" t="n"/>
      <c r="G39" s="219" t="n"/>
      <c r="H39" s="219" t="n"/>
      <c r="I39" s="219" t="n"/>
      <c r="J39" s="219" t="n"/>
      <c r="K39" s="219" t="n"/>
      <c r="L39" s="219" t="n"/>
    </row>
    <row r="40" ht="18" customHeight="1">
      <c r="B40" s="219" t="n"/>
      <c r="C40" s="219" t="n"/>
      <c r="D40" s="219" t="n"/>
      <c r="E40" s="219" t="n"/>
      <c r="F40" s="219" t="n"/>
      <c r="G40" s="219" t="n"/>
      <c r="H40" s="219" t="n"/>
      <c r="I40" s="219" t="n"/>
      <c r="J40" s="219" t="n"/>
      <c r="K40" s="219" t="n"/>
      <c r="L40" s="219" t="n"/>
    </row>
    <row r="41" ht="18" customHeight="1">
      <c r="B41" s="219" t="n"/>
      <c r="C41" s="219" t="n"/>
      <c r="D41" s="219" t="n"/>
      <c r="E41" s="219" t="n"/>
      <c r="F41" s="219" t="n"/>
      <c r="G41" s="219" t="n"/>
      <c r="H41" s="219" t="n"/>
      <c r="I41" s="219" t="n"/>
      <c r="J41" s="219" t="n"/>
      <c r="K41" s="219" t="n"/>
      <c r="L41" s="219" t="n"/>
    </row>
    <row r="42" ht="18" customHeight="1">
      <c r="B42" s="219" t="n"/>
      <c r="C42" s="219" t="n"/>
      <c r="D42" s="219" t="n"/>
      <c r="E42" s="219" t="n"/>
      <c r="F42" s="219" t="n"/>
      <c r="G42" s="219" t="n"/>
      <c r="H42" s="219" t="n"/>
      <c r="I42" s="219" t="n"/>
      <c r="J42" s="219" t="n"/>
      <c r="K42" s="219" t="n"/>
      <c r="L42" s="219" t="n"/>
    </row>
    <row r="43" ht="18" customHeight="1">
      <c r="B43" s="219" t="n"/>
      <c r="C43" s="219" t="n"/>
      <c r="D43" s="219" t="n"/>
      <c r="E43" s="219" t="n"/>
      <c r="F43" s="219" t="n"/>
      <c r="G43" s="219" t="n"/>
      <c r="H43" s="219" t="n"/>
      <c r="I43" s="219" t="n"/>
      <c r="J43" s="219" t="n"/>
      <c r="K43" s="219" t="n"/>
      <c r="L43" s="219" t="n"/>
    </row>
    <row r="44" ht="18" customHeight="1">
      <c r="B44" s="219" t="n"/>
      <c r="C44" s="219" t="n"/>
      <c r="D44" s="219" t="n"/>
      <c r="E44" s="219" t="n"/>
      <c r="F44" s="219" t="n"/>
      <c r="G44" s="219" t="n"/>
      <c r="H44" s="219" t="n"/>
      <c r="I44" s="219" t="n"/>
      <c r="J44" s="219" t="n"/>
      <c r="K44" s="219" t="n"/>
      <c r="L44" s="219" t="n"/>
    </row>
    <row r="45" ht="23" customHeight="1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mergeCells count="133">
    <mergeCell ref="B11:D11"/>
    <mergeCell ref="C62:D62"/>
    <mergeCell ref="E62:F62"/>
    <mergeCell ref="J27:L27"/>
    <mergeCell ref="J59:K59"/>
    <mergeCell ref="C64:D64"/>
    <mergeCell ref="N2:Q3"/>
    <mergeCell ref="J60:K60"/>
    <mergeCell ref="E64:F64"/>
    <mergeCell ref="J68:K68"/>
    <mergeCell ref="E51:F51"/>
    <mergeCell ref="C54:D54"/>
    <mergeCell ref="C63:D63"/>
    <mergeCell ref="F17:H19"/>
    <mergeCell ref="J53:K53"/>
    <mergeCell ref="E63:F63"/>
    <mergeCell ref="G57:H57"/>
    <mergeCell ref="C50:D50"/>
    <mergeCell ref="G66:H66"/>
    <mergeCell ref="F9:H9"/>
    <mergeCell ref="C56:D56"/>
    <mergeCell ref="E65:F65"/>
    <mergeCell ref="G68:H68"/>
    <mergeCell ref="J22:L24"/>
    <mergeCell ref="E49:F49"/>
    <mergeCell ref="G58:H58"/>
    <mergeCell ref="B28:D29"/>
    <mergeCell ref="C67:D67"/>
    <mergeCell ref="B22:D24"/>
    <mergeCell ref="J62:K62"/>
    <mergeCell ref="E53:F53"/>
    <mergeCell ref="J58:K58"/>
    <mergeCell ref="F21:H21"/>
    <mergeCell ref="F28:H29"/>
    <mergeCell ref="C69:D69"/>
    <mergeCell ref="G59:H59"/>
    <mergeCell ref="J64:K64"/>
    <mergeCell ref="E55:F55"/>
    <mergeCell ref="E67:F67"/>
    <mergeCell ref="J57:K57"/>
    <mergeCell ref="G67:H67"/>
    <mergeCell ref="G61:H61"/>
    <mergeCell ref="E48:F48"/>
    <mergeCell ref="G70:H70"/>
    <mergeCell ref="G48:H48"/>
    <mergeCell ref="J16:L16"/>
    <mergeCell ref="B19:D19"/>
    <mergeCell ref="C47:D47"/>
    <mergeCell ref="F27:H27"/>
    <mergeCell ref="B9:D9"/>
    <mergeCell ref="J49:K49"/>
    <mergeCell ref="G62:H62"/>
    <mergeCell ref="B17:D18"/>
    <mergeCell ref="G49:H49"/>
    <mergeCell ref="C60:D60"/>
    <mergeCell ref="G65:H65"/>
    <mergeCell ref="J2:L4"/>
    <mergeCell ref="F11:H11"/>
    <mergeCell ref="J46:K46"/>
    <mergeCell ref="B15:L15"/>
    <mergeCell ref="C57:D57"/>
    <mergeCell ref="J51:K51"/>
    <mergeCell ref="C66:D66"/>
    <mergeCell ref="E66:F66"/>
    <mergeCell ref="B21:D21"/>
    <mergeCell ref="J61:K61"/>
    <mergeCell ref="C53:D53"/>
    <mergeCell ref="G60:H60"/>
    <mergeCell ref="E58:F58"/>
    <mergeCell ref="J48:K48"/>
    <mergeCell ref="E50:F50"/>
    <mergeCell ref="B26:L26"/>
    <mergeCell ref="C68:D68"/>
    <mergeCell ref="E68:F68"/>
    <mergeCell ref="C58:D58"/>
    <mergeCell ref="B13:D13"/>
    <mergeCell ref="E52:F52"/>
    <mergeCell ref="F13:H13"/>
    <mergeCell ref="C65:D65"/>
    <mergeCell ref="E69:F69"/>
    <mergeCell ref="J65:K65"/>
    <mergeCell ref="G69:H69"/>
    <mergeCell ref="C59:D59"/>
    <mergeCell ref="E59:F59"/>
    <mergeCell ref="C46:D46"/>
    <mergeCell ref="E46:F46"/>
    <mergeCell ref="C51:D51"/>
    <mergeCell ref="C61:D61"/>
    <mergeCell ref="E61:F61"/>
    <mergeCell ref="C70:D70"/>
    <mergeCell ref="C48:D48"/>
    <mergeCell ref="E70:F70"/>
    <mergeCell ref="J66:K66"/>
    <mergeCell ref="G64:H64"/>
    <mergeCell ref="B7:G7"/>
    <mergeCell ref="E57:F57"/>
    <mergeCell ref="F16:H16"/>
    <mergeCell ref="G51:H51"/>
    <mergeCell ref="E54:F54"/>
    <mergeCell ref="J50:K50"/>
    <mergeCell ref="B30:L30"/>
    <mergeCell ref="G54:H54"/>
    <mergeCell ref="G63:H63"/>
    <mergeCell ref="J17:L19"/>
    <mergeCell ref="G50:H50"/>
    <mergeCell ref="J52:K52"/>
    <mergeCell ref="E56:F56"/>
    <mergeCell ref="G56:H56"/>
    <mergeCell ref="C49:D49"/>
    <mergeCell ref="J67:K67"/>
    <mergeCell ref="G52:H52"/>
    <mergeCell ref="J69:K69"/>
    <mergeCell ref="F22:H24"/>
    <mergeCell ref="C55:D55"/>
    <mergeCell ref="G53:H53"/>
    <mergeCell ref="E60:F60"/>
    <mergeCell ref="J55:K55"/>
    <mergeCell ref="J21:L21"/>
    <mergeCell ref="J28:L29"/>
    <mergeCell ref="J70:K70"/>
    <mergeCell ref="J54:K54"/>
    <mergeCell ref="J63:K63"/>
    <mergeCell ref="C52:D52"/>
    <mergeCell ref="B2:H4"/>
    <mergeCell ref="J47:K47"/>
    <mergeCell ref="B16:D16"/>
    <mergeCell ref="G55:H55"/>
    <mergeCell ref="J56:K56"/>
    <mergeCell ref="G47:H47"/>
    <mergeCell ref="B27:D27"/>
    <mergeCell ref="G46:H46"/>
    <mergeCell ref="B45:L45"/>
    <mergeCell ref="E47:F47"/>
  </mergeCells>
  <dataValidations count="1">
    <dataValidation sqref="F11 F13" showDropDown="0" showInputMessage="0" showErrorMessage="0" allowBlank="1" type="date" operator="between">
      <formula1>DATE(2020,1,1)</formula1>
      <formula2>DATE(2040,12,31)</formula2>
    </dataValidation>
  </dataValidations>
  <hyperlinks>
    <hyperlink xmlns:r="http://schemas.openxmlformats.org/officeDocument/2006/relationships" ref="N2" r:id="rId1"/>
    <hyperlink xmlns:r="http://schemas.openxmlformats.org/officeDocument/2006/relationships" ref="B16" r:id="rId2"/>
    <hyperlink xmlns:r="http://schemas.openxmlformats.org/officeDocument/2006/relationships" ref="F16" r:id="rId3"/>
    <hyperlink xmlns:r="http://schemas.openxmlformats.org/officeDocument/2006/relationships" ref="J16" r:id="rId4"/>
    <hyperlink xmlns:r="http://schemas.openxmlformats.org/officeDocument/2006/relationships" ref="B17" r:id="rId5"/>
    <hyperlink xmlns:r="http://schemas.openxmlformats.org/officeDocument/2006/relationships" ref="B19" r:id="rId6"/>
    <hyperlink xmlns:r="http://schemas.openxmlformats.org/officeDocument/2006/relationships" ref="J27" r:id="rId7"/>
  </hyperlinks>
  <pageMargins left="0.25" right="0.25" top="0.35" bottom="0.35" header="0.5" footer="0.5"/>
  <pageSetup orientation="landscape" fitToHeight="0" fitToWidth="1"/>
  <headerFooter>
    <oddHeader>&amp;C&amp;B Bauablaufmappe – Projektübersicht</oddHeader>
    <oddFooter>&amp;CSeite &amp;P von &amp;N</oddFooter>
    <evenHeader/>
    <evenFooter/>
    <firstHeader/>
    <firstFooter/>
  </headerFooter>
  <drawing xmlns:r="http://schemas.openxmlformats.org/officeDocument/2006/relationships" r:id="rId8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1"/>
    <pageSetUpPr fitToPage="1"/>
  </sheetPr>
  <dimension ref="A1:Q3665"/>
  <sheetViews>
    <sheetView showGridLines="0" zoomScale="9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.5" customWidth="1" min="1" max="1"/>
    <col width="12.5" customWidth="1" min="2" max="2"/>
    <col width="12.5" customWidth="1" min="3" max="3"/>
    <col width="24" customWidth="1" min="4" max="4"/>
    <col width="21" customWidth="1" min="5" max="5"/>
    <col width="14" customWidth="1" min="6" max="6"/>
    <col width="14" customWidth="1" min="7" max="7"/>
    <col width="14" customWidth="1" min="8" max="8"/>
    <col width="52" customWidth="1" min="9" max="9"/>
    <col width="24" customWidth="1" min="10" max="10"/>
    <col hidden="1" width="2.5" customWidth="1" min="11" max="11"/>
    <col width="10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6" customHeight="1">
      <c r="A1" s="164" t="inlineStr">
        <is>
          <t>ZEITERFASSUNG · PROJEKTVERLAUF</t>
        </is>
      </c>
      <c r="L1" s="411" t="inlineStr">
        <is>
          <t>←  ZUM COCKPIT</t>
        </is>
      </c>
      <c r="M1" s="422" t="n"/>
      <c r="N1" s="423" t="n"/>
      <c r="O1" s="413" t="inlineStr">
        <is>
          <t>STUNDENEXPORT  →</t>
        </is>
      </c>
      <c r="P1" s="422" t="n"/>
      <c r="Q1" s="423" t="n"/>
    </row>
    <row r="2" ht="18" customHeight="1">
      <c r="L2" s="424" t="n"/>
      <c r="M2" s="425" t="n"/>
      <c r="N2" s="426" t="n"/>
      <c r="O2" s="424" t="n"/>
      <c r="P2" s="425" t="n"/>
      <c r="Q2" s="426" t="n"/>
    </row>
    <row r="3" ht="20" customHeight="1">
      <c r="A3" s="165" t="inlineStr">
        <is>
          <t>Kalenderwochen und Tage automatisch aus Baubeginn/Bauende · Leistungen einmal je Tag erfassen · Mitarbeiterzeiten darunter dokumentieren</t>
        </is>
      </c>
      <c r="L3" s="414" t="inlineStr">
        <is>
          <t>SCHNELLNAVIGATION</t>
        </is>
      </c>
      <c r="M3" s="427" t="n"/>
      <c r="N3" s="427" t="n"/>
      <c r="O3" s="427" t="n"/>
      <c r="P3" s="427" t="n"/>
      <c r="Q3" s="428" t="n"/>
    </row>
    <row r="4" ht="22" customHeight="1">
      <c r="A4" s="193">
        <f>IF('Projektübersicht'!B9="","BAUVORHABEN","BAUVORHABEN  ·  "&amp;'Projektübersicht'!B9)</f>
        <v/>
      </c>
      <c r="B4" s="190" t="n"/>
      <c r="C4" s="190" t="n"/>
      <c r="D4" s="193">
        <f>IF('Projektübersicht'!B13="","AUFTRAGGEBER","AUFTRAGGEBER  ·  "&amp;'Projektübersicht'!B13)</f>
        <v/>
      </c>
      <c r="E4" s="190" t="n"/>
      <c r="F4" s="190" t="n"/>
      <c r="G4" s="193">
        <f>IF(AND('Projektübersicht'!$F$11="",'Projektübersicht'!$F$13=""),"BAUZEIT",IF(OR('Projektübersicht'!$F$11="",'Projektübersicht'!$F$13=""),"BAUZEIT  ·  Stammdaten unvollständig","BAUZEIT  ·  "&amp;TEXT(DAY('Projektübersicht'!$F$11),"00")&amp;"."&amp;TEXT(MONTH('Projektübersicht'!$F$11),"00")&amp;"."&amp;YEAR('Projektübersicht'!$F$11)&amp;" – "&amp;TEXT(DAY('Projektübersicht'!$F$13),"00")&amp;"."&amp;TEXT(MONTH('Projektübersicht'!$F$13),"00")&amp;"."&amp;YEAR('Projektübersicht'!$F$13)))</f>
        <v/>
      </c>
      <c r="H4" s="190" t="n"/>
      <c r="I4" s="190" t="n"/>
      <c r="J4" s="190" t="n"/>
      <c r="L4" s="415" t="inlineStr">
        <is>
          <t>DATUM</t>
        </is>
      </c>
      <c r="M4" s="416" t="n"/>
      <c r="N4" s="417">
        <f>IF($M$4="","TAG AUSWÄHLEN",HYPERLINK("#'Zeiterfassung'!A"&amp;(MATCH($M$4,$K$6:$K$3665,0)+5),"→  ZUM TAG"))</f>
        <v/>
      </c>
      <c r="O4" s="427" t="n"/>
      <c r="P4" s="427" t="n"/>
      <c r="Q4" s="428" t="n"/>
    </row>
    <row r="5" ht="30" customHeight="1">
      <c r="A5" s="145" t="inlineStr">
        <is>
          <t>KW</t>
        </is>
      </c>
      <c r="B5" s="145" t="inlineStr">
        <is>
          <t>DATUM</t>
        </is>
      </c>
      <c r="C5" s="145" t="inlineStr">
        <is>
          <t>TAG</t>
        </is>
      </c>
      <c r="D5" s="145" t="inlineStr">
        <is>
          <t>MITARBEITER</t>
        </is>
      </c>
      <c r="E5" s="145" t="inlineStr">
        <is>
          <t>GEWERK</t>
        </is>
      </c>
      <c r="F5" s="145" t="inlineStr">
        <is>
          <t>ARBEITSANFANG</t>
        </is>
      </c>
      <c r="G5" s="145" t="inlineStr">
        <is>
          <t>ARBEITSENDE</t>
        </is>
      </c>
      <c r="H5" s="145" t="inlineStr">
        <is>
          <t>ARBEITSSTUNDEN</t>
        </is>
      </c>
      <c r="I5" s="146" t="inlineStr">
        <is>
          <t>ARBEITEN / LEISTUNGEN DES TAGES</t>
        </is>
      </c>
      <c r="J5" s="146" t="inlineStr">
        <is>
          <t>TAGESBEMERKUNG</t>
        </is>
      </c>
      <c r="K5" s="145" t="inlineStr">
        <is>
          <t>DATUM INTERN</t>
        </is>
      </c>
      <c r="L5" s="415" t="inlineStr">
        <is>
          <t>KW</t>
        </is>
      </c>
      <c r="M5" s="418" t="n"/>
      <c r="N5" s="417">
        <f>IF($M$5="","KW AUSWÄHLEN",HYPERLINK("#'Zeiterfassung'!A"&amp;(MATCH($M$5,$A$6:$A$3665,0)+5),"→  ZUR KW"))</f>
        <v/>
      </c>
      <c r="O5" s="427" t="n"/>
      <c r="P5" s="427" t="n"/>
      <c r="Q5" s="428" t="n"/>
    </row>
    <row r="6" ht="20" customHeight="1">
      <c r="A6" s="336">
        <f>IF($K6="","",WEEKNUM($K6,21))</f>
        <v/>
      </c>
      <c r="B6" s="337">
        <f>IF($K6="","",$K6)</f>
        <v/>
      </c>
      <c r="C6" s="338">
        <f>IF($K6="","",$K6)</f>
        <v/>
      </c>
      <c r="D6" s="171" t="n"/>
      <c r="E6" s="171" t="n"/>
      <c r="F6" s="172" t="n"/>
      <c r="G6" s="172" t="n"/>
      <c r="H6" s="173">
        <f>IF(OR(F6="",G6=""),"",ROUND(MOD(G6-F6,1)*24,2))</f>
        <v/>
      </c>
      <c r="I6" s="339" t="n"/>
      <c r="J6" s="339" t="n"/>
      <c r="K6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  <c r="L6" s="419" t="n"/>
      <c r="M6" s="419" t="n"/>
      <c r="N6" s="419" t="n"/>
      <c r="O6" s="419" t="n"/>
      <c r="P6" s="419" t="n"/>
      <c r="Q6" s="419" t="n"/>
    </row>
    <row r="7" ht="22" customHeight="1">
      <c r="D7" s="179" t="n"/>
      <c r="E7" s="179" t="n"/>
      <c r="F7" s="180" t="n"/>
      <c r="G7" s="180" t="n"/>
      <c r="H7" s="181">
        <f>IF(OR(F7="",G7=""),"",ROUND(MOD(G7-F7,1)*24,2))</f>
        <v/>
      </c>
      <c r="K7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  <c r="L7" s="429" t="inlineStr">
        <is>
          <t>MEHR ALS 5 MITARBEITER?  Links am Tagesblock auf  +  klicken.</t>
        </is>
      </c>
    </row>
    <row r="8" ht="22" customHeight="1">
      <c r="D8" s="179" t="n"/>
      <c r="E8" s="179" t="n"/>
      <c r="F8" s="180" t="n"/>
      <c r="G8" s="180" t="n"/>
      <c r="H8" s="181">
        <f>IF(OR(F8="",G8=""),"",ROUND(MOD(G8-F8,1)*24,2))</f>
        <v/>
      </c>
      <c r="K8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  <c r="L8" s="425" t="n"/>
      <c r="M8" s="425" t="n"/>
      <c r="N8" s="425" t="n"/>
      <c r="O8" s="425" t="n"/>
      <c r="P8" s="425" t="n"/>
      <c r="Q8" s="425" t="n"/>
    </row>
    <row r="9" ht="20" customHeight="1">
      <c r="D9" s="179" t="n"/>
      <c r="E9" s="179" t="n"/>
      <c r="F9" s="180" t="n"/>
      <c r="G9" s="180" t="n"/>
      <c r="H9" s="181">
        <f>IF(OR(F9="",G9=""),"",ROUND(MOD(G9-F9,1)*24,2))</f>
        <v/>
      </c>
      <c r="K9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  <c r="L9" s="419" t="n"/>
      <c r="M9" s="419" t="n"/>
      <c r="N9" s="419" t="n"/>
      <c r="O9" s="419" t="n"/>
      <c r="P9" s="419" t="n"/>
      <c r="Q9" s="419" t="n"/>
    </row>
    <row r="10" collapsed="1" ht="20" customHeight="1">
      <c r="D10" s="179" t="n"/>
      <c r="E10" s="179" t="n"/>
      <c r="F10" s="180" t="n"/>
      <c r="G10" s="180" t="n"/>
      <c r="H10" s="181">
        <f>IF(OR(F10="",G10=""),"",ROUND(MOD(G10-F10,1)*24,2))</f>
        <v/>
      </c>
      <c r="K10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  <c r="L10" s="419" t="n"/>
      <c r="M10" s="419" t="n"/>
      <c r="N10" s="419" t="n"/>
      <c r="O10" s="419" t="n"/>
      <c r="P10" s="419" t="n"/>
      <c r="Q10" s="419" t="n"/>
    </row>
    <row r="11" hidden="1" outlineLevel="1" ht="20" customHeight="1">
      <c r="D11" s="179" t="n"/>
      <c r="E11" s="179" t="n"/>
      <c r="F11" s="180" t="n"/>
      <c r="G11" s="180" t="n"/>
      <c r="H11" s="181">
        <f>IF(OR(F11="",G11=""),"",ROUND(MOD(G11-F11,1)*24,2))</f>
        <v/>
      </c>
      <c r="K11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</row>
    <row r="12" hidden="1" outlineLevel="1" ht="20" customHeight="1">
      <c r="D12" s="179" t="n"/>
      <c r="E12" s="179" t="n"/>
      <c r="F12" s="180" t="n"/>
      <c r="G12" s="180" t="n"/>
      <c r="H12" s="181">
        <f>IF(OR(F12="",G12=""),"",ROUND(MOD(G12-F12,1)*24,2))</f>
        <v/>
      </c>
      <c r="K12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</row>
    <row r="13" hidden="1" outlineLevel="1" ht="20" customHeight="1">
      <c r="D13" s="179" t="n"/>
      <c r="E13" s="179" t="n"/>
      <c r="F13" s="180" t="n"/>
      <c r="G13" s="180" t="n"/>
      <c r="H13" s="181">
        <f>IF(OR(F13="",G13=""),"",ROUND(MOD(G13-F13,1)*24,2))</f>
        <v/>
      </c>
      <c r="K13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</row>
    <row r="14" hidden="1" outlineLevel="1" ht="20" customHeight="1">
      <c r="D14" s="179" t="n"/>
      <c r="E14" s="179" t="n"/>
      <c r="F14" s="180" t="n"/>
      <c r="G14" s="180" t="n"/>
      <c r="H14" s="181">
        <f>IF(OR(F14="",G14=""),"",ROUND(MOD(G14-F14,1)*24,2))</f>
        <v/>
      </c>
      <c r="K14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</row>
    <row r="15" hidden="1" outlineLevel="1" ht="20" customHeight="1">
      <c r="A15" s="342" t="n"/>
      <c r="B15" s="342" t="n"/>
      <c r="C15" s="342" t="n"/>
      <c r="D15" s="332" t="n"/>
      <c r="E15" s="332" t="n"/>
      <c r="F15" s="333" t="n"/>
      <c r="G15" s="333" t="n"/>
      <c r="H15" s="334">
        <f>IF(OR(F15="",G15=""),"",ROUND(MOD(G15-F15,1)*24,2))</f>
        <v/>
      </c>
      <c r="I15" s="342" t="n"/>
      <c r="J15" s="342" t="n"/>
      <c r="K15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</row>
    <row r="16" ht="20" customHeight="1">
      <c r="A16" s="336">
        <f>IF($K16="","",WEEKNUM($K16,21))</f>
        <v/>
      </c>
      <c r="B16" s="337">
        <f>IF($K16="","",$K16)</f>
        <v/>
      </c>
      <c r="C16" s="338">
        <f>IF($K16="","",$K16)</f>
        <v/>
      </c>
      <c r="D16" s="171" t="n"/>
      <c r="E16" s="171" t="n"/>
      <c r="F16" s="172" t="n"/>
      <c r="G16" s="172" t="n"/>
      <c r="H16" s="173">
        <f>IF(OR(F16="",G16=""),"",ROUND(MOD(G16-F16,1)*24,2))</f>
        <v/>
      </c>
      <c r="I16" s="339" t="n"/>
      <c r="J16" s="339" t="n"/>
      <c r="K16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17" ht="20" customHeight="1">
      <c r="D17" s="179" t="n"/>
      <c r="E17" s="179" t="n"/>
      <c r="F17" s="180" t="n"/>
      <c r="G17" s="180" t="n"/>
      <c r="H17" s="181">
        <f>IF(OR(F17="",G17=""),"",ROUND(MOD(G17-F17,1)*24,2))</f>
        <v/>
      </c>
      <c r="K17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18" ht="20" customHeight="1">
      <c r="D18" s="179" t="n"/>
      <c r="E18" s="179" t="n"/>
      <c r="F18" s="180" t="n"/>
      <c r="G18" s="180" t="n"/>
      <c r="H18" s="181">
        <f>IF(OR(F18="",G18=""),"",ROUND(MOD(G18-F18,1)*24,2))</f>
        <v/>
      </c>
      <c r="K18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19" ht="20" customHeight="1">
      <c r="D19" s="179" t="n"/>
      <c r="E19" s="179" t="n"/>
      <c r="F19" s="180" t="n"/>
      <c r="G19" s="180" t="n"/>
      <c r="H19" s="181">
        <f>IF(OR(F19="",G19=""),"",ROUND(MOD(G19-F19,1)*24,2))</f>
        <v/>
      </c>
      <c r="K19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20" collapsed="1" ht="20" customHeight="1">
      <c r="D20" s="179" t="n"/>
      <c r="E20" s="179" t="n"/>
      <c r="F20" s="180" t="n"/>
      <c r="G20" s="180" t="n"/>
      <c r="H20" s="181">
        <f>IF(OR(F20="",G20=""),"",ROUND(MOD(G20-F20,1)*24,2))</f>
        <v/>
      </c>
      <c r="K20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21" hidden="1" outlineLevel="1" ht="20" customHeight="1">
      <c r="D21" s="179" t="n"/>
      <c r="E21" s="179" t="n"/>
      <c r="F21" s="180" t="n"/>
      <c r="G21" s="180" t="n"/>
      <c r="H21" s="181">
        <f>IF(OR(F21="",G21=""),"",ROUND(MOD(G21-F21,1)*24,2))</f>
        <v/>
      </c>
      <c r="K21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22" hidden="1" outlineLevel="1" ht="20" customHeight="1">
      <c r="D22" s="179" t="n"/>
      <c r="E22" s="179" t="n"/>
      <c r="F22" s="180" t="n"/>
      <c r="G22" s="180" t="n"/>
      <c r="H22" s="181">
        <f>IF(OR(F22="",G22=""),"",ROUND(MOD(G22-F22,1)*24,2))</f>
        <v/>
      </c>
      <c r="K22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23" hidden="1" outlineLevel="1" ht="20" customHeight="1">
      <c r="D23" s="179" t="n"/>
      <c r="E23" s="179" t="n"/>
      <c r="F23" s="180" t="n"/>
      <c r="G23" s="180" t="n"/>
      <c r="H23" s="181">
        <f>IF(OR(F23="",G23=""),"",ROUND(MOD(G23-F23,1)*24,2))</f>
        <v/>
      </c>
      <c r="K23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24" hidden="1" outlineLevel="1" ht="20" customHeight="1">
      <c r="D24" s="179" t="n"/>
      <c r="E24" s="179" t="n"/>
      <c r="F24" s="180" t="n"/>
      <c r="G24" s="180" t="n"/>
      <c r="H24" s="181">
        <f>IF(OR(F24="",G24=""),"",ROUND(MOD(G24-F24,1)*24,2))</f>
        <v/>
      </c>
      <c r="K24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25" hidden="1" outlineLevel="1" ht="20" customHeight="1">
      <c r="A25" s="342" t="n"/>
      <c r="B25" s="342" t="n"/>
      <c r="C25" s="342" t="n"/>
      <c r="D25" s="332" t="n"/>
      <c r="E25" s="332" t="n"/>
      <c r="F25" s="333" t="n"/>
      <c r="G25" s="333" t="n"/>
      <c r="H25" s="334">
        <f>IF(OR(F25="",G25=""),"",ROUND(MOD(G25-F25,1)*24,2))</f>
        <v/>
      </c>
      <c r="I25" s="342" t="n"/>
      <c r="J25" s="342" t="n"/>
      <c r="K25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</row>
    <row r="26" ht="20" customHeight="1">
      <c r="A26" s="336">
        <f>IF($K26="","",WEEKNUM($K26,21))</f>
        <v/>
      </c>
      <c r="B26" s="337">
        <f>IF($K26="","",$K26)</f>
        <v/>
      </c>
      <c r="C26" s="338">
        <f>IF($K26="","",$K26)</f>
        <v/>
      </c>
      <c r="D26" s="171" t="n"/>
      <c r="E26" s="171" t="n"/>
      <c r="F26" s="172" t="n"/>
      <c r="G26" s="172" t="n"/>
      <c r="H26" s="173">
        <f>IF(OR(F26="",G26=""),"",ROUND(MOD(G26-F26,1)*24,2))</f>
        <v/>
      </c>
      <c r="I26" s="339" t="n"/>
      <c r="J26" s="339" t="n"/>
      <c r="K26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27" ht="20" customHeight="1">
      <c r="D27" s="179" t="n"/>
      <c r="E27" s="179" t="n"/>
      <c r="F27" s="180" t="n"/>
      <c r="G27" s="180" t="n"/>
      <c r="H27" s="181">
        <f>IF(OR(F27="",G27=""),"",ROUND(MOD(G27-F27,1)*24,2))</f>
        <v/>
      </c>
      <c r="K27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28" ht="20" customHeight="1">
      <c r="D28" s="179" t="n"/>
      <c r="E28" s="179" t="n"/>
      <c r="F28" s="180" t="n"/>
      <c r="G28" s="180" t="n"/>
      <c r="H28" s="181">
        <f>IF(OR(F28="",G28=""),"",ROUND(MOD(G28-F28,1)*24,2))</f>
        <v/>
      </c>
      <c r="K28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29" ht="20" customHeight="1">
      <c r="D29" s="179" t="n"/>
      <c r="E29" s="179" t="n"/>
      <c r="F29" s="180" t="n"/>
      <c r="G29" s="180" t="n"/>
      <c r="H29" s="181">
        <f>IF(OR(F29="",G29=""),"",ROUND(MOD(G29-F29,1)*24,2))</f>
        <v/>
      </c>
      <c r="K29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30" collapsed="1" ht="20" customHeight="1">
      <c r="D30" s="179" t="n"/>
      <c r="E30" s="179" t="n"/>
      <c r="F30" s="180" t="n"/>
      <c r="G30" s="180" t="n"/>
      <c r="H30" s="181">
        <f>IF(OR(F30="",G30=""),"",ROUND(MOD(G30-F30,1)*24,2))</f>
        <v/>
      </c>
      <c r="K30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31" hidden="1" outlineLevel="1" ht="20" customHeight="1">
      <c r="D31" s="179" t="n"/>
      <c r="E31" s="179" t="n"/>
      <c r="F31" s="180" t="n"/>
      <c r="G31" s="180" t="n"/>
      <c r="H31" s="181">
        <f>IF(OR(F31="",G31=""),"",ROUND(MOD(G31-F31,1)*24,2))</f>
        <v/>
      </c>
      <c r="K31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32" hidden="1" outlineLevel="1" ht="20" customHeight="1">
      <c r="D32" s="179" t="n"/>
      <c r="E32" s="179" t="n"/>
      <c r="F32" s="180" t="n"/>
      <c r="G32" s="180" t="n"/>
      <c r="H32" s="181">
        <f>IF(OR(F32="",G32=""),"",ROUND(MOD(G32-F32,1)*24,2))</f>
        <v/>
      </c>
      <c r="K32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33" hidden="1" outlineLevel="1" ht="20" customHeight="1">
      <c r="D33" s="179" t="n"/>
      <c r="E33" s="179" t="n"/>
      <c r="F33" s="180" t="n"/>
      <c r="G33" s="180" t="n"/>
      <c r="H33" s="181">
        <f>IF(OR(F33="",G33=""),"",ROUND(MOD(G33-F33,1)*24,2))</f>
        <v/>
      </c>
      <c r="K33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34" hidden="1" outlineLevel="1" ht="20" customHeight="1">
      <c r="D34" s="179" t="n"/>
      <c r="E34" s="179" t="n"/>
      <c r="F34" s="180" t="n"/>
      <c r="G34" s="180" t="n"/>
      <c r="H34" s="181">
        <f>IF(OR(F34="",G34=""),"",ROUND(MOD(G34-F34,1)*24,2))</f>
        <v/>
      </c>
      <c r="K34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35" hidden="1" outlineLevel="1" ht="20" customHeight="1">
      <c r="A35" s="342" t="n"/>
      <c r="B35" s="342" t="n"/>
      <c r="C35" s="342" t="n"/>
      <c r="D35" s="332" t="n"/>
      <c r="E35" s="332" t="n"/>
      <c r="F35" s="333" t="n"/>
      <c r="G35" s="333" t="n"/>
      <c r="H35" s="334">
        <f>IF(OR(F35="",G35=""),"",ROUND(MOD(G35-F35,1)*24,2))</f>
        <v/>
      </c>
      <c r="I35" s="342" t="n"/>
      <c r="J35" s="342" t="n"/>
      <c r="K35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</row>
    <row r="36" ht="20" customHeight="1">
      <c r="A36" s="336">
        <f>IF($K36="","",WEEKNUM($K36,21))</f>
        <v/>
      </c>
      <c r="B36" s="337">
        <f>IF($K36="","",$K36)</f>
        <v/>
      </c>
      <c r="C36" s="338">
        <f>IF($K36="","",$K36)</f>
        <v/>
      </c>
      <c r="D36" s="171" t="n"/>
      <c r="E36" s="171" t="n"/>
      <c r="F36" s="172" t="n"/>
      <c r="G36" s="172" t="n"/>
      <c r="H36" s="173">
        <f>IF(OR(F36="",G36=""),"",ROUND(MOD(G36-F36,1)*24,2))</f>
        <v/>
      </c>
      <c r="I36" s="339" t="n"/>
      <c r="J36" s="339" t="n"/>
      <c r="K36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37" ht="20" customHeight="1">
      <c r="D37" s="179" t="n"/>
      <c r="E37" s="179" t="n"/>
      <c r="F37" s="180" t="n"/>
      <c r="G37" s="180" t="n"/>
      <c r="H37" s="181">
        <f>IF(OR(F37="",G37=""),"",ROUND(MOD(G37-F37,1)*24,2))</f>
        <v/>
      </c>
      <c r="K37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38" ht="20" customHeight="1">
      <c r="D38" s="179" t="n"/>
      <c r="E38" s="179" t="n"/>
      <c r="F38" s="180" t="n"/>
      <c r="G38" s="180" t="n"/>
      <c r="H38" s="181">
        <f>IF(OR(F38="",G38=""),"",ROUND(MOD(G38-F38,1)*24,2))</f>
        <v/>
      </c>
      <c r="K38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39" ht="20" customHeight="1">
      <c r="D39" s="179" t="n"/>
      <c r="E39" s="179" t="n"/>
      <c r="F39" s="180" t="n"/>
      <c r="G39" s="180" t="n"/>
      <c r="H39" s="181">
        <f>IF(OR(F39="",G39=""),"",ROUND(MOD(G39-F39,1)*24,2))</f>
        <v/>
      </c>
      <c r="K39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40" collapsed="1" ht="20" customHeight="1">
      <c r="D40" s="179" t="n"/>
      <c r="E40" s="179" t="n"/>
      <c r="F40" s="180" t="n"/>
      <c r="G40" s="180" t="n"/>
      <c r="H40" s="181">
        <f>IF(OR(F40="",G40=""),"",ROUND(MOD(G40-F40,1)*24,2))</f>
        <v/>
      </c>
      <c r="K40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41" hidden="1" outlineLevel="1" ht="20" customHeight="1">
      <c r="D41" s="179" t="n"/>
      <c r="E41" s="179" t="n"/>
      <c r="F41" s="180" t="n"/>
      <c r="G41" s="180" t="n"/>
      <c r="H41" s="181">
        <f>IF(OR(F41="",G41=""),"",ROUND(MOD(G41-F41,1)*24,2))</f>
        <v/>
      </c>
      <c r="K41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42" hidden="1" outlineLevel="1" ht="20" customHeight="1">
      <c r="D42" s="179" t="n"/>
      <c r="E42" s="179" t="n"/>
      <c r="F42" s="180" t="n"/>
      <c r="G42" s="180" t="n"/>
      <c r="H42" s="181">
        <f>IF(OR(F42="",G42=""),"",ROUND(MOD(G42-F42,1)*24,2))</f>
        <v/>
      </c>
      <c r="K42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43" hidden="1" outlineLevel="1" ht="20" customHeight="1">
      <c r="D43" s="179" t="n"/>
      <c r="E43" s="179" t="n"/>
      <c r="F43" s="180" t="n"/>
      <c r="G43" s="180" t="n"/>
      <c r="H43" s="181">
        <f>IF(OR(F43="",G43=""),"",ROUND(MOD(G43-F43,1)*24,2))</f>
        <v/>
      </c>
      <c r="K43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44" hidden="1" outlineLevel="1" ht="20" customHeight="1">
      <c r="D44" s="179" t="n"/>
      <c r="E44" s="179" t="n"/>
      <c r="F44" s="180" t="n"/>
      <c r="G44" s="180" t="n"/>
      <c r="H44" s="181">
        <f>IF(OR(F44="",G44=""),"",ROUND(MOD(G44-F44,1)*24,2))</f>
        <v/>
      </c>
      <c r="K44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45" hidden="1" outlineLevel="1" ht="20" customHeight="1">
      <c r="A45" s="342" t="n"/>
      <c r="B45" s="342" t="n"/>
      <c r="C45" s="342" t="n"/>
      <c r="D45" s="332" t="n"/>
      <c r="E45" s="332" t="n"/>
      <c r="F45" s="333" t="n"/>
      <c r="G45" s="333" t="n"/>
      <c r="H45" s="334">
        <f>IF(OR(F45="",G45=""),"",ROUND(MOD(G45-F45,1)*24,2))</f>
        <v/>
      </c>
      <c r="I45" s="342" t="n"/>
      <c r="J45" s="342" t="n"/>
      <c r="K45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</row>
    <row r="46" ht="20" customHeight="1">
      <c r="A46" s="336">
        <f>IF($K46="","",WEEKNUM($K46,21))</f>
        <v/>
      </c>
      <c r="B46" s="337">
        <f>IF($K46="","",$K46)</f>
        <v/>
      </c>
      <c r="C46" s="338">
        <f>IF($K46="","",$K46)</f>
        <v/>
      </c>
      <c r="D46" s="171" t="n"/>
      <c r="E46" s="171" t="n"/>
      <c r="F46" s="172" t="n"/>
      <c r="G46" s="172" t="n"/>
      <c r="H46" s="173">
        <f>IF(OR(F46="",G46=""),"",ROUND(MOD(G46-F46,1)*24,2))</f>
        <v/>
      </c>
      <c r="I46" s="339" t="n"/>
      <c r="J46" s="339" t="n"/>
      <c r="K46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47" ht="20" customHeight="1">
      <c r="D47" s="179" t="n"/>
      <c r="E47" s="179" t="n"/>
      <c r="F47" s="180" t="n"/>
      <c r="G47" s="180" t="n"/>
      <c r="H47" s="181">
        <f>IF(OR(F47="",G47=""),"",ROUND(MOD(G47-F47,1)*24,2))</f>
        <v/>
      </c>
      <c r="K47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48" ht="20" customHeight="1">
      <c r="D48" s="179" t="n"/>
      <c r="E48" s="179" t="n"/>
      <c r="F48" s="180" t="n"/>
      <c r="G48" s="180" t="n"/>
      <c r="H48" s="181">
        <f>IF(OR(F48="",G48=""),"",ROUND(MOD(G48-F48,1)*24,2))</f>
        <v/>
      </c>
      <c r="K48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49" ht="20" customHeight="1">
      <c r="D49" s="179" t="n"/>
      <c r="E49" s="179" t="n"/>
      <c r="F49" s="180" t="n"/>
      <c r="G49" s="180" t="n"/>
      <c r="H49" s="181">
        <f>IF(OR(F49="",G49=""),"",ROUND(MOD(G49-F49,1)*24,2))</f>
        <v/>
      </c>
      <c r="K49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50" collapsed="1" ht="20" customHeight="1">
      <c r="D50" s="179" t="n"/>
      <c r="E50" s="179" t="n"/>
      <c r="F50" s="180" t="n"/>
      <c r="G50" s="180" t="n"/>
      <c r="H50" s="181">
        <f>IF(OR(F50="",G50=""),"",ROUND(MOD(G50-F50,1)*24,2))</f>
        <v/>
      </c>
      <c r="K50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51" hidden="1" outlineLevel="1" ht="20" customHeight="1">
      <c r="D51" s="179" t="n"/>
      <c r="E51" s="179" t="n"/>
      <c r="F51" s="180" t="n"/>
      <c r="G51" s="180" t="n"/>
      <c r="H51" s="181">
        <f>IF(OR(F51="",G51=""),"",ROUND(MOD(G51-F51,1)*24,2))</f>
        <v/>
      </c>
      <c r="K51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52" hidden="1" outlineLevel="1" ht="20" customHeight="1">
      <c r="D52" s="179" t="n"/>
      <c r="E52" s="179" t="n"/>
      <c r="F52" s="180" t="n"/>
      <c r="G52" s="180" t="n"/>
      <c r="H52" s="181">
        <f>IF(OR(F52="",G52=""),"",ROUND(MOD(G52-F52,1)*24,2))</f>
        <v/>
      </c>
      <c r="K52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53" hidden="1" outlineLevel="1" ht="20" customHeight="1">
      <c r="D53" s="179" t="n"/>
      <c r="E53" s="179" t="n"/>
      <c r="F53" s="180" t="n"/>
      <c r="G53" s="180" t="n"/>
      <c r="H53" s="181">
        <f>IF(OR(F53="",G53=""),"",ROUND(MOD(G53-F53,1)*24,2))</f>
        <v/>
      </c>
      <c r="K53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54" hidden="1" outlineLevel="1" ht="20" customHeight="1">
      <c r="D54" s="179" t="n"/>
      <c r="E54" s="179" t="n"/>
      <c r="F54" s="180" t="n"/>
      <c r="G54" s="180" t="n"/>
      <c r="H54" s="181">
        <f>IF(OR(F54="",G54=""),"",ROUND(MOD(G54-F54,1)*24,2))</f>
        <v/>
      </c>
      <c r="K54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55" hidden="1" outlineLevel="1" ht="20" customHeight="1">
      <c r="A55" s="342" t="n"/>
      <c r="B55" s="342" t="n"/>
      <c r="C55" s="342" t="n"/>
      <c r="D55" s="332" t="n"/>
      <c r="E55" s="332" t="n"/>
      <c r="F55" s="333" t="n"/>
      <c r="G55" s="333" t="n"/>
      <c r="H55" s="334">
        <f>IF(OR(F55="",G55=""),"",ROUND(MOD(G55-F55,1)*24,2))</f>
        <v/>
      </c>
      <c r="I55" s="342" t="n"/>
      <c r="J55" s="342" t="n"/>
      <c r="K55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</row>
    <row r="56" ht="20" customHeight="1">
      <c r="A56" s="336">
        <f>IF($K56="","",WEEKNUM($K56,21))</f>
        <v/>
      </c>
      <c r="B56" s="337">
        <f>IF($K56="","",$K56)</f>
        <v/>
      </c>
      <c r="C56" s="338">
        <f>IF($K56="","",$K56)</f>
        <v/>
      </c>
      <c r="D56" s="171" t="n"/>
      <c r="E56" s="171" t="n"/>
      <c r="F56" s="172" t="n"/>
      <c r="G56" s="172" t="n"/>
      <c r="H56" s="173">
        <f>IF(OR(F56="",G56=""),"",ROUND(MOD(G56-F56,1)*24,2))</f>
        <v/>
      </c>
      <c r="I56" s="339" t="n"/>
      <c r="J56" s="339" t="n"/>
      <c r="K56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57" ht="20" customHeight="1">
      <c r="D57" s="179" t="n"/>
      <c r="E57" s="179" t="n"/>
      <c r="F57" s="180" t="n"/>
      <c r="G57" s="180" t="n"/>
      <c r="H57" s="181">
        <f>IF(OR(F57="",G57=""),"",ROUND(MOD(G57-F57,1)*24,2))</f>
        <v/>
      </c>
      <c r="K57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58" ht="20" customHeight="1">
      <c r="D58" s="179" t="n"/>
      <c r="E58" s="179" t="n"/>
      <c r="F58" s="180" t="n"/>
      <c r="G58" s="180" t="n"/>
      <c r="H58" s="181">
        <f>IF(OR(F58="",G58=""),"",ROUND(MOD(G58-F58,1)*24,2))</f>
        <v/>
      </c>
      <c r="K58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59" ht="20" customHeight="1">
      <c r="D59" s="179" t="n"/>
      <c r="E59" s="179" t="n"/>
      <c r="F59" s="180" t="n"/>
      <c r="G59" s="180" t="n"/>
      <c r="H59" s="181">
        <f>IF(OR(F59="",G59=""),"",ROUND(MOD(G59-F59,1)*24,2))</f>
        <v/>
      </c>
      <c r="K59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60" collapsed="1" ht="20" customHeight="1">
      <c r="D60" s="179" t="n"/>
      <c r="E60" s="179" t="n"/>
      <c r="F60" s="180" t="n"/>
      <c r="G60" s="180" t="n"/>
      <c r="H60" s="181">
        <f>IF(OR(F60="",G60=""),"",ROUND(MOD(G60-F60,1)*24,2))</f>
        <v/>
      </c>
      <c r="K60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61" hidden="1" outlineLevel="1" ht="20" customHeight="1">
      <c r="D61" s="179" t="n"/>
      <c r="E61" s="179" t="n"/>
      <c r="F61" s="180" t="n"/>
      <c r="G61" s="180" t="n"/>
      <c r="H61" s="181">
        <f>IF(OR(F61="",G61=""),"",ROUND(MOD(G61-F61,1)*24,2))</f>
        <v/>
      </c>
      <c r="K61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62" hidden="1" outlineLevel="1" ht="20" customHeight="1">
      <c r="D62" s="179" t="n"/>
      <c r="E62" s="179" t="n"/>
      <c r="F62" s="180" t="n"/>
      <c r="G62" s="180" t="n"/>
      <c r="H62" s="181">
        <f>IF(OR(F62="",G62=""),"",ROUND(MOD(G62-F62,1)*24,2))</f>
        <v/>
      </c>
      <c r="K62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63" hidden="1" outlineLevel="1" ht="20" customHeight="1">
      <c r="D63" s="179" t="n"/>
      <c r="E63" s="179" t="n"/>
      <c r="F63" s="180" t="n"/>
      <c r="G63" s="180" t="n"/>
      <c r="H63" s="181">
        <f>IF(OR(F63="",G63=""),"",ROUND(MOD(G63-F63,1)*24,2))</f>
        <v/>
      </c>
      <c r="K63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64" hidden="1" outlineLevel="1" ht="20" customHeight="1">
      <c r="D64" s="179" t="n"/>
      <c r="E64" s="179" t="n"/>
      <c r="F64" s="180" t="n"/>
      <c r="G64" s="180" t="n"/>
      <c r="H64" s="181">
        <f>IF(OR(F64="",G64=""),"",ROUND(MOD(G64-F64,1)*24,2))</f>
        <v/>
      </c>
      <c r="K64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65" hidden="1" outlineLevel="1" ht="20" customHeight="1">
      <c r="A65" s="342" t="n"/>
      <c r="B65" s="342" t="n"/>
      <c r="C65" s="342" t="n"/>
      <c r="D65" s="332" t="n"/>
      <c r="E65" s="332" t="n"/>
      <c r="F65" s="333" t="n"/>
      <c r="G65" s="333" t="n"/>
      <c r="H65" s="334">
        <f>IF(OR(F65="",G65=""),"",ROUND(MOD(G65-F65,1)*24,2))</f>
        <v/>
      </c>
      <c r="I65" s="342" t="n"/>
      <c r="J65" s="342" t="n"/>
      <c r="K65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</row>
    <row r="66" ht="20" customHeight="1">
      <c r="A66" s="336">
        <f>IF($K66="","",WEEKNUM($K66,21))</f>
        <v/>
      </c>
      <c r="B66" s="337">
        <f>IF($K66="","",$K66)</f>
        <v/>
      </c>
      <c r="C66" s="338">
        <f>IF($K66="","",$K66)</f>
        <v/>
      </c>
      <c r="D66" s="171" t="n"/>
      <c r="E66" s="171" t="n"/>
      <c r="F66" s="172" t="n"/>
      <c r="G66" s="172" t="n"/>
      <c r="H66" s="173">
        <f>IF(OR(F66="",G66=""),"",ROUND(MOD(G66-F66,1)*24,2))</f>
        <v/>
      </c>
      <c r="I66" s="339" t="n"/>
      <c r="J66" s="339" t="n"/>
      <c r="K66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67" ht="20" customHeight="1">
      <c r="D67" s="179" t="n"/>
      <c r="E67" s="179" t="n"/>
      <c r="F67" s="180" t="n"/>
      <c r="G67" s="180" t="n"/>
      <c r="H67" s="181">
        <f>IF(OR(F67="",G67=""),"",ROUND(MOD(G67-F67,1)*24,2))</f>
        <v/>
      </c>
      <c r="K67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68" ht="20" customHeight="1">
      <c r="D68" s="179" t="n"/>
      <c r="E68" s="179" t="n"/>
      <c r="F68" s="180" t="n"/>
      <c r="G68" s="180" t="n"/>
      <c r="H68" s="181">
        <f>IF(OR(F68="",G68=""),"",ROUND(MOD(G68-F68,1)*24,2))</f>
        <v/>
      </c>
      <c r="K68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69" ht="20" customHeight="1">
      <c r="D69" s="179" t="n"/>
      <c r="E69" s="179" t="n"/>
      <c r="F69" s="180" t="n"/>
      <c r="G69" s="180" t="n"/>
      <c r="H69" s="181">
        <f>IF(OR(F69="",G69=""),"",ROUND(MOD(G69-F69,1)*24,2))</f>
        <v/>
      </c>
      <c r="K69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70" collapsed="1" ht="20" customHeight="1">
      <c r="D70" s="179" t="n"/>
      <c r="E70" s="179" t="n"/>
      <c r="F70" s="180" t="n"/>
      <c r="G70" s="180" t="n"/>
      <c r="H70" s="181">
        <f>IF(OR(F70="",G70=""),"",ROUND(MOD(G70-F70,1)*24,2))</f>
        <v/>
      </c>
      <c r="K70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71" hidden="1" outlineLevel="1" ht="20" customHeight="1">
      <c r="D71" s="179" t="n"/>
      <c r="E71" s="179" t="n"/>
      <c r="F71" s="180" t="n"/>
      <c r="G71" s="180" t="n"/>
      <c r="H71" s="181">
        <f>IF(OR(F71="",G71=""),"",ROUND(MOD(G71-F71,1)*24,2))</f>
        <v/>
      </c>
      <c r="K71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72" hidden="1" outlineLevel="1" ht="20" customHeight="1">
      <c r="D72" s="179" t="n"/>
      <c r="E72" s="179" t="n"/>
      <c r="F72" s="180" t="n"/>
      <c r="G72" s="180" t="n"/>
      <c r="H72" s="181">
        <f>IF(OR(F72="",G72=""),"",ROUND(MOD(G72-F72,1)*24,2))</f>
        <v/>
      </c>
      <c r="K72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73" hidden="1" outlineLevel="1" ht="20" customHeight="1">
      <c r="D73" s="179" t="n"/>
      <c r="E73" s="179" t="n"/>
      <c r="F73" s="180" t="n"/>
      <c r="G73" s="180" t="n"/>
      <c r="H73" s="181">
        <f>IF(OR(F73="",G73=""),"",ROUND(MOD(G73-F73,1)*24,2))</f>
        <v/>
      </c>
      <c r="K73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74" hidden="1" outlineLevel="1" ht="20" customHeight="1">
      <c r="D74" s="179" t="n"/>
      <c r="E74" s="179" t="n"/>
      <c r="F74" s="180" t="n"/>
      <c r="G74" s="180" t="n"/>
      <c r="H74" s="181">
        <f>IF(OR(F74="",G74=""),"",ROUND(MOD(G74-F74,1)*24,2))</f>
        <v/>
      </c>
      <c r="K74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75" hidden="1" outlineLevel="1" ht="20" customHeight="1">
      <c r="A75" s="342" t="n"/>
      <c r="B75" s="342" t="n"/>
      <c r="C75" s="342" t="n"/>
      <c r="D75" s="332" t="n"/>
      <c r="E75" s="332" t="n"/>
      <c r="F75" s="333" t="n"/>
      <c r="G75" s="333" t="n"/>
      <c r="H75" s="334">
        <f>IF(OR(F75="",G75=""),"",ROUND(MOD(G75-F75,1)*24,2))</f>
        <v/>
      </c>
      <c r="I75" s="342" t="n"/>
      <c r="J75" s="342" t="n"/>
      <c r="K75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</row>
    <row r="76" ht="20" customHeight="1">
      <c r="A76" s="336">
        <f>IF($K76="","",WEEKNUM($K76,21))</f>
        <v/>
      </c>
      <c r="B76" s="337">
        <f>IF($K76="","",$K76)</f>
        <v/>
      </c>
      <c r="C76" s="338">
        <f>IF($K76="","",$K76)</f>
        <v/>
      </c>
      <c r="D76" s="171" t="n"/>
      <c r="E76" s="171" t="n"/>
      <c r="F76" s="172" t="n"/>
      <c r="G76" s="172" t="n"/>
      <c r="H76" s="173">
        <f>IF(OR(F76="",G76=""),"",ROUND(MOD(G76-F76,1)*24,2))</f>
        <v/>
      </c>
      <c r="I76" s="339" t="n"/>
      <c r="J76" s="339" t="n"/>
      <c r="K76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77" ht="20" customHeight="1">
      <c r="D77" s="179" t="n"/>
      <c r="E77" s="179" t="n"/>
      <c r="F77" s="180" t="n"/>
      <c r="G77" s="180" t="n"/>
      <c r="H77" s="181">
        <f>IF(OR(F77="",G77=""),"",ROUND(MOD(G77-F77,1)*24,2))</f>
        <v/>
      </c>
      <c r="K77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78" ht="20" customHeight="1">
      <c r="D78" s="179" t="n"/>
      <c r="E78" s="179" t="n"/>
      <c r="F78" s="180" t="n"/>
      <c r="G78" s="180" t="n"/>
      <c r="H78" s="181">
        <f>IF(OR(F78="",G78=""),"",ROUND(MOD(G78-F78,1)*24,2))</f>
        <v/>
      </c>
      <c r="K78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79" ht="20" customHeight="1">
      <c r="D79" s="179" t="n"/>
      <c r="E79" s="179" t="n"/>
      <c r="F79" s="180" t="n"/>
      <c r="G79" s="180" t="n"/>
      <c r="H79" s="181">
        <f>IF(OR(F79="",G79=""),"",ROUND(MOD(G79-F79,1)*24,2))</f>
        <v/>
      </c>
      <c r="K79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80" collapsed="1" ht="20" customHeight="1">
      <c r="D80" s="179" t="n"/>
      <c r="E80" s="179" t="n"/>
      <c r="F80" s="180" t="n"/>
      <c r="G80" s="180" t="n"/>
      <c r="H80" s="181">
        <f>IF(OR(F80="",G80=""),"",ROUND(MOD(G80-F80,1)*24,2))</f>
        <v/>
      </c>
      <c r="K80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81" hidden="1" outlineLevel="1" ht="20" customHeight="1">
      <c r="D81" s="179" t="n"/>
      <c r="E81" s="179" t="n"/>
      <c r="F81" s="180" t="n"/>
      <c r="G81" s="180" t="n"/>
      <c r="H81" s="181">
        <f>IF(OR(F81="",G81=""),"",ROUND(MOD(G81-F81,1)*24,2))</f>
        <v/>
      </c>
      <c r="K81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82" hidden="1" outlineLevel="1" ht="20" customHeight="1">
      <c r="D82" s="179" t="n"/>
      <c r="E82" s="179" t="n"/>
      <c r="F82" s="180" t="n"/>
      <c r="G82" s="180" t="n"/>
      <c r="H82" s="181">
        <f>IF(OR(F82="",G82=""),"",ROUND(MOD(G82-F82,1)*24,2))</f>
        <v/>
      </c>
      <c r="K82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83" hidden="1" outlineLevel="1" ht="20" customHeight="1">
      <c r="D83" s="179" t="n"/>
      <c r="E83" s="179" t="n"/>
      <c r="F83" s="180" t="n"/>
      <c r="G83" s="180" t="n"/>
      <c r="H83" s="181">
        <f>IF(OR(F83="",G83=""),"",ROUND(MOD(G83-F83,1)*24,2))</f>
        <v/>
      </c>
      <c r="K83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84" hidden="1" outlineLevel="1" ht="20" customHeight="1">
      <c r="D84" s="179" t="n"/>
      <c r="E84" s="179" t="n"/>
      <c r="F84" s="180" t="n"/>
      <c r="G84" s="180" t="n"/>
      <c r="H84" s="181">
        <f>IF(OR(F84="",G84=""),"",ROUND(MOD(G84-F84,1)*24,2))</f>
        <v/>
      </c>
      <c r="K84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85" hidden="1" outlineLevel="1" ht="20" customHeight="1">
      <c r="A85" s="342" t="n"/>
      <c r="B85" s="342" t="n"/>
      <c r="C85" s="342" t="n"/>
      <c r="D85" s="332" t="n"/>
      <c r="E85" s="332" t="n"/>
      <c r="F85" s="333" t="n"/>
      <c r="G85" s="333" t="n"/>
      <c r="H85" s="334">
        <f>IF(OR(F85="",G85=""),"",ROUND(MOD(G85-F85,1)*24,2))</f>
        <v/>
      </c>
      <c r="I85" s="342" t="n"/>
      <c r="J85" s="342" t="n"/>
      <c r="K85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</row>
    <row r="86" ht="20" customHeight="1">
      <c r="A86" s="336">
        <f>IF($K86="","",WEEKNUM($K86,21))</f>
        <v/>
      </c>
      <c r="B86" s="337">
        <f>IF($K86="","",$K86)</f>
        <v/>
      </c>
      <c r="C86" s="338">
        <f>IF($K86="","",$K86)</f>
        <v/>
      </c>
      <c r="D86" s="171" t="n"/>
      <c r="E86" s="171" t="n"/>
      <c r="F86" s="172" t="n"/>
      <c r="G86" s="172" t="n"/>
      <c r="H86" s="173">
        <f>IF(OR(F86="",G86=""),"",ROUND(MOD(G86-F86,1)*24,2))</f>
        <v/>
      </c>
      <c r="I86" s="339" t="n"/>
      <c r="J86" s="339" t="n"/>
      <c r="K86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87" ht="20" customHeight="1">
      <c r="D87" s="179" t="n"/>
      <c r="E87" s="179" t="n"/>
      <c r="F87" s="180" t="n"/>
      <c r="G87" s="180" t="n"/>
      <c r="H87" s="181">
        <f>IF(OR(F87="",G87=""),"",ROUND(MOD(G87-F87,1)*24,2))</f>
        <v/>
      </c>
      <c r="K87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88" ht="20" customHeight="1">
      <c r="D88" s="179" t="n"/>
      <c r="E88" s="179" t="n"/>
      <c r="F88" s="180" t="n"/>
      <c r="G88" s="180" t="n"/>
      <c r="H88" s="181">
        <f>IF(OR(F88="",G88=""),"",ROUND(MOD(G88-F88,1)*24,2))</f>
        <v/>
      </c>
      <c r="K88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89" ht="20" customHeight="1">
      <c r="D89" s="179" t="n"/>
      <c r="E89" s="179" t="n"/>
      <c r="F89" s="180" t="n"/>
      <c r="G89" s="180" t="n"/>
      <c r="H89" s="181">
        <f>IF(OR(F89="",G89=""),"",ROUND(MOD(G89-F89,1)*24,2))</f>
        <v/>
      </c>
      <c r="K89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90" collapsed="1" ht="20" customHeight="1">
      <c r="D90" s="179" t="n"/>
      <c r="E90" s="179" t="n"/>
      <c r="F90" s="180" t="n"/>
      <c r="G90" s="180" t="n"/>
      <c r="H90" s="181">
        <f>IF(OR(F90="",G90=""),"",ROUND(MOD(G90-F90,1)*24,2))</f>
        <v/>
      </c>
      <c r="K90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91" hidden="1" outlineLevel="1" ht="20" customHeight="1">
      <c r="D91" s="179" t="n"/>
      <c r="E91" s="179" t="n"/>
      <c r="F91" s="180" t="n"/>
      <c r="G91" s="180" t="n"/>
      <c r="H91" s="181">
        <f>IF(OR(F91="",G91=""),"",ROUND(MOD(G91-F91,1)*24,2))</f>
        <v/>
      </c>
      <c r="K91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92" hidden="1" outlineLevel="1" ht="20" customHeight="1">
      <c r="D92" s="179" t="n"/>
      <c r="E92" s="179" t="n"/>
      <c r="F92" s="180" t="n"/>
      <c r="G92" s="180" t="n"/>
      <c r="H92" s="181">
        <f>IF(OR(F92="",G92=""),"",ROUND(MOD(G92-F92,1)*24,2))</f>
        <v/>
      </c>
      <c r="K92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93" hidden="1" outlineLevel="1" ht="20" customHeight="1">
      <c r="D93" s="179" t="n"/>
      <c r="E93" s="179" t="n"/>
      <c r="F93" s="180" t="n"/>
      <c r="G93" s="180" t="n"/>
      <c r="H93" s="181">
        <f>IF(OR(F93="",G93=""),"",ROUND(MOD(G93-F93,1)*24,2))</f>
        <v/>
      </c>
      <c r="K93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94" hidden="1" outlineLevel="1" ht="20" customHeight="1">
      <c r="D94" s="179" t="n"/>
      <c r="E94" s="179" t="n"/>
      <c r="F94" s="180" t="n"/>
      <c r="G94" s="180" t="n"/>
      <c r="H94" s="181">
        <f>IF(OR(F94="",G94=""),"",ROUND(MOD(G94-F94,1)*24,2))</f>
        <v/>
      </c>
      <c r="K94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95" hidden="1" outlineLevel="1" ht="20" customHeight="1">
      <c r="A95" s="342" t="n"/>
      <c r="B95" s="342" t="n"/>
      <c r="C95" s="342" t="n"/>
      <c r="D95" s="332" t="n"/>
      <c r="E95" s="332" t="n"/>
      <c r="F95" s="333" t="n"/>
      <c r="G95" s="333" t="n"/>
      <c r="H95" s="334">
        <f>IF(OR(F95="",G95=""),"",ROUND(MOD(G95-F95,1)*24,2))</f>
        <v/>
      </c>
      <c r="I95" s="342" t="n"/>
      <c r="J95" s="342" t="n"/>
      <c r="K95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</row>
    <row r="96" ht="20" customHeight="1">
      <c r="A96" s="336">
        <f>IF($K96="","",WEEKNUM($K96,21))</f>
        <v/>
      </c>
      <c r="B96" s="337">
        <f>IF($K96="","",$K96)</f>
        <v/>
      </c>
      <c r="C96" s="338">
        <f>IF($K96="","",$K96)</f>
        <v/>
      </c>
      <c r="D96" s="171" t="n"/>
      <c r="E96" s="171" t="n"/>
      <c r="F96" s="172" t="n"/>
      <c r="G96" s="172" t="n"/>
      <c r="H96" s="173">
        <f>IF(OR(F96="",G96=""),"",ROUND(MOD(G96-F96,1)*24,2))</f>
        <v/>
      </c>
      <c r="I96" s="339" t="n"/>
      <c r="J96" s="339" t="n"/>
      <c r="K96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97" ht="20" customHeight="1">
      <c r="D97" s="179" t="n"/>
      <c r="E97" s="179" t="n"/>
      <c r="F97" s="180" t="n"/>
      <c r="G97" s="180" t="n"/>
      <c r="H97" s="181">
        <f>IF(OR(F97="",G97=""),"",ROUND(MOD(G97-F97,1)*24,2))</f>
        <v/>
      </c>
      <c r="K97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98" ht="20" customHeight="1">
      <c r="D98" s="179" t="n"/>
      <c r="E98" s="179" t="n"/>
      <c r="F98" s="180" t="n"/>
      <c r="G98" s="180" t="n"/>
      <c r="H98" s="181">
        <f>IF(OR(F98="",G98=""),"",ROUND(MOD(G98-F98,1)*24,2))</f>
        <v/>
      </c>
      <c r="K98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99" ht="20" customHeight="1">
      <c r="D99" s="179" t="n"/>
      <c r="E99" s="179" t="n"/>
      <c r="F99" s="180" t="n"/>
      <c r="G99" s="180" t="n"/>
      <c r="H99" s="181">
        <f>IF(OR(F99="",G99=""),"",ROUND(MOD(G99-F99,1)*24,2))</f>
        <v/>
      </c>
      <c r="K99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100" collapsed="1" ht="20" customHeight="1">
      <c r="D100" s="179" t="n"/>
      <c r="E100" s="179" t="n"/>
      <c r="F100" s="180" t="n"/>
      <c r="G100" s="180" t="n"/>
      <c r="H100" s="181">
        <f>IF(OR(F100="",G100=""),"",ROUND(MOD(G100-F100,1)*24,2))</f>
        <v/>
      </c>
      <c r="K100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101" hidden="1" outlineLevel="1" ht="20" customHeight="1">
      <c r="D101" s="179" t="n"/>
      <c r="E101" s="179" t="n"/>
      <c r="F101" s="180" t="n"/>
      <c r="G101" s="180" t="n"/>
      <c r="H101" s="181">
        <f>IF(OR(F101="",G101=""),"",ROUND(MOD(G101-F101,1)*24,2))</f>
        <v/>
      </c>
      <c r="K101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102" hidden="1" outlineLevel="1" ht="20" customHeight="1">
      <c r="D102" s="179" t="n"/>
      <c r="E102" s="179" t="n"/>
      <c r="F102" s="180" t="n"/>
      <c r="G102" s="180" t="n"/>
      <c r="H102" s="181">
        <f>IF(OR(F102="",G102=""),"",ROUND(MOD(G102-F102,1)*24,2))</f>
        <v/>
      </c>
      <c r="K102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103" hidden="1" outlineLevel="1" ht="20" customHeight="1">
      <c r="D103" s="179" t="n"/>
      <c r="E103" s="179" t="n"/>
      <c r="F103" s="180" t="n"/>
      <c r="G103" s="180" t="n"/>
      <c r="H103" s="181">
        <f>IF(OR(F103="",G103=""),"",ROUND(MOD(G103-F103,1)*24,2))</f>
        <v/>
      </c>
      <c r="K103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104" hidden="1" outlineLevel="1" ht="20" customHeight="1">
      <c r="D104" s="179" t="n"/>
      <c r="E104" s="179" t="n"/>
      <c r="F104" s="180" t="n"/>
      <c r="G104" s="180" t="n"/>
      <c r="H104" s="181">
        <f>IF(OR(F104="",G104=""),"",ROUND(MOD(G104-F104,1)*24,2))</f>
        <v/>
      </c>
      <c r="K104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105" hidden="1" outlineLevel="1" ht="20" customHeight="1">
      <c r="A105" s="342" t="n"/>
      <c r="B105" s="342" t="n"/>
      <c r="C105" s="342" t="n"/>
      <c r="D105" s="332" t="n"/>
      <c r="E105" s="332" t="n"/>
      <c r="F105" s="333" t="n"/>
      <c r="G105" s="333" t="n"/>
      <c r="H105" s="334">
        <f>IF(OR(F105="",G105=""),"",ROUND(MOD(G105-F105,1)*24,2))</f>
        <v/>
      </c>
      <c r="I105" s="342" t="n"/>
      <c r="J105" s="342" t="n"/>
      <c r="K105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</row>
    <row r="106" ht="20" customHeight="1">
      <c r="A106" s="336">
        <f>IF($K106="","",WEEKNUM($K106,21))</f>
        <v/>
      </c>
      <c r="B106" s="337">
        <f>IF($K106="","",$K106)</f>
        <v/>
      </c>
      <c r="C106" s="338">
        <f>IF($K106="","",$K106)</f>
        <v/>
      </c>
      <c r="D106" s="171" t="n"/>
      <c r="E106" s="171" t="n"/>
      <c r="F106" s="172" t="n"/>
      <c r="G106" s="172" t="n"/>
      <c r="H106" s="173">
        <f>IF(OR(F106="",G106=""),"",ROUND(MOD(G106-F106,1)*24,2))</f>
        <v/>
      </c>
      <c r="I106" s="339" t="n"/>
      <c r="J106" s="339" t="n"/>
      <c r="K106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07" ht="20" customHeight="1">
      <c r="D107" s="179" t="n"/>
      <c r="E107" s="179" t="n"/>
      <c r="F107" s="180" t="n"/>
      <c r="G107" s="180" t="n"/>
      <c r="H107" s="181">
        <f>IF(OR(F107="",G107=""),"",ROUND(MOD(G107-F107,1)*24,2))</f>
        <v/>
      </c>
      <c r="K107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08" ht="20" customHeight="1">
      <c r="D108" s="179" t="n"/>
      <c r="E108" s="179" t="n"/>
      <c r="F108" s="180" t="n"/>
      <c r="G108" s="180" t="n"/>
      <c r="H108" s="181">
        <f>IF(OR(F108="",G108=""),"",ROUND(MOD(G108-F108,1)*24,2))</f>
        <v/>
      </c>
      <c r="K108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09" ht="20" customHeight="1">
      <c r="D109" s="179" t="n"/>
      <c r="E109" s="179" t="n"/>
      <c r="F109" s="180" t="n"/>
      <c r="G109" s="180" t="n"/>
      <c r="H109" s="181">
        <f>IF(OR(F109="",G109=""),"",ROUND(MOD(G109-F109,1)*24,2))</f>
        <v/>
      </c>
      <c r="K109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10" collapsed="1" ht="20" customHeight="1">
      <c r="D110" s="179" t="n"/>
      <c r="E110" s="179" t="n"/>
      <c r="F110" s="180" t="n"/>
      <c r="G110" s="180" t="n"/>
      <c r="H110" s="181">
        <f>IF(OR(F110="",G110=""),"",ROUND(MOD(G110-F110,1)*24,2))</f>
        <v/>
      </c>
      <c r="K110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11" hidden="1" outlineLevel="1" ht="20" customHeight="1">
      <c r="D111" s="179" t="n"/>
      <c r="E111" s="179" t="n"/>
      <c r="F111" s="180" t="n"/>
      <c r="G111" s="180" t="n"/>
      <c r="H111" s="181">
        <f>IF(OR(F111="",G111=""),"",ROUND(MOD(G111-F111,1)*24,2))</f>
        <v/>
      </c>
      <c r="K111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12" hidden="1" outlineLevel="1" ht="20" customHeight="1">
      <c r="D112" s="179" t="n"/>
      <c r="E112" s="179" t="n"/>
      <c r="F112" s="180" t="n"/>
      <c r="G112" s="180" t="n"/>
      <c r="H112" s="181">
        <f>IF(OR(F112="",G112=""),"",ROUND(MOD(G112-F112,1)*24,2))</f>
        <v/>
      </c>
      <c r="K112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13" hidden="1" outlineLevel="1" ht="20" customHeight="1">
      <c r="D113" s="179" t="n"/>
      <c r="E113" s="179" t="n"/>
      <c r="F113" s="180" t="n"/>
      <c r="G113" s="180" t="n"/>
      <c r="H113" s="181">
        <f>IF(OR(F113="",G113=""),"",ROUND(MOD(G113-F113,1)*24,2))</f>
        <v/>
      </c>
      <c r="K113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14" hidden="1" outlineLevel="1" ht="20" customHeight="1">
      <c r="D114" s="179" t="n"/>
      <c r="E114" s="179" t="n"/>
      <c r="F114" s="180" t="n"/>
      <c r="G114" s="180" t="n"/>
      <c r="H114" s="181">
        <f>IF(OR(F114="",G114=""),"",ROUND(MOD(G114-F114,1)*24,2))</f>
        <v/>
      </c>
      <c r="K114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15" hidden="1" outlineLevel="1" ht="20" customHeight="1">
      <c r="A115" s="342" t="n"/>
      <c r="B115" s="342" t="n"/>
      <c r="C115" s="342" t="n"/>
      <c r="D115" s="332" t="n"/>
      <c r="E115" s="332" t="n"/>
      <c r="F115" s="333" t="n"/>
      <c r="G115" s="333" t="n"/>
      <c r="H115" s="334">
        <f>IF(OR(F115="",G115=""),"",ROUND(MOD(G115-F115,1)*24,2))</f>
        <v/>
      </c>
      <c r="I115" s="342" t="n"/>
      <c r="J115" s="342" t="n"/>
      <c r="K115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</row>
    <row r="116" ht="20" customHeight="1">
      <c r="A116" s="336">
        <f>IF($K116="","",WEEKNUM($K116,21))</f>
        <v/>
      </c>
      <c r="B116" s="337">
        <f>IF($K116="","",$K116)</f>
        <v/>
      </c>
      <c r="C116" s="338">
        <f>IF($K116="","",$K116)</f>
        <v/>
      </c>
      <c r="D116" s="171" t="n"/>
      <c r="E116" s="171" t="n"/>
      <c r="F116" s="172" t="n"/>
      <c r="G116" s="172" t="n"/>
      <c r="H116" s="173">
        <f>IF(OR(F116="",G116=""),"",ROUND(MOD(G116-F116,1)*24,2))</f>
        <v/>
      </c>
      <c r="I116" s="339" t="n"/>
      <c r="J116" s="339" t="n"/>
      <c r="K116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17" ht="20" customHeight="1">
      <c r="D117" s="179" t="n"/>
      <c r="E117" s="179" t="n"/>
      <c r="F117" s="180" t="n"/>
      <c r="G117" s="180" t="n"/>
      <c r="H117" s="181">
        <f>IF(OR(F117="",G117=""),"",ROUND(MOD(G117-F117,1)*24,2))</f>
        <v/>
      </c>
      <c r="K117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18" ht="20" customHeight="1">
      <c r="D118" s="179" t="n"/>
      <c r="E118" s="179" t="n"/>
      <c r="F118" s="180" t="n"/>
      <c r="G118" s="180" t="n"/>
      <c r="H118" s="181">
        <f>IF(OR(F118="",G118=""),"",ROUND(MOD(G118-F118,1)*24,2))</f>
        <v/>
      </c>
      <c r="K118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19" ht="20" customHeight="1">
      <c r="D119" s="179" t="n"/>
      <c r="E119" s="179" t="n"/>
      <c r="F119" s="180" t="n"/>
      <c r="G119" s="180" t="n"/>
      <c r="H119" s="181">
        <f>IF(OR(F119="",G119=""),"",ROUND(MOD(G119-F119,1)*24,2))</f>
        <v/>
      </c>
      <c r="K119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20" collapsed="1" ht="20" customHeight="1">
      <c r="D120" s="179" t="n"/>
      <c r="E120" s="179" t="n"/>
      <c r="F120" s="180" t="n"/>
      <c r="G120" s="180" t="n"/>
      <c r="H120" s="181">
        <f>IF(OR(F120="",G120=""),"",ROUND(MOD(G120-F120,1)*24,2))</f>
        <v/>
      </c>
      <c r="K120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21" hidden="1" outlineLevel="1" ht="20" customHeight="1">
      <c r="D121" s="179" t="n"/>
      <c r="E121" s="179" t="n"/>
      <c r="F121" s="180" t="n"/>
      <c r="G121" s="180" t="n"/>
      <c r="H121" s="181">
        <f>IF(OR(F121="",G121=""),"",ROUND(MOD(G121-F121,1)*24,2))</f>
        <v/>
      </c>
      <c r="K121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22" hidden="1" outlineLevel="1" ht="20" customHeight="1">
      <c r="D122" s="179" t="n"/>
      <c r="E122" s="179" t="n"/>
      <c r="F122" s="180" t="n"/>
      <c r="G122" s="180" t="n"/>
      <c r="H122" s="181">
        <f>IF(OR(F122="",G122=""),"",ROUND(MOD(G122-F122,1)*24,2))</f>
        <v/>
      </c>
      <c r="K122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23" hidden="1" outlineLevel="1" ht="20" customHeight="1">
      <c r="D123" s="179" t="n"/>
      <c r="E123" s="179" t="n"/>
      <c r="F123" s="180" t="n"/>
      <c r="G123" s="180" t="n"/>
      <c r="H123" s="181">
        <f>IF(OR(F123="",G123=""),"",ROUND(MOD(G123-F123,1)*24,2))</f>
        <v/>
      </c>
      <c r="K123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24" hidden="1" outlineLevel="1" ht="20" customHeight="1">
      <c r="D124" s="179" t="n"/>
      <c r="E124" s="179" t="n"/>
      <c r="F124" s="180" t="n"/>
      <c r="G124" s="180" t="n"/>
      <c r="H124" s="181">
        <f>IF(OR(F124="",G124=""),"",ROUND(MOD(G124-F124,1)*24,2))</f>
        <v/>
      </c>
      <c r="K124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25" hidden="1" outlineLevel="1" ht="20" customHeight="1">
      <c r="A125" s="342" t="n"/>
      <c r="B125" s="342" t="n"/>
      <c r="C125" s="342" t="n"/>
      <c r="D125" s="332" t="n"/>
      <c r="E125" s="332" t="n"/>
      <c r="F125" s="333" t="n"/>
      <c r="G125" s="333" t="n"/>
      <c r="H125" s="334">
        <f>IF(OR(F125="",G125=""),"",ROUND(MOD(G125-F125,1)*24,2))</f>
        <v/>
      </c>
      <c r="I125" s="342" t="n"/>
      <c r="J125" s="342" t="n"/>
      <c r="K125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</row>
    <row r="126" ht="20" customHeight="1">
      <c r="A126" s="336">
        <f>IF($K126="","",WEEKNUM($K126,21))</f>
        <v/>
      </c>
      <c r="B126" s="337">
        <f>IF($K126="","",$K126)</f>
        <v/>
      </c>
      <c r="C126" s="338">
        <f>IF($K126="","",$K126)</f>
        <v/>
      </c>
      <c r="D126" s="171" t="n"/>
      <c r="E126" s="171" t="n"/>
      <c r="F126" s="172" t="n"/>
      <c r="G126" s="172" t="n"/>
      <c r="H126" s="173">
        <f>IF(OR(F126="",G126=""),"",ROUND(MOD(G126-F126,1)*24,2))</f>
        <v/>
      </c>
      <c r="I126" s="339" t="n"/>
      <c r="J126" s="339" t="n"/>
      <c r="K126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27" ht="20" customHeight="1">
      <c r="D127" s="179" t="n"/>
      <c r="E127" s="179" t="n"/>
      <c r="F127" s="180" t="n"/>
      <c r="G127" s="180" t="n"/>
      <c r="H127" s="181">
        <f>IF(OR(F127="",G127=""),"",ROUND(MOD(G127-F127,1)*24,2))</f>
        <v/>
      </c>
      <c r="K127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28" ht="20" customHeight="1">
      <c r="D128" s="179" t="n"/>
      <c r="E128" s="179" t="n"/>
      <c r="F128" s="180" t="n"/>
      <c r="G128" s="180" t="n"/>
      <c r="H128" s="181">
        <f>IF(OR(F128="",G128=""),"",ROUND(MOD(G128-F128,1)*24,2))</f>
        <v/>
      </c>
      <c r="K128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29" ht="20" customHeight="1">
      <c r="D129" s="179" t="n"/>
      <c r="E129" s="179" t="n"/>
      <c r="F129" s="180" t="n"/>
      <c r="G129" s="180" t="n"/>
      <c r="H129" s="181">
        <f>IF(OR(F129="",G129=""),"",ROUND(MOD(G129-F129,1)*24,2))</f>
        <v/>
      </c>
      <c r="K129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30" collapsed="1" ht="20" customHeight="1">
      <c r="D130" s="179" t="n"/>
      <c r="E130" s="179" t="n"/>
      <c r="F130" s="180" t="n"/>
      <c r="G130" s="180" t="n"/>
      <c r="H130" s="181">
        <f>IF(OR(F130="",G130=""),"",ROUND(MOD(G130-F130,1)*24,2))</f>
        <v/>
      </c>
      <c r="K130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31" hidden="1" outlineLevel="1" ht="20" customHeight="1">
      <c r="D131" s="179" t="n"/>
      <c r="E131" s="179" t="n"/>
      <c r="F131" s="180" t="n"/>
      <c r="G131" s="180" t="n"/>
      <c r="H131" s="181">
        <f>IF(OR(F131="",G131=""),"",ROUND(MOD(G131-F131,1)*24,2))</f>
        <v/>
      </c>
      <c r="K131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32" hidden="1" outlineLevel="1" ht="20" customHeight="1">
      <c r="D132" s="179" t="n"/>
      <c r="E132" s="179" t="n"/>
      <c r="F132" s="180" t="n"/>
      <c r="G132" s="180" t="n"/>
      <c r="H132" s="181">
        <f>IF(OR(F132="",G132=""),"",ROUND(MOD(G132-F132,1)*24,2))</f>
        <v/>
      </c>
      <c r="K132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33" hidden="1" outlineLevel="1" ht="20" customHeight="1">
      <c r="D133" s="179" t="n"/>
      <c r="E133" s="179" t="n"/>
      <c r="F133" s="180" t="n"/>
      <c r="G133" s="180" t="n"/>
      <c r="H133" s="181">
        <f>IF(OR(F133="",G133=""),"",ROUND(MOD(G133-F133,1)*24,2))</f>
        <v/>
      </c>
      <c r="K133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34" hidden="1" outlineLevel="1" ht="20" customHeight="1">
      <c r="D134" s="179" t="n"/>
      <c r="E134" s="179" t="n"/>
      <c r="F134" s="180" t="n"/>
      <c r="G134" s="180" t="n"/>
      <c r="H134" s="181">
        <f>IF(OR(F134="",G134=""),"",ROUND(MOD(G134-F134,1)*24,2))</f>
        <v/>
      </c>
      <c r="K134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35" hidden="1" outlineLevel="1" ht="20" customHeight="1">
      <c r="A135" s="342" t="n"/>
      <c r="B135" s="342" t="n"/>
      <c r="C135" s="342" t="n"/>
      <c r="D135" s="332" t="n"/>
      <c r="E135" s="332" t="n"/>
      <c r="F135" s="333" t="n"/>
      <c r="G135" s="333" t="n"/>
      <c r="H135" s="334">
        <f>IF(OR(F135="",G135=""),"",ROUND(MOD(G135-F135,1)*24,2))</f>
        <v/>
      </c>
      <c r="I135" s="342" t="n"/>
      <c r="J135" s="342" t="n"/>
      <c r="K135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</row>
    <row r="136" ht="20" customHeight="1">
      <c r="A136" s="336">
        <f>IF($K136="","",WEEKNUM($K136,21))</f>
        <v/>
      </c>
      <c r="B136" s="337">
        <f>IF($K136="","",$K136)</f>
        <v/>
      </c>
      <c r="C136" s="338">
        <f>IF($K136="","",$K136)</f>
        <v/>
      </c>
      <c r="D136" s="171" t="n"/>
      <c r="E136" s="171" t="n"/>
      <c r="F136" s="172" t="n"/>
      <c r="G136" s="172" t="n"/>
      <c r="H136" s="173">
        <f>IF(OR(F136="",G136=""),"",ROUND(MOD(G136-F136,1)*24,2))</f>
        <v/>
      </c>
      <c r="I136" s="339" t="n"/>
      <c r="J136" s="339" t="n"/>
      <c r="K136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37" ht="20" customHeight="1">
      <c r="D137" s="179" t="n"/>
      <c r="E137" s="179" t="n"/>
      <c r="F137" s="180" t="n"/>
      <c r="G137" s="180" t="n"/>
      <c r="H137" s="181">
        <f>IF(OR(F137="",G137=""),"",ROUND(MOD(G137-F137,1)*24,2))</f>
        <v/>
      </c>
      <c r="K137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38" ht="20" customHeight="1">
      <c r="D138" s="179" t="n"/>
      <c r="E138" s="179" t="n"/>
      <c r="F138" s="180" t="n"/>
      <c r="G138" s="180" t="n"/>
      <c r="H138" s="181">
        <f>IF(OR(F138="",G138=""),"",ROUND(MOD(G138-F138,1)*24,2))</f>
        <v/>
      </c>
      <c r="K138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39" ht="20" customHeight="1">
      <c r="D139" s="179" t="n"/>
      <c r="E139" s="179" t="n"/>
      <c r="F139" s="180" t="n"/>
      <c r="G139" s="180" t="n"/>
      <c r="H139" s="181">
        <f>IF(OR(F139="",G139=""),"",ROUND(MOD(G139-F139,1)*24,2))</f>
        <v/>
      </c>
      <c r="K139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40" collapsed="1" ht="20" customHeight="1">
      <c r="D140" s="179" t="n"/>
      <c r="E140" s="179" t="n"/>
      <c r="F140" s="180" t="n"/>
      <c r="G140" s="180" t="n"/>
      <c r="H140" s="181">
        <f>IF(OR(F140="",G140=""),"",ROUND(MOD(G140-F140,1)*24,2))</f>
        <v/>
      </c>
      <c r="K140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41" hidden="1" outlineLevel="1" ht="20" customHeight="1">
      <c r="D141" s="179" t="n"/>
      <c r="E141" s="179" t="n"/>
      <c r="F141" s="180" t="n"/>
      <c r="G141" s="180" t="n"/>
      <c r="H141" s="181">
        <f>IF(OR(F141="",G141=""),"",ROUND(MOD(G141-F141,1)*24,2))</f>
        <v/>
      </c>
      <c r="K141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42" hidden="1" outlineLevel="1" ht="20" customHeight="1">
      <c r="D142" s="179" t="n"/>
      <c r="E142" s="179" t="n"/>
      <c r="F142" s="180" t="n"/>
      <c r="G142" s="180" t="n"/>
      <c r="H142" s="181">
        <f>IF(OR(F142="",G142=""),"",ROUND(MOD(G142-F142,1)*24,2))</f>
        <v/>
      </c>
      <c r="K142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43" hidden="1" outlineLevel="1" ht="20" customHeight="1">
      <c r="D143" s="179" t="n"/>
      <c r="E143" s="179" t="n"/>
      <c r="F143" s="180" t="n"/>
      <c r="G143" s="180" t="n"/>
      <c r="H143" s="181">
        <f>IF(OR(F143="",G143=""),"",ROUND(MOD(G143-F143,1)*24,2))</f>
        <v/>
      </c>
      <c r="K143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44" hidden="1" outlineLevel="1" ht="20" customHeight="1">
      <c r="D144" s="179" t="n"/>
      <c r="E144" s="179" t="n"/>
      <c r="F144" s="180" t="n"/>
      <c r="G144" s="180" t="n"/>
      <c r="H144" s="181">
        <f>IF(OR(F144="",G144=""),"",ROUND(MOD(G144-F144,1)*24,2))</f>
        <v/>
      </c>
      <c r="K144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45" hidden="1" outlineLevel="1" ht="20" customHeight="1">
      <c r="A145" s="342" t="n"/>
      <c r="B145" s="342" t="n"/>
      <c r="C145" s="342" t="n"/>
      <c r="D145" s="332" t="n"/>
      <c r="E145" s="332" t="n"/>
      <c r="F145" s="333" t="n"/>
      <c r="G145" s="333" t="n"/>
      <c r="H145" s="334">
        <f>IF(OR(F145="",G145=""),"",ROUND(MOD(G145-F145,1)*24,2))</f>
        <v/>
      </c>
      <c r="I145" s="342" t="n"/>
      <c r="J145" s="342" t="n"/>
      <c r="K145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</row>
    <row r="146" ht="20" customHeight="1">
      <c r="A146" s="336">
        <f>IF($K146="","",WEEKNUM($K146,21))</f>
        <v/>
      </c>
      <c r="B146" s="337">
        <f>IF($K146="","",$K146)</f>
        <v/>
      </c>
      <c r="C146" s="338">
        <f>IF($K146="","",$K146)</f>
        <v/>
      </c>
      <c r="D146" s="171" t="n"/>
      <c r="E146" s="171" t="n"/>
      <c r="F146" s="172" t="n"/>
      <c r="G146" s="172" t="n"/>
      <c r="H146" s="173">
        <f>IF(OR(F146="",G146=""),"",ROUND(MOD(G146-F146,1)*24,2))</f>
        <v/>
      </c>
      <c r="I146" s="339" t="n"/>
      <c r="J146" s="339" t="n"/>
      <c r="K146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47" ht="20" customHeight="1">
      <c r="D147" s="179" t="n"/>
      <c r="E147" s="179" t="n"/>
      <c r="F147" s="180" t="n"/>
      <c r="G147" s="180" t="n"/>
      <c r="H147" s="181">
        <f>IF(OR(F147="",G147=""),"",ROUND(MOD(G147-F147,1)*24,2))</f>
        <v/>
      </c>
      <c r="K147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48" ht="20" customHeight="1">
      <c r="D148" s="179" t="n"/>
      <c r="E148" s="179" t="n"/>
      <c r="F148" s="180" t="n"/>
      <c r="G148" s="180" t="n"/>
      <c r="H148" s="181">
        <f>IF(OR(F148="",G148=""),"",ROUND(MOD(G148-F148,1)*24,2))</f>
        <v/>
      </c>
      <c r="K148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49" ht="20" customHeight="1">
      <c r="D149" s="179" t="n"/>
      <c r="E149" s="179" t="n"/>
      <c r="F149" s="180" t="n"/>
      <c r="G149" s="180" t="n"/>
      <c r="H149" s="181">
        <f>IF(OR(F149="",G149=""),"",ROUND(MOD(G149-F149,1)*24,2))</f>
        <v/>
      </c>
      <c r="K149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50" collapsed="1" ht="20" customHeight="1">
      <c r="D150" s="179" t="n"/>
      <c r="E150" s="179" t="n"/>
      <c r="F150" s="180" t="n"/>
      <c r="G150" s="180" t="n"/>
      <c r="H150" s="181">
        <f>IF(OR(F150="",G150=""),"",ROUND(MOD(G150-F150,1)*24,2))</f>
        <v/>
      </c>
      <c r="K150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51" hidden="1" outlineLevel="1" ht="20" customHeight="1">
      <c r="D151" s="179" t="n"/>
      <c r="E151" s="179" t="n"/>
      <c r="F151" s="180" t="n"/>
      <c r="G151" s="180" t="n"/>
      <c r="H151" s="181">
        <f>IF(OR(F151="",G151=""),"",ROUND(MOD(G151-F151,1)*24,2))</f>
        <v/>
      </c>
      <c r="K151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52" hidden="1" outlineLevel="1" ht="20" customHeight="1">
      <c r="D152" s="179" t="n"/>
      <c r="E152" s="179" t="n"/>
      <c r="F152" s="180" t="n"/>
      <c r="G152" s="180" t="n"/>
      <c r="H152" s="181">
        <f>IF(OR(F152="",G152=""),"",ROUND(MOD(G152-F152,1)*24,2))</f>
        <v/>
      </c>
      <c r="K152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53" hidden="1" outlineLevel="1" ht="20" customHeight="1">
      <c r="D153" s="179" t="n"/>
      <c r="E153" s="179" t="n"/>
      <c r="F153" s="180" t="n"/>
      <c r="G153" s="180" t="n"/>
      <c r="H153" s="181">
        <f>IF(OR(F153="",G153=""),"",ROUND(MOD(G153-F153,1)*24,2))</f>
        <v/>
      </c>
      <c r="K153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54" hidden="1" outlineLevel="1" ht="20" customHeight="1">
      <c r="D154" s="179" t="n"/>
      <c r="E154" s="179" t="n"/>
      <c r="F154" s="180" t="n"/>
      <c r="G154" s="180" t="n"/>
      <c r="H154" s="181">
        <f>IF(OR(F154="",G154=""),"",ROUND(MOD(G154-F154,1)*24,2))</f>
        <v/>
      </c>
      <c r="K154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55" hidden="1" outlineLevel="1" ht="20" customHeight="1">
      <c r="A155" s="342" t="n"/>
      <c r="B155" s="342" t="n"/>
      <c r="C155" s="342" t="n"/>
      <c r="D155" s="332" t="n"/>
      <c r="E155" s="332" t="n"/>
      <c r="F155" s="333" t="n"/>
      <c r="G155" s="333" t="n"/>
      <c r="H155" s="334">
        <f>IF(OR(F155="",G155=""),"",ROUND(MOD(G155-F155,1)*24,2))</f>
        <v/>
      </c>
      <c r="I155" s="342" t="n"/>
      <c r="J155" s="342" t="n"/>
      <c r="K155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</row>
    <row r="156" ht="20" customHeight="1">
      <c r="A156" s="336">
        <f>IF($K156="","",WEEKNUM($K156,21))</f>
        <v/>
      </c>
      <c r="B156" s="337">
        <f>IF($K156="","",$K156)</f>
        <v/>
      </c>
      <c r="C156" s="338">
        <f>IF($K156="","",$K156)</f>
        <v/>
      </c>
      <c r="D156" s="171" t="n"/>
      <c r="E156" s="171" t="n"/>
      <c r="F156" s="172" t="n"/>
      <c r="G156" s="172" t="n"/>
      <c r="H156" s="173">
        <f>IF(OR(F156="",G156=""),"",ROUND(MOD(G156-F156,1)*24,2))</f>
        <v/>
      </c>
      <c r="I156" s="339" t="n"/>
      <c r="J156" s="339" t="n"/>
      <c r="K156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57" ht="20" customHeight="1">
      <c r="D157" s="179" t="n"/>
      <c r="E157" s="179" t="n"/>
      <c r="F157" s="180" t="n"/>
      <c r="G157" s="180" t="n"/>
      <c r="H157" s="181">
        <f>IF(OR(F157="",G157=""),"",ROUND(MOD(G157-F157,1)*24,2))</f>
        <v/>
      </c>
      <c r="K157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58" ht="20" customHeight="1">
      <c r="D158" s="179" t="n"/>
      <c r="E158" s="179" t="n"/>
      <c r="F158" s="180" t="n"/>
      <c r="G158" s="180" t="n"/>
      <c r="H158" s="181">
        <f>IF(OR(F158="",G158=""),"",ROUND(MOD(G158-F158,1)*24,2))</f>
        <v/>
      </c>
      <c r="K158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59" ht="20" customHeight="1">
      <c r="D159" s="179" t="n"/>
      <c r="E159" s="179" t="n"/>
      <c r="F159" s="180" t="n"/>
      <c r="G159" s="180" t="n"/>
      <c r="H159" s="181">
        <f>IF(OR(F159="",G159=""),"",ROUND(MOD(G159-F159,1)*24,2))</f>
        <v/>
      </c>
      <c r="K159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60" collapsed="1" ht="20" customHeight="1">
      <c r="D160" s="179" t="n"/>
      <c r="E160" s="179" t="n"/>
      <c r="F160" s="180" t="n"/>
      <c r="G160" s="180" t="n"/>
      <c r="H160" s="181">
        <f>IF(OR(F160="",G160=""),"",ROUND(MOD(G160-F160,1)*24,2))</f>
        <v/>
      </c>
      <c r="K160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61" hidden="1" outlineLevel="1" ht="20" customHeight="1">
      <c r="D161" s="179" t="n"/>
      <c r="E161" s="179" t="n"/>
      <c r="F161" s="180" t="n"/>
      <c r="G161" s="180" t="n"/>
      <c r="H161" s="181">
        <f>IF(OR(F161="",G161=""),"",ROUND(MOD(G161-F161,1)*24,2))</f>
        <v/>
      </c>
      <c r="K161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62" hidden="1" outlineLevel="1" ht="20" customHeight="1">
      <c r="D162" s="179" t="n"/>
      <c r="E162" s="179" t="n"/>
      <c r="F162" s="180" t="n"/>
      <c r="G162" s="180" t="n"/>
      <c r="H162" s="181">
        <f>IF(OR(F162="",G162=""),"",ROUND(MOD(G162-F162,1)*24,2))</f>
        <v/>
      </c>
      <c r="K162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63" hidden="1" outlineLevel="1" ht="20" customHeight="1">
      <c r="D163" s="179" t="n"/>
      <c r="E163" s="179" t="n"/>
      <c r="F163" s="180" t="n"/>
      <c r="G163" s="180" t="n"/>
      <c r="H163" s="181">
        <f>IF(OR(F163="",G163=""),"",ROUND(MOD(G163-F163,1)*24,2))</f>
        <v/>
      </c>
      <c r="K163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64" hidden="1" outlineLevel="1" ht="20" customHeight="1">
      <c r="D164" s="179" t="n"/>
      <c r="E164" s="179" t="n"/>
      <c r="F164" s="180" t="n"/>
      <c r="G164" s="180" t="n"/>
      <c r="H164" s="181">
        <f>IF(OR(F164="",G164=""),"",ROUND(MOD(G164-F164,1)*24,2))</f>
        <v/>
      </c>
      <c r="K164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65" hidden="1" outlineLevel="1" ht="20" customHeight="1">
      <c r="A165" s="342" t="n"/>
      <c r="B165" s="342" t="n"/>
      <c r="C165" s="342" t="n"/>
      <c r="D165" s="332" t="n"/>
      <c r="E165" s="332" t="n"/>
      <c r="F165" s="333" t="n"/>
      <c r="G165" s="333" t="n"/>
      <c r="H165" s="334">
        <f>IF(OR(F165="",G165=""),"",ROUND(MOD(G165-F165,1)*24,2))</f>
        <v/>
      </c>
      <c r="I165" s="342" t="n"/>
      <c r="J165" s="342" t="n"/>
      <c r="K165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</row>
    <row r="166" ht="20" customHeight="1">
      <c r="A166" s="336">
        <f>IF($K166="","",WEEKNUM($K166,21))</f>
        <v/>
      </c>
      <c r="B166" s="337">
        <f>IF($K166="","",$K166)</f>
        <v/>
      </c>
      <c r="C166" s="338">
        <f>IF($K166="","",$K166)</f>
        <v/>
      </c>
      <c r="D166" s="171" t="n"/>
      <c r="E166" s="171" t="n"/>
      <c r="F166" s="172" t="n"/>
      <c r="G166" s="172" t="n"/>
      <c r="H166" s="173">
        <f>IF(OR(F166="",G166=""),"",ROUND(MOD(G166-F166,1)*24,2))</f>
        <v/>
      </c>
      <c r="I166" s="339" t="n"/>
      <c r="J166" s="339" t="n"/>
      <c r="K166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67" ht="20" customHeight="1">
      <c r="D167" s="179" t="n"/>
      <c r="E167" s="179" t="n"/>
      <c r="F167" s="180" t="n"/>
      <c r="G167" s="180" t="n"/>
      <c r="H167" s="181">
        <f>IF(OR(F167="",G167=""),"",ROUND(MOD(G167-F167,1)*24,2))</f>
        <v/>
      </c>
      <c r="K167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68" ht="20" customHeight="1">
      <c r="D168" s="179" t="n"/>
      <c r="E168" s="179" t="n"/>
      <c r="F168" s="180" t="n"/>
      <c r="G168" s="180" t="n"/>
      <c r="H168" s="181">
        <f>IF(OR(F168="",G168=""),"",ROUND(MOD(G168-F168,1)*24,2))</f>
        <v/>
      </c>
      <c r="K168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69" ht="20" customHeight="1">
      <c r="D169" s="179" t="n"/>
      <c r="E169" s="179" t="n"/>
      <c r="F169" s="180" t="n"/>
      <c r="G169" s="180" t="n"/>
      <c r="H169" s="181">
        <f>IF(OR(F169="",G169=""),"",ROUND(MOD(G169-F169,1)*24,2))</f>
        <v/>
      </c>
      <c r="K169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70" collapsed="1" ht="20" customHeight="1">
      <c r="D170" s="179" t="n"/>
      <c r="E170" s="179" t="n"/>
      <c r="F170" s="180" t="n"/>
      <c r="G170" s="180" t="n"/>
      <c r="H170" s="181">
        <f>IF(OR(F170="",G170=""),"",ROUND(MOD(G170-F170,1)*24,2))</f>
        <v/>
      </c>
      <c r="K170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71" hidden="1" outlineLevel="1" ht="20" customHeight="1">
      <c r="D171" s="179" t="n"/>
      <c r="E171" s="179" t="n"/>
      <c r="F171" s="180" t="n"/>
      <c r="G171" s="180" t="n"/>
      <c r="H171" s="181">
        <f>IF(OR(F171="",G171=""),"",ROUND(MOD(G171-F171,1)*24,2))</f>
        <v/>
      </c>
      <c r="K171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72" hidden="1" outlineLevel="1" ht="20" customHeight="1">
      <c r="D172" s="179" t="n"/>
      <c r="E172" s="179" t="n"/>
      <c r="F172" s="180" t="n"/>
      <c r="G172" s="180" t="n"/>
      <c r="H172" s="181">
        <f>IF(OR(F172="",G172=""),"",ROUND(MOD(G172-F172,1)*24,2))</f>
        <v/>
      </c>
      <c r="K172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73" hidden="1" outlineLevel="1" ht="20" customHeight="1">
      <c r="D173" s="179" t="n"/>
      <c r="E173" s="179" t="n"/>
      <c r="F173" s="180" t="n"/>
      <c r="G173" s="180" t="n"/>
      <c r="H173" s="181">
        <f>IF(OR(F173="",G173=""),"",ROUND(MOD(G173-F173,1)*24,2))</f>
        <v/>
      </c>
      <c r="K173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74" hidden="1" outlineLevel="1" ht="20" customHeight="1">
      <c r="D174" s="179" t="n"/>
      <c r="E174" s="179" t="n"/>
      <c r="F174" s="180" t="n"/>
      <c r="G174" s="180" t="n"/>
      <c r="H174" s="181">
        <f>IF(OR(F174="",G174=""),"",ROUND(MOD(G174-F174,1)*24,2))</f>
        <v/>
      </c>
      <c r="K174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75" hidden="1" outlineLevel="1" ht="20" customHeight="1">
      <c r="A175" s="342" t="n"/>
      <c r="B175" s="342" t="n"/>
      <c r="C175" s="342" t="n"/>
      <c r="D175" s="332" t="n"/>
      <c r="E175" s="332" t="n"/>
      <c r="F175" s="333" t="n"/>
      <c r="G175" s="333" t="n"/>
      <c r="H175" s="334">
        <f>IF(OR(F175="",G175=""),"",ROUND(MOD(G175-F175,1)*24,2))</f>
        <v/>
      </c>
      <c r="I175" s="342" t="n"/>
      <c r="J175" s="342" t="n"/>
      <c r="K175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</row>
    <row r="176" ht="20" customHeight="1">
      <c r="A176" s="336">
        <f>IF($K176="","",WEEKNUM($K176,21))</f>
        <v/>
      </c>
      <c r="B176" s="337">
        <f>IF($K176="","",$K176)</f>
        <v/>
      </c>
      <c r="C176" s="338">
        <f>IF($K176="","",$K176)</f>
        <v/>
      </c>
      <c r="D176" s="171" t="n"/>
      <c r="E176" s="171" t="n"/>
      <c r="F176" s="172" t="n"/>
      <c r="G176" s="172" t="n"/>
      <c r="H176" s="173">
        <f>IF(OR(F176="",G176=""),"",ROUND(MOD(G176-F176,1)*24,2))</f>
        <v/>
      </c>
      <c r="I176" s="339" t="n"/>
      <c r="J176" s="339" t="n"/>
      <c r="K176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77" ht="20" customHeight="1">
      <c r="D177" s="179" t="n"/>
      <c r="E177" s="179" t="n"/>
      <c r="F177" s="180" t="n"/>
      <c r="G177" s="180" t="n"/>
      <c r="H177" s="181">
        <f>IF(OR(F177="",G177=""),"",ROUND(MOD(G177-F177,1)*24,2))</f>
        <v/>
      </c>
      <c r="K177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78" ht="20" customHeight="1">
      <c r="D178" s="179" t="n"/>
      <c r="E178" s="179" t="n"/>
      <c r="F178" s="180" t="n"/>
      <c r="G178" s="180" t="n"/>
      <c r="H178" s="181">
        <f>IF(OR(F178="",G178=""),"",ROUND(MOD(G178-F178,1)*24,2))</f>
        <v/>
      </c>
      <c r="K178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79" ht="20" customHeight="1">
      <c r="D179" s="179" t="n"/>
      <c r="E179" s="179" t="n"/>
      <c r="F179" s="180" t="n"/>
      <c r="G179" s="180" t="n"/>
      <c r="H179" s="181">
        <f>IF(OR(F179="",G179=""),"",ROUND(MOD(G179-F179,1)*24,2))</f>
        <v/>
      </c>
      <c r="K179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80" collapsed="1" ht="20" customHeight="1">
      <c r="D180" s="179" t="n"/>
      <c r="E180" s="179" t="n"/>
      <c r="F180" s="180" t="n"/>
      <c r="G180" s="180" t="n"/>
      <c r="H180" s="181">
        <f>IF(OR(F180="",G180=""),"",ROUND(MOD(G180-F180,1)*24,2))</f>
        <v/>
      </c>
      <c r="K180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81" hidden="1" outlineLevel="1" ht="20" customHeight="1">
      <c r="D181" s="179" t="n"/>
      <c r="E181" s="179" t="n"/>
      <c r="F181" s="180" t="n"/>
      <c r="G181" s="180" t="n"/>
      <c r="H181" s="181">
        <f>IF(OR(F181="",G181=""),"",ROUND(MOD(G181-F181,1)*24,2))</f>
        <v/>
      </c>
      <c r="K181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82" hidden="1" outlineLevel="1" ht="20" customHeight="1">
      <c r="D182" s="179" t="n"/>
      <c r="E182" s="179" t="n"/>
      <c r="F182" s="180" t="n"/>
      <c r="G182" s="180" t="n"/>
      <c r="H182" s="181">
        <f>IF(OR(F182="",G182=""),"",ROUND(MOD(G182-F182,1)*24,2))</f>
        <v/>
      </c>
      <c r="K182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83" hidden="1" outlineLevel="1" ht="20" customHeight="1">
      <c r="D183" s="179" t="n"/>
      <c r="E183" s="179" t="n"/>
      <c r="F183" s="180" t="n"/>
      <c r="G183" s="180" t="n"/>
      <c r="H183" s="181">
        <f>IF(OR(F183="",G183=""),"",ROUND(MOD(G183-F183,1)*24,2))</f>
        <v/>
      </c>
      <c r="K183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84" hidden="1" outlineLevel="1" ht="20" customHeight="1">
      <c r="D184" s="179" t="n"/>
      <c r="E184" s="179" t="n"/>
      <c r="F184" s="180" t="n"/>
      <c r="G184" s="180" t="n"/>
      <c r="H184" s="181">
        <f>IF(OR(F184="",G184=""),"",ROUND(MOD(G184-F184,1)*24,2))</f>
        <v/>
      </c>
      <c r="K184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85" hidden="1" outlineLevel="1" ht="20" customHeight="1">
      <c r="A185" s="342" t="n"/>
      <c r="B185" s="342" t="n"/>
      <c r="C185" s="342" t="n"/>
      <c r="D185" s="332" t="n"/>
      <c r="E185" s="332" t="n"/>
      <c r="F185" s="333" t="n"/>
      <c r="G185" s="333" t="n"/>
      <c r="H185" s="334">
        <f>IF(OR(F185="",G185=""),"",ROUND(MOD(G185-F185,1)*24,2))</f>
        <v/>
      </c>
      <c r="I185" s="342" t="n"/>
      <c r="J185" s="342" t="n"/>
      <c r="K185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</row>
    <row r="186" ht="20" customHeight="1">
      <c r="A186" s="336">
        <f>IF($K186="","",WEEKNUM($K186,21))</f>
        <v/>
      </c>
      <c r="B186" s="337">
        <f>IF($K186="","",$K186)</f>
        <v/>
      </c>
      <c r="C186" s="338">
        <f>IF($K186="","",$K186)</f>
        <v/>
      </c>
      <c r="D186" s="171" t="n"/>
      <c r="E186" s="171" t="n"/>
      <c r="F186" s="172" t="n"/>
      <c r="G186" s="172" t="n"/>
      <c r="H186" s="173">
        <f>IF(OR(F186="",G186=""),"",ROUND(MOD(G186-F186,1)*24,2))</f>
        <v/>
      </c>
      <c r="I186" s="339" t="n"/>
      <c r="J186" s="339" t="n"/>
      <c r="K186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87" ht="20" customHeight="1">
      <c r="D187" s="179" t="n"/>
      <c r="E187" s="179" t="n"/>
      <c r="F187" s="180" t="n"/>
      <c r="G187" s="180" t="n"/>
      <c r="H187" s="181">
        <f>IF(OR(F187="",G187=""),"",ROUND(MOD(G187-F187,1)*24,2))</f>
        <v/>
      </c>
      <c r="K187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88" ht="20" customHeight="1">
      <c r="D188" s="179" t="n"/>
      <c r="E188" s="179" t="n"/>
      <c r="F188" s="180" t="n"/>
      <c r="G188" s="180" t="n"/>
      <c r="H188" s="181">
        <f>IF(OR(F188="",G188=""),"",ROUND(MOD(G188-F188,1)*24,2))</f>
        <v/>
      </c>
      <c r="K188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89" ht="20" customHeight="1">
      <c r="D189" s="179" t="n"/>
      <c r="E189" s="179" t="n"/>
      <c r="F189" s="180" t="n"/>
      <c r="G189" s="180" t="n"/>
      <c r="H189" s="181">
        <f>IF(OR(F189="",G189=""),"",ROUND(MOD(G189-F189,1)*24,2))</f>
        <v/>
      </c>
      <c r="K189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90" collapsed="1" ht="20" customHeight="1">
      <c r="D190" s="179" t="n"/>
      <c r="E190" s="179" t="n"/>
      <c r="F190" s="180" t="n"/>
      <c r="G190" s="180" t="n"/>
      <c r="H190" s="181">
        <f>IF(OR(F190="",G190=""),"",ROUND(MOD(G190-F190,1)*24,2))</f>
        <v/>
      </c>
      <c r="K190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91" hidden="1" outlineLevel="1" ht="20" customHeight="1">
      <c r="D191" s="179" t="n"/>
      <c r="E191" s="179" t="n"/>
      <c r="F191" s="180" t="n"/>
      <c r="G191" s="180" t="n"/>
      <c r="H191" s="181">
        <f>IF(OR(F191="",G191=""),"",ROUND(MOD(G191-F191,1)*24,2))</f>
        <v/>
      </c>
      <c r="K191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92" hidden="1" outlineLevel="1" ht="20" customHeight="1">
      <c r="D192" s="179" t="n"/>
      <c r="E192" s="179" t="n"/>
      <c r="F192" s="180" t="n"/>
      <c r="G192" s="180" t="n"/>
      <c r="H192" s="181">
        <f>IF(OR(F192="",G192=""),"",ROUND(MOD(G192-F192,1)*24,2))</f>
        <v/>
      </c>
      <c r="K192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93" hidden="1" outlineLevel="1" ht="20" customHeight="1">
      <c r="D193" s="179" t="n"/>
      <c r="E193" s="179" t="n"/>
      <c r="F193" s="180" t="n"/>
      <c r="G193" s="180" t="n"/>
      <c r="H193" s="181">
        <f>IF(OR(F193="",G193=""),"",ROUND(MOD(G193-F193,1)*24,2))</f>
        <v/>
      </c>
      <c r="K193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94" hidden="1" outlineLevel="1" ht="20" customHeight="1">
      <c r="D194" s="179" t="n"/>
      <c r="E194" s="179" t="n"/>
      <c r="F194" s="180" t="n"/>
      <c r="G194" s="180" t="n"/>
      <c r="H194" s="181">
        <f>IF(OR(F194="",G194=""),"",ROUND(MOD(G194-F194,1)*24,2))</f>
        <v/>
      </c>
      <c r="K194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95" hidden="1" outlineLevel="1" ht="20" customHeight="1">
      <c r="A195" s="342" t="n"/>
      <c r="B195" s="342" t="n"/>
      <c r="C195" s="342" t="n"/>
      <c r="D195" s="332" t="n"/>
      <c r="E195" s="332" t="n"/>
      <c r="F195" s="333" t="n"/>
      <c r="G195" s="333" t="n"/>
      <c r="H195" s="334">
        <f>IF(OR(F195="",G195=""),"",ROUND(MOD(G195-F195,1)*24,2))</f>
        <v/>
      </c>
      <c r="I195" s="342" t="n"/>
      <c r="J195" s="342" t="n"/>
      <c r="K195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</row>
    <row r="196" ht="20" customHeight="1">
      <c r="A196" s="336">
        <f>IF($K196="","",WEEKNUM($K196,21))</f>
        <v/>
      </c>
      <c r="B196" s="337">
        <f>IF($K196="","",$K196)</f>
        <v/>
      </c>
      <c r="C196" s="338">
        <f>IF($K196="","",$K196)</f>
        <v/>
      </c>
      <c r="D196" s="171" t="n"/>
      <c r="E196" s="171" t="n"/>
      <c r="F196" s="172" t="n"/>
      <c r="G196" s="172" t="n"/>
      <c r="H196" s="173">
        <f>IF(OR(F196="",G196=""),"",ROUND(MOD(G196-F196,1)*24,2))</f>
        <v/>
      </c>
      <c r="I196" s="339" t="n"/>
      <c r="J196" s="339" t="n"/>
      <c r="K196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197" ht="20" customHeight="1">
      <c r="D197" s="179" t="n"/>
      <c r="E197" s="179" t="n"/>
      <c r="F197" s="180" t="n"/>
      <c r="G197" s="180" t="n"/>
      <c r="H197" s="181">
        <f>IF(OR(F197="",G197=""),"",ROUND(MOD(G197-F197,1)*24,2))</f>
        <v/>
      </c>
      <c r="K197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198" ht="20" customHeight="1">
      <c r="D198" s="179" t="n"/>
      <c r="E198" s="179" t="n"/>
      <c r="F198" s="180" t="n"/>
      <c r="G198" s="180" t="n"/>
      <c r="H198" s="181">
        <f>IF(OR(F198="",G198=""),"",ROUND(MOD(G198-F198,1)*24,2))</f>
        <v/>
      </c>
      <c r="K198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199" ht="20" customHeight="1">
      <c r="D199" s="179" t="n"/>
      <c r="E199" s="179" t="n"/>
      <c r="F199" s="180" t="n"/>
      <c r="G199" s="180" t="n"/>
      <c r="H199" s="181">
        <f>IF(OR(F199="",G199=""),"",ROUND(MOD(G199-F199,1)*24,2))</f>
        <v/>
      </c>
      <c r="K199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200" collapsed="1" ht="20" customHeight="1">
      <c r="D200" s="179" t="n"/>
      <c r="E200" s="179" t="n"/>
      <c r="F200" s="180" t="n"/>
      <c r="G200" s="180" t="n"/>
      <c r="H200" s="181">
        <f>IF(OR(F200="",G200=""),"",ROUND(MOD(G200-F200,1)*24,2))</f>
        <v/>
      </c>
      <c r="K200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201" hidden="1" outlineLevel="1" ht="20" customHeight="1">
      <c r="D201" s="179" t="n"/>
      <c r="E201" s="179" t="n"/>
      <c r="F201" s="180" t="n"/>
      <c r="G201" s="180" t="n"/>
      <c r="H201" s="181">
        <f>IF(OR(F201="",G201=""),"",ROUND(MOD(G201-F201,1)*24,2))</f>
        <v/>
      </c>
      <c r="K201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202" hidden="1" outlineLevel="1" ht="20" customHeight="1">
      <c r="D202" s="179" t="n"/>
      <c r="E202" s="179" t="n"/>
      <c r="F202" s="180" t="n"/>
      <c r="G202" s="180" t="n"/>
      <c r="H202" s="181">
        <f>IF(OR(F202="",G202=""),"",ROUND(MOD(G202-F202,1)*24,2))</f>
        <v/>
      </c>
      <c r="K202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203" hidden="1" outlineLevel="1" ht="20" customHeight="1">
      <c r="D203" s="179" t="n"/>
      <c r="E203" s="179" t="n"/>
      <c r="F203" s="180" t="n"/>
      <c r="G203" s="180" t="n"/>
      <c r="H203" s="181">
        <f>IF(OR(F203="",G203=""),"",ROUND(MOD(G203-F203,1)*24,2))</f>
        <v/>
      </c>
      <c r="K203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204" hidden="1" outlineLevel="1" ht="20" customHeight="1">
      <c r="D204" s="179" t="n"/>
      <c r="E204" s="179" t="n"/>
      <c r="F204" s="180" t="n"/>
      <c r="G204" s="180" t="n"/>
      <c r="H204" s="181">
        <f>IF(OR(F204="",G204=""),"",ROUND(MOD(G204-F204,1)*24,2))</f>
        <v/>
      </c>
      <c r="K204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205" hidden="1" outlineLevel="1" ht="20" customHeight="1">
      <c r="A205" s="342" t="n"/>
      <c r="B205" s="342" t="n"/>
      <c r="C205" s="342" t="n"/>
      <c r="D205" s="332" t="n"/>
      <c r="E205" s="332" t="n"/>
      <c r="F205" s="333" t="n"/>
      <c r="G205" s="333" t="n"/>
      <c r="H205" s="334">
        <f>IF(OR(F205="",G205=""),"",ROUND(MOD(G205-F205,1)*24,2))</f>
        <v/>
      </c>
      <c r="I205" s="342" t="n"/>
      <c r="J205" s="342" t="n"/>
      <c r="K205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</row>
    <row r="206" ht="20" customHeight="1">
      <c r="A206" s="336">
        <f>IF($K206="","",WEEKNUM($K206,21))</f>
        <v/>
      </c>
      <c r="B206" s="337">
        <f>IF($K206="","",$K206)</f>
        <v/>
      </c>
      <c r="C206" s="338">
        <f>IF($K206="","",$K206)</f>
        <v/>
      </c>
      <c r="D206" s="171" t="n"/>
      <c r="E206" s="171" t="n"/>
      <c r="F206" s="172" t="n"/>
      <c r="G206" s="172" t="n"/>
      <c r="H206" s="173">
        <f>IF(OR(F206="",G206=""),"",ROUND(MOD(G206-F206,1)*24,2))</f>
        <v/>
      </c>
      <c r="I206" s="339" t="n"/>
      <c r="J206" s="339" t="n"/>
      <c r="K206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07" ht="20" customHeight="1">
      <c r="D207" s="179" t="n"/>
      <c r="E207" s="179" t="n"/>
      <c r="F207" s="180" t="n"/>
      <c r="G207" s="180" t="n"/>
      <c r="H207" s="181">
        <f>IF(OR(F207="",G207=""),"",ROUND(MOD(G207-F207,1)*24,2))</f>
        <v/>
      </c>
      <c r="K207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08" ht="20" customHeight="1">
      <c r="D208" s="179" t="n"/>
      <c r="E208" s="179" t="n"/>
      <c r="F208" s="180" t="n"/>
      <c r="G208" s="180" t="n"/>
      <c r="H208" s="181">
        <f>IF(OR(F208="",G208=""),"",ROUND(MOD(G208-F208,1)*24,2))</f>
        <v/>
      </c>
      <c r="K208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09" ht="20" customHeight="1">
      <c r="D209" s="179" t="n"/>
      <c r="E209" s="179" t="n"/>
      <c r="F209" s="180" t="n"/>
      <c r="G209" s="180" t="n"/>
      <c r="H209" s="181">
        <f>IF(OR(F209="",G209=""),"",ROUND(MOD(G209-F209,1)*24,2))</f>
        <v/>
      </c>
      <c r="K209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10" collapsed="1" ht="20" customHeight="1">
      <c r="D210" s="179" t="n"/>
      <c r="E210" s="179" t="n"/>
      <c r="F210" s="180" t="n"/>
      <c r="G210" s="180" t="n"/>
      <c r="H210" s="181">
        <f>IF(OR(F210="",G210=""),"",ROUND(MOD(G210-F210,1)*24,2))</f>
        <v/>
      </c>
      <c r="K210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11" hidden="1" outlineLevel="1" ht="20" customHeight="1">
      <c r="D211" s="179" t="n"/>
      <c r="E211" s="179" t="n"/>
      <c r="F211" s="180" t="n"/>
      <c r="G211" s="180" t="n"/>
      <c r="H211" s="181">
        <f>IF(OR(F211="",G211=""),"",ROUND(MOD(G211-F211,1)*24,2))</f>
        <v/>
      </c>
      <c r="K211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12" hidden="1" outlineLevel="1" ht="20" customHeight="1">
      <c r="D212" s="179" t="n"/>
      <c r="E212" s="179" t="n"/>
      <c r="F212" s="180" t="n"/>
      <c r="G212" s="180" t="n"/>
      <c r="H212" s="181">
        <f>IF(OR(F212="",G212=""),"",ROUND(MOD(G212-F212,1)*24,2))</f>
        <v/>
      </c>
      <c r="K212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13" hidden="1" outlineLevel="1" ht="20" customHeight="1">
      <c r="D213" s="179" t="n"/>
      <c r="E213" s="179" t="n"/>
      <c r="F213" s="180" t="n"/>
      <c r="G213" s="180" t="n"/>
      <c r="H213" s="181">
        <f>IF(OR(F213="",G213=""),"",ROUND(MOD(G213-F213,1)*24,2))</f>
        <v/>
      </c>
      <c r="K213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14" hidden="1" outlineLevel="1" ht="20" customHeight="1">
      <c r="D214" s="179" t="n"/>
      <c r="E214" s="179" t="n"/>
      <c r="F214" s="180" t="n"/>
      <c r="G214" s="180" t="n"/>
      <c r="H214" s="181">
        <f>IF(OR(F214="",G214=""),"",ROUND(MOD(G214-F214,1)*24,2))</f>
        <v/>
      </c>
      <c r="K214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15" hidden="1" outlineLevel="1" ht="20" customHeight="1">
      <c r="A215" s="342" t="n"/>
      <c r="B215" s="342" t="n"/>
      <c r="C215" s="342" t="n"/>
      <c r="D215" s="332" t="n"/>
      <c r="E215" s="332" t="n"/>
      <c r="F215" s="333" t="n"/>
      <c r="G215" s="333" t="n"/>
      <c r="H215" s="334">
        <f>IF(OR(F215="",G215=""),"",ROUND(MOD(G215-F215,1)*24,2))</f>
        <v/>
      </c>
      <c r="I215" s="342" t="n"/>
      <c r="J215" s="342" t="n"/>
      <c r="K215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</row>
    <row r="216" ht="20" customHeight="1">
      <c r="A216" s="336">
        <f>IF($K216="","",WEEKNUM($K216,21))</f>
        <v/>
      </c>
      <c r="B216" s="337">
        <f>IF($K216="","",$K216)</f>
        <v/>
      </c>
      <c r="C216" s="338">
        <f>IF($K216="","",$K216)</f>
        <v/>
      </c>
      <c r="D216" s="171" t="n"/>
      <c r="E216" s="171" t="n"/>
      <c r="F216" s="172" t="n"/>
      <c r="G216" s="172" t="n"/>
      <c r="H216" s="173">
        <f>IF(OR(F216="",G216=""),"",ROUND(MOD(G216-F216,1)*24,2))</f>
        <v/>
      </c>
      <c r="I216" s="339" t="n"/>
      <c r="J216" s="339" t="n"/>
      <c r="K216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17" ht="20" customHeight="1">
      <c r="D217" s="179" t="n"/>
      <c r="E217" s="179" t="n"/>
      <c r="F217" s="180" t="n"/>
      <c r="G217" s="180" t="n"/>
      <c r="H217" s="181">
        <f>IF(OR(F217="",G217=""),"",ROUND(MOD(G217-F217,1)*24,2))</f>
        <v/>
      </c>
      <c r="K217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18" ht="20" customHeight="1">
      <c r="D218" s="179" t="n"/>
      <c r="E218" s="179" t="n"/>
      <c r="F218" s="180" t="n"/>
      <c r="G218" s="180" t="n"/>
      <c r="H218" s="181">
        <f>IF(OR(F218="",G218=""),"",ROUND(MOD(G218-F218,1)*24,2))</f>
        <v/>
      </c>
      <c r="K218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19" ht="20" customHeight="1">
      <c r="D219" s="179" t="n"/>
      <c r="E219" s="179" t="n"/>
      <c r="F219" s="180" t="n"/>
      <c r="G219" s="180" t="n"/>
      <c r="H219" s="181">
        <f>IF(OR(F219="",G219=""),"",ROUND(MOD(G219-F219,1)*24,2))</f>
        <v/>
      </c>
      <c r="K219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20" collapsed="1" ht="20" customHeight="1">
      <c r="D220" s="179" t="n"/>
      <c r="E220" s="179" t="n"/>
      <c r="F220" s="180" t="n"/>
      <c r="G220" s="180" t="n"/>
      <c r="H220" s="181">
        <f>IF(OR(F220="",G220=""),"",ROUND(MOD(G220-F220,1)*24,2))</f>
        <v/>
      </c>
      <c r="K220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21" hidden="1" outlineLevel="1" ht="20" customHeight="1">
      <c r="D221" s="179" t="n"/>
      <c r="E221" s="179" t="n"/>
      <c r="F221" s="180" t="n"/>
      <c r="G221" s="180" t="n"/>
      <c r="H221" s="181">
        <f>IF(OR(F221="",G221=""),"",ROUND(MOD(G221-F221,1)*24,2))</f>
        <v/>
      </c>
      <c r="K221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22" hidden="1" outlineLevel="1" ht="20" customHeight="1">
      <c r="D222" s="179" t="n"/>
      <c r="E222" s="179" t="n"/>
      <c r="F222" s="180" t="n"/>
      <c r="G222" s="180" t="n"/>
      <c r="H222" s="181">
        <f>IF(OR(F222="",G222=""),"",ROUND(MOD(G222-F222,1)*24,2))</f>
        <v/>
      </c>
      <c r="K222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23" hidden="1" outlineLevel="1" ht="20" customHeight="1">
      <c r="D223" s="179" t="n"/>
      <c r="E223" s="179" t="n"/>
      <c r="F223" s="180" t="n"/>
      <c r="G223" s="180" t="n"/>
      <c r="H223" s="181">
        <f>IF(OR(F223="",G223=""),"",ROUND(MOD(G223-F223,1)*24,2))</f>
        <v/>
      </c>
      <c r="K223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24" hidden="1" outlineLevel="1" ht="20" customHeight="1">
      <c r="D224" s="179" t="n"/>
      <c r="E224" s="179" t="n"/>
      <c r="F224" s="180" t="n"/>
      <c r="G224" s="180" t="n"/>
      <c r="H224" s="181">
        <f>IF(OR(F224="",G224=""),"",ROUND(MOD(G224-F224,1)*24,2))</f>
        <v/>
      </c>
      <c r="K224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25" hidden="1" outlineLevel="1" ht="20" customHeight="1">
      <c r="A225" s="342" t="n"/>
      <c r="B225" s="342" t="n"/>
      <c r="C225" s="342" t="n"/>
      <c r="D225" s="332" t="n"/>
      <c r="E225" s="332" t="n"/>
      <c r="F225" s="333" t="n"/>
      <c r="G225" s="333" t="n"/>
      <c r="H225" s="334">
        <f>IF(OR(F225="",G225=""),"",ROUND(MOD(G225-F225,1)*24,2))</f>
        <v/>
      </c>
      <c r="I225" s="342" t="n"/>
      <c r="J225" s="342" t="n"/>
      <c r="K225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</row>
    <row r="226" ht="20" customHeight="1">
      <c r="A226" s="336">
        <f>IF($K226="","",WEEKNUM($K226,21))</f>
        <v/>
      </c>
      <c r="B226" s="337">
        <f>IF($K226="","",$K226)</f>
        <v/>
      </c>
      <c r="C226" s="338">
        <f>IF($K226="","",$K226)</f>
        <v/>
      </c>
      <c r="D226" s="171" t="n"/>
      <c r="E226" s="171" t="n"/>
      <c r="F226" s="172" t="n"/>
      <c r="G226" s="172" t="n"/>
      <c r="H226" s="173">
        <f>IF(OR(F226="",G226=""),"",ROUND(MOD(G226-F226,1)*24,2))</f>
        <v/>
      </c>
      <c r="I226" s="339" t="n"/>
      <c r="J226" s="339" t="n"/>
      <c r="K226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27" ht="20" customHeight="1">
      <c r="D227" s="179" t="n"/>
      <c r="E227" s="179" t="n"/>
      <c r="F227" s="180" t="n"/>
      <c r="G227" s="180" t="n"/>
      <c r="H227" s="181">
        <f>IF(OR(F227="",G227=""),"",ROUND(MOD(G227-F227,1)*24,2))</f>
        <v/>
      </c>
      <c r="K227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28" ht="20" customHeight="1">
      <c r="D228" s="179" t="n"/>
      <c r="E228" s="179" t="n"/>
      <c r="F228" s="180" t="n"/>
      <c r="G228" s="180" t="n"/>
      <c r="H228" s="181">
        <f>IF(OR(F228="",G228=""),"",ROUND(MOD(G228-F228,1)*24,2))</f>
        <v/>
      </c>
      <c r="K228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29" ht="20" customHeight="1">
      <c r="D229" s="179" t="n"/>
      <c r="E229" s="179" t="n"/>
      <c r="F229" s="180" t="n"/>
      <c r="G229" s="180" t="n"/>
      <c r="H229" s="181">
        <f>IF(OR(F229="",G229=""),"",ROUND(MOD(G229-F229,1)*24,2))</f>
        <v/>
      </c>
      <c r="K229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30" collapsed="1" ht="20" customHeight="1">
      <c r="D230" s="179" t="n"/>
      <c r="E230" s="179" t="n"/>
      <c r="F230" s="180" t="n"/>
      <c r="G230" s="180" t="n"/>
      <c r="H230" s="181">
        <f>IF(OR(F230="",G230=""),"",ROUND(MOD(G230-F230,1)*24,2))</f>
        <v/>
      </c>
      <c r="K230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31" hidden="1" outlineLevel="1" ht="20" customHeight="1">
      <c r="D231" s="179" t="n"/>
      <c r="E231" s="179" t="n"/>
      <c r="F231" s="180" t="n"/>
      <c r="G231" s="180" t="n"/>
      <c r="H231" s="181">
        <f>IF(OR(F231="",G231=""),"",ROUND(MOD(G231-F231,1)*24,2))</f>
        <v/>
      </c>
      <c r="K231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32" hidden="1" outlineLevel="1" ht="20" customHeight="1">
      <c r="D232" s="179" t="n"/>
      <c r="E232" s="179" t="n"/>
      <c r="F232" s="180" t="n"/>
      <c r="G232" s="180" t="n"/>
      <c r="H232" s="181">
        <f>IF(OR(F232="",G232=""),"",ROUND(MOD(G232-F232,1)*24,2))</f>
        <v/>
      </c>
      <c r="K232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33" hidden="1" outlineLevel="1" ht="20" customHeight="1">
      <c r="D233" s="179" t="n"/>
      <c r="E233" s="179" t="n"/>
      <c r="F233" s="180" t="n"/>
      <c r="G233" s="180" t="n"/>
      <c r="H233" s="181">
        <f>IF(OR(F233="",G233=""),"",ROUND(MOD(G233-F233,1)*24,2))</f>
        <v/>
      </c>
      <c r="K233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34" hidden="1" outlineLevel="1" ht="20" customHeight="1">
      <c r="D234" s="179" t="n"/>
      <c r="E234" s="179" t="n"/>
      <c r="F234" s="180" t="n"/>
      <c r="G234" s="180" t="n"/>
      <c r="H234" s="181">
        <f>IF(OR(F234="",G234=""),"",ROUND(MOD(G234-F234,1)*24,2))</f>
        <v/>
      </c>
      <c r="K234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35" hidden="1" outlineLevel="1" ht="20" customHeight="1">
      <c r="A235" s="342" t="n"/>
      <c r="B235" s="342" t="n"/>
      <c r="C235" s="342" t="n"/>
      <c r="D235" s="332" t="n"/>
      <c r="E235" s="332" t="n"/>
      <c r="F235" s="333" t="n"/>
      <c r="G235" s="333" t="n"/>
      <c r="H235" s="334">
        <f>IF(OR(F235="",G235=""),"",ROUND(MOD(G235-F235,1)*24,2))</f>
        <v/>
      </c>
      <c r="I235" s="342" t="n"/>
      <c r="J235" s="342" t="n"/>
      <c r="K235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</row>
    <row r="236" ht="20" customHeight="1">
      <c r="A236" s="336">
        <f>IF($K236="","",WEEKNUM($K236,21))</f>
        <v/>
      </c>
      <c r="B236" s="337">
        <f>IF($K236="","",$K236)</f>
        <v/>
      </c>
      <c r="C236" s="338">
        <f>IF($K236="","",$K236)</f>
        <v/>
      </c>
      <c r="D236" s="171" t="n"/>
      <c r="E236" s="171" t="n"/>
      <c r="F236" s="172" t="n"/>
      <c r="G236" s="172" t="n"/>
      <c r="H236" s="173">
        <f>IF(OR(F236="",G236=""),"",ROUND(MOD(G236-F236,1)*24,2))</f>
        <v/>
      </c>
      <c r="I236" s="339" t="n"/>
      <c r="J236" s="339" t="n"/>
      <c r="K236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37" ht="20" customHeight="1">
      <c r="D237" s="179" t="n"/>
      <c r="E237" s="179" t="n"/>
      <c r="F237" s="180" t="n"/>
      <c r="G237" s="180" t="n"/>
      <c r="H237" s="181">
        <f>IF(OR(F237="",G237=""),"",ROUND(MOD(G237-F237,1)*24,2))</f>
        <v/>
      </c>
      <c r="K237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38" ht="20" customHeight="1">
      <c r="D238" s="179" t="n"/>
      <c r="E238" s="179" t="n"/>
      <c r="F238" s="180" t="n"/>
      <c r="G238" s="180" t="n"/>
      <c r="H238" s="181">
        <f>IF(OR(F238="",G238=""),"",ROUND(MOD(G238-F238,1)*24,2))</f>
        <v/>
      </c>
      <c r="K238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39" ht="20" customHeight="1">
      <c r="D239" s="179" t="n"/>
      <c r="E239" s="179" t="n"/>
      <c r="F239" s="180" t="n"/>
      <c r="G239" s="180" t="n"/>
      <c r="H239" s="181">
        <f>IF(OR(F239="",G239=""),"",ROUND(MOD(G239-F239,1)*24,2))</f>
        <v/>
      </c>
      <c r="K239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40" collapsed="1" ht="20" customHeight="1">
      <c r="D240" s="179" t="n"/>
      <c r="E240" s="179" t="n"/>
      <c r="F240" s="180" t="n"/>
      <c r="G240" s="180" t="n"/>
      <c r="H240" s="181">
        <f>IF(OR(F240="",G240=""),"",ROUND(MOD(G240-F240,1)*24,2))</f>
        <v/>
      </c>
      <c r="K240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41" hidden="1" outlineLevel="1" ht="20" customHeight="1">
      <c r="D241" s="179" t="n"/>
      <c r="E241" s="179" t="n"/>
      <c r="F241" s="180" t="n"/>
      <c r="G241" s="180" t="n"/>
      <c r="H241" s="181">
        <f>IF(OR(F241="",G241=""),"",ROUND(MOD(G241-F241,1)*24,2))</f>
        <v/>
      </c>
      <c r="K241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42" hidden="1" outlineLevel="1" ht="20" customHeight="1">
      <c r="D242" s="179" t="n"/>
      <c r="E242" s="179" t="n"/>
      <c r="F242" s="180" t="n"/>
      <c r="G242" s="180" t="n"/>
      <c r="H242" s="181">
        <f>IF(OR(F242="",G242=""),"",ROUND(MOD(G242-F242,1)*24,2))</f>
        <v/>
      </c>
      <c r="K242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43" hidden="1" outlineLevel="1" ht="20" customHeight="1">
      <c r="D243" s="179" t="n"/>
      <c r="E243" s="179" t="n"/>
      <c r="F243" s="180" t="n"/>
      <c r="G243" s="180" t="n"/>
      <c r="H243" s="181">
        <f>IF(OR(F243="",G243=""),"",ROUND(MOD(G243-F243,1)*24,2))</f>
        <v/>
      </c>
      <c r="K243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44" hidden="1" outlineLevel="1" ht="20" customHeight="1">
      <c r="D244" s="179" t="n"/>
      <c r="E244" s="179" t="n"/>
      <c r="F244" s="180" t="n"/>
      <c r="G244" s="180" t="n"/>
      <c r="H244" s="181">
        <f>IF(OR(F244="",G244=""),"",ROUND(MOD(G244-F244,1)*24,2))</f>
        <v/>
      </c>
      <c r="K244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45" hidden="1" outlineLevel="1" ht="20" customHeight="1">
      <c r="A245" s="342" t="n"/>
      <c r="B245" s="342" t="n"/>
      <c r="C245" s="342" t="n"/>
      <c r="D245" s="332" t="n"/>
      <c r="E245" s="332" t="n"/>
      <c r="F245" s="333" t="n"/>
      <c r="G245" s="333" t="n"/>
      <c r="H245" s="334">
        <f>IF(OR(F245="",G245=""),"",ROUND(MOD(G245-F245,1)*24,2))</f>
        <v/>
      </c>
      <c r="I245" s="342" t="n"/>
      <c r="J245" s="342" t="n"/>
      <c r="K245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</row>
    <row r="246" ht="20" customHeight="1">
      <c r="A246" s="336">
        <f>IF($K246="","",WEEKNUM($K246,21))</f>
        <v/>
      </c>
      <c r="B246" s="337">
        <f>IF($K246="","",$K246)</f>
        <v/>
      </c>
      <c r="C246" s="338">
        <f>IF($K246="","",$K246)</f>
        <v/>
      </c>
      <c r="D246" s="171" t="n"/>
      <c r="E246" s="171" t="n"/>
      <c r="F246" s="172" t="n"/>
      <c r="G246" s="172" t="n"/>
      <c r="H246" s="173">
        <f>IF(OR(F246="",G246=""),"",ROUND(MOD(G246-F246,1)*24,2))</f>
        <v/>
      </c>
      <c r="I246" s="339" t="n"/>
      <c r="J246" s="339" t="n"/>
      <c r="K246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47" ht="20" customHeight="1">
      <c r="D247" s="179" t="n"/>
      <c r="E247" s="179" t="n"/>
      <c r="F247" s="180" t="n"/>
      <c r="G247" s="180" t="n"/>
      <c r="H247" s="181">
        <f>IF(OR(F247="",G247=""),"",ROUND(MOD(G247-F247,1)*24,2))</f>
        <v/>
      </c>
      <c r="K247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48" ht="20" customHeight="1">
      <c r="D248" s="179" t="n"/>
      <c r="E248" s="179" t="n"/>
      <c r="F248" s="180" t="n"/>
      <c r="G248" s="180" t="n"/>
      <c r="H248" s="181">
        <f>IF(OR(F248="",G248=""),"",ROUND(MOD(G248-F248,1)*24,2))</f>
        <v/>
      </c>
      <c r="K248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49" ht="20" customHeight="1">
      <c r="D249" s="179" t="n"/>
      <c r="E249" s="179" t="n"/>
      <c r="F249" s="180" t="n"/>
      <c r="G249" s="180" t="n"/>
      <c r="H249" s="181">
        <f>IF(OR(F249="",G249=""),"",ROUND(MOD(G249-F249,1)*24,2))</f>
        <v/>
      </c>
      <c r="K249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50" collapsed="1" ht="20" customHeight="1">
      <c r="D250" s="179" t="n"/>
      <c r="E250" s="179" t="n"/>
      <c r="F250" s="180" t="n"/>
      <c r="G250" s="180" t="n"/>
      <c r="H250" s="181">
        <f>IF(OR(F250="",G250=""),"",ROUND(MOD(G250-F250,1)*24,2))</f>
        <v/>
      </c>
      <c r="K250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51" hidden="1" outlineLevel="1" ht="20" customHeight="1">
      <c r="D251" s="179" t="n"/>
      <c r="E251" s="179" t="n"/>
      <c r="F251" s="180" t="n"/>
      <c r="G251" s="180" t="n"/>
      <c r="H251" s="181">
        <f>IF(OR(F251="",G251=""),"",ROUND(MOD(G251-F251,1)*24,2))</f>
        <v/>
      </c>
      <c r="K251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52" hidden="1" outlineLevel="1" ht="20" customHeight="1">
      <c r="D252" s="179" t="n"/>
      <c r="E252" s="179" t="n"/>
      <c r="F252" s="180" t="n"/>
      <c r="G252" s="180" t="n"/>
      <c r="H252" s="181">
        <f>IF(OR(F252="",G252=""),"",ROUND(MOD(G252-F252,1)*24,2))</f>
        <v/>
      </c>
      <c r="K252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53" hidden="1" outlineLevel="1" ht="20" customHeight="1">
      <c r="D253" s="179" t="n"/>
      <c r="E253" s="179" t="n"/>
      <c r="F253" s="180" t="n"/>
      <c r="G253" s="180" t="n"/>
      <c r="H253" s="181">
        <f>IF(OR(F253="",G253=""),"",ROUND(MOD(G253-F253,1)*24,2))</f>
        <v/>
      </c>
      <c r="K253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54" hidden="1" outlineLevel="1" ht="20" customHeight="1">
      <c r="D254" s="179" t="n"/>
      <c r="E254" s="179" t="n"/>
      <c r="F254" s="180" t="n"/>
      <c r="G254" s="180" t="n"/>
      <c r="H254" s="181">
        <f>IF(OR(F254="",G254=""),"",ROUND(MOD(G254-F254,1)*24,2))</f>
        <v/>
      </c>
      <c r="K254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55" hidden="1" outlineLevel="1" ht="20" customHeight="1">
      <c r="A255" s="342" t="n"/>
      <c r="B255" s="342" t="n"/>
      <c r="C255" s="342" t="n"/>
      <c r="D255" s="332" t="n"/>
      <c r="E255" s="332" t="n"/>
      <c r="F255" s="333" t="n"/>
      <c r="G255" s="333" t="n"/>
      <c r="H255" s="334">
        <f>IF(OR(F255="",G255=""),"",ROUND(MOD(G255-F255,1)*24,2))</f>
        <v/>
      </c>
      <c r="I255" s="342" t="n"/>
      <c r="J255" s="342" t="n"/>
      <c r="K255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</row>
    <row r="256" ht="20" customHeight="1">
      <c r="A256" s="336">
        <f>IF($K256="","",WEEKNUM($K256,21))</f>
        <v/>
      </c>
      <c r="B256" s="337">
        <f>IF($K256="","",$K256)</f>
        <v/>
      </c>
      <c r="C256" s="338">
        <f>IF($K256="","",$K256)</f>
        <v/>
      </c>
      <c r="D256" s="171" t="n"/>
      <c r="E256" s="171" t="n"/>
      <c r="F256" s="172" t="n"/>
      <c r="G256" s="172" t="n"/>
      <c r="H256" s="173">
        <f>IF(OR(F256="",G256=""),"",ROUND(MOD(G256-F256,1)*24,2))</f>
        <v/>
      </c>
      <c r="I256" s="339" t="n"/>
      <c r="J256" s="339" t="n"/>
      <c r="K256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57" ht="20" customHeight="1">
      <c r="D257" s="179" t="n"/>
      <c r="E257" s="179" t="n"/>
      <c r="F257" s="180" t="n"/>
      <c r="G257" s="180" t="n"/>
      <c r="H257" s="181">
        <f>IF(OR(F257="",G257=""),"",ROUND(MOD(G257-F257,1)*24,2))</f>
        <v/>
      </c>
      <c r="K257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58" ht="20" customHeight="1">
      <c r="D258" s="179" t="n"/>
      <c r="E258" s="179" t="n"/>
      <c r="F258" s="180" t="n"/>
      <c r="G258" s="180" t="n"/>
      <c r="H258" s="181">
        <f>IF(OR(F258="",G258=""),"",ROUND(MOD(G258-F258,1)*24,2))</f>
        <v/>
      </c>
      <c r="K258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59" ht="20" customHeight="1">
      <c r="D259" s="179" t="n"/>
      <c r="E259" s="179" t="n"/>
      <c r="F259" s="180" t="n"/>
      <c r="G259" s="180" t="n"/>
      <c r="H259" s="181">
        <f>IF(OR(F259="",G259=""),"",ROUND(MOD(G259-F259,1)*24,2))</f>
        <v/>
      </c>
      <c r="K259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60" collapsed="1" ht="20" customHeight="1">
      <c r="D260" s="179" t="n"/>
      <c r="E260" s="179" t="n"/>
      <c r="F260" s="180" t="n"/>
      <c r="G260" s="180" t="n"/>
      <c r="H260" s="181">
        <f>IF(OR(F260="",G260=""),"",ROUND(MOD(G260-F260,1)*24,2))</f>
        <v/>
      </c>
      <c r="K260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61" hidden="1" outlineLevel="1" ht="20" customHeight="1">
      <c r="D261" s="179" t="n"/>
      <c r="E261" s="179" t="n"/>
      <c r="F261" s="180" t="n"/>
      <c r="G261" s="180" t="n"/>
      <c r="H261" s="181">
        <f>IF(OR(F261="",G261=""),"",ROUND(MOD(G261-F261,1)*24,2))</f>
        <v/>
      </c>
      <c r="K261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62" hidden="1" outlineLevel="1" ht="20" customHeight="1">
      <c r="D262" s="179" t="n"/>
      <c r="E262" s="179" t="n"/>
      <c r="F262" s="180" t="n"/>
      <c r="G262" s="180" t="n"/>
      <c r="H262" s="181">
        <f>IF(OR(F262="",G262=""),"",ROUND(MOD(G262-F262,1)*24,2))</f>
        <v/>
      </c>
      <c r="K262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63" hidden="1" outlineLevel="1" ht="20" customHeight="1">
      <c r="D263" s="179" t="n"/>
      <c r="E263" s="179" t="n"/>
      <c r="F263" s="180" t="n"/>
      <c r="G263" s="180" t="n"/>
      <c r="H263" s="181">
        <f>IF(OR(F263="",G263=""),"",ROUND(MOD(G263-F263,1)*24,2))</f>
        <v/>
      </c>
      <c r="K263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64" hidden="1" outlineLevel="1" ht="20" customHeight="1">
      <c r="D264" s="179" t="n"/>
      <c r="E264" s="179" t="n"/>
      <c r="F264" s="180" t="n"/>
      <c r="G264" s="180" t="n"/>
      <c r="H264" s="181">
        <f>IF(OR(F264="",G264=""),"",ROUND(MOD(G264-F264,1)*24,2))</f>
        <v/>
      </c>
      <c r="K264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65" hidden="1" outlineLevel="1" ht="20" customHeight="1">
      <c r="A265" s="342" t="n"/>
      <c r="B265" s="342" t="n"/>
      <c r="C265" s="342" t="n"/>
      <c r="D265" s="332" t="n"/>
      <c r="E265" s="332" t="n"/>
      <c r="F265" s="333" t="n"/>
      <c r="G265" s="333" t="n"/>
      <c r="H265" s="334">
        <f>IF(OR(F265="",G265=""),"",ROUND(MOD(G265-F265,1)*24,2))</f>
        <v/>
      </c>
      <c r="I265" s="342" t="n"/>
      <c r="J265" s="342" t="n"/>
      <c r="K265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</row>
    <row r="266" ht="20" customHeight="1">
      <c r="A266" s="336">
        <f>IF($K266="","",WEEKNUM($K266,21))</f>
        <v/>
      </c>
      <c r="B266" s="337">
        <f>IF($K266="","",$K266)</f>
        <v/>
      </c>
      <c r="C266" s="338">
        <f>IF($K266="","",$K266)</f>
        <v/>
      </c>
      <c r="D266" s="171" t="n"/>
      <c r="E266" s="171" t="n"/>
      <c r="F266" s="172" t="n"/>
      <c r="G266" s="172" t="n"/>
      <c r="H266" s="173">
        <f>IF(OR(F266="",G266=""),"",ROUND(MOD(G266-F266,1)*24,2))</f>
        <v/>
      </c>
      <c r="I266" s="339" t="n"/>
      <c r="J266" s="339" t="n"/>
      <c r="K266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67" ht="20" customHeight="1">
      <c r="D267" s="179" t="n"/>
      <c r="E267" s="179" t="n"/>
      <c r="F267" s="180" t="n"/>
      <c r="G267" s="180" t="n"/>
      <c r="H267" s="181">
        <f>IF(OR(F267="",G267=""),"",ROUND(MOD(G267-F267,1)*24,2))</f>
        <v/>
      </c>
      <c r="K267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68" ht="20" customHeight="1">
      <c r="D268" s="179" t="n"/>
      <c r="E268" s="179" t="n"/>
      <c r="F268" s="180" t="n"/>
      <c r="G268" s="180" t="n"/>
      <c r="H268" s="181">
        <f>IF(OR(F268="",G268=""),"",ROUND(MOD(G268-F268,1)*24,2))</f>
        <v/>
      </c>
      <c r="K268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69" ht="20" customHeight="1">
      <c r="D269" s="179" t="n"/>
      <c r="E269" s="179" t="n"/>
      <c r="F269" s="180" t="n"/>
      <c r="G269" s="180" t="n"/>
      <c r="H269" s="181">
        <f>IF(OR(F269="",G269=""),"",ROUND(MOD(G269-F269,1)*24,2))</f>
        <v/>
      </c>
      <c r="K269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70" collapsed="1" ht="20" customHeight="1">
      <c r="D270" s="179" t="n"/>
      <c r="E270" s="179" t="n"/>
      <c r="F270" s="180" t="n"/>
      <c r="G270" s="180" t="n"/>
      <c r="H270" s="181">
        <f>IF(OR(F270="",G270=""),"",ROUND(MOD(G270-F270,1)*24,2))</f>
        <v/>
      </c>
      <c r="K270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71" hidden="1" outlineLevel="1" ht="20" customHeight="1">
      <c r="D271" s="179" t="n"/>
      <c r="E271" s="179" t="n"/>
      <c r="F271" s="180" t="n"/>
      <c r="G271" s="180" t="n"/>
      <c r="H271" s="181">
        <f>IF(OR(F271="",G271=""),"",ROUND(MOD(G271-F271,1)*24,2))</f>
        <v/>
      </c>
      <c r="K271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72" hidden="1" outlineLevel="1" ht="20" customHeight="1">
      <c r="D272" s="179" t="n"/>
      <c r="E272" s="179" t="n"/>
      <c r="F272" s="180" t="n"/>
      <c r="G272" s="180" t="n"/>
      <c r="H272" s="181">
        <f>IF(OR(F272="",G272=""),"",ROUND(MOD(G272-F272,1)*24,2))</f>
        <v/>
      </c>
      <c r="K272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73" hidden="1" outlineLevel="1" ht="20" customHeight="1">
      <c r="D273" s="179" t="n"/>
      <c r="E273" s="179" t="n"/>
      <c r="F273" s="180" t="n"/>
      <c r="G273" s="180" t="n"/>
      <c r="H273" s="181">
        <f>IF(OR(F273="",G273=""),"",ROUND(MOD(G273-F273,1)*24,2))</f>
        <v/>
      </c>
      <c r="K273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74" hidden="1" outlineLevel="1" ht="20" customHeight="1">
      <c r="D274" s="179" t="n"/>
      <c r="E274" s="179" t="n"/>
      <c r="F274" s="180" t="n"/>
      <c r="G274" s="180" t="n"/>
      <c r="H274" s="181">
        <f>IF(OR(F274="",G274=""),"",ROUND(MOD(G274-F274,1)*24,2))</f>
        <v/>
      </c>
      <c r="K274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75" hidden="1" outlineLevel="1" ht="20" customHeight="1">
      <c r="A275" s="342" t="n"/>
      <c r="B275" s="342" t="n"/>
      <c r="C275" s="342" t="n"/>
      <c r="D275" s="332" t="n"/>
      <c r="E275" s="332" t="n"/>
      <c r="F275" s="333" t="n"/>
      <c r="G275" s="333" t="n"/>
      <c r="H275" s="334">
        <f>IF(OR(F275="",G275=""),"",ROUND(MOD(G275-F275,1)*24,2))</f>
        <v/>
      </c>
      <c r="I275" s="342" t="n"/>
      <c r="J275" s="342" t="n"/>
      <c r="K275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</row>
    <row r="276" ht="20" customHeight="1">
      <c r="A276" s="336">
        <f>IF($K276="","",WEEKNUM($K276,21))</f>
        <v/>
      </c>
      <c r="B276" s="337">
        <f>IF($K276="","",$K276)</f>
        <v/>
      </c>
      <c r="C276" s="338">
        <f>IF($K276="","",$K276)</f>
        <v/>
      </c>
      <c r="D276" s="171" t="n"/>
      <c r="E276" s="171" t="n"/>
      <c r="F276" s="172" t="n"/>
      <c r="G276" s="172" t="n"/>
      <c r="H276" s="173">
        <f>IF(OR(F276="",G276=""),"",ROUND(MOD(G276-F276,1)*24,2))</f>
        <v/>
      </c>
      <c r="I276" s="339" t="n"/>
      <c r="J276" s="339" t="n"/>
      <c r="K276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77" ht="20" customHeight="1">
      <c r="D277" s="179" t="n"/>
      <c r="E277" s="179" t="n"/>
      <c r="F277" s="180" t="n"/>
      <c r="G277" s="180" t="n"/>
      <c r="H277" s="181">
        <f>IF(OR(F277="",G277=""),"",ROUND(MOD(G277-F277,1)*24,2))</f>
        <v/>
      </c>
      <c r="K277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78" ht="20" customHeight="1">
      <c r="D278" s="179" t="n"/>
      <c r="E278" s="179" t="n"/>
      <c r="F278" s="180" t="n"/>
      <c r="G278" s="180" t="n"/>
      <c r="H278" s="181">
        <f>IF(OR(F278="",G278=""),"",ROUND(MOD(G278-F278,1)*24,2))</f>
        <v/>
      </c>
      <c r="K278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79" ht="20" customHeight="1">
      <c r="D279" s="179" t="n"/>
      <c r="E279" s="179" t="n"/>
      <c r="F279" s="180" t="n"/>
      <c r="G279" s="180" t="n"/>
      <c r="H279" s="181">
        <f>IF(OR(F279="",G279=""),"",ROUND(MOD(G279-F279,1)*24,2))</f>
        <v/>
      </c>
      <c r="K279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80" collapsed="1" ht="20" customHeight="1">
      <c r="D280" s="179" t="n"/>
      <c r="E280" s="179" t="n"/>
      <c r="F280" s="180" t="n"/>
      <c r="G280" s="180" t="n"/>
      <c r="H280" s="181">
        <f>IF(OR(F280="",G280=""),"",ROUND(MOD(G280-F280,1)*24,2))</f>
        <v/>
      </c>
      <c r="K280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81" hidden="1" outlineLevel="1" ht="20" customHeight="1">
      <c r="D281" s="179" t="n"/>
      <c r="E281" s="179" t="n"/>
      <c r="F281" s="180" t="n"/>
      <c r="G281" s="180" t="n"/>
      <c r="H281" s="181">
        <f>IF(OR(F281="",G281=""),"",ROUND(MOD(G281-F281,1)*24,2))</f>
        <v/>
      </c>
      <c r="K281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82" hidden="1" outlineLevel="1" ht="20" customHeight="1">
      <c r="D282" s="179" t="n"/>
      <c r="E282" s="179" t="n"/>
      <c r="F282" s="180" t="n"/>
      <c r="G282" s="180" t="n"/>
      <c r="H282" s="181">
        <f>IF(OR(F282="",G282=""),"",ROUND(MOD(G282-F282,1)*24,2))</f>
        <v/>
      </c>
      <c r="K282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83" hidden="1" outlineLevel="1" ht="20" customHeight="1">
      <c r="D283" s="179" t="n"/>
      <c r="E283" s="179" t="n"/>
      <c r="F283" s="180" t="n"/>
      <c r="G283" s="180" t="n"/>
      <c r="H283" s="181">
        <f>IF(OR(F283="",G283=""),"",ROUND(MOD(G283-F283,1)*24,2))</f>
        <v/>
      </c>
      <c r="K283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84" hidden="1" outlineLevel="1" ht="20" customHeight="1">
      <c r="D284" s="179" t="n"/>
      <c r="E284" s="179" t="n"/>
      <c r="F284" s="180" t="n"/>
      <c r="G284" s="180" t="n"/>
      <c r="H284" s="181">
        <f>IF(OR(F284="",G284=""),"",ROUND(MOD(G284-F284,1)*24,2))</f>
        <v/>
      </c>
      <c r="K284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85" hidden="1" outlineLevel="1" ht="20" customHeight="1">
      <c r="A285" s="342" t="n"/>
      <c r="B285" s="342" t="n"/>
      <c r="C285" s="342" t="n"/>
      <c r="D285" s="332" t="n"/>
      <c r="E285" s="332" t="n"/>
      <c r="F285" s="333" t="n"/>
      <c r="G285" s="333" t="n"/>
      <c r="H285" s="334">
        <f>IF(OR(F285="",G285=""),"",ROUND(MOD(G285-F285,1)*24,2))</f>
        <v/>
      </c>
      <c r="I285" s="342" t="n"/>
      <c r="J285" s="342" t="n"/>
      <c r="K285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</row>
    <row r="286" ht="20" customHeight="1">
      <c r="A286" s="336">
        <f>IF($K286="","",WEEKNUM($K286,21))</f>
        <v/>
      </c>
      <c r="B286" s="337">
        <f>IF($K286="","",$K286)</f>
        <v/>
      </c>
      <c r="C286" s="338">
        <f>IF($K286="","",$K286)</f>
        <v/>
      </c>
      <c r="D286" s="171" t="n"/>
      <c r="E286" s="171" t="n"/>
      <c r="F286" s="172" t="n"/>
      <c r="G286" s="172" t="n"/>
      <c r="H286" s="173">
        <f>IF(OR(F286="",G286=""),"",ROUND(MOD(G286-F286,1)*24,2))</f>
        <v/>
      </c>
      <c r="I286" s="339" t="n"/>
      <c r="J286" s="339" t="n"/>
      <c r="K286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87" ht="20" customHeight="1">
      <c r="D287" s="179" t="n"/>
      <c r="E287" s="179" t="n"/>
      <c r="F287" s="180" t="n"/>
      <c r="G287" s="180" t="n"/>
      <c r="H287" s="181">
        <f>IF(OR(F287="",G287=""),"",ROUND(MOD(G287-F287,1)*24,2))</f>
        <v/>
      </c>
      <c r="K287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88" ht="20" customHeight="1">
      <c r="D288" s="179" t="n"/>
      <c r="E288" s="179" t="n"/>
      <c r="F288" s="180" t="n"/>
      <c r="G288" s="180" t="n"/>
      <c r="H288" s="181">
        <f>IF(OR(F288="",G288=""),"",ROUND(MOD(G288-F288,1)*24,2))</f>
        <v/>
      </c>
      <c r="K288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89" ht="20" customHeight="1">
      <c r="D289" s="179" t="n"/>
      <c r="E289" s="179" t="n"/>
      <c r="F289" s="180" t="n"/>
      <c r="G289" s="180" t="n"/>
      <c r="H289" s="181">
        <f>IF(OR(F289="",G289=""),"",ROUND(MOD(G289-F289,1)*24,2))</f>
        <v/>
      </c>
      <c r="K289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90" collapsed="1" ht="20" customHeight="1">
      <c r="D290" s="179" t="n"/>
      <c r="E290" s="179" t="n"/>
      <c r="F290" s="180" t="n"/>
      <c r="G290" s="180" t="n"/>
      <c r="H290" s="181">
        <f>IF(OR(F290="",G290=""),"",ROUND(MOD(G290-F290,1)*24,2))</f>
        <v/>
      </c>
      <c r="K290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91" hidden="1" outlineLevel="1" ht="20" customHeight="1">
      <c r="D291" s="179" t="n"/>
      <c r="E291" s="179" t="n"/>
      <c r="F291" s="180" t="n"/>
      <c r="G291" s="180" t="n"/>
      <c r="H291" s="181">
        <f>IF(OR(F291="",G291=""),"",ROUND(MOD(G291-F291,1)*24,2))</f>
        <v/>
      </c>
      <c r="K291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92" hidden="1" outlineLevel="1" ht="20" customHeight="1">
      <c r="D292" s="179" t="n"/>
      <c r="E292" s="179" t="n"/>
      <c r="F292" s="180" t="n"/>
      <c r="G292" s="180" t="n"/>
      <c r="H292" s="181">
        <f>IF(OR(F292="",G292=""),"",ROUND(MOD(G292-F292,1)*24,2))</f>
        <v/>
      </c>
      <c r="K292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93" hidden="1" outlineLevel="1" ht="20" customHeight="1">
      <c r="D293" s="179" t="n"/>
      <c r="E293" s="179" t="n"/>
      <c r="F293" s="180" t="n"/>
      <c r="G293" s="180" t="n"/>
      <c r="H293" s="181">
        <f>IF(OR(F293="",G293=""),"",ROUND(MOD(G293-F293,1)*24,2))</f>
        <v/>
      </c>
      <c r="K293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94" hidden="1" outlineLevel="1" ht="20" customHeight="1">
      <c r="D294" s="179" t="n"/>
      <c r="E294" s="179" t="n"/>
      <c r="F294" s="180" t="n"/>
      <c r="G294" s="180" t="n"/>
      <c r="H294" s="181">
        <f>IF(OR(F294="",G294=""),"",ROUND(MOD(G294-F294,1)*24,2))</f>
        <v/>
      </c>
      <c r="K294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95" hidden="1" outlineLevel="1" ht="20" customHeight="1">
      <c r="A295" s="342" t="n"/>
      <c r="B295" s="342" t="n"/>
      <c r="C295" s="342" t="n"/>
      <c r="D295" s="332" t="n"/>
      <c r="E295" s="332" t="n"/>
      <c r="F295" s="333" t="n"/>
      <c r="G295" s="333" t="n"/>
      <c r="H295" s="334">
        <f>IF(OR(F295="",G295=""),"",ROUND(MOD(G295-F295,1)*24,2))</f>
        <v/>
      </c>
      <c r="I295" s="342" t="n"/>
      <c r="J295" s="342" t="n"/>
      <c r="K295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</row>
    <row r="296" ht="20" customHeight="1">
      <c r="A296" s="336">
        <f>IF($K296="","",WEEKNUM($K296,21))</f>
        <v/>
      </c>
      <c r="B296" s="337">
        <f>IF($K296="","",$K296)</f>
        <v/>
      </c>
      <c r="C296" s="338">
        <f>IF($K296="","",$K296)</f>
        <v/>
      </c>
      <c r="D296" s="171" t="n"/>
      <c r="E296" s="171" t="n"/>
      <c r="F296" s="172" t="n"/>
      <c r="G296" s="172" t="n"/>
      <c r="H296" s="173">
        <f>IF(OR(F296="",G296=""),"",ROUND(MOD(G296-F296,1)*24,2))</f>
        <v/>
      </c>
      <c r="I296" s="339" t="n"/>
      <c r="J296" s="339" t="n"/>
      <c r="K296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297" ht="20" customHeight="1">
      <c r="D297" s="179" t="n"/>
      <c r="E297" s="179" t="n"/>
      <c r="F297" s="180" t="n"/>
      <c r="G297" s="180" t="n"/>
      <c r="H297" s="181">
        <f>IF(OR(F297="",G297=""),"",ROUND(MOD(G297-F297,1)*24,2))</f>
        <v/>
      </c>
      <c r="K297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298" ht="20" customHeight="1">
      <c r="D298" s="179" t="n"/>
      <c r="E298" s="179" t="n"/>
      <c r="F298" s="180" t="n"/>
      <c r="G298" s="180" t="n"/>
      <c r="H298" s="181">
        <f>IF(OR(F298="",G298=""),"",ROUND(MOD(G298-F298,1)*24,2))</f>
        <v/>
      </c>
      <c r="K298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299" ht="20" customHeight="1">
      <c r="D299" s="179" t="n"/>
      <c r="E299" s="179" t="n"/>
      <c r="F299" s="180" t="n"/>
      <c r="G299" s="180" t="n"/>
      <c r="H299" s="181">
        <f>IF(OR(F299="",G299=""),"",ROUND(MOD(G299-F299,1)*24,2))</f>
        <v/>
      </c>
      <c r="K299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300" collapsed="1" ht="20" customHeight="1">
      <c r="D300" s="179" t="n"/>
      <c r="E300" s="179" t="n"/>
      <c r="F300" s="180" t="n"/>
      <c r="G300" s="180" t="n"/>
      <c r="H300" s="181">
        <f>IF(OR(F300="",G300=""),"",ROUND(MOD(G300-F300,1)*24,2))</f>
        <v/>
      </c>
      <c r="K300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301" hidden="1" outlineLevel="1" ht="20" customHeight="1">
      <c r="D301" s="179" t="n"/>
      <c r="E301" s="179" t="n"/>
      <c r="F301" s="180" t="n"/>
      <c r="G301" s="180" t="n"/>
      <c r="H301" s="181">
        <f>IF(OR(F301="",G301=""),"",ROUND(MOD(G301-F301,1)*24,2))</f>
        <v/>
      </c>
      <c r="K301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302" hidden="1" outlineLevel="1" ht="20" customHeight="1">
      <c r="D302" s="179" t="n"/>
      <c r="E302" s="179" t="n"/>
      <c r="F302" s="180" t="n"/>
      <c r="G302" s="180" t="n"/>
      <c r="H302" s="181">
        <f>IF(OR(F302="",G302=""),"",ROUND(MOD(G302-F302,1)*24,2))</f>
        <v/>
      </c>
      <c r="K302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303" hidden="1" outlineLevel="1" ht="20" customHeight="1">
      <c r="D303" s="179" t="n"/>
      <c r="E303" s="179" t="n"/>
      <c r="F303" s="180" t="n"/>
      <c r="G303" s="180" t="n"/>
      <c r="H303" s="181">
        <f>IF(OR(F303="",G303=""),"",ROUND(MOD(G303-F303,1)*24,2))</f>
        <v/>
      </c>
      <c r="K303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304" hidden="1" outlineLevel="1" ht="20" customHeight="1">
      <c r="D304" s="179" t="n"/>
      <c r="E304" s="179" t="n"/>
      <c r="F304" s="180" t="n"/>
      <c r="G304" s="180" t="n"/>
      <c r="H304" s="181">
        <f>IF(OR(F304="",G304=""),"",ROUND(MOD(G304-F304,1)*24,2))</f>
        <v/>
      </c>
      <c r="K304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305" hidden="1" outlineLevel="1" ht="20" customHeight="1">
      <c r="A305" s="342" t="n"/>
      <c r="B305" s="342" t="n"/>
      <c r="C305" s="342" t="n"/>
      <c r="D305" s="332" t="n"/>
      <c r="E305" s="332" t="n"/>
      <c r="F305" s="333" t="n"/>
      <c r="G305" s="333" t="n"/>
      <c r="H305" s="334">
        <f>IF(OR(F305="",G305=""),"",ROUND(MOD(G305-F305,1)*24,2))</f>
        <v/>
      </c>
      <c r="I305" s="342" t="n"/>
      <c r="J305" s="342" t="n"/>
      <c r="K305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</row>
    <row r="306" ht="20" customHeight="1">
      <c r="A306" s="336">
        <f>IF($K306="","",WEEKNUM($K306,21))</f>
        <v/>
      </c>
      <c r="B306" s="337">
        <f>IF($K306="","",$K306)</f>
        <v/>
      </c>
      <c r="C306" s="338">
        <f>IF($K306="","",$K306)</f>
        <v/>
      </c>
      <c r="D306" s="171" t="n"/>
      <c r="E306" s="171" t="n"/>
      <c r="F306" s="172" t="n"/>
      <c r="G306" s="172" t="n"/>
      <c r="H306" s="173">
        <f>IF(OR(F306="",G306=""),"",ROUND(MOD(G306-F306,1)*24,2))</f>
        <v/>
      </c>
      <c r="I306" s="339" t="n"/>
      <c r="J306" s="339" t="n"/>
      <c r="K306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07" ht="20" customHeight="1">
      <c r="D307" s="179" t="n"/>
      <c r="E307" s="179" t="n"/>
      <c r="F307" s="180" t="n"/>
      <c r="G307" s="180" t="n"/>
      <c r="H307" s="181">
        <f>IF(OR(F307="",G307=""),"",ROUND(MOD(G307-F307,1)*24,2))</f>
        <v/>
      </c>
      <c r="K307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08" ht="20" customHeight="1">
      <c r="D308" s="179" t="n"/>
      <c r="E308" s="179" t="n"/>
      <c r="F308" s="180" t="n"/>
      <c r="G308" s="180" t="n"/>
      <c r="H308" s="181">
        <f>IF(OR(F308="",G308=""),"",ROUND(MOD(G308-F308,1)*24,2))</f>
        <v/>
      </c>
      <c r="K308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09" ht="20" customHeight="1">
      <c r="D309" s="179" t="n"/>
      <c r="E309" s="179" t="n"/>
      <c r="F309" s="180" t="n"/>
      <c r="G309" s="180" t="n"/>
      <c r="H309" s="181">
        <f>IF(OR(F309="",G309=""),"",ROUND(MOD(G309-F309,1)*24,2))</f>
        <v/>
      </c>
      <c r="K309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10" collapsed="1" ht="20" customHeight="1">
      <c r="D310" s="179" t="n"/>
      <c r="E310" s="179" t="n"/>
      <c r="F310" s="180" t="n"/>
      <c r="G310" s="180" t="n"/>
      <c r="H310" s="181">
        <f>IF(OR(F310="",G310=""),"",ROUND(MOD(G310-F310,1)*24,2))</f>
        <v/>
      </c>
      <c r="K310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11" hidden="1" outlineLevel="1" ht="20" customHeight="1">
      <c r="D311" s="179" t="n"/>
      <c r="E311" s="179" t="n"/>
      <c r="F311" s="180" t="n"/>
      <c r="G311" s="180" t="n"/>
      <c r="H311" s="181">
        <f>IF(OR(F311="",G311=""),"",ROUND(MOD(G311-F311,1)*24,2))</f>
        <v/>
      </c>
      <c r="K311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12" hidden="1" outlineLevel="1" ht="20" customHeight="1">
      <c r="D312" s="179" t="n"/>
      <c r="E312" s="179" t="n"/>
      <c r="F312" s="180" t="n"/>
      <c r="G312" s="180" t="n"/>
      <c r="H312" s="181">
        <f>IF(OR(F312="",G312=""),"",ROUND(MOD(G312-F312,1)*24,2))</f>
        <v/>
      </c>
      <c r="K312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13" hidden="1" outlineLevel="1" ht="20" customHeight="1">
      <c r="D313" s="179" t="n"/>
      <c r="E313" s="179" t="n"/>
      <c r="F313" s="180" t="n"/>
      <c r="G313" s="180" t="n"/>
      <c r="H313" s="181">
        <f>IF(OR(F313="",G313=""),"",ROUND(MOD(G313-F313,1)*24,2))</f>
        <v/>
      </c>
      <c r="K313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14" hidden="1" outlineLevel="1" ht="20" customHeight="1">
      <c r="D314" s="179" t="n"/>
      <c r="E314" s="179" t="n"/>
      <c r="F314" s="180" t="n"/>
      <c r="G314" s="180" t="n"/>
      <c r="H314" s="181">
        <f>IF(OR(F314="",G314=""),"",ROUND(MOD(G314-F314,1)*24,2))</f>
        <v/>
      </c>
      <c r="K314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15" hidden="1" outlineLevel="1" ht="20" customHeight="1">
      <c r="A315" s="342" t="n"/>
      <c r="B315" s="342" t="n"/>
      <c r="C315" s="342" t="n"/>
      <c r="D315" s="332" t="n"/>
      <c r="E315" s="332" t="n"/>
      <c r="F315" s="333" t="n"/>
      <c r="G315" s="333" t="n"/>
      <c r="H315" s="334">
        <f>IF(OR(F315="",G315=""),"",ROUND(MOD(G315-F315,1)*24,2))</f>
        <v/>
      </c>
      <c r="I315" s="342" t="n"/>
      <c r="J315" s="342" t="n"/>
      <c r="K315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</row>
    <row r="316" ht="20" customHeight="1">
      <c r="A316" s="336">
        <f>IF($K316="","",WEEKNUM($K316,21))</f>
        <v/>
      </c>
      <c r="B316" s="337">
        <f>IF($K316="","",$K316)</f>
        <v/>
      </c>
      <c r="C316" s="338">
        <f>IF($K316="","",$K316)</f>
        <v/>
      </c>
      <c r="D316" s="171" t="n"/>
      <c r="E316" s="171" t="n"/>
      <c r="F316" s="172" t="n"/>
      <c r="G316" s="172" t="n"/>
      <c r="H316" s="173">
        <f>IF(OR(F316="",G316=""),"",ROUND(MOD(G316-F316,1)*24,2))</f>
        <v/>
      </c>
      <c r="I316" s="339" t="n"/>
      <c r="J316" s="339" t="n"/>
      <c r="K316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17" ht="20" customHeight="1">
      <c r="D317" s="179" t="n"/>
      <c r="E317" s="179" t="n"/>
      <c r="F317" s="180" t="n"/>
      <c r="G317" s="180" t="n"/>
      <c r="H317" s="181">
        <f>IF(OR(F317="",G317=""),"",ROUND(MOD(G317-F317,1)*24,2))</f>
        <v/>
      </c>
      <c r="K317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18" ht="20" customHeight="1">
      <c r="D318" s="179" t="n"/>
      <c r="E318" s="179" t="n"/>
      <c r="F318" s="180" t="n"/>
      <c r="G318" s="180" t="n"/>
      <c r="H318" s="181">
        <f>IF(OR(F318="",G318=""),"",ROUND(MOD(G318-F318,1)*24,2))</f>
        <v/>
      </c>
      <c r="K318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19" ht="20" customHeight="1">
      <c r="D319" s="179" t="n"/>
      <c r="E319" s="179" t="n"/>
      <c r="F319" s="180" t="n"/>
      <c r="G319" s="180" t="n"/>
      <c r="H319" s="181">
        <f>IF(OR(F319="",G319=""),"",ROUND(MOD(G319-F319,1)*24,2))</f>
        <v/>
      </c>
      <c r="K319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20" collapsed="1" ht="20" customHeight="1">
      <c r="D320" s="179" t="n"/>
      <c r="E320" s="179" t="n"/>
      <c r="F320" s="180" t="n"/>
      <c r="G320" s="180" t="n"/>
      <c r="H320" s="181">
        <f>IF(OR(F320="",G320=""),"",ROUND(MOD(G320-F320,1)*24,2))</f>
        <v/>
      </c>
      <c r="K320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21" hidden="1" outlineLevel="1" ht="20" customHeight="1">
      <c r="D321" s="179" t="n"/>
      <c r="E321" s="179" t="n"/>
      <c r="F321" s="180" t="n"/>
      <c r="G321" s="180" t="n"/>
      <c r="H321" s="181">
        <f>IF(OR(F321="",G321=""),"",ROUND(MOD(G321-F321,1)*24,2))</f>
        <v/>
      </c>
      <c r="K321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22" hidden="1" outlineLevel="1" ht="20" customHeight="1">
      <c r="D322" s="179" t="n"/>
      <c r="E322" s="179" t="n"/>
      <c r="F322" s="180" t="n"/>
      <c r="G322" s="180" t="n"/>
      <c r="H322" s="181">
        <f>IF(OR(F322="",G322=""),"",ROUND(MOD(G322-F322,1)*24,2))</f>
        <v/>
      </c>
      <c r="K322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23" hidden="1" outlineLevel="1" ht="20" customHeight="1">
      <c r="D323" s="179" t="n"/>
      <c r="E323" s="179" t="n"/>
      <c r="F323" s="180" t="n"/>
      <c r="G323" s="180" t="n"/>
      <c r="H323" s="181">
        <f>IF(OR(F323="",G323=""),"",ROUND(MOD(G323-F323,1)*24,2))</f>
        <v/>
      </c>
      <c r="K323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24" hidden="1" outlineLevel="1" ht="20" customHeight="1">
      <c r="D324" s="179" t="n"/>
      <c r="E324" s="179" t="n"/>
      <c r="F324" s="180" t="n"/>
      <c r="G324" s="180" t="n"/>
      <c r="H324" s="181">
        <f>IF(OR(F324="",G324=""),"",ROUND(MOD(G324-F324,1)*24,2))</f>
        <v/>
      </c>
      <c r="K324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25" hidden="1" outlineLevel="1" ht="20" customHeight="1">
      <c r="A325" s="342" t="n"/>
      <c r="B325" s="342" t="n"/>
      <c r="C325" s="342" t="n"/>
      <c r="D325" s="332" t="n"/>
      <c r="E325" s="332" t="n"/>
      <c r="F325" s="333" t="n"/>
      <c r="G325" s="333" t="n"/>
      <c r="H325" s="334">
        <f>IF(OR(F325="",G325=""),"",ROUND(MOD(G325-F325,1)*24,2))</f>
        <v/>
      </c>
      <c r="I325" s="342" t="n"/>
      <c r="J325" s="342" t="n"/>
      <c r="K325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</row>
    <row r="326" ht="20" customHeight="1">
      <c r="A326" s="336">
        <f>IF($K326="","",WEEKNUM($K326,21))</f>
        <v/>
      </c>
      <c r="B326" s="337">
        <f>IF($K326="","",$K326)</f>
        <v/>
      </c>
      <c r="C326" s="338">
        <f>IF($K326="","",$K326)</f>
        <v/>
      </c>
      <c r="D326" s="171" t="n"/>
      <c r="E326" s="171" t="n"/>
      <c r="F326" s="172" t="n"/>
      <c r="G326" s="172" t="n"/>
      <c r="H326" s="173">
        <f>IF(OR(F326="",G326=""),"",ROUND(MOD(G326-F326,1)*24,2))</f>
        <v/>
      </c>
      <c r="I326" s="339" t="n"/>
      <c r="J326" s="339" t="n"/>
      <c r="K326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27" ht="20" customHeight="1">
      <c r="D327" s="179" t="n"/>
      <c r="E327" s="179" t="n"/>
      <c r="F327" s="180" t="n"/>
      <c r="G327" s="180" t="n"/>
      <c r="H327" s="181">
        <f>IF(OR(F327="",G327=""),"",ROUND(MOD(G327-F327,1)*24,2))</f>
        <v/>
      </c>
      <c r="K327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28" ht="20" customHeight="1">
      <c r="D328" s="179" t="n"/>
      <c r="E328" s="179" t="n"/>
      <c r="F328" s="180" t="n"/>
      <c r="G328" s="180" t="n"/>
      <c r="H328" s="181">
        <f>IF(OR(F328="",G328=""),"",ROUND(MOD(G328-F328,1)*24,2))</f>
        <v/>
      </c>
      <c r="K328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29" ht="20" customHeight="1">
      <c r="D329" s="179" t="n"/>
      <c r="E329" s="179" t="n"/>
      <c r="F329" s="180" t="n"/>
      <c r="G329" s="180" t="n"/>
      <c r="H329" s="181">
        <f>IF(OR(F329="",G329=""),"",ROUND(MOD(G329-F329,1)*24,2))</f>
        <v/>
      </c>
      <c r="K329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30" collapsed="1" ht="20" customHeight="1">
      <c r="D330" s="179" t="n"/>
      <c r="E330" s="179" t="n"/>
      <c r="F330" s="180" t="n"/>
      <c r="G330" s="180" t="n"/>
      <c r="H330" s="181">
        <f>IF(OR(F330="",G330=""),"",ROUND(MOD(G330-F330,1)*24,2))</f>
        <v/>
      </c>
      <c r="K330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31" hidden="1" outlineLevel="1" ht="20" customHeight="1">
      <c r="D331" s="179" t="n"/>
      <c r="E331" s="179" t="n"/>
      <c r="F331" s="180" t="n"/>
      <c r="G331" s="180" t="n"/>
      <c r="H331" s="181">
        <f>IF(OR(F331="",G331=""),"",ROUND(MOD(G331-F331,1)*24,2))</f>
        <v/>
      </c>
      <c r="K331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32" hidden="1" outlineLevel="1" ht="20" customHeight="1">
      <c r="D332" s="179" t="n"/>
      <c r="E332" s="179" t="n"/>
      <c r="F332" s="180" t="n"/>
      <c r="G332" s="180" t="n"/>
      <c r="H332" s="181">
        <f>IF(OR(F332="",G332=""),"",ROUND(MOD(G332-F332,1)*24,2))</f>
        <v/>
      </c>
      <c r="K332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33" hidden="1" outlineLevel="1" ht="20" customHeight="1">
      <c r="D333" s="179" t="n"/>
      <c r="E333" s="179" t="n"/>
      <c r="F333" s="180" t="n"/>
      <c r="G333" s="180" t="n"/>
      <c r="H333" s="181">
        <f>IF(OR(F333="",G333=""),"",ROUND(MOD(G333-F333,1)*24,2))</f>
        <v/>
      </c>
      <c r="K333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34" hidden="1" outlineLevel="1" ht="20" customHeight="1">
      <c r="D334" s="179" t="n"/>
      <c r="E334" s="179" t="n"/>
      <c r="F334" s="180" t="n"/>
      <c r="G334" s="180" t="n"/>
      <c r="H334" s="181">
        <f>IF(OR(F334="",G334=""),"",ROUND(MOD(G334-F334,1)*24,2))</f>
        <v/>
      </c>
      <c r="K334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35" hidden="1" outlineLevel="1" ht="20" customHeight="1">
      <c r="A335" s="342" t="n"/>
      <c r="B335" s="342" t="n"/>
      <c r="C335" s="342" t="n"/>
      <c r="D335" s="332" t="n"/>
      <c r="E335" s="332" t="n"/>
      <c r="F335" s="333" t="n"/>
      <c r="G335" s="333" t="n"/>
      <c r="H335" s="334">
        <f>IF(OR(F335="",G335=""),"",ROUND(MOD(G335-F335,1)*24,2))</f>
        <v/>
      </c>
      <c r="I335" s="342" t="n"/>
      <c r="J335" s="342" t="n"/>
      <c r="K335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</row>
    <row r="336" ht="20" customHeight="1">
      <c r="A336" s="336">
        <f>IF($K336="","",WEEKNUM($K336,21))</f>
        <v/>
      </c>
      <c r="B336" s="337">
        <f>IF($K336="","",$K336)</f>
        <v/>
      </c>
      <c r="C336" s="338">
        <f>IF($K336="","",$K336)</f>
        <v/>
      </c>
      <c r="D336" s="171" t="n"/>
      <c r="E336" s="171" t="n"/>
      <c r="F336" s="172" t="n"/>
      <c r="G336" s="172" t="n"/>
      <c r="H336" s="173">
        <f>IF(OR(F336="",G336=""),"",ROUND(MOD(G336-F336,1)*24,2))</f>
        <v/>
      </c>
      <c r="I336" s="339" t="n"/>
      <c r="J336" s="339" t="n"/>
      <c r="K336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37" ht="20" customHeight="1">
      <c r="D337" s="179" t="n"/>
      <c r="E337" s="179" t="n"/>
      <c r="F337" s="180" t="n"/>
      <c r="G337" s="180" t="n"/>
      <c r="H337" s="181">
        <f>IF(OR(F337="",G337=""),"",ROUND(MOD(G337-F337,1)*24,2))</f>
        <v/>
      </c>
      <c r="K337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38" ht="20" customHeight="1">
      <c r="D338" s="179" t="n"/>
      <c r="E338" s="179" t="n"/>
      <c r="F338" s="180" t="n"/>
      <c r="G338" s="180" t="n"/>
      <c r="H338" s="181">
        <f>IF(OR(F338="",G338=""),"",ROUND(MOD(G338-F338,1)*24,2))</f>
        <v/>
      </c>
      <c r="K338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39" ht="20" customHeight="1">
      <c r="D339" s="179" t="n"/>
      <c r="E339" s="179" t="n"/>
      <c r="F339" s="180" t="n"/>
      <c r="G339" s="180" t="n"/>
      <c r="H339" s="181">
        <f>IF(OR(F339="",G339=""),"",ROUND(MOD(G339-F339,1)*24,2))</f>
        <v/>
      </c>
      <c r="K339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40" collapsed="1" ht="20" customHeight="1">
      <c r="D340" s="179" t="n"/>
      <c r="E340" s="179" t="n"/>
      <c r="F340" s="180" t="n"/>
      <c r="G340" s="180" t="n"/>
      <c r="H340" s="181">
        <f>IF(OR(F340="",G340=""),"",ROUND(MOD(G340-F340,1)*24,2))</f>
        <v/>
      </c>
      <c r="K340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41" hidden="1" outlineLevel="1" ht="20" customHeight="1">
      <c r="D341" s="179" t="n"/>
      <c r="E341" s="179" t="n"/>
      <c r="F341" s="180" t="n"/>
      <c r="G341" s="180" t="n"/>
      <c r="H341" s="181">
        <f>IF(OR(F341="",G341=""),"",ROUND(MOD(G341-F341,1)*24,2))</f>
        <v/>
      </c>
      <c r="K341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42" hidden="1" outlineLevel="1" ht="20" customHeight="1">
      <c r="D342" s="179" t="n"/>
      <c r="E342" s="179" t="n"/>
      <c r="F342" s="180" t="n"/>
      <c r="G342" s="180" t="n"/>
      <c r="H342" s="181">
        <f>IF(OR(F342="",G342=""),"",ROUND(MOD(G342-F342,1)*24,2))</f>
        <v/>
      </c>
      <c r="K342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43" hidden="1" outlineLevel="1" ht="20" customHeight="1">
      <c r="D343" s="179" t="n"/>
      <c r="E343" s="179" t="n"/>
      <c r="F343" s="180" t="n"/>
      <c r="G343" s="180" t="n"/>
      <c r="H343" s="181">
        <f>IF(OR(F343="",G343=""),"",ROUND(MOD(G343-F343,1)*24,2))</f>
        <v/>
      </c>
      <c r="K343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44" hidden="1" outlineLevel="1" ht="20" customHeight="1">
      <c r="D344" s="179" t="n"/>
      <c r="E344" s="179" t="n"/>
      <c r="F344" s="180" t="n"/>
      <c r="G344" s="180" t="n"/>
      <c r="H344" s="181">
        <f>IF(OR(F344="",G344=""),"",ROUND(MOD(G344-F344,1)*24,2))</f>
        <v/>
      </c>
      <c r="K344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45" hidden="1" outlineLevel="1" ht="20" customHeight="1">
      <c r="A345" s="342" t="n"/>
      <c r="B345" s="342" t="n"/>
      <c r="C345" s="342" t="n"/>
      <c r="D345" s="332" t="n"/>
      <c r="E345" s="332" t="n"/>
      <c r="F345" s="333" t="n"/>
      <c r="G345" s="333" t="n"/>
      <c r="H345" s="334">
        <f>IF(OR(F345="",G345=""),"",ROUND(MOD(G345-F345,1)*24,2))</f>
        <v/>
      </c>
      <c r="I345" s="342" t="n"/>
      <c r="J345" s="342" t="n"/>
      <c r="K345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</row>
    <row r="346" ht="20" customHeight="1">
      <c r="A346" s="336">
        <f>IF($K346="","",WEEKNUM($K346,21))</f>
        <v/>
      </c>
      <c r="B346" s="337">
        <f>IF($K346="","",$K346)</f>
        <v/>
      </c>
      <c r="C346" s="338">
        <f>IF($K346="","",$K346)</f>
        <v/>
      </c>
      <c r="D346" s="171" t="n"/>
      <c r="E346" s="171" t="n"/>
      <c r="F346" s="172" t="n"/>
      <c r="G346" s="172" t="n"/>
      <c r="H346" s="173">
        <f>IF(OR(F346="",G346=""),"",ROUND(MOD(G346-F346,1)*24,2))</f>
        <v/>
      </c>
      <c r="I346" s="339" t="n"/>
      <c r="J346" s="339" t="n"/>
      <c r="K346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47" ht="20" customHeight="1">
      <c r="D347" s="179" t="n"/>
      <c r="E347" s="179" t="n"/>
      <c r="F347" s="180" t="n"/>
      <c r="G347" s="180" t="n"/>
      <c r="H347" s="181">
        <f>IF(OR(F347="",G347=""),"",ROUND(MOD(G347-F347,1)*24,2))</f>
        <v/>
      </c>
      <c r="K347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48" ht="20" customHeight="1">
      <c r="D348" s="179" t="n"/>
      <c r="E348" s="179" t="n"/>
      <c r="F348" s="180" t="n"/>
      <c r="G348" s="180" t="n"/>
      <c r="H348" s="181">
        <f>IF(OR(F348="",G348=""),"",ROUND(MOD(G348-F348,1)*24,2))</f>
        <v/>
      </c>
      <c r="K348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49" ht="20" customHeight="1">
      <c r="D349" s="179" t="n"/>
      <c r="E349" s="179" t="n"/>
      <c r="F349" s="180" t="n"/>
      <c r="G349" s="180" t="n"/>
      <c r="H349" s="181">
        <f>IF(OR(F349="",G349=""),"",ROUND(MOD(G349-F349,1)*24,2))</f>
        <v/>
      </c>
      <c r="K349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50" collapsed="1" ht="20" customHeight="1">
      <c r="D350" s="179" t="n"/>
      <c r="E350" s="179" t="n"/>
      <c r="F350" s="180" t="n"/>
      <c r="G350" s="180" t="n"/>
      <c r="H350" s="181">
        <f>IF(OR(F350="",G350=""),"",ROUND(MOD(G350-F350,1)*24,2))</f>
        <v/>
      </c>
      <c r="K350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51" hidden="1" outlineLevel="1" ht="20" customHeight="1">
      <c r="D351" s="179" t="n"/>
      <c r="E351" s="179" t="n"/>
      <c r="F351" s="180" t="n"/>
      <c r="G351" s="180" t="n"/>
      <c r="H351" s="181">
        <f>IF(OR(F351="",G351=""),"",ROUND(MOD(G351-F351,1)*24,2))</f>
        <v/>
      </c>
      <c r="K351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52" hidden="1" outlineLevel="1" ht="20" customHeight="1">
      <c r="D352" s="179" t="n"/>
      <c r="E352" s="179" t="n"/>
      <c r="F352" s="180" t="n"/>
      <c r="G352" s="180" t="n"/>
      <c r="H352" s="181">
        <f>IF(OR(F352="",G352=""),"",ROUND(MOD(G352-F352,1)*24,2))</f>
        <v/>
      </c>
      <c r="K352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53" hidden="1" outlineLevel="1" ht="20" customHeight="1">
      <c r="D353" s="179" t="n"/>
      <c r="E353" s="179" t="n"/>
      <c r="F353" s="180" t="n"/>
      <c r="G353" s="180" t="n"/>
      <c r="H353" s="181">
        <f>IF(OR(F353="",G353=""),"",ROUND(MOD(G353-F353,1)*24,2))</f>
        <v/>
      </c>
      <c r="K353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54" hidden="1" outlineLevel="1" ht="20" customHeight="1">
      <c r="D354" s="179" t="n"/>
      <c r="E354" s="179" t="n"/>
      <c r="F354" s="180" t="n"/>
      <c r="G354" s="180" t="n"/>
      <c r="H354" s="181">
        <f>IF(OR(F354="",G354=""),"",ROUND(MOD(G354-F354,1)*24,2))</f>
        <v/>
      </c>
      <c r="K354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55" hidden="1" outlineLevel="1" ht="20" customHeight="1">
      <c r="A355" s="342" t="n"/>
      <c r="B355" s="342" t="n"/>
      <c r="C355" s="342" t="n"/>
      <c r="D355" s="332" t="n"/>
      <c r="E355" s="332" t="n"/>
      <c r="F355" s="333" t="n"/>
      <c r="G355" s="333" t="n"/>
      <c r="H355" s="334">
        <f>IF(OR(F355="",G355=""),"",ROUND(MOD(G355-F355,1)*24,2))</f>
        <v/>
      </c>
      <c r="I355" s="342" t="n"/>
      <c r="J355" s="342" t="n"/>
      <c r="K355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</row>
    <row r="356" ht="20" customHeight="1">
      <c r="A356" s="336">
        <f>IF($K356="","",WEEKNUM($K356,21))</f>
        <v/>
      </c>
      <c r="B356" s="337">
        <f>IF($K356="","",$K356)</f>
        <v/>
      </c>
      <c r="C356" s="338">
        <f>IF($K356="","",$K356)</f>
        <v/>
      </c>
      <c r="D356" s="171" t="n"/>
      <c r="E356" s="171" t="n"/>
      <c r="F356" s="172" t="n"/>
      <c r="G356" s="172" t="n"/>
      <c r="H356" s="173">
        <f>IF(OR(F356="",G356=""),"",ROUND(MOD(G356-F356,1)*24,2))</f>
        <v/>
      </c>
      <c r="I356" s="339" t="n"/>
      <c r="J356" s="339" t="n"/>
      <c r="K356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57" ht="20" customHeight="1">
      <c r="D357" s="179" t="n"/>
      <c r="E357" s="179" t="n"/>
      <c r="F357" s="180" t="n"/>
      <c r="G357" s="180" t="n"/>
      <c r="H357" s="181">
        <f>IF(OR(F357="",G357=""),"",ROUND(MOD(G357-F357,1)*24,2))</f>
        <v/>
      </c>
      <c r="K357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58" ht="20" customHeight="1">
      <c r="D358" s="179" t="n"/>
      <c r="E358" s="179" t="n"/>
      <c r="F358" s="180" t="n"/>
      <c r="G358" s="180" t="n"/>
      <c r="H358" s="181">
        <f>IF(OR(F358="",G358=""),"",ROUND(MOD(G358-F358,1)*24,2))</f>
        <v/>
      </c>
      <c r="K358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59" ht="20" customHeight="1">
      <c r="D359" s="179" t="n"/>
      <c r="E359" s="179" t="n"/>
      <c r="F359" s="180" t="n"/>
      <c r="G359" s="180" t="n"/>
      <c r="H359" s="181">
        <f>IF(OR(F359="",G359=""),"",ROUND(MOD(G359-F359,1)*24,2))</f>
        <v/>
      </c>
      <c r="K359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60" collapsed="1" ht="20" customHeight="1">
      <c r="D360" s="179" t="n"/>
      <c r="E360" s="179" t="n"/>
      <c r="F360" s="180" t="n"/>
      <c r="G360" s="180" t="n"/>
      <c r="H360" s="181">
        <f>IF(OR(F360="",G360=""),"",ROUND(MOD(G360-F360,1)*24,2))</f>
        <v/>
      </c>
      <c r="K360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61" hidden="1" outlineLevel="1" ht="20" customHeight="1">
      <c r="D361" s="179" t="n"/>
      <c r="E361" s="179" t="n"/>
      <c r="F361" s="180" t="n"/>
      <c r="G361" s="180" t="n"/>
      <c r="H361" s="181">
        <f>IF(OR(F361="",G361=""),"",ROUND(MOD(G361-F361,1)*24,2))</f>
        <v/>
      </c>
      <c r="K361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62" hidden="1" outlineLevel="1" ht="20" customHeight="1">
      <c r="D362" s="179" t="n"/>
      <c r="E362" s="179" t="n"/>
      <c r="F362" s="180" t="n"/>
      <c r="G362" s="180" t="n"/>
      <c r="H362" s="181">
        <f>IF(OR(F362="",G362=""),"",ROUND(MOD(G362-F362,1)*24,2))</f>
        <v/>
      </c>
      <c r="K362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63" hidden="1" outlineLevel="1" ht="20" customHeight="1">
      <c r="D363" s="179" t="n"/>
      <c r="E363" s="179" t="n"/>
      <c r="F363" s="180" t="n"/>
      <c r="G363" s="180" t="n"/>
      <c r="H363" s="181">
        <f>IF(OR(F363="",G363=""),"",ROUND(MOD(G363-F363,1)*24,2))</f>
        <v/>
      </c>
      <c r="K363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64" hidden="1" outlineLevel="1" ht="20" customHeight="1">
      <c r="D364" s="179" t="n"/>
      <c r="E364" s="179" t="n"/>
      <c r="F364" s="180" t="n"/>
      <c r="G364" s="180" t="n"/>
      <c r="H364" s="181">
        <f>IF(OR(F364="",G364=""),"",ROUND(MOD(G364-F364,1)*24,2))</f>
        <v/>
      </c>
      <c r="K364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65" hidden="1" outlineLevel="1" ht="20" customHeight="1">
      <c r="A365" s="342" t="n"/>
      <c r="B365" s="342" t="n"/>
      <c r="C365" s="342" t="n"/>
      <c r="D365" s="332" t="n"/>
      <c r="E365" s="332" t="n"/>
      <c r="F365" s="333" t="n"/>
      <c r="G365" s="333" t="n"/>
      <c r="H365" s="334">
        <f>IF(OR(F365="",G365=""),"",ROUND(MOD(G365-F365,1)*24,2))</f>
        <v/>
      </c>
      <c r="I365" s="342" t="n"/>
      <c r="J365" s="342" t="n"/>
      <c r="K365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</row>
    <row r="366" ht="20" customHeight="1">
      <c r="A366" s="336">
        <f>IF($K366="","",WEEKNUM($K366,21))</f>
        <v/>
      </c>
      <c r="B366" s="337">
        <f>IF($K366="","",$K366)</f>
        <v/>
      </c>
      <c r="C366" s="338">
        <f>IF($K366="","",$K366)</f>
        <v/>
      </c>
      <c r="D366" s="171" t="n"/>
      <c r="E366" s="171" t="n"/>
      <c r="F366" s="172" t="n"/>
      <c r="G366" s="172" t="n"/>
      <c r="H366" s="173">
        <f>IF(OR(F366="",G366=""),"",ROUND(MOD(G366-F366,1)*24,2))</f>
        <v/>
      </c>
      <c r="I366" s="339" t="n"/>
      <c r="J366" s="339" t="n"/>
      <c r="K366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67" ht="20" customHeight="1">
      <c r="D367" s="179" t="n"/>
      <c r="E367" s="179" t="n"/>
      <c r="F367" s="180" t="n"/>
      <c r="G367" s="180" t="n"/>
      <c r="H367" s="181">
        <f>IF(OR(F367="",G367=""),"",ROUND(MOD(G367-F367,1)*24,2))</f>
        <v/>
      </c>
      <c r="K367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68" ht="20" customHeight="1">
      <c r="D368" s="179" t="n"/>
      <c r="E368" s="179" t="n"/>
      <c r="F368" s="180" t="n"/>
      <c r="G368" s="180" t="n"/>
      <c r="H368" s="181">
        <f>IF(OR(F368="",G368=""),"",ROUND(MOD(G368-F368,1)*24,2))</f>
        <v/>
      </c>
      <c r="K368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69" ht="20" customHeight="1">
      <c r="D369" s="179" t="n"/>
      <c r="E369" s="179" t="n"/>
      <c r="F369" s="180" t="n"/>
      <c r="G369" s="180" t="n"/>
      <c r="H369" s="181">
        <f>IF(OR(F369="",G369=""),"",ROUND(MOD(G369-F369,1)*24,2))</f>
        <v/>
      </c>
      <c r="K369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70" collapsed="1" ht="20" customHeight="1">
      <c r="D370" s="179" t="n"/>
      <c r="E370" s="179" t="n"/>
      <c r="F370" s="180" t="n"/>
      <c r="G370" s="180" t="n"/>
      <c r="H370" s="181">
        <f>IF(OR(F370="",G370=""),"",ROUND(MOD(G370-F370,1)*24,2))</f>
        <v/>
      </c>
      <c r="K370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71" hidden="1" outlineLevel="1" ht="20" customHeight="1">
      <c r="D371" s="179" t="n"/>
      <c r="E371" s="179" t="n"/>
      <c r="F371" s="180" t="n"/>
      <c r="G371" s="180" t="n"/>
      <c r="H371" s="181">
        <f>IF(OR(F371="",G371=""),"",ROUND(MOD(G371-F371,1)*24,2))</f>
        <v/>
      </c>
      <c r="K371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72" hidden="1" outlineLevel="1" ht="20" customHeight="1">
      <c r="D372" s="179" t="n"/>
      <c r="E372" s="179" t="n"/>
      <c r="F372" s="180" t="n"/>
      <c r="G372" s="180" t="n"/>
      <c r="H372" s="181">
        <f>IF(OR(F372="",G372=""),"",ROUND(MOD(G372-F372,1)*24,2))</f>
        <v/>
      </c>
      <c r="K372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73" hidden="1" outlineLevel="1" ht="20" customHeight="1">
      <c r="D373" s="179" t="n"/>
      <c r="E373" s="179" t="n"/>
      <c r="F373" s="180" t="n"/>
      <c r="G373" s="180" t="n"/>
      <c r="H373" s="181">
        <f>IF(OR(F373="",G373=""),"",ROUND(MOD(G373-F373,1)*24,2))</f>
        <v/>
      </c>
      <c r="K373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74" hidden="1" outlineLevel="1" ht="20" customHeight="1">
      <c r="D374" s="179" t="n"/>
      <c r="E374" s="179" t="n"/>
      <c r="F374" s="180" t="n"/>
      <c r="G374" s="180" t="n"/>
      <c r="H374" s="181">
        <f>IF(OR(F374="",G374=""),"",ROUND(MOD(G374-F374,1)*24,2))</f>
        <v/>
      </c>
      <c r="K374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75" hidden="1" outlineLevel="1" ht="20" customHeight="1">
      <c r="A375" s="342" t="n"/>
      <c r="B375" s="342" t="n"/>
      <c r="C375" s="342" t="n"/>
      <c r="D375" s="332" t="n"/>
      <c r="E375" s="332" t="n"/>
      <c r="F375" s="333" t="n"/>
      <c r="G375" s="333" t="n"/>
      <c r="H375" s="334">
        <f>IF(OR(F375="",G375=""),"",ROUND(MOD(G375-F375,1)*24,2))</f>
        <v/>
      </c>
      <c r="I375" s="342" t="n"/>
      <c r="J375" s="342" t="n"/>
      <c r="K375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</row>
    <row r="376" ht="20" customHeight="1">
      <c r="A376" s="336">
        <f>IF($K376="","",WEEKNUM($K376,21))</f>
        <v/>
      </c>
      <c r="B376" s="337">
        <f>IF($K376="","",$K376)</f>
        <v/>
      </c>
      <c r="C376" s="338">
        <f>IF($K376="","",$K376)</f>
        <v/>
      </c>
      <c r="D376" s="171" t="n"/>
      <c r="E376" s="171" t="n"/>
      <c r="F376" s="172" t="n"/>
      <c r="G376" s="172" t="n"/>
      <c r="H376" s="173">
        <f>IF(OR(F376="",G376=""),"",ROUND(MOD(G376-F376,1)*24,2))</f>
        <v/>
      </c>
      <c r="I376" s="339" t="n"/>
      <c r="J376" s="339" t="n"/>
      <c r="K376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77" ht="20" customHeight="1">
      <c r="D377" s="179" t="n"/>
      <c r="E377" s="179" t="n"/>
      <c r="F377" s="180" t="n"/>
      <c r="G377" s="180" t="n"/>
      <c r="H377" s="181">
        <f>IF(OR(F377="",G377=""),"",ROUND(MOD(G377-F377,1)*24,2))</f>
        <v/>
      </c>
      <c r="K377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78" ht="20" customHeight="1">
      <c r="D378" s="179" t="n"/>
      <c r="E378" s="179" t="n"/>
      <c r="F378" s="180" t="n"/>
      <c r="G378" s="180" t="n"/>
      <c r="H378" s="181">
        <f>IF(OR(F378="",G378=""),"",ROUND(MOD(G378-F378,1)*24,2))</f>
        <v/>
      </c>
      <c r="K378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79" ht="20" customHeight="1">
      <c r="D379" s="179" t="n"/>
      <c r="E379" s="179" t="n"/>
      <c r="F379" s="180" t="n"/>
      <c r="G379" s="180" t="n"/>
      <c r="H379" s="181">
        <f>IF(OR(F379="",G379=""),"",ROUND(MOD(G379-F379,1)*24,2))</f>
        <v/>
      </c>
      <c r="K379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80" collapsed="1" ht="20" customHeight="1">
      <c r="D380" s="179" t="n"/>
      <c r="E380" s="179" t="n"/>
      <c r="F380" s="180" t="n"/>
      <c r="G380" s="180" t="n"/>
      <c r="H380" s="181">
        <f>IF(OR(F380="",G380=""),"",ROUND(MOD(G380-F380,1)*24,2))</f>
        <v/>
      </c>
      <c r="K380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81" hidden="1" outlineLevel="1" ht="20" customHeight="1">
      <c r="D381" s="179" t="n"/>
      <c r="E381" s="179" t="n"/>
      <c r="F381" s="180" t="n"/>
      <c r="G381" s="180" t="n"/>
      <c r="H381" s="181">
        <f>IF(OR(F381="",G381=""),"",ROUND(MOD(G381-F381,1)*24,2))</f>
        <v/>
      </c>
      <c r="K381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82" hidden="1" outlineLevel="1" ht="20" customHeight="1">
      <c r="D382" s="179" t="n"/>
      <c r="E382" s="179" t="n"/>
      <c r="F382" s="180" t="n"/>
      <c r="G382" s="180" t="n"/>
      <c r="H382" s="181">
        <f>IF(OR(F382="",G382=""),"",ROUND(MOD(G382-F382,1)*24,2))</f>
        <v/>
      </c>
      <c r="K382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83" hidden="1" outlineLevel="1" ht="20" customHeight="1">
      <c r="D383" s="179" t="n"/>
      <c r="E383" s="179" t="n"/>
      <c r="F383" s="180" t="n"/>
      <c r="G383" s="180" t="n"/>
      <c r="H383" s="181">
        <f>IF(OR(F383="",G383=""),"",ROUND(MOD(G383-F383,1)*24,2))</f>
        <v/>
      </c>
      <c r="K383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84" hidden="1" outlineLevel="1" ht="20" customHeight="1">
      <c r="D384" s="179" t="n"/>
      <c r="E384" s="179" t="n"/>
      <c r="F384" s="180" t="n"/>
      <c r="G384" s="180" t="n"/>
      <c r="H384" s="181">
        <f>IF(OR(F384="",G384=""),"",ROUND(MOD(G384-F384,1)*24,2))</f>
        <v/>
      </c>
      <c r="K384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85" hidden="1" outlineLevel="1" ht="20" customHeight="1">
      <c r="A385" s="342" t="n"/>
      <c r="B385" s="342" t="n"/>
      <c r="C385" s="342" t="n"/>
      <c r="D385" s="332" t="n"/>
      <c r="E385" s="332" t="n"/>
      <c r="F385" s="333" t="n"/>
      <c r="G385" s="333" t="n"/>
      <c r="H385" s="334">
        <f>IF(OR(F385="",G385=""),"",ROUND(MOD(G385-F385,1)*24,2))</f>
        <v/>
      </c>
      <c r="I385" s="342" t="n"/>
      <c r="J385" s="342" t="n"/>
      <c r="K385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</row>
    <row r="386" ht="20" customHeight="1">
      <c r="A386" s="336">
        <f>IF($K386="","",WEEKNUM($K386,21))</f>
        <v/>
      </c>
      <c r="B386" s="337">
        <f>IF($K386="","",$K386)</f>
        <v/>
      </c>
      <c r="C386" s="338">
        <f>IF($K386="","",$K386)</f>
        <v/>
      </c>
      <c r="D386" s="171" t="n"/>
      <c r="E386" s="171" t="n"/>
      <c r="F386" s="172" t="n"/>
      <c r="G386" s="172" t="n"/>
      <c r="H386" s="173">
        <f>IF(OR(F386="",G386=""),"",ROUND(MOD(G386-F386,1)*24,2))</f>
        <v/>
      </c>
      <c r="I386" s="339" t="n"/>
      <c r="J386" s="339" t="n"/>
      <c r="K386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87" ht="20" customHeight="1">
      <c r="D387" s="179" t="n"/>
      <c r="E387" s="179" t="n"/>
      <c r="F387" s="180" t="n"/>
      <c r="G387" s="180" t="n"/>
      <c r="H387" s="181">
        <f>IF(OR(F387="",G387=""),"",ROUND(MOD(G387-F387,1)*24,2))</f>
        <v/>
      </c>
      <c r="K387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88" ht="20" customHeight="1">
      <c r="D388" s="179" t="n"/>
      <c r="E388" s="179" t="n"/>
      <c r="F388" s="180" t="n"/>
      <c r="G388" s="180" t="n"/>
      <c r="H388" s="181">
        <f>IF(OR(F388="",G388=""),"",ROUND(MOD(G388-F388,1)*24,2))</f>
        <v/>
      </c>
      <c r="K388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89" ht="20" customHeight="1">
      <c r="D389" s="179" t="n"/>
      <c r="E389" s="179" t="n"/>
      <c r="F389" s="180" t="n"/>
      <c r="G389" s="180" t="n"/>
      <c r="H389" s="181">
        <f>IF(OR(F389="",G389=""),"",ROUND(MOD(G389-F389,1)*24,2))</f>
        <v/>
      </c>
      <c r="K389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90" collapsed="1" ht="20" customHeight="1">
      <c r="D390" s="179" t="n"/>
      <c r="E390" s="179" t="n"/>
      <c r="F390" s="180" t="n"/>
      <c r="G390" s="180" t="n"/>
      <c r="H390" s="181">
        <f>IF(OR(F390="",G390=""),"",ROUND(MOD(G390-F390,1)*24,2))</f>
        <v/>
      </c>
      <c r="K390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91" hidden="1" outlineLevel="1" ht="20" customHeight="1">
      <c r="D391" s="179" t="n"/>
      <c r="E391" s="179" t="n"/>
      <c r="F391" s="180" t="n"/>
      <c r="G391" s="180" t="n"/>
      <c r="H391" s="181">
        <f>IF(OR(F391="",G391=""),"",ROUND(MOD(G391-F391,1)*24,2))</f>
        <v/>
      </c>
      <c r="K391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92" hidden="1" outlineLevel="1" ht="20" customHeight="1">
      <c r="D392" s="179" t="n"/>
      <c r="E392" s="179" t="n"/>
      <c r="F392" s="180" t="n"/>
      <c r="G392" s="180" t="n"/>
      <c r="H392" s="181">
        <f>IF(OR(F392="",G392=""),"",ROUND(MOD(G392-F392,1)*24,2))</f>
        <v/>
      </c>
      <c r="K392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93" hidden="1" outlineLevel="1" ht="20" customHeight="1">
      <c r="D393" s="179" t="n"/>
      <c r="E393" s="179" t="n"/>
      <c r="F393" s="180" t="n"/>
      <c r="G393" s="180" t="n"/>
      <c r="H393" s="181">
        <f>IF(OR(F393="",G393=""),"",ROUND(MOD(G393-F393,1)*24,2))</f>
        <v/>
      </c>
      <c r="K393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94" hidden="1" outlineLevel="1" ht="20" customHeight="1">
      <c r="D394" s="179" t="n"/>
      <c r="E394" s="179" t="n"/>
      <c r="F394" s="180" t="n"/>
      <c r="G394" s="180" t="n"/>
      <c r="H394" s="181">
        <f>IF(OR(F394="",G394=""),"",ROUND(MOD(G394-F394,1)*24,2))</f>
        <v/>
      </c>
      <c r="K394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95" hidden="1" outlineLevel="1" ht="20" customHeight="1">
      <c r="A395" s="342" t="n"/>
      <c r="B395" s="342" t="n"/>
      <c r="C395" s="342" t="n"/>
      <c r="D395" s="332" t="n"/>
      <c r="E395" s="332" t="n"/>
      <c r="F395" s="333" t="n"/>
      <c r="G395" s="333" t="n"/>
      <c r="H395" s="334">
        <f>IF(OR(F395="",G395=""),"",ROUND(MOD(G395-F395,1)*24,2))</f>
        <v/>
      </c>
      <c r="I395" s="342" t="n"/>
      <c r="J395" s="342" t="n"/>
      <c r="K395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</row>
    <row r="396" ht="20" customHeight="1">
      <c r="A396" s="336">
        <f>IF($K396="","",WEEKNUM($K396,21))</f>
        <v/>
      </c>
      <c r="B396" s="337">
        <f>IF($K396="","",$K396)</f>
        <v/>
      </c>
      <c r="C396" s="338">
        <f>IF($K396="","",$K396)</f>
        <v/>
      </c>
      <c r="D396" s="171" t="n"/>
      <c r="E396" s="171" t="n"/>
      <c r="F396" s="172" t="n"/>
      <c r="G396" s="172" t="n"/>
      <c r="H396" s="173">
        <f>IF(OR(F396="",G396=""),"",ROUND(MOD(G396-F396,1)*24,2))</f>
        <v/>
      </c>
      <c r="I396" s="339" t="n"/>
      <c r="J396" s="339" t="n"/>
      <c r="K396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397" ht="20" customHeight="1">
      <c r="D397" s="179" t="n"/>
      <c r="E397" s="179" t="n"/>
      <c r="F397" s="180" t="n"/>
      <c r="G397" s="180" t="n"/>
      <c r="H397" s="181">
        <f>IF(OR(F397="",G397=""),"",ROUND(MOD(G397-F397,1)*24,2))</f>
        <v/>
      </c>
      <c r="K397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398" ht="20" customHeight="1">
      <c r="D398" s="179" t="n"/>
      <c r="E398" s="179" t="n"/>
      <c r="F398" s="180" t="n"/>
      <c r="G398" s="180" t="n"/>
      <c r="H398" s="181">
        <f>IF(OR(F398="",G398=""),"",ROUND(MOD(G398-F398,1)*24,2))</f>
        <v/>
      </c>
      <c r="K398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399" ht="20" customHeight="1">
      <c r="D399" s="179" t="n"/>
      <c r="E399" s="179" t="n"/>
      <c r="F399" s="180" t="n"/>
      <c r="G399" s="180" t="n"/>
      <c r="H399" s="181">
        <f>IF(OR(F399="",G399=""),"",ROUND(MOD(G399-F399,1)*24,2))</f>
        <v/>
      </c>
      <c r="K399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400" collapsed="1" ht="20" customHeight="1">
      <c r="D400" s="179" t="n"/>
      <c r="E400" s="179" t="n"/>
      <c r="F400" s="180" t="n"/>
      <c r="G400" s="180" t="n"/>
      <c r="H400" s="181">
        <f>IF(OR(F400="",G400=""),"",ROUND(MOD(G400-F400,1)*24,2))</f>
        <v/>
      </c>
      <c r="K400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401" hidden="1" outlineLevel="1" ht="20" customHeight="1">
      <c r="D401" s="179" t="n"/>
      <c r="E401" s="179" t="n"/>
      <c r="F401" s="180" t="n"/>
      <c r="G401" s="180" t="n"/>
      <c r="H401" s="181">
        <f>IF(OR(F401="",G401=""),"",ROUND(MOD(G401-F401,1)*24,2))</f>
        <v/>
      </c>
      <c r="K401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402" hidden="1" outlineLevel="1" ht="20" customHeight="1">
      <c r="D402" s="179" t="n"/>
      <c r="E402" s="179" t="n"/>
      <c r="F402" s="180" t="n"/>
      <c r="G402" s="180" t="n"/>
      <c r="H402" s="181">
        <f>IF(OR(F402="",G402=""),"",ROUND(MOD(G402-F402,1)*24,2))</f>
        <v/>
      </c>
      <c r="K402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403" hidden="1" outlineLevel="1" ht="20" customHeight="1">
      <c r="D403" s="179" t="n"/>
      <c r="E403" s="179" t="n"/>
      <c r="F403" s="180" t="n"/>
      <c r="G403" s="180" t="n"/>
      <c r="H403" s="181">
        <f>IF(OR(F403="",G403=""),"",ROUND(MOD(G403-F403,1)*24,2))</f>
        <v/>
      </c>
      <c r="K403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404" hidden="1" outlineLevel="1" ht="20" customHeight="1">
      <c r="D404" s="179" t="n"/>
      <c r="E404" s="179" t="n"/>
      <c r="F404" s="180" t="n"/>
      <c r="G404" s="180" t="n"/>
      <c r="H404" s="181">
        <f>IF(OR(F404="",G404=""),"",ROUND(MOD(G404-F404,1)*24,2))</f>
        <v/>
      </c>
      <c r="K404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405" hidden="1" outlineLevel="1" ht="20" customHeight="1">
      <c r="A405" s="342" t="n"/>
      <c r="B405" s="342" t="n"/>
      <c r="C405" s="342" t="n"/>
      <c r="D405" s="332" t="n"/>
      <c r="E405" s="332" t="n"/>
      <c r="F405" s="333" t="n"/>
      <c r="G405" s="333" t="n"/>
      <c r="H405" s="334">
        <f>IF(OR(F405="",G405=""),"",ROUND(MOD(G405-F405,1)*24,2))</f>
        <v/>
      </c>
      <c r="I405" s="342" t="n"/>
      <c r="J405" s="342" t="n"/>
      <c r="K405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</row>
    <row r="406" ht="20" customHeight="1">
      <c r="A406" s="336">
        <f>IF($K406="","",WEEKNUM($K406,21))</f>
        <v/>
      </c>
      <c r="B406" s="337">
        <f>IF($K406="","",$K406)</f>
        <v/>
      </c>
      <c r="C406" s="338">
        <f>IF($K406="","",$K406)</f>
        <v/>
      </c>
      <c r="D406" s="171" t="n"/>
      <c r="E406" s="171" t="n"/>
      <c r="F406" s="172" t="n"/>
      <c r="G406" s="172" t="n"/>
      <c r="H406" s="173">
        <f>IF(OR(F406="",G406=""),"",ROUND(MOD(G406-F406,1)*24,2))</f>
        <v/>
      </c>
      <c r="I406" s="339" t="n"/>
      <c r="J406" s="339" t="n"/>
      <c r="K406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07" ht="20" customHeight="1">
      <c r="D407" s="179" t="n"/>
      <c r="E407" s="179" t="n"/>
      <c r="F407" s="180" t="n"/>
      <c r="G407" s="180" t="n"/>
      <c r="H407" s="181">
        <f>IF(OR(F407="",G407=""),"",ROUND(MOD(G407-F407,1)*24,2))</f>
        <v/>
      </c>
      <c r="K407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08" ht="20" customHeight="1">
      <c r="D408" s="179" t="n"/>
      <c r="E408" s="179" t="n"/>
      <c r="F408" s="180" t="n"/>
      <c r="G408" s="180" t="n"/>
      <c r="H408" s="181">
        <f>IF(OR(F408="",G408=""),"",ROUND(MOD(G408-F408,1)*24,2))</f>
        <v/>
      </c>
      <c r="K408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09" ht="20" customHeight="1">
      <c r="D409" s="179" t="n"/>
      <c r="E409" s="179" t="n"/>
      <c r="F409" s="180" t="n"/>
      <c r="G409" s="180" t="n"/>
      <c r="H409" s="181">
        <f>IF(OR(F409="",G409=""),"",ROUND(MOD(G409-F409,1)*24,2))</f>
        <v/>
      </c>
      <c r="K409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10" collapsed="1" ht="20" customHeight="1">
      <c r="D410" s="179" t="n"/>
      <c r="E410" s="179" t="n"/>
      <c r="F410" s="180" t="n"/>
      <c r="G410" s="180" t="n"/>
      <c r="H410" s="181">
        <f>IF(OR(F410="",G410=""),"",ROUND(MOD(G410-F410,1)*24,2))</f>
        <v/>
      </c>
      <c r="K410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11" hidden="1" outlineLevel="1" ht="20" customHeight="1">
      <c r="D411" s="179" t="n"/>
      <c r="E411" s="179" t="n"/>
      <c r="F411" s="180" t="n"/>
      <c r="G411" s="180" t="n"/>
      <c r="H411" s="181">
        <f>IF(OR(F411="",G411=""),"",ROUND(MOD(G411-F411,1)*24,2))</f>
        <v/>
      </c>
      <c r="K411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12" hidden="1" outlineLevel="1" ht="20" customHeight="1">
      <c r="D412" s="179" t="n"/>
      <c r="E412" s="179" t="n"/>
      <c r="F412" s="180" t="n"/>
      <c r="G412" s="180" t="n"/>
      <c r="H412" s="181">
        <f>IF(OR(F412="",G412=""),"",ROUND(MOD(G412-F412,1)*24,2))</f>
        <v/>
      </c>
      <c r="K412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13" hidden="1" outlineLevel="1" ht="20" customHeight="1">
      <c r="D413" s="179" t="n"/>
      <c r="E413" s="179" t="n"/>
      <c r="F413" s="180" t="n"/>
      <c r="G413" s="180" t="n"/>
      <c r="H413" s="181">
        <f>IF(OR(F413="",G413=""),"",ROUND(MOD(G413-F413,1)*24,2))</f>
        <v/>
      </c>
      <c r="K413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14" hidden="1" outlineLevel="1" ht="20" customHeight="1">
      <c r="D414" s="179" t="n"/>
      <c r="E414" s="179" t="n"/>
      <c r="F414" s="180" t="n"/>
      <c r="G414" s="180" t="n"/>
      <c r="H414" s="181">
        <f>IF(OR(F414="",G414=""),"",ROUND(MOD(G414-F414,1)*24,2))</f>
        <v/>
      </c>
      <c r="K414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15" hidden="1" outlineLevel="1" ht="20" customHeight="1">
      <c r="A415" s="342" t="n"/>
      <c r="B415" s="342" t="n"/>
      <c r="C415" s="342" t="n"/>
      <c r="D415" s="332" t="n"/>
      <c r="E415" s="332" t="n"/>
      <c r="F415" s="333" t="n"/>
      <c r="G415" s="333" t="n"/>
      <c r="H415" s="334">
        <f>IF(OR(F415="",G415=""),"",ROUND(MOD(G415-F415,1)*24,2))</f>
        <v/>
      </c>
      <c r="I415" s="342" t="n"/>
      <c r="J415" s="342" t="n"/>
      <c r="K415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</row>
    <row r="416" ht="20" customHeight="1">
      <c r="A416" s="336">
        <f>IF($K416="","",WEEKNUM($K416,21))</f>
        <v/>
      </c>
      <c r="B416" s="337">
        <f>IF($K416="","",$K416)</f>
        <v/>
      </c>
      <c r="C416" s="338">
        <f>IF($K416="","",$K416)</f>
        <v/>
      </c>
      <c r="D416" s="171" t="n"/>
      <c r="E416" s="171" t="n"/>
      <c r="F416" s="172" t="n"/>
      <c r="G416" s="172" t="n"/>
      <c r="H416" s="173">
        <f>IF(OR(F416="",G416=""),"",ROUND(MOD(G416-F416,1)*24,2))</f>
        <v/>
      </c>
      <c r="I416" s="339" t="n"/>
      <c r="J416" s="339" t="n"/>
      <c r="K416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17" ht="20" customHeight="1">
      <c r="D417" s="179" t="n"/>
      <c r="E417" s="179" t="n"/>
      <c r="F417" s="180" t="n"/>
      <c r="G417" s="180" t="n"/>
      <c r="H417" s="181">
        <f>IF(OR(F417="",G417=""),"",ROUND(MOD(G417-F417,1)*24,2))</f>
        <v/>
      </c>
      <c r="K417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18" ht="20" customHeight="1">
      <c r="D418" s="179" t="n"/>
      <c r="E418" s="179" t="n"/>
      <c r="F418" s="180" t="n"/>
      <c r="G418" s="180" t="n"/>
      <c r="H418" s="181">
        <f>IF(OR(F418="",G418=""),"",ROUND(MOD(G418-F418,1)*24,2))</f>
        <v/>
      </c>
      <c r="K418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19" ht="20" customHeight="1">
      <c r="D419" s="179" t="n"/>
      <c r="E419" s="179" t="n"/>
      <c r="F419" s="180" t="n"/>
      <c r="G419" s="180" t="n"/>
      <c r="H419" s="181">
        <f>IF(OR(F419="",G419=""),"",ROUND(MOD(G419-F419,1)*24,2))</f>
        <v/>
      </c>
      <c r="K419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20" collapsed="1" ht="20" customHeight="1">
      <c r="D420" s="179" t="n"/>
      <c r="E420" s="179" t="n"/>
      <c r="F420" s="180" t="n"/>
      <c r="G420" s="180" t="n"/>
      <c r="H420" s="181">
        <f>IF(OR(F420="",G420=""),"",ROUND(MOD(G420-F420,1)*24,2))</f>
        <v/>
      </c>
      <c r="K420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21" hidden="1" outlineLevel="1" ht="20" customHeight="1">
      <c r="D421" s="179" t="n"/>
      <c r="E421" s="179" t="n"/>
      <c r="F421" s="180" t="n"/>
      <c r="G421" s="180" t="n"/>
      <c r="H421" s="181">
        <f>IF(OR(F421="",G421=""),"",ROUND(MOD(G421-F421,1)*24,2))</f>
        <v/>
      </c>
      <c r="K421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22" hidden="1" outlineLevel="1" ht="20" customHeight="1">
      <c r="D422" s="179" t="n"/>
      <c r="E422" s="179" t="n"/>
      <c r="F422" s="180" t="n"/>
      <c r="G422" s="180" t="n"/>
      <c r="H422" s="181">
        <f>IF(OR(F422="",G422=""),"",ROUND(MOD(G422-F422,1)*24,2))</f>
        <v/>
      </c>
      <c r="K422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23" hidden="1" outlineLevel="1" ht="20" customHeight="1">
      <c r="D423" s="179" t="n"/>
      <c r="E423" s="179" t="n"/>
      <c r="F423" s="180" t="n"/>
      <c r="G423" s="180" t="n"/>
      <c r="H423" s="181">
        <f>IF(OR(F423="",G423=""),"",ROUND(MOD(G423-F423,1)*24,2))</f>
        <v/>
      </c>
      <c r="K423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24" hidden="1" outlineLevel="1" ht="20" customHeight="1">
      <c r="D424" s="179" t="n"/>
      <c r="E424" s="179" t="n"/>
      <c r="F424" s="180" t="n"/>
      <c r="G424" s="180" t="n"/>
      <c r="H424" s="181">
        <f>IF(OR(F424="",G424=""),"",ROUND(MOD(G424-F424,1)*24,2))</f>
        <v/>
      </c>
      <c r="K424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25" hidden="1" outlineLevel="1" ht="20" customHeight="1">
      <c r="A425" s="342" t="n"/>
      <c r="B425" s="342" t="n"/>
      <c r="C425" s="342" t="n"/>
      <c r="D425" s="332" t="n"/>
      <c r="E425" s="332" t="n"/>
      <c r="F425" s="333" t="n"/>
      <c r="G425" s="333" t="n"/>
      <c r="H425" s="334">
        <f>IF(OR(F425="",G425=""),"",ROUND(MOD(G425-F425,1)*24,2))</f>
        <v/>
      </c>
      <c r="I425" s="342" t="n"/>
      <c r="J425" s="342" t="n"/>
      <c r="K425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</row>
    <row r="426" ht="20" customHeight="1">
      <c r="A426" s="336">
        <f>IF($K426="","",WEEKNUM($K426,21))</f>
        <v/>
      </c>
      <c r="B426" s="337">
        <f>IF($K426="","",$K426)</f>
        <v/>
      </c>
      <c r="C426" s="338">
        <f>IF($K426="","",$K426)</f>
        <v/>
      </c>
      <c r="D426" s="171" t="n"/>
      <c r="E426" s="171" t="n"/>
      <c r="F426" s="172" t="n"/>
      <c r="G426" s="172" t="n"/>
      <c r="H426" s="173">
        <f>IF(OR(F426="",G426=""),"",ROUND(MOD(G426-F426,1)*24,2))</f>
        <v/>
      </c>
      <c r="I426" s="339" t="n"/>
      <c r="J426" s="339" t="n"/>
      <c r="K426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27" ht="20" customHeight="1">
      <c r="D427" s="179" t="n"/>
      <c r="E427" s="179" t="n"/>
      <c r="F427" s="180" t="n"/>
      <c r="G427" s="180" t="n"/>
      <c r="H427" s="181">
        <f>IF(OR(F427="",G427=""),"",ROUND(MOD(G427-F427,1)*24,2))</f>
        <v/>
      </c>
      <c r="K427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28" ht="20" customHeight="1">
      <c r="D428" s="179" t="n"/>
      <c r="E428" s="179" t="n"/>
      <c r="F428" s="180" t="n"/>
      <c r="G428" s="180" t="n"/>
      <c r="H428" s="181">
        <f>IF(OR(F428="",G428=""),"",ROUND(MOD(G428-F428,1)*24,2))</f>
        <v/>
      </c>
      <c r="K428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29" ht="20" customHeight="1">
      <c r="D429" s="179" t="n"/>
      <c r="E429" s="179" t="n"/>
      <c r="F429" s="180" t="n"/>
      <c r="G429" s="180" t="n"/>
      <c r="H429" s="181">
        <f>IF(OR(F429="",G429=""),"",ROUND(MOD(G429-F429,1)*24,2))</f>
        <v/>
      </c>
      <c r="K429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30" collapsed="1" ht="20" customHeight="1">
      <c r="D430" s="179" t="n"/>
      <c r="E430" s="179" t="n"/>
      <c r="F430" s="180" t="n"/>
      <c r="G430" s="180" t="n"/>
      <c r="H430" s="181">
        <f>IF(OR(F430="",G430=""),"",ROUND(MOD(G430-F430,1)*24,2))</f>
        <v/>
      </c>
      <c r="K430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31" hidden="1" outlineLevel="1" ht="20" customHeight="1">
      <c r="D431" s="179" t="n"/>
      <c r="E431" s="179" t="n"/>
      <c r="F431" s="180" t="n"/>
      <c r="G431" s="180" t="n"/>
      <c r="H431" s="181">
        <f>IF(OR(F431="",G431=""),"",ROUND(MOD(G431-F431,1)*24,2))</f>
        <v/>
      </c>
      <c r="K431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32" hidden="1" outlineLevel="1" ht="20" customHeight="1">
      <c r="D432" s="179" t="n"/>
      <c r="E432" s="179" t="n"/>
      <c r="F432" s="180" t="n"/>
      <c r="G432" s="180" t="n"/>
      <c r="H432" s="181">
        <f>IF(OR(F432="",G432=""),"",ROUND(MOD(G432-F432,1)*24,2))</f>
        <v/>
      </c>
      <c r="K432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33" hidden="1" outlineLevel="1" ht="20" customHeight="1">
      <c r="D433" s="179" t="n"/>
      <c r="E433" s="179" t="n"/>
      <c r="F433" s="180" t="n"/>
      <c r="G433" s="180" t="n"/>
      <c r="H433" s="181">
        <f>IF(OR(F433="",G433=""),"",ROUND(MOD(G433-F433,1)*24,2))</f>
        <v/>
      </c>
      <c r="K433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34" hidden="1" outlineLevel="1" ht="20" customHeight="1">
      <c r="D434" s="179" t="n"/>
      <c r="E434" s="179" t="n"/>
      <c r="F434" s="180" t="n"/>
      <c r="G434" s="180" t="n"/>
      <c r="H434" s="181">
        <f>IF(OR(F434="",G434=""),"",ROUND(MOD(G434-F434,1)*24,2))</f>
        <v/>
      </c>
      <c r="K434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35" hidden="1" outlineLevel="1" ht="20" customHeight="1">
      <c r="A435" s="342" t="n"/>
      <c r="B435" s="342" t="n"/>
      <c r="C435" s="342" t="n"/>
      <c r="D435" s="332" t="n"/>
      <c r="E435" s="332" t="n"/>
      <c r="F435" s="333" t="n"/>
      <c r="G435" s="333" t="n"/>
      <c r="H435" s="334">
        <f>IF(OR(F435="",G435=""),"",ROUND(MOD(G435-F435,1)*24,2))</f>
        <v/>
      </c>
      <c r="I435" s="342" t="n"/>
      <c r="J435" s="342" t="n"/>
      <c r="K435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</row>
    <row r="436" ht="20" customHeight="1">
      <c r="A436" s="336">
        <f>IF($K436="","",WEEKNUM($K436,21))</f>
        <v/>
      </c>
      <c r="B436" s="337">
        <f>IF($K436="","",$K436)</f>
        <v/>
      </c>
      <c r="C436" s="338">
        <f>IF($K436="","",$K436)</f>
        <v/>
      </c>
      <c r="D436" s="171" t="n"/>
      <c r="E436" s="171" t="n"/>
      <c r="F436" s="172" t="n"/>
      <c r="G436" s="172" t="n"/>
      <c r="H436" s="173">
        <f>IF(OR(F436="",G436=""),"",ROUND(MOD(G436-F436,1)*24,2))</f>
        <v/>
      </c>
      <c r="I436" s="339" t="n"/>
      <c r="J436" s="339" t="n"/>
      <c r="K436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37" ht="20" customHeight="1">
      <c r="D437" s="179" t="n"/>
      <c r="E437" s="179" t="n"/>
      <c r="F437" s="180" t="n"/>
      <c r="G437" s="180" t="n"/>
      <c r="H437" s="181">
        <f>IF(OR(F437="",G437=""),"",ROUND(MOD(G437-F437,1)*24,2))</f>
        <v/>
      </c>
      <c r="K437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38" ht="20" customHeight="1">
      <c r="D438" s="179" t="n"/>
      <c r="E438" s="179" t="n"/>
      <c r="F438" s="180" t="n"/>
      <c r="G438" s="180" t="n"/>
      <c r="H438" s="181">
        <f>IF(OR(F438="",G438=""),"",ROUND(MOD(G438-F438,1)*24,2))</f>
        <v/>
      </c>
      <c r="K438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39" ht="20" customHeight="1">
      <c r="D439" s="179" t="n"/>
      <c r="E439" s="179" t="n"/>
      <c r="F439" s="180" t="n"/>
      <c r="G439" s="180" t="n"/>
      <c r="H439" s="181">
        <f>IF(OR(F439="",G439=""),"",ROUND(MOD(G439-F439,1)*24,2))</f>
        <v/>
      </c>
      <c r="K439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40" collapsed="1" ht="20" customHeight="1">
      <c r="D440" s="179" t="n"/>
      <c r="E440" s="179" t="n"/>
      <c r="F440" s="180" t="n"/>
      <c r="G440" s="180" t="n"/>
      <c r="H440" s="181">
        <f>IF(OR(F440="",G440=""),"",ROUND(MOD(G440-F440,1)*24,2))</f>
        <v/>
      </c>
      <c r="K440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41" hidden="1" outlineLevel="1" ht="20" customHeight="1">
      <c r="D441" s="179" t="n"/>
      <c r="E441" s="179" t="n"/>
      <c r="F441" s="180" t="n"/>
      <c r="G441" s="180" t="n"/>
      <c r="H441" s="181">
        <f>IF(OR(F441="",G441=""),"",ROUND(MOD(G441-F441,1)*24,2))</f>
        <v/>
      </c>
      <c r="K441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42" hidden="1" outlineLevel="1" ht="20" customHeight="1">
      <c r="D442" s="179" t="n"/>
      <c r="E442" s="179" t="n"/>
      <c r="F442" s="180" t="n"/>
      <c r="G442" s="180" t="n"/>
      <c r="H442" s="181">
        <f>IF(OR(F442="",G442=""),"",ROUND(MOD(G442-F442,1)*24,2))</f>
        <v/>
      </c>
      <c r="K442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43" hidden="1" outlineLevel="1" ht="20" customHeight="1">
      <c r="D443" s="179" t="n"/>
      <c r="E443" s="179" t="n"/>
      <c r="F443" s="180" t="n"/>
      <c r="G443" s="180" t="n"/>
      <c r="H443" s="181">
        <f>IF(OR(F443="",G443=""),"",ROUND(MOD(G443-F443,1)*24,2))</f>
        <v/>
      </c>
      <c r="K443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44" hidden="1" outlineLevel="1" ht="20" customHeight="1">
      <c r="D444" s="179" t="n"/>
      <c r="E444" s="179" t="n"/>
      <c r="F444" s="180" t="n"/>
      <c r="G444" s="180" t="n"/>
      <c r="H444" s="181">
        <f>IF(OR(F444="",G444=""),"",ROUND(MOD(G444-F444,1)*24,2))</f>
        <v/>
      </c>
      <c r="K444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45" hidden="1" outlineLevel="1" ht="20" customHeight="1">
      <c r="A445" s="342" t="n"/>
      <c r="B445" s="342" t="n"/>
      <c r="C445" s="342" t="n"/>
      <c r="D445" s="332" t="n"/>
      <c r="E445" s="332" t="n"/>
      <c r="F445" s="333" t="n"/>
      <c r="G445" s="333" t="n"/>
      <c r="H445" s="334">
        <f>IF(OR(F445="",G445=""),"",ROUND(MOD(G445-F445,1)*24,2))</f>
        <v/>
      </c>
      <c r="I445" s="342" t="n"/>
      <c r="J445" s="342" t="n"/>
      <c r="K445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</row>
    <row r="446" ht="20" customHeight="1">
      <c r="A446" s="336">
        <f>IF($K446="","",WEEKNUM($K446,21))</f>
        <v/>
      </c>
      <c r="B446" s="337">
        <f>IF($K446="","",$K446)</f>
        <v/>
      </c>
      <c r="C446" s="338">
        <f>IF($K446="","",$K446)</f>
        <v/>
      </c>
      <c r="D446" s="171" t="n"/>
      <c r="E446" s="171" t="n"/>
      <c r="F446" s="172" t="n"/>
      <c r="G446" s="172" t="n"/>
      <c r="H446" s="173">
        <f>IF(OR(F446="",G446=""),"",ROUND(MOD(G446-F446,1)*24,2))</f>
        <v/>
      </c>
      <c r="I446" s="339" t="n"/>
      <c r="J446" s="339" t="n"/>
      <c r="K446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47" ht="20" customHeight="1">
      <c r="D447" s="179" t="n"/>
      <c r="E447" s="179" t="n"/>
      <c r="F447" s="180" t="n"/>
      <c r="G447" s="180" t="n"/>
      <c r="H447" s="181">
        <f>IF(OR(F447="",G447=""),"",ROUND(MOD(G447-F447,1)*24,2))</f>
        <v/>
      </c>
      <c r="K447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48" ht="20" customHeight="1">
      <c r="D448" s="179" t="n"/>
      <c r="E448" s="179" t="n"/>
      <c r="F448" s="180" t="n"/>
      <c r="G448" s="180" t="n"/>
      <c r="H448" s="181">
        <f>IF(OR(F448="",G448=""),"",ROUND(MOD(G448-F448,1)*24,2))</f>
        <v/>
      </c>
      <c r="K448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49" ht="20" customHeight="1">
      <c r="D449" s="179" t="n"/>
      <c r="E449" s="179" t="n"/>
      <c r="F449" s="180" t="n"/>
      <c r="G449" s="180" t="n"/>
      <c r="H449" s="181">
        <f>IF(OR(F449="",G449=""),"",ROUND(MOD(G449-F449,1)*24,2))</f>
        <v/>
      </c>
      <c r="K449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50" collapsed="1" ht="20" customHeight="1">
      <c r="D450" s="179" t="n"/>
      <c r="E450" s="179" t="n"/>
      <c r="F450" s="180" t="n"/>
      <c r="G450" s="180" t="n"/>
      <c r="H450" s="181">
        <f>IF(OR(F450="",G450=""),"",ROUND(MOD(G450-F450,1)*24,2))</f>
        <v/>
      </c>
      <c r="K450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51" hidden="1" outlineLevel="1" ht="20" customHeight="1">
      <c r="D451" s="179" t="n"/>
      <c r="E451" s="179" t="n"/>
      <c r="F451" s="180" t="n"/>
      <c r="G451" s="180" t="n"/>
      <c r="H451" s="181">
        <f>IF(OR(F451="",G451=""),"",ROUND(MOD(G451-F451,1)*24,2))</f>
        <v/>
      </c>
      <c r="K451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52" hidden="1" outlineLevel="1" ht="20" customHeight="1">
      <c r="D452" s="179" t="n"/>
      <c r="E452" s="179" t="n"/>
      <c r="F452" s="180" t="n"/>
      <c r="G452" s="180" t="n"/>
      <c r="H452" s="181">
        <f>IF(OR(F452="",G452=""),"",ROUND(MOD(G452-F452,1)*24,2))</f>
        <v/>
      </c>
      <c r="K452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53" hidden="1" outlineLevel="1" ht="20" customHeight="1">
      <c r="D453" s="179" t="n"/>
      <c r="E453" s="179" t="n"/>
      <c r="F453" s="180" t="n"/>
      <c r="G453" s="180" t="n"/>
      <c r="H453" s="181">
        <f>IF(OR(F453="",G453=""),"",ROUND(MOD(G453-F453,1)*24,2))</f>
        <v/>
      </c>
      <c r="K453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54" hidden="1" outlineLevel="1" ht="20" customHeight="1">
      <c r="D454" s="179" t="n"/>
      <c r="E454" s="179" t="n"/>
      <c r="F454" s="180" t="n"/>
      <c r="G454" s="180" t="n"/>
      <c r="H454" s="181">
        <f>IF(OR(F454="",G454=""),"",ROUND(MOD(G454-F454,1)*24,2))</f>
        <v/>
      </c>
      <c r="K454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55" hidden="1" outlineLevel="1" ht="20" customHeight="1">
      <c r="A455" s="342" t="n"/>
      <c r="B455" s="342" t="n"/>
      <c r="C455" s="342" t="n"/>
      <c r="D455" s="332" t="n"/>
      <c r="E455" s="332" t="n"/>
      <c r="F455" s="333" t="n"/>
      <c r="G455" s="333" t="n"/>
      <c r="H455" s="334">
        <f>IF(OR(F455="",G455=""),"",ROUND(MOD(G455-F455,1)*24,2))</f>
        <v/>
      </c>
      <c r="I455" s="342" t="n"/>
      <c r="J455" s="342" t="n"/>
      <c r="K455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</row>
    <row r="456" ht="20" customHeight="1">
      <c r="A456" s="336">
        <f>IF($K456="","",WEEKNUM($K456,21))</f>
        <v/>
      </c>
      <c r="B456" s="337">
        <f>IF($K456="","",$K456)</f>
        <v/>
      </c>
      <c r="C456" s="338">
        <f>IF($K456="","",$K456)</f>
        <v/>
      </c>
      <c r="D456" s="171" t="n"/>
      <c r="E456" s="171" t="n"/>
      <c r="F456" s="172" t="n"/>
      <c r="G456" s="172" t="n"/>
      <c r="H456" s="173">
        <f>IF(OR(F456="",G456=""),"",ROUND(MOD(G456-F456,1)*24,2))</f>
        <v/>
      </c>
      <c r="I456" s="339" t="n"/>
      <c r="J456" s="339" t="n"/>
      <c r="K456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57" ht="20" customHeight="1">
      <c r="D457" s="179" t="n"/>
      <c r="E457" s="179" t="n"/>
      <c r="F457" s="180" t="n"/>
      <c r="G457" s="180" t="n"/>
      <c r="H457" s="181">
        <f>IF(OR(F457="",G457=""),"",ROUND(MOD(G457-F457,1)*24,2))</f>
        <v/>
      </c>
      <c r="K457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58" ht="20" customHeight="1">
      <c r="D458" s="179" t="n"/>
      <c r="E458" s="179" t="n"/>
      <c r="F458" s="180" t="n"/>
      <c r="G458" s="180" t="n"/>
      <c r="H458" s="181">
        <f>IF(OR(F458="",G458=""),"",ROUND(MOD(G458-F458,1)*24,2))</f>
        <v/>
      </c>
      <c r="K458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59" ht="20" customHeight="1">
      <c r="D459" s="179" t="n"/>
      <c r="E459" s="179" t="n"/>
      <c r="F459" s="180" t="n"/>
      <c r="G459" s="180" t="n"/>
      <c r="H459" s="181">
        <f>IF(OR(F459="",G459=""),"",ROUND(MOD(G459-F459,1)*24,2))</f>
        <v/>
      </c>
      <c r="K459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60" collapsed="1" ht="20" customHeight="1">
      <c r="D460" s="179" t="n"/>
      <c r="E460" s="179" t="n"/>
      <c r="F460" s="180" t="n"/>
      <c r="G460" s="180" t="n"/>
      <c r="H460" s="181">
        <f>IF(OR(F460="",G460=""),"",ROUND(MOD(G460-F460,1)*24,2))</f>
        <v/>
      </c>
      <c r="K460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61" hidden="1" outlineLevel="1" ht="20" customHeight="1">
      <c r="D461" s="179" t="n"/>
      <c r="E461" s="179" t="n"/>
      <c r="F461" s="180" t="n"/>
      <c r="G461" s="180" t="n"/>
      <c r="H461" s="181">
        <f>IF(OR(F461="",G461=""),"",ROUND(MOD(G461-F461,1)*24,2))</f>
        <v/>
      </c>
      <c r="K461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62" hidden="1" outlineLevel="1" ht="20" customHeight="1">
      <c r="D462" s="179" t="n"/>
      <c r="E462" s="179" t="n"/>
      <c r="F462" s="180" t="n"/>
      <c r="G462" s="180" t="n"/>
      <c r="H462" s="181">
        <f>IF(OR(F462="",G462=""),"",ROUND(MOD(G462-F462,1)*24,2))</f>
        <v/>
      </c>
      <c r="K462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63" hidden="1" outlineLevel="1" ht="20" customHeight="1">
      <c r="D463" s="179" t="n"/>
      <c r="E463" s="179" t="n"/>
      <c r="F463" s="180" t="n"/>
      <c r="G463" s="180" t="n"/>
      <c r="H463" s="181">
        <f>IF(OR(F463="",G463=""),"",ROUND(MOD(G463-F463,1)*24,2))</f>
        <v/>
      </c>
      <c r="K463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64" hidden="1" outlineLevel="1" ht="20" customHeight="1">
      <c r="D464" s="179" t="n"/>
      <c r="E464" s="179" t="n"/>
      <c r="F464" s="180" t="n"/>
      <c r="G464" s="180" t="n"/>
      <c r="H464" s="181">
        <f>IF(OR(F464="",G464=""),"",ROUND(MOD(G464-F464,1)*24,2))</f>
        <v/>
      </c>
      <c r="K464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65" hidden="1" outlineLevel="1" ht="20" customHeight="1">
      <c r="A465" s="342" t="n"/>
      <c r="B465" s="342" t="n"/>
      <c r="C465" s="342" t="n"/>
      <c r="D465" s="332" t="n"/>
      <c r="E465" s="332" t="n"/>
      <c r="F465" s="333" t="n"/>
      <c r="G465" s="333" t="n"/>
      <c r="H465" s="334">
        <f>IF(OR(F465="",G465=""),"",ROUND(MOD(G465-F465,1)*24,2))</f>
        <v/>
      </c>
      <c r="I465" s="342" t="n"/>
      <c r="J465" s="342" t="n"/>
      <c r="K465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</row>
    <row r="466" ht="20" customHeight="1">
      <c r="A466" s="336">
        <f>IF($K466="","",WEEKNUM($K466,21))</f>
        <v/>
      </c>
      <c r="B466" s="337">
        <f>IF($K466="","",$K466)</f>
        <v/>
      </c>
      <c r="C466" s="338">
        <f>IF($K466="","",$K466)</f>
        <v/>
      </c>
      <c r="D466" s="171" t="n"/>
      <c r="E466" s="171" t="n"/>
      <c r="F466" s="172" t="n"/>
      <c r="G466" s="172" t="n"/>
      <c r="H466" s="173">
        <f>IF(OR(F466="",G466=""),"",ROUND(MOD(G466-F466,1)*24,2))</f>
        <v/>
      </c>
      <c r="I466" s="339" t="n"/>
      <c r="J466" s="339" t="n"/>
      <c r="K466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67" ht="20" customHeight="1">
      <c r="D467" s="179" t="n"/>
      <c r="E467" s="179" t="n"/>
      <c r="F467" s="180" t="n"/>
      <c r="G467" s="180" t="n"/>
      <c r="H467" s="181">
        <f>IF(OR(F467="",G467=""),"",ROUND(MOD(G467-F467,1)*24,2))</f>
        <v/>
      </c>
      <c r="K467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68" ht="20" customHeight="1">
      <c r="D468" s="179" t="n"/>
      <c r="E468" s="179" t="n"/>
      <c r="F468" s="180" t="n"/>
      <c r="G468" s="180" t="n"/>
      <c r="H468" s="181">
        <f>IF(OR(F468="",G468=""),"",ROUND(MOD(G468-F468,1)*24,2))</f>
        <v/>
      </c>
      <c r="K468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69" ht="20" customHeight="1">
      <c r="D469" s="179" t="n"/>
      <c r="E469" s="179" t="n"/>
      <c r="F469" s="180" t="n"/>
      <c r="G469" s="180" t="n"/>
      <c r="H469" s="181">
        <f>IF(OR(F469="",G469=""),"",ROUND(MOD(G469-F469,1)*24,2))</f>
        <v/>
      </c>
      <c r="K469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70" collapsed="1" ht="20" customHeight="1">
      <c r="D470" s="179" t="n"/>
      <c r="E470" s="179" t="n"/>
      <c r="F470" s="180" t="n"/>
      <c r="G470" s="180" t="n"/>
      <c r="H470" s="181">
        <f>IF(OR(F470="",G470=""),"",ROUND(MOD(G470-F470,1)*24,2))</f>
        <v/>
      </c>
      <c r="K470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71" hidden="1" outlineLevel="1" ht="20" customHeight="1">
      <c r="D471" s="179" t="n"/>
      <c r="E471" s="179" t="n"/>
      <c r="F471" s="180" t="n"/>
      <c r="G471" s="180" t="n"/>
      <c r="H471" s="181">
        <f>IF(OR(F471="",G471=""),"",ROUND(MOD(G471-F471,1)*24,2))</f>
        <v/>
      </c>
      <c r="K471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72" hidden="1" outlineLevel="1" ht="20" customHeight="1">
      <c r="D472" s="179" t="n"/>
      <c r="E472" s="179" t="n"/>
      <c r="F472" s="180" t="n"/>
      <c r="G472" s="180" t="n"/>
      <c r="H472" s="181">
        <f>IF(OR(F472="",G472=""),"",ROUND(MOD(G472-F472,1)*24,2))</f>
        <v/>
      </c>
      <c r="K472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73" hidden="1" outlineLevel="1" ht="20" customHeight="1">
      <c r="D473" s="179" t="n"/>
      <c r="E473" s="179" t="n"/>
      <c r="F473" s="180" t="n"/>
      <c r="G473" s="180" t="n"/>
      <c r="H473" s="181">
        <f>IF(OR(F473="",G473=""),"",ROUND(MOD(G473-F473,1)*24,2))</f>
        <v/>
      </c>
      <c r="K473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74" hidden="1" outlineLevel="1" ht="20" customHeight="1">
      <c r="D474" s="179" t="n"/>
      <c r="E474" s="179" t="n"/>
      <c r="F474" s="180" t="n"/>
      <c r="G474" s="180" t="n"/>
      <c r="H474" s="181">
        <f>IF(OR(F474="",G474=""),"",ROUND(MOD(G474-F474,1)*24,2))</f>
        <v/>
      </c>
      <c r="K474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75" hidden="1" outlineLevel="1" ht="20" customHeight="1">
      <c r="A475" s="342" t="n"/>
      <c r="B475" s="342" t="n"/>
      <c r="C475" s="342" t="n"/>
      <c r="D475" s="332" t="n"/>
      <c r="E475" s="332" t="n"/>
      <c r="F475" s="333" t="n"/>
      <c r="G475" s="333" t="n"/>
      <c r="H475" s="334">
        <f>IF(OR(F475="",G475=""),"",ROUND(MOD(G475-F475,1)*24,2))</f>
        <v/>
      </c>
      <c r="I475" s="342" t="n"/>
      <c r="J475" s="342" t="n"/>
      <c r="K475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</row>
    <row r="476" ht="20" customHeight="1">
      <c r="A476" s="336">
        <f>IF($K476="","",WEEKNUM($K476,21))</f>
        <v/>
      </c>
      <c r="B476" s="337">
        <f>IF($K476="","",$K476)</f>
        <v/>
      </c>
      <c r="C476" s="338">
        <f>IF($K476="","",$K476)</f>
        <v/>
      </c>
      <c r="D476" s="171" t="n"/>
      <c r="E476" s="171" t="n"/>
      <c r="F476" s="172" t="n"/>
      <c r="G476" s="172" t="n"/>
      <c r="H476" s="173">
        <f>IF(OR(F476="",G476=""),"",ROUND(MOD(G476-F476,1)*24,2))</f>
        <v/>
      </c>
      <c r="I476" s="339" t="n"/>
      <c r="J476" s="339" t="n"/>
      <c r="K476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77" ht="20" customHeight="1">
      <c r="D477" s="179" t="n"/>
      <c r="E477" s="179" t="n"/>
      <c r="F477" s="180" t="n"/>
      <c r="G477" s="180" t="n"/>
      <c r="H477" s="181">
        <f>IF(OR(F477="",G477=""),"",ROUND(MOD(G477-F477,1)*24,2))</f>
        <v/>
      </c>
      <c r="K477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78" ht="20" customHeight="1">
      <c r="D478" s="179" t="n"/>
      <c r="E478" s="179" t="n"/>
      <c r="F478" s="180" t="n"/>
      <c r="G478" s="180" t="n"/>
      <c r="H478" s="181">
        <f>IF(OR(F478="",G478=""),"",ROUND(MOD(G478-F478,1)*24,2))</f>
        <v/>
      </c>
      <c r="K478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79" ht="20" customHeight="1">
      <c r="D479" s="179" t="n"/>
      <c r="E479" s="179" t="n"/>
      <c r="F479" s="180" t="n"/>
      <c r="G479" s="180" t="n"/>
      <c r="H479" s="181">
        <f>IF(OR(F479="",G479=""),"",ROUND(MOD(G479-F479,1)*24,2))</f>
        <v/>
      </c>
      <c r="K479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80" collapsed="1" ht="20" customHeight="1">
      <c r="D480" s="179" t="n"/>
      <c r="E480" s="179" t="n"/>
      <c r="F480" s="180" t="n"/>
      <c r="G480" s="180" t="n"/>
      <c r="H480" s="181">
        <f>IF(OR(F480="",G480=""),"",ROUND(MOD(G480-F480,1)*24,2))</f>
        <v/>
      </c>
      <c r="K480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81" hidden="1" outlineLevel="1" ht="20" customHeight="1">
      <c r="D481" s="179" t="n"/>
      <c r="E481" s="179" t="n"/>
      <c r="F481" s="180" t="n"/>
      <c r="G481" s="180" t="n"/>
      <c r="H481" s="181">
        <f>IF(OR(F481="",G481=""),"",ROUND(MOD(G481-F481,1)*24,2))</f>
        <v/>
      </c>
      <c r="K481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82" hidden="1" outlineLevel="1" ht="20" customHeight="1">
      <c r="D482" s="179" t="n"/>
      <c r="E482" s="179" t="n"/>
      <c r="F482" s="180" t="n"/>
      <c r="G482" s="180" t="n"/>
      <c r="H482" s="181">
        <f>IF(OR(F482="",G482=""),"",ROUND(MOD(G482-F482,1)*24,2))</f>
        <v/>
      </c>
      <c r="K482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83" hidden="1" outlineLevel="1" ht="20" customHeight="1">
      <c r="D483" s="179" t="n"/>
      <c r="E483" s="179" t="n"/>
      <c r="F483" s="180" t="n"/>
      <c r="G483" s="180" t="n"/>
      <c r="H483" s="181">
        <f>IF(OR(F483="",G483=""),"",ROUND(MOD(G483-F483,1)*24,2))</f>
        <v/>
      </c>
      <c r="K483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84" hidden="1" outlineLevel="1" ht="20" customHeight="1">
      <c r="D484" s="179" t="n"/>
      <c r="E484" s="179" t="n"/>
      <c r="F484" s="180" t="n"/>
      <c r="G484" s="180" t="n"/>
      <c r="H484" s="181">
        <f>IF(OR(F484="",G484=""),"",ROUND(MOD(G484-F484,1)*24,2))</f>
        <v/>
      </c>
      <c r="K484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85" hidden="1" outlineLevel="1" ht="20" customHeight="1">
      <c r="A485" s="342" t="n"/>
      <c r="B485" s="342" t="n"/>
      <c r="C485" s="342" t="n"/>
      <c r="D485" s="332" t="n"/>
      <c r="E485" s="332" t="n"/>
      <c r="F485" s="333" t="n"/>
      <c r="G485" s="333" t="n"/>
      <c r="H485" s="334">
        <f>IF(OR(F485="",G485=""),"",ROUND(MOD(G485-F485,1)*24,2))</f>
        <v/>
      </c>
      <c r="I485" s="342" t="n"/>
      <c r="J485" s="342" t="n"/>
      <c r="K485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</row>
    <row r="486" ht="20" customHeight="1">
      <c r="A486" s="336">
        <f>IF($K486="","",WEEKNUM($K486,21))</f>
        <v/>
      </c>
      <c r="B486" s="337">
        <f>IF($K486="","",$K486)</f>
        <v/>
      </c>
      <c r="C486" s="338">
        <f>IF($K486="","",$K486)</f>
        <v/>
      </c>
      <c r="D486" s="171" t="n"/>
      <c r="E486" s="171" t="n"/>
      <c r="F486" s="172" t="n"/>
      <c r="G486" s="172" t="n"/>
      <c r="H486" s="173">
        <f>IF(OR(F486="",G486=""),"",ROUND(MOD(G486-F486,1)*24,2))</f>
        <v/>
      </c>
      <c r="I486" s="339" t="n"/>
      <c r="J486" s="339" t="n"/>
      <c r="K486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87" ht="20" customHeight="1">
      <c r="D487" s="179" t="n"/>
      <c r="E487" s="179" t="n"/>
      <c r="F487" s="180" t="n"/>
      <c r="G487" s="180" t="n"/>
      <c r="H487" s="181">
        <f>IF(OR(F487="",G487=""),"",ROUND(MOD(G487-F487,1)*24,2))</f>
        <v/>
      </c>
      <c r="K487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88" ht="20" customHeight="1">
      <c r="D488" s="179" t="n"/>
      <c r="E488" s="179" t="n"/>
      <c r="F488" s="180" t="n"/>
      <c r="G488" s="180" t="n"/>
      <c r="H488" s="181">
        <f>IF(OR(F488="",G488=""),"",ROUND(MOD(G488-F488,1)*24,2))</f>
        <v/>
      </c>
      <c r="K488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89" ht="20" customHeight="1">
      <c r="D489" s="179" t="n"/>
      <c r="E489" s="179" t="n"/>
      <c r="F489" s="180" t="n"/>
      <c r="G489" s="180" t="n"/>
      <c r="H489" s="181">
        <f>IF(OR(F489="",G489=""),"",ROUND(MOD(G489-F489,1)*24,2))</f>
        <v/>
      </c>
      <c r="K489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90" collapsed="1" ht="20" customHeight="1">
      <c r="D490" s="179" t="n"/>
      <c r="E490" s="179" t="n"/>
      <c r="F490" s="180" t="n"/>
      <c r="G490" s="180" t="n"/>
      <c r="H490" s="181">
        <f>IF(OR(F490="",G490=""),"",ROUND(MOD(G490-F490,1)*24,2))</f>
        <v/>
      </c>
      <c r="K490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91" hidden="1" outlineLevel="1" ht="20" customHeight="1">
      <c r="D491" s="179" t="n"/>
      <c r="E491" s="179" t="n"/>
      <c r="F491" s="180" t="n"/>
      <c r="G491" s="180" t="n"/>
      <c r="H491" s="181">
        <f>IF(OR(F491="",G491=""),"",ROUND(MOD(G491-F491,1)*24,2))</f>
        <v/>
      </c>
      <c r="K491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92" hidden="1" outlineLevel="1" ht="20" customHeight="1">
      <c r="D492" s="179" t="n"/>
      <c r="E492" s="179" t="n"/>
      <c r="F492" s="180" t="n"/>
      <c r="G492" s="180" t="n"/>
      <c r="H492" s="181">
        <f>IF(OR(F492="",G492=""),"",ROUND(MOD(G492-F492,1)*24,2))</f>
        <v/>
      </c>
      <c r="K492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93" hidden="1" outlineLevel="1" ht="20" customHeight="1">
      <c r="D493" s="179" t="n"/>
      <c r="E493" s="179" t="n"/>
      <c r="F493" s="180" t="n"/>
      <c r="G493" s="180" t="n"/>
      <c r="H493" s="181">
        <f>IF(OR(F493="",G493=""),"",ROUND(MOD(G493-F493,1)*24,2))</f>
        <v/>
      </c>
      <c r="K493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94" hidden="1" outlineLevel="1" ht="20" customHeight="1">
      <c r="D494" s="179" t="n"/>
      <c r="E494" s="179" t="n"/>
      <c r="F494" s="180" t="n"/>
      <c r="G494" s="180" t="n"/>
      <c r="H494" s="181">
        <f>IF(OR(F494="",G494=""),"",ROUND(MOD(G494-F494,1)*24,2))</f>
        <v/>
      </c>
      <c r="K494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95" hidden="1" outlineLevel="1" ht="20" customHeight="1">
      <c r="A495" s="342" t="n"/>
      <c r="B495" s="342" t="n"/>
      <c r="C495" s="342" t="n"/>
      <c r="D495" s="332" t="n"/>
      <c r="E495" s="332" t="n"/>
      <c r="F495" s="333" t="n"/>
      <c r="G495" s="333" t="n"/>
      <c r="H495" s="334">
        <f>IF(OR(F495="",G495=""),"",ROUND(MOD(G495-F495,1)*24,2))</f>
        <v/>
      </c>
      <c r="I495" s="342" t="n"/>
      <c r="J495" s="342" t="n"/>
      <c r="K495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</row>
    <row r="496" ht="20" customHeight="1">
      <c r="A496" s="336">
        <f>IF($K496="","",WEEKNUM($K496,21))</f>
        <v/>
      </c>
      <c r="B496" s="337">
        <f>IF($K496="","",$K496)</f>
        <v/>
      </c>
      <c r="C496" s="338">
        <f>IF($K496="","",$K496)</f>
        <v/>
      </c>
      <c r="D496" s="171" t="n"/>
      <c r="E496" s="171" t="n"/>
      <c r="F496" s="172" t="n"/>
      <c r="G496" s="172" t="n"/>
      <c r="H496" s="173">
        <f>IF(OR(F496="",G496=""),"",ROUND(MOD(G496-F496,1)*24,2))</f>
        <v/>
      </c>
      <c r="I496" s="339" t="n"/>
      <c r="J496" s="339" t="n"/>
      <c r="K496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497" ht="20" customHeight="1">
      <c r="D497" s="179" t="n"/>
      <c r="E497" s="179" t="n"/>
      <c r="F497" s="180" t="n"/>
      <c r="G497" s="180" t="n"/>
      <c r="H497" s="181">
        <f>IF(OR(F497="",G497=""),"",ROUND(MOD(G497-F497,1)*24,2))</f>
        <v/>
      </c>
      <c r="K497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498" ht="20" customHeight="1">
      <c r="D498" s="179" t="n"/>
      <c r="E498" s="179" t="n"/>
      <c r="F498" s="180" t="n"/>
      <c r="G498" s="180" t="n"/>
      <c r="H498" s="181">
        <f>IF(OR(F498="",G498=""),"",ROUND(MOD(G498-F498,1)*24,2))</f>
        <v/>
      </c>
      <c r="K498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499" ht="20" customHeight="1">
      <c r="D499" s="179" t="n"/>
      <c r="E499" s="179" t="n"/>
      <c r="F499" s="180" t="n"/>
      <c r="G499" s="180" t="n"/>
      <c r="H499" s="181">
        <f>IF(OR(F499="",G499=""),"",ROUND(MOD(G499-F499,1)*24,2))</f>
        <v/>
      </c>
      <c r="K499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500" collapsed="1" ht="20" customHeight="1">
      <c r="D500" s="179" t="n"/>
      <c r="E500" s="179" t="n"/>
      <c r="F500" s="180" t="n"/>
      <c r="G500" s="180" t="n"/>
      <c r="H500" s="181">
        <f>IF(OR(F500="",G500=""),"",ROUND(MOD(G500-F500,1)*24,2))</f>
        <v/>
      </c>
      <c r="K500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501" hidden="1" outlineLevel="1" ht="20" customHeight="1">
      <c r="D501" s="179" t="n"/>
      <c r="E501" s="179" t="n"/>
      <c r="F501" s="180" t="n"/>
      <c r="G501" s="180" t="n"/>
      <c r="H501" s="181">
        <f>IF(OR(F501="",G501=""),"",ROUND(MOD(G501-F501,1)*24,2))</f>
        <v/>
      </c>
      <c r="K501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502" hidden="1" outlineLevel="1" ht="20" customHeight="1">
      <c r="D502" s="179" t="n"/>
      <c r="E502" s="179" t="n"/>
      <c r="F502" s="180" t="n"/>
      <c r="G502" s="180" t="n"/>
      <c r="H502" s="181">
        <f>IF(OR(F502="",G502=""),"",ROUND(MOD(G502-F502,1)*24,2))</f>
        <v/>
      </c>
      <c r="K502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503" hidden="1" outlineLevel="1" ht="20" customHeight="1">
      <c r="D503" s="179" t="n"/>
      <c r="E503" s="179" t="n"/>
      <c r="F503" s="180" t="n"/>
      <c r="G503" s="180" t="n"/>
      <c r="H503" s="181">
        <f>IF(OR(F503="",G503=""),"",ROUND(MOD(G503-F503,1)*24,2))</f>
        <v/>
      </c>
      <c r="K503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504" hidden="1" outlineLevel="1" ht="20" customHeight="1">
      <c r="D504" s="179" t="n"/>
      <c r="E504" s="179" t="n"/>
      <c r="F504" s="180" t="n"/>
      <c r="G504" s="180" t="n"/>
      <c r="H504" s="181">
        <f>IF(OR(F504="",G504=""),"",ROUND(MOD(G504-F504,1)*24,2))</f>
        <v/>
      </c>
      <c r="K504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505" hidden="1" outlineLevel="1" ht="20" customHeight="1">
      <c r="A505" s="342" t="n"/>
      <c r="B505" s="342" t="n"/>
      <c r="C505" s="342" t="n"/>
      <c r="D505" s="332" t="n"/>
      <c r="E505" s="332" t="n"/>
      <c r="F505" s="333" t="n"/>
      <c r="G505" s="333" t="n"/>
      <c r="H505" s="334">
        <f>IF(OR(F505="",G505=""),"",ROUND(MOD(G505-F505,1)*24,2))</f>
        <v/>
      </c>
      <c r="I505" s="342" t="n"/>
      <c r="J505" s="342" t="n"/>
      <c r="K505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</row>
    <row r="506" ht="20" customHeight="1">
      <c r="A506" s="336">
        <f>IF($K506="","",WEEKNUM($K506,21))</f>
        <v/>
      </c>
      <c r="B506" s="337">
        <f>IF($K506="","",$K506)</f>
        <v/>
      </c>
      <c r="C506" s="338">
        <f>IF($K506="","",$K506)</f>
        <v/>
      </c>
      <c r="D506" s="171" t="n"/>
      <c r="E506" s="171" t="n"/>
      <c r="F506" s="172" t="n"/>
      <c r="G506" s="172" t="n"/>
      <c r="H506" s="173">
        <f>IF(OR(F506="",G506=""),"",ROUND(MOD(G506-F506,1)*24,2))</f>
        <v/>
      </c>
      <c r="I506" s="339" t="n"/>
      <c r="J506" s="339" t="n"/>
      <c r="K506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07" ht="20" customHeight="1">
      <c r="D507" s="179" t="n"/>
      <c r="E507" s="179" t="n"/>
      <c r="F507" s="180" t="n"/>
      <c r="G507" s="180" t="n"/>
      <c r="H507" s="181">
        <f>IF(OR(F507="",G507=""),"",ROUND(MOD(G507-F507,1)*24,2))</f>
        <v/>
      </c>
      <c r="K507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08" ht="20" customHeight="1">
      <c r="D508" s="179" t="n"/>
      <c r="E508" s="179" t="n"/>
      <c r="F508" s="180" t="n"/>
      <c r="G508" s="180" t="n"/>
      <c r="H508" s="181">
        <f>IF(OR(F508="",G508=""),"",ROUND(MOD(G508-F508,1)*24,2))</f>
        <v/>
      </c>
      <c r="K508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09" ht="20" customHeight="1">
      <c r="D509" s="179" t="n"/>
      <c r="E509" s="179" t="n"/>
      <c r="F509" s="180" t="n"/>
      <c r="G509" s="180" t="n"/>
      <c r="H509" s="181">
        <f>IF(OR(F509="",G509=""),"",ROUND(MOD(G509-F509,1)*24,2))</f>
        <v/>
      </c>
      <c r="K509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10" collapsed="1" ht="20" customHeight="1">
      <c r="D510" s="179" t="n"/>
      <c r="E510" s="179" t="n"/>
      <c r="F510" s="180" t="n"/>
      <c r="G510" s="180" t="n"/>
      <c r="H510" s="181">
        <f>IF(OR(F510="",G510=""),"",ROUND(MOD(G510-F510,1)*24,2))</f>
        <v/>
      </c>
      <c r="K510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11" hidden="1" outlineLevel="1" ht="20" customHeight="1">
      <c r="D511" s="179" t="n"/>
      <c r="E511" s="179" t="n"/>
      <c r="F511" s="180" t="n"/>
      <c r="G511" s="180" t="n"/>
      <c r="H511" s="181">
        <f>IF(OR(F511="",G511=""),"",ROUND(MOD(G511-F511,1)*24,2))</f>
        <v/>
      </c>
      <c r="K511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12" hidden="1" outlineLevel="1" ht="20" customHeight="1">
      <c r="D512" s="179" t="n"/>
      <c r="E512" s="179" t="n"/>
      <c r="F512" s="180" t="n"/>
      <c r="G512" s="180" t="n"/>
      <c r="H512" s="181">
        <f>IF(OR(F512="",G512=""),"",ROUND(MOD(G512-F512,1)*24,2))</f>
        <v/>
      </c>
      <c r="K512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13" hidden="1" outlineLevel="1" ht="20" customHeight="1">
      <c r="D513" s="179" t="n"/>
      <c r="E513" s="179" t="n"/>
      <c r="F513" s="180" t="n"/>
      <c r="G513" s="180" t="n"/>
      <c r="H513" s="181">
        <f>IF(OR(F513="",G513=""),"",ROUND(MOD(G513-F513,1)*24,2))</f>
        <v/>
      </c>
      <c r="K513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14" hidden="1" outlineLevel="1" ht="20" customHeight="1">
      <c r="D514" s="179" t="n"/>
      <c r="E514" s="179" t="n"/>
      <c r="F514" s="180" t="n"/>
      <c r="G514" s="180" t="n"/>
      <c r="H514" s="181">
        <f>IF(OR(F514="",G514=""),"",ROUND(MOD(G514-F514,1)*24,2))</f>
        <v/>
      </c>
      <c r="K514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15" hidden="1" outlineLevel="1" ht="20" customHeight="1">
      <c r="A515" s="342" t="n"/>
      <c r="B515" s="342" t="n"/>
      <c r="C515" s="342" t="n"/>
      <c r="D515" s="332" t="n"/>
      <c r="E515" s="332" t="n"/>
      <c r="F515" s="333" t="n"/>
      <c r="G515" s="333" t="n"/>
      <c r="H515" s="334">
        <f>IF(OR(F515="",G515=""),"",ROUND(MOD(G515-F515,1)*24,2))</f>
        <v/>
      </c>
      <c r="I515" s="342" t="n"/>
      <c r="J515" s="342" t="n"/>
      <c r="K515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</row>
    <row r="516" ht="20" customHeight="1">
      <c r="A516" s="336">
        <f>IF($K516="","",WEEKNUM($K516,21))</f>
        <v/>
      </c>
      <c r="B516" s="337">
        <f>IF($K516="","",$K516)</f>
        <v/>
      </c>
      <c r="C516" s="338">
        <f>IF($K516="","",$K516)</f>
        <v/>
      </c>
      <c r="D516" s="171" t="n"/>
      <c r="E516" s="171" t="n"/>
      <c r="F516" s="172" t="n"/>
      <c r="G516" s="172" t="n"/>
      <c r="H516" s="173">
        <f>IF(OR(F516="",G516=""),"",ROUND(MOD(G516-F516,1)*24,2))</f>
        <v/>
      </c>
      <c r="I516" s="339" t="n"/>
      <c r="J516" s="339" t="n"/>
      <c r="K516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17" ht="20" customHeight="1">
      <c r="D517" s="179" t="n"/>
      <c r="E517" s="179" t="n"/>
      <c r="F517" s="180" t="n"/>
      <c r="G517" s="180" t="n"/>
      <c r="H517" s="181">
        <f>IF(OR(F517="",G517=""),"",ROUND(MOD(G517-F517,1)*24,2))</f>
        <v/>
      </c>
      <c r="K517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18" ht="20" customHeight="1">
      <c r="D518" s="179" t="n"/>
      <c r="E518" s="179" t="n"/>
      <c r="F518" s="180" t="n"/>
      <c r="G518" s="180" t="n"/>
      <c r="H518" s="181">
        <f>IF(OR(F518="",G518=""),"",ROUND(MOD(G518-F518,1)*24,2))</f>
        <v/>
      </c>
      <c r="K518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19" ht="20" customHeight="1">
      <c r="D519" s="179" t="n"/>
      <c r="E519" s="179" t="n"/>
      <c r="F519" s="180" t="n"/>
      <c r="G519" s="180" t="n"/>
      <c r="H519" s="181">
        <f>IF(OR(F519="",G519=""),"",ROUND(MOD(G519-F519,1)*24,2))</f>
        <v/>
      </c>
      <c r="K519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20" collapsed="1" ht="20" customHeight="1">
      <c r="D520" s="179" t="n"/>
      <c r="E520" s="179" t="n"/>
      <c r="F520" s="180" t="n"/>
      <c r="G520" s="180" t="n"/>
      <c r="H520" s="181">
        <f>IF(OR(F520="",G520=""),"",ROUND(MOD(G520-F520,1)*24,2))</f>
        <v/>
      </c>
      <c r="K520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21" hidden="1" outlineLevel="1" ht="20" customHeight="1">
      <c r="D521" s="179" t="n"/>
      <c r="E521" s="179" t="n"/>
      <c r="F521" s="180" t="n"/>
      <c r="G521" s="180" t="n"/>
      <c r="H521" s="181">
        <f>IF(OR(F521="",G521=""),"",ROUND(MOD(G521-F521,1)*24,2))</f>
        <v/>
      </c>
      <c r="K521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22" hidden="1" outlineLevel="1" ht="20" customHeight="1">
      <c r="D522" s="179" t="n"/>
      <c r="E522" s="179" t="n"/>
      <c r="F522" s="180" t="n"/>
      <c r="G522" s="180" t="n"/>
      <c r="H522" s="181">
        <f>IF(OR(F522="",G522=""),"",ROUND(MOD(G522-F522,1)*24,2))</f>
        <v/>
      </c>
      <c r="K522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23" hidden="1" outlineLevel="1" ht="20" customHeight="1">
      <c r="D523" s="179" t="n"/>
      <c r="E523" s="179" t="n"/>
      <c r="F523" s="180" t="n"/>
      <c r="G523" s="180" t="n"/>
      <c r="H523" s="181">
        <f>IF(OR(F523="",G523=""),"",ROUND(MOD(G523-F523,1)*24,2))</f>
        <v/>
      </c>
      <c r="K523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24" hidden="1" outlineLevel="1" ht="20" customHeight="1">
      <c r="D524" s="179" t="n"/>
      <c r="E524" s="179" t="n"/>
      <c r="F524" s="180" t="n"/>
      <c r="G524" s="180" t="n"/>
      <c r="H524" s="181">
        <f>IF(OR(F524="",G524=""),"",ROUND(MOD(G524-F524,1)*24,2))</f>
        <v/>
      </c>
      <c r="K524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25" hidden="1" outlineLevel="1" ht="20" customHeight="1">
      <c r="A525" s="342" t="n"/>
      <c r="B525" s="342" t="n"/>
      <c r="C525" s="342" t="n"/>
      <c r="D525" s="332" t="n"/>
      <c r="E525" s="332" t="n"/>
      <c r="F525" s="333" t="n"/>
      <c r="G525" s="333" t="n"/>
      <c r="H525" s="334">
        <f>IF(OR(F525="",G525=""),"",ROUND(MOD(G525-F525,1)*24,2))</f>
        <v/>
      </c>
      <c r="I525" s="342" t="n"/>
      <c r="J525" s="342" t="n"/>
      <c r="K525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</row>
    <row r="526" ht="20" customHeight="1">
      <c r="A526" s="336">
        <f>IF($K526="","",WEEKNUM($K526,21))</f>
        <v/>
      </c>
      <c r="B526" s="337">
        <f>IF($K526="","",$K526)</f>
        <v/>
      </c>
      <c r="C526" s="338">
        <f>IF($K526="","",$K526)</f>
        <v/>
      </c>
      <c r="D526" s="171" t="n"/>
      <c r="E526" s="171" t="n"/>
      <c r="F526" s="172" t="n"/>
      <c r="G526" s="172" t="n"/>
      <c r="H526" s="173">
        <f>IF(OR(F526="",G526=""),"",ROUND(MOD(G526-F526,1)*24,2))</f>
        <v/>
      </c>
      <c r="I526" s="339" t="n"/>
      <c r="J526" s="339" t="n"/>
      <c r="K526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27" ht="20" customHeight="1">
      <c r="D527" s="179" t="n"/>
      <c r="E527" s="179" t="n"/>
      <c r="F527" s="180" t="n"/>
      <c r="G527" s="180" t="n"/>
      <c r="H527" s="181">
        <f>IF(OR(F527="",G527=""),"",ROUND(MOD(G527-F527,1)*24,2))</f>
        <v/>
      </c>
      <c r="K527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28" ht="20" customHeight="1">
      <c r="D528" s="179" t="n"/>
      <c r="E528" s="179" t="n"/>
      <c r="F528" s="180" t="n"/>
      <c r="G528" s="180" t="n"/>
      <c r="H528" s="181">
        <f>IF(OR(F528="",G528=""),"",ROUND(MOD(G528-F528,1)*24,2))</f>
        <v/>
      </c>
      <c r="K528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29" ht="20" customHeight="1">
      <c r="D529" s="179" t="n"/>
      <c r="E529" s="179" t="n"/>
      <c r="F529" s="180" t="n"/>
      <c r="G529" s="180" t="n"/>
      <c r="H529" s="181">
        <f>IF(OR(F529="",G529=""),"",ROUND(MOD(G529-F529,1)*24,2))</f>
        <v/>
      </c>
      <c r="K529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30" collapsed="1" ht="20" customHeight="1">
      <c r="D530" s="179" t="n"/>
      <c r="E530" s="179" t="n"/>
      <c r="F530" s="180" t="n"/>
      <c r="G530" s="180" t="n"/>
      <c r="H530" s="181">
        <f>IF(OR(F530="",G530=""),"",ROUND(MOD(G530-F530,1)*24,2))</f>
        <v/>
      </c>
      <c r="K530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31" hidden="1" outlineLevel="1" ht="20" customHeight="1">
      <c r="D531" s="179" t="n"/>
      <c r="E531" s="179" t="n"/>
      <c r="F531" s="180" t="n"/>
      <c r="G531" s="180" t="n"/>
      <c r="H531" s="181">
        <f>IF(OR(F531="",G531=""),"",ROUND(MOD(G531-F531,1)*24,2))</f>
        <v/>
      </c>
      <c r="K531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32" hidden="1" outlineLevel="1" ht="20" customHeight="1">
      <c r="D532" s="179" t="n"/>
      <c r="E532" s="179" t="n"/>
      <c r="F532" s="180" t="n"/>
      <c r="G532" s="180" t="n"/>
      <c r="H532" s="181">
        <f>IF(OR(F532="",G532=""),"",ROUND(MOD(G532-F532,1)*24,2))</f>
        <v/>
      </c>
      <c r="K532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33" hidden="1" outlineLevel="1" ht="20" customHeight="1">
      <c r="D533" s="179" t="n"/>
      <c r="E533" s="179" t="n"/>
      <c r="F533" s="180" t="n"/>
      <c r="G533" s="180" t="n"/>
      <c r="H533" s="181">
        <f>IF(OR(F533="",G533=""),"",ROUND(MOD(G533-F533,1)*24,2))</f>
        <v/>
      </c>
      <c r="K533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34" hidden="1" outlineLevel="1" ht="20" customHeight="1">
      <c r="D534" s="179" t="n"/>
      <c r="E534" s="179" t="n"/>
      <c r="F534" s="180" t="n"/>
      <c r="G534" s="180" t="n"/>
      <c r="H534" s="181">
        <f>IF(OR(F534="",G534=""),"",ROUND(MOD(G534-F534,1)*24,2))</f>
        <v/>
      </c>
      <c r="K534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35" hidden="1" outlineLevel="1" ht="20" customHeight="1">
      <c r="A535" s="342" t="n"/>
      <c r="B535" s="342" t="n"/>
      <c r="C535" s="342" t="n"/>
      <c r="D535" s="332" t="n"/>
      <c r="E535" s="332" t="n"/>
      <c r="F535" s="333" t="n"/>
      <c r="G535" s="333" t="n"/>
      <c r="H535" s="334">
        <f>IF(OR(F535="",G535=""),"",ROUND(MOD(G535-F535,1)*24,2))</f>
        <v/>
      </c>
      <c r="I535" s="342" t="n"/>
      <c r="J535" s="342" t="n"/>
      <c r="K535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</row>
    <row r="536" ht="20" customHeight="1">
      <c r="A536" s="336">
        <f>IF($K536="","",WEEKNUM($K536,21))</f>
        <v/>
      </c>
      <c r="B536" s="337">
        <f>IF($K536="","",$K536)</f>
        <v/>
      </c>
      <c r="C536" s="338">
        <f>IF($K536="","",$K536)</f>
        <v/>
      </c>
      <c r="D536" s="171" t="n"/>
      <c r="E536" s="171" t="n"/>
      <c r="F536" s="172" t="n"/>
      <c r="G536" s="172" t="n"/>
      <c r="H536" s="173">
        <f>IF(OR(F536="",G536=""),"",ROUND(MOD(G536-F536,1)*24,2))</f>
        <v/>
      </c>
      <c r="I536" s="339" t="n"/>
      <c r="J536" s="339" t="n"/>
      <c r="K536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37" ht="20" customHeight="1">
      <c r="D537" s="179" t="n"/>
      <c r="E537" s="179" t="n"/>
      <c r="F537" s="180" t="n"/>
      <c r="G537" s="180" t="n"/>
      <c r="H537" s="181">
        <f>IF(OR(F537="",G537=""),"",ROUND(MOD(G537-F537,1)*24,2))</f>
        <v/>
      </c>
      <c r="K537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38" ht="20" customHeight="1">
      <c r="D538" s="179" t="n"/>
      <c r="E538" s="179" t="n"/>
      <c r="F538" s="180" t="n"/>
      <c r="G538" s="180" t="n"/>
      <c r="H538" s="181">
        <f>IF(OR(F538="",G538=""),"",ROUND(MOD(G538-F538,1)*24,2))</f>
        <v/>
      </c>
      <c r="K538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39" ht="20" customHeight="1">
      <c r="D539" s="179" t="n"/>
      <c r="E539" s="179" t="n"/>
      <c r="F539" s="180" t="n"/>
      <c r="G539" s="180" t="n"/>
      <c r="H539" s="181">
        <f>IF(OR(F539="",G539=""),"",ROUND(MOD(G539-F539,1)*24,2))</f>
        <v/>
      </c>
      <c r="K539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40" collapsed="1" ht="20" customHeight="1">
      <c r="D540" s="179" t="n"/>
      <c r="E540" s="179" t="n"/>
      <c r="F540" s="180" t="n"/>
      <c r="G540" s="180" t="n"/>
      <c r="H540" s="181">
        <f>IF(OR(F540="",G540=""),"",ROUND(MOD(G540-F540,1)*24,2))</f>
        <v/>
      </c>
      <c r="K540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41" hidden="1" outlineLevel="1" ht="20" customHeight="1">
      <c r="D541" s="179" t="n"/>
      <c r="E541" s="179" t="n"/>
      <c r="F541" s="180" t="n"/>
      <c r="G541" s="180" t="n"/>
      <c r="H541" s="181">
        <f>IF(OR(F541="",G541=""),"",ROUND(MOD(G541-F541,1)*24,2))</f>
        <v/>
      </c>
      <c r="K541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42" hidden="1" outlineLevel="1" ht="20" customHeight="1">
      <c r="D542" s="179" t="n"/>
      <c r="E542" s="179" t="n"/>
      <c r="F542" s="180" t="n"/>
      <c r="G542" s="180" t="n"/>
      <c r="H542" s="181">
        <f>IF(OR(F542="",G542=""),"",ROUND(MOD(G542-F542,1)*24,2))</f>
        <v/>
      </c>
      <c r="K542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43" hidden="1" outlineLevel="1" ht="20" customHeight="1">
      <c r="D543" s="179" t="n"/>
      <c r="E543" s="179" t="n"/>
      <c r="F543" s="180" t="n"/>
      <c r="G543" s="180" t="n"/>
      <c r="H543" s="181">
        <f>IF(OR(F543="",G543=""),"",ROUND(MOD(G543-F543,1)*24,2))</f>
        <v/>
      </c>
      <c r="K543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44" hidden="1" outlineLevel="1" ht="20" customHeight="1">
      <c r="D544" s="179" t="n"/>
      <c r="E544" s="179" t="n"/>
      <c r="F544" s="180" t="n"/>
      <c r="G544" s="180" t="n"/>
      <c r="H544" s="181">
        <f>IF(OR(F544="",G544=""),"",ROUND(MOD(G544-F544,1)*24,2))</f>
        <v/>
      </c>
      <c r="K544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45" hidden="1" outlineLevel="1" ht="20" customHeight="1">
      <c r="A545" s="342" t="n"/>
      <c r="B545" s="342" t="n"/>
      <c r="C545" s="342" t="n"/>
      <c r="D545" s="332" t="n"/>
      <c r="E545" s="332" t="n"/>
      <c r="F545" s="333" t="n"/>
      <c r="G545" s="333" t="n"/>
      <c r="H545" s="334">
        <f>IF(OR(F545="",G545=""),"",ROUND(MOD(G545-F545,1)*24,2))</f>
        <v/>
      </c>
      <c r="I545" s="342" t="n"/>
      <c r="J545" s="342" t="n"/>
      <c r="K545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46" ht="20" customHeight="1">
      <c r="A546" s="336">
        <f>IF($K546="","",WEEKNUM($K546,21))</f>
        <v/>
      </c>
      <c r="B546" s="337">
        <f>IF($K546="","",$K546)</f>
        <v/>
      </c>
      <c r="C546" s="338">
        <f>IF($K546="","",$K546)</f>
        <v/>
      </c>
      <c r="D546" s="171" t="n"/>
      <c r="E546" s="171" t="n"/>
      <c r="F546" s="172" t="n"/>
      <c r="G546" s="172" t="n"/>
      <c r="H546" s="173">
        <f>IF(OR(F546="",G546=""),"",ROUND(MOD(G546-F546,1)*24,2))</f>
        <v/>
      </c>
      <c r="I546" s="339" t="n"/>
      <c r="J546" s="339" t="n"/>
      <c r="K546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47" ht="20" customHeight="1">
      <c r="D547" s="179" t="n"/>
      <c r="E547" s="179" t="n"/>
      <c r="F547" s="180" t="n"/>
      <c r="G547" s="180" t="n"/>
      <c r="H547" s="181">
        <f>IF(OR(F547="",G547=""),"",ROUND(MOD(G547-F547,1)*24,2))</f>
        <v/>
      </c>
      <c r="K547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48" ht="20" customHeight="1">
      <c r="D548" s="179" t="n"/>
      <c r="E548" s="179" t="n"/>
      <c r="F548" s="180" t="n"/>
      <c r="G548" s="180" t="n"/>
      <c r="H548" s="181">
        <f>IF(OR(F548="",G548=""),"",ROUND(MOD(G548-F548,1)*24,2))</f>
        <v/>
      </c>
      <c r="K548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49" ht="20" customHeight="1">
      <c r="D549" s="179" t="n"/>
      <c r="E549" s="179" t="n"/>
      <c r="F549" s="180" t="n"/>
      <c r="G549" s="180" t="n"/>
      <c r="H549" s="181">
        <f>IF(OR(F549="",G549=""),"",ROUND(MOD(G549-F549,1)*24,2))</f>
        <v/>
      </c>
      <c r="K549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50" collapsed="1" ht="20" customHeight="1">
      <c r="D550" s="179" t="n"/>
      <c r="E550" s="179" t="n"/>
      <c r="F550" s="180" t="n"/>
      <c r="G550" s="180" t="n"/>
      <c r="H550" s="181">
        <f>IF(OR(F550="",G550=""),"",ROUND(MOD(G550-F550,1)*24,2))</f>
        <v/>
      </c>
      <c r="K550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51" hidden="1" outlineLevel="1" ht="20" customHeight="1">
      <c r="D551" s="179" t="n"/>
      <c r="E551" s="179" t="n"/>
      <c r="F551" s="180" t="n"/>
      <c r="G551" s="180" t="n"/>
      <c r="H551" s="181">
        <f>IF(OR(F551="",G551=""),"",ROUND(MOD(G551-F551,1)*24,2))</f>
        <v/>
      </c>
      <c r="K551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52" hidden="1" outlineLevel="1" ht="20" customHeight="1">
      <c r="D552" s="179" t="n"/>
      <c r="E552" s="179" t="n"/>
      <c r="F552" s="180" t="n"/>
      <c r="G552" s="180" t="n"/>
      <c r="H552" s="181">
        <f>IF(OR(F552="",G552=""),"",ROUND(MOD(G552-F552,1)*24,2))</f>
        <v/>
      </c>
      <c r="K552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53" hidden="1" outlineLevel="1" ht="20" customHeight="1">
      <c r="D553" s="179" t="n"/>
      <c r="E553" s="179" t="n"/>
      <c r="F553" s="180" t="n"/>
      <c r="G553" s="180" t="n"/>
      <c r="H553" s="181">
        <f>IF(OR(F553="",G553=""),"",ROUND(MOD(G553-F553,1)*24,2))</f>
        <v/>
      </c>
      <c r="K553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54" hidden="1" outlineLevel="1" ht="20" customHeight="1">
      <c r="D554" s="179" t="n"/>
      <c r="E554" s="179" t="n"/>
      <c r="F554" s="180" t="n"/>
      <c r="G554" s="180" t="n"/>
      <c r="H554" s="181">
        <f>IF(OR(F554="",G554=""),"",ROUND(MOD(G554-F554,1)*24,2))</f>
        <v/>
      </c>
      <c r="K554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55" hidden="1" outlineLevel="1" ht="20" customHeight="1">
      <c r="A555" s="342" t="n"/>
      <c r="B555" s="342" t="n"/>
      <c r="C555" s="342" t="n"/>
      <c r="D555" s="332" t="n"/>
      <c r="E555" s="332" t="n"/>
      <c r="F555" s="333" t="n"/>
      <c r="G555" s="333" t="n"/>
      <c r="H555" s="334">
        <f>IF(OR(F555="",G555=""),"",ROUND(MOD(G555-F555,1)*24,2))</f>
        <v/>
      </c>
      <c r="I555" s="342" t="n"/>
      <c r="J555" s="342" t="n"/>
      <c r="K555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56" ht="20" customHeight="1">
      <c r="A556" s="336">
        <f>IF($K556="","",WEEKNUM($K556,21))</f>
        <v/>
      </c>
      <c r="B556" s="337">
        <f>IF($K556="","",$K556)</f>
        <v/>
      </c>
      <c r="C556" s="338">
        <f>IF($K556="","",$K556)</f>
        <v/>
      </c>
      <c r="D556" s="171" t="n"/>
      <c r="E556" s="171" t="n"/>
      <c r="F556" s="172" t="n"/>
      <c r="G556" s="172" t="n"/>
      <c r="H556" s="173">
        <f>IF(OR(F556="",G556=""),"",ROUND(MOD(G556-F556,1)*24,2))</f>
        <v/>
      </c>
      <c r="I556" s="339" t="n"/>
      <c r="J556" s="339" t="n"/>
      <c r="K556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57" ht="20" customHeight="1">
      <c r="D557" s="179" t="n"/>
      <c r="E557" s="179" t="n"/>
      <c r="F557" s="180" t="n"/>
      <c r="G557" s="180" t="n"/>
      <c r="H557" s="181">
        <f>IF(OR(F557="",G557=""),"",ROUND(MOD(G557-F557,1)*24,2))</f>
        <v/>
      </c>
      <c r="K557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58" ht="20" customHeight="1">
      <c r="D558" s="179" t="n"/>
      <c r="E558" s="179" t="n"/>
      <c r="F558" s="180" t="n"/>
      <c r="G558" s="180" t="n"/>
      <c r="H558" s="181">
        <f>IF(OR(F558="",G558=""),"",ROUND(MOD(G558-F558,1)*24,2))</f>
        <v/>
      </c>
      <c r="K558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59" ht="20" customHeight="1">
      <c r="D559" s="179" t="n"/>
      <c r="E559" s="179" t="n"/>
      <c r="F559" s="180" t="n"/>
      <c r="G559" s="180" t="n"/>
      <c r="H559" s="181">
        <f>IF(OR(F559="",G559=""),"",ROUND(MOD(G559-F559,1)*24,2))</f>
        <v/>
      </c>
      <c r="K559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60" collapsed="1" ht="20" customHeight="1">
      <c r="D560" s="179" t="n"/>
      <c r="E560" s="179" t="n"/>
      <c r="F560" s="180" t="n"/>
      <c r="G560" s="180" t="n"/>
      <c r="H560" s="181">
        <f>IF(OR(F560="",G560=""),"",ROUND(MOD(G560-F560,1)*24,2))</f>
        <v/>
      </c>
      <c r="K560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61" hidden="1" outlineLevel="1" ht="20" customHeight="1">
      <c r="D561" s="179" t="n"/>
      <c r="E561" s="179" t="n"/>
      <c r="F561" s="180" t="n"/>
      <c r="G561" s="180" t="n"/>
      <c r="H561" s="181">
        <f>IF(OR(F561="",G561=""),"",ROUND(MOD(G561-F561,1)*24,2))</f>
        <v/>
      </c>
      <c r="K561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62" hidden="1" outlineLevel="1" ht="20" customHeight="1">
      <c r="D562" s="179" t="n"/>
      <c r="E562" s="179" t="n"/>
      <c r="F562" s="180" t="n"/>
      <c r="G562" s="180" t="n"/>
      <c r="H562" s="181">
        <f>IF(OR(F562="",G562=""),"",ROUND(MOD(G562-F562,1)*24,2))</f>
        <v/>
      </c>
      <c r="K562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63" hidden="1" outlineLevel="1" ht="20" customHeight="1">
      <c r="D563" s="179" t="n"/>
      <c r="E563" s="179" t="n"/>
      <c r="F563" s="180" t="n"/>
      <c r="G563" s="180" t="n"/>
      <c r="H563" s="181">
        <f>IF(OR(F563="",G563=""),"",ROUND(MOD(G563-F563,1)*24,2))</f>
        <v/>
      </c>
      <c r="K563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64" hidden="1" outlineLevel="1" ht="20" customHeight="1">
      <c r="D564" s="179" t="n"/>
      <c r="E564" s="179" t="n"/>
      <c r="F564" s="180" t="n"/>
      <c r="G564" s="180" t="n"/>
      <c r="H564" s="181">
        <f>IF(OR(F564="",G564=""),"",ROUND(MOD(G564-F564,1)*24,2))</f>
        <v/>
      </c>
      <c r="K564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65" hidden="1" outlineLevel="1" ht="20" customHeight="1">
      <c r="A565" s="342" t="n"/>
      <c r="B565" s="342" t="n"/>
      <c r="C565" s="342" t="n"/>
      <c r="D565" s="332" t="n"/>
      <c r="E565" s="332" t="n"/>
      <c r="F565" s="333" t="n"/>
      <c r="G565" s="333" t="n"/>
      <c r="H565" s="334">
        <f>IF(OR(F565="",G565=""),"",ROUND(MOD(G565-F565,1)*24,2))</f>
        <v/>
      </c>
      <c r="I565" s="342" t="n"/>
      <c r="J565" s="342" t="n"/>
      <c r="K565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66" ht="20" customHeight="1">
      <c r="A566" s="336">
        <f>IF($K566="","",WEEKNUM($K566,21))</f>
        <v/>
      </c>
      <c r="B566" s="337">
        <f>IF($K566="","",$K566)</f>
        <v/>
      </c>
      <c r="C566" s="338">
        <f>IF($K566="","",$K566)</f>
        <v/>
      </c>
      <c r="D566" s="171" t="n"/>
      <c r="E566" s="171" t="n"/>
      <c r="F566" s="172" t="n"/>
      <c r="G566" s="172" t="n"/>
      <c r="H566" s="173">
        <f>IF(OR(F566="",G566=""),"",ROUND(MOD(G566-F566,1)*24,2))</f>
        <v/>
      </c>
      <c r="I566" s="339" t="n"/>
      <c r="J566" s="339" t="n"/>
      <c r="K566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67" ht="20" customHeight="1">
      <c r="D567" s="179" t="n"/>
      <c r="E567" s="179" t="n"/>
      <c r="F567" s="180" t="n"/>
      <c r="G567" s="180" t="n"/>
      <c r="H567" s="181">
        <f>IF(OR(F567="",G567=""),"",ROUND(MOD(G567-F567,1)*24,2))</f>
        <v/>
      </c>
      <c r="K567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68" ht="20" customHeight="1">
      <c r="D568" s="179" t="n"/>
      <c r="E568" s="179" t="n"/>
      <c r="F568" s="180" t="n"/>
      <c r="G568" s="180" t="n"/>
      <c r="H568" s="181">
        <f>IF(OR(F568="",G568=""),"",ROUND(MOD(G568-F568,1)*24,2))</f>
        <v/>
      </c>
      <c r="K568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69" ht="20" customHeight="1">
      <c r="D569" s="179" t="n"/>
      <c r="E569" s="179" t="n"/>
      <c r="F569" s="180" t="n"/>
      <c r="G569" s="180" t="n"/>
      <c r="H569" s="181">
        <f>IF(OR(F569="",G569=""),"",ROUND(MOD(G569-F569,1)*24,2))</f>
        <v/>
      </c>
      <c r="K569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70" collapsed="1" ht="20" customHeight="1">
      <c r="D570" s="179" t="n"/>
      <c r="E570" s="179" t="n"/>
      <c r="F570" s="180" t="n"/>
      <c r="G570" s="180" t="n"/>
      <c r="H570" s="181">
        <f>IF(OR(F570="",G570=""),"",ROUND(MOD(G570-F570,1)*24,2))</f>
        <v/>
      </c>
      <c r="K570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71" hidden="1" outlineLevel="1" ht="20" customHeight="1">
      <c r="D571" s="179" t="n"/>
      <c r="E571" s="179" t="n"/>
      <c r="F571" s="180" t="n"/>
      <c r="G571" s="180" t="n"/>
      <c r="H571" s="181">
        <f>IF(OR(F571="",G571=""),"",ROUND(MOD(G571-F571,1)*24,2))</f>
        <v/>
      </c>
      <c r="K571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72" hidden="1" outlineLevel="1" ht="20" customHeight="1">
      <c r="D572" s="179" t="n"/>
      <c r="E572" s="179" t="n"/>
      <c r="F572" s="180" t="n"/>
      <c r="G572" s="180" t="n"/>
      <c r="H572" s="181">
        <f>IF(OR(F572="",G572=""),"",ROUND(MOD(G572-F572,1)*24,2))</f>
        <v/>
      </c>
      <c r="K572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73" hidden="1" outlineLevel="1" ht="20" customHeight="1">
      <c r="D573" s="179" t="n"/>
      <c r="E573" s="179" t="n"/>
      <c r="F573" s="180" t="n"/>
      <c r="G573" s="180" t="n"/>
      <c r="H573" s="181">
        <f>IF(OR(F573="",G573=""),"",ROUND(MOD(G573-F573,1)*24,2))</f>
        <v/>
      </c>
      <c r="K573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74" hidden="1" outlineLevel="1" ht="20" customHeight="1">
      <c r="D574" s="179" t="n"/>
      <c r="E574" s="179" t="n"/>
      <c r="F574" s="180" t="n"/>
      <c r="G574" s="180" t="n"/>
      <c r="H574" s="181">
        <f>IF(OR(F574="",G574=""),"",ROUND(MOD(G574-F574,1)*24,2))</f>
        <v/>
      </c>
      <c r="K574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75" hidden="1" outlineLevel="1" ht="20" customHeight="1">
      <c r="A575" s="342" t="n"/>
      <c r="B575" s="342" t="n"/>
      <c r="C575" s="342" t="n"/>
      <c r="D575" s="332" t="n"/>
      <c r="E575" s="332" t="n"/>
      <c r="F575" s="333" t="n"/>
      <c r="G575" s="333" t="n"/>
      <c r="H575" s="334">
        <f>IF(OR(F575="",G575=""),"",ROUND(MOD(G575-F575,1)*24,2))</f>
        <v/>
      </c>
      <c r="I575" s="342" t="n"/>
      <c r="J575" s="342" t="n"/>
      <c r="K575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76" ht="20" customHeight="1">
      <c r="A576" s="336">
        <f>IF($K576="","",WEEKNUM($K576,21))</f>
        <v/>
      </c>
      <c r="B576" s="337">
        <f>IF($K576="","",$K576)</f>
        <v/>
      </c>
      <c r="C576" s="338">
        <f>IF($K576="","",$K576)</f>
        <v/>
      </c>
      <c r="D576" s="171" t="n"/>
      <c r="E576" s="171" t="n"/>
      <c r="F576" s="172" t="n"/>
      <c r="G576" s="172" t="n"/>
      <c r="H576" s="173">
        <f>IF(OR(F576="",G576=""),"",ROUND(MOD(G576-F576,1)*24,2))</f>
        <v/>
      </c>
      <c r="I576" s="339" t="n"/>
      <c r="J576" s="339" t="n"/>
      <c r="K576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77" ht="20" customHeight="1">
      <c r="D577" s="179" t="n"/>
      <c r="E577" s="179" t="n"/>
      <c r="F577" s="180" t="n"/>
      <c r="G577" s="180" t="n"/>
      <c r="H577" s="181">
        <f>IF(OR(F577="",G577=""),"",ROUND(MOD(G577-F577,1)*24,2))</f>
        <v/>
      </c>
      <c r="K577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78" ht="20" customHeight="1">
      <c r="D578" s="179" t="n"/>
      <c r="E578" s="179" t="n"/>
      <c r="F578" s="180" t="n"/>
      <c r="G578" s="180" t="n"/>
      <c r="H578" s="181">
        <f>IF(OR(F578="",G578=""),"",ROUND(MOD(G578-F578,1)*24,2))</f>
        <v/>
      </c>
      <c r="K578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79" ht="20" customHeight="1">
      <c r="D579" s="179" t="n"/>
      <c r="E579" s="179" t="n"/>
      <c r="F579" s="180" t="n"/>
      <c r="G579" s="180" t="n"/>
      <c r="H579" s="181">
        <f>IF(OR(F579="",G579=""),"",ROUND(MOD(G579-F579,1)*24,2))</f>
        <v/>
      </c>
      <c r="K579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80" collapsed="1" ht="20" customHeight="1">
      <c r="D580" s="179" t="n"/>
      <c r="E580" s="179" t="n"/>
      <c r="F580" s="180" t="n"/>
      <c r="G580" s="180" t="n"/>
      <c r="H580" s="181">
        <f>IF(OR(F580="",G580=""),"",ROUND(MOD(G580-F580,1)*24,2))</f>
        <v/>
      </c>
      <c r="K580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81" hidden="1" outlineLevel="1" ht="20" customHeight="1">
      <c r="D581" s="179" t="n"/>
      <c r="E581" s="179" t="n"/>
      <c r="F581" s="180" t="n"/>
      <c r="G581" s="180" t="n"/>
      <c r="H581" s="181">
        <f>IF(OR(F581="",G581=""),"",ROUND(MOD(G581-F581,1)*24,2))</f>
        <v/>
      </c>
      <c r="K581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82" hidden="1" outlineLevel="1" ht="20" customHeight="1">
      <c r="D582" s="179" t="n"/>
      <c r="E582" s="179" t="n"/>
      <c r="F582" s="180" t="n"/>
      <c r="G582" s="180" t="n"/>
      <c r="H582" s="181">
        <f>IF(OR(F582="",G582=""),"",ROUND(MOD(G582-F582,1)*24,2))</f>
        <v/>
      </c>
      <c r="K582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83" hidden="1" outlineLevel="1" ht="20" customHeight="1">
      <c r="D583" s="179" t="n"/>
      <c r="E583" s="179" t="n"/>
      <c r="F583" s="180" t="n"/>
      <c r="G583" s="180" t="n"/>
      <c r="H583" s="181">
        <f>IF(OR(F583="",G583=""),"",ROUND(MOD(G583-F583,1)*24,2))</f>
        <v/>
      </c>
      <c r="K583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84" hidden="1" outlineLevel="1" ht="20" customHeight="1">
      <c r="D584" s="179" t="n"/>
      <c r="E584" s="179" t="n"/>
      <c r="F584" s="180" t="n"/>
      <c r="G584" s="180" t="n"/>
      <c r="H584" s="181">
        <f>IF(OR(F584="",G584=""),"",ROUND(MOD(G584-F584,1)*24,2))</f>
        <v/>
      </c>
      <c r="K584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85" hidden="1" outlineLevel="1" ht="20" customHeight="1">
      <c r="A585" s="342" t="n"/>
      <c r="B585" s="342" t="n"/>
      <c r="C585" s="342" t="n"/>
      <c r="D585" s="332" t="n"/>
      <c r="E585" s="332" t="n"/>
      <c r="F585" s="333" t="n"/>
      <c r="G585" s="333" t="n"/>
      <c r="H585" s="334">
        <f>IF(OR(F585="",G585=""),"",ROUND(MOD(G585-F585,1)*24,2))</f>
        <v/>
      </c>
      <c r="I585" s="342" t="n"/>
      <c r="J585" s="342" t="n"/>
      <c r="K585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586" ht="20" customHeight="1">
      <c r="A586" s="336">
        <f>IF($K586="","",WEEKNUM($K586,21))</f>
        <v/>
      </c>
      <c r="B586" s="337">
        <f>IF($K586="","",$K586)</f>
        <v/>
      </c>
      <c r="C586" s="338">
        <f>IF($K586="","",$K586)</f>
        <v/>
      </c>
      <c r="D586" s="171" t="n"/>
      <c r="E586" s="171" t="n"/>
      <c r="F586" s="172" t="n"/>
      <c r="G586" s="172" t="n"/>
      <c r="H586" s="173">
        <f>IF(OR(F586="",G586=""),"",ROUND(MOD(G586-F586,1)*24,2))</f>
        <v/>
      </c>
      <c r="I586" s="339" t="n"/>
      <c r="J586" s="339" t="n"/>
      <c r="K586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87" ht="20" customHeight="1">
      <c r="D587" s="179" t="n"/>
      <c r="E587" s="179" t="n"/>
      <c r="F587" s="180" t="n"/>
      <c r="G587" s="180" t="n"/>
      <c r="H587" s="181">
        <f>IF(OR(F587="",G587=""),"",ROUND(MOD(G587-F587,1)*24,2))</f>
        <v/>
      </c>
      <c r="K587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88" ht="20" customHeight="1">
      <c r="D588" s="179" t="n"/>
      <c r="E588" s="179" t="n"/>
      <c r="F588" s="180" t="n"/>
      <c r="G588" s="180" t="n"/>
      <c r="H588" s="181">
        <f>IF(OR(F588="",G588=""),"",ROUND(MOD(G588-F588,1)*24,2))</f>
        <v/>
      </c>
      <c r="K588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89" ht="20" customHeight="1">
      <c r="D589" s="179" t="n"/>
      <c r="E589" s="179" t="n"/>
      <c r="F589" s="180" t="n"/>
      <c r="G589" s="180" t="n"/>
      <c r="H589" s="181">
        <f>IF(OR(F589="",G589=""),"",ROUND(MOD(G589-F589,1)*24,2))</f>
        <v/>
      </c>
      <c r="K589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90" collapsed="1" ht="20" customHeight="1">
      <c r="D590" s="179" t="n"/>
      <c r="E590" s="179" t="n"/>
      <c r="F590" s="180" t="n"/>
      <c r="G590" s="180" t="n"/>
      <c r="H590" s="181">
        <f>IF(OR(F590="",G590=""),"",ROUND(MOD(G590-F590,1)*24,2))</f>
        <v/>
      </c>
      <c r="K590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91" hidden="1" outlineLevel="1" ht="20" customHeight="1">
      <c r="D591" s="179" t="n"/>
      <c r="E591" s="179" t="n"/>
      <c r="F591" s="180" t="n"/>
      <c r="G591" s="180" t="n"/>
      <c r="H591" s="181">
        <f>IF(OR(F591="",G591=""),"",ROUND(MOD(G591-F591,1)*24,2))</f>
        <v/>
      </c>
      <c r="K591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92" hidden="1" outlineLevel="1" ht="20" customHeight="1">
      <c r="D592" s="179" t="n"/>
      <c r="E592" s="179" t="n"/>
      <c r="F592" s="180" t="n"/>
      <c r="G592" s="180" t="n"/>
      <c r="H592" s="181">
        <f>IF(OR(F592="",G592=""),"",ROUND(MOD(G592-F592,1)*24,2))</f>
        <v/>
      </c>
      <c r="K592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93" hidden="1" outlineLevel="1" ht="20" customHeight="1">
      <c r="D593" s="179" t="n"/>
      <c r="E593" s="179" t="n"/>
      <c r="F593" s="180" t="n"/>
      <c r="G593" s="180" t="n"/>
      <c r="H593" s="181">
        <f>IF(OR(F593="",G593=""),"",ROUND(MOD(G593-F593,1)*24,2))</f>
        <v/>
      </c>
      <c r="K593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94" hidden="1" outlineLevel="1" ht="20" customHeight="1">
      <c r="D594" s="179" t="n"/>
      <c r="E594" s="179" t="n"/>
      <c r="F594" s="180" t="n"/>
      <c r="G594" s="180" t="n"/>
      <c r="H594" s="181">
        <f>IF(OR(F594="",G594=""),"",ROUND(MOD(G594-F594,1)*24,2))</f>
        <v/>
      </c>
      <c r="K594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95" hidden="1" outlineLevel="1" ht="20" customHeight="1">
      <c r="A595" s="342" t="n"/>
      <c r="B595" s="342" t="n"/>
      <c r="C595" s="342" t="n"/>
      <c r="D595" s="332" t="n"/>
      <c r="E595" s="332" t="n"/>
      <c r="F595" s="333" t="n"/>
      <c r="G595" s="333" t="n"/>
      <c r="H595" s="334">
        <f>IF(OR(F595="",G595=""),"",ROUND(MOD(G595-F595,1)*24,2))</f>
        <v/>
      </c>
      <c r="I595" s="342" t="n"/>
      <c r="J595" s="342" t="n"/>
      <c r="K595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596" ht="20" customHeight="1">
      <c r="A596" s="336">
        <f>IF($K596="","",WEEKNUM($K596,21))</f>
        <v/>
      </c>
      <c r="B596" s="337">
        <f>IF($K596="","",$K596)</f>
        <v/>
      </c>
      <c r="C596" s="338">
        <f>IF($K596="","",$K596)</f>
        <v/>
      </c>
      <c r="D596" s="171" t="n"/>
      <c r="E596" s="171" t="n"/>
      <c r="F596" s="172" t="n"/>
      <c r="G596" s="172" t="n"/>
      <c r="H596" s="173">
        <f>IF(OR(F596="",G596=""),"",ROUND(MOD(G596-F596,1)*24,2))</f>
        <v/>
      </c>
      <c r="I596" s="339" t="n"/>
      <c r="J596" s="339" t="n"/>
      <c r="K596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597" ht="20" customHeight="1">
      <c r="D597" s="179" t="n"/>
      <c r="E597" s="179" t="n"/>
      <c r="F597" s="180" t="n"/>
      <c r="G597" s="180" t="n"/>
      <c r="H597" s="181">
        <f>IF(OR(F597="",G597=""),"",ROUND(MOD(G597-F597,1)*24,2))</f>
        <v/>
      </c>
      <c r="K597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598" ht="20" customHeight="1">
      <c r="D598" s="179" t="n"/>
      <c r="E598" s="179" t="n"/>
      <c r="F598" s="180" t="n"/>
      <c r="G598" s="180" t="n"/>
      <c r="H598" s="181">
        <f>IF(OR(F598="",G598=""),"",ROUND(MOD(G598-F598,1)*24,2))</f>
        <v/>
      </c>
      <c r="K598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599" ht="20" customHeight="1">
      <c r="D599" s="179" t="n"/>
      <c r="E599" s="179" t="n"/>
      <c r="F599" s="180" t="n"/>
      <c r="G599" s="180" t="n"/>
      <c r="H599" s="181">
        <f>IF(OR(F599="",G599=""),"",ROUND(MOD(G599-F599,1)*24,2))</f>
        <v/>
      </c>
      <c r="K599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600" collapsed="1" ht="20" customHeight="1">
      <c r="D600" s="179" t="n"/>
      <c r="E600" s="179" t="n"/>
      <c r="F600" s="180" t="n"/>
      <c r="G600" s="180" t="n"/>
      <c r="H600" s="181">
        <f>IF(OR(F600="",G600=""),"",ROUND(MOD(G600-F600,1)*24,2))</f>
        <v/>
      </c>
      <c r="K600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601" hidden="1" outlineLevel="1" ht="20" customHeight="1">
      <c r="D601" s="179" t="n"/>
      <c r="E601" s="179" t="n"/>
      <c r="F601" s="180" t="n"/>
      <c r="G601" s="180" t="n"/>
      <c r="H601" s="181">
        <f>IF(OR(F601="",G601=""),"",ROUND(MOD(G601-F601,1)*24,2))</f>
        <v/>
      </c>
      <c r="K601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602" hidden="1" outlineLevel="1" ht="20" customHeight="1">
      <c r="D602" s="179" t="n"/>
      <c r="E602" s="179" t="n"/>
      <c r="F602" s="180" t="n"/>
      <c r="G602" s="180" t="n"/>
      <c r="H602" s="181">
        <f>IF(OR(F602="",G602=""),"",ROUND(MOD(G602-F602,1)*24,2))</f>
        <v/>
      </c>
      <c r="K602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603" hidden="1" outlineLevel="1" ht="20" customHeight="1">
      <c r="D603" s="179" t="n"/>
      <c r="E603" s="179" t="n"/>
      <c r="F603" s="180" t="n"/>
      <c r="G603" s="180" t="n"/>
      <c r="H603" s="181">
        <f>IF(OR(F603="",G603=""),"",ROUND(MOD(G603-F603,1)*24,2))</f>
        <v/>
      </c>
      <c r="K603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604" hidden="1" outlineLevel="1" ht="20" customHeight="1">
      <c r="D604" s="179" t="n"/>
      <c r="E604" s="179" t="n"/>
      <c r="F604" s="180" t="n"/>
      <c r="G604" s="180" t="n"/>
      <c r="H604" s="181">
        <f>IF(OR(F604="",G604=""),"",ROUND(MOD(G604-F604,1)*24,2))</f>
        <v/>
      </c>
      <c r="K604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605" hidden="1" outlineLevel="1" ht="20" customHeight="1">
      <c r="A605" s="342" t="n"/>
      <c r="B605" s="342" t="n"/>
      <c r="C605" s="342" t="n"/>
      <c r="D605" s="332" t="n"/>
      <c r="E605" s="332" t="n"/>
      <c r="F605" s="333" t="n"/>
      <c r="G605" s="333" t="n"/>
      <c r="H605" s="334">
        <f>IF(OR(F605="",G605=""),"",ROUND(MOD(G605-F605,1)*24,2))</f>
        <v/>
      </c>
      <c r="I605" s="342" t="n"/>
      <c r="J605" s="342" t="n"/>
      <c r="K605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606" ht="20" customHeight="1">
      <c r="A606" s="336">
        <f>IF($K606="","",WEEKNUM($K606,21))</f>
        <v/>
      </c>
      <c r="B606" s="337">
        <f>IF($K606="","",$K606)</f>
        <v/>
      </c>
      <c r="C606" s="338">
        <f>IF($K606="","",$K606)</f>
        <v/>
      </c>
      <c r="D606" s="171" t="n"/>
      <c r="E606" s="171" t="n"/>
      <c r="F606" s="172" t="n"/>
      <c r="G606" s="172" t="n"/>
      <c r="H606" s="173">
        <f>IF(OR(F606="",G606=""),"",ROUND(MOD(G606-F606,1)*24,2))</f>
        <v/>
      </c>
      <c r="I606" s="339" t="n"/>
      <c r="J606" s="339" t="n"/>
      <c r="K606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07" ht="20" customHeight="1">
      <c r="D607" s="179" t="n"/>
      <c r="E607" s="179" t="n"/>
      <c r="F607" s="180" t="n"/>
      <c r="G607" s="180" t="n"/>
      <c r="H607" s="181">
        <f>IF(OR(F607="",G607=""),"",ROUND(MOD(G607-F607,1)*24,2))</f>
        <v/>
      </c>
      <c r="K607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08" ht="20" customHeight="1">
      <c r="D608" s="179" t="n"/>
      <c r="E608" s="179" t="n"/>
      <c r="F608" s="180" t="n"/>
      <c r="G608" s="180" t="n"/>
      <c r="H608" s="181">
        <f>IF(OR(F608="",G608=""),"",ROUND(MOD(G608-F608,1)*24,2))</f>
        <v/>
      </c>
      <c r="K608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09" ht="20" customHeight="1">
      <c r="D609" s="179" t="n"/>
      <c r="E609" s="179" t="n"/>
      <c r="F609" s="180" t="n"/>
      <c r="G609" s="180" t="n"/>
      <c r="H609" s="181">
        <f>IF(OR(F609="",G609=""),"",ROUND(MOD(G609-F609,1)*24,2))</f>
        <v/>
      </c>
      <c r="K609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10" collapsed="1" ht="20" customHeight="1">
      <c r="D610" s="179" t="n"/>
      <c r="E610" s="179" t="n"/>
      <c r="F610" s="180" t="n"/>
      <c r="G610" s="180" t="n"/>
      <c r="H610" s="181">
        <f>IF(OR(F610="",G610=""),"",ROUND(MOD(G610-F610,1)*24,2))</f>
        <v/>
      </c>
      <c r="K610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11" hidden="1" outlineLevel="1" ht="20" customHeight="1">
      <c r="D611" s="179" t="n"/>
      <c r="E611" s="179" t="n"/>
      <c r="F611" s="180" t="n"/>
      <c r="G611" s="180" t="n"/>
      <c r="H611" s="181">
        <f>IF(OR(F611="",G611=""),"",ROUND(MOD(G611-F611,1)*24,2))</f>
        <v/>
      </c>
      <c r="K611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12" hidden="1" outlineLevel="1" ht="20" customHeight="1">
      <c r="D612" s="179" t="n"/>
      <c r="E612" s="179" t="n"/>
      <c r="F612" s="180" t="n"/>
      <c r="G612" s="180" t="n"/>
      <c r="H612" s="181">
        <f>IF(OR(F612="",G612=""),"",ROUND(MOD(G612-F612,1)*24,2))</f>
        <v/>
      </c>
      <c r="K612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13" hidden="1" outlineLevel="1" ht="20" customHeight="1">
      <c r="D613" s="179" t="n"/>
      <c r="E613" s="179" t="n"/>
      <c r="F613" s="180" t="n"/>
      <c r="G613" s="180" t="n"/>
      <c r="H613" s="181">
        <f>IF(OR(F613="",G613=""),"",ROUND(MOD(G613-F613,1)*24,2))</f>
        <v/>
      </c>
      <c r="K613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14" hidden="1" outlineLevel="1" ht="20" customHeight="1">
      <c r="D614" s="179" t="n"/>
      <c r="E614" s="179" t="n"/>
      <c r="F614" s="180" t="n"/>
      <c r="G614" s="180" t="n"/>
      <c r="H614" s="181">
        <f>IF(OR(F614="",G614=""),"",ROUND(MOD(G614-F614,1)*24,2))</f>
        <v/>
      </c>
      <c r="K614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15" hidden="1" outlineLevel="1" ht="20" customHeight="1">
      <c r="A615" s="342" t="n"/>
      <c r="B615" s="342" t="n"/>
      <c r="C615" s="342" t="n"/>
      <c r="D615" s="332" t="n"/>
      <c r="E615" s="332" t="n"/>
      <c r="F615" s="333" t="n"/>
      <c r="G615" s="333" t="n"/>
      <c r="H615" s="334">
        <f>IF(OR(F615="",G615=""),"",ROUND(MOD(G615-F615,1)*24,2))</f>
        <v/>
      </c>
      <c r="I615" s="342" t="n"/>
      <c r="J615" s="342" t="n"/>
      <c r="K615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16" ht="20" customHeight="1">
      <c r="A616" s="336">
        <f>IF($K616="","",WEEKNUM($K616,21))</f>
        <v/>
      </c>
      <c r="B616" s="337">
        <f>IF($K616="","",$K616)</f>
        <v/>
      </c>
      <c r="C616" s="338">
        <f>IF($K616="","",$K616)</f>
        <v/>
      </c>
      <c r="D616" s="171" t="n"/>
      <c r="E616" s="171" t="n"/>
      <c r="F616" s="172" t="n"/>
      <c r="G616" s="172" t="n"/>
      <c r="H616" s="173">
        <f>IF(OR(F616="",G616=""),"",ROUND(MOD(G616-F616,1)*24,2))</f>
        <v/>
      </c>
      <c r="I616" s="339" t="n"/>
      <c r="J616" s="339" t="n"/>
      <c r="K616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17" ht="20" customHeight="1">
      <c r="D617" s="179" t="n"/>
      <c r="E617" s="179" t="n"/>
      <c r="F617" s="180" t="n"/>
      <c r="G617" s="180" t="n"/>
      <c r="H617" s="181">
        <f>IF(OR(F617="",G617=""),"",ROUND(MOD(G617-F617,1)*24,2))</f>
        <v/>
      </c>
      <c r="K617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18" ht="20" customHeight="1">
      <c r="D618" s="179" t="n"/>
      <c r="E618" s="179" t="n"/>
      <c r="F618" s="180" t="n"/>
      <c r="G618" s="180" t="n"/>
      <c r="H618" s="181">
        <f>IF(OR(F618="",G618=""),"",ROUND(MOD(G618-F618,1)*24,2))</f>
        <v/>
      </c>
      <c r="K618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19" ht="20" customHeight="1">
      <c r="D619" s="179" t="n"/>
      <c r="E619" s="179" t="n"/>
      <c r="F619" s="180" t="n"/>
      <c r="G619" s="180" t="n"/>
      <c r="H619" s="181">
        <f>IF(OR(F619="",G619=""),"",ROUND(MOD(G619-F619,1)*24,2))</f>
        <v/>
      </c>
      <c r="K619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20" collapsed="1" ht="20" customHeight="1">
      <c r="D620" s="179" t="n"/>
      <c r="E620" s="179" t="n"/>
      <c r="F620" s="180" t="n"/>
      <c r="G620" s="180" t="n"/>
      <c r="H620" s="181">
        <f>IF(OR(F620="",G620=""),"",ROUND(MOD(G620-F620,1)*24,2))</f>
        <v/>
      </c>
      <c r="K620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21" hidden="1" outlineLevel="1" ht="20" customHeight="1">
      <c r="D621" s="179" t="n"/>
      <c r="E621" s="179" t="n"/>
      <c r="F621" s="180" t="n"/>
      <c r="G621" s="180" t="n"/>
      <c r="H621" s="181">
        <f>IF(OR(F621="",G621=""),"",ROUND(MOD(G621-F621,1)*24,2))</f>
        <v/>
      </c>
      <c r="K621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22" hidden="1" outlineLevel="1" ht="20" customHeight="1">
      <c r="D622" s="179" t="n"/>
      <c r="E622" s="179" t="n"/>
      <c r="F622" s="180" t="n"/>
      <c r="G622" s="180" t="n"/>
      <c r="H622" s="181">
        <f>IF(OR(F622="",G622=""),"",ROUND(MOD(G622-F622,1)*24,2))</f>
        <v/>
      </c>
      <c r="K622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23" hidden="1" outlineLevel="1" ht="20" customHeight="1">
      <c r="D623" s="179" t="n"/>
      <c r="E623" s="179" t="n"/>
      <c r="F623" s="180" t="n"/>
      <c r="G623" s="180" t="n"/>
      <c r="H623" s="181">
        <f>IF(OR(F623="",G623=""),"",ROUND(MOD(G623-F623,1)*24,2))</f>
        <v/>
      </c>
      <c r="K623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24" hidden="1" outlineLevel="1" ht="20" customHeight="1">
      <c r="D624" s="179" t="n"/>
      <c r="E624" s="179" t="n"/>
      <c r="F624" s="180" t="n"/>
      <c r="G624" s="180" t="n"/>
      <c r="H624" s="181">
        <f>IF(OR(F624="",G624=""),"",ROUND(MOD(G624-F624,1)*24,2))</f>
        <v/>
      </c>
      <c r="K624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25" hidden="1" outlineLevel="1" ht="20" customHeight="1">
      <c r="A625" s="342" t="n"/>
      <c r="B625" s="342" t="n"/>
      <c r="C625" s="342" t="n"/>
      <c r="D625" s="332" t="n"/>
      <c r="E625" s="332" t="n"/>
      <c r="F625" s="333" t="n"/>
      <c r="G625" s="333" t="n"/>
      <c r="H625" s="334">
        <f>IF(OR(F625="",G625=""),"",ROUND(MOD(G625-F625,1)*24,2))</f>
        <v/>
      </c>
      <c r="I625" s="342" t="n"/>
      <c r="J625" s="342" t="n"/>
      <c r="K625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26" ht="20" customHeight="1">
      <c r="A626" s="336">
        <f>IF($K626="","",WEEKNUM($K626,21))</f>
        <v/>
      </c>
      <c r="B626" s="337">
        <f>IF($K626="","",$K626)</f>
        <v/>
      </c>
      <c r="C626" s="338">
        <f>IF($K626="","",$K626)</f>
        <v/>
      </c>
      <c r="D626" s="171" t="n"/>
      <c r="E626" s="171" t="n"/>
      <c r="F626" s="172" t="n"/>
      <c r="G626" s="172" t="n"/>
      <c r="H626" s="173">
        <f>IF(OR(F626="",G626=""),"",ROUND(MOD(G626-F626,1)*24,2))</f>
        <v/>
      </c>
      <c r="I626" s="339" t="n"/>
      <c r="J626" s="339" t="n"/>
      <c r="K626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27" ht="20" customHeight="1">
      <c r="D627" s="179" t="n"/>
      <c r="E627" s="179" t="n"/>
      <c r="F627" s="180" t="n"/>
      <c r="G627" s="180" t="n"/>
      <c r="H627" s="181">
        <f>IF(OR(F627="",G627=""),"",ROUND(MOD(G627-F627,1)*24,2))</f>
        <v/>
      </c>
      <c r="K627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28" ht="20" customHeight="1">
      <c r="D628" s="179" t="n"/>
      <c r="E628" s="179" t="n"/>
      <c r="F628" s="180" t="n"/>
      <c r="G628" s="180" t="n"/>
      <c r="H628" s="181">
        <f>IF(OR(F628="",G628=""),"",ROUND(MOD(G628-F628,1)*24,2))</f>
        <v/>
      </c>
      <c r="K628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29" ht="20" customHeight="1">
      <c r="D629" s="179" t="n"/>
      <c r="E629" s="179" t="n"/>
      <c r="F629" s="180" t="n"/>
      <c r="G629" s="180" t="n"/>
      <c r="H629" s="181">
        <f>IF(OR(F629="",G629=""),"",ROUND(MOD(G629-F629,1)*24,2))</f>
        <v/>
      </c>
      <c r="K629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30" collapsed="1" ht="20" customHeight="1">
      <c r="D630" s="179" t="n"/>
      <c r="E630" s="179" t="n"/>
      <c r="F630" s="180" t="n"/>
      <c r="G630" s="180" t="n"/>
      <c r="H630" s="181">
        <f>IF(OR(F630="",G630=""),"",ROUND(MOD(G630-F630,1)*24,2))</f>
        <v/>
      </c>
      <c r="K630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31" hidden="1" outlineLevel="1" ht="20" customHeight="1">
      <c r="D631" s="179" t="n"/>
      <c r="E631" s="179" t="n"/>
      <c r="F631" s="180" t="n"/>
      <c r="G631" s="180" t="n"/>
      <c r="H631" s="181">
        <f>IF(OR(F631="",G631=""),"",ROUND(MOD(G631-F631,1)*24,2))</f>
        <v/>
      </c>
      <c r="K631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32" hidden="1" outlineLevel="1" ht="20" customHeight="1">
      <c r="D632" s="179" t="n"/>
      <c r="E632" s="179" t="n"/>
      <c r="F632" s="180" t="n"/>
      <c r="G632" s="180" t="n"/>
      <c r="H632" s="181">
        <f>IF(OR(F632="",G632=""),"",ROUND(MOD(G632-F632,1)*24,2))</f>
        <v/>
      </c>
      <c r="K632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33" hidden="1" outlineLevel="1" ht="20" customHeight="1">
      <c r="D633" s="179" t="n"/>
      <c r="E633" s="179" t="n"/>
      <c r="F633" s="180" t="n"/>
      <c r="G633" s="180" t="n"/>
      <c r="H633" s="181">
        <f>IF(OR(F633="",G633=""),"",ROUND(MOD(G633-F633,1)*24,2))</f>
        <v/>
      </c>
      <c r="K633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34" hidden="1" outlineLevel="1" ht="20" customHeight="1">
      <c r="D634" s="179" t="n"/>
      <c r="E634" s="179" t="n"/>
      <c r="F634" s="180" t="n"/>
      <c r="G634" s="180" t="n"/>
      <c r="H634" s="181">
        <f>IF(OR(F634="",G634=""),"",ROUND(MOD(G634-F634,1)*24,2))</f>
        <v/>
      </c>
      <c r="K634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35" hidden="1" outlineLevel="1" ht="20" customHeight="1">
      <c r="A635" s="342" t="n"/>
      <c r="B635" s="342" t="n"/>
      <c r="C635" s="342" t="n"/>
      <c r="D635" s="332" t="n"/>
      <c r="E635" s="332" t="n"/>
      <c r="F635" s="333" t="n"/>
      <c r="G635" s="333" t="n"/>
      <c r="H635" s="334">
        <f>IF(OR(F635="",G635=""),"",ROUND(MOD(G635-F635,1)*24,2))</f>
        <v/>
      </c>
      <c r="I635" s="342" t="n"/>
      <c r="J635" s="342" t="n"/>
      <c r="K635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36" ht="20" customHeight="1">
      <c r="A636" s="336">
        <f>IF($K636="","",WEEKNUM($K636,21))</f>
        <v/>
      </c>
      <c r="B636" s="337">
        <f>IF($K636="","",$K636)</f>
        <v/>
      </c>
      <c r="C636" s="338">
        <f>IF($K636="","",$K636)</f>
        <v/>
      </c>
      <c r="D636" s="171" t="n"/>
      <c r="E636" s="171" t="n"/>
      <c r="F636" s="172" t="n"/>
      <c r="G636" s="172" t="n"/>
      <c r="H636" s="173">
        <f>IF(OR(F636="",G636=""),"",ROUND(MOD(G636-F636,1)*24,2))</f>
        <v/>
      </c>
      <c r="I636" s="339" t="n"/>
      <c r="J636" s="339" t="n"/>
      <c r="K636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37" ht="20" customHeight="1">
      <c r="D637" s="179" t="n"/>
      <c r="E637" s="179" t="n"/>
      <c r="F637" s="180" t="n"/>
      <c r="G637" s="180" t="n"/>
      <c r="H637" s="181">
        <f>IF(OR(F637="",G637=""),"",ROUND(MOD(G637-F637,1)*24,2))</f>
        <v/>
      </c>
      <c r="K637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38" ht="20" customHeight="1">
      <c r="D638" s="179" t="n"/>
      <c r="E638" s="179" t="n"/>
      <c r="F638" s="180" t="n"/>
      <c r="G638" s="180" t="n"/>
      <c r="H638" s="181">
        <f>IF(OR(F638="",G638=""),"",ROUND(MOD(G638-F638,1)*24,2))</f>
        <v/>
      </c>
      <c r="K638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39" ht="20" customHeight="1">
      <c r="D639" s="179" t="n"/>
      <c r="E639" s="179" t="n"/>
      <c r="F639" s="180" t="n"/>
      <c r="G639" s="180" t="n"/>
      <c r="H639" s="181">
        <f>IF(OR(F639="",G639=""),"",ROUND(MOD(G639-F639,1)*24,2))</f>
        <v/>
      </c>
      <c r="K639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40" collapsed="1" ht="20" customHeight="1">
      <c r="D640" s="179" t="n"/>
      <c r="E640" s="179" t="n"/>
      <c r="F640" s="180" t="n"/>
      <c r="G640" s="180" t="n"/>
      <c r="H640" s="181">
        <f>IF(OR(F640="",G640=""),"",ROUND(MOD(G640-F640,1)*24,2))</f>
        <v/>
      </c>
      <c r="K640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41" hidden="1" outlineLevel="1" ht="20" customHeight="1">
      <c r="D641" s="179" t="n"/>
      <c r="E641" s="179" t="n"/>
      <c r="F641" s="180" t="n"/>
      <c r="G641" s="180" t="n"/>
      <c r="H641" s="181">
        <f>IF(OR(F641="",G641=""),"",ROUND(MOD(G641-F641,1)*24,2))</f>
        <v/>
      </c>
      <c r="K641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42" hidden="1" outlineLevel="1" ht="20" customHeight="1">
      <c r="D642" s="179" t="n"/>
      <c r="E642" s="179" t="n"/>
      <c r="F642" s="180" t="n"/>
      <c r="G642" s="180" t="n"/>
      <c r="H642" s="181">
        <f>IF(OR(F642="",G642=""),"",ROUND(MOD(G642-F642,1)*24,2))</f>
        <v/>
      </c>
      <c r="K642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43" hidden="1" outlineLevel="1" ht="20" customHeight="1">
      <c r="D643" s="179" t="n"/>
      <c r="E643" s="179" t="n"/>
      <c r="F643" s="180" t="n"/>
      <c r="G643" s="180" t="n"/>
      <c r="H643" s="181">
        <f>IF(OR(F643="",G643=""),"",ROUND(MOD(G643-F643,1)*24,2))</f>
        <v/>
      </c>
      <c r="K643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44" hidden="1" outlineLevel="1" ht="20" customHeight="1">
      <c r="D644" s="179" t="n"/>
      <c r="E644" s="179" t="n"/>
      <c r="F644" s="180" t="n"/>
      <c r="G644" s="180" t="n"/>
      <c r="H644" s="181">
        <f>IF(OR(F644="",G644=""),"",ROUND(MOD(G644-F644,1)*24,2))</f>
        <v/>
      </c>
      <c r="K644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45" hidden="1" outlineLevel="1" ht="20" customHeight="1">
      <c r="A645" s="342" t="n"/>
      <c r="B645" s="342" t="n"/>
      <c r="C645" s="342" t="n"/>
      <c r="D645" s="332" t="n"/>
      <c r="E645" s="332" t="n"/>
      <c r="F645" s="333" t="n"/>
      <c r="G645" s="333" t="n"/>
      <c r="H645" s="334">
        <f>IF(OR(F645="",G645=""),"",ROUND(MOD(G645-F645,1)*24,2))</f>
        <v/>
      </c>
      <c r="I645" s="342" t="n"/>
      <c r="J645" s="342" t="n"/>
      <c r="K645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46" ht="20" customHeight="1">
      <c r="A646" s="336">
        <f>IF($K646="","",WEEKNUM($K646,21))</f>
        <v/>
      </c>
      <c r="B646" s="337">
        <f>IF($K646="","",$K646)</f>
        <v/>
      </c>
      <c r="C646" s="338">
        <f>IF($K646="","",$K646)</f>
        <v/>
      </c>
      <c r="D646" s="171" t="n"/>
      <c r="E646" s="171" t="n"/>
      <c r="F646" s="172" t="n"/>
      <c r="G646" s="172" t="n"/>
      <c r="H646" s="173">
        <f>IF(OR(F646="",G646=""),"",ROUND(MOD(G646-F646,1)*24,2))</f>
        <v/>
      </c>
      <c r="I646" s="339" t="n"/>
      <c r="J646" s="339" t="n"/>
      <c r="K646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47" ht="20" customHeight="1">
      <c r="D647" s="179" t="n"/>
      <c r="E647" s="179" t="n"/>
      <c r="F647" s="180" t="n"/>
      <c r="G647" s="180" t="n"/>
      <c r="H647" s="181">
        <f>IF(OR(F647="",G647=""),"",ROUND(MOD(G647-F647,1)*24,2))</f>
        <v/>
      </c>
      <c r="K647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48" ht="20" customHeight="1">
      <c r="D648" s="179" t="n"/>
      <c r="E648" s="179" t="n"/>
      <c r="F648" s="180" t="n"/>
      <c r="G648" s="180" t="n"/>
      <c r="H648" s="181">
        <f>IF(OR(F648="",G648=""),"",ROUND(MOD(G648-F648,1)*24,2))</f>
        <v/>
      </c>
      <c r="K648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49" ht="20" customHeight="1">
      <c r="D649" s="179" t="n"/>
      <c r="E649" s="179" t="n"/>
      <c r="F649" s="180" t="n"/>
      <c r="G649" s="180" t="n"/>
      <c r="H649" s="181">
        <f>IF(OR(F649="",G649=""),"",ROUND(MOD(G649-F649,1)*24,2))</f>
        <v/>
      </c>
      <c r="K649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50" collapsed="1" ht="20" customHeight="1">
      <c r="D650" s="179" t="n"/>
      <c r="E650" s="179" t="n"/>
      <c r="F650" s="180" t="n"/>
      <c r="G650" s="180" t="n"/>
      <c r="H650" s="181">
        <f>IF(OR(F650="",G650=""),"",ROUND(MOD(G650-F650,1)*24,2))</f>
        <v/>
      </c>
      <c r="K650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51" hidden="1" outlineLevel="1" ht="20" customHeight="1">
      <c r="D651" s="179" t="n"/>
      <c r="E651" s="179" t="n"/>
      <c r="F651" s="180" t="n"/>
      <c r="G651" s="180" t="n"/>
      <c r="H651" s="181">
        <f>IF(OR(F651="",G651=""),"",ROUND(MOD(G651-F651,1)*24,2))</f>
        <v/>
      </c>
      <c r="K651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52" hidden="1" outlineLevel="1" ht="20" customHeight="1">
      <c r="D652" s="179" t="n"/>
      <c r="E652" s="179" t="n"/>
      <c r="F652" s="180" t="n"/>
      <c r="G652" s="180" t="n"/>
      <c r="H652" s="181">
        <f>IF(OR(F652="",G652=""),"",ROUND(MOD(G652-F652,1)*24,2))</f>
        <v/>
      </c>
      <c r="K652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53" hidden="1" outlineLevel="1" ht="20" customHeight="1">
      <c r="D653" s="179" t="n"/>
      <c r="E653" s="179" t="n"/>
      <c r="F653" s="180" t="n"/>
      <c r="G653" s="180" t="n"/>
      <c r="H653" s="181">
        <f>IF(OR(F653="",G653=""),"",ROUND(MOD(G653-F653,1)*24,2))</f>
        <v/>
      </c>
      <c r="K653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54" hidden="1" outlineLevel="1" ht="20" customHeight="1">
      <c r="D654" s="179" t="n"/>
      <c r="E654" s="179" t="n"/>
      <c r="F654" s="180" t="n"/>
      <c r="G654" s="180" t="n"/>
      <c r="H654" s="181">
        <f>IF(OR(F654="",G654=""),"",ROUND(MOD(G654-F654,1)*24,2))</f>
        <v/>
      </c>
      <c r="K654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55" hidden="1" outlineLevel="1" ht="20" customHeight="1">
      <c r="A655" s="342" t="n"/>
      <c r="B655" s="342" t="n"/>
      <c r="C655" s="342" t="n"/>
      <c r="D655" s="332" t="n"/>
      <c r="E655" s="332" t="n"/>
      <c r="F655" s="333" t="n"/>
      <c r="G655" s="333" t="n"/>
      <c r="H655" s="334">
        <f>IF(OR(F655="",G655=""),"",ROUND(MOD(G655-F655,1)*24,2))</f>
        <v/>
      </c>
      <c r="I655" s="342" t="n"/>
      <c r="J655" s="342" t="n"/>
      <c r="K655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56" ht="20" customHeight="1">
      <c r="A656" s="336">
        <f>IF($K656="","",WEEKNUM($K656,21))</f>
        <v/>
      </c>
      <c r="B656" s="337">
        <f>IF($K656="","",$K656)</f>
        <v/>
      </c>
      <c r="C656" s="338">
        <f>IF($K656="","",$K656)</f>
        <v/>
      </c>
      <c r="D656" s="171" t="n"/>
      <c r="E656" s="171" t="n"/>
      <c r="F656" s="172" t="n"/>
      <c r="G656" s="172" t="n"/>
      <c r="H656" s="173">
        <f>IF(OR(F656="",G656=""),"",ROUND(MOD(G656-F656,1)*24,2))</f>
        <v/>
      </c>
      <c r="I656" s="339" t="n"/>
      <c r="J656" s="339" t="n"/>
      <c r="K656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57" ht="20" customHeight="1">
      <c r="D657" s="179" t="n"/>
      <c r="E657" s="179" t="n"/>
      <c r="F657" s="180" t="n"/>
      <c r="G657" s="180" t="n"/>
      <c r="H657" s="181">
        <f>IF(OR(F657="",G657=""),"",ROUND(MOD(G657-F657,1)*24,2))</f>
        <v/>
      </c>
      <c r="K657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58" ht="20" customHeight="1">
      <c r="D658" s="179" t="n"/>
      <c r="E658" s="179" t="n"/>
      <c r="F658" s="180" t="n"/>
      <c r="G658" s="180" t="n"/>
      <c r="H658" s="181">
        <f>IF(OR(F658="",G658=""),"",ROUND(MOD(G658-F658,1)*24,2))</f>
        <v/>
      </c>
      <c r="K658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59" ht="20" customHeight="1">
      <c r="D659" s="179" t="n"/>
      <c r="E659" s="179" t="n"/>
      <c r="F659" s="180" t="n"/>
      <c r="G659" s="180" t="n"/>
      <c r="H659" s="181">
        <f>IF(OR(F659="",G659=""),"",ROUND(MOD(G659-F659,1)*24,2))</f>
        <v/>
      </c>
      <c r="K659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60" collapsed="1" ht="20" customHeight="1">
      <c r="D660" s="179" t="n"/>
      <c r="E660" s="179" t="n"/>
      <c r="F660" s="180" t="n"/>
      <c r="G660" s="180" t="n"/>
      <c r="H660" s="181">
        <f>IF(OR(F660="",G660=""),"",ROUND(MOD(G660-F660,1)*24,2))</f>
        <v/>
      </c>
      <c r="K660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61" hidden="1" outlineLevel="1" ht="20" customHeight="1">
      <c r="D661" s="179" t="n"/>
      <c r="E661" s="179" t="n"/>
      <c r="F661" s="180" t="n"/>
      <c r="G661" s="180" t="n"/>
      <c r="H661" s="181">
        <f>IF(OR(F661="",G661=""),"",ROUND(MOD(G661-F661,1)*24,2))</f>
        <v/>
      </c>
      <c r="K661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62" hidden="1" outlineLevel="1" ht="20" customHeight="1">
      <c r="D662" s="179" t="n"/>
      <c r="E662" s="179" t="n"/>
      <c r="F662" s="180" t="n"/>
      <c r="G662" s="180" t="n"/>
      <c r="H662" s="181">
        <f>IF(OR(F662="",G662=""),"",ROUND(MOD(G662-F662,1)*24,2))</f>
        <v/>
      </c>
      <c r="K662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63" hidden="1" outlineLevel="1" ht="20" customHeight="1">
      <c r="D663" s="179" t="n"/>
      <c r="E663" s="179" t="n"/>
      <c r="F663" s="180" t="n"/>
      <c r="G663" s="180" t="n"/>
      <c r="H663" s="181">
        <f>IF(OR(F663="",G663=""),"",ROUND(MOD(G663-F663,1)*24,2))</f>
        <v/>
      </c>
      <c r="K663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64" hidden="1" outlineLevel="1" ht="20" customHeight="1">
      <c r="D664" s="179" t="n"/>
      <c r="E664" s="179" t="n"/>
      <c r="F664" s="180" t="n"/>
      <c r="G664" s="180" t="n"/>
      <c r="H664" s="181">
        <f>IF(OR(F664="",G664=""),"",ROUND(MOD(G664-F664,1)*24,2))</f>
        <v/>
      </c>
      <c r="K664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65" hidden="1" outlineLevel="1" ht="20" customHeight="1">
      <c r="A665" s="342" t="n"/>
      <c r="B665" s="342" t="n"/>
      <c r="C665" s="342" t="n"/>
      <c r="D665" s="332" t="n"/>
      <c r="E665" s="332" t="n"/>
      <c r="F665" s="333" t="n"/>
      <c r="G665" s="333" t="n"/>
      <c r="H665" s="334">
        <f>IF(OR(F665="",G665=""),"",ROUND(MOD(G665-F665,1)*24,2))</f>
        <v/>
      </c>
      <c r="I665" s="342" t="n"/>
      <c r="J665" s="342" t="n"/>
      <c r="K665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66" ht="20" customHeight="1">
      <c r="A666" s="336">
        <f>IF($K666="","",WEEKNUM($K666,21))</f>
        <v/>
      </c>
      <c r="B666" s="337">
        <f>IF($K666="","",$K666)</f>
        <v/>
      </c>
      <c r="C666" s="338">
        <f>IF($K666="","",$K666)</f>
        <v/>
      </c>
      <c r="D666" s="171" t="n"/>
      <c r="E666" s="171" t="n"/>
      <c r="F666" s="172" t="n"/>
      <c r="G666" s="172" t="n"/>
      <c r="H666" s="173">
        <f>IF(OR(F666="",G666=""),"",ROUND(MOD(G666-F666,1)*24,2))</f>
        <v/>
      </c>
      <c r="I666" s="339" t="n"/>
      <c r="J666" s="339" t="n"/>
      <c r="K666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67" ht="20" customHeight="1">
      <c r="D667" s="179" t="n"/>
      <c r="E667" s="179" t="n"/>
      <c r="F667" s="180" t="n"/>
      <c r="G667" s="180" t="n"/>
      <c r="H667" s="181">
        <f>IF(OR(F667="",G667=""),"",ROUND(MOD(G667-F667,1)*24,2))</f>
        <v/>
      </c>
      <c r="K667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68" ht="20" customHeight="1">
      <c r="D668" s="179" t="n"/>
      <c r="E668" s="179" t="n"/>
      <c r="F668" s="180" t="n"/>
      <c r="G668" s="180" t="n"/>
      <c r="H668" s="181">
        <f>IF(OR(F668="",G668=""),"",ROUND(MOD(G668-F668,1)*24,2))</f>
        <v/>
      </c>
      <c r="K668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69" ht="20" customHeight="1">
      <c r="D669" s="179" t="n"/>
      <c r="E669" s="179" t="n"/>
      <c r="F669" s="180" t="n"/>
      <c r="G669" s="180" t="n"/>
      <c r="H669" s="181">
        <f>IF(OR(F669="",G669=""),"",ROUND(MOD(G669-F669,1)*24,2))</f>
        <v/>
      </c>
      <c r="K669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70" collapsed="1" ht="20" customHeight="1">
      <c r="D670" s="179" t="n"/>
      <c r="E670" s="179" t="n"/>
      <c r="F670" s="180" t="n"/>
      <c r="G670" s="180" t="n"/>
      <c r="H670" s="181">
        <f>IF(OR(F670="",G670=""),"",ROUND(MOD(G670-F670,1)*24,2))</f>
        <v/>
      </c>
      <c r="K670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71" hidden="1" outlineLevel="1" ht="20" customHeight="1">
      <c r="D671" s="179" t="n"/>
      <c r="E671" s="179" t="n"/>
      <c r="F671" s="180" t="n"/>
      <c r="G671" s="180" t="n"/>
      <c r="H671" s="181">
        <f>IF(OR(F671="",G671=""),"",ROUND(MOD(G671-F671,1)*24,2))</f>
        <v/>
      </c>
      <c r="K671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72" hidden="1" outlineLevel="1" ht="20" customHeight="1">
      <c r="D672" s="179" t="n"/>
      <c r="E672" s="179" t="n"/>
      <c r="F672" s="180" t="n"/>
      <c r="G672" s="180" t="n"/>
      <c r="H672" s="181">
        <f>IF(OR(F672="",G672=""),"",ROUND(MOD(G672-F672,1)*24,2))</f>
        <v/>
      </c>
      <c r="K672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73" hidden="1" outlineLevel="1" ht="20" customHeight="1">
      <c r="D673" s="179" t="n"/>
      <c r="E673" s="179" t="n"/>
      <c r="F673" s="180" t="n"/>
      <c r="G673" s="180" t="n"/>
      <c r="H673" s="181">
        <f>IF(OR(F673="",G673=""),"",ROUND(MOD(G673-F673,1)*24,2))</f>
        <v/>
      </c>
      <c r="K673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74" hidden="1" outlineLevel="1" ht="20" customHeight="1">
      <c r="D674" s="179" t="n"/>
      <c r="E674" s="179" t="n"/>
      <c r="F674" s="180" t="n"/>
      <c r="G674" s="180" t="n"/>
      <c r="H674" s="181">
        <f>IF(OR(F674="",G674=""),"",ROUND(MOD(G674-F674,1)*24,2))</f>
        <v/>
      </c>
      <c r="K674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75" hidden="1" outlineLevel="1" ht="20" customHeight="1">
      <c r="A675" s="342" t="n"/>
      <c r="B675" s="342" t="n"/>
      <c r="C675" s="342" t="n"/>
      <c r="D675" s="332" t="n"/>
      <c r="E675" s="332" t="n"/>
      <c r="F675" s="333" t="n"/>
      <c r="G675" s="333" t="n"/>
      <c r="H675" s="334">
        <f>IF(OR(F675="",G675=""),"",ROUND(MOD(G675-F675,1)*24,2))</f>
        <v/>
      </c>
      <c r="I675" s="342" t="n"/>
      <c r="J675" s="342" t="n"/>
      <c r="K675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76" ht="20" customHeight="1">
      <c r="A676" s="336">
        <f>IF($K676="","",WEEKNUM($K676,21))</f>
        <v/>
      </c>
      <c r="B676" s="337">
        <f>IF($K676="","",$K676)</f>
        <v/>
      </c>
      <c r="C676" s="338">
        <f>IF($K676="","",$K676)</f>
        <v/>
      </c>
      <c r="D676" s="171" t="n"/>
      <c r="E676" s="171" t="n"/>
      <c r="F676" s="172" t="n"/>
      <c r="G676" s="172" t="n"/>
      <c r="H676" s="173">
        <f>IF(OR(F676="",G676=""),"",ROUND(MOD(G676-F676,1)*24,2))</f>
        <v/>
      </c>
      <c r="I676" s="339" t="n"/>
      <c r="J676" s="339" t="n"/>
      <c r="K676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77" ht="20" customHeight="1">
      <c r="D677" s="179" t="n"/>
      <c r="E677" s="179" t="n"/>
      <c r="F677" s="180" t="n"/>
      <c r="G677" s="180" t="n"/>
      <c r="H677" s="181">
        <f>IF(OR(F677="",G677=""),"",ROUND(MOD(G677-F677,1)*24,2))</f>
        <v/>
      </c>
      <c r="K677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78" ht="20" customHeight="1">
      <c r="D678" s="179" t="n"/>
      <c r="E678" s="179" t="n"/>
      <c r="F678" s="180" t="n"/>
      <c r="G678" s="180" t="n"/>
      <c r="H678" s="181">
        <f>IF(OR(F678="",G678=""),"",ROUND(MOD(G678-F678,1)*24,2))</f>
        <v/>
      </c>
      <c r="K678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79" ht="20" customHeight="1">
      <c r="D679" s="179" t="n"/>
      <c r="E679" s="179" t="n"/>
      <c r="F679" s="180" t="n"/>
      <c r="G679" s="180" t="n"/>
      <c r="H679" s="181">
        <f>IF(OR(F679="",G679=""),"",ROUND(MOD(G679-F679,1)*24,2))</f>
        <v/>
      </c>
      <c r="K679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80" collapsed="1" ht="20" customHeight="1">
      <c r="D680" s="179" t="n"/>
      <c r="E680" s="179" t="n"/>
      <c r="F680" s="180" t="n"/>
      <c r="G680" s="180" t="n"/>
      <c r="H680" s="181">
        <f>IF(OR(F680="",G680=""),"",ROUND(MOD(G680-F680,1)*24,2))</f>
        <v/>
      </c>
      <c r="K680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81" hidden="1" outlineLevel="1" ht="20" customHeight="1">
      <c r="D681" s="179" t="n"/>
      <c r="E681" s="179" t="n"/>
      <c r="F681" s="180" t="n"/>
      <c r="G681" s="180" t="n"/>
      <c r="H681" s="181">
        <f>IF(OR(F681="",G681=""),"",ROUND(MOD(G681-F681,1)*24,2))</f>
        <v/>
      </c>
      <c r="K681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82" hidden="1" outlineLevel="1" ht="20" customHeight="1">
      <c r="D682" s="179" t="n"/>
      <c r="E682" s="179" t="n"/>
      <c r="F682" s="180" t="n"/>
      <c r="G682" s="180" t="n"/>
      <c r="H682" s="181">
        <f>IF(OR(F682="",G682=""),"",ROUND(MOD(G682-F682,1)*24,2))</f>
        <v/>
      </c>
      <c r="K682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83" hidden="1" outlineLevel="1" ht="20" customHeight="1">
      <c r="D683" s="179" t="n"/>
      <c r="E683" s="179" t="n"/>
      <c r="F683" s="180" t="n"/>
      <c r="G683" s="180" t="n"/>
      <c r="H683" s="181">
        <f>IF(OR(F683="",G683=""),"",ROUND(MOD(G683-F683,1)*24,2))</f>
        <v/>
      </c>
      <c r="K683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84" hidden="1" outlineLevel="1" ht="20" customHeight="1">
      <c r="D684" s="179" t="n"/>
      <c r="E684" s="179" t="n"/>
      <c r="F684" s="180" t="n"/>
      <c r="G684" s="180" t="n"/>
      <c r="H684" s="181">
        <f>IF(OR(F684="",G684=""),"",ROUND(MOD(G684-F684,1)*24,2))</f>
        <v/>
      </c>
      <c r="K684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85" hidden="1" outlineLevel="1" ht="20" customHeight="1">
      <c r="A685" s="342" t="n"/>
      <c r="B685" s="342" t="n"/>
      <c r="C685" s="342" t="n"/>
      <c r="D685" s="332" t="n"/>
      <c r="E685" s="332" t="n"/>
      <c r="F685" s="333" t="n"/>
      <c r="G685" s="333" t="n"/>
      <c r="H685" s="334">
        <f>IF(OR(F685="",G685=""),"",ROUND(MOD(G685-F685,1)*24,2))</f>
        <v/>
      </c>
      <c r="I685" s="342" t="n"/>
      <c r="J685" s="342" t="n"/>
      <c r="K685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686" ht="20" customHeight="1">
      <c r="A686" s="336">
        <f>IF($K686="","",WEEKNUM($K686,21))</f>
        <v/>
      </c>
      <c r="B686" s="337">
        <f>IF($K686="","",$K686)</f>
        <v/>
      </c>
      <c r="C686" s="338">
        <f>IF($K686="","",$K686)</f>
        <v/>
      </c>
      <c r="D686" s="171" t="n"/>
      <c r="E686" s="171" t="n"/>
      <c r="F686" s="172" t="n"/>
      <c r="G686" s="172" t="n"/>
      <c r="H686" s="173">
        <f>IF(OR(F686="",G686=""),"",ROUND(MOD(G686-F686,1)*24,2))</f>
        <v/>
      </c>
      <c r="I686" s="339" t="n"/>
      <c r="J686" s="339" t="n"/>
      <c r="K686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87" ht="20" customHeight="1">
      <c r="D687" s="179" t="n"/>
      <c r="E687" s="179" t="n"/>
      <c r="F687" s="180" t="n"/>
      <c r="G687" s="180" t="n"/>
      <c r="H687" s="181">
        <f>IF(OR(F687="",G687=""),"",ROUND(MOD(G687-F687,1)*24,2))</f>
        <v/>
      </c>
      <c r="K687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88" ht="20" customHeight="1">
      <c r="D688" s="179" t="n"/>
      <c r="E688" s="179" t="n"/>
      <c r="F688" s="180" t="n"/>
      <c r="G688" s="180" t="n"/>
      <c r="H688" s="181">
        <f>IF(OR(F688="",G688=""),"",ROUND(MOD(G688-F688,1)*24,2))</f>
        <v/>
      </c>
      <c r="K688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89" ht="20" customHeight="1">
      <c r="D689" s="179" t="n"/>
      <c r="E689" s="179" t="n"/>
      <c r="F689" s="180" t="n"/>
      <c r="G689" s="180" t="n"/>
      <c r="H689" s="181">
        <f>IF(OR(F689="",G689=""),"",ROUND(MOD(G689-F689,1)*24,2))</f>
        <v/>
      </c>
      <c r="K689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90" collapsed="1" ht="20" customHeight="1">
      <c r="D690" s="179" t="n"/>
      <c r="E690" s="179" t="n"/>
      <c r="F690" s="180" t="n"/>
      <c r="G690" s="180" t="n"/>
      <c r="H690" s="181">
        <f>IF(OR(F690="",G690=""),"",ROUND(MOD(G690-F690,1)*24,2))</f>
        <v/>
      </c>
      <c r="K690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91" hidden="1" outlineLevel="1" ht="20" customHeight="1">
      <c r="D691" s="179" t="n"/>
      <c r="E691" s="179" t="n"/>
      <c r="F691" s="180" t="n"/>
      <c r="G691" s="180" t="n"/>
      <c r="H691" s="181">
        <f>IF(OR(F691="",G691=""),"",ROUND(MOD(G691-F691,1)*24,2))</f>
        <v/>
      </c>
      <c r="K691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92" hidden="1" outlineLevel="1" ht="20" customHeight="1">
      <c r="D692" s="179" t="n"/>
      <c r="E692" s="179" t="n"/>
      <c r="F692" s="180" t="n"/>
      <c r="G692" s="180" t="n"/>
      <c r="H692" s="181">
        <f>IF(OR(F692="",G692=""),"",ROUND(MOD(G692-F692,1)*24,2))</f>
        <v/>
      </c>
      <c r="K692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93" hidden="1" outlineLevel="1" ht="20" customHeight="1">
      <c r="D693" s="179" t="n"/>
      <c r="E693" s="179" t="n"/>
      <c r="F693" s="180" t="n"/>
      <c r="G693" s="180" t="n"/>
      <c r="H693" s="181">
        <f>IF(OR(F693="",G693=""),"",ROUND(MOD(G693-F693,1)*24,2))</f>
        <v/>
      </c>
      <c r="K693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94" hidden="1" outlineLevel="1" ht="20" customHeight="1">
      <c r="D694" s="179" t="n"/>
      <c r="E694" s="179" t="n"/>
      <c r="F694" s="180" t="n"/>
      <c r="G694" s="180" t="n"/>
      <c r="H694" s="181">
        <f>IF(OR(F694="",G694=""),"",ROUND(MOD(G694-F694,1)*24,2))</f>
        <v/>
      </c>
      <c r="K694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95" hidden="1" outlineLevel="1" ht="20" customHeight="1">
      <c r="A695" s="342" t="n"/>
      <c r="B695" s="342" t="n"/>
      <c r="C695" s="342" t="n"/>
      <c r="D695" s="332" t="n"/>
      <c r="E695" s="332" t="n"/>
      <c r="F695" s="333" t="n"/>
      <c r="G695" s="333" t="n"/>
      <c r="H695" s="334">
        <f>IF(OR(F695="",G695=""),"",ROUND(MOD(G695-F695,1)*24,2))</f>
        <v/>
      </c>
      <c r="I695" s="342" t="n"/>
      <c r="J695" s="342" t="n"/>
      <c r="K695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696" ht="20" customHeight="1">
      <c r="A696" s="336">
        <f>IF($K696="","",WEEKNUM($K696,21))</f>
        <v/>
      </c>
      <c r="B696" s="337">
        <f>IF($K696="","",$K696)</f>
        <v/>
      </c>
      <c r="C696" s="338">
        <f>IF($K696="","",$K696)</f>
        <v/>
      </c>
      <c r="D696" s="171" t="n"/>
      <c r="E696" s="171" t="n"/>
      <c r="F696" s="172" t="n"/>
      <c r="G696" s="172" t="n"/>
      <c r="H696" s="173">
        <f>IF(OR(F696="",G696=""),"",ROUND(MOD(G696-F696,1)*24,2))</f>
        <v/>
      </c>
      <c r="I696" s="339" t="n"/>
      <c r="J696" s="339" t="n"/>
      <c r="K696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697" ht="20" customHeight="1">
      <c r="D697" s="179" t="n"/>
      <c r="E697" s="179" t="n"/>
      <c r="F697" s="180" t="n"/>
      <c r="G697" s="180" t="n"/>
      <c r="H697" s="181">
        <f>IF(OR(F697="",G697=""),"",ROUND(MOD(G697-F697,1)*24,2))</f>
        <v/>
      </c>
      <c r="K697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698" ht="20" customHeight="1">
      <c r="D698" s="179" t="n"/>
      <c r="E698" s="179" t="n"/>
      <c r="F698" s="180" t="n"/>
      <c r="G698" s="180" t="n"/>
      <c r="H698" s="181">
        <f>IF(OR(F698="",G698=""),"",ROUND(MOD(G698-F698,1)*24,2))</f>
        <v/>
      </c>
      <c r="K698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699" ht="20" customHeight="1">
      <c r="D699" s="179" t="n"/>
      <c r="E699" s="179" t="n"/>
      <c r="F699" s="180" t="n"/>
      <c r="G699" s="180" t="n"/>
      <c r="H699" s="181">
        <f>IF(OR(F699="",G699=""),"",ROUND(MOD(G699-F699,1)*24,2))</f>
        <v/>
      </c>
      <c r="K699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700" collapsed="1" ht="20" customHeight="1">
      <c r="D700" s="179" t="n"/>
      <c r="E700" s="179" t="n"/>
      <c r="F700" s="180" t="n"/>
      <c r="G700" s="180" t="n"/>
      <c r="H700" s="181">
        <f>IF(OR(F700="",G700=""),"",ROUND(MOD(G700-F700,1)*24,2))</f>
        <v/>
      </c>
      <c r="K700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701" hidden="1" outlineLevel="1" ht="20" customHeight="1">
      <c r="D701" s="179" t="n"/>
      <c r="E701" s="179" t="n"/>
      <c r="F701" s="180" t="n"/>
      <c r="G701" s="180" t="n"/>
      <c r="H701" s="181">
        <f>IF(OR(F701="",G701=""),"",ROUND(MOD(G701-F701,1)*24,2))</f>
        <v/>
      </c>
      <c r="K701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702" hidden="1" outlineLevel="1" ht="20" customHeight="1">
      <c r="D702" s="179" t="n"/>
      <c r="E702" s="179" t="n"/>
      <c r="F702" s="180" t="n"/>
      <c r="G702" s="180" t="n"/>
      <c r="H702" s="181">
        <f>IF(OR(F702="",G702=""),"",ROUND(MOD(G702-F702,1)*24,2))</f>
        <v/>
      </c>
      <c r="K702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703" hidden="1" outlineLevel="1" ht="20" customHeight="1">
      <c r="D703" s="179" t="n"/>
      <c r="E703" s="179" t="n"/>
      <c r="F703" s="180" t="n"/>
      <c r="G703" s="180" t="n"/>
      <c r="H703" s="181">
        <f>IF(OR(F703="",G703=""),"",ROUND(MOD(G703-F703,1)*24,2))</f>
        <v/>
      </c>
      <c r="K703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704" hidden="1" outlineLevel="1" ht="20" customHeight="1">
      <c r="D704" s="179" t="n"/>
      <c r="E704" s="179" t="n"/>
      <c r="F704" s="180" t="n"/>
      <c r="G704" s="180" t="n"/>
      <c r="H704" s="181">
        <f>IF(OR(F704="",G704=""),"",ROUND(MOD(G704-F704,1)*24,2))</f>
        <v/>
      </c>
      <c r="K704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705" hidden="1" outlineLevel="1" ht="20" customHeight="1">
      <c r="A705" s="342" t="n"/>
      <c r="B705" s="342" t="n"/>
      <c r="C705" s="342" t="n"/>
      <c r="D705" s="332" t="n"/>
      <c r="E705" s="332" t="n"/>
      <c r="F705" s="333" t="n"/>
      <c r="G705" s="333" t="n"/>
      <c r="H705" s="334">
        <f>IF(OR(F705="",G705=""),"",ROUND(MOD(G705-F705,1)*24,2))</f>
        <v/>
      </c>
      <c r="I705" s="342" t="n"/>
      <c r="J705" s="342" t="n"/>
      <c r="K705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706" ht="20" customHeight="1">
      <c r="A706" s="336">
        <f>IF($K706="","",WEEKNUM($K706,21))</f>
        <v/>
      </c>
      <c r="B706" s="337">
        <f>IF($K706="","",$K706)</f>
        <v/>
      </c>
      <c r="C706" s="338">
        <f>IF($K706="","",$K706)</f>
        <v/>
      </c>
      <c r="D706" s="171" t="n"/>
      <c r="E706" s="171" t="n"/>
      <c r="F706" s="172" t="n"/>
      <c r="G706" s="172" t="n"/>
      <c r="H706" s="173">
        <f>IF(OR(F706="",G706=""),"",ROUND(MOD(G706-F706,1)*24,2))</f>
        <v/>
      </c>
      <c r="I706" s="339" t="n"/>
      <c r="J706" s="339" t="n"/>
      <c r="K706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07" ht="20" customHeight="1">
      <c r="D707" s="179" t="n"/>
      <c r="E707" s="179" t="n"/>
      <c r="F707" s="180" t="n"/>
      <c r="G707" s="180" t="n"/>
      <c r="H707" s="181">
        <f>IF(OR(F707="",G707=""),"",ROUND(MOD(G707-F707,1)*24,2))</f>
        <v/>
      </c>
      <c r="K707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08" ht="20" customHeight="1">
      <c r="D708" s="179" t="n"/>
      <c r="E708" s="179" t="n"/>
      <c r="F708" s="180" t="n"/>
      <c r="G708" s="180" t="n"/>
      <c r="H708" s="181">
        <f>IF(OR(F708="",G708=""),"",ROUND(MOD(G708-F708,1)*24,2))</f>
        <v/>
      </c>
      <c r="K708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09" ht="20" customHeight="1">
      <c r="D709" s="179" t="n"/>
      <c r="E709" s="179" t="n"/>
      <c r="F709" s="180" t="n"/>
      <c r="G709" s="180" t="n"/>
      <c r="H709" s="181">
        <f>IF(OR(F709="",G709=""),"",ROUND(MOD(G709-F709,1)*24,2))</f>
        <v/>
      </c>
      <c r="K709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10" collapsed="1" ht="20" customHeight="1">
      <c r="D710" s="179" t="n"/>
      <c r="E710" s="179" t="n"/>
      <c r="F710" s="180" t="n"/>
      <c r="G710" s="180" t="n"/>
      <c r="H710" s="181">
        <f>IF(OR(F710="",G710=""),"",ROUND(MOD(G710-F710,1)*24,2))</f>
        <v/>
      </c>
      <c r="K710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11" hidden="1" outlineLevel="1" ht="20" customHeight="1">
      <c r="D711" s="179" t="n"/>
      <c r="E711" s="179" t="n"/>
      <c r="F711" s="180" t="n"/>
      <c r="G711" s="180" t="n"/>
      <c r="H711" s="181">
        <f>IF(OR(F711="",G711=""),"",ROUND(MOD(G711-F711,1)*24,2))</f>
        <v/>
      </c>
      <c r="K711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12" hidden="1" outlineLevel="1" ht="20" customHeight="1">
      <c r="D712" s="179" t="n"/>
      <c r="E712" s="179" t="n"/>
      <c r="F712" s="180" t="n"/>
      <c r="G712" s="180" t="n"/>
      <c r="H712" s="181">
        <f>IF(OR(F712="",G712=""),"",ROUND(MOD(G712-F712,1)*24,2))</f>
        <v/>
      </c>
      <c r="K712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13" hidden="1" outlineLevel="1" ht="20" customHeight="1">
      <c r="D713" s="179" t="n"/>
      <c r="E713" s="179" t="n"/>
      <c r="F713" s="180" t="n"/>
      <c r="G713" s="180" t="n"/>
      <c r="H713" s="181">
        <f>IF(OR(F713="",G713=""),"",ROUND(MOD(G713-F713,1)*24,2))</f>
        <v/>
      </c>
      <c r="K713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14" hidden="1" outlineLevel="1" ht="20" customHeight="1">
      <c r="D714" s="179" t="n"/>
      <c r="E714" s="179" t="n"/>
      <c r="F714" s="180" t="n"/>
      <c r="G714" s="180" t="n"/>
      <c r="H714" s="181">
        <f>IF(OR(F714="",G714=""),"",ROUND(MOD(G714-F714,1)*24,2))</f>
        <v/>
      </c>
      <c r="K714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15" hidden="1" outlineLevel="1" ht="20" customHeight="1">
      <c r="A715" s="342" t="n"/>
      <c r="B715" s="342" t="n"/>
      <c r="C715" s="342" t="n"/>
      <c r="D715" s="332" t="n"/>
      <c r="E715" s="332" t="n"/>
      <c r="F715" s="333" t="n"/>
      <c r="G715" s="333" t="n"/>
      <c r="H715" s="334">
        <f>IF(OR(F715="",G715=""),"",ROUND(MOD(G715-F715,1)*24,2))</f>
        <v/>
      </c>
      <c r="I715" s="342" t="n"/>
      <c r="J715" s="342" t="n"/>
      <c r="K715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16" ht="20" customHeight="1">
      <c r="A716" s="336">
        <f>IF($K716="","",WEEKNUM($K716,21))</f>
        <v/>
      </c>
      <c r="B716" s="337">
        <f>IF($K716="","",$K716)</f>
        <v/>
      </c>
      <c r="C716" s="338">
        <f>IF($K716="","",$K716)</f>
        <v/>
      </c>
      <c r="D716" s="171" t="n"/>
      <c r="E716" s="171" t="n"/>
      <c r="F716" s="172" t="n"/>
      <c r="G716" s="172" t="n"/>
      <c r="H716" s="173">
        <f>IF(OR(F716="",G716=""),"",ROUND(MOD(G716-F716,1)*24,2))</f>
        <v/>
      </c>
      <c r="I716" s="339" t="n"/>
      <c r="J716" s="339" t="n"/>
      <c r="K716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17" ht="20" customHeight="1">
      <c r="D717" s="179" t="n"/>
      <c r="E717" s="179" t="n"/>
      <c r="F717" s="180" t="n"/>
      <c r="G717" s="180" t="n"/>
      <c r="H717" s="181">
        <f>IF(OR(F717="",G717=""),"",ROUND(MOD(G717-F717,1)*24,2))</f>
        <v/>
      </c>
      <c r="K717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18" ht="20" customHeight="1">
      <c r="D718" s="179" t="n"/>
      <c r="E718" s="179" t="n"/>
      <c r="F718" s="180" t="n"/>
      <c r="G718" s="180" t="n"/>
      <c r="H718" s="181">
        <f>IF(OR(F718="",G718=""),"",ROUND(MOD(G718-F718,1)*24,2))</f>
        <v/>
      </c>
      <c r="K718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19" ht="20" customHeight="1">
      <c r="D719" s="179" t="n"/>
      <c r="E719" s="179" t="n"/>
      <c r="F719" s="180" t="n"/>
      <c r="G719" s="180" t="n"/>
      <c r="H719" s="181">
        <f>IF(OR(F719="",G719=""),"",ROUND(MOD(G719-F719,1)*24,2))</f>
        <v/>
      </c>
      <c r="K719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20" collapsed="1" ht="20" customHeight="1">
      <c r="D720" s="179" t="n"/>
      <c r="E720" s="179" t="n"/>
      <c r="F720" s="180" t="n"/>
      <c r="G720" s="180" t="n"/>
      <c r="H720" s="181">
        <f>IF(OR(F720="",G720=""),"",ROUND(MOD(G720-F720,1)*24,2))</f>
        <v/>
      </c>
      <c r="K720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21" hidden="1" outlineLevel="1" ht="20" customHeight="1">
      <c r="D721" s="179" t="n"/>
      <c r="E721" s="179" t="n"/>
      <c r="F721" s="180" t="n"/>
      <c r="G721" s="180" t="n"/>
      <c r="H721" s="181">
        <f>IF(OR(F721="",G721=""),"",ROUND(MOD(G721-F721,1)*24,2))</f>
        <v/>
      </c>
      <c r="K721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22" hidden="1" outlineLevel="1" ht="20" customHeight="1">
      <c r="D722" s="179" t="n"/>
      <c r="E722" s="179" t="n"/>
      <c r="F722" s="180" t="n"/>
      <c r="G722" s="180" t="n"/>
      <c r="H722" s="181">
        <f>IF(OR(F722="",G722=""),"",ROUND(MOD(G722-F722,1)*24,2))</f>
        <v/>
      </c>
      <c r="K722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23" hidden="1" outlineLevel="1" ht="20" customHeight="1">
      <c r="D723" s="179" t="n"/>
      <c r="E723" s="179" t="n"/>
      <c r="F723" s="180" t="n"/>
      <c r="G723" s="180" t="n"/>
      <c r="H723" s="181">
        <f>IF(OR(F723="",G723=""),"",ROUND(MOD(G723-F723,1)*24,2))</f>
        <v/>
      </c>
      <c r="K723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24" hidden="1" outlineLevel="1" ht="20" customHeight="1">
      <c r="D724" s="179" t="n"/>
      <c r="E724" s="179" t="n"/>
      <c r="F724" s="180" t="n"/>
      <c r="G724" s="180" t="n"/>
      <c r="H724" s="181">
        <f>IF(OR(F724="",G724=""),"",ROUND(MOD(G724-F724,1)*24,2))</f>
        <v/>
      </c>
      <c r="K724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25" hidden="1" outlineLevel="1" ht="20" customHeight="1">
      <c r="A725" s="342" t="n"/>
      <c r="B725" s="342" t="n"/>
      <c r="C725" s="342" t="n"/>
      <c r="D725" s="332" t="n"/>
      <c r="E725" s="332" t="n"/>
      <c r="F725" s="333" t="n"/>
      <c r="G725" s="333" t="n"/>
      <c r="H725" s="334">
        <f>IF(OR(F725="",G725=""),"",ROUND(MOD(G725-F725,1)*24,2))</f>
        <v/>
      </c>
      <c r="I725" s="342" t="n"/>
      <c r="J725" s="342" t="n"/>
      <c r="K725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26" ht="20" customHeight="1">
      <c r="A726" s="336">
        <f>IF($K726="","",WEEKNUM($K726,21))</f>
        <v/>
      </c>
      <c r="B726" s="337">
        <f>IF($K726="","",$K726)</f>
        <v/>
      </c>
      <c r="C726" s="338">
        <f>IF($K726="","",$K726)</f>
        <v/>
      </c>
      <c r="D726" s="171" t="n"/>
      <c r="E726" s="171" t="n"/>
      <c r="F726" s="172" t="n"/>
      <c r="G726" s="172" t="n"/>
      <c r="H726" s="173">
        <f>IF(OR(F726="",G726=""),"",ROUND(MOD(G726-F726,1)*24,2))</f>
        <v/>
      </c>
      <c r="I726" s="339" t="n"/>
      <c r="J726" s="339" t="n"/>
      <c r="K726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27" ht="20" customHeight="1">
      <c r="D727" s="179" t="n"/>
      <c r="E727" s="179" t="n"/>
      <c r="F727" s="180" t="n"/>
      <c r="G727" s="180" t="n"/>
      <c r="H727" s="181">
        <f>IF(OR(F727="",G727=""),"",ROUND(MOD(G727-F727,1)*24,2))</f>
        <v/>
      </c>
      <c r="K727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28" ht="20" customHeight="1">
      <c r="D728" s="179" t="n"/>
      <c r="E728" s="179" t="n"/>
      <c r="F728" s="180" t="n"/>
      <c r="G728" s="180" t="n"/>
      <c r="H728" s="181">
        <f>IF(OR(F728="",G728=""),"",ROUND(MOD(G728-F728,1)*24,2))</f>
        <v/>
      </c>
      <c r="K728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29" ht="20" customHeight="1">
      <c r="D729" s="179" t="n"/>
      <c r="E729" s="179" t="n"/>
      <c r="F729" s="180" t="n"/>
      <c r="G729" s="180" t="n"/>
      <c r="H729" s="181">
        <f>IF(OR(F729="",G729=""),"",ROUND(MOD(G729-F729,1)*24,2))</f>
        <v/>
      </c>
      <c r="K729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30" collapsed="1" ht="20" customHeight="1">
      <c r="D730" s="179" t="n"/>
      <c r="E730" s="179" t="n"/>
      <c r="F730" s="180" t="n"/>
      <c r="G730" s="180" t="n"/>
      <c r="H730" s="181">
        <f>IF(OR(F730="",G730=""),"",ROUND(MOD(G730-F730,1)*24,2))</f>
        <v/>
      </c>
      <c r="K730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31" hidden="1" outlineLevel="1" ht="20" customHeight="1">
      <c r="D731" s="179" t="n"/>
      <c r="E731" s="179" t="n"/>
      <c r="F731" s="180" t="n"/>
      <c r="G731" s="180" t="n"/>
      <c r="H731" s="181">
        <f>IF(OR(F731="",G731=""),"",ROUND(MOD(G731-F731,1)*24,2))</f>
        <v/>
      </c>
      <c r="K731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32" hidden="1" outlineLevel="1" ht="20" customHeight="1">
      <c r="D732" s="179" t="n"/>
      <c r="E732" s="179" t="n"/>
      <c r="F732" s="180" t="n"/>
      <c r="G732" s="180" t="n"/>
      <c r="H732" s="181">
        <f>IF(OR(F732="",G732=""),"",ROUND(MOD(G732-F732,1)*24,2))</f>
        <v/>
      </c>
      <c r="K732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33" hidden="1" outlineLevel="1" ht="20" customHeight="1">
      <c r="D733" s="179" t="n"/>
      <c r="E733" s="179" t="n"/>
      <c r="F733" s="180" t="n"/>
      <c r="G733" s="180" t="n"/>
      <c r="H733" s="181">
        <f>IF(OR(F733="",G733=""),"",ROUND(MOD(G733-F733,1)*24,2))</f>
        <v/>
      </c>
      <c r="K733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34" hidden="1" outlineLevel="1" ht="20" customHeight="1">
      <c r="D734" s="179" t="n"/>
      <c r="E734" s="179" t="n"/>
      <c r="F734" s="180" t="n"/>
      <c r="G734" s="180" t="n"/>
      <c r="H734" s="181">
        <f>IF(OR(F734="",G734=""),"",ROUND(MOD(G734-F734,1)*24,2))</f>
        <v/>
      </c>
      <c r="K734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35" hidden="1" outlineLevel="1" ht="20" customHeight="1">
      <c r="A735" s="342" t="n"/>
      <c r="B735" s="342" t="n"/>
      <c r="C735" s="342" t="n"/>
      <c r="D735" s="332" t="n"/>
      <c r="E735" s="332" t="n"/>
      <c r="F735" s="333" t="n"/>
      <c r="G735" s="333" t="n"/>
      <c r="H735" s="334">
        <f>IF(OR(F735="",G735=""),"",ROUND(MOD(G735-F735,1)*24,2))</f>
        <v/>
      </c>
      <c r="I735" s="342" t="n"/>
      <c r="J735" s="342" t="n"/>
      <c r="K735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36" ht="20" customHeight="1">
      <c r="A736" s="336">
        <f>IF($K736="","",WEEKNUM($K736,21))</f>
        <v/>
      </c>
      <c r="B736" s="337">
        <f>IF($K736="","",$K736)</f>
        <v/>
      </c>
      <c r="C736" s="338">
        <f>IF($K736="","",$K736)</f>
        <v/>
      </c>
      <c r="D736" s="171" t="n"/>
      <c r="E736" s="171" t="n"/>
      <c r="F736" s="172" t="n"/>
      <c r="G736" s="172" t="n"/>
      <c r="H736" s="173">
        <f>IF(OR(F736="",G736=""),"",ROUND(MOD(G736-F736,1)*24,2))</f>
        <v/>
      </c>
      <c r="I736" s="339" t="n"/>
      <c r="J736" s="339" t="n"/>
      <c r="K736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37" ht="20" customHeight="1">
      <c r="D737" s="179" t="n"/>
      <c r="E737" s="179" t="n"/>
      <c r="F737" s="180" t="n"/>
      <c r="G737" s="180" t="n"/>
      <c r="H737" s="181">
        <f>IF(OR(F737="",G737=""),"",ROUND(MOD(G737-F737,1)*24,2))</f>
        <v/>
      </c>
      <c r="K737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38" ht="20" customHeight="1">
      <c r="D738" s="179" t="n"/>
      <c r="E738" s="179" t="n"/>
      <c r="F738" s="180" t="n"/>
      <c r="G738" s="180" t="n"/>
      <c r="H738" s="181">
        <f>IF(OR(F738="",G738=""),"",ROUND(MOD(G738-F738,1)*24,2))</f>
        <v/>
      </c>
      <c r="K738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39" ht="20" customHeight="1">
      <c r="D739" s="179" t="n"/>
      <c r="E739" s="179" t="n"/>
      <c r="F739" s="180" t="n"/>
      <c r="G739" s="180" t="n"/>
      <c r="H739" s="181">
        <f>IF(OR(F739="",G739=""),"",ROUND(MOD(G739-F739,1)*24,2))</f>
        <v/>
      </c>
      <c r="K739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40" collapsed="1" ht="20" customHeight="1">
      <c r="D740" s="179" t="n"/>
      <c r="E740" s="179" t="n"/>
      <c r="F740" s="180" t="n"/>
      <c r="G740" s="180" t="n"/>
      <c r="H740" s="181">
        <f>IF(OR(F740="",G740=""),"",ROUND(MOD(G740-F740,1)*24,2))</f>
        <v/>
      </c>
      <c r="K740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41" hidden="1" outlineLevel="1" ht="20" customHeight="1">
      <c r="D741" s="179" t="n"/>
      <c r="E741" s="179" t="n"/>
      <c r="F741" s="180" t="n"/>
      <c r="G741" s="180" t="n"/>
      <c r="H741" s="181">
        <f>IF(OR(F741="",G741=""),"",ROUND(MOD(G741-F741,1)*24,2))</f>
        <v/>
      </c>
      <c r="K741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42" hidden="1" outlineLevel="1" ht="20" customHeight="1">
      <c r="D742" s="179" t="n"/>
      <c r="E742" s="179" t="n"/>
      <c r="F742" s="180" t="n"/>
      <c r="G742" s="180" t="n"/>
      <c r="H742" s="181">
        <f>IF(OR(F742="",G742=""),"",ROUND(MOD(G742-F742,1)*24,2))</f>
        <v/>
      </c>
      <c r="K742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43" hidden="1" outlineLevel="1" ht="20" customHeight="1">
      <c r="D743" s="179" t="n"/>
      <c r="E743" s="179" t="n"/>
      <c r="F743" s="180" t="n"/>
      <c r="G743" s="180" t="n"/>
      <c r="H743" s="181">
        <f>IF(OR(F743="",G743=""),"",ROUND(MOD(G743-F743,1)*24,2))</f>
        <v/>
      </c>
      <c r="K743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44" hidden="1" outlineLevel="1" ht="20" customHeight="1">
      <c r="D744" s="179" t="n"/>
      <c r="E744" s="179" t="n"/>
      <c r="F744" s="180" t="n"/>
      <c r="G744" s="180" t="n"/>
      <c r="H744" s="181">
        <f>IF(OR(F744="",G744=""),"",ROUND(MOD(G744-F744,1)*24,2))</f>
        <v/>
      </c>
      <c r="K744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45" hidden="1" outlineLevel="1" ht="20" customHeight="1">
      <c r="A745" s="342" t="n"/>
      <c r="B745" s="342" t="n"/>
      <c r="C745" s="342" t="n"/>
      <c r="D745" s="332" t="n"/>
      <c r="E745" s="332" t="n"/>
      <c r="F745" s="333" t="n"/>
      <c r="G745" s="333" t="n"/>
      <c r="H745" s="334">
        <f>IF(OR(F745="",G745=""),"",ROUND(MOD(G745-F745,1)*24,2))</f>
        <v/>
      </c>
      <c r="I745" s="342" t="n"/>
      <c r="J745" s="342" t="n"/>
      <c r="K745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46" ht="20" customHeight="1">
      <c r="A746" s="336">
        <f>IF($K746="","",WEEKNUM($K746,21))</f>
        <v/>
      </c>
      <c r="B746" s="337">
        <f>IF($K746="","",$K746)</f>
        <v/>
      </c>
      <c r="C746" s="338">
        <f>IF($K746="","",$K746)</f>
        <v/>
      </c>
      <c r="D746" s="171" t="n"/>
      <c r="E746" s="171" t="n"/>
      <c r="F746" s="172" t="n"/>
      <c r="G746" s="172" t="n"/>
      <c r="H746" s="173">
        <f>IF(OR(F746="",G746=""),"",ROUND(MOD(G746-F746,1)*24,2))</f>
        <v/>
      </c>
      <c r="I746" s="339" t="n"/>
      <c r="J746" s="339" t="n"/>
      <c r="K746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47" ht="20" customHeight="1">
      <c r="D747" s="179" t="n"/>
      <c r="E747" s="179" t="n"/>
      <c r="F747" s="180" t="n"/>
      <c r="G747" s="180" t="n"/>
      <c r="H747" s="181">
        <f>IF(OR(F747="",G747=""),"",ROUND(MOD(G747-F747,1)*24,2))</f>
        <v/>
      </c>
      <c r="K747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48" ht="20" customHeight="1">
      <c r="D748" s="179" t="n"/>
      <c r="E748" s="179" t="n"/>
      <c r="F748" s="180" t="n"/>
      <c r="G748" s="180" t="n"/>
      <c r="H748" s="181">
        <f>IF(OR(F748="",G748=""),"",ROUND(MOD(G748-F748,1)*24,2))</f>
        <v/>
      </c>
      <c r="K748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49" ht="20" customHeight="1">
      <c r="D749" s="179" t="n"/>
      <c r="E749" s="179" t="n"/>
      <c r="F749" s="180" t="n"/>
      <c r="G749" s="180" t="n"/>
      <c r="H749" s="181">
        <f>IF(OR(F749="",G749=""),"",ROUND(MOD(G749-F749,1)*24,2))</f>
        <v/>
      </c>
      <c r="K749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50" collapsed="1" ht="20" customHeight="1">
      <c r="D750" s="179" t="n"/>
      <c r="E750" s="179" t="n"/>
      <c r="F750" s="180" t="n"/>
      <c r="G750" s="180" t="n"/>
      <c r="H750" s="181">
        <f>IF(OR(F750="",G750=""),"",ROUND(MOD(G750-F750,1)*24,2))</f>
        <v/>
      </c>
      <c r="K750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51" hidden="1" outlineLevel="1" ht="20" customHeight="1">
      <c r="D751" s="179" t="n"/>
      <c r="E751" s="179" t="n"/>
      <c r="F751" s="180" t="n"/>
      <c r="G751" s="180" t="n"/>
      <c r="H751" s="181">
        <f>IF(OR(F751="",G751=""),"",ROUND(MOD(G751-F751,1)*24,2))</f>
        <v/>
      </c>
      <c r="K751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52" hidden="1" outlineLevel="1" ht="20" customHeight="1">
      <c r="D752" s="179" t="n"/>
      <c r="E752" s="179" t="n"/>
      <c r="F752" s="180" t="n"/>
      <c r="G752" s="180" t="n"/>
      <c r="H752" s="181">
        <f>IF(OR(F752="",G752=""),"",ROUND(MOD(G752-F752,1)*24,2))</f>
        <v/>
      </c>
      <c r="K752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53" hidden="1" outlineLevel="1" ht="20" customHeight="1">
      <c r="D753" s="179" t="n"/>
      <c r="E753" s="179" t="n"/>
      <c r="F753" s="180" t="n"/>
      <c r="G753" s="180" t="n"/>
      <c r="H753" s="181">
        <f>IF(OR(F753="",G753=""),"",ROUND(MOD(G753-F753,1)*24,2))</f>
        <v/>
      </c>
      <c r="K753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54" hidden="1" outlineLevel="1" ht="20" customHeight="1">
      <c r="D754" s="179" t="n"/>
      <c r="E754" s="179" t="n"/>
      <c r="F754" s="180" t="n"/>
      <c r="G754" s="180" t="n"/>
      <c r="H754" s="181">
        <f>IF(OR(F754="",G754=""),"",ROUND(MOD(G754-F754,1)*24,2))</f>
        <v/>
      </c>
      <c r="K754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55" hidden="1" outlineLevel="1" ht="20" customHeight="1">
      <c r="A755" s="342" t="n"/>
      <c r="B755" s="342" t="n"/>
      <c r="C755" s="342" t="n"/>
      <c r="D755" s="332" t="n"/>
      <c r="E755" s="332" t="n"/>
      <c r="F755" s="333" t="n"/>
      <c r="G755" s="333" t="n"/>
      <c r="H755" s="334">
        <f>IF(OR(F755="",G755=""),"",ROUND(MOD(G755-F755,1)*24,2))</f>
        <v/>
      </c>
      <c r="I755" s="342" t="n"/>
      <c r="J755" s="342" t="n"/>
      <c r="K755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56" ht="20" customHeight="1">
      <c r="A756" s="336">
        <f>IF($K756="","",WEEKNUM($K756,21))</f>
        <v/>
      </c>
      <c r="B756" s="337">
        <f>IF($K756="","",$K756)</f>
        <v/>
      </c>
      <c r="C756" s="338">
        <f>IF($K756="","",$K756)</f>
        <v/>
      </c>
      <c r="D756" s="171" t="n"/>
      <c r="E756" s="171" t="n"/>
      <c r="F756" s="172" t="n"/>
      <c r="G756" s="172" t="n"/>
      <c r="H756" s="173">
        <f>IF(OR(F756="",G756=""),"",ROUND(MOD(G756-F756,1)*24,2))</f>
        <v/>
      </c>
      <c r="I756" s="339" t="n"/>
      <c r="J756" s="339" t="n"/>
      <c r="K756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57" ht="20" customHeight="1">
      <c r="D757" s="179" t="n"/>
      <c r="E757" s="179" t="n"/>
      <c r="F757" s="180" t="n"/>
      <c r="G757" s="180" t="n"/>
      <c r="H757" s="181">
        <f>IF(OR(F757="",G757=""),"",ROUND(MOD(G757-F757,1)*24,2))</f>
        <v/>
      </c>
      <c r="K757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58" ht="20" customHeight="1">
      <c r="D758" s="179" t="n"/>
      <c r="E758" s="179" t="n"/>
      <c r="F758" s="180" t="n"/>
      <c r="G758" s="180" t="n"/>
      <c r="H758" s="181">
        <f>IF(OR(F758="",G758=""),"",ROUND(MOD(G758-F758,1)*24,2))</f>
        <v/>
      </c>
      <c r="K758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59" ht="20" customHeight="1">
      <c r="D759" s="179" t="n"/>
      <c r="E759" s="179" t="n"/>
      <c r="F759" s="180" t="n"/>
      <c r="G759" s="180" t="n"/>
      <c r="H759" s="181">
        <f>IF(OR(F759="",G759=""),"",ROUND(MOD(G759-F759,1)*24,2))</f>
        <v/>
      </c>
      <c r="K759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60" collapsed="1" ht="20" customHeight="1">
      <c r="D760" s="179" t="n"/>
      <c r="E760" s="179" t="n"/>
      <c r="F760" s="180" t="n"/>
      <c r="G760" s="180" t="n"/>
      <c r="H760" s="181">
        <f>IF(OR(F760="",G760=""),"",ROUND(MOD(G760-F760,1)*24,2))</f>
        <v/>
      </c>
      <c r="K760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61" hidden="1" outlineLevel="1" ht="20" customHeight="1">
      <c r="D761" s="179" t="n"/>
      <c r="E761" s="179" t="n"/>
      <c r="F761" s="180" t="n"/>
      <c r="G761" s="180" t="n"/>
      <c r="H761" s="181">
        <f>IF(OR(F761="",G761=""),"",ROUND(MOD(G761-F761,1)*24,2))</f>
        <v/>
      </c>
      <c r="K761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62" hidden="1" outlineLevel="1" ht="20" customHeight="1">
      <c r="D762" s="179" t="n"/>
      <c r="E762" s="179" t="n"/>
      <c r="F762" s="180" t="n"/>
      <c r="G762" s="180" t="n"/>
      <c r="H762" s="181">
        <f>IF(OR(F762="",G762=""),"",ROUND(MOD(G762-F762,1)*24,2))</f>
        <v/>
      </c>
      <c r="K762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63" hidden="1" outlineLevel="1" ht="20" customHeight="1">
      <c r="D763" s="179" t="n"/>
      <c r="E763" s="179" t="n"/>
      <c r="F763" s="180" t="n"/>
      <c r="G763" s="180" t="n"/>
      <c r="H763" s="181">
        <f>IF(OR(F763="",G763=""),"",ROUND(MOD(G763-F763,1)*24,2))</f>
        <v/>
      </c>
      <c r="K763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64" hidden="1" outlineLevel="1" ht="20" customHeight="1">
      <c r="D764" s="179" t="n"/>
      <c r="E764" s="179" t="n"/>
      <c r="F764" s="180" t="n"/>
      <c r="G764" s="180" t="n"/>
      <c r="H764" s="181">
        <f>IF(OR(F764="",G764=""),"",ROUND(MOD(G764-F764,1)*24,2))</f>
        <v/>
      </c>
      <c r="K764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65" hidden="1" outlineLevel="1" ht="20" customHeight="1">
      <c r="A765" s="342" t="n"/>
      <c r="B765" s="342" t="n"/>
      <c r="C765" s="342" t="n"/>
      <c r="D765" s="332" t="n"/>
      <c r="E765" s="332" t="n"/>
      <c r="F765" s="333" t="n"/>
      <c r="G765" s="333" t="n"/>
      <c r="H765" s="334">
        <f>IF(OR(F765="",G765=""),"",ROUND(MOD(G765-F765,1)*24,2))</f>
        <v/>
      </c>
      <c r="I765" s="342" t="n"/>
      <c r="J765" s="342" t="n"/>
      <c r="K765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66" ht="20" customHeight="1">
      <c r="A766" s="336">
        <f>IF($K766="","",WEEKNUM($K766,21))</f>
        <v/>
      </c>
      <c r="B766" s="337">
        <f>IF($K766="","",$K766)</f>
        <v/>
      </c>
      <c r="C766" s="338">
        <f>IF($K766="","",$K766)</f>
        <v/>
      </c>
      <c r="D766" s="171" t="n"/>
      <c r="E766" s="171" t="n"/>
      <c r="F766" s="172" t="n"/>
      <c r="G766" s="172" t="n"/>
      <c r="H766" s="173">
        <f>IF(OR(F766="",G766=""),"",ROUND(MOD(G766-F766,1)*24,2))</f>
        <v/>
      </c>
      <c r="I766" s="339" t="n"/>
      <c r="J766" s="339" t="n"/>
      <c r="K766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67" ht="20" customHeight="1">
      <c r="D767" s="179" t="n"/>
      <c r="E767" s="179" t="n"/>
      <c r="F767" s="180" t="n"/>
      <c r="G767" s="180" t="n"/>
      <c r="H767" s="181">
        <f>IF(OR(F767="",G767=""),"",ROUND(MOD(G767-F767,1)*24,2))</f>
        <v/>
      </c>
      <c r="K767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68" ht="20" customHeight="1">
      <c r="D768" s="179" t="n"/>
      <c r="E768" s="179" t="n"/>
      <c r="F768" s="180" t="n"/>
      <c r="G768" s="180" t="n"/>
      <c r="H768" s="181">
        <f>IF(OR(F768="",G768=""),"",ROUND(MOD(G768-F768,1)*24,2))</f>
        <v/>
      </c>
      <c r="K768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69" ht="20" customHeight="1">
      <c r="D769" s="179" t="n"/>
      <c r="E769" s="179" t="n"/>
      <c r="F769" s="180" t="n"/>
      <c r="G769" s="180" t="n"/>
      <c r="H769" s="181">
        <f>IF(OR(F769="",G769=""),"",ROUND(MOD(G769-F769,1)*24,2))</f>
        <v/>
      </c>
      <c r="K769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70" collapsed="1" ht="20" customHeight="1">
      <c r="D770" s="179" t="n"/>
      <c r="E770" s="179" t="n"/>
      <c r="F770" s="180" t="n"/>
      <c r="G770" s="180" t="n"/>
      <c r="H770" s="181">
        <f>IF(OR(F770="",G770=""),"",ROUND(MOD(G770-F770,1)*24,2))</f>
        <v/>
      </c>
      <c r="K770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71" hidden="1" outlineLevel="1" ht="20" customHeight="1">
      <c r="D771" s="179" t="n"/>
      <c r="E771" s="179" t="n"/>
      <c r="F771" s="180" t="n"/>
      <c r="G771" s="180" t="n"/>
      <c r="H771" s="181">
        <f>IF(OR(F771="",G771=""),"",ROUND(MOD(G771-F771,1)*24,2))</f>
        <v/>
      </c>
      <c r="K771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72" hidden="1" outlineLevel="1" ht="20" customHeight="1">
      <c r="D772" s="179" t="n"/>
      <c r="E772" s="179" t="n"/>
      <c r="F772" s="180" t="n"/>
      <c r="G772" s="180" t="n"/>
      <c r="H772" s="181">
        <f>IF(OR(F772="",G772=""),"",ROUND(MOD(G772-F772,1)*24,2))</f>
        <v/>
      </c>
      <c r="K772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73" hidden="1" outlineLevel="1" ht="20" customHeight="1">
      <c r="D773" s="179" t="n"/>
      <c r="E773" s="179" t="n"/>
      <c r="F773" s="180" t="n"/>
      <c r="G773" s="180" t="n"/>
      <c r="H773" s="181">
        <f>IF(OR(F773="",G773=""),"",ROUND(MOD(G773-F773,1)*24,2))</f>
        <v/>
      </c>
      <c r="K773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74" hidden="1" outlineLevel="1" ht="20" customHeight="1">
      <c r="D774" s="179" t="n"/>
      <c r="E774" s="179" t="n"/>
      <c r="F774" s="180" t="n"/>
      <c r="G774" s="180" t="n"/>
      <c r="H774" s="181">
        <f>IF(OR(F774="",G774=""),"",ROUND(MOD(G774-F774,1)*24,2))</f>
        <v/>
      </c>
      <c r="K774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75" hidden="1" outlineLevel="1" ht="20" customHeight="1">
      <c r="A775" s="342" t="n"/>
      <c r="B775" s="342" t="n"/>
      <c r="C775" s="342" t="n"/>
      <c r="D775" s="332" t="n"/>
      <c r="E775" s="332" t="n"/>
      <c r="F775" s="333" t="n"/>
      <c r="G775" s="333" t="n"/>
      <c r="H775" s="334">
        <f>IF(OR(F775="",G775=""),"",ROUND(MOD(G775-F775,1)*24,2))</f>
        <v/>
      </c>
      <c r="I775" s="342" t="n"/>
      <c r="J775" s="342" t="n"/>
      <c r="K775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76" ht="20" customHeight="1">
      <c r="A776" s="336">
        <f>IF($K776="","",WEEKNUM($K776,21))</f>
        <v/>
      </c>
      <c r="B776" s="337">
        <f>IF($K776="","",$K776)</f>
        <v/>
      </c>
      <c r="C776" s="338">
        <f>IF($K776="","",$K776)</f>
        <v/>
      </c>
      <c r="D776" s="171" t="n"/>
      <c r="E776" s="171" t="n"/>
      <c r="F776" s="172" t="n"/>
      <c r="G776" s="172" t="n"/>
      <c r="H776" s="173">
        <f>IF(OR(F776="",G776=""),"",ROUND(MOD(G776-F776,1)*24,2))</f>
        <v/>
      </c>
      <c r="I776" s="339" t="n"/>
      <c r="J776" s="339" t="n"/>
      <c r="K776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77" ht="20" customHeight="1">
      <c r="D777" s="179" t="n"/>
      <c r="E777" s="179" t="n"/>
      <c r="F777" s="180" t="n"/>
      <c r="G777" s="180" t="n"/>
      <c r="H777" s="181">
        <f>IF(OR(F777="",G777=""),"",ROUND(MOD(G777-F777,1)*24,2))</f>
        <v/>
      </c>
      <c r="K777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78" ht="20" customHeight="1">
      <c r="D778" s="179" t="n"/>
      <c r="E778" s="179" t="n"/>
      <c r="F778" s="180" t="n"/>
      <c r="G778" s="180" t="n"/>
      <c r="H778" s="181">
        <f>IF(OR(F778="",G778=""),"",ROUND(MOD(G778-F778,1)*24,2))</f>
        <v/>
      </c>
      <c r="K778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79" ht="20" customHeight="1">
      <c r="D779" s="179" t="n"/>
      <c r="E779" s="179" t="n"/>
      <c r="F779" s="180" t="n"/>
      <c r="G779" s="180" t="n"/>
      <c r="H779" s="181">
        <f>IF(OR(F779="",G779=""),"",ROUND(MOD(G779-F779,1)*24,2))</f>
        <v/>
      </c>
      <c r="K779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80" collapsed="1" ht="20" customHeight="1">
      <c r="D780" s="179" t="n"/>
      <c r="E780" s="179" t="n"/>
      <c r="F780" s="180" t="n"/>
      <c r="G780" s="180" t="n"/>
      <c r="H780" s="181">
        <f>IF(OR(F780="",G780=""),"",ROUND(MOD(G780-F780,1)*24,2))</f>
        <v/>
      </c>
      <c r="K780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81" hidden="1" outlineLevel="1" ht="20" customHeight="1">
      <c r="D781" s="179" t="n"/>
      <c r="E781" s="179" t="n"/>
      <c r="F781" s="180" t="n"/>
      <c r="G781" s="180" t="n"/>
      <c r="H781" s="181">
        <f>IF(OR(F781="",G781=""),"",ROUND(MOD(G781-F781,1)*24,2))</f>
        <v/>
      </c>
      <c r="K781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82" hidden="1" outlineLevel="1" ht="20" customHeight="1">
      <c r="D782" s="179" t="n"/>
      <c r="E782" s="179" t="n"/>
      <c r="F782" s="180" t="n"/>
      <c r="G782" s="180" t="n"/>
      <c r="H782" s="181">
        <f>IF(OR(F782="",G782=""),"",ROUND(MOD(G782-F782,1)*24,2))</f>
        <v/>
      </c>
      <c r="K782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83" hidden="1" outlineLevel="1" ht="20" customHeight="1">
      <c r="D783" s="179" t="n"/>
      <c r="E783" s="179" t="n"/>
      <c r="F783" s="180" t="n"/>
      <c r="G783" s="180" t="n"/>
      <c r="H783" s="181">
        <f>IF(OR(F783="",G783=""),"",ROUND(MOD(G783-F783,1)*24,2))</f>
        <v/>
      </c>
      <c r="K783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84" hidden="1" outlineLevel="1" ht="20" customHeight="1">
      <c r="D784" s="179" t="n"/>
      <c r="E784" s="179" t="n"/>
      <c r="F784" s="180" t="n"/>
      <c r="G784" s="180" t="n"/>
      <c r="H784" s="181">
        <f>IF(OR(F784="",G784=""),"",ROUND(MOD(G784-F784,1)*24,2))</f>
        <v/>
      </c>
      <c r="K784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85" hidden="1" outlineLevel="1" ht="20" customHeight="1">
      <c r="A785" s="342" t="n"/>
      <c r="B785" s="342" t="n"/>
      <c r="C785" s="342" t="n"/>
      <c r="D785" s="332" t="n"/>
      <c r="E785" s="332" t="n"/>
      <c r="F785" s="333" t="n"/>
      <c r="G785" s="333" t="n"/>
      <c r="H785" s="334">
        <f>IF(OR(F785="",G785=""),"",ROUND(MOD(G785-F785,1)*24,2))</f>
        <v/>
      </c>
      <c r="I785" s="342" t="n"/>
      <c r="J785" s="342" t="n"/>
      <c r="K785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786" ht="20" customHeight="1">
      <c r="A786" s="336">
        <f>IF($K786="","",WEEKNUM($K786,21))</f>
        <v/>
      </c>
      <c r="B786" s="337">
        <f>IF($K786="","",$K786)</f>
        <v/>
      </c>
      <c r="C786" s="338">
        <f>IF($K786="","",$K786)</f>
        <v/>
      </c>
      <c r="D786" s="171" t="n"/>
      <c r="E786" s="171" t="n"/>
      <c r="F786" s="172" t="n"/>
      <c r="G786" s="172" t="n"/>
      <c r="H786" s="173">
        <f>IF(OR(F786="",G786=""),"",ROUND(MOD(G786-F786,1)*24,2))</f>
        <v/>
      </c>
      <c r="I786" s="339" t="n"/>
      <c r="J786" s="339" t="n"/>
      <c r="K786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87" ht="20" customHeight="1">
      <c r="D787" s="179" t="n"/>
      <c r="E787" s="179" t="n"/>
      <c r="F787" s="180" t="n"/>
      <c r="G787" s="180" t="n"/>
      <c r="H787" s="181">
        <f>IF(OR(F787="",G787=""),"",ROUND(MOD(G787-F787,1)*24,2))</f>
        <v/>
      </c>
      <c r="K787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88" ht="20" customHeight="1">
      <c r="D788" s="179" t="n"/>
      <c r="E788" s="179" t="n"/>
      <c r="F788" s="180" t="n"/>
      <c r="G788" s="180" t="n"/>
      <c r="H788" s="181">
        <f>IF(OR(F788="",G788=""),"",ROUND(MOD(G788-F788,1)*24,2))</f>
        <v/>
      </c>
      <c r="K788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89" ht="20" customHeight="1">
      <c r="D789" s="179" t="n"/>
      <c r="E789" s="179" t="n"/>
      <c r="F789" s="180" t="n"/>
      <c r="G789" s="180" t="n"/>
      <c r="H789" s="181">
        <f>IF(OR(F789="",G789=""),"",ROUND(MOD(G789-F789,1)*24,2))</f>
        <v/>
      </c>
      <c r="K789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90" collapsed="1" ht="20" customHeight="1">
      <c r="D790" s="179" t="n"/>
      <c r="E790" s="179" t="n"/>
      <c r="F790" s="180" t="n"/>
      <c r="G790" s="180" t="n"/>
      <c r="H790" s="181">
        <f>IF(OR(F790="",G790=""),"",ROUND(MOD(G790-F790,1)*24,2))</f>
        <v/>
      </c>
      <c r="K790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91" hidden="1" outlineLevel="1" ht="20" customHeight="1">
      <c r="D791" s="179" t="n"/>
      <c r="E791" s="179" t="n"/>
      <c r="F791" s="180" t="n"/>
      <c r="G791" s="180" t="n"/>
      <c r="H791" s="181">
        <f>IF(OR(F791="",G791=""),"",ROUND(MOD(G791-F791,1)*24,2))</f>
        <v/>
      </c>
      <c r="K791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92" hidden="1" outlineLevel="1" ht="20" customHeight="1">
      <c r="D792" s="179" t="n"/>
      <c r="E792" s="179" t="n"/>
      <c r="F792" s="180" t="n"/>
      <c r="G792" s="180" t="n"/>
      <c r="H792" s="181">
        <f>IF(OR(F792="",G792=""),"",ROUND(MOD(G792-F792,1)*24,2))</f>
        <v/>
      </c>
      <c r="K792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93" hidden="1" outlineLevel="1" ht="20" customHeight="1">
      <c r="D793" s="179" t="n"/>
      <c r="E793" s="179" t="n"/>
      <c r="F793" s="180" t="n"/>
      <c r="G793" s="180" t="n"/>
      <c r="H793" s="181">
        <f>IF(OR(F793="",G793=""),"",ROUND(MOD(G793-F793,1)*24,2))</f>
        <v/>
      </c>
      <c r="K793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94" hidden="1" outlineLevel="1" ht="20" customHeight="1">
      <c r="D794" s="179" t="n"/>
      <c r="E794" s="179" t="n"/>
      <c r="F794" s="180" t="n"/>
      <c r="G794" s="180" t="n"/>
      <c r="H794" s="181">
        <f>IF(OR(F794="",G794=""),"",ROUND(MOD(G794-F794,1)*24,2))</f>
        <v/>
      </c>
      <c r="K794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95" hidden="1" outlineLevel="1" ht="20" customHeight="1">
      <c r="A795" s="342" t="n"/>
      <c r="B795" s="342" t="n"/>
      <c r="C795" s="342" t="n"/>
      <c r="D795" s="332" t="n"/>
      <c r="E795" s="332" t="n"/>
      <c r="F795" s="333" t="n"/>
      <c r="G795" s="333" t="n"/>
      <c r="H795" s="334">
        <f>IF(OR(F795="",G795=""),"",ROUND(MOD(G795-F795,1)*24,2))</f>
        <v/>
      </c>
      <c r="I795" s="342" t="n"/>
      <c r="J795" s="342" t="n"/>
      <c r="K795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796" ht="20" customHeight="1">
      <c r="A796" s="336">
        <f>IF($K796="","",WEEKNUM($K796,21))</f>
        <v/>
      </c>
      <c r="B796" s="337">
        <f>IF($K796="","",$K796)</f>
        <v/>
      </c>
      <c r="C796" s="338">
        <f>IF($K796="","",$K796)</f>
        <v/>
      </c>
      <c r="D796" s="171" t="n"/>
      <c r="E796" s="171" t="n"/>
      <c r="F796" s="172" t="n"/>
      <c r="G796" s="172" t="n"/>
      <c r="H796" s="173">
        <f>IF(OR(F796="",G796=""),"",ROUND(MOD(G796-F796,1)*24,2))</f>
        <v/>
      </c>
      <c r="I796" s="339" t="n"/>
      <c r="J796" s="339" t="n"/>
      <c r="K796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797" ht="20" customHeight="1">
      <c r="D797" s="179" t="n"/>
      <c r="E797" s="179" t="n"/>
      <c r="F797" s="180" t="n"/>
      <c r="G797" s="180" t="n"/>
      <c r="H797" s="181">
        <f>IF(OR(F797="",G797=""),"",ROUND(MOD(G797-F797,1)*24,2))</f>
        <v/>
      </c>
      <c r="K797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798" ht="20" customHeight="1">
      <c r="D798" s="179" t="n"/>
      <c r="E798" s="179" t="n"/>
      <c r="F798" s="180" t="n"/>
      <c r="G798" s="180" t="n"/>
      <c r="H798" s="181">
        <f>IF(OR(F798="",G798=""),"",ROUND(MOD(G798-F798,1)*24,2))</f>
        <v/>
      </c>
      <c r="K798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799" ht="20" customHeight="1">
      <c r="D799" s="179" t="n"/>
      <c r="E799" s="179" t="n"/>
      <c r="F799" s="180" t="n"/>
      <c r="G799" s="180" t="n"/>
      <c r="H799" s="181">
        <f>IF(OR(F799="",G799=""),"",ROUND(MOD(G799-F799,1)*24,2))</f>
        <v/>
      </c>
      <c r="K799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800" collapsed="1" ht="20" customHeight="1">
      <c r="D800" s="179" t="n"/>
      <c r="E800" s="179" t="n"/>
      <c r="F800" s="180" t="n"/>
      <c r="G800" s="180" t="n"/>
      <c r="H800" s="181">
        <f>IF(OR(F800="",G800=""),"",ROUND(MOD(G800-F800,1)*24,2))</f>
        <v/>
      </c>
      <c r="K800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801" hidden="1" outlineLevel="1" ht="20" customHeight="1">
      <c r="D801" s="179" t="n"/>
      <c r="E801" s="179" t="n"/>
      <c r="F801" s="180" t="n"/>
      <c r="G801" s="180" t="n"/>
      <c r="H801" s="181">
        <f>IF(OR(F801="",G801=""),"",ROUND(MOD(G801-F801,1)*24,2))</f>
        <v/>
      </c>
      <c r="K801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802" hidden="1" outlineLevel="1" ht="20" customHeight="1">
      <c r="D802" s="179" t="n"/>
      <c r="E802" s="179" t="n"/>
      <c r="F802" s="180" t="n"/>
      <c r="G802" s="180" t="n"/>
      <c r="H802" s="181">
        <f>IF(OR(F802="",G802=""),"",ROUND(MOD(G802-F802,1)*24,2))</f>
        <v/>
      </c>
      <c r="K802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803" hidden="1" outlineLevel="1" ht="20" customHeight="1">
      <c r="D803" s="179" t="n"/>
      <c r="E803" s="179" t="n"/>
      <c r="F803" s="180" t="n"/>
      <c r="G803" s="180" t="n"/>
      <c r="H803" s="181">
        <f>IF(OR(F803="",G803=""),"",ROUND(MOD(G803-F803,1)*24,2))</f>
        <v/>
      </c>
      <c r="K803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804" hidden="1" outlineLevel="1" ht="20" customHeight="1">
      <c r="D804" s="179" t="n"/>
      <c r="E804" s="179" t="n"/>
      <c r="F804" s="180" t="n"/>
      <c r="G804" s="180" t="n"/>
      <c r="H804" s="181">
        <f>IF(OR(F804="",G804=""),"",ROUND(MOD(G804-F804,1)*24,2))</f>
        <v/>
      </c>
      <c r="K804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805" hidden="1" outlineLevel="1" ht="20" customHeight="1">
      <c r="A805" s="342" t="n"/>
      <c r="B805" s="342" t="n"/>
      <c r="C805" s="342" t="n"/>
      <c r="D805" s="332" t="n"/>
      <c r="E805" s="332" t="n"/>
      <c r="F805" s="333" t="n"/>
      <c r="G805" s="333" t="n"/>
      <c r="H805" s="334">
        <f>IF(OR(F805="",G805=""),"",ROUND(MOD(G805-F805,1)*24,2))</f>
        <v/>
      </c>
      <c r="I805" s="342" t="n"/>
      <c r="J805" s="342" t="n"/>
      <c r="K805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806" ht="20" customHeight="1">
      <c r="A806" s="336">
        <f>IF($K806="","",WEEKNUM($K806,21))</f>
        <v/>
      </c>
      <c r="B806" s="337">
        <f>IF($K806="","",$K806)</f>
        <v/>
      </c>
      <c r="C806" s="338">
        <f>IF($K806="","",$K806)</f>
        <v/>
      </c>
      <c r="D806" s="171" t="n"/>
      <c r="E806" s="171" t="n"/>
      <c r="F806" s="172" t="n"/>
      <c r="G806" s="172" t="n"/>
      <c r="H806" s="173">
        <f>IF(OR(F806="",G806=""),"",ROUND(MOD(G806-F806,1)*24,2))</f>
        <v/>
      </c>
      <c r="I806" s="339" t="n"/>
      <c r="J806" s="339" t="n"/>
      <c r="K806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07" ht="20" customHeight="1">
      <c r="D807" s="179" t="n"/>
      <c r="E807" s="179" t="n"/>
      <c r="F807" s="180" t="n"/>
      <c r="G807" s="180" t="n"/>
      <c r="H807" s="181">
        <f>IF(OR(F807="",G807=""),"",ROUND(MOD(G807-F807,1)*24,2))</f>
        <v/>
      </c>
      <c r="K807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08" ht="20" customHeight="1">
      <c r="D808" s="179" t="n"/>
      <c r="E808" s="179" t="n"/>
      <c r="F808" s="180" t="n"/>
      <c r="G808" s="180" t="n"/>
      <c r="H808" s="181">
        <f>IF(OR(F808="",G808=""),"",ROUND(MOD(G808-F808,1)*24,2))</f>
        <v/>
      </c>
      <c r="K808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09" ht="20" customHeight="1">
      <c r="D809" s="179" t="n"/>
      <c r="E809" s="179" t="n"/>
      <c r="F809" s="180" t="n"/>
      <c r="G809" s="180" t="n"/>
      <c r="H809" s="181">
        <f>IF(OR(F809="",G809=""),"",ROUND(MOD(G809-F809,1)*24,2))</f>
        <v/>
      </c>
      <c r="K809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10" collapsed="1" ht="20" customHeight="1">
      <c r="D810" s="179" t="n"/>
      <c r="E810" s="179" t="n"/>
      <c r="F810" s="180" t="n"/>
      <c r="G810" s="180" t="n"/>
      <c r="H810" s="181">
        <f>IF(OR(F810="",G810=""),"",ROUND(MOD(G810-F810,1)*24,2))</f>
        <v/>
      </c>
      <c r="K810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11" hidden="1" outlineLevel="1" ht="20" customHeight="1">
      <c r="D811" s="179" t="n"/>
      <c r="E811" s="179" t="n"/>
      <c r="F811" s="180" t="n"/>
      <c r="G811" s="180" t="n"/>
      <c r="H811" s="181">
        <f>IF(OR(F811="",G811=""),"",ROUND(MOD(G811-F811,1)*24,2))</f>
        <v/>
      </c>
      <c r="K811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12" hidden="1" outlineLevel="1" ht="20" customHeight="1">
      <c r="D812" s="179" t="n"/>
      <c r="E812" s="179" t="n"/>
      <c r="F812" s="180" t="n"/>
      <c r="G812" s="180" t="n"/>
      <c r="H812" s="181">
        <f>IF(OR(F812="",G812=""),"",ROUND(MOD(G812-F812,1)*24,2))</f>
        <v/>
      </c>
      <c r="K812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13" hidden="1" outlineLevel="1" ht="20" customHeight="1">
      <c r="D813" s="179" t="n"/>
      <c r="E813" s="179" t="n"/>
      <c r="F813" s="180" t="n"/>
      <c r="G813" s="180" t="n"/>
      <c r="H813" s="181">
        <f>IF(OR(F813="",G813=""),"",ROUND(MOD(G813-F813,1)*24,2))</f>
        <v/>
      </c>
      <c r="K813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14" hidden="1" outlineLevel="1" ht="20" customHeight="1">
      <c r="D814" s="179" t="n"/>
      <c r="E814" s="179" t="n"/>
      <c r="F814" s="180" t="n"/>
      <c r="G814" s="180" t="n"/>
      <c r="H814" s="181">
        <f>IF(OR(F814="",G814=""),"",ROUND(MOD(G814-F814,1)*24,2))</f>
        <v/>
      </c>
      <c r="K814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15" hidden="1" outlineLevel="1" ht="20" customHeight="1">
      <c r="A815" s="342" t="n"/>
      <c r="B815" s="342" t="n"/>
      <c r="C815" s="342" t="n"/>
      <c r="D815" s="332" t="n"/>
      <c r="E815" s="332" t="n"/>
      <c r="F815" s="333" t="n"/>
      <c r="G815" s="333" t="n"/>
      <c r="H815" s="334">
        <f>IF(OR(F815="",G815=""),"",ROUND(MOD(G815-F815,1)*24,2))</f>
        <v/>
      </c>
      <c r="I815" s="342" t="n"/>
      <c r="J815" s="342" t="n"/>
      <c r="K815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16" ht="20" customHeight="1">
      <c r="A816" s="336">
        <f>IF($K816="","",WEEKNUM($K816,21))</f>
        <v/>
      </c>
      <c r="B816" s="337">
        <f>IF($K816="","",$K816)</f>
        <v/>
      </c>
      <c r="C816" s="338">
        <f>IF($K816="","",$K816)</f>
        <v/>
      </c>
      <c r="D816" s="171" t="n"/>
      <c r="E816" s="171" t="n"/>
      <c r="F816" s="172" t="n"/>
      <c r="G816" s="172" t="n"/>
      <c r="H816" s="173">
        <f>IF(OR(F816="",G816=""),"",ROUND(MOD(G816-F816,1)*24,2))</f>
        <v/>
      </c>
      <c r="I816" s="339" t="n"/>
      <c r="J816" s="339" t="n"/>
      <c r="K816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17" ht="20" customHeight="1">
      <c r="D817" s="179" t="n"/>
      <c r="E817" s="179" t="n"/>
      <c r="F817" s="180" t="n"/>
      <c r="G817" s="180" t="n"/>
      <c r="H817" s="181">
        <f>IF(OR(F817="",G817=""),"",ROUND(MOD(G817-F817,1)*24,2))</f>
        <v/>
      </c>
      <c r="K817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18" ht="20" customHeight="1">
      <c r="D818" s="179" t="n"/>
      <c r="E818" s="179" t="n"/>
      <c r="F818" s="180" t="n"/>
      <c r="G818" s="180" t="n"/>
      <c r="H818" s="181">
        <f>IF(OR(F818="",G818=""),"",ROUND(MOD(G818-F818,1)*24,2))</f>
        <v/>
      </c>
      <c r="K818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19" ht="20" customHeight="1">
      <c r="D819" s="179" t="n"/>
      <c r="E819" s="179" t="n"/>
      <c r="F819" s="180" t="n"/>
      <c r="G819" s="180" t="n"/>
      <c r="H819" s="181">
        <f>IF(OR(F819="",G819=""),"",ROUND(MOD(G819-F819,1)*24,2))</f>
        <v/>
      </c>
      <c r="K819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20" collapsed="1" ht="20" customHeight="1">
      <c r="D820" s="179" t="n"/>
      <c r="E820" s="179" t="n"/>
      <c r="F820" s="180" t="n"/>
      <c r="G820" s="180" t="n"/>
      <c r="H820" s="181">
        <f>IF(OR(F820="",G820=""),"",ROUND(MOD(G820-F820,1)*24,2))</f>
        <v/>
      </c>
      <c r="K820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21" hidden="1" outlineLevel="1" ht="20" customHeight="1">
      <c r="D821" s="179" t="n"/>
      <c r="E821" s="179" t="n"/>
      <c r="F821" s="180" t="n"/>
      <c r="G821" s="180" t="n"/>
      <c r="H821" s="181">
        <f>IF(OR(F821="",G821=""),"",ROUND(MOD(G821-F821,1)*24,2))</f>
        <v/>
      </c>
      <c r="K821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22" hidden="1" outlineLevel="1" ht="20" customHeight="1">
      <c r="D822" s="179" t="n"/>
      <c r="E822" s="179" t="n"/>
      <c r="F822" s="180" t="n"/>
      <c r="G822" s="180" t="n"/>
      <c r="H822" s="181">
        <f>IF(OR(F822="",G822=""),"",ROUND(MOD(G822-F822,1)*24,2))</f>
        <v/>
      </c>
      <c r="K822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23" hidden="1" outlineLevel="1" ht="20" customHeight="1">
      <c r="D823" s="179" t="n"/>
      <c r="E823" s="179" t="n"/>
      <c r="F823" s="180" t="n"/>
      <c r="G823" s="180" t="n"/>
      <c r="H823" s="181">
        <f>IF(OR(F823="",G823=""),"",ROUND(MOD(G823-F823,1)*24,2))</f>
        <v/>
      </c>
      <c r="K823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24" hidden="1" outlineLevel="1" ht="20" customHeight="1">
      <c r="D824" s="179" t="n"/>
      <c r="E824" s="179" t="n"/>
      <c r="F824" s="180" t="n"/>
      <c r="G824" s="180" t="n"/>
      <c r="H824" s="181">
        <f>IF(OR(F824="",G824=""),"",ROUND(MOD(G824-F824,1)*24,2))</f>
        <v/>
      </c>
      <c r="K824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25" hidden="1" outlineLevel="1" ht="20" customHeight="1">
      <c r="A825" s="342" t="n"/>
      <c r="B825" s="342" t="n"/>
      <c r="C825" s="342" t="n"/>
      <c r="D825" s="332" t="n"/>
      <c r="E825" s="332" t="n"/>
      <c r="F825" s="333" t="n"/>
      <c r="G825" s="333" t="n"/>
      <c r="H825" s="334">
        <f>IF(OR(F825="",G825=""),"",ROUND(MOD(G825-F825,1)*24,2))</f>
        <v/>
      </c>
      <c r="I825" s="342" t="n"/>
      <c r="J825" s="342" t="n"/>
      <c r="K825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26" ht="20" customHeight="1">
      <c r="A826" s="336">
        <f>IF($K826="","",WEEKNUM($K826,21))</f>
        <v/>
      </c>
      <c r="B826" s="337">
        <f>IF($K826="","",$K826)</f>
        <v/>
      </c>
      <c r="C826" s="338">
        <f>IF($K826="","",$K826)</f>
        <v/>
      </c>
      <c r="D826" s="171" t="n"/>
      <c r="E826" s="171" t="n"/>
      <c r="F826" s="172" t="n"/>
      <c r="G826" s="172" t="n"/>
      <c r="H826" s="173">
        <f>IF(OR(F826="",G826=""),"",ROUND(MOD(G826-F826,1)*24,2))</f>
        <v/>
      </c>
      <c r="I826" s="339" t="n"/>
      <c r="J826" s="339" t="n"/>
      <c r="K826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27" ht="20" customHeight="1">
      <c r="D827" s="179" t="n"/>
      <c r="E827" s="179" t="n"/>
      <c r="F827" s="180" t="n"/>
      <c r="G827" s="180" t="n"/>
      <c r="H827" s="181">
        <f>IF(OR(F827="",G827=""),"",ROUND(MOD(G827-F827,1)*24,2))</f>
        <v/>
      </c>
      <c r="K827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28" ht="20" customHeight="1">
      <c r="D828" s="179" t="n"/>
      <c r="E828" s="179" t="n"/>
      <c r="F828" s="180" t="n"/>
      <c r="G828" s="180" t="n"/>
      <c r="H828" s="181">
        <f>IF(OR(F828="",G828=""),"",ROUND(MOD(G828-F828,1)*24,2))</f>
        <v/>
      </c>
      <c r="K828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29" ht="20" customHeight="1">
      <c r="D829" s="179" t="n"/>
      <c r="E829" s="179" t="n"/>
      <c r="F829" s="180" t="n"/>
      <c r="G829" s="180" t="n"/>
      <c r="H829" s="181">
        <f>IF(OR(F829="",G829=""),"",ROUND(MOD(G829-F829,1)*24,2))</f>
        <v/>
      </c>
      <c r="K829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30" collapsed="1" ht="20" customHeight="1">
      <c r="D830" s="179" t="n"/>
      <c r="E830" s="179" t="n"/>
      <c r="F830" s="180" t="n"/>
      <c r="G830" s="180" t="n"/>
      <c r="H830" s="181">
        <f>IF(OR(F830="",G830=""),"",ROUND(MOD(G830-F830,1)*24,2))</f>
        <v/>
      </c>
      <c r="K830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31" hidden="1" outlineLevel="1" ht="20" customHeight="1">
      <c r="D831" s="179" t="n"/>
      <c r="E831" s="179" t="n"/>
      <c r="F831" s="180" t="n"/>
      <c r="G831" s="180" t="n"/>
      <c r="H831" s="181">
        <f>IF(OR(F831="",G831=""),"",ROUND(MOD(G831-F831,1)*24,2))</f>
        <v/>
      </c>
      <c r="K831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32" hidden="1" outlineLevel="1" ht="20" customHeight="1">
      <c r="D832" s="179" t="n"/>
      <c r="E832" s="179" t="n"/>
      <c r="F832" s="180" t="n"/>
      <c r="G832" s="180" t="n"/>
      <c r="H832" s="181">
        <f>IF(OR(F832="",G832=""),"",ROUND(MOD(G832-F832,1)*24,2))</f>
        <v/>
      </c>
      <c r="K832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33" hidden="1" outlineLevel="1" ht="20" customHeight="1">
      <c r="D833" s="179" t="n"/>
      <c r="E833" s="179" t="n"/>
      <c r="F833" s="180" t="n"/>
      <c r="G833" s="180" t="n"/>
      <c r="H833" s="181">
        <f>IF(OR(F833="",G833=""),"",ROUND(MOD(G833-F833,1)*24,2))</f>
        <v/>
      </c>
      <c r="K833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34" hidden="1" outlineLevel="1" ht="20" customHeight="1">
      <c r="D834" s="179" t="n"/>
      <c r="E834" s="179" t="n"/>
      <c r="F834" s="180" t="n"/>
      <c r="G834" s="180" t="n"/>
      <c r="H834" s="181">
        <f>IF(OR(F834="",G834=""),"",ROUND(MOD(G834-F834,1)*24,2))</f>
        <v/>
      </c>
      <c r="K834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35" hidden="1" outlineLevel="1" ht="20" customHeight="1">
      <c r="A835" s="342" t="n"/>
      <c r="B835" s="342" t="n"/>
      <c r="C835" s="342" t="n"/>
      <c r="D835" s="332" t="n"/>
      <c r="E835" s="332" t="n"/>
      <c r="F835" s="333" t="n"/>
      <c r="G835" s="333" t="n"/>
      <c r="H835" s="334">
        <f>IF(OR(F835="",G835=""),"",ROUND(MOD(G835-F835,1)*24,2))</f>
        <v/>
      </c>
      <c r="I835" s="342" t="n"/>
      <c r="J835" s="342" t="n"/>
      <c r="K835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36" ht="20" customHeight="1">
      <c r="A836" s="336">
        <f>IF($K836="","",WEEKNUM($K836,21))</f>
        <v/>
      </c>
      <c r="B836" s="337">
        <f>IF($K836="","",$K836)</f>
        <v/>
      </c>
      <c r="C836" s="338">
        <f>IF($K836="","",$K836)</f>
        <v/>
      </c>
      <c r="D836" s="171" t="n"/>
      <c r="E836" s="171" t="n"/>
      <c r="F836" s="172" t="n"/>
      <c r="G836" s="172" t="n"/>
      <c r="H836" s="173">
        <f>IF(OR(F836="",G836=""),"",ROUND(MOD(G836-F836,1)*24,2))</f>
        <v/>
      </c>
      <c r="I836" s="339" t="n"/>
      <c r="J836" s="339" t="n"/>
      <c r="K836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37" ht="20" customHeight="1">
      <c r="D837" s="179" t="n"/>
      <c r="E837" s="179" t="n"/>
      <c r="F837" s="180" t="n"/>
      <c r="G837" s="180" t="n"/>
      <c r="H837" s="181">
        <f>IF(OR(F837="",G837=""),"",ROUND(MOD(G837-F837,1)*24,2))</f>
        <v/>
      </c>
      <c r="K837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38" ht="20" customHeight="1">
      <c r="D838" s="179" t="n"/>
      <c r="E838" s="179" t="n"/>
      <c r="F838" s="180" t="n"/>
      <c r="G838" s="180" t="n"/>
      <c r="H838" s="181">
        <f>IF(OR(F838="",G838=""),"",ROUND(MOD(G838-F838,1)*24,2))</f>
        <v/>
      </c>
      <c r="K838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39" ht="20" customHeight="1">
      <c r="D839" s="179" t="n"/>
      <c r="E839" s="179" t="n"/>
      <c r="F839" s="180" t="n"/>
      <c r="G839" s="180" t="n"/>
      <c r="H839" s="181">
        <f>IF(OR(F839="",G839=""),"",ROUND(MOD(G839-F839,1)*24,2))</f>
        <v/>
      </c>
      <c r="K839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40" collapsed="1" ht="20" customHeight="1">
      <c r="D840" s="179" t="n"/>
      <c r="E840" s="179" t="n"/>
      <c r="F840" s="180" t="n"/>
      <c r="G840" s="180" t="n"/>
      <c r="H840" s="181">
        <f>IF(OR(F840="",G840=""),"",ROUND(MOD(G840-F840,1)*24,2))</f>
        <v/>
      </c>
      <c r="K840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41" hidden="1" outlineLevel="1" ht="20" customHeight="1">
      <c r="D841" s="179" t="n"/>
      <c r="E841" s="179" t="n"/>
      <c r="F841" s="180" t="n"/>
      <c r="G841" s="180" t="n"/>
      <c r="H841" s="181">
        <f>IF(OR(F841="",G841=""),"",ROUND(MOD(G841-F841,1)*24,2))</f>
        <v/>
      </c>
      <c r="K841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42" hidden="1" outlineLevel="1" ht="20" customHeight="1">
      <c r="D842" s="179" t="n"/>
      <c r="E842" s="179" t="n"/>
      <c r="F842" s="180" t="n"/>
      <c r="G842" s="180" t="n"/>
      <c r="H842" s="181">
        <f>IF(OR(F842="",G842=""),"",ROUND(MOD(G842-F842,1)*24,2))</f>
        <v/>
      </c>
      <c r="K842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43" hidden="1" outlineLevel="1" ht="20" customHeight="1">
      <c r="D843" s="179" t="n"/>
      <c r="E843" s="179" t="n"/>
      <c r="F843" s="180" t="n"/>
      <c r="G843" s="180" t="n"/>
      <c r="H843" s="181">
        <f>IF(OR(F843="",G843=""),"",ROUND(MOD(G843-F843,1)*24,2))</f>
        <v/>
      </c>
      <c r="K843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44" hidden="1" outlineLevel="1" ht="20" customHeight="1">
      <c r="D844" s="179" t="n"/>
      <c r="E844" s="179" t="n"/>
      <c r="F844" s="180" t="n"/>
      <c r="G844" s="180" t="n"/>
      <c r="H844" s="181">
        <f>IF(OR(F844="",G844=""),"",ROUND(MOD(G844-F844,1)*24,2))</f>
        <v/>
      </c>
      <c r="K844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45" hidden="1" outlineLevel="1" ht="20" customHeight="1">
      <c r="A845" s="342" t="n"/>
      <c r="B845" s="342" t="n"/>
      <c r="C845" s="342" t="n"/>
      <c r="D845" s="332" t="n"/>
      <c r="E845" s="332" t="n"/>
      <c r="F845" s="333" t="n"/>
      <c r="G845" s="333" t="n"/>
      <c r="H845" s="334">
        <f>IF(OR(F845="",G845=""),"",ROUND(MOD(G845-F845,1)*24,2))</f>
        <v/>
      </c>
      <c r="I845" s="342" t="n"/>
      <c r="J845" s="342" t="n"/>
      <c r="K845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46" ht="20" customHeight="1">
      <c r="A846" s="336">
        <f>IF($K846="","",WEEKNUM($K846,21))</f>
        <v/>
      </c>
      <c r="B846" s="337">
        <f>IF($K846="","",$K846)</f>
        <v/>
      </c>
      <c r="C846" s="338">
        <f>IF($K846="","",$K846)</f>
        <v/>
      </c>
      <c r="D846" s="171" t="n"/>
      <c r="E846" s="171" t="n"/>
      <c r="F846" s="172" t="n"/>
      <c r="G846" s="172" t="n"/>
      <c r="H846" s="173">
        <f>IF(OR(F846="",G846=""),"",ROUND(MOD(G846-F846,1)*24,2))</f>
        <v/>
      </c>
      <c r="I846" s="339" t="n"/>
      <c r="J846" s="339" t="n"/>
      <c r="K846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47" ht="20" customHeight="1">
      <c r="D847" s="179" t="n"/>
      <c r="E847" s="179" t="n"/>
      <c r="F847" s="180" t="n"/>
      <c r="G847" s="180" t="n"/>
      <c r="H847" s="181">
        <f>IF(OR(F847="",G847=""),"",ROUND(MOD(G847-F847,1)*24,2))</f>
        <v/>
      </c>
      <c r="K847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48" ht="20" customHeight="1">
      <c r="D848" s="179" t="n"/>
      <c r="E848" s="179" t="n"/>
      <c r="F848" s="180" t="n"/>
      <c r="G848" s="180" t="n"/>
      <c r="H848" s="181">
        <f>IF(OR(F848="",G848=""),"",ROUND(MOD(G848-F848,1)*24,2))</f>
        <v/>
      </c>
      <c r="K848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49" ht="20" customHeight="1">
      <c r="D849" s="179" t="n"/>
      <c r="E849" s="179" t="n"/>
      <c r="F849" s="180" t="n"/>
      <c r="G849" s="180" t="n"/>
      <c r="H849" s="181">
        <f>IF(OR(F849="",G849=""),"",ROUND(MOD(G849-F849,1)*24,2))</f>
        <v/>
      </c>
      <c r="K849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50" collapsed="1" ht="20" customHeight="1">
      <c r="D850" s="179" t="n"/>
      <c r="E850" s="179" t="n"/>
      <c r="F850" s="180" t="n"/>
      <c r="G850" s="180" t="n"/>
      <c r="H850" s="181">
        <f>IF(OR(F850="",G850=""),"",ROUND(MOD(G850-F850,1)*24,2))</f>
        <v/>
      </c>
      <c r="K850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51" hidden="1" outlineLevel="1" ht="20" customHeight="1">
      <c r="D851" s="179" t="n"/>
      <c r="E851" s="179" t="n"/>
      <c r="F851" s="180" t="n"/>
      <c r="G851" s="180" t="n"/>
      <c r="H851" s="181">
        <f>IF(OR(F851="",G851=""),"",ROUND(MOD(G851-F851,1)*24,2))</f>
        <v/>
      </c>
      <c r="K851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52" hidden="1" outlineLevel="1" ht="20" customHeight="1">
      <c r="D852" s="179" t="n"/>
      <c r="E852" s="179" t="n"/>
      <c r="F852" s="180" t="n"/>
      <c r="G852" s="180" t="n"/>
      <c r="H852" s="181">
        <f>IF(OR(F852="",G852=""),"",ROUND(MOD(G852-F852,1)*24,2))</f>
        <v/>
      </c>
      <c r="K852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53" hidden="1" outlineLevel="1" ht="20" customHeight="1">
      <c r="D853" s="179" t="n"/>
      <c r="E853" s="179" t="n"/>
      <c r="F853" s="180" t="n"/>
      <c r="G853" s="180" t="n"/>
      <c r="H853" s="181">
        <f>IF(OR(F853="",G853=""),"",ROUND(MOD(G853-F853,1)*24,2))</f>
        <v/>
      </c>
      <c r="K853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54" hidden="1" outlineLevel="1" ht="20" customHeight="1">
      <c r="D854" s="179" t="n"/>
      <c r="E854" s="179" t="n"/>
      <c r="F854" s="180" t="n"/>
      <c r="G854" s="180" t="n"/>
      <c r="H854" s="181">
        <f>IF(OR(F854="",G854=""),"",ROUND(MOD(G854-F854,1)*24,2))</f>
        <v/>
      </c>
      <c r="K854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55" hidden="1" outlineLevel="1" ht="20" customHeight="1">
      <c r="A855" s="342" t="n"/>
      <c r="B855" s="342" t="n"/>
      <c r="C855" s="342" t="n"/>
      <c r="D855" s="332" t="n"/>
      <c r="E855" s="332" t="n"/>
      <c r="F855" s="333" t="n"/>
      <c r="G855" s="333" t="n"/>
      <c r="H855" s="334">
        <f>IF(OR(F855="",G855=""),"",ROUND(MOD(G855-F855,1)*24,2))</f>
        <v/>
      </c>
      <c r="I855" s="342" t="n"/>
      <c r="J855" s="342" t="n"/>
      <c r="K855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56" ht="20" customHeight="1">
      <c r="A856" s="336">
        <f>IF($K856="","",WEEKNUM($K856,21))</f>
        <v/>
      </c>
      <c r="B856" s="337">
        <f>IF($K856="","",$K856)</f>
        <v/>
      </c>
      <c r="C856" s="338">
        <f>IF($K856="","",$K856)</f>
        <v/>
      </c>
      <c r="D856" s="171" t="n"/>
      <c r="E856" s="171" t="n"/>
      <c r="F856" s="172" t="n"/>
      <c r="G856" s="172" t="n"/>
      <c r="H856" s="173">
        <f>IF(OR(F856="",G856=""),"",ROUND(MOD(G856-F856,1)*24,2))</f>
        <v/>
      </c>
      <c r="I856" s="339" t="n"/>
      <c r="J856" s="339" t="n"/>
      <c r="K856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57" ht="20" customHeight="1">
      <c r="D857" s="179" t="n"/>
      <c r="E857" s="179" t="n"/>
      <c r="F857" s="180" t="n"/>
      <c r="G857" s="180" t="n"/>
      <c r="H857" s="181">
        <f>IF(OR(F857="",G857=""),"",ROUND(MOD(G857-F857,1)*24,2))</f>
        <v/>
      </c>
      <c r="K857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58" ht="20" customHeight="1">
      <c r="D858" s="179" t="n"/>
      <c r="E858" s="179" t="n"/>
      <c r="F858" s="180" t="n"/>
      <c r="G858" s="180" t="n"/>
      <c r="H858" s="181">
        <f>IF(OR(F858="",G858=""),"",ROUND(MOD(G858-F858,1)*24,2))</f>
        <v/>
      </c>
      <c r="K858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59" ht="20" customHeight="1">
      <c r="D859" s="179" t="n"/>
      <c r="E859" s="179" t="n"/>
      <c r="F859" s="180" t="n"/>
      <c r="G859" s="180" t="n"/>
      <c r="H859" s="181">
        <f>IF(OR(F859="",G859=""),"",ROUND(MOD(G859-F859,1)*24,2))</f>
        <v/>
      </c>
      <c r="K859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60" collapsed="1" ht="20" customHeight="1">
      <c r="D860" s="179" t="n"/>
      <c r="E860" s="179" t="n"/>
      <c r="F860" s="180" t="n"/>
      <c r="G860" s="180" t="n"/>
      <c r="H860" s="181">
        <f>IF(OR(F860="",G860=""),"",ROUND(MOD(G860-F860,1)*24,2))</f>
        <v/>
      </c>
      <c r="K860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61" hidden="1" outlineLevel="1" ht="20" customHeight="1">
      <c r="D861" s="179" t="n"/>
      <c r="E861" s="179" t="n"/>
      <c r="F861" s="180" t="n"/>
      <c r="G861" s="180" t="n"/>
      <c r="H861" s="181">
        <f>IF(OR(F861="",G861=""),"",ROUND(MOD(G861-F861,1)*24,2))</f>
        <v/>
      </c>
      <c r="K861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62" hidden="1" outlineLevel="1" ht="20" customHeight="1">
      <c r="D862" s="179" t="n"/>
      <c r="E862" s="179" t="n"/>
      <c r="F862" s="180" t="n"/>
      <c r="G862" s="180" t="n"/>
      <c r="H862" s="181">
        <f>IF(OR(F862="",G862=""),"",ROUND(MOD(G862-F862,1)*24,2))</f>
        <v/>
      </c>
      <c r="K862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63" hidden="1" outlineLevel="1" ht="20" customHeight="1">
      <c r="D863" s="179" t="n"/>
      <c r="E863" s="179" t="n"/>
      <c r="F863" s="180" t="n"/>
      <c r="G863" s="180" t="n"/>
      <c r="H863" s="181">
        <f>IF(OR(F863="",G863=""),"",ROUND(MOD(G863-F863,1)*24,2))</f>
        <v/>
      </c>
      <c r="K863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64" hidden="1" outlineLevel="1" ht="20" customHeight="1">
      <c r="D864" s="179" t="n"/>
      <c r="E864" s="179" t="n"/>
      <c r="F864" s="180" t="n"/>
      <c r="G864" s="180" t="n"/>
      <c r="H864" s="181">
        <f>IF(OR(F864="",G864=""),"",ROUND(MOD(G864-F864,1)*24,2))</f>
        <v/>
      </c>
      <c r="K864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65" hidden="1" outlineLevel="1" ht="20" customHeight="1">
      <c r="A865" s="342" t="n"/>
      <c r="B865" s="342" t="n"/>
      <c r="C865" s="342" t="n"/>
      <c r="D865" s="332" t="n"/>
      <c r="E865" s="332" t="n"/>
      <c r="F865" s="333" t="n"/>
      <c r="G865" s="333" t="n"/>
      <c r="H865" s="334">
        <f>IF(OR(F865="",G865=""),"",ROUND(MOD(G865-F865,1)*24,2))</f>
        <v/>
      </c>
      <c r="I865" s="342" t="n"/>
      <c r="J865" s="342" t="n"/>
      <c r="K865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66" ht="20" customHeight="1">
      <c r="A866" s="336">
        <f>IF($K866="","",WEEKNUM($K866,21))</f>
        <v/>
      </c>
      <c r="B866" s="337">
        <f>IF($K866="","",$K866)</f>
        <v/>
      </c>
      <c r="C866" s="338">
        <f>IF($K866="","",$K866)</f>
        <v/>
      </c>
      <c r="D866" s="171" t="n"/>
      <c r="E866" s="171" t="n"/>
      <c r="F866" s="172" t="n"/>
      <c r="G866" s="172" t="n"/>
      <c r="H866" s="173">
        <f>IF(OR(F866="",G866=""),"",ROUND(MOD(G866-F866,1)*24,2))</f>
        <v/>
      </c>
      <c r="I866" s="339" t="n"/>
      <c r="J866" s="339" t="n"/>
      <c r="K866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67" ht="20" customHeight="1">
      <c r="D867" s="179" t="n"/>
      <c r="E867" s="179" t="n"/>
      <c r="F867" s="180" t="n"/>
      <c r="G867" s="180" t="n"/>
      <c r="H867" s="181">
        <f>IF(OR(F867="",G867=""),"",ROUND(MOD(G867-F867,1)*24,2))</f>
        <v/>
      </c>
      <c r="K867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68" ht="20" customHeight="1">
      <c r="D868" s="179" t="n"/>
      <c r="E868" s="179" t="n"/>
      <c r="F868" s="180" t="n"/>
      <c r="G868" s="180" t="n"/>
      <c r="H868" s="181">
        <f>IF(OR(F868="",G868=""),"",ROUND(MOD(G868-F868,1)*24,2))</f>
        <v/>
      </c>
      <c r="K868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69" ht="20" customHeight="1">
      <c r="D869" s="179" t="n"/>
      <c r="E869" s="179" t="n"/>
      <c r="F869" s="180" t="n"/>
      <c r="G869" s="180" t="n"/>
      <c r="H869" s="181">
        <f>IF(OR(F869="",G869=""),"",ROUND(MOD(G869-F869,1)*24,2))</f>
        <v/>
      </c>
      <c r="K869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70" collapsed="1" ht="20" customHeight="1">
      <c r="D870" s="179" t="n"/>
      <c r="E870" s="179" t="n"/>
      <c r="F870" s="180" t="n"/>
      <c r="G870" s="180" t="n"/>
      <c r="H870" s="181">
        <f>IF(OR(F870="",G870=""),"",ROUND(MOD(G870-F870,1)*24,2))</f>
        <v/>
      </c>
      <c r="K870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71" hidden="1" outlineLevel="1" ht="20" customHeight="1">
      <c r="D871" s="179" t="n"/>
      <c r="E871" s="179" t="n"/>
      <c r="F871" s="180" t="n"/>
      <c r="G871" s="180" t="n"/>
      <c r="H871" s="181">
        <f>IF(OR(F871="",G871=""),"",ROUND(MOD(G871-F871,1)*24,2))</f>
        <v/>
      </c>
      <c r="K871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72" hidden="1" outlineLevel="1" ht="20" customHeight="1">
      <c r="D872" s="179" t="n"/>
      <c r="E872" s="179" t="n"/>
      <c r="F872" s="180" t="n"/>
      <c r="G872" s="180" t="n"/>
      <c r="H872" s="181">
        <f>IF(OR(F872="",G872=""),"",ROUND(MOD(G872-F872,1)*24,2))</f>
        <v/>
      </c>
      <c r="K872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73" hidden="1" outlineLevel="1" ht="20" customHeight="1">
      <c r="D873" s="179" t="n"/>
      <c r="E873" s="179" t="n"/>
      <c r="F873" s="180" t="n"/>
      <c r="G873" s="180" t="n"/>
      <c r="H873" s="181">
        <f>IF(OR(F873="",G873=""),"",ROUND(MOD(G873-F873,1)*24,2))</f>
        <v/>
      </c>
      <c r="K873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74" hidden="1" outlineLevel="1" ht="20" customHeight="1">
      <c r="D874" s="179" t="n"/>
      <c r="E874" s="179" t="n"/>
      <c r="F874" s="180" t="n"/>
      <c r="G874" s="180" t="n"/>
      <c r="H874" s="181">
        <f>IF(OR(F874="",G874=""),"",ROUND(MOD(G874-F874,1)*24,2))</f>
        <v/>
      </c>
      <c r="K874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75" hidden="1" outlineLevel="1" ht="20" customHeight="1">
      <c r="A875" s="342" t="n"/>
      <c r="B875" s="342" t="n"/>
      <c r="C875" s="342" t="n"/>
      <c r="D875" s="332" t="n"/>
      <c r="E875" s="332" t="n"/>
      <c r="F875" s="333" t="n"/>
      <c r="G875" s="333" t="n"/>
      <c r="H875" s="334">
        <f>IF(OR(F875="",G875=""),"",ROUND(MOD(G875-F875,1)*24,2))</f>
        <v/>
      </c>
      <c r="I875" s="342" t="n"/>
      <c r="J875" s="342" t="n"/>
      <c r="K875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76" ht="20" customHeight="1">
      <c r="A876" s="336">
        <f>IF($K876="","",WEEKNUM($K876,21))</f>
        <v/>
      </c>
      <c r="B876" s="337">
        <f>IF($K876="","",$K876)</f>
        <v/>
      </c>
      <c r="C876" s="338">
        <f>IF($K876="","",$K876)</f>
        <v/>
      </c>
      <c r="D876" s="171" t="n"/>
      <c r="E876" s="171" t="n"/>
      <c r="F876" s="172" t="n"/>
      <c r="G876" s="172" t="n"/>
      <c r="H876" s="173">
        <f>IF(OR(F876="",G876=""),"",ROUND(MOD(G876-F876,1)*24,2))</f>
        <v/>
      </c>
      <c r="I876" s="339" t="n"/>
      <c r="J876" s="339" t="n"/>
      <c r="K876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77" ht="20" customHeight="1">
      <c r="D877" s="179" t="n"/>
      <c r="E877" s="179" t="n"/>
      <c r="F877" s="180" t="n"/>
      <c r="G877" s="180" t="n"/>
      <c r="H877" s="181">
        <f>IF(OR(F877="",G877=""),"",ROUND(MOD(G877-F877,1)*24,2))</f>
        <v/>
      </c>
      <c r="K877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78" ht="20" customHeight="1">
      <c r="D878" s="179" t="n"/>
      <c r="E878" s="179" t="n"/>
      <c r="F878" s="180" t="n"/>
      <c r="G878" s="180" t="n"/>
      <c r="H878" s="181">
        <f>IF(OR(F878="",G878=""),"",ROUND(MOD(G878-F878,1)*24,2))</f>
        <v/>
      </c>
      <c r="K878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79" ht="20" customHeight="1">
      <c r="D879" s="179" t="n"/>
      <c r="E879" s="179" t="n"/>
      <c r="F879" s="180" t="n"/>
      <c r="G879" s="180" t="n"/>
      <c r="H879" s="181">
        <f>IF(OR(F879="",G879=""),"",ROUND(MOD(G879-F879,1)*24,2))</f>
        <v/>
      </c>
      <c r="K879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80" collapsed="1" ht="20" customHeight="1">
      <c r="D880" s="179" t="n"/>
      <c r="E880" s="179" t="n"/>
      <c r="F880" s="180" t="n"/>
      <c r="G880" s="180" t="n"/>
      <c r="H880" s="181">
        <f>IF(OR(F880="",G880=""),"",ROUND(MOD(G880-F880,1)*24,2))</f>
        <v/>
      </c>
      <c r="K880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81" hidden="1" outlineLevel="1" ht="20" customHeight="1">
      <c r="D881" s="179" t="n"/>
      <c r="E881" s="179" t="n"/>
      <c r="F881" s="180" t="n"/>
      <c r="G881" s="180" t="n"/>
      <c r="H881" s="181">
        <f>IF(OR(F881="",G881=""),"",ROUND(MOD(G881-F881,1)*24,2))</f>
        <v/>
      </c>
      <c r="K881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82" hidden="1" outlineLevel="1" ht="20" customHeight="1">
      <c r="D882" s="179" t="n"/>
      <c r="E882" s="179" t="n"/>
      <c r="F882" s="180" t="n"/>
      <c r="G882" s="180" t="n"/>
      <c r="H882" s="181">
        <f>IF(OR(F882="",G882=""),"",ROUND(MOD(G882-F882,1)*24,2))</f>
        <v/>
      </c>
      <c r="K882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83" hidden="1" outlineLevel="1" ht="20" customHeight="1">
      <c r="D883" s="179" t="n"/>
      <c r="E883" s="179" t="n"/>
      <c r="F883" s="180" t="n"/>
      <c r="G883" s="180" t="n"/>
      <c r="H883" s="181">
        <f>IF(OR(F883="",G883=""),"",ROUND(MOD(G883-F883,1)*24,2))</f>
        <v/>
      </c>
      <c r="K883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84" hidden="1" outlineLevel="1" ht="20" customHeight="1">
      <c r="D884" s="179" t="n"/>
      <c r="E884" s="179" t="n"/>
      <c r="F884" s="180" t="n"/>
      <c r="G884" s="180" t="n"/>
      <c r="H884" s="181">
        <f>IF(OR(F884="",G884=""),"",ROUND(MOD(G884-F884,1)*24,2))</f>
        <v/>
      </c>
      <c r="K884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85" hidden="1" outlineLevel="1" ht="20" customHeight="1">
      <c r="A885" s="342" t="n"/>
      <c r="B885" s="342" t="n"/>
      <c r="C885" s="342" t="n"/>
      <c r="D885" s="332" t="n"/>
      <c r="E885" s="332" t="n"/>
      <c r="F885" s="333" t="n"/>
      <c r="G885" s="333" t="n"/>
      <c r="H885" s="334">
        <f>IF(OR(F885="",G885=""),"",ROUND(MOD(G885-F885,1)*24,2))</f>
        <v/>
      </c>
      <c r="I885" s="342" t="n"/>
      <c r="J885" s="342" t="n"/>
      <c r="K885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886" ht="20" customHeight="1">
      <c r="A886" s="336">
        <f>IF($K886="","",WEEKNUM($K886,21))</f>
        <v/>
      </c>
      <c r="B886" s="337">
        <f>IF($K886="","",$K886)</f>
        <v/>
      </c>
      <c r="C886" s="338">
        <f>IF($K886="","",$K886)</f>
        <v/>
      </c>
      <c r="D886" s="171" t="n"/>
      <c r="E886" s="171" t="n"/>
      <c r="F886" s="172" t="n"/>
      <c r="G886" s="172" t="n"/>
      <c r="H886" s="173">
        <f>IF(OR(F886="",G886=""),"",ROUND(MOD(G886-F886,1)*24,2))</f>
        <v/>
      </c>
      <c r="I886" s="339" t="n"/>
      <c r="J886" s="339" t="n"/>
      <c r="K886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87" ht="20" customHeight="1">
      <c r="D887" s="179" t="n"/>
      <c r="E887" s="179" t="n"/>
      <c r="F887" s="180" t="n"/>
      <c r="G887" s="180" t="n"/>
      <c r="H887" s="181">
        <f>IF(OR(F887="",G887=""),"",ROUND(MOD(G887-F887,1)*24,2))</f>
        <v/>
      </c>
      <c r="K887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88" ht="20" customHeight="1">
      <c r="D888" s="179" t="n"/>
      <c r="E888" s="179" t="n"/>
      <c r="F888" s="180" t="n"/>
      <c r="G888" s="180" t="n"/>
      <c r="H888" s="181">
        <f>IF(OR(F888="",G888=""),"",ROUND(MOD(G888-F888,1)*24,2))</f>
        <v/>
      </c>
      <c r="K888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89" ht="20" customHeight="1">
      <c r="D889" s="179" t="n"/>
      <c r="E889" s="179" t="n"/>
      <c r="F889" s="180" t="n"/>
      <c r="G889" s="180" t="n"/>
      <c r="H889" s="181">
        <f>IF(OR(F889="",G889=""),"",ROUND(MOD(G889-F889,1)*24,2))</f>
        <v/>
      </c>
      <c r="K889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90" collapsed="1" ht="20" customHeight="1">
      <c r="D890" s="179" t="n"/>
      <c r="E890" s="179" t="n"/>
      <c r="F890" s="180" t="n"/>
      <c r="G890" s="180" t="n"/>
      <c r="H890" s="181">
        <f>IF(OR(F890="",G890=""),"",ROUND(MOD(G890-F890,1)*24,2))</f>
        <v/>
      </c>
      <c r="K890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91" hidden="1" outlineLevel="1" ht="20" customHeight="1">
      <c r="D891" s="179" t="n"/>
      <c r="E891" s="179" t="n"/>
      <c r="F891" s="180" t="n"/>
      <c r="G891" s="180" t="n"/>
      <c r="H891" s="181">
        <f>IF(OR(F891="",G891=""),"",ROUND(MOD(G891-F891,1)*24,2))</f>
        <v/>
      </c>
      <c r="K891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92" hidden="1" outlineLevel="1" ht="20" customHeight="1">
      <c r="D892" s="179" t="n"/>
      <c r="E892" s="179" t="n"/>
      <c r="F892" s="180" t="n"/>
      <c r="G892" s="180" t="n"/>
      <c r="H892" s="181">
        <f>IF(OR(F892="",G892=""),"",ROUND(MOD(G892-F892,1)*24,2))</f>
        <v/>
      </c>
      <c r="K892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93" hidden="1" outlineLevel="1" ht="20" customHeight="1">
      <c r="D893" s="179" t="n"/>
      <c r="E893" s="179" t="n"/>
      <c r="F893" s="180" t="n"/>
      <c r="G893" s="180" t="n"/>
      <c r="H893" s="181">
        <f>IF(OR(F893="",G893=""),"",ROUND(MOD(G893-F893,1)*24,2))</f>
        <v/>
      </c>
      <c r="K893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94" hidden="1" outlineLevel="1" ht="20" customHeight="1">
      <c r="D894" s="179" t="n"/>
      <c r="E894" s="179" t="n"/>
      <c r="F894" s="180" t="n"/>
      <c r="G894" s="180" t="n"/>
      <c r="H894" s="181">
        <f>IF(OR(F894="",G894=""),"",ROUND(MOD(G894-F894,1)*24,2))</f>
        <v/>
      </c>
      <c r="K894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95" hidden="1" outlineLevel="1" ht="20" customHeight="1">
      <c r="A895" s="342" t="n"/>
      <c r="B895" s="342" t="n"/>
      <c r="C895" s="342" t="n"/>
      <c r="D895" s="332" t="n"/>
      <c r="E895" s="332" t="n"/>
      <c r="F895" s="333" t="n"/>
      <c r="G895" s="333" t="n"/>
      <c r="H895" s="334">
        <f>IF(OR(F895="",G895=""),"",ROUND(MOD(G895-F895,1)*24,2))</f>
        <v/>
      </c>
      <c r="I895" s="342" t="n"/>
      <c r="J895" s="342" t="n"/>
      <c r="K895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896" ht="20" customHeight="1">
      <c r="A896" s="336">
        <f>IF($K896="","",WEEKNUM($K896,21))</f>
        <v/>
      </c>
      <c r="B896" s="337">
        <f>IF($K896="","",$K896)</f>
        <v/>
      </c>
      <c r="C896" s="338">
        <f>IF($K896="","",$K896)</f>
        <v/>
      </c>
      <c r="D896" s="171" t="n"/>
      <c r="E896" s="171" t="n"/>
      <c r="F896" s="172" t="n"/>
      <c r="G896" s="172" t="n"/>
      <c r="H896" s="173">
        <f>IF(OR(F896="",G896=""),"",ROUND(MOD(G896-F896,1)*24,2))</f>
        <v/>
      </c>
      <c r="I896" s="339" t="n"/>
      <c r="J896" s="339" t="n"/>
      <c r="K896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897" ht="20" customHeight="1">
      <c r="D897" s="179" t="n"/>
      <c r="E897" s="179" t="n"/>
      <c r="F897" s="180" t="n"/>
      <c r="G897" s="180" t="n"/>
      <c r="H897" s="181">
        <f>IF(OR(F897="",G897=""),"",ROUND(MOD(G897-F897,1)*24,2))</f>
        <v/>
      </c>
      <c r="K897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898" ht="20" customHeight="1">
      <c r="D898" s="179" t="n"/>
      <c r="E898" s="179" t="n"/>
      <c r="F898" s="180" t="n"/>
      <c r="G898" s="180" t="n"/>
      <c r="H898" s="181">
        <f>IF(OR(F898="",G898=""),"",ROUND(MOD(G898-F898,1)*24,2))</f>
        <v/>
      </c>
      <c r="K898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899" ht="20" customHeight="1">
      <c r="D899" s="179" t="n"/>
      <c r="E899" s="179" t="n"/>
      <c r="F899" s="180" t="n"/>
      <c r="G899" s="180" t="n"/>
      <c r="H899" s="181">
        <f>IF(OR(F899="",G899=""),"",ROUND(MOD(G899-F899,1)*24,2))</f>
        <v/>
      </c>
      <c r="K899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900" collapsed="1" ht="20" customHeight="1">
      <c r="D900" s="179" t="n"/>
      <c r="E900" s="179" t="n"/>
      <c r="F900" s="180" t="n"/>
      <c r="G900" s="180" t="n"/>
      <c r="H900" s="181">
        <f>IF(OR(F900="",G900=""),"",ROUND(MOD(G900-F900,1)*24,2))</f>
        <v/>
      </c>
      <c r="K900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901" hidden="1" outlineLevel="1" ht="20" customHeight="1">
      <c r="D901" s="179" t="n"/>
      <c r="E901" s="179" t="n"/>
      <c r="F901" s="180" t="n"/>
      <c r="G901" s="180" t="n"/>
      <c r="H901" s="181">
        <f>IF(OR(F901="",G901=""),"",ROUND(MOD(G901-F901,1)*24,2))</f>
        <v/>
      </c>
      <c r="K901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902" hidden="1" outlineLevel="1" ht="20" customHeight="1">
      <c r="D902" s="179" t="n"/>
      <c r="E902" s="179" t="n"/>
      <c r="F902" s="180" t="n"/>
      <c r="G902" s="180" t="n"/>
      <c r="H902" s="181">
        <f>IF(OR(F902="",G902=""),"",ROUND(MOD(G902-F902,1)*24,2))</f>
        <v/>
      </c>
      <c r="K902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903" hidden="1" outlineLevel="1" ht="20" customHeight="1">
      <c r="D903" s="179" t="n"/>
      <c r="E903" s="179" t="n"/>
      <c r="F903" s="180" t="n"/>
      <c r="G903" s="180" t="n"/>
      <c r="H903" s="181">
        <f>IF(OR(F903="",G903=""),"",ROUND(MOD(G903-F903,1)*24,2))</f>
        <v/>
      </c>
      <c r="K903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904" hidden="1" outlineLevel="1" ht="20" customHeight="1">
      <c r="D904" s="179" t="n"/>
      <c r="E904" s="179" t="n"/>
      <c r="F904" s="180" t="n"/>
      <c r="G904" s="180" t="n"/>
      <c r="H904" s="181">
        <f>IF(OR(F904="",G904=""),"",ROUND(MOD(G904-F904,1)*24,2))</f>
        <v/>
      </c>
      <c r="K904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905" hidden="1" outlineLevel="1" ht="20" customHeight="1">
      <c r="A905" s="342" t="n"/>
      <c r="B905" s="342" t="n"/>
      <c r="C905" s="342" t="n"/>
      <c r="D905" s="332" t="n"/>
      <c r="E905" s="332" t="n"/>
      <c r="F905" s="333" t="n"/>
      <c r="G905" s="333" t="n"/>
      <c r="H905" s="334">
        <f>IF(OR(F905="",G905=""),"",ROUND(MOD(G905-F905,1)*24,2))</f>
        <v/>
      </c>
      <c r="I905" s="342" t="n"/>
      <c r="J905" s="342" t="n"/>
      <c r="K905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906" ht="20" customHeight="1">
      <c r="A906" s="336">
        <f>IF($K906="","",WEEKNUM($K906,21))</f>
        <v/>
      </c>
      <c r="B906" s="337">
        <f>IF($K906="","",$K906)</f>
        <v/>
      </c>
      <c r="C906" s="338">
        <f>IF($K906="","",$K906)</f>
        <v/>
      </c>
      <c r="D906" s="171" t="n"/>
      <c r="E906" s="171" t="n"/>
      <c r="F906" s="172" t="n"/>
      <c r="G906" s="172" t="n"/>
      <c r="H906" s="173">
        <f>IF(OR(F906="",G906=""),"",ROUND(MOD(G906-F906,1)*24,2))</f>
        <v/>
      </c>
      <c r="I906" s="339" t="n"/>
      <c r="J906" s="339" t="n"/>
      <c r="K906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07" ht="20" customHeight="1">
      <c r="D907" s="179" t="n"/>
      <c r="E907" s="179" t="n"/>
      <c r="F907" s="180" t="n"/>
      <c r="G907" s="180" t="n"/>
      <c r="H907" s="181">
        <f>IF(OR(F907="",G907=""),"",ROUND(MOD(G907-F907,1)*24,2))</f>
        <v/>
      </c>
      <c r="K907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08" ht="20" customHeight="1">
      <c r="D908" s="179" t="n"/>
      <c r="E908" s="179" t="n"/>
      <c r="F908" s="180" t="n"/>
      <c r="G908" s="180" t="n"/>
      <c r="H908" s="181">
        <f>IF(OR(F908="",G908=""),"",ROUND(MOD(G908-F908,1)*24,2))</f>
        <v/>
      </c>
      <c r="K908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09" ht="20" customHeight="1">
      <c r="D909" s="179" t="n"/>
      <c r="E909" s="179" t="n"/>
      <c r="F909" s="180" t="n"/>
      <c r="G909" s="180" t="n"/>
      <c r="H909" s="181">
        <f>IF(OR(F909="",G909=""),"",ROUND(MOD(G909-F909,1)*24,2))</f>
        <v/>
      </c>
      <c r="K909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10" collapsed="1" ht="20" customHeight="1">
      <c r="D910" s="179" t="n"/>
      <c r="E910" s="179" t="n"/>
      <c r="F910" s="180" t="n"/>
      <c r="G910" s="180" t="n"/>
      <c r="H910" s="181">
        <f>IF(OR(F910="",G910=""),"",ROUND(MOD(G910-F910,1)*24,2))</f>
        <v/>
      </c>
      <c r="K910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11" hidden="1" outlineLevel="1" ht="20" customHeight="1">
      <c r="D911" s="179" t="n"/>
      <c r="E911" s="179" t="n"/>
      <c r="F911" s="180" t="n"/>
      <c r="G911" s="180" t="n"/>
      <c r="H911" s="181">
        <f>IF(OR(F911="",G911=""),"",ROUND(MOD(G911-F911,1)*24,2))</f>
        <v/>
      </c>
      <c r="K911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12" hidden="1" outlineLevel="1" ht="20" customHeight="1">
      <c r="D912" s="179" t="n"/>
      <c r="E912" s="179" t="n"/>
      <c r="F912" s="180" t="n"/>
      <c r="G912" s="180" t="n"/>
      <c r="H912" s="181">
        <f>IF(OR(F912="",G912=""),"",ROUND(MOD(G912-F912,1)*24,2))</f>
        <v/>
      </c>
      <c r="K912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13" hidden="1" outlineLevel="1" ht="20" customHeight="1">
      <c r="D913" s="179" t="n"/>
      <c r="E913" s="179" t="n"/>
      <c r="F913" s="180" t="n"/>
      <c r="G913" s="180" t="n"/>
      <c r="H913" s="181">
        <f>IF(OR(F913="",G913=""),"",ROUND(MOD(G913-F913,1)*24,2))</f>
        <v/>
      </c>
      <c r="K913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14" hidden="1" outlineLevel="1" ht="20" customHeight="1">
      <c r="D914" s="179" t="n"/>
      <c r="E914" s="179" t="n"/>
      <c r="F914" s="180" t="n"/>
      <c r="G914" s="180" t="n"/>
      <c r="H914" s="181">
        <f>IF(OR(F914="",G914=""),"",ROUND(MOD(G914-F914,1)*24,2))</f>
        <v/>
      </c>
      <c r="K914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15" hidden="1" outlineLevel="1" ht="20" customHeight="1">
      <c r="A915" s="342" t="n"/>
      <c r="B915" s="342" t="n"/>
      <c r="C915" s="342" t="n"/>
      <c r="D915" s="332" t="n"/>
      <c r="E915" s="332" t="n"/>
      <c r="F915" s="333" t="n"/>
      <c r="G915" s="333" t="n"/>
      <c r="H915" s="334">
        <f>IF(OR(F915="",G915=""),"",ROUND(MOD(G915-F915,1)*24,2))</f>
        <v/>
      </c>
      <c r="I915" s="342" t="n"/>
      <c r="J915" s="342" t="n"/>
      <c r="K915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16" ht="20" customHeight="1">
      <c r="A916" s="336">
        <f>IF($K916="","",WEEKNUM($K916,21))</f>
        <v/>
      </c>
      <c r="B916" s="337">
        <f>IF($K916="","",$K916)</f>
        <v/>
      </c>
      <c r="C916" s="338">
        <f>IF($K916="","",$K916)</f>
        <v/>
      </c>
      <c r="D916" s="171" t="n"/>
      <c r="E916" s="171" t="n"/>
      <c r="F916" s="172" t="n"/>
      <c r="G916" s="172" t="n"/>
      <c r="H916" s="173">
        <f>IF(OR(F916="",G916=""),"",ROUND(MOD(G916-F916,1)*24,2))</f>
        <v/>
      </c>
      <c r="I916" s="339" t="n"/>
      <c r="J916" s="339" t="n"/>
      <c r="K916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17" ht="20" customHeight="1">
      <c r="D917" s="179" t="n"/>
      <c r="E917" s="179" t="n"/>
      <c r="F917" s="180" t="n"/>
      <c r="G917" s="180" t="n"/>
      <c r="H917" s="181">
        <f>IF(OR(F917="",G917=""),"",ROUND(MOD(G917-F917,1)*24,2))</f>
        <v/>
      </c>
      <c r="K917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18" ht="20" customHeight="1">
      <c r="D918" s="179" t="n"/>
      <c r="E918" s="179" t="n"/>
      <c r="F918" s="180" t="n"/>
      <c r="G918" s="180" t="n"/>
      <c r="H918" s="181">
        <f>IF(OR(F918="",G918=""),"",ROUND(MOD(G918-F918,1)*24,2))</f>
        <v/>
      </c>
      <c r="K918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19" ht="20" customHeight="1">
      <c r="D919" s="179" t="n"/>
      <c r="E919" s="179" t="n"/>
      <c r="F919" s="180" t="n"/>
      <c r="G919" s="180" t="n"/>
      <c r="H919" s="181">
        <f>IF(OR(F919="",G919=""),"",ROUND(MOD(G919-F919,1)*24,2))</f>
        <v/>
      </c>
      <c r="K919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20" collapsed="1" ht="20" customHeight="1">
      <c r="D920" s="179" t="n"/>
      <c r="E920" s="179" t="n"/>
      <c r="F920" s="180" t="n"/>
      <c r="G920" s="180" t="n"/>
      <c r="H920" s="181">
        <f>IF(OR(F920="",G920=""),"",ROUND(MOD(G920-F920,1)*24,2))</f>
        <v/>
      </c>
      <c r="K920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21" hidden="1" outlineLevel="1" ht="20" customHeight="1">
      <c r="D921" s="179" t="n"/>
      <c r="E921" s="179" t="n"/>
      <c r="F921" s="180" t="n"/>
      <c r="G921" s="180" t="n"/>
      <c r="H921" s="181">
        <f>IF(OR(F921="",G921=""),"",ROUND(MOD(G921-F921,1)*24,2))</f>
        <v/>
      </c>
      <c r="K921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22" hidden="1" outlineLevel="1" ht="20" customHeight="1">
      <c r="D922" s="179" t="n"/>
      <c r="E922" s="179" t="n"/>
      <c r="F922" s="180" t="n"/>
      <c r="G922" s="180" t="n"/>
      <c r="H922" s="181">
        <f>IF(OR(F922="",G922=""),"",ROUND(MOD(G922-F922,1)*24,2))</f>
        <v/>
      </c>
      <c r="K922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23" hidden="1" outlineLevel="1" ht="20" customHeight="1">
      <c r="D923" s="179" t="n"/>
      <c r="E923" s="179" t="n"/>
      <c r="F923" s="180" t="n"/>
      <c r="G923" s="180" t="n"/>
      <c r="H923" s="181">
        <f>IF(OR(F923="",G923=""),"",ROUND(MOD(G923-F923,1)*24,2))</f>
        <v/>
      </c>
      <c r="K923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24" hidden="1" outlineLevel="1" ht="20" customHeight="1">
      <c r="D924" s="179" t="n"/>
      <c r="E924" s="179" t="n"/>
      <c r="F924" s="180" t="n"/>
      <c r="G924" s="180" t="n"/>
      <c r="H924" s="181">
        <f>IF(OR(F924="",G924=""),"",ROUND(MOD(G924-F924,1)*24,2))</f>
        <v/>
      </c>
      <c r="K924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25" hidden="1" outlineLevel="1" ht="20" customHeight="1">
      <c r="A925" s="342" t="n"/>
      <c r="B925" s="342" t="n"/>
      <c r="C925" s="342" t="n"/>
      <c r="D925" s="332" t="n"/>
      <c r="E925" s="332" t="n"/>
      <c r="F925" s="333" t="n"/>
      <c r="G925" s="333" t="n"/>
      <c r="H925" s="334">
        <f>IF(OR(F925="",G925=""),"",ROUND(MOD(G925-F925,1)*24,2))</f>
        <v/>
      </c>
      <c r="I925" s="342" t="n"/>
      <c r="J925" s="342" t="n"/>
      <c r="K925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26" ht="20" customHeight="1">
      <c r="A926" s="336">
        <f>IF($K926="","",WEEKNUM($K926,21))</f>
        <v/>
      </c>
      <c r="B926" s="337">
        <f>IF($K926="","",$K926)</f>
        <v/>
      </c>
      <c r="C926" s="338">
        <f>IF($K926="","",$K926)</f>
        <v/>
      </c>
      <c r="D926" s="171" t="n"/>
      <c r="E926" s="171" t="n"/>
      <c r="F926" s="172" t="n"/>
      <c r="G926" s="172" t="n"/>
      <c r="H926" s="173">
        <f>IF(OR(F926="",G926=""),"",ROUND(MOD(G926-F926,1)*24,2))</f>
        <v/>
      </c>
      <c r="I926" s="339" t="n"/>
      <c r="J926" s="339" t="n"/>
      <c r="K926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27" ht="20" customHeight="1">
      <c r="D927" s="179" t="n"/>
      <c r="E927" s="179" t="n"/>
      <c r="F927" s="180" t="n"/>
      <c r="G927" s="180" t="n"/>
      <c r="H927" s="181">
        <f>IF(OR(F927="",G927=""),"",ROUND(MOD(G927-F927,1)*24,2))</f>
        <v/>
      </c>
      <c r="K927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28" ht="20" customHeight="1">
      <c r="D928" s="179" t="n"/>
      <c r="E928" s="179" t="n"/>
      <c r="F928" s="180" t="n"/>
      <c r="G928" s="180" t="n"/>
      <c r="H928" s="181">
        <f>IF(OR(F928="",G928=""),"",ROUND(MOD(G928-F928,1)*24,2))</f>
        <v/>
      </c>
      <c r="K928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29" ht="20" customHeight="1">
      <c r="D929" s="179" t="n"/>
      <c r="E929" s="179" t="n"/>
      <c r="F929" s="180" t="n"/>
      <c r="G929" s="180" t="n"/>
      <c r="H929" s="181">
        <f>IF(OR(F929="",G929=""),"",ROUND(MOD(G929-F929,1)*24,2))</f>
        <v/>
      </c>
      <c r="K929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30" collapsed="1" ht="20" customHeight="1">
      <c r="D930" s="179" t="n"/>
      <c r="E930" s="179" t="n"/>
      <c r="F930" s="180" t="n"/>
      <c r="G930" s="180" t="n"/>
      <c r="H930" s="181">
        <f>IF(OR(F930="",G930=""),"",ROUND(MOD(G930-F930,1)*24,2))</f>
        <v/>
      </c>
      <c r="K930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31" hidden="1" outlineLevel="1" ht="20" customHeight="1">
      <c r="D931" s="179" t="n"/>
      <c r="E931" s="179" t="n"/>
      <c r="F931" s="180" t="n"/>
      <c r="G931" s="180" t="n"/>
      <c r="H931" s="181">
        <f>IF(OR(F931="",G931=""),"",ROUND(MOD(G931-F931,1)*24,2))</f>
        <v/>
      </c>
      <c r="K931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32" hidden="1" outlineLevel="1" ht="20" customHeight="1">
      <c r="D932" s="179" t="n"/>
      <c r="E932" s="179" t="n"/>
      <c r="F932" s="180" t="n"/>
      <c r="G932" s="180" t="n"/>
      <c r="H932" s="181">
        <f>IF(OR(F932="",G932=""),"",ROUND(MOD(G932-F932,1)*24,2))</f>
        <v/>
      </c>
      <c r="K932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33" hidden="1" outlineLevel="1" ht="20" customHeight="1">
      <c r="D933" s="179" t="n"/>
      <c r="E933" s="179" t="n"/>
      <c r="F933" s="180" t="n"/>
      <c r="G933" s="180" t="n"/>
      <c r="H933" s="181">
        <f>IF(OR(F933="",G933=""),"",ROUND(MOD(G933-F933,1)*24,2))</f>
        <v/>
      </c>
      <c r="K933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34" hidden="1" outlineLevel="1" ht="20" customHeight="1">
      <c r="D934" s="179" t="n"/>
      <c r="E934" s="179" t="n"/>
      <c r="F934" s="180" t="n"/>
      <c r="G934" s="180" t="n"/>
      <c r="H934" s="181">
        <f>IF(OR(F934="",G934=""),"",ROUND(MOD(G934-F934,1)*24,2))</f>
        <v/>
      </c>
      <c r="K934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35" hidden="1" outlineLevel="1" ht="20" customHeight="1">
      <c r="A935" s="342" t="n"/>
      <c r="B935" s="342" t="n"/>
      <c r="C935" s="342" t="n"/>
      <c r="D935" s="332" t="n"/>
      <c r="E935" s="332" t="n"/>
      <c r="F935" s="333" t="n"/>
      <c r="G935" s="333" t="n"/>
      <c r="H935" s="334">
        <f>IF(OR(F935="",G935=""),"",ROUND(MOD(G935-F935,1)*24,2))</f>
        <v/>
      </c>
      <c r="I935" s="342" t="n"/>
      <c r="J935" s="342" t="n"/>
      <c r="K935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36" ht="20" customHeight="1">
      <c r="A936" s="336">
        <f>IF($K936="","",WEEKNUM($K936,21))</f>
        <v/>
      </c>
      <c r="B936" s="337">
        <f>IF($K936="","",$K936)</f>
        <v/>
      </c>
      <c r="C936" s="338">
        <f>IF($K936="","",$K936)</f>
        <v/>
      </c>
      <c r="D936" s="171" t="n"/>
      <c r="E936" s="171" t="n"/>
      <c r="F936" s="172" t="n"/>
      <c r="G936" s="172" t="n"/>
      <c r="H936" s="173">
        <f>IF(OR(F936="",G936=""),"",ROUND(MOD(G936-F936,1)*24,2))</f>
        <v/>
      </c>
      <c r="I936" s="339" t="n"/>
      <c r="J936" s="339" t="n"/>
      <c r="K936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37" ht="20" customHeight="1">
      <c r="D937" s="179" t="n"/>
      <c r="E937" s="179" t="n"/>
      <c r="F937" s="180" t="n"/>
      <c r="G937" s="180" t="n"/>
      <c r="H937" s="181">
        <f>IF(OR(F937="",G937=""),"",ROUND(MOD(G937-F937,1)*24,2))</f>
        <v/>
      </c>
      <c r="K937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38" ht="20" customHeight="1">
      <c r="D938" s="179" t="n"/>
      <c r="E938" s="179" t="n"/>
      <c r="F938" s="180" t="n"/>
      <c r="G938" s="180" t="n"/>
      <c r="H938" s="181">
        <f>IF(OR(F938="",G938=""),"",ROUND(MOD(G938-F938,1)*24,2))</f>
        <v/>
      </c>
      <c r="K938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39" ht="20" customHeight="1">
      <c r="D939" s="179" t="n"/>
      <c r="E939" s="179" t="n"/>
      <c r="F939" s="180" t="n"/>
      <c r="G939" s="180" t="n"/>
      <c r="H939" s="181">
        <f>IF(OR(F939="",G939=""),"",ROUND(MOD(G939-F939,1)*24,2))</f>
        <v/>
      </c>
      <c r="K939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40" collapsed="1" ht="20" customHeight="1">
      <c r="D940" s="179" t="n"/>
      <c r="E940" s="179" t="n"/>
      <c r="F940" s="180" t="n"/>
      <c r="G940" s="180" t="n"/>
      <c r="H940" s="181">
        <f>IF(OR(F940="",G940=""),"",ROUND(MOD(G940-F940,1)*24,2))</f>
        <v/>
      </c>
      <c r="K940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41" hidden="1" outlineLevel="1" ht="20" customHeight="1">
      <c r="D941" s="179" t="n"/>
      <c r="E941" s="179" t="n"/>
      <c r="F941" s="180" t="n"/>
      <c r="G941" s="180" t="n"/>
      <c r="H941" s="181">
        <f>IF(OR(F941="",G941=""),"",ROUND(MOD(G941-F941,1)*24,2))</f>
        <v/>
      </c>
      <c r="K941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42" hidden="1" outlineLevel="1" ht="20" customHeight="1">
      <c r="D942" s="179" t="n"/>
      <c r="E942" s="179" t="n"/>
      <c r="F942" s="180" t="n"/>
      <c r="G942" s="180" t="n"/>
      <c r="H942" s="181">
        <f>IF(OR(F942="",G942=""),"",ROUND(MOD(G942-F942,1)*24,2))</f>
        <v/>
      </c>
      <c r="K942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43" hidden="1" outlineLevel="1" ht="20" customHeight="1">
      <c r="D943" s="179" t="n"/>
      <c r="E943" s="179" t="n"/>
      <c r="F943" s="180" t="n"/>
      <c r="G943" s="180" t="n"/>
      <c r="H943" s="181">
        <f>IF(OR(F943="",G943=""),"",ROUND(MOD(G943-F943,1)*24,2))</f>
        <v/>
      </c>
      <c r="K943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44" hidden="1" outlineLevel="1" ht="20" customHeight="1">
      <c r="D944" s="179" t="n"/>
      <c r="E944" s="179" t="n"/>
      <c r="F944" s="180" t="n"/>
      <c r="G944" s="180" t="n"/>
      <c r="H944" s="181">
        <f>IF(OR(F944="",G944=""),"",ROUND(MOD(G944-F944,1)*24,2))</f>
        <v/>
      </c>
      <c r="K944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45" hidden="1" outlineLevel="1" ht="20" customHeight="1">
      <c r="A945" s="342" t="n"/>
      <c r="B945" s="342" t="n"/>
      <c r="C945" s="342" t="n"/>
      <c r="D945" s="332" t="n"/>
      <c r="E945" s="332" t="n"/>
      <c r="F945" s="333" t="n"/>
      <c r="G945" s="333" t="n"/>
      <c r="H945" s="334">
        <f>IF(OR(F945="",G945=""),"",ROUND(MOD(G945-F945,1)*24,2))</f>
        <v/>
      </c>
      <c r="I945" s="342" t="n"/>
      <c r="J945" s="342" t="n"/>
      <c r="K945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46" ht="20" customHeight="1">
      <c r="A946" s="336">
        <f>IF($K946="","",WEEKNUM($K946,21))</f>
        <v/>
      </c>
      <c r="B946" s="337">
        <f>IF($K946="","",$K946)</f>
        <v/>
      </c>
      <c r="C946" s="338">
        <f>IF($K946="","",$K946)</f>
        <v/>
      </c>
      <c r="D946" s="171" t="n"/>
      <c r="E946" s="171" t="n"/>
      <c r="F946" s="172" t="n"/>
      <c r="G946" s="172" t="n"/>
      <c r="H946" s="173">
        <f>IF(OR(F946="",G946=""),"",ROUND(MOD(G946-F946,1)*24,2))</f>
        <v/>
      </c>
      <c r="I946" s="339" t="n"/>
      <c r="J946" s="339" t="n"/>
      <c r="K946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47" ht="20" customHeight="1">
      <c r="D947" s="179" t="n"/>
      <c r="E947" s="179" t="n"/>
      <c r="F947" s="180" t="n"/>
      <c r="G947" s="180" t="n"/>
      <c r="H947" s="181">
        <f>IF(OR(F947="",G947=""),"",ROUND(MOD(G947-F947,1)*24,2))</f>
        <v/>
      </c>
      <c r="K947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48" ht="20" customHeight="1">
      <c r="D948" s="179" t="n"/>
      <c r="E948" s="179" t="n"/>
      <c r="F948" s="180" t="n"/>
      <c r="G948" s="180" t="n"/>
      <c r="H948" s="181">
        <f>IF(OR(F948="",G948=""),"",ROUND(MOD(G948-F948,1)*24,2))</f>
        <v/>
      </c>
      <c r="K948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49" ht="20" customHeight="1">
      <c r="D949" s="179" t="n"/>
      <c r="E949" s="179" t="n"/>
      <c r="F949" s="180" t="n"/>
      <c r="G949" s="180" t="n"/>
      <c r="H949" s="181">
        <f>IF(OR(F949="",G949=""),"",ROUND(MOD(G949-F949,1)*24,2))</f>
        <v/>
      </c>
      <c r="K949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50" collapsed="1" ht="20" customHeight="1">
      <c r="D950" s="179" t="n"/>
      <c r="E950" s="179" t="n"/>
      <c r="F950" s="180" t="n"/>
      <c r="G950" s="180" t="n"/>
      <c r="H950" s="181">
        <f>IF(OR(F950="",G950=""),"",ROUND(MOD(G950-F950,1)*24,2))</f>
        <v/>
      </c>
      <c r="K950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51" hidden="1" outlineLevel="1" ht="20" customHeight="1">
      <c r="D951" s="179" t="n"/>
      <c r="E951" s="179" t="n"/>
      <c r="F951" s="180" t="n"/>
      <c r="G951" s="180" t="n"/>
      <c r="H951" s="181">
        <f>IF(OR(F951="",G951=""),"",ROUND(MOD(G951-F951,1)*24,2))</f>
        <v/>
      </c>
      <c r="K951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52" hidden="1" outlineLevel="1" ht="20" customHeight="1">
      <c r="D952" s="179" t="n"/>
      <c r="E952" s="179" t="n"/>
      <c r="F952" s="180" t="n"/>
      <c r="G952" s="180" t="n"/>
      <c r="H952" s="181">
        <f>IF(OR(F952="",G952=""),"",ROUND(MOD(G952-F952,1)*24,2))</f>
        <v/>
      </c>
      <c r="K952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53" hidden="1" outlineLevel="1" ht="20" customHeight="1">
      <c r="D953" s="179" t="n"/>
      <c r="E953" s="179" t="n"/>
      <c r="F953" s="180" t="n"/>
      <c r="G953" s="180" t="n"/>
      <c r="H953" s="181">
        <f>IF(OR(F953="",G953=""),"",ROUND(MOD(G953-F953,1)*24,2))</f>
        <v/>
      </c>
      <c r="K953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54" hidden="1" outlineLevel="1" ht="20" customHeight="1">
      <c r="D954" s="179" t="n"/>
      <c r="E954" s="179" t="n"/>
      <c r="F954" s="180" t="n"/>
      <c r="G954" s="180" t="n"/>
      <c r="H954" s="181">
        <f>IF(OR(F954="",G954=""),"",ROUND(MOD(G954-F954,1)*24,2))</f>
        <v/>
      </c>
      <c r="K954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55" hidden="1" outlineLevel="1" ht="20" customHeight="1">
      <c r="A955" s="342" t="n"/>
      <c r="B955" s="342" t="n"/>
      <c r="C955" s="342" t="n"/>
      <c r="D955" s="332" t="n"/>
      <c r="E955" s="332" t="n"/>
      <c r="F955" s="333" t="n"/>
      <c r="G955" s="333" t="n"/>
      <c r="H955" s="334">
        <f>IF(OR(F955="",G955=""),"",ROUND(MOD(G955-F955,1)*24,2))</f>
        <v/>
      </c>
      <c r="I955" s="342" t="n"/>
      <c r="J955" s="342" t="n"/>
      <c r="K955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56" ht="20" customHeight="1">
      <c r="A956" s="336">
        <f>IF($K956="","",WEEKNUM($K956,21))</f>
        <v/>
      </c>
      <c r="B956" s="337">
        <f>IF($K956="","",$K956)</f>
        <v/>
      </c>
      <c r="C956" s="338">
        <f>IF($K956="","",$K956)</f>
        <v/>
      </c>
      <c r="D956" s="171" t="n"/>
      <c r="E956" s="171" t="n"/>
      <c r="F956" s="172" t="n"/>
      <c r="G956" s="172" t="n"/>
      <c r="H956" s="173">
        <f>IF(OR(F956="",G956=""),"",ROUND(MOD(G956-F956,1)*24,2))</f>
        <v/>
      </c>
      <c r="I956" s="339" t="n"/>
      <c r="J956" s="339" t="n"/>
      <c r="K956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57" ht="20" customHeight="1">
      <c r="D957" s="179" t="n"/>
      <c r="E957" s="179" t="n"/>
      <c r="F957" s="180" t="n"/>
      <c r="G957" s="180" t="n"/>
      <c r="H957" s="181">
        <f>IF(OR(F957="",G957=""),"",ROUND(MOD(G957-F957,1)*24,2))</f>
        <v/>
      </c>
      <c r="K957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58" ht="20" customHeight="1">
      <c r="D958" s="179" t="n"/>
      <c r="E958" s="179" t="n"/>
      <c r="F958" s="180" t="n"/>
      <c r="G958" s="180" t="n"/>
      <c r="H958" s="181">
        <f>IF(OR(F958="",G958=""),"",ROUND(MOD(G958-F958,1)*24,2))</f>
        <v/>
      </c>
      <c r="K958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59" ht="20" customHeight="1">
      <c r="D959" s="179" t="n"/>
      <c r="E959" s="179" t="n"/>
      <c r="F959" s="180" t="n"/>
      <c r="G959" s="180" t="n"/>
      <c r="H959" s="181">
        <f>IF(OR(F959="",G959=""),"",ROUND(MOD(G959-F959,1)*24,2))</f>
        <v/>
      </c>
      <c r="K959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60" collapsed="1" ht="20" customHeight="1">
      <c r="D960" s="179" t="n"/>
      <c r="E960" s="179" t="n"/>
      <c r="F960" s="180" t="n"/>
      <c r="G960" s="180" t="n"/>
      <c r="H960" s="181">
        <f>IF(OR(F960="",G960=""),"",ROUND(MOD(G960-F960,1)*24,2))</f>
        <v/>
      </c>
      <c r="K960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61" hidden="1" outlineLevel="1" ht="20" customHeight="1">
      <c r="D961" s="179" t="n"/>
      <c r="E961" s="179" t="n"/>
      <c r="F961" s="180" t="n"/>
      <c r="G961" s="180" t="n"/>
      <c r="H961" s="181">
        <f>IF(OR(F961="",G961=""),"",ROUND(MOD(G961-F961,1)*24,2))</f>
        <v/>
      </c>
      <c r="K961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62" hidden="1" outlineLevel="1" ht="20" customHeight="1">
      <c r="D962" s="179" t="n"/>
      <c r="E962" s="179" t="n"/>
      <c r="F962" s="180" t="n"/>
      <c r="G962" s="180" t="n"/>
      <c r="H962" s="181">
        <f>IF(OR(F962="",G962=""),"",ROUND(MOD(G962-F962,1)*24,2))</f>
        <v/>
      </c>
      <c r="K962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63" hidden="1" outlineLevel="1" ht="20" customHeight="1">
      <c r="D963" s="179" t="n"/>
      <c r="E963" s="179" t="n"/>
      <c r="F963" s="180" t="n"/>
      <c r="G963" s="180" t="n"/>
      <c r="H963" s="181">
        <f>IF(OR(F963="",G963=""),"",ROUND(MOD(G963-F963,1)*24,2))</f>
        <v/>
      </c>
      <c r="K963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64" hidden="1" outlineLevel="1" ht="20" customHeight="1">
      <c r="D964" s="179" t="n"/>
      <c r="E964" s="179" t="n"/>
      <c r="F964" s="180" t="n"/>
      <c r="G964" s="180" t="n"/>
      <c r="H964" s="181">
        <f>IF(OR(F964="",G964=""),"",ROUND(MOD(G964-F964,1)*24,2))</f>
        <v/>
      </c>
      <c r="K964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65" hidden="1" outlineLevel="1" ht="20" customHeight="1">
      <c r="A965" s="342" t="n"/>
      <c r="B965" s="342" t="n"/>
      <c r="C965" s="342" t="n"/>
      <c r="D965" s="332" t="n"/>
      <c r="E965" s="332" t="n"/>
      <c r="F965" s="333" t="n"/>
      <c r="G965" s="333" t="n"/>
      <c r="H965" s="334">
        <f>IF(OR(F965="",G965=""),"",ROUND(MOD(G965-F965,1)*24,2))</f>
        <v/>
      </c>
      <c r="I965" s="342" t="n"/>
      <c r="J965" s="342" t="n"/>
      <c r="K965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66" ht="20" customHeight="1">
      <c r="A966" s="336">
        <f>IF($K966="","",WEEKNUM($K966,21))</f>
        <v/>
      </c>
      <c r="B966" s="337">
        <f>IF($K966="","",$K966)</f>
        <v/>
      </c>
      <c r="C966" s="338">
        <f>IF($K966="","",$K966)</f>
        <v/>
      </c>
      <c r="D966" s="171" t="n"/>
      <c r="E966" s="171" t="n"/>
      <c r="F966" s="172" t="n"/>
      <c r="G966" s="172" t="n"/>
      <c r="H966" s="173">
        <f>IF(OR(F966="",G966=""),"",ROUND(MOD(G966-F966,1)*24,2))</f>
        <v/>
      </c>
      <c r="I966" s="339" t="n"/>
      <c r="J966" s="339" t="n"/>
      <c r="K966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67" ht="20" customHeight="1">
      <c r="D967" s="179" t="n"/>
      <c r="E967" s="179" t="n"/>
      <c r="F967" s="180" t="n"/>
      <c r="G967" s="180" t="n"/>
      <c r="H967" s="181">
        <f>IF(OR(F967="",G967=""),"",ROUND(MOD(G967-F967,1)*24,2))</f>
        <v/>
      </c>
      <c r="K967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68" ht="20" customHeight="1">
      <c r="D968" s="179" t="n"/>
      <c r="E968" s="179" t="n"/>
      <c r="F968" s="180" t="n"/>
      <c r="G968" s="180" t="n"/>
      <c r="H968" s="181">
        <f>IF(OR(F968="",G968=""),"",ROUND(MOD(G968-F968,1)*24,2))</f>
        <v/>
      </c>
      <c r="K968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69" ht="20" customHeight="1">
      <c r="D969" s="179" t="n"/>
      <c r="E969" s="179" t="n"/>
      <c r="F969" s="180" t="n"/>
      <c r="G969" s="180" t="n"/>
      <c r="H969" s="181">
        <f>IF(OR(F969="",G969=""),"",ROUND(MOD(G969-F969,1)*24,2))</f>
        <v/>
      </c>
      <c r="K969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70" collapsed="1" ht="20" customHeight="1">
      <c r="D970" s="179" t="n"/>
      <c r="E970" s="179" t="n"/>
      <c r="F970" s="180" t="n"/>
      <c r="G970" s="180" t="n"/>
      <c r="H970" s="181">
        <f>IF(OR(F970="",G970=""),"",ROUND(MOD(G970-F970,1)*24,2))</f>
        <v/>
      </c>
      <c r="K970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71" hidden="1" outlineLevel="1" ht="20" customHeight="1">
      <c r="D971" s="179" t="n"/>
      <c r="E971" s="179" t="n"/>
      <c r="F971" s="180" t="n"/>
      <c r="G971" s="180" t="n"/>
      <c r="H971" s="181">
        <f>IF(OR(F971="",G971=""),"",ROUND(MOD(G971-F971,1)*24,2))</f>
        <v/>
      </c>
      <c r="K971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72" hidden="1" outlineLevel="1" ht="20" customHeight="1">
      <c r="D972" s="179" t="n"/>
      <c r="E972" s="179" t="n"/>
      <c r="F972" s="180" t="n"/>
      <c r="G972" s="180" t="n"/>
      <c r="H972" s="181">
        <f>IF(OR(F972="",G972=""),"",ROUND(MOD(G972-F972,1)*24,2))</f>
        <v/>
      </c>
      <c r="K972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73" hidden="1" outlineLevel="1" ht="20" customHeight="1">
      <c r="D973" s="179" t="n"/>
      <c r="E973" s="179" t="n"/>
      <c r="F973" s="180" t="n"/>
      <c r="G973" s="180" t="n"/>
      <c r="H973" s="181">
        <f>IF(OR(F973="",G973=""),"",ROUND(MOD(G973-F973,1)*24,2))</f>
        <v/>
      </c>
      <c r="K973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74" hidden="1" outlineLevel="1" ht="20" customHeight="1">
      <c r="D974" s="179" t="n"/>
      <c r="E974" s="179" t="n"/>
      <c r="F974" s="180" t="n"/>
      <c r="G974" s="180" t="n"/>
      <c r="H974" s="181">
        <f>IF(OR(F974="",G974=""),"",ROUND(MOD(G974-F974,1)*24,2))</f>
        <v/>
      </c>
      <c r="K974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75" hidden="1" outlineLevel="1" ht="20" customHeight="1">
      <c r="A975" s="342" t="n"/>
      <c r="B975" s="342" t="n"/>
      <c r="C975" s="342" t="n"/>
      <c r="D975" s="332" t="n"/>
      <c r="E975" s="332" t="n"/>
      <c r="F975" s="333" t="n"/>
      <c r="G975" s="333" t="n"/>
      <c r="H975" s="334">
        <f>IF(OR(F975="",G975=""),"",ROUND(MOD(G975-F975,1)*24,2))</f>
        <v/>
      </c>
      <c r="I975" s="342" t="n"/>
      <c r="J975" s="342" t="n"/>
      <c r="K975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76" ht="20" customHeight="1">
      <c r="A976" s="336">
        <f>IF($K976="","",WEEKNUM($K976,21))</f>
        <v/>
      </c>
      <c r="B976" s="337">
        <f>IF($K976="","",$K976)</f>
        <v/>
      </c>
      <c r="C976" s="338">
        <f>IF($K976="","",$K976)</f>
        <v/>
      </c>
      <c r="D976" s="171" t="n"/>
      <c r="E976" s="171" t="n"/>
      <c r="F976" s="172" t="n"/>
      <c r="G976" s="172" t="n"/>
      <c r="H976" s="173">
        <f>IF(OR(F976="",G976=""),"",ROUND(MOD(G976-F976,1)*24,2))</f>
        <v/>
      </c>
      <c r="I976" s="339" t="n"/>
      <c r="J976" s="339" t="n"/>
      <c r="K976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77" ht="20" customHeight="1">
      <c r="D977" s="179" t="n"/>
      <c r="E977" s="179" t="n"/>
      <c r="F977" s="180" t="n"/>
      <c r="G977" s="180" t="n"/>
      <c r="H977" s="181">
        <f>IF(OR(F977="",G977=""),"",ROUND(MOD(G977-F977,1)*24,2))</f>
        <v/>
      </c>
      <c r="K977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78" ht="20" customHeight="1">
      <c r="D978" s="179" t="n"/>
      <c r="E978" s="179" t="n"/>
      <c r="F978" s="180" t="n"/>
      <c r="G978" s="180" t="n"/>
      <c r="H978" s="181">
        <f>IF(OR(F978="",G978=""),"",ROUND(MOD(G978-F978,1)*24,2))</f>
        <v/>
      </c>
      <c r="K978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79" ht="20" customHeight="1">
      <c r="D979" s="179" t="n"/>
      <c r="E979" s="179" t="n"/>
      <c r="F979" s="180" t="n"/>
      <c r="G979" s="180" t="n"/>
      <c r="H979" s="181">
        <f>IF(OR(F979="",G979=""),"",ROUND(MOD(G979-F979,1)*24,2))</f>
        <v/>
      </c>
      <c r="K979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80" collapsed="1" ht="20" customHeight="1">
      <c r="D980" s="179" t="n"/>
      <c r="E980" s="179" t="n"/>
      <c r="F980" s="180" t="n"/>
      <c r="G980" s="180" t="n"/>
      <c r="H980" s="181">
        <f>IF(OR(F980="",G980=""),"",ROUND(MOD(G980-F980,1)*24,2))</f>
        <v/>
      </c>
      <c r="K980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81" hidden="1" outlineLevel="1" ht="20" customHeight="1">
      <c r="D981" s="179" t="n"/>
      <c r="E981" s="179" t="n"/>
      <c r="F981" s="180" t="n"/>
      <c r="G981" s="180" t="n"/>
      <c r="H981" s="181">
        <f>IF(OR(F981="",G981=""),"",ROUND(MOD(G981-F981,1)*24,2))</f>
        <v/>
      </c>
      <c r="K981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82" hidden="1" outlineLevel="1" ht="20" customHeight="1">
      <c r="D982" s="179" t="n"/>
      <c r="E982" s="179" t="n"/>
      <c r="F982" s="180" t="n"/>
      <c r="G982" s="180" t="n"/>
      <c r="H982" s="181">
        <f>IF(OR(F982="",G982=""),"",ROUND(MOD(G982-F982,1)*24,2))</f>
        <v/>
      </c>
      <c r="K982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83" hidden="1" outlineLevel="1" ht="20" customHeight="1">
      <c r="D983" s="179" t="n"/>
      <c r="E983" s="179" t="n"/>
      <c r="F983" s="180" t="n"/>
      <c r="G983" s="180" t="n"/>
      <c r="H983" s="181">
        <f>IF(OR(F983="",G983=""),"",ROUND(MOD(G983-F983,1)*24,2))</f>
        <v/>
      </c>
      <c r="K983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84" hidden="1" outlineLevel="1" ht="20" customHeight="1">
      <c r="D984" s="179" t="n"/>
      <c r="E984" s="179" t="n"/>
      <c r="F984" s="180" t="n"/>
      <c r="G984" s="180" t="n"/>
      <c r="H984" s="181">
        <f>IF(OR(F984="",G984=""),"",ROUND(MOD(G984-F984,1)*24,2))</f>
        <v/>
      </c>
      <c r="K984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85" hidden="1" outlineLevel="1" ht="20" customHeight="1">
      <c r="A985" s="342" t="n"/>
      <c r="B985" s="342" t="n"/>
      <c r="C985" s="342" t="n"/>
      <c r="D985" s="332" t="n"/>
      <c r="E985" s="332" t="n"/>
      <c r="F985" s="333" t="n"/>
      <c r="G985" s="333" t="n"/>
      <c r="H985" s="334">
        <f>IF(OR(F985="",G985=""),"",ROUND(MOD(G985-F985,1)*24,2))</f>
        <v/>
      </c>
      <c r="I985" s="342" t="n"/>
      <c r="J985" s="342" t="n"/>
      <c r="K985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986" ht="20" customHeight="1">
      <c r="A986" s="336">
        <f>IF($K986="","",WEEKNUM($K986,21))</f>
        <v/>
      </c>
      <c r="B986" s="337">
        <f>IF($K986="","",$K986)</f>
        <v/>
      </c>
      <c r="C986" s="338">
        <f>IF($K986="","",$K986)</f>
        <v/>
      </c>
      <c r="D986" s="171" t="n"/>
      <c r="E986" s="171" t="n"/>
      <c r="F986" s="172" t="n"/>
      <c r="G986" s="172" t="n"/>
      <c r="H986" s="173">
        <f>IF(OR(F986="",G986=""),"",ROUND(MOD(G986-F986,1)*24,2))</f>
        <v/>
      </c>
      <c r="I986" s="339" t="n"/>
      <c r="J986" s="339" t="n"/>
      <c r="K986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87" ht="20" customHeight="1">
      <c r="D987" s="179" t="n"/>
      <c r="E987" s="179" t="n"/>
      <c r="F987" s="180" t="n"/>
      <c r="G987" s="180" t="n"/>
      <c r="H987" s="181">
        <f>IF(OR(F987="",G987=""),"",ROUND(MOD(G987-F987,1)*24,2))</f>
        <v/>
      </c>
      <c r="K987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88" ht="20" customHeight="1">
      <c r="D988" s="179" t="n"/>
      <c r="E988" s="179" t="n"/>
      <c r="F988" s="180" t="n"/>
      <c r="G988" s="180" t="n"/>
      <c r="H988" s="181">
        <f>IF(OR(F988="",G988=""),"",ROUND(MOD(G988-F988,1)*24,2))</f>
        <v/>
      </c>
      <c r="K988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89" ht="20" customHeight="1">
      <c r="D989" s="179" t="n"/>
      <c r="E989" s="179" t="n"/>
      <c r="F989" s="180" t="n"/>
      <c r="G989" s="180" t="n"/>
      <c r="H989" s="181">
        <f>IF(OR(F989="",G989=""),"",ROUND(MOD(G989-F989,1)*24,2))</f>
        <v/>
      </c>
      <c r="K989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90" collapsed="1" ht="20" customHeight="1">
      <c r="D990" s="179" t="n"/>
      <c r="E990" s="179" t="n"/>
      <c r="F990" s="180" t="n"/>
      <c r="G990" s="180" t="n"/>
      <c r="H990" s="181">
        <f>IF(OR(F990="",G990=""),"",ROUND(MOD(G990-F990,1)*24,2))</f>
        <v/>
      </c>
      <c r="K990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91" hidden="1" outlineLevel="1" ht="20" customHeight="1">
      <c r="D991" s="179" t="n"/>
      <c r="E991" s="179" t="n"/>
      <c r="F991" s="180" t="n"/>
      <c r="G991" s="180" t="n"/>
      <c r="H991" s="181">
        <f>IF(OR(F991="",G991=""),"",ROUND(MOD(G991-F991,1)*24,2))</f>
        <v/>
      </c>
      <c r="K991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92" hidden="1" outlineLevel="1" ht="20" customHeight="1">
      <c r="D992" s="179" t="n"/>
      <c r="E992" s="179" t="n"/>
      <c r="F992" s="180" t="n"/>
      <c r="G992" s="180" t="n"/>
      <c r="H992" s="181">
        <f>IF(OR(F992="",G992=""),"",ROUND(MOD(G992-F992,1)*24,2))</f>
        <v/>
      </c>
      <c r="K992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93" hidden="1" outlineLevel="1" ht="20" customHeight="1">
      <c r="D993" s="179" t="n"/>
      <c r="E993" s="179" t="n"/>
      <c r="F993" s="180" t="n"/>
      <c r="G993" s="180" t="n"/>
      <c r="H993" s="181">
        <f>IF(OR(F993="",G993=""),"",ROUND(MOD(G993-F993,1)*24,2))</f>
        <v/>
      </c>
      <c r="K993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94" hidden="1" outlineLevel="1" ht="20" customHeight="1">
      <c r="D994" s="179" t="n"/>
      <c r="E994" s="179" t="n"/>
      <c r="F994" s="180" t="n"/>
      <c r="G994" s="180" t="n"/>
      <c r="H994" s="181">
        <f>IF(OR(F994="",G994=""),"",ROUND(MOD(G994-F994,1)*24,2))</f>
        <v/>
      </c>
      <c r="K994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95" hidden="1" outlineLevel="1" ht="20" customHeight="1">
      <c r="A995" s="342" t="n"/>
      <c r="B995" s="342" t="n"/>
      <c r="C995" s="342" t="n"/>
      <c r="D995" s="332" t="n"/>
      <c r="E995" s="332" t="n"/>
      <c r="F995" s="333" t="n"/>
      <c r="G995" s="333" t="n"/>
      <c r="H995" s="334">
        <f>IF(OR(F995="",G995=""),"",ROUND(MOD(G995-F995,1)*24,2))</f>
        <v/>
      </c>
      <c r="I995" s="342" t="n"/>
      <c r="J995" s="342" t="n"/>
      <c r="K995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996" ht="20" customHeight="1">
      <c r="A996" s="336">
        <f>IF($K996="","",WEEKNUM($K996,21))</f>
        <v/>
      </c>
      <c r="B996" s="337">
        <f>IF($K996="","",$K996)</f>
        <v/>
      </c>
      <c r="C996" s="338">
        <f>IF($K996="","",$K996)</f>
        <v/>
      </c>
      <c r="D996" s="171" t="n"/>
      <c r="E996" s="171" t="n"/>
      <c r="F996" s="172" t="n"/>
      <c r="G996" s="172" t="n"/>
      <c r="H996" s="173">
        <f>IF(OR(F996="",G996=""),"",ROUND(MOD(G996-F996,1)*24,2))</f>
        <v/>
      </c>
      <c r="I996" s="339" t="n"/>
      <c r="J996" s="339" t="n"/>
      <c r="K996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997" ht="20" customHeight="1">
      <c r="D997" s="179" t="n"/>
      <c r="E997" s="179" t="n"/>
      <c r="F997" s="180" t="n"/>
      <c r="G997" s="180" t="n"/>
      <c r="H997" s="181">
        <f>IF(OR(F997="",G997=""),"",ROUND(MOD(G997-F997,1)*24,2))</f>
        <v/>
      </c>
      <c r="K997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998" ht="20" customHeight="1">
      <c r="D998" s="179" t="n"/>
      <c r="E998" s="179" t="n"/>
      <c r="F998" s="180" t="n"/>
      <c r="G998" s="180" t="n"/>
      <c r="H998" s="181">
        <f>IF(OR(F998="",G998=""),"",ROUND(MOD(G998-F998,1)*24,2))</f>
        <v/>
      </c>
      <c r="K998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999" ht="20" customHeight="1">
      <c r="D999" s="179" t="n"/>
      <c r="E999" s="179" t="n"/>
      <c r="F999" s="180" t="n"/>
      <c r="G999" s="180" t="n"/>
      <c r="H999" s="181">
        <f>IF(OR(F999="",G999=""),"",ROUND(MOD(G999-F999,1)*24,2))</f>
        <v/>
      </c>
      <c r="K999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1000" collapsed="1" ht="20" customHeight="1">
      <c r="D1000" s="179" t="n"/>
      <c r="E1000" s="179" t="n"/>
      <c r="F1000" s="180" t="n"/>
      <c r="G1000" s="180" t="n"/>
      <c r="H1000" s="181">
        <f>IF(OR(F1000="",G1000=""),"",ROUND(MOD(G1000-F1000,1)*24,2))</f>
        <v/>
      </c>
      <c r="K1000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1001" hidden="1" outlineLevel="1" ht="20" customHeight="1">
      <c r="D1001" s="179" t="n"/>
      <c r="E1001" s="179" t="n"/>
      <c r="F1001" s="180" t="n"/>
      <c r="G1001" s="180" t="n"/>
      <c r="H1001" s="181">
        <f>IF(OR(F1001="",G1001=""),"",ROUND(MOD(G1001-F1001,1)*24,2))</f>
        <v/>
      </c>
      <c r="K1001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1002" hidden="1" outlineLevel="1" ht="20" customHeight="1">
      <c r="D1002" s="179" t="n"/>
      <c r="E1002" s="179" t="n"/>
      <c r="F1002" s="180" t="n"/>
      <c r="G1002" s="180" t="n"/>
      <c r="H1002" s="181">
        <f>IF(OR(F1002="",G1002=""),"",ROUND(MOD(G1002-F1002,1)*24,2))</f>
        <v/>
      </c>
      <c r="K1002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1003" hidden="1" outlineLevel="1" ht="20" customHeight="1">
      <c r="D1003" s="179" t="n"/>
      <c r="E1003" s="179" t="n"/>
      <c r="F1003" s="180" t="n"/>
      <c r="G1003" s="180" t="n"/>
      <c r="H1003" s="181">
        <f>IF(OR(F1003="",G1003=""),"",ROUND(MOD(G1003-F1003,1)*24,2))</f>
        <v/>
      </c>
      <c r="K1003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1004" hidden="1" outlineLevel="1" ht="20" customHeight="1">
      <c r="D1004" s="179" t="n"/>
      <c r="E1004" s="179" t="n"/>
      <c r="F1004" s="180" t="n"/>
      <c r="G1004" s="180" t="n"/>
      <c r="H1004" s="181">
        <f>IF(OR(F1004="",G1004=""),"",ROUND(MOD(G1004-F1004,1)*24,2))</f>
        <v/>
      </c>
      <c r="K1004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1005" hidden="1" outlineLevel="1" ht="20" customHeight="1">
      <c r="A1005" s="342" t="n"/>
      <c r="B1005" s="342" t="n"/>
      <c r="C1005" s="342" t="n"/>
      <c r="D1005" s="332" t="n"/>
      <c r="E1005" s="332" t="n"/>
      <c r="F1005" s="333" t="n"/>
      <c r="G1005" s="333" t="n"/>
      <c r="H1005" s="334">
        <f>IF(OR(F1005="",G1005=""),"",ROUND(MOD(G1005-F1005,1)*24,2))</f>
        <v/>
      </c>
      <c r="I1005" s="342" t="n"/>
      <c r="J1005" s="342" t="n"/>
      <c r="K1005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1006" ht="20" customHeight="1">
      <c r="A1006" s="336">
        <f>IF($K1006="","",WEEKNUM($K1006,21))</f>
        <v/>
      </c>
      <c r="B1006" s="337">
        <f>IF($K1006="","",$K1006)</f>
        <v/>
      </c>
      <c r="C1006" s="338">
        <f>IF($K1006="","",$K1006)</f>
        <v/>
      </c>
      <c r="D1006" s="171" t="n"/>
      <c r="E1006" s="171" t="n"/>
      <c r="F1006" s="172" t="n"/>
      <c r="G1006" s="172" t="n"/>
      <c r="H1006" s="173">
        <f>IF(OR(F1006="",G1006=""),"",ROUND(MOD(G1006-F1006,1)*24,2))</f>
        <v/>
      </c>
      <c r="I1006" s="339" t="n"/>
      <c r="J1006" s="339" t="n"/>
      <c r="K1006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07" ht="20" customHeight="1">
      <c r="D1007" s="179" t="n"/>
      <c r="E1007" s="179" t="n"/>
      <c r="F1007" s="180" t="n"/>
      <c r="G1007" s="180" t="n"/>
      <c r="H1007" s="181">
        <f>IF(OR(F1007="",G1007=""),"",ROUND(MOD(G1007-F1007,1)*24,2))</f>
        <v/>
      </c>
      <c r="K1007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08" ht="20" customHeight="1">
      <c r="D1008" s="179" t="n"/>
      <c r="E1008" s="179" t="n"/>
      <c r="F1008" s="180" t="n"/>
      <c r="G1008" s="180" t="n"/>
      <c r="H1008" s="181">
        <f>IF(OR(F1008="",G1008=""),"",ROUND(MOD(G1008-F1008,1)*24,2))</f>
        <v/>
      </c>
      <c r="K1008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09" ht="20" customHeight="1">
      <c r="D1009" s="179" t="n"/>
      <c r="E1009" s="179" t="n"/>
      <c r="F1009" s="180" t="n"/>
      <c r="G1009" s="180" t="n"/>
      <c r="H1009" s="181">
        <f>IF(OR(F1009="",G1009=""),"",ROUND(MOD(G1009-F1009,1)*24,2))</f>
        <v/>
      </c>
      <c r="K1009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10" collapsed="1" ht="20" customHeight="1">
      <c r="D1010" s="179" t="n"/>
      <c r="E1010" s="179" t="n"/>
      <c r="F1010" s="180" t="n"/>
      <c r="G1010" s="180" t="n"/>
      <c r="H1010" s="181">
        <f>IF(OR(F1010="",G1010=""),"",ROUND(MOD(G1010-F1010,1)*24,2))</f>
        <v/>
      </c>
      <c r="K1010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11" hidden="1" outlineLevel="1" ht="20" customHeight="1">
      <c r="D1011" s="179" t="n"/>
      <c r="E1011" s="179" t="n"/>
      <c r="F1011" s="180" t="n"/>
      <c r="G1011" s="180" t="n"/>
      <c r="H1011" s="181">
        <f>IF(OR(F1011="",G1011=""),"",ROUND(MOD(G1011-F1011,1)*24,2))</f>
        <v/>
      </c>
      <c r="K1011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12" hidden="1" outlineLevel="1" ht="20" customHeight="1">
      <c r="D1012" s="179" t="n"/>
      <c r="E1012" s="179" t="n"/>
      <c r="F1012" s="180" t="n"/>
      <c r="G1012" s="180" t="n"/>
      <c r="H1012" s="181">
        <f>IF(OR(F1012="",G1012=""),"",ROUND(MOD(G1012-F1012,1)*24,2))</f>
        <v/>
      </c>
      <c r="K1012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13" hidden="1" outlineLevel="1" ht="20" customHeight="1">
      <c r="D1013" s="179" t="n"/>
      <c r="E1013" s="179" t="n"/>
      <c r="F1013" s="180" t="n"/>
      <c r="G1013" s="180" t="n"/>
      <c r="H1013" s="181">
        <f>IF(OR(F1013="",G1013=""),"",ROUND(MOD(G1013-F1013,1)*24,2))</f>
        <v/>
      </c>
      <c r="K1013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14" hidden="1" outlineLevel="1" ht="20" customHeight="1">
      <c r="D1014" s="179" t="n"/>
      <c r="E1014" s="179" t="n"/>
      <c r="F1014" s="180" t="n"/>
      <c r="G1014" s="180" t="n"/>
      <c r="H1014" s="181">
        <f>IF(OR(F1014="",G1014=""),"",ROUND(MOD(G1014-F1014,1)*24,2))</f>
        <v/>
      </c>
      <c r="K1014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15" hidden="1" outlineLevel="1" ht="20" customHeight="1">
      <c r="A1015" s="342" t="n"/>
      <c r="B1015" s="342" t="n"/>
      <c r="C1015" s="342" t="n"/>
      <c r="D1015" s="332" t="n"/>
      <c r="E1015" s="332" t="n"/>
      <c r="F1015" s="333" t="n"/>
      <c r="G1015" s="333" t="n"/>
      <c r="H1015" s="334">
        <f>IF(OR(F1015="",G1015=""),"",ROUND(MOD(G1015-F1015,1)*24,2))</f>
        <v/>
      </c>
      <c r="I1015" s="342" t="n"/>
      <c r="J1015" s="342" t="n"/>
      <c r="K1015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16" ht="20" customHeight="1">
      <c r="A1016" s="336">
        <f>IF($K1016="","",WEEKNUM($K1016,21))</f>
        <v/>
      </c>
      <c r="B1016" s="337">
        <f>IF($K1016="","",$K1016)</f>
        <v/>
      </c>
      <c r="C1016" s="338">
        <f>IF($K1016="","",$K1016)</f>
        <v/>
      </c>
      <c r="D1016" s="171" t="n"/>
      <c r="E1016" s="171" t="n"/>
      <c r="F1016" s="172" t="n"/>
      <c r="G1016" s="172" t="n"/>
      <c r="H1016" s="173">
        <f>IF(OR(F1016="",G1016=""),"",ROUND(MOD(G1016-F1016,1)*24,2))</f>
        <v/>
      </c>
      <c r="I1016" s="339" t="n"/>
      <c r="J1016" s="339" t="n"/>
      <c r="K1016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17" ht="20" customHeight="1">
      <c r="D1017" s="179" t="n"/>
      <c r="E1017" s="179" t="n"/>
      <c r="F1017" s="180" t="n"/>
      <c r="G1017" s="180" t="n"/>
      <c r="H1017" s="181">
        <f>IF(OR(F1017="",G1017=""),"",ROUND(MOD(G1017-F1017,1)*24,2))</f>
        <v/>
      </c>
      <c r="K1017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18" ht="20" customHeight="1">
      <c r="D1018" s="179" t="n"/>
      <c r="E1018" s="179" t="n"/>
      <c r="F1018" s="180" t="n"/>
      <c r="G1018" s="180" t="n"/>
      <c r="H1018" s="181">
        <f>IF(OR(F1018="",G1018=""),"",ROUND(MOD(G1018-F1018,1)*24,2))</f>
        <v/>
      </c>
      <c r="K1018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19" ht="20" customHeight="1">
      <c r="D1019" s="179" t="n"/>
      <c r="E1019" s="179" t="n"/>
      <c r="F1019" s="180" t="n"/>
      <c r="G1019" s="180" t="n"/>
      <c r="H1019" s="181">
        <f>IF(OR(F1019="",G1019=""),"",ROUND(MOD(G1019-F1019,1)*24,2))</f>
        <v/>
      </c>
      <c r="K1019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20" collapsed="1" ht="20" customHeight="1">
      <c r="D1020" s="179" t="n"/>
      <c r="E1020" s="179" t="n"/>
      <c r="F1020" s="180" t="n"/>
      <c r="G1020" s="180" t="n"/>
      <c r="H1020" s="181">
        <f>IF(OR(F1020="",G1020=""),"",ROUND(MOD(G1020-F1020,1)*24,2))</f>
        <v/>
      </c>
      <c r="K1020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21" hidden="1" outlineLevel="1" ht="20" customHeight="1">
      <c r="D1021" s="179" t="n"/>
      <c r="E1021" s="179" t="n"/>
      <c r="F1021" s="180" t="n"/>
      <c r="G1021" s="180" t="n"/>
      <c r="H1021" s="181">
        <f>IF(OR(F1021="",G1021=""),"",ROUND(MOD(G1021-F1021,1)*24,2))</f>
        <v/>
      </c>
      <c r="K1021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22" hidden="1" outlineLevel="1" ht="20" customHeight="1">
      <c r="D1022" s="179" t="n"/>
      <c r="E1022" s="179" t="n"/>
      <c r="F1022" s="180" t="n"/>
      <c r="G1022" s="180" t="n"/>
      <c r="H1022" s="181">
        <f>IF(OR(F1022="",G1022=""),"",ROUND(MOD(G1022-F1022,1)*24,2))</f>
        <v/>
      </c>
      <c r="K1022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23" hidden="1" outlineLevel="1" ht="20" customHeight="1">
      <c r="D1023" s="179" t="n"/>
      <c r="E1023" s="179" t="n"/>
      <c r="F1023" s="180" t="n"/>
      <c r="G1023" s="180" t="n"/>
      <c r="H1023" s="181">
        <f>IF(OR(F1023="",G1023=""),"",ROUND(MOD(G1023-F1023,1)*24,2))</f>
        <v/>
      </c>
      <c r="K1023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24" hidden="1" outlineLevel="1" ht="20" customHeight="1">
      <c r="D1024" s="179" t="n"/>
      <c r="E1024" s="179" t="n"/>
      <c r="F1024" s="180" t="n"/>
      <c r="G1024" s="180" t="n"/>
      <c r="H1024" s="181">
        <f>IF(OR(F1024="",G1024=""),"",ROUND(MOD(G1024-F1024,1)*24,2))</f>
        <v/>
      </c>
      <c r="K1024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25" hidden="1" outlineLevel="1" ht="20" customHeight="1">
      <c r="A1025" s="342" t="n"/>
      <c r="B1025" s="342" t="n"/>
      <c r="C1025" s="342" t="n"/>
      <c r="D1025" s="332" t="n"/>
      <c r="E1025" s="332" t="n"/>
      <c r="F1025" s="333" t="n"/>
      <c r="G1025" s="333" t="n"/>
      <c r="H1025" s="334">
        <f>IF(OR(F1025="",G1025=""),"",ROUND(MOD(G1025-F1025,1)*24,2))</f>
        <v/>
      </c>
      <c r="I1025" s="342" t="n"/>
      <c r="J1025" s="342" t="n"/>
      <c r="K1025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26" ht="20" customHeight="1">
      <c r="A1026" s="336">
        <f>IF($K1026="","",WEEKNUM($K1026,21))</f>
        <v/>
      </c>
      <c r="B1026" s="337">
        <f>IF($K1026="","",$K1026)</f>
        <v/>
      </c>
      <c r="C1026" s="338">
        <f>IF($K1026="","",$K1026)</f>
        <v/>
      </c>
      <c r="D1026" s="171" t="n"/>
      <c r="E1026" s="171" t="n"/>
      <c r="F1026" s="172" t="n"/>
      <c r="G1026" s="172" t="n"/>
      <c r="H1026" s="173">
        <f>IF(OR(F1026="",G1026=""),"",ROUND(MOD(G1026-F1026,1)*24,2))</f>
        <v/>
      </c>
      <c r="I1026" s="339" t="n"/>
      <c r="J1026" s="339" t="n"/>
      <c r="K1026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27" ht="20" customHeight="1">
      <c r="D1027" s="179" t="n"/>
      <c r="E1027" s="179" t="n"/>
      <c r="F1027" s="180" t="n"/>
      <c r="G1027" s="180" t="n"/>
      <c r="H1027" s="181">
        <f>IF(OR(F1027="",G1027=""),"",ROUND(MOD(G1027-F1027,1)*24,2))</f>
        <v/>
      </c>
      <c r="K1027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28" ht="20" customHeight="1">
      <c r="D1028" s="179" t="n"/>
      <c r="E1028" s="179" t="n"/>
      <c r="F1028" s="180" t="n"/>
      <c r="G1028" s="180" t="n"/>
      <c r="H1028" s="181">
        <f>IF(OR(F1028="",G1028=""),"",ROUND(MOD(G1028-F1028,1)*24,2))</f>
        <v/>
      </c>
      <c r="K1028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29" ht="20" customHeight="1">
      <c r="D1029" s="179" t="n"/>
      <c r="E1029" s="179" t="n"/>
      <c r="F1029" s="180" t="n"/>
      <c r="G1029" s="180" t="n"/>
      <c r="H1029" s="181">
        <f>IF(OR(F1029="",G1029=""),"",ROUND(MOD(G1029-F1029,1)*24,2))</f>
        <v/>
      </c>
      <c r="K1029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30" collapsed="1" ht="20" customHeight="1">
      <c r="D1030" s="179" t="n"/>
      <c r="E1030" s="179" t="n"/>
      <c r="F1030" s="180" t="n"/>
      <c r="G1030" s="180" t="n"/>
      <c r="H1030" s="181">
        <f>IF(OR(F1030="",G1030=""),"",ROUND(MOD(G1030-F1030,1)*24,2))</f>
        <v/>
      </c>
      <c r="K1030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31" hidden="1" outlineLevel="1" ht="20" customHeight="1">
      <c r="D1031" s="179" t="n"/>
      <c r="E1031" s="179" t="n"/>
      <c r="F1031" s="180" t="n"/>
      <c r="G1031" s="180" t="n"/>
      <c r="H1031" s="181">
        <f>IF(OR(F1031="",G1031=""),"",ROUND(MOD(G1031-F1031,1)*24,2))</f>
        <v/>
      </c>
      <c r="K1031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32" hidden="1" outlineLevel="1" ht="20" customHeight="1">
      <c r="D1032" s="179" t="n"/>
      <c r="E1032" s="179" t="n"/>
      <c r="F1032" s="180" t="n"/>
      <c r="G1032" s="180" t="n"/>
      <c r="H1032" s="181">
        <f>IF(OR(F1032="",G1032=""),"",ROUND(MOD(G1032-F1032,1)*24,2))</f>
        <v/>
      </c>
      <c r="K1032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33" hidden="1" outlineLevel="1" ht="20" customHeight="1">
      <c r="D1033" s="179" t="n"/>
      <c r="E1033" s="179" t="n"/>
      <c r="F1033" s="180" t="n"/>
      <c r="G1033" s="180" t="n"/>
      <c r="H1033" s="181">
        <f>IF(OR(F1033="",G1033=""),"",ROUND(MOD(G1033-F1033,1)*24,2))</f>
        <v/>
      </c>
      <c r="K1033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34" hidden="1" outlineLevel="1" ht="20" customHeight="1">
      <c r="D1034" s="179" t="n"/>
      <c r="E1034" s="179" t="n"/>
      <c r="F1034" s="180" t="n"/>
      <c r="G1034" s="180" t="n"/>
      <c r="H1034" s="181">
        <f>IF(OR(F1034="",G1034=""),"",ROUND(MOD(G1034-F1034,1)*24,2))</f>
        <v/>
      </c>
      <c r="K1034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35" hidden="1" outlineLevel="1" ht="20" customHeight="1">
      <c r="A1035" s="342" t="n"/>
      <c r="B1035" s="342" t="n"/>
      <c r="C1035" s="342" t="n"/>
      <c r="D1035" s="332" t="n"/>
      <c r="E1035" s="332" t="n"/>
      <c r="F1035" s="333" t="n"/>
      <c r="G1035" s="333" t="n"/>
      <c r="H1035" s="334">
        <f>IF(OR(F1035="",G1035=""),"",ROUND(MOD(G1035-F1035,1)*24,2))</f>
        <v/>
      </c>
      <c r="I1035" s="342" t="n"/>
      <c r="J1035" s="342" t="n"/>
      <c r="K1035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36" ht="20" customHeight="1">
      <c r="A1036" s="336">
        <f>IF($K1036="","",WEEKNUM($K1036,21))</f>
        <v/>
      </c>
      <c r="B1036" s="337">
        <f>IF($K1036="","",$K1036)</f>
        <v/>
      </c>
      <c r="C1036" s="338">
        <f>IF($K1036="","",$K1036)</f>
        <v/>
      </c>
      <c r="D1036" s="171" t="n"/>
      <c r="E1036" s="171" t="n"/>
      <c r="F1036" s="172" t="n"/>
      <c r="G1036" s="172" t="n"/>
      <c r="H1036" s="173">
        <f>IF(OR(F1036="",G1036=""),"",ROUND(MOD(G1036-F1036,1)*24,2))</f>
        <v/>
      </c>
      <c r="I1036" s="339" t="n"/>
      <c r="J1036" s="339" t="n"/>
      <c r="K1036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37" ht="20" customHeight="1">
      <c r="D1037" s="179" t="n"/>
      <c r="E1037" s="179" t="n"/>
      <c r="F1037" s="180" t="n"/>
      <c r="G1037" s="180" t="n"/>
      <c r="H1037" s="181">
        <f>IF(OR(F1037="",G1037=""),"",ROUND(MOD(G1037-F1037,1)*24,2))</f>
        <v/>
      </c>
      <c r="K1037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38" ht="20" customHeight="1">
      <c r="D1038" s="179" t="n"/>
      <c r="E1038" s="179" t="n"/>
      <c r="F1038" s="180" t="n"/>
      <c r="G1038" s="180" t="n"/>
      <c r="H1038" s="181">
        <f>IF(OR(F1038="",G1038=""),"",ROUND(MOD(G1038-F1038,1)*24,2))</f>
        <v/>
      </c>
      <c r="K1038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39" ht="20" customHeight="1">
      <c r="D1039" s="179" t="n"/>
      <c r="E1039" s="179" t="n"/>
      <c r="F1039" s="180" t="n"/>
      <c r="G1039" s="180" t="n"/>
      <c r="H1039" s="181">
        <f>IF(OR(F1039="",G1039=""),"",ROUND(MOD(G1039-F1039,1)*24,2))</f>
        <v/>
      </c>
      <c r="K1039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40" collapsed="1" ht="20" customHeight="1">
      <c r="D1040" s="179" t="n"/>
      <c r="E1040" s="179" t="n"/>
      <c r="F1040" s="180" t="n"/>
      <c r="G1040" s="180" t="n"/>
      <c r="H1040" s="181">
        <f>IF(OR(F1040="",G1040=""),"",ROUND(MOD(G1040-F1040,1)*24,2))</f>
        <v/>
      </c>
      <c r="K1040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41" hidden="1" outlineLevel="1" ht="20" customHeight="1">
      <c r="D1041" s="179" t="n"/>
      <c r="E1041" s="179" t="n"/>
      <c r="F1041" s="180" t="n"/>
      <c r="G1041" s="180" t="n"/>
      <c r="H1041" s="181">
        <f>IF(OR(F1041="",G1041=""),"",ROUND(MOD(G1041-F1041,1)*24,2))</f>
        <v/>
      </c>
      <c r="K1041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42" hidden="1" outlineLevel="1" ht="20" customHeight="1">
      <c r="D1042" s="179" t="n"/>
      <c r="E1042" s="179" t="n"/>
      <c r="F1042" s="180" t="n"/>
      <c r="G1042" s="180" t="n"/>
      <c r="H1042" s="181">
        <f>IF(OR(F1042="",G1042=""),"",ROUND(MOD(G1042-F1042,1)*24,2))</f>
        <v/>
      </c>
      <c r="K1042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43" hidden="1" outlineLevel="1" ht="20" customHeight="1">
      <c r="D1043" s="179" t="n"/>
      <c r="E1043" s="179" t="n"/>
      <c r="F1043" s="180" t="n"/>
      <c r="G1043" s="180" t="n"/>
      <c r="H1043" s="181">
        <f>IF(OR(F1043="",G1043=""),"",ROUND(MOD(G1043-F1043,1)*24,2))</f>
        <v/>
      </c>
      <c r="K1043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44" hidden="1" outlineLevel="1" ht="20" customHeight="1">
      <c r="D1044" s="179" t="n"/>
      <c r="E1044" s="179" t="n"/>
      <c r="F1044" s="180" t="n"/>
      <c r="G1044" s="180" t="n"/>
      <c r="H1044" s="181">
        <f>IF(OR(F1044="",G1044=""),"",ROUND(MOD(G1044-F1044,1)*24,2))</f>
        <v/>
      </c>
      <c r="K1044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45" hidden="1" outlineLevel="1" ht="20" customHeight="1">
      <c r="A1045" s="342" t="n"/>
      <c r="B1045" s="342" t="n"/>
      <c r="C1045" s="342" t="n"/>
      <c r="D1045" s="332" t="n"/>
      <c r="E1045" s="332" t="n"/>
      <c r="F1045" s="333" t="n"/>
      <c r="G1045" s="333" t="n"/>
      <c r="H1045" s="334">
        <f>IF(OR(F1045="",G1045=""),"",ROUND(MOD(G1045-F1045,1)*24,2))</f>
        <v/>
      </c>
      <c r="I1045" s="342" t="n"/>
      <c r="J1045" s="342" t="n"/>
      <c r="K1045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46" ht="20" customHeight="1">
      <c r="A1046" s="336">
        <f>IF($K1046="","",WEEKNUM($K1046,21))</f>
        <v/>
      </c>
      <c r="B1046" s="337">
        <f>IF($K1046="","",$K1046)</f>
        <v/>
      </c>
      <c r="C1046" s="338">
        <f>IF($K1046="","",$K1046)</f>
        <v/>
      </c>
      <c r="D1046" s="171" t="n"/>
      <c r="E1046" s="171" t="n"/>
      <c r="F1046" s="172" t="n"/>
      <c r="G1046" s="172" t="n"/>
      <c r="H1046" s="173">
        <f>IF(OR(F1046="",G1046=""),"",ROUND(MOD(G1046-F1046,1)*24,2))</f>
        <v/>
      </c>
      <c r="I1046" s="339" t="n"/>
      <c r="J1046" s="339" t="n"/>
      <c r="K1046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47" ht="20" customHeight="1">
      <c r="D1047" s="179" t="n"/>
      <c r="E1047" s="179" t="n"/>
      <c r="F1047" s="180" t="n"/>
      <c r="G1047" s="180" t="n"/>
      <c r="H1047" s="181">
        <f>IF(OR(F1047="",G1047=""),"",ROUND(MOD(G1047-F1047,1)*24,2))</f>
        <v/>
      </c>
      <c r="K1047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48" ht="20" customHeight="1">
      <c r="D1048" s="179" t="n"/>
      <c r="E1048" s="179" t="n"/>
      <c r="F1048" s="180" t="n"/>
      <c r="G1048" s="180" t="n"/>
      <c r="H1048" s="181">
        <f>IF(OR(F1048="",G1048=""),"",ROUND(MOD(G1048-F1048,1)*24,2))</f>
        <v/>
      </c>
      <c r="K1048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49" ht="20" customHeight="1">
      <c r="D1049" s="179" t="n"/>
      <c r="E1049" s="179" t="n"/>
      <c r="F1049" s="180" t="n"/>
      <c r="G1049" s="180" t="n"/>
      <c r="H1049" s="181">
        <f>IF(OR(F1049="",G1049=""),"",ROUND(MOD(G1049-F1049,1)*24,2))</f>
        <v/>
      </c>
      <c r="K1049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50" collapsed="1" ht="20" customHeight="1">
      <c r="D1050" s="179" t="n"/>
      <c r="E1050" s="179" t="n"/>
      <c r="F1050" s="180" t="n"/>
      <c r="G1050" s="180" t="n"/>
      <c r="H1050" s="181">
        <f>IF(OR(F1050="",G1050=""),"",ROUND(MOD(G1050-F1050,1)*24,2))</f>
        <v/>
      </c>
      <c r="K1050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51" hidden="1" outlineLevel="1" ht="20" customHeight="1">
      <c r="D1051" s="179" t="n"/>
      <c r="E1051" s="179" t="n"/>
      <c r="F1051" s="180" t="n"/>
      <c r="G1051" s="180" t="n"/>
      <c r="H1051" s="181">
        <f>IF(OR(F1051="",G1051=""),"",ROUND(MOD(G1051-F1051,1)*24,2))</f>
        <v/>
      </c>
      <c r="K1051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52" hidden="1" outlineLevel="1" ht="20" customHeight="1">
      <c r="D1052" s="179" t="n"/>
      <c r="E1052" s="179" t="n"/>
      <c r="F1052" s="180" t="n"/>
      <c r="G1052" s="180" t="n"/>
      <c r="H1052" s="181">
        <f>IF(OR(F1052="",G1052=""),"",ROUND(MOD(G1052-F1052,1)*24,2))</f>
        <v/>
      </c>
      <c r="K1052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53" hidden="1" outlineLevel="1" ht="20" customHeight="1">
      <c r="D1053" s="179" t="n"/>
      <c r="E1053" s="179" t="n"/>
      <c r="F1053" s="180" t="n"/>
      <c r="G1053" s="180" t="n"/>
      <c r="H1053" s="181">
        <f>IF(OR(F1053="",G1053=""),"",ROUND(MOD(G1053-F1053,1)*24,2))</f>
        <v/>
      </c>
      <c r="K1053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54" hidden="1" outlineLevel="1" ht="20" customHeight="1">
      <c r="D1054" s="179" t="n"/>
      <c r="E1054" s="179" t="n"/>
      <c r="F1054" s="180" t="n"/>
      <c r="G1054" s="180" t="n"/>
      <c r="H1054" s="181">
        <f>IF(OR(F1054="",G1054=""),"",ROUND(MOD(G1054-F1054,1)*24,2))</f>
        <v/>
      </c>
      <c r="K1054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55" hidden="1" outlineLevel="1" ht="20" customHeight="1">
      <c r="A1055" s="342" t="n"/>
      <c r="B1055" s="342" t="n"/>
      <c r="C1055" s="342" t="n"/>
      <c r="D1055" s="332" t="n"/>
      <c r="E1055" s="332" t="n"/>
      <c r="F1055" s="333" t="n"/>
      <c r="G1055" s="333" t="n"/>
      <c r="H1055" s="334">
        <f>IF(OR(F1055="",G1055=""),"",ROUND(MOD(G1055-F1055,1)*24,2))</f>
        <v/>
      </c>
      <c r="I1055" s="342" t="n"/>
      <c r="J1055" s="342" t="n"/>
      <c r="K1055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56" ht="20" customHeight="1">
      <c r="A1056" s="336">
        <f>IF($K1056="","",WEEKNUM($K1056,21))</f>
        <v/>
      </c>
      <c r="B1056" s="337">
        <f>IF($K1056="","",$K1056)</f>
        <v/>
      </c>
      <c r="C1056" s="338">
        <f>IF($K1056="","",$K1056)</f>
        <v/>
      </c>
      <c r="D1056" s="171" t="n"/>
      <c r="E1056" s="171" t="n"/>
      <c r="F1056" s="172" t="n"/>
      <c r="G1056" s="172" t="n"/>
      <c r="H1056" s="173">
        <f>IF(OR(F1056="",G1056=""),"",ROUND(MOD(G1056-F1056,1)*24,2))</f>
        <v/>
      </c>
      <c r="I1056" s="339" t="n"/>
      <c r="J1056" s="339" t="n"/>
      <c r="K1056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57" ht="20" customHeight="1">
      <c r="D1057" s="179" t="n"/>
      <c r="E1057" s="179" t="n"/>
      <c r="F1057" s="180" t="n"/>
      <c r="G1057" s="180" t="n"/>
      <c r="H1057" s="181">
        <f>IF(OR(F1057="",G1057=""),"",ROUND(MOD(G1057-F1057,1)*24,2))</f>
        <v/>
      </c>
      <c r="K1057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58" ht="20" customHeight="1">
      <c r="D1058" s="179" t="n"/>
      <c r="E1058" s="179" t="n"/>
      <c r="F1058" s="180" t="n"/>
      <c r="G1058" s="180" t="n"/>
      <c r="H1058" s="181">
        <f>IF(OR(F1058="",G1058=""),"",ROUND(MOD(G1058-F1058,1)*24,2))</f>
        <v/>
      </c>
      <c r="K1058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59" ht="20" customHeight="1">
      <c r="D1059" s="179" t="n"/>
      <c r="E1059" s="179" t="n"/>
      <c r="F1059" s="180" t="n"/>
      <c r="G1059" s="180" t="n"/>
      <c r="H1059" s="181">
        <f>IF(OR(F1059="",G1059=""),"",ROUND(MOD(G1059-F1059,1)*24,2))</f>
        <v/>
      </c>
      <c r="K1059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60" collapsed="1" ht="20" customHeight="1">
      <c r="D1060" s="179" t="n"/>
      <c r="E1060" s="179" t="n"/>
      <c r="F1060" s="180" t="n"/>
      <c r="G1060" s="180" t="n"/>
      <c r="H1060" s="181">
        <f>IF(OR(F1060="",G1060=""),"",ROUND(MOD(G1060-F1060,1)*24,2))</f>
        <v/>
      </c>
      <c r="K1060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61" hidden="1" outlineLevel="1" ht="20" customHeight="1">
      <c r="D1061" s="179" t="n"/>
      <c r="E1061" s="179" t="n"/>
      <c r="F1061" s="180" t="n"/>
      <c r="G1061" s="180" t="n"/>
      <c r="H1061" s="181">
        <f>IF(OR(F1061="",G1061=""),"",ROUND(MOD(G1061-F1061,1)*24,2))</f>
        <v/>
      </c>
      <c r="K1061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62" hidden="1" outlineLevel="1" ht="20" customHeight="1">
      <c r="D1062" s="179" t="n"/>
      <c r="E1062" s="179" t="n"/>
      <c r="F1062" s="180" t="n"/>
      <c r="G1062" s="180" t="n"/>
      <c r="H1062" s="181">
        <f>IF(OR(F1062="",G1062=""),"",ROUND(MOD(G1062-F1062,1)*24,2))</f>
        <v/>
      </c>
      <c r="K1062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63" hidden="1" outlineLevel="1" ht="20" customHeight="1">
      <c r="D1063" s="179" t="n"/>
      <c r="E1063" s="179" t="n"/>
      <c r="F1063" s="180" t="n"/>
      <c r="G1063" s="180" t="n"/>
      <c r="H1063" s="181">
        <f>IF(OR(F1063="",G1063=""),"",ROUND(MOD(G1063-F1063,1)*24,2))</f>
        <v/>
      </c>
      <c r="K1063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64" hidden="1" outlineLevel="1" ht="20" customHeight="1">
      <c r="D1064" s="179" t="n"/>
      <c r="E1064" s="179" t="n"/>
      <c r="F1064" s="180" t="n"/>
      <c r="G1064" s="180" t="n"/>
      <c r="H1064" s="181">
        <f>IF(OR(F1064="",G1064=""),"",ROUND(MOD(G1064-F1064,1)*24,2))</f>
        <v/>
      </c>
      <c r="K1064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65" hidden="1" outlineLevel="1" ht="20" customHeight="1">
      <c r="A1065" s="342" t="n"/>
      <c r="B1065" s="342" t="n"/>
      <c r="C1065" s="342" t="n"/>
      <c r="D1065" s="332" t="n"/>
      <c r="E1065" s="332" t="n"/>
      <c r="F1065" s="333" t="n"/>
      <c r="G1065" s="333" t="n"/>
      <c r="H1065" s="334">
        <f>IF(OR(F1065="",G1065=""),"",ROUND(MOD(G1065-F1065,1)*24,2))</f>
        <v/>
      </c>
      <c r="I1065" s="342" t="n"/>
      <c r="J1065" s="342" t="n"/>
      <c r="K1065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66" ht="20" customHeight="1">
      <c r="A1066" s="336">
        <f>IF($K1066="","",WEEKNUM($K1066,21))</f>
        <v/>
      </c>
      <c r="B1066" s="337">
        <f>IF($K1066="","",$K1066)</f>
        <v/>
      </c>
      <c r="C1066" s="338">
        <f>IF($K1066="","",$K1066)</f>
        <v/>
      </c>
      <c r="D1066" s="171" t="n"/>
      <c r="E1066" s="171" t="n"/>
      <c r="F1066" s="172" t="n"/>
      <c r="G1066" s="172" t="n"/>
      <c r="H1066" s="173">
        <f>IF(OR(F1066="",G1066=""),"",ROUND(MOD(G1066-F1066,1)*24,2))</f>
        <v/>
      </c>
      <c r="I1066" s="339" t="n"/>
      <c r="J1066" s="339" t="n"/>
      <c r="K1066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67" ht="20" customHeight="1">
      <c r="D1067" s="179" t="n"/>
      <c r="E1067" s="179" t="n"/>
      <c r="F1067" s="180" t="n"/>
      <c r="G1067" s="180" t="n"/>
      <c r="H1067" s="181">
        <f>IF(OR(F1067="",G1067=""),"",ROUND(MOD(G1067-F1067,1)*24,2))</f>
        <v/>
      </c>
      <c r="K1067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68" ht="20" customHeight="1">
      <c r="D1068" s="179" t="n"/>
      <c r="E1068" s="179" t="n"/>
      <c r="F1068" s="180" t="n"/>
      <c r="G1068" s="180" t="n"/>
      <c r="H1068" s="181">
        <f>IF(OR(F1068="",G1068=""),"",ROUND(MOD(G1068-F1068,1)*24,2))</f>
        <v/>
      </c>
      <c r="K1068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69" ht="20" customHeight="1">
      <c r="D1069" s="179" t="n"/>
      <c r="E1069" s="179" t="n"/>
      <c r="F1069" s="180" t="n"/>
      <c r="G1069" s="180" t="n"/>
      <c r="H1069" s="181">
        <f>IF(OR(F1069="",G1069=""),"",ROUND(MOD(G1069-F1069,1)*24,2))</f>
        <v/>
      </c>
      <c r="K1069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70" collapsed="1" ht="20" customHeight="1">
      <c r="D1070" s="179" t="n"/>
      <c r="E1070" s="179" t="n"/>
      <c r="F1070" s="180" t="n"/>
      <c r="G1070" s="180" t="n"/>
      <c r="H1070" s="181">
        <f>IF(OR(F1070="",G1070=""),"",ROUND(MOD(G1070-F1070,1)*24,2))</f>
        <v/>
      </c>
      <c r="K1070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71" hidden="1" outlineLevel="1" ht="20" customHeight="1">
      <c r="D1071" s="179" t="n"/>
      <c r="E1071" s="179" t="n"/>
      <c r="F1071" s="180" t="n"/>
      <c r="G1071" s="180" t="n"/>
      <c r="H1071" s="181">
        <f>IF(OR(F1071="",G1071=""),"",ROUND(MOD(G1071-F1071,1)*24,2))</f>
        <v/>
      </c>
      <c r="K1071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72" hidden="1" outlineLevel="1" ht="20" customHeight="1">
      <c r="D1072" s="179" t="n"/>
      <c r="E1072" s="179" t="n"/>
      <c r="F1072" s="180" t="n"/>
      <c r="G1072" s="180" t="n"/>
      <c r="H1072" s="181">
        <f>IF(OR(F1072="",G1072=""),"",ROUND(MOD(G1072-F1072,1)*24,2))</f>
        <v/>
      </c>
      <c r="K1072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73" hidden="1" outlineLevel="1" ht="20" customHeight="1">
      <c r="D1073" s="179" t="n"/>
      <c r="E1073" s="179" t="n"/>
      <c r="F1073" s="180" t="n"/>
      <c r="G1073" s="180" t="n"/>
      <c r="H1073" s="181">
        <f>IF(OR(F1073="",G1073=""),"",ROUND(MOD(G1073-F1073,1)*24,2))</f>
        <v/>
      </c>
      <c r="K1073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74" hidden="1" outlineLevel="1" ht="20" customHeight="1">
      <c r="D1074" s="179" t="n"/>
      <c r="E1074" s="179" t="n"/>
      <c r="F1074" s="180" t="n"/>
      <c r="G1074" s="180" t="n"/>
      <c r="H1074" s="181">
        <f>IF(OR(F1074="",G1074=""),"",ROUND(MOD(G1074-F1074,1)*24,2))</f>
        <v/>
      </c>
      <c r="K1074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75" hidden="1" outlineLevel="1" ht="20" customHeight="1">
      <c r="A1075" s="342" t="n"/>
      <c r="B1075" s="342" t="n"/>
      <c r="C1075" s="342" t="n"/>
      <c r="D1075" s="332" t="n"/>
      <c r="E1075" s="332" t="n"/>
      <c r="F1075" s="333" t="n"/>
      <c r="G1075" s="333" t="n"/>
      <c r="H1075" s="334">
        <f>IF(OR(F1075="",G1075=""),"",ROUND(MOD(G1075-F1075,1)*24,2))</f>
        <v/>
      </c>
      <c r="I1075" s="342" t="n"/>
      <c r="J1075" s="342" t="n"/>
      <c r="K1075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76" ht="20" customHeight="1">
      <c r="A1076" s="336">
        <f>IF($K1076="","",WEEKNUM($K1076,21))</f>
        <v/>
      </c>
      <c r="B1076" s="337">
        <f>IF($K1076="","",$K1076)</f>
        <v/>
      </c>
      <c r="C1076" s="338">
        <f>IF($K1076="","",$K1076)</f>
        <v/>
      </c>
      <c r="D1076" s="171" t="n"/>
      <c r="E1076" s="171" t="n"/>
      <c r="F1076" s="172" t="n"/>
      <c r="G1076" s="172" t="n"/>
      <c r="H1076" s="173">
        <f>IF(OR(F1076="",G1076=""),"",ROUND(MOD(G1076-F1076,1)*24,2))</f>
        <v/>
      </c>
      <c r="I1076" s="339" t="n"/>
      <c r="J1076" s="339" t="n"/>
      <c r="K1076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77" ht="20" customHeight="1">
      <c r="D1077" s="179" t="n"/>
      <c r="E1077" s="179" t="n"/>
      <c r="F1077" s="180" t="n"/>
      <c r="G1077" s="180" t="n"/>
      <c r="H1077" s="181">
        <f>IF(OR(F1077="",G1077=""),"",ROUND(MOD(G1077-F1077,1)*24,2))</f>
        <v/>
      </c>
      <c r="K1077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78" ht="20" customHeight="1">
      <c r="D1078" s="179" t="n"/>
      <c r="E1078" s="179" t="n"/>
      <c r="F1078" s="180" t="n"/>
      <c r="G1078" s="180" t="n"/>
      <c r="H1078" s="181">
        <f>IF(OR(F1078="",G1078=""),"",ROUND(MOD(G1078-F1078,1)*24,2))</f>
        <v/>
      </c>
      <c r="K1078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79" ht="20" customHeight="1">
      <c r="D1079" s="179" t="n"/>
      <c r="E1079" s="179" t="n"/>
      <c r="F1079" s="180" t="n"/>
      <c r="G1079" s="180" t="n"/>
      <c r="H1079" s="181">
        <f>IF(OR(F1079="",G1079=""),"",ROUND(MOD(G1079-F1079,1)*24,2))</f>
        <v/>
      </c>
      <c r="K1079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80" collapsed="1" ht="20" customHeight="1">
      <c r="D1080" s="179" t="n"/>
      <c r="E1080" s="179" t="n"/>
      <c r="F1080" s="180" t="n"/>
      <c r="G1080" s="180" t="n"/>
      <c r="H1080" s="181">
        <f>IF(OR(F1080="",G1080=""),"",ROUND(MOD(G1080-F1080,1)*24,2))</f>
        <v/>
      </c>
      <c r="K1080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81" hidden="1" outlineLevel="1" ht="20" customHeight="1">
      <c r="D1081" s="179" t="n"/>
      <c r="E1081" s="179" t="n"/>
      <c r="F1081" s="180" t="n"/>
      <c r="G1081" s="180" t="n"/>
      <c r="H1081" s="181">
        <f>IF(OR(F1081="",G1081=""),"",ROUND(MOD(G1081-F1081,1)*24,2))</f>
        <v/>
      </c>
      <c r="K1081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82" hidden="1" outlineLevel="1" ht="20" customHeight="1">
      <c r="D1082" s="179" t="n"/>
      <c r="E1082" s="179" t="n"/>
      <c r="F1082" s="180" t="n"/>
      <c r="G1082" s="180" t="n"/>
      <c r="H1082" s="181">
        <f>IF(OR(F1082="",G1082=""),"",ROUND(MOD(G1082-F1082,1)*24,2))</f>
        <v/>
      </c>
      <c r="K1082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83" hidden="1" outlineLevel="1" ht="20" customHeight="1">
      <c r="D1083" s="179" t="n"/>
      <c r="E1083" s="179" t="n"/>
      <c r="F1083" s="180" t="n"/>
      <c r="G1083" s="180" t="n"/>
      <c r="H1083" s="181">
        <f>IF(OR(F1083="",G1083=""),"",ROUND(MOD(G1083-F1083,1)*24,2))</f>
        <v/>
      </c>
      <c r="K1083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84" hidden="1" outlineLevel="1" ht="20" customHeight="1">
      <c r="D1084" s="179" t="n"/>
      <c r="E1084" s="179" t="n"/>
      <c r="F1084" s="180" t="n"/>
      <c r="G1084" s="180" t="n"/>
      <c r="H1084" s="181">
        <f>IF(OR(F1084="",G1084=""),"",ROUND(MOD(G1084-F1084,1)*24,2))</f>
        <v/>
      </c>
      <c r="K1084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85" hidden="1" outlineLevel="1" ht="20" customHeight="1">
      <c r="A1085" s="342" t="n"/>
      <c r="B1085" s="342" t="n"/>
      <c r="C1085" s="342" t="n"/>
      <c r="D1085" s="332" t="n"/>
      <c r="E1085" s="332" t="n"/>
      <c r="F1085" s="333" t="n"/>
      <c r="G1085" s="333" t="n"/>
      <c r="H1085" s="334">
        <f>IF(OR(F1085="",G1085=""),"",ROUND(MOD(G1085-F1085,1)*24,2))</f>
        <v/>
      </c>
      <c r="I1085" s="342" t="n"/>
      <c r="J1085" s="342" t="n"/>
      <c r="K1085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086" ht="20" customHeight="1">
      <c r="A1086" s="336">
        <f>IF($K1086="","",WEEKNUM($K1086,21))</f>
        <v/>
      </c>
      <c r="B1086" s="337">
        <f>IF($K1086="","",$K1086)</f>
        <v/>
      </c>
      <c r="C1086" s="338">
        <f>IF($K1086="","",$K1086)</f>
        <v/>
      </c>
      <c r="D1086" s="171" t="n"/>
      <c r="E1086" s="171" t="n"/>
      <c r="F1086" s="172" t="n"/>
      <c r="G1086" s="172" t="n"/>
      <c r="H1086" s="173">
        <f>IF(OR(F1086="",G1086=""),"",ROUND(MOD(G1086-F1086,1)*24,2))</f>
        <v/>
      </c>
      <c r="I1086" s="339" t="n"/>
      <c r="J1086" s="339" t="n"/>
      <c r="K1086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87" ht="20" customHeight="1">
      <c r="D1087" s="179" t="n"/>
      <c r="E1087" s="179" t="n"/>
      <c r="F1087" s="180" t="n"/>
      <c r="G1087" s="180" t="n"/>
      <c r="H1087" s="181">
        <f>IF(OR(F1087="",G1087=""),"",ROUND(MOD(G1087-F1087,1)*24,2))</f>
        <v/>
      </c>
      <c r="K1087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88" ht="20" customHeight="1">
      <c r="D1088" s="179" t="n"/>
      <c r="E1088" s="179" t="n"/>
      <c r="F1088" s="180" t="n"/>
      <c r="G1088" s="180" t="n"/>
      <c r="H1088" s="181">
        <f>IF(OR(F1088="",G1088=""),"",ROUND(MOD(G1088-F1088,1)*24,2))</f>
        <v/>
      </c>
      <c r="K1088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89" ht="20" customHeight="1">
      <c r="D1089" s="179" t="n"/>
      <c r="E1089" s="179" t="n"/>
      <c r="F1089" s="180" t="n"/>
      <c r="G1089" s="180" t="n"/>
      <c r="H1089" s="181">
        <f>IF(OR(F1089="",G1089=""),"",ROUND(MOD(G1089-F1089,1)*24,2))</f>
        <v/>
      </c>
      <c r="K1089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90" collapsed="1" ht="20" customHeight="1">
      <c r="D1090" s="179" t="n"/>
      <c r="E1090" s="179" t="n"/>
      <c r="F1090" s="180" t="n"/>
      <c r="G1090" s="180" t="n"/>
      <c r="H1090" s="181">
        <f>IF(OR(F1090="",G1090=""),"",ROUND(MOD(G1090-F1090,1)*24,2))</f>
        <v/>
      </c>
      <c r="K1090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91" hidden="1" outlineLevel="1" ht="20" customHeight="1">
      <c r="D1091" s="179" t="n"/>
      <c r="E1091" s="179" t="n"/>
      <c r="F1091" s="180" t="n"/>
      <c r="G1091" s="180" t="n"/>
      <c r="H1091" s="181">
        <f>IF(OR(F1091="",G1091=""),"",ROUND(MOD(G1091-F1091,1)*24,2))</f>
        <v/>
      </c>
      <c r="K1091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92" hidden="1" outlineLevel="1" ht="20" customHeight="1">
      <c r="D1092" s="179" t="n"/>
      <c r="E1092" s="179" t="n"/>
      <c r="F1092" s="180" t="n"/>
      <c r="G1092" s="180" t="n"/>
      <c r="H1092" s="181">
        <f>IF(OR(F1092="",G1092=""),"",ROUND(MOD(G1092-F1092,1)*24,2))</f>
        <v/>
      </c>
      <c r="K1092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93" hidden="1" outlineLevel="1" ht="20" customHeight="1">
      <c r="D1093" s="179" t="n"/>
      <c r="E1093" s="179" t="n"/>
      <c r="F1093" s="180" t="n"/>
      <c r="G1093" s="180" t="n"/>
      <c r="H1093" s="181">
        <f>IF(OR(F1093="",G1093=""),"",ROUND(MOD(G1093-F1093,1)*24,2))</f>
        <v/>
      </c>
      <c r="K1093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94" hidden="1" outlineLevel="1" ht="20" customHeight="1">
      <c r="D1094" s="179" t="n"/>
      <c r="E1094" s="179" t="n"/>
      <c r="F1094" s="180" t="n"/>
      <c r="G1094" s="180" t="n"/>
      <c r="H1094" s="181">
        <f>IF(OR(F1094="",G1094=""),"",ROUND(MOD(G1094-F1094,1)*24,2))</f>
        <v/>
      </c>
      <c r="K1094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95" hidden="1" outlineLevel="1" ht="20" customHeight="1">
      <c r="A1095" s="342" t="n"/>
      <c r="B1095" s="342" t="n"/>
      <c r="C1095" s="342" t="n"/>
      <c r="D1095" s="332" t="n"/>
      <c r="E1095" s="332" t="n"/>
      <c r="F1095" s="333" t="n"/>
      <c r="G1095" s="333" t="n"/>
      <c r="H1095" s="334">
        <f>IF(OR(F1095="",G1095=""),"",ROUND(MOD(G1095-F1095,1)*24,2))</f>
        <v/>
      </c>
      <c r="I1095" s="342" t="n"/>
      <c r="J1095" s="342" t="n"/>
      <c r="K1095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096" ht="20" customHeight="1">
      <c r="A1096" s="336">
        <f>IF($K1096="","",WEEKNUM($K1096,21))</f>
        <v/>
      </c>
      <c r="B1096" s="337">
        <f>IF($K1096="","",$K1096)</f>
        <v/>
      </c>
      <c r="C1096" s="338">
        <f>IF($K1096="","",$K1096)</f>
        <v/>
      </c>
      <c r="D1096" s="171" t="n"/>
      <c r="E1096" s="171" t="n"/>
      <c r="F1096" s="172" t="n"/>
      <c r="G1096" s="172" t="n"/>
      <c r="H1096" s="173">
        <f>IF(OR(F1096="",G1096=""),"",ROUND(MOD(G1096-F1096,1)*24,2))</f>
        <v/>
      </c>
      <c r="I1096" s="339" t="n"/>
      <c r="J1096" s="339" t="n"/>
      <c r="K1096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097" ht="20" customHeight="1">
      <c r="D1097" s="179" t="n"/>
      <c r="E1097" s="179" t="n"/>
      <c r="F1097" s="180" t="n"/>
      <c r="G1097" s="180" t="n"/>
      <c r="H1097" s="181">
        <f>IF(OR(F1097="",G1097=""),"",ROUND(MOD(G1097-F1097,1)*24,2))</f>
        <v/>
      </c>
      <c r="K1097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098" ht="20" customHeight="1">
      <c r="D1098" s="179" t="n"/>
      <c r="E1098" s="179" t="n"/>
      <c r="F1098" s="180" t="n"/>
      <c r="G1098" s="180" t="n"/>
      <c r="H1098" s="181">
        <f>IF(OR(F1098="",G1098=""),"",ROUND(MOD(G1098-F1098,1)*24,2))</f>
        <v/>
      </c>
      <c r="K1098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099" ht="20" customHeight="1">
      <c r="D1099" s="179" t="n"/>
      <c r="E1099" s="179" t="n"/>
      <c r="F1099" s="180" t="n"/>
      <c r="G1099" s="180" t="n"/>
      <c r="H1099" s="181">
        <f>IF(OR(F1099="",G1099=""),"",ROUND(MOD(G1099-F1099,1)*24,2))</f>
        <v/>
      </c>
      <c r="K1099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100" collapsed="1" ht="20" customHeight="1">
      <c r="D1100" s="179" t="n"/>
      <c r="E1100" s="179" t="n"/>
      <c r="F1100" s="180" t="n"/>
      <c r="G1100" s="180" t="n"/>
      <c r="H1100" s="181">
        <f>IF(OR(F1100="",G1100=""),"",ROUND(MOD(G1100-F1100,1)*24,2))</f>
        <v/>
      </c>
      <c r="K1100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101" hidden="1" outlineLevel="1" ht="20" customHeight="1">
      <c r="D1101" s="179" t="n"/>
      <c r="E1101" s="179" t="n"/>
      <c r="F1101" s="180" t="n"/>
      <c r="G1101" s="180" t="n"/>
      <c r="H1101" s="181">
        <f>IF(OR(F1101="",G1101=""),"",ROUND(MOD(G1101-F1101,1)*24,2))</f>
        <v/>
      </c>
      <c r="K1101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102" hidden="1" outlineLevel="1" ht="20" customHeight="1">
      <c r="D1102" s="179" t="n"/>
      <c r="E1102" s="179" t="n"/>
      <c r="F1102" s="180" t="n"/>
      <c r="G1102" s="180" t="n"/>
      <c r="H1102" s="181">
        <f>IF(OR(F1102="",G1102=""),"",ROUND(MOD(G1102-F1102,1)*24,2))</f>
        <v/>
      </c>
      <c r="K1102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103" hidden="1" outlineLevel="1" ht="20" customHeight="1">
      <c r="D1103" s="179" t="n"/>
      <c r="E1103" s="179" t="n"/>
      <c r="F1103" s="180" t="n"/>
      <c r="G1103" s="180" t="n"/>
      <c r="H1103" s="181">
        <f>IF(OR(F1103="",G1103=""),"",ROUND(MOD(G1103-F1103,1)*24,2))</f>
        <v/>
      </c>
      <c r="K1103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104" hidden="1" outlineLevel="1" ht="20" customHeight="1">
      <c r="D1104" s="179" t="n"/>
      <c r="E1104" s="179" t="n"/>
      <c r="F1104" s="180" t="n"/>
      <c r="G1104" s="180" t="n"/>
      <c r="H1104" s="181">
        <f>IF(OR(F1104="",G1104=""),"",ROUND(MOD(G1104-F1104,1)*24,2))</f>
        <v/>
      </c>
      <c r="K1104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105" hidden="1" outlineLevel="1" ht="20" customHeight="1">
      <c r="A1105" s="342" t="n"/>
      <c r="B1105" s="342" t="n"/>
      <c r="C1105" s="342" t="n"/>
      <c r="D1105" s="332" t="n"/>
      <c r="E1105" s="332" t="n"/>
      <c r="F1105" s="333" t="n"/>
      <c r="G1105" s="333" t="n"/>
      <c r="H1105" s="334">
        <f>IF(OR(F1105="",G1105=""),"",ROUND(MOD(G1105-F1105,1)*24,2))</f>
        <v/>
      </c>
      <c r="I1105" s="342" t="n"/>
      <c r="J1105" s="342" t="n"/>
      <c r="K1105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106" ht="20" customHeight="1">
      <c r="A1106" s="336">
        <f>IF($K1106="","",WEEKNUM($K1106,21))</f>
        <v/>
      </c>
      <c r="B1106" s="337">
        <f>IF($K1106="","",$K1106)</f>
        <v/>
      </c>
      <c r="C1106" s="338">
        <f>IF($K1106="","",$K1106)</f>
        <v/>
      </c>
      <c r="D1106" s="171" t="n"/>
      <c r="E1106" s="171" t="n"/>
      <c r="F1106" s="172" t="n"/>
      <c r="G1106" s="172" t="n"/>
      <c r="H1106" s="173">
        <f>IF(OR(F1106="",G1106=""),"",ROUND(MOD(G1106-F1106,1)*24,2))</f>
        <v/>
      </c>
      <c r="I1106" s="339" t="n"/>
      <c r="J1106" s="339" t="n"/>
      <c r="K1106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07" ht="20" customHeight="1">
      <c r="D1107" s="179" t="n"/>
      <c r="E1107" s="179" t="n"/>
      <c r="F1107" s="180" t="n"/>
      <c r="G1107" s="180" t="n"/>
      <c r="H1107" s="181">
        <f>IF(OR(F1107="",G1107=""),"",ROUND(MOD(G1107-F1107,1)*24,2))</f>
        <v/>
      </c>
      <c r="K1107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08" ht="20" customHeight="1">
      <c r="D1108" s="179" t="n"/>
      <c r="E1108" s="179" t="n"/>
      <c r="F1108" s="180" t="n"/>
      <c r="G1108" s="180" t="n"/>
      <c r="H1108" s="181">
        <f>IF(OR(F1108="",G1108=""),"",ROUND(MOD(G1108-F1108,1)*24,2))</f>
        <v/>
      </c>
      <c r="K1108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09" ht="20" customHeight="1">
      <c r="D1109" s="179" t="n"/>
      <c r="E1109" s="179" t="n"/>
      <c r="F1109" s="180" t="n"/>
      <c r="G1109" s="180" t="n"/>
      <c r="H1109" s="181">
        <f>IF(OR(F1109="",G1109=""),"",ROUND(MOD(G1109-F1109,1)*24,2))</f>
        <v/>
      </c>
      <c r="K1109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10" collapsed="1" ht="20" customHeight="1">
      <c r="D1110" s="179" t="n"/>
      <c r="E1110" s="179" t="n"/>
      <c r="F1110" s="180" t="n"/>
      <c r="G1110" s="180" t="n"/>
      <c r="H1110" s="181">
        <f>IF(OR(F1110="",G1110=""),"",ROUND(MOD(G1110-F1110,1)*24,2))</f>
        <v/>
      </c>
      <c r="K1110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11" hidden="1" outlineLevel="1" ht="20" customHeight="1">
      <c r="D1111" s="179" t="n"/>
      <c r="E1111" s="179" t="n"/>
      <c r="F1111" s="180" t="n"/>
      <c r="G1111" s="180" t="n"/>
      <c r="H1111" s="181">
        <f>IF(OR(F1111="",G1111=""),"",ROUND(MOD(G1111-F1111,1)*24,2))</f>
        <v/>
      </c>
      <c r="K1111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12" hidden="1" outlineLevel="1" ht="20" customHeight="1">
      <c r="D1112" s="179" t="n"/>
      <c r="E1112" s="179" t="n"/>
      <c r="F1112" s="180" t="n"/>
      <c r="G1112" s="180" t="n"/>
      <c r="H1112" s="181">
        <f>IF(OR(F1112="",G1112=""),"",ROUND(MOD(G1112-F1112,1)*24,2))</f>
        <v/>
      </c>
      <c r="K1112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13" hidden="1" outlineLevel="1" ht="20" customHeight="1">
      <c r="D1113" s="179" t="n"/>
      <c r="E1113" s="179" t="n"/>
      <c r="F1113" s="180" t="n"/>
      <c r="G1113" s="180" t="n"/>
      <c r="H1113" s="181">
        <f>IF(OR(F1113="",G1113=""),"",ROUND(MOD(G1113-F1113,1)*24,2))</f>
        <v/>
      </c>
      <c r="K1113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14" hidden="1" outlineLevel="1" ht="20" customHeight="1">
      <c r="D1114" s="179" t="n"/>
      <c r="E1114" s="179" t="n"/>
      <c r="F1114" s="180" t="n"/>
      <c r="G1114" s="180" t="n"/>
      <c r="H1114" s="181">
        <f>IF(OR(F1114="",G1114=""),"",ROUND(MOD(G1114-F1114,1)*24,2))</f>
        <v/>
      </c>
      <c r="K1114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15" hidden="1" outlineLevel="1" ht="20" customHeight="1">
      <c r="A1115" s="342" t="n"/>
      <c r="B1115" s="342" t="n"/>
      <c r="C1115" s="342" t="n"/>
      <c r="D1115" s="332" t="n"/>
      <c r="E1115" s="332" t="n"/>
      <c r="F1115" s="333" t="n"/>
      <c r="G1115" s="333" t="n"/>
      <c r="H1115" s="334">
        <f>IF(OR(F1115="",G1115=""),"",ROUND(MOD(G1115-F1115,1)*24,2))</f>
        <v/>
      </c>
      <c r="I1115" s="342" t="n"/>
      <c r="J1115" s="342" t="n"/>
      <c r="K1115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16" ht="20" customHeight="1">
      <c r="A1116" s="336">
        <f>IF($K1116="","",WEEKNUM($K1116,21))</f>
        <v/>
      </c>
      <c r="B1116" s="337">
        <f>IF($K1116="","",$K1116)</f>
        <v/>
      </c>
      <c r="C1116" s="338">
        <f>IF($K1116="","",$K1116)</f>
        <v/>
      </c>
      <c r="D1116" s="171" t="n"/>
      <c r="E1116" s="171" t="n"/>
      <c r="F1116" s="172" t="n"/>
      <c r="G1116" s="172" t="n"/>
      <c r="H1116" s="173">
        <f>IF(OR(F1116="",G1116=""),"",ROUND(MOD(G1116-F1116,1)*24,2))</f>
        <v/>
      </c>
      <c r="I1116" s="339" t="n"/>
      <c r="J1116" s="339" t="n"/>
      <c r="K1116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17" ht="20" customHeight="1">
      <c r="D1117" s="179" t="n"/>
      <c r="E1117" s="179" t="n"/>
      <c r="F1117" s="180" t="n"/>
      <c r="G1117" s="180" t="n"/>
      <c r="H1117" s="181">
        <f>IF(OR(F1117="",G1117=""),"",ROUND(MOD(G1117-F1117,1)*24,2))</f>
        <v/>
      </c>
      <c r="K1117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18" ht="20" customHeight="1">
      <c r="D1118" s="179" t="n"/>
      <c r="E1118" s="179" t="n"/>
      <c r="F1118" s="180" t="n"/>
      <c r="G1118" s="180" t="n"/>
      <c r="H1118" s="181">
        <f>IF(OR(F1118="",G1118=""),"",ROUND(MOD(G1118-F1118,1)*24,2))</f>
        <v/>
      </c>
      <c r="K1118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19" ht="20" customHeight="1">
      <c r="D1119" s="179" t="n"/>
      <c r="E1119" s="179" t="n"/>
      <c r="F1119" s="180" t="n"/>
      <c r="G1119" s="180" t="n"/>
      <c r="H1119" s="181">
        <f>IF(OR(F1119="",G1119=""),"",ROUND(MOD(G1119-F1119,1)*24,2))</f>
        <v/>
      </c>
      <c r="K1119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20" collapsed="1" ht="20" customHeight="1">
      <c r="D1120" s="179" t="n"/>
      <c r="E1120" s="179" t="n"/>
      <c r="F1120" s="180" t="n"/>
      <c r="G1120" s="180" t="n"/>
      <c r="H1120" s="181">
        <f>IF(OR(F1120="",G1120=""),"",ROUND(MOD(G1120-F1120,1)*24,2))</f>
        <v/>
      </c>
      <c r="K1120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21" hidden="1" outlineLevel="1" ht="20" customHeight="1">
      <c r="D1121" s="179" t="n"/>
      <c r="E1121" s="179" t="n"/>
      <c r="F1121" s="180" t="n"/>
      <c r="G1121" s="180" t="n"/>
      <c r="H1121" s="181">
        <f>IF(OR(F1121="",G1121=""),"",ROUND(MOD(G1121-F1121,1)*24,2))</f>
        <v/>
      </c>
      <c r="K1121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22" hidden="1" outlineLevel="1" ht="20" customHeight="1">
      <c r="D1122" s="179" t="n"/>
      <c r="E1122" s="179" t="n"/>
      <c r="F1122" s="180" t="n"/>
      <c r="G1122" s="180" t="n"/>
      <c r="H1122" s="181">
        <f>IF(OR(F1122="",G1122=""),"",ROUND(MOD(G1122-F1122,1)*24,2))</f>
        <v/>
      </c>
      <c r="K1122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23" hidden="1" outlineLevel="1" ht="20" customHeight="1">
      <c r="D1123" s="179" t="n"/>
      <c r="E1123" s="179" t="n"/>
      <c r="F1123" s="180" t="n"/>
      <c r="G1123" s="180" t="n"/>
      <c r="H1123" s="181">
        <f>IF(OR(F1123="",G1123=""),"",ROUND(MOD(G1123-F1123,1)*24,2))</f>
        <v/>
      </c>
      <c r="K1123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24" hidden="1" outlineLevel="1" ht="20" customHeight="1">
      <c r="D1124" s="179" t="n"/>
      <c r="E1124" s="179" t="n"/>
      <c r="F1124" s="180" t="n"/>
      <c r="G1124" s="180" t="n"/>
      <c r="H1124" s="181">
        <f>IF(OR(F1124="",G1124=""),"",ROUND(MOD(G1124-F1124,1)*24,2))</f>
        <v/>
      </c>
      <c r="K1124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25" hidden="1" outlineLevel="1" ht="20" customHeight="1">
      <c r="A1125" s="342" t="n"/>
      <c r="B1125" s="342" t="n"/>
      <c r="C1125" s="342" t="n"/>
      <c r="D1125" s="332" t="n"/>
      <c r="E1125" s="332" t="n"/>
      <c r="F1125" s="333" t="n"/>
      <c r="G1125" s="333" t="n"/>
      <c r="H1125" s="334">
        <f>IF(OR(F1125="",G1125=""),"",ROUND(MOD(G1125-F1125,1)*24,2))</f>
        <v/>
      </c>
      <c r="I1125" s="342" t="n"/>
      <c r="J1125" s="342" t="n"/>
      <c r="K1125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26" ht="20" customHeight="1">
      <c r="A1126" s="336">
        <f>IF($K1126="","",WEEKNUM($K1126,21))</f>
        <v/>
      </c>
      <c r="B1126" s="337">
        <f>IF($K1126="","",$K1126)</f>
        <v/>
      </c>
      <c r="C1126" s="338">
        <f>IF($K1126="","",$K1126)</f>
        <v/>
      </c>
      <c r="D1126" s="171" t="n"/>
      <c r="E1126" s="171" t="n"/>
      <c r="F1126" s="172" t="n"/>
      <c r="G1126" s="172" t="n"/>
      <c r="H1126" s="173">
        <f>IF(OR(F1126="",G1126=""),"",ROUND(MOD(G1126-F1126,1)*24,2))</f>
        <v/>
      </c>
      <c r="I1126" s="339" t="n"/>
      <c r="J1126" s="339" t="n"/>
      <c r="K1126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27" ht="20" customHeight="1">
      <c r="D1127" s="179" t="n"/>
      <c r="E1127" s="179" t="n"/>
      <c r="F1127" s="180" t="n"/>
      <c r="G1127" s="180" t="n"/>
      <c r="H1127" s="181">
        <f>IF(OR(F1127="",G1127=""),"",ROUND(MOD(G1127-F1127,1)*24,2))</f>
        <v/>
      </c>
      <c r="K1127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28" ht="20" customHeight="1">
      <c r="D1128" s="179" t="n"/>
      <c r="E1128" s="179" t="n"/>
      <c r="F1128" s="180" t="n"/>
      <c r="G1128" s="180" t="n"/>
      <c r="H1128" s="181">
        <f>IF(OR(F1128="",G1128=""),"",ROUND(MOD(G1128-F1128,1)*24,2))</f>
        <v/>
      </c>
      <c r="K1128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29" ht="20" customHeight="1">
      <c r="D1129" s="179" t="n"/>
      <c r="E1129" s="179" t="n"/>
      <c r="F1129" s="180" t="n"/>
      <c r="G1129" s="180" t="n"/>
      <c r="H1129" s="181">
        <f>IF(OR(F1129="",G1129=""),"",ROUND(MOD(G1129-F1129,1)*24,2))</f>
        <v/>
      </c>
      <c r="K1129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30" collapsed="1" ht="20" customHeight="1">
      <c r="D1130" s="179" t="n"/>
      <c r="E1130" s="179" t="n"/>
      <c r="F1130" s="180" t="n"/>
      <c r="G1130" s="180" t="n"/>
      <c r="H1130" s="181">
        <f>IF(OR(F1130="",G1130=""),"",ROUND(MOD(G1130-F1130,1)*24,2))</f>
        <v/>
      </c>
      <c r="K1130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31" hidden="1" outlineLevel="1" ht="20" customHeight="1">
      <c r="D1131" s="179" t="n"/>
      <c r="E1131" s="179" t="n"/>
      <c r="F1131" s="180" t="n"/>
      <c r="G1131" s="180" t="n"/>
      <c r="H1131" s="181">
        <f>IF(OR(F1131="",G1131=""),"",ROUND(MOD(G1131-F1131,1)*24,2))</f>
        <v/>
      </c>
      <c r="K1131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32" hidden="1" outlineLevel="1" ht="20" customHeight="1">
      <c r="D1132" s="179" t="n"/>
      <c r="E1132" s="179" t="n"/>
      <c r="F1132" s="180" t="n"/>
      <c r="G1132" s="180" t="n"/>
      <c r="H1132" s="181">
        <f>IF(OR(F1132="",G1132=""),"",ROUND(MOD(G1132-F1132,1)*24,2))</f>
        <v/>
      </c>
      <c r="K1132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33" hidden="1" outlineLevel="1" ht="20" customHeight="1">
      <c r="D1133" s="179" t="n"/>
      <c r="E1133" s="179" t="n"/>
      <c r="F1133" s="180" t="n"/>
      <c r="G1133" s="180" t="n"/>
      <c r="H1133" s="181">
        <f>IF(OR(F1133="",G1133=""),"",ROUND(MOD(G1133-F1133,1)*24,2))</f>
        <v/>
      </c>
      <c r="K1133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34" hidden="1" outlineLevel="1" ht="20" customHeight="1">
      <c r="D1134" s="179" t="n"/>
      <c r="E1134" s="179" t="n"/>
      <c r="F1134" s="180" t="n"/>
      <c r="G1134" s="180" t="n"/>
      <c r="H1134" s="181">
        <f>IF(OR(F1134="",G1134=""),"",ROUND(MOD(G1134-F1134,1)*24,2))</f>
        <v/>
      </c>
      <c r="K1134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35" hidden="1" outlineLevel="1" ht="20" customHeight="1">
      <c r="A1135" s="342" t="n"/>
      <c r="B1135" s="342" t="n"/>
      <c r="C1135" s="342" t="n"/>
      <c r="D1135" s="332" t="n"/>
      <c r="E1135" s="332" t="n"/>
      <c r="F1135" s="333" t="n"/>
      <c r="G1135" s="333" t="n"/>
      <c r="H1135" s="334">
        <f>IF(OR(F1135="",G1135=""),"",ROUND(MOD(G1135-F1135,1)*24,2))</f>
        <v/>
      </c>
      <c r="I1135" s="342" t="n"/>
      <c r="J1135" s="342" t="n"/>
      <c r="K1135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36" ht="20" customHeight="1">
      <c r="A1136" s="336">
        <f>IF($K1136="","",WEEKNUM($K1136,21))</f>
        <v/>
      </c>
      <c r="B1136" s="337">
        <f>IF($K1136="","",$K1136)</f>
        <v/>
      </c>
      <c r="C1136" s="338">
        <f>IF($K1136="","",$K1136)</f>
        <v/>
      </c>
      <c r="D1136" s="171" t="n"/>
      <c r="E1136" s="171" t="n"/>
      <c r="F1136" s="172" t="n"/>
      <c r="G1136" s="172" t="n"/>
      <c r="H1136" s="173">
        <f>IF(OR(F1136="",G1136=""),"",ROUND(MOD(G1136-F1136,1)*24,2))</f>
        <v/>
      </c>
      <c r="I1136" s="339" t="n"/>
      <c r="J1136" s="339" t="n"/>
      <c r="K1136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37" ht="20" customHeight="1">
      <c r="D1137" s="179" t="n"/>
      <c r="E1137" s="179" t="n"/>
      <c r="F1137" s="180" t="n"/>
      <c r="G1137" s="180" t="n"/>
      <c r="H1137" s="181">
        <f>IF(OR(F1137="",G1137=""),"",ROUND(MOD(G1137-F1137,1)*24,2))</f>
        <v/>
      </c>
      <c r="K1137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38" ht="20" customHeight="1">
      <c r="D1138" s="179" t="n"/>
      <c r="E1138" s="179" t="n"/>
      <c r="F1138" s="180" t="n"/>
      <c r="G1138" s="180" t="n"/>
      <c r="H1138" s="181">
        <f>IF(OR(F1138="",G1138=""),"",ROUND(MOD(G1138-F1138,1)*24,2))</f>
        <v/>
      </c>
      <c r="K1138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39" ht="20" customHeight="1">
      <c r="D1139" s="179" t="n"/>
      <c r="E1139" s="179" t="n"/>
      <c r="F1139" s="180" t="n"/>
      <c r="G1139" s="180" t="n"/>
      <c r="H1139" s="181">
        <f>IF(OR(F1139="",G1139=""),"",ROUND(MOD(G1139-F1139,1)*24,2))</f>
        <v/>
      </c>
      <c r="K1139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40" collapsed="1" ht="20" customHeight="1">
      <c r="D1140" s="179" t="n"/>
      <c r="E1140" s="179" t="n"/>
      <c r="F1140" s="180" t="n"/>
      <c r="G1140" s="180" t="n"/>
      <c r="H1140" s="181">
        <f>IF(OR(F1140="",G1140=""),"",ROUND(MOD(G1140-F1140,1)*24,2))</f>
        <v/>
      </c>
      <c r="K1140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41" hidden="1" outlineLevel="1" ht="20" customHeight="1">
      <c r="D1141" s="179" t="n"/>
      <c r="E1141" s="179" t="n"/>
      <c r="F1141" s="180" t="n"/>
      <c r="G1141" s="180" t="n"/>
      <c r="H1141" s="181">
        <f>IF(OR(F1141="",G1141=""),"",ROUND(MOD(G1141-F1141,1)*24,2))</f>
        <v/>
      </c>
      <c r="K1141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42" hidden="1" outlineLevel="1" ht="20" customHeight="1">
      <c r="D1142" s="179" t="n"/>
      <c r="E1142" s="179" t="n"/>
      <c r="F1142" s="180" t="n"/>
      <c r="G1142" s="180" t="n"/>
      <c r="H1142" s="181">
        <f>IF(OR(F1142="",G1142=""),"",ROUND(MOD(G1142-F1142,1)*24,2))</f>
        <v/>
      </c>
      <c r="K1142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43" hidden="1" outlineLevel="1" ht="20" customHeight="1">
      <c r="D1143" s="179" t="n"/>
      <c r="E1143" s="179" t="n"/>
      <c r="F1143" s="180" t="n"/>
      <c r="G1143" s="180" t="n"/>
      <c r="H1143" s="181">
        <f>IF(OR(F1143="",G1143=""),"",ROUND(MOD(G1143-F1143,1)*24,2))</f>
        <v/>
      </c>
      <c r="K1143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44" hidden="1" outlineLevel="1" ht="20" customHeight="1">
      <c r="D1144" s="179" t="n"/>
      <c r="E1144" s="179" t="n"/>
      <c r="F1144" s="180" t="n"/>
      <c r="G1144" s="180" t="n"/>
      <c r="H1144" s="181">
        <f>IF(OR(F1144="",G1144=""),"",ROUND(MOD(G1144-F1144,1)*24,2))</f>
        <v/>
      </c>
      <c r="K1144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45" hidden="1" outlineLevel="1" ht="20" customHeight="1">
      <c r="A1145" s="342" t="n"/>
      <c r="B1145" s="342" t="n"/>
      <c r="C1145" s="342" t="n"/>
      <c r="D1145" s="332" t="n"/>
      <c r="E1145" s="332" t="n"/>
      <c r="F1145" s="333" t="n"/>
      <c r="G1145" s="333" t="n"/>
      <c r="H1145" s="334">
        <f>IF(OR(F1145="",G1145=""),"",ROUND(MOD(G1145-F1145,1)*24,2))</f>
        <v/>
      </c>
      <c r="I1145" s="342" t="n"/>
      <c r="J1145" s="342" t="n"/>
      <c r="K1145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46" ht="20" customHeight="1">
      <c r="A1146" s="336">
        <f>IF($K1146="","",WEEKNUM($K1146,21))</f>
        <v/>
      </c>
      <c r="B1146" s="337">
        <f>IF($K1146="","",$K1146)</f>
        <v/>
      </c>
      <c r="C1146" s="338">
        <f>IF($K1146="","",$K1146)</f>
        <v/>
      </c>
      <c r="D1146" s="171" t="n"/>
      <c r="E1146" s="171" t="n"/>
      <c r="F1146" s="172" t="n"/>
      <c r="G1146" s="172" t="n"/>
      <c r="H1146" s="173">
        <f>IF(OR(F1146="",G1146=""),"",ROUND(MOD(G1146-F1146,1)*24,2))</f>
        <v/>
      </c>
      <c r="I1146" s="339" t="n"/>
      <c r="J1146" s="339" t="n"/>
      <c r="K1146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47" ht="20" customHeight="1">
      <c r="D1147" s="179" t="n"/>
      <c r="E1147" s="179" t="n"/>
      <c r="F1147" s="180" t="n"/>
      <c r="G1147" s="180" t="n"/>
      <c r="H1147" s="181">
        <f>IF(OR(F1147="",G1147=""),"",ROUND(MOD(G1147-F1147,1)*24,2))</f>
        <v/>
      </c>
      <c r="K1147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48" ht="20" customHeight="1">
      <c r="D1148" s="179" t="n"/>
      <c r="E1148" s="179" t="n"/>
      <c r="F1148" s="180" t="n"/>
      <c r="G1148" s="180" t="n"/>
      <c r="H1148" s="181">
        <f>IF(OR(F1148="",G1148=""),"",ROUND(MOD(G1148-F1148,1)*24,2))</f>
        <v/>
      </c>
      <c r="K1148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49" ht="20" customHeight="1">
      <c r="D1149" s="179" t="n"/>
      <c r="E1149" s="179" t="n"/>
      <c r="F1149" s="180" t="n"/>
      <c r="G1149" s="180" t="n"/>
      <c r="H1149" s="181">
        <f>IF(OR(F1149="",G1149=""),"",ROUND(MOD(G1149-F1149,1)*24,2))</f>
        <v/>
      </c>
      <c r="K1149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50" collapsed="1" ht="20" customHeight="1">
      <c r="D1150" s="179" t="n"/>
      <c r="E1150" s="179" t="n"/>
      <c r="F1150" s="180" t="n"/>
      <c r="G1150" s="180" t="n"/>
      <c r="H1150" s="181">
        <f>IF(OR(F1150="",G1150=""),"",ROUND(MOD(G1150-F1150,1)*24,2))</f>
        <v/>
      </c>
      <c r="K1150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51" hidden="1" outlineLevel="1" ht="20" customHeight="1">
      <c r="D1151" s="179" t="n"/>
      <c r="E1151" s="179" t="n"/>
      <c r="F1151" s="180" t="n"/>
      <c r="G1151" s="180" t="n"/>
      <c r="H1151" s="181">
        <f>IF(OR(F1151="",G1151=""),"",ROUND(MOD(G1151-F1151,1)*24,2))</f>
        <v/>
      </c>
      <c r="K1151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52" hidden="1" outlineLevel="1" ht="20" customHeight="1">
      <c r="D1152" s="179" t="n"/>
      <c r="E1152" s="179" t="n"/>
      <c r="F1152" s="180" t="n"/>
      <c r="G1152" s="180" t="n"/>
      <c r="H1152" s="181">
        <f>IF(OR(F1152="",G1152=""),"",ROUND(MOD(G1152-F1152,1)*24,2))</f>
        <v/>
      </c>
      <c r="K1152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53" hidden="1" outlineLevel="1" ht="20" customHeight="1">
      <c r="D1153" s="179" t="n"/>
      <c r="E1153" s="179" t="n"/>
      <c r="F1153" s="180" t="n"/>
      <c r="G1153" s="180" t="n"/>
      <c r="H1153" s="181">
        <f>IF(OR(F1153="",G1153=""),"",ROUND(MOD(G1153-F1153,1)*24,2))</f>
        <v/>
      </c>
      <c r="K1153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54" hidden="1" outlineLevel="1" ht="20" customHeight="1">
      <c r="D1154" s="179" t="n"/>
      <c r="E1154" s="179" t="n"/>
      <c r="F1154" s="180" t="n"/>
      <c r="G1154" s="180" t="n"/>
      <c r="H1154" s="181">
        <f>IF(OR(F1154="",G1154=""),"",ROUND(MOD(G1154-F1154,1)*24,2))</f>
        <v/>
      </c>
      <c r="K1154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55" hidden="1" outlineLevel="1" ht="20" customHeight="1">
      <c r="A1155" s="342" t="n"/>
      <c r="B1155" s="342" t="n"/>
      <c r="C1155" s="342" t="n"/>
      <c r="D1155" s="332" t="n"/>
      <c r="E1155" s="332" t="n"/>
      <c r="F1155" s="333" t="n"/>
      <c r="G1155" s="333" t="n"/>
      <c r="H1155" s="334">
        <f>IF(OR(F1155="",G1155=""),"",ROUND(MOD(G1155-F1155,1)*24,2))</f>
        <v/>
      </c>
      <c r="I1155" s="342" t="n"/>
      <c r="J1155" s="342" t="n"/>
      <c r="K1155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56" ht="20" customHeight="1">
      <c r="A1156" s="336">
        <f>IF($K1156="","",WEEKNUM($K1156,21))</f>
        <v/>
      </c>
      <c r="B1156" s="337">
        <f>IF($K1156="","",$K1156)</f>
        <v/>
      </c>
      <c r="C1156" s="338">
        <f>IF($K1156="","",$K1156)</f>
        <v/>
      </c>
      <c r="D1156" s="171" t="n"/>
      <c r="E1156" s="171" t="n"/>
      <c r="F1156" s="172" t="n"/>
      <c r="G1156" s="172" t="n"/>
      <c r="H1156" s="173">
        <f>IF(OR(F1156="",G1156=""),"",ROUND(MOD(G1156-F1156,1)*24,2))</f>
        <v/>
      </c>
      <c r="I1156" s="339" t="n"/>
      <c r="J1156" s="339" t="n"/>
      <c r="K1156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57" ht="20" customHeight="1">
      <c r="D1157" s="179" t="n"/>
      <c r="E1157" s="179" t="n"/>
      <c r="F1157" s="180" t="n"/>
      <c r="G1157" s="180" t="n"/>
      <c r="H1157" s="181">
        <f>IF(OR(F1157="",G1157=""),"",ROUND(MOD(G1157-F1157,1)*24,2))</f>
        <v/>
      </c>
      <c r="K1157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58" ht="20" customHeight="1">
      <c r="D1158" s="179" t="n"/>
      <c r="E1158" s="179" t="n"/>
      <c r="F1158" s="180" t="n"/>
      <c r="G1158" s="180" t="n"/>
      <c r="H1158" s="181">
        <f>IF(OR(F1158="",G1158=""),"",ROUND(MOD(G1158-F1158,1)*24,2))</f>
        <v/>
      </c>
      <c r="K1158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59" ht="20" customHeight="1">
      <c r="D1159" s="179" t="n"/>
      <c r="E1159" s="179" t="n"/>
      <c r="F1159" s="180" t="n"/>
      <c r="G1159" s="180" t="n"/>
      <c r="H1159" s="181">
        <f>IF(OR(F1159="",G1159=""),"",ROUND(MOD(G1159-F1159,1)*24,2))</f>
        <v/>
      </c>
      <c r="K1159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60" collapsed="1" ht="20" customHeight="1">
      <c r="D1160" s="179" t="n"/>
      <c r="E1160" s="179" t="n"/>
      <c r="F1160" s="180" t="n"/>
      <c r="G1160" s="180" t="n"/>
      <c r="H1160" s="181">
        <f>IF(OR(F1160="",G1160=""),"",ROUND(MOD(G1160-F1160,1)*24,2))</f>
        <v/>
      </c>
      <c r="K1160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61" hidden="1" outlineLevel="1" ht="20" customHeight="1">
      <c r="D1161" s="179" t="n"/>
      <c r="E1161" s="179" t="n"/>
      <c r="F1161" s="180" t="n"/>
      <c r="G1161" s="180" t="n"/>
      <c r="H1161" s="181">
        <f>IF(OR(F1161="",G1161=""),"",ROUND(MOD(G1161-F1161,1)*24,2))</f>
        <v/>
      </c>
      <c r="K1161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62" hidden="1" outlineLevel="1" ht="20" customHeight="1">
      <c r="D1162" s="179" t="n"/>
      <c r="E1162" s="179" t="n"/>
      <c r="F1162" s="180" t="n"/>
      <c r="G1162" s="180" t="n"/>
      <c r="H1162" s="181">
        <f>IF(OR(F1162="",G1162=""),"",ROUND(MOD(G1162-F1162,1)*24,2))</f>
        <v/>
      </c>
      <c r="K1162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63" hidden="1" outlineLevel="1" ht="20" customHeight="1">
      <c r="D1163" s="179" t="n"/>
      <c r="E1163" s="179" t="n"/>
      <c r="F1163" s="180" t="n"/>
      <c r="G1163" s="180" t="n"/>
      <c r="H1163" s="181">
        <f>IF(OR(F1163="",G1163=""),"",ROUND(MOD(G1163-F1163,1)*24,2))</f>
        <v/>
      </c>
      <c r="K1163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64" hidden="1" outlineLevel="1" ht="20" customHeight="1">
      <c r="D1164" s="179" t="n"/>
      <c r="E1164" s="179" t="n"/>
      <c r="F1164" s="180" t="n"/>
      <c r="G1164" s="180" t="n"/>
      <c r="H1164" s="181">
        <f>IF(OR(F1164="",G1164=""),"",ROUND(MOD(G1164-F1164,1)*24,2))</f>
        <v/>
      </c>
      <c r="K1164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65" hidden="1" outlineLevel="1" ht="20" customHeight="1">
      <c r="A1165" s="342" t="n"/>
      <c r="B1165" s="342" t="n"/>
      <c r="C1165" s="342" t="n"/>
      <c r="D1165" s="332" t="n"/>
      <c r="E1165" s="332" t="n"/>
      <c r="F1165" s="333" t="n"/>
      <c r="G1165" s="333" t="n"/>
      <c r="H1165" s="334">
        <f>IF(OR(F1165="",G1165=""),"",ROUND(MOD(G1165-F1165,1)*24,2))</f>
        <v/>
      </c>
      <c r="I1165" s="342" t="n"/>
      <c r="J1165" s="342" t="n"/>
      <c r="K1165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66" ht="20" customHeight="1">
      <c r="A1166" s="336">
        <f>IF($K1166="","",WEEKNUM($K1166,21))</f>
        <v/>
      </c>
      <c r="B1166" s="337">
        <f>IF($K1166="","",$K1166)</f>
        <v/>
      </c>
      <c r="C1166" s="338">
        <f>IF($K1166="","",$K1166)</f>
        <v/>
      </c>
      <c r="D1166" s="171" t="n"/>
      <c r="E1166" s="171" t="n"/>
      <c r="F1166" s="172" t="n"/>
      <c r="G1166" s="172" t="n"/>
      <c r="H1166" s="173">
        <f>IF(OR(F1166="",G1166=""),"",ROUND(MOD(G1166-F1166,1)*24,2))</f>
        <v/>
      </c>
      <c r="I1166" s="339" t="n"/>
      <c r="J1166" s="339" t="n"/>
      <c r="K1166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67" ht="20" customHeight="1">
      <c r="D1167" s="179" t="n"/>
      <c r="E1167" s="179" t="n"/>
      <c r="F1167" s="180" t="n"/>
      <c r="G1167" s="180" t="n"/>
      <c r="H1167" s="181">
        <f>IF(OR(F1167="",G1167=""),"",ROUND(MOD(G1167-F1167,1)*24,2))</f>
        <v/>
      </c>
      <c r="K1167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68" ht="20" customHeight="1">
      <c r="D1168" s="179" t="n"/>
      <c r="E1168" s="179" t="n"/>
      <c r="F1168" s="180" t="n"/>
      <c r="G1168" s="180" t="n"/>
      <c r="H1168" s="181">
        <f>IF(OR(F1168="",G1168=""),"",ROUND(MOD(G1168-F1168,1)*24,2))</f>
        <v/>
      </c>
      <c r="K1168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69" ht="20" customHeight="1">
      <c r="D1169" s="179" t="n"/>
      <c r="E1169" s="179" t="n"/>
      <c r="F1169" s="180" t="n"/>
      <c r="G1169" s="180" t="n"/>
      <c r="H1169" s="181">
        <f>IF(OR(F1169="",G1169=""),"",ROUND(MOD(G1169-F1169,1)*24,2))</f>
        <v/>
      </c>
      <c r="K1169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70" collapsed="1" ht="20" customHeight="1">
      <c r="D1170" s="179" t="n"/>
      <c r="E1170" s="179" t="n"/>
      <c r="F1170" s="180" t="n"/>
      <c r="G1170" s="180" t="n"/>
      <c r="H1170" s="181">
        <f>IF(OR(F1170="",G1170=""),"",ROUND(MOD(G1170-F1170,1)*24,2))</f>
        <v/>
      </c>
      <c r="K1170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71" hidden="1" outlineLevel="1" ht="20" customHeight="1">
      <c r="D1171" s="179" t="n"/>
      <c r="E1171" s="179" t="n"/>
      <c r="F1171" s="180" t="n"/>
      <c r="G1171" s="180" t="n"/>
      <c r="H1171" s="181">
        <f>IF(OR(F1171="",G1171=""),"",ROUND(MOD(G1171-F1171,1)*24,2))</f>
        <v/>
      </c>
      <c r="K1171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72" hidden="1" outlineLevel="1" ht="20" customHeight="1">
      <c r="D1172" s="179" t="n"/>
      <c r="E1172" s="179" t="n"/>
      <c r="F1172" s="180" t="n"/>
      <c r="G1172" s="180" t="n"/>
      <c r="H1172" s="181">
        <f>IF(OR(F1172="",G1172=""),"",ROUND(MOD(G1172-F1172,1)*24,2))</f>
        <v/>
      </c>
      <c r="K1172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73" hidden="1" outlineLevel="1" ht="20" customHeight="1">
      <c r="D1173" s="179" t="n"/>
      <c r="E1173" s="179" t="n"/>
      <c r="F1173" s="180" t="n"/>
      <c r="G1173" s="180" t="n"/>
      <c r="H1173" s="181">
        <f>IF(OR(F1173="",G1173=""),"",ROUND(MOD(G1173-F1173,1)*24,2))</f>
        <v/>
      </c>
      <c r="K1173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74" hidden="1" outlineLevel="1" ht="20" customHeight="1">
      <c r="D1174" s="179" t="n"/>
      <c r="E1174" s="179" t="n"/>
      <c r="F1174" s="180" t="n"/>
      <c r="G1174" s="180" t="n"/>
      <c r="H1174" s="181">
        <f>IF(OR(F1174="",G1174=""),"",ROUND(MOD(G1174-F1174,1)*24,2))</f>
        <v/>
      </c>
      <c r="K1174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75" hidden="1" outlineLevel="1" ht="20" customHeight="1">
      <c r="A1175" s="342" t="n"/>
      <c r="B1175" s="342" t="n"/>
      <c r="C1175" s="342" t="n"/>
      <c r="D1175" s="332" t="n"/>
      <c r="E1175" s="332" t="n"/>
      <c r="F1175" s="333" t="n"/>
      <c r="G1175" s="333" t="n"/>
      <c r="H1175" s="334">
        <f>IF(OR(F1175="",G1175=""),"",ROUND(MOD(G1175-F1175,1)*24,2))</f>
        <v/>
      </c>
      <c r="I1175" s="342" t="n"/>
      <c r="J1175" s="342" t="n"/>
      <c r="K1175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76" ht="20" customHeight="1">
      <c r="A1176" s="336">
        <f>IF($K1176="","",WEEKNUM($K1176,21))</f>
        <v/>
      </c>
      <c r="B1176" s="337">
        <f>IF($K1176="","",$K1176)</f>
        <v/>
      </c>
      <c r="C1176" s="338">
        <f>IF($K1176="","",$K1176)</f>
        <v/>
      </c>
      <c r="D1176" s="171" t="n"/>
      <c r="E1176" s="171" t="n"/>
      <c r="F1176" s="172" t="n"/>
      <c r="G1176" s="172" t="n"/>
      <c r="H1176" s="173">
        <f>IF(OR(F1176="",G1176=""),"",ROUND(MOD(G1176-F1176,1)*24,2))</f>
        <v/>
      </c>
      <c r="I1176" s="339" t="n"/>
      <c r="J1176" s="339" t="n"/>
      <c r="K1176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77" ht="20" customHeight="1">
      <c r="D1177" s="179" t="n"/>
      <c r="E1177" s="179" t="n"/>
      <c r="F1177" s="180" t="n"/>
      <c r="G1177" s="180" t="n"/>
      <c r="H1177" s="181">
        <f>IF(OR(F1177="",G1177=""),"",ROUND(MOD(G1177-F1177,1)*24,2))</f>
        <v/>
      </c>
      <c r="K1177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78" ht="20" customHeight="1">
      <c r="D1178" s="179" t="n"/>
      <c r="E1178" s="179" t="n"/>
      <c r="F1178" s="180" t="n"/>
      <c r="G1178" s="180" t="n"/>
      <c r="H1178" s="181">
        <f>IF(OR(F1178="",G1178=""),"",ROUND(MOD(G1178-F1178,1)*24,2))</f>
        <v/>
      </c>
      <c r="K1178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79" ht="20" customHeight="1">
      <c r="D1179" s="179" t="n"/>
      <c r="E1179" s="179" t="n"/>
      <c r="F1179" s="180" t="n"/>
      <c r="G1179" s="180" t="n"/>
      <c r="H1179" s="181">
        <f>IF(OR(F1179="",G1179=""),"",ROUND(MOD(G1179-F1179,1)*24,2))</f>
        <v/>
      </c>
      <c r="K1179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80" collapsed="1" ht="20" customHeight="1">
      <c r="D1180" s="179" t="n"/>
      <c r="E1180" s="179" t="n"/>
      <c r="F1180" s="180" t="n"/>
      <c r="G1180" s="180" t="n"/>
      <c r="H1180" s="181">
        <f>IF(OR(F1180="",G1180=""),"",ROUND(MOD(G1180-F1180,1)*24,2))</f>
        <v/>
      </c>
      <c r="K1180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81" hidden="1" outlineLevel="1" ht="20" customHeight="1">
      <c r="D1181" s="179" t="n"/>
      <c r="E1181" s="179" t="n"/>
      <c r="F1181" s="180" t="n"/>
      <c r="G1181" s="180" t="n"/>
      <c r="H1181" s="181">
        <f>IF(OR(F1181="",G1181=""),"",ROUND(MOD(G1181-F1181,1)*24,2))</f>
        <v/>
      </c>
      <c r="K1181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82" hidden="1" outlineLevel="1" ht="20" customHeight="1">
      <c r="D1182" s="179" t="n"/>
      <c r="E1182" s="179" t="n"/>
      <c r="F1182" s="180" t="n"/>
      <c r="G1182" s="180" t="n"/>
      <c r="H1182" s="181">
        <f>IF(OR(F1182="",G1182=""),"",ROUND(MOD(G1182-F1182,1)*24,2))</f>
        <v/>
      </c>
      <c r="K1182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83" hidden="1" outlineLevel="1" ht="20" customHeight="1">
      <c r="D1183" s="179" t="n"/>
      <c r="E1183" s="179" t="n"/>
      <c r="F1183" s="180" t="n"/>
      <c r="G1183" s="180" t="n"/>
      <c r="H1183" s="181">
        <f>IF(OR(F1183="",G1183=""),"",ROUND(MOD(G1183-F1183,1)*24,2))</f>
        <v/>
      </c>
      <c r="K1183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84" hidden="1" outlineLevel="1" ht="20" customHeight="1">
      <c r="D1184" s="179" t="n"/>
      <c r="E1184" s="179" t="n"/>
      <c r="F1184" s="180" t="n"/>
      <c r="G1184" s="180" t="n"/>
      <c r="H1184" s="181">
        <f>IF(OR(F1184="",G1184=""),"",ROUND(MOD(G1184-F1184,1)*24,2))</f>
        <v/>
      </c>
      <c r="K1184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85" hidden="1" outlineLevel="1" ht="20" customHeight="1">
      <c r="A1185" s="342" t="n"/>
      <c r="B1185" s="342" t="n"/>
      <c r="C1185" s="342" t="n"/>
      <c r="D1185" s="332" t="n"/>
      <c r="E1185" s="332" t="n"/>
      <c r="F1185" s="333" t="n"/>
      <c r="G1185" s="333" t="n"/>
      <c r="H1185" s="334">
        <f>IF(OR(F1185="",G1185=""),"",ROUND(MOD(G1185-F1185,1)*24,2))</f>
        <v/>
      </c>
      <c r="I1185" s="342" t="n"/>
      <c r="J1185" s="342" t="n"/>
      <c r="K1185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186" ht="20" customHeight="1">
      <c r="A1186" s="336">
        <f>IF($K1186="","",WEEKNUM($K1186,21))</f>
        <v/>
      </c>
      <c r="B1186" s="337">
        <f>IF($K1186="","",$K1186)</f>
        <v/>
      </c>
      <c r="C1186" s="338">
        <f>IF($K1186="","",$K1186)</f>
        <v/>
      </c>
      <c r="D1186" s="171" t="n"/>
      <c r="E1186" s="171" t="n"/>
      <c r="F1186" s="172" t="n"/>
      <c r="G1186" s="172" t="n"/>
      <c r="H1186" s="173">
        <f>IF(OR(F1186="",G1186=""),"",ROUND(MOD(G1186-F1186,1)*24,2))</f>
        <v/>
      </c>
      <c r="I1186" s="339" t="n"/>
      <c r="J1186" s="339" t="n"/>
      <c r="K1186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87" ht="20" customHeight="1">
      <c r="D1187" s="179" t="n"/>
      <c r="E1187" s="179" t="n"/>
      <c r="F1187" s="180" t="n"/>
      <c r="G1187" s="180" t="n"/>
      <c r="H1187" s="181">
        <f>IF(OR(F1187="",G1187=""),"",ROUND(MOD(G1187-F1187,1)*24,2))</f>
        <v/>
      </c>
      <c r="K1187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88" ht="20" customHeight="1">
      <c r="D1188" s="179" t="n"/>
      <c r="E1188" s="179" t="n"/>
      <c r="F1188" s="180" t="n"/>
      <c r="G1188" s="180" t="n"/>
      <c r="H1188" s="181">
        <f>IF(OR(F1188="",G1188=""),"",ROUND(MOD(G1188-F1188,1)*24,2))</f>
        <v/>
      </c>
      <c r="K1188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89" ht="20" customHeight="1">
      <c r="D1189" s="179" t="n"/>
      <c r="E1189" s="179" t="n"/>
      <c r="F1189" s="180" t="n"/>
      <c r="G1189" s="180" t="n"/>
      <c r="H1189" s="181">
        <f>IF(OR(F1189="",G1189=""),"",ROUND(MOD(G1189-F1189,1)*24,2))</f>
        <v/>
      </c>
      <c r="K1189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90" collapsed="1" ht="20" customHeight="1">
      <c r="D1190" s="179" t="n"/>
      <c r="E1190" s="179" t="n"/>
      <c r="F1190" s="180" t="n"/>
      <c r="G1190" s="180" t="n"/>
      <c r="H1190" s="181">
        <f>IF(OR(F1190="",G1190=""),"",ROUND(MOD(G1190-F1190,1)*24,2))</f>
        <v/>
      </c>
      <c r="K1190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91" hidden="1" outlineLevel="1" ht="20" customHeight="1">
      <c r="D1191" s="179" t="n"/>
      <c r="E1191" s="179" t="n"/>
      <c r="F1191" s="180" t="n"/>
      <c r="G1191" s="180" t="n"/>
      <c r="H1191" s="181">
        <f>IF(OR(F1191="",G1191=""),"",ROUND(MOD(G1191-F1191,1)*24,2))</f>
        <v/>
      </c>
      <c r="K1191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92" hidden="1" outlineLevel="1" ht="20" customHeight="1">
      <c r="D1192" s="179" t="n"/>
      <c r="E1192" s="179" t="n"/>
      <c r="F1192" s="180" t="n"/>
      <c r="G1192" s="180" t="n"/>
      <c r="H1192" s="181">
        <f>IF(OR(F1192="",G1192=""),"",ROUND(MOD(G1192-F1192,1)*24,2))</f>
        <v/>
      </c>
      <c r="K1192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93" hidden="1" outlineLevel="1" ht="20" customHeight="1">
      <c r="D1193" s="179" t="n"/>
      <c r="E1193" s="179" t="n"/>
      <c r="F1193" s="180" t="n"/>
      <c r="G1193" s="180" t="n"/>
      <c r="H1193" s="181">
        <f>IF(OR(F1193="",G1193=""),"",ROUND(MOD(G1193-F1193,1)*24,2))</f>
        <v/>
      </c>
      <c r="K1193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94" hidden="1" outlineLevel="1" ht="20" customHeight="1">
      <c r="D1194" s="179" t="n"/>
      <c r="E1194" s="179" t="n"/>
      <c r="F1194" s="180" t="n"/>
      <c r="G1194" s="180" t="n"/>
      <c r="H1194" s="181">
        <f>IF(OR(F1194="",G1194=""),"",ROUND(MOD(G1194-F1194,1)*24,2))</f>
        <v/>
      </c>
      <c r="K1194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95" hidden="1" outlineLevel="1" ht="20" customHeight="1">
      <c r="A1195" s="342" t="n"/>
      <c r="B1195" s="342" t="n"/>
      <c r="C1195" s="342" t="n"/>
      <c r="D1195" s="332" t="n"/>
      <c r="E1195" s="332" t="n"/>
      <c r="F1195" s="333" t="n"/>
      <c r="G1195" s="333" t="n"/>
      <c r="H1195" s="334">
        <f>IF(OR(F1195="",G1195=""),"",ROUND(MOD(G1195-F1195,1)*24,2))</f>
        <v/>
      </c>
      <c r="I1195" s="342" t="n"/>
      <c r="J1195" s="342" t="n"/>
      <c r="K1195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196" ht="20" customHeight="1">
      <c r="A1196" s="336">
        <f>IF($K1196="","",WEEKNUM($K1196,21))</f>
        <v/>
      </c>
      <c r="B1196" s="337">
        <f>IF($K1196="","",$K1196)</f>
        <v/>
      </c>
      <c r="C1196" s="338">
        <f>IF($K1196="","",$K1196)</f>
        <v/>
      </c>
      <c r="D1196" s="171" t="n"/>
      <c r="E1196" s="171" t="n"/>
      <c r="F1196" s="172" t="n"/>
      <c r="G1196" s="172" t="n"/>
      <c r="H1196" s="173">
        <f>IF(OR(F1196="",G1196=""),"",ROUND(MOD(G1196-F1196,1)*24,2))</f>
        <v/>
      </c>
      <c r="I1196" s="339" t="n"/>
      <c r="J1196" s="339" t="n"/>
      <c r="K1196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197" ht="20" customHeight="1">
      <c r="D1197" s="179" t="n"/>
      <c r="E1197" s="179" t="n"/>
      <c r="F1197" s="180" t="n"/>
      <c r="G1197" s="180" t="n"/>
      <c r="H1197" s="181">
        <f>IF(OR(F1197="",G1197=""),"",ROUND(MOD(G1197-F1197,1)*24,2))</f>
        <v/>
      </c>
      <c r="K1197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198" ht="20" customHeight="1">
      <c r="D1198" s="179" t="n"/>
      <c r="E1198" s="179" t="n"/>
      <c r="F1198" s="180" t="n"/>
      <c r="G1198" s="180" t="n"/>
      <c r="H1198" s="181">
        <f>IF(OR(F1198="",G1198=""),"",ROUND(MOD(G1198-F1198,1)*24,2))</f>
        <v/>
      </c>
      <c r="K1198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199" ht="20" customHeight="1">
      <c r="D1199" s="179" t="n"/>
      <c r="E1199" s="179" t="n"/>
      <c r="F1199" s="180" t="n"/>
      <c r="G1199" s="180" t="n"/>
      <c r="H1199" s="181">
        <f>IF(OR(F1199="",G1199=""),"",ROUND(MOD(G1199-F1199,1)*24,2))</f>
        <v/>
      </c>
      <c r="K1199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200" collapsed="1" ht="20" customHeight="1">
      <c r="D1200" s="179" t="n"/>
      <c r="E1200" s="179" t="n"/>
      <c r="F1200" s="180" t="n"/>
      <c r="G1200" s="180" t="n"/>
      <c r="H1200" s="181">
        <f>IF(OR(F1200="",G1200=""),"",ROUND(MOD(G1200-F1200,1)*24,2))</f>
        <v/>
      </c>
      <c r="K1200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201" hidden="1" outlineLevel="1" ht="20" customHeight="1">
      <c r="D1201" s="179" t="n"/>
      <c r="E1201" s="179" t="n"/>
      <c r="F1201" s="180" t="n"/>
      <c r="G1201" s="180" t="n"/>
      <c r="H1201" s="181">
        <f>IF(OR(F1201="",G1201=""),"",ROUND(MOD(G1201-F1201,1)*24,2))</f>
        <v/>
      </c>
      <c r="K1201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202" hidden="1" outlineLevel="1" ht="20" customHeight="1">
      <c r="D1202" s="179" t="n"/>
      <c r="E1202" s="179" t="n"/>
      <c r="F1202" s="180" t="n"/>
      <c r="G1202" s="180" t="n"/>
      <c r="H1202" s="181">
        <f>IF(OR(F1202="",G1202=""),"",ROUND(MOD(G1202-F1202,1)*24,2))</f>
        <v/>
      </c>
      <c r="K1202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203" hidden="1" outlineLevel="1" ht="20" customHeight="1">
      <c r="D1203" s="179" t="n"/>
      <c r="E1203" s="179" t="n"/>
      <c r="F1203" s="180" t="n"/>
      <c r="G1203" s="180" t="n"/>
      <c r="H1203" s="181">
        <f>IF(OR(F1203="",G1203=""),"",ROUND(MOD(G1203-F1203,1)*24,2))</f>
        <v/>
      </c>
      <c r="K1203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204" hidden="1" outlineLevel="1" ht="20" customHeight="1">
      <c r="D1204" s="179" t="n"/>
      <c r="E1204" s="179" t="n"/>
      <c r="F1204" s="180" t="n"/>
      <c r="G1204" s="180" t="n"/>
      <c r="H1204" s="181">
        <f>IF(OR(F1204="",G1204=""),"",ROUND(MOD(G1204-F1204,1)*24,2))</f>
        <v/>
      </c>
      <c r="K1204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205" hidden="1" outlineLevel="1" ht="20" customHeight="1">
      <c r="A1205" s="342" t="n"/>
      <c r="B1205" s="342" t="n"/>
      <c r="C1205" s="342" t="n"/>
      <c r="D1205" s="332" t="n"/>
      <c r="E1205" s="332" t="n"/>
      <c r="F1205" s="333" t="n"/>
      <c r="G1205" s="333" t="n"/>
      <c r="H1205" s="334">
        <f>IF(OR(F1205="",G1205=""),"",ROUND(MOD(G1205-F1205,1)*24,2))</f>
        <v/>
      </c>
      <c r="I1205" s="342" t="n"/>
      <c r="J1205" s="342" t="n"/>
      <c r="K1205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206" ht="20" customHeight="1">
      <c r="A1206" s="336">
        <f>IF($K1206="","",WEEKNUM($K1206,21))</f>
        <v/>
      </c>
      <c r="B1206" s="337">
        <f>IF($K1206="","",$K1206)</f>
        <v/>
      </c>
      <c r="C1206" s="338">
        <f>IF($K1206="","",$K1206)</f>
        <v/>
      </c>
      <c r="D1206" s="171" t="n"/>
      <c r="E1206" s="171" t="n"/>
      <c r="F1206" s="172" t="n"/>
      <c r="G1206" s="172" t="n"/>
      <c r="H1206" s="173">
        <f>IF(OR(F1206="",G1206=""),"",ROUND(MOD(G1206-F1206,1)*24,2))</f>
        <v/>
      </c>
      <c r="I1206" s="339" t="n"/>
      <c r="J1206" s="339" t="n"/>
      <c r="K1206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07" ht="20" customHeight="1">
      <c r="D1207" s="179" t="n"/>
      <c r="E1207" s="179" t="n"/>
      <c r="F1207" s="180" t="n"/>
      <c r="G1207" s="180" t="n"/>
      <c r="H1207" s="181">
        <f>IF(OR(F1207="",G1207=""),"",ROUND(MOD(G1207-F1207,1)*24,2))</f>
        <v/>
      </c>
      <c r="K1207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08" ht="20" customHeight="1">
      <c r="D1208" s="179" t="n"/>
      <c r="E1208" s="179" t="n"/>
      <c r="F1208" s="180" t="n"/>
      <c r="G1208" s="180" t="n"/>
      <c r="H1208" s="181">
        <f>IF(OR(F1208="",G1208=""),"",ROUND(MOD(G1208-F1208,1)*24,2))</f>
        <v/>
      </c>
      <c r="K1208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09" ht="20" customHeight="1">
      <c r="D1209" s="179" t="n"/>
      <c r="E1209" s="179" t="n"/>
      <c r="F1209" s="180" t="n"/>
      <c r="G1209" s="180" t="n"/>
      <c r="H1209" s="181">
        <f>IF(OR(F1209="",G1209=""),"",ROUND(MOD(G1209-F1209,1)*24,2))</f>
        <v/>
      </c>
      <c r="K1209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10" collapsed="1" ht="20" customHeight="1">
      <c r="D1210" s="179" t="n"/>
      <c r="E1210" s="179" t="n"/>
      <c r="F1210" s="180" t="n"/>
      <c r="G1210" s="180" t="n"/>
      <c r="H1210" s="181">
        <f>IF(OR(F1210="",G1210=""),"",ROUND(MOD(G1210-F1210,1)*24,2))</f>
        <v/>
      </c>
      <c r="K1210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11" hidden="1" outlineLevel="1" ht="20" customHeight="1">
      <c r="D1211" s="179" t="n"/>
      <c r="E1211" s="179" t="n"/>
      <c r="F1211" s="180" t="n"/>
      <c r="G1211" s="180" t="n"/>
      <c r="H1211" s="181">
        <f>IF(OR(F1211="",G1211=""),"",ROUND(MOD(G1211-F1211,1)*24,2))</f>
        <v/>
      </c>
      <c r="K1211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12" hidden="1" outlineLevel="1" ht="20" customHeight="1">
      <c r="D1212" s="179" t="n"/>
      <c r="E1212" s="179" t="n"/>
      <c r="F1212" s="180" t="n"/>
      <c r="G1212" s="180" t="n"/>
      <c r="H1212" s="181">
        <f>IF(OR(F1212="",G1212=""),"",ROUND(MOD(G1212-F1212,1)*24,2))</f>
        <v/>
      </c>
      <c r="K1212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13" hidden="1" outlineLevel="1" ht="20" customHeight="1">
      <c r="D1213" s="179" t="n"/>
      <c r="E1213" s="179" t="n"/>
      <c r="F1213" s="180" t="n"/>
      <c r="G1213" s="180" t="n"/>
      <c r="H1213" s="181">
        <f>IF(OR(F1213="",G1213=""),"",ROUND(MOD(G1213-F1213,1)*24,2))</f>
        <v/>
      </c>
      <c r="K1213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14" hidden="1" outlineLevel="1" ht="20" customHeight="1">
      <c r="D1214" s="179" t="n"/>
      <c r="E1214" s="179" t="n"/>
      <c r="F1214" s="180" t="n"/>
      <c r="G1214" s="180" t="n"/>
      <c r="H1214" s="181">
        <f>IF(OR(F1214="",G1214=""),"",ROUND(MOD(G1214-F1214,1)*24,2))</f>
        <v/>
      </c>
      <c r="K1214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15" hidden="1" outlineLevel="1" ht="20" customHeight="1">
      <c r="A1215" s="342" t="n"/>
      <c r="B1215" s="342" t="n"/>
      <c r="C1215" s="342" t="n"/>
      <c r="D1215" s="332" t="n"/>
      <c r="E1215" s="332" t="n"/>
      <c r="F1215" s="333" t="n"/>
      <c r="G1215" s="333" t="n"/>
      <c r="H1215" s="334">
        <f>IF(OR(F1215="",G1215=""),"",ROUND(MOD(G1215-F1215,1)*24,2))</f>
        <v/>
      </c>
      <c r="I1215" s="342" t="n"/>
      <c r="J1215" s="342" t="n"/>
      <c r="K1215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16" ht="20" customHeight="1">
      <c r="A1216" s="336">
        <f>IF($K1216="","",WEEKNUM($K1216,21))</f>
        <v/>
      </c>
      <c r="B1216" s="337">
        <f>IF($K1216="","",$K1216)</f>
        <v/>
      </c>
      <c r="C1216" s="338">
        <f>IF($K1216="","",$K1216)</f>
        <v/>
      </c>
      <c r="D1216" s="171" t="n"/>
      <c r="E1216" s="171" t="n"/>
      <c r="F1216" s="172" t="n"/>
      <c r="G1216" s="172" t="n"/>
      <c r="H1216" s="173">
        <f>IF(OR(F1216="",G1216=""),"",ROUND(MOD(G1216-F1216,1)*24,2))</f>
        <v/>
      </c>
      <c r="I1216" s="339" t="n"/>
      <c r="J1216" s="339" t="n"/>
      <c r="K1216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17" ht="20" customHeight="1">
      <c r="D1217" s="179" t="n"/>
      <c r="E1217" s="179" t="n"/>
      <c r="F1217" s="180" t="n"/>
      <c r="G1217" s="180" t="n"/>
      <c r="H1217" s="181">
        <f>IF(OR(F1217="",G1217=""),"",ROUND(MOD(G1217-F1217,1)*24,2))</f>
        <v/>
      </c>
      <c r="K1217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18" ht="20" customHeight="1">
      <c r="D1218" s="179" t="n"/>
      <c r="E1218" s="179" t="n"/>
      <c r="F1218" s="180" t="n"/>
      <c r="G1218" s="180" t="n"/>
      <c r="H1218" s="181">
        <f>IF(OR(F1218="",G1218=""),"",ROUND(MOD(G1218-F1218,1)*24,2))</f>
        <v/>
      </c>
      <c r="K1218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19" ht="20" customHeight="1">
      <c r="D1219" s="179" t="n"/>
      <c r="E1219" s="179" t="n"/>
      <c r="F1219" s="180" t="n"/>
      <c r="G1219" s="180" t="n"/>
      <c r="H1219" s="181">
        <f>IF(OR(F1219="",G1219=""),"",ROUND(MOD(G1219-F1219,1)*24,2))</f>
        <v/>
      </c>
      <c r="K1219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20" collapsed="1" ht="20" customHeight="1">
      <c r="D1220" s="179" t="n"/>
      <c r="E1220" s="179" t="n"/>
      <c r="F1220" s="180" t="n"/>
      <c r="G1220" s="180" t="n"/>
      <c r="H1220" s="181">
        <f>IF(OR(F1220="",G1220=""),"",ROUND(MOD(G1220-F1220,1)*24,2))</f>
        <v/>
      </c>
      <c r="K1220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21" hidden="1" outlineLevel="1" ht="20" customHeight="1">
      <c r="D1221" s="179" t="n"/>
      <c r="E1221" s="179" t="n"/>
      <c r="F1221" s="180" t="n"/>
      <c r="G1221" s="180" t="n"/>
      <c r="H1221" s="181">
        <f>IF(OR(F1221="",G1221=""),"",ROUND(MOD(G1221-F1221,1)*24,2))</f>
        <v/>
      </c>
      <c r="K1221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22" hidden="1" outlineLevel="1" ht="20" customHeight="1">
      <c r="D1222" s="179" t="n"/>
      <c r="E1222" s="179" t="n"/>
      <c r="F1222" s="180" t="n"/>
      <c r="G1222" s="180" t="n"/>
      <c r="H1222" s="181">
        <f>IF(OR(F1222="",G1222=""),"",ROUND(MOD(G1222-F1222,1)*24,2))</f>
        <v/>
      </c>
      <c r="K1222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23" hidden="1" outlineLevel="1" ht="20" customHeight="1">
      <c r="D1223" s="179" t="n"/>
      <c r="E1223" s="179" t="n"/>
      <c r="F1223" s="180" t="n"/>
      <c r="G1223" s="180" t="n"/>
      <c r="H1223" s="181">
        <f>IF(OR(F1223="",G1223=""),"",ROUND(MOD(G1223-F1223,1)*24,2))</f>
        <v/>
      </c>
      <c r="K1223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24" hidden="1" outlineLevel="1" ht="20" customHeight="1">
      <c r="D1224" s="179" t="n"/>
      <c r="E1224" s="179" t="n"/>
      <c r="F1224" s="180" t="n"/>
      <c r="G1224" s="180" t="n"/>
      <c r="H1224" s="181">
        <f>IF(OR(F1224="",G1224=""),"",ROUND(MOD(G1224-F1224,1)*24,2))</f>
        <v/>
      </c>
      <c r="K1224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25" hidden="1" outlineLevel="1" ht="20" customHeight="1">
      <c r="A1225" s="342" t="n"/>
      <c r="B1225" s="342" t="n"/>
      <c r="C1225" s="342" t="n"/>
      <c r="D1225" s="332" t="n"/>
      <c r="E1225" s="332" t="n"/>
      <c r="F1225" s="333" t="n"/>
      <c r="G1225" s="333" t="n"/>
      <c r="H1225" s="334">
        <f>IF(OR(F1225="",G1225=""),"",ROUND(MOD(G1225-F1225,1)*24,2))</f>
        <v/>
      </c>
      <c r="I1225" s="342" t="n"/>
      <c r="J1225" s="342" t="n"/>
      <c r="K1225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26" ht="20" customHeight="1">
      <c r="A1226" s="336">
        <f>IF($K1226="","",WEEKNUM($K1226,21))</f>
        <v/>
      </c>
      <c r="B1226" s="337">
        <f>IF($K1226="","",$K1226)</f>
        <v/>
      </c>
      <c r="C1226" s="338">
        <f>IF($K1226="","",$K1226)</f>
        <v/>
      </c>
      <c r="D1226" s="171" t="n"/>
      <c r="E1226" s="171" t="n"/>
      <c r="F1226" s="172" t="n"/>
      <c r="G1226" s="172" t="n"/>
      <c r="H1226" s="173">
        <f>IF(OR(F1226="",G1226=""),"",ROUND(MOD(G1226-F1226,1)*24,2))</f>
        <v/>
      </c>
      <c r="I1226" s="339" t="n"/>
      <c r="J1226" s="339" t="n"/>
      <c r="K1226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27" ht="20" customHeight="1">
      <c r="D1227" s="179" t="n"/>
      <c r="E1227" s="179" t="n"/>
      <c r="F1227" s="180" t="n"/>
      <c r="G1227" s="180" t="n"/>
      <c r="H1227" s="181">
        <f>IF(OR(F1227="",G1227=""),"",ROUND(MOD(G1227-F1227,1)*24,2))</f>
        <v/>
      </c>
      <c r="K1227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28" ht="20" customHeight="1">
      <c r="D1228" s="179" t="n"/>
      <c r="E1228" s="179" t="n"/>
      <c r="F1228" s="180" t="n"/>
      <c r="G1228" s="180" t="n"/>
      <c r="H1228" s="181">
        <f>IF(OR(F1228="",G1228=""),"",ROUND(MOD(G1228-F1228,1)*24,2))</f>
        <v/>
      </c>
      <c r="K1228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29" ht="20" customHeight="1">
      <c r="D1229" s="179" t="n"/>
      <c r="E1229" s="179" t="n"/>
      <c r="F1229" s="180" t="n"/>
      <c r="G1229" s="180" t="n"/>
      <c r="H1229" s="181">
        <f>IF(OR(F1229="",G1229=""),"",ROUND(MOD(G1229-F1229,1)*24,2))</f>
        <v/>
      </c>
      <c r="K1229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30" collapsed="1" ht="20" customHeight="1">
      <c r="D1230" s="179" t="n"/>
      <c r="E1230" s="179" t="n"/>
      <c r="F1230" s="180" t="n"/>
      <c r="G1230" s="180" t="n"/>
      <c r="H1230" s="181">
        <f>IF(OR(F1230="",G1230=""),"",ROUND(MOD(G1230-F1230,1)*24,2))</f>
        <v/>
      </c>
      <c r="K1230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31" hidden="1" outlineLevel="1" ht="20" customHeight="1">
      <c r="D1231" s="179" t="n"/>
      <c r="E1231" s="179" t="n"/>
      <c r="F1231" s="180" t="n"/>
      <c r="G1231" s="180" t="n"/>
      <c r="H1231" s="181">
        <f>IF(OR(F1231="",G1231=""),"",ROUND(MOD(G1231-F1231,1)*24,2))</f>
        <v/>
      </c>
      <c r="K1231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32" hidden="1" outlineLevel="1" ht="20" customHeight="1">
      <c r="D1232" s="179" t="n"/>
      <c r="E1232" s="179" t="n"/>
      <c r="F1232" s="180" t="n"/>
      <c r="G1232" s="180" t="n"/>
      <c r="H1232" s="181">
        <f>IF(OR(F1232="",G1232=""),"",ROUND(MOD(G1232-F1232,1)*24,2))</f>
        <v/>
      </c>
      <c r="K1232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33" hidden="1" outlineLevel="1" ht="20" customHeight="1">
      <c r="D1233" s="179" t="n"/>
      <c r="E1233" s="179" t="n"/>
      <c r="F1233" s="180" t="n"/>
      <c r="G1233" s="180" t="n"/>
      <c r="H1233" s="181">
        <f>IF(OR(F1233="",G1233=""),"",ROUND(MOD(G1233-F1233,1)*24,2))</f>
        <v/>
      </c>
      <c r="K1233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34" hidden="1" outlineLevel="1" ht="20" customHeight="1">
      <c r="D1234" s="179" t="n"/>
      <c r="E1234" s="179" t="n"/>
      <c r="F1234" s="180" t="n"/>
      <c r="G1234" s="180" t="n"/>
      <c r="H1234" s="181">
        <f>IF(OR(F1234="",G1234=""),"",ROUND(MOD(G1234-F1234,1)*24,2))</f>
        <v/>
      </c>
      <c r="K1234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35" hidden="1" outlineLevel="1" ht="20" customHeight="1">
      <c r="A1235" s="342" t="n"/>
      <c r="B1235" s="342" t="n"/>
      <c r="C1235" s="342" t="n"/>
      <c r="D1235" s="332" t="n"/>
      <c r="E1235" s="332" t="n"/>
      <c r="F1235" s="333" t="n"/>
      <c r="G1235" s="333" t="n"/>
      <c r="H1235" s="334">
        <f>IF(OR(F1235="",G1235=""),"",ROUND(MOD(G1235-F1235,1)*24,2))</f>
        <v/>
      </c>
      <c r="I1235" s="342" t="n"/>
      <c r="J1235" s="342" t="n"/>
      <c r="K1235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36" ht="20" customHeight="1">
      <c r="A1236" s="336">
        <f>IF($K1236="","",WEEKNUM($K1236,21))</f>
        <v/>
      </c>
      <c r="B1236" s="337">
        <f>IF($K1236="","",$K1236)</f>
        <v/>
      </c>
      <c r="C1236" s="338">
        <f>IF($K1236="","",$K1236)</f>
        <v/>
      </c>
      <c r="D1236" s="171" t="n"/>
      <c r="E1236" s="171" t="n"/>
      <c r="F1236" s="172" t="n"/>
      <c r="G1236" s="172" t="n"/>
      <c r="H1236" s="173">
        <f>IF(OR(F1236="",G1236=""),"",ROUND(MOD(G1236-F1236,1)*24,2))</f>
        <v/>
      </c>
      <c r="I1236" s="339" t="n"/>
      <c r="J1236" s="339" t="n"/>
      <c r="K1236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37" ht="20" customHeight="1">
      <c r="D1237" s="179" t="n"/>
      <c r="E1237" s="179" t="n"/>
      <c r="F1237" s="180" t="n"/>
      <c r="G1237" s="180" t="n"/>
      <c r="H1237" s="181">
        <f>IF(OR(F1237="",G1237=""),"",ROUND(MOD(G1237-F1237,1)*24,2))</f>
        <v/>
      </c>
      <c r="K1237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38" ht="20" customHeight="1">
      <c r="D1238" s="179" t="n"/>
      <c r="E1238" s="179" t="n"/>
      <c r="F1238" s="180" t="n"/>
      <c r="G1238" s="180" t="n"/>
      <c r="H1238" s="181">
        <f>IF(OR(F1238="",G1238=""),"",ROUND(MOD(G1238-F1238,1)*24,2))</f>
        <v/>
      </c>
      <c r="K1238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39" ht="20" customHeight="1">
      <c r="D1239" s="179" t="n"/>
      <c r="E1239" s="179" t="n"/>
      <c r="F1239" s="180" t="n"/>
      <c r="G1239" s="180" t="n"/>
      <c r="H1239" s="181">
        <f>IF(OR(F1239="",G1239=""),"",ROUND(MOD(G1239-F1239,1)*24,2))</f>
        <v/>
      </c>
      <c r="K1239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40" collapsed="1" ht="20" customHeight="1">
      <c r="D1240" s="179" t="n"/>
      <c r="E1240" s="179" t="n"/>
      <c r="F1240" s="180" t="n"/>
      <c r="G1240" s="180" t="n"/>
      <c r="H1240" s="181">
        <f>IF(OR(F1240="",G1240=""),"",ROUND(MOD(G1240-F1240,1)*24,2))</f>
        <v/>
      </c>
      <c r="K1240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41" hidden="1" outlineLevel="1" ht="20" customHeight="1">
      <c r="D1241" s="179" t="n"/>
      <c r="E1241" s="179" t="n"/>
      <c r="F1241" s="180" t="n"/>
      <c r="G1241" s="180" t="n"/>
      <c r="H1241" s="181">
        <f>IF(OR(F1241="",G1241=""),"",ROUND(MOD(G1241-F1241,1)*24,2))</f>
        <v/>
      </c>
      <c r="K1241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42" hidden="1" outlineLevel="1" ht="20" customHeight="1">
      <c r="D1242" s="179" t="n"/>
      <c r="E1242" s="179" t="n"/>
      <c r="F1242" s="180" t="n"/>
      <c r="G1242" s="180" t="n"/>
      <c r="H1242" s="181">
        <f>IF(OR(F1242="",G1242=""),"",ROUND(MOD(G1242-F1242,1)*24,2))</f>
        <v/>
      </c>
      <c r="K1242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43" hidden="1" outlineLevel="1" ht="20" customHeight="1">
      <c r="D1243" s="179" t="n"/>
      <c r="E1243" s="179" t="n"/>
      <c r="F1243" s="180" t="n"/>
      <c r="G1243" s="180" t="n"/>
      <c r="H1243" s="181">
        <f>IF(OR(F1243="",G1243=""),"",ROUND(MOD(G1243-F1243,1)*24,2))</f>
        <v/>
      </c>
      <c r="K1243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44" hidden="1" outlineLevel="1" ht="20" customHeight="1">
      <c r="D1244" s="179" t="n"/>
      <c r="E1244" s="179" t="n"/>
      <c r="F1244" s="180" t="n"/>
      <c r="G1244" s="180" t="n"/>
      <c r="H1244" s="181">
        <f>IF(OR(F1244="",G1244=""),"",ROUND(MOD(G1244-F1244,1)*24,2))</f>
        <v/>
      </c>
      <c r="K1244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45" hidden="1" outlineLevel="1" ht="20" customHeight="1">
      <c r="A1245" s="342" t="n"/>
      <c r="B1245" s="342" t="n"/>
      <c r="C1245" s="342" t="n"/>
      <c r="D1245" s="332" t="n"/>
      <c r="E1245" s="332" t="n"/>
      <c r="F1245" s="333" t="n"/>
      <c r="G1245" s="333" t="n"/>
      <c r="H1245" s="334">
        <f>IF(OR(F1245="",G1245=""),"",ROUND(MOD(G1245-F1245,1)*24,2))</f>
        <v/>
      </c>
      <c r="I1245" s="342" t="n"/>
      <c r="J1245" s="342" t="n"/>
      <c r="K1245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46" ht="20" customHeight="1">
      <c r="A1246" s="336">
        <f>IF($K1246="","",WEEKNUM($K1246,21))</f>
        <v/>
      </c>
      <c r="B1246" s="337">
        <f>IF($K1246="","",$K1246)</f>
        <v/>
      </c>
      <c r="C1246" s="338">
        <f>IF($K1246="","",$K1246)</f>
        <v/>
      </c>
      <c r="D1246" s="171" t="n"/>
      <c r="E1246" s="171" t="n"/>
      <c r="F1246" s="172" t="n"/>
      <c r="G1246" s="172" t="n"/>
      <c r="H1246" s="173">
        <f>IF(OR(F1246="",G1246=""),"",ROUND(MOD(G1246-F1246,1)*24,2))</f>
        <v/>
      </c>
      <c r="I1246" s="339" t="n"/>
      <c r="J1246" s="339" t="n"/>
      <c r="K1246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47" ht="20" customHeight="1">
      <c r="D1247" s="179" t="n"/>
      <c r="E1247" s="179" t="n"/>
      <c r="F1247" s="180" t="n"/>
      <c r="G1247" s="180" t="n"/>
      <c r="H1247" s="181">
        <f>IF(OR(F1247="",G1247=""),"",ROUND(MOD(G1247-F1247,1)*24,2))</f>
        <v/>
      </c>
      <c r="K1247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48" ht="20" customHeight="1">
      <c r="D1248" s="179" t="n"/>
      <c r="E1248" s="179" t="n"/>
      <c r="F1248" s="180" t="n"/>
      <c r="G1248" s="180" t="n"/>
      <c r="H1248" s="181">
        <f>IF(OR(F1248="",G1248=""),"",ROUND(MOD(G1248-F1248,1)*24,2))</f>
        <v/>
      </c>
      <c r="K1248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49" ht="20" customHeight="1">
      <c r="D1249" s="179" t="n"/>
      <c r="E1249" s="179" t="n"/>
      <c r="F1249" s="180" t="n"/>
      <c r="G1249" s="180" t="n"/>
      <c r="H1249" s="181">
        <f>IF(OR(F1249="",G1249=""),"",ROUND(MOD(G1249-F1249,1)*24,2))</f>
        <v/>
      </c>
      <c r="K1249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50" collapsed="1" ht="20" customHeight="1">
      <c r="D1250" s="179" t="n"/>
      <c r="E1250" s="179" t="n"/>
      <c r="F1250" s="180" t="n"/>
      <c r="G1250" s="180" t="n"/>
      <c r="H1250" s="181">
        <f>IF(OR(F1250="",G1250=""),"",ROUND(MOD(G1250-F1250,1)*24,2))</f>
        <v/>
      </c>
      <c r="K1250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51" hidden="1" outlineLevel="1" ht="20" customHeight="1">
      <c r="D1251" s="179" t="n"/>
      <c r="E1251" s="179" t="n"/>
      <c r="F1251" s="180" t="n"/>
      <c r="G1251" s="180" t="n"/>
      <c r="H1251" s="181">
        <f>IF(OR(F1251="",G1251=""),"",ROUND(MOD(G1251-F1251,1)*24,2))</f>
        <v/>
      </c>
      <c r="K1251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52" hidden="1" outlineLevel="1" ht="20" customHeight="1">
      <c r="D1252" s="179" t="n"/>
      <c r="E1252" s="179" t="n"/>
      <c r="F1252" s="180" t="n"/>
      <c r="G1252" s="180" t="n"/>
      <c r="H1252" s="181">
        <f>IF(OR(F1252="",G1252=""),"",ROUND(MOD(G1252-F1252,1)*24,2))</f>
        <v/>
      </c>
      <c r="K1252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53" hidden="1" outlineLevel="1" ht="20" customHeight="1">
      <c r="D1253" s="179" t="n"/>
      <c r="E1253" s="179" t="n"/>
      <c r="F1253" s="180" t="n"/>
      <c r="G1253" s="180" t="n"/>
      <c r="H1253" s="181">
        <f>IF(OR(F1253="",G1253=""),"",ROUND(MOD(G1253-F1253,1)*24,2))</f>
        <v/>
      </c>
      <c r="K1253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54" hidden="1" outlineLevel="1" ht="20" customHeight="1">
      <c r="D1254" s="179" t="n"/>
      <c r="E1254" s="179" t="n"/>
      <c r="F1254" s="180" t="n"/>
      <c r="G1254" s="180" t="n"/>
      <c r="H1254" s="181">
        <f>IF(OR(F1254="",G1254=""),"",ROUND(MOD(G1254-F1254,1)*24,2))</f>
        <v/>
      </c>
      <c r="K1254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55" hidden="1" outlineLevel="1" ht="20" customHeight="1">
      <c r="A1255" s="342" t="n"/>
      <c r="B1255" s="342" t="n"/>
      <c r="C1255" s="342" t="n"/>
      <c r="D1255" s="332" t="n"/>
      <c r="E1255" s="332" t="n"/>
      <c r="F1255" s="333" t="n"/>
      <c r="G1255" s="333" t="n"/>
      <c r="H1255" s="334">
        <f>IF(OR(F1255="",G1255=""),"",ROUND(MOD(G1255-F1255,1)*24,2))</f>
        <v/>
      </c>
      <c r="I1255" s="342" t="n"/>
      <c r="J1255" s="342" t="n"/>
      <c r="K1255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56" ht="20" customHeight="1">
      <c r="A1256" s="336">
        <f>IF($K1256="","",WEEKNUM($K1256,21))</f>
        <v/>
      </c>
      <c r="B1256" s="337">
        <f>IF($K1256="","",$K1256)</f>
        <v/>
      </c>
      <c r="C1256" s="338">
        <f>IF($K1256="","",$K1256)</f>
        <v/>
      </c>
      <c r="D1256" s="171" t="n"/>
      <c r="E1256" s="171" t="n"/>
      <c r="F1256" s="172" t="n"/>
      <c r="G1256" s="172" t="n"/>
      <c r="H1256" s="173">
        <f>IF(OR(F1256="",G1256=""),"",ROUND(MOD(G1256-F1256,1)*24,2))</f>
        <v/>
      </c>
      <c r="I1256" s="339" t="n"/>
      <c r="J1256" s="339" t="n"/>
      <c r="K1256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57" ht="20" customHeight="1">
      <c r="D1257" s="179" t="n"/>
      <c r="E1257" s="179" t="n"/>
      <c r="F1257" s="180" t="n"/>
      <c r="G1257" s="180" t="n"/>
      <c r="H1257" s="181">
        <f>IF(OR(F1257="",G1257=""),"",ROUND(MOD(G1257-F1257,1)*24,2))</f>
        <v/>
      </c>
      <c r="K1257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58" ht="20" customHeight="1">
      <c r="D1258" s="179" t="n"/>
      <c r="E1258" s="179" t="n"/>
      <c r="F1258" s="180" t="n"/>
      <c r="G1258" s="180" t="n"/>
      <c r="H1258" s="181">
        <f>IF(OR(F1258="",G1258=""),"",ROUND(MOD(G1258-F1258,1)*24,2))</f>
        <v/>
      </c>
      <c r="K1258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59" ht="20" customHeight="1">
      <c r="D1259" s="179" t="n"/>
      <c r="E1259" s="179" t="n"/>
      <c r="F1259" s="180" t="n"/>
      <c r="G1259" s="180" t="n"/>
      <c r="H1259" s="181">
        <f>IF(OR(F1259="",G1259=""),"",ROUND(MOD(G1259-F1259,1)*24,2))</f>
        <v/>
      </c>
      <c r="K1259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60" collapsed="1" ht="20" customHeight="1">
      <c r="D1260" s="179" t="n"/>
      <c r="E1260" s="179" t="n"/>
      <c r="F1260" s="180" t="n"/>
      <c r="G1260" s="180" t="n"/>
      <c r="H1260" s="181">
        <f>IF(OR(F1260="",G1260=""),"",ROUND(MOD(G1260-F1260,1)*24,2))</f>
        <v/>
      </c>
      <c r="K1260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61" hidden="1" outlineLevel="1" ht="20" customHeight="1">
      <c r="D1261" s="179" t="n"/>
      <c r="E1261" s="179" t="n"/>
      <c r="F1261" s="180" t="n"/>
      <c r="G1261" s="180" t="n"/>
      <c r="H1261" s="181">
        <f>IF(OR(F1261="",G1261=""),"",ROUND(MOD(G1261-F1261,1)*24,2))</f>
        <v/>
      </c>
      <c r="K1261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62" hidden="1" outlineLevel="1" ht="20" customHeight="1">
      <c r="D1262" s="179" t="n"/>
      <c r="E1262" s="179" t="n"/>
      <c r="F1262" s="180" t="n"/>
      <c r="G1262" s="180" t="n"/>
      <c r="H1262" s="181">
        <f>IF(OR(F1262="",G1262=""),"",ROUND(MOD(G1262-F1262,1)*24,2))</f>
        <v/>
      </c>
      <c r="K1262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63" hidden="1" outlineLevel="1" ht="20" customHeight="1">
      <c r="D1263" s="179" t="n"/>
      <c r="E1263" s="179" t="n"/>
      <c r="F1263" s="180" t="n"/>
      <c r="G1263" s="180" t="n"/>
      <c r="H1263" s="181">
        <f>IF(OR(F1263="",G1263=""),"",ROUND(MOD(G1263-F1263,1)*24,2))</f>
        <v/>
      </c>
      <c r="K1263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64" hidden="1" outlineLevel="1" ht="20" customHeight="1">
      <c r="D1264" s="179" t="n"/>
      <c r="E1264" s="179" t="n"/>
      <c r="F1264" s="180" t="n"/>
      <c r="G1264" s="180" t="n"/>
      <c r="H1264" s="181">
        <f>IF(OR(F1264="",G1264=""),"",ROUND(MOD(G1264-F1264,1)*24,2))</f>
        <v/>
      </c>
      <c r="K1264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65" hidden="1" outlineLevel="1" ht="20" customHeight="1">
      <c r="A1265" s="342" t="n"/>
      <c r="B1265" s="342" t="n"/>
      <c r="C1265" s="342" t="n"/>
      <c r="D1265" s="332" t="n"/>
      <c r="E1265" s="332" t="n"/>
      <c r="F1265" s="333" t="n"/>
      <c r="G1265" s="333" t="n"/>
      <c r="H1265" s="334">
        <f>IF(OR(F1265="",G1265=""),"",ROUND(MOD(G1265-F1265,1)*24,2))</f>
        <v/>
      </c>
      <c r="I1265" s="342" t="n"/>
      <c r="J1265" s="342" t="n"/>
      <c r="K1265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66" ht="20" customHeight="1">
      <c r="A1266" s="336">
        <f>IF($K1266="","",WEEKNUM($K1266,21))</f>
        <v/>
      </c>
      <c r="B1266" s="337">
        <f>IF($K1266="","",$K1266)</f>
        <v/>
      </c>
      <c r="C1266" s="338">
        <f>IF($K1266="","",$K1266)</f>
        <v/>
      </c>
      <c r="D1266" s="171" t="n"/>
      <c r="E1266" s="171" t="n"/>
      <c r="F1266" s="172" t="n"/>
      <c r="G1266" s="172" t="n"/>
      <c r="H1266" s="173">
        <f>IF(OR(F1266="",G1266=""),"",ROUND(MOD(G1266-F1266,1)*24,2))</f>
        <v/>
      </c>
      <c r="I1266" s="339" t="n"/>
      <c r="J1266" s="339" t="n"/>
      <c r="K1266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67" ht="20" customHeight="1">
      <c r="D1267" s="179" t="n"/>
      <c r="E1267" s="179" t="n"/>
      <c r="F1267" s="180" t="n"/>
      <c r="G1267" s="180" t="n"/>
      <c r="H1267" s="181">
        <f>IF(OR(F1267="",G1267=""),"",ROUND(MOD(G1267-F1267,1)*24,2))</f>
        <v/>
      </c>
      <c r="K1267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68" ht="20" customHeight="1">
      <c r="D1268" s="179" t="n"/>
      <c r="E1268" s="179" t="n"/>
      <c r="F1268" s="180" t="n"/>
      <c r="G1268" s="180" t="n"/>
      <c r="H1268" s="181">
        <f>IF(OR(F1268="",G1268=""),"",ROUND(MOD(G1268-F1268,1)*24,2))</f>
        <v/>
      </c>
      <c r="K1268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69" ht="20" customHeight="1">
      <c r="D1269" s="179" t="n"/>
      <c r="E1269" s="179" t="n"/>
      <c r="F1269" s="180" t="n"/>
      <c r="G1269" s="180" t="n"/>
      <c r="H1269" s="181">
        <f>IF(OR(F1269="",G1269=""),"",ROUND(MOD(G1269-F1269,1)*24,2))</f>
        <v/>
      </c>
      <c r="K1269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70" collapsed="1" ht="20" customHeight="1">
      <c r="D1270" s="179" t="n"/>
      <c r="E1270" s="179" t="n"/>
      <c r="F1270" s="180" t="n"/>
      <c r="G1270" s="180" t="n"/>
      <c r="H1270" s="181">
        <f>IF(OR(F1270="",G1270=""),"",ROUND(MOD(G1270-F1270,1)*24,2))</f>
        <v/>
      </c>
      <c r="K1270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71" hidden="1" outlineLevel="1" ht="20" customHeight="1">
      <c r="D1271" s="179" t="n"/>
      <c r="E1271" s="179" t="n"/>
      <c r="F1271" s="180" t="n"/>
      <c r="G1271" s="180" t="n"/>
      <c r="H1271" s="181">
        <f>IF(OR(F1271="",G1271=""),"",ROUND(MOD(G1271-F1271,1)*24,2))</f>
        <v/>
      </c>
      <c r="K1271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72" hidden="1" outlineLevel="1" ht="20" customHeight="1">
      <c r="D1272" s="179" t="n"/>
      <c r="E1272" s="179" t="n"/>
      <c r="F1272" s="180" t="n"/>
      <c r="G1272" s="180" t="n"/>
      <c r="H1272" s="181">
        <f>IF(OR(F1272="",G1272=""),"",ROUND(MOD(G1272-F1272,1)*24,2))</f>
        <v/>
      </c>
      <c r="K1272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73" hidden="1" outlineLevel="1" ht="20" customHeight="1">
      <c r="D1273" s="179" t="n"/>
      <c r="E1273" s="179" t="n"/>
      <c r="F1273" s="180" t="n"/>
      <c r="G1273" s="180" t="n"/>
      <c r="H1273" s="181">
        <f>IF(OR(F1273="",G1273=""),"",ROUND(MOD(G1273-F1273,1)*24,2))</f>
        <v/>
      </c>
      <c r="K1273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74" hidden="1" outlineLevel="1" ht="20" customHeight="1">
      <c r="D1274" s="179" t="n"/>
      <c r="E1274" s="179" t="n"/>
      <c r="F1274" s="180" t="n"/>
      <c r="G1274" s="180" t="n"/>
      <c r="H1274" s="181">
        <f>IF(OR(F1274="",G1274=""),"",ROUND(MOD(G1274-F1274,1)*24,2))</f>
        <v/>
      </c>
      <c r="K1274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75" hidden="1" outlineLevel="1" ht="20" customHeight="1">
      <c r="A1275" s="342" t="n"/>
      <c r="B1275" s="342" t="n"/>
      <c r="C1275" s="342" t="n"/>
      <c r="D1275" s="332" t="n"/>
      <c r="E1275" s="332" t="n"/>
      <c r="F1275" s="333" t="n"/>
      <c r="G1275" s="333" t="n"/>
      <c r="H1275" s="334">
        <f>IF(OR(F1275="",G1275=""),"",ROUND(MOD(G1275-F1275,1)*24,2))</f>
        <v/>
      </c>
      <c r="I1275" s="342" t="n"/>
      <c r="J1275" s="342" t="n"/>
      <c r="K1275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76" ht="20" customHeight="1">
      <c r="A1276" s="336">
        <f>IF($K1276="","",WEEKNUM($K1276,21))</f>
        <v/>
      </c>
      <c r="B1276" s="337">
        <f>IF($K1276="","",$K1276)</f>
        <v/>
      </c>
      <c r="C1276" s="338">
        <f>IF($K1276="","",$K1276)</f>
        <v/>
      </c>
      <c r="D1276" s="171" t="n"/>
      <c r="E1276" s="171" t="n"/>
      <c r="F1276" s="172" t="n"/>
      <c r="G1276" s="172" t="n"/>
      <c r="H1276" s="173">
        <f>IF(OR(F1276="",G1276=""),"",ROUND(MOD(G1276-F1276,1)*24,2))</f>
        <v/>
      </c>
      <c r="I1276" s="339" t="n"/>
      <c r="J1276" s="339" t="n"/>
      <c r="K1276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77" ht="20" customHeight="1">
      <c r="D1277" s="179" t="n"/>
      <c r="E1277" s="179" t="n"/>
      <c r="F1277" s="180" t="n"/>
      <c r="G1277" s="180" t="n"/>
      <c r="H1277" s="181">
        <f>IF(OR(F1277="",G1277=""),"",ROUND(MOD(G1277-F1277,1)*24,2))</f>
        <v/>
      </c>
      <c r="K1277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78" ht="20" customHeight="1">
      <c r="D1278" s="179" t="n"/>
      <c r="E1278" s="179" t="n"/>
      <c r="F1278" s="180" t="n"/>
      <c r="G1278" s="180" t="n"/>
      <c r="H1278" s="181">
        <f>IF(OR(F1278="",G1278=""),"",ROUND(MOD(G1278-F1278,1)*24,2))</f>
        <v/>
      </c>
      <c r="K1278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79" ht="20" customHeight="1">
      <c r="D1279" s="179" t="n"/>
      <c r="E1279" s="179" t="n"/>
      <c r="F1279" s="180" t="n"/>
      <c r="G1279" s="180" t="n"/>
      <c r="H1279" s="181">
        <f>IF(OR(F1279="",G1279=""),"",ROUND(MOD(G1279-F1279,1)*24,2))</f>
        <v/>
      </c>
      <c r="K1279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80" collapsed="1" ht="20" customHeight="1">
      <c r="D1280" s="179" t="n"/>
      <c r="E1280" s="179" t="n"/>
      <c r="F1280" s="180" t="n"/>
      <c r="G1280" s="180" t="n"/>
      <c r="H1280" s="181">
        <f>IF(OR(F1280="",G1280=""),"",ROUND(MOD(G1280-F1280,1)*24,2))</f>
        <v/>
      </c>
      <c r="K1280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81" hidden="1" outlineLevel="1" ht="20" customHeight="1">
      <c r="D1281" s="179" t="n"/>
      <c r="E1281" s="179" t="n"/>
      <c r="F1281" s="180" t="n"/>
      <c r="G1281" s="180" t="n"/>
      <c r="H1281" s="181">
        <f>IF(OR(F1281="",G1281=""),"",ROUND(MOD(G1281-F1281,1)*24,2))</f>
        <v/>
      </c>
      <c r="K1281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82" hidden="1" outlineLevel="1" ht="20" customHeight="1">
      <c r="D1282" s="179" t="n"/>
      <c r="E1282" s="179" t="n"/>
      <c r="F1282" s="180" t="n"/>
      <c r="G1282" s="180" t="n"/>
      <c r="H1282" s="181">
        <f>IF(OR(F1282="",G1282=""),"",ROUND(MOD(G1282-F1282,1)*24,2))</f>
        <v/>
      </c>
      <c r="K1282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83" hidden="1" outlineLevel="1" ht="20" customHeight="1">
      <c r="D1283" s="179" t="n"/>
      <c r="E1283" s="179" t="n"/>
      <c r="F1283" s="180" t="n"/>
      <c r="G1283" s="180" t="n"/>
      <c r="H1283" s="181">
        <f>IF(OR(F1283="",G1283=""),"",ROUND(MOD(G1283-F1283,1)*24,2))</f>
        <v/>
      </c>
      <c r="K1283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84" hidden="1" outlineLevel="1" ht="20" customHeight="1">
      <c r="D1284" s="179" t="n"/>
      <c r="E1284" s="179" t="n"/>
      <c r="F1284" s="180" t="n"/>
      <c r="G1284" s="180" t="n"/>
      <c r="H1284" s="181">
        <f>IF(OR(F1284="",G1284=""),"",ROUND(MOD(G1284-F1284,1)*24,2))</f>
        <v/>
      </c>
      <c r="K1284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85" hidden="1" outlineLevel="1" ht="20" customHeight="1">
      <c r="A1285" s="342" t="n"/>
      <c r="B1285" s="342" t="n"/>
      <c r="C1285" s="342" t="n"/>
      <c r="D1285" s="332" t="n"/>
      <c r="E1285" s="332" t="n"/>
      <c r="F1285" s="333" t="n"/>
      <c r="G1285" s="333" t="n"/>
      <c r="H1285" s="334">
        <f>IF(OR(F1285="",G1285=""),"",ROUND(MOD(G1285-F1285,1)*24,2))</f>
        <v/>
      </c>
      <c r="I1285" s="342" t="n"/>
      <c r="J1285" s="342" t="n"/>
      <c r="K1285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286" ht="20" customHeight="1">
      <c r="A1286" s="336">
        <f>IF($K1286="","",WEEKNUM($K1286,21))</f>
        <v/>
      </c>
      <c r="B1286" s="337">
        <f>IF($K1286="","",$K1286)</f>
        <v/>
      </c>
      <c r="C1286" s="338">
        <f>IF($K1286="","",$K1286)</f>
        <v/>
      </c>
      <c r="D1286" s="171" t="n"/>
      <c r="E1286" s="171" t="n"/>
      <c r="F1286" s="172" t="n"/>
      <c r="G1286" s="172" t="n"/>
      <c r="H1286" s="173">
        <f>IF(OR(F1286="",G1286=""),"",ROUND(MOD(G1286-F1286,1)*24,2))</f>
        <v/>
      </c>
      <c r="I1286" s="339" t="n"/>
      <c r="J1286" s="339" t="n"/>
      <c r="K1286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87" ht="20" customHeight="1">
      <c r="D1287" s="179" t="n"/>
      <c r="E1287" s="179" t="n"/>
      <c r="F1287" s="180" t="n"/>
      <c r="G1287" s="180" t="n"/>
      <c r="H1287" s="181">
        <f>IF(OR(F1287="",G1287=""),"",ROUND(MOD(G1287-F1287,1)*24,2))</f>
        <v/>
      </c>
      <c r="K1287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88" ht="20" customHeight="1">
      <c r="D1288" s="179" t="n"/>
      <c r="E1288" s="179" t="n"/>
      <c r="F1288" s="180" t="n"/>
      <c r="G1288" s="180" t="n"/>
      <c r="H1288" s="181">
        <f>IF(OR(F1288="",G1288=""),"",ROUND(MOD(G1288-F1288,1)*24,2))</f>
        <v/>
      </c>
      <c r="K1288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89" ht="20" customHeight="1">
      <c r="D1289" s="179" t="n"/>
      <c r="E1289" s="179" t="n"/>
      <c r="F1289" s="180" t="n"/>
      <c r="G1289" s="180" t="n"/>
      <c r="H1289" s="181">
        <f>IF(OR(F1289="",G1289=""),"",ROUND(MOD(G1289-F1289,1)*24,2))</f>
        <v/>
      </c>
      <c r="K1289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90" collapsed="1" ht="20" customHeight="1">
      <c r="D1290" s="179" t="n"/>
      <c r="E1290" s="179" t="n"/>
      <c r="F1290" s="180" t="n"/>
      <c r="G1290" s="180" t="n"/>
      <c r="H1290" s="181">
        <f>IF(OR(F1290="",G1290=""),"",ROUND(MOD(G1290-F1290,1)*24,2))</f>
        <v/>
      </c>
      <c r="K1290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91" hidden="1" outlineLevel="1" ht="20" customHeight="1">
      <c r="D1291" s="179" t="n"/>
      <c r="E1291" s="179" t="n"/>
      <c r="F1291" s="180" t="n"/>
      <c r="G1291" s="180" t="n"/>
      <c r="H1291" s="181">
        <f>IF(OR(F1291="",G1291=""),"",ROUND(MOD(G1291-F1291,1)*24,2))</f>
        <v/>
      </c>
      <c r="K1291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92" hidden="1" outlineLevel="1" ht="20" customHeight="1">
      <c r="D1292" s="179" t="n"/>
      <c r="E1292" s="179" t="n"/>
      <c r="F1292" s="180" t="n"/>
      <c r="G1292" s="180" t="n"/>
      <c r="H1292" s="181">
        <f>IF(OR(F1292="",G1292=""),"",ROUND(MOD(G1292-F1292,1)*24,2))</f>
        <v/>
      </c>
      <c r="K1292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93" hidden="1" outlineLevel="1" ht="20" customHeight="1">
      <c r="D1293" s="179" t="n"/>
      <c r="E1293" s="179" t="n"/>
      <c r="F1293" s="180" t="n"/>
      <c r="G1293" s="180" t="n"/>
      <c r="H1293" s="181">
        <f>IF(OR(F1293="",G1293=""),"",ROUND(MOD(G1293-F1293,1)*24,2))</f>
        <v/>
      </c>
      <c r="K1293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94" hidden="1" outlineLevel="1" ht="20" customHeight="1">
      <c r="D1294" s="179" t="n"/>
      <c r="E1294" s="179" t="n"/>
      <c r="F1294" s="180" t="n"/>
      <c r="G1294" s="180" t="n"/>
      <c r="H1294" s="181">
        <f>IF(OR(F1294="",G1294=""),"",ROUND(MOD(G1294-F1294,1)*24,2))</f>
        <v/>
      </c>
      <c r="K1294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95" hidden="1" outlineLevel="1" ht="20" customHeight="1">
      <c r="A1295" s="342" t="n"/>
      <c r="B1295" s="342" t="n"/>
      <c r="C1295" s="342" t="n"/>
      <c r="D1295" s="332" t="n"/>
      <c r="E1295" s="332" t="n"/>
      <c r="F1295" s="333" t="n"/>
      <c r="G1295" s="333" t="n"/>
      <c r="H1295" s="334">
        <f>IF(OR(F1295="",G1295=""),"",ROUND(MOD(G1295-F1295,1)*24,2))</f>
        <v/>
      </c>
      <c r="I1295" s="342" t="n"/>
      <c r="J1295" s="342" t="n"/>
      <c r="K1295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296" ht="20" customHeight="1">
      <c r="A1296" s="336">
        <f>IF($K1296="","",WEEKNUM($K1296,21))</f>
        <v/>
      </c>
      <c r="B1296" s="337">
        <f>IF($K1296="","",$K1296)</f>
        <v/>
      </c>
      <c r="C1296" s="338">
        <f>IF($K1296="","",$K1296)</f>
        <v/>
      </c>
      <c r="D1296" s="171" t="n"/>
      <c r="E1296" s="171" t="n"/>
      <c r="F1296" s="172" t="n"/>
      <c r="G1296" s="172" t="n"/>
      <c r="H1296" s="173">
        <f>IF(OR(F1296="",G1296=""),"",ROUND(MOD(G1296-F1296,1)*24,2))</f>
        <v/>
      </c>
      <c r="I1296" s="339" t="n"/>
      <c r="J1296" s="339" t="n"/>
      <c r="K1296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297" ht="20" customHeight="1">
      <c r="D1297" s="179" t="n"/>
      <c r="E1297" s="179" t="n"/>
      <c r="F1297" s="180" t="n"/>
      <c r="G1297" s="180" t="n"/>
      <c r="H1297" s="181">
        <f>IF(OR(F1297="",G1297=""),"",ROUND(MOD(G1297-F1297,1)*24,2))</f>
        <v/>
      </c>
      <c r="K1297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298" ht="20" customHeight="1">
      <c r="D1298" s="179" t="n"/>
      <c r="E1298" s="179" t="n"/>
      <c r="F1298" s="180" t="n"/>
      <c r="G1298" s="180" t="n"/>
      <c r="H1298" s="181">
        <f>IF(OR(F1298="",G1298=""),"",ROUND(MOD(G1298-F1298,1)*24,2))</f>
        <v/>
      </c>
      <c r="K1298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299" ht="20" customHeight="1">
      <c r="D1299" s="179" t="n"/>
      <c r="E1299" s="179" t="n"/>
      <c r="F1299" s="180" t="n"/>
      <c r="G1299" s="180" t="n"/>
      <c r="H1299" s="181">
        <f>IF(OR(F1299="",G1299=""),"",ROUND(MOD(G1299-F1299,1)*24,2))</f>
        <v/>
      </c>
      <c r="K1299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300" collapsed="1" ht="20" customHeight="1">
      <c r="D1300" s="179" t="n"/>
      <c r="E1300" s="179" t="n"/>
      <c r="F1300" s="180" t="n"/>
      <c r="G1300" s="180" t="n"/>
      <c r="H1300" s="181">
        <f>IF(OR(F1300="",G1300=""),"",ROUND(MOD(G1300-F1300,1)*24,2))</f>
        <v/>
      </c>
      <c r="K1300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301" hidden="1" outlineLevel="1" ht="20" customHeight="1">
      <c r="D1301" s="179" t="n"/>
      <c r="E1301" s="179" t="n"/>
      <c r="F1301" s="180" t="n"/>
      <c r="G1301" s="180" t="n"/>
      <c r="H1301" s="181">
        <f>IF(OR(F1301="",G1301=""),"",ROUND(MOD(G1301-F1301,1)*24,2))</f>
        <v/>
      </c>
      <c r="K1301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302" hidden="1" outlineLevel="1" ht="20" customHeight="1">
      <c r="D1302" s="179" t="n"/>
      <c r="E1302" s="179" t="n"/>
      <c r="F1302" s="180" t="n"/>
      <c r="G1302" s="180" t="n"/>
      <c r="H1302" s="181">
        <f>IF(OR(F1302="",G1302=""),"",ROUND(MOD(G1302-F1302,1)*24,2))</f>
        <v/>
      </c>
      <c r="K1302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303" hidden="1" outlineLevel="1" ht="20" customHeight="1">
      <c r="D1303" s="179" t="n"/>
      <c r="E1303" s="179" t="n"/>
      <c r="F1303" s="180" t="n"/>
      <c r="G1303" s="180" t="n"/>
      <c r="H1303" s="181">
        <f>IF(OR(F1303="",G1303=""),"",ROUND(MOD(G1303-F1303,1)*24,2))</f>
        <v/>
      </c>
      <c r="K1303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304" hidden="1" outlineLevel="1" ht="20" customHeight="1">
      <c r="D1304" s="179" t="n"/>
      <c r="E1304" s="179" t="n"/>
      <c r="F1304" s="180" t="n"/>
      <c r="G1304" s="180" t="n"/>
      <c r="H1304" s="181">
        <f>IF(OR(F1304="",G1304=""),"",ROUND(MOD(G1304-F1304,1)*24,2))</f>
        <v/>
      </c>
      <c r="K1304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305" hidden="1" outlineLevel="1" ht="20" customHeight="1">
      <c r="A1305" s="342" t="n"/>
      <c r="B1305" s="342" t="n"/>
      <c r="C1305" s="342" t="n"/>
      <c r="D1305" s="332" t="n"/>
      <c r="E1305" s="332" t="n"/>
      <c r="F1305" s="333" t="n"/>
      <c r="G1305" s="333" t="n"/>
      <c r="H1305" s="334">
        <f>IF(OR(F1305="",G1305=""),"",ROUND(MOD(G1305-F1305,1)*24,2))</f>
        <v/>
      </c>
      <c r="I1305" s="342" t="n"/>
      <c r="J1305" s="342" t="n"/>
      <c r="K1305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306" ht="20" customHeight="1">
      <c r="A1306" s="336">
        <f>IF($K1306="","",WEEKNUM($K1306,21))</f>
        <v/>
      </c>
      <c r="B1306" s="337">
        <f>IF($K1306="","",$K1306)</f>
        <v/>
      </c>
      <c r="C1306" s="338">
        <f>IF($K1306="","",$K1306)</f>
        <v/>
      </c>
      <c r="D1306" s="171" t="n"/>
      <c r="E1306" s="171" t="n"/>
      <c r="F1306" s="172" t="n"/>
      <c r="G1306" s="172" t="n"/>
      <c r="H1306" s="173">
        <f>IF(OR(F1306="",G1306=""),"",ROUND(MOD(G1306-F1306,1)*24,2))</f>
        <v/>
      </c>
      <c r="I1306" s="339" t="n"/>
      <c r="J1306" s="339" t="n"/>
      <c r="K1306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07" ht="20" customHeight="1">
      <c r="D1307" s="179" t="n"/>
      <c r="E1307" s="179" t="n"/>
      <c r="F1307" s="180" t="n"/>
      <c r="G1307" s="180" t="n"/>
      <c r="H1307" s="181">
        <f>IF(OR(F1307="",G1307=""),"",ROUND(MOD(G1307-F1307,1)*24,2))</f>
        <v/>
      </c>
      <c r="K1307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08" ht="20" customHeight="1">
      <c r="D1308" s="179" t="n"/>
      <c r="E1308" s="179" t="n"/>
      <c r="F1308" s="180" t="n"/>
      <c r="G1308" s="180" t="n"/>
      <c r="H1308" s="181">
        <f>IF(OR(F1308="",G1308=""),"",ROUND(MOD(G1308-F1308,1)*24,2))</f>
        <v/>
      </c>
      <c r="K1308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09" ht="20" customHeight="1">
      <c r="D1309" s="179" t="n"/>
      <c r="E1309" s="179" t="n"/>
      <c r="F1309" s="180" t="n"/>
      <c r="G1309" s="180" t="n"/>
      <c r="H1309" s="181">
        <f>IF(OR(F1309="",G1309=""),"",ROUND(MOD(G1309-F1309,1)*24,2))</f>
        <v/>
      </c>
      <c r="K1309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10" collapsed="1" ht="20" customHeight="1">
      <c r="D1310" s="179" t="n"/>
      <c r="E1310" s="179" t="n"/>
      <c r="F1310" s="180" t="n"/>
      <c r="G1310" s="180" t="n"/>
      <c r="H1310" s="181">
        <f>IF(OR(F1310="",G1310=""),"",ROUND(MOD(G1310-F1310,1)*24,2))</f>
        <v/>
      </c>
      <c r="K1310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11" hidden="1" outlineLevel="1" ht="20" customHeight="1">
      <c r="D1311" s="179" t="n"/>
      <c r="E1311" s="179" t="n"/>
      <c r="F1311" s="180" t="n"/>
      <c r="G1311" s="180" t="n"/>
      <c r="H1311" s="181">
        <f>IF(OR(F1311="",G1311=""),"",ROUND(MOD(G1311-F1311,1)*24,2))</f>
        <v/>
      </c>
      <c r="K1311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12" hidden="1" outlineLevel="1" ht="20" customHeight="1">
      <c r="D1312" s="179" t="n"/>
      <c r="E1312" s="179" t="n"/>
      <c r="F1312" s="180" t="n"/>
      <c r="G1312" s="180" t="n"/>
      <c r="H1312" s="181">
        <f>IF(OR(F1312="",G1312=""),"",ROUND(MOD(G1312-F1312,1)*24,2))</f>
        <v/>
      </c>
      <c r="K1312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13" hidden="1" outlineLevel="1" ht="20" customHeight="1">
      <c r="D1313" s="179" t="n"/>
      <c r="E1313" s="179" t="n"/>
      <c r="F1313" s="180" t="n"/>
      <c r="G1313" s="180" t="n"/>
      <c r="H1313" s="181">
        <f>IF(OR(F1313="",G1313=""),"",ROUND(MOD(G1313-F1313,1)*24,2))</f>
        <v/>
      </c>
      <c r="K1313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14" hidden="1" outlineLevel="1" ht="20" customHeight="1">
      <c r="D1314" s="179" t="n"/>
      <c r="E1314" s="179" t="n"/>
      <c r="F1314" s="180" t="n"/>
      <c r="G1314" s="180" t="n"/>
      <c r="H1314" s="181">
        <f>IF(OR(F1314="",G1314=""),"",ROUND(MOD(G1314-F1314,1)*24,2))</f>
        <v/>
      </c>
      <c r="K1314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15" hidden="1" outlineLevel="1" ht="20" customHeight="1">
      <c r="A1315" s="342" t="n"/>
      <c r="B1315" s="342" t="n"/>
      <c r="C1315" s="342" t="n"/>
      <c r="D1315" s="332" t="n"/>
      <c r="E1315" s="332" t="n"/>
      <c r="F1315" s="333" t="n"/>
      <c r="G1315" s="333" t="n"/>
      <c r="H1315" s="334">
        <f>IF(OR(F1315="",G1315=""),"",ROUND(MOD(G1315-F1315,1)*24,2))</f>
        <v/>
      </c>
      <c r="I1315" s="342" t="n"/>
      <c r="J1315" s="342" t="n"/>
      <c r="K1315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16" ht="20" customHeight="1">
      <c r="A1316" s="336">
        <f>IF($K1316="","",WEEKNUM($K1316,21))</f>
        <v/>
      </c>
      <c r="B1316" s="337">
        <f>IF($K1316="","",$K1316)</f>
        <v/>
      </c>
      <c r="C1316" s="338">
        <f>IF($K1316="","",$K1316)</f>
        <v/>
      </c>
      <c r="D1316" s="171" t="n"/>
      <c r="E1316" s="171" t="n"/>
      <c r="F1316" s="172" t="n"/>
      <c r="G1316" s="172" t="n"/>
      <c r="H1316" s="173">
        <f>IF(OR(F1316="",G1316=""),"",ROUND(MOD(G1316-F1316,1)*24,2))</f>
        <v/>
      </c>
      <c r="I1316" s="339" t="n"/>
      <c r="J1316" s="339" t="n"/>
      <c r="K1316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17" ht="20" customHeight="1">
      <c r="D1317" s="179" t="n"/>
      <c r="E1317" s="179" t="n"/>
      <c r="F1317" s="180" t="n"/>
      <c r="G1317" s="180" t="n"/>
      <c r="H1317" s="181">
        <f>IF(OR(F1317="",G1317=""),"",ROUND(MOD(G1317-F1317,1)*24,2))</f>
        <v/>
      </c>
      <c r="K1317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18" ht="20" customHeight="1">
      <c r="D1318" s="179" t="n"/>
      <c r="E1318" s="179" t="n"/>
      <c r="F1318" s="180" t="n"/>
      <c r="G1318" s="180" t="n"/>
      <c r="H1318" s="181">
        <f>IF(OR(F1318="",G1318=""),"",ROUND(MOD(G1318-F1318,1)*24,2))</f>
        <v/>
      </c>
      <c r="K1318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19" ht="20" customHeight="1">
      <c r="D1319" s="179" t="n"/>
      <c r="E1319" s="179" t="n"/>
      <c r="F1319" s="180" t="n"/>
      <c r="G1319" s="180" t="n"/>
      <c r="H1319" s="181">
        <f>IF(OR(F1319="",G1319=""),"",ROUND(MOD(G1319-F1319,1)*24,2))</f>
        <v/>
      </c>
      <c r="K1319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20" collapsed="1" ht="20" customHeight="1">
      <c r="D1320" s="179" t="n"/>
      <c r="E1320" s="179" t="n"/>
      <c r="F1320" s="180" t="n"/>
      <c r="G1320" s="180" t="n"/>
      <c r="H1320" s="181">
        <f>IF(OR(F1320="",G1320=""),"",ROUND(MOD(G1320-F1320,1)*24,2))</f>
        <v/>
      </c>
      <c r="K1320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21" hidden="1" outlineLevel="1" ht="20" customHeight="1">
      <c r="D1321" s="179" t="n"/>
      <c r="E1321" s="179" t="n"/>
      <c r="F1321" s="180" t="n"/>
      <c r="G1321" s="180" t="n"/>
      <c r="H1321" s="181">
        <f>IF(OR(F1321="",G1321=""),"",ROUND(MOD(G1321-F1321,1)*24,2))</f>
        <v/>
      </c>
      <c r="K1321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22" hidden="1" outlineLevel="1" ht="20" customHeight="1">
      <c r="D1322" s="179" t="n"/>
      <c r="E1322" s="179" t="n"/>
      <c r="F1322" s="180" t="n"/>
      <c r="G1322" s="180" t="n"/>
      <c r="H1322" s="181">
        <f>IF(OR(F1322="",G1322=""),"",ROUND(MOD(G1322-F1322,1)*24,2))</f>
        <v/>
      </c>
      <c r="K1322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23" hidden="1" outlineLevel="1" ht="20" customHeight="1">
      <c r="D1323" s="179" t="n"/>
      <c r="E1323" s="179" t="n"/>
      <c r="F1323" s="180" t="n"/>
      <c r="G1323" s="180" t="n"/>
      <c r="H1323" s="181">
        <f>IF(OR(F1323="",G1323=""),"",ROUND(MOD(G1323-F1323,1)*24,2))</f>
        <v/>
      </c>
      <c r="K1323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24" hidden="1" outlineLevel="1" ht="20" customHeight="1">
      <c r="D1324" s="179" t="n"/>
      <c r="E1324" s="179" t="n"/>
      <c r="F1324" s="180" t="n"/>
      <c r="G1324" s="180" t="n"/>
      <c r="H1324" s="181">
        <f>IF(OR(F1324="",G1324=""),"",ROUND(MOD(G1324-F1324,1)*24,2))</f>
        <v/>
      </c>
      <c r="K1324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25" hidden="1" outlineLevel="1" ht="20" customHeight="1">
      <c r="A1325" s="342" t="n"/>
      <c r="B1325" s="342" t="n"/>
      <c r="C1325" s="342" t="n"/>
      <c r="D1325" s="332" t="n"/>
      <c r="E1325" s="332" t="n"/>
      <c r="F1325" s="333" t="n"/>
      <c r="G1325" s="333" t="n"/>
      <c r="H1325" s="334">
        <f>IF(OR(F1325="",G1325=""),"",ROUND(MOD(G1325-F1325,1)*24,2))</f>
        <v/>
      </c>
      <c r="I1325" s="342" t="n"/>
      <c r="J1325" s="342" t="n"/>
      <c r="K1325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26" ht="20" customHeight="1">
      <c r="A1326" s="336">
        <f>IF($K1326="","",WEEKNUM($K1326,21))</f>
        <v/>
      </c>
      <c r="B1326" s="337">
        <f>IF($K1326="","",$K1326)</f>
        <v/>
      </c>
      <c r="C1326" s="338">
        <f>IF($K1326="","",$K1326)</f>
        <v/>
      </c>
      <c r="D1326" s="171" t="n"/>
      <c r="E1326" s="171" t="n"/>
      <c r="F1326" s="172" t="n"/>
      <c r="G1326" s="172" t="n"/>
      <c r="H1326" s="173">
        <f>IF(OR(F1326="",G1326=""),"",ROUND(MOD(G1326-F1326,1)*24,2))</f>
        <v/>
      </c>
      <c r="I1326" s="339" t="n"/>
      <c r="J1326" s="339" t="n"/>
      <c r="K1326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27" ht="20" customHeight="1">
      <c r="D1327" s="179" t="n"/>
      <c r="E1327" s="179" t="n"/>
      <c r="F1327" s="180" t="n"/>
      <c r="G1327" s="180" t="n"/>
      <c r="H1327" s="181">
        <f>IF(OR(F1327="",G1327=""),"",ROUND(MOD(G1327-F1327,1)*24,2))</f>
        <v/>
      </c>
      <c r="K1327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28" ht="20" customHeight="1">
      <c r="D1328" s="179" t="n"/>
      <c r="E1328" s="179" t="n"/>
      <c r="F1328" s="180" t="n"/>
      <c r="G1328" s="180" t="n"/>
      <c r="H1328" s="181">
        <f>IF(OR(F1328="",G1328=""),"",ROUND(MOD(G1328-F1328,1)*24,2))</f>
        <v/>
      </c>
      <c r="K1328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29" ht="20" customHeight="1">
      <c r="D1329" s="179" t="n"/>
      <c r="E1329" s="179" t="n"/>
      <c r="F1329" s="180" t="n"/>
      <c r="G1329" s="180" t="n"/>
      <c r="H1329" s="181">
        <f>IF(OR(F1329="",G1329=""),"",ROUND(MOD(G1329-F1329,1)*24,2))</f>
        <v/>
      </c>
      <c r="K1329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30" collapsed="1" ht="20" customHeight="1">
      <c r="D1330" s="179" t="n"/>
      <c r="E1330" s="179" t="n"/>
      <c r="F1330" s="180" t="n"/>
      <c r="G1330" s="180" t="n"/>
      <c r="H1330" s="181">
        <f>IF(OR(F1330="",G1330=""),"",ROUND(MOD(G1330-F1330,1)*24,2))</f>
        <v/>
      </c>
      <c r="K1330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31" hidden="1" outlineLevel="1" ht="20" customHeight="1">
      <c r="D1331" s="179" t="n"/>
      <c r="E1331" s="179" t="n"/>
      <c r="F1331" s="180" t="n"/>
      <c r="G1331" s="180" t="n"/>
      <c r="H1331" s="181">
        <f>IF(OR(F1331="",G1331=""),"",ROUND(MOD(G1331-F1331,1)*24,2))</f>
        <v/>
      </c>
      <c r="K1331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32" hidden="1" outlineLevel="1" ht="20" customHeight="1">
      <c r="D1332" s="179" t="n"/>
      <c r="E1332" s="179" t="n"/>
      <c r="F1332" s="180" t="n"/>
      <c r="G1332" s="180" t="n"/>
      <c r="H1332" s="181">
        <f>IF(OR(F1332="",G1332=""),"",ROUND(MOD(G1332-F1332,1)*24,2))</f>
        <v/>
      </c>
      <c r="K1332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33" hidden="1" outlineLevel="1" ht="20" customHeight="1">
      <c r="D1333" s="179" t="n"/>
      <c r="E1333" s="179" t="n"/>
      <c r="F1333" s="180" t="n"/>
      <c r="G1333" s="180" t="n"/>
      <c r="H1333" s="181">
        <f>IF(OR(F1333="",G1333=""),"",ROUND(MOD(G1333-F1333,1)*24,2))</f>
        <v/>
      </c>
      <c r="K1333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34" hidden="1" outlineLevel="1" ht="20" customHeight="1">
      <c r="D1334" s="179" t="n"/>
      <c r="E1334" s="179" t="n"/>
      <c r="F1334" s="180" t="n"/>
      <c r="G1334" s="180" t="n"/>
      <c r="H1334" s="181">
        <f>IF(OR(F1334="",G1334=""),"",ROUND(MOD(G1334-F1334,1)*24,2))</f>
        <v/>
      </c>
      <c r="K1334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35" hidden="1" outlineLevel="1" ht="20" customHeight="1">
      <c r="A1335" s="342" t="n"/>
      <c r="B1335" s="342" t="n"/>
      <c r="C1335" s="342" t="n"/>
      <c r="D1335" s="332" t="n"/>
      <c r="E1335" s="332" t="n"/>
      <c r="F1335" s="333" t="n"/>
      <c r="G1335" s="333" t="n"/>
      <c r="H1335" s="334">
        <f>IF(OR(F1335="",G1335=""),"",ROUND(MOD(G1335-F1335,1)*24,2))</f>
        <v/>
      </c>
      <c r="I1335" s="342" t="n"/>
      <c r="J1335" s="342" t="n"/>
      <c r="K1335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36" ht="20" customHeight="1">
      <c r="A1336" s="336">
        <f>IF($K1336="","",WEEKNUM($K1336,21))</f>
        <v/>
      </c>
      <c r="B1336" s="337">
        <f>IF($K1336="","",$K1336)</f>
        <v/>
      </c>
      <c r="C1336" s="338">
        <f>IF($K1336="","",$K1336)</f>
        <v/>
      </c>
      <c r="D1336" s="171" t="n"/>
      <c r="E1336" s="171" t="n"/>
      <c r="F1336" s="172" t="n"/>
      <c r="G1336" s="172" t="n"/>
      <c r="H1336" s="173">
        <f>IF(OR(F1336="",G1336=""),"",ROUND(MOD(G1336-F1336,1)*24,2))</f>
        <v/>
      </c>
      <c r="I1336" s="339" t="n"/>
      <c r="J1336" s="339" t="n"/>
      <c r="K1336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37" ht="20" customHeight="1">
      <c r="D1337" s="179" t="n"/>
      <c r="E1337" s="179" t="n"/>
      <c r="F1337" s="180" t="n"/>
      <c r="G1337" s="180" t="n"/>
      <c r="H1337" s="181">
        <f>IF(OR(F1337="",G1337=""),"",ROUND(MOD(G1337-F1337,1)*24,2))</f>
        <v/>
      </c>
      <c r="K1337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38" ht="20" customHeight="1">
      <c r="D1338" s="179" t="n"/>
      <c r="E1338" s="179" t="n"/>
      <c r="F1338" s="180" t="n"/>
      <c r="G1338" s="180" t="n"/>
      <c r="H1338" s="181">
        <f>IF(OR(F1338="",G1338=""),"",ROUND(MOD(G1338-F1338,1)*24,2))</f>
        <v/>
      </c>
      <c r="K1338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39" ht="20" customHeight="1">
      <c r="D1339" s="179" t="n"/>
      <c r="E1339" s="179" t="n"/>
      <c r="F1339" s="180" t="n"/>
      <c r="G1339" s="180" t="n"/>
      <c r="H1339" s="181">
        <f>IF(OR(F1339="",G1339=""),"",ROUND(MOD(G1339-F1339,1)*24,2))</f>
        <v/>
      </c>
      <c r="K1339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40" collapsed="1" ht="20" customHeight="1">
      <c r="D1340" s="179" t="n"/>
      <c r="E1340" s="179" t="n"/>
      <c r="F1340" s="180" t="n"/>
      <c r="G1340" s="180" t="n"/>
      <c r="H1340" s="181">
        <f>IF(OR(F1340="",G1340=""),"",ROUND(MOD(G1340-F1340,1)*24,2))</f>
        <v/>
      </c>
      <c r="K1340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41" hidden="1" outlineLevel="1" ht="20" customHeight="1">
      <c r="D1341" s="179" t="n"/>
      <c r="E1341" s="179" t="n"/>
      <c r="F1341" s="180" t="n"/>
      <c r="G1341" s="180" t="n"/>
      <c r="H1341" s="181">
        <f>IF(OR(F1341="",G1341=""),"",ROUND(MOD(G1341-F1341,1)*24,2))</f>
        <v/>
      </c>
      <c r="K1341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42" hidden="1" outlineLevel="1" ht="20" customHeight="1">
      <c r="D1342" s="179" t="n"/>
      <c r="E1342" s="179" t="n"/>
      <c r="F1342" s="180" t="n"/>
      <c r="G1342" s="180" t="n"/>
      <c r="H1342" s="181">
        <f>IF(OR(F1342="",G1342=""),"",ROUND(MOD(G1342-F1342,1)*24,2))</f>
        <v/>
      </c>
      <c r="K1342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43" hidden="1" outlineLevel="1" ht="20" customHeight="1">
      <c r="D1343" s="179" t="n"/>
      <c r="E1343" s="179" t="n"/>
      <c r="F1343" s="180" t="n"/>
      <c r="G1343" s="180" t="n"/>
      <c r="H1343" s="181">
        <f>IF(OR(F1343="",G1343=""),"",ROUND(MOD(G1343-F1343,1)*24,2))</f>
        <v/>
      </c>
      <c r="K1343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44" hidden="1" outlineLevel="1" ht="20" customHeight="1">
      <c r="D1344" s="179" t="n"/>
      <c r="E1344" s="179" t="n"/>
      <c r="F1344" s="180" t="n"/>
      <c r="G1344" s="180" t="n"/>
      <c r="H1344" s="181">
        <f>IF(OR(F1344="",G1344=""),"",ROUND(MOD(G1344-F1344,1)*24,2))</f>
        <v/>
      </c>
      <c r="K1344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45" hidden="1" outlineLevel="1" ht="20" customHeight="1">
      <c r="A1345" s="342" t="n"/>
      <c r="B1345" s="342" t="n"/>
      <c r="C1345" s="342" t="n"/>
      <c r="D1345" s="332" t="n"/>
      <c r="E1345" s="332" t="n"/>
      <c r="F1345" s="333" t="n"/>
      <c r="G1345" s="333" t="n"/>
      <c r="H1345" s="334">
        <f>IF(OR(F1345="",G1345=""),"",ROUND(MOD(G1345-F1345,1)*24,2))</f>
        <v/>
      </c>
      <c r="I1345" s="342" t="n"/>
      <c r="J1345" s="342" t="n"/>
      <c r="K1345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46" ht="20" customHeight="1">
      <c r="A1346" s="336">
        <f>IF($K1346="","",WEEKNUM($K1346,21))</f>
        <v/>
      </c>
      <c r="B1346" s="337">
        <f>IF($K1346="","",$K1346)</f>
        <v/>
      </c>
      <c r="C1346" s="338">
        <f>IF($K1346="","",$K1346)</f>
        <v/>
      </c>
      <c r="D1346" s="171" t="n"/>
      <c r="E1346" s="171" t="n"/>
      <c r="F1346" s="172" t="n"/>
      <c r="G1346" s="172" t="n"/>
      <c r="H1346" s="173">
        <f>IF(OR(F1346="",G1346=""),"",ROUND(MOD(G1346-F1346,1)*24,2))</f>
        <v/>
      </c>
      <c r="I1346" s="339" t="n"/>
      <c r="J1346" s="339" t="n"/>
      <c r="K1346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47" ht="20" customHeight="1">
      <c r="D1347" s="179" t="n"/>
      <c r="E1347" s="179" t="n"/>
      <c r="F1347" s="180" t="n"/>
      <c r="G1347" s="180" t="n"/>
      <c r="H1347" s="181">
        <f>IF(OR(F1347="",G1347=""),"",ROUND(MOD(G1347-F1347,1)*24,2))</f>
        <v/>
      </c>
      <c r="K1347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48" ht="20" customHeight="1">
      <c r="D1348" s="179" t="n"/>
      <c r="E1348" s="179" t="n"/>
      <c r="F1348" s="180" t="n"/>
      <c r="G1348" s="180" t="n"/>
      <c r="H1348" s="181">
        <f>IF(OR(F1348="",G1348=""),"",ROUND(MOD(G1348-F1348,1)*24,2))</f>
        <v/>
      </c>
      <c r="K1348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49" ht="20" customHeight="1">
      <c r="D1349" s="179" t="n"/>
      <c r="E1349" s="179" t="n"/>
      <c r="F1349" s="180" t="n"/>
      <c r="G1349" s="180" t="n"/>
      <c r="H1349" s="181">
        <f>IF(OR(F1349="",G1349=""),"",ROUND(MOD(G1349-F1349,1)*24,2))</f>
        <v/>
      </c>
      <c r="K1349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50" collapsed="1" ht="20" customHeight="1">
      <c r="D1350" s="179" t="n"/>
      <c r="E1350" s="179" t="n"/>
      <c r="F1350" s="180" t="n"/>
      <c r="G1350" s="180" t="n"/>
      <c r="H1350" s="181">
        <f>IF(OR(F1350="",G1350=""),"",ROUND(MOD(G1350-F1350,1)*24,2))</f>
        <v/>
      </c>
      <c r="K1350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51" hidden="1" outlineLevel="1" ht="20" customHeight="1">
      <c r="D1351" s="179" t="n"/>
      <c r="E1351" s="179" t="n"/>
      <c r="F1351" s="180" t="n"/>
      <c r="G1351" s="180" t="n"/>
      <c r="H1351" s="181">
        <f>IF(OR(F1351="",G1351=""),"",ROUND(MOD(G1351-F1351,1)*24,2))</f>
        <v/>
      </c>
      <c r="K1351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52" hidden="1" outlineLevel="1" ht="20" customHeight="1">
      <c r="D1352" s="179" t="n"/>
      <c r="E1352" s="179" t="n"/>
      <c r="F1352" s="180" t="n"/>
      <c r="G1352" s="180" t="n"/>
      <c r="H1352" s="181">
        <f>IF(OR(F1352="",G1352=""),"",ROUND(MOD(G1352-F1352,1)*24,2))</f>
        <v/>
      </c>
      <c r="K1352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53" hidden="1" outlineLevel="1" ht="20" customHeight="1">
      <c r="D1353" s="179" t="n"/>
      <c r="E1353" s="179" t="n"/>
      <c r="F1353" s="180" t="n"/>
      <c r="G1353" s="180" t="n"/>
      <c r="H1353" s="181">
        <f>IF(OR(F1353="",G1353=""),"",ROUND(MOD(G1353-F1353,1)*24,2))</f>
        <v/>
      </c>
      <c r="K1353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54" hidden="1" outlineLevel="1" ht="20" customHeight="1">
      <c r="D1354" s="179" t="n"/>
      <c r="E1354" s="179" t="n"/>
      <c r="F1354" s="180" t="n"/>
      <c r="G1354" s="180" t="n"/>
      <c r="H1354" s="181">
        <f>IF(OR(F1354="",G1354=""),"",ROUND(MOD(G1354-F1354,1)*24,2))</f>
        <v/>
      </c>
      <c r="K1354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55" hidden="1" outlineLevel="1" ht="20" customHeight="1">
      <c r="A1355" s="342" t="n"/>
      <c r="B1355" s="342" t="n"/>
      <c r="C1355" s="342" t="n"/>
      <c r="D1355" s="332" t="n"/>
      <c r="E1355" s="332" t="n"/>
      <c r="F1355" s="333" t="n"/>
      <c r="G1355" s="333" t="n"/>
      <c r="H1355" s="334">
        <f>IF(OR(F1355="",G1355=""),"",ROUND(MOD(G1355-F1355,1)*24,2))</f>
        <v/>
      </c>
      <c r="I1355" s="342" t="n"/>
      <c r="J1355" s="342" t="n"/>
      <c r="K1355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56" ht="20" customHeight="1">
      <c r="A1356" s="336">
        <f>IF($K1356="","",WEEKNUM($K1356,21))</f>
        <v/>
      </c>
      <c r="B1356" s="337">
        <f>IF($K1356="","",$K1356)</f>
        <v/>
      </c>
      <c r="C1356" s="338">
        <f>IF($K1356="","",$K1356)</f>
        <v/>
      </c>
      <c r="D1356" s="171" t="n"/>
      <c r="E1356" s="171" t="n"/>
      <c r="F1356" s="172" t="n"/>
      <c r="G1356" s="172" t="n"/>
      <c r="H1356" s="173">
        <f>IF(OR(F1356="",G1356=""),"",ROUND(MOD(G1356-F1356,1)*24,2))</f>
        <v/>
      </c>
      <c r="I1356" s="339" t="n"/>
      <c r="J1356" s="339" t="n"/>
      <c r="K1356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57" ht="20" customHeight="1">
      <c r="D1357" s="179" t="n"/>
      <c r="E1357" s="179" t="n"/>
      <c r="F1357" s="180" t="n"/>
      <c r="G1357" s="180" t="n"/>
      <c r="H1357" s="181">
        <f>IF(OR(F1357="",G1357=""),"",ROUND(MOD(G1357-F1357,1)*24,2))</f>
        <v/>
      </c>
      <c r="K1357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58" ht="20" customHeight="1">
      <c r="D1358" s="179" t="n"/>
      <c r="E1358" s="179" t="n"/>
      <c r="F1358" s="180" t="n"/>
      <c r="G1358" s="180" t="n"/>
      <c r="H1358" s="181">
        <f>IF(OR(F1358="",G1358=""),"",ROUND(MOD(G1358-F1358,1)*24,2))</f>
        <v/>
      </c>
      <c r="K1358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59" ht="20" customHeight="1">
      <c r="D1359" s="179" t="n"/>
      <c r="E1359" s="179" t="n"/>
      <c r="F1359" s="180" t="n"/>
      <c r="G1359" s="180" t="n"/>
      <c r="H1359" s="181">
        <f>IF(OR(F1359="",G1359=""),"",ROUND(MOD(G1359-F1359,1)*24,2))</f>
        <v/>
      </c>
      <c r="K1359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60" collapsed="1" ht="20" customHeight="1">
      <c r="D1360" s="179" t="n"/>
      <c r="E1360" s="179" t="n"/>
      <c r="F1360" s="180" t="n"/>
      <c r="G1360" s="180" t="n"/>
      <c r="H1360" s="181">
        <f>IF(OR(F1360="",G1360=""),"",ROUND(MOD(G1360-F1360,1)*24,2))</f>
        <v/>
      </c>
      <c r="K1360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61" hidden="1" outlineLevel="1" ht="20" customHeight="1">
      <c r="D1361" s="179" t="n"/>
      <c r="E1361" s="179" t="n"/>
      <c r="F1361" s="180" t="n"/>
      <c r="G1361" s="180" t="n"/>
      <c r="H1361" s="181">
        <f>IF(OR(F1361="",G1361=""),"",ROUND(MOD(G1361-F1361,1)*24,2))</f>
        <v/>
      </c>
      <c r="K1361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62" hidden="1" outlineLevel="1" ht="20" customHeight="1">
      <c r="D1362" s="179" t="n"/>
      <c r="E1362" s="179" t="n"/>
      <c r="F1362" s="180" t="n"/>
      <c r="G1362" s="180" t="n"/>
      <c r="H1362" s="181">
        <f>IF(OR(F1362="",G1362=""),"",ROUND(MOD(G1362-F1362,1)*24,2))</f>
        <v/>
      </c>
      <c r="K1362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63" hidden="1" outlineLevel="1" ht="20" customHeight="1">
      <c r="D1363" s="179" t="n"/>
      <c r="E1363" s="179" t="n"/>
      <c r="F1363" s="180" t="n"/>
      <c r="G1363" s="180" t="n"/>
      <c r="H1363" s="181">
        <f>IF(OR(F1363="",G1363=""),"",ROUND(MOD(G1363-F1363,1)*24,2))</f>
        <v/>
      </c>
      <c r="K1363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64" hidden="1" outlineLevel="1" ht="20" customHeight="1">
      <c r="D1364" s="179" t="n"/>
      <c r="E1364" s="179" t="n"/>
      <c r="F1364" s="180" t="n"/>
      <c r="G1364" s="180" t="n"/>
      <c r="H1364" s="181">
        <f>IF(OR(F1364="",G1364=""),"",ROUND(MOD(G1364-F1364,1)*24,2))</f>
        <v/>
      </c>
      <c r="K1364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65" hidden="1" outlineLevel="1" ht="20" customHeight="1">
      <c r="A1365" s="342" t="n"/>
      <c r="B1365" s="342" t="n"/>
      <c r="C1365" s="342" t="n"/>
      <c r="D1365" s="332" t="n"/>
      <c r="E1365" s="332" t="n"/>
      <c r="F1365" s="333" t="n"/>
      <c r="G1365" s="333" t="n"/>
      <c r="H1365" s="334">
        <f>IF(OR(F1365="",G1365=""),"",ROUND(MOD(G1365-F1365,1)*24,2))</f>
        <v/>
      </c>
      <c r="I1365" s="342" t="n"/>
      <c r="J1365" s="342" t="n"/>
      <c r="K1365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66" ht="20" customHeight="1">
      <c r="A1366" s="336">
        <f>IF($K1366="","",WEEKNUM($K1366,21))</f>
        <v/>
      </c>
      <c r="B1366" s="337">
        <f>IF($K1366="","",$K1366)</f>
        <v/>
      </c>
      <c r="C1366" s="338">
        <f>IF($K1366="","",$K1366)</f>
        <v/>
      </c>
      <c r="D1366" s="171" t="n"/>
      <c r="E1366" s="171" t="n"/>
      <c r="F1366" s="172" t="n"/>
      <c r="G1366" s="172" t="n"/>
      <c r="H1366" s="173">
        <f>IF(OR(F1366="",G1366=""),"",ROUND(MOD(G1366-F1366,1)*24,2))</f>
        <v/>
      </c>
      <c r="I1366" s="339" t="n"/>
      <c r="J1366" s="339" t="n"/>
      <c r="K1366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67" ht="20" customHeight="1">
      <c r="D1367" s="179" t="n"/>
      <c r="E1367" s="179" t="n"/>
      <c r="F1367" s="180" t="n"/>
      <c r="G1367" s="180" t="n"/>
      <c r="H1367" s="181">
        <f>IF(OR(F1367="",G1367=""),"",ROUND(MOD(G1367-F1367,1)*24,2))</f>
        <v/>
      </c>
      <c r="K1367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68" ht="20" customHeight="1">
      <c r="D1368" s="179" t="n"/>
      <c r="E1368" s="179" t="n"/>
      <c r="F1368" s="180" t="n"/>
      <c r="G1368" s="180" t="n"/>
      <c r="H1368" s="181">
        <f>IF(OR(F1368="",G1368=""),"",ROUND(MOD(G1368-F1368,1)*24,2))</f>
        <v/>
      </c>
      <c r="K1368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69" ht="20" customHeight="1">
      <c r="D1369" s="179" t="n"/>
      <c r="E1369" s="179" t="n"/>
      <c r="F1369" s="180" t="n"/>
      <c r="G1369" s="180" t="n"/>
      <c r="H1369" s="181">
        <f>IF(OR(F1369="",G1369=""),"",ROUND(MOD(G1369-F1369,1)*24,2))</f>
        <v/>
      </c>
      <c r="K1369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70" collapsed="1" ht="20" customHeight="1">
      <c r="D1370" s="179" t="n"/>
      <c r="E1370" s="179" t="n"/>
      <c r="F1370" s="180" t="n"/>
      <c r="G1370" s="180" t="n"/>
      <c r="H1370" s="181">
        <f>IF(OR(F1370="",G1370=""),"",ROUND(MOD(G1370-F1370,1)*24,2))</f>
        <v/>
      </c>
      <c r="K1370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71" hidden="1" outlineLevel="1" ht="20" customHeight="1">
      <c r="D1371" s="179" t="n"/>
      <c r="E1371" s="179" t="n"/>
      <c r="F1371" s="180" t="n"/>
      <c r="G1371" s="180" t="n"/>
      <c r="H1371" s="181">
        <f>IF(OR(F1371="",G1371=""),"",ROUND(MOD(G1371-F1371,1)*24,2))</f>
        <v/>
      </c>
      <c r="K1371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72" hidden="1" outlineLevel="1" ht="20" customHeight="1">
      <c r="D1372" s="179" t="n"/>
      <c r="E1372" s="179" t="n"/>
      <c r="F1372" s="180" t="n"/>
      <c r="G1372" s="180" t="n"/>
      <c r="H1372" s="181">
        <f>IF(OR(F1372="",G1372=""),"",ROUND(MOD(G1372-F1372,1)*24,2))</f>
        <v/>
      </c>
      <c r="K1372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73" hidden="1" outlineLevel="1" ht="20" customHeight="1">
      <c r="D1373" s="179" t="n"/>
      <c r="E1373" s="179" t="n"/>
      <c r="F1373" s="180" t="n"/>
      <c r="G1373" s="180" t="n"/>
      <c r="H1373" s="181">
        <f>IF(OR(F1373="",G1373=""),"",ROUND(MOD(G1373-F1373,1)*24,2))</f>
        <v/>
      </c>
      <c r="K1373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74" hidden="1" outlineLevel="1" ht="20" customHeight="1">
      <c r="D1374" s="179" t="n"/>
      <c r="E1374" s="179" t="n"/>
      <c r="F1374" s="180" t="n"/>
      <c r="G1374" s="180" t="n"/>
      <c r="H1374" s="181">
        <f>IF(OR(F1374="",G1374=""),"",ROUND(MOD(G1374-F1374,1)*24,2))</f>
        <v/>
      </c>
      <c r="K1374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75" hidden="1" outlineLevel="1" ht="20" customHeight="1">
      <c r="A1375" s="342" t="n"/>
      <c r="B1375" s="342" t="n"/>
      <c r="C1375" s="342" t="n"/>
      <c r="D1375" s="332" t="n"/>
      <c r="E1375" s="332" t="n"/>
      <c r="F1375" s="333" t="n"/>
      <c r="G1375" s="333" t="n"/>
      <c r="H1375" s="334">
        <f>IF(OR(F1375="",G1375=""),"",ROUND(MOD(G1375-F1375,1)*24,2))</f>
        <v/>
      </c>
      <c r="I1375" s="342" t="n"/>
      <c r="J1375" s="342" t="n"/>
      <c r="K1375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76" ht="20" customHeight="1">
      <c r="A1376" s="336">
        <f>IF($K1376="","",WEEKNUM($K1376,21))</f>
        <v/>
      </c>
      <c r="B1376" s="337">
        <f>IF($K1376="","",$K1376)</f>
        <v/>
      </c>
      <c r="C1376" s="338">
        <f>IF($K1376="","",$K1376)</f>
        <v/>
      </c>
      <c r="D1376" s="171" t="n"/>
      <c r="E1376" s="171" t="n"/>
      <c r="F1376" s="172" t="n"/>
      <c r="G1376" s="172" t="n"/>
      <c r="H1376" s="173">
        <f>IF(OR(F1376="",G1376=""),"",ROUND(MOD(G1376-F1376,1)*24,2))</f>
        <v/>
      </c>
      <c r="I1376" s="339" t="n"/>
      <c r="J1376" s="339" t="n"/>
      <c r="K1376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77" ht="20" customHeight="1">
      <c r="D1377" s="179" t="n"/>
      <c r="E1377" s="179" t="n"/>
      <c r="F1377" s="180" t="n"/>
      <c r="G1377" s="180" t="n"/>
      <c r="H1377" s="181">
        <f>IF(OR(F1377="",G1377=""),"",ROUND(MOD(G1377-F1377,1)*24,2))</f>
        <v/>
      </c>
      <c r="K1377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78" ht="20" customHeight="1">
      <c r="D1378" s="179" t="n"/>
      <c r="E1378" s="179" t="n"/>
      <c r="F1378" s="180" t="n"/>
      <c r="G1378" s="180" t="n"/>
      <c r="H1378" s="181">
        <f>IF(OR(F1378="",G1378=""),"",ROUND(MOD(G1378-F1378,1)*24,2))</f>
        <v/>
      </c>
      <c r="K1378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79" ht="20" customHeight="1">
      <c r="D1379" s="179" t="n"/>
      <c r="E1379" s="179" t="n"/>
      <c r="F1379" s="180" t="n"/>
      <c r="G1379" s="180" t="n"/>
      <c r="H1379" s="181">
        <f>IF(OR(F1379="",G1379=""),"",ROUND(MOD(G1379-F1379,1)*24,2))</f>
        <v/>
      </c>
      <c r="K1379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80" collapsed="1" ht="20" customHeight="1">
      <c r="D1380" s="179" t="n"/>
      <c r="E1380" s="179" t="n"/>
      <c r="F1380" s="180" t="n"/>
      <c r="G1380" s="180" t="n"/>
      <c r="H1380" s="181">
        <f>IF(OR(F1380="",G1380=""),"",ROUND(MOD(G1380-F1380,1)*24,2))</f>
        <v/>
      </c>
      <c r="K1380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81" hidden="1" outlineLevel="1" ht="20" customHeight="1">
      <c r="D1381" s="179" t="n"/>
      <c r="E1381" s="179" t="n"/>
      <c r="F1381" s="180" t="n"/>
      <c r="G1381" s="180" t="n"/>
      <c r="H1381" s="181">
        <f>IF(OR(F1381="",G1381=""),"",ROUND(MOD(G1381-F1381,1)*24,2))</f>
        <v/>
      </c>
      <c r="K1381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82" hidden="1" outlineLevel="1" ht="20" customHeight="1">
      <c r="D1382" s="179" t="n"/>
      <c r="E1382" s="179" t="n"/>
      <c r="F1382" s="180" t="n"/>
      <c r="G1382" s="180" t="n"/>
      <c r="H1382" s="181">
        <f>IF(OR(F1382="",G1382=""),"",ROUND(MOD(G1382-F1382,1)*24,2))</f>
        <v/>
      </c>
      <c r="K1382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83" hidden="1" outlineLevel="1" ht="20" customHeight="1">
      <c r="D1383" s="179" t="n"/>
      <c r="E1383" s="179" t="n"/>
      <c r="F1383" s="180" t="n"/>
      <c r="G1383" s="180" t="n"/>
      <c r="H1383" s="181">
        <f>IF(OR(F1383="",G1383=""),"",ROUND(MOD(G1383-F1383,1)*24,2))</f>
        <v/>
      </c>
      <c r="K1383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84" hidden="1" outlineLevel="1" ht="20" customHeight="1">
      <c r="D1384" s="179" t="n"/>
      <c r="E1384" s="179" t="n"/>
      <c r="F1384" s="180" t="n"/>
      <c r="G1384" s="180" t="n"/>
      <c r="H1384" s="181">
        <f>IF(OR(F1384="",G1384=""),"",ROUND(MOD(G1384-F1384,1)*24,2))</f>
        <v/>
      </c>
      <c r="K1384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85" hidden="1" outlineLevel="1" ht="20" customHeight="1">
      <c r="A1385" s="342" t="n"/>
      <c r="B1385" s="342" t="n"/>
      <c r="C1385" s="342" t="n"/>
      <c r="D1385" s="332" t="n"/>
      <c r="E1385" s="332" t="n"/>
      <c r="F1385" s="333" t="n"/>
      <c r="G1385" s="333" t="n"/>
      <c r="H1385" s="334">
        <f>IF(OR(F1385="",G1385=""),"",ROUND(MOD(G1385-F1385,1)*24,2))</f>
        <v/>
      </c>
      <c r="I1385" s="342" t="n"/>
      <c r="J1385" s="342" t="n"/>
      <c r="K1385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386" ht="20" customHeight="1">
      <c r="A1386" s="336">
        <f>IF($K1386="","",WEEKNUM($K1386,21))</f>
        <v/>
      </c>
      <c r="B1386" s="337">
        <f>IF($K1386="","",$K1386)</f>
        <v/>
      </c>
      <c r="C1386" s="338">
        <f>IF($K1386="","",$K1386)</f>
        <v/>
      </c>
      <c r="D1386" s="171" t="n"/>
      <c r="E1386" s="171" t="n"/>
      <c r="F1386" s="172" t="n"/>
      <c r="G1386" s="172" t="n"/>
      <c r="H1386" s="173">
        <f>IF(OR(F1386="",G1386=""),"",ROUND(MOD(G1386-F1386,1)*24,2))</f>
        <v/>
      </c>
      <c r="I1386" s="339" t="n"/>
      <c r="J1386" s="339" t="n"/>
      <c r="K1386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87" ht="20" customHeight="1">
      <c r="D1387" s="179" t="n"/>
      <c r="E1387" s="179" t="n"/>
      <c r="F1387" s="180" t="n"/>
      <c r="G1387" s="180" t="n"/>
      <c r="H1387" s="181">
        <f>IF(OR(F1387="",G1387=""),"",ROUND(MOD(G1387-F1387,1)*24,2))</f>
        <v/>
      </c>
      <c r="K1387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88" ht="20" customHeight="1">
      <c r="D1388" s="179" t="n"/>
      <c r="E1388" s="179" t="n"/>
      <c r="F1388" s="180" t="n"/>
      <c r="G1388" s="180" t="n"/>
      <c r="H1388" s="181">
        <f>IF(OR(F1388="",G1388=""),"",ROUND(MOD(G1388-F1388,1)*24,2))</f>
        <v/>
      </c>
      <c r="K1388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89" ht="20" customHeight="1">
      <c r="D1389" s="179" t="n"/>
      <c r="E1389" s="179" t="n"/>
      <c r="F1389" s="180" t="n"/>
      <c r="G1389" s="180" t="n"/>
      <c r="H1389" s="181">
        <f>IF(OR(F1389="",G1389=""),"",ROUND(MOD(G1389-F1389,1)*24,2))</f>
        <v/>
      </c>
      <c r="K1389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90" collapsed="1" ht="20" customHeight="1">
      <c r="D1390" s="179" t="n"/>
      <c r="E1390" s="179" t="n"/>
      <c r="F1390" s="180" t="n"/>
      <c r="G1390" s="180" t="n"/>
      <c r="H1390" s="181">
        <f>IF(OR(F1390="",G1390=""),"",ROUND(MOD(G1390-F1390,1)*24,2))</f>
        <v/>
      </c>
      <c r="K1390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91" hidden="1" outlineLevel="1" ht="20" customHeight="1">
      <c r="D1391" s="179" t="n"/>
      <c r="E1391" s="179" t="n"/>
      <c r="F1391" s="180" t="n"/>
      <c r="G1391" s="180" t="n"/>
      <c r="H1391" s="181">
        <f>IF(OR(F1391="",G1391=""),"",ROUND(MOD(G1391-F1391,1)*24,2))</f>
        <v/>
      </c>
      <c r="K1391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92" hidden="1" outlineLevel="1" ht="20" customHeight="1">
      <c r="D1392" s="179" t="n"/>
      <c r="E1392" s="179" t="n"/>
      <c r="F1392" s="180" t="n"/>
      <c r="G1392" s="180" t="n"/>
      <c r="H1392" s="181">
        <f>IF(OR(F1392="",G1392=""),"",ROUND(MOD(G1392-F1392,1)*24,2))</f>
        <v/>
      </c>
      <c r="K1392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93" hidden="1" outlineLevel="1" ht="20" customHeight="1">
      <c r="D1393" s="179" t="n"/>
      <c r="E1393" s="179" t="n"/>
      <c r="F1393" s="180" t="n"/>
      <c r="G1393" s="180" t="n"/>
      <c r="H1393" s="181">
        <f>IF(OR(F1393="",G1393=""),"",ROUND(MOD(G1393-F1393,1)*24,2))</f>
        <v/>
      </c>
      <c r="K1393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94" hidden="1" outlineLevel="1" ht="20" customHeight="1">
      <c r="D1394" s="179" t="n"/>
      <c r="E1394" s="179" t="n"/>
      <c r="F1394" s="180" t="n"/>
      <c r="G1394" s="180" t="n"/>
      <c r="H1394" s="181">
        <f>IF(OR(F1394="",G1394=""),"",ROUND(MOD(G1394-F1394,1)*24,2))</f>
        <v/>
      </c>
      <c r="K1394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95" hidden="1" outlineLevel="1" ht="20" customHeight="1">
      <c r="A1395" s="342" t="n"/>
      <c r="B1395" s="342" t="n"/>
      <c r="C1395" s="342" t="n"/>
      <c r="D1395" s="332" t="n"/>
      <c r="E1395" s="332" t="n"/>
      <c r="F1395" s="333" t="n"/>
      <c r="G1395" s="333" t="n"/>
      <c r="H1395" s="334">
        <f>IF(OR(F1395="",G1395=""),"",ROUND(MOD(G1395-F1395,1)*24,2))</f>
        <v/>
      </c>
      <c r="I1395" s="342" t="n"/>
      <c r="J1395" s="342" t="n"/>
      <c r="K1395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396" ht="20" customHeight="1">
      <c r="A1396" s="336">
        <f>IF($K1396="","",WEEKNUM($K1396,21))</f>
        <v/>
      </c>
      <c r="B1396" s="337">
        <f>IF($K1396="","",$K1396)</f>
        <v/>
      </c>
      <c r="C1396" s="338">
        <f>IF($K1396="","",$K1396)</f>
        <v/>
      </c>
      <c r="D1396" s="171" t="n"/>
      <c r="E1396" s="171" t="n"/>
      <c r="F1396" s="172" t="n"/>
      <c r="G1396" s="172" t="n"/>
      <c r="H1396" s="173">
        <f>IF(OR(F1396="",G1396=""),"",ROUND(MOD(G1396-F1396,1)*24,2))</f>
        <v/>
      </c>
      <c r="I1396" s="339" t="n"/>
      <c r="J1396" s="339" t="n"/>
      <c r="K1396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397" ht="20" customHeight="1">
      <c r="D1397" s="179" t="n"/>
      <c r="E1397" s="179" t="n"/>
      <c r="F1397" s="180" t="n"/>
      <c r="G1397" s="180" t="n"/>
      <c r="H1397" s="181">
        <f>IF(OR(F1397="",G1397=""),"",ROUND(MOD(G1397-F1397,1)*24,2))</f>
        <v/>
      </c>
      <c r="K1397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398" ht="20" customHeight="1">
      <c r="D1398" s="179" t="n"/>
      <c r="E1398" s="179" t="n"/>
      <c r="F1398" s="180" t="n"/>
      <c r="G1398" s="180" t="n"/>
      <c r="H1398" s="181">
        <f>IF(OR(F1398="",G1398=""),"",ROUND(MOD(G1398-F1398,1)*24,2))</f>
        <v/>
      </c>
      <c r="K1398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399" ht="20" customHeight="1">
      <c r="D1399" s="179" t="n"/>
      <c r="E1399" s="179" t="n"/>
      <c r="F1399" s="180" t="n"/>
      <c r="G1399" s="180" t="n"/>
      <c r="H1399" s="181">
        <f>IF(OR(F1399="",G1399=""),"",ROUND(MOD(G1399-F1399,1)*24,2))</f>
        <v/>
      </c>
      <c r="K1399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400" collapsed="1" ht="20" customHeight="1">
      <c r="D1400" s="179" t="n"/>
      <c r="E1400" s="179" t="n"/>
      <c r="F1400" s="180" t="n"/>
      <c r="G1400" s="180" t="n"/>
      <c r="H1400" s="181">
        <f>IF(OR(F1400="",G1400=""),"",ROUND(MOD(G1400-F1400,1)*24,2))</f>
        <v/>
      </c>
      <c r="K1400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401" hidden="1" outlineLevel="1" ht="20" customHeight="1">
      <c r="D1401" s="179" t="n"/>
      <c r="E1401" s="179" t="n"/>
      <c r="F1401" s="180" t="n"/>
      <c r="G1401" s="180" t="n"/>
      <c r="H1401" s="181">
        <f>IF(OR(F1401="",G1401=""),"",ROUND(MOD(G1401-F1401,1)*24,2))</f>
        <v/>
      </c>
      <c r="K1401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402" hidden="1" outlineLevel="1" ht="20" customHeight="1">
      <c r="D1402" s="179" t="n"/>
      <c r="E1402" s="179" t="n"/>
      <c r="F1402" s="180" t="n"/>
      <c r="G1402" s="180" t="n"/>
      <c r="H1402" s="181">
        <f>IF(OR(F1402="",G1402=""),"",ROUND(MOD(G1402-F1402,1)*24,2))</f>
        <v/>
      </c>
      <c r="K1402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403" hidden="1" outlineLevel="1" ht="20" customHeight="1">
      <c r="D1403" s="179" t="n"/>
      <c r="E1403" s="179" t="n"/>
      <c r="F1403" s="180" t="n"/>
      <c r="G1403" s="180" t="n"/>
      <c r="H1403" s="181">
        <f>IF(OR(F1403="",G1403=""),"",ROUND(MOD(G1403-F1403,1)*24,2))</f>
        <v/>
      </c>
      <c r="K1403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404" hidden="1" outlineLevel="1" ht="20" customHeight="1">
      <c r="D1404" s="179" t="n"/>
      <c r="E1404" s="179" t="n"/>
      <c r="F1404" s="180" t="n"/>
      <c r="G1404" s="180" t="n"/>
      <c r="H1404" s="181">
        <f>IF(OR(F1404="",G1404=""),"",ROUND(MOD(G1404-F1404,1)*24,2))</f>
        <v/>
      </c>
      <c r="K1404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405" hidden="1" outlineLevel="1" ht="20" customHeight="1">
      <c r="A1405" s="342" t="n"/>
      <c r="B1405" s="342" t="n"/>
      <c r="C1405" s="342" t="n"/>
      <c r="D1405" s="332" t="n"/>
      <c r="E1405" s="332" t="n"/>
      <c r="F1405" s="333" t="n"/>
      <c r="G1405" s="333" t="n"/>
      <c r="H1405" s="334">
        <f>IF(OR(F1405="",G1405=""),"",ROUND(MOD(G1405-F1405,1)*24,2))</f>
        <v/>
      </c>
      <c r="I1405" s="342" t="n"/>
      <c r="J1405" s="342" t="n"/>
      <c r="K1405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406" ht="20" customHeight="1">
      <c r="A1406" s="336">
        <f>IF($K1406="","",WEEKNUM($K1406,21))</f>
        <v/>
      </c>
      <c r="B1406" s="337">
        <f>IF($K1406="","",$K1406)</f>
        <v/>
      </c>
      <c r="C1406" s="338">
        <f>IF($K1406="","",$K1406)</f>
        <v/>
      </c>
      <c r="D1406" s="171" t="n"/>
      <c r="E1406" s="171" t="n"/>
      <c r="F1406" s="172" t="n"/>
      <c r="G1406" s="172" t="n"/>
      <c r="H1406" s="173">
        <f>IF(OR(F1406="",G1406=""),"",ROUND(MOD(G1406-F1406,1)*24,2))</f>
        <v/>
      </c>
      <c r="I1406" s="339" t="n"/>
      <c r="J1406" s="339" t="n"/>
      <c r="K1406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07" ht="20" customHeight="1">
      <c r="D1407" s="179" t="n"/>
      <c r="E1407" s="179" t="n"/>
      <c r="F1407" s="180" t="n"/>
      <c r="G1407" s="180" t="n"/>
      <c r="H1407" s="181">
        <f>IF(OR(F1407="",G1407=""),"",ROUND(MOD(G1407-F1407,1)*24,2))</f>
        <v/>
      </c>
      <c r="K1407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08" ht="20" customHeight="1">
      <c r="D1408" s="179" t="n"/>
      <c r="E1408" s="179" t="n"/>
      <c r="F1408" s="180" t="n"/>
      <c r="G1408" s="180" t="n"/>
      <c r="H1408" s="181">
        <f>IF(OR(F1408="",G1408=""),"",ROUND(MOD(G1408-F1408,1)*24,2))</f>
        <v/>
      </c>
      <c r="K1408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09" ht="20" customHeight="1">
      <c r="D1409" s="179" t="n"/>
      <c r="E1409" s="179" t="n"/>
      <c r="F1409" s="180" t="n"/>
      <c r="G1409" s="180" t="n"/>
      <c r="H1409" s="181">
        <f>IF(OR(F1409="",G1409=""),"",ROUND(MOD(G1409-F1409,1)*24,2))</f>
        <v/>
      </c>
      <c r="K1409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10" collapsed="1" ht="20" customHeight="1">
      <c r="D1410" s="179" t="n"/>
      <c r="E1410" s="179" t="n"/>
      <c r="F1410" s="180" t="n"/>
      <c r="G1410" s="180" t="n"/>
      <c r="H1410" s="181">
        <f>IF(OR(F1410="",G1410=""),"",ROUND(MOD(G1410-F1410,1)*24,2))</f>
        <v/>
      </c>
      <c r="K1410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11" hidden="1" outlineLevel="1" ht="20" customHeight="1">
      <c r="D1411" s="179" t="n"/>
      <c r="E1411" s="179" t="n"/>
      <c r="F1411" s="180" t="n"/>
      <c r="G1411" s="180" t="n"/>
      <c r="H1411" s="181">
        <f>IF(OR(F1411="",G1411=""),"",ROUND(MOD(G1411-F1411,1)*24,2))</f>
        <v/>
      </c>
      <c r="K1411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12" hidden="1" outlineLevel="1" ht="20" customHeight="1">
      <c r="D1412" s="179" t="n"/>
      <c r="E1412" s="179" t="n"/>
      <c r="F1412" s="180" t="n"/>
      <c r="G1412" s="180" t="n"/>
      <c r="H1412" s="181">
        <f>IF(OR(F1412="",G1412=""),"",ROUND(MOD(G1412-F1412,1)*24,2))</f>
        <v/>
      </c>
      <c r="K1412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13" hidden="1" outlineLevel="1" ht="20" customHeight="1">
      <c r="D1413" s="179" t="n"/>
      <c r="E1413" s="179" t="n"/>
      <c r="F1413" s="180" t="n"/>
      <c r="G1413" s="180" t="n"/>
      <c r="H1413" s="181">
        <f>IF(OR(F1413="",G1413=""),"",ROUND(MOD(G1413-F1413,1)*24,2))</f>
        <v/>
      </c>
      <c r="K1413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14" hidden="1" outlineLevel="1" ht="20" customHeight="1">
      <c r="D1414" s="179" t="n"/>
      <c r="E1414" s="179" t="n"/>
      <c r="F1414" s="180" t="n"/>
      <c r="G1414" s="180" t="n"/>
      <c r="H1414" s="181">
        <f>IF(OR(F1414="",G1414=""),"",ROUND(MOD(G1414-F1414,1)*24,2))</f>
        <v/>
      </c>
      <c r="K1414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15" hidden="1" outlineLevel="1" ht="20" customHeight="1">
      <c r="A1415" s="342" t="n"/>
      <c r="B1415" s="342" t="n"/>
      <c r="C1415" s="342" t="n"/>
      <c r="D1415" s="332" t="n"/>
      <c r="E1415" s="332" t="n"/>
      <c r="F1415" s="333" t="n"/>
      <c r="G1415" s="333" t="n"/>
      <c r="H1415" s="334">
        <f>IF(OR(F1415="",G1415=""),"",ROUND(MOD(G1415-F1415,1)*24,2))</f>
        <v/>
      </c>
      <c r="I1415" s="342" t="n"/>
      <c r="J1415" s="342" t="n"/>
      <c r="K1415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16" ht="20" customHeight="1">
      <c r="A1416" s="336">
        <f>IF($K1416="","",WEEKNUM($K1416,21))</f>
        <v/>
      </c>
      <c r="B1416" s="337">
        <f>IF($K1416="","",$K1416)</f>
        <v/>
      </c>
      <c r="C1416" s="338">
        <f>IF($K1416="","",$K1416)</f>
        <v/>
      </c>
      <c r="D1416" s="171" t="n"/>
      <c r="E1416" s="171" t="n"/>
      <c r="F1416" s="172" t="n"/>
      <c r="G1416" s="172" t="n"/>
      <c r="H1416" s="173">
        <f>IF(OR(F1416="",G1416=""),"",ROUND(MOD(G1416-F1416,1)*24,2))</f>
        <v/>
      </c>
      <c r="I1416" s="339" t="n"/>
      <c r="J1416" s="339" t="n"/>
      <c r="K1416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17" ht="20" customHeight="1">
      <c r="D1417" s="179" t="n"/>
      <c r="E1417" s="179" t="n"/>
      <c r="F1417" s="180" t="n"/>
      <c r="G1417" s="180" t="n"/>
      <c r="H1417" s="181">
        <f>IF(OR(F1417="",G1417=""),"",ROUND(MOD(G1417-F1417,1)*24,2))</f>
        <v/>
      </c>
      <c r="K1417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18" ht="20" customHeight="1">
      <c r="D1418" s="179" t="n"/>
      <c r="E1418" s="179" t="n"/>
      <c r="F1418" s="180" t="n"/>
      <c r="G1418" s="180" t="n"/>
      <c r="H1418" s="181">
        <f>IF(OR(F1418="",G1418=""),"",ROUND(MOD(G1418-F1418,1)*24,2))</f>
        <v/>
      </c>
      <c r="K1418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19" ht="20" customHeight="1">
      <c r="D1419" s="179" t="n"/>
      <c r="E1419" s="179" t="n"/>
      <c r="F1419" s="180" t="n"/>
      <c r="G1419" s="180" t="n"/>
      <c r="H1419" s="181">
        <f>IF(OR(F1419="",G1419=""),"",ROUND(MOD(G1419-F1419,1)*24,2))</f>
        <v/>
      </c>
      <c r="K1419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20" collapsed="1" ht="20" customHeight="1">
      <c r="D1420" s="179" t="n"/>
      <c r="E1420" s="179" t="n"/>
      <c r="F1420" s="180" t="n"/>
      <c r="G1420" s="180" t="n"/>
      <c r="H1420" s="181">
        <f>IF(OR(F1420="",G1420=""),"",ROUND(MOD(G1420-F1420,1)*24,2))</f>
        <v/>
      </c>
      <c r="K1420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21" hidden="1" outlineLevel="1" ht="20" customHeight="1">
      <c r="D1421" s="179" t="n"/>
      <c r="E1421" s="179" t="n"/>
      <c r="F1421" s="180" t="n"/>
      <c r="G1421" s="180" t="n"/>
      <c r="H1421" s="181">
        <f>IF(OR(F1421="",G1421=""),"",ROUND(MOD(G1421-F1421,1)*24,2))</f>
        <v/>
      </c>
      <c r="K1421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22" hidden="1" outlineLevel="1" ht="20" customHeight="1">
      <c r="D1422" s="179" t="n"/>
      <c r="E1422" s="179" t="n"/>
      <c r="F1422" s="180" t="n"/>
      <c r="G1422" s="180" t="n"/>
      <c r="H1422" s="181">
        <f>IF(OR(F1422="",G1422=""),"",ROUND(MOD(G1422-F1422,1)*24,2))</f>
        <v/>
      </c>
      <c r="K1422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23" hidden="1" outlineLevel="1" ht="20" customHeight="1">
      <c r="D1423" s="179" t="n"/>
      <c r="E1423" s="179" t="n"/>
      <c r="F1423" s="180" t="n"/>
      <c r="G1423" s="180" t="n"/>
      <c r="H1423" s="181">
        <f>IF(OR(F1423="",G1423=""),"",ROUND(MOD(G1423-F1423,1)*24,2))</f>
        <v/>
      </c>
      <c r="K1423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24" hidden="1" outlineLevel="1" ht="20" customHeight="1">
      <c r="D1424" s="179" t="n"/>
      <c r="E1424" s="179" t="n"/>
      <c r="F1424" s="180" t="n"/>
      <c r="G1424" s="180" t="n"/>
      <c r="H1424" s="181">
        <f>IF(OR(F1424="",G1424=""),"",ROUND(MOD(G1424-F1424,1)*24,2))</f>
        <v/>
      </c>
      <c r="K1424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25" hidden="1" outlineLevel="1" ht="20" customHeight="1">
      <c r="A1425" s="342" t="n"/>
      <c r="B1425" s="342" t="n"/>
      <c r="C1425" s="342" t="n"/>
      <c r="D1425" s="332" t="n"/>
      <c r="E1425" s="332" t="n"/>
      <c r="F1425" s="333" t="n"/>
      <c r="G1425" s="333" t="n"/>
      <c r="H1425" s="334">
        <f>IF(OR(F1425="",G1425=""),"",ROUND(MOD(G1425-F1425,1)*24,2))</f>
        <v/>
      </c>
      <c r="I1425" s="342" t="n"/>
      <c r="J1425" s="342" t="n"/>
      <c r="K1425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26" ht="20" customHeight="1">
      <c r="A1426" s="336">
        <f>IF($K1426="","",WEEKNUM($K1426,21))</f>
        <v/>
      </c>
      <c r="B1426" s="337">
        <f>IF($K1426="","",$K1426)</f>
        <v/>
      </c>
      <c r="C1426" s="338">
        <f>IF($K1426="","",$K1426)</f>
        <v/>
      </c>
      <c r="D1426" s="171" t="n"/>
      <c r="E1426" s="171" t="n"/>
      <c r="F1426" s="172" t="n"/>
      <c r="G1426" s="172" t="n"/>
      <c r="H1426" s="173">
        <f>IF(OR(F1426="",G1426=""),"",ROUND(MOD(G1426-F1426,1)*24,2))</f>
        <v/>
      </c>
      <c r="I1426" s="339" t="n"/>
      <c r="J1426" s="339" t="n"/>
      <c r="K1426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27" ht="20" customHeight="1">
      <c r="D1427" s="179" t="n"/>
      <c r="E1427" s="179" t="n"/>
      <c r="F1427" s="180" t="n"/>
      <c r="G1427" s="180" t="n"/>
      <c r="H1427" s="181">
        <f>IF(OR(F1427="",G1427=""),"",ROUND(MOD(G1427-F1427,1)*24,2))</f>
        <v/>
      </c>
      <c r="K1427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28" ht="20" customHeight="1">
      <c r="D1428" s="179" t="n"/>
      <c r="E1428" s="179" t="n"/>
      <c r="F1428" s="180" t="n"/>
      <c r="G1428" s="180" t="n"/>
      <c r="H1428" s="181">
        <f>IF(OR(F1428="",G1428=""),"",ROUND(MOD(G1428-F1428,1)*24,2))</f>
        <v/>
      </c>
      <c r="K1428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29" ht="20" customHeight="1">
      <c r="D1429" s="179" t="n"/>
      <c r="E1429" s="179" t="n"/>
      <c r="F1429" s="180" t="n"/>
      <c r="G1429" s="180" t="n"/>
      <c r="H1429" s="181">
        <f>IF(OR(F1429="",G1429=""),"",ROUND(MOD(G1429-F1429,1)*24,2))</f>
        <v/>
      </c>
      <c r="K1429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30" collapsed="1" ht="20" customHeight="1">
      <c r="D1430" s="179" t="n"/>
      <c r="E1430" s="179" t="n"/>
      <c r="F1430" s="180" t="n"/>
      <c r="G1430" s="180" t="n"/>
      <c r="H1430" s="181">
        <f>IF(OR(F1430="",G1430=""),"",ROUND(MOD(G1430-F1430,1)*24,2))</f>
        <v/>
      </c>
      <c r="K1430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31" hidden="1" outlineLevel="1" ht="20" customHeight="1">
      <c r="D1431" s="179" t="n"/>
      <c r="E1431" s="179" t="n"/>
      <c r="F1431" s="180" t="n"/>
      <c r="G1431" s="180" t="n"/>
      <c r="H1431" s="181">
        <f>IF(OR(F1431="",G1431=""),"",ROUND(MOD(G1431-F1431,1)*24,2))</f>
        <v/>
      </c>
      <c r="K1431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32" hidden="1" outlineLevel="1" ht="20" customHeight="1">
      <c r="D1432" s="179" t="n"/>
      <c r="E1432" s="179" t="n"/>
      <c r="F1432" s="180" t="n"/>
      <c r="G1432" s="180" t="n"/>
      <c r="H1432" s="181">
        <f>IF(OR(F1432="",G1432=""),"",ROUND(MOD(G1432-F1432,1)*24,2))</f>
        <v/>
      </c>
      <c r="K1432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33" hidden="1" outlineLevel="1" ht="20" customHeight="1">
      <c r="D1433" s="179" t="n"/>
      <c r="E1433" s="179" t="n"/>
      <c r="F1433" s="180" t="n"/>
      <c r="G1433" s="180" t="n"/>
      <c r="H1433" s="181">
        <f>IF(OR(F1433="",G1433=""),"",ROUND(MOD(G1433-F1433,1)*24,2))</f>
        <v/>
      </c>
      <c r="K1433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34" hidden="1" outlineLevel="1" ht="20" customHeight="1">
      <c r="D1434" s="179" t="n"/>
      <c r="E1434" s="179" t="n"/>
      <c r="F1434" s="180" t="n"/>
      <c r="G1434" s="180" t="n"/>
      <c r="H1434" s="181">
        <f>IF(OR(F1434="",G1434=""),"",ROUND(MOD(G1434-F1434,1)*24,2))</f>
        <v/>
      </c>
      <c r="K1434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35" hidden="1" outlineLevel="1" ht="20" customHeight="1">
      <c r="A1435" s="342" t="n"/>
      <c r="B1435" s="342" t="n"/>
      <c r="C1435" s="342" t="n"/>
      <c r="D1435" s="332" t="n"/>
      <c r="E1435" s="332" t="n"/>
      <c r="F1435" s="333" t="n"/>
      <c r="G1435" s="333" t="n"/>
      <c r="H1435" s="334">
        <f>IF(OR(F1435="",G1435=""),"",ROUND(MOD(G1435-F1435,1)*24,2))</f>
        <v/>
      </c>
      <c r="I1435" s="342" t="n"/>
      <c r="J1435" s="342" t="n"/>
      <c r="K1435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36" ht="20" customHeight="1">
      <c r="A1436" s="336">
        <f>IF($K1436="","",WEEKNUM($K1436,21))</f>
        <v/>
      </c>
      <c r="B1436" s="337">
        <f>IF($K1436="","",$K1436)</f>
        <v/>
      </c>
      <c r="C1436" s="338">
        <f>IF($K1436="","",$K1436)</f>
        <v/>
      </c>
      <c r="D1436" s="171" t="n"/>
      <c r="E1436" s="171" t="n"/>
      <c r="F1436" s="172" t="n"/>
      <c r="G1436" s="172" t="n"/>
      <c r="H1436" s="173">
        <f>IF(OR(F1436="",G1436=""),"",ROUND(MOD(G1436-F1436,1)*24,2))</f>
        <v/>
      </c>
      <c r="I1436" s="339" t="n"/>
      <c r="J1436" s="339" t="n"/>
      <c r="K1436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37" ht="20" customHeight="1">
      <c r="D1437" s="179" t="n"/>
      <c r="E1437" s="179" t="n"/>
      <c r="F1437" s="180" t="n"/>
      <c r="G1437" s="180" t="n"/>
      <c r="H1437" s="181">
        <f>IF(OR(F1437="",G1437=""),"",ROUND(MOD(G1437-F1437,1)*24,2))</f>
        <v/>
      </c>
      <c r="K1437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38" ht="20" customHeight="1">
      <c r="D1438" s="179" t="n"/>
      <c r="E1438" s="179" t="n"/>
      <c r="F1438" s="180" t="n"/>
      <c r="G1438" s="180" t="n"/>
      <c r="H1438" s="181">
        <f>IF(OR(F1438="",G1438=""),"",ROUND(MOD(G1438-F1438,1)*24,2))</f>
        <v/>
      </c>
      <c r="K1438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39" ht="20" customHeight="1">
      <c r="D1439" s="179" t="n"/>
      <c r="E1439" s="179" t="n"/>
      <c r="F1439" s="180" t="n"/>
      <c r="G1439" s="180" t="n"/>
      <c r="H1439" s="181">
        <f>IF(OR(F1439="",G1439=""),"",ROUND(MOD(G1439-F1439,1)*24,2))</f>
        <v/>
      </c>
      <c r="K1439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40" collapsed="1" ht="20" customHeight="1">
      <c r="D1440" s="179" t="n"/>
      <c r="E1440" s="179" t="n"/>
      <c r="F1440" s="180" t="n"/>
      <c r="G1440" s="180" t="n"/>
      <c r="H1440" s="181">
        <f>IF(OR(F1440="",G1440=""),"",ROUND(MOD(G1440-F1440,1)*24,2))</f>
        <v/>
      </c>
      <c r="K1440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41" hidden="1" outlineLevel="1" ht="20" customHeight="1">
      <c r="D1441" s="179" t="n"/>
      <c r="E1441" s="179" t="n"/>
      <c r="F1441" s="180" t="n"/>
      <c r="G1441" s="180" t="n"/>
      <c r="H1441" s="181">
        <f>IF(OR(F1441="",G1441=""),"",ROUND(MOD(G1441-F1441,1)*24,2))</f>
        <v/>
      </c>
      <c r="K1441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42" hidden="1" outlineLevel="1" ht="20" customHeight="1">
      <c r="D1442" s="179" t="n"/>
      <c r="E1442" s="179" t="n"/>
      <c r="F1442" s="180" t="n"/>
      <c r="G1442" s="180" t="n"/>
      <c r="H1442" s="181">
        <f>IF(OR(F1442="",G1442=""),"",ROUND(MOD(G1442-F1442,1)*24,2))</f>
        <v/>
      </c>
      <c r="K1442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43" hidden="1" outlineLevel="1" ht="20" customHeight="1">
      <c r="D1443" s="179" t="n"/>
      <c r="E1443" s="179" t="n"/>
      <c r="F1443" s="180" t="n"/>
      <c r="G1443" s="180" t="n"/>
      <c r="H1443" s="181">
        <f>IF(OR(F1443="",G1443=""),"",ROUND(MOD(G1443-F1443,1)*24,2))</f>
        <v/>
      </c>
      <c r="K1443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44" hidden="1" outlineLevel="1" ht="20" customHeight="1">
      <c r="D1444" s="179" t="n"/>
      <c r="E1444" s="179" t="n"/>
      <c r="F1444" s="180" t="n"/>
      <c r="G1444" s="180" t="n"/>
      <c r="H1444" s="181">
        <f>IF(OR(F1444="",G1444=""),"",ROUND(MOD(G1444-F1444,1)*24,2))</f>
        <v/>
      </c>
      <c r="K1444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45" hidden="1" outlineLevel="1" ht="20" customHeight="1">
      <c r="A1445" s="342" t="n"/>
      <c r="B1445" s="342" t="n"/>
      <c r="C1445" s="342" t="n"/>
      <c r="D1445" s="332" t="n"/>
      <c r="E1445" s="332" t="n"/>
      <c r="F1445" s="333" t="n"/>
      <c r="G1445" s="333" t="n"/>
      <c r="H1445" s="334">
        <f>IF(OR(F1445="",G1445=""),"",ROUND(MOD(G1445-F1445,1)*24,2))</f>
        <v/>
      </c>
      <c r="I1445" s="342" t="n"/>
      <c r="J1445" s="342" t="n"/>
      <c r="K1445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46" ht="20" customHeight="1">
      <c r="A1446" s="336">
        <f>IF($K1446="","",WEEKNUM($K1446,21))</f>
        <v/>
      </c>
      <c r="B1446" s="337">
        <f>IF($K1446="","",$K1446)</f>
        <v/>
      </c>
      <c r="C1446" s="338">
        <f>IF($K1446="","",$K1446)</f>
        <v/>
      </c>
      <c r="D1446" s="171" t="n"/>
      <c r="E1446" s="171" t="n"/>
      <c r="F1446" s="172" t="n"/>
      <c r="G1446" s="172" t="n"/>
      <c r="H1446" s="173">
        <f>IF(OR(F1446="",G1446=""),"",ROUND(MOD(G1446-F1446,1)*24,2))</f>
        <v/>
      </c>
      <c r="I1446" s="339" t="n"/>
      <c r="J1446" s="339" t="n"/>
      <c r="K1446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47" ht="20" customHeight="1">
      <c r="D1447" s="179" t="n"/>
      <c r="E1447" s="179" t="n"/>
      <c r="F1447" s="180" t="n"/>
      <c r="G1447" s="180" t="n"/>
      <c r="H1447" s="181">
        <f>IF(OR(F1447="",G1447=""),"",ROUND(MOD(G1447-F1447,1)*24,2))</f>
        <v/>
      </c>
      <c r="K1447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48" ht="20" customHeight="1">
      <c r="D1448" s="179" t="n"/>
      <c r="E1448" s="179" t="n"/>
      <c r="F1448" s="180" t="n"/>
      <c r="G1448" s="180" t="n"/>
      <c r="H1448" s="181">
        <f>IF(OR(F1448="",G1448=""),"",ROUND(MOD(G1448-F1448,1)*24,2))</f>
        <v/>
      </c>
      <c r="K1448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49" ht="20" customHeight="1">
      <c r="D1449" s="179" t="n"/>
      <c r="E1449" s="179" t="n"/>
      <c r="F1449" s="180" t="n"/>
      <c r="G1449" s="180" t="n"/>
      <c r="H1449" s="181">
        <f>IF(OR(F1449="",G1449=""),"",ROUND(MOD(G1449-F1449,1)*24,2))</f>
        <v/>
      </c>
      <c r="K1449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50" collapsed="1" ht="20" customHeight="1">
      <c r="D1450" s="179" t="n"/>
      <c r="E1450" s="179" t="n"/>
      <c r="F1450" s="180" t="n"/>
      <c r="G1450" s="180" t="n"/>
      <c r="H1450" s="181">
        <f>IF(OR(F1450="",G1450=""),"",ROUND(MOD(G1450-F1450,1)*24,2))</f>
        <v/>
      </c>
      <c r="K1450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51" hidden="1" outlineLevel="1" ht="20" customHeight="1">
      <c r="D1451" s="179" t="n"/>
      <c r="E1451" s="179" t="n"/>
      <c r="F1451" s="180" t="n"/>
      <c r="G1451" s="180" t="n"/>
      <c r="H1451" s="181">
        <f>IF(OR(F1451="",G1451=""),"",ROUND(MOD(G1451-F1451,1)*24,2))</f>
        <v/>
      </c>
      <c r="K1451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52" hidden="1" outlineLevel="1" ht="20" customHeight="1">
      <c r="D1452" s="179" t="n"/>
      <c r="E1452" s="179" t="n"/>
      <c r="F1452" s="180" t="n"/>
      <c r="G1452" s="180" t="n"/>
      <c r="H1452" s="181">
        <f>IF(OR(F1452="",G1452=""),"",ROUND(MOD(G1452-F1452,1)*24,2))</f>
        <v/>
      </c>
      <c r="K1452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53" hidden="1" outlineLevel="1" ht="20" customHeight="1">
      <c r="D1453" s="179" t="n"/>
      <c r="E1453" s="179" t="n"/>
      <c r="F1453" s="180" t="n"/>
      <c r="G1453" s="180" t="n"/>
      <c r="H1453" s="181">
        <f>IF(OR(F1453="",G1453=""),"",ROUND(MOD(G1453-F1453,1)*24,2))</f>
        <v/>
      </c>
      <c r="K1453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54" hidden="1" outlineLevel="1" ht="20" customHeight="1">
      <c r="D1454" s="179" t="n"/>
      <c r="E1454" s="179" t="n"/>
      <c r="F1454" s="180" t="n"/>
      <c r="G1454" s="180" t="n"/>
      <c r="H1454" s="181">
        <f>IF(OR(F1454="",G1454=""),"",ROUND(MOD(G1454-F1454,1)*24,2))</f>
        <v/>
      </c>
      <c r="K1454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55" hidden="1" outlineLevel="1" ht="20" customHeight="1">
      <c r="A1455" s="342" t="n"/>
      <c r="B1455" s="342" t="n"/>
      <c r="C1455" s="342" t="n"/>
      <c r="D1455" s="332" t="n"/>
      <c r="E1455" s="332" t="n"/>
      <c r="F1455" s="333" t="n"/>
      <c r="G1455" s="333" t="n"/>
      <c r="H1455" s="334">
        <f>IF(OR(F1455="",G1455=""),"",ROUND(MOD(G1455-F1455,1)*24,2))</f>
        <v/>
      </c>
      <c r="I1455" s="342" t="n"/>
      <c r="J1455" s="342" t="n"/>
      <c r="K1455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56" ht="20" customHeight="1">
      <c r="A1456" s="336">
        <f>IF($K1456="","",WEEKNUM($K1456,21))</f>
        <v/>
      </c>
      <c r="B1456" s="337">
        <f>IF($K1456="","",$K1456)</f>
        <v/>
      </c>
      <c r="C1456" s="338">
        <f>IF($K1456="","",$K1456)</f>
        <v/>
      </c>
      <c r="D1456" s="171" t="n"/>
      <c r="E1456" s="171" t="n"/>
      <c r="F1456" s="172" t="n"/>
      <c r="G1456" s="172" t="n"/>
      <c r="H1456" s="173">
        <f>IF(OR(F1456="",G1456=""),"",ROUND(MOD(G1456-F1456,1)*24,2))</f>
        <v/>
      </c>
      <c r="I1456" s="339" t="n"/>
      <c r="J1456" s="339" t="n"/>
      <c r="K1456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57" ht="20" customHeight="1">
      <c r="D1457" s="179" t="n"/>
      <c r="E1457" s="179" t="n"/>
      <c r="F1457" s="180" t="n"/>
      <c r="G1457" s="180" t="n"/>
      <c r="H1457" s="181">
        <f>IF(OR(F1457="",G1457=""),"",ROUND(MOD(G1457-F1457,1)*24,2))</f>
        <v/>
      </c>
      <c r="K1457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58" ht="20" customHeight="1">
      <c r="D1458" s="179" t="n"/>
      <c r="E1458" s="179" t="n"/>
      <c r="F1458" s="180" t="n"/>
      <c r="G1458" s="180" t="n"/>
      <c r="H1458" s="181">
        <f>IF(OR(F1458="",G1458=""),"",ROUND(MOD(G1458-F1458,1)*24,2))</f>
        <v/>
      </c>
      <c r="K1458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59" ht="20" customHeight="1">
      <c r="D1459" s="179" t="n"/>
      <c r="E1459" s="179" t="n"/>
      <c r="F1459" s="180" t="n"/>
      <c r="G1459" s="180" t="n"/>
      <c r="H1459" s="181">
        <f>IF(OR(F1459="",G1459=""),"",ROUND(MOD(G1459-F1459,1)*24,2))</f>
        <v/>
      </c>
      <c r="K1459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60" collapsed="1" ht="20" customHeight="1">
      <c r="D1460" s="179" t="n"/>
      <c r="E1460" s="179" t="n"/>
      <c r="F1460" s="180" t="n"/>
      <c r="G1460" s="180" t="n"/>
      <c r="H1460" s="181">
        <f>IF(OR(F1460="",G1460=""),"",ROUND(MOD(G1460-F1460,1)*24,2))</f>
        <v/>
      </c>
      <c r="K1460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61" hidden="1" outlineLevel="1" ht="20" customHeight="1">
      <c r="D1461" s="179" t="n"/>
      <c r="E1461" s="179" t="n"/>
      <c r="F1461" s="180" t="n"/>
      <c r="G1461" s="180" t="n"/>
      <c r="H1461" s="181">
        <f>IF(OR(F1461="",G1461=""),"",ROUND(MOD(G1461-F1461,1)*24,2))</f>
        <v/>
      </c>
      <c r="K1461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62" hidden="1" outlineLevel="1" ht="20" customHeight="1">
      <c r="D1462" s="179" t="n"/>
      <c r="E1462" s="179" t="n"/>
      <c r="F1462" s="180" t="n"/>
      <c r="G1462" s="180" t="n"/>
      <c r="H1462" s="181">
        <f>IF(OR(F1462="",G1462=""),"",ROUND(MOD(G1462-F1462,1)*24,2))</f>
        <v/>
      </c>
      <c r="K1462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63" hidden="1" outlineLevel="1" ht="20" customHeight="1">
      <c r="D1463" s="179" t="n"/>
      <c r="E1463" s="179" t="n"/>
      <c r="F1463" s="180" t="n"/>
      <c r="G1463" s="180" t="n"/>
      <c r="H1463" s="181">
        <f>IF(OR(F1463="",G1463=""),"",ROUND(MOD(G1463-F1463,1)*24,2))</f>
        <v/>
      </c>
      <c r="K1463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64" hidden="1" outlineLevel="1" ht="20" customHeight="1">
      <c r="D1464" s="179" t="n"/>
      <c r="E1464" s="179" t="n"/>
      <c r="F1464" s="180" t="n"/>
      <c r="G1464" s="180" t="n"/>
      <c r="H1464" s="181">
        <f>IF(OR(F1464="",G1464=""),"",ROUND(MOD(G1464-F1464,1)*24,2))</f>
        <v/>
      </c>
      <c r="K1464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65" hidden="1" outlineLevel="1" ht="20" customHeight="1">
      <c r="A1465" s="342" t="n"/>
      <c r="B1465" s="342" t="n"/>
      <c r="C1465" s="342" t="n"/>
      <c r="D1465" s="332" t="n"/>
      <c r="E1465" s="332" t="n"/>
      <c r="F1465" s="333" t="n"/>
      <c r="G1465" s="333" t="n"/>
      <c r="H1465" s="334">
        <f>IF(OR(F1465="",G1465=""),"",ROUND(MOD(G1465-F1465,1)*24,2))</f>
        <v/>
      </c>
      <c r="I1465" s="342" t="n"/>
      <c r="J1465" s="342" t="n"/>
      <c r="K1465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66" ht="20" customHeight="1">
      <c r="A1466" s="336">
        <f>IF($K1466="","",WEEKNUM($K1466,21))</f>
        <v/>
      </c>
      <c r="B1466" s="337">
        <f>IF($K1466="","",$K1466)</f>
        <v/>
      </c>
      <c r="C1466" s="338">
        <f>IF($K1466="","",$K1466)</f>
        <v/>
      </c>
      <c r="D1466" s="171" t="n"/>
      <c r="E1466" s="171" t="n"/>
      <c r="F1466" s="172" t="n"/>
      <c r="G1466" s="172" t="n"/>
      <c r="H1466" s="173">
        <f>IF(OR(F1466="",G1466=""),"",ROUND(MOD(G1466-F1466,1)*24,2))</f>
        <v/>
      </c>
      <c r="I1466" s="339" t="n"/>
      <c r="J1466" s="339" t="n"/>
      <c r="K1466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67" ht="20" customHeight="1">
      <c r="D1467" s="179" t="n"/>
      <c r="E1467" s="179" t="n"/>
      <c r="F1467" s="180" t="n"/>
      <c r="G1467" s="180" t="n"/>
      <c r="H1467" s="181">
        <f>IF(OR(F1467="",G1467=""),"",ROUND(MOD(G1467-F1467,1)*24,2))</f>
        <v/>
      </c>
      <c r="K1467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68" ht="20" customHeight="1">
      <c r="D1468" s="179" t="n"/>
      <c r="E1468" s="179" t="n"/>
      <c r="F1468" s="180" t="n"/>
      <c r="G1468" s="180" t="n"/>
      <c r="H1468" s="181">
        <f>IF(OR(F1468="",G1468=""),"",ROUND(MOD(G1468-F1468,1)*24,2))</f>
        <v/>
      </c>
      <c r="K1468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69" ht="20" customHeight="1">
      <c r="D1469" s="179" t="n"/>
      <c r="E1469" s="179" t="n"/>
      <c r="F1469" s="180" t="n"/>
      <c r="G1469" s="180" t="n"/>
      <c r="H1469" s="181">
        <f>IF(OR(F1469="",G1469=""),"",ROUND(MOD(G1469-F1469,1)*24,2))</f>
        <v/>
      </c>
      <c r="K1469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70" collapsed="1" ht="20" customHeight="1">
      <c r="D1470" s="179" t="n"/>
      <c r="E1470" s="179" t="n"/>
      <c r="F1470" s="180" t="n"/>
      <c r="G1470" s="180" t="n"/>
      <c r="H1470" s="181">
        <f>IF(OR(F1470="",G1470=""),"",ROUND(MOD(G1470-F1470,1)*24,2))</f>
        <v/>
      </c>
      <c r="K1470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71" hidden="1" outlineLevel="1" ht="20" customHeight="1">
      <c r="D1471" s="179" t="n"/>
      <c r="E1471" s="179" t="n"/>
      <c r="F1471" s="180" t="n"/>
      <c r="G1471" s="180" t="n"/>
      <c r="H1471" s="181">
        <f>IF(OR(F1471="",G1471=""),"",ROUND(MOD(G1471-F1471,1)*24,2))</f>
        <v/>
      </c>
      <c r="K1471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72" hidden="1" outlineLevel="1" ht="20" customHeight="1">
      <c r="D1472" s="179" t="n"/>
      <c r="E1472" s="179" t="n"/>
      <c r="F1472" s="180" t="n"/>
      <c r="G1472" s="180" t="n"/>
      <c r="H1472" s="181">
        <f>IF(OR(F1472="",G1472=""),"",ROUND(MOD(G1472-F1472,1)*24,2))</f>
        <v/>
      </c>
      <c r="K1472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73" hidden="1" outlineLevel="1" ht="20" customHeight="1">
      <c r="D1473" s="179" t="n"/>
      <c r="E1473" s="179" t="n"/>
      <c r="F1473" s="180" t="n"/>
      <c r="G1473" s="180" t="n"/>
      <c r="H1473" s="181">
        <f>IF(OR(F1473="",G1473=""),"",ROUND(MOD(G1473-F1473,1)*24,2))</f>
        <v/>
      </c>
      <c r="K1473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74" hidden="1" outlineLevel="1" ht="20" customHeight="1">
      <c r="D1474" s="179" t="n"/>
      <c r="E1474" s="179" t="n"/>
      <c r="F1474" s="180" t="n"/>
      <c r="G1474" s="180" t="n"/>
      <c r="H1474" s="181">
        <f>IF(OR(F1474="",G1474=""),"",ROUND(MOD(G1474-F1474,1)*24,2))</f>
        <v/>
      </c>
      <c r="K1474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75" hidden="1" outlineLevel="1" ht="20" customHeight="1">
      <c r="A1475" s="342" t="n"/>
      <c r="B1475" s="342" t="n"/>
      <c r="C1475" s="342" t="n"/>
      <c r="D1475" s="332" t="n"/>
      <c r="E1475" s="332" t="n"/>
      <c r="F1475" s="333" t="n"/>
      <c r="G1475" s="333" t="n"/>
      <c r="H1475" s="334">
        <f>IF(OR(F1475="",G1475=""),"",ROUND(MOD(G1475-F1475,1)*24,2))</f>
        <v/>
      </c>
      <c r="I1475" s="342" t="n"/>
      <c r="J1475" s="342" t="n"/>
      <c r="K1475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76" ht="20" customHeight="1">
      <c r="A1476" s="336">
        <f>IF($K1476="","",WEEKNUM($K1476,21))</f>
        <v/>
      </c>
      <c r="B1476" s="337">
        <f>IF($K1476="","",$K1476)</f>
        <v/>
      </c>
      <c r="C1476" s="338">
        <f>IF($K1476="","",$K1476)</f>
        <v/>
      </c>
      <c r="D1476" s="171" t="n"/>
      <c r="E1476" s="171" t="n"/>
      <c r="F1476" s="172" t="n"/>
      <c r="G1476" s="172" t="n"/>
      <c r="H1476" s="173">
        <f>IF(OR(F1476="",G1476=""),"",ROUND(MOD(G1476-F1476,1)*24,2))</f>
        <v/>
      </c>
      <c r="I1476" s="339" t="n"/>
      <c r="J1476" s="339" t="n"/>
      <c r="K1476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77" ht="20" customHeight="1">
      <c r="D1477" s="179" t="n"/>
      <c r="E1477" s="179" t="n"/>
      <c r="F1477" s="180" t="n"/>
      <c r="G1477" s="180" t="n"/>
      <c r="H1477" s="181">
        <f>IF(OR(F1477="",G1477=""),"",ROUND(MOD(G1477-F1477,1)*24,2))</f>
        <v/>
      </c>
      <c r="K1477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78" ht="20" customHeight="1">
      <c r="D1478" s="179" t="n"/>
      <c r="E1478" s="179" t="n"/>
      <c r="F1478" s="180" t="n"/>
      <c r="G1478" s="180" t="n"/>
      <c r="H1478" s="181">
        <f>IF(OR(F1478="",G1478=""),"",ROUND(MOD(G1478-F1478,1)*24,2))</f>
        <v/>
      </c>
      <c r="K1478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79" ht="20" customHeight="1">
      <c r="D1479" s="179" t="n"/>
      <c r="E1479" s="179" t="n"/>
      <c r="F1479" s="180" t="n"/>
      <c r="G1479" s="180" t="n"/>
      <c r="H1479" s="181">
        <f>IF(OR(F1479="",G1479=""),"",ROUND(MOD(G1479-F1479,1)*24,2))</f>
        <v/>
      </c>
      <c r="K1479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80" collapsed="1" ht="20" customHeight="1">
      <c r="D1480" s="179" t="n"/>
      <c r="E1480" s="179" t="n"/>
      <c r="F1480" s="180" t="n"/>
      <c r="G1480" s="180" t="n"/>
      <c r="H1480" s="181">
        <f>IF(OR(F1480="",G1480=""),"",ROUND(MOD(G1480-F1480,1)*24,2))</f>
        <v/>
      </c>
      <c r="K1480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81" hidden="1" outlineLevel="1" ht="20" customHeight="1">
      <c r="D1481" s="179" t="n"/>
      <c r="E1481" s="179" t="n"/>
      <c r="F1481" s="180" t="n"/>
      <c r="G1481" s="180" t="n"/>
      <c r="H1481" s="181">
        <f>IF(OR(F1481="",G1481=""),"",ROUND(MOD(G1481-F1481,1)*24,2))</f>
        <v/>
      </c>
      <c r="K1481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82" hidden="1" outlineLevel="1" ht="20" customHeight="1">
      <c r="D1482" s="179" t="n"/>
      <c r="E1482" s="179" t="n"/>
      <c r="F1482" s="180" t="n"/>
      <c r="G1482" s="180" t="n"/>
      <c r="H1482" s="181">
        <f>IF(OR(F1482="",G1482=""),"",ROUND(MOD(G1482-F1482,1)*24,2))</f>
        <v/>
      </c>
      <c r="K1482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83" hidden="1" outlineLevel="1" ht="20" customHeight="1">
      <c r="D1483" s="179" t="n"/>
      <c r="E1483" s="179" t="n"/>
      <c r="F1483" s="180" t="n"/>
      <c r="G1483" s="180" t="n"/>
      <c r="H1483" s="181">
        <f>IF(OR(F1483="",G1483=""),"",ROUND(MOD(G1483-F1483,1)*24,2))</f>
        <v/>
      </c>
      <c r="K1483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84" hidden="1" outlineLevel="1" ht="20" customHeight="1">
      <c r="D1484" s="179" t="n"/>
      <c r="E1484" s="179" t="n"/>
      <c r="F1484" s="180" t="n"/>
      <c r="G1484" s="180" t="n"/>
      <c r="H1484" s="181">
        <f>IF(OR(F1484="",G1484=""),"",ROUND(MOD(G1484-F1484,1)*24,2))</f>
        <v/>
      </c>
      <c r="K1484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85" hidden="1" outlineLevel="1" ht="20" customHeight="1">
      <c r="A1485" s="342" t="n"/>
      <c r="B1485" s="342" t="n"/>
      <c r="C1485" s="342" t="n"/>
      <c r="D1485" s="332" t="n"/>
      <c r="E1485" s="332" t="n"/>
      <c r="F1485" s="333" t="n"/>
      <c r="G1485" s="333" t="n"/>
      <c r="H1485" s="334">
        <f>IF(OR(F1485="",G1485=""),"",ROUND(MOD(G1485-F1485,1)*24,2))</f>
        <v/>
      </c>
      <c r="I1485" s="342" t="n"/>
      <c r="J1485" s="342" t="n"/>
      <c r="K1485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486" ht="20" customHeight="1">
      <c r="A1486" s="336">
        <f>IF($K1486="","",WEEKNUM($K1486,21))</f>
        <v/>
      </c>
      <c r="B1486" s="337">
        <f>IF($K1486="","",$K1486)</f>
        <v/>
      </c>
      <c r="C1486" s="338">
        <f>IF($K1486="","",$K1486)</f>
        <v/>
      </c>
      <c r="D1486" s="171" t="n"/>
      <c r="E1486" s="171" t="n"/>
      <c r="F1486" s="172" t="n"/>
      <c r="G1486" s="172" t="n"/>
      <c r="H1486" s="173">
        <f>IF(OR(F1486="",G1486=""),"",ROUND(MOD(G1486-F1486,1)*24,2))</f>
        <v/>
      </c>
      <c r="I1486" s="339" t="n"/>
      <c r="J1486" s="339" t="n"/>
      <c r="K1486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87" ht="20" customHeight="1">
      <c r="D1487" s="179" t="n"/>
      <c r="E1487" s="179" t="n"/>
      <c r="F1487" s="180" t="n"/>
      <c r="G1487" s="180" t="n"/>
      <c r="H1487" s="181">
        <f>IF(OR(F1487="",G1487=""),"",ROUND(MOD(G1487-F1487,1)*24,2))</f>
        <v/>
      </c>
      <c r="K1487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88" ht="20" customHeight="1">
      <c r="D1488" s="179" t="n"/>
      <c r="E1488" s="179" t="n"/>
      <c r="F1488" s="180" t="n"/>
      <c r="G1488" s="180" t="n"/>
      <c r="H1488" s="181">
        <f>IF(OR(F1488="",G1488=""),"",ROUND(MOD(G1488-F1488,1)*24,2))</f>
        <v/>
      </c>
      <c r="K1488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89" ht="20" customHeight="1">
      <c r="D1489" s="179" t="n"/>
      <c r="E1489" s="179" t="n"/>
      <c r="F1489" s="180" t="n"/>
      <c r="G1489" s="180" t="n"/>
      <c r="H1489" s="181">
        <f>IF(OR(F1489="",G1489=""),"",ROUND(MOD(G1489-F1489,1)*24,2))</f>
        <v/>
      </c>
      <c r="K1489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90" collapsed="1" ht="20" customHeight="1">
      <c r="D1490" s="179" t="n"/>
      <c r="E1490" s="179" t="n"/>
      <c r="F1490" s="180" t="n"/>
      <c r="G1490" s="180" t="n"/>
      <c r="H1490" s="181">
        <f>IF(OR(F1490="",G1490=""),"",ROUND(MOD(G1490-F1490,1)*24,2))</f>
        <v/>
      </c>
      <c r="K1490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91" hidden="1" outlineLevel="1" ht="20" customHeight="1">
      <c r="D1491" s="179" t="n"/>
      <c r="E1491" s="179" t="n"/>
      <c r="F1491" s="180" t="n"/>
      <c r="G1491" s="180" t="n"/>
      <c r="H1491" s="181">
        <f>IF(OR(F1491="",G1491=""),"",ROUND(MOD(G1491-F1491,1)*24,2))</f>
        <v/>
      </c>
      <c r="K1491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92" hidden="1" outlineLevel="1" ht="20" customHeight="1">
      <c r="D1492" s="179" t="n"/>
      <c r="E1492" s="179" t="n"/>
      <c r="F1492" s="180" t="n"/>
      <c r="G1492" s="180" t="n"/>
      <c r="H1492" s="181">
        <f>IF(OR(F1492="",G1492=""),"",ROUND(MOD(G1492-F1492,1)*24,2))</f>
        <v/>
      </c>
      <c r="K1492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93" hidden="1" outlineLevel="1" ht="20" customHeight="1">
      <c r="D1493" s="179" t="n"/>
      <c r="E1493" s="179" t="n"/>
      <c r="F1493" s="180" t="n"/>
      <c r="G1493" s="180" t="n"/>
      <c r="H1493" s="181">
        <f>IF(OR(F1493="",G1493=""),"",ROUND(MOD(G1493-F1493,1)*24,2))</f>
        <v/>
      </c>
      <c r="K1493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94" hidden="1" outlineLevel="1" ht="20" customHeight="1">
      <c r="D1494" s="179" t="n"/>
      <c r="E1494" s="179" t="n"/>
      <c r="F1494" s="180" t="n"/>
      <c r="G1494" s="180" t="n"/>
      <c r="H1494" s="181">
        <f>IF(OR(F1494="",G1494=""),"",ROUND(MOD(G1494-F1494,1)*24,2))</f>
        <v/>
      </c>
      <c r="K1494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95" hidden="1" outlineLevel="1" ht="20" customHeight="1">
      <c r="A1495" s="342" t="n"/>
      <c r="B1495" s="342" t="n"/>
      <c r="C1495" s="342" t="n"/>
      <c r="D1495" s="332" t="n"/>
      <c r="E1495" s="332" t="n"/>
      <c r="F1495" s="333" t="n"/>
      <c r="G1495" s="333" t="n"/>
      <c r="H1495" s="334">
        <f>IF(OR(F1495="",G1495=""),"",ROUND(MOD(G1495-F1495,1)*24,2))</f>
        <v/>
      </c>
      <c r="I1495" s="342" t="n"/>
      <c r="J1495" s="342" t="n"/>
      <c r="K1495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496" ht="20" customHeight="1">
      <c r="A1496" s="336">
        <f>IF($K1496="","",WEEKNUM($K1496,21))</f>
        <v/>
      </c>
      <c r="B1496" s="337">
        <f>IF($K1496="","",$K1496)</f>
        <v/>
      </c>
      <c r="C1496" s="338">
        <f>IF($K1496="","",$K1496)</f>
        <v/>
      </c>
      <c r="D1496" s="171" t="n"/>
      <c r="E1496" s="171" t="n"/>
      <c r="F1496" s="172" t="n"/>
      <c r="G1496" s="172" t="n"/>
      <c r="H1496" s="173">
        <f>IF(OR(F1496="",G1496=""),"",ROUND(MOD(G1496-F1496,1)*24,2))</f>
        <v/>
      </c>
      <c r="I1496" s="339" t="n"/>
      <c r="J1496" s="339" t="n"/>
      <c r="K1496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497" ht="20" customHeight="1">
      <c r="D1497" s="179" t="n"/>
      <c r="E1497" s="179" t="n"/>
      <c r="F1497" s="180" t="n"/>
      <c r="G1497" s="180" t="n"/>
      <c r="H1497" s="181">
        <f>IF(OR(F1497="",G1497=""),"",ROUND(MOD(G1497-F1497,1)*24,2))</f>
        <v/>
      </c>
      <c r="K1497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498" ht="20" customHeight="1">
      <c r="D1498" s="179" t="n"/>
      <c r="E1498" s="179" t="n"/>
      <c r="F1498" s="180" t="n"/>
      <c r="G1498" s="180" t="n"/>
      <c r="H1498" s="181">
        <f>IF(OR(F1498="",G1498=""),"",ROUND(MOD(G1498-F1498,1)*24,2))</f>
        <v/>
      </c>
      <c r="K1498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499" ht="20" customHeight="1">
      <c r="D1499" s="179" t="n"/>
      <c r="E1499" s="179" t="n"/>
      <c r="F1499" s="180" t="n"/>
      <c r="G1499" s="180" t="n"/>
      <c r="H1499" s="181">
        <f>IF(OR(F1499="",G1499=""),"",ROUND(MOD(G1499-F1499,1)*24,2))</f>
        <v/>
      </c>
      <c r="K1499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500" collapsed="1" ht="20" customHeight="1">
      <c r="D1500" s="179" t="n"/>
      <c r="E1500" s="179" t="n"/>
      <c r="F1500" s="180" t="n"/>
      <c r="G1500" s="180" t="n"/>
      <c r="H1500" s="181">
        <f>IF(OR(F1500="",G1500=""),"",ROUND(MOD(G1500-F1500,1)*24,2))</f>
        <v/>
      </c>
      <c r="K1500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501" hidden="1" outlineLevel="1" ht="20" customHeight="1">
      <c r="D1501" s="179" t="n"/>
      <c r="E1501" s="179" t="n"/>
      <c r="F1501" s="180" t="n"/>
      <c r="G1501" s="180" t="n"/>
      <c r="H1501" s="181">
        <f>IF(OR(F1501="",G1501=""),"",ROUND(MOD(G1501-F1501,1)*24,2))</f>
        <v/>
      </c>
      <c r="K1501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502" hidden="1" outlineLevel="1" ht="20" customHeight="1">
      <c r="D1502" s="179" t="n"/>
      <c r="E1502" s="179" t="n"/>
      <c r="F1502" s="180" t="n"/>
      <c r="G1502" s="180" t="n"/>
      <c r="H1502" s="181">
        <f>IF(OR(F1502="",G1502=""),"",ROUND(MOD(G1502-F1502,1)*24,2))</f>
        <v/>
      </c>
      <c r="K1502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503" hidden="1" outlineLevel="1" ht="20" customHeight="1">
      <c r="D1503" s="179" t="n"/>
      <c r="E1503" s="179" t="n"/>
      <c r="F1503" s="180" t="n"/>
      <c r="G1503" s="180" t="n"/>
      <c r="H1503" s="181">
        <f>IF(OR(F1503="",G1503=""),"",ROUND(MOD(G1503-F1503,1)*24,2))</f>
        <v/>
      </c>
      <c r="K1503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504" hidden="1" outlineLevel="1" ht="20" customHeight="1">
      <c r="D1504" s="179" t="n"/>
      <c r="E1504" s="179" t="n"/>
      <c r="F1504" s="180" t="n"/>
      <c r="G1504" s="180" t="n"/>
      <c r="H1504" s="181">
        <f>IF(OR(F1504="",G1504=""),"",ROUND(MOD(G1504-F1504,1)*24,2))</f>
        <v/>
      </c>
      <c r="K1504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505" hidden="1" outlineLevel="1" ht="20" customHeight="1">
      <c r="A1505" s="342" t="n"/>
      <c r="B1505" s="342" t="n"/>
      <c r="C1505" s="342" t="n"/>
      <c r="D1505" s="332" t="n"/>
      <c r="E1505" s="332" t="n"/>
      <c r="F1505" s="333" t="n"/>
      <c r="G1505" s="333" t="n"/>
      <c r="H1505" s="334">
        <f>IF(OR(F1505="",G1505=""),"",ROUND(MOD(G1505-F1505,1)*24,2))</f>
        <v/>
      </c>
      <c r="I1505" s="342" t="n"/>
      <c r="J1505" s="342" t="n"/>
      <c r="K1505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506" ht="20" customHeight="1">
      <c r="A1506" s="336">
        <f>IF($K1506="","",WEEKNUM($K1506,21))</f>
        <v/>
      </c>
      <c r="B1506" s="337">
        <f>IF($K1506="","",$K1506)</f>
        <v/>
      </c>
      <c r="C1506" s="338">
        <f>IF($K1506="","",$K1506)</f>
        <v/>
      </c>
      <c r="D1506" s="171" t="n"/>
      <c r="E1506" s="171" t="n"/>
      <c r="F1506" s="172" t="n"/>
      <c r="G1506" s="172" t="n"/>
      <c r="H1506" s="173">
        <f>IF(OR(F1506="",G1506=""),"",ROUND(MOD(G1506-F1506,1)*24,2))</f>
        <v/>
      </c>
      <c r="I1506" s="339" t="n"/>
      <c r="J1506" s="339" t="n"/>
      <c r="K1506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07" ht="20" customHeight="1">
      <c r="D1507" s="179" t="n"/>
      <c r="E1507" s="179" t="n"/>
      <c r="F1507" s="180" t="n"/>
      <c r="G1507" s="180" t="n"/>
      <c r="H1507" s="181">
        <f>IF(OR(F1507="",G1507=""),"",ROUND(MOD(G1507-F1507,1)*24,2))</f>
        <v/>
      </c>
      <c r="K1507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08" ht="20" customHeight="1">
      <c r="D1508" s="179" t="n"/>
      <c r="E1508" s="179" t="n"/>
      <c r="F1508" s="180" t="n"/>
      <c r="G1508" s="180" t="n"/>
      <c r="H1508" s="181">
        <f>IF(OR(F1508="",G1508=""),"",ROUND(MOD(G1508-F1508,1)*24,2))</f>
        <v/>
      </c>
      <c r="K1508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09" ht="20" customHeight="1">
      <c r="D1509" s="179" t="n"/>
      <c r="E1509" s="179" t="n"/>
      <c r="F1509" s="180" t="n"/>
      <c r="G1509" s="180" t="n"/>
      <c r="H1509" s="181">
        <f>IF(OR(F1509="",G1509=""),"",ROUND(MOD(G1509-F1509,1)*24,2))</f>
        <v/>
      </c>
      <c r="K1509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10" collapsed="1" ht="20" customHeight="1">
      <c r="D1510" s="179" t="n"/>
      <c r="E1510" s="179" t="n"/>
      <c r="F1510" s="180" t="n"/>
      <c r="G1510" s="180" t="n"/>
      <c r="H1510" s="181">
        <f>IF(OR(F1510="",G1510=""),"",ROUND(MOD(G1510-F1510,1)*24,2))</f>
        <v/>
      </c>
      <c r="K1510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11" hidden="1" outlineLevel="1" ht="20" customHeight="1">
      <c r="D1511" s="179" t="n"/>
      <c r="E1511" s="179" t="n"/>
      <c r="F1511" s="180" t="n"/>
      <c r="G1511" s="180" t="n"/>
      <c r="H1511" s="181">
        <f>IF(OR(F1511="",G1511=""),"",ROUND(MOD(G1511-F1511,1)*24,2))</f>
        <v/>
      </c>
      <c r="K1511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12" hidden="1" outlineLevel="1" ht="20" customHeight="1">
      <c r="D1512" s="179" t="n"/>
      <c r="E1512" s="179" t="n"/>
      <c r="F1512" s="180" t="n"/>
      <c r="G1512" s="180" t="n"/>
      <c r="H1512" s="181">
        <f>IF(OR(F1512="",G1512=""),"",ROUND(MOD(G1512-F1512,1)*24,2))</f>
        <v/>
      </c>
      <c r="K1512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13" hidden="1" outlineLevel="1" ht="20" customHeight="1">
      <c r="D1513" s="179" t="n"/>
      <c r="E1513" s="179" t="n"/>
      <c r="F1513" s="180" t="n"/>
      <c r="G1513" s="180" t="n"/>
      <c r="H1513" s="181">
        <f>IF(OR(F1513="",G1513=""),"",ROUND(MOD(G1513-F1513,1)*24,2))</f>
        <v/>
      </c>
      <c r="K1513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14" hidden="1" outlineLevel="1" ht="20" customHeight="1">
      <c r="D1514" s="179" t="n"/>
      <c r="E1514" s="179" t="n"/>
      <c r="F1514" s="180" t="n"/>
      <c r="G1514" s="180" t="n"/>
      <c r="H1514" s="181">
        <f>IF(OR(F1514="",G1514=""),"",ROUND(MOD(G1514-F1514,1)*24,2))</f>
        <v/>
      </c>
      <c r="K1514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15" hidden="1" outlineLevel="1" ht="20" customHeight="1">
      <c r="A1515" s="342" t="n"/>
      <c r="B1515" s="342" t="n"/>
      <c r="C1515" s="342" t="n"/>
      <c r="D1515" s="332" t="n"/>
      <c r="E1515" s="332" t="n"/>
      <c r="F1515" s="333" t="n"/>
      <c r="G1515" s="333" t="n"/>
      <c r="H1515" s="334">
        <f>IF(OR(F1515="",G1515=""),"",ROUND(MOD(G1515-F1515,1)*24,2))</f>
        <v/>
      </c>
      <c r="I1515" s="342" t="n"/>
      <c r="J1515" s="342" t="n"/>
      <c r="K1515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16" ht="20" customHeight="1">
      <c r="A1516" s="336">
        <f>IF($K1516="","",WEEKNUM($K1516,21))</f>
        <v/>
      </c>
      <c r="B1516" s="337">
        <f>IF($K1516="","",$K1516)</f>
        <v/>
      </c>
      <c r="C1516" s="338">
        <f>IF($K1516="","",$K1516)</f>
        <v/>
      </c>
      <c r="D1516" s="171" t="n"/>
      <c r="E1516" s="171" t="n"/>
      <c r="F1516" s="172" t="n"/>
      <c r="G1516" s="172" t="n"/>
      <c r="H1516" s="173">
        <f>IF(OR(F1516="",G1516=""),"",ROUND(MOD(G1516-F1516,1)*24,2))</f>
        <v/>
      </c>
      <c r="I1516" s="339" t="n"/>
      <c r="J1516" s="339" t="n"/>
      <c r="K1516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17" ht="20" customHeight="1">
      <c r="D1517" s="179" t="n"/>
      <c r="E1517" s="179" t="n"/>
      <c r="F1517" s="180" t="n"/>
      <c r="G1517" s="180" t="n"/>
      <c r="H1517" s="181">
        <f>IF(OR(F1517="",G1517=""),"",ROUND(MOD(G1517-F1517,1)*24,2))</f>
        <v/>
      </c>
      <c r="K1517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18" ht="20" customHeight="1">
      <c r="D1518" s="179" t="n"/>
      <c r="E1518" s="179" t="n"/>
      <c r="F1518" s="180" t="n"/>
      <c r="G1518" s="180" t="n"/>
      <c r="H1518" s="181">
        <f>IF(OR(F1518="",G1518=""),"",ROUND(MOD(G1518-F1518,1)*24,2))</f>
        <v/>
      </c>
      <c r="K1518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19" ht="20" customHeight="1">
      <c r="D1519" s="179" t="n"/>
      <c r="E1519" s="179" t="n"/>
      <c r="F1519" s="180" t="n"/>
      <c r="G1519" s="180" t="n"/>
      <c r="H1519" s="181">
        <f>IF(OR(F1519="",G1519=""),"",ROUND(MOD(G1519-F1519,1)*24,2))</f>
        <v/>
      </c>
      <c r="K1519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20" collapsed="1" ht="20" customHeight="1">
      <c r="D1520" s="179" t="n"/>
      <c r="E1520" s="179" t="n"/>
      <c r="F1520" s="180" t="n"/>
      <c r="G1520" s="180" t="n"/>
      <c r="H1520" s="181">
        <f>IF(OR(F1520="",G1520=""),"",ROUND(MOD(G1520-F1520,1)*24,2))</f>
        <v/>
      </c>
      <c r="K1520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21" hidden="1" outlineLevel="1" ht="20" customHeight="1">
      <c r="D1521" s="179" t="n"/>
      <c r="E1521" s="179" t="n"/>
      <c r="F1521" s="180" t="n"/>
      <c r="G1521" s="180" t="n"/>
      <c r="H1521" s="181">
        <f>IF(OR(F1521="",G1521=""),"",ROUND(MOD(G1521-F1521,1)*24,2))</f>
        <v/>
      </c>
      <c r="K1521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22" hidden="1" outlineLevel="1" ht="20" customHeight="1">
      <c r="D1522" s="179" t="n"/>
      <c r="E1522" s="179" t="n"/>
      <c r="F1522" s="180" t="n"/>
      <c r="G1522" s="180" t="n"/>
      <c r="H1522" s="181">
        <f>IF(OR(F1522="",G1522=""),"",ROUND(MOD(G1522-F1522,1)*24,2))</f>
        <v/>
      </c>
      <c r="K1522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23" hidden="1" outlineLevel="1" ht="20" customHeight="1">
      <c r="D1523" s="179" t="n"/>
      <c r="E1523" s="179" t="n"/>
      <c r="F1523" s="180" t="n"/>
      <c r="G1523" s="180" t="n"/>
      <c r="H1523" s="181">
        <f>IF(OR(F1523="",G1523=""),"",ROUND(MOD(G1523-F1523,1)*24,2))</f>
        <v/>
      </c>
      <c r="K1523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24" hidden="1" outlineLevel="1" ht="20" customHeight="1">
      <c r="D1524" s="179" t="n"/>
      <c r="E1524" s="179" t="n"/>
      <c r="F1524" s="180" t="n"/>
      <c r="G1524" s="180" t="n"/>
      <c r="H1524" s="181">
        <f>IF(OR(F1524="",G1524=""),"",ROUND(MOD(G1524-F1524,1)*24,2))</f>
        <v/>
      </c>
      <c r="K1524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25" hidden="1" outlineLevel="1" ht="20" customHeight="1">
      <c r="A1525" s="342" t="n"/>
      <c r="B1525" s="342" t="n"/>
      <c r="C1525" s="342" t="n"/>
      <c r="D1525" s="332" t="n"/>
      <c r="E1525" s="332" t="n"/>
      <c r="F1525" s="333" t="n"/>
      <c r="G1525" s="333" t="n"/>
      <c r="H1525" s="334">
        <f>IF(OR(F1525="",G1525=""),"",ROUND(MOD(G1525-F1525,1)*24,2))</f>
        <v/>
      </c>
      <c r="I1525" s="342" t="n"/>
      <c r="J1525" s="342" t="n"/>
      <c r="K1525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26" ht="20" customHeight="1">
      <c r="A1526" s="336">
        <f>IF($K1526="","",WEEKNUM($K1526,21))</f>
        <v/>
      </c>
      <c r="B1526" s="337">
        <f>IF($K1526="","",$K1526)</f>
        <v/>
      </c>
      <c r="C1526" s="338">
        <f>IF($K1526="","",$K1526)</f>
        <v/>
      </c>
      <c r="D1526" s="171" t="n"/>
      <c r="E1526" s="171" t="n"/>
      <c r="F1526" s="172" t="n"/>
      <c r="G1526" s="172" t="n"/>
      <c r="H1526" s="173">
        <f>IF(OR(F1526="",G1526=""),"",ROUND(MOD(G1526-F1526,1)*24,2))</f>
        <v/>
      </c>
      <c r="I1526" s="339" t="n"/>
      <c r="J1526" s="339" t="n"/>
      <c r="K1526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27" ht="20" customHeight="1">
      <c r="D1527" s="179" t="n"/>
      <c r="E1527" s="179" t="n"/>
      <c r="F1527" s="180" t="n"/>
      <c r="G1527" s="180" t="n"/>
      <c r="H1527" s="181">
        <f>IF(OR(F1527="",G1527=""),"",ROUND(MOD(G1527-F1527,1)*24,2))</f>
        <v/>
      </c>
      <c r="K1527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28" ht="20" customHeight="1">
      <c r="D1528" s="179" t="n"/>
      <c r="E1528" s="179" t="n"/>
      <c r="F1528" s="180" t="n"/>
      <c r="G1528" s="180" t="n"/>
      <c r="H1528" s="181">
        <f>IF(OR(F1528="",G1528=""),"",ROUND(MOD(G1528-F1528,1)*24,2))</f>
        <v/>
      </c>
      <c r="K1528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29" ht="20" customHeight="1">
      <c r="D1529" s="179" t="n"/>
      <c r="E1529" s="179" t="n"/>
      <c r="F1529" s="180" t="n"/>
      <c r="G1529" s="180" t="n"/>
      <c r="H1529" s="181">
        <f>IF(OR(F1529="",G1529=""),"",ROUND(MOD(G1529-F1529,1)*24,2))</f>
        <v/>
      </c>
      <c r="K1529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30" collapsed="1" ht="20" customHeight="1">
      <c r="D1530" s="179" t="n"/>
      <c r="E1530" s="179" t="n"/>
      <c r="F1530" s="180" t="n"/>
      <c r="G1530" s="180" t="n"/>
      <c r="H1530" s="181">
        <f>IF(OR(F1530="",G1530=""),"",ROUND(MOD(G1530-F1530,1)*24,2))</f>
        <v/>
      </c>
      <c r="K1530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31" hidden="1" outlineLevel="1" ht="20" customHeight="1">
      <c r="D1531" s="179" t="n"/>
      <c r="E1531" s="179" t="n"/>
      <c r="F1531" s="180" t="n"/>
      <c r="G1531" s="180" t="n"/>
      <c r="H1531" s="181">
        <f>IF(OR(F1531="",G1531=""),"",ROUND(MOD(G1531-F1531,1)*24,2))</f>
        <v/>
      </c>
      <c r="K1531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32" hidden="1" outlineLevel="1" ht="20" customHeight="1">
      <c r="D1532" s="179" t="n"/>
      <c r="E1532" s="179" t="n"/>
      <c r="F1532" s="180" t="n"/>
      <c r="G1532" s="180" t="n"/>
      <c r="H1532" s="181">
        <f>IF(OR(F1532="",G1532=""),"",ROUND(MOD(G1532-F1532,1)*24,2))</f>
        <v/>
      </c>
      <c r="K1532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33" hidden="1" outlineLevel="1" ht="20" customHeight="1">
      <c r="D1533" s="179" t="n"/>
      <c r="E1533" s="179" t="n"/>
      <c r="F1533" s="180" t="n"/>
      <c r="G1533" s="180" t="n"/>
      <c r="H1533" s="181">
        <f>IF(OR(F1533="",G1533=""),"",ROUND(MOD(G1533-F1533,1)*24,2))</f>
        <v/>
      </c>
      <c r="K1533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34" hidden="1" outlineLevel="1" ht="20" customHeight="1">
      <c r="D1534" s="179" t="n"/>
      <c r="E1534" s="179" t="n"/>
      <c r="F1534" s="180" t="n"/>
      <c r="G1534" s="180" t="n"/>
      <c r="H1534" s="181">
        <f>IF(OR(F1534="",G1534=""),"",ROUND(MOD(G1534-F1534,1)*24,2))</f>
        <v/>
      </c>
      <c r="K1534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35" hidden="1" outlineLevel="1" ht="20" customHeight="1">
      <c r="A1535" s="342" t="n"/>
      <c r="B1535" s="342" t="n"/>
      <c r="C1535" s="342" t="n"/>
      <c r="D1535" s="332" t="n"/>
      <c r="E1535" s="332" t="n"/>
      <c r="F1535" s="333" t="n"/>
      <c r="G1535" s="333" t="n"/>
      <c r="H1535" s="334">
        <f>IF(OR(F1535="",G1535=""),"",ROUND(MOD(G1535-F1535,1)*24,2))</f>
        <v/>
      </c>
      <c r="I1535" s="342" t="n"/>
      <c r="J1535" s="342" t="n"/>
      <c r="K1535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36" ht="20" customHeight="1">
      <c r="A1536" s="336">
        <f>IF($K1536="","",WEEKNUM($K1536,21))</f>
        <v/>
      </c>
      <c r="B1536" s="337">
        <f>IF($K1536="","",$K1536)</f>
        <v/>
      </c>
      <c r="C1536" s="338">
        <f>IF($K1536="","",$K1536)</f>
        <v/>
      </c>
      <c r="D1536" s="171" t="n"/>
      <c r="E1536" s="171" t="n"/>
      <c r="F1536" s="172" t="n"/>
      <c r="G1536" s="172" t="n"/>
      <c r="H1536" s="173">
        <f>IF(OR(F1536="",G1536=""),"",ROUND(MOD(G1536-F1536,1)*24,2))</f>
        <v/>
      </c>
      <c r="I1536" s="339" t="n"/>
      <c r="J1536" s="339" t="n"/>
      <c r="K1536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37" ht="20" customHeight="1">
      <c r="D1537" s="179" t="n"/>
      <c r="E1537" s="179" t="n"/>
      <c r="F1537" s="180" t="n"/>
      <c r="G1537" s="180" t="n"/>
      <c r="H1537" s="181">
        <f>IF(OR(F1537="",G1537=""),"",ROUND(MOD(G1537-F1537,1)*24,2))</f>
        <v/>
      </c>
      <c r="K1537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38" ht="20" customHeight="1">
      <c r="D1538" s="179" t="n"/>
      <c r="E1538" s="179" t="n"/>
      <c r="F1538" s="180" t="n"/>
      <c r="G1538" s="180" t="n"/>
      <c r="H1538" s="181">
        <f>IF(OR(F1538="",G1538=""),"",ROUND(MOD(G1538-F1538,1)*24,2))</f>
        <v/>
      </c>
      <c r="K1538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39" ht="20" customHeight="1">
      <c r="D1539" s="179" t="n"/>
      <c r="E1539" s="179" t="n"/>
      <c r="F1539" s="180" t="n"/>
      <c r="G1539" s="180" t="n"/>
      <c r="H1539" s="181">
        <f>IF(OR(F1539="",G1539=""),"",ROUND(MOD(G1539-F1539,1)*24,2))</f>
        <v/>
      </c>
      <c r="K1539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40" collapsed="1" ht="20" customHeight="1">
      <c r="D1540" s="179" t="n"/>
      <c r="E1540" s="179" t="n"/>
      <c r="F1540" s="180" t="n"/>
      <c r="G1540" s="180" t="n"/>
      <c r="H1540" s="181">
        <f>IF(OR(F1540="",G1540=""),"",ROUND(MOD(G1540-F1540,1)*24,2))</f>
        <v/>
      </c>
      <c r="K1540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41" hidden="1" outlineLevel="1" ht="20" customHeight="1">
      <c r="D1541" s="179" t="n"/>
      <c r="E1541" s="179" t="n"/>
      <c r="F1541" s="180" t="n"/>
      <c r="G1541" s="180" t="n"/>
      <c r="H1541" s="181">
        <f>IF(OR(F1541="",G1541=""),"",ROUND(MOD(G1541-F1541,1)*24,2))</f>
        <v/>
      </c>
      <c r="K1541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42" hidden="1" outlineLevel="1" ht="20" customHeight="1">
      <c r="D1542" s="179" t="n"/>
      <c r="E1542" s="179" t="n"/>
      <c r="F1542" s="180" t="n"/>
      <c r="G1542" s="180" t="n"/>
      <c r="H1542" s="181">
        <f>IF(OR(F1542="",G1542=""),"",ROUND(MOD(G1542-F1542,1)*24,2))</f>
        <v/>
      </c>
      <c r="K1542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43" hidden="1" outlineLevel="1" ht="20" customHeight="1">
      <c r="D1543" s="179" t="n"/>
      <c r="E1543" s="179" t="n"/>
      <c r="F1543" s="180" t="n"/>
      <c r="G1543" s="180" t="n"/>
      <c r="H1543" s="181">
        <f>IF(OR(F1543="",G1543=""),"",ROUND(MOD(G1543-F1543,1)*24,2))</f>
        <v/>
      </c>
      <c r="K1543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44" hidden="1" outlineLevel="1" ht="20" customHeight="1">
      <c r="D1544" s="179" t="n"/>
      <c r="E1544" s="179" t="n"/>
      <c r="F1544" s="180" t="n"/>
      <c r="G1544" s="180" t="n"/>
      <c r="H1544" s="181">
        <f>IF(OR(F1544="",G1544=""),"",ROUND(MOD(G1544-F1544,1)*24,2))</f>
        <v/>
      </c>
      <c r="K1544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45" hidden="1" outlineLevel="1" ht="20" customHeight="1">
      <c r="A1545" s="342" t="n"/>
      <c r="B1545" s="342" t="n"/>
      <c r="C1545" s="342" t="n"/>
      <c r="D1545" s="332" t="n"/>
      <c r="E1545" s="332" t="n"/>
      <c r="F1545" s="333" t="n"/>
      <c r="G1545" s="333" t="n"/>
      <c r="H1545" s="334">
        <f>IF(OR(F1545="",G1545=""),"",ROUND(MOD(G1545-F1545,1)*24,2))</f>
        <v/>
      </c>
      <c r="I1545" s="342" t="n"/>
      <c r="J1545" s="342" t="n"/>
      <c r="K1545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46" ht="20" customHeight="1">
      <c r="A1546" s="336">
        <f>IF($K1546="","",WEEKNUM($K1546,21))</f>
        <v/>
      </c>
      <c r="B1546" s="337">
        <f>IF($K1546="","",$K1546)</f>
        <v/>
      </c>
      <c r="C1546" s="338">
        <f>IF($K1546="","",$K1546)</f>
        <v/>
      </c>
      <c r="D1546" s="171" t="n"/>
      <c r="E1546" s="171" t="n"/>
      <c r="F1546" s="172" t="n"/>
      <c r="G1546" s="172" t="n"/>
      <c r="H1546" s="173">
        <f>IF(OR(F1546="",G1546=""),"",ROUND(MOD(G1546-F1546,1)*24,2))</f>
        <v/>
      </c>
      <c r="I1546" s="339" t="n"/>
      <c r="J1546" s="339" t="n"/>
      <c r="K1546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47" ht="20" customHeight="1">
      <c r="D1547" s="179" t="n"/>
      <c r="E1547" s="179" t="n"/>
      <c r="F1547" s="180" t="n"/>
      <c r="G1547" s="180" t="n"/>
      <c r="H1547" s="181">
        <f>IF(OR(F1547="",G1547=""),"",ROUND(MOD(G1547-F1547,1)*24,2))</f>
        <v/>
      </c>
      <c r="K1547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48" ht="20" customHeight="1">
      <c r="D1548" s="179" t="n"/>
      <c r="E1548" s="179" t="n"/>
      <c r="F1548" s="180" t="n"/>
      <c r="G1548" s="180" t="n"/>
      <c r="H1548" s="181">
        <f>IF(OR(F1548="",G1548=""),"",ROUND(MOD(G1548-F1548,1)*24,2))</f>
        <v/>
      </c>
      <c r="K1548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49" ht="20" customHeight="1">
      <c r="D1549" s="179" t="n"/>
      <c r="E1549" s="179" t="n"/>
      <c r="F1549" s="180" t="n"/>
      <c r="G1549" s="180" t="n"/>
      <c r="H1549" s="181">
        <f>IF(OR(F1549="",G1549=""),"",ROUND(MOD(G1549-F1549,1)*24,2))</f>
        <v/>
      </c>
      <c r="K1549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50" collapsed="1" ht="20" customHeight="1">
      <c r="D1550" s="179" t="n"/>
      <c r="E1550" s="179" t="n"/>
      <c r="F1550" s="180" t="n"/>
      <c r="G1550" s="180" t="n"/>
      <c r="H1550" s="181">
        <f>IF(OR(F1550="",G1550=""),"",ROUND(MOD(G1550-F1550,1)*24,2))</f>
        <v/>
      </c>
      <c r="K1550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51" hidden="1" outlineLevel="1" ht="20" customHeight="1">
      <c r="D1551" s="179" t="n"/>
      <c r="E1551" s="179" t="n"/>
      <c r="F1551" s="180" t="n"/>
      <c r="G1551" s="180" t="n"/>
      <c r="H1551" s="181">
        <f>IF(OR(F1551="",G1551=""),"",ROUND(MOD(G1551-F1551,1)*24,2))</f>
        <v/>
      </c>
      <c r="K1551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52" hidden="1" outlineLevel="1" ht="20" customHeight="1">
      <c r="D1552" s="179" t="n"/>
      <c r="E1552" s="179" t="n"/>
      <c r="F1552" s="180" t="n"/>
      <c r="G1552" s="180" t="n"/>
      <c r="H1552" s="181">
        <f>IF(OR(F1552="",G1552=""),"",ROUND(MOD(G1552-F1552,1)*24,2))</f>
        <v/>
      </c>
      <c r="K1552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53" hidden="1" outlineLevel="1" ht="20" customHeight="1">
      <c r="D1553" s="179" t="n"/>
      <c r="E1553" s="179" t="n"/>
      <c r="F1553" s="180" t="n"/>
      <c r="G1553" s="180" t="n"/>
      <c r="H1553" s="181">
        <f>IF(OR(F1553="",G1553=""),"",ROUND(MOD(G1553-F1553,1)*24,2))</f>
        <v/>
      </c>
      <c r="K1553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54" hidden="1" outlineLevel="1" ht="20" customHeight="1">
      <c r="D1554" s="179" t="n"/>
      <c r="E1554" s="179" t="n"/>
      <c r="F1554" s="180" t="n"/>
      <c r="G1554" s="180" t="n"/>
      <c r="H1554" s="181">
        <f>IF(OR(F1554="",G1554=""),"",ROUND(MOD(G1554-F1554,1)*24,2))</f>
        <v/>
      </c>
      <c r="K1554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55" hidden="1" outlineLevel="1" ht="20" customHeight="1">
      <c r="A1555" s="342" t="n"/>
      <c r="B1555" s="342" t="n"/>
      <c r="C1555" s="342" t="n"/>
      <c r="D1555" s="332" t="n"/>
      <c r="E1555" s="332" t="n"/>
      <c r="F1555" s="333" t="n"/>
      <c r="G1555" s="333" t="n"/>
      <c r="H1555" s="334">
        <f>IF(OR(F1555="",G1555=""),"",ROUND(MOD(G1555-F1555,1)*24,2))</f>
        <v/>
      </c>
      <c r="I1555" s="342" t="n"/>
      <c r="J1555" s="342" t="n"/>
      <c r="K1555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56" ht="20" customHeight="1">
      <c r="A1556" s="336">
        <f>IF($K1556="","",WEEKNUM($K1556,21))</f>
        <v/>
      </c>
      <c r="B1556" s="337">
        <f>IF($K1556="","",$K1556)</f>
        <v/>
      </c>
      <c r="C1556" s="338">
        <f>IF($K1556="","",$K1556)</f>
        <v/>
      </c>
      <c r="D1556" s="171" t="n"/>
      <c r="E1556" s="171" t="n"/>
      <c r="F1556" s="172" t="n"/>
      <c r="G1556" s="172" t="n"/>
      <c r="H1556" s="173">
        <f>IF(OR(F1556="",G1556=""),"",ROUND(MOD(G1556-F1556,1)*24,2))</f>
        <v/>
      </c>
      <c r="I1556" s="339" t="n"/>
      <c r="J1556" s="339" t="n"/>
      <c r="K1556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57" ht="20" customHeight="1">
      <c r="D1557" s="179" t="n"/>
      <c r="E1557" s="179" t="n"/>
      <c r="F1557" s="180" t="n"/>
      <c r="G1557" s="180" t="n"/>
      <c r="H1557" s="181">
        <f>IF(OR(F1557="",G1557=""),"",ROUND(MOD(G1557-F1557,1)*24,2))</f>
        <v/>
      </c>
      <c r="K1557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58" ht="20" customHeight="1">
      <c r="D1558" s="179" t="n"/>
      <c r="E1558" s="179" t="n"/>
      <c r="F1558" s="180" t="n"/>
      <c r="G1558" s="180" t="n"/>
      <c r="H1558" s="181">
        <f>IF(OR(F1558="",G1558=""),"",ROUND(MOD(G1558-F1558,1)*24,2))</f>
        <v/>
      </c>
      <c r="K1558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59" ht="20" customHeight="1">
      <c r="D1559" s="179" t="n"/>
      <c r="E1559" s="179" t="n"/>
      <c r="F1559" s="180" t="n"/>
      <c r="G1559" s="180" t="n"/>
      <c r="H1559" s="181">
        <f>IF(OR(F1559="",G1559=""),"",ROUND(MOD(G1559-F1559,1)*24,2))</f>
        <v/>
      </c>
      <c r="K1559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60" collapsed="1" ht="20" customHeight="1">
      <c r="D1560" s="179" t="n"/>
      <c r="E1560" s="179" t="n"/>
      <c r="F1560" s="180" t="n"/>
      <c r="G1560" s="180" t="n"/>
      <c r="H1560" s="181">
        <f>IF(OR(F1560="",G1560=""),"",ROUND(MOD(G1560-F1560,1)*24,2))</f>
        <v/>
      </c>
      <c r="K1560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61" hidden="1" outlineLevel="1" ht="20" customHeight="1">
      <c r="D1561" s="179" t="n"/>
      <c r="E1561" s="179" t="n"/>
      <c r="F1561" s="180" t="n"/>
      <c r="G1561" s="180" t="n"/>
      <c r="H1561" s="181">
        <f>IF(OR(F1561="",G1561=""),"",ROUND(MOD(G1561-F1561,1)*24,2))</f>
        <v/>
      </c>
      <c r="K1561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62" hidden="1" outlineLevel="1" ht="20" customHeight="1">
      <c r="D1562" s="179" t="n"/>
      <c r="E1562" s="179" t="n"/>
      <c r="F1562" s="180" t="n"/>
      <c r="G1562" s="180" t="n"/>
      <c r="H1562" s="181">
        <f>IF(OR(F1562="",G1562=""),"",ROUND(MOD(G1562-F1562,1)*24,2))</f>
        <v/>
      </c>
      <c r="K1562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63" hidden="1" outlineLevel="1" ht="20" customHeight="1">
      <c r="D1563" s="179" t="n"/>
      <c r="E1563" s="179" t="n"/>
      <c r="F1563" s="180" t="n"/>
      <c r="G1563" s="180" t="n"/>
      <c r="H1563" s="181">
        <f>IF(OR(F1563="",G1563=""),"",ROUND(MOD(G1563-F1563,1)*24,2))</f>
        <v/>
      </c>
      <c r="K1563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64" hidden="1" outlineLevel="1" ht="20" customHeight="1">
      <c r="D1564" s="179" t="n"/>
      <c r="E1564" s="179" t="n"/>
      <c r="F1564" s="180" t="n"/>
      <c r="G1564" s="180" t="n"/>
      <c r="H1564" s="181">
        <f>IF(OR(F1564="",G1564=""),"",ROUND(MOD(G1564-F1564,1)*24,2))</f>
        <v/>
      </c>
      <c r="K1564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65" hidden="1" outlineLevel="1" ht="20" customHeight="1">
      <c r="A1565" s="342" t="n"/>
      <c r="B1565" s="342" t="n"/>
      <c r="C1565" s="342" t="n"/>
      <c r="D1565" s="332" t="n"/>
      <c r="E1565" s="332" t="n"/>
      <c r="F1565" s="333" t="n"/>
      <c r="G1565" s="333" t="n"/>
      <c r="H1565" s="334">
        <f>IF(OR(F1565="",G1565=""),"",ROUND(MOD(G1565-F1565,1)*24,2))</f>
        <v/>
      </c>
      <c r="I1565" s="342" t="n"/>
      <c r="J1565" s="342" t="n"/>
      <c r="K1565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66" ht="20" customHeight="1">
      <c r="A1566" s="336">
        <f>IF($K1566="","",WEEKNUM($K1566,21))</f>
        <v/>
      </c>
      <c r="B1566" s="337">
        <f>IF($K1566="","",$K1566)</f>
        <v/>
      </c>
      <c r="C1566" s="338">
        <f>IF($K1566="","",$K1566)</f>
        <v/>
      </c>
      <c r="D1566" s="171" t="n"/>
      <c r="E1566" s="171" t="n"/>
      <c r="F1566" s="172" t="n"/>
      <c r="G1566" s="172" t="n"/>
      <c r="H1566" s="173">
        <f>IF(OR(F1566="",G1566=""),"",ROUND(MOD(G1566-F1566,1)*24,2))</f>
        <v/>
      </c>
      <c r="I1566" s="339" t="n"/>
      <c r="J1566" s="339" t="n"/>
      <c r="K1566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67" ht="20" customHeight="1">
      <c r="D1567" s="179" t="n"/>
      <c r="E1567" s="179" t="n"/>
      <c r="F1567" s="180" t="n"/>
      <c r="G1567" s="180" t="n"/>
      <c r="H1567" s="181">
        <f>IF(OR(F1567="",G1567=""),"",ROUND(MOD(G1567-F1567,1)*24,2))</f>
        <v/>
      </c>
      <c r="K1567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68" ht="20" customHeight="1">
      <c r="D1568" s="179" t="n"/>
      <c r="E1568" s="179" t="n"/>
      <c r="F1568" s="180" t="n"/>
      <c r="G1568" s="180" t="n"/>
      <c r="H1568" s="181">
        <f>IF(OR(F1568="",G1568=""),"",ROUND(MOD(G1568-F1568,1)*24,2))</f>
        <v/>
      </c>
      <c r="K1568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69" ht="20" customHeight="1">
      <c r="D1569" s="179" t="n"/>
      <c r="E1569" s="179" t="n"/>
      <c r="F1569" s="180" t="n"/>
      <c r="G1569" s="180" t="n"/>
      <c r="H1569" s="181">
        <f>IF(OR(F1569="",G1569=""),"",ROUND(MOD(G1569-F1569,1)*24,2))</f>
        <v/>
      </c>
      <c r="K1569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70" collapsed="1" ht="20" customHeight="1">
      <c r="D1570" s="179" t="n"/>
      <c r="E1570" s="179" t="n"/>
      <c r="F1570" s="180" t="n"/>
      <c r="G1570" s="180" t="n"/>
      <c r="H1570" s="181">
        <f>IF(OR(F1570="",G1570=""),"",ROUND(MOD(G1570-F1570,1)*24,2))</f>
        <v/>
      </c>
      <c r="K1570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71" hidden="1" outlineLevel="1" ht="20" customHeight="1">
      <c r="D1571" s="179" t="n"/>
      <c r="E1571" s="179" t="n"/>
      <c r="F1571" s="180" t="n"/>
      <c r="G1571" s="180" t="n"/>
      <c r="H1571" s="181">
        <f>IF(OR(F1571="",G1571=""),"",ROUND(MOD(G1571-F1571,1)*24,2))</f>
        <v/>
      </c>
      <c r="K1571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72" hidden="1" outlineLevel="1" ht="20" customHeight="1">
      <c r="D1572" s="179" t="n"/>
      <c r="E1572" s="179" t="n"/>
      <c r="F1572" s="180" t="n"/>
      <c r="G1572" s="180" t="n"/>
      <c r="H1572" s="181">
        <f>IF(OR(F1572="",G1572=""),"",ROUND(MOD(G1572-F1572,1)*24,2))</f>
        <v/>
      </c>
      <c r="K1572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73" hidden="1" outlineLevel="1" ht="20" customHeight="1">
      <c r="D1573" s="179" t="n"/>
      <c r="E1573" s="179" t="n"/>
      <c r="F1573" s="180" t="n"/>
      <c r="G1573" s="180" t="n"/>
      <c r="H1573" s="181">
        <f>IF(OR(F1573="",G1573=""),"",ROUND(MOD(G1573-F1573,1)*24,2))</f>
        <v/>
      </c>
      <c r="K1573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74" hidden="1" outlineLevel="1" ht="20" customHeight="1">
      <c r="D1574" s="179" t="n"/>
      <c r="E1574" s="179" t="n"/>
      <c r="F1574" s="180" t="n"/>
      <c r="G1574" s="180" t="n"/>
      <c r="H1574" s="181">
        <f>IF(OR(F1574="",G1574=""),"",ROUND(MOD(G1574-F1574,1)*24,2))</f>
        <v/>
      </c>
      <c r="K1574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75" hidden="1" outlineLevel="1" ht="20" customHeight="1">
      <c r="A1575" s="342" t="n"/>
      <c r="B1575" s="342" t="n"/>
      <c r="C1575" s="342" t="n"/>
      <c r="D1575" s="332" t="n"/>
      <c r="E1575" s="332" t="n"/>
      <c r="F1575" s="333" t="n"/>
      <c r="G1575" s="333" t="n"/>
      <c r="H1575" s="334">
        <f>IF(OR(F1575="",G1575=""),"",ROUND(MOD(G1575-F1575,1)*24,2))</f>
        <v/>
      </c>
      <c r="I1575" s="342" t="n"/>
      <c r="J1575" s="342" t="n"/>
      <c r="K1575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76" ht="20" customHeight="1">
      <c r="A1576" s="336">
        <f>IF($K1576="","",WEEKNUM($K1576,21))</f>
        <v/>
      </c>
      <c r="B1576" s="337">
        <f>IF($K1576="","",$K1576)</f>
        <v/>
      </c>
      <c r="C1576" s="338">
        <f>IF($K1576="","",$K1576)</f>
        <v/>
      </c>
      <c r="D1576" s="171" t="n"/>
      <c r="E1576" s="171" t="n"/>
      <c r="F1576" s="172" t="n"/>
      <c r="G1576" s="172" t="n"/>
      <c r="H1576" s="173">
        <f>IF(OR(F1576="",G1576=""),"",ROUND(MOD(G1576-F1576,1)*24,2))</f>
        <v/>
      </c>
      <c r="I1576" s="339" t="n"/>
      <c r="J1576" s="339" t="n"/>
      <c r="K1576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77" ht="20" customHeight="1">
      <c r="D1577" s="179" t="n"/>
      <c r="E1577" s="179" t="n"/>
      <c r="F1577" s="180" t="n"/>
      <c r="G1577" s="180" t="n"/>
      <c r="H1577" s="181">
        <f>IF(OR(F1577="",G1577=""),"",ROUND(MOD(G1577-F1577,1)*24,2))</f>
        <v/>
      </c>
      <c r="K1577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78" ht="20" customHeight="1">
      <c r="D1578" s="179" t="n"/>
      <c r="E1578" s="179" t="n"/>
      <c r="F1578" s="180" t="n"/>
      <c r="G1578" s="180" t="n"/>
      <c r="H1578" s="181">
        <f>IF(OR(F1578="",G1578=""),"",ROUND(MOD(G1578-F1578,1)*24,2))</f>
        <v/>
      </c>
      <c r="K1578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79" ht="20" customHeight="1">
      <c r="D1579" s="179" t="n"/>
      <c r="E1579" s="179" t="n"/>
      <c r="F1579" s="180" t="n"/>
      <c r="G1579" s="180" t="n"/>
      <c r="H1579" s="181">
        <f>IF(OR(F1579="",G1579=""),"",ROUND(MOD(G1579-F1579,1)*24,2))</f>
        <v/>
      </c>
      <c r="K1579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80" collapsed="1" ht="20" customHeight="1">
      <c r="D1580" s="179" t="n"/>
      <c r="E1580" s="179" t="n"/>
      <c r="F1580" s="180" t="n"/>
      <c r="G1580" s="180" t="n"/>
      <c r="H1580" s="181">
        <f>IF(OR(F1580="",G1580=""),"",ROUND(MOD(G1580-F1580,1)*24,2))</f>
        <v/>
      </c>
      <c r="K1580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81" hidden="1" outlineLevel="1" ht="20" customHeight="1">
      <c r="D1581" s="179" t="n"/>
      <c r="E1581" s="179" t="n"/>
      <c r="F1581" s="180" t="n"/>
      <c r="G1581" s="180" t="n"/>
      <c r="H1581" s="181">
        <f>IF(OR(F1581="",G1581=""),"",ROUND(MOD(G1581-F1581,1)*24,2))</f>
        <v/>
      </c>
      <c r="K1581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82" hidden="1" outlineLevel="1" ht="20" customHeight="1">
      <c r="D1582" s="179" t="n"/>
      <c r="E1582" s="179" t="n"/>
      <c r="F1582" s="180" t="n"/>
      <c r="G1582" s="180" t="n"/>
      <c r="H1582" s="181">
        <f>IF(OR(F1582="",G1582=""),"",ROUND(MOD(G1582-F1582,1)*24,2))</f>
        <v/>
      </c>
      <c r="K1582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83" hidden="1" outlineLevel="1" ht="20" customHeight="1">
      <c r="D1583" s="179" t="n"/>
      <c r="E1583" s="179" t="n"/>
      <c r="F1583" s="180" t="n"/>
      <c r="G1583" s="180" t="n"/>
      <c r="H1583" s="181">
        <f>IF(OR(F1583="",G1583=""),"",ROUND(MOD(G1583-F1583,1)*24,2))</f>
        <v/>
      </c>
      <c r="K1583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84" hidden="1" outlineLevel="1" ht="20" customHeight="1">
      <c r="D1584" s="179" t="n"/>
      <c r="E1584" s="179" t="n"/>
      <c r="F1584" s="180" t="n"/>
      <c r="G1584" s="180" t="n"/>
      <c r="H1584" s="181">
        <f>IF(OR(F1584="",G1584=""),"",ROUND(MOD(G1584-F1584,1)*24,2))</f>
        <v/>
      </c>
      <c r="K1584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85" hidden="1" outlineLevel="1" ht="20" customHeight="1">
      <c r="A1585" s="342" t="n"/>
      <c r="B1585" s="342" t="n"/>
      <c r="C1585" s="342" t="n"/>
      <c r="D1585" s="332" t="n"/>
      <c r="E1585" s="332" t="n"/>
      <c r="F1585" s="333" t="n"/>
      <c r="G1585" s="333" t="n"/>
      <c r="H1585" s="334">
        <f>IF(OR(F1585="",G1585=""),"",ROUND(MOD(G1585-F1585,1)*24,2))</f>
        <v/>
      </c>
      <c r="I1585" s="342" t="n"/>
      <c r="J1585" s="342" t="n"/>
      <c r="K1585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586" ht="20" customHeight="1">
      <c r="A1586" s="336">
        <f>IF($K1586="","",WEEKNUM($K1586,21))</f>
        <v/>
      </c>
      <c r="B1586" s="337">
        <f>IF($K1586="","",$K1586)</f>
        <v/>
      </c>
      <c r="C1586" s="338">
        <f>IF($K1586="","",$K1586)</f>
        <v/>
      </c>
      <c r="D1586" s="171" t="n"/>
      <c r="E1586" s="171" t="n"/>
      <c r="F1586" s="172" t="n"/>
      <c r="G1586" s="172" t="n"/>
      <c r="H1586" s="173">
        <f>IF(OR(F1586="",G1586=""),"",ROUND(MOD(G1586-F1586,1)*24,2))</f>
        <v/>
      </c>
      <c r="I1586" s="339" t="n"/>
      <c r="J1586" s="339" t="n"/>
      <c r="K1586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87" ht="20" customHeight="1">
      <c r="D1587" s="179" t="n"/>
      <c r="E1587" s="179" t="n"/>
      <c r="F1587" s="180" t="n"/>
      <c r="G1587" s="180" t="n"/>
      <c r="H1587" s="181">
        <f>IF(OR(F1587="",G1587=""),"",ROUND(MOD(G1587-F1587,1)*24,2))</f>
        <v/>
      </c>
      <c r="K1587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88" ht="20" customHeight="1">
      <c r="D1588" s="179" t="n"/>
      <c r="E1588" s="179" t="n"/>
      <c r="F1588" s="180" t="n"/>
      <c r="G1588" s="180" t="n"/>
      <c r="H1588" s="181">
        <f>IF(OR(F1588="",G1588=""),"",ROUND(MOD(G1588-F1588,1)*24,2))</f>
        <v/>
      </c>
      <c r="K1588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89" ht="20" customHeight="1">
      <c r="D1589" s="179" t="n"/>
      <c r="E1589" s="179" t="n"/>
      <c r="F1589" s="180" t="n"/>
      <c r="G1589" s="180" t="n"/>
      <c r="H1589" s="181">
        <f>IF(OR(F1589="",G1589=""),"",ROUND(MOD(G1589-F1589,1)*24,2))</f>
        <v/>
      </c>
      <c r="K1589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90" collapsed="1" ht="20" customHeight="1">
      <c r="D1590" s="179" t="n"/>
      <c r="E1590" s="179" t="n"/>
      <c r="F1590" s="180" t="n"/>
      <c r="G1590" s="180" t="n"/>
      <c r="H1590" s="181">
        <f>IF(OR(F1590="",G1590=""),"",ROUND(MOD(G1590-F1590,1)*24,2))</f>
        <v/>
      </c>
      <c r="K1590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91" hidden="1" outlineLevel="1" ht="20" customHeight="1">
      <c r="D1591" s="179" t="n"/>
      <c r="E1591" s="179" t="n"/>
      <c r="F1591" s="180" t="n"/>
      <c r="G1591" s="180" t="n"/>
      <c r="H1591" s="181">
        <f>IF(OR(F1591="",G1591=""),"",ROUND(MOD(G1591-F1591,1)*24,2))</f>
        <v/>
      </c>
      <c r="K1591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92" hidden="1" outlineLevel="1" ht="20" customHeight="1">
      <c r="D1592" s="179" t="n"/>
      <c r="E1592" s="179" t="n"/>
      <c r="F1592" s="180" t="n"/>
      <c r="G1592" s="180" t="n"/>
      <c r="H1592" s="181">
        <f>IF(OR(F1592="",G1592=""),"",ROUND(MOD(G1592-F1592,1)*24,2))</f>
        <v/>
      </c>
      <c r="K1592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93" hidden="1" outlineLevel="1" ht="20" customHeight="1">
      <c r="D1593" s="179" t="n"/>
      <c r="E1593" s="179" t="n"/>
      <c r="F1593" s="180" t="n"/>
      <c r="G1593" s="180" t="n"/>
      <c r="H1593" s="181">
        <f>IF(OR(F1593="",G1593=""),"",ROUND(MOD(G1593-F1593,1)*24,2))</f>
        <v/>
      </c>
      <c r="K1593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94" hidden="1" outlineLevel="1" ht="20" customHeight="1">
      <c r="D1594" s="179" t="n"/>
      <c r="E1594" s="179" t="n"/>
      <c r="F1594" s="180" t="n"/>
      <c r="G1594" s="180" t="n"/>
      <c r="H1594" s="181">
        <f>IF(OR(F1594="",G1594=""),"",ROUND(MOD(G1594-F1594,1)*24,2))</f>
        <v/>
      </c>
      <c r="K1594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95" hidden="1" outlineLevel="1" ht="20" customHeight="1">
      <c r="A1595" s="342" t="n"/>
      <c r="B1595" s="342" t="n"/>
      <c r="C1595" s="342" t="n"/>
      <c r="D1595" s="332" t="n"/>
      <c r="E1595" s="332" t="n"/>
      <c r="F1595" s="333" t="n"/>
      <c r="G1595" s="333" t="n"/>
      <c r="H1595" s="334">
        <f>IF(OR(F1595="",G1595=""),"",ROUND(MOD(G1595-F1595,1)*24,2))</f>
        <v/>
      </c>
      <c r="I1595" s="342" t="n"/>
      <c r="J1595" s="342" t="n"/>
      <c r="K1595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596" ht="20" customHeight="1">
      <c r="A1596" s="336">
        <f>IF($K1596="","",WEEKNUM($K1596,21))</f>
        <v/>
      </c>
      <c r="B1596" s="337">
        <f>IF($K1596="","",$K1596)</f>
        <v/>
      </c>
      <c r="C1596" s="338">
        <f>IF($K1596="","",$K1596)</f>
        <v/>
      </c>
      <c r="D1596" s="171" t="n"/>
      <c r="E1596" s="171" t="n"/>
      <c r="F1596" s="172" t="n"/>
      <c r="G1596" s="172" t="n"/>
      <c r="H1596" s="173">
        <f>IF(OR(F1596="",G1596=""),"",ROUND(MOD(G1596-F1596,1)*24,2))</f>
        <v/>
      </c>
      <c r="I1596" s="339" t="n"/>
      <c r="J1596" s="339" t="n"/>
      <c r="K1596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597" ht="20" customHeight="1">
      <c r="D1597" s="179" t="n"/>
      <c r="E1597" s="179" t="n"/>
      <c r="F1597" s="180" t="n"/>
      <c r="G1597" s="180" t="n"/>
      <c r="H1597" s="181">
        <f>IF(OR(F1597="",G1597=""),"",ROUND(MOD(G1597-F1597,1)*24,2))</f>
        <v/>
      </c>
      <c r="K1597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598" ht="20" customHeight="1">
      <c r="D1598" s="179" t="n"/>
      <c r="E1598" s="179" t="n"/>
      <c r="F1598" s="180" t="n"/>
      <c r="G1598" s="180" t="n"/>
      <c r="H1598" s="181">
        <f>IF(OR(F1598="",G1598=""),"",ROUND(MOD(G1598-F1598,1)*24,2))</f>
        <v/>
      </c>
      <c r="K1598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599" ht="20" customHeight="1">
      <c r="D1599" s="179" t="n"/>
      <c r="E1599" s="179" t="n"/>
      <c r="F1599" s="180" t="n"/>
      <c r="G1599" s="180" t="n"/>
      <c r="H1599" s="181">
        <f>IF(OR(F1599="",G1599=""),"",ROUND(MOD(G1599-F1599,1)*24,2))</f>
        <v/>
      </c>
      <c r="K1599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600" collapsed="1" ht="20" customHeight="1">
      <c r="D1600" s="179" t="n"/>
      <c r="E1600" s="179" t="n"/>
      <c r="F1600" s="180" t="n"/>
      <c r="G1600" s="180" t="n"/>
      <c r="H1600" s="181">
        <f>IF(OR(F1600="",G1600=""),"",ROUND(MOD(G1600-F1600,1)*24,2))</f>
        <v/>
      </c>
      <c r="K1600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601" hidden="1" outlineLevel="1" ht="20" customHeight="1">
      <c r="D1601" s="179" t="n"/>
      <c r="E1601" s="179" t="n"/>
      <c r="F1601" s="180" t="n"/>
      <c r="G1601" s="180" t="n"/>
      <c r="H1601" s="181">
        <f>IF(OR(F1601="",G1601=""),"",ROUND(MOD(G1601-F1601,1)*24,2))</f>
        <v/>
      </c>
      <c r="K1601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602" hidden="1" outlineLevel="1" ht="20" customHeight="1">
      <c r="D1602" s="179" t="n"/>
      <c r="E1602" s="179" t="n"/>
      <c r="F1602" s="180" t="n"/>
      <c r="G1602" s="180" t="n"/>
      <c r="H1602" s="181">
        <f>IF(OR(F1602="",G1602=""),"",ROUND(MOD(G1602-F1602,1)*24,2))</f>
        <v/>
      </c>
      <c r="K1602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603" hidden="1" outlineLevel="1" ht="20" customHeight="1">
      <c r="D1603" s="179" t="n"/>
      <c r="E1603" s="179" t="n"/>
      <c r="F1603" s="180" t="n"/>
      <c r="G1603" s="180" t="n"/>
      <c r="H1603" s="181">
        <f>IF(OR(F1603="",G1603=""),"",ROUND(MOD(G1603-F1603,1)*24,2))</f>
        <v/>
      </c>
      <c r="K1603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604" hidden="1" outlineLevel="1" ht="20" customHeight="1">
      <c r="D1604" s="179" t="n"/>
      <c r="E1604" s="179" t="n"/>
      <c r="F1604" s="180" t="n"/>
      <c r="G1604" s="180" t="n"/>
      <c r="H1604" s="181">
        <f>IF(OR(F1604="",G1604=""),"",ROUND(MOD(G1604-F1604,1)*24,2))</f>
        <v/>
      </c>
      <c r="K1604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605" hidden="1" outlineLevel="1" ht="20" customHeight="1">
      <c r="A1605" s="342" t="n"/>
      <c r="B1605" s="342" t="n"/>
      <c r="C1605" s="342" t="n"/>
      <c r="D1605" s="332" t="n"/>
      <c r="E1605" s="332" t="n"/>
      <c r="F1605" s="333" t="n"/>
      <c r="G1605" s="333" t="n"/>
      <c r="H1605" s="334">
        <f>IF(OR(F1605="",G1605=""),"",ROUND(MOD(G1605-F1605,1)*24,2))</f>
        <v/>
      </c>
      <c r="I1605" s="342" t="n"/>
      <c r="J1605" s="342" t="n"/>
      <c r="K1605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606" ht="20" customHeight="1">
      <c r="A1606" s="336">
        <f>IF($K1606="","",WEEKNUM($K1606,21))</f>
        <v/>
      </c>
      <c r="B1606" s="337">
        <f>IF($K1606="","",$K1606)</f>
        <v/>
      </c>
      <c r="C1606" s="338">
        <f>IF($K1606="","",$K1606)</f>
        <v/>
      </c>
      <c r="D1606" s="171" t="n"/>
      <c r="E1606" s="171" t="n"/>
      <c r="F1606" s="172" t="n"/>
      <c r="G1606" s="172" t="n"/>
      <c r="H1606" s="173">
        <f>IF(OR(F1606="",G1606=""),"",ROUND(MOD(G1606-F1606,1)*24,2))</f>
        <v/>
      </c>
      <c r="I1606" s="339" t="n"/>
      <c r="J1606" s="339" t="n"/>
      <c r="K1606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07" ht="20" customHeight="1">
      <c r="D1607" s="179" t="n"/>
      <c r="E1607" s="179" t="n"/>
      <c r="F1607" s="180" t="n"/>
      <c r="G1607" s="180" t="n"/>
      <c r="H1607" s="181">
        <f>IF(OR(F1607="",G1607=""),"",ROUND(MOD(G1607-F1607,1)*24,2))</f>
        <v/>
      </c>
      <c r="K1607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08" ht="20" customHeight="1">
      <c r="D1608" s="179" t="n"/>
      <c r="E1608" s="179" t="n"/>
      <c r="F1608" s="180" t="n"/>
      <c r="G1608" s="180" t="n"/>
      <c r="H1608" s="181">
        <f>IF(OR(F1608="",G1608=""),"",ROUND(MOD(G1608-F1608,1)*24,2))</f>
        <v/>
      </c>
      <c r="K1608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09" ht="20" customHeight="1">
      <c r="D1609" s="179" t="n"/>
      <c r="E1609" s="179" t="n"/>
      <c r="F1609" s="180" t="n"/>
      <c r="G1609" s="180" t="n"/>
      <c r="H1609" s="181">
        <f>IF(OR(F1609="",G1609=""),"",ROUND(MOD(G1609-F1609,1)*24,2))</f>
        <v/>
      </c>
      <c r="K1609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10" collapsed="1" ht="20" customHeight="1">
      <c r="D1610" s="179" t="n"/>
      <c r="E1610" s="179" t="n"/>
      <c r="F1610" s="180" t="n"/>
      <c r="G1610" s="180" t="n"/>
      <c r="H1610" s="181">
        <f>IF(OR(F1610="",G1610=""),"",ROUND(MOD(G1610-F1610,1)*24,2))</f>
        <v/>
      </c>
      <c r="K1610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11" hidden="1" outlineLevel="1" ht="20" customHeight="1">
      <c r="D1611" s="179" t="n"/>
      <c r="E1611" s="179" t="n"/>
      <c r="F1611" s="180" t="n"/>
      <c r="G1611" s="180" t="n"/>
      <c r="H1611" s="181">
        <f>IF(OR(F1611="",G1611=""),"",ROUND(MOD(G1611-F1611,1)*24,2))</f>
        <v/>
      </c>
      <c r="K1611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12" hidden="1" outlineLevel="1" ht="20" customHeight="1">
      <c r="D1612" s="179" t="n"/>
      <c r="E1612" s="179" t="n"/>
      <c r="F1612" s="180" t="n"/>
      <c r="G1612" s="180" t="n"/>
      <c r="H1612" s="181">
        <f>IF(OR(F1612="",G1612=""),"",ROUND(MOD(G1612-F1612,1)*24,2))</f>
        <v/>
      </c>
      <c r="K1612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13" hidden="1" outlineLevel="1" ht="20" customHeight="1">
      <c r="D1613" s="179" t="n"/>
      <c r="E1613" s="179" t="n"/>
      <c r="F1613" s="180" t="n"/>
      <c r="G1613" s="180" t="n"/>
      <c r="H1613" s="181">
        <f>IF(OR(F1613="",G1613=""),"",ROUND(MOD(G1613-F1613,1)*24,2))</f>
        <v/>
      </c>
      <c r="K1613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14" hidden="1" outlineLevel="1" ht="20" customHeight="1">
      <c r="D1614" s="179" t="n"/>
      <c r="E1614" s="179" t="n"/>
      <c r="F1614" s="180" t="n"/>
      <c r="G1614" s="180" t="n"/>
      <c r="H1614" s="181">
        <f>IF(OR(F1614="",G1614=""),"",ROUND(MOD(G1614-F1614,1)*24,2))</f>
        <v/>
      </c>
      <c r="K1614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15" hidden="1" outlineLevel="1" ht="20" customHeight="1">
      <c r="A1615" s="342" t="n"/>
      <c r="B1615" s="342" t="n"/>
      <c r="C1615" s="342" t="n"/>
      <c r="D1615" s="332" t="n"/>
      <c r="E1615" s="332" t="n"/>
      <c r="F1615" s="333" t="n"/>
      <c r="G1615" s="333" t="n"/>
      <c r="H1615" s="334">
        <f>IF(OR(F1615="",G1615=""),"",ROUND(MOD(G1615-F1615,1)*24,2))</f>
        <v/>
      </c>
      <c r="I1615" s="342" t="n"/>
      <c r="J1615" s="342" t="n"/>
      <c r="K1615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16" ht="20" customHeight="1">
      <c r="A1616" s="336">
        <f>IF($K1616="","",WEEKNUM($K1616,21))</f>
        <v/>
      </c>
      <c r="B1616" s="337">
        <f>IF($K1616="","",$K1616)</f>
        <v/>
      </c>
      <c r="C1616" s="338">
        <f>IF($K1616="","",$K1616)</f>
        <v/>
      </c>
      <c r="D1616" s="171" t="n"/>
      <c r="E1616" s="171" t="n"/>
      <c r="F1616" s="172" t="n"/>
      <c r="G1616" s="172" t="n"/>
      <c r="H1616" s="173">
        <f>IF(OR(F1616="",G1616=""),"",ROUND(MOD(G1616-F1616,1)*24,2))</f>
        <v/>
      </c>
      <c r="I1616" s="339" t="n"/>
      <c r="J1616" s="339" t="n"/>
      <c r="K1616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17" ht="20" customHeight="1">
      <c r="D1617" s="179" t="n"/>
      <c r="E1617" s="179" t="n"/>
      <c r="F1617" s="180" t="n"/>
      <c r="G1617" s="180" t="n"/>
      <c r="H1617" s="181">
        <f>IF(OR(F1617="",G1617=""),"",ROUND(MOD(G1617-F1617,1)*24,2))</f>
        <v/>
      </c>
      <c r="K1617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18" ht="20" customHeight="1">
      <c r="D1618" s="179" t="n"/>
      <c r="E1618" s="179" t="n"/>
      <c r="F1618" s="180" t="n"/>
      <c r="G1618" s="180" t="n"/>
      <c r="H1618" s="181">
        <f>IF(OR(F1618="",G1618=""),"",ROUND(MOD(G1618-F1618,1)*24,2))</f>
        <v/>
      </c>
      <c r="K1618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19" ht="20" customHeight="1">
      <c r="D1619" s="179" t="n"/>
      <c r="E1619" s="179" t="n"/>
      <c r="F1619" s="180" t="n"/>
      <c r="G1619" s="180" t="n"/>
      <c r="H1619" s="181">
        <f>IF(OR(F1619="",G1619=""),"",ROUND(MOD(G1619-F1619,1)*24,2))</f>
        <v/>
      </c>
      <c r="K1619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20" collapsed="1" ht="20" customHeight="1">
      <c r="D1620" s="179" t="n"/>
      <c r="E1620" s="179" t="n"/>
      <c r="F1620" s="180" t="n"/>
      <c r="G1620" s="180" t="n"/>
      <c r="H1620" s="181">
        <f>IF(OR(F1620="",G1620=""),"",ROUND(MOD(G1620-F1620,1)*24,2))</f>
        <v/>
      </c>
      <c r="K1620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21" hidden="1" outlineLevel="1" ht="20" customHeight="1">
      <c r="D1621" s="179" t="n"/>
      <c r="E1621" s="179" t="n"/>
      <c r="F1621" s="180" t="n"/>
      <c r="G1621" s="180" t="n"/>
      <c r="H1621" s="181">
        <f>IF(OR(F1621="",G1621=""),"",ROUND(MOD(G1621-F1621,1)*24,2))</f>
        <v/>
      </c>
      <c r="K1621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22" hidden="1" outlineLevel="1" ht="20" customHeight="1">
      <c r="D1622" s="179" t="n"/>
      <c r="E1622" s="179" t="n"/>
      <c r="F1622" s="180" t="n"/>
      <c r="G1622" s="180" t="n"/>
      <c r="H1622" s="181">
        <f>IF(OR(F1622="",G1622=""),"",ROUND(MOD(G1622-F1622,1)*24,2))</f>
        <v/>
      </c>
      <c r="K1622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23" hidden="1" outlineLevel="1" ht="20" customHeight="1">
      <c r="D1623" s="179" t="n"/>
      <c r="E1623" s="179" t="n"/>
      <c r="F1623" s="180" t="n"/>
      <c r="G1623" s="180" t="n"/>
      <c r="H1623" s="181">
        <f>IF(OR(F1623="",G1623=""),"",ROUND(MOD(G1623-F1623,1)*24,2))</f>
        <v/>
      </c>
      <c r="K1623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24" hidden="1" outlineLevel="1" ht="20" customHeight="1">
      <c r="D1624" s="179" t="n"/>
      <c r="E1624" s="179" t="n"/>
      <c r="F1624" s="180" t="n"/>
      <c r="G1624" s="180" t="n"/>
      <c r="H1624" s="181">
        <f>IF(OR(F1624="",G1624=""),"",ROUND(MOD(G1624-F1624,1)*24,2))</f>
        <v/>
      </c>
      <c r="K1624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25" hidden="1" outlineLevel="1" ht="20" customHeight="1">
      <c r="A1625" s="342" t="n"/>
      <c r="B1625" s="342" t="n"/>
      <c r="C1625" s="342" t="n"/>
      <c r="D1625" s="332" t="n"/>
      <c r="E1625" s="332" t="n"/>
      <c r="F1625" s="333" t="n"/>
      <c r="G1625" s="333" t="n"/>
      <c r="H1625" s="334">
        <f>IF(OR(F1625="",G1625=""),"",ROUND(MOD(G1625-F1625,1)*24,2))</f>
        <v/>
      </c>
      <c r="I1625" s="342" t="n"/>
      <c r="J1625" s="342" t="n"/>
      <c r="K1625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26" ht="20" customHeight="1">
      <c r="A1626" s="336">
        <f>IF($K1626="","",WEEKNUM($K1626,21))</f>
        <v/>
      </c>
      <c r="B1626" s="337">
        <f>IF($K1626="","",$K1626)</f>
        <v/>
      </c>
      <c r="C1626" s="338">
        <f>IF($K1626="","",$K1626)</f>
        <v/>
      </c>
      <c r="D1626" s="171" t="n"/>
      <c r="E1626" s="171" t="n"/>
      <c r="F1626" s="172" t="n"/>
      <c r="G1626" s="172" t="n"/>
      <c r="H1626" s="173">
        <f>IF(OR(F1626="",G1626=""),"",ROUND(MOD(G1626-F1626,1)*24,2))</f>
        <v/>
      </c>
      <c r="I1626" s="339" t="n"/>
      <c r="J1626" s="339" t="n"/>
      <c r="K1626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27" ht="20" customHeight="1">
      <c r="D1627" s="179" t="n"/>
      <c r="E1627" s="179" t="n"/>
      <c r="F1627" s="180" t="n"/>
      <c r="G1627" s="180" t="n"/>
      <c r="H1627" s="181">
        <f>IF(OR(F1627="",G1627=""),"",ROUND(MOD(G1627-F1627,1)*24,2))</f>
        <v/>
      </c>
      <c r="K1627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28" ht="20" customHeight="1">
      <c r="D1628" s="179" t="n"/>
      <c r="E1628" s="179" t="n"/>
      <c r="F1628" s="180" t="n"/>
      <c r="G1628" s="180" t="n"/>
      <c r="H1628" s="181">
        <f>IF(OR(F1628="",G1628=""),"",ROUND(MOD(G1628-F1628,1)*24,2))</f>
        <v/>
      </c>
      <c r="K1628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29" ht="20" customHeight="1">
      <c r="D1629" s="179" t="n"/>
      <c r="E1629" s="179" t="n"/>
      <c r="F1629" s="180" t="n"/>
      <c r="G1629" s="180" t="n"/>
      <c r="H1629" s="181">
        <f>IF(OR(F1629="",G1629=""),"",ROUND(MOD(G1629-F1629,1)*24,2))</f>
        <v/>
      </c>
      <c r="K1629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30" collapsed="1" ht="20" customHeight="1">
      <c r="D1630" s="179" t="n"/>
      <c r="E1630" s="179" t="n"/>
      <c r="F1630" s="180" t="n"/>
      <c r="G1630" s="180" t="n"/>
      <c r="H1630" s="181">
        <f>IF(OR(F1630="",G1630=""),"",ROUND(MOD(G1630-F1630,1)*24,2))</f>
        <v/>
      </c>
      <c r="K1630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31" hidden="1" outlineLevel="1" ht="20" customHeight="1">
      <c r="D1631" s="179" t="n"/>
      <c r="E1631" s="179" t="n"/>
      <c r="F1631" s="180" t="n"/>
      <c r="G1631" s="180" t="n"/>
      <c r="H1631" s="181">
        <f>IF(OR(F1631="",G1631=""),"",ROUND(MOD(G1631-F1631,1)*24,2))</f>
        <v/>
      </c>
      <c r="K1631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32" hidden="1" outlineLevel="1" ht="20" customHeight="1">
      <c r="D1632" s="179" t="n"/>
      <c r="E1632" s="179" t="n"/>
      <c r="F1632" s="180" t="n"/>
      <c r="G1632" s="180" t="n"/>
      <c r="H1632" s="181">
        <f>IF(OR(F1632="",G1632=""),"",ROUND(MOD(G1632-F1632,1)*24,2))</f>
        <v/>
      </c>
      <c r="K1632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33" hidden="1" outlineLevel="1" ht="20" customHeight="1">
      <c r="D1633" s="179" t="n"/>
      <c r="E1633" s="179" t="n"/>
      <c r="F1633" s="180" t="n"/>
      <c r="G1633" s="180" t="n"/>
      <c r="H1633" s="181">
        <f>IF(OR(F1633="",G1633=""),"",ROUND(MOD(G1633-F1633,1)*24,2))</f>
        <v/>
      </c>
      <c r="K1633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34" hidden="1" outlineLevel="1" ht="20" customHeight="1">
      <c r="D1634" s="179" t="n"/>
      <c r="E1634" s="179" t="n"/>
      <c r="F1634" s="180" t="n"/>
      <c r="G1634" s="180" t="n"/>
      <c r="H1634" s="181">
        <f>IF(OR(F1634="",G1634=""),"",ROUND(MOD(G1634-F1634,1)*24,2))</f>
        <v/>
      </c>
      <c r="K1634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35" hidden="1" outlineLevel="1" ht="20" customHeight="1">
      <c r="A1635" s="342" t="n"/>
      <c r="B1635" s="342" t="n"/>
      <c r="C1635" s="342" t="n"/>
      <c r="D1635" s="332" t="n"/>
      <c r="E1635" s="332" t="n"/>
      <c r="F1635" s="333" t="n"/>
      <c r="G1635" s="333" t="n"/>
      <c r="H1635" s="334">
        <f>IF(OR(F1635="",G1635=""),"",ROUND(MOD(G1635-F1635,1)*24,2))</f>
        <v/>
      </c>
      <c r="I1635" s="342" t="n"/>
      <c r="J1635" s="342" t="n"/>
      <c r="K1635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36" ht="20" customHeight="1">
      <c r="A1636" s="336">
        <f>IF($K1636="","",WEEKNUM($K1636,21))</f>
        <v/>
      </c>
      <c r="B1636" s="337">
        <f>IF($K1636="","",$K1636)</f>
        <v/>
      </c>
      <c r="C1636" s="338">
        <f>IF($K1636="","",$K1636)</f>
        <v/>
      </c>
      <c r="D1636" s="171" t="n"/>
      <c r="E1636" s="171" t="n"/>
      <c r="F1636" s="172" t="n"/>
      <c r="G1636" s="172" t="n"/>
      <c r="H1636" s="173">
        <f>IF(OR(F1636="",G1636=""),"",ROUND(MOD(G1636-F1636,1)*24,2))</f>
        <v/>
      </c>
      <c r="I1636" s="339" t="n"/>
      <c r="J1636" s="339" t="n"/>
      <c r="K1636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37" ht="20" customHeight="1">
      <c r="D1637" s="179" t="n"/>
      <c r="E1637" s="179" t="n"/>
      <c r="F1637" s="180" t="n"/>
      <c r="G1637" s="180" t="n"/>
      <c r="H1637" s="181">
        <f>IF(OR(F1637="",G1637=""),"",ROUND(MOD(G1637-F1637,1)*24,2))</f>
        <v/>
      </c>
      <c r="K1637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38" ht="20" customHeight="1">
      <c r="D1638" s="179" t="n"/>
      <c r="E1638" s="179" t="n"/>
      <c r="F1638" s="180" t="n"/>
      <c r="G1638" s="180" t="n"/>
      <c r="H1638" s="181">
        <f>IF(OR(F1638="",G1638=""),"",ROUND(MOD(G1638-F1638,1)*24,2))</f>
        <v/>
      </c>
      <c r="K1638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39" ht="20" customHeight="1">
      <c r="D1639" s="179" t="n"/>
      <c r="E1639" s="179" t="n"/>
      <c r="F1639" s="180" t="n"/>
      <c r="G1639" s="180" t="n"/>
      <c r="H1639" s="181">
        <f>IF(OR(F1639="",G1639=""),"",ROUND(MOD(G1639-F1639,1)*24,2))</f>
        <v/>
      </c>
      <c r="K1639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40" collapsed="1" ht="20" customHeight="1">
      <c r="D1640" s="179" t="n"/>
      <c r="E1640" s="179" t="n"/>
      <c r="F1640" s="180" t="n"/>
      <c r="G1640" s="180" t="n"/>
      <c r="H1640" s="181">
        <f>IF(OR(F1640="",G1640=""),"",ROUND(MOD(G1640-F1640,1)*24,2))</f>
        <v/>
      </c>
      <c r="K1640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41" hidden="1" outlineLevel="1" ht="20" customHeight="1">
      <c r="D1641" s="179" t="n"/>
      <c r="E1641" s="179" t="n"/>
      <c r="F1641" s="180" t="n"/>
      <c r="G1641" s="180" t="n"/>
      <c r="H1641" s="181">
        <f>IF(OR(F1641="",G1641=""),"",ROUND(MOD(G1641-F1641,1)*24,2))</f>
        <v/>
      </c>
      <c r="K1641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42" hidden="1" outlineLevel="1" ht="20" customHeight="1">
      <c r="D1642" s="179" t="n"/>
      <c r="E1642" s="179" t="n"/>
      <c r="F1642" s="180" t="n"/>
      <c r="G1642" s="180" t="n"/>
      <c r="H1642" s="181">
        <f>IF(OR(F1642="",G1642=""),"",ROUND(MOD(G1642-F1642,1)*24,2))</f>
        <v/>
      </c>
      <c r="K1642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43" hidden="1" outlineLevel="1" ht="20" customHeight="1">
      <c r="D1643" s="179" t="n"/>
      <c r="E1643" s="179" t="n"/>
      <c r="F1643" s="180" t="n"/>
      <c r="G1643" s="180" t="n"/>
      <c r="H1643" s="181">
        <f>IF(OR(F1643="",G1643=""),"",ROUND(MOD(G1643-F1643,1)*24,2))</f>
        <v/>
      </c>
      <c r="K1643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44" hidden="1" outlineLevel="1" ht="20" customHeight="1">
      <c r="D1644" s="179" t="n"/>
      <c r="E1644" s="179" t="n"/>
      <c r="F1644" s="180" t="n"/>
      <c r="G1644" s="180" t="n"/>
      <c r="H1644" s="181">
        <f>IF(OR(F1644="",G1644=""),"",ROUND(MOD(G1644-F1644,1)*24,2))</f>
        <v/>
      </c>
      <c r="K1644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45" hidden="1" outlineLevel="1" ht="20" customHeight="1">
      <c r="A1645" s="342" t="n"/>
      <c r="B1645" s="342" t="n"/>
      <c r="C1645" s="342" t="n"/>
      <c r="D1645" s="332" t="n"/>
      <c r="E1645" s="332" t="n"/>
      <c r="F1645" s="333" t="n"/>
      <c r="G1645" s="333" t="n"/>
      <c r="H1645" s="334">
        <f>IF(OR(F1645="",G1645=""),"",ROUND(MOD(G1645-F1645,1)*24,2))</f>
        <v/>
      </c>
      <c r="I1645" s="342" t="n"/>
      <c r="J1645" s="342" t="n"/>
      <c r="K1645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46" ht="20" customHeight="1">
      <c r="A1646" s="336">
        <f>IF($K1646="","",WEEKNUM($K1646,21))</f>
        <v/>
      </c>
      <c r="B1646" s="337">
        <f>IF($K1646="","",$K1646)</f>
        <v/>
      </c>
      <c r="C1646" s="338">
        <f>IF($K1646="","",$K1646)</f>
        <v/>
      </c>
      <c r="D1646" s="171" t="n"/>
      <c r="E1646" s="171" t="n"/>
      <c r="F1646" s="172" t="n"/>
      <c r="G1646" s="172" t="n"/>
      <c r="H1646" s="173">
        <f>IF(OR(F1646="",G1646=""),"",ROUND(MOD(G1646-F1646,1)*24,2))</f>
        <v/>
      </c>
      <c r="I1646" s="339" t="n"/>
      <c r="J1646" s="339" t="n"/>
      <c r="K1646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47" ht="20" customHeight="1">
      <c r="D1647" s="179" t="n"/>
      <c r="E1647" s="179" t="n"/>
      <c r="F1647" s="180" t="n"/>
      <c r="G1647" s="180" t="n"/>
      <c r="H1647" s="181">
        <f>IF(OR(F1647="",G1647=""),"",ROUND(MOD(G1647-F1647,1)*24,2))</f>
        <v/>
      </c>
      <c r="K1647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48" ht="20" customHeight="1">
      <c r="D1648" s="179" t="n"/>
      <c r="E1648" s="179" t="n"/>
      <c r="F1648" s="180" t="n"/>
      <c r="G1648" s="180" t="n"/>
      <c r="H1648" s="181">
        <f>IF(OR(F1648="",G1648=""),"",ROUND(MOD(G1648-F1648,1)*24,2))</f>
        <v/>
      </c>
      <c r="K1648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49" ht="20" customHeight="1">
      <c r="D1649" s="179" t="n"/>
      <c r="E1649" s="179" t="n"/>
      <c r="F1649" s="180" t="n"/>
      <c r="G1649" s="180" t="n"/>
      <c r="H1649" s="181">
        <f>IF(OR(F1649="",G1649=""),"",ROUND(MOD(G1649-F1649,1)*24,2))</f>
        <v/>
      </c>
      <c r="K1649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50" collapsed="1" ht="20" customHeight="1">
      <c r="D1650" s="179" t="n"/>
      <c r="E1650" s="179" t="n"/>
      <c r="F1650" s="180" t="n"/>
      <c r="G1650" s="180" t="n"/>
      <c r="H1650" s="181">
        <f>IF(OR(F1650="",G1650=""),"",ROUND(MOD(G1650-F1650,1)*24,2))</f>
        <v/>
      </c>
      <c r="K1650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51" hidden="1" outlineLevel="1" ht="20" customHeight="1">
      <c r="D1651" s="179" t="n"/>
      <c r="E1651" s="179" t="n"/>
      <c r="F1651" s="180" t="n"/>
      <c r="G1651" s="180" t="n"/>
      <c r="H1651" s="181">
        <f>IF(OR(F1651="",G1651=""),"",ROUND(MOD(G1651-F1651,1)*24,2))</f>
        <v/>
      </c>
      <c r="K1651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52" hidden="1" outlineLevel="1" ht="20" customHeight="1">
      <c r="D1652" s="179" t="n"/>
      <c r="E1652" s="179" t="n"/>
      <c r="F1652" s="180" t="n"/>
      <c r="G1652" s="180" t="n"/>
      <c r="H1652" s="181">
        <f>IF(OR(F1652="",G1652=""),"",ROUND(MOD(G1652-F1652,1)*24,2))</f>
        <v/>
      </c>
      <c r="K1652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53" hidden="1" outlineLevel="1" ht="20" customHeight="1">
      <c r="D1653" s="179" t="n"/>
      <c r="E1653" s="179" t="n"/>
      <c r="F1653" s="180" t="n"/>
      <c r="G1653" s="180" t="n"/>
      <c r="H1653" s="181">
        <f>IF(OR(F1653="",G1653=""),"",ROUND(MOD(G1653-F1653,1)*24,2))</f>
        <v/>
      </c>
      <c r="K1653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54" hidden="1" outlineLevel="1" ht="20" customHeight="1">
      <c r="D1654" s="179" t="n"/>
      <c r="E1654" s="179" t="n"/>
      <c r="F1654" s="180" t="n"/>
      <c r="G1654" s="180" t="n"/>
      <c r="H1654" s="181">
        <f>IF(OR(F1654="",G1654=""),"",ROUND(MOD(G1654-F1654,1)*24,2))</f>
        <v/>
      </c>
      <c r="K1654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55" hidden="1" outlineLevel="1" ht="20" customHeight="1">
      <c r="A1655" s="342" t="n"/>
      <c r="B1655" s="342" t="n"/>
      <c r="C1655" s="342" t="n"/>
      <c r="D1655" s="332" t="n"/>
      <c r="E1655" s="332" t="n"/>
      <c r="F1655" s="333" t="n"/>
      <c r="G1655" s="333" t="n"/>
      <c r="H1655" s="334">
        <f>IF(OR(F1655="",G1655=""),"",ROUND(MOD(G1655-F1655,1)*24,2))</f>
        <v/>
      </c>
      <c r="I1655" s="342" t="n"/>
      <c r="J1655" s="342" t="n"/>
      <c r="K1655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56" ht="20" customHeight="1">
      <c r="A1656" s="336">
        <f>IF($K1656="","",WEEKNUM($K1656,21))</f>
        <v/>
      </c>
      <c r="B1656" s="337">
        <f>IF($K1656="","",$K1656)</f>
        <v/>
      </c>
      <c r="C1656" s="338">
        <f>IF($K1656="","",$K1656)</f>
        <v/>
      </c>
      <c r="D1656" s="171" t="n"/>
      <c r="E1656" s="171" t="n"/>
      <c r="F1656" s="172" t="n"/>
      <c r="G1656" s="172" t="n"/>
      <c r="H1656" s="173">
        <f>IF(OR(F1656="",G1656=""),"",ROUND(MOD(G1656-F1656,1)*24,2))</f>
        <v/>
      </c>
      <c r="I1656" s="339" t="n"/>
      <c r="J1656" s="339" t="n"/>
      <c r="K1656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57" ht="20" customHeight="1">
      <c r="D1657" s="179" t="n"/>
      <c r="E1657" s="179" t="n"/>
      <c r="F1657" s="180" t="n"/>
      <c r="G1657" s="180" t="n"/>
      <c r="H1657" s="181">
        <f>IF(OR(F1657="",G1657=""),"",ROUND(MOD(G1657-F1657,1)*24,2))</f>
        <v/>
      </c>
      <c r="K1657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58" ht="20" customHeight="1">
      <c r="D1658" s="179" t="n"/>
      <c r="E1658" s="179" t="n"/>
      <c r="F1658" s="180" t="n"/>
      <c r="G1658" s="180" t="n"/>
      <c r="H1658" s="181">
        <f>IF(OR(F1658="",G1658=""),"",ROUND(MOD(G1658-F1658,1)*24,2))</f>
        <v/>
      </c>
      <c r="K1658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59" ht="20" customHeight="1">
      <c r="D1659" s="179" t="n"/>
      <c r="E1659" s="179" t="n"/>
      <c r="F1659" s="180" t="n"/>
      <c r="G1659" s="180" t="n"/>
      <c r="H1659" s="181">
        <f>IF(OR(F1659="",G1659=""),"",ROUND(MOD(G1659-F1659,1)*24,2))</f>
        <v/>
      </c>
      <c r="K1659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60" collapsed="1" ht="20" customHeight="1">
      <c r="D1660" s="179" t="n"/>
      <c r="E1660" s="179" t="n"/>
      <c r="F1660" s="180" t="n"/>
      <c r="G1660" s="180" t="n"/>
      <c r="H1660" s="181">
        <f>IF(OR(F1660="",G1660=""),"",ROUND(MOD(G1660-F1660,1)*24,2))</f>
        <v/>
      </c>
      <c r="K1660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61" hidden="1" outlineLevel="1" ht="20" customHeight="1">
      <c r="D1661" s="179" t="n"/>
      <c r="E1661" s="179" t="n"/>
      <c r="F1661" s="180" t="n"/>
      <c r="G1661" s="180" t="n"/>
      <c r="H1661" s="181">
        <f>IF(OR(F1661="",G1661=""),"",ROUND(MOD(G1661-F1661,1)*24,2))</f>
        <v/>
      </c>
      <c r="K1661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62" hidden="1" outlineLevel="1" ht="20" customHeight="1">
      <c r="D1662" s="179" t="n"/>
      <c r="E1662" s="179" t="n"/>
      <c r="F1662" s="180" t="n"/>
      <c r="G1662" s="180" t="n"/>
      <c r="H1662" s="181">
        <f>IF(OR(F1662="",G1662=""),"",ROUND(MOD(G1662-F1662,1)*24,2))</f>
        <v/>
      </c>
      <c r="K1662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63" hidden="1" outlineLevel="1" ht="20" customHeight="1">
      <c r="D1663" s="179" t="n"/>
      <c r="E1663" s="179" t="n"/>
      <c r="F1663" s="180" t="n"/>
      <c r="G1663" s="180" t="n"/>
      <c r="H1663" s="181">
        <f>IF(OR(F1663="",G1663=""),"",ROUND(MOD(G1663-F1663,1)*24,2))</f>
        <v/>
      </c>
      <c r="K1663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64" hidden="1" outlineLevel="1" ht="20" customHeight="1">
      <c r="D1664" s="179" t="n"/>
      <c r="E1664" s="179" t="n"/>
      <c r="F1664" s="180" t="n"/>
      <c r="G1664" s="180" t="n"/>
      <c r="H1664" s="181">
        <f>IF(OR(F1664="",G1664=""),"",ROUND(MOD(G1664-F1664,1)*24,2))</f>
        <v/>
      </c>
      <c r="K1664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65" hidden="1" outlineLevel="1" ht="20" customHeight="1">
      <c r="A1665" s="342" t="n"/>
      <c r="B1665" s="342" t="n"/>
      <c r="C1665" s="342" t="n"/>
      <c r="D1665" s="332" t="n"/>
      <c r="E1665" s="332" t="n"/>
      <c r="F1665" s="333" t="n"/>
      <c r="G1665" s="333" t="n"/>
      <c r="H1665" s="334">
        <f>IF(OR(F1665="",G1665=""),"",ROUND(MOD(G1665-F1665,1)*24,2))</f>
        <v/>
      </c>
      <c r="I1665" s="342" t="n"/>
      <c r="J1665" s="342" t="n"/>
      <c r="K1665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66" ht="20" customHeight="1">
      <c r="A1666" s="336">
        <f>IF($K1666="","",WEEKNUM($K1666,21))</f>
        <v/>
      </c>
      <c r="B1666" s="337">
        <f>IF($K1666="","",$K1666)</f>
        <v/>
      </c>
      <c r="C1666" s="338">
        <f>IF($K1666="","",$K1666)</f>
        <v/>
      </c>
      <c r="D1666" s="171" t="n"/>
      <c r="E1666" s="171" t="n"/>
      <c r="F1666" s="172" t="n"/>
      <c r="G1666" s="172" t="n"/>
      <c r="H1666" s="173">
        <f>IF(OR(F1666="",G1666=""),"",ROUND(MOD(G1666-F1666,1)*24,2))</f>
        <v/>
      </c>
      <c r="I1666" s="339" t="n"/>
      <c r="J1666" s="339" t="n"/>
      <c r="K1666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67" ht="20" customHeight="1">
      <c r="D1667" s="179" t="n"/>
      <c r="E1667" s="179" t="n"/>
      <c r="F1667" s="180" t="n"/>
      <c r="G1667" s="180" t="n"/>
      <c r="H1667" s="181">
        <f>IF(OR(F1667="",G1667=""),"",ROUND(MOD(G1667-F1667,1)*24,2))</f>
        <v/>
      </c>
      <c r="K1667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68" ht="20" customHeight="1">
      <c r="D1668" s="179" t="n"/>
      <c r="E1668" s="179" t="n"/>
      <c r="F1668" s="180" t="n"/>
      <c r="G1668" s="180" t="n"/>
      <c r="H1668" s="181">
        <f>IF(OR(F1668="",G1668=""),"",ROUND(MOD(G1668-F1668,1)*24,2))</f>
        <v/>
      </c>
      <c r="K1668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69" ht="20" customHeight="1">
      <c r="D1669" s="179" t="n"/>
      <c r="E1669" s="179" t="n"/>
      <c r="F1669" s="180" t="n"/>
      <c r="G1669" s="180" t="n"/>
      <c r="H1669" s="181">
        <f>IF(OR(F1669="",G1669=""),"",ROUND(MOD(G1669-F1669,1)*24,2))</f>
        <v/>
      </c>
      <c r="K1669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70" collapsed="1" ht="20" customHeight="1">
      <c r="D1670" s="179" t="n"/>
      <c r="E1670" s="179" t="n"/>
      <c r="F1670" s="180" t="n"/>
      <c r="G1670" s="180" t="n"/>
      <c r="H1670" s="181">
        <f>IF(OR(F1670="",G1670=""),"",ROUND(MOD(G1670-F1670,1)*24,2))</f>
        <v/>
      </c>
      <c r="K1670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71" hidden="1" outlineLevel="1" ht="20" customHeight="1">
      <c r="D1671" s="179" t="n"/>
      <c r="E1671" s="179" t="n"/>
      <c r="F1671" s="180" t="n"/>
      <c r="G1671" s="180" t="n"/>
      <c r="H1671" s="181">
        <f>IF(OR(F1671="",G1671=""),"",ROUND(MOD(G1671-F1671,1)*24,2))</f>
        <v/>
      </c>
      <c r="K1671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72" hidden="1" outlineLevel="1" ht="20" customHeight="1">
      <c r="D1672" s="179" t="n"/>
      <c r="E1672" s="179" t="n"/>
      <c r="F1672" s="180" t="n"/>
      <c r="G1672" s="180" t="n"/>
      <c r="H1672" s="181">
        <f>IF(OR(F1672="",G1672=""),"",ROUND(MOD(G1672-F1672,1)*24,2))</f>
        <v/>
      </c>
      <c r="K1672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73" hidden="1" outlineLevel="1" ht="20" customHeight="1">
      <c r="D1673" s="179" t="n"/>
      <c r="E1673" s="179" t="n"/>
      <c r="F1673" s="180" t="n"/>
      <c r="G1673" s="180" t="n"/>
      <c r="H1673" s="181">
        <f>IF(OR(F1673="",G1673=""),"",ROUND(MOD(G1673-F1673,1)*24,2))</f>
        <v/>
      </c>
      <c r="K1673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74" hidden="1" outlineLevel="1" ht="20" customHeight="1">
      <c r="D1674" s="179" t="n"/>
      <c r="E1674" s="179" t="n"/>
      <c r="F1674" s="180" t="n"/>
      <c r="G1674" s="180" t="n"/>
      <c r="H1674" s="181">
        <f>IF(OR(F1674="",G1674=""),"",ROUND(MOD(G1674-F1674,1)*24,2))</f>
        <v/>
      </c>
      <c r="K1674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75" hidden="1" outlineLevel="1" ht="20" customHeight="1">
      <c r="A1675" s="342" t="n"/>
      <c r="B1675" s="342" t="n"/>
      <c r="C1675" s="342" t="n"/>
      <c r="D1675" s="332" t="n"/>
      <c r="E1675" s="332" t="n"/>
      <c r="F1675" s="333" t="n"/>
      <c r="G1675" s="333" t="n"/>
      <c r="H1675" s="334">
        <f>IF(OR(F1675="",G1675=""),"",ROUND(MOD(G1675-F1675,1)*24,2))</f>
        <v/>
      </c>
      <c r="I1675" s="342" t="n"/>
      <c r="J1675" s="342" t="n"/>
      <c r="K1675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76" ht="20" customHeight="1">
      <c r="A1676" s="336">
        <f>IF($K1676="","",WEEKNUM($K1676,21))</f>
        <v/>
      </c>
      <c r="B1676" s="337">
        <f>IF($K1676="","",$K1676)</f>
        <v/>
      </c>
      <c r="C1676" s="338">
        <f>IF($K1676="","",$K1676)</f>
        <v/>
      </c>
      <c r="D1676" s="171" t="n"/>
      <c r="E1676" s="171" t="n"/>
      <c r="F1676" s="172" t="n"/>
      <c r="G1676" s="172" t="n"/>
      <c r="H1676" s="173">
        <f>IF(OR(F1676="",G1676=""),"",ROUND(MOD(G1676-F1676,1)*24,2))</f>
        <v/>
      </c>
      <c r="I1676" s="339" t="n"/>
      <c r="J1676" s="339" t="n"/>
      <c r="K1676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77" ht="20" customHeight="1">
      <c r="D1677" s="179" t="n"/>
      <c r="E1677" s="179" t="n"/>
      <c r="F1677" s="180" t="n"/>
      <c r="G1677" s="180" t="n"/>
      <c r="H1677" s="181">
        <f>IF(OR(F1677="",G1677=""),"",ROUND(MOD(G1677-F1677,1)*24,2))</f>
        <v/>
      </c>
      <c r="K1677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78" ht="20" customHeight="1">
      <c r="D1678" s="179" t="n"/>
      <c r="E1678" s="179" t="n"/>
      <c r="F1678" s="180" t="n"/>
      <c r="G1678" s="180" t="n"/>
      <c r="H1678" s="181">
        <f>IF(OR(F1678="",G1678=""),"",ROUND(MOD(G1678-F1678,1)*24,2))</f>
        <v/>
      </c>
      <c r="K1678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79" ht="20" customHeight="1">
      <c r="D1679" s="179" t="n"/>
      <c r="E1679" s="179" t="n"/>
      <c r="F1679" s="180" t="n"/>
      <c r="G1679" s="180" t="n"/>
      <c r="H1679" s="181">
        <f>IF(OR(F1679="",G1679=""),"",ROUND(MOD(G1679-F1679,1)*24,2))</f>
        <v/>
      </c>
      <c r="K1679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80" collapsed="1" ht="20" customHeight="1">
      <c r="D1680" s="179" t="n"/>
      <c r="E1680" s="179" t="n"/>
      <c r="F1680" s="180" t="n"/>
      <c r="G1680" s="180" t="n"/>
      <c r="H1680" s="181">
        <f>IF(OR(F1680="",G1680=""),"",ROUND(MOD(G1680-F1680,1)*24,2))</f>
        <v/>
      </c>
      <c r="K1680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81" hidden="1" outlineLevel="1" ht="20" customHeight="1">
      <c r="D1681" s="179" t="n"/>
      <c r="E1681" s="179" t="n"/>
      <c r="F1681" s="180" t="n"/>
      <c r="G1681" s="180" t="n"/>
      <c r="H1681" s="181">
        <f>IF(OR(F1681="",G1681=""),"",ROUND(MOD(G1681-F1681,1)*24,2))</f>
        <v/>
      </c>
      <c r="K1681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82" hidden="1" outlineLevel="1" ht="20" customHeight="1">
      <c r="D1682" s="179" t="n"/>
      <c r="E1682" s="179" t="n"/>
      <c r="F1682" s="180" t="n"/>
      <c r="G1682" s="180" t="n"/>
      <c r="H1682" s="181">
        <f>IF(OR(F1682="",G1682=""),"",ROUND(MOD(G1682-F1682,1)*24,2))</f>
        <v/>
      </c>
      <c r="K1682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83" hidden="1" outlineLevel="1" ht="20" customHeight="1">
      <c r="D1683" s="179" t="n"/>
      <c r="E1683" s="179" t="n"/>
      <c r="F1683" s="180" t="n"/>
      <c r="G1683" s="180" t="n"/>
      <c r="H1683" s="181">
        <f>IF(OR(F1683="",G1683=""),"",ROUND(MOD(G1683-F1683,1)*24,2))</f>
        <v/>
      </c>
      <c r="K1683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84" hidden="1" outlineLevel="1" ht="20" customHeight="1">
      <c r="D1684" s="179" t="n"/>
      <c r="E1684" s="179" t="n"/>
      <c r="F1684" s="180" t="n"/>
      <c r="G1684" s="180" t="n"/>
      <c r="H1684" s="181">
        <f>IF(OR(F1684="",G1684=""),"",ROUND(MOD(G1684-F1684,1)*24,2))</f>
        <v/>
      </c>
      <c r="K1684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85" hidden="1" outlineLevel="1" ht="20" customHeight="1">
      <c r="A1685" s="342" t="n"/>
      <c r="B1685" s="342" t="n"/>
      <c r="C1685" s="342" t="n"/>
      <c r="D1685" s="332" t="n"/>
      <c r="E1685" s="332" t="n"/>
      <c r="F1685" s="333" t="n"/>
      <c r="G1685" s="333" t="n"/>
      <c r="H1685" s="334">
        <f>IF(OR(F1685="",G1685=""),"",ROUND(MOD(G1685-F1685,1)*24,2))</f>
        <v/>
      </c>
      <c r="I1685" s="342" t="n"/>
      <c r="J1685" s="342" t="n"/>
      <c r="K1685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686" ht="20" customHeight="1">
      <c r="A1686" s="336">
        <f>IF($K1686="","",WEEKNUM($K1686,21))</f>
        <v/>
      </c>
      <c r="B1686" s="337">
        <f>IF($K1686="","",$K1686)</f>
        <v/>
      </c>
      <c r="C1686" s="338">
        <f>IF($K1686="","",$K1686)</f>
        <v/>
      </c>
      <c r="D1686" s="171" t="n"/>
      <c r="E1686" s="171" t="n"/>
      <c r="F1686" s="172" t="n"/>
      <c r="G1686" s="172" t="n"/>
      <c r="H1686" s="173">
        <f>IF(OR(F1686="",G1686=""),"",ROUND(MOD(G1686-F1686,1)*24,2))</f>
        <v/>
      </c>
      <c r="I1686" s="339" t="n"/>
      <c r="J1686" s="339" t="n"/>
      <c r="K1686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87" ht="20" customHeight="1">
      <c r="D1687" s="179" t="n"/>
      <c r="E1687" s="179" t="n"/>
      <c r="F1687" s="180" t="n"/>
      <c r="G1687" s="180" t="n"/>
      <c r="H1687" s="181">
        <f>IF(OR(F1687="",G1687=""),"",ROUND(MOD(G1687-F1687,1)*24,2))</f>
        <v/>
      </c>
      <c r="K1687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88" ht="20" customHeight="1">
      <c r="D1688" s="179" t="n"/>
      <c r="E1688" s="179" t="n"/>
      <c r="F1688" s="180" t="n"/>
      <c r="G1688" s="180" t="n"/>
      <c r="H1688" s="181">
        <f>IF(OR(F1688="",G1688=""),"",ROUND(MOD(G1688-F1688,1)*24,2))</f>
        <v/>
      </c>
      <c r="K1688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89" ht="20" customHeight="1">
      <c r="D1689" s="179" t="n"/>
      <c r="E1689" s="179" t="n"/>
      <c r="F1689" s="180" t="n"/>
      <c r="G1689" s="180" t="n"/>
      <c r="H1689" s="181">
        <f>IF(OR(F1689="",G1689=""),"",ROUND(MOD(G1689-F1689,1)*24,2))</f>
        <v/>
      </c>
      <c r="K1689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90" collapsed="1" ht="20" customHeight="1">
      <c r="D1690" s="179" t="n"/>
      <c r="E1690" s="179" t="n"/>
      <c r="F1690" s="180" t="n"/>
      <c r="G1690" s="180" t="n"/>
      <c r="H1690" s="181">
        <f>IF(OR(F1690="",G1690=""),"",ROUND(MOD(G1690-F1690,1)*24,2))</f>
        <v/>
      </c>
      <c r="K1690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91" hidden="1" outlineLevel="1" ht="20" customHeight="1">
      <c r="D1691" s="179" t="n"/>
      <c r="E1691" s="179" t="n"/>
      <c r="F1691" s="180" t="n"/>
      <c r="G1691" s="180" t="n"/>
      <c r="H1691" s="181">
        <f>IF(OR(F1691="",G1691=""),"",ROUND(MOD(G1691-F1691,1)*24,2))</f>
        <v/>
      </c>
      <c r="K1691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92" hidden="1" outlineLevel="1" ht="20" customHeight="1">
      <c r="D1692" s="179" t="n"/>
      <c r="E1692" s="179" t="n"/>
      <c r="F1692" s="180" t="n"/>
      <c r="G1692" s="180" t="n"/>
      <c r="H1692" s="181">
        <f>IF(OR(F1692="",G1692=""),"",ROUND(MOD(G1692-F1692,1)*24,2))</f>
        <v/>
      </c>
      <c r="K1692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93" hidden="1" outlineLevel="1" ht="20" customHeight="1">
      <c r="D1693" s="179" t="n"/>
      <c r="E1693" s="179" t="n"/>
      <c r="F1693" s="180" t="n"/>
      <c r="G1693" s="180" t="n"/>
      <c r="H1693" s="181">
        <f>IF(OR(F1693="",G1693=""),"",ROUND(MOD(G1693-F1693,1)*24,2))</f>
        <v/>
      </c>
      <c r="K1693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94" hidden="1" outlineLevel="1" ht="20" customHeight="1">
      <c r="D1694" s="179" t="n"/>
      <c r="E1694" s="179" t="n"/>
      <c r="F1694" s="180" t="n"/>
      <c r="G1694" s="180" t="n"/>
      <c r="H1694" s="181">
        <f>IF(OR(F1694="",G1694=""),"",ROUND(MOD(G1694-F1694,1)*24,2))</f>
        <v/>
      </c>
      <c r="K1694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95" hidden="1" outlineLevel="1" ht="20" customHeight="1">
      <c r="A1695" s="342" t="n"/>
      <c r="B1695" s="342" t="n"/>
      <c r="C1695" s="342" t="n"/>
      <c r="D1695" s="332" t="n"/>
      <c r="E1695" s="332" t="n"/>
      <c r="F1695" s="333" t="n"/>
      <c r="G1695" s="333" t="n"/>
      <c r="H1695" s="334">
        <f>IF(OR(F1695="",G1695=""),"",ROUND(MOD(G1695-F1695,1)*24,2))</f>
        <v/>
      </c>
      <c r="I1695" s="342" t="n"/>
      <c r="J1695" s="342" t="n"/>
      <c r="K1695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696" ht="20" customHeight="1">
      <c r="A1696" s="336">
        <f>IF($K1696="","",WEEKNUM($K1696,21))</f>
        <v/>
      </c>
      <c r="B1696" s="337">
        <f>IF($K1696="","",$K1696)</f>
        <v/>
      </c>
      <c r="C1696" s="338">
        <f>IF($K1696="","",$K1696)</f>
        <v/>
      </c>
      <c r="D1696" s="171" t="n"/>
      <c r="E1696" s="171" t="n"/>
      <c r="F1696" s="172" t="n"/>
      <c r="G1696" s="172" t="n"/>
      <c r="H1696" s="173">
        <f>IF(OR(F1696="",G1696=""),"",ROUND(MOD(G1696-F1696,1)*24,2))</f>
        <v/>
      </c>
      <c r="I1696" s="339" t="n"/>
      <c r="J1696" s="339" t="n"/>
      <c r="K1696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697" ht="20" customHeight="1">
      <c r="D1697" s="179" t="n"/>
      <c r="E1697" s="179" t="n"/>
      <c r="F1697" s="180" t="n"/>
      <c r="G1697" s="180" t="n"/>
      <c r="H1697" s="181">
        <f>IF(OR(F1697="",G1697=""),"",ROUND(MOD(G1697-F1697,1)*24,2))</f>
        <v/>
      </c>
      <c r="K1697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698" ht="20" customHeight="1">
      <c r="D1698" s="179" t="n"/>
      <c r="E1698" s="179" t="n"/>
      <c r="F1698" s="180" t="n"/>
      <c r="G1698" s="180" t="n"/>
      <c r="H1698" s="181">
        <f>IF(OR(F1698="",G1698=""),"",ROUND(MOD(G1698-F1698,1)*24,2))</f>
        <v/>
      </c>
      <c r="K1698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699" ht="20" customHeight="1">
      <c r="D1699" s="179" t="n"/>
      <c r="E1699" s="179" t="n"/>
      <c r="F1699" s="180" t="n"/>
      <c r="G1699" s="180" t="n"/>
      <c r="H1699" s="181">
        <f>IF(OR(F1699="",G1699=""),"",ROUND(MOD(G1699-F1699,1)*24,2))</f>
        <v/>
      </c>
      <c r="K1699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700" collapsed="1" ht="20" customHeight="1">
      <c r="D1700" s="179" t="n"/>
      <c r="E1700" s="179" t="n"/>
      <c r="F1700" s="180" t="n"/>
      <c r="G1700" s="180" t="n"/>
      <c r="H1700" s="181">
        <f>IF(OR(F1700="",G1700=""),"",ROUND(MOD(G1700-F1700,1)*24,2))</f>
        <v/>
      </c>
      <c r="K1700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701" hidden="1" outlineLevel="1" ht="20" customHeight="1">
      <c r="D1701" s="179" t="n"/>
      <c r="E1701" s="179" t="n"/>
      <c r="F1701" s="180" t="n"/>
      <c r="G1701" s="180" t="n"/>
      <c r="H1701" s="181">
        <f>IF(OR(F1701="",G1701=""),"",ROUND(MOD(G1701-F1701,1)*24,2))</f>
        <v/>
      </c>
      <c r="K1701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702" hidden="1" outlineLevel="1" ht="20" customHeight="1">
      <c r="D1702" s="179" t="n"/>
      <c r="E1702" s="179" t="n"/>
      <c r="F1702" s="180" t="n"/>
      <c r="G1702" s="180" t="n"/>
      <c r="H1702" s="181">
        <f>IF(OR(F1702="",G1702=""),"",ROUND(MOD(G1702-F1702,1)*24,2))</f>
        <v/>
      </c>
      <c r="K1702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703" hidden="1" outlineLevel="1" ht="20" customHeight="1">
      <c r="D1703" s="179" t="n"/>
      <c r="E1703" s="179" t="n"/>
      <c r="F1703" s="180" t="n"/>
      <c r="G1703" s="180" t="n"/>
      <c r="H1703" s="181">
        <f>IF(OR(F1703="",G1703=""),"",ROUND(MOD(G1703-F1703,1)*24,2))</f>
        <v/>
      </c>
      <c r="K1703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704" hidden="1" outlineLevel="1" ht="20" customHeight="1">
      <c r="D1704" s="179" t="n"/>
      <c r="E1704" s="179" t="n"/>
      <c r="F1704" s="180" t="n"/>
      <c r="G1704" s="180" t="n"/>
      <c r="H1704" s="181">
        <f>IF(OR(F1704="",G1704=""),"",ROUND(MOD(G1704-F1704,1)*24,2))</f>
        <v/>
      </c>
      <c r="K1704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705" hidden="1" outlineLevel="1" ht="20" customHeight="1">
      <c r="A1705" s="342" t="n"/>
      <c r="B1705" s="342" t="n"/>
      <c r="C1705" s="342" t="n"/>
      <c r="D1705" s="332" t="n"/>
      <c r="E1705" s="332" t="n"/>
      <c r="F1705" s="333" t="n"/>
      <c r="G1705" s="333" t="n"/>
      <c r="H1705" s="334">
        <f>IF(OR(F1705="",G1705=""),"",ROUND(MOD(G1705-F1705,1)*24,2))</f>
        <v/>
      </c>
      <c r="I1705" s="342" t="n"/>
      <c r="J1705" s="342" t="n"/>
      <c r="K1705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706" ht="20" customHeight="1">
      <c r="A1706" s="336">
        <f>IF($K1706="","",WEEKNUM($K1706,21))</f>
        <v/>
      </c>
      <c r="B1706" s="337">
        <f>IF($K1706="","",$K1706)</f>
        <v/>
      </c>
      <c r="C1706" s="338">
        <f>IF($K1706="","",$K1706)</f>
        <v/>
      </c>
      <c r="D1706" s="171" t="n"/>
      <c r="E1706" s="171" t="n"/>
      <c r="F1706" s="172" t="n"/>
      <c r="G1706" s="172" t="n"/>
      <c r="H1706" s="173">
        <f>IF(OR(F1706="",G1706=""),"",ROUND(MOD(G1706-F1706,1)*24,2))</f>
        <v/>
      </c>
      <c r="I1706" s="339" t="n"/>
      <c r="J1706" s="339" t="n"/>
      <c r="K1706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07" ht="20" customHeight="1">
      <c r="D1707" s="179" t="n"/>
      <c r="E1707" s="179" t="n"/>
      <c r="F1707" s="180" t="n"/>
      <c r="G1707" s="180" t="n"/>
      <c r="H1707" s="181">
        <f>IF(OR(F1707="",G1707=""),"",ROUND(MOD(G1707-F1707,1)*24,2))</f>
        <v/>
      </c>
      <c r="K1707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08" ht="20" customHeight="1">
      <c r="D1708" s="179" t="n"/>
      <c r="E1708" s="179" t="n"/>
      <c r="F1708" s="180" t="n"/>
      <c r="G1708" s="180" t="n"/>
      <c r="H1708" s="181">
        <f>IF(OR(F1708="",G1708=""),"",ROUND(MOD(G1708-F1708,1)*24,2))</f>
        <v/>
      </c>
      <c r="K1708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09" ht="20" customHeight="1">
      <c r="D1709" s="179" t="n"/>
      <c r="E1709" s="179" t="n"/>
      <c r="F1709" s="180" t="n"/>
      <c r="G1709" s="180" t="n"/>
      <c r="H1709" s="181">
        <f>IF(OR(F1709="",G1709=""),"",ROUND(MOD(G1709-F1709,1)*24,2))</f>
        <v/>
      </c>
      <c r="K1709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10" collapsed="1" ht="20" customHeight="1">
      <c r="D1710" s="179" t="n"/>
      <c r="E1710" s="179" t="n"/>
      <c r="F1710" s="180" t="n"/>
      <c r="G1710" s="180" t="n"/>
      <c r="H1710" s="181">
        <f>IF(OR(F1710="",G1710=""),"",ROUND(MOD(G1710-F1710,1)*24,2))</f>
        <v/>
      </c>
      <c r="K1710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11" hidden="1" outlineLevel="1" ht="20" customHeight="1">
      <c r="D1711" s="179" t="n"/>
      <c r="E1711" s="179" t="n"/>
      <c r="F1711" s="180" t="n"/>
      <c r="G1711" s="180" t="n"/>
      <c r="H1711" s="181">
        <f>IF(OR(F1711="",G1711=""),"",ROUND(MOD(G1711-F1711,1)*24,2))</f>
        <v/>
      </c>
      <c r="K1711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12" hidden="1" outlineLevel="1" ht="20" customHeight="1">
      <c r="D1712" s="179" t="n"/>
      <c r="E1712" s="179" t="n"/>
      <c r="F1712" s="180" t="n"/>
      <c r="G1712" s="180" t="n"/>
      <c r="H1712" s="181">
        <f>IF(OR(F1712="",G1712=""),"",ROUND(MOD(G1712-F1712,1)*24,2))</f>
        <v/>
      </c>
      <c r="K1712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13" hidden="1" outlineLevel="1" ht="20" customHeight="1">
      <c r="D1713" s="179" t="n"/>
      <c r="E1713" s="179" t="n"/>
      <c r="F1713" s="180" t="n"/>
      <c r="G1713" s="180" t="n"/>
      <c r="H1713" s="181">
        <f>IF(OR(F1713="",G1713=""),"",ROUND(MOD(G1713-F1713,1)*24,2))</f>
        <v/>
      </c>
      <c r="K1713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14" hidden="1" outlineLevel="1" ht="20" customHeight="1">
      <c r="D1714" s="179" t="n"/>
      <c r="E1714" s="179" t="n"/>
      <c r="F1714" s="180" t="n"/>
      <c r="G1714" s="180" t="n"/>
      <c r="H1714" s="181">
        <f>IF(OR(F1714="",G1714=""),"",ROUND(MOD(G1714-F1714,1)*24,2))</f>
        <v/>
      </c>
      <c r="K1714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15" hidden="1" outlineLevel="1" ht="20" customHeight="1">
      <c r="A1715" s="342" t="n"/>
      <c r="B1715" s="342" t="n"/>
      <c r="C1715" s="342" t="n"/>
      <c r="D1715" s="332" t="n"/>
      <c r="E1715" s="332" t="n"/>
      <c r="F1715" s="333" t="n"/>
      <c r="G1715" s="333" t="n"/>
      <c r="H1715" s="334">
        <f>IF(OR(F1715="",G1715=""),"",ROUND(MOD(G1715-F1715,1)*24,2))</f>
        <v/>
      </c>
      <c r="I1715" s="342" t="n"/>
      <c r="J1715" s="342" t="n"/>
      <c r="K1715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16" ht="20" customHeight="1">
      <c r="A1716" s="336">
        <f>IF($K1716="","",WEEKNUM($K1716,21))</f>
        <v/>
      </c>
      <c r="B1716" s="337">
        <f>IF($K1716="","",$K1716)</f>
        <v/>
      </c>
      <c r="C1716" s="338">
        <f>IF($K1716="","",$K1716)</f>
        <v/>
      </c>
      <c r="D1716" s="171" t="n"/>
      <c r="E1716" s="171" t="n"/>
      <c r="F1716" s="172" t="n"/>
      <c r="G1716" s="172" t="n"/>
      <c r="H1716" s="173">
        <f>IF(OR(F1716="",G1716=""),"",ROUND(MOD(G1716-F1716,1)*24,2))</f>
        <v/>
      </c>
      <c r="I1716" s="339" t="n"/>
      <c r="J1716" s="339" t="n"/>
      <c r="K1716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17" ht="20" customHeight="1">
      <c r="D1717" s="179" t="n"/>
      <c r="E1717" s="179" t="n"/>
      <c r="F1717" s="180" t="n"/>
      <c r="G1717" s="180" t="n"/>
      <c r="H1717" s="181">
        <f>IF(OR(F1717="",G1717=""),"",ROUND(MOD(G1717-F1717,1)*24,2))</f>
        <v/>
      </c>
      <c r="K1717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18" ht="20" customHeight="1">
      <c r="D1718" s="179" t="n"/>
      <c r="E1718" s="179" t="n"/>
      <c r="F1718" s="180" t="n"/>
      <c r="G1718" s="180" t="n"/>
      <c r="H1718" s="181">
        <f>IF(OR(F1718="",G1718=""),"",ROUND(MOD(G1718-F1718,1)*24,2))</f>
        <v/>
      </c>
      <c r="K1718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19" ht="20" customHeight="1">
      <c r="D1719" s="179" t="n"/>
      <c r="E1719" s="179" t="n"/>
      <c r="F1719" s="180" t="n"/>
      <c r="G1719" s="180" t="n"/>
      <c r="H1719" s="181">
        <f>IF(OR(F1719="",G1719=""),"",ROUND(MOD(G1719-F1719,1)*24,2))</f>
        <v/>
      </c>
      <c r="K1719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20" collapsed="1" ht="20" customHeight="1">
      <c r="D1720" s="179" t="n"/>
      <c r="E1720" s="179" t="n"/>
      <c r="F1720" s="180" t="n"/>
      <c r="G1720" s="180" t="n"/>
      <c r="H1720" s="181">
        <f>IF(OR(F1720="",G1720=""),"",ROUND(MOD(G1720-F1720,1)*24,2))</f>
        <v/>
      </c>
      <c r="K1720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21" hidden="1" outlineLevel="1" ht="20" customHeight="1">
      <c r="D1721" s="179" t="n"/>
      <c r="E1721" s="179" t="n"/>
      <c r="F1721" s="180" t="n"/>
      <c r="G1721" s="180" t="n"/>
      <c r="H1721" s="181">
        <f>IF(OR(F1721="",G1721=""),"",ROUND(MOD(G1721-F1721,1)*24,2))</f>
        <v/>
      </c>
      <c r="K1721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22" hidden="1" outlineLevel="1" ht="20" customHeight="1">
      <c r="D1722" s="179" t="n"/>
      <c r="E1722" s="179" t="n"/>
      <c r="F1722" s="180" t="n"/>
      <c r="G1722" s="180" t="n"/>
      <c r="H1722" s="181">
        <f>IF(OR(F1722="",G1722=""),"",ROUND(MOD(G1722-F1722,1)*24,2))</f>
        <v/>
      </c>
      <c r="K1722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23" hidden="1" outlineLevel="1" ht="20" customHeight="1">
      <c r="D1723" s="179" t="n"/>
      <c r="E1723" s="179" t="n"/>
      <c r="F1723" s="180" t="n"/>
      <c r="G1723" s="180" t="n"/>
      <c r="H1723" s="181">
        <f>IF(OR(F1723="",G1723=""),"",ROUND(MOD(G1723-F1723,1)*24,2))</f>
        <v/>
      </c>
      <c r="K1723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24" hidden="1" outlineLevel="1" ht="20" customHeight="1">
      <c r="D1724" s="179" t="n"/>
      <c r="E1724" s="179" t="n"/>
      <c r="F1724" s="180" t="n"/>
      <c r="G1724" s="180" t="n"/>
      <c r="H1724" s="181">
        <f>IF(OR(F1724="",G1724=""),"",ROUND(MOD(G1724-F1724,1)*24,2))</f>
        <v/>
      </c>
      <c r="K1724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25" hidden="1" outlineLevel="1" ht="20" customHeight="1">
      <c r="A1725" s="342" t="n"/>
      <c r="B1725" s="342" t="n"/>
      <c r="C1725" s="342" t="n"/>
      <c r="D1725" s="332" t="n"/>
      <c r="E1725" s="332" t="n"/>
      <c r="F1725" s="333" t="n"/>
      <c r="G1725" s="333" t="n"/>
      <c r="H1725" s="334">
        <f>IF(OR(F1725="",G1725=""),"",ROUND(MOD(G1725-F1725,1)*24,2))</f>
        <v/>
      </c>
      <c r="I1725" s="342" t="n"/>
      <c r="J1725" s="342" t="n"/>
      <c r="K1725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26" ht="20" customHeight="1">
      <c r="A1726" s="336">
        <f>IF($K1726="","",WEEKNUM($K1726,21))</f>
        <v/>
      </c>
      <c r="B1726" s="337">
        <f>IF($K1726="","",$K1726)</f>
        <v/>
      </c>
      <c r="C1726" s="338">
        <f>IF($K1726="","",$K1726)</f>
        <v/>
      </c>
      <c r="D1726" s="171" t="n"/>
      <c r="E1726" s="171" t="n"/>
      <c r="F1726" s="172" t="n"/>
      <c r="G1726" s="172" t="n"/>
      <c r="H1726" s="173">
        <f>IF(OR(F1726="",G1726=""),"",ROUND(MOD(G1726-F1726,1)*24,2))</f>
        <v/>
      </c>
      <c r="I1726" s="339" t="n"/>
      <c r="J1726" s="339" t="n"/>
      <c r="K1726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27" ht="20" customHeight="1">
      <c r="D1727" s="179" t="n"/>
      <c r="E1727" s="179" t="n"/>
      <c r="F1727" s="180" t="n"/>
      <c r="G1727" s="180" t="n"/>
      <c r="H1727" s="181">
        <f>IF(OR(F1727="",G1727=""),"",ROUND(MOD(G1727-F1727,1)*24,2))</f>
        <v/>
      </c>
      <c r="K1727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28" ht="20" customHeight="1">
      <c r="D1728" s="179" t="n"/>
      <c r="E1728" s="179" t="n"/>
      <c r="F1728" s="180" t="n"/>
      <c r="G1728" s="180" t="n"/>
      <c r="H1728" s="181">
        <f>IF(OR(F1728="",G1728=""),"",ROUND(MOD(G1728-F1728,1)*24,2))</f>
        <v/>
      </c>
      <c r="K1728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29" ht="20" customHeight="1">
      <c r="D1729" s="179" t="n"/>
      <c r="E1729" s="179" t="n"/>
      <c r="F1729" s="180" t="n"/>
      <c r="G1729" s="180" t="n"/>
      <c r="H1729" s="181">
        <f>IF(OR(F1729="",G1729=""),"",ROUND(MOD(G1729-F1729,1)*24,2))</f>
        <v/>
      </c>
      <c r="K1729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30" collapsed="1" ht="20" customHeight="1">
      <c r="D1730" s="179" t="n"/>
      <c r="E1730" s="179" t="n"/>
      <c r="F1730" s="180" t="n"/>
      <c r="G1730" s="180" t="n"/>
      <c r="H1730" s="181">
        <f>IF(OR(F1730="",G1730=""),"",ROUND(MOD(G1730-F1730,1)*24,2))</f>
        <v/>
      </c>
      <c r="K1730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31" hidden="1" outlineLevel="1" ht="20" customHeight="1">
      <c r="D1731" s="179" t="n"/>
      <c r="E1731" s="179" t="n"/>
      <c r="F1731" s="180" t="n"/>
      <c r="G1731" s="180" t="n"/>
      <c r="H1731" s="181">
        <f>IF(OR(F1731="",G1731=""),"",ROUND(MOD(G1731-F1731,1)*24,2))</f>
        <v/>
      </c>
      <c r="K1731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32" hidden="1" outlineLevel="1" ht="20" customHeight="1">
      <c r="D1732" s="179" t="n"/>
      <c r="E1732" s="179" t="n"/>
      <c r="F1732" s="180" t="n"/>
      <c r="G1732" s="180" t="n"/>
      <c r="H1732" s="181">
        <f>IF(OR(F1732="",G1732=""),"",ROUND(MOD(G1732-F1732,1)*24,2))</f>
        <v/>
      </c>
      <c r="K1732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33" hidden="1" outlineLevel="1" ht="20" customHeight="1">
      <c r="D1733" s="179" t="n"/>
      <c r="E1733" s="179" t="n"/>
      <c r="F1733" s="180" t="n"/>
      <c r="G1733" s="180" t="n"/>
      <c r="H1733" s="181">
        <f>IF(OR(F1733="",G1733=""),"",ROUND(MOD(G1733-F1733,1)*24,2))</f>
        <v/>
      </c>
      <c r="K1733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34" hidden="1" outlineLevel="1" ht="20" customHeight="1">
      <c r="D1734" s="179" t="n"/>
      <c r="E1734" s="179" t="n"/>
      <c r="F1734" s="180" t="n"/>
      <c r="G1734" s="180" t="n"/>
      <c r="H1734" s="181">
        <f>IF(OR(F1734="",G1734=""),"",ROUND(MOD(G1734-F1734,1)*24,2))</f>
        <v/>
      </c>
      <c r="K1734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35" hidden="1" outlineLevel="1" ht="20" customHeight="1">
      <c r="A1735" s="342" t="n"/>
      <c r="B1735" s="342" t="n"/>
      <c r="C1735" s="342" t="n"/>
      <c r="D1735" s="332" t="n"/>
      <c r="E1735" s="332" t="n"/>
      <c r="F1735" s="333" t="n"/>
      <c r="G1735" s="333" t="n"/>
      <c r="H1735" s="334">
        <f>IF(OR(F1735="",G1735=""),"",ROUND(MOD(G1735-F1735,1)*24,2))</f>
        <v/>
      </c>
      <c r="I1735" s="342" t="n"/>
      <c r="J1735" s="342" t="n"/>
      <c r="K1735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36" ht="20" customHeight="1">
      <c r="A1736" s="336">
        <f>IF($K1736="","",WEEKNUM($K1736,21))</f>
        <v/>
      </c>
      <c r="B1736" s="337">
        <f>IF($K1736="","",$K1736)</f>
        <v/>
      </c>
      <c r="C1736" s="338">
        <f>IF($K1736="","",$K1736)</f>
        <v/>
      </c>
      <c r="D1736" s="171" t="n"/>
      <c r="E1736" s="171" t="n"/>
      <c r="F1736" s="172" t="n"/>
      <c r="G1736" s="172" t="n"/>
      <c r="H1736" s="173">
        <f>IF(OR(F1736="",G1736=""),"",ROUND(MOD(G1736-F1736,1)*24,2))</f>
        <v/>
      </c>
      <c r="I1736" s="339" t="n"/>
      <c r="J1736" s="339" t="n"/>
      <c r="K1736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37" ht="20" customHeight="1">
      <c r="D1737" s="179" t="n"/>
      <c r="E1737" s="179" t="n"/>
      <c r="F1737" s="180" t="n"/>
      <c r="G1737" s="180" t="n"/>
      <c r="H1737" s="181">
        <f>IF(OR(F1737="",G1737=""),"",ROUND(MOD(G1737-F1737,1)*24,2))</f>
        <v/>
      </c>
      <c r="K1737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38" ht="20" customHeight="1">
      <c r="D1738" s="179" t="n"/>
      <c r="E1738" s="179" t="n"/>
      <c r="F1738" s="180" t="n"/>
      <c r="G1738" s="180" t="n"/>
      <c r="H1738" s="181">
        <f>IF(OR(F1738="",G1738=""),"",ROUND(MOD(G1738-F1738,1)*24,2))</f>
        <v/>
      </c>
      <c r="K1738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39" ht="20" customHeight="1">
      <c r="D1739" s="179" t="n"/>
      <c r="E1739" s="179" t="n"/>
      <c r="F1739" s="180" t="n"/>
      <c r="G1739" s="180" t="n"/>
      <c r="H1739" s="181">
        <f>IF(OR(F1739="",G1739=""),"",ROUND(MOD(G1739-F1739,1)*24,2))</f>
        <v/>
      </c>
      <c r="K1739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40" collapsed="1" ht="20" customHeight="1">
      <c r="D1740" s="179" t="n"/>
      <c r="E1740" s="179" t="n"/>
      <c r="F1740" s="180" t="n"/>
      <c r="G1740" s="180" t="n"/>
      <c r="H1740" s="181">
        <f>IF(OR(F1740="",G1740=""),"",ROUND(MOD(G1740-F1740,1)*24,2))</f>
        <v/>
      </c>
      <c r="K1740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41" hidden="1" outlineLevel="1" ht="20" customHeight="1">
      <c r="D1741" s="179" t="n"/>
      <c r="E1741" s="179" t="n"/>
      <c r="F1741" s="180" t="n"/>
      <c r="G1741" s="180" t="n"/>
      <c r="H1741" s="181">
        <f>IF(OR(F1741="",G1741=""),"",ROUND(MOD(G1741-F1741,1)*24,2))</f>
        <v/>
      </c>
      <c r="K1741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42" hidden="1" outlineLevel="1" ht="20" customHeight="1">
      <c r="D1742" s="179" t="n"/>
      <c r="E1742" s="179" t="n"/>
      <c r="F1742" s="180" t="n"/>
      <c r="G1742" s="180" t="n"/>
      <c r="H1742" s="181">
        <f>IF(OR(F1742="",G1742=""),"",ROUND(MOD(G1742-F1742,1)*24,2))</f>
        <v/>
      </c>
      <c r="K1742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43" hidden="1" outlineLevel="1" ht="20" customHeight="1">
      <c r="D1743" s="179" t="n"/>
      <c r="E1743" s="179" t="n"/>
      <c r="F1743" s="180" t="n"/>
      <c r="G1743" s="180" t="n"/>
      <c r="H1743" s="181">
        <f>IF(OR(F1743="",G1743=""),"",ROUND(MOD(G1743-F1743,1)*24,2))</f>
        <v/>
      </c>
      <c r="K1743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44" hidden="1" outlineLevel="1" ht="20" customHeight="1">
      <c r="D1744" s="179" t="n"/>
      <c r="E1744" s="179" t="n"/>
      <c r="F1744" s="180" t="n"/>
      <c r="G1744" s="180" t="n"/>
      <c r="H1744" s="181">
        <f>IF(OR(F1744="",G1744=""),"",ROUND(MOD(G1744-F1744,1)*24,2))</f>
        <v/>
      </c>
      <c r="K1744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45" hidden="1" outlineLevel="1" ht="20" customHeight="1">
      <c r="A1745" s="342" t="n"/>
      <c r="B1745" s="342" t="n"/>
      <c r="C1745" s="342" t="n"/>
      <c r="D1745" s="332" t="n"/>
      <c r="E1745" s="332" t="n"/>
      <c r="F1745" s="333" t="n"/>
      <c r="G1745" s="333" t="n"/>
      <c r="H1745" s="334">
        <f>IF(OR(F1745="",G1745=""),"",ROUND(MOD(G1745-F1745,1)*24,2))</f>
        <v/>
      </c>
      <c r="I1745" s="342" t="n"/>
      <c r="J1745" s="342" t="n"/>
      <c r="K1745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46" ht="20" customHeight="1">
      <c r="A1746" s="336">
        <f>IF($K1746="","",WEEKNUM($K1746,21))</f>
        <v/>
      </c>
      <c r="B1746" s="337">
        <f>IF($K1746="","",$K1746)</f>
        <v/>
      </c>
      <c r="C1746" s="338">
        <f>IF($K1746="","",$K1746)</f>
        <v/>
      </c>
      <c r="D1746" s="171" t="n"/>
      <c r="E1746" s="171" t="n"/>
      <c r="F1746" s="172" t="n"/>
      <c r="G1746" s="172" t="n"/>
      <c r="H1746" s="173">
        <f>IF(OR(F1746="",G1746=""),"",ROUND(MOD(G1746-F1746,1)*24,2))</f>
        <v/>
      </c>
      <c r="I1746" s="339" t="n"/>
      <c r="J1746" s="339" t="n"/>
      <c r="K1746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47" ht="20" customHeight="1">
      <c r="D1747" s="179" t="n"/>
      <c r="E1747" s="179" t="n"/>
      <c r="F1747" s="180" t="n"/>
      <c r="G1747" s="180" t="n"/>
      <c r="H1747" s="181">
        <f>IF(OR(F1747="",G1747=""),"",ROUND(MOD(G1747-F1747,1)*24,2))</f>
        <v/>
      </c>
      <c r="K1747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48" ht="20" customHeight="1">
      <c r="D1748" s="179" t="n"/>
      <c r="E1748" s="179" t="n"/>
      <c r="F1748" s="180" t="n"/>
      <c r="G1748" s="180" t="n"/>
      <c r="H1748" s="181">
        <f>IF(OR(F1748="",G1748=""),"",ROUND(MOD(G1748-F1748,1)*24,2))</f>
        <v/>
      </c>
      <c r="K1748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49" ht="20" customHeight="1">
      <c r="D1749" s="179" t="n"/>
      <c r="E1749" s="179" t="n"/>
      <c r="F1749" s="180" t="n"/>
      <c r="G1749" s="180" t="n"/>
      <c r="H1749" s="181">
        <f>IF(OR(F1749="",G1749=""),"",ROUND(MOD(G1749-F1749,1)*24,2))</f>
        <v/>
      </c>
      <c r="K1749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50" collapsed="1" ht="20" customHeight="1">
      <c r="D1750" s="179" t="n"/>
      <c r="E1750" s="179" t="n"/>
      <c r="F1750" s="180" t="n"/>
      <c r="G1750" s="180" t="n"/>
      <c r="H1750" s="181">
        <f>IF(OR(F1750="",G1750=""),"",ROUND(MOD(G1750-F1750,1)*24,2))</f>
        <v/>
      </c>
      <c r="K1750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51" hidden="1" outlineLevel="1" ht="20" customHeight="1">
      <c r="D1751" s="179" t="n"/>
      <c r="E1751" s="179" t="n"/>
      <c r="F1751" s="180" t="n"/>
      <c r="G1751" s="180" t="n"/>
      <c r="H1751" s="181">
        <f>IF(OR(F1751="",G1751=""),"",ROUND(MOD(G1751-F1751,1)*24,2))</f>
        <v/>
      </c>
      <c r="K1751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52" hidden="1" outlineLevel="1" ht="20" customHeight="1">
      <c r="D1752" s="179" t="n"/>
      <c r="E1752" s="179" t="n"/>
      <c r="F1752" s="180" t="n"/>
      <c r="G1752" s="180" t="n"/>
      <c r="H1752" s="181">
        <f>IF(OR(F1752="",G1752=""),"",ROUND(MOD(G1752-F1752,1)*24,2))</f>
        <v/>
      </c>
      <c r="K1752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53" hidden="1" outlineLevel="1" ht="20" customHeight="1">
      <c r="D1753" s="179" t="n"/>
      <c r="E1753" s="179" t="n"/>
      <c r="F1753" s="180" t="n"/>
      <c r="G1753" s="180" t="n"/>
      <c r="H1753" s="181">
        <f>IF(OR(F1753="",G1753=""),"",ROUND(MOD(G1753-F1753,1)*24,2))</f>
        <v/>
      </c>
      <c r="K1753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54" hidden="1" outlineLevel="1" ht="20" customHeight="1">
      <c r="D1754" s="179" t="n"/>
      <c r="E1754" s="179" t="n"/>
      <c r="F1754" s="180" t="n"/>
      <c r="G1754" s="180" t="n"/>
      <c r="H1754" s="181">
        <f>IF(OR(F1754="",G1754=""),"",ROUND(MOD(G1754-F1754,1)*24,2))</f>
        <v/>
      </c>
      <c r="K1754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55" hidden="1" outlineLevel="1" ht="20" customHeight="1">
      <c r="A1755" s="342" t="n"/>
      <c r="B1755" s="342" t="n"/>
      <c r="C1755" s="342" t="n"/>
      <c r="D1755" s="332" t="n"/>
      <c r="E1755" s="332" t="n"/>
      <c r="F1755" s="333" t="n"/>
      <c r="G1755" s="333" t="n"/>
      <c r="H1755" s="334">
        <f>IF(OR(F1755="",G1755=""),"",ROUND(MOD(G1755-F1755,1)*24,2))</f>
        <v/>
      </c>
      <c r="I1755" s="342" t="n"/>
      <c r="J1755" s="342" t="n"/>
      <c r="K1755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56" ht="20" customHeight="1">
      <c r="A1756" s="336">
        <f>IF($K1756="","",WEEKNUM($K1756,21))</f>
        <v/>
      </c>
      <c r="B1756" s="337">
        <f>IF($K1756="","",$K1756)</f>
        <v/>
      </c>
      <c r="C1756" s="338">
        <f>IF($K1756="","",$K1756)</f>
        <v/>
      </c>
      <c r="D1756" s="171" t="n"/>
      <c r="E1756" s="171" t="n"/>
      <c r="F1756" s="172" t="n"/>
      <c r="G1756" s="172" t="n"/>
      <c r="H1756" s="173">
        <f>IF(OR(F1756="",G1756=""),"",ROUND(MOD(G1756-F1756,1)*24,2))</f>
        <v/>
      </c>
      <c r="I1756" s="339" t="n"/>
      <c r="J1756" s="339" t="n"/>
      <c r="K1756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57" ht="20" customHeight="1">
      <c r="D1757" s="179" t="n"/>
      <c r="E1757" s="179" t="n"/>
      <c r="F1757" s="180" t="n"/>
      <c r="G1757" s="180" t="n"/>
      <c r="H1757" s="181">
        <f>IF(OR(F1757="",G1757=""),"",ROUND(MOD(G1757-F1757,1)*24,2))</f>
        <v/>
      </c>
      <c r="K1757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58" ht="20" customHeight="1">
      <c r="D1758" s="179" t="n"/>
      <c r="E1758" s="179" t="n"/>
      <c r="F1758" s="180" t="n"/>
      <c r="G1758" s="180" t="n"/>
      <c r="H1758" s="181">
        <f>IF(OR(F1758="",G1758=""),"",ROUND(MOD(G1758-F1758,1)*24,2))</f>
        <v/>
      </c>
      <c r="K1758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59" ht="20" customHeight="1">
      <c r="D1759" s="179" t="n"/>
      <c r="E1759" s="179" t="n"/>
      <c r="F1759" s="180" t="n"/>
      <c r="G1759" s="180" t="n"/>
      <c r="H1759" s="181">
        <f>IF(OR(F1759="",G1759=""),"",ROUND(MOD(G1759-F1759,1)*24,2))</f>
        <v/>
      </c>
      <c r="K1759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60" collapsed="1" ht="20" customHeight="1">
      <c r="D1760" s="179" t="n"/>
      <c r="E1760" s="179" t="n"/>
      <c r="F1760" s="180" t="n"/>
      <c r="G1760" s="180" t="n"/>
      <c r="H1760" s="181">
        <f>IF(OR(F1760="",G1760=""),"",ROUND(MOD(G1760-F1760,1)*24,2))</f>
        <v/>
      </c>
      <c r="K1760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61" hidden="1" outlineLevel="1" ht="20" customHeight="1">
      <c r="D1761" s="179" t="n"/>
      <c r="E1761" s="179" t="n"/>
      <c r="F1761" s="180" t="n"/>
      <c r="G1761" s="180" t="n"/>
      <c r="H1761" s="181">
        <f>IF(OR(F1761="",G1761=""),"",ROUND(MOD(G1761-F1761,1)*24,2))</f>
        <v/>
      </c>
      <c r="K1761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62" hidden="1" outlineLevel="1" ht="20" customHeight="1">
      <c r="D1762" s="179" t="n"/>
      <c r="E1762" s="179" t="n"/>
      <c r="F1762" s="180" t="n"/>
      <c r="G1762" s="180" t="n"/>
      <c r="H1762" s="181">
        <f>IF(OR(F1762="",G1762=""),"",ROUND(MOD(G1762-F1762,1)*24,2))</f>
        <v/>
      </c>
      <c r="K1762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63" hidden="1" outlineLevel="1" ht="20" customHeight="1">
      <c r="D1763" s="179" t="n"/>
      <c r="E1763" s="179" t="n"/>
      <c r="F1763" s="180" t="n"/>
      <c r="G1763" s="180" t="n"/>
      <c r="H1763" s="181">
        <f>IF(OR(F1763="",G1763=""),"",ROUND(MOD(G1763-F1763,1)*24,2))</f>
        <v/>
      </c>
      <c r="K1763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64" hidden="1" outlineLevel="1" ht="20" customHeight="1">
      <c r="D1764" s="179" t="n"/>
      <c r="E1764" s="179" t="n"/>
      <c r="F1764" s="180" t="n"/>
      <c r="G1764" s="180" t="n"/>
      <c r="H1764" s="181">
        <f>IF(OR(F1764="",G1764=""),"",ROUND(MOD(G1764-F1764,1)*24,2))</f>
        <v/>
      </c>
      <c r="K1764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65" hidden="1" outlineLevel="1" ht="20" customHeight="1">
      <c r="A1765" s="342" t="n"/>
      <c r="B1765" s="342" t="n"/>
      <c r="C1765" s="342" t="n"/>
      <c r="D1765" s="332" t="n"/>
      <c r="E1765" s="332" t="n"/>
      <c r="F1765" s="333" t="n"/>
      <c r="G1765" s="333" t="n"/>
      <c r="H1765" s="334">
        <f>IF(OR(F1765="",G1765=""),"",ROUND(MOD(G1765-F1765,1)*24,2))</f>
        <v/>
      </c>
      <c r="I1765" s="342" t="n"/>
      <c r="J1765" s="342" t="n"/>
      <c r="K1765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66" ht="20" customHeight="1">
      <c r="A1766" s="336">
        <f>IF($K1766="","",WEEKNUM($K1766,21))</f>
        <v/>
      </c>
      <c r="B1766" s="337">
        <f>IF($K1766="","",$K1766)</f>
        <v/>
      </c>
      <c r="C1766" s="338">
        <f>IF($K1766="","",$K1766)</f>
        <v/>
      </c>
      <c r="D1766" s="171" t="n"/>
      <c r="E1766" s="171" t="n"/>
      <c r="F1766" s="172" t="n"/>
      <c r="G1766" s="172" t="n"/>
      <c r="H1766" s="173">
        <f>IF(OR(F1766="",G1766=""),"",ROUND(MOD(G1766-F1766,1)*24,2))</f>
        <v/>
      </c>
      <c r="I1766" s="339" t="n"/>
      <c r="J1766" s="339" t="n"/>
      <c r="K1766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67" ht="20" customHeight="1">
      <c r="D1767" s="179" t="n"/>
      <c r="E1767" s="179" t="n"/>
      <c r="F1767" s="180" t="n"/>
      <c r="G1767" s="180" t="n"/>
      <c r="H1767" s="181">
        <f>IF(OR(F1767="",G1767=""),"",ROUND(MOD(G1767-F1767,1)*24,2))</f>
        <v/>
      </c>
      <c r="K1767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68" ht="20" customHeight="1">
      <c r="D1768" s="179" t="n"/>
      <c r="E1768" s="179" t="n"/>
      <c r="F1768" s="180" t="n"/>
      <c r="G1768" s="180" t="n"/>
      <c r="H1768" s="181">
        <f>IF(OR(F1768="",G1768=""),"",ROUND(MOD(G1768-F1768,1)*24,2))</f>
        <v/>
      </c>
      <c r="K1768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69" ht="20" customHeight="1">
      <c r="D1769" s="179" t="n"/>
      <c r="E1769" s="179" t="n"/>
      <c r="F1769" s="180" t="n"/>
      <c r="G1769" s="180" t="n"/>
      <c r="H1769" s="181">
        <f>IF(OR(F1769="",G1769=""),"",ROUND(MOD(G1769-F1769,1)*24,2))</f>
        <v/>
      </c>
      <c r="K1769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70" collapsed="1" ht="20" customHeight="1">
      <c r="D1770" s="179" t="n"/>
      <c r="E1770" s="179" t="n"/>
      <c r="F1770" s="180" t="n"/>
      <c r="G1770" s="180" t="n"/>
      <c r="H1770" s="181">
        <f>IF(OR(F1770="",G1770=""),"",ROUND(MOD(G1770-F1770,1)*24,2))</f>
        <v/>
      </c>
      <c r="K1770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71" hidden="1" outlineLevel="1" ht="20" customHeight="1">
      <c r="D1771" s="179" t="n"/>
      <c r="E1771" s="179" t="n"/>
      <c r="F1771" s="180" t="n"/>
      <c r="G1771" s="180" t="n"/>
      <c r="H1771" s="181">
        <f>IF(OR(F1771="",G1771=""),"",ROUND(MOD(G1771-F1771,1)*24,2))</f>
        <v/>
      </c>
      <c r="K1771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72" hidden="1" outlineLevel="1" ht="20" customHeight="1">
      <c r="D1772" s="179" t="n"/>
      <c r="E1772" s="179" t="n"/>
      <c r="F1772" s="180" t="n"/>
      <c r="G1772" s="180" t="n"/>
      <c r="H1772" s="181">
        <f>IF(OR(F1772="",G1772=""),"",ROUND(MOD(G1772-F1772,1)*24,2))</f>
        <v/>
      </c>
      <c r="K1772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73" hidden="1" outlineLevel="1" ht="20" customHeight="1">
      <c r="D1773" s="179" t="n"/>
      <c r="E1773" s="179" t="n"/>
      <c r="F1773" s="180" t="n"/>
      <c r="G1773" s="180" t="n"/>
      <c r="H1773" s="181">
        <f>IF(OR(F1773="",G1773=""),"",ROUND(MOD(G1773-F1773,1)*24,2))</f>
        <v/>
      </c>
      <c r="K1773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74" hidden="1" outlineLevel="1" ht="20" customHeight="1">
      <c r="D1774" s="179" t="n"/>
      <c r="E1774" s="179" t="n"/>
      <c r="F1774" s="180" t="n"/>
      <c r="G1774" s="180" t="n"/>
      <c r="H1774" s="181">
        <f>IF(OR(F1774="",G1774=""),"",ROUND(MOD(G1774-F1774,1)*24,2))</f>
        <v/>
      </c>
      <c r="K1774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75" hidden="1" outlineLevel="1" ht="20" customHeight="1">
      <c r="A1775" s="342" t="n"/>
      <c r="B1775" s="342" t="n"/>
      <c r="C1775" s="342" t="n"/>
      <c r="D1775" s="332" t="n"/>
      <c r="E1775" s="332" t="n"/>
      <c r="F1775" s="333" t="n"/>
      <c r="G1775" s="333" t="n"/>
      <c r="H1775" s="334">
        <f>IF(OR(F1775="",G1775=""),"",ROUND(MOD(G1775-F1775,1)*24,2))</f>
        <v/>
      </c>
      <c r="I1775" s="342" t="n"/>
      <c r="J1775" s="342" t="n"/>
      <c r="K1775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76" ht="20" customHeight="1">
      <c r="A1776" s="336">
        <f>IF($K1776="","",WEEKNUM($K1776,21))</f>
        <v/>
      </c>
      <c r="B1776" s="337">
        <f>IF($K1776="","",$K1776)</f>
        <v/>
      </c>
      <c r="C1776" s="338">
        <f>IF($K1776="","",$K1776)</f>
        <v/>
      </c>
      <c r="D1776" s="171" t="n"/>
      <c r="E1776" s="171" t="n"/>
      <c r="F1776" s="172" t="n"/>
      <c r="G1776" s="172" t="n"/>
      <c r="H1776" s="173">
        <f>IF(OR(F1776="",G1776=""),"",ROUND(MOD(G1776-F1776,1)*24,2))</f>
        <v/>
      </c>
      <c r="I1776" s="339" t="n"/>
      <c r="J1776" s="339" t="n"/>
      <c r="K1776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77" ht="20" customHeight="1">
      <c r="D1777" s="179" t="n"/>
      <c r="E1777" s="179" t="n"/>
      <c r="F1777" s="180" t="n"/>
      <c r="G1777" s="180" t="n"/>
      <c r="H1777" s="181">
        <f>IF(OR(F1777="",G1777=""),"",ROUND(MOD(G1777-F1777,1)*24,2))</f>
        <v/>
      </c>
      <c r="K1777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78" ht="20" customHeight="1">
      <c r="D1778" s="179" t="n"/>
      <c r="E1778" s="179" t="n"/>
      <c r="F1778" s="180" t="n"/>
      <c r="G1778" s="180" t="n"/>
      <c r="H1778" s="181">
        <f>IF(OR(F1778="",G1778=""),"",ROUND(MOD(G1778-F1778,1)*24,2))</f>
        <v/>
      </c>
      <c r="K1778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79" ht="20" customHeight="1">
      <c r="D1779" s="179" t="n"/>
      <c r="E1779" s="179" t="n"/>
      <c r="F1779" s="180" t="n"/>
      <c r="G1779" s="180" t="n"/>
      <c r="H1779" s="181">
        <f>IF(OR(F1779="",G1779=""),"",ROUND(MOD(G1779-F1779,1)*24,2))</f>
        <v/>
      </c>
      <c r="K1779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80" collapsed="1" ht="20" customHeight="1">
      <c r="D1780" s="179" t="n"/>
      <c r="E1780" s="179" t="n"/>
      <c r="F1780" s="180" t="n"/>
      <c r="G1780" s="180" t="n"/>
      <c r="H1780" s="181">
        <f>IF(OR(F1780="",G1780=""),"",ROUND(MOD(G1780-F1780,1)*24,2))</f>
        <v/>
      </c>
      <c r="K1780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81" hidden="1" outlineLevel="1" ht="20" customHeight="1">
      <c r="D1781" s="179" t="n"/>
      <c r="E1781" s="179" t="n"/>
      <c r="F1781" s="180" t="n"/>
      <c r="G1781" s="180" t="n"/>
      <c r="H1781" s="181">
        <f>IF(OR(F1781="",G1781=""),"",ROUND(MOD(G1781-F1781,1)*24,2))</f>
        <v/>
      </c>
      <c r="K1781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82" hidden="1" outlineLevel="1" ht="20" customHeight="1">
      <c r="D1782" s="179" t="n"/>
      <c r="E1782" s="179" t="n"/>
      <c r="F1782" s="180" t="n"/>
      <c r="G1782" s="180" t="n"/>
      <c r="H1782" s="181">
        <f>IF(OR(F1782="",G1782=""),"",ROUND(MOD(G1782-F1782,1)*24,2))</f>
        <v/>
      </c>
      <c r="K1782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83" hidden="1" outlineLevel="1" ht="20" customHeight="1">
      <c r="D1783" s="179" t="n"/>
      <c r="E1783" s="179" t="n"/>
      <c r="F1783" s="180" t="n"/>
      <c r="G1783" s="180" t="n"/>
      <c r="H1783" s="181">
        <f>IF(OR(F1783="",G1783=""),"",ROUND(MOD(G1783-F1783,1)*24,2))</f>
        <v/>
      </c>
      <c r="K1783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84" hidden="1" outlineLevel="1" ht="20" customHeight="1">
      <c r="D1784" s="179" t="n"/>
      <c r="E1784" s="179" t="n"/>
      <c r="F1784" s="180" t="n"/>
      <c r="G1784" s="180" t="n"/>
      <c r="H1784" s="181">
        <f>IF(OR(F1784="",G1784=""),"",ROUND(MOD(G1784-F1784,1)*24,2))</f>
        <v/>
      </c>
      <c r="K1784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85" hidden="1" outlineLevel="1" ht="20" customHeight="1">
      <c r="A1785" s="342" t="n"/>
      <c r="B1785" s="342" t="n"/>
      <c r="C1785" s="342" t="n"/>
      <c r="D1785" s="332" t="n"/>
      <c r="E1785" s="332" t="n"/>
      <c r="F1785" s="333" t="n"/>
      <c r="G1785" s="333" t="n"/>
      <c r="H1785" s="334">
        <f>IF(OR(F1785="",G1785=""),"",ROUND(MOD(G1785-F1785,1)*24,2))</f>
        <v/>
      </c>
      <c r="I1785" s="342" t="n"/>
      <c r="J1785" s="342" t="n"/>
      <c r="K1785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786" ht="20" customHeight="1">
      <c r="A1786" s="336">
        <f>IF($K1786="","",WEEKNUM($K1786,21))</f>
        <v/>
      </c>
      <c r="B1786" s="337">
        <f>IF($K1786="","",$K1786)</f>
        <v/>
      </c>
      <c r="C1786" s="338">
        <f>IF($K1786="","",$K1786)</f>
        <v/>
      </c>
      <c r="D1786" s="171" t="n"/>
      <c r="E1786" s="171" t="n"/>
      <c r="F1786" s="172" t="n"/>
      <c r="G1786" s="172" t="n"/>
      <c r="H1786" s="173">
        <f>IF(OR(F1786="",G1786=""),"",ROUND(MOD(G1786-F1786,1)*24,2))</f>
        <v/>
      </c>
      <c r="I1786" s="339" t="n"/>
      <c r="J1786" s="339" t="n"/>
      <c r="K1786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87" ht="20" customHeight="1">
      <c r="D1787" s="179" t="n"/>
      <c r="E1787" s="179" t="n"/>
      <c r="F1787" s="180" t="n"/>
      <c r="G1787" s="180" t="n"/>
      <c r="H1787" s="181">
        <f>IF(OR(F1787="",G1787=""),"",ROUND(MOD(G1787-F1787,1)*24,2))</f>
        <v/>
      </c>
      <c r="K1787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88" ht="20" customHeight="1">
      <c r="D1788" s="179" t="n"/>
      <c r="E1788" s="179" t="n"/>
      <c r="F1788" s="180" t="n"/>
      <c r="G1788" s="180" t="n"/>
      <c r="H1788" s="181">
        <f>IF(OR(F1788="",G1788=""),"",ROUND(MOD(G1788-F1788,1)*24,2))</f>
        <v/>
      </c>
      <c r="K1788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89" ht="20" customHeight="1">
      <c r="D1789" s="179" t="n"/>
      <c r="E1789" s="179" t="n"/>
      <c r="F1789" s="180" t="n"/>
      <c r="G1789" s="180" t="n"/>
      <c r="H1789" s="181">
        <f>IF(OR(F1789="",G1789=""),"",ROUND(MOD(G1789-F1789,1)*24,2))</f>
        <v/>
      </c>
      <c r="K1789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90" collapsed="1" ht="20" customHeight="1">
      <c r="D1790" s="179" t="n"/>
      <c r="E1790" s="179" t="n"/>
      <c r="F1790" s="180" t="n"/>
      <c r="G1790" s="180" t="n"/>
      <c r="H1790" s="181">
        <f>IF(OR(F1790="",G1790=""),"",ROUND(MOD(G1790-F1790,1)*24,2))</f>
        <v/>
      </c>
      <c r="K1790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91" hidden="1" outlineLevel="1" ht="20" customHeight="1">
      <c r="D1791" s="179" t="n"/>
      <c r="E1791" s="179" t="n"/>
      <c r="F1791" s="180" t="n"/>
      <c r="G1791" s="180" t="n"/>
      <c r="H1791" s="181">
        <f>IF(OR(F1791="",G1791=""),"",ROUND(MOD(G1791-F1791,1)*24,2))</f>
        <v/>
      </c>
      <c r="K1791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92" hidden="1" outlineLevel="1" ht="20" customHeight="1">
      <c r="D1792" s="179" t="n"/>
      <c r="E1792" s="179" t="n"/>
      <c r="F1792" s="180" t="n"/>
      <c r="G1792" s="180" t="n"/>
      <c r="H1792" s="181">
        <f>IF(OR(F1792="",G1792=""),"",ROUND(MOD(G1792-F1792,1)*24,2))</f>
        <v/>
      </c>
      <c r="K1792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93" hidden="1" outlineLevel="1" ht="20" customHeight="1">
      <c r="D1793" s="179" t="n"/>
      <c r="E1793" s="179" t="n"/>
      <c r="F1793" s="180" t="n"/>
      <c r="G1793" s="180" t="n"/>
      <c r="H1793" s="181">
        <f>IF(OR(F1793="",G1793=""),"",ROUND(MOD(G1793-F1793,1)*24,2))</f>
        <v/>
      </c>
      <c r="K1793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94" hidden="1" outlineLevel="1" ht="20" customHeight="1">
      <c r="D1794" s="179" t="n"/>
      <c r="E1794" s="179" t="n"/>
      <c r="F1794" s="180" t="n"/>
      <c r="G1794" s="180" t="n"/>
      <c r="H1794" s="181">
        <f>IF(OR(F1794="",G1794=""),"",ROUND(MOD(G1794-F1794,1)*24,2))</f>
        <v/>
      </c>
      <c r="K1794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95" hidden="1" outlineLevel="1" ht="20" customHeight="1">
      <c r="A1795" s="342" t="n"/>
      <c r="B1795" s="342" t="n"/>
      <c r="C1795" s="342" t="n"/>
      <c r="D1795" s="332" t="n"/>
      <c r="E1795" s="332" t="n"/>
      <c r="F1795" s="333" t="n"/>
      <c r="G1795" s="333" t="n"/>
      <c r="H1795" s="334">
        <f>IF(OR(F1795="",G1795=""),"",ROUND(MOD(G1795-F1795,1)*24,2))</f>
        <v/>
      </c>
      <c r="I1795" s="342" t="n"/>
      <c r="J1795" s="342" t="n"/>
      <c r="K1795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796" ht="20" customHeight="1">
      <c r="A1796" s="336">
        <f>IF($K1796="","",WEEKNUM($K1796,21))</f>
        <v/>
      </c>
      <c r="B1796" s="337">
        <f>IF($K1796="","",$K1796)</f>
        <v/>
      </c>
      <c r="C1796" s="338">
        <f>IF($K1796="","",$K1796)</f>
        <v/>
      </c>
      <c r="D1796" s="171" t="n"/>
      <c r="E1796" s="171" t="n"/>
      <c r="F1796" s="172" t="n"/>
      <c r="G1796" s="172" t="n"/>
      <c r="H1796" s="173">
        <f>IF(OR(F1796="",G1796=""),"",ROUND(MOD(G1796-F1796,1)*24,2))</f>
        <v/>
      </c>
      <c r="I1796" s="339" t="n"/>
      <c r="J1796" s="339" t="n"/>
      <c r="K1796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797" ht="20" customHeight="1">
      <c r="D1797" s="179" t="n"/>
      <c r="E1797" s="179" t="n"/>
      <c r="F1797" s="180" t="n"/>
      <c r="G1797" s="180" t="n"/>
      <c r="H1797" s="181">
        <f>IF(OR(F1797="",G1797=""),"",ROUND(MOD(G1797-F1797,1)*24,2))</f>
        <v/>
      </c>
      <c r="K1797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798" ht="20" customHeight="1">
      <c r="D1798" s="179" t="n"/>
      <c r="E1798" s="179" t="n"/>
      <c r="F1798" s="180" t="n"/>
      <c r="G1798" s="180" t="n"/>
      <c r="H1798" s="181">
        <f>IF(OR(F1798="",G1798=""),"",ROUND(MOD(G1798-F1798,1)*24,2))</f>
        <v/>
      </c>
      <c r="K1798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799" ht="20" customHeight="1">
      <c r="D1799" s="179" t="n"/>
      <c r="E1799" s="179" t="n"/>
      <c r="F1799" s="180" t="n"/>
      <c r="G1799" s="180" t="n"/>
      <c r="H1799" s="181">
        <f>IF(OR(F1799="",G1799=""),"",ROUND(MOD(G1799-F1799,1)*24,2))</f>
        <v/>
      </c>
      <c r="K1799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800" collapsed="1" ht="20" customHeight="1">
      <c r="D1800" s="179" t="n"/>
      <c r="E1800" s="179" t="n"/>
      <c r="F1800" s="180" t="n"/>
      <c r="G1800" s="180" t="n"/>
      <c r="H1800" s="181">
        <f>IF(OR(F1800="",G1800=""),"",ROUND(MOD(G1800-F1800,1)*24,2))</f>
        <v/>
      </c>
      <c r="K1800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801" hidden="1" outlineLevel="1" ht="20" customHeight="1">
      <c r="D1801" s="179" t="n"/>
      <c r="E1801" s="179" t="n"/>
      <c r="F1801" s="180" t="n"/>
      <c r="G1801" s="180" t="n"/>
      <c r="H1801" s="181">
        <f>IF(OR(F1801="",G1801=""),"",ROUND(MOD(G1801-F1801,1)*24,2))</f>
        <v/>
      </c>
      <c r="K1801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802" hidden="1" outlineLevel="1" ht="20" customHeight="1">
      <c r="D1802" s="179" t="n"/>
      <c r="E1802" s="179" t="n"/>
      <c r="F1802" s="180" t="n"/>
      <c r="G1802" s="180" t="n"/>
      <c r="H1802" s="181">
        <f>IF(OR(F1802="",G1802=""),"",ROUND(MOD(G1802-F1802,1)*24,2))</f>
        <v/>
      </c>
      <c r="K1802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803" hidden="1" outlineLevel="1" ht="20" customHeight="1">
      <c r="D1803" s="179" t="n"/>
      <c r="E1803" s="179" t="n"/>
      <c r="F1803" s="180" t="n"/>
      <c r="G1803" s="180" t="n"/>
      <c r="H1803" s="181">
        <f>IF(OR(F1803="",G1803=""),"",ROUND(MOD(G1803-F1803,1)*24,2))</f>
        <v/>
      </c>
      <c r="K1803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804" hidden="1" outlineLevel="1" ht="20" customHeight="1">
      <c r="D1804" s="179" t="n"/>
      <c r="E1804" s="179" t="n"/>
      <c r="F1804" s="180" t="n"/>
      <c r="G1804" s="180" t="n"/>
      <c r="H1804" s="181">
        <f>IF(OR(F1804="",G1804=""),"",ROUND(MOD(G1804-F1804,1)*24,2))</f>
        <v/>
      </c>
      <c r="K1804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805" hidden="1" outlineLevel="1" ht="20" customHeight="1">
      <c r="A1805" s="342" t="n"/>
      <c r="B1805" s="342" t="n"/>
      <c r="C1805" s="342" t="n"/>
      <c r="D1805" s="332" t="n"/>
      <c r="E1805" s="332" t="n"/>
      <c r="F1805" s="333" t="n"/>
      <c r="G1805" s="333" t="n"/>
      <c r="H1805" s="334">
        <f>IF(OR(F1805="",G1805=""),"",ROUND(MOD(G1805-F1805,1)*24,2))</f>
        <v/>
      </c>
      <c r="I1805" s="342" t="n"/>
      <c r="J1805" s="342" t="n"/>
      <c r="K1805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806" ht="20" customHeight="1">
      <c r="A1806" s="336">
        <f>IF($K1806="","",WEEKNUM($K1806,21))</f>
        <v/>
      </c>
      <c r="B1806" s="337">
        <f>IF($K1806="","",$K1806)</f>
        <v/>
      </c>
      <c r="C1806" s="338">
        <f>IF($K1806="","",$K1806)</f>
        <v/>
      </c>
      <c r="D1806" s="171" t="n"/>
      <c r="E1806" s="171" t="n"/>
      <c r="F1806" s="172" t="n"/>
      <c r="G1806" s="172" t="n"/>
      <c r="H1806" s="173">
        <f>IF(OR(F1806="",G1806=""),"",ROUND(MOD(G1806-F1806,1)*24,2))</f>
        <v/>
      </c>
      <c r="I1806" s="339" t="n"/>
      <c r="J1806" s="339" t="n"/>
      <c r="K1806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07" ht="20" customHeight="1">
      <c r="D1807" s="179" t="n"/>
      <c r="E1807" s="179" t="n"/>
      <c r="F1807" s="180" t="n"/>
      <c r="G1807" s="180" t="n"/>
      <c r="H1807" s="181">
        <f>IF(OR(F1807="",G1807=""),"",ROUND(MOD(G1807-F1807,1)*24,2))</f>
        <v/>
      </c>
      <c r="K1807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08" ht="20" customHeight="1">
      <c r="D1808" s="179" t="n"/>
      <c r="E1808" s="179" t="n"/>
      <c r="F1808" s="180" t="n"/>
      <c r="G1808" s="180" t="n"/>
      <c r="H1808" s="181">
        <f>IF(OR(F1808="",G1808=""),"",ROUND(MOD(G1808-F1808,1)*24,2))</f>
        <v/>
      </c>
      <c r="K1808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09" ht="20" customHeight="1">
      <c r="D1809" s="179" t="n"/>
      <c r="E1809" s="179" t="n"/>
      <c r="F1809" s="180" t="n"/>
      <c r="G1809" s="180" t="n"/>
      <c r="H1809" s="181">
        <f>IF(OR(F1809="",G1809=""),"",ROUND(MOD(G1809-F1809,1)*24,2))</f>
        <v/>
      </c>
      <c r="K1809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10" collapsed="1" ht="20" customHeight="1">
      <c r="D1810" s="179" t="n"/>
      <c r="E1810" s="179" t="n"/>
      <c r="F1810" s="180" t="n"/>
      <c r="G1810" s="180" t="n"/>
      <c r="H1810" s="181">
        <f>IF(OR(F1810="",G1810=""),"",ROUND(MOD(G1810-F1810,1)*24,2))</f>
        <v/>
      </c>
      <c r="K1810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11" hidden="1" outlineLevel="1" ht="20" customHeight="1">
      <c r="D1811" s="179" t="n"/>
      <c r="E1811" s="179" t="n"/>
      <c r="F1811" s="180" t="n"/>
      <c r="G1811" s="180" t="n"/>
      <c r="H1811" s="181">
        <f>IF(OR(F1811="",G1811=""),"",ROUND(MOD(G1811-F1811,1)*24,2))</f>
        <v/>
      </c>
      <c r="K1811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12" hidden="1" outlineLevel="1" ht="20" customHeight="1">
      <c r="D1812" s="179" t="n"/>
      <c r="E1812" s="179" t="n"/>
      <c r="F1812" s="180" t="n"/>
      <c r="G1812" s="180" t="n"/>
      <c r="H1812" s="181">
        <f>IF(OR(F1812="",G1812=""),"",ROUND(MOD(G1812-F1812,1)*24,2))</f>
        <v/>
      </c>
      <c r="K1812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13" hidden="1" outlineLevel="1" ht="20" customHeight="1">
      <c r="D1813" s="179" t="n"/>
      <c r="E1813" s="179" t="n"/>
      <c r="F1813" s="180" t="n"/>
      <c r="G1813" s="180" t="n"/>
      <c r="H1813" s="181">
        <f>IF(OR(F1813="",G1813=""),"",ROUND(MOD(G1813-F1813,1)*24,2))</f>
        <v/>
      </c>
      <c r="K1813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14" hidden="1" outlineLevel="1" ht="20" customHeight="1">
      <c r="D1814" s="179" t="n"/>
      <c r="E1814" s="179" t="n"/>
      <c r="F1814" s="180" t="n"/>
      <c r="G1814" s="180" t="n"/>
      <c r="H1814" s="181">
        <f>IF(OR(F1814="",G1814=""),"",ROUND(MOD(G1814-F1814,1)*24,2))</f>
        <v/>
      </c>
      <c r="K1814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15" hidden="1" outlineLevel="1" ht="20" customHeight="1">
      <c r="A1815" s="342" t="n"/>
      <c r="B1815" s="342" t="n"/>
      <c r="C1815" s="342" t="n"/>
      <c r="D1815" s="332" t="n"/>
      <c r="E1815" s="332" t="n"/>
      <c r="F1815" s="333" t="n"/>
      <c r="G1815" s="333" t="n"/>
      <c r="H1815" s="334">
        <f>IF(OR(F1815="",G1815=""),"",ROUND(MOD(G1815-F1815,1)*24,2))</f>
        <v/>
      </c>
      <c r="I1815" s="342" t="n"/>
      <c r="J1815" s="342" t="n"/>
      <c r="K1815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16" ht="20" customHeight="1">
      <c r="A1816" s="336">
        <f>IF($K1816="","",WEEKNUM($K1816,21))</f>
        <v/>
      </c>
      <c r="B1816" s="337">
        <f>IF($K1816="","",$K1816)</f>
        <v/>
      </c>
      <c r="C1816" s="338">
        <f>IF($K1816="","",$K1816)</f>
        <v/>
      </c>
      <c r="D1816" s="171" t="n"/>
      <c r="E1816" s="171" t="n"/>
      <c r="F1816" s="172" t="n"/>
      <c r="G1816" s="172" t="n"/>
      <c r="H1816" s="173">
        <f>IF(OR(F1816="",G1816=""),"",ROUND(MOD(G1816-F1816,1)*24,2))</f>
        <v/>
      </c>
      <c r="I1816" s="339" t="n"/>
      <c r="J1816" s="339" t="n"/>
      <c r="K1816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17" ht="20" customHeight="1">
      <c r="D1817" s="179" t="n"/>
      <c r="E1817" s="179" t="n"/>
      <c r="F1817" s="180" t="n"/>
      <c r="G1817" s="180" t="n"/>
      <c r="H1817" s="181">
        <f>IF(OR(F1817="",G1817=""),"",ROUND(MOD(G1817-F1817,1)*24,2))</f>
        <v/>
      </c>
      <c r="K1817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18" ht="20" customHeight="1">
      <c r="D1818" s="179" t="n"/>
      <c r="E1818" s="179" t="n"/>
      <c r="F1818" s="180" t="n"/>
      <c r="G1818" s="180" t="n"/>
      <c r="H1818" s="181">
        <f>IF(OR(F1818="",G1818=""),"",ROUND(MOD(G1818-F1818,1)*24,2))</f>
        <v/>
      </c>
      <c r="K1818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19" ht="20" customHeight="1">
      <c r="D1819" s="179" t="n"/>
      <c r="E1819" s="179" t="n"/>
      <c r="F1819" s="180" t="n"/>
      <c r="G1819" s="180" t="n"/>
      <c r="H1819" s="181">
        <f>IF(OR(F1819="",G1819=""),"",ROUND(MOD(G1819-F1819,1)*24,2))</f>
        <v/>
      </c>
      <c r="K1819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20" collapsed="1" ht="20" customHeight="1">
      <c r="D1820" s="179" t="n"/>
      <c r="E1820" s="179" t="n"/>
      <c r="F1820" s="180" t="n"/>
      <c r="G1820" s="180" t="n"/>
      <c r="H1820" s="181">
        <f>IF(OR(F1820="",G1820=""),"",ROUND(MOD(G1820-F1820,1)*24,2))</f>
        <v/>
      </c>
      <c r="K1820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21" hidden="1" outlineLevel="1" ht="20" customHeight="1">
      <c r="D1821" s="179" t="n"/>
      <c r="E1821" s="179" t="n"/>
      <c r="F1821" s="180" t="n"/>
      <c r="G1821" s="180" t="n"/>
      <c r="H1821" s="181">
        <f>IF(OR(F1821="",G1821=""),"",ROUND(MOD(G1821-F1821,1)*24,2))</f>
        <v/>
      </c>
      <c r="K1821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22" hidden="1" outlineLevel="1" ht="20" customHeight="1">
      <c r="D1822" s="179" t="n"/>
      <c r="E1822" s="179" t="n"/>
      <c r="F1822" s="180" t="n"/>
      <c r="G1822" s="180" t="n"/>
      <c r="H1822" s="181">
        <f>IF(OR(F1822="",G1822=""),"",ROUND(MOD(G1822-F1822,1)*24,2))</f>
        <v/>
      </c>
      <c r="K1822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23" hidden="1" outlineLevel="1" ht="20" customHeight="1">
      <c r="D1823" s="179" t="n"/>
      <c r="E1823" s="179" t="n"/>
      <c r="F1823" s="180" t="n"/>
      <c r="G1823" s="180" t="n"/>
      <c r="H1823" s="181">
        <f>IF(OR(F1823="",G1823=""),"",ROUND(MOD(G1823-F1823,1)*24,2))</f>
        <v/>
      </c>
      <c r="K1823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24" hidden="1" outlineLevel="1" ht="20" customHeight="1">
      <c r="D1824" s="179" t="n"/>
      <c r="E1824" s="179" t="n"/>
      <c r="F1824" s="180" t="n"/>
      <c r="G1824" s="180" t="n"/>
      <c r="H1824" s="181">
        <f>IF(OR(F1824="",G1824=""),"",ROUND(MOD(G1824-F1824,1)*24,2))</f>
        <v/>
      </c>
      <c r="K1824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25" hidden="1" outlineLevel="1" ht="20" customHeight="1">
      <c r="A1825" s="342" t="n"/>
      <c r="B1825" s="342" t="n"/>
      <c r="C1825" s="342" t="n"/>
      <c r="D1825" s="332" t="n"/>
      <c r="E1825" s="332" t="n"/>
      <c r="F1825" s="333" t="n"/>
      <c r="G1825" s="333" t="n"/>
      <c r="H1825" s="334">
        <f>IF(OR(F1825="",G1825=""),"",ROUND(MOD(G1825-F1825,1)*24,2))</f>
        <v/>
      </c>
      <c r="I1825" s="342" t="n"/>
      <c r="J1825" s="342" t="n"/>
      <c r="K1825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26" ht="20" customHeight="1">
      <c r="A1826" s="336">
        <f>IF($K1826="","",WEEKNUM($K1826,21))</f>
        <v/>
      </c>
      <c r="B1826" s="337">
        <f>IF($K1826="","",$K1826)</f>
        <v/>
      </c>
      <c r="C1826" s="338">
        <f>IF($K1826="","",$K1826)</f>
        <v/>
      </c>
      <c r="D1826" s="171" t="n"/>
      <c r="E1826" s="171" t="n"/>
      <c r="F1826" s="172" t="n"/>
      <c r="G1826" s="172" t="n"/>
      <c r="H1826" s="173">
        <f>IF(OR(F1826="",G1826=""),"",ROUND(MOD(G1826-F1826,1)*24,2))</f>
        <v/>
      </c>
      <c r="I1826" s="339" t="n"/>
      <c r="J1826" s="339" t="n"/>
      <c r="K1826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27" ht="20" customHeight="1">
      <c r="D1827" s="179" t="n"/>
      <c r="E1827" s="179" t="n"/>
      <c r="F1827" s="180" t="n"/>
      <c r="G1827" s="180" t="n"/>
      <c r="H1827" s="181">
        <f>IF(OR(F1827="",G1827=""),"",ROUND(MOD(G1827-F1827,1)*24,2))</f>
        <v/>
      </c>
      <c r="K1827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28" ht="20" customHeight="1">
      <c r="D1828" s="179" t="n"/>
      <c r="E1828" s="179" t="n"/>
      <c r="F1828" s="180" t="n"/>
      <c r="G1828" s="180" t="n"/>
      <c r="H1828" s="181">
        <f>IF(OR(F1828="",G1828=""),"",ROUND(MOD(G1828-F1828,1)*24,2))</f>
        <v/>
      </c>
      <c r="K1828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29" ht="20" customHeight="1">
      <c r="D1829" s="179" t="n"/>
      <c r="E1829" s="179" t="n"/>
      <c r="F1829" s="180" t="n"/>
      <c r="G1829" s="180" t="n"/>
      <c r="H1829" s="181">
        <f>IF(OR(F1829="",G1829=""),"",ROUND(MOD(G1829-F1829,1)*24,2))</f>
        <v/>
      </c>
      <c r="K1829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30" collapsed="1" ht="20" customHeight="1">
      <c r="D1830" s="179" t="n"/>
      <c r="E1830" s="179" t="n"/>
      <c r="F1830" s="180" t="n"/>
      <c r="G1830" s="180" t="n"/>
      <c r="H1830" s="181">
        <f>IF(OR(F1830="",G1830=""),"",ROUND(MOD(G1830-F1830,1)*24,2))</f>
        <v/>
      </c>
      <c r="K1830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31" hidden="1" outlineLevel="1" ht="20" customHeight="1">
      <c r="D1831" s="179" t="n"/>
      <c r="E1831" s="179" t="n"/>
      <c r="F1831" s="180" t="n"/>
      <c r="G1831" s="180" t="n"/>
      <c r="H1831" s="181">
        <f>IF(OR(F1831="",G1831=""),"",ROUND(MOD(G1831-F1831,1)*24,2))</f>
        <v/>
      </c>
      <c r="K1831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32" hidden="1" outlineLevel="1" ht="20" customHeight="1">
      <c r="D1832" s="179" t="n"/>
      <c r="E1832" s="179" t="n"/>
      <c r="F1832" s="180" t="n"/>
      <c r="G1832" s="180" t="n"/>
      <c r="H1832" s="181">
        <f>IF(OR(F1832="",G1832=""),"",ROUND(MOD(G1832-F1832,1)*24,2))</f>
        <v/>
      </c>
      <c r="K1832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33" hidden="1" outlineLevel="1" ht="20" customHeight="1">
      <c r="D1833" s="179" t="n"/>
      <c r="E1833" s="179" t="n"/>
      <c r="F1833" s="180" t="n"/>
      <c r="G1833" s="180" t="n"/>
      <c r="H1833" s="181">
        <f>IF(OR(F1833="",G1833=""),"",ROUND(MOD(G1833-F1833,1)*24,2))</f>
        <v/>
      </c>
      <c r="K1833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34" hidden="1" outlineLevel="1" ht="20" customHeight="1">
      <c r="D1834" s="179" t="n"/>
      <c r="E1834" s="179" t="n"/>
      <c r="F1834" s="180" t="n"/>
      <c r="G1834" s="180" t="n"/>
      <c r="H1834" s="181">
        <f>IF(OR(F1834="",G1834=""),"",ROUND(MOD(G1834-F1834,1)*24,2))</f>
        <v/>
      </c>
      <c r="K1834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35" hidden="1" outlineLevel="1" ht="20" customHeight="1">
      <c r="A1835" s="342" t="n"/>
      <c r="B1835" s="342" t="n"/>
      <c r="C1835" s="342" t="n"/>
      <c r="D1835" s="332" t="n"/>
      <c r="E1835" s="332" t="n"/>
      <c r="F1835" s="333" t="n"/>
      <c r="G1835" s="333" t="n"/>
      <c r="H1835" s="334">
        <f>IF(OR(F1835="",G1835=""),"",ROUND(MOD(G1835-F1835,1)*24,2))</f>
        <v/>
      </c>
      <c r="I1835" s="342" t="n"/>
      <c r="J1835" s="342" t="n"/>
      <c r="K1835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36" ht="20" customHeight="1">
      <c r="A1836" s="336">
        <f>IF($K1836="","",WEEKNUM($K1836,21))</f>
        <v/>
      </c>
      <c r="B1836" s="337">
        <f>IF($K1836="","",$K1836)</f>
        <v/>
      </c>
      <c r="C1836" s="338">
        <f>IF($K1836="","",$K1836)</f>
        <v/>
      </c>
      <c r="D1836" s="171" t="n"/>
      <c r="E1836" s="171" t="n"/>
      <c r="F1836" s="172" t="n"/>
      <c r="G1836" s="172" t="n"/>
      <c r="H1836" s="173">
        <f>IF(OR(F1836="",G1836=""),"",ROUND(MOD(G1836-F1836,1)*24,2))</f>
        <v/>
      </c>
      <c r="I1836" s="339" t="n"/>
      <c r="J1836" s="339" t="n"/>
      <c r="K1836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37" ht="20" customHeight="1">
      <c r="D1837" s="179" t="n"/>
      <c r="E1837" s="179" t="n"/>
      <c r="F1837" s="180" t="n"/>
      <c r="G1837" s="180" t="n"/>
      <c r="H1837" s="181">
        <f>IF(OR(F1837="",G1837=""),"",ROUND(MOD(G1837-F1837,1)*24,2))</f>
        <v/>
      </c>
      <c r="K1837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38" ht="20" customHeight="1">
      <c r="D1838" s="179" t="n"/>
      <c r="E1838" s="179" t="n"/>
      <c r="F1838" s="180" t="n"/>
      <c r="G1838" s="180" t="n"/>
      <c r="H1838" s="181">
        <f>IF(OR(F1838="",G1838=""),"",ROUND(MOD(G1838-F1838,1)*24,2))</f>
        <v/>
      </c>
      <c r="K1838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39" ht="20" customHeight="1">
      <c r="D1839" s="179" t="n"/>
      <c r="E1839" s="179" t="n"/>
      <c r="F1839" s="180" t="n"/>
      <c r="G1839" s="180" t="n"/>
      <c r="H1839" s="181">
        <f>IF(OR(F1839="",G1839=""),"",ROUND(MOD(G1839-F1839,1)*24,2))</f>
        <v/>
      </c>
      <c r="K1839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40" collapsed="1" ht="20" customHeight="1">
      <c r="D1840" s="179" t="n"/>
      <c r="E1840" s="179" t="n"/>
      <c r="F1840" s="180" t="n"/>
      <c r="G1840" s="180" t="n"/>
      <c r="H1840" s="181">
        <f>IF(OR(F1840="",G1840=""),"",ROUND(MOD(G1840-F1840,1)*24,2))</f>
        <v/>
      </c>
      <c r="K1840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41" hidden="1" outlineLevel="1" ht="20" customHeight="1">
      <c r="D1841" s="179" t="n"/>
      <c r="E1841" s="179" t="n"/>
      <c r="F1841" s="180" t="n"/>
      <c r="G1841" s="180" t="n"/>
      <c r="H1841" s="181">
        <f>IF(OR(F1841="",G1841=""),"",ROUND(MOD(G1841-F1841,1)*24,2))</f>
        <v/>
      </c>
      <c r="K1841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42" hidden="1" outlineLevel="1" ht="20" customHeight="1">
      <c r="D1842" s="179" t="n"/>
      <c r="E1842" s="179" t="n"/>
      <c r="F1842" s="180" t="n"/>
      <c r="G1842" s="180" t="n"/>
      <c r="H1842" s="181">
        <f>IF(OR(F1842="",G1842=""),"",ROUND(MOD(G1842-F1842,1)*24,2))</f>
        <v/>
      </c>
      <c r="K1842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43" hidden="1" outlineLevel="1" ht="20" customHeight="1">
      <c r="D1843" s="179" t="n"/>
      <c r="E1843" s="179" t="n"/>
      <c r="F1843" s="180" t="n"/>
      <c r="G1843" s="180" t="n"/>
      <c r="H1843" s="181">
        <f>IF(OR(F1843="",G1843=""),"",ROUND(MOD(G1843-F1843,1)*24,2))</f>
        <v/>
      </c>
      <c r="K1843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44" hidden="1" outlineLevel="1" ht="20" customHeight="1">
      <c r="D1844" s="179" t="n"/>
      <c r="E1844" s="179" t="n"/>
      <c r="F1844" s="180" t="n"/>
      <c r="G1844" s="180" t="n"/>
      <c r="H1844" s="181">
        <f>IF(OR(F1844="",G1844=""),"",ROUND(MOD(G1844-F1844,1)*24,2))</f>
        <v/>
      </c>
      <c r="K1844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45" hidden="1" outlineLevel="1" ht="20" customHeight="1">
      <c r="A1845" s="342" t="n"/>
      <c r="B1845" s="342" t="n"/>
      <c r="C1845" s="342" t="n"/>
      <c r="D1845" s="332" t="n"/>
      <c r="E1845" s="332" t="n"/>
      <c r="F1845" s="333" t="n"/>
      <c r="G1845" s="333" t="n"/>
      <c r="H1845" s="334">
        <f>IF(OR(F1845="",G1845=""),"",ROUND(MOD(G1845-F1845,1)*24,2))</f>
        <v/>
      </c>
      <c r="I1845" s="342" t="n"/>
      <c r="J1845" s="342" t="n"/>
      <c r="K1845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46" ht="20" customHeight="1">
      <c r="A1846" s="336">
        <f>IF($K1846="","",WEEKNUM($K1846,21))</f>
        <v/>
      </c>
      <c r="B1846" s="337">
        <f>IF($K1846="","",$K1846)</f>
        <v/>
      </c>
      <c r="C1846" s="338">
        <f>IF($K1846="","",$K1846)</f>
        <v/>
      </c>
      <c r="D1846" s="171" t="n"/>
      <c r="E1846" s="171" t="n"/>
      <c r="F1846" s="172" t="n"/>
      <c r="G1846" s="172" t="n"/>
      <c r="H1846" s="173">
        <f>IF(OR(F1846="",G1846=""),"",ROUND(MOD(G1846-F1846,1)*24,2))</f>
        <v/>
      </c>
      <c r="I1846" s="339" t="n"/>
      <c r="J1846" s="339" t="n"/>
      <c r="K1846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47" ht="20" customHeight="1">
      <c r="D1847" s="179" t="n"/>
      <c r="E1847" s="179" t="n"/>
      <c r="F1847" s="180" t="n"/>
      <c r="G1847" s="180" t="n"/>
      <c r="H1847" s="181">
        <f>IF(OR(F1847="",G1847=""),"",ROUND(MOD(G1847-F1847,1)*24,2))</f>
        <v/>
      </c>
      <c r="K1847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48" ht="20" customHeight="1">
      <c r="D1848" s="179" t="n"/>
      <c r="E1848" s="179" t="n"/>
      <c r="F1848" s="180" t="n"/>
      <c r="G1848" s="180" t="n"/>
      <c r="H1848" s="181">
        <f>IF(OR(F1848="",G1848=""),"",ROUND(MOD(G1848-F1848,1)*24,2))</f>
        <v/>
      </c>
      <c r="K1848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49" ht="20" customHeight="1">
      <c r="D1849" s="179" t="n"/>
      <c r="E1849" s="179" t="n"/>
      <c r="F1849" s="180" t="n"/>
      <c r="G1849" s="180" t="n"/>
      <c r="H1849" s="181">
        <f>IF(OR(F1849="",G1849=""),"",ROUND(MOD(G1849-F1849,1)*24,2))</f>
        <v/>
      </c>
      <c r="K1849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50" collapsed="1" ht="20" customHeight="1">
      <c r="D1850" s="179" t="n"/>
      <c r="E1850" s="179" t="n"/>
      <c r="F1850" s="180" t="n"/>
      <c r="G1850" s="180" t="n"/>
      <c r="H1850" s="181">
        <f>IF(OR(F1850="",G1850=""),"",ROUND(MOD(G1850-F1850,1)*24,2))</f>
        <v/>
      </c>
      <c r="K1850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51" hidden="1" outlineLevel="1" ht="20" customHeight="1">
      <c r="D1851" s="179" t="n"/>
      <c r="E1851" s="179" t="n"/>
      <c r="F1851" s="180" t="n"/>
      <c r="G1851" s="180" t="n"/>
      <c r="H1851" s="181">
        <f>IF(OR(F1851="",G1851=""),"",ROUND(MOD(G1851-F1851,1)*24,2))</f>
        <v/>
      </c>
      <c r="K1851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52" hidden="1" outlineLevel="1" ht="20" customHeight="1">
      <c r="D1852" s="179" t="n"/>
      <c r="E1852" s="179" t="n"/>
      <c r="F1852" s="180" t="n"/>
      <c r="G1852" s="180" t="n"/>
      <c r="H1852" s="181">
        <f>IF(OR(F1852="",G1852=""),"",ROUND(MOD(G1852-F1852,1)*24,2))</f>
        <v/>
      </c>
      <c r="K1852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53" hidden="1" outlineLevel="1" ht="20" customHeight="1">
      <c r="D1853" s="179" t="n"/>
      <c r="E1853" s="179" t="n"/>
      <c r="F1853" s="180" t="n"/>
      <c r="G1853" s="180" t="n"/>
      <c r="H1853" s="181">
        <f>IF(OR(F1853="",G1853=""),"",ROUND(MOD(G1853-F1853,1)*24,2))</f>
        <v/>
      </c>
      <c r="K1853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54" hidden="1" outlineLevel="1" ht="20" customHeight="1">
      <c r="D1854" s="179" t="n"/>
      <c r="E1854" s="179" t="n"/>
      <c r="F1854" s="180" t="n"/>
      <c r="G1854" s="180" t="n"/>
      <c r="H1854" s="181">
        <f>IF(OR(F1854="",G1854=""),"",ROUND(MOD(G1854-F1854,1)*24,2))</f>
        <v/>
      </c>
      <c r="K1854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55" hidden="1" outlineLevel="1" ht="20" customHeight="1">
      <c r="A1855" s="342" t="n"/>
      <c r="B1855" s="342" t="n"/>
      <c r="C1855" s="342" t="n"/>
      <c r="D1855" s="332" t="n"/>
      <c r="E1855" s="332" t="n"/>
      <c r="F1855" s="333" t="n"/>
      <c r="G1855" s="333" t="n"/>
      <c r="H1855" s="334">
        <f>IF(OR(F1855="",G1855=""),"",ROUND(MOD(G1855-F1855,1)*24,2))</f>
        <v/>
      </c>
      <c r="I1855" s="342" t="n"/>
      <c r="J1855" s="342" t="n"/>
      <c r="K1855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56" ht="20" customHeight="1">
      <c r="A1856" s="336">
        <f>IF($K1856="","",WEEKNUM($K1856,21))</f>
        <v/>
      </c>
      <c r="B1856" s="337">
        <f>IF($K1856="","",$K1856)</f>
        <v/>
      </c>
      <c r="C1856" s="338">
        <f>IF($K1856="","",$K1856)</f>
        <v/>
      </c>
      <c r="D1856" s="171" t="n"/>
      <c r="E1856" s="171" t="n"/>
      <c r="F1856" s="172" t="n"/>
      <c r="G1856" s="172" t="n"/>
      <c r="H1856" s="173">
        <f>IF(OR(F1856="",G1856=""),"",ROUND(MOD(G1856-F1856,1)*24,2))</f>
        <v/>
      </c>
      <c r="I1856" s="339" t="n"/>
      <c r="J1856" s="339" t="n"/>
      <c r="K1856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57" ht="20" customHeight="1">
      <c r="D1857" s="179" t="n"/>
      <c r="E1857" s="179" t="n"/>
      <c r="F1857" s="180" t="n"/>
      <c r="G1857" s="180" t="n"/>
      <c r="H1857" s="181">
        <f>IF(OR(F1857="",G1857=""),"",ROUND(MOD(G1857-F1857,1)*24,2))</f>
        <v/>
      </c>
      <c r="K1857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58" ht="20" customHeight="1">
      <c r="D1858" s="179" t="n"/>
      <c r="E1858" s="179" t="n"/>
      <c r="F1858" s="180" t="n"/>
      <c r="G1858" s="180" t="n"/>
      <c r="H1858" s="181">
        <f>IF(OR(F1858="",G1858=""),"",ROUND(MOD(G1858-F1858,1)*24,2))</f>
        <v/>
      </c>
      <c r="K1858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59" ht="20" customHeight="1">
      <c r="D1859" s="179" t="n"/>
      <c r="E1859" s="179" t="n"/>
      <c r="F1859" s="180" t="n"/>
      <c r="G1859" s="180" t="n"/>
      <c r="H1859" s="181">
        <f>IF(OR(F1859="",G1859=""),"",ROUND(MOD(G1859-F1859,1)*24,2))</f>
        <v/>
      </c>
      <c r="K1859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60" collapsed="1" ht="20" customHeight="1">
      <c r="D1860" s="179" t="n"/>
      <c r="E1860" s="179" t="n"/>
      <c r="F1860" s="180" t="n"/>
      <c r="G1860" s="180" t="n"/>
      <c r="H1860" s="181">
        <f>IF(OR(F1860="",G1860=""),"",ROUND(MOD(G1860-F1860,1)*24,2))</f>
        <v/>
      </c>
      <c r="K1860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61" hidden="1" outlineLevel="1" ht="20" customHeight="1">
      <c r="D1861" s="179" t="n"/>
      <c r="E1861" s="179" t="n"/>
      <c r="F1861" s="180" t="n"/>
      <c r="G1861" s="180" t="n"/>
      <c r="H1861" s="181">
        <f>IF(OR(F1861="",G1861=""),"",ROUND(MOD(G1861-F1861,1)*24,2))</f>
        <v/>
      </c>
      <c r="K1861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62" hidden="1" outlineLevel="1" ht="20" customHeight="1">
      <c r="D1862" s="179" t="n"/>
      <c r="E1862" s="179" t="n"/>
      <c r="F1862" s="180" t="n"/>
      <c r="G1862" s="180" t="n"/>
      <c r="H1862" s="181">
        <f>IF(OR(F1862="",G1862=""),"",ROUND(MOD(G1862-F1862,1)*24,2))</f>
        <v/>
      </c>
      <c r="K1862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63" hidden="1" outlineLevel="1" ht="20" customHeight="1">
      <c r="D1863" s="179" t="n"/>
      <c r="E1863" s="179" t="n"/>
      <c r="F1863" s="180" t="n"/>
      <c r="G1863" s="180" t="n"/>
      <c r="H1863" s="181">
        <f>IF(OR(F1863="",G1863=""),"",ROUND(MOD(G1863-F1863,1)*24,2))</f>
        <v/>
      </c>
      <c r="K1863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64" hidden="1" outlineLevel="1" ht="20" customHeight="1">
      <c r="D1864" s="179" t="n"/>
      <c r="E1864" s="179" t="n"/>
      <c r="F1864" s="180" t="n"/>
      <c r="G1864" s="180" t="n"/>
      <c r="H1864" s="181">
        <f>IF(OR(F1864="",G1864=""),"",ROUND(MOD(G1864-F1864,1)*24,2))</f>
        <v/>
      </c>
      <c r="K1864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65" hidden="1" outlineLevel="1" ht="20" customHeight="1">
      <c r="A1865" s="342" t="n"/>
      <c r="B1865" s="342" t="n"/>
      <c r="C1865" s="342" t="n"/>
      <c r="D1865" s="332" t="n"/>
      <c r="E1865" s="332" t="n"/>
      <c r="F1865" s="333" t="n"/>
      <c r="G1865" s="333" t="n"/>
      <c r="H1865" s="334">
        <f>IF(OR(F1865="",G1865=""),"",ROUND(MOD(G1865-F1865,1)*24,2))</f>
        <v/>
      </c>
      <c r="I1865" s="342" t="n"/>
      <c r="J1865" s="342" t="n"/>
      <c r="K1865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66" ht="20" customHeight="1">
      <c r="A1866" s="336">
        <f>IF($K1866="","",WEEKNUM($K1866,21))</f>
        <v/>
      </c>
      <c r="B1866" s="337">
        <f>IF($K1866="","",$K1866)</f>
        <v/>
      </c>
      <c r="C1866" s="338">
        <f>IF($K1866="","",$K1866)</f>
        <v/>
      </c>
      <c r="D1866" s="171" t="n"/>
      <c r="E1866" s="171" t="n"/>
      <c r="F1866" s="172" t="n"/>
      <c r="G1866" s="172" t="n"/>
      <c r="H1866" s="173">
        <f>IF(OR(F1866="",G1866=""),"",ROUND(MOD(G1866-F1866,1)*24,2))</f>
        <v/>
      </c>
      <c r="I1866" s="339" t="n"/>
      <c r="J1866" s="339" t="n"/>
      <c r="K1866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67" ht="20" customHeight="1">
      <c r="D1867" s="179" t="n"/>
      <c r="E1867" s="179" t="n"/>
      <c r="F1867" s="180" t="n"/>
      <c r="G1867" s="180" t="n"/>
      <c r="H1867" s="181">
        <f>IF(OR(F1867="",G1867=""),"",ROUND(MOD(G1867-F1867,1)*24,2))</f>
        <v/>
      </c>
      <c r="K1867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68" ht="20" customHeight="1">
      <c r="D1868" s="179" t="n"/>
      <c r="E1868" s="179" t="n"/>
      <c r="F1868" s="180" t="n"/>
      <c r="G1868" s="180" t="n"/>
      <c r="H1868" s="181">
        <f>IF(OR(F1868="",G1868=""),"",ROUND(MOD(G1868-F1868,1)*24,2))</f>
        <v/>
      </c>
      <c r="K1868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69" ht="20" customHeight="1">
      <c r="D1869" s="179" t="n"/>
      <c r="E1869" s="179" t="n"/>
      <c r="F1869" s="180" t="n"/>
      <c r="G1869" s="180" t="n"/>
      <c r="H1869" s="181">
        <f>IF(OR(F1869="",G1869=""),"",ROUND(MOD(G1869-F1869,1)*24,2))</f>
        <v/>
      </c>
      <c r="K1869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70" collapsed="1" ht="20" customHeight="1">
      <c r="D1870" s="179" t="n"/>
      <c r="E1870" s="179" t="n"/>
      <c r="F1870" s="180" t="n"/>
      <c r="G1870" s="180" t="n"/>
      <c r="H1870" s="181">
        <f>IF(OR(F1870="",G1870=""),"",ROUND(MOD(G1870-F1870,1)*24,2))</f>
        <v/>
      </c>
      <c r="K1870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71" hidden="1" outlineLevel="1" ht="20" customHeight="1">
      <c r="D1871" s="179" t="n"/>
      <c r="E1871" s="179" t="n"/>
      <c r="F1871" s="180" t="n"/>
      <c r="G1871" s="180" t="n"/>
      <c r="H1871" s="181">
        <f>IF(OR(F1871="",G1871=""),"",ROUND(MOD(G1871-F1871,1)*24,2))</f>
        <v/>
      </c>
      <c r="K1871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72" hidden="1" outlineLevel="1" ht="20" customHeight="1">
      <c r="D1872" s="179" t="n"/>
      <c r="E1872" s="179" t="n"/>
      <c r="F1872" s="180" t="n"/>
      <c r="G1872" s="180" t="n"/>
      <c r="H1872" s="181">
        <f>IF(OR(F1872="",G1872=""),"",ROUND(MOD(G1872-F1872,1)*24,2))</f>
        <v/>
      </c>
      <c r="K1872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73" hidden="1" outlineLevel="1" ht="20" customHeight="1">
      <c r="D1873" s="179" t="n"/>
      <c r="E1873" s="179" t="n"/>
      <c r="F1873" s="180" t="n"/>
      <c r="G1873" s="180" t="n"/>
      <c r="H1873" s="181">
        <f>IF(OR(F1873="",G1873=""),"",ROUND(MOD(G1873-F1873,1)*24,2))</f>
        <v/>
      </c>
      <c r="K1873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74" hidden="1" outlineLevel="1" ht="20" customHeight="1">
      <c r="D1874" s="179" t="n"/>
      <c r="E1874" s="179" t="n"/>
      <c r="F1874" s="180" t="n"/>
      <c r="G1874" s="180" t="n"/>
      <c r="H1874" s="181">
        <f>IF(OR(F1874="",G1874=""),"",ROUND(MOD(G1874-F1874,1)*24,2))</f>
        <v/>
      </c>
      <c r="K1874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75" hidden="1" outlineLevel="1" ht="20" customHeight="1">
      <c r="A1875" s="342" t="n"/>
      <c r="B1875" s="342" t="n"/>
      <c r="C1875" s="342" t="n"/>
      <c r="D1875" s="332" t="n"/>
      <c r="E1875" s="332" t="n"/>
      <c r="F1875" s="333" t="n"/>
      <c r="G1875" s="333" t="n"/>
      <c r="H1875" s="334">
        <f>IF(OR(F1875="",G1875=""),"",ROUND(MOD(G1875-F1875,1)*24,2))</f>
        <v/>
      </c>
      <c r="I1875" s="342" t="n"/>
      <c r="J1875" s="342" t="n"/>
      <c r="K1875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76" ht="20" customHeight="1">
      <c r="A1876" s="336">
        <f>IF($K1876="","",WEEKNUM($K1876,21))</f>
        <v/>
      </c>
      <c r="B1876" s="337">
        <f>IF($K1876="","",$K1876)</f>
        <v/>
      </c>
      <c r="C1876" s="338">
        <f>IF($K1876="","",$K1876)</f>
        <v/>
      </c>
      <c r="D1876" s="171" t="n"/>
      <c r="E1876" s="171" t="n"/>
      <c r="F1876" s="172" t="n"/>
      <c r="G1876" s="172" t="n"/>
      <c r="H1876" s="173">
        <f>IF(OR(F1876="",G1876=""),"",ROUND(MOD(G1876-F1876,1)*24,2))</f>
        <v/>
      </c>
      <c r="I1876" s="339" t="n"/>
      <c r="J1876" s="339" t="n"/>
      <c r="K1876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77" ht="20" customHeight="1">
      <c r="D1877" s="179" t="n"/>
      <c r="E1877" s="179" t="n"/>
      <c r="F1877" s="180" t="n"/>
      <c r="G1877" s="180" t="n"/>
      <c r="H1877" s="181">
        <f>IF(OR(F1877="",G1877=""),"",ROUND(MOD(G1877-F1877,1)*24,2))</f>
        <v/>
      </c>
      <c r="K1877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78" ht="20" customHeight="1">
      <c r="D1878" s="179" t="n"/>
      <c r="E1878" s="179" t="n"/>
      <c r="F1878" s="180" t="n"/>
      <c r="G1878" s="180" t="n"/>
      <c r="H1878" s="181">
        <f>IF(OR(F1878="",G1878=""),"",ROUND(MOD(G1878-F1878,1)*24,2))</f>
        <v/>
      </c>
      <c r="K1878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79" ht="20" customHeight="1">
      <c r="D1879" s="179" t="n"/>
      <c r="E1879" s="179" t="n"/>
      <c r="F1879" s="180" t="n"/>
      <c r="G1879" s="180" t="n"/>
      <c r="H1879" s="181">
        <f>IF(OR(F1879="",G1879=""),"",ROUND(MOD(G1879-F1879,1)*24,2))</f>
        <v/>
      </c>
      <c r="K1879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80" collapsed="1" ht="20" customHeight="1">
      <c r="D1880" s="179" t="n"/>
      <c r="E1880" s="179" t="n"/>
      <c r="F1880" s="180" t="n"/>
      <c r="G1880" s="180" t="n"/>
      <c r="H1880" s="181">
        <f>IF(OR(F1880="",G1880=""),"",ROUND(MOD(G1880-F1880,1)*24,2))</f>
        <v/>
      </c>
      <c r="K1880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81" hidden="1" outlineLevel="1" ht="20" customHeight="1">
      <c r="D1881" s="179" t="n"/>
      <c r="E1881" s="179" t="n"/>
      <c r="F1881" s="180" t="n"/>
      <c r="G1881" s="180" t="n"/>
      <c r="H1881" s="181">
        <f>IF(OR(F1881="",G1881=""),"",ROUND(MOD(G1881-F1881,1)*24,2))</f>
        <v/>
      </c>
      <c r="K1881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82" hidden="1" outlineLevel="1" ht="20" customHeight="1">
      <c r="D1882" s="179" t="n"/>
      <c r="E1882" s="179" t="n"/>
      <c r="F1882" s="180" t="n"/>
      <c r="G1882" s="180" t="n"/>
      <c r="H1882" s="181">
        <f>IF(OR(F1882="",G1882=""),"",ROUND(MOD(G1882-F1882,1)*24,2))</f>
        <v/>
      </c>
      <c r="K1882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83" hidden="1" outlineLevel="1" ht="20" customHeight="1">
      <c r="D1883" s="179" t="n"/>
      <c r="E1883" s="179" t="n"/>
      <c r="F1883" s="180" t="n"/>
      <c r="G1883" s="180" t="n"/>
      <c r="H1883" s="181">
        <f>IF(OR(F1883="",G1883=""),"",ROUND(MOD(G1883-F1883,1)*24,2))</f>
        <v/>
      </c>
      <c r="K1883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84" hidden="1" outlineLevel="1" ht="20" customHeight="1">
      <c r="D1884" s="179" t="n"/>
      <c r="E1884" s="179" t="n"/>
      <c r="F1884" s="180" t="n"/>
      <c r="G1884" s="180" t="n"/>
      <c r="H1884" s="181">
        <f>IF(OR(F1884="",G1884=""),"",ROUND(MOD(G1884-F1884,1)*24,2))</f>
        <v/>
      </c>
      <c r="K1884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85" hidden="1" outlineLevel="1" ht="20" customHeight="1">
      <c r="A1885" s="342" t="n"/>
      <c r="B1885" s="342" t="n"/>
      <c r="C1885" s="342" t="n"/>
      <c r="D1885" s="332" t="n"/>
      <c r="E1885" s="332" t="n"/>
      <c r="F1885" s="333" t="n"/>
      <c r="G1885" s="333" t="n"/>
      <c r="H1885" s="334">
        <f>IF(OR(F1885="",G1885=""),"",ROUND(MOD(G1885-F1885,1)*24,2))</f>
        <v/>
      </c>
      <c r="I1885" s="342" t="n"/>
      <c r="J1885" s="342" t="n"/>
      <c r="K1885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886" ht="20" customHeight="1">
      <c r="A1886" s="336">
        <f>IF($K1886="","",WEEKNUM($K1886,21))</f>
        <v/>
      </c>
      <c r="B1886" s="337">
        <f>IF($K1886="","",$K1886)</f>
        <v/>
      </c>
      <c r="C1886" s="338">
        <f>IF($K1886="","",$K1886)</f>
        <v/>
      </c>
      <c r="D1886" s="171" t="n"/>
      <c r="E1886" s="171" t="n"/>
      <c r="F1886" s="172" t="n"/>
      <c r="G1886" s="172" t="n"/>
      <c r="H1886" s="173">
        <f>IF(OR(F1886="",G1886=""),"",ROUND(MOD(G1886-F1886,1)*24,2))</f>
        <v/>
      </c>
      <c r="I1886" s="339" t="n"/>
      <c r="J1886" s="339" t="n"/>
      <c r="K1886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87" ht="20" customHeight="1">
      <c r="D1887" s="179" t="n"/>
      <c r="E1887" s="179" t="n"/>
      <c r="F1887" s="180" t="n"/>
      <c r="G1887" s="180" t="n"/>
      <c r="H1887" s="181">
        <f>IF(OR(F1887="",G1887=""),"",ROUND(MOD(G1887-F1887,1)*24,2))</f>
        <v/>
      </c>
      <c r="K1887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88" ht="20" customHeight="1">
      <c r="D1888" s="179" t="n"/>
      <c r="E1888" s="179" t="n"/>
      <c r="F1888" s="180" t="n"/>
      <c r="G1888" s="180" t="n"/>
      <c r="H1888" s="181">
        <f>IF(OR(F1888="",G1888=""),"",ROUND(MOD(G1888-F1888,1)*24,2))</f>
        <v/>
      </c>
      <c r="K1888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89" ht="20" customHeight="1">
      <c r="D1889" s="179" t="n"/>
      <c r="E1889" s="179" t="n"/>
      <c r="F1889" s="180" t="n"/>
      <c r="G1889" s="180" t="n"/>
      <c r="H1889" s="181">
        <f>IF(OR(F1889="",G1889=""),"",ROUND(MOD(G1889-F1889,1)*24,2))</f>
        <v/>
      </c>
      <c r="K1889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90" collapsed="1" ht="20" customHeight="1">
      <c r="D1890" s="179" t="n"/>
      <c r="E1890" s="179" t="n"/>
      <c r="F1890" s="180" t="n"/>
      <c r="G1890" s="180" t="n"/>
      <c r="H1890" s="181">
        <f>IF(OR(F1890="",G1890=""),"",ROUND(MOD(G1890-F1890,1)*24,2))</f>
        <v/>
      </c>
      <c r="K1890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91" hidden="1" outlineLevel="1" ht="20" customHeight="1">
      <c r="D1891" s="179" t="n"/>
      <c r="E1891" s="179" t="n"/>
      <c r="F1891" s="180" t="n"/>
      <c r="G1891" s="180" t="n"/>
      <c r="H1891" s="181">
        <f>IF(OR(F1891="",G1891=""),"",ROUND(MOD(G1891-F1891,1)*24,2))</f>
        <v/>
      </c>
      <c r="K1891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92" hidden="1" outlineLevel="1" ht="20" customHeight="1">
      <c r="D1892" s="179" t="n"/>
      <c r="E1892" s="179" t="n"/>
      <c r="F1892" s="180" t="n"/>
      <c r="G1892" s="180" t="n"/>
      <c r="H1892" s="181">
        <f>IF(OR(F1892="",G1892=""),"",ROUND(MOD(G1892-F1892,1)*24,2))</f>
        <v/>
      </c>
      <c r="K1892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93" hidden="1" outlineLevel="1" ht="20" customHeight="1">
      <c r="D1893" s="179" t="n"/>
      <c r="E1893" s="179" t="n"/>
      <c r="F1893" s="180" t="n"/>
      <c r="G1893" s="180" t="n"/>
      <c r="H1893" s="181">
        <f>IF(OR(F1893="",G1893=""),"",ROUND(MOD(G1893-F1893,1)*24,2))</f>
        <v/>
      </c>
      <c r="K1893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94" hidden="1" outlineLevel="1" ht="20" customHeight="1">
      <c r="D1894" s="179" t="n"/>
      <c r="E1894" s="179" t="n"/>
      <c r="F1894" s="180" t="n"/>
      <c r="G1894" s="180" t="n"/>
      <c r="H1894" s="181">
        <f>IF(OR(F1894="",G1894=""),"",ROUND(MOD(G1894-F1894,1)*24,2))</f>
        <v/>
      </c>
      <c r="K1894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95" hidden="1" outlineLevel="1" ht="20" customHeight="1">
      <c r="A1895" s="342" t="n"/>
      <c r="B1895" s="342" t="n"/>
      <c r="C1895" s="342" t="n"/>
      <c r="D1895" s="332" t="n"/>
      <c r="E1895" s="332" t="n"/>
      <c r="F1895" s="333" t="n"/>
      <c r="G1895" s="333" t="n"/>
      <c r="H1895" s="334">
        <f>IF(OR(F1895="",G1895=""),"",ROUND(MOD(G1895-F1895,1)*24,2))</f>
        <v/>
      </c>
      <c r="I1895" s="342" t="n"/>
      <c r="J1895" s="342" t="n"/>
      <c r="K1895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896" ht="20" customHeight="1">
      <c r="A1896" s="336">
        <f>IF($K1896="","",WEEKNUM($K1896,21))</f>
        <v/>
      </c>
      <c r="B1896" s="337">
        <f>IF($K1896="","",$K1896)</f>
        <v/>
      </c>
      <c r="C1896" s="338">
        <f>IF($K1896="","",$K1896)</f>
        <v/>
      </c>
      <c r="D1896" s="171" t="n"/>
      <c r="E1896" s="171" t="n"/>
      <c r="F1896" s="172" t="n"/>
      <c r="G1896" s="172" t="n"/>
      <c r="H1896" s="173">
        <f>IF(OR(F1896="",G1896=""),"",ROUND(MOD(G1896-F1896,1)*24,2))</f>
        <v/>
      </c>
      <c r="I1896" s="339" t="n"/>
      <c r="J1896" s="339" t="n"/>
      <c r="K1896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897" ht="20" customHeight="1">
      <c r="D1897" s="179" t="n"/>
      <c r="E1897" s="179" t="n"/>
      <c r="F1897" s="180" t="n"/>
      <c r="G1897" s="180" t="n"/>
      <c r="H1897" s="181">
        <f>IF(OR(F1897="",G1897=""),"",ROUND(MOD(G1897-F1897,1)*24,2))</f>
        <v/>
      </c>
      <c r="K1897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898" ht="20" customHeight="1">
      <c r="D1898" s="179" t="n"/>
      <c r="E1898" s="179" t="n"/>
      <c r="F1898" s="180" t="n"/>
      <c r="G1898" s="180" t="n"/>
      <c r="H1898" s="181">
        <f>IF(OR(F1898="",G1898=""),"",ROUND(MOD(G1898-F1898,1)*24,2))</f>
        <v/>
      </c>
      <c r="K1898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899" ht="20" customHeight="1">
      <c r="D1899" s="179" t="n"/>
      <c r="E1899" s="179" t="n"/>
      <c r="F1899" s="180" t="n"/>
      <c r="G1899" s="180" t="n"/>
      <c r="H1899" s="181">
        <f>IF(OR(F1899="",G1899=""),"",ROUND(MOD(G1899-F1899,1)*24,2))</f>
        <v/>
      </c>
      <c r="K1899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900" collapsed="1" ht="20" customHeight="1">
      <c r="D1900" s="179" t="n"/>
      <c r="E1900" s="179" t="n"/>
      <c r="F1900" s="180" t="n"/>
      <c r="G1900" s="180" t="n"/>
      <c r="H1900" s="181">
        <f>IF(OR(F1900="",G1900=""),"",ROUND(MOD(G1900-F1900,1)*24,2))</f>
        <v/>
      </c>
      <c r="K1900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901" hidden="1" outlineLevel="1" ht="20" customHeight="1">
      <c r="D1901" s="179" t="n"/>
      <c r="E1901" s="179" t="n"/>
      <c r="F1901" s="180" t="n"/>
      <c r="G1901" s="180" t="n"/>
      <c r="H1901" s="181">
        <f>IF(OR(F1901="",G1901=""),"",ROUND(MOD(G1901-F1901,1)*24,2))</f>
        <v/>
      </c>
      <c r="K1901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902" hidden="1" outlineLevel="1" ht="20" customHeight="1">
      <c r="D1902" s="179" t="n"/>
      <c r="E1902" s="179" t="n"/>
      <c r="F1902" s="180" t="n"/>
      <c r="G1902" s="180" t="n"/>
      <c r="H1902" s="181">
        <f>IF(OR(F1902="",G1902=""),"",ROUND(MOD(G1902-F1902,1)*24,2))</f>
        <v/>
      </c>
      <c r="K1902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903" hidden="1" outlineLevel="1" ht="20" customHeight="1">
      <c r="D1903" s="179" t="n"/>
      <c r="E1903" s="179" t="n"/>
      <c r="F1903" s="180" t="n"/>
      <c r="G1903" s="180" t="n"/>
      <c r="H1903" s="181">
        <f>IF(OR(F1903="",G1903=""),"",ROUND(MOD(G1903-F1903,1)*24,2))</f>
        <v/>
      </c>
      <c r="K1903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904" hidden="1" outlineLevel="1" ht="20" customHeight="1">
      <c r="D1904" s="179" t="n"/>
      <c r="E1904" s="179" t="n"/>
      <c r="F1904" s="180" t="n"/>
      <c r="G1904" s="180" t="n"/>
      <c r="H1904" s="181">
        <f>IF(OR(F1904="",G1904=""),"",ROUND(MOD(G1904-F1904,1)*24,2))</f>
        <v/>
      </c>
      <c r="K1904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905" hidden="1" outlineLevel="1" ht="20" customHeight="1">
      <c r="A1905" s="342" t="n"/>
      <c r="B1905" s="342" t="n"/>
      <c r="C1905" s="342" t="n"/>
      <c r="D1905" s="332" t="n"/>
      <c r="E1905" s="332" t="n"/>
      <c r="F1905" s="333" t="n"/>
      <c r="G1905" s="333" t="n"/>
      <c r="H1905" s="334">
        <f>IF(OR(F1905="",G1905=""),"",ROUND(MOD(G1905-F1905,1)*24,2))</f>
        <v/>
      </c>
      <c r="I1905" s="342" t="n"/>
      <c r="J1905" s="342" t="n"/>
      <c r="K1905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906" ht="20" customHeight="1">
      <c r="A1906" s="336">
        <f>IF($K1906="","",WEEKNUM($K1906,21))</f>
        <v/>
      </c>
      <c r="B1906" s="337">
        <f>IF($K1906="","",$K1906)</f>
        <v/>
      </c>
      <c r="C1906" s="338">
        <f>IF($K1906="","",$K1906)</f>
        <v/>
      </c>
      <c r="D1906" s="171" t="n"/>
      <c r="E1906" s="171" t="n"/>
      <c r="F1906" s="172" t="n"/>
      <c r="G1906" s="172" t="n"/>
      <c r="H1906" s="173">
        <f>IF(OR(F1906="",G1906=""),"",ROUND(MOD(G1906-F1906,1)*24,2))</f>
        <v/>
      </c>
      <c r="I1906" s="339" t="n"/>
      <c r="J1906" s="339" t="n"/>
      <c r="K1906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07" ht="20" customHeight="1">
      <c r="D1907" s="179" t="n"/>
      <c r="E1907" s="179" t="n"/>
      <c r="F1907" s="180" t="n"/>
      <c r="G1907" s="180" t="n"/>
      <c r="H1907" s="181">
        <f>IF(OR(F1907="",G1907=""),"",ROUND(MOD(G1907-F1907,1)*24,2))</f>
        <v/>
      </c>
      <c r="K1907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08" ht="20" customHeight="1">
      <c r="D1908" s="179" t="n"/>
      <c r="E1908" s="179" t="n"/>
      <c r="F1908" s="180" t="n"/>
      <c r="G1908" s="180" t="n"/>
      <c r="H1908" s="181">
        <f>IF(OR(F1908="",G1908=""),"",ROUND(MOD(G1908-F1908,1)*24,2))</f>
        <v/>
      </c>
      <c r="K1908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09" ht="20" customHeight="1">
      <c r="D1909" s="179" t="n"/>
      <c r="E1909" s="179" t="n"/>
      <c r="F1909" s="180" t="n"/>
      <c r="G1909" s="180" t="n"/>
      <c r="H1909" s="181">
        <f>IF(OR(F1909="",G1909=""),"",ROUND(MOD(G1909-F1909,1)*24,2))</f>
        <v/>
      </c>
      <c r="K1909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10" collapsed="1" ht="20" customHeight="1">
      <c r="D1910" s="179" t="n"/>
      <c r="E1910" s="179" t="n"/>
      <c r="F1910" s="180" t="n"/>
      <c r="G1910" s="180" t="n"/>
      <c r="H1910" s="181">
        <f>IF(OR(F1910="",G1910=""),"",ROUND(MOD(G1910-F1910,1)*24,2))</f>
        <v/>
      </c>
      <c r="K1910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11" hidden="1" outlineLevel="1" ht="20" customHeight="1">
      <c r="D1911" s="179" t="n"/>
      <c r="E1911" s="179" t="n"/>
      <c r="F1911" s="180" t="n"/>
      <c r="G1911" s="180" t="n"/>
      <c r="H1911" s="181">
        <f>IF(OR(F1911="",G1911=""),"",ROUND(MOD(G1911-F1911,1)*24,2))</f>
        <v/>
      </c>
      <c r="K1911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12" hidden="1" outlineLevel="1" ht="20" customHeight="1">
      <c r="D1912" s="179" t="n"/>
      <c r="E1912" s="179" t="n"/>
      <c r="F1912" s="180" t="n"/>
      <c r="G1912" s="180" t="n"/>
      <c r="H1912" s="181">
        <f>IF(OR(F1912="",G1912=""),"",ROUND(MOD(G1912-F1912,1)*24,2))</f>
        <v/>
      </c>
      <c r="K1912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13" hidden="1" outlineLevel="1" ht="20" customHeight="1">
      <c r="D1913" s="179" t="n"/>
      <c r="E1913" s="179" t="n"/>
      <c r="F1913" s="180" t="n"/>
      <c r="G1913" s="180" t="n"/>
      <c r="H1913" s="181">
        <f>IF(OR(F1913="",G1913=""),"",ROUND(MOD(G1913-F1913,1)*24,2))</f>
        <v/>
      </c>
      <c r="K1913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14" hidden="1" outlineLevel="1" ht="20" customHeight="1">
      <c r="D1914" s="179" t="n"/>
      <c r="E1914" s="179" t="n"/>
      <c r="F1914" s="180" t="n"/>
      <c r="G1914" s="180" t="n"/>
      <c r="H1914" s="181">
        <f>IF(OR(F1914="",G1914=""),"",ROUND(MOD(G1914-F1914,1)*24,2))</f>
        <v/>
      </c>
      <c r="K1914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15" hidden="1" outlineLevel="1" ht="20" customHeight="1">
      <c r="A1915" s="342" t="n"/>
      <c r="B1915" s="342" t="n"/>
      <c r="C1915" s="342" t="n"/>
      <c r="D1915" s="332" t="n"/>
      <c r="E1915" s="332" t="n"/>
      <c r="F1915" s="333" t="n"/>
      <c r="G1915" s="333" t="n"/>
      <c r="H1915" s="334">
        <f>IF(OR(F1915="",G1915=""),"",ROUND(MOD(G1915-F1915,1)*24,2))</f>
        <v/>
      </c>
      <c r="I1915" s="342" t="n"/>
      <c r="J1915" s="342" t="n"/>
      <c r="K1915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16" ht="20" customHeight="1">
      <c r="A1916" s="336">
        <f>IF($K1916="","",WEEKNUM($K1916,21))</f>
        <v/>
      </c>
      <c r="B1916" s="337">
        <f>IF($K1916="","",$K1916)</f>
        <v/>
      </c>
      <c r="C1916" s="338">
        <f>IF($K1916="","",$K1916)</f>
        <v/>
      </c>
      <c r="D1916" s="171" t="n"/>
      <c r="E1916" s="171" t="n"/>
      <c r="F1916" s="172" t="n"/>
      <c r="G1916" s="172" t="n"/>
      <c r="H1916" s="173">
        <f>IF(OR(F1916="",G1916=""),"",ROUND(MOD(G1916-F1916,1)*24,2))</f>
        <v/>
      </c>
      <c r="I1916" s="339" t="n"/>
      <c r="J1916" s="339" t="n"/>
      <c r="K1916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17" ht="20" customHeight="1">
      <c r="D1917" s="179" t="n"/>
      <c r="E1917" s="179" t="n"/>
      <c r="F1917" s="180" t="n"/>
      <c r="G1917" s="180" t="n"/>
      <c r="H1917" s="181">
        <f>IF(OR(F1917="",G1917=""),"",ROUND(MOD(G1917-F1917,1)*24,2))</f>
        <v/>
      </c>
      <c r="K1917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18" ht="20" customHeight="1">
      <c r="D1918" s="179" t="n"/>
      <c r="E1918" s="179" t="n"/>
      <c r="F1918" s="180" t="n"/>
      <c r="G1918" s="180" t="n"/>
      <c r="H1918" s="181">
        <f>IF(OR(F1918="",G1918=""),"",ROUND(MOD(G1918-F1918,1)*24,2))</f>
        <v/>
      </c>
      <c r="K1918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19" ht="20" customHeight="1">
      <c r="D1919" s="179" t="n"/>
      <c r="E1919" s="179" t="n"/>
      <c r="F1919" s="180" t="n"/>
      <c r="G1919" s="180" t="n"/>
      <c r="H1919" s="181">
        <f>IF(OR(F1919="",G1919=""),"",ROUND(MOD(G1919-F1919,1)*24,2))</f>
        <v/>
      </c>
      <c r="K1919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20" collapsed="1" ht="20" customHeight="1">
      <c r="D1920" s="179" t="n"/>
      <c r="E1920" s="179" t="n"/>
      <c r="F1920" s="180" t="n"/>
      <c r="G1920" s="180" t="n"/>
      <c r="H1920" s="181">
        <f>IF(OR(F1920="",G1920=""),"",ROUND(MOD(G1920-F1920,1)*24,2))</f>
        <v/>
      </c>
      <c r="K1920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21" hidden="1" outlineLevel="1" ht="20" customHeight="1">
      <c r="D1921" s="179" t="n"/>
      <c r="E1921" s="179" t="n"/>
      <c r="F1921" s="180" t="n"/>
      <c r="G1921" s="180" t="n"/>
      <c r="H1921" s="181">
        <f>IF(OR(F1921="",G1921=""),"",ROUND(MOD(G1921-F1921,1)*24,2))</f>
        <v/>
      </c>
      <c r="K1921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22" hidden="1" outlineLevel="1" ht="20" customHeight="1">
      <c r="D1922" s="179" t="n"/>
      <c r="E1922" s="179" t="n"/>
      <c r="F1922" s="180" t="n"/>
      <c r="G1922" s="180" t="n"/>
      <c r="H1922" s="181">
        <f>IF(OR(F1922="",G1922=""),"",ROUND(MOD(G1922-F1922,1)*24,2))</f>
        <v/>
      </c>
      <c r="K1922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23" hidden="1" outlineLevel="1" ht="20" customHeight="1">
      <c r="D1923" s="179" t="n"/>
      <c r="E1923" s="179" t="n"/>
      <c r="F1923" s="180" t="n"/>
      <c r="G1923" s="180" t="n"/>
      <c r="H1923" s="181">
        <f>IF(OR(F1923="",G1923=""),"",ROUND(MOD(G1923-F1923,1)*24,2))</f>
        <v/>
      </c>
      <c r="K1923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24" hidden="1" outlineLevel="1" ht="20" customHeight="1">
      <c r="D1924" s="179" t="n"/>
      <c r="E1924" s="179" t="n"/>
      <c r="F1924" s="180" t="n"/>
      <c r="G1924" s="180" t="n"/>
      <c r="H1924" s="181">
        <f>IF(OR(F1924="",G1924=""),"",ROUND(MOD(G1924-F1924,1)*24,2))</f>
        <v/>
      </c>
      <c r="K1924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25" hidden="1" outlineLevel="1" ht="20" customHeight="1">
      <c r="A1925" s="342" t="n"/>
      <c r="B1925" s="342" t="n"/>
      <c r="C1925" s="342" t="n"/>
      <c r="D1925" s="332" t="n"/>
      <c r="E1925" s="332" t="n"/>
      <c r="F1925" s="333" t="n"/>
      <c r="G1925" s="333" t="n"/>
      <c r="H1925" s="334">
        <f>IF(OR(F1925="",G1925=""),"",ROUND(MOD(G1925-F1925,1)*24,2))</f>
        <v/>
      </c>
      <c r="I1925" s="342" t="n"/>
      <c r="J1925" s="342" t="n"/>
      <c r="K1925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26" ht="20" customHeight="1">
      <c r="A1926" s="336">
        <f>IF($K1926="","",WEEKNUM($K1926,21))</f>
        <v/>
      </c>
      <c r="B1926" s="337">
        <f>IF($K1926="","",$K1926)</f>
        <v/>
      </c>
      <c r="C1926" s="338">
        <f>IF($K1926="","",$K1926)</f>
        <v/>
      </c>
      <c r="D1926" s="171" t="n"/>
      <c r="E1926" s="171" t="n"/>
      <c r="F1926" s="172" t="n"/>
      <c r="G1926" s="172" t="n"/>
      <c r="H1926" s="173">
        <f>IF(OR(F1926="",G1926=""),"",ROUND(MOD(G1926-F1926,1)*24,2))</f>
        <v/>
      </c>
      <c r="I1926" s="339" t="n"/>
      <c r="J1926" s="339" t="n"/>
      <c r="K1926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27" ht="20" customHeight="1">
      <c r="D1927" s="179" t="n"/>
      <c r="E1927" s="179" t="n"/>
      <c r="F1927" s="180" t="n"/>
      <c r="G1927" s="180" t="n"/>
      <c r="H1927" s="181">
        <f>IF(OR(F1927="",G1927=""),"",ROUND(MOD(G1927-F1927,1)*24,2))</f>
        <v/>
      </c>
      <c r="K1927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28" ht="20" customHeight="1">
      <c r="D1928" s="179" t="n"/>
      <c r="E1928" s="179" t="n"/>
      <c r="F1928" s="180" t="n"/>
      <c r="G1928" s="180" t="n"/>
      <c r="H1928" s="181">
        <f>IF(OR(F1928="",G1928=""),"",ROUND(MOD(G1928-F1928,1)*24,2))</f>
        <v/>
      </c>
      <c r="K1928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29" ht="20" customHeight="1">
      <c r="D1929" s="179" t="n"/>
      <c r="E1929" s="179" t="n"/>
      <c r="F1929" s="180" t="n"/>
      <c r="G1929" s="180" t="n"/>
      <c r="H1929" s="181">
        <f>IF(OR(F1929="",G1929=""),"",ROUND(MOD(G1929-F1929,1)*24,2))</f>
        <v/>
      </c>
      <c r="K1929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30" collapsed="1" ht="20" customHeight="1">
      <c r="D1930" s="179" t="n"/>
      <c r="E1930" s="179" t="n"/>
      <c r="F1930" s="180" t="n"/>
      <c r="G1930" s="180" t="n"/>
      <c r="H1930" s="181">
        <f>IF(OR(F1930="",G1930=""),"",ROUND(MOD(G1930-F1930,1)*24,2))</f>
        <v/>
      </c>
      <c r="K1930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31" hidden="1" outlineLevel="1" ht="20" customHeight="1">
      <c r="D1931" s="179" t="n"/>
      <c r="E1931" s="179" t="n"/>
      <c r="F1931" s="180" t="n"/>
      <c r="G1931" s="180" t="n"/>
      <c r="H1931" s="181">
        <f>IF(OR(F1931="",G1931=""),"",ROUND(MOD(G1931-F1931,1)*24,2))</f>
        <v/>
      </c>
      <c r="K1931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32" hidden="1" outlineLevel="1" ht="20" customHeight="1">
      <c r="D1932" s="179" t="n"/>
      <c r="E1932" s="179" t="n"/>
      <c r="F1932" s="180" t="n"/>
      <c r="G1932" s="180" t="n"/>
      <c r="H1932" s="181">
        <f>IF(OR(F1932="",G1932=""),"",ROUND(MOD(G1932-F1932,1)*24,2))</f>
        <v/>
      </c>
      <c r="K1932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33" hidden="1" outlineLevel="1" ht="20" customHeight="1">
      <c r="D1933" s="179" t="n"/>
      <c r="E1933" s="179" t="n"/>
      <c r="F1933" s="180" t="n"/>
      <c r="G1933" s="180" t="n"/>
      <c r="H1933" s="181">
        <f>IF(OR(F1933="",G1933=""),"",ROUND(MOD(G1933-F1933,1)*24,2))</f>
        <v/>
      </c>
      <c r="K1933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34" hidden="1" outlineLevel="1" ht="20" customHeight="1">
      <c r="D1934" s="179" t="n"/>
      <c r="E1934" s="179" t="n"/>
      <c r="F1934" s="180" t="n"/>
      <c r="G1934" s="180" t="n"/>
      <c r="H1934" s="181">
        <f>IF(OR(F1934="",G1934=""),"",ROUND(MOD(G1934-F1934,1)*24,2))</f>
        <v/>
      </c>
      <c r="K1934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35" hidden="1" outlineLevel="1" ht="20" customHeight="1">
      <c r="A1935" s="342" t="n"/>
      <c r="B1935" s="342" t="n"/>
      <c r="C1935" s="342" t="n"/>
      <c r="D1935" s="332" t="n"/>
      <c r="E1935" s="332" t="n"/>
      <c r="F1935" s="333" t="n"/>
      <c r="G1935" s="333" t="n"/>
      <c r="H1935" s="334">
        <f>IF(OR(F1935="",G1935=""),"",ROUND(MOD(G1935-F1935,1)*24,2))</f>
        <v/>
      </c>
      <c r="I1935" s="342" t="n"/>
      <c r="J1935" s="342" t="n"/>
      <c r="K1935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36" ht="20" customHeight="1">
      <c r="A1936" s="336">
        <f>IF($K1936="","",WEEKNUM($K1936,21))</f>
        <v/>
      </c>
      <c r="B1936" s="337">
        <f>IF($K1936="","",$K1936)</f>
        <v/>
      </c>
      <c r="C1936" s="338">
        <f>IF($K1936="","",$K1936)</f>
        <v/>
      </c>
      <c r="D1936" s="171" t="n"/>
      <c r="E1936" s="171" t="n"/>
      <c r="F1936" s="172" t="n"/>
      <c r="G1936" s="172" t="n"/>
      <c r="H1936" s="173">
        <f>IF(OR(F1936="",G1936=""),"",ROUND(MOD(G1936-F1936,1)*24,2))</f>
        <v/>
      </c>
      <c r="I1936" s="339" t="n"/>
      <c r="J1936" s="339" t="n"/>
      <c r="K1936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37" ht="20" customHeight="1">
      <c r="D1937" s="179" t="n"/>
      <c r="E1937" s="179" t="n"/>
      <c r="F1937" s="180" t="n"/>
      <c r="G1937" s="180" t="n"/>
      <c r="H1937" s="181">
        <f>IF(OR(F1937="",G1937=""),"",ROUND(MOD(G1937-F1937,1)*24,2))</f>
        <v/>
      </c>
      <c r="K1937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38" ht="20" customHeight="1">
      <c r="D1938" s="179" t="n"/>
      <c r="E1938" s="179" t="n"/>
      <c r="F1938" s="180" t="n"/>
      <c r="G1938" s="180" t="n"/>
      <c r="H1938" s="181">
        <f>IF(OR(F1938="",G1938=""),"",ROUND(MOD(G1938-F1938,1)*24,2))</f>
        <v/>
      </c>
      <c r="K1938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39" ht="20" customHeight="1">
      <c r="D1939" s="179" t="n"/>
      <c r="E1939" s="179" t="n"/>
      <c r="F1939" s="180" t="n"/>
      <c r="G1939" s="180" t="n"/>
      <c r="H1939" s="181">
        <f>IF(OR(F1939="",G1939=""),"",ROUND(MOD(G1939-F1939,1)*24,2))</f>
        <v/>
      </c>
      <c r="K1939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40" collapsed="1" ht="20" customHeight="1">
      <c r="D1940" s="179" t="n"/>
      <c r="E1940" s="179" t="n"/>
      <c r="F1940" s="180" t="n"/>
      <c r="G1940" s="180" t="n"/>
      <c r="H1940" s="181">
        <f>IF(OR(F1940="",G1940=""),"",ROUND(MOD(G1940-F1940,1)*24,2))</f>
        <v/>
      </c>
      <c r="K1940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41" hidden="1" outlineLevel="1" ht="20" customHeight="1">
      <c r="D1941" s="179" t="n"/>
      <c r="E1941" s="179" t="n"/>
      <c r="F1941" s="180" t="n"/>
      <c r="G1941" s="180" t="n"/>
      <c r="H1941" s="181">
        <f>IF(OR(F1941="",G1941=""),"",ROUND(MOD(G1941-F1941,1)*24,2))</f>
        <v/>
      </c>
      <c r="K1941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42" hidden="1" outlineLevel="1" ht="20" customHeight="1">
      <c r="D1942" s="179" t="n"/>
      <c r="E1942" s="179" t="n"/>
      <c r="F1942" s="180" t="n"/>
      <c r="G1942" s="180" t="n"/>
      <c r="H1942" s="181">
        <f>IF(OR(F1942="",G1942=""),"",ROUND(MOD(G1942-F1942,1)*24,2))</f>
        <v/>
      </c>
      <c r="K1942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43" hidden="1" outlineLevel="1" ht="20" customHeight="1">
      <c r="D1943" s="179" t="n"/>
      <c r="E1943" s="179" t="n"/>
      <c r="F1943" s="180" t="n"/>
      <c r="G1943" s="180" t="n"/>
      <c r="H1943" s="181">
        <f>IF(OR(F1943="",G1943=""),"",ROUND(MOD(G1943-F1943,1)*24,2))</f>
        <v/>
      </c>
      <c r="K1943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44" hidden="1" outlineLevel="1" ht="20" customHeight="1">
      <c r="D1944" s="179" t="n"/>
      <c r="E1944" s="179" t="n"/>
      <c r="F1944" s="180" t="n"/>
      <c r="G1944" s="180" t="n"/>
      <c r="H1944" s="181">
        <f>IF(OR(F1944="",G1944=""),"",ROUND(MOD(G1944-F1944,1)*24,2))</f>
        <v/>
      </c>
      <c r="K1944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45" hidden="1" outlineLevel="1" ht="20" customHeight="1">
      <c r="A1945" s="342" t="n"/>
      <c r="B1945" s="342" t="n"/>
      <c r="C1945" s="342" t="n"/>
      <c r="D1945" s="332" t="n"/>
      <c r="E1945" s="332" t="n"/>
      <c r="F1945" s="333" t="n"/>
      <c r="G1945" s="333" t="n"/>
      <c r="H1945" s="334">
        <f>IF(OR(F1945="",G1945=""),"",ROUND(MOD(G1945-F1945,1)*24,2))</f>
        <v/>
      </c>
      <c r="I1945" s="342" t="n"/>
      <c r="J1945" s="342" t="n"/>
      <c r="K1945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46" ht="20" customHeight="1">
      <c r="A1946" s="336">
        <f>IF($K1946="","",WEEKNUM($K1946,21))</f>
        <v/>
      </c>
      <c r="B1946" s="337">
        <f>IF($K1946="","",$K1946)</f>
        <v/>
      </c>
      <c r="C1946" s="338">
        <f>IF($K1946="","",$K1946)</f>
        <v/>
      </c>
      <c r="D1946" s="171" t="n"/>
      <c r="E1946" s="171" t="n"/>
      <c r="F1946" s="172" t="n"/>
      <c r="G1946" s="172" t="n"/>
      <c r="H1946" s="173">
        <f>IF(OR(F1946="",G1946=""),"",ROUND(MOD(G1946-F1946,1)*24,2))</f>
        <v/>
      </c>
      <c r="I1946" s="339" t="n"/>
      <c r="J1946" s="339" t="n"/>
      <c r="K1946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47" ht="20" customHeight="1">
      <c r="D1947" s="179" t="n"/>
      <c r="E1947" s="179" t="n"/>
      <c r="F1947" s="180" t="n"/>
      <c r="G1947" s="180" t="n"/>
      <c r="H1947" s="181">
        <f>IF(OR(F1947="",G1947=""),"",ROUND(MOD(G1947-F1947,1)*24,2))</f>
        <v/>
      </c>
      <c r="K1947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48" ht="20" customHeight="1">
      <c r="D1948" s="179" t="n"/>
      <c r="E1948" s="179" t="n"/>
      <c r="F1948" s="180" t="n"/>
      <c r="G1948" s="180" t="n"/>
      <c r="H1948" s="181">
        <f>IF(OR(F1948="",G1948=""),"",ROUND(MOD(G1948-F1948,1)*24,2))</f>
        <v/>
      </c>
      <c r="K1948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49" ht="20" customHeight="1">
      <c r="D1949" s="179" t="n"/>
      <c r="E1949" s="179" t="n"/>
      <c r="F1949" s="180" t="n"/>
      <c r="G1949" s="180" t="n"/>
      <c r="H1949" s="181">
        <f>IF(OR(F1949="",G1949=""),"",ROUND(MOD(G1949-F1949,1)*24,2))</f>
        <v/>
      </c>
      <c r="K1949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50" collapsed="1" ht="20" customHeight="1">
      <c r="D1950" s="179" t="n"/>
      <c r="E1950" s="179" t="n"/>
      <c r="F1950" s="180" t="n"/>
      <c r="G1950" s="180" t="n"/>
      <c r="H1950" s="181">
        <f>IF(OR(F1950="",G1950=""),"",ROUND(MOD(G1950-F1950,1)*24,2))</f>
        <v/>
      </c>
      <c r="K1950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51" hidden="1" outlineLevel="1" ht="20" customHeight="1">
      <c r="D1951" s="179" t="n"/>
      <c r="E1951" s="179" t="n"/>
      <c r="F1951" s="180" t="n"/>
      <c r="G1951" s="180" t="n"/>
      <c r="H1951" s="181">
        <f>IF(OR(F1951="",G1951=""),"",ROUND(MOD(G1951-F1951,1)*24,2))</f>
        <v/>
      </c>
      <c r="K1951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52" hidden="1" outlineLevel="1" ht="20" customHeight="1">
      <c r="D1952" s="179" t="n"/>
      <c r="E1952" s="179" t="n"/>
      <c r="F1952" s="180" t="n"/>
      <c r="G1952" s="180" t="n"/>
      <c r="H1952" s="181">
        <f>IF(OR(F1952="",G1952=""),"",ROUND(MOD(G1952-F1952,1)*24,2))</f>
        <v/>
      </c>
      <c r="K1952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53" hidden="1" outlineLevel="1" ht="20" customHeight="1">
      <c r="D1953" s="179" t="n"/>
      <c r="E1953" s="179" t="n"/>
      <c r="F1953" s="180" t="n"/>
      <c r="G1953" s="180" t="n"/>
      <c r="H1953" s="181">
        <f>IF(OR(F1953="",G1953=""),"",ROUND(MOD(G1953-F1953,1)*24,2))</f>
        <v/>
      </c>
      <c r="K1953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54" hidden="1" outlineLevel="1" ht="20" customHeight="1">
      <c r="D1954" s="179" t="n"/>
      <c r="E1954" s="179" t="n"/>
      <c r="F1954" s="180" t="n"/>
      <c r="G1954" s="180" t="n"/>
      <c r="H1954" s="181">
        <f>IF(OR(F1954="",G1954=""),"",ROUND(MOD(G1954-F1954,1)*24,2))</f>
        <v/>
      </c>
      <c r="K1954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55" hidden="1" outlineLevel="1" ht="20" customHeight="1">
      <c r="A1955" s="342" t="n"/>
      <c r="B1955" s="342" t="n"/>
      <c r="C1955" s="342" t="n"/>
      <c r="D1955" s="332" t="n"/>
      <c r="E1955" s="332" t="n"/>
      <c r="F1955" s="333" t="n"/>
      <c r="G1955" s="333" t="n"/>
      <c r="H1955" s="334">
        <f>IF(OR(F1955="",G1955=""),"",ROUND(MOD(G1955-F1955,1)*24,2))</f>
        <v/>
      </c>
      <c r="I1955" s="342" t="n"/>
      <c r="J1955" s="342" t="n"/>
      <c r="K1955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56" ht="20" customHeight="1">
      <c r="A1956" s="336">
        <f>IF($K1956="","",WEEKNUM($K1956,21))</f>
        <v/>
      </c>
      <c r="B1956" s="337">
        <f>IF($K1956="","",$K1956)</f>
        <v/>
      </c>
      <c r="C1956" s="338">
        <f>IF($K1956="","",$K1956)</f>
        <v/>
      </c>
      <c r="D1956" s="171" t="n"/>
      <c r="E1956" s="171" t="n"/>
      <c r="F1956" s="172" t="n"/>
      <c r="G1956" s="172" t="n"/>
      <c r="H1956" s="173">
        <f>IF(OR(F1956="",G1956=""),"",ROUND(MOD(G1956-F1956,1)*24,2))</f>
        <v/>
      </c>
      <c r="I1956" s="339" t="n"/>
      <c r="J1956" s="339" t="n"/>
      <c r="K1956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57" ht="20" customHeight="1">
      <c r="D1957" s="179" t="n"/>
      <c r="E1957" s="179" t="n"/>
      <c r="F1957" s="180" t="n"/>
      <c r="G1957" s="180" t="n"/>
      <c r="H1957" s="181">
        <f>IF(OR(F1957="",G1957=""),"",ROUND(MOD(G1957-F1957,1)*24,2))</f>
        <v/>
      </c>
      <c r="K1957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58" ht="20" customHeight="1">
      <c r="D1958" s="179" t="n"/>
      <c r="E1958" s="179" t="n"/>
      <c r="F1958" s="180" t="n"/>
      <c r="G1958" s="180" t="n"/>
      <c r="H1958" s="181">
        <f>IF(OR(F1958="",G1958=""),"",ROUND(MOD(G1958-F1958,1)*24,2))</f>
        <v/>
      </c>
      <c r="K1958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59" ht="20" customHeight="1">
      <c r="D1959" s="179" t="n"/>
      <c r="E1959" s="179" t="n"/>
      <c r="F1959" s="180" t="n"/>
      <c r="G1959" s="180" t="n"/>
      <c r="H1959" s="181">
        <f>IF(OR(F1959="",G1959=""),"",ROUND(MOD(G1959-F1959,1)*24,2))</f>
        <v/>
      </c>
      <c r="K1959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60" collapsed="1" ht="20" customHeight="1">
      <c r="D1960" s="179" t="n"/>
      <c r="E1960" s="179" t="n"/>
      <c r="F1960" s="180" t="n"/>
      <c r="G1960" s="180" t="n"/>
      <c r="H1960" s="181">
        <f>IF(OR(F1960="",G1960=""),"",ROUND(MOD(G1960-F1960,1)*24,2))</f>
        <v/>
      </c>
      <c r="K1960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61" hidden="1" outlineLevel="1" ht="20" customHeight="1">
      <c r="D1961" s="179" t="n"/>
      <c r="E1961" s="179" t="n"/>
      <c r="F1961" s="180" t="n"/>
      <c r="G1961" s="180" t="n"/>
      <c r="H1961" s="181">
        <f>IF(OR(F1961="",G1961=""),"",ROUND(MOD(G1961-F1961,1)*24,2))</f>
        <v/>
      </c>
      <c r="K1961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62" hidden="1" outlineLevel="1" ht="20" customHeight="1">
      <c r="D1962" s="179" t="n"/>
      <c r="E1962" s="179" t="n"/>
      <c r="F1962" s="180" t="n"/>
      <c r="G1962" s="180" t="n"/>
      <c r="H1962" s="181">
        <f>IF(OR(F1962="",G1962=""),"",ROUND(MOD(G1962-F1962,1)*24,2))</f>
        <v/>
      </c>
      <c r="K1962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63" hidden="1" outlineLevel="1" ht="20" customHeight="1">
      <c r="D1963" s="179" t="n"/>
      <c r="E1963" s="179" t="n"/>
      <c r="F1963" s="180" t="n"/>
      <c r="G1963" s="180" t="n"/>
      <c r="H1963" s="181">
        <f>IF(OR(F1963="",G1963=""),"",ROUND(MOD(G1963-F1963,1)*24,2))</f>
        <v/>
      </c>
      <c r="K1963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64" hidden="1" outlineLevel="1" ht="20" customHeight="1">
      <c r="D1964" s="179" t="n"/>
      <c r="E1964" s="179" t="n"/>
      <c r="F1964" s="180" t="n"/>
      <c r="G1964" s="180" t="n"/>
      <c r="H1964" s="181">
        <f>IF(OR(F1964="",G1964=""),"",ROUND(MOD(G1964-F1964,1)*24,2))</f>
        <v/>
      </c>
      <c r="K1964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65" hidden="1" outlineLevel="1" ht="20" customHeight="1">
      <c r="A1965" s="342" t="n"/>
      <c r="B1965" s="342" t="n"/>
      <c r="C1965" s="342" t="n"/>
      <c r="D1965" s="332" t="n"/>
      <c r="E1965" s="332" t="n"/>
      <c r="F1965" s="333" t="n"/>
      <c r="G1965" s="333" t="n"/>
      <c r="H1965" s="334">
        <f>IF(OR(F1965="",G1965=""),"",ROUND(MOD(G1965-F1965,1)*24,2))</f>
        <v/>
      </c>
      <c r="I1965" s="342" t="n"/>
      <c r="J1965" s="342" t="n"/>
      <c r="K1965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66" ht="20" customHeight="1">
      <c r="A1966" s="336">
        <f>IF($K1966="","",WEEKNUM($K1966,21))</f>
        <v/>
      </c>
      <c r="B1966" s="337">
        <f>IF($K1966="","",$K1966)</f>
        <v/>
      </c>
      <c r="C1966" s="338">
        <f>IF($K1966="","",$K1966)</f>
        <v/>
      </c>
      <c r="D1966" s="171" t="n"/>
      <c r="E1966" s="171" t="n"/>
      <c r="F1966" s="172" t="n"/>
      <c r="G1966" s="172" t="n"/>
      <c r="H1966" s="173">
        <f>IF(OR(F1966="",G1966=""),"",ROUND(MOD(G1966-F1966,1)*24,2))</f>
        <v/>
      </c>
      <c r="I1966" s="339" t="n"/>
      <c r="J1966" s="339" t="n"/>
      <c r="K1966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67" ht="20" customHeight="1">
      <c r="D1967" s="179" t="n"/>
      <c r="E1967" s="179" t="n"/>
      <c r="F1967" s="180" t="n"/>
      <c r="G1967" s="180" t="n"/>
      <c r="H1967" s="181">
        <f>IF(OR(F1967="",G1967=""),"",ROUND(MOD(G1967-F1967,1)*24,2))</f>
        <v/>
      </c>
      <c r="K1967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68" ht="20" customHeight="1">
      <c r="D1968" s="179" t="n"/>
      <c r="E1968" s="179" t="n"/>
      <c r="F1968" s="180" t="n"/>
      <c r="G1968" s="180" t="n"/>
      <c r="H1968" s="181">
        <f>IF(OR(F1968="",G1968=""),"",ROUND(MOD(G1968-F1968,1)*24,2))</f>
        <v/>
      </c>
      <c r="K1968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69" ht="20" customHeight="1">
      <c r="D1969" s="179" t="n"/>
      <c r="E1969" s="179" t="n"/>
      <c r="F1969" s="180" t="n"/>
      <c r="G1969" s="180" t="n"/>
      <c r="H1969" s="181">
        <f>IF(OR(F1969="",G1969=""),"",ROUND(MOD(G1969-F1969,1)*24,2))</f>
        <v/>
      </c>
      <c r="K1969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70" collapsed="1" ht="20" customHeight="1">
      <c r="D1970" s="179" t="n"/>
      <c r="E1970" s="179" t="n"/>
      <c r="F1970" s="180" t="n"/>
      <c r="G1970" s="180" t="n"/>
      <c r="H1970" s="181">
        <f>IF(OR(F1970="",G1970=""),"",ROUND(MOD(G1970-F1970,1)*24,2))</f>
        <v/>
      </c>
      <c r="K1970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71" hidden="1" outlineLevel="1" ht="20" customHeight="1">
      <c r="D1971" s="179" t="n"/>
      <c r="E1971" s="179" t="n"/>
      <c r="F1971" s="180" t="n"/>
      <c r="G1971" s="180" t="n"/>
      <c r="H1971" s="181">
        <f>IF(OR(F1971="",G1971=""),"",ROUND(MOD(G1971-F1971,1)*24,2))</f>
        <v/>
      </c>
      <c r="K1971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72" hidden="1" outlineLevel="1" ht="20" customHeight="1">
      <c r="D1972" s="179" t="n"/>
      <c r="E1972" s="179" t="n"/>
      <c r="F1972" s="180" t="n"/>
      <c r="G1972" s="180" t="n"/>
      <c r="H1972" s="181">
        <f>IF(OR(F1972="",G1972=""),"",ROUND(MOD(G1972-F1972,1)*24,2))</f>
        <v/>
      </c>
      <c r="K1972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73" hidden="1" outlineLevel="1" ht="20" customHeight="1">
      <c r="D1973" s="179" t="n"/>
      <c r="E1973" s="179" t="n"/>
      <c r="F1973" s="180" t="n"/>
      <c r="G1973" s="180" t="n"/>
      <c r="H1973" s="181">
        <f>IF(OR(F1973="",G1973=""),"",ROUND(MOD(G1973-F1973,1)*24,2))</f>
        <v/>
      </c>
      <c r="K1973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74" hidden="1" outlineLevel="1" ht="20" customHeight="1">
      <c r="D1974" s="179" t="n"/>
      <c r="E1974" s="179" t="n"/>
      <c r="F1974" s="180" t="n"/>
      <c r="G1974" s="180" t="n"/>
      <c r="H1974" s="181">
        <f>IF(OR(F1974="",G1974=""),"",ROUND(MOD(G1974-F1974,1)*24,2))</f>
        <v/>
      </c>
      <c r="K1974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75" hidden="1" outlineLevel="1" ht="20" customHeight="1">
      <c r="A1975" s="342" t="n"/>
      <c r="B1975" s="342" t="n"/>
      <c r="C1975" s="342" t="n"/>
      <c r="D1975" s="332" t="n"/>
      <c r="E1975" s="332" t="n"/>
      <c r="F1975" s="333" t="n"/>
      <c r="G1975" s="333" t="n"/>
      <c r="H1975" s="334">
        <f>IF(OR(F1975="",G1975=""),"",ROUND(MOD(G1975-F1975,1)*24,2))</f>
        <v/>
      </c>
      <c r="I1975" s="342" t="n"/>
      <c r="J1975" s="342" t="n"/>
      <c r="K1975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76" ht="20" customHeight="1">
      <c r="A1976" s="336">
        <f>IF($K1976="","",WEEKNUM($K1976,21))</f>
        <v/>
      </c>
      <c r="B1976" s="337">
        <f>IF($K1976="","",$K1976)</f>
        <v/>
      </c>
      <c r="C1976" s="338">
        <f>IF($K1976="","",$K1976)</f>
        <v/>
      </c>
      <c r="D1976" s="171" t="n"/>
      <c r="E1976" s="171" t="n"/>
      <c r="F1976" s="172" t="n"/>
      <c r="G1976" s="172" t="n"/>
      <c r="H1976" s="173">
        <f>IF(OR(F1976="",G1976=""),"",ROUND(MOD(G1976-F1976,1)*24,2))</f>
        <v/>
      </c>
      <c r="I1976" s="339" t="n"/>
      <c r="J1976" s="339" t="n"/>
      <c r="K1976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77" ht="20" customHeight="1">
      <c r="D1977" s="179" t="n"/>
      <c r="E1977" s="179" t="n"/>
      <c r="F1977" s="180" t="n"/>
      <c r="G1977" s="180" t="n"/>
      <c r="H1977" s="181">
        <f>IF(OR(F1977="",G1977=""),"",ROUND(MOD(G1977-F1977,1)*24,2))</f>
        <v/>
      </c>
      <c r="K1977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78" ht="20" customHeight="1">
      <c r="D1978" s="179" t="n"/>
      <c r="E1978" s="179" t="n"/>
      <c r="F1978" s="180" t="n"/>
      <c r="G1978" s="180" t="n"/>
      <c r="H1978" s="181">
        <f>IF(OR(F1978="",G1978=""),"",ROUND(MOD(G1978-F1978,1)*24,2))</f>
        <v/>
      </c>
      <c r="K1978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79" ht="20" customHeight="1">
      <c r="D1979" s="179" t="n"/>
      <c r="E1979" s="179" t="n"/>
      <c r="F1979" s="180" t="n"/>
      <c r="G1979" s="180" t="n"/>
      <c r="H1979" s="181">
        <f>IF(OR(F1979="",G1979=""),"",ROUND(MOD(G1979-F1979,1)*24,2))</f>
        <v/>
      </c>
      <c r="K1979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80" collapsed="1" ht="20" customHeight="1">
      <c r="D1980" s="179" t="n"/>
      <c r="E1980" s="179" t="n"/>
      <c r="F1980" s="180" t="n"/>
      <c r="G1980" s="180" t="n"/>
      <c r="H1980" s="181">
        <f>IF(OR(F1980="",G1980=""),"",ROUND(MOD(G1980-F1980,1)*24,2))</f>
        <v/>
      </c>
      <c r="K1980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81" hidden="1" outlineLevel="1" ht="20" customHeight="1">
      <c r="D1981" s="179" t="n"/>
      <c r="E1981" s="179" t="n"/>
      <c r="F1981" s="180" t="n"/>
      <c r="G1981" s="180" t="n"/>
      <c r="H1981" s="181">
        <f>IF(OR(F1981="",G1981=""),"",ROUND(MOD(G1981-F1981,1)*24,2))</f>
        <v/>
      </c>
      <c r="K1981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82" hidden="1" outlineLevel="1" ht="20" customHeight="1">
      <c r="D1982" s="179" t="n"/>
      <c r="E1982" s="179" t="n"/>
      <c r="F1982" s="180" t="n"/>
      <c r="G1982" s="180" t="n"/>
      <c r="H1982" s="181">
        <f>IF(OR(F1982="",G1982=""),"",ROUND(MOD(G1982-F1982,1)*24,2))</f>
        <v/>
      </c>
      <c r="K1982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83" hidden="1" outlineLevel="1" ht="20" customHeight="1">
      <c r="D1983" s="179" t="n"/>
      <c r="E1983" s="179" t="n"/>
      <c r="F1983" s="180" t="n"/>
      <c r="G1983" s="180" t="n"/>
      <c r="H1983" s="181">
        <f>IF(OR(F1983="",G1983=""),"",ROUND(MOD(G1983-F1983,1)*24,2))</f>
        <v/>
      </c>
      <c r="K1983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84" hidden="1" outlineLevel="1" ht="20" customHeight="1">
      <c r="D1984" s="179" t="n"/>
      <c r="E1984" s="179" t="n"/>
      <c r="F1984" s="180" t="n"/>
      <c r="G1984" s="180" t="n"/>
      <c r="H1984" s="181">
        <f>IF(OR(F1984="",G1984=""),"",ROUND(MOD(G1984-F1984,1)*24,2))</f>
        <v/>
      </c>
      <c r="K1984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85" hidden="1" outlineLevel="1" ht="20" customHeight="1">
      <c r="A1985" s="342" t="n"/>
      <c r="B1985" s="342" t="n"/>
      <c r="C1985" s="342" t="n"/>
      <c r="D1985" s="332" t="n"/>
      <c r="E1985" s="332" t="n"/>
      <c r="F1985" s="333" t="n"/>
      <c r="G1985" s="333" t="n"/>
      <c r="H1985" s="334">
        <f>IF(OR(F1985="",G1985=""),"",ROUND(MOD(G1985-F1985,1)*24,2))</f>
        <v/>
      </c>
      <c r="I1985" s="342" t="n"/>
      <c r="J1985" s="342" t="n"/>
      <c r="K1985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1986" ht="20" customHeight="1">
      <c r="A1986" s="336">
        <f>IF($K1986="","",WEEKNUM($K1986,21))</f>
        <v/>
      </c>
      <c r="B1986" s="337">
        <f>IF($K1986="","",$K1986)</f>
        <v/>
      </c>
      <c r="C1986" s="338">
        <f>IF($K1986="","",$K1986)</f>
        <v/>
      </c>
      <c r="D1986" s="171" t="n"/>
      <c r="E1986" s="171" t="n"/>
      <c r="F1986" s="172" t="n"/>
      <c r="G1986" s="172" t="n"/>
      <c r="H1986" s="173">
        <f>IF(OR(F1986="",G1986=""),"",ROUND(MOD(G1986-F1986,1)*24,2))</f>
        <v/>
      </c>
      <c r="I1986" s="339" t="n"/>
      <c r="J1986" s="339" t="n"/>
      <c r="K1986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87" ht="20" customHeight="1">
      <c r="D1987" s="179" t="n"/>
      <c r="E1987" s="179" t="n"/>
      <c r="F1987" s="180" t="n"/>
      <c r="G1987" s="180" t="n"/>
      <c r="H1987" s="181">
        <f>IF(OR(F1987="",G1987=""),"",ROUND(MOD(G1987-F1987,1)*24,2))</f>
        <v/>
      </c>
      <c r="K1987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88" ht="20" customHeight="1">
      <c r="D1988" s="179" t="n"/>
      <c r="E1988" s="179" t="n"/>
      <c r="F1988" s="180" t="n"/>
      <c r="G1988" s="180" t="n"/>
      <c r="H1988" s="181">
        <f>IF(OR(F1988="",G1988=""),"",ROUND(MOD(G1988-F1988,1)*24,2))</f>
        <v/>
      </c>
      <c r="K1988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89" ht="20" customHeight="1">
      <c r="D1989" s="179" t="n"/>
      <c r="E1989" s="179" t="n"/>
      <c r="F1989" s="180" t="n"/>
      <c r="G1989" s="180" t="n"/>
      <c r="H1989" s="181">
        <f>IF(OR(F1989="",G1989=""),"",ROUND(MOD(G1989-F1989,1)*24,2))</f>
        <v/>
      </c>
      <c r="K1989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90" collapsed="1" ht="20" customHeight="1">
      <c r="D1990" s="179" t="n"/>
      <c r="E1990" s="179" t="n"/>
      <c r="F1990" s="180" t="n"/>
      <c r="G1990" s="180" t="n"/>
      <c r="H1990" s="181">
        <f>IF(OR(F1990="",G1990=""),"",ROUND(MOD(G1990-F1990,1)*24,2))</f>
        <v/>
      </c>
      <c r="K1990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91" hidden="1" outlineLevel="1" ht="20" customHeight="1">
      <c r="D1991" s="179" t="n"/>
      <c r="E1991" s="179" t="n"/>
      <c r="F1991" s="180" t="n"/>
      <c r="G1991" s="180" t="n"/>
      <c r="H1991" s="181">
        <f>IF(OR(F1991="",G1991=""),"",ROUND(MOD(G1991-F1991,1)*24,2))</f>
        <v/>
      </c>
      <c r="K1991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92" hidden="1" outlineLevel="1" ht="20" customHeight="1">
      <c r="D1992" s="179" t="n"/>
      <c r="E1992" s="179" t="n"/>
      <c r="F1992" s="180" t="n"/>
      <c r="G1992" s="180" t="n"/>
      <c r="H1992" s="181">
        <f>IF(OR(F1992="",G1992=""),"",ROUND(MOD(G1992-F1992,1)*24,2))</f>
        <v/>
      </c>
      <c r="K1992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93" hidden="1" outlineLevel="1" ht="20" customHeight="1">
      <c r="D1993" s="179" t="n"/>
      <c r="E1993" s="179" t="n"/>
      <c r="F1993" s="180" t="n"/>
      <c r="G1993" s="180" t="n"/>
      <c r="H1993" s="181">
        <f>IF(OR(F1993="",G1993=""),"",ROUND(MOD(G1993-F1993,1)*24,2))</f>
        <v/>
      </c>
      <c r="K1993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94" hidden="1" outlineLevel="1" ht="20" customHeight="1">
      <c r="D1994" s="179" t="n"/>
      <c r="E1994" s="179" t="n"/>
      <c r="F1994" s="180" t="n"/>
      <c r="G1994" s="180" t="n"/>
      <c r="H1994" s="181">
        <f>IF(OR(F1994="",G1994=""),"",ROUND(MOD(G1994-F1994,1)*24,2))</f>
        <v/>
      </c>
      <c r="K1994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95" hidden="1" outlineLevel="1" ht="20" customHeight="1">
      <c r="A1995" s="342" t="n"/>
      <c r="B1995" s="342" t="n"/>
      <c r="C1995" s="342" t="n"/>
      <c r="D1995" s="332" t="n"/>
      <c r="E1995" s="332" t="n"/>
      <c r="F1995" s="333" t="n"/>
      <c r="G1995" s="333" t="n"/>
      <c r="H1995" s="334">
        <f>IF(OR(F1995="",G1995=""),"",ROUND(MOD(G1995-F1995,1)*24,2))</f>
        <v/>
      </c>
      <c r="I1995" s="342" t="n"/>
      <c r="J1995" s="342" t="n"/>
      <c r="K1995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1996" ht="20" customHeight="1">
      <c r="A1996" s="336">
        <f>IF($K1996="","",WEEKNUM($K1996,21))</f>
        <v/>
      </c>
      <c r="B1996" s="337">
        <f>IF($K1996="","",$K1996)</f>
        <v/>
      </c>
      <c r="C1996" s="338">
        <f>IF($K1996="","",$K1996)</f>
        <v/>
      </c>
      <c r="D1996" s="171" t="n"/>
      <c r="E1996" s="171" t="n"/>
      <c r="F1996" s="172" t="n"/>
      <c r="G1996" s="172" t="n"/>
      <c r="H1996" s="173">
        <f>IF(OR(F1996="",G1996=""),"",ROUND(MOD(G1996-F1996,1)*24,2))</f>
        <v/>
      </c>
      <c r="I1996" s="339" t="n"/>
      <c r="J1996" s="339" t="n"/>
      <c r="K1996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1997" ht="20" customHeight="1">
      <c r="D1997" s="179" t="n"/>
      <c r="E1997" s="179" t="n"/>
      <c r="F1997" s="180" t="n"/>
      <c r="G1997" s="180" t="n"/>
      <c r="H1997" s="181">
        <f>IF(OR(F1997="",G1997=""),"",ROUND(MOD(G1997-F1997,1)*24,2))</f>
        <v/>
      </c>
      <c r="K1997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1998" ht="20" customHeight="1">
      <c r="D1998" s="179" t="n"/>
      <c r="E1998" s="179" t="n"/>
      <c r="F1998" s="180" t="n"/>
      <c r="G1998" s="180" t="n"/>
      <c r="H1998" s="181">
        <f>IF(OR(F1998="",G1998=""),"",ROUND(MOD(G1998-F1998,1)*24,2))</f>
        <v/>
      </c>
      <c r="K1998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1999" ht="20" customHeight="1">
      <c r="D1999" s="179" t="n"/>
      <c r="E1999" s="179" t="n"/>
      <c r="F1999" s="180" t="n"/>
      <c r="G1999" s="180" t="n"/>
      <c r="H1999" s="181">
        <f>IF(OR(F1999="",G1999=""),"",ROUND(MOD(G1999-F1999,1)*24,2))</f>
        <v/>
      </c>
      <c r="K1999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2000" collapsed="1" ht="20" customHeight="1">
      <c r="D2000" s="179" t="n"/>
      <c r="E2000" s="179" t="n"/>
      <c r="F2000" s="180" t="n"/>
      <c r="G2000" s="180" t="n"/>
      <c r="H2000" s="181">
        <f>IF(OR(F2000="",G2000=""),"",ROUND(MOD(G2000-F2000,1)*24,2))</f>
        <v/>
      </c>
      <c r="K2000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2001" hidden="1" outlineLevel="1" ht="20" customHeight="1">
      <c r="D2001" s="179" t="n"/>
      <c r="E2001" s="179" t="n"/>
      <c r="F2001" s="180" t="n"/>
      <c r="G2001" s="180" t="n"/>
      <c r="H2001" s="181">
        <f>IF(OR(F2001="",G2001=""),"",ROUND(MOD(G2001-F2001,1)*24,2))</f>
        <v/>
      </c>
      <c r="K2001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2002" hidden="1" outlineLevel="1" ht="20" customHeight="1">
      <c r="D2002" s="179" t="n"/>
      <c r="E2002" s="179" t="n"/>
      <c r="F2002" s="180" t="n"/>
      <c r="G2002" s="180" t="n"/>
      <c r="H2002" s="181">
        <f>IF(OR(F2002="",G2002=""),"",ROUND(MOD(G2002-F2002,1)*24,2))</f>
        <v/>
      </c>
      <c r="K2002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2003" hidden="1" outlineLevel="1" ht="20" customHeight="1">
      <c r="D2003" s="179" t="n"/>
      <c r="E2003" s="179" t="n"/>
      <c r="F2003" s="180" t="n"/>
      <c r="G2003" s="180" t="n"/>
      <c r="H2003" s="181">
        <f>IF(OR(F2003="",G2003=""),"",ROUND(MOD(G2003-F2003,1)*24,2))</f>
        <v/>
      </c>
      <c r="K2003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2004" hidden="1" outlineLevel="1" ht="20" customHeight="1">
      <c r="D2004" s="179" t="n"/>
      <c r="E2004" s="179" t="n"/>
      <c r="F2004" s="180" t="n"/>
      <c r="G2004" s="180" t="n"/>
      <c r="H2004" s="181">
        <f>IF(OR(F2004="",G2004=""),"",ROUND(MOD(G2004-F2004,1)*24,2))</f>
        <v/>
      </c>
      <c r="K2004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2005" hidden="1" outlineLevel="1" ht="20" customHeight="1">
      <c r="A2005" s="342" t="n"/>
      <c r="B2005" s="342" t="n"/>
      <c r="C2005" s="342" t="n"/>
      <c r="D2005" s="332" t="n"/>
      <c r="E2005" s="332" t="n"/>
      <c r="F2005" s="333" t="n"/>
      <c r="G2005" s="333" t="n"/>
      <c r="H2005" s="334">
        <f>IF(OR(F2005="",G2005=""),"",ROUND(MOD(G2005-F2005,1)*24,2))</f>
        <v/>
      </c>
      <c r="I2005" s="342" t="n"/>
      <c r="J2005" s="342" t="n"/>
      <c r="K2005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2006" ht="20" customHeight="1">
      <c r="A2006" s="336">
        <f>IF($K2006="","",WEEKNUM($K2006,21))</f>
        <v/>
      </c>
      <c r="B2006" s="337">
        <f>IF($K2006="","",$K2006)</f>
        <v/>
      </c>
      <c r="C2006" s="338">
        <f>IF($K2006="","",$K2006)</f>
        <v/>
      </c>
      <c r="D2006" s="171" t="n"/>
      <c r="E2006" s="171" t="n"/>
      <c r="F2006" s="172" t="n"/>
      <c r="G2006" s="172" t="n"/>
      <c r="H2006" s="173">
        <f>IF(OR(F2006="",G2006=""),"",ROUND(MOD(G2006-F2006,1)*24,2))</f>
        <v/>
      </c>
      <c r="I2006" s="339" t="n"/>
      <c r="J2006" s="339" t="n"/>
      <c r="K2006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07" ht="20" customHeight="1">
      <c r="D2007" s="179" t="n"/>
      <c r="E2007" s="179" t="n"/>
      <c r="F2007" s="180" t="n"/>
      <c r="G2007" s="180" t="n"/>
      <c r="H2007" s="181">
        <f>IF(OR(F2007="",G2007=""),"",ROUND(MOD(G2007-F2007,1)*24,2))</f>
        <v/>
      </c>
      <c r="K2007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08" ht="20" customHeight="1">
      <c r="D2008" s="179" t="n"/>
      <c r="E2008" s="179" t="n"/>
      <c r="F2008" s="180" t="n"/>
      <c r="G2008" s="180" t="n"/>
      <c r="H2008" s="181">
        <f>IF(OR(F2008="",G2008=""),"",ROUND(MOD(G2008-F2008,1)*24,2))</f>
        <v/>
      </c>
      <c r="K2008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09" ht="20" customHeight="1">
      <c r="D2009" s="179" t="n"/>
      <c r="E2009" s="179" t="n"/>
      <c r="F2009" s="180" t="n"/>
      <c r="G2009" s="180" t="n"/>
      <c r="H2009" s="181">
        <f>IF(OR(F2009="",G2009=""),"",ROUND(MOD(G2009-F2009,1)*24,2))</f>
        <v/>
      </c>
      <c r="K2009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10" collapsed="1" ht="20" customHeight="1">
      <c r="D2010" s="179" t="n"/>
      <c r="E2010" s="179" t="n"/>
      <c r="F2010" s="180" t="n"/>
      <c r="G2010" s="180" t="n"/>
      <c r="H2010" s="181">
        <f>IF(OR(F2010="",G2010=""),"",ROUND(MOD(G2010-F2010,1)*24,2))</f>
        <v/>
      </c>
      <c r="K2010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11" hidden="1" outlineLevel="1" ht="20" customHeight="1">
      <c r="D2011" s="179" t="n"/>
      <c r="E2011" s="179" t="n"/>
      <c r="F2011" s="180" t="n"/>
      <c r="G2011" s="180" t="n"/>
      <c r="H2011" s="181">
        <f>IF(OR(F2011="",G2011=""),"",ROUND(MOD(G2011-F2011,1)*24,2))</f>
        <v/>
      </c>
      <c r="K2011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12" hidden="1" outlineLevel="1" ht="20" customHeight="1">
      <c r="D2012" s="179" t="n"/>
      <c r="E2012" s="179" t="n"/>
      <c r="F2012" s="180" t="n"/>
      <c r="G2012" s="180" t="n"/>
      <c r="H2012" s="181">
        <f>IF(OR(F2012="",G2012=""),"",ROUND(MOD(G2012-F2012,1)*24,2))</f>
        <v/>
      </c>
      <c r="K2012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13" hidden="1" outlineLevel="1" ht="20" customHeight="1">
      <c r="D2013" s="179" t="n"/>
      <c r="E2013" s="179" t="n"/>
      <c r="F2013" s="180" t="n"/>
      <c r="G2013" s="180" t="n"/>
      <c r="H2013" s="181">
        <f>IF(OR(F2013="",G2013=""),"",ROUND(MOD(G2013-F2013,1)*24,2))</f>
        <v/>
      </c>
      <c r="K2013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14" hidden="1" outlineLevel="1" ht="20" customHeight="1">
      <c r="D2014" s="179" t="n"/>
      <c r="E2014" s="179" t="n"/>
      <c r="F2014" s="180" t="n"/>
      <c r="G2014" s="180" t="n"/>
      <c r="H2014" s="181">
        <f>IF(OR(F2014="",G2014=""),"",ROUND(MOD(G2014-F2014,1)*24,2))</f>
        <v/>
      </c>
      <c r="K2014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15" hidden="1" outlineLevel="1" ht="20" customHeight="1">
      <c r="A2015" s="342" t="n"/>
      <c r="B2015" s="342" t="n"/>
      <c r="C2015" s="342" t="n"/>
      <c r="D2015" s="332" t="n"/>
      <c r="E2015" s="332" t="n"/>
      <c r="F2015" s="333" t="n"/>
      <c r="G2015" s="333" t="n"/>
      <c r="H2015" s="334">
        <f>IF(OR(F2015="",G2015=""),"",ROUND(MOD(G2015-F2015,1)*24,2))</f>
        <v/>
      </c>
      <c r="I2015" s="342" t="n"/>
      <c r="J2015" s="342" t="n"/>
      <c r="K2015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16" ht="20" customHeight="1">
      <c r="A2016" s="336">
        <f>IF($K2016="","",WEEKNUM($K2016,21))</f>
        <v/>
      </c>
      <c r="B2016" s="337">
        <f>IF($K2016="","",$K2016)</f>
        <v/>
      </c>
      <c r="C2016" s="338">
        <f>IF($K2016="","",$K2016)</f>
        <v/>
      </c>
      <c r="D2016" s="171" t="n"/>
      <c r="E2016" s="171" t="n"/>
      <c r="F2016" s="172" t="n"/>
      <c r="G2016" s="172" t="n"/>
      <c r="H2016" s="173">
        <f>IF(OR(F2016="",G2016=""),"",ROUND(MOD(G2016-F2016,1)*24,2))</f>
        <v/>
      </c>
      <c r="I2016" s="339" t="n"/>
      <c r="J2016" s="339" t="n"/>
      <c r="K2016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17" ht="20" customHeight="1">
      <c r="D2017" s="179" t="n"/>
      <c r="E2017" s="179" t="n"/>
      <c r="F2017" s="180" t="n"/>
      <c r="G2017" s="180" t="n"/>
      <c r="H2017" s="181">
        <f>IF(OR(F2017="",G2017=""),"",ROUND(MOD(G2017-F2017,1)*24,2))</f>
        <v/>
      </c>
      <c r="K2017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18" ht="20" customHeight="1">
      <c r="D2018" s="179" t="n"/>
      <c r="E2018" s="179" t="n"/>
      <c r="F2018" s="180" t="n"/>
      <c r="G2018" s="180" t="n"/>
      <c r="H2018" s="181">
        <f>IF(OR(F2018="",G2018=""),"",ROUND(MOD(G2018-F2018,1)*24,2))</f>
        <v/>
      </c>
      <c r="K2018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19" ht="20" customHeight="1">
      <c r="D2019" s="179" t="n"/>
      <c r="E2019" s="179" t="n"/>
      <c r="F2019" s="180" t="n"/>
      <c r="G2019" s="180" t="n"/>
      <c r="H2019" s="181">
        <f>IF(OR(F2019="",G2019=""),"",ROUND(MOD(G2019-F2019,1)*24,2))</f>
        <v/>
      </c>
      <c r="K2019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20" collapsed="1" ht="20" customHeight="1">
      <c r="D2020" s="179" t="n"/>
      <c r="E2020" s="179" t="n"/>
      <c r="F2020" s="180" t="n"/>
      <c r="G2020" s="180" t="n"/>
      <c r="H2020" s="181">
        <f>IF(OR(F2020="",G2020=""),"",ROUND(MOD(G2020-F2020,1)*24,2))</f>
        <v/>
      </c>
      <c r="K2020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21" hidden="1" outlineLevel="1" ht="20" customHeight="1">
      <c r="D2021" s="179" t="n"/>
      <c r="E2021" s="179" t="n"/>
      <c r="F2021" s="180" t="n"/>
      <c r="G2021" s="180" t="n"/>
      <c r="H2021" s="181">
        <f>IF(OR(F2021="",G2021=""),"",ROUND(MOD(G2021-F2021,1)*24,2))</f>
        <v/>
      </c>
      <c r="K2021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22" hidden="1" outlineLevel="1" ht="20" customHeight="1">
      <c r="D2022" s="179" t="n"/>
      <c r="E2022" s="179" t="n"/>
      <c r="F2022" s="180" t="n"/>
      <c r="G2022" s="180" t="n"/>
      <c r="H2022" s="181">
        <f>IF(OR(F2022="",G2022=""),"",ROUND(MOD(G2022-F2022,1)*24,2))</f>
        <v/>
      </c>
      <c r="K2022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23" hidden="1" outlineLevel="1" ht="20" customHeight="1">
      <c r="D2023" s="179" t="n"/>
      <c r="E2023" s="179" t="n"/>
      <c r="F2023" s="180" t="n"/>
      <c r="G2023" s="180" t="n"/>
      <c r="H2023" s="181">
        <f>IF(OR(F2023="",G2023=""),"",ROUND(MOD(G2023-F2023,1)*24,2))</f>
        <v/>
      </c>
      <c r="K2023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24" hidden="1" outlineLevel="1" ht="20" customHeight="1">
      <c r="D2024" s="179" t="n"/>
      <c r="E2024" s="179" t="n"/>
      <c r="F2024" s="180" t="n"/>
      <c r="G2024" s="180" t="n"/>
      <c r="H2024" s="181">
        <f>IF(OR(F2024="",G2024=""),"",ROUND(MOD(G2024-F2024,1)*24,2))</f>
        <v/>
      </c>
      <c r="K2024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25" hidden="1" outlineLevel="1" ht="20" customHeight="1">
      <c r="A2025" s="342" t="n"/>
      <c r="B2025" s="342" t="n"/>
      <c r="C2025" s="342" t="n"/>
      <c r="D2025" s="332" t="n"/>
      <c r="E2025" s="332" t="n"/>
      <c r="F2025" s="333" t="n"/>
      <c r="G2025" s="333" t="n"/>
      <c r="H2025" s="334">
        <f>IF(OR(F2025="",G2025=""),"",ROUND(MOD(G2025-F2025,1)*24,2))</f>
        <v/>
      </c>
      <c r="I2025" s="342" t="n"/>
      <c r="J2025" s="342" t="n"/>
      <c r="K2025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26" ht="20" customHeight="1">
      <c r="A2026" s="336">
        <f>IF($K2026="","",WEEKNUM($K2026,21))</f>
        <v/>
      </c>
      <c r="B2026" s="337">
        <f>IF($K2026="","",$K2026)</f>
        <v/>
      </c>
      <c r="C2026" s="338">
        <f>IF($K2026="","",$K2026)</f>
        <v/>
      </c>
      <c r="D2026" s="171" t="n"/>
      <c r="E2026" s="171" t="n"/>
      <c r="F2026" s="172" t="n"/>
      <c r="G2026" s="172" t="n"/>
      <c r="H2026" s="173">
        <f>IF(OR(F2026="",G2026=""),"",ROUND(MOD(G2026-F2026,1)*24,2))</f>
        <v/>
      </c>
      <c r="I2026" s="339" t="n"/>
      <c r="J2026" s="339" t="n"/>
      <c r="K2026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27" ht="20" customHeight="1">
      <c r="D2027" s="179" t="n"/>
      <c r="E2027" s="179" t="n"/>
      <c r="F2027" s="180" t="n"/>
      <c r="G2027" s="180" t="n"/>
      <c r="H2027" s="181">
        <f>IF(OR(F2027="",G2027=""),"",ROUND(MOD(G2027-F2027,1)*24,2))</f>
        <v/>
      </c>
      <c r="K2027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28" ht="20" customHeight="1">
      <c r="D2028" s="179" t="n"/>
      <c r="E2028" s="179" t="n"/>
      <c r="F2028" s="180" t="n"/>
      <c r="G2028" s="180" t="n"/>
      <c r="H2028" s="181">
        <f>IF(OR(F2028="",G2028=""),"",ROUND(MOD(G2028-F2028,1)*24,2))</f>
        <v/>
      </c>
      <c r="K2028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29" ht="20" customHeight="1">
      <c r="D2029" s="179" t="n"/>
      <c r="E2029" s="179" t="n"/>
      <c r="F2029" s="180" t="n"/>
      <c r="G2029" s="180" t="n"/>
      <c r="H2029" s="181">
        <f>IF(OR(F2029="",G2029=""),"",ROUND(MOD(G2029-F2029,1)*24,2))</f>
        <v/>
      </c>
      <c r="K2029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30" collapsed="1" ht="20" customHeight="1">
      <c r="D2030" s="179" t="n"/>
      <c r="E2030" s="179" t="n"/>
      <c r="F2030" s="180" t="n"/>
      <c r="G2030" s="180" t="n"/>
      <c r="H2030" s="181">
        <f>IF(OR(F2030="",G2030=""),"",ROUND(MOD(G2030-F2030,1)*24,2))</f>
        <v/>
      </c>
      <c r="K2030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31" hidden="1" outlineLevel="1" ht="20" customHeight="1">
      <c r="D2031" s="179" t="n"/>
      <c r="E2031" s="179" t="n"/>
      <c r="F2031" s="180" t="n"/>
      <c r="G2031" s="180" t="n"/>
      <c r="H2031" s="181">
        <f>IF(OR(F2031="",G2031=""),"",ROUND(MOD(G2031-F2031,1)*24,2))</f>
        <v/>
      </c>
      <c r="K2031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32" hidden="1" outlineLevel="1" ht="20" customHeight="1">
      <c r="D2032" s="179" t="n"/>
      <c r="E2032" s="179" t="n"/>
      <c r="F2032" s="180" t="n"/>
      <c r="G2032" s="180" t="n"/>
      <c r="H2032" s="181">
        <f>IF(OR(F2032="",G2032=""),"",ROUND(MOD(G2032-F2032,1)*24,2))</f>
        <v/>
      </c>
      <c r="K2032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33" hidden="1" outlineLevel="1" ht="20" customHeight="1">
      <c r="D2033" s="179" t="n"/>
      <c r="E2033" s="179" t="n"/>
      <c r="F2033" s="180" t="n"/>
      <c r="G2033" s="180" t="n"/>
      <c r="H2033" s="181">
        <f>IF(OR(F2033="",G2033=""),"",ROUND(MOD(G2033-F2033,1)*24,2))</f>
        <v/>
      </c>
      <c r="K2033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34" hidden="1" outlineLevel="1" ht="20" customHeight="1">
      <c r="D2034" s="179" t="n"/>
      <c r="E2034" s="179" t="n"/>
      <c r="F2034" s="180" t="n"/>
      <c r="G2034" s="180" t="n"/>
      <c r="H2034" s="181">
        <f>IF(OR(F2034="",G2034=""),"",ROUND(MOD(G2034-F2034,1)*24,2))</f>
        <v/>
      </c>
      <c r="K2034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35" hidden="1" outlineLevel="1" ht="20" customHeight="1">
      <c r="A2035" s="342" t="n"/>
      <c r="B2035" s="342" t="n"/>
      <c r="C2035" s="342" t="n"/>
      <c r="D2035" s="332" t="n"/>
      <c r="E2035" s="332" t="n"/>
      <c r="F2035" s="333" t="n"/>
      <c r="G2035" s="333" t="n"/>
      <c r="H2035" s="334">
        <f>IF(OR(F2035="",G2035=""),"",ROUND(MOD(G2035-F2035,1)*24,2))</f>
        <v/>
      </c>
      <c r="I2035" s="342" t="n"/>
      <c r="J2035" s="342" t="n"/>
      <c r="K2035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36" ht="20" customHeight="1">
      <c r="A2036" s="336">
        <f>IF($K2036="","",WEEKNUM($K2036,21))</f>
        <v/>
      </c>
      <c r="B2036" s="337">
        <f>IF($K2036="","",$K2036)</f>
        <v/>
      </c>
      <c r="C2036" s="338">
        <f>IF($K2036="","",$K2036)</f>
        <v/>
      </c>
      <c r="D2036" s="171" t="n"/>
      <c r="E2036" s="171" t="n"/>
      <c r="F2036" s="172" t="n"/>
      <c r="G2036" s="172" t="n"/>
      <c r="H2036" s="173">
        <f>IF(OR(F2036="",G2036=""),"",ROUND(MOD(G2036-F2036,1)*24,2))</f>
        <v/>
      </c>
      <c r="I2036" s="339" t="n"/>
      <c r="J2036" s="339" t="n"/>
      <c r="K2036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37" ht="20" customHeight="1">
      <c r="D2037" s="179" t="n"/>
      <c r="E2037" s="179" t="n"/>
      <c r="F2037" s="180" t="n"/>
      <c r="G2037" s="180" t="n"/>
      <c r="H2037" s="181">
        <f>IF(OR(F2037="",G2037=""),"",ROUND(MOD(G2037-F2037,1)*24,2))</f>
        <v/>
      </c>
      <c r="K2037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38" ht="20" customHeight="1">
      <c r="D2038" s="179" t="n"/>
      <c r="E2038" s="179" t="n"/>
      <c r="F2038" s="180" t="n"/>
      <c r="G2038" s="180" t="n"/>
      <c r="H2038" s="181">
        <f>IF(OR(F2038="",G2038=""),"",ROUND(MOD(G2038-F2038,1)*24,2))</f>
        <v/>
      </c>
      <c r="K2038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39" ht="20" customHeight="1">
      <c r="D2039" s="179" t="n"/>
      <c r="E2039" s="179" t="n"/>
      <c r="F2039" s="180" t="n"/>
      <c r="G2039" s="180" t="n"/>
      <c r="H2039" s="181">
        <f>IF(OR(F2039="",G2039=""),"",ROUND(MOD(G2039-F2039,1)*24,2))</f>
        <v/>
      </c>
      <c r="K2039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40" collapsed="1" ht="20" customHeight="1">
      <c r="D2040" s="179" t="n"/>
      <c r="E2040" s="179" t="n"/>
      <c r="F2040" s="180" t="n"/>
      <c r="G2040" s="180" t="n"/>
      <c r="H2040" s="181">
        <f>IF(OR(F2040="",G2040=""),"",ROUND(MOD(G2040-F2040,1)*24,2))</f>
        <v/>
      </c>
      <c r="K2040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41" hidden="1" outlineLevel="1" ht="20" customHeight="1">
      <c r="D2041" s="179" t="n"/>
      <c r="E2041" s="179" t="n"/>
      <c r="F2041" s="180" t="n"/>
      <c r="G2041" s="180" t="n"/>
      <c r="H2041" s="181">
        <f>IF(OR(F2041="",G2041=""),"",ROUND(MOD(G2041-F2041,1)*24,2))</f>
        <v/>
      </c>
      <c r="K2041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42" hidden="1" outlineLevel="1" ht="20" customHeight="1">
      <c r="D2042" s="179" t="n"/>
      <c r="E2042" s="179" t="n"/>
      <c r="F2042" s="180" t="n"/>
      <c r="G2042" s="180" t="n"/>
      <c r="H2042" s="181">
        <f>IF(OR(F2042="",G2042=""),"",ROUND(MOD(G2042-F2042,1)*24,2))</f>
        <v/>
      </c>
      <c r="K2042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43" hidden="1" outlineLevel="1" ht="20" customHeight="1">
      <c r="D2043" s="179" t="n"/>
      <c r="E2043" s="179" t="n"/>
      <c r="F2043" s="180" t="n"/>
      <c r="G2043" s="180" t="n"/>
      <c r="H2043" s="181">
        <f>IF(OR(F2043="",G2043=""),"",ROUND(MOD(G2043-F2043,1)*24,2))</f>
        <v/>
      </c>
      <c r="K2043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44" hidden="1" outlineLevel="1" ht="20" customHeight="1">
      <c r="D2044" s="179" t="n"/>
      <c r="E2044" s="179" t="n"/>
      <c r="F2044" s="180" t="n"/>
      <c r="G2044" s="180" t="n"/>
      <c r="H2044" s="181">
        <f>IF(OR(F2044="",G2044=""),"",ROUND(MOD(G2044-F2044,1)*24,2))</f>
        <v/>
      </c>
      <c r="K2044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45" hidden="1" outlineLevel="1" ht="20" customHeight="1">
      <c r="A2045" s="342" t="n"/>
      <c r="B2045" s="342" t="n"/>
      <c r="C2045" s="342" t="n"/>
      <c r="D2045" s="332" t="n"/>
      <c r="E2045" s="332" t="n"/>
      <c r="F2045" s="333" t="n"/>
      <c r="G2045" s="333" t="n"/>
      <c r="H2045" s="334">
        <f>IF(OR(F2045="",G2045=""),"",ROUND(MOD(G2045-F2045,1)*24,2))</f>
        <v/>
      </c>
      <c r="I2045" s="342" t="n"/>
      <c r="J2045" s="342" t="n"/>
      <c r="K2045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46" ht="20" customHeight="1">
      <c r="A2046" s="336">
        <f>IF($K2046="","",WEEKNUM($K2046,21))</f>
        <v/>
      </c>
      <c r="B2046" s="337">
        <f>IF($K2046="","",$K2046)</f>
        <v/>
      </c>
      <c r="C2046" s="338">
        <f>IF($K2046="","",$K2046)</f>
        <v/>
      </c>
      <c r="D2046" s="171" t="n"/>
      <c r="E2046" s="171" t="n"/>
      <c r="F2046" s="172" t="n"/>
      <c r="G2046" s="172" t="n"/>
      <c r="H2046" s="173">
        <f>IF(OR(F2046="",G2046=""),"",ROUND(MOD(G2046-F2046,1)*24,2))</f>
        <v/>
      </c>
      <c r="I2046" s="339" t="n"/>
      <c r="J2046" s="339" t="n"/>
      <c r="K2046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47" ht="20" customHeight="1">
      <c r="D2047" s="179" t="n"/>
      <c r="E2047" s="179" t="n"/>
      <c r="F2047" s="180" t="n"/>
      <c r="G2047" s="180" t="n"/>
      <c r="H2047" s="181">
        <f>IF(OR(F2047="",G2047=""),"",ROUND(MOD(G2047-F2047,1)*24,2))</f>
        <v/>
      </c>
      <c r="K2047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48" ht="20" customHeight="1">
      <c r="D2048" s="179" t="n"/>
      <c r="E2048" s="179" t="n"/>
      <c r="F2048" s="180" t="n"/>
      <c r="G2048" s="180" t="n"/>
      <c r="H2048" s="181">
        <f>IF(OR(F2048="",G2048=""),"",ROUND(MOD(G2048-F2048,1)*24,2))</f>
        <v/>
      </c>
      <c r="K2048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49" ht="20" customHeight="1">
      <c r="D2049" s="179" t="n"/>
      <c r="E2049" s="179" t="n"/>
      <c r="F2049" s="180" t="n"/>
      <c r="G2049" s="180" t="n"/>
      <c r="H2049" s="181">
        <f>IF(OR(F2049="",G2049=""),"",ROUND(MOD(G2049-F2049,1)*24,2))</f>
        <v/>
      </c>
      <c r="K2049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50" collapsed="1" ht="20" customHeight="1">
      <c r="D2050" s="179" t="n"/>
      <c r="E2050" s="179" t="n"/>
      <c r="F2050" s="180" t="n"/>
      <c r="G2050" s="180" t="n"/>
      <c r="H2050" s="181">
        <f>IF(OR(F2050="",G2050=""),"",ROUND(MOD(G2050-F2050,1)*24,2))</f>
        <v/>
      </c>
      <c r="K2050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51" hidden="1" outlineLevel="1" ht="20" customHeight="1">
      <c r="D2051" s="179" t="n"/>
      <c r="E2051" s="179" t="n"/>
      <c r="F2051" s="180" t="n"/>
      <c r="G2051" s="180" t="n"/>
      <c r="H2051" s="181">
        <f>IF(OR(F2051="",G2051=""),"",ROUND(MOD(G2051-F2051,1)*24,2))</f>
        <v/>
      </c>
      <c r="K2051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52" hidden="1" outlineLevel="1" ht="20" customHeight="1">
      <c r="D2052" s="179" t="n"/>
      <c r="E2052" s="179" t="n"/>
      <c r="F2052" s="180" t="n"/>
      <c r="G2052" s="180" t="n"/>
      <c r="H2052" s="181">
        <f>IF(OR(F2052="",G2052=""),"",ROUND(MOD(G2052-F2052,1)*24,2))</f>
        <v/>
      </c>
      <c r="K2052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53" hidden="1" outlineLevel="1" ht="20" customHeight="1">
      <c r="D2053" s="179" t="n"/>
      <c r="E2053" s="179" t="n"/>
      <c r="F2053" s="180" t="n"/>
      <c r="G2053" s="180" t="n"/>
      <c r="H2053" s="181">
        <f>IF(OR(F2053="",G2053=""),"",ROUND(MOD(G2053-F2053,1)*24,2))</f>
        <v/>
      </c>
      <c r="K2053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54" hidden="1" outlineLevel="1" ht="20" customHeight="1">
      <c r="D2054" s="179" t="n"/>
      <c r="E2054" s="179" t="n"/>
      <c r="F2054" s="180" t="n"/>
      <c r="G2054" s="180" t="n"/>
      <c r="H2054" s="181">
        <f>IF(OR(F2054="",G2054=""),"",ROUND(MOD(G2054-F2054,1)*24,2))</f>
        <v/>
      </c>
      <c r="K2054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55" hidden="1" outlineLevel="1" ht="20" customHeight="1">
      <c r="A2055" s="342" t="n"/>
      <c r="B2055" s="342" t="n"/>
      <c r="C2055" s="342" t="n"/>
      <c r="D2055" s="332" t="n"/>
      <c r="E2055" s="332" t="n"/>
      <c r="F2055" s="333" t="n"/>
      <c r="G2055" s="333" t="n"/>
      <c r="H2055" s="334">
        <f>IF(OR(F2055="",G2055=""),"",ROUND(MOD(G2055-F2055,1)*24,2))</f>
        <v/>
      </c>
      <c r="I2055" s="342" t="n"/>
      <c r="J2055" s="342" t="n"/>
      <c r="K2055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56" ht="20" customHeight="1">
      <c r="A2056" s="336">
        <f>IF($K2056="","",WEEKNUM($K2056,21))</f>
        <v/>
      </c>
      <c r="B2056" s="337">
        <f>IF($K2056="","",$K2056)</f>
        <v/>
      </c>
      <c r="C2056" s="338">
        <f>IF($K2056="","",$K2056)</f>
        <v/>
      </c>
      <c r="D2056" s="171" t="n"/>
      <c r="E2056" s="171" t="n"/>
      <c r="F2056" s="172" t="n"/>
      <c r="G2056" s="172" t="n"/>
      <c r="H2056" s="173">
        <f>IF(OR(F2056="",G2056=""),"",ROUND(MOD(G2056-F2056,1)*24,2))</f>
        <v/>
      </c>
      <c r="I2056" s="339" t="n"/>
      <c r="J2056" s="339" t="n"/>
      <c r="K2056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57" ht="20" customHeight="1">
      <c r="D2057" s="179" t="n"/>
      <c r="E2057" s="179" t="n"/>
      <c r="F2057" s="180" t="n"/>
      <c r="G2057" s="180" t="n"/>
      <c r="H2057" s="181">
        <f>IF(OR(F2057="",G2057=""),"",ROUND(MOD(G2057-F2057,1)*24,2))</f>
        <v/>
      </c>
      <c r="K2057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58" ht="20" customHeight="1">
      <c r="D2058" s="179" t="n"/>
      <c r="E2058" s="179" t="n"/>
      <c r="F2058" s="180" t="n"/>
      <c r="G2058" s="180" t="n"/>
      <c r="H2058" s="181">
        <f>IF(OR(F2058="",G2058=""),"",ROUND(MOD(G2058-F2058,1)*24,2))</f>
        <v/>
      </c>
      <c r="K2058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59" ht="20" customHeight="1">
      <c r="D2059" s="179" t="n"/>
      <c r="E2059" s="179" t="n"/>
      <c r="F2059" s="180" t="n"/>
      <c r="G2059" s="180" t="n"/>
      <c r="H2059" s="181">
        <f>IF(OR(F2059="",G2059=""),"",ROUND(MOD(G2059-F2059,1)*24,2))</f>
        <v/>
      </c>
      <c r="K2059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60" collapsed="1" ht="20" customHeight="1">
      <c r="D2060" s="179" t="n"/>
      <c r="E2060" s="179" t="n"/>
      <c r="F2060" s="180" t="n"/>
      <c r="G2060" s="180" t="n"/>
      <c r="H2060" s="181">
        <f>IF(OR(F2060="",G2060=""),"",ROUND(MOD(G2060-F2060,1)*24,2))</f>
        <v/>
      </c>
      <c r="K2060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61" hidden="1" outlineLevel="1" ht="20" customHeight="1">
      <c r="D2061" s="179" t="n"/>
      <c r="E2061" s="179" t="n"/>
      <c r="F2061" s="180" t="n"/>
      <c r="G2061" s="180" t="n"/>
      <c r="H2061" s="181">
        <f>IF(OR(F2061="",G2061=""),"",ROUND(MOD(G2061-F2061,1)*24,2))</f>
        <v/>
      </c>
      <c r="K2061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62" hidden="1" outlineLevel="1" ht="20" customHeight="1">
      <c r="D2062" s="179" t="n"/>
      <c r="E2062" s="179" t="n"/>
      <c r="F2062" s="180" t="n"/>
      <c r="G2062" s="180" t="n"/>
      <c r="H2062" s="181">
        <f>IF(OR(F2062="",G2062=""),"",ROUND(MOD(G2062-F2062,1)*24,2))</f>
        <v/>
      </c>
      <c r="K2062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63" hidden="1" outlineLevel="1" ht="20" customHeight="1">
      <c r="D2063" s="179" t="n"/>
      <c r="E2063" s="179" t="n"/>
      <c r="F2063" s="180" t="n"/>
      <c r="G2063" s="180" t="n"/>
      <c r="H2063" s="181">
        <f>IF(OR(F2063="",G2063=""),"",ROUND(MOD(G2063-F2063,1)*24,2))</f>
        <v/>
      </c>
      <c r="K2063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64" hidden="1" outlineLevel="1" ht="20" customHeight="1">
      <c r="D2064" s="179" t="n"/>
      <c r="E2064" s="179" t="n"/>
      <c r="F2064" s="180" t="n"/>
      <c r="G2064" s="180" t="n"/>
      <c r="H2064" s="181">
        <f>IF(OR(F2064="",G2064=""),"",ROUND(MOD(G2064-F2064,1)*24,2))</f>
        <v/>
      </c>
      <c r="K2064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65" hidden="1" outlineLevel="1" ht="20" customHeight="1">
      <c r="A2065" s="342" t="n"/>
      <c r="B2065" s="342" t="n"/>
      <c r="C2065" s="342" t="n"/>
      <c r="D2065" s="332" t="n"/>
      <c r="E2065" s="332" t="n"/>
      <c r="F2065" s="333" t="n"/>
      <c r="G2065" s="333" t="n"/>
      <c r="H2065" s="334">
        <f>IF(OR(F2065="",G2065=""),"",ROUND(MOD(G2065-F2065,1)*24,2))</f>
        <v/>
      </c>
      <c r="I2065" s="342" t="n"/>
      <c r="J2065" s="342" t="n"/>
      <c r="K2065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66" ht="20" customHeight="1">
      <c r="A2066" s="336">
        <f>IF($K2066="","",WEEKNUM($K2066,21))</f>
        <v/>
      </c>
      <c r="B2066" s="337">
        <f>IF($K2066="","",$K2066)</f>
        <v/>
      </c>
      <c r="C2066" s="338">
        <f>IF($K2066="","",$K2066)</f>
        <v/>
      </c>
      <c r="D2066" s="171" t="n"/>
      <c r="E2066" s="171" t="n"/>
      <c r="F2066" s="172" t="n"/>
      <c r="G2066" s="172" t="n"/>
      <c r="H2066" s="173">
        <f>IF(OR(F2066="",G2066=""),"",ROUND(MOD(G2066-F2066,1)*24,2))</f>
        <v/>
      </c>
      <c r="I2066" s="339" t="n"/>
      <c r="J2066" s="339" t="n"/>
      <c r="K2066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67" ht="20" customHeight="1">
      <c r="D2067" s="179" t="n"/>
      <c r="E2067" s="179" t="n"/>
      <c r="F2067" s="180" t="n"/>
      <c r="G2067" s="180" t="n"/>
      <c r="H2067" s="181">
        <f>IF(OR(F2067="",G2067=""),"",ROUND(MOD(G2067-F2067,1)*24,2))</f>
        <v/>
      </c>
      <c r="K2067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68" ht="20" customHeight="1">
      <c r="D2068" s="179" t="n"/>
      <c r="E2068" s="179" t="n"/>
      <c r="F2068" s="180" t="n"/>
      <c r="G2068" s="180" t="n"/>
      <c r="H2068" s="181">
        <f>IF(OR(F2068="",G2068=""),"",ROUND(MOD(G2068-F2068,1)*24,2))</f>
        <v/>
      </c>
      <c r="K2068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69" ht="20" customHeight="1">
      <c r="D2069" s="179" t="n"/>
      <c r="E2069" s="179" t="n"/>
      <c r="F2069" s="180" t="n"/>
      <c r="G2069" s="180" t="n"/>
      <c r="H2069" s="181">
        <f>IF(OR(F2069="",G2069=""),"",ROUND(MOD(G2069-F2069,1)*24,2))</f>
        <v/>
      </c>
      <c r="K2069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70" collapsed="1" ht="20" customHeight="1">
      <c r="D2070" s="179" t="n"/>
      <c r="E2070" s="179" t="n"/>
      <c r="F2070" s="180" t="n"/>
      <c r="G2070" s="180" t="n"/>
      <c r="H2070" s="181">
        <f>IF(OR(F2070="",G2070=""),"",ROUND(MOD(G2070-F2070,1)*24,2))</f>
        <v/>
      </c>
      <c r="K2070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71" hidden="1" outlineLevel="1" ht="20" customHeight="1">
      <c r="D2071" s="179" t="n"/>
      <c r="E2071" s="179" t="n"/>
      <c r="F2071" s="180" t="n"/>
      <c r="G2071" s="180" t="n"/>
      <c r="H2071" s="181">
        <f>IF(OR(F2071="",G2071=""),"",ROUND(MOD(G2071-F2071,1)*24,2))</f>
        <v/>
      </c>
      <c r="K2071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72" hidden="1" outlineLevel="1" ht="20" customHeight="1">
      <c r="D2072" s="179" t="n"/>
      <c r="E2072" s="179" t="n"/>
      <c r="F2072" s="180" t="n"/>
      <c r="G2072" s="180" t="n"/>
      <c r="H2072" s="181">
        <f>IF(OR(F2072="",G2072=""),"",ROUND(MOD(G2072-F2072,1)*24,2))</f>
        <v/>
      </c>
      <c r="K2072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73" hidden="1" outlineLevel="1" ht="20" customHeight="1">
      <c r="D2073" s="179" t="n"/>
      <c r="E2073" s="179" t="n"/>
      <c r="F2073" s="180" t="n"/>
      <c r="G2073" s="180" t="n"/>
      <c r="H2073" s="181">
        <f>IF(OR(F2073="",G2073=""),"",ROUND(MOD(G2073-F2073,1)*24,2))</f>
        <v/>
      </c>
      <c r="K2073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74" hidden="1" outlineLevel="1" ht="20" customHeight="1">
      <c r="D2074" s="179" t="n"/>
      <c r="E2074" s="179" t="n"/>
      <c r="F2074" s="180" t="n"/>
      <c r="G2074" s="180" t="n"/>
      <c r="H2074" s="181">
        <f>IF(OR(F2074="",G2074=""),"",ROUND(MOD(G2074-F2074,1)*24,2))</f>
        <v/>
      </c>
      <c r="K2074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75" hidden="1" outlineLevel="1" ht="20" customHeight="1">
      <c r="A2075" s="342" t="n"/>
      <c r="B2075" s="342" t="n"/>
      <c r="C2075" s="342" t="n"/>
      <c r="D2075" s="332" t="n"/>
      <c r="E2075" s="332" t="n"/>
      <c r="F2075" s="333" t="n"/>
      <c r="G2075" s="333" t="n"/>
      <c r="H2075" s="334">
        <f>IF(OR(F2075="",G2075=""),"",ROUND(MOD(G2075-F2075,1)*24,2))</f>
        <v/>
      </c>
      <c r="I2075" s="342" t="n"/>
      <c r="J2075" s="342" t="n"/>
      <c r="K2075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76" ht="20" customHeight="1">
      <c r="A2076" s="336">
        <f>IF($K2076="","",WEEKNUM($K2076,21))</f>
        <v/>
      </c>
      <c r="B2076" s="337">
        <f>IF($K2076="","",$K2076)</f>
        <v/>
      </c>
      <c r="C2076" s="338">
        <f>IF($K2076="","",$K2076)</f>
        <v/>
      </c>
      <c r="D2076" s="171" t="n"/>
      <c r="E2076" s="171" t="n"/>
      <c r="F2076" s="172" t="n"/>
      <c r="G2076" s="172" t="n"/>
      <c r="H2076" s="173">
        <f>IF(OR(F2076="",G2076=""),"",ROUND(MOD(G2076-F2076,1)*24,2))</f>
        <v/>
      </c>
      <c r="I2076" s="339" t="n"/>
      <c r="J2076" s="339" t="n"/>
      <c r="K2076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77" ht="20" customHeight="1">
      <c r="D2077" s="179" t="n"/>
      <c r="E2077" s="179" t="n"/>
      <c r="F2077" s="180" t="n"/>
      <c r="G2077" s="180" t="n"/>
      <c r="H2077" s="181">
        <f>IF(OR(F2077="",G2077=""),"",ROUND(MOD(G2077-F2077,1)*24,2))</f>
        <v/>
      </c>
      <c r="K2077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78" ht="20" customHeight="1">
      <c r="D2078" s="179" t="n"/>
      <c r="E2078" s="179" t="n"/>
      <c r="F2078" s="180" t="n"/>
      <c r="G2078" s="180" t="n"/>
      <c r="H2078" s="181">
        <f>IF(OR(F2078="",G2078=""),"",ROUND(MOD(G2078-F2078,1)*24,2))</f>
        <v/>
      </c>
      <c r="K2078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79" ht="20" customHeight="1">
      <c r="D2079" s="179" t="n"/>
      <c r="E2079" s="179" t="n"/>
      <c r="F2079" s="180" t="n"/>
      <c r="G2079" s="180" t="n"/>
      <c r="H2079" s="181">
        <f>IF(OR(F2079="",G2079=""),"",ROUND(MOD(G2079-F2079,1)*24,2))</f>
        <v/>
      </c>
      <c r="K2079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80" collapsed="1" ht="20" customHeight="1">
      <c r="D2080" s="179" t="n"/>
      <c r="E2080" s="179" t="n"/>
      <c r="F2080" s="180" t="n"/>
      <c r="G2080" s="180" t="n"/>
      <c r="H2080" s="181">
        <f>IF(OR(F2080="",G2080=""),"",ROUND(MOD(G2080-F2080,1)*24,2))</f>
        <v/>
      </c>
      <c r="K2080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81" hidden="1" outlineLevel="1" ht="20" customHeight="1">
      <c r="D2081" s="179" t="n"/>
      <c r="E2081" s="179" t="n"/>
      <c r="F2081" s="180" t="n"/>
      <c r="G2081" s="180" t="n"/>
      <c r="H2081" s="181">
        <f>IF(OR(F2081="",G2081=""),"",ROUND(MOD(G2081-F2081,1)*24,2))</f>
        <v/>
      </c>
      <c r="K2081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82" hidden="1" outlineLevel="1" ht="20" customHeight="1">
      <c r="D2082" s="179" t="n"/>
      <c r="E2082" s="179" t="n"/>
      <c r="F2082" s="180" t="n"/>
      <c r="G2082" s="180" t="n"/>
      <c r="H2082" s="181">
        <f>IF(OR(F2082="",G2082=""),"",ROUND(MOD(G2082-F2082,1)*24,2))</f>
        <v/>
      </c>
      <c r="K2082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83" hidden="1" outlineLevel="1" ht="20" customHeight="1">
      <c r="D2083" s="179" t="n"/>
      <c r="E2083" s="179" t="n"/>
      <c r="F2083" s="180" t="n"/>
      <c r="G2083" s="180" t="n"/>
      <c r="H2083" s="181">
        <f>IF(OR(F2083="",G2083=""),"",ROUND(MOD(G2083-F2083,1)*24,2))</f>
        <v/>
      </c>
      <c r="K2083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84" hidden="1" outlineLevel="1" ht="20" customHeight="1">
      <c r="D2084" s="179" t="n"/>
      <c r="E2084" s="179" t="n"/>
      <c r="F2084" s="180" t="n"/>
      <c r="G2084" s="180" t="n"/>
      <c r="H2084" s="181">
        <f>IF(OR(F2084="",G2084=""),"",ROUND(MOD(G2084-F2084,1)*24,2))</f>
        <v/>
      </c>
      <c r="K2084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85" hidden="1" outlineLevel="1" ht="20" customHeight="1">
      <c r="A2085" s="342" t="n"/>
      <c r="B2085" s="342" t="n"/>
      <c r="C2085" s="342" t="n"/>
      <c r="D2085" s="332" t="n"/>
      <c r="E2085" s="332" t="n"/>
      <c r="F2085" s="333" t="n"/>
      <c r="G2085" s="333" t="n"/>
      <c r="H2085" s="334">
        <f>IF(OR(F2085="",G2085=""),"",ROUND(MOD(G2085-F2085,1)*24,2))</f>
        <v/>
      </c>
      <c r="I2085" s="342" t="n"/>
      <c r="J2085" s="342" t="n"/>
      <c r="K2085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086" ht="20" customHeight="1">
      <c r="A2086" s="336">
        <f>IF($K2086="","",WEEKNUM($K2086,21))</f>
        <v/>
      </c>
      <c r="B2086" s="337">
        <f>IF($K2086="","",$K2086)</f>
        <v/>
      </c>
      <c r="C2086" s="338">
        <f>IF($K2086="","",$K2086)</f>
        <v/>
      </c>
      <c r="D2086" s="171" t="n"/>
      <c r="E2086" s="171" t="n"/>
      <c r="F2086" s="172" t="n"/>
      <c r="G2086" s="172" t="n"/>
      <c r="H2086" s="173">
        <f>IF(OR(F2086="",G2086=""),"",ROUND(MOD(G2086-F2086,1)*24,2))</f>
        <v/>
      </c>
      <c r="I2086" s="339" t="n"/>
      <c r="J2086" s="339" t="n"/>
      <c r="K2086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87" ht="20" customHeight="1">
      <c r="D2087" s="179" t="n"/>
      <c r="E2087" s="179" t="n"/>
      <c r="F2087" s="180" t="n"/>
      <c r="G2087" s="180" t="n"/>
      <c r="H2087" s="181">
        <f>IF(OR(F2087="",G2087=""),"",ROUND(MOD(G2087-F2087,1)*24,2))</f>
        <v/>
      </c>
      <c r="K2087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88" ht="20" customHeight="1">
      <c r="D2088" s="179" t="n"/>
      <c r="E2088" s="179" t="n"/>
      <c r="F2088" s="180" t="n"/>
      <c r="G2088" s="180" t="n"/>
      <c r="H2088" s="181">
        <f>IF(OR(F2088="",G2088=""),"",ROUND(MOD(G2088-F2088,1)*24,2))</f>
        <v/>
      </c>
      <c r="K2088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89" ht="20" customHeight="1">
      <c r="D2089" s="179" t="n"/>
      <c r="E2089" s="179" t="n"/>
      <c r="F2089" s="180" t="n"/>
      <c r="G2089" s="180" t="n"/>
      <c r="H2089" s="181">
        <f>IF(OR(F2089="",G2089=""),"",ROUND(MOD(G2089-F2089,1)*24,2))</f>
        <v/>
      </c>
      <c r="K2089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90" collapsed="1" ht="20" customHeight="1">
      <c r="D2090" s="179" t="n"/>
      <c r="E2090" s="179" t="n"/>
      <c r="F2090" s="180" t="n"/>
      <c r="G2090" s="180" t="n"/>
      <c r="H2090" s="181">
        <f>IF(OR(F2090="",G2090=""),"",ROUND(MOD(G2090-F2090,1)*24,2))</f>
        <v/>
      </c>
      <c r="K2090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91" hidden="1" outlineLevel="1" ht="20" customHeight="1">
      <c r="D2091" s="179" t="n"/>
      <c r="E2091" s="179" t="n"/>
      <c r="F2091" s="180" t="n"/>
      <c r="G2091" s="180" t="n"/>
      <c r="H2091" s="181">
        <f>IF(OR(F2091="",G2091=""),"",ROUND(MOD(G2091-F2091,1)*24,2))</f>
        <v/>
      </c>
      <c r="K2091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92" hidden="1" outlineLevel="1" ht="20" customHeight="1">
      <c r="D2092" s="179" t="n"/>
      <c r="E2092" s="179" t="n"/>
      <c r="F2092" s="180" t="n"/>
      <c r="G2092" s="180" t="n"/>
      <c r="H2092" s="181">
        <f>IF(OR(F2092="",G2092=""),"",ROUND(MOD(G2092-F2092,1)*24,2))</f>
        <v/>
      </c>
      <c r="K2092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93" hidden="1" outlineLevel="1" ht="20" customHeight="1">
      <c r="D2093" s="179" t="n"/>
      <c r="E2093" s="179" t="n"/>
      <c r="F2093" s="180" t="n"/>
      <c r="G2093" s="180" t="n"/>
      <c r="H2093" s="181">
        <f>IF(OR(F2093="",G2093=""),"",ROUND(MOD(G2093-F2093,1)*24,2))</f>
        <v/>
      </c>
      <c r="K2093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94" hidden="1" outlineLevel="1" ht="20" customHeight="1">
      <c r="D2094" s="179" t="n"/>
      <c r="E2094" s="179" t="n"/>
      <c r="F2094" s="180" t="n"/>
      <c r="G2094" s="180" t="n"/>
      <c r="H2094" s="181">
        <f>IF(OR(F2094="",G2094=""),"",ROUND(MOD(G2094-F2094,1)*24,2))</f>
        <v/>
      </c>
      <c r="K2094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95" hidden="1" outlineLevel="1" ht="20" customHeight="1">
      <c r="A2095" s="342" t="n"/>
      <c r="B2095" s="342" t="n"/>
      <c r="C2095" s="342" t="n"/>
      <c r="D2095" s="332" t="n"/>
      <c r="E2095" s="332" t="n"/>
      <c r="F2095" s="333" t="n"/>
      <c r="G2095" s="333" t="n"/>
      <c r="H2095" s="334">
        <f>IF(OR(F2095="",G2095=""),"",ROUND(MOD(G2095-F2095,1)*24,2))</f>
        <v/>
      </c>
      <c r="I2095" s="342" t="n"/>
      <c r="J2095" s="342" t="n"/>
      <c r="K2095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096" ht="20" customHeight="1">
      <c r="A2096" s="336">
        <f>IF($K2096="","",WEEKNUM($K2096,21))</f>
        <v/>
      </c>
      <c r="B2096" s="337">
        <f>IF($K2096="","",$K2096)</f>
        <v/>
      </c>
      <c r="C2096" s="338">
        <f>IF($K2096="","",$K2096)</f>
        <v/>
      </c>
      <c r="D2096" s="171" t="n"/>
      <c r="E2096" s="171" t="n"/>
      <c r="F2096" s="172" t="n"/>
      <c r="G2096" s="172" t="n"/>
      <c r="H2096" s="173">
        <f>IF(OR(F2096="",G2096=""),"",ROUND(MOD(G2096-F2096,1)*24,2))</f>
        <v/>
      </c>
      <c r="I2096" s="339" t="n"/>
      <c r="J2096" s="339" t="n"/>
      <c r="K2096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097" ht="20" customHeight="1">
      <c r="D2097" s="179" t="n"/>
      <c r="E2097" s="179" t="n"/>
      <c r="F2097" s="180" t="n"/>
      <c r="G2097" s="180" t="n"/>
      <c r="H2097" s="181">
        <f>IF(OR(F2097="",G2097=""),"",ROUND(MOD(G2097-F2097,1)*24,2))</f>
        <v/>
      </c>
      <c r="K2097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098" ht="20" customHeight="1">
      <c r="D2098" s="179" t="n"/>
      <c r="E2098" s="179" t="n"/>
      <c r="F2098" s="180" t="n"/>
      <c r="G2098" s="180" t="n"/>
      <c r="H2098" s="181">
        <f>IF(OR(F2098="",G2098=""),"",ROUND(MOD(G2098-F2098,1)*24,2))</f>
        <v/>
      </c>
      <c r="K2098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099" ht="20" customHeight="1">
      <c r="D2099" s="179" t="n"/>
      <c r="E2099" s="179" t="n"/>
      <c r="F2099" s="180" t="n"/>
      <c r="G2099" s="180" t="n"/>
      <c r="H2099" s="181">
        <f>IF(OR(F2099="",G2099=""),"",ROUND(MOD(G2099-F2099,1)*24,2))</f>
        <v/>
      </c>
      <c r="K2099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100" collapsed="1" ht="20" customHeight="1">
      <c r="D2100" s="179" t="n"/>
      <c r="E2100" s="179" t="n"/>
      <c r="F2100" s="180" t="n"/>
      <c r="G2100" s="180" t="n"/>
      <c r="H2100" s="181">
        <f>IF(OR(F2100="",G2100=""),"",ROUND(MOD(G2100-F2100,1)*24,2))</f>
        <v/>
      </c>
      <c r="K2100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101" hidden="1" outlineLevel="1" ht="20" customHeight="1">
      <c r="D2101" s="179" t="n"/>
      <c r="E2101" s="179" t="n"/>
      <c r="F2101" s="180" t="n"/>
      <c r="G2101" s="180" t="n"/>
      <c r="H2101" s="181">
        <f>IF(OR(F2101="",G2101=""),"",ROUND(MOD(G2101-F2101,1)*24,2))</f>
        <v/>
      </c>
      <c r="K2101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102" hidden="1" outlineLevel="1" ht="20" customHeight="1">
      <c r="D2102" s="179" t="n"/>
      <c r="E2102" s="179" t="n"/>
      <c r="F2102" s="180" t="n"/>
      <c r="G2102" s="180" t="n"/>
      <c r="H2102" s="181">
        <f>IF(OR(F2102="",G2102=""),"",ROUND(MOD(G2102-F2102,1)*24,2))</f>
        <v/>
      </c>
      <c r="K2102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103" hidden="1" outlineLevel="1" ht="20" customHeight="1">
      <c r="D2103" s="179" t="n"/>
      <c r="E2103" s="179" t="n"/>
      <c r="F2103" s="180" t="n"/>
      <c r="G2103" s="180" t="n"/>
      <c r="H2103" s="181">
        <f>IF(OR(F2103="",G2103=""),"",ROUND(MOD(G2103-F2103,1)*24,2))</f>
        <v/>
      </c>
      <c r="K2103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104" hidden="1" outlineLevel="1" ht="20" customHeight="1">
      <c r="D2104" s="179" t="n"/>
      <c r="E2104" s="179" t="n"/>
      <c r="F2104" s="180" t="n"/>
      <c r="G2104" s="180" t="n"/>
      <c r="H2104" s="181">
        <f>IF(OR(F2104="",G2104=""),"",ROUND(MOD(G2104-F2104,1)*24,2))</f>
        <v/>
      </c>
      <c r="K2104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105" hidden="1" outlineLevel="1" ht="20" customHeight="1">
      <c r="A2105" s="342" t="n"/>
      <c r="B2105" s="342" t="n"/>
      <c r="C2105" s="342" t="n"/>
      <c r="D2105" s="332" t="n"/>
      <c r="E2105" s="332" t="n"/>
      <c r="F2105" s="333" t="n"/>
      <c r="G2105" s="333" t="n"/>
      <c r="H2105" s="334">
        <f>IF(OR(F2105="",G2105=""),"",ROUND(MOD(G2105-F2105,1)*24,2))</f>
        <v/>
      </c>
      <c r="I2105" s="342" t="n"/>
      <c r="J2105" s="342" t="n"/>
      <c r="K2105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106" ht="20" customHeight="1">
      <c r="A2106" s="336">
        <f>IF($K2106="","",WEEKNUM($K2106,21))</f>
        <v/>
      </c>
      <c r="B2106" s="337">
        <f>IF($K2106="","",$K2106)</f>
        <v/>
      </c>
      <c r="C2106" s="338">
        <f>IF($K2106="","",$K2106)</f>
        <v/>
      </c>
      <c r="D2106" s="171" t="n"/>
      <c r="E2106" s="171" t="n"/>
      <c r="F2106" s="172" t="n"/>
      <c r="G2106" s="172" t="n"/>
      <c r="H2106" s="173">
        <f>IF(OR(F2106="",G2106=""),"",ROUND(MOD(G2106-F2106,1)*24,2))</f>
        <v/>
      </c>
      <c r="I2106" s="339" t="n"/>
      <c r="J2106" s="339" t="n"/>
      <c r="K2106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07" ht="20" customHeight="1">
      <c r="D2107" s="179" t="n"/>
      <c r="E2107" s="179" t="n"/>
      <c r="F2107" s="180" t="n"/>
      <c r="G2107" s="180" t="n"/>
      <c r="H2107" s="181">
        <f>IF(OR(F2107="",G2107=""),"",ROUND(MOD(G2107-F2107,1)*24,2))</f>
        <v/>
      </c>
      <c r="K2107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08" ht="20" customHeight="1">
      <c r="D2108" s="179" t="n"/>
      <c r="E2108" s="179" t="n"/>
      <c r="F2108" s="180" t="n"/>
      <c r="G2108" s="180" t="n"/>
      <c r="H2108" s="181">
        <f>IF(OR(F2108="",G2108=""),"",ROUND(MOD(G2108-F2108,1)*24,2))</f>
        <v/>
      </c>
      <c r="K2108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09" ht="20" customHeight="1">
      <c r="D2109" s="179" t="n"/>
      <c r="E2109" s="179" t="n"/>
      <c r="F2109" s="180" t="n"/>
      <c r="G2109" s="180" t="n"/>
      <c r="H2109" s="181">
        <f>IF(OR(F2109="",G2109=""),"",ROUND(MOD(G2109-F2109,1)*24,2))</f>
        <v/>
      </c>
      <c r="K2109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10" collapsed="1" ht="20" customHeight="1">
      <c r="D2110" s="179" t="n"/>
      <c r="E2110" s="179" t="n"/>
      <c r="F2110" s="180" t="n"/>
      <c r="G2110" s="180" t="n"/>
      <c r="H2110" s="181">
        <f>IF(OR(F2110="",G2110=""),"",ROUND(MOD(G2110-F2110,1)*24,2))</f>
        <v/>
      </c>
      <c r="K2110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11" hidden="1" outlineLevel="1" ht="20" customHeight="1">
      <c r="D2111" s="179" t="n"/>
      <c r="E2111" s="179" t="n"/>
      <c r="F2111" s="180" t="n"/>
      <c r="G2111" s="180" t="n"/>
      <c r="H2111" s="181">
        <f>IF(OR(F2111="",G2111=""),"",ROUND(MOD(G2111-F2111,1)*24,2))</f>
        <v/>
      </c>
      <c r="K2111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12" hidden="1" outlineLevel="1" ht="20" customHeight="1">
      <c r="D2112" s="179" t="n"/>
      <c r="E2112" s="179" t="n"/>
      <c r="F2112" s="180" t="n"/>
      <c r="G2112" s="180" t="n"/>
      <c r="H2112" s="181">
        <f>IF(OR(F2112="",G2112=""),"",ROUND(MOD(G2112-F2112,1)*24,2))</f>
        <v/>
      </c>
      <c r="K2112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13" hidden="1" outlineLevel="1" ht="20" customHeight="1">
      <c r="D2113" s="179" t="n"/>
      <c r="E2113" s="179" t="n"/>
      <c r="F2113" s="180" t="n"/>
      <c r="G2113" s="180" t="n"/>
      <c r="H2113" s="181">
        <f>IF(OR(F2113="",G2113=""),"",ROUND(MOD(G2113-F2113,1)*24,2))</f>
        <v/>
      </c>
      <c r="K2113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14" hidden="1" outlineLevel="1" ht="20" customHeight="1">
      <c r="D2114" s="179" t="n"/>
      <c r="E2114" s="179" t="n"/>
      <c r="F2114" s="180" t="n"/>
      <c r="G2114" s="180" t="n"/>
      <c r="H2114" s="181">
        <f>IF(OR(F2114="",G2114=""),"",ROUND(MOD(G2114-F2114,1)*24,2))</f>
        <v/>
      </c>
      <c r="K2114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15" hidden="1" outlineLevel="1" ht="20" customHeight="1">
      <c r="A2115" s="342" t="n"/>
      <c r="B2115" s="342" t="n"/>
      <c r="C2115" s="342" t="n"/>
      <c r="D2115" s="332" t="n"/>
      <c r="E2115" s="332" t="n"/>
      <c r="F2115" s="333" t="n"/>
      <c r="G2115" s="333" t="n"/>
      <c r="H2115" s="334">
        <f>IF(OR(F2115="",G2115=""),"",ROUND(MOD(G2115-F2115,1)*24,2))</f>
        <v/>
      </c>
      <c r="I2115" s="342" t="n"/>
      <c r="J2115" s="342" t="n"/>
      <c r="K2115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16" ht="20" customHeight="1">
      <c r="A2116" s="336">
        <f>IF($K2116="","",WEEKNUM($K2116,21))</f>
        <v/>
      </c>
      <c r="B2116" s="337">
        <f>IF($K2116="","",$K2116)</f>
        <v/>
      </c>
      <c r="C2116" s="338">
        <f>IF($K2116="","",$K2116)</f>
        <v/>
      </c>
      <c r="D2116" s="171" t="n"/>
      <c r="E2116" s="171" t="n"/>
      <c r="F2116" s="172" t="n"/>
      <c r="G2116" s="172" t="n"/>
      <c r="H2116" s="173">
        <f>IF(OR(F2116="",G2116=""),"",ROUND(MOD(G2116-F2116,1)*24,2))</f>
        <v/>
      </c>
      <c r="I2116" s="339" t="n"/>
      <c r="J2116" s="339" t="n"/>
      <c r="K2116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17" ht="20" customHeight="1">
      <c r="D2117" s="179" t="n"/>
      <c r="E2117" s="179" t="n"/>
      <c r="F2117" s="180" t="n"/>
      <c r="G2117" s="180" t="n"/>
      <c r="H2117" s="181">
        <f>IF(OR(F2117="",G2117=""),"",ROUND(MOD(G2117-F2117,1)*24,2))</f>
        <v/>
      </c>
      <c r="K2117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18" ht="20" customHeight="1">
      <c r="D2118" s="179" t="n"/>
      <c r="E2118" s="179" t="n"/>
      <c r="F2118" s="180" t="n"/>
      <c r="G2118" s="180" t="n"/>
      <c r="H2118" s="181">
        <f>IF(OR(F2118="",G2118=""),"",ROUND(MOD(G2118-F2118,1)*24,2))</f>
        <v/>
      </c>
      <c r="K2118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19" ht="20" customHeight="1">
      <c r="D2119" s="179" t="n"/>
      <c r="E2119" s="179" t="n"/>
      <c r="F2119" s="180" t="n"/>
      <c r="G2119" s="180" t="n"/>
      <c r="H2119" s="181">
        <f>IF(OR(F2119="",G2119=""),"",ROUND(MOD(G2119-F2119,1)*24,2))</f>
        <v/>
      </c>
      <c r="K2119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20" collapsed="1" ht="20" customHeight="1">
      <c r="D2120" s="179" t="n"/>
      <c r="E2120" s="179" t="n"/>
      <c r="F2120" s="180" t="n"/>
      <c r="G2120" s="180" t="n"/>
      <c r="H2120" s="181">
        <f>IF(OR(F2120="",G2120=""),"",ROUND(MOD(G2120-F2120,1)*24,2))</f>
        <v/>
      </c>
      <c r="K2120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21" hidden="1" outlineLevel="1" ht="20" customHeight="1">
      <c r="D2121" s="179" t="n"/>
      <c r="E2121" s="179" t="n"/>
      <c r="F2121" s="180" t="n"/>
      <c r="G2121" s="180" t="n"/>
      <c r="H2121" s="181">
        <f>IF(OR(F2121="",G2121=""),"",ROUND(MOD(G2121-F2121,1)*24,2))</f>
        <v/>
      </c>
      <c r="K2121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22" hidden="1" outlineLevel="1" ht="20" customHeight="1">
      <c r="D2122" s="179" t="n"/>
      <c r="E2122" s="179" t="n"/>
      <c r="F2122" s="180" t="n"/>
      <c r="G2122" s="180" t="n"/>
      <c r="H2122" s="181">
        <f>IF(OR(F2122="",G2122=""),"",ROUND(MOD(G2122-F2122,1)*24,2))</f>
        <v/>
      </c>
      <c r="K2122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23" hidden="1" outlineLevel="1" ht="20" customHeight="1">
      <c r="D2123" s="179" t="n"/>
      <c r="E2123" s="179" t="n"/>
      <c r="F2123" s="180" t="n"/>
      <c r="G2123" s="180" t="n"/>
      <c r="H2123" s="181">
        <f>IF(OR(F2123="",G2123=""),"",ROUND(MOD(G2123-F2123,1)*24,2))</f>
        <v/>
      </c>
      <c r="K2123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24" hidden="1" outlineLevel="1" ht="20" customHeight="1">
      <c r="D2124" s="179" t="n"/>
      <c r="E2124" s="179" t="n"/>
      <c r="F2124" s="180" t="n"/>
      <c r="G2124" s="180" t="n"/>
      <c r="H2124" s="181">
        <f>IF(OR(F2124="",G2124=""),"",ROUND(MOD(G2124-F2124,1)*24,2))</f>
        <v/>
      </c>
      <c r="K2124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25" hidden="1" outlineLevel="1" ht="20" customHeight="1">
      <c r="A2125" s="342" t="n"/>
      <c r="B2125" s="342" t="n"/>
      <c r="C2125" s="342" t="n"/>
      <c r="D2125" s="332" t="n"/>
      <c r="E2125" s="332" t="n"/>
      <c r="F2125" s="333" t="n"/>
      <c r="G2125" s="333" t="n"/>
      <c r="H2125" s="334">
        <f>IF(OR(F2125="",G2125=""),"",ROUND(MOD(G2125-F2125,1)*24,2))</f>
        <v/>
      </c>
      <c r="I2125" s="342" t="n"/>
      <c r="J2125" s="342" t="n"/>
      <c r="K2125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26" ht="20" customHeight="1">
      <c r="A2126" s="336">
        <f>IF($K2126="","",WEEKNUM($K2126,21))</f>
        <v/>
      </c>
      <c r="B2126" s="337">
        <f>IF($K2126="","",$K2126)</f>
        <v/>
      </c>
      <c r="C2126" s="338">
        <f>IF($K2126="","",$K2126)</f>
        <v/>
      </c>
      <c r="D2126" s="171" t="n"/>
      <c r="E2126" s="171" t="n"/>
      <c r="F2126" s="172" t="n"/>
      <c r="G2126" s="172" t="n"/>
      <c r="H2126" s="173">
        <f>IF(OR(F2126="",G2126=""),"",ROUND(MOD(G2126-F2126,1)*24,2))</f>
        <v/>
      </c>
      <c r="I2126" s="339" t="n"/>
      <c r="J2126" s="339" t="n"/>
      <c r="K2126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27" ht="20" customHeight="1">
      <c r="D2127" s="179" t="n"/>
      <c r="E2127" s="179" t="n"/>
      <c r="F2127" s="180" t="n"/>
      <c r="G2127" s="180" t="n"/>
      <c r="H2127" s="181">
        <f>IF(OR(F2127="",G2127=""),"",ROUND(MOD(G2127-F2127,1)*24,2))</f>
        <v/>
      </c>
      <c r="K2127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28" ht="20" customHeight="1">
      <c r="D2128" s="179" t="n"/>
      <c r="E2128" s="179" t="n"/>
      <c r="F2128" s="180" t="n"/>
      <c r="G2128" s="180" t="n"/>
      <c r="H2128" s="181">
        <f>IF(OR(F2128="",G2128=""),"",ROUND(MOD(G2128-F2128,1)*24,2))</f>
        <v/>
      </c>
      <c r="K2128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29" ht="20" customHeight="1">
      <c r="D2129" s="179" t="n"/>
      <c r="E2129" s="179" t="n"/>
      <c r="F2129" s="180" t="n"/>
      <c r="G2129" s="180" t="n"/>
      <c r="H2129" s="181">
        <f>IF(OR(F2129="",G2129=""),"",ROUND(MOD(G2129-F2129,1)*24,2))</f>
        <v/>
      </c>
      <c r="K2129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30" collapsed="1" ht="20" customHeight="1">
      <c r="D2130" s="179" t="n"/>
      <c r="E2130" s="179" t="n"/>
      <c r="F2130" s="180" t="n"/>
      <c r="G2130" s="180" t="n"/>
      <c r="H2130" s="181">
        <f>IF(OR(F2130="",G2130=""),"",ROUND(MOD(G2130-F2130,1)*24,2))</f>
        <v/>
      </c>
      <c r="K2130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31" hidden="1" outlineLevel="1" ht="20" customHeight="1">
      <c r="D2131" s="179" t="n"/>
      <c r="E2131" s="179" t="n"/>
      <c r="F2131" s="180" t="n"/>
      <c r="G2131" s="180" t="n"/>
      <c r="H2131" s="181">
        <f>IF(OR(F2131="",G2131=""),"",ROUND(MOD(G2131-F2131,1)*24,2))</f>
        <v/>
      </c>
      <c r="K2131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32" hidden="1" outlineLevel="1" ht="20" customHeight="1">
      <c r="D2132" s="179" t="n"/>
      <c r="E2132" s="179" t="n"/>
      <c r="F2132" s="180" t="n"/>
      <c r="G2132" s="180" t="n"/>
      <c r="H2132" s="181">
        <f>IF(OR(F2132="",G2132=""),"",ROUND(MOD(G2132-F2132,1)*24,2))</f>
        <v/>
      </c>
      <c r="K2132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33" hidden="1" outlineLevel="1" ht="20" customHeight="1">
      <c r="D2133" s="179" t="n"/>
      <c r="E2133" s="179" t="n"/>
      <c r="F2133" s="180" t="n"/>
      <c r="G2133" s="180" t="n"/>
      <c r="H2133" s="181">
        <f>IF(OR(F2133="",G2133=""),"",ROUND(MOD(G2133-F2133,1)*24,2))</f>
        <v/>
      </c>
      <c r="K2133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34" hidden="1" outlineLevel="1" ht="20" customHeight="1">
      <c r="D2134" s="179" t="n"/>
      <c r="E2134" s="179" t="n"/>
      <c r="F2134" s="180" t="n"/>
      <c r="G2134" s="180" t="n"/>
      <c r="H2134" s="181">
        <f>IF(OR(F2134="",G2134=""),"",ROUND(MOD(G2134-F2134,1)*24,2))</f>
        <v/>
      </c>
      <c r="K2134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35" hidden="1" outlineLevel="1" ht="20" customHeight="1">
      <c r="A2135" s="342" t="n"/>
      <c r="B2135" s="342" t="n"/>
      <c r="C2135" s="342" t="n"/>
      <c r="D2135" s="332" t="n"/>
      <c r="E2135" s="332" t="n"/>
      <c r="F2135" s="333" t="n"/>
      <c r="G2135" s="333" t="n"/>
      <c r="H2135" s="334">
        <f>IF(OR(F2135="",G2135=""),"",ROUND(MOD(G2135-F2135,1)*24,2))</f>
        <v/>
      </c>
      <c r="I2135" s="342" t="n"/>
      <c r="J2135" s="342" t="n"/>
      <c r="K2135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36" ht="20" customHeight="1">
      <c r="A2136" s="336">
        <f>IF($K2136="","",WEEKNUM($K2136,21))</f>
        <v/>
      </c>
      <c r="B2136" s="337">
        <f>IF($K2136="","",$K2136)</f>
        <v/>
      </c>
      <c r="C2136" s="338">
        <f>IF($K2136="","",$K2136)</f>
        <v/>
      </c>
      <c r="D2136" s="171" t="n"/>
      <c r="E2136" s="171" t="n"/>
      <c r="F2136" s="172" t="n"/>
      <c r="G2136" s="172" t="n"/>
      <c r="H2136" s="173">
        <f>IF(OR(F2136="",G2136=""),"",ROUND(MOD(G2136-F2136,1)*24,2))</f>
        <v/>
      </c>
      <c r="I2136" s="339" t="n"/>
      <c r="J2136" s="339" t="n"/>
      <c r="K2136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37" ht="20" customHeight="1">
      <c r="D2137" s="179" t="n"/>
      <c r="E2137" s="179" t="n"/>
      <c r="F2137" s="180" t="n"/>
      <c r="G2137" s="180" t="n"/>
      <c r="H2137" s="181">
        <f>IF(OR(F2137="",G2137=""),"",ROUND(MOD(G2137-F2137,1)*24,2))</f>
        <v/>
      </c>
      <c r="K2137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38" ht="20" customHeight="1">
      <c r="D2138" s="179" t="n"/>
      <c r="E2138" s="179" t="n"/>
      <c r="F2138" s="180" t="n"/>
      <c r="G2138" s="180" t="n"/>
      <c r="H2138" s="181">
        <f>IF(OR(F2138="",G2138=""),"",ROUND(MOD(G2138-F2138,1)*24,2))</f>
        <v/>
      </c>
      <c r="K2138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39" ht="20" customHeight="1">
      <c r="D2139" s="179" t="n"/>
      <c r="E2139" s="179" t="n"/>
      <c r="F2139" s="180" t="n"/>
      <c r="G2139" s="180" t="n"/>
      <c r="H2139" s="181">
        <f>IF(OR(F2139="",G2139=""),"",ROUND(MOD(G2139-F2139,1)*24,2))</f>
        <v/>
      </c>
      <c r="K2139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40" collapsed="1" ht="20" customHeight="1">
      <c r="D2140" s="179" t="n"/>
      <c r="E2140" s="179" t="n"/>
      <c r="F2140" s="180" t="n"/>
      <c r="G2140" s="180" t="n"/>
      <c r="H2140" s="181">
        <f>IF(OR(F2140="",G2140=""),"",ROUND(MOD(G2140-F2140,1)*24,2))</f>
        <v/>
      </c>
      <c r="K2140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41" hidden="1" outlineLevel="1" ht="20" customHeight="1">
      <c r="D2141" s="179" t="n"/>
      <c r="E2141" s="179" t="n"/>
      <c r="F2141" s="180" t="n"/>
      <c r="G2141" s="180" t="n"/>
      <c r="H2141" s="181">
        <f>IF(OR(F2141="",G2141=""),"",ROUND(MOD(G2141-F2141,1)*24,2))</f>
        <v/>
      </c>
      <c r="K2141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42" hidden="1" outlineLevel="1" ht="20" customHeight="1">
      <c r="D2142" s="179" t="n"/>
      <c r="E2142" s="179" t="n"/>
      <c r="F2142" s="180" t="n"/>
      <c r="G2142" s="180" t="n"/>
      <c r="H2142" s="181">
        <f>IF(OR(F2142="",G2142=""),"",ROUND(MOD(G2142-F2142,1)*24,2))</f>
        <v/>
      </c>
      <c r="K2142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43" hidden="1" outlineLevel="1" ht="20" customHeight="1">
      <c r="D2143" s="179" t="n"/>
      <c r="E2143" s="179" t="n"/>
      <c r="F2143" s="180" t="n"/>
      <c r="G2143" s="180" t="n"/>
      <c r="H2143" s="181">
        <f>IF(OR(F2143="",G2143=""),"",ROUND(MOD(G2143-F2143,1)*24,2))</f>
        <v/>
      </c>
      <c r="K2143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44" hidden="1" outlineLevel="1" ht="20" customHeight="1">
      <c r="D2144" s="179" t="n"/>
      <c r="E2144" s="179" t="n"/>
      <c r="F2144" s="180" t="n"/>
      <c r="G2144" s="180" t="n"/>
      <c r="H2144" s="181">
        <f>IF(OR(F2144="",G2144=""),"",ROUND(MOD(G2144-F2144,1)*24,2))</f>
        <v/>
      </c>
      <c r="K2144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45" hidden="1" outlineLevel="1" ht="20" customHeight="1">
      <c r="A2145" s="342" t="n"/>
      <c r="B2145" s="342" t="n"/>
      <c r="C2145" s="342" t="n"/>
      <c r="D2145" s="332" t="n"/>
      <c r="E2145" s="332" t="n"/>
      <c r="F2145" s="333" t="n"/>
      <c r="G2145" s="333" t="n"/>
      <c r="H2145" s="334">
        <f>IF(OR(F2145="",G2145=""),"",ROUND(MOD(G2145-F2145,1)*24,2))</f>
        <v/>
      </c>
      <c r="I2145" s="342" t="n"/>
      <c r="J2145" s="342" t="n"/>
      <c r="K2145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46" ht="20" customHeight="1">
      <c r="A2146" s="336">
        <f>IF($K2146="","",WEEKNUM($K2146,21))</f>
        <v/>
      </c>
      <c r="B2146" s="337">
        <f>IF($K2146="","",$K2146)</f>
        <v/>
      </c>
      <c r="C2146" s="338">
        <f>IF($K2146="","",$K2146)</f>
        <v/>
      </c>
      <c r="D2146" s="171" t="n"/>
      <c r="E2146" s="171" t="n"/>
      <c r="F2146" s="172" t="n"/>
      <c r="G2146" s="172" t="n"/>
      <c r="H2146" s="173">
        <f>IF(OR(F2146="",G2146=""),"",ROUND(MOD(G2146-F2146,1)*24,2))</f>
        <v/>
      </c>
      <c r="I2146" s="339" t="n"/>
      <c r="J2146" s="339" t="n"/>
      <c r="K2146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47" ht="20" customHeight="1">
      <c r="D2147" s="179" t="n"/>
      <c r="E2147" s="179" t="n"/>
      <c r="F2147" s="180" t="n"/>
      <c r="G2147" s="180" t="n"/>
      <c r="H2147" s="181">
        <f>IF(OR(F2147="",G2147=""),"",ROUND(MOD(G2147-F2147,1)*24,2))</f>
        <v/>
      </c>
      <c r="K2147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48" ht="20" customHeight="1">
      <c r="D2148" s="179" t="n"/>
      <c r="E2148" s="179" t="n"/>
      <c r="F2148" s="180" t="n"/>
      <c r="G2148" s="180" t="n"/>
      <c r="H2148" s="181">
        <f>IF(OR(F2148="",G2148=""),"",ROUND(MOD(G2148-F2148,1)*24,2))</f>
        <v/>
      </c>
      <c r="K2148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49" ht="20" customHeight="1">
      <c r="D2149" s="179" t="n"/>
      <c r="E2149" s="179" t="n"/>
      <c r="F2149" s="180" t="n"/>
      <c r="G2149" s="180" t="n"/>
      <c r="H2149" s="181">
        <f>IF(OR(F2149="",G2149=""),"",ROUND(MOD(G2149-F2149,1)*24,2))</f>
        <v/>
      </c>
      <c r="K2149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50" collapsed="1" ht="20" customHeight="1">
      <c r="D2150" s="179" t="n"/>
      <c r="E2150" s="179" t="n"/>
      <c r="F2150" s="180" t="n"/>
      <c r="G2150" s="180" t="n"/>
      <c r="H2150" s="181">
        <f>IF(OR(F2150="",G2150=""),"",ROUND(MOD(G2150-F2150,1)*24,2))</f>
        <v/>
      </c>
      <c r="K2150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51" hidden="1" outlineLevel="1" ht="20" customHeight="1">
      <c r="D2151" s="179" t="n"/>
      <c r="E2151" s="179" t="n"/>
      <c r="F2151" s="180" t="n"/>
      <c r="G2151" s="180" t="n"/>
      <c r="H2151" s="181">
        <f>IF(OR(F2151="",G2151=""),"",ROUND(MOD(G2151-F2151,1)*24,2))</f>
        <v/>
      </c>
      <c r="K2151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52" hidden="1" outlineLevel="1" ht="20" customHeight="1">
      <c r="D2152" s="179" t="n"/>
      <c r="E2152" s="179" t="n"/>
      <c r="F2152" s="180" t="n"/>
      <c r="G2152" s="180" t="n"/>
      <c r="H2152" s="181">
        <f>IF(OR(F2152="",G2152=""),"",ROUND(MOD(G2152-F2152,1)*24,2))</f>
        <v/>
      </c>
      <c r="K2152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53" hidden="1" outlineLevel="1" ht="20" customHeight="1">
      <c r="D2153" s="179" t="n"/>
      <c r="E2153" s="179" t="n"/>
      <c r="F2153" s="180" t="n"/>
      <c r="G2153" s="180" t="n"/>
      <c r="H2153" s="181">
        <f>IF(OR(F2153="",G2153=""),"",ROUND(MOD(G2153-F2153,1)*24,2))</f>
        <v/>
      </c>
      <c r="K2153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54" hidden="1" outlineLevel="1" ht="20" customHeight="1">
      <c r="D2154" s="179" t="n"/>
      <c r="E2154" s="179" t="n"/>
      <c r="F2154" s="180" t="n"/>
      <c r="G2154" s="180" t="n"/>
      <c r="H2154" s="181">
        <f>IF(OR(F2154="",G2154=""),"",ROUND(MOD(G2154-F2154,1)*24,2))</f>
        <v/>
      </c>
      <c r="K2154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55" hidden="1" outlineLevel="1" ht="20" customHeight="1">
      <c r="A2155" s="342" t="n"/>
      <c r="B2155" s="342" t="n"/>
      <c r="C2155" s="342" t="n"/>
      <c r="D2155" s="332" t="n"/>
      <c r="E2155" s="332" t="n"/>
      <c r="F2155" s="333" t="n"/>
      <c r="G2155" s="333" t="n"/>
      <c r="H2155" s="334">
        <f>IF(OR(F2155="",G2155=""),"",ROUND(MOD(G2155-F2155,1)*24,2))</f>
        <v/>
      </c>
      <c r="I2155" s="342" t="n"/>
      <c r="J2155" s="342" t="n"/>
      <c r="K2155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56" ht="20" customHeight="1">
      <c r="A2156" s="336">
        <f>IF($K2156="","",WEEKNUM($K2156,21))</f>
        <v/>
      </c>
      <c r="B2156" s="337">
        <f>IF($K2156="","",$K2156)</f>
        <v/>
      </c>
      <c r="C2156" s="338">
        <f>IF($K2156="","",$K2156)</f>
        <v/>
      </c>
      <c r="D2156" s="171" t="n"/>
      <c r="E2156" s="171" t="n"/>
      <c r="F2156" s="172" t="n"/>
      <c r="G2156" s="172" t="n"/>
      <c r="H2156" s="173">
        <f>IF(OR(F2156="",G2156=""),"",ROUND(MOD(G2156-F2156,1)*24,2))</f>
        <v/>
      </c>
      <c r="I2156" s="339" t="n"/>
      <c r="J2156" s="339" t="n"/>
      <c r="K2156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57" ht="20" customHeight="1">
      <c r="D2157" s="179" t="n"/>
      <c r="E2157" s="179" t="n"/>
      <c r="F2157" s="180" t="n"/>
      <c r="G2157" s="180" t="n"/>
      <c r="H2157" s="181">
        <f>IF(OR(F2157="",G2157=""),"",ROUND(MOD(G2157-F2157,1)*24,2))</f>
        <v/>
      </c>
      <c r="K2157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58" ht="20" customHeight="1">
      <c r="D2158" s="179" t="n"/>
      <c r="E2158" s="179" t="n"/>
      <c r="F2158" s="180" t="n"/>
      <c r="G2158" s="180" t="n"/>
      <c r="H2158" s="181">
        <f>IF(OR(F2158="",G2158=""),"",ROUND(MOD(G2158-F2158,1)*24,2))</f>
        <v/>
      </c>
      <c r="K2158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59" ht="20" customHeight="1">
      <c r="D2159" s="179" t="n"/>
      <c r="E2159" s="179" t="n"/>
      <c r="F2159" s="180" t="n"/>
      <c r="G2159" s="180" t="n"/>
      <c r="H2159" s="181">
        <f>IF(OR(F2159="",G2159=""),"",ROUND(MOD(G2159-F2159,1)*24,2))</f>
        <v/>
      </c>
      <c r="K2159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60" collapsed="1" ht="20" customHeight="1">
      <c r="D2160" s="179" t="n"/>
      <c r="E2160" s="179" t="n"/>
      <c r="F2160" s="180" t="n"/>
      <c r="G2160" s="180" t="n"/>
      <c r="H2160" s="181">
        <f>IF(OR(F2160="",G2160=""),"",ROUND(MOD(G2160-F2160,1)*24,2))</f>
        <v/>
      </c>
      <c r="K2160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61" hidden="1" outlineLevel="1" ht="20" customHeight="1">
      <c r="D2161" s="179" t="n"/>
      <c r="E2161" s="179" t="n"/>
      <c r="F2161" s="180" t="n"/>
      <c r="G2161" s="180" t="n"/>
      <c r="H2161" s="181">
        <f>IF(OR(F2161="",G2161=""),"",ROUND(MOD(G2161-F2161,1)*24,2))</f>
        <v/>
      </c>
      <c r="K2161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62" hidden="1" outlineLevel="1" ht="20" customHeight="1">
      <c r="D2162" s="179" t="n"/>
      <c r="E2162" s="179" t="n"/>
      <c r="F2162" s="180" t="n"/>
      <c r="G2162" s="180" t="n"/>
      <c r="H2162" s="181">
        <f>IF(OR(F2162="",G2162=""),"",ROUND(MOD(G2162-F2162,1)*24,2))</f>
        <v/>
      </c>
      <c r="K2162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63" hidden="1" outlineLevel="1" ht="20" customHeight="1">
      <c r="D2163" s="179" t="n"/>
      <c r="E2163" s="179" t="n"/>
      <c r="F2163" s="180" t="n"/>
      <c r="G2163" s="180" t="n"/>
      <c r="H2163" s="181">
        <f>IF(OR(F2163="",G2163=""),"",ROUND(MOD(G2163-F2163,1)*24,2))</f>
        <v/>
      </c>
      <c r="K2163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64" hidden="1" outlineLevel="1" ht="20" customHeight="1">
      <c r="D2164" s="179" t="n"/>
      <c r="E2164" s="179" t="n"/>
      <c r="F2164" s="180" t="n"/>
      <c r="G2164" s="180" t="n"/>
      <c r="H2164" s="181">
        <f>IF(OR(F2164="",G2164=""),"",ROUND(MOD(G2164-F2164,1)*24,2))</f>
        <v/>
      </c>
      <c r="K2164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65" hidden="1" outlineLevel="1" ht="20" customHeight="1">
      <c r="A2165" s="342" t="n"/>
      <c r="B2165" s="342" t="n"/>
      <c r="C2165" s="342" t="n"/>
      <c r="D2165" s="332" t="n"/>
      <c r="E2165" s="332" t="n"/>
      <c r="F2165" s="333" t="n"/>
      <c r="G2165" s="333" t="n"/>
      <c r="H2165" s="334">
        <f>IF(OR(F2165="",G2165=""),"",ROUND(MOD(G2165-F2165,1)*24,2))</f>
        <v/>
      </c>
      <c r="I2165" s="342" t="n"/>
      <c r="J2165" s="342" t="n"/>
      <c r="K2165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66" ht="20" customHeight="1">
      <c r="A2166" s="336">
        <f>IF($K2166="","",WEEKNUM($K2166,21))</f>
        <v/>
      </c>
      <c r="B2166" s="337">
        <f>IF($K2166="","",$K2166)</f>
        <v/>
      </c>
      <c r="C2166" s="338">
        <f>IF($K2166="","",$K2166)</f>
        <v/>
      </c>
      <c r="D2166" s="171" t="n"/>
      <c r="E2166" s="171" t="n"/>
      <c r="F2166" s="172" t="n"/>
      <c r="G2166" s="172" t="n"/>
      <c r="H2166" s="173">
        <f>IF(OR(F2166="",G2166=""),"",ROUND(MOD(G2166-F2166,1)*24,2))</f>
        <v/>
      </c>
      <c r="I2166" s="339" t="n"/>
      <c r="J2166" s="339" t="n"/>
      <c r="K2166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67" ht="20" customHeight="1">
      <c r="D2167" s="179" t="n"/>
      <c r="E2167" s="179" t="n"/>
      <c r="F2167" s="180" t="n"/>
      <c r="G2167" s="180" t="n"/>
      <c r="H2167" s="181">
        <f>IF(OR(F2167="",G2167=""),"",ROUND(MOD(G2167-F2167,1)*24,2))</f>
        <v/>
      </c>
      <c r="K2167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68" ht="20" customHeight="1">
      <c r="D2168" s="179" t="n"/>
      <c r="E2168" s="179" t="n"/>
      <c r="F2168" s="180" t="n"/>
      <c r="G2168" s="180" t="n"/>
      <c r="H2168" s="181">
        <f>IF(OR(F2168="",G2168=""),"",ROUND(MOD(G2168-F2168,1)*24,2))</f>
        <v/>
      </c>
      <c r="K2168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69" ht="20" customHeight="1">
      <c r="D2169" s="179" t="n"/>
      <c r="E2169" s="179" t="n"/>
      <c r="F2169" s="180" t="n"/>
      <c r="G2169" s="180" t="n"/>
      <c r="H2169" s="181">
        <f>IF(OR(F2169="",G2169=""),"",ROUND(MOD(G2169-F2169,1)*24,2))</f>
        <v/>
      </c>
      <c r="K2169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70" collapsed="1" ht="20" customHeight="1">
      <c r="D2170" s="179" t="n"/>
      <c r="E2170" s="179" t="n"/>
      <c r="F2170" s="180" t="n"/>
      <c r="G2170" s="180" t="n"/>
      <c r="H2170" s="181">
        <f>IF(OR(F2170="",G2170=""),"",ROUND(MOD(G2170-F2170,1)*24,2))</f>
        <v/>
      </c>
      <c r="K2170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71" hidden="1" outlineLevel="1" ht="20" customHeight="1">
      <c r="D2171" s="179" t="n"/>
      <c r="E2171" s="179" t="n"/>
      <c r="F2171" s="180" t="n"/>
      <c r="G2171" s="180" t="n"/>
      <c r="H2171" s="181">
        <f>IF(OR(F2171="",G2171=""),"",ROUND(MOD(G2171-F2171,1)*24,2))</f>
        <v/>
      </c>
      <c r="K2171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72" hidden="1" outlineLevel="1" ht="20" customHeight="1">
      <c r="D2172" s="179" t="n"/>
      <c r="E2172" s="179" t="n"/>
      <c r="F2172" s="180" t="n"/>
      <c r="G2172" s="180" t="n"/>
      <c r="H2172" s="181">
        <f>IF(OR(F2172="",G2172=""),"",ROUND(MOD(G2172-F2172,1)*24,2))</f>
        <v/>
      </c>
      <c r="K2172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73" hidden="1" outlineLevel="1" ht="20" customHeight="1">
      <c r="D2173" s="179" t="n"/>
      <c r="E2173" s="179" t="n"/>
      <c r="F2173" s="180" t="n"/>
      <c r="G2173" s="180" t="n"/>
      <c r="H2173" s="181">
        <f>IF(OR(F2173="",G2173=""),"",ROUND(MOD(G2173-F2173,1)*24,2))</f>
        <v/>
      </c>
      <c r="K2173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74" hidden="1" outlineLevel="1" ht="20" customHeight="1">
      <c r="D2174" s="179" t="n"/>
      <c r="E2174" s="179" t="n"/>
      <c r="F2174" s="180" t="n"/>
      <c r="G2174" s="180" t="n"/>
      <c r="H2174" s="181">
        <f>IF(OR(F2174="",G2174=""),"",ROUND(MOD(G2174-F2174,1)*24,2))</f>
        <v/>
      </c>
      <c r="K2174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75" hidden="1" outlineLevel="1" ht="20" customHeight="1">
      <c r="A2175" s="342" t="n"/>
      <c r="B2175" s="342" t="n"/>
      <c r="C2175" s="342" t="n"/>
      <c r="D2175" s="332" t="n"/>
      <c r="E2175" s="332" t="n"/>
      <c r="F2175" s="333" t="n"/>
      <c r="G2175" s="333" t="n"/>
      <c r="H2175" s="334">
        <f>IF(OR(F2175="",G2175=""),"",ROUND(MOD(G2175-F2175,1)*24,2))</f>
        <v/>
      </c>
      <c r="I2175" s="342" t="n"/>
      <c r="J2175" s="342" t="n"/>
      <c r="K2175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76" ht="20" customHeight="1">
      <c r="A2176" s="336">
        <f>IF($K2176="","",WEEKNUM($K2176,21))</f>
        <v/>
      </c>
      <c r="B2176" s="337">
        <f>IF($K2176="","",$K2176)</f>
        <v/>
      </c>
      <c r="C2176" s="338">
        <f>IF($K2176="","",$K2176)</f>
        <v/>
      </c>
      <c r="D2176" s="171" t="n"/>
      <c r="E2176" s="171" t="n"/>
      <c r="F2176" s="172" t="n"/>
      <c r="G2176" s="172" t="n"/>
      <c r="H2176" s="173">
        <f>IF(OR(F2176="",G2176=""),"",ROUND(MOD(G2176-F2176,1)*24,2))</f>
        <v/>
      </c>
      <c r="I2176" s="339" t="n"/>
      <c r="J2176" s="339" t="n"/>
      <c r="K2176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77" ht="20" customHeight="1">
      <c r="D2177" s="179" t="n"/>
      <c r="E2177" s="179" t="n"/>
      <c r="F2177" s="180" t="n"/>
      <c r="G2177" s="180" t="n"/>
      <c r="H2177" s="181">
        <f>IF(OR(F2177="",G2177=""),"",ROUND(MOD(G2177-F2177,1)*24,2))</f>
        <v/>
      </c>
      <c r="K2177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78" ht="20" customHeight="1">
      <c r="D2178" s="179" t="n"/>
      <c r="E2178" s="179" t="n"/>
      <c r="F2178" s="180" t="n"/>
      <c r="G2178" s="180" t="n"/>
      <c r="H2178" s="181">
        <f>IF(OR(F2178="",G2178=""),"",ROUND(MOD(G2178-F2178,1)*24,2))</f>
        <v/>
      </c>
      <c r="K2178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79" ht="20" customHeight="1">
      <c r="D2179" s="179" t="n"/>
      <c r="E2179" s="179" t="n"/>
      <c r="F2179" s="180" t="n"/>
      <c r="G2179" s="180" t="n"/>
      <c r="H2179" s="181">
        <f>IF(OR(F2179="",G2179=""),"",ROUND(MOD(G2179-F2179,1)*24,2))</f>
        <v/>
      </c>
      <c r="K2179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80" collapsed="1" ht="20" customHeight="1">
      <c r="D2180" s="179" t="n"/>
      <c r="E2180" s="179" t="n"/>
      <c r="F2180" s="180" t="n"/>
      <c r="G2180" s="180" t="n"/>
      <c r="H2180" s="181">
        <f>IF(OR(F2180="",G2180=""),"",ROUND(MOD(G2180-F2180,1)*24,2))</f>
        <v/>
      </c>
      <c r="K2180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81" hidden="1" outlineLevel="1" ht="20" customHeight="1">
      <c r="D2181" s="179" t="n"/>
      <c r="E2181" s="179" t="n"/>
      <c r="F2181" s="180" t="n"/>
      <c r="G2181" s="180" t="n"/>
      <c r="H2181" s="181">
        <f>IF(OR(F2181="",G2181=""),"",ROUND(MOD(G2181-F2181,1)*24,2))</f>
        <v/>
      </c>
      <c r="K2181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82" hidden="1" outlineLevel="1" ht="20" customHeight="1">
      <c r="D2182" s="179" t="n"/>
      <c r="E2182" s="179" t="n"/>
      <c r="F2182" s="180" t="n"/>
      <c r="G2182" s="180" t="n"/>
      <c r="H2182" s="181">
        <f>IF(OR(F2182="",G2182=""),"",ROUND(MOD(G2182-F2182,1)*24,2))</f>
        <v/>
      </c>
      <c r="K2182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83" hidden="1" outlineLevel="1" ht="20" customHeight="1">
      <c r="D2183" s="179" t="n"/>
      <c r="E2183" s="179" t="n"/>
      <c r="F2183" s="180" t="n"/>
      <c r="G2183" s="180" t="n"/>
      <c r="H2183" s="181">
        <f>IF(OR(F2183="",G2183=""),"",ROUND(MOD(G2183-F2183,1)*24,2))</f>
        <v/>
      </c>
      <c r="K2183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84" hidden="1" outlineLevel="1" ht="20" customHeight="1">
      <c r="D2184" s="179" t="n"/>
      <c r="E2184" s="179" t="n"/>
      <c r="F2184" s="180" t="n"/>
      <c r="G2184" s="180" t="n"/>
      <c r="H2184" s="181">
        <f>IF(OR(F2184="",G2184=""),"",ROUND(MOD(G2184-F2184,1)*24,2))</f>
        <v/>
      </c>
      <c r="K2184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85" hidden="1" outlineLevel="1" ht="20" customHeight="1">
      <c r="A2185" s="342" t="n"/>
      <c r="B2185" s="342" t="n"/>
      <c r="C2185" s="342" t="n"/>
      <c r="D2185" s="332" t="n"/>
      <c r="E2185" s="332" t="n"/>
      <c r="F2185" s="333" t="n"/>
      <c r="G2185" s="333" t="n"/>
      <c r="H2185" s="334">
        <f>IF(OR(F2185="",G2185=""),"",ROUND(MOD(G2185-F2185,1)*24,2))</f>
        <v/>
      </c>
      <c r="I2185" s="342" t="n"/>
      <c r="J2185" s="342" t="n"/>
      <c r="K2185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186" ht="20" customHeight="1">
      <c r="A2186" s="336">
        <f>IF($K2186="","",WEEKNUM($K2186,21))</f>
        <v/>
      </c>
      <c r="B2186" s="337">
        <f>IF($K2186="","",$K2186)</f>
        <v/>
      </c>
      <c r="C2186" s="338">
        <f>IF($K2186="","",$K2186)</f>
        <v/>
      </c>
      <c r="D2186" s="171" t="n"/>
      <c r="E2186" s="171" t="n"/>
      <c r="F2186" s="172" t="n"/>
      <c r="G2186" s="172" t="n"/>
      <c r="H2186" s="173">
        <f>IF(OR(F2186="",G2186=""),"",ROUND(MOD(G2186-F2186,1)*24,2))</f>
        <v/>
      </c>
      <c r="I2186" s="339" t="n"/>
      <c r="J2186" s="339" t="n"/>
      <c r="K2186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87" ht="20" customHeight="1">
      <c r="D2187" s="179" t="n"/>
      <c r="E2187" s="179" t="n"/>
      <c r="F2187" s="180" t="n"/>
      <c r="G2187" s="180" t="n"/>
      <c r="H2187" s="181">
        <f>IF(OR(F2187="",G2187=""),"",ROUND(MOD(G2187-F2187,1)*24,2))</f>
        <v/>
      </c>
      <c r="K2187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88" ht="20" customHeight="1">
      <c r="D2188" s="179" t="n"/>
      <c r="E2188" s="179" t="n"/>
      <c r="F2188" s="180" t="n"/>
      <c r="G2188" s="180" t="n"/>
      <c r="H2188" s="181">
        <f>IF(OR(F2188="",G2188=""),"",ROUND(MOD(G2188-F2188,1)*24,2))</f>
        <v/>
      </c>
      <c r="K2188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89" ht="20" customHeight="1">
      <c r="D2189" s="179" t="n"/>
      <c r="E2189" s="179" t="n"/>
      <c r="F2189" s="180" t="n"/>
      <c r="G2189" s="180" t="n"/>
      <c r="H2189" s="181">
        <f>IF(OR(F2189="",G2189=""),"",ROUND(MOD(G2189-F2189,1)*24,2))</f>
        <v/>
      </c>
      <c r="K2189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90" collapsed="1" ht="20" customHeight="1">
      <c r="D2190" s="179" t="n"/>
      <c r="E2190" s="179" t="n"/>
      <c r="F2190" s="180" t="n"/>
      <c r="G2190" s="180" t="n"/>
      <c r="H2190" s="181">
        <f>IF(OR(F2190="",G2190=""),"",ROUND(MOD(G2190-F2190,1)*24,2))</f>
        <v/>
      </c>
      <c r="K2190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91" hidden="1" outlineLevel="1" ht="20" customHeight="1">
      <c r="D2191" s="179" t="n"/>
      <c r="E2191" s="179" t="n"/>
      <c r="F2191" s="180" t="n"/>
      <c r="G2191" s="180" t="n"/>
      <c r="H2191" s="181">
        <f>IF(OR(F2191="",G2191=""),"",ROUND(MOD(G2191-F2191,1)*24,2))</f>
        <v/>
      </c>
      <c r="K2191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92" hidden="1" outlineLevel="1" ht="20" customHeight="1">
      <c r="D2192" s="179" t="n"/>
      <c r="E2192" s="179" t="n"/>
      <c r="F2192" s="180" t="n"/>
      <c r="G2192" s="180" t="n"/>
      <c r="H2192" s="181">
        <f>IF(OR(F2192="",G2192=""),"",ROUND(MOD(G2192-F2192,1)*24,2))</f>
        <v/>
      </c>
      <c r="K2192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93" hidden="1" outlineLevel="1" ht="20" customHeight="1">
      <c r="D2193" s="179" t="n"/>
      <c r="E2193" s="179" t="n"/>
      <c r="F2193" s="180" t="n"/>
      <c r="G2193" s="180" t="n"/>
      <c r="H2193" s="181">
        <f>IF(OR(F2193="",G2193=""),"",ROUND(MOD(G2193-F2193,1)*24,2))</f>
        <v/>
      </c>
      <c r="K2193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94" hidden="1" outlineLevel="1" ht="20" customHeight="1">
      <c r="D2194" s="179" t="n"/>
      <c r="E2194" s="179" t="n"/>
      <c r="F2194" s="180" t="n"/>
      <c r="G2194" s="180" t="n"/>
      <c r="H2194" s="181">
        <f>IF(OR(F2194="",G2194=""),"",ROUND(MOD(G2194-F2194,1)*24,2))</f>
        <v/>
      </c>
      <c r="K2194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95" hidden="1" outlineLevel="1" ht="20" customHeight="1">
      <c r="A2195" s="342" t="n"/>
      <c r="B2195" s="342" t="n"/>
      <c r="C2195" s="342" t="n"/>
      <c r="D2195" s="332" t="n"/>
      <c r="E2195" s="332" t="n"/>
      <c r="F2195" s="333" t="n"/>
      <c r="G2195" s="333" t="n"/>
      <c r="H2195" s="334">
        <f>IF(OR(F2195="",G2195=""),"",ROUND(MOD(G2195-F2195,1)*24,2))</f>
        <v/>
      </c>
      <c r="I2195" s="342" t="n"/>
      <c r="J2195" s="342" t="n"/>
      <c r="K2195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196" ht="20" customHeight="1">
      <c r="A2196" s="336">
        <f>IF($K2196="","",WEEKNUM($K2196,21))</f>
        <v/>
      </c>
      <c r="B2196" s="337">
        <f>IF($K2196="","",$K2196)</f>
        <v/>
      </c>
      <c r="C2196" s="338">
        <f>IF($K2196="","",$K2196)</f>
        <v/>
      </c>
      <c r="D2196" s="171" t="n"/>
      <c r="E2196" s="171" t="n"/>
      <c r="F2196" s="172" t="n"/>
      <c r="G2196" s="172" t="n"/>
      <c r="H2196" s="173">
        <f>IF(OR(F2196="",G2196=""),"",ROUND(MOD(G2196-F2196,1)*24,2))</f>
        <v/>
      </c>
      <c r="I2196" s="339" t="n"/>
      <c r="J2196" s="339" t="n"/>
      <c r="K2196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197" ht="20" customHeight="1">
      <c r="D2197" s="179" t="n"/>
      <c r="E2197" s="179" t="n"/>
      <c r="F2197" s="180" t="n"/>
      <c r="G2197" s="180" t="n"/>
      <c r="H2197" s="181">
        <f>IF(OR(F2197="",G2197=""),"",ROUND(MOD(G2197-F2197,1)*24,2))</f>
        <v/>
      </c>
      <c r="K2197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198" ht="20" customHeight="1">
      <c r="D2198" s="179" t="n"/>
      <c r="E2198" s="179" t="n"/>
      <c r="F2198" s="180" t="n"/>
      <c r="G2198" s="180" t="n"/>
      <c r="H2198" s="181">
        <f>IF(OR(F2198="",G2198=""),"",ROUND(MOD(G2198-F2198,1)*24,2))</f>
        <v/>
      </c>
      <c r="K2198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199" ht="20" customHeight="1">
      <c r="D2199" s="179" t="n"/>
      <c r="E2199" s="179" t="n"/>
      <c r="F2199" s="180" t="n"/>
      <c r="G2199" s="180" t="n"/>
      <c r="H2199" s="181">
        <f>IF(OR(F2199="",G2199=""),"",ROUND(MOD(G2199-F2199,1)*24,2))</f>
        <v/>
      </c>
      <c r="K2199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200" collapsed="1" ht="20" customHeight="1">
      <c r="D2200" s="179" t="n"/>
      <c r="E2200" s="179" t="n"/>
      <c r="F2200" s="180" t="n"/>
      <c r="G2200" s="180" t="n"/>
      <c r="H2200" s="181">
        <f>IF(OR(F2200="",G2200=""),"",ROUND(MOD(G2200-F2200,1)*24,2))</f>
        <v/>
      </c>
      <c r="K2200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201" hidden="1" outlineLevel="1" ht="20" customHeight="1">
      <c r="D2201" s="179" t="n"/>
      <c r="E2201" s="179" t="n"/>
      <c r="F2201" s="180" t="n"/>
      <c r="G2201" s="180" t="n"/>
      <c r="H2201" s="181">
        <f>IF(OR(F2201="",G2201=""),"",ROUND(MOD(G2201-F2201,1)*24,2))</f>
        <v/>
      </c>
      <c r="K2201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202" hidden="1" outlineLevel="1" ht="20" customHeight="1">
      <c r="D2202" s="179" t="n"/>
      <c r="E2202" s="179" t="n"/>
      <c r="F2202" s="180" t="n"/>
      <c r="G2202" s="180" t="n"/>
      <c r="H2202" s="181">
        <f>IF(OR(F2202="",G2202=""),"",ROUND(MOD(G2202-F2202,1)*24,2))</f>
        <v/>
      </c>
      <c r="K2202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203" hidden="1" outlineLevel="1" ht="20" customHeight="1">
      <c r="D2203" s="179" t="n"/>
      <c r="E2203" s="179" t="n"/>
      <c r="F2203" s="180" t="n"/>
      <c r="G2203" s="180" t="n"/>
      <c r="H2203" s="181">
        <f>IF(OR(F2203="",G2203=""),"",ROUND(MOD(G2203-F2203,1)*24,2))</f>
        <v/>
      </c>
      <c r="K2203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204" hidden="1" outlineLevel="1" ht="20" customHeight="1">
      <c r="D2204" s="179" t="n"/>
      <c r="E2204" s="179" t="n"/>
      <c r="F2204" s="180" t="n"/>
      <c r="G2204" s="180" t="n"/>
      <c r="H2204" s="181">
        <f>IF(OR(F2204="",G2204=""),"",ROUND(MOD(G2204-F2204,1)*24,2))</f>
        <v/>
      </c>
      <c r="K2204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205" hidden="1" outlineLevel="1" ht="20" customHeight="1">
      <c r="A2205" s="342" t="n"/>
      <c r="B2205" s="342" t="n"/>
      <c r="C2205" s="342" t="n"/>
      <c r="D2205" s="332" t="n"/>
      <c r="E2205" s="332" t="n"/>
      <c r="F2205" s="333" t="n"/>
      <c r="G2205" s="333" t="n"/>
      <c r="H2205" s="334">
        <f>IF(OR(F2205="",G2205=""),"",ROUND(MOD(G2205-F2205,1)*24,2))</f>
        <v/>
      </c>
      <c r="I2205" s="342" t="n"/>
      <c r="J2205" s="342" t="n"/>
      <c r="K2205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206" ht="20" customHeight="1">
      <c r="A2206" s="336">
        <f>IF($K2206="","",WEEKNUM($K2206,21))</f>
        <v/>
      </c>
      <c r="B2206" s="337">
        <f>IF($K2206="","",$K2206)</f>
        <v/>
      </c>
      <c r="C2206" s="338">
        <f>IF($K2206="","",$K2206)</f>
        <v/>
      </c>
      <c r="D2206" s="171" t="n"/>
      <c r="E2206" s="171" t="n"/>
      <c r="F2206" s="172" t="n"/>
      <c r="G2206" s="172" t="n"/>
      <c r="H2206" s="173">
        <f>IF(OR(F2206="",G2206=""),"",ROUND(MOD(G2206-F2206,1)*24,2))</f>
        <v/>
      </c>
      <c r="I2206" s="339" t="n"/>
      <c r="J2206" s="339" t="n"/>
      <c r="K2206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07" ht="20" customHeight="1">
      <c r="D2207" s="179" t="n"/>
      <c r="E2207" s="179" t="n"/>
      <c r="F2207" s="180" t="n"/>
      <c r="G2207" s="180" t="n"/>
      <c r="H2207" s="181">
        <f>IF(OR(F2207="",G2207=""),"",ROUND(MOD(G2207-F2207,1)*24,2))</f>
        <v/>
      </c>
      <c r="K2207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08" ht="20" customHeight="1">
      <c r="D2208" s="179" t="n"/>
      <c r="E2208" s="179" t="n"/>
      <c r="F2208" s="180" t="n"/>
      <c r="G2208" s="180" t="n"/>
      <c r="H2208" s="181">
        <f>IF(OR(F2208="",G2208=""),"",ROUND(MOD(G2208-F2208,1)*24,2))</f>
        <v/>
      </c>
      <c r="K2208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09" ht="20" customHeight="1">
      <c r="D2209" s="179" t="n"/>
      <c r="E2209" s="179" t="n"/>
      <c r="F2209" s="180" t="n"/>
      <c r="G2209" s="180" t="n"/>
      <c r="H2209" s="181">
        <f>IF(OR(F2209="",G2209=""),"",ROUND(MOD(G2209-F2209,1)*24,2))</f>
        <v/>
      </c>
      <c r="K2209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10" collapsed="1" ht="20" customHeight="1">
      <c r="D2210" s="179" t="n"/>
      <c r="E2210" s="179" t="n"/>
      <c r="F2210" s="180" t="n"/>
      <c r="G2210" s="180" t="n"/>
      <c r="H2210" s="181">
        <f>IF(OR(F2210="",G2210=""),"",ROUND(MOD(G2210-F2210,1)*24,2))</f>
        <v/>
      </c>
      <c r="K2210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11" hidden="1" outlineLevel="1" ht="20" customHeight="1">
      <c r="D2211" s="179" t="n"/>
      <c r="E2211" s="179" t="n"/>
      <c r="F2211" s="180" t="n"/>
      <c r="G2211" s="180" t="n"/>
      <c r="H2211" s="181">
        <f>IF(OR(F2211="",G2211=""),"",ROUND(MOD(G2211-F2211,1)*24,2))</f>
        <v/>
      </c>
      <c r="K2211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12" hidden="1" outlineLevel="1" ht="20" customHeight="1">
      <c r="D2212" s="179" t="n"/>
      <c r="E2212" s="179" t="n"/>
      <c r="F2212" s="180" t="n"/>
      <c r="G2212" s="180" t="n"/>
      <c r="H2212" s="181">
        <f>IF(OR(F2212="",G2212=""),"",ROUND(MOD(G2212-F2212,1)*24,2))</f>
        <v/>
      </c>
      <c r="K2212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13" hidden="1" outlineLevel="1" ht="20" customHeight="1">
      <c r="D2213" s="179" t="n"/>
      <c r="E2213" s="179" t="n"/>
      <c r="F2213" s="180" t="n"/>
      <c r="G2213" s="180" t="n"/>
      <c r="H2213" s="181">
        <f>IF(OR(F2213="",G2213=""),"",ROUND(MOD(G2213-F2213,1)*24,2))</f>
        <v/>
      </c>
      <c r="K2213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14" hidden="1" outlineLevel="1" ht="20" customHeight="1">
      <c r="D2214" s="179" t="n"/>
      <c r="E2214" s="179" t="n"/>
      <c r="F2214" s="180" t="n"/>
      <c r="G2214" s="180" t="n"/>
      <c r="H2214" s="181">
        <f>IF(OR(F2214="",G2214=""),"",ROUND(MOD(G2214-F2214,1)*24,2))</f>
        <v/>
      </c>
      <c r="K2214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15" hidden="1" outlineLevel="1" ht="20" customHeight="1">
      <c r="A2215" s="342" t="n"/>
      <c r="B2215" s="342" t="n"/>
      <c r="C2215" s="342" t="n"/>
      <c r="D2215" s="332" t="n"/>
      <c r="E2215" s="332" t="n"/>
      <c r="F2215" s="333" t="n"/>
      <c r="G2215" s="333" t="n"/>
      <c r="H2215" s="334">
        <f>IF(OR(F2215="",G2215=""),"",ROUND(MOD(G2215-F2215,1)*24,2))</f>
        <v/>
      </c>
      <c r="I2215" s="342" t="n"/>
      <c r="J2215" s="342" t="n"/>
      <c r="K2215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16" ht="20" customHeight="1">
      <c r="A2216" s="336">
        <f>IF($K2216="","",WEEKNUM($K2216,21))</f>
        <v/>
      </c>
      <c r="B2216" s="337">
        <f>IF($K2216="","",$K2216)</f>
        <v/>
      </c>
      <c r="C2216" s="338">
        <f>IF($K2216="","",$K2216)</f>
        <v/>
      </c>
      <c r="D2216" s="171" t="n"/>
      <c r="E2216" s="171" t="n"/>
      <c r="F2216" s="172" t="n"/>
      <c r="G2216" s="172" t="n"/>
      <c r="H2216" s="173">
        <f>IF(OR(F2216="",G2216=""),"",ROUND(MOD(G2216-F2216,1)*24,2))</f>
        <v/>
      </c>
      <c r="I2216" s="339" t="n"/>
      <c r="J2216" s="339" t="n"/>
      <c r="K2216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17" ht="20" customHeight="1">
      <c r="D2217" s="179" t="n"/>
      <c r="E2217" s="179" t="n"/>
      <c r="F2217" s="180" t="n"/>
      <c r="G2217" s="180" t="n"/>
      <c r="H2217" s="181">
        <f>IF(OR(F2217="",G2217=""),"",ROUND(MOD(G2217-F2217,1)*24,2))</f>
        <v/>
      </c>
      <c r="K2217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18" ht="20" customHeight="1">
      <c r="D2218" s="179" t="n"/>
      <c r="E2218" s="179" t="n"/>
      <c r="F2218" s="180" t="n"/>
      <c r="G2218" s="180" t="n"/>
      <c r="H2218" s="181">
        <f>IF(OR(F2218="",G2218=""),"",ROUND(MOD(G2218-F2218,1)*24,2))</f>
        <v/>
      </c>
      <c r="K2218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19" ht="20" customHeight="1">
      <c r="D2219" s="179" t="n"/>
      <c r="E2219" s="179" t="n"/>
      <c r="F2219" s="180" t="n"/>
      <c r="G2219" s="180" t="n"/>
      <c r="H2219" s="181">
        <f>IF(OR(F2219="",G2219=""),"",ROUND(MOD(G2219-F2219,1)*24,2))</f>
        <v/>
      </c>
      <c r="K2219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20" collapsed="1" ht="20" customHeight="1">
      <c r="D2220" s="179" t="n"/>
      <c r="E2220" s="179" t="n"/>
      <c r="F2220" s="180" t="n"/>
      <c r="G2220" s="180" t="n"/>
      <c r="H2220" s="181">
        <f>IF(OR(F2220="",G2220=""),"",ROUND(MOD(G2220-F2220,1)*24,2))</f>
        <v/>
      </c>
      <c r="K2220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21" hidden="1" outlineLevel="1" ht="20" customHeight="1">
      <c r="D2221" s="179" t="n"/>
      <c r="E2221" s="179" t="n"/>
      <c r="F2221" s="180" t="n"/>
      <c r="G2221" s="180" t="n"/>
      <c r="H2221" s="181">
        <f>IF(OR(F2221="",G2221=""),"",ROUND(MOD(G2221-F2221,1)*24,2))</f>
        <v/>
      </c>
      <c r="K2221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22" hidden="1" outlineLevel="1" ht="20" customHeight="1">
      <c r="D2222" s="179" t="n"/>
      <c r="E2222" s="179" t="n"/>
      <c r="F2222" s="180" t="n"/>
      <c r="G2222" s="180" t="n"/>
      <c r="H2222" s="181">
        <f>IF(OR(F2222="",G2222=""),"",ROUND(MOD(G2222-F2222,1)*24,2))</f>
        <v/>
      </c>
      <c r="K2222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23" hidden="1" outlineLevel="1" ht="20" customHeight="1">
      <c r="D2223" s="179" t="n"/>
      <c r="E2223" s="179" t="n"/>
      <c r="F2223" s="180" t="n"/>
      <c r="G2223" s="180" t="n"/>
      <c r="H2223" s="181">
        <f>IF(OR(F2223="",G2223=""),"",ROUND(MOD(G2223-F2223,1)*24,2))</f>
        <v/>
      </c>
      <c r="K2223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24" hidden="1" outlineLevel="1" ht="20" customHeight="1">
      <c r="D2224" s="179" t="n"/>
      <c r="E2224" s="179" t="n"/>
      <c r="F2224" s="180" t="n"/>
      <c r="G2224" s="180" t="n"/>
      <c r="H2224" s="181">
        <f>IF(OR(F2224="",G2224=""),"",ROUND(MOD(G2224-F2224,1)*24,2))</f>
        <v/>
      </c>
      <c r="K2224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25" hidden="1" outlineLevel="1" ht="20" customHeight="1">
      <c r="A2225" s="342" t="n"/>
      <c r="B2225" s="342" t="n"/>
      <c r="C2225" s="342" t="n"/>
      <c r="D2225" s="332" t="n"/>
      <c r="E2225" s="332" t="n"/>
      <c r="F2225" s="333" t="n"/>
      <c r="G2225" s="333" t="n"/>
      <c r="H2225" s="334">
        <f>IF(OR(F2225="",G2225=""),"",ROUND(MOD(G2225-F2225,1)*24,2))</f>
        <v/>
      </c>
      <c r="I2225" s="342" t="n"/>
      <c r="J2225" s="342" t="n"/>
      <c r="K2225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26" ht="20" customHeight="1">
      <c r="A2226" s="336">
        <f>IF($K2226="","",WEEKNUM($K2226,21))</f>
        <v/>
      </c>
      <c r="B2226" s="337">
        <f>IF($K2226="","",$K2226)</f>
        <v/>
      </c>
      <c r="C2226" s="338">
        <f>IF($K2226="","",$K2226)</f>
        <v/>
      </c>
      <c r="D2226" s="171" t="n"/>
      <c r="E2226" s="171" t="n"/>
      <c r="F2226" s="172" t="n"/>
      <c r="G2226" s="172" t="n"/>
      <c r="H2226" s="173">
        <f>IF(OR(F2226="",G2226=""),"",ROUND(MOD(G2226-F2226,1)*24,2))</f>
        <v/>
      </c>
      <c r="I2226" s="339" t="n"/>
      <c r="J2226" s="339" t="n"/>
      <c r="K2226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27" ht="20" customHeight="1">
      <c r="D2227" s="179" t="n"/>
      <c r="E2227" s="179" t="n"/>
      <c r="F2227" s="180" t="n"/>
      <c r="G2227" s="180" t="n"/>
      <c r="H2227" s="181">
        <f>IF(OR(F2227="",G2227=""),"",ROUND(MOD(G2227-F2227,1)*24,2))</f>
        <v/>
      </c>
      <c r="K2227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28" ht="20" customHeight="1">
      <c r="D2228" s="179" t="n"/>
      <c r="E2228" s="179" t="n"/>
      <c r="F2228" s="180" t="n"/>
      <c r="G2228" s="180" t="n"/>
      <c r="H2228" s="181">
        <f>IF(OR(F2228="",G2228=""),"",ROUND(MOD(G2228-F2228,1)*24,2))</f>
        <v/>
      </c>
      <c r="K2228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29" ht="20" customHeight="1">
      <c r="D2229" s="179" t="n"/>
      <c r="E2229" s="179" t="n"/>
      <c r="F2229" s="180" t="n"/>
      <c r="G2229" s="180" t="n"/>
      <c r="H2229" s="181">
        <f>IF(OR(F2229="",G2229=""),"",ROUND(MOD(G2229-F2229,1)*24,2))</f>
        <v/>
      </c>
      <c r="K2229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30" collapsed="1" ht="20" customHeight="1">
      <c r="D2230" s="179" t="n"/>
      <c r="E2230" s="179" t="n"/>
      <c r="F2230" s="180" t="n"/>
      <c r="G2230" s="180" t="n"/>
      <c r="H2230" s="181">
        <f>IF(OR(F2230="",G2230=""),"",ROUND(MOD(G2230-F2230,1)*24,2))</f>
        <v/>
      </c>
      <c r="K2230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31" hidden="1" outlineLevel="1" ht="20" customHeight="1">
      <c r="D2231" s="179" t="n"/>
      <c r="E2231" s="179" t="n"/>
      <c r="F2231" s="180" t="n"/>
      <c r="G2231" s="180" t="n"/>
      <c r="H2231" s="181">
        <f>IF(OR(F2231="",G2231=""),"",ROUND(MOD(G2231-F2231,1)*24,2))</f>
        <v/>
      </c>
      <c r="K2231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32" hidden="1" outlineLevel="1" ht="20" customHeight="1">
      <c r="D2232" s="179" t="n"/>
      <c r="E2232" s="179" t="n"/>
      <c r="F2232" s="180" t="n"/>
      <c r="G2232" s="180" t="n"/>
      <c r="H2232" s="181">
        <f>IF(OR(F2232="",G2232=""),"",ROUND(MOD(G2232-F2232,1)*24,2))</f>
        <v/>
      </c>
      <c r="K2232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33" hidden="1" outlineLevel="1" ht="20" customHeight="1">
      <c r="D2233" s="179" t="n"/>
      <c r="E2233" s="179" t="n"/>
      <c r="F2233" s="180" t="n"/>
      <c r="G2233" s="180" t="n"/>
      <c r="H2233" s="181">
        <f>IF(OR(F2233="",G2233=""),"",ROUND(MOD(G2233-F2233,1)*24,2))</f>
        <v/>
      </c>
      <c r="K2233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34" hidden="1" outlineLevel="1" ht="20" customHeight="1">
      <c r="D2234" s="179" t="n"/>
      <c r="E2234" s="179" t="n"/>
      <c r="F2234" s="180" t="n"/>
      <c r="G2234" s="180" t="n"/>
      <c r="H2234" s="181">
        <f>IF(OR(F2234="",G2234=""),"",ROUND(MOD(G2234-F2234,1)*24,2))</f>
        <v/>
      </c>
      <c r="K2234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35" hidden="1" outlineLevel="1" ht="20" customHeight="1">
      <c r="A2235" s="342" t="n"/>
      <c r="B2235" s="342" t="n"/>
      <c r="C2235" s="342" t="n"/>
      <c r="D2235" s="332" t="n"/>
      <c r="E2235" s="332" t="n"/>
      <c r="F2235" s="333" t="n"/>
      <c r="G2235" s="333" t="n"/>
      <c r="H2235" s="334">
        <f>IF(OR(F2235="",G2235=""),"",ROUND(MOD(G2235-F2235,1)*24,2))</f>
        <v/>
      </c>
      <c r="I2235" s="342" t="n"/>
      <c r="J2235" s="342" t="n"/>
      <c r="K2235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36" ht="20" customHeight="1">
      <c r="A2236" s="336">
        <f>IF($K2236="","",WEEKNUM($K2236,21))</f>
        <v/>
      </c>
      <c r="B2236" s="337">
        <f>IF($K2236="","",$K2236)</f>
        <v/>
      </c>
      <c r="C2236" s="338">
        <f>IF($K2236="","",$K2236)</f>
        <v/>
      </c>
      <c r="D2236" s="171" t="n"/>
      <c r="E2236" s="171" t="n"/>
      <c r="F2236" s="172" t="n"/>
      <c r="G2236" s="172" t="n"/>
      <c r="H2236" s="173">
        <f>IF(OR(F2236="",G2236=""),"",ROUND(MOD(G2236-F2236,1)*24,2))</f>
        <v/>
      </c>
      <c r="I2236" s="339" t="n"/>
      <c r="J2236" s="339" t="n"/>
      <c r="K2236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37" ht="20" customHeight="1">
      <c r="D2237" s="179" t="n"/>
      <c r="E2237" s="179" t="n"/>
      <c r="F2237" s="180" t="n"/>
      <c r="G2237" s="180" t="n"/>
      <c r="H2237" s="181">
        <f>IF(OR(F2237="",G2237=""),"",ROUND(MOD(G2237-F2237,1)*24,2))</f>
        <v/>
      </c>
      <c r="K2237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38" ht="20" customHeight="1">
      <c r="D2238" s="179" t="n"/>
      <c r="E2238" s="179" t="n"/>
      <c r="F2238" s="180" t="n"/>
      <c r="G2238" s="180" t="n"/>
      <c r="H2238" s="181">
        <f>IF(OR(F2238="",G2238=""),"",ROUND(MOD(G2238-F2238,1)*24,2))</f>
        <v/>
      </c>
      <c r="K2238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39" ht="20" customHeight="1">
      <c r="D2239" s="179" t="n"/>
      <c r="E2239" s="179" t="n"/>
      <c r="F2239" s="180" t="n"/>
      <c r="G2239" s="180" t="n"/>
      <c r="H2239" s="181">
        <f>IF(OR(F2239="",G2239=""),"",ROUND(MOD(G2239-F2239,1)*24,2))</f>
        <v/>
      </c>
      <c r="K2239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40" collapsed="1" ht="20" customHeight="1">
      <c r="D2240" s="179" t="n"/>
      <c r="E2240" s="179" t="n"/>
      <c r="F2240" s="180" t="n"/>
      <c r="G2240" s="180" t="n"/>
      <c r="H2240" s="181">
        <f>IF(OR(F2240="",G2240=""),"",ROUND(MOD(G2240-F2240,1)*24,2))</f>
        <v/>
      </c>
      <c r="K2240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41" hidden="1" outlineLevel="1" ht="20" customHeight="1">
      <c r="D2241" s="179" t="n"/>
      <c r="E2241" s="179" t="n"/>
      <c r="F2241" s="180" t="n"/>
      <c r="G2241" s="180" t="n"/>
      <c r="H2241" s="181">
        <f>IF(OR(F2241="",G2241=""),"",ROUND(MOD(G2241-F2241,1)*24,2))</f>
        <v/>
      </c>
      <c r="K2241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42" hidden="1" outlineLevel="1" ht="20" customHeight="1">
      <c r="D2242" s="179" t="n"/>
      <c r="E2242" s="179" t="n"/>
      <c r="F2242" s="180" t="n"/>
      <c r="G2242" s="180" t="n"/>
      <c r="H2242" s="181">
        <f>IF(OR(F2242="",G2242=""),"",ROUND(MOD(G2242-F2242,1)*24,2))</f>
        <v/>
      </c>
      <c r="K2242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43" hidden="1" outlineLevel="1" ht="20" customHeight="1">
      <c r="D2243" s="179" t="n"/>
      <c r="E2243" s="179" t="n"/>
      <c r="F2243" s="180" t="n"/>
      <c r="G2243" s="180" t="n"/>
      <c r="H2243" s="181">
        <f>IF(OR(F2243="",G2243=""),"",ROUND(MOD(G2243-F2243,1)*24,2))</f>
        <v/>
      </c>
      <c r="K2243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44" hidden="1" outlineLevel="1" ht="20" customHeight="1">
      <c r="D2244" s="179" t="n"/>
      <c r="E2244" s="179" t="n"/>
      <c r="F2244" s="180" t="n"/>
      <c r="G2244" s="180" t="n"/>
      <c r="H2244" s="181">
        <f>IF(OR(F2244="",G2244=""),"",ROUND(MOD(G2244-F2244,1)*24,2))</f>
        <v/>
      </c>
      <c r="K2244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45" hidden="1" outlineLevel="1" ht="20" customHeight="1">
      <c r="A2245" s="342" t="n"/>
      <c r="B2245" s="342" t="n"/>
      <c r="C2245" s="342" t="n"/>
      <c r="D2245" s="332" t="n"/>
      <c r="E2245" s="332" t="n"/>
      <c r="F2245" s="333" t="n"/>
      <c r="G2245" s="333" t="n"/>
      <c r="H2245" s="334">
        <f>IF(OR(F2245="",G2245=""),"",ROUND(MOD(G2245-F2245,1)*24,2))</f>
        <v/>
      </c>
      <c r="I2245" s="342" t="n"/>
      <c r="J2245" s="342" t="n"/>
      <c r="K2245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46" ht="20" customHeight="1">
      <c r="A2246" s="336">
        <f>IF($K2246="","",WEEKNUM($K2246,21))</f>
        <v/>
      </c>
      <c r="B2246" s="337">
        <f>IF($K2246="","",$K2246)</f>
        <v/>
      </c>
      <c r="C2246" s="338">
        <f>IF($K2246="","",$K2246)</f>
        <v/>
      </c>
      <c r="D2246" s="171" t="n"/>
      <c r="E2246" s="171" t="n"/>
      <c r="F2246" s="172" t="n"/>
      <c r="G2246" s="172" t="n"/>
      <c r="H2246" s="173">
        <f>IF(OR(F2246="",G2246=""),"",ROUND(MOD(G2246-F2246,1)*24,2))</f>
        <v/>
      </c>
      <c r="I2246" s="339" t="n"/>
      <c r="J2246" s="339" t="n"/>
      <c r="K2246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47" ht="20" customHeight="1">
      <c r="D2247" s="179" t="n"/>
      <c r="E2247" s="179" t="n"/>
      <c r="F2247" s="180" t="n"/>
      <c r="G2247" s="180" t="n"/>
      <c r="H2247" s="181">
        <f>IF(OR(F2247="",G2247=""),"",ROUND(MOD(G2247-F2247,1)*24,2))</f>
        <v/>
      </c>
      <c r="K2247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48" ht="20" customHeight="1">
      <c r="D2248" s="179" t="n"/>
      <c r="E2248" s="179" t="n"/>
      <c r="F2248" s="180" t="n"/>
      <c r="G2248" s="180" t="n"/>
      <c r="H2248" s="181">
        <f>IF(OR(F2248="",G2248=""),"",ROUND(MOD(G2248-F2248,1)*24,2))</f>
        <v/>
      </c>
      <c r="K2248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49" ht="20" customHeight="1">
      <c r="D2249" s="179" t="n"/>
      <c r="E2249" s="179" t="n"/>
      <c r="F2249" s="180" t="n"/>
      <c r="G2249" s="180" t="n"/>
      <c r="H2249" s="181">
        <f>IF(OR(F2249="",G2249=""),"",ROUND(MOD(G2249-F2249,1)*24,2))</f>
        <v/>
      </c>
      <c r="K2249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50" collapsed="1" ht="20" customHeight="1">
      <c r="D2250" s="179" t="n"/>
      <c r="E2250" s="179" t="n"/>
      <c r="F2250" s="180" t="n"/>
      <c r="G2250" s="180" t="n"/>
      <c r="H2250" s="181">
        <f>IF(OR(F2250="",G2250=""),"",ROUND(MOD(G2250-F2250,1)*24,2))</f>
        <v/>
      </c>
      <c r="K2250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51" hidden="1" outlineLevel="1" ht="20" customHeight="1">
      <c r="D2251" s="179" t="n"/>
      <c r="E2251" s="179" t="n"/>
      <c r="F2251" s="180" t="n"/>
      <c r="G2251" s="180" t="n"/>
      <c r="H2251" s="181">
        <f>IF(OR(F2251="",G2251=""),"",ROUND(MOD(G2251-F2251,1)*24,2))</f>
        <v/>
      </c>
      <c r="K2251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52" hidden="1" outlineLevel="1" ht="20" customHeight="1">
      <c r="D2252" s="179" t="n"/>
      <c r="E2252" s="179" t="n"/>
      <c r="F2252" s="180" t="n"/>
      <c r="G2252" s="180" t="n"/>
      <c r="H2252" s="181">
        <f>IF(OR(F2252="",G2252=""),"",ROUND(MOD(G2252-F2252,1)*24,2))</f>
        <v/>
      </c>
      <c r="K2252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53" hidden="1" outlineLevel="1" ht="20" customHeight="1">
      <c r="D2253" s="179" t="n"/>
      <c r="E2253" s="179" t="n"/>
      <c r="F2253" s="180" t="n"/>
      <c r="G2253" s="180" t="n"/>
      <c r="H2253" s="181">
        <f>IF(OR(F2253="",G2253=""),"",ROUND(MOD(G2253-F2253,1)*24,2))</f>
        <v/>
      </c>
      <c r="K2253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54" hidden="1" outlineLevel="1" ht="20" customHeight="1">
      <c r="D2254" s="179" t="n"/>
      <c r="E2254" s="179" t="n"/>
      <c r="F2254" s="180" t="n"/>
      <c r="G2254" s="180" t="n"/>
      <c r="H2254" s="181">
        <f>IF(OR(F2254="",G2254=""),"",ROUND(MOD(G2254-F2254,1)*24,2))</f>
        <v/>
      </c>
      <c r="K2254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55" hidden="1" outlineLevel="1" ht="20" customHeight="1">
      <c r="A2255" s="342" t="n"/>
      <c r="B2255" s="342" t="n"/>
      <c r="C2255" s="342" t="n"/>
      <c r="D2255" s="332" t="n"/>
      <c r="E2255" s="332" t="n"/>
      <c r="F2255" s="333" t="n"/>
      <c r="G2255" s="333" t="n"/>
      <c r="H2255" s="334">
        <f>IF(OR(F2255="",G2255=""),"",ROUND(MOD(G2255-F2255,1)*24,2))</f>
        <v/>
      </c>
      <c r="I2255" s="342" t="n"/>
      <c r="J2255" s="342" t="n"/>
      <c r="K2255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56" ht="20" customHeight="1">
      <c r="A2256" s="336">
        <f>IF($K2256="","",WEEKNUM($K2256,21))</f>
        <v/>
      </c>
      <c r="B2256" s="337">
        <f>IF($K2256="","",$K2256)</f>
        <v/>
      </c>
      <c r="C2256" s="338">
        <f>IF($K2256="","",$K2256)</f>
        <v/>
      </c>
      <c r="D2256" s="171" t="n"/>
      <c r="E2256" s="171" t="n"/>
      <c r="F2256" s="172" t="n"/>
      <c r="G2256" s="172" t="n"/>
      <c r="H2256" s="173">
        <f>IF(OR(F2256="",G2256=""),"",ROUND(MOD(G2256-F2256,1)*24,2))</f>
        <v/>
      </c>
      <c r="I2256" s="339" t="n"/>
      <c r="J2256" s="339" t="n"/>
      <c r="K2256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57" ht="20" customHeight="1">
      <c r="D2257" s="179" t="n"/>
      <c r="E2257" s="179" t="n"/>
      <c r="F2257" s="180" t="n"/>
      <c r="G2257" s="180" t="n"/>
      <c r="H2257" s="181">
        <f>IF(OR(F2257="",G2257=""),"",ROUND(MOD(G2257-F2257,1)*24,2))</f>
        <v/>
      </c>
      <c r="K2257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58" ht="20" customHeight="1">
      <c r="D2258" s="179" t="n"/>
      <c r="E2258" s="179" t="n"/>
      <c r="F2258" s="180" t="n"/>
      <c r="G2258" s="180" t="n"/>
      <c r="H2258" s="181">
        <f>IF(OR(F2258="",G2258=""),"",ROUND(MOD(G2258-F2258,1)*24,2))</f>
        <v/>
      </c>
      <c r="K2258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59" ht="20" customHeight="1">
      <c r="D2259" s="179" t="n"/>
      <c r="E2259" s="179" t="n"/>
      <c r="F2259" s="180" t="n"/>
      <c r="G2259" s="180" t="n"/>
      <c r="H2259" s="181">
        <f>IF(OR(F2259="",G2259=""),"",ROUND(MOD(G2259-F2259,1)*24,2))</f>
        <v/>
      </c>
      <c r="K2259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60" collapsed="1" ht="20" customHeight="1">
      <c r="D2260" s="179" t="n"/>
      <c r="E2260" s="179" t="n"/>
      <c r="F2260" s="180" t="n"/>
      <c r="G2260" s="180" t="n"/>
      <c r="H2260" s="181">
        <f>IF(OR(F2260="",G2260=""),"",ROUND(MOD(G2260-F2260,1)*24,2))</f>
        <v/>
      </c>
      <c r="K2260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61" hidden="1" outlineLevel="1" ht="20" customHeight="1">
      <c r="D2261" s="179" t="n"/>
      <c r="E2261" s="179" t="n"/>
      <c r="F2261" s="180" t="n"/>
      <c r="G2261" s="180" t="n"/>
      <c r="H2261" s="181">
        <f>IF(OR(F2261="",G2261=""),"",ROUND(MOD(G2261-F2261,1)*24,2))</f>
        <v/>
      </c>
      <c r="K2261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62" hidden="1" outlineLevel="1" ht="20" customHeight="1">
      <c r="D2262" s="179" t="n"/>
      <c r="E2262" s="179" t="n"/>
      <c r="F2262" s="180" t="n"/>
      <c r="G2262" s="180" t="n"/>
      <c r="H2262" s="181">
        <f>IF(OR(F2262="",G2262=""),"",ROUND(MOD(G2262-F2262,1)*24,2))</f>
        <v/>
      </c>
      <c r="K2262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63" hidden="1" outlineLevel="1" ht="20" customHeight="1">
      <c r="D2263" s="179" t="n"/>
      <c r="E2263" s="179" t="n"/>
      <c r="F2263" s="180" t="n"/>
      <c r="G2263" s="180" t="n"/>
      <c r="H2263" s="181">
        <f>IF(OR(F2263="",G2263=""),"",ROUND(MOD(G2263-F2263,1)*24,2))</f>
        <v/>
      </c>
      <c r="K2263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64" hidden="1" outlineLevel="1" ht="20" customHeight="1">
      <c r="D2264" s="179" t="n"/>
      <c r="E2264" s="179" t="n"/>
      <c r="F2264" s="180" t="n"/>
      <c r="G2264" s="180" t="n"/>
      <c r="H2264" s="181">
        <f>IF(OR(F2264="",G2264=""),"",ROUND(MOD(G2264-F2264,1)*24,2))</f>
        <v/>
      </c>
      <c r="K2264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65" hidden="1" outlineLevel="1" ht="20" customHeight="1">
      <c r="A2265" s="342" t="n"/>
      <c r="B2265" s="342" t="n"/>
      <c r="C2265" s="342" t="n"/>
      <c r="D2265" s="332" t="n"/>
      <c r="E2265" s="332" t="n"/>
      <c r="F2265" s="333" t="n"/>
      <c r="G2265" s="333" t="n"/>
      <c r="H2265" s="334">
        <f>IF(OR(F2265="",G2265=""),"",ROUND(MOD(G2265-F2265,1)*24,2))</f>
        <v/>
      </c>
      <c r="I2265" s="342" t="n"/>
      <c r="J2265" s="342" t="n"/>
      <c r="K2265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66" ht="20" customHeight="1">
      <c r="A2266" s="336">
        <f>IF($K2266="","",WEEKNUM($K2266,21))</f>
        <v/>
      </c>
      <c r="B2266" s="337">
        <f>IF($K2266="","",$K2266)</f>
        <v/>
      </c>
      <c r="C2266" s="338">
        <f>IF($K2266="","",$K2266)</f>
        <v/>
      </c>
      <c r="D2266" s="171" t="n"/>
      <c r="E2266" s="171" t="n"/>
      <c r="F2266" s="172" t="n"/>
      <c r="G2266" s="172" t="n"/>
      <c r="H2266" s="173">
        <f>IF(OR(F2266="",G2266=""),"",ROUND(MOD(G2266-F2266,1)*24,2))</f>
        <v/>
      </c>
      <c r="I2266" s="339" t="n"/>
      <c r="J2266" s="339" t="n"/>
      <c r="K2266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67" ht="20" customHeight="1">
      <c r="D2267" s="179" t="n"/>
      <c r="E2267" s="179" t="n"/>
      <c r="F2267" s="180" t="n"/>
      <c r="G2267" s="180" t="n"/>
      <c r="H2267" s="181">
        <f>IF(OR(F2267="",G2267=""),"",ROUND(MOD(G2267-F2267,1)*24,2))</f>
        <v/>
      </c>
      <c r="K2267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68" ht="20" customHeight="1">
      <c r="D2268" s="179" t="n"/>
      <c r="E2268" s="179" t="n"/>
      <c r="F2268" s="180" t="n"/>
      <c r="G2268" s="180" t="n"/>
      <c r="H2268" s="181">
        <f>IF(OR(F2268="",G2268=""),"",ROUND(MOD(G2268-F2268,1)*24,2))</f>
        <v/>
      </c>
      <c r="K2268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69" ht="20" customHeight="1">
      <c r="D2269" s="179" t="n"/>
      <c r="E2269" s="179" t="n"/>
      <c r="F2269" s="180" t="n"/>
      <c r="G2269" s="180" t="n"/>
      <c r="H2269" s="181">
        <f>IF(OR(F2269="",G2269=""),"",ROUND(MOD(G2269-F2269,1)*24,2))</f>
        <v/>
      </c>
      <c r="K2269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70" collapsed="1" ht="20" customHeight="1">
      <c r="D2270" s="179" t="n"/>
      <c r="E2270" s="179" t="n"/>
      <c r="F2270" s="180" t="n"/>
      <c r="G2270" s="180" t="n"/>
      <c r="H2270" s="181">
        <f>IF(OR(F2270="",G2270=""),"",ROUND(MOD(G2270-F2270,1)*24,2))</f>
        <v/>
      </c>
      <c r="K2270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71" hidden="1" outlineLevel="1" ht="20" customHeight="1">
      <c r="D2271" s="179" t="n"/>
      <c r="E2271" s="179" t="n"/>
      <c r="F2271" s="180" t="n"/>
      <c r="G2271" s="180" t="n"/>
      <c r="H2271" s="181">
        <f>IF(OR(F2271="",G2271=""),"",ROUND(MOD(G2271-F2271,1)*24,2))</f>
        <v/>
      </c>
      <c r="K2271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72" hidden="1" outlineLevel="1" ht="20" customHeight="1">
      <c r="D2272" s="179" t="n"/>
      <c r="E2272" s="179" t="n"/>
      <c r="F2272" s="180" t="n"/>
      <c r="G2272" s="180" t="n"/>
      <c r="H2272" s="181">
        <f>IF(OR(F2272="",G2272=""),"",ROUND(MOD(G2272-F2272,1)*24,2))</f>
        <v/>
      </c>
      <c r="K2272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73" hidden="1" outlineLevel="1" ht="20" customHeight="1">
      <c r="D2273" s="179" t="n"/>
      <c r="E2273" s="179" t="n"/>
      <c r="F2273" s="180" t="n"/>
      <c r="G2273" s="180" t="n"/>
      <c r="H2273" s="181">
        <f>IF(OR(F2273="",G2273=""),"",ROUND(MOD(G2273-F2273,1)*24,2))</f>
        <v/>
      </c>
      <c r="K2273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74" hidden="1" outlineLevel="1" ht="20" customHeight="1">
      <c r="D2274" s="179" t="n"/>
      <c r="E2274" s="179" t="n"/>
      <c r="F2274" s="180" t="n"/>
      <c r="G2274" s="180" t="n"/>
      <c r="H2274" s="181">
        <f>IF(OR(F2274="",G2274=""),"",ROUND(MOD(G2274-F2274,1)*24,2))</f>
        <v/>
      </c>
      <c r="K2274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75" hidden="1" outlineLevel="1" ht="20" customHeight="1">
      <c r="A2275" s="342" t="n"/>
      <c r="B2275" s="342" t="n"/>
      <c r="C2275" s="342" t="n"/>
      <c r="D2275" s="332" t="n"/>
      <c r="E2275" s="332" t="n"/>
      <c r="F2275" s="333" t="n"/>
      <c r="G2275" s="333" t="n"/>
      <c r="H2275" s="334">
        <f>IF(OR(F2275="",G2275=""),"",ROUND(MOD(G2275-F2275,1)*24,2))</f>
        <v/>
      </c>
      <c r="I2275" s="342" t="n"/>
      <c r="J2275" s="342" t="n"/>
      <c r="K2275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76" ht="20" customHeight="1">
      <c r="A2276" s="336">
        <f>IF($K2276="","",WEEKNUM($K2276,21))</f>
        <v/>
      </c>
      <c r="B2276" s="337">
        <f>IF($K2276="","",$K2276)</f>
        <v/>
      </c>
      <c r="C2276" s="338">
        <f>IF($K2276="","",$K2276)</f>
        <v/>
      </c>
      <c r="D2276" s="171" t="n"/>
      <c r="E2276" s="171" t="n"/>
      <c r="F2276" s="172" t="n"/>
      <c r="G2276" s="172" t="n"/>
      <c r="H2276" s="173">
        <f>IF(OR(F2276="",G2276=""),"",ROUND(MOD(G2276-F2276,1)*24,2))</f>
        <v/>
      </c>
      <c r="I2276" s="339" t="n"/>
      <c r="J2276" s="339" t="n"/>
      <c r="K2276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77" ht="20" customHeight="1">
      <c r="D2277" s="179" t="n"/>
      <c r="E2277" s="179" t="n"/>
      <c r="F2277" s="180" t="n"/>
      <c r="G2277" s="180" t="n"/>
      <c r="H2277" s="181">
        <f>IF(OR(F2277="",G2277=""),"",ROUND(MOD(G2277-F2277,1)*24,2))</f>
        <v/>
      </c>
      <c r="K2277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78" ht="20" customHeight="1">
      <c r="D2278" s="179" t="n"/>
      <c r="E2278" s="179" t="n"/>
      <c r="F2278" s="180" t="n"/>
      <c r="G2278" s="180" t="n"/>
      <c r="H2278" s="181">
        <f>IF(OR(F2278="",G2278=""),"",ROUND(MOD(G2278-F2278,1)*24,2))</f>
        <v/>
      </c>
      <c r="K2278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79" ht="20" customHeight="1">
      <c r="D2279" s="179" t="n"/>
      <c r="E2279" s="179" t="n"/>
      <c r="F2279" s="180" t="n"/>
      <c r="G2279" s="180" t="n"/>
      <c r="H2279" s="181">
        <f>IF(OR(F2279="",G2279=""),"",ROUND(MOD(G2279-F2279,1)*24,2))</f>
        <v/>
      </c>
      <c r="K2279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80" collapsed="1" ht="20" customHeight="1">
      <c r="D2280" s="179" t="n"/>
      <c r="E2280" s="179" t="n"/>
      <c r="F2280" s="180" t="n"/>
      <c r="G2280" s="180" t="n"/>
      <c r="H2280" s="181">
        <f>IF(OR(F2280="",G2280=""),"",ROUND(MOD(G2280-F2280,1)*24,2))</f>
        <v/>
      </c>
      <c r="K2280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81" hidden="1" outlineLevel="1" ht="20" customHeight="1">
      <c r="D2281" s="179" t="n"/>
      <c r="E2281" s="179" t="n"/>
      <c r="F2281" s="180" t="n"/>
      <c r="G2281" s="180" t="n"/>
      <c r="H2281" s="181">
        <f>IF(OR(F2281="",G2281=""),"",ROUND(MOD(G2281-F2281,1)*24,2))</f>
        <v/>
      </c>
      <c r="K2281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82" hidden="1" outlineLevel="1" ht="20" customHeight="1">
      <c r="D2282" s="179" t="n"/>
      <c r="E2282" s="179" t="n"/>
      <c r="F2282" s="180" t="n"/>
      <c r="G2282" s="180" t="n"/>
      <c r="H2282" s="181">
        <f>IF(OR(F2282="",G2282=""),"",ROUND(MOD(G2282-F2282,1)*24,2))</f>
        <v/>
      </c>
      <c r="K2282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83" hidden="1" outlineLevel="1" ht="20" customHeight="1">
      <c r="D2283" s="179" t="n"/>
      <c r="E2283" s="179" t="n"/>
      <c r="F2283" s="180" t="n"/>
      <c r="G2283" s="180" t="n"/>
      <c r="H2283" s="181">
        <f>IF(OR(F2283="",G2283=""),"",ROUND(MOD(G2283-F2283,1)*24,2))</f>
        <v/>
      </c>
      <c r="K2283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84" hidden="1" outlineLevel="1" ht="20" customHeight="1">
      <c r="D2284" s="179" t="n"/>
      <c r="E2284" s="179" t="n"/>
      <c r="F2284" s="180" t="n"/>
      <c r="G2284" s="180" t="n"/>
      <c r="H2284" s="181">
        <f>IF(OR(F2284="",G2284=""),"",ROUND(MOD(G2284-F2284,1)*24,2))</f>
        <v/>
      </c>
      <c r="K2284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85" hidden="1" outlineLevel="1" ht="20" customHeight="1">
      <c r="A2285" s="342" t="n"/>
      <c r="B2285" s="342" t="n"/>
      <c r="C2285" s="342" t="n"/>
      <c r="D2285" s="332" t="n"/>
      <c r="E2285" s="332" t="n"/>
      <c r="F2285" s="333" t="n"/>
      <c r="G2285" s="333" t="n"/>
      <c r="H2285" s="334">
        <f>IF(OR(F2285="",G2285=""),"",ROUND(MOD(G2285-F2285,1)*24,2))</f>
        <v/>
      </c>
      <c r="I2285" s="342" t="n"/>
      <c r="J2285" s="342" t="n"/>
      <c r="K2285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286" ht="20" customHeight="1">
      <c r="A2286" s="336">
        <f>IF($K2286="","",WEEKNUM($K2286,21))</f>
        <v/>
      </c>
      <c r="B2286" s="337">
        <f>IF($K2286="","",$K2286)</f>
        <v/>
      </c>
      <c r="C2286" s="338">
        <f>IF($K2286="","",$K2286)</f>
        <v/>
      </c>
      <c r="D2286" s="171" t="n"/>
      <c r="E2286" s="171" t="n"/>
      <c r="F2286" s="172" t="n"/>
      <c r="G2286" s="172" t="n"/>
      <c r="H2286" s="173">
        <f>IF(OR(F2286="",G2286=""),"",ROUND(MOD(G2286-F2286,1)*24,2))</f>
        <v/>
      </c>
      <c r="I2286" s="339" t="n"/>
      <c r="J2286" s="339" t="n"/>
      <c r="K2286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87" ht="20" customHeight="1">
      <c r="D2287" s="179" t="n"/>
      <c r="E2287" s="179" t="n"/>
      <c r="F2287" s="180" t="n"/>
      <c r="G2287" s="180" t="n"/>
      <c r="H2287" s="181">
        <f>IF(OR(F2287="",G2287=""),"",ROUND(MOD(G2287-F2287,1)*24,2))</f>
        <v/>
      </c>
      <c r="K2287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88" ht="20" customHeight="1">
      <c r="D2288" s="179" t="n"/>
      <c r="E2288" s="179" t="n"/>
      <c r="F2288" s="180" t="n"/>
      <c r="G2288" s="180" t="n"/>
      <c r="H2288" s="181">
        <f>IF(OR(F2288="",G2288=""),"",ROUND(MOD(G2288-F2288,1)*24,2))</f>
        <v/>
      </c>
      <c r="K2288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89" ht="20" customHeight="1">
      <c r="D2289" s="179" t="n"/>
      <c r="E2289" s="179" t="n"/>
      <c r="F2289" s="180" t="n"/>
      <c r="G2289" s="180" t="n"/>
      <c r="H2289" s="181">
        <f>IF(OR(F2289="",G2289=""),"",ROUND(MOD(G2289-F2289,1)*24,2))</f>
        <v/>
      </c>
      <c r="K2289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90" collapsed="1" ht="20" customHeight="1">
      <c r="D2290" s="179" t="n"/>
      <c r="E2290" s="179" t="n"/>
      <c r="F2290" s="180" t="n"/>
      <c r="G2290" s="180" t="n"/>
      <c r="H2290" s="181">
        <f>IF(OR(F2290="",G2290=""),"",ROUND(MOD(G2290-F2290,1)*24,2))</f>
        <v/>
      </c>
      <c r="K2290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91" hidden="1" outlineLevel="1" ht="20" customHeight="1">
      <c r="D2291" s="179" t="n"/>
      <c r="E2291" s="179" t="n"/>
      <c r="F2291" s="180" t="n"/>
      <c r="G2291" s="180" t="n"/>
      <c r="H2291" s="181">
        <f>IF(OR(F2291="",G2291=""),"",ROUND(MOD(G2291-F2291,1)*24,2))</f>
        <v/>
      </c>
      <c r="K2291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92" hidden="1" outlineLevel="1" ht="20" customHeight="1">
      <c r="D2292" s="179" t="n"/>
      <c r="E2292" s="179" t="n"/>
      <c r="F2292" s="180" t="n"/>
      <c r="G2292" s="180" t="n"/>
      <c r="H2292" s="181">
        <f>IF(OR(F2292="",G2292=""),"",ROUND(MOD(G2292-F2292,1)*24,2))</f>
        <v/>
      </c>
      <c r="K2292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93" hidden="1" outlineLevel="1" ht="20" customHeight="1">
      <c r="D2293" s="179" t="n"/>
      <c r="E2293" s="179" t="n"/>
      <c r="F2293" s="180" t="n"/>
      <c r="G2293" s="180" t="n"/>
      <c r="H2293" s="181">
        <f>IF(OR(F2293="",G2293=""),"",ROUND(MOD(G2293-F2293,1)*24,2))</f>
        <v/>
      </c>
      <c r="K2293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94" hidden="1" outlineLevel="1" ht="20" customHeight="1">
      <c r="D2294" s="179" t="n"/>
      <c r="E2294" s="179" t="n"/>
      <c r="F2294" s="180" t="n"/>
      <c r="G2294" s="180" t="n"/>
      <c r="H2294" s="181">
        <f>IF(OR(F2294="",G2294=""),"",ROUND(MOD(G2294-F2294,1)*24,2))</f>
        <v/>
      </c>
      <c r="K2294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95" hidden="1" outlineLevel="1" ht="20" customHeight="1">
      <c r="A2295" s="342" t="n"/>
      <c r="B2295" s="342" t="n"/>
      <c r="C2295" s="342" t="n"/>
      <c r="D2295" s="332" t="n"/>
      <c r="E2295" s="332" t="n"/>
      <c r="F2295" s="333" t="n"/>
      <c r="G2295" s="333" t="n"/>
      <c r="H2295" s="334">
        <f>IF(OR(F2295="",G2295=""),"",ROUND(MOD(G2295-F2295,1)*24,2))</f>
        <v/>
      </c>
      <c r="I2295" s="342" t="n"/>
      <c r="J2295" s="342" t="n"/>
      <c r="K2295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296" ht="20" customHeight="1">
      <c r="A2296" s="336">
        <f>IF($K2296="","",WEEKNUM($K2296,21))</f>
        <v/>
      </c>
      <c r="B2296" s="337">
        <f>IF($K2296="","",$K2296)</f>
        <v/>
      </c>
      <c r="C2296" s="338">
        <f>IF($K2296="","",$K2296)</f>
        <v/>
      </c>
      <c r="D2296" s="171" t="n"/>
      <c r="E2296" s="171" t="n"/>
      <c r="F2296" s="172" t="n"/>
      <c r="G2296" s="172" t="n"/>
      <c r="H2296" s="173">
        <f>IF(OR(F2296="",G2296=""),"",ROUND(MOD(G2296-F2296,1)*24,2))</f>
        <v/>
      </c>
      <c r="I2296" s="339" t="n"/>
      <c r="J2296" s="339" t="n"/>
      <c r="K2296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297" ht="20" customHeight="1">
      <c r="D2297" s="179" t="n"/>
      <c r="E2297" s="179" t="n"/>
      <c r="F2297" s="180" t="n"/>
      <c r="G2297" s="180" t="n"/>
      <c r="H2297" s="181">
        <f>IF(OR(F2297="",G2297=""),"",ROUND(MOD(G2297-F2297,1)*24,2))</f>
        <v/>
      </c>
      <c r="K2297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298" ht="20" customHeight="1">
      <c r="D2298" s="179" t="n"/>
      <c r="E2298" s="179" t="n"/>
      <c r="F2298" s="180" t="n"/>
      <c r="G2298" s="180" t="n"/>
      <c r="H2298" s="181">
        <f>IF(OR(F2298="",G2298=""),"",ROUND(MOD(G2298-F2298,1)*24,2))</f>
        <v/>
      </c>
      <c r="K2298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299" ht="20" customHeight="1">
      <c r="D2299" s="179" t="n"/>
      <c r="E2299" s="179" t="n"/>
      <c r="F2299" s="180" t="n"/>
      <c r="G2299" s="180" t="n"/>
      <c r="H2299" s="181">
        <f>IF(OR(F2299="",G2299=""),"",ROUND(MOD(G2299-F2299,1)*24,2))</f>
        <v/>
      </c>
      <c r="K2299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300" collapsed="1" ht="20" customHeight="1">
      <c r="D2300" s="179" t="n"/>
      <c r="E2300" s="179" t="n"/>
      <c r="F2300" s="180" t="n"/>
      <c r="G2300" s="180" t="n"/>
      <c r="H2300" s="181">
        <f>IF(OR(F2300="",G2300=""),"",ROUND(MOD(G2300-F2300,1)*24,2))</f>
        <v/>
      </c>
      <c r="K2300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301" hidden="1" outlineLevel="1" ht="20" customHeight="1">
      <c r="D2301" s="179" t="n"/>
      <c r="E2301" s="179" t="n"/>
      <c r="F2301" s="180" t="n"/>
      <c r="G2301" s="180" t="n"/>
      <c r="H2301" s="181">
        <f>IF(OR(F2301="",G2301=""),"",ROUND(MOD(G2301-F2301,1)*24,2))</f>
        <v/>
      </c>
      <c r="K2301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302" hidden="1" outlineLevel="1" ht="20" customHeight="1">
      <c r="D2302" s="179" t="n"/>
      <c r="E2302" s="179" t="n"/>
      <c r="F2302" s="180" t="n"/>
      <c r="G2302" s="180" t="n"/>
      <c r="H2302" s="181">
        <f>IF(OR(F2302="",G2302=""),"",ROUND(MOD(G2302-F2302,1)*24,2))</f>
        <v/>
      </c>
      <c r="K2302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303" hidden="1" outlineLevel="1" ht="20" customHeight="1">
      <c r="D2303" s="179" t="n"/>
      <c r="E2303" s="179" t="n"/>
      <c r="F2303" s="180" t="n"/>
      <c r="G2303" s="180" t="n"/>
      <c r="H2303" s="181">
        <f>IF(OR(F2303="",G2303=""),"",ROUND(MOD(G2303-F2303,1)*24,2))</f>
        <v/>
      </c>
      <c r="K2303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304" hidden="1" outlineLevel="1" ht="20" customHeight="1">
      <c r="D2304" s="179" t="n"/>
      <c r="E2304" s="179" t="n"/>
      <c r="F2304" s="180" t="n"/>
      <c r="G2304" s="180" t="n"/>
      <c r="H2304" s="181">
        <f>IF(OR(F2304="",G2304=""),"",ROUND(MOD(G2304-F2304,1)*24,2))</f>
        <v/>
      </c>
      <c r="K2304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305" hidden="1" outlineLevel="1" ht="20" customHeight="1">
      <c r="A2305" s="342" t="n"/>
      <c r="B2305" s="342" t="n"/>
      <c r="C2305" s="342" t="n"/>
      <c r="D2305" s="332" t="n"/>
      <c r="E2305" s="332" t="n"/>
      <c r="F2305" s="333" t="n"/>
      <c r="G2305" s="333" t="n"/>
      <c r="H2305" s="334">
        <f>IF(OR(F2305="",G2305=""),"",ROUND(MOD(G2305-F2305,1)*24,2))</f>
        <v/>
      </c>
      <c r="I2305" s="342" t="n"/>
      <c r="J2305" s="342" t="n"/>
      <c r="K2305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306" ht="20" customHeight="1">
      <c r="A2306" s="336">
        <f>IF($K2306="","",WEEKNUM($K2306,21))</f>
        <v/>
      </c>
      <c r="B2306" s="337">
        <f>IF($K2306="","",$K2306)</f>
        <v/>
      </c>
      <c r="C2306" s="338">
        <f>IF($K2306="","",$K2306)</f>
        <v/>
      </c>
      <c r="D2306" s="171" t="n"/>
      <c r="E2306" s="171" t="n"/>
      <c r="F2306" s="172" t="n"/>
      <c r="G2306" s="172" t="n"/>
      <c r="H2306" s="173">
        <f>IF(OR(F2306="",G2306=""),"",ROUND(MOD(G2306-F2306,1)*24,2))</f>
        <v/>
      </c>
      <c r="I2306" s="339" t="n"/>
      <c r="J2306" s="339" t="n"/>
      <c r="K2306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07" ht="20" customHeight="1">
      <c r="D2307" s="179" t="n"/>
      <c r="E2307" s="179" t="n"/>
      <c r="F2307" s="180" t="n"/>
      <c r="G2307" s="180" t="n"/>
      <c r="H2307" s="181">
        <f>IF(OR(F2307="",G2307=""),"",ROUND(MOD(G2307-F2307,1)*24,2))</f>
        <v/>
      </c>
      <c r="K2307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08" ht="20" customHeight="1">
      <c r="D2308" s="179" t="n"/>
      <c r="E2308" s="179" t="n"/>
      <c r="F2308" s="180" t="n"/>
      <c r="G2308" s="180" t="n"/>
      <c r="H2308" s="181">
        <f>IF(OR(F2308="",G2308=""),"",ROUND(MOD(G2308-F2308,1)*24,2))</f>
        <v/>
      </c>
      <c r="K2308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09" ht="20" customHeight="1">
      <c r="D2309" s="179" t="n"/>
      <c r="E2309" s="179" t="n"/>
      <c r="F2309" s="180" t="n"/>
      <c r="G2309" s="180" t="n"/>
      <c r="H2309" s="181">
        <f>IF(OR(F2309="",G2309=""),"",ROUND(MOD(G2309-F2309,1)*24,2))</f>
        <v/>
      </c>
      <c r="K2309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10" collapsed="1" ht="20" customHeight="1">
      <c r="D2310" s="179" t="n"/>
      <c r="E2310" s="179" t="n"/>
      <c r="F2310" s="180" t="n"/>
      <c r="G2310" s="180" t="n"/>
      <c r="H2310" s="181">
        <f>IF(OR(F2310="",G2310=""),"",ROUND(MOD(G2310-F2310,1)*24,2))</f>
        <v/>
      </c>
      <c r="K2310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11" hidden="1" outlineLevel="1" ht="20" customHeight="1">
      <c r="D2311" s="179" t="n"/>
      <c r="E2311" s="179" t="n"/>
      <c r="F2311" s="180" t="n"/>
      <c r="G2311" s="180" t="n"/>
      <c r="H2311" s="181">
        <f>IF(OR(F2311="",G2311=""),"",ROUND(MOD(G2311-F2311,1)*24,2))</f>
        <v/>
      </c>
      <c r="K2311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12" hidden="1" outlineLevel="1" ht="20" customHeight="1">
      <c r="D2312" s="179" t="n"/>
      <c r="E2312" s="179" t="n"/>
      <c r="F2312" s="180" t="n"/>
      <c r="G2312" s="180" t="n"/>
      <c r="H2312" s="181">
        <f>IF(OR(F2312="",G2312=""),"",ROUND(MOD(G2312-F2312,1)*24,2))</f>
        <v/>
      </c>
      <c r="K2312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13" hidden="1" outlineLevel="1" ht="20" customHeight="1">
      <c r="D2313" s="179" t="n"/>
      <c r="E2313" s="179" t="n"/>
      <c r="F2313" s="180" t="n"/>
      <c r="G2313" s="180" t="n"/>
      <c r="H2313" s="181">
        <f>IF(OR(F2313="",G2313=""),"",ROUND(MOD(G2313-F2313,1)*24,2))</f>
        <v/>
      </c>
      <c r="K2313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14" hidden="1" outlineLevel="1" ht="20" customHeight="1">
      <c r="D2314" s="179" t="n"/>
      <c r="E2314" s="179" t="n"/>
      <c r="F2314" s="180" t="n"/>
      <c r="G2314" s="180" t="n"/>
      <c r="H2314" s="181">
        <f>IF(OR(F2314="",G2314=""),"",ROUND(MOD(G2314-F2314,1)*24,2))</f>
        <v/>
      </c>
      <c r="K2314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15" hidden="1" outlineLevel="1" ht="20" customHeight="1">
      <c r="A2315" s="342" t="n"/>
      <c r="B2315" s="342" t="n"/>
      <c r="C2315" s="342" t="n"/>
      <c r="D2315" s="332" t="n"/>
      <c r="E2315" s="332" t="n"/>
      <c r="F2315" s="333" t="n"/>
      <c r="G2315" s="333" t="n"/>
      <c r="H2315" s="334">
        <f>IF(OR(F2315="",G2315=""),"",ROUND(MOD(G2315-F2315,1)*24,2))</f>
        <v/>
      </c>
      <c r="I2315" s="342" t="n"/>
      <c r="J2315" s="342" t="n"/>
      <c r="K2315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16" ht="20" customHeight="1">
      <c r="A2316" s="336">
        <f>IF($K2316="","",WEEKNUM($K2316,21))</f>
        <v/>
      </c>
      <c r="B2316" s="337">
        <f>IF($K2316="","",$K2316)</f>
        <v/>
      </c>
      <c r="C2316" s="338">
        <f>IF($K2316="","",$K2316)</f>
        <v/>
      </c>
      <c r="D2316" s="171" t="n"/>
      <c r="E2316" s="171" t="n"/>
      <c r="F2316" s="172" t="n"/>
      <c r="G2316" s="172" t="n"/>
      <c r="H2316" s="173">
        <f>IF(OR(F2316="",G2316=""),"",ROUND(MOD(G2316-F2316,1)*24,2))</f>
        <v/>
      </c>
      <c r="I2316" s="339" t="n"/>
      <c r="J2316" s="339" t="n"/>
      <c r="K2316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17" ht="20" customHeight="1">
      <c r="D2317" s="179" t="n"/>
      <c r="E2317" s="179" t="n"/>
      <c r="F2317" s="180" t="n"/>
      <c r="G2317" s="180" t="n"/>
      <c r="H2317" s="181">
        <f>IF(OR(F2317="",G2317=""),"",ROUND(MOD(G2317-F2317,1)*24,2))</f>
        <v/>
      </c>
      <c r="K2317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18" ht="20" customHeight="1">
      <c r="D2318" s="179" t="n"/>
      <c r="E2318" s="179" t="n"/>
      <c r="F2318" s="180" t="n"/>
      <c r="G2318" s="180" t="n"/>
      <c r="H2318" s="181">
        <f>IF(OR(F2318="",G2318=""),"",ROUND(MOD(G2318-F2318,1)*24,2))</f>
        <v/>
      </c>
      <c r="K2318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19" ht="20" customHeight="1">
      <c r="D2319" s="179" t="n"/>
      <c r="E2319" s="179" t="n"/>
      <c r="F2319" s="180" t="n"/>
      <c r="G2319" s="180" t="n"/>
      <c r="H2319" s="181">
        <f>IF(OR(F2319="",G2319=""),"",ROUND(MOD(G2319-F2319,1)*24,2))</f>
        <v/>
      </c>
      <c r="K2319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20" collapsed="1" ht="20" customHeight="1">
      <c r="D2320" s="179" t="n"/>
      <c r="E2320" s="179" t="n"/>
      <c r="F2320" s="180" t="n"/>
      <c r="G2320" s="180" t="n"/>
      <c r="H2320" s="181">
        <f>IF(OR(F2320="",G2320=""),"",ROUND(MOD(G2320-F2320,1)*24,2))</f>
        <v/>
      </c>
      <c r="K2320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21" hidden="1" outlineLevel="1" ht="20" customHeight="1">
      <c r="D2321" s="179" t="n"/>
      <c r="E2321" s="179" t="n"/>
      <c r="F2321" s="180" t="n"/>
      <c r="G2321" s="180" t="n"/>
      <c r="H2321" s="181">
        <f>IF(OR(F2321="",G2321=""),"",ROUND(MOD(G2321-F2321,1)*24,2))</f>
        <v/>
      </c>
      <c r="K2321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22" hidden="1" outlineLevel="1" ht="20" customHeight="1">
      <c r="D2322" s="179" t="n"/>
      <c r="E2322" s="179" t="n"/>
      <c r="F2322" s="180" t="n"/>
      <c r="G2322" s="180" t="n"/>
      <c r="H2322" s="181">
        <f>IF(OR(F2322="",G2322=""),"",ROUND(MOD(G2322-F2322,1)*24,2))</f>
        <v/>
      </c>
      <c r="K2322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23" hidden="1" outlineLevel="1" ht="20" customHeight="1">
      <c r="D2323" s="179" t="n"/>
      <c r="E2323" s="179" t="n"/>
      <c r="F2323" s="180" t="n"/>
      <c r="G2323" s="180" t="n"/>
      <c r="H2323" s="181">
        <f>IF(OR(F2323="",G2323=""),"",ROUND(MOD(G2323-F2323,1)*24,2))</f>
        <v/>
      </c>
      <c r="K2323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24" hidden="1" outlineLevel="1" ht="20" customHeight="1">
      <c r="D2324" s="179" t="n"/>
      <c r="E2324" s="179" t="n"/>
      <c r="F2324" s="180" t="n"/>
      <c r="G2324" s="180" t="n"/>
      <c r="H2324" s="181">
        <f>IF(OR(F2324="",G2324=""),"",ROUND(MOD(G2324-F2324,1)*24,2))</f>
        <v/>
      </c>
      <c r="K2324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25" hidden="1" outlineLevel="1" ht="20" customHeight="1">
      <c r="A2325" s="342" t="n"/>
      <c r="B2325" s="342" t="n"/>
      <c r="C2325" s="342" t="n"/>
      <c r="D2325" s="332" t="n"/>
      <c r="E2325" s="332" t="n"/>
      <c r="F2325" s="333" t="n"/>
      <c r="G2325" s="333" t="n"/>
      <c r="H2325" s="334">
        <f>IF(OR(F2325="",G2325=""),"",ROUND(MOD(G2325-F2325,1)*24,2))</f>
        <v/>
      </c>
      <c r="I2325" s="342" t="n"/>
      <c r="J2325" s="342" t="n"/>
      <c r="K2325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26" ht="20" customHeight="1">
      <c r="A2326" s="336">
        <f>IF($K2326="","",WEEKNUM($K2326,21))</f>
        <v/>
      </c>
      <c r="B2326" s="337">
        <f>IF($K2326="","",$K2326)</f>
        <v/>
      </c>
      <c r="C2326" s="338">
        <f>IF($K2326="","",$K2326)</f>
        <v/>
      </c>
      <c r="D2326" s="171" t="n"/>
      <c r="E2326" s="171" t="n"/>
      <c r="F2326" s="172" t="n"/>
      <c r="G2326" s="172" t="n"/>
      <c r="H2326" s="173">
        <f>IF(OR(F2326="",G2326=""),"",ROUND(MOD(G2326-F2326,1)*24,2))</f>
        <v/>
      </c>
      <c r="I2326" s="339" t="n"/>
      <c r="J2326" s="339" t="n"/>
      <c r="K2326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27" ht="20" customHeight="1">
      <c r="D2327" s="179" t="n"/>
      <c r="E2327" s="179" t="n"/>
      <c r="F2327" s="180" t="n"/>
      <c r="G2327" s="180" t="n"/>
      <c r="H2327" s="181">
        <f>IF(OR(F2327="",G2327=""),"",ROUND(MOD(G2327-F2327,1)*24,2))</f>
        <v/>
      </c>
      <c r="K2327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28" ht="20" customHeight="1">
      <c r="D2328" s="179" t="n"/>
      <c r="E2328" s="179" t="n"/>
      <c r="F2328" s="180" t="n"/>
      <c r="G2328" s="180" t="n"/>
      <c r="H2328" s="181">
        <f>IF(OR(F2328="",G2328=""),"",ROUND(MOD(G2328-F2328,1)*24,2))</f>
        <v/>
      </c>
      <c r="K2328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29" ht="20" customHeight="1">
      <c r="D2329" s="179" t="n"/>
      <c r="E2329" s="179" t="n"/>
      <c r="F2329" s="180" t="n"/>
      <c r="G2329" s="180" t="n"/>
      <c r="H2329" s="181">
        <f>IF(OR(F2329="",G2329=""),"",ROUND(MOD(G2329-F2329,1)*24,2))</f>
        <v/>
      </c>
      <c r="K2329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30" collapsed="1" ht="20" customHeight="1">
      <c r="D2330" s="179" t="n"/>
      <c r="E2330" s="179" t="n"/>
      <c r="F2330" s="180" t="n"/>
      <c r="G2330" s="180" t="n"/>
      <c r="H2330" s="181">
        <f>IF(OR(F2330="",G2330=""),"",ROUND(MOD(G2330-F2330,1)*24,2))</f>
        <v/>
      </c>
      <c r="K2330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31" hidden="1" outlineLevel="1" ht="20" customHeight="1">
      <c r="D2331" s="179" t="n"/>
      <c r="E2331" s="179" t="n"/>
      <c r="F2331" s="180" t="n"/>
      <c r="G2331" s="180" t="n"/>
      <c r="H2331" s="181">
        <f>IF(OR(F2331="",G2331=""),"",ROUND(MOD(G2331-F2331,1)*24,2))</f>
        <v/>
      </c>
      <c r="K2331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32" hidden="1" outlineLevel="1" ht="20" customHeight="1">
      <c r="D2332" s="179" t="n"/>
      <c r="E2332" s="179" t="n"/>
      <c r="F2332" s="180" t="n"/>
      <c r="G2332" s="180" t="n"/>
      <c r="H2332" s="181">
        <f>IF(OR(F2332="",G2332=""),"",ROUND(MOD(G2332-F2332,1)*24,2))</f>
        <v/>
      </c>
      <c r="K2332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33" hidden="1" outlineLevel="1" ht="20" customHeight="1">
      <c r="D2333" s="179" t="n"/>
      <c r="E2333" s="179" t="n"/>
      <c r="F2333" s="180" t="n"/>
      <c r="G2333" s="180" t="n"/>
      <c r="H2333" s="181">
        <f>IF(OR(F2333="",G2333=""),"",ROUND(MOD(G2333-F2333,1)*24,2))</f>
        <v/>
      </c>
      <c r="K2333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34" hidden="1" outlineLevel="1" ht="20" customHeight="1">
      <c r="D2334" s="179" t="n"/>
      <c r="E2334" s="179" t="n"/>
      <c r="F2334" s="180" t="n"/>
      <c r="G2334" s="180" t="n"/>
      <c r="H2334" s="181">
        <f>IF(OR(F2334="",G2334=""),"",ROUND(MOD(G2334-F2334,1)*24,2))</f>
        <v/>
      </c>
      <c r="K2334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35" hidden="1" outlineLevel="1" ht="20" customHeight="1">
      <c r="A2335" s="342" t="n"/>
      <c r="B2335" s="342" t="n"/>
      <c r="C2335" s="342" t="n"/>
      <c r="D2335" s="332" t="n"/>
      <c r="E2335" s="332" t="n"/>
      <c r="F2335" s="333" t="n"/>
      <c r="G2335" s="333" t="n"/>
      <c r="H2335" s="334">
        <f>IF(OR(F2335="",G2335=""),"",ROUND(MOD(G2335-F2335,1)*24,2))</f>
        <v/>
      </c>
      <c r="I2335" s="342" t="n"/>
      <c r="J2335" s="342" t="n"/>
      <c r="K2335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36" ht="20" customHeight="1">
      <c r="A2336" s="336">
        <f>IF($K2336="","",WEEKNUM($K2336,21))</f>
        <v/>
      </c>
      <c r="B2336" s="337">
        <f>IF($K2336="","",$K2336)</f>
        <v/>
      </c>
      <c r="C2336" s="338">
        <f>IF($K2336="","",$K2336)</f>
        <v/>
      </c>
      <c r="D2336" s="171" t="n"/>
      <c r="E2336" s="171" t="n"/>
      <c r="F2336" s="172" t="n"/>
      <c r="G2336" s="172" t="n"/>
      <c r="H2336" s="173">
        <f>IF(OR(F2336="",G2336=""),"",ROUND(MOD(G2336-F2336,1)*24,2))</f>
        <v/>
      </c>
      <c r="I2336" s="339" t="n"/>
      <c r="J2336" s="339" t="n"/>
      <c r="K2336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37" ht="20" customHeight="1">
      <c r="D2337" s="179" t="n"/>
      <c r="E2337" s="179" t="n"/>
      <c r="F2337" s="180" t="n"/>
      <c r="G2337" s="180" t="n"/>
      <c r="H2337" s="181">
        <f>IF(OR(F2337="",G2337=""),"",ROUND(MOD(G2337-F2337,1)*24,2))</f>
        <v/>
      </c>
      <c r="K2337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38" ht="20" customHeight="1">
      <c r="D2338" s="179" t="n"/>
      <c r="E2338" s="179" t="n"/>
      <c r="F2338" s="180" t="n"/>
      <c r="G2338" s="180" t="n"/>
      <c r="H2338" s="181">
        <f>IF(OR(F2338="",G2338=""),"",ROUND(MOD(G2338-F2338,1)*24,2))</f>
        <v/>
      </c>
      <c r="K2338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39" ht="20" customHeight="1">
      <c r="D2339" s="179" t="n"/>
      <c r="E2339" s="179" t="n"/>
      <c r="F2339" s="180" t="n"/>
      <c r="G2339" s="180" t="n"/>
      <c r="H2339" s="181">
        <f>IF(OR(F2339="",G2339=""),"",ROUND(MOD(G2339-F2339,1)*24,2))</f>
        <v/>
      </c>
      <c r="K2339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40" collapsed="1" ht="20" customHeight="1">
      <c r="D2340" s="179" t="n"/>
      <c r="E2340" s="179" t="n"/>
      <c r="F2340" s="180" t="n"/>
      <c r="G2340" s="180" t="n"/>
      <c r="H2340" s="181">
        <f>IF(OR(F2340="",G2340=""),"",ROUND(MOD(G2340-F2340,1)*24,2))</f>
        <v/>
      </c>
      <c r="K2340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41" hidden="1" outlineLevel="1" ht="20" customHeight="1">
      <c r="D2341" s="179" t="n"/>
      <c r="E2341" s="179" t="n"/>
      <c r="F2341" s="180" t="n"/>
      <c r="G2341" s="180" t="n"/>
      <c r="H2341" s="181">
        <f>IF(OR(F2341="",G2341=""),"",ROUND(MOD(G2341-F2341,1)*24,2))</f>
        <v/>
      </c>
      <c r="K2341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42" hidden="1" outlineLevel="1" ht="20" customHeight="1">
      <c r="D2342" s="179" t="n"/>
      <c r="E2342" s="179" t="n"/>
      <c r="F2342" s="180" t="n"/>
      <c r="G2342" s="180" t="n"/>
      <c r="H2342" s="181">
        <f>IF(OR(F2342="",G2342=""),"",ROUND(MOD(G2342-F2342,1)*24,2))</f>
        <v/>
      </c>
      <c r="K2342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43" hidden="1" outlineLevel="1" ht="20" customHeight="1">
      <c r="D2343" s="179" t="n"/>
      <c r="E2343" s="179" t="n"/>
      <c r="F2343" s="180" t="n"/>
      <c r="G2343" s="180" t="n"/>
      <c r="H2343" s="181">
        <f>IF(OR(F2343="",G2343=""),"",ROUND(MOD(G2343-F2343,1)*24,2))</f>
        <v/>
      </c>
      <c r="K2343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44" hidden="1" outlineLevel="1" ht="20" customHeight="1">
      <c r="D2344" s="179" t="n"/>
      <c r="E2344" s="179" t="n"/>
      <c r="F2344" s="180" t="n"/>
      <c r="G2344" s="180" t="n"/>
      <c r="H2344" s="181">
        <f>IF(OR(F2344="",G2344=""),"",ROUND(MOD(G2344-F2344,1)*24,2))</f>
        <v/>
      </c>
      <c r="K2344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45" hidden="1" outlineLevel="1" ht="20" customHeight="1">
      <c r="A2345" s="342" t="n"/>
      <c r="B2345" s="342" t="n"/>
      <c r="C2345" s="342" t="n"/>
      <c r="D2345" s="332" t="n"/>
      <c r="E2345" s="332" t="n"/>
      <c r="F2345" s="333" t="n"/>
      <c r="G2345" s="333" t="n"/>
      <c r="H2345" s="334">
        <f>IF(OR(F2345="",G2345=""),"",ROUND(MOD(G2345-F2345,1)*24,2))</f>
        <v/>
      </c>
      <c r="I2345" s="342" t="n"/>
      <c r="J2345" s="342" t="n"/>
      <c r="K2345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46" ht="20" customHeight="1">
      <c r="A2346" s="336">
        <f>IF($K2346="","",WEEKNUM($K2346,21))</f>
        <v/>
      </c>
      <c r="B2346" s="337">
        <f>IF($K2346="","",$K2346)</f>
        <v/>
      </c>
      <c r="C2346" s="338">
        <f>IF($K2346="","",$K2346)</f>
        <v/>
      </c>
      <c r="D2346" s="171" t="n"/>
      <c r="E2346" s="171" t="n"/>
      <c r="F2346" s="172" t="n"/>
      <c r="G2346" s="172" t="n"/>
      <c r="H2346" s="173">
        <f>IF(OR(F2346="",G2346=""),"",ROUND(MOD(G2346-F2346,1)*24,2))</f>
        <v/>
      </c>
      <c r="I2346" s="339" t="n"/>
      <c r="J2346" s="339" t="n"/>
      <c r="K2346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47" ht="20" customHeight="1">
      <c r="D2347" s="179" t="n"/>
      <c r="E2347" s="179" t="n"/>
      <c r="F2347" s="180" t="n"/>
      <c r="G2347" s="180" t="n"/>
      <c r="H2347" s="181">
        <f>IF(OR(F2347="",G2347=""),"",ROUND(MOD(G2347-F2347,1)*24,2))</f>
        <v/>
      </c>
      <c r="K2347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48" ht="20" customHeight="1">
      <c r="D2348" s="179" t="n"/>
      <c r="E2348" s="179" t="n"/>
      <c r="F2348" s="180" t="n"/>
      <c r="G2348" s="180" t="n"/>
      <c r="H2348" s="181">
        <f>IF(OR(F2348="",G2348=""),"",ROUND(MOD(G2348-F2348,1)*24,2))</f>
        <v/>
      </c>
      <c r="K2348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49" ht="20" customHeight="1">
      <c r="D2349" s="179" t="n"/>
      <c r="E2349" s="179" t="n"/>
      <c r="F2349" s="180" t="n"/>
      <c r="G2349" s="180" t="n"/>
      <c r="H2349" s="181">
        <f>IF(OR(F2349="",G2349=""),"",ROUND(MOD(G2349-F2349,1)*24,2))</f>
        <v/>
      </c>
      <c r="K2349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50" collapsed="1" ht="20" customHeight="1">
      <c r="D2350" s="179" t="n"/>
      <c r="E2350" s="179" t="n"/>
      <c r="F2350" s="180" t="n"/>
      <c r="G2350" s="180" t="n"/>
      <c r="H2350" s="181">
        <f>IF(OR(F2350="",G2350=""),"",ROUND(MOD(G2350-F2350,1)*24,2))</f>
        <v/>
      </c>
      <c r="K2350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51" hidden="1" outlineLevel="1" ht="20" customHeight="1">
      <c r="D2351" s="179" t="n"/>
      <c r="E2351" s="179" t="n"/>
      <c r="F2351" s="180" t="n"/>
      <c r="G2351" s="180" t="n"/>
      <c r="H2351" s="181">
        <f>IF(OR(F2351="",G2351=""),"",ROUND(MOD(G2351-F2351,1)*24,2))</f>
        <v/>
      </c>
      <c r="K2351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52" hidden="1" outlineLevel="1" ht="20" customHeight="1">
      <c r="D2352" s="179" t="n"/>
      <c r="E2352" s="179" t="n"/>
      <c r="F2352" s="180" t="n"/>
      <c r="G2352" s="180" t="n"/>
      <c r="H2352" s="181">
        <f>IF(OR(F2352="",G2352=""),"",ROUND(MOD(G2352-F2352,1)*24,2))</f>
        <v/>
      </c>
      <c r="K2352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53" hidden="1" outlineLevel="1" ht="20" customHeight="1">
      <c r="D2353" s="179" t="n"/>
      <c r="E2353" s="179" t="n"/>
      <c r="F2353" s="180" t="n"/>
      <c r="G2353" s="180" t="n"/>
      <c r="H2353" s="181">
        <f>IF(OR(F2353="",G2353=""),"",ROUND(MOD(G2353-F2353,1)*24,2))</f>
        <v/>
      </c>
      <c r="K2353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54" hidden="1" outlineLevel="1" ht="20" customHeight="1">
      <c r="D2354" s="179" t="n"/>
      <c r="E2354" s="179" t="n"/>
      <c r="F2354" s="180" t="n"/>
      <c r="G2354" s="180" t="n"/>
      <c r="H2354" s="181">
        <f>IF(OR(F2354="",G2354=""),"",ROUND(MOD(G2354-F2354,1)*24,2))</f>
        <v/>
      </c>
      <c r="K2354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55" hidden="1" outlineLevel="1" ht="20" customHeight="1">
      <c r="A2355" s="342" t="n"/>
      <c r="B2355" s="342" t="n"/>
      <c r="C2355" s="342" t="n"/>
      <c r="D2355" s="332" t="n"/>
      <c r="E2355" s="332" t="n"/>
      <c r="F2355" s="333" t="n"/>
      <c r="G2355" s="333" t="n"/>
      <c r="H2355" s="334">
        <f>IF(OR(F2355="",G2355=""),"",ROUND(MOD(G2355-F2355,1)*24,2))</f>
        <v/>
      </c>
      <c r="I2355" s="342" t="n"/>
      <c r="J2355" s="342" t="n"/>
      <c r="K2355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56" ht="20" customHeight="1">
      <c r="A2356" s="336">
        <f>IF($K2356="","",WEEKNUM($K2356,21))</f>
        <v/>
      </c>
      <c r="B2356" s="337">
        <f>IF($K2356="","",$K2356)</f>
        <v/>
      </c>
      <c r="C2356" s="338">
        <f>IF($K2356="","",$K2356)</f>
        <v/>
      </c>
      <c r="D2356" s="171" t="n"/>
      <c r="E2356" s="171" t="n"/>
      <c r="F2356" s="172" t="n"/>
      <c r="G2356" s="172" t="n"/>
      <c r="H2356" s="173">
        <f>IF(OR(F2356="",G2356=""),"",ROUND(MOD(G2356-F2356,1)*24,2))</f>
        <v/>
      </c>
      <c r="I2356" s="339" t="n"/>
      <c r="J2356" s="339" t="n"/>
      <c r="K2356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57" ht="20" customHeight="1">
      <c r="D2357" s="179" t="n"/>
      <c r="E2357" s="179" t="n"/>
      <c r="F2357" s="180" t="n"/>
      <c r="G2357" s="180" t="n"/>
      <c r="H2357" s="181">
        <f>IF(OR(F2357="",G2357=""),"",ROUND(MOD(G2357-F2357,1)*24,2))</f>
        <v/>
      </c>
      <c r="K2357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58" ht="20" customHeight="1">
      <c r="D2358" s="179" t="n"/>
      <c r="E2358" s="179" t="n"/>
      <c r="F2358" s="180" t="n"/>
      <c r="G2358" s="180" t="n"/>
      <c r="H2358" s="181">
        <f>IF(OR(F2358="",G2358=""),"",ROUND(MOD(G2358-F2358,1)*24,2))</f>
        <v/>
      </c>
      <c r="K2358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59" ht="20" customHeight="1">
      <c r="D2359" s="179" t="n"/>
      <c r="E2359" s="179" t="n"/>
      <c r="F2359" s="180" t="n"/>
      <c r="G2359" s="180" t="n"/>
      <c r="H2359" s="181">
        <f>IF(OR(F2359="",G2359=""),"",ROUND(MOD(G2359-F2359,1)*24,2))</f>
        <v/>
      </c>
      <c r="K2359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60" collapsed="1" ht="20" customHeight="1">
      <c r="D2360" s="179" t="n"/>
      <c r="E2360" s="179" t="n"/>
      <c r="F2360" s="180" t="n"/>
      <c r="G2360" s="180" t="n"/>
      <c r="H2360" s="181">
        <f>IF(OR(F2360="",G2360=""),"",ROUND(MOD(G2360-F2360,1)*24,2))</f>
        <v/>
      </c>
      <c r="K2360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61" hidden="1" outlineLevel="1" ht="20" customHeight="1">
      <c r="D2361" s="179" t="n"/>
      <c r="E2361" s="179" t="n"/>
      <c r="F2361" s="180" t="n"/>
      <c r="G2361" s="180" t="n"/>
      <c r="H2361" s="181">
        <f>IF(OR(F2361="",G2361=""),"",ROUND(MOD(G2361-F2361,1)*24,2))</f>
        <v/>
      </c>
      <c r="K2361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62" hidden="1" outlineLevel="1" ht="20" customHeight="1">
      <c r="D2362" s="179" t="n"/>
      <c r="E2362" s="179" t="n"/>
      <c r="F2362" s="180" t="n"/>
      <c r="G2362" s="180" t="n"/>
      <c r="H2362" s="181">
        <f>IF(OR(F2362="",G2362=""),"",ROUND(MOD(G2362-F2362,1)*24,2))</f>
        <v/>
      </c>
      <c r="K2362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63" hidden="1" outlineLevel="1" ht="20" customHeight="1">
      <c r="D2363" s="179" t="n"/>
      <c r="E2363" s="179" t="n"/>
      <c r="F2363" s="180" t="n"/>
      <c r="G2363" s="180" t="n"/>
      <c r="H2363" s="181">
        <f>IF(OR(F2363="",G2363=""),"",ROUND(MOD(G2363-F2363,1)*24,2))</f>
        <v/>
      </c>
      <c r="K2363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64" hidden="1" outlineLevel="1" ht="20" customHeight="1">
      <c r="D2364" s="179" t="n"/>
      <c r="E2364" s="179" t="n"/>
      <c r="F2364" s="180" t="n"/>
      <c r="G2364" s="180" t="n"/>
      <c r="H2364" s="181">
        <f>IF(OR(F2364="",G2364=""),"",ROUND(MOD(G2364-F2364,1)*24,2))</f>
        <v/>
      </c>
      <c r="K2364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65" hidden="1" outlineLevel="1" ht="20" customHeight="1">
      <c r="A2365" s="342" t="n"/>
      <c r="B2365" s="342" t="n"/>
      <c r="C2365" s="342" t="n"/>
      <c r="D2365" s="332" t="n"/>
      <c r="E2365" s="332" t="n"/>
      <c r="F2365" s="333" t="n"/>
      <c r="G2365" s="333" t="n"/>
      <c r="H2365" s="334">
        <f>IF(OR(F2365="",G2365=""),"",ROUND(MOD(G2365-F2365,1)*24,2))</f>
        <v/>
      </c>
      <c r="I2365" s="342" t="n"/>
      <c r="J2365" s="342" t="n"/>
      <c r="K2365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66" ht="20" customHeight="1">
      <c r="A2366" s="336">
        <f>IF($K2366="","",WEEKNUM($K2366,21))</f>
        <v/>
      </c>
      <c r="B2366" s="337">
        <f>IF($K2366="","",$K2366)</f>
        <v/>
      </c>
      <c r="C2366" s="338">
        <f>IF($K2366="","",$K2366)</f>
        <v/>
      </c>
      <c r="D2366" s="171" t="n"/>
      <c r="E2366" s="171" t="n"/>
      <c r="F2366" s="172" t="n"/>
      <c r="G2366" s="172" t="n"/>
      <c r="H2366" s="173">
        <f>IF(OR(F2366="",G2366=""),"",ROUND(MOD(G2366-F2366,1)*24,2))</f>
        <v/>
      </c>
      <c r="I2366" s="339" t="n"/>
      <c r="J2366" s="339" t="n"/>
      <c r="K2366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67" ht="20" customHeight="1">
      <c r="D2367" s="179" t="n"/>
      <c r="E2367" s="179" t="n"/>
      <c r="F2367" s="180" t="n"/>
      <c r="G2367" s="180" t="n"/>
      <c r="H2367" s="181">
        <f>IF(OR(F2367="",G2367=""),"",ROUND(MOD(G2367-F2367,1)*24,2))</f>
        <v/>
      </c>
      <c r="K2367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68" ht="20" customHeight="1">
      <c r="D2368" s="179" t="n"/>
      <c r="E2368" s="179" t="n"/>
      <c r="F2368" s="180" t="n"/>
      <c r="G2368" s="180" t="n"/>
      <c r="H2368" s="181">
        <f>IF(OR(F2368="",G2368=""),"",ROUND(MOD(G2368-F2368,1)*24,2))</f>
        <v/>
      </c>
      <c r="K2368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69" ht="20" customHeight="1">
      <c r="D2369" s="179" t="n"/>
      <c r="E2369" s="179" t="n"/>
      <c r="F2369" s="180" t="n"/>
      <c r="G2369" s="180" t="n"/>
      <c r="H2369" s="181">
        <f>IF(OR(F2369="",G2369=""),"",ROUND(MOD(G2369-F2369,1)*24,2))</f>
        <v/>
      </c>
      <c r="K2369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70" collapsed="1" ht="20" customHeight="1">
      <c r="D2370" s="179" t="n"/>
      <c r="E2370" s="179" t="n"/>
      <c r="F2370" s="180" t="n"/>
      <c r="G2370" s="180" t="n"/>
      <c r="H2370" s="181">
        <f>IF(OR(F2370="",G2370=""),"",ROUND(MOD(G2370-F2370,1)*24,2))</f>
        <v/>
      </c>
      <c r="K2370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71" hidden="1" outlineLevel="1" ht="20" customHeight="1">
      <c r="D2371" s="179" t="n"/>
      <c r="E2371" s="179" t="n"/>
      <c r="F2371" s="180" t="n"/>
      <c r="G2371" s="180" t="n"/>
      <c r="H2371" s="181">
        <f>IF(OR(F2371="",G2371=""),"",ROUND(MOD(G2371-F2371,1)*24,2))</f>
        <v/>
      </c>
      <c r="K2371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72" hidden="1" outlineLevel="1" ht="20" customHeight="1">
      <c r="D2372" s="179" t="n"/>
      <c r="E2372" s="179" t="n"/>
      <c r="F2372" s="180" t="n"/>
      <c r="G2372" s="180" t="n"/>
      <c r="H2372" s="181">
        <f>IF(OR(F2372="",G2372=""),"",ROUND(MOD(G2372-F2372,1)*24,2))</f>
        <v/>
      </c>
      <c r="K2372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73" hidden="1" outlineLevel="1" ht="20" customHeight="1">
      <c r="D2373" s="179" t="n"/>
      <c r="E2373" s="179" t="n"/>
      <c r="F2373" s="180" t="n"/>
      <c r="G2373" s="180" t="n"/>
      <c r="H2373" s="181">
        <f>IF(OR(F2373="",G2373=""),"",ROUND(MOD(G2373-F2373,1)*24,2))</f>
        <v/>
      </c>
      <c r="K2373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74" hidden="1" outlineLevel="1" ht="20" customHeight="1">
      <c r="D2374" s="179" t="n"/>
      <c r="E2374" s="179" t="n"/>
      <c r="F2374" s="180" t="n"/>
      <c r="G2374" s="180" t="n"/>
      <c r="H2374" s="181">
        <f>IF(OR(F2374="",G2374=""),"",ROUND(MOD(G2374-F2374,1)*24,2))</f>
        <v/>
      </c>
      <c r="K2374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75" hidden="1" outlineLevel="1" ht="20" customHeight="1">
      <c r="A2375" s="342" t="n"/>
      <c r="B2375" s="342" t="n"/>
      <c r="C2375" s="342" t="n"/>
      <c r="D2375" s="332" t="n"/>
      <c r="E2375" s="332" t="n"/>
      <c r="F2375" s="333" t="n"/>
      <c r="G2375" s="333" t="n"/>
      <c r="H2375" s="334">
        <f>IF(OR(F2375="",G2375=""),"",ROUND(MOD(G2375-F2375,1)*24,2))</f>
        <v/>
      </c>
      <c r="I2375" s="342" t="n"/>
      <c r="J2375" s="342" t="n"/>
      <c r="K2375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76" ht="20" customHeight="1">
      <c r="A2376" s="336">
        <f>IF($K2376="","",WEEKNUM($K2376,21))</f>
        <v/>
      </c>
      <c r="B2376" s="337">
        <f>IF($K2376="","",$K2376)</f>
        <v/>
      </c>
      <c r="C2376" s="338">
        <f>IF($K2376="","",$K2376)</f>
        <v/>
      </c>
      <c r="D2376" s="171" t="n"/>
      <c r="E2376" s="171" t="n"/>
      <c r="F2376" s="172" t="n"/>
      <c r="G2376" s="172" t="n"/>
      <c r="H2376" s="173">
        <f>IF(OR(F2376="",G2376=""),"",ROUND(MOD(G2376-F2376,1)*24,2))</f>
        <v/>
      </c>
      <c r="I2376" s="339" t="n"/>
      <c r="J2376" s="339" t="n"/>
      <c r="K2376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77" ht="20" customHeight="1">
      <c r="D2377" s="179" t="n"/>
      <c r="E2377" s="179" t="n"/>
      <c r="F2377" s="180" t="n"/>
      <c r="G2377" s="180" t="n"/>
      <c r="H2377" s="181">
        <f>IF(OR(F2377="",G2377=""),"",ROUND(MOD(G2377-F2377,1)*24,2))</f>
        <v/>
      </c>
      <c r="K2377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78" ht="20" customHeight="1">
      <c r="D2378" s="179" t="n"/>
      <c r="E2378" s="179" t="n"/>
      <c r="F2378" s="180" t="n"/>
      <c r="G2378" s="180" t="n"/>
      <c r="H2378" s="181">
        <f>IF(OR(F2378="",G2378=""),"",ROUND(MOD(G2378-F2378,1)*24,2))</f>
        <v/>
      </c>
      <c r="K2378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79" ht="20" customHeight="1">
      <c r="D2379" s="179" t="n"/>
      <c r="E2379" s="179" t="n"/>
      <c r="F2379" s="180" t="n"/>
      <c r="G2379" s="180" t="n"/>
      <c r="H2379" s="181">
        <f>IF(OR(F2379="",G2379=""),"",ROUND(MOD(G2379-F2379,1)*24,2))</f>
        <v/>
      </c>
      <c r="K2379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80" collapsed="1" ht="20" customHeight="1">
      <c r="D2380" s="179" t="n"/>
      <c r="E2380" s="179" t="n"/>
      <c r="F2380" s="180" t="n"/>
      <c r="G2380" s="180" t="n"/>
      <c r="H2380" s="181">
        <f>IF(OR(F2380="",G2380=""),"",ROUND(MOD(G2380-F2380,1)*24,2))</f>
        <v/>
      </c>
      <c r="K2380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81" hidden="1" outlineLevel="1" ht="20" customHeight="1">
      <c r="D2381" s="179" t="n"/>
      <c r="E2381" s="179" t="n"/>
      <c r="F2381" s="180" t="n"/>
      <c r="G2381" s="180" t="n"/>
      <c r="H2381" s="181">
        <f>IF(OR(F2381="",G2381=""),"",ROUND(MOD(G2381-F2381,1)*24,2))</f>
        <v/>
      </c>
      <c r="K2381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82" hidden="1" outlineLevel="1" ht="20" customHeight="1">
      <c r="D2382" s="179" t="n"/>
      <c r="E2382" s="179" t="n"/>
      <c r="F2382" s="180" t="n"/>
      <c r="G2382" s="180" t="n"/>
      <c r="H2382" s="181">
        <f>IF(OR(F2382="",G2382=""),"",ROUND(MOD(G2382-F2382,1)*24,2))</f>
        <v/>
      </c>
      <c r="K2382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83" hidden="1" outlineLevel="1" ht="20" customHeight="1">
      <c r="D2383" s="179" t="n"/>
      <c r="E2383" s="179" t="n"/>
      <c r="F2383" s="180" t="n"/>
      <c r="G2383" s="180" t="n"/>
      <c r="H2383" s="181">
        <f>IF(OR(F2383="",G2383=""),"",ROUND(MOD(G2383-F2383,1)*24,2))</f>
        <v/>
      </c>
      <c r="K2383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84" hidden="1" outlineLevel="1" ht="20" customHeight="1">
      <c r="D2384" s="179" t="n"/>
      <c r="E2384" s="179" t="n"/>
      <c r="F2384" s="180" t="n"/>
      <c r="G2384" s="180" t="n"/>
      <c r="H2384" s="181">
        <f>IF(OR(F2384="",G2384=""),"",ROUND(MOD(G2384-F2384,1)*24,2))</f>
        <v/>
      </c>
      <c r="K2384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85" hidden="1" outlineLevel="1" ht="20" customHeight="1">
      <c r="A2385" s="342" t="n"/>
      <c r="B2385" s="342" t="n"/>
      <c r="C2385" s="342" t="n"/>
      <c r="D2385" s="332" t="n"/>
      <c r="E2385" s="332" t="n"/>
      <c r="F2385" s="333" t="n"/>
      <c r="G2385" s="333" t="n"/>
      <c r="H2385" s="334">
        <f>IF(OR(F2385="",G2385=""),"",ROUND(MOD(G2385-F2385,1)*24,2))</f>
        <v/>
      </c>
      <c r="I2385" s="342" t="n"/>
      <c r="J2385" s="342" t="n"/>
      <c r="K2385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386" ht="20" customHeight="1">
      <c r="A2386" s="336">
        <f>IF($K2386="","",WEEKNUM($K2386,21))</f>
        <v/>
      </c>
      <c r="B2386" s="337">
        <f>IF($K2386="","",$K2386)</f>
        <v/>
      </c>
      <c r="C2386" s="338">
        <f>IF($K2386="","",$K2386)</f>
        <v/>
      </c>
      <c r="D2386" s="171" t="n"/>
      <c r="E2386" s="171" t="n"/>
      <c r="F2386" s="172" t="n"/>
      <c r="G2386" s="172" t="n"/>
      <c r="H2386" s="173">
        <f>IF(OR(F2386="",G2386=""),"",ROUND(MOD(G2386-F2386,1)*24,2))</f>
        <v/>
      </c>
      <c r="I2386" s="339" t="n"/>
      <c r="J2386" s="339" t="n"/>
      <c r="K2386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87" ht="20" customHeight="1">
      <c r="D2387" s="179" t="n"/>
      <c r="E2387" s="179" t="n"/>
      <c r="F2387" s="180" t="n"/>
      <c r="G2387" s="180" t="n"/>
      <c r="H2387" s="181">
        <f>IF(OR(F2387="",G2387=""),"",ROUND(MOD(G2387-F2387,1)*24,2))</f>
        <v/>
      </c>
      <c r="K2387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88" ht="20" customHeight="1">
      <c r="D2388" s="179" t="n"/>
      <c r="E2388" s="179" t="n"/>
      <c r="F2388" s="180" t="n"/>
      <c r="G2388" s="180" t="n"/>
      <c r="H2388" s="181">
        <f>IF(OR(F2388="",G2388=""),"",ROUND(MOD(G2388-F2388,1)*24,2))</f>
        <v/>
      </c>
      <c r="K2388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89" ht="20" customHeight="1">
      <c r="D2389" s="179" t="n"/>
      <c r="E2389" s="179" t="n"/>
      <c r="F2389" s="180" t="n"/>
      <c r="G2389" s="180" t="n"/>
      <c r="H2389" s="181">
        <f>IF(OR(F2389="",G2389=""),"",ROUND(MOD(G2389-F2389,1)*24,2))</f>
        <v/>
      </c>
      <c r="K2389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90" collapsed="1" ht="20" customHeight="1">
      <c r="D2390" s="179" t="n"/>
      <c r="E2390" s="179" t="n"/>
      <c r="F2390" s="180" t="n"/>
      <c r="G2390" s="180" t="n"/>
      <c r="H2390" s="181">
        <f>IF(OR(F2390="",G2390=""),"",ROUND(MOD(G2390-F2390,1)*24,2))</f>
        <v/>
      </c>
      <c r="K2390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91" hidden="1" outlineLevel="1" ht="20" customHeight="1">
      <c r="D2391" s="179" t="n"/>
      <c r="E2391" s="179" t="n"/>
      <c r="F2391" s="180" t="n"/>
      <c r="G2391" s="180" t="n"/>
      <c r="H2391" s="181">
        <f>IF(OR(F2391="",G2391=""),"",ROUND(MOD(G2391-F2391,1)*24,2))</f>
        <v/>
      </c>
      <c r="K2391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92" hidden="1" outlineLevel="1" ht="20" customHeight="1">
      <c r="D2392" s="179" t="n"/>
      <c r="E2392" s="179" t="n"/>
      <c r="F2392" s="180" t="n"/>
      <c r="G2392" s="180" t="n"/>
      <c r="H2392" s="181">
        <f>IF(OR(F2392="",G2392=""),"",ROUND(MOD(G2392-F2392,1)*24,2))</f>
        <v/>
      </c>
      <c r="K2392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93" hidden="1" outlineLevel="1" ht="20" customHeight="1">
      <c r="D2393" s="179" t="n"/>
      <c r="E2393" s="179" t="n"/>
      <c r="F2393" s="180" t="n"/>
      <c r="G2393" s="180" t="n"/>
      <c r="H2393" s="181">
        <f>IF(OR(F2393="",G2393=""),"",ROUND(MOD(G2393-F2393,1)*24,2))</f>
        <v/>
      </c>
      <c r="K2393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94" hidden="1" outlineLevel="1" ht="20" customHeight="1">
      <c r="D2394" s="179" t="n"/>
      <c r="E2394" s="179" t="n"/>
      <c r="F2394" s="180" t="n"/>
      <c r="G2394" s="180" t="n"/>
      <c r="H2394" s="181">
        <f>IF(OR(F2394="",G2394=""),"",ROUND(MOD(G2394-F2394,1)*24,2))</f>
        <v/>
      </c>
      <c r="K2394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95" hidden="1" outlineLevel="1" ht="20" customHeight="1">
      <c r="A2395" s="342" t="n"/>
      <c r="B2395" s="342" t="n"/>
      <c r="C2395" s="342" t="n"/>
      <c r="D2395" s="332" t="n"/>
      <c r="E2395" s="332" t="n"/>
      <c r="F2395" s="333" t="n"/>
      <c r="G2395" s="333" t="n"/>
      <c r="H2395" s="334">
        <f>IF(OR(F2395="",G2395=""),"",ROUND(MOD(G2395-F2395,1)*24,2))</f>
        <v/>
      </c>
      <c r="I2395" s="342" t="n"/>
      <c r="J2395" s="342" t="n"/>
      <c r="K2395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396" ht="20" customHeight="1">
      <c r="A2396" s="336">
        <f>IF($K2396="","",WEEKNUM($K2396,21))</f>
        <v/>
      </c>
      <c r="B2396" s="337">
        <f>IF($K2396="","",$K2396)</f>
        <v/>
      </c>
      <c r="C2396" s="338">
        <f>IF($K2396="","",$K2396)</f>
        <v/>
      </c>
      <c r="D2396" s="171" t="n"/>
      <c r="E2396" s="171" t="n"/>
      <c r="F2396" s="172" t="n"/>
      <c r="G2396" s="172" t="n"/>
      <c r="H2396" s="173">
        <f>IF(OR(F2396="",G2396=""),"",ROUND(MOD(G2396-F2396,1)*24,2))</f>
        <v/>
      </c>
      <c r="I2396" s="339" t="n"/>
      <c r="J2396" s="339" t="n"/>
      <c r="K2396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397" ht="20" customHeight="1">
      <c r="D2397" s="179" t="n"/>
      <c r="E2397" s="179" t="n"/>
      <c r="F2397" s="180" t="n"/>
      <c r="G2397" s="180" t="n"/>
      <c r="H2397" s="181">
        <f>IF(OR(F2397="",G2397=""),"",ROUND(MOD(G2397-F2397,1)*24,2))</f>
        <v/>
      </c>
      <c r="K2397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398" ht="20" customHeight="1">
      <c r="D2398" s="179" t="n"/>
      <c r="E2398" s="179" t="n"/>
      <c r="F2398" s="180" t="n"/>
      <c r="G2398" s="180" t="n"/>
      <c r="H2398" s="181">
        <f>IF(OR(F2398="",G2398=""),"",ROUND(MOD(G2398-F2398,1)*24,2))</f>
        <v/>
      </c>
      <c r="K2398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399" ht="20" customHeight="1">
      <c r="D2399" s="179" t="n"/>
      <c r="E2399" s="179" t="n"/>
      <c r="F2399" s="180" t="n"/>
      <c r="G2399" s="180" t="n"/>
      <c r="H2399" s="181">
        <f>IF(OR(F2399="",G2399=""),"",ROUND(MOD(G2399-F2399,1)*24,2))</f>
        <v/>
      </c>
      <c r="K2399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400" collapsed="1" ht="20" customHeight="1">
      <c r="D2400" s="179" t="n"/>
      <c r="E2400" s="179" t="n"/>
      <c r="F2400" s="180" t="n"/>
      <c r="G2400" s="180" t="n"/>
      <c r="H2400" s="181">
        <f>IF(OR(F2400="",G2400=""),"",ROUND(MOD(G2400-F2400,1)*24,2))</f>
        <v/>
      </c>
      <c r="K2400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401" hidden="1" outlineLevel="1" ht="20" customHeight="1">
      <c r="D2401" s="179" t="n"/>
      <c r="E2401" s="179" t="n"/>
      <c r="F2401" s="180" t="n"/>
      <c r="G2401" s="180" t="n"/>
      <c r="H2401" s="181">
        <f>IF(OR(F2401="",G2401=""),"",ROUND(MOD(G2401-F2401,1)*24,2))</f>
        <v/>
      </c>
      <c r="K2401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402" hidden="1" outlineLevel="1" ht="20" customHeight="1">
      <c r="D2402" s="179" t="n"/>
      <c r="E2402" s="179" t="n"/>
      <c r="F2402" s="180" t="n"/>
      <c r="G2402" s="180" t="n"/>
      <c r="H2402" s="181">
        <f>IF(OR(F2402="",G2402=""),"",ROUND(MOD(G2402-F2402,1)*24,2))</f>
        <v/>
      </c>
      <c r="K2402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403" hidden="1" outlineLevel="1" ht="20" customHeight="1">
      <c r="D2403" s="179" t="n"/>
      <c r="E2403" s="179" t="n"/>
      <c r="F2403" s="180" t="n"/>
      <c r="G2403" s="180" t="n"/>
      <c r="H2403" s="181">
        <f>IF(OR(F2403="",G2403=""),"",ROUND(MOD(G2403-F2403,1)*24,2))</f>
        <v/>
      </c>
      <c r="K2403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404" hidden="1" outlineLevel="1" ht="20" customHeight="1">
      <c r="D2404" s="179" t="n"/>
      <c r="E2404" s="179" t="n"/>
      <c r="F2404" s="180" t="n"/>
      <c r="G2404" s="180" t="n"/>
      <c r="H2404" s="181">
        <f>IF(OR(F2404="",G2404=""),"",ROUND(MOD(G2404-F2404,1)*24,2))</f>
        <v/>
      </c>
      <c r="K2404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405" hidden="1" outlineLevel="1" ht="20" customHeight="1">
      <c r="A2405" s="342" t="n"/>
      <c r="B2405" s="342" t="n"/>
      <c r="C2405" s="342" t="n"/>
      <c r="D2405" s="332" t="n"/>
      <c r="E2405" s="332" t="n"/>
      <c r="F2405" s="333" t="n"/>
      <c r="G2405" s="333" t="n"/>
      <c r="H2405" s="334">
        <f>IF(OR(F2405="",G2405=""),"",ROUND(MOD(G2405-F2405,1)*24,2))</f>
        <v/>
      </c>
      <c r="I2405" s="342" t="n"/>
      <c r="J2405" s="342" t="n"/>
      <c r="K2405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406" ht="20" customHeight="1">
      <c r="A2406" s="336">
        <f>IF($K2406="","",WEEKNUM($K2406,21))</f>
        <v/>
      </c>
      <c r="B2406" s="337">
        <f>IF($K2406="","",$K2406)</f>
        <v/>
      </c>
      <c r="C2406" s="338">
        <f>IF($K2406="","",$K2406)</f>
        <v/>
      </c>
      <c r="D2406" s="171" t="n"/>
      <c r="E2406" s="171" t="n"/>
      <c r="F2406" s="172" t="n"/>
      <c r="G2406" s="172" t="n"/>
      <c r="H2406" s="173">
        <f>IF(OR(F2406="",G2406=""),"",ROUND(MOD(G2406-F2406,1)*24,2))</f>
        <v/>
      </c>
      <c r="I2406" s="339" t="n"/>
      <c r="J2406" s="339" t="n"/>
      <c r="K2406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07" ht="20" customHeight="1">
      <c r="D2407" s="179" t="n"/>
      <c r="E2407" s="179" t="n"/>
      <c r="F2407" s="180" t="n"/>
      <c r="G2407" s="180" t="n"/>
      <c r="H2407" s="181">
        <f>IF(OR(F2407="",G2407=""),"",ROUND(MOD(G2407-F2407,1)*24,2))</f>
        <v/>
      </c>
      <c r="K2407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08" ht="20" customHeight="1">
      <c r="D2408" s="179" t="n"/>
      <c r="E2408" s="179" t="n"/>
      <c r="F2408" s="180" t="n"/>
      <c r="G2408" s="180" t="n"/>
      <c r="H2408" s="181">
        <f>IF(OR(F2408="",G2408=""),"",ROUND(MOD(G2408-F2408,1)*24,2))</f>
        <v/>
      </c>
      <c r="K2408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09" ht="20" customHeight="1">
      <c r="D2409" s="179" t="n"/>
      <c r="E2409" s="179" t="n"/>
      <c r="F2409" s="180" t="n"/>
      <c r="G2409" s="180" t="n"/>
      <c r="H2409" s="181">
        <f>IF(OR(F2409="",G2409=""),"",ROUND(MOD(G2409-F2409,1)*24,2))</f>
        <v/>
      </c>
      <c r="K2409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10" collapsed="1" ht="20" customHeight="1">
      <c r="D2410" s="179" t="n"/>
      <c r="E2410" s="179" t="n"/>
      <c r="F2410" s="180" t="n"/>
      <c r="G2410" s="180" t="n"/>
      <c r="H2410" s="181">
        <f>IF(OR(F2410="",G2410=""),"",ROUND(MOD(G2410-F2410,1)*24,2))</f>
        <v/>
      </c>
      <c r="K2410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11" hidden="1" outlineLevel="1" ht="20" customHeight="1">
      <c r="D2411" s="179" t="n"/>
      <c r="E2411" s="179" t="n"/>
      <c r="F2411" s="180" t="n"/>
      <c r="G2411" s="180" t="n"/>
      <c r="H2411" s="181">
        <f>IF(OR(F2411="",G2411=""),"",ROUND(MOD(G2411-F2411,1)*24,2))</f>
        <v/>
      </c>
      <c r="K2411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12" hidden="1" outlineLevel="1" ht="20" customHeight="1">
      <c r="D2412" s="179" t="n"/>
      <c r="E2412" s="179" t="n"/>
      <c r="F2412" s="180" t="n"/>
      <c r="G2412" s="180" t="n"/>
      <c r="H2412" s="181">
        <f>IF(OR(F2412="",G2412=""),"",ROUND(MOD(G2412-F2412,1)*24,2))</f>
        <v/>
      </c>
      <c r="K2412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13" hidden="1" outlineLevel="1" ht="20" customHeight="1">
      <c r="D2413" s="179" t="n"/>
      <c r="E2413" s="179" t="n"/>
      <c r="F2413" s="180" t="n"/>
      <c r="G2413" s="180" t="n"/>
      <c r="H2413" s="181">
        <f>IF(OR(F2413="",G2413=""),"",ROUND(MOD(G2413-F2413,1)*24,2))</f>
        <v/>
      </c>
      <c r="K2413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14" hidden="1" outlineLevel="1" ht="20" customHeight="1">
      <c r="D2414" s="179" t="n"/>
      <c r="E2414" s="179" t="n"/>
      <c r="F2414" s="180" t="n"/>
      <c r="G2414" s="180" t="n"/>
      <c r="H2414" s="181">
        <f>IF(OR(F2414="",G2414=""),"",ROUND(MOD(G2414-F2414,1)*24,2))</f>
        <v/>
      </c>
      <c r="K2414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15" hidden="1" outlineLevel="1" ht="20" customHeight="1">
      <c r="A2415" s="342" t="n"/>
      <c r="B2415" s="342" t="n"/>
      <c r="C2415" s="342" t="n"/>
      <c r="D2415" s="332" t="n"/>
      <c r="E2415" s="332" t="n"/>
      <c r="F2415" s="333" t="n"/>
      <c r="G2415" s="333" t="n"/>
      <c r="H2415" s="334">
        <f>IF(OR(F2415="",G2415=""),"",ROUND(MOD(G2415-F2415,1)*24,2))</f>
        <v/>
      </c>
      <c r="I2415" s="342" t="n"/>
      <c r="J2415" s="342" t="n"/>
      <c r="K2415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16" ht="20" customHeight="1">
      <c r="A2416" s="336">
        <f>IF($K2416="","",WEEKNUM($K2416,21))</f>
        <v/>
      </c>
      <c r="B2416" s="337">
        <f>IF($K2416="","",$K2416)</f>
        <v/>
      </c>
      <c r="C2416" s="338">
        <f>IF($K2416="","",$K2416)</f>
        <v/>
      </c>
      <c r="D2416" s="171" t="n"/>
      <c r="E2416" s="171" t="n"/>
      <c r="F2416" s="172" t="n"/>
      <c r="G2416" s="172" t="n"/>
      <c r="H2416" s="173">
        <f>IF(OR(F2416="",G2416=""),"",ROUND(MOD(G2416-F2416,1)*24,2))</f>
        <v/>
      </c>
      <c r="I2416" s="339" t="n"/>
      <c r="J2416" s="339" t="n"/>
      <c r="K2416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17" ht="20" customHeight="1">
      <c r="D2417" s="179" t="n"/>
      <c r="E2417" s="179" t="n"/>
      <c r="F2417" s="180" t="n"/>
      <c r="G2417" s="180" t="n"/>
      <c r="H2417" s="181">
        <f>IF(OR(F2417="",G2417=""),"",ROUND(MOD(G2417-F2417,1)*24,2))</f>
        <v/>
      </c>
      <c r="K2417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18" ht="20" customHeight="1">
      <c r="D2418" s="179" t="n"/>
      <c r="E2418" s="179" t="n"/>
      <c r="F2418" s="180" t="n"/>
      <c r="G2418" s="180" t="n"/>
      <c r="H2418" s="181">
        <f>IF(OR(F2418="",G2418=""),"",ROUND(MOD(G2418-F2418,1)*24,2))</f>
        <v/>
      </c>
      <c r="K2418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19" ht="20" customHeight="1">
      <c r="D2419" s="179" t="n"/>
      <c r="E2419" s="179" t="n"/>
      <c r="F2419" s="180" t="n"/>
      <c r="G2419" s="180" t="n"/>
      <c r="H2419" s="181">
        <f>IF(OR(F2419="",G2419=""),"",ROUND(MOD(G2419-F2419,1)*24,2))</f>
        <v/>
      </c>
      <c r="K2419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20" collapsed="1" ht="20" customHeight="1">
      <c r="D2420" s="179" t="n"/>
      <c r="E2420" s="179" t="n"/>
      <c r="F2420" s="180" t="n"/>
      <c r="G2420" s="180" t="n"/>
      <c r="H2420" s="181">
        <f>IF(OR(F2420="",G2420=""),"",ROUND(MOD(G2420-F2420,1)*24,2))</f>
        <v/>
      </c>
      <c r="K2420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21" hidden="1" outlineLevel="1" ht="20" customHeight="1">
      <c r="D2421" s="179" t="n"/>
      <c r="E2421" s="179" t="n"/>
      <c r="F2421" s="180" t="n"/>
      <c r="G2421" s="180" t="n"/>
      <c r="H2421" s="181">
        <f>IF(OR(F2421="",G2421=""),"",ROUND(MOD(G2421-F2421,1)*24,2))</f>
        <v/>
      </c>
      <c r="K2421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22" hidden="1" outlineLevel="1" ht="20" customHeight="1">
      <c r="D2422" s="179" t="n"/>
      <c r="E2422" s="179" t="n"/>
      <c r="F2422" s="180" t="n"/>
      <c r="G2422" s="180" t="n"/>
      <c r="H2422" s="181">
        <f>IF(OR(F2422="",G2422=""),"",ROUND(MOD(G2422-F2422,1)*24,2))</f>
        <v/>
      </c>
      <c r="K2422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23" hidden="1" outlineLevel="1" ht="20" customHeight="1">
      <c r="D2423" s="179" t="n"/>
      <c r="E2423" s="179" t="n"/>
      <c r="F2423" s="180" t="n"/>
      <c r="G2423" s="180" t="n"/>
      <c r="H2423" s="181">
        <f>IF(OR(F2423="",G2423=""),"",ROUND(MOD(G2423-F2423,1)*24,2))</f>
        <v/>
      </c>
      <c r="K2423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24" hidden="1" outlineLevel="1" ht="20" customHeight="1">
      <c r="D2424" s="179" t="n"/>
      <c r="E2424" s="179" t="n"/>
      <c r="F2424" s="180" t="n"/>
      <c r="G2424" s="180" t="n"/>
      <c r="H2424" s="181">
        <f>IF(OR(F2424="",G2424=""),"",ROUND(MOD(G2424-F2424,1)*24,2))</f>
        <v/>
      </c>
      <c r="K2424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25" hidden="1" outlineLevel="1" ht="20" customHeight="1">
      <c r="A2425" s="342" t="n"/>
      <c r="B2425" s="342" t="n"/>
      <c r="C2425" s="342" t="n"/>
      <c r="D2425" s="332" t="n"/>
      <c r="E2425" s="332" t="n"/>
      <c r="F2425" s="333" t="n"/>
      <c r="G2425" s="333" t="n"/>
      <c r="H2425" s="334">
        <f>IF(OR(F2425="",G2425=""),"",ROUND(MOD(G2425-F2425,1)*24,2))</f>
        <v/>
      </c>
      <c r="I2425" s="342" t="n"/>
      <c r="J2425" s="342" t="n"/>
      <c r="K2425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26" ht="20" customHeight="1">
      <c r="A2426" s="336">
        <f>IF($K2426="","",WEEKNUM($K2426,21))</f>
        <v/>
      </c>
      <c r="B2426" s="337">
        <f>IF($K2426="","",$K2426)</f>
        <v/>
      </c>
      <c r="C2426" s="338">
        <f>IF($K2426="","",$K2426)</f>
        <v/>
      </c>
      <c r="D2426" s="171" t="n"/>
      <c r="E2426" s="171" t="n"/>
      <c r="F2426" s="172" t="n"/>
      <c r="G2426" s="172" t="n"/>
      <c r="H2426" s="173">
        <f>IF(OR(F2426="",G2426=""),"",ROUND(MOD(G2426-F2426,1)*24,2))</f>
        <v/>
      </c>
      <c r="I2426" s="339" t="n"/>
      <c r="J2426" s="339" t="n"/>
      <c r="K2426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27" ht="20" customHeight="1">
      <c r="D2427" s="179" t="n"/>
      <c r="E2427" s="179" t="n"/>
      <c r="F2427" s="180" t="n"/>
      <c r="G2427" s="180" t="n"/>
      <c r="H2427" s="181">
        <f>IF(OR(F2427="",G2427=""),"",ROUND(MOD(G2427-F2427,1)*24,2))</f>
        <v/>
      </c>
      <c r="K2427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28" ht="20" customHeight="1">
      <c r="D2428" s="179" t="n"/>
      <c r="E2428" s="179" t="n"/>
      <c r="F2428" s="180" t="n"/>
      <c r="G2428" s="180" t="n"/>
      <c r="H2428" s="181">
        <f>IF(OR(F2428="",G2428=""),"",ROUND(MOD(G2428-F2428,1)*24,2))</f>
        <v/>
      </c>
      <c r="K2428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29" ht="20" customHeight="1">
      <c r="D2429" s="179" t="n"/>
      <c r="E2429" s="179" t="n"/>
      <c r="F2429" s="180" t="n"/>
      <c r="G2429" s="180" t="n"/>
      <c r="H2429" s="181">
        <f>IF(OR(F2429="",G2429=""),"",ROUND(MOD(G2429-F2429,1)*24,2))</f>
        <v/>
      </c>
      <c r="K2429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30" collapsed="1" ht="20" customHeight="1">
      <c r="D2430" s="179" t="n"/>
      <c r="E2430" s="179" t="n"/>
      <c r="F2430" s="180" t="n"/>
      <c r="G2430" s="180" t="n"/>
      <c r="H2430" s="181">
        <f>IF(OR(F2430="",G2430=""),"",ROUND(MOD(G2430-F2430,1)*24,2))</f>
        <v/>
      </c>
      <c r="K2430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31" hidden="1" outlineLevel="1" ht="20" customHeight="1">
      <c r="D2431" s="179" t="n"/>
      <c r="E2431" s="179" t="n"/>
      <c r="F2431" s="180" t="n"/>
      <c r="G2431" s="180" t="n"/>
      <c r="H2431" s="181">
        <f>IF(OR(F2431="",G2431=""),"",ROUND(MOD(G2431-F2431,1)*24,2))</f>
        <v/>
      </c>
      <c r="K2431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32" hidden="1" outlineLevel="1" ht="20" customHeight="1">
      <c r="D2432" s="179" t="n"/>
      <c r="E2432" s="179" t="n"/>
      <c r="F2432" s="180" t="n"/>
      <c r="G2432" s="180" t="n"/>
      <c r="H2432" s="181">
        <f>IF(OR(F2432="",G2432=""),"",ROUND(MOD(G2432-F2432,1)*24,2))</f>
        <v/>
      </c>
      <c r="K2432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33" hidden="1" outlineLevel="1" ht="20" customHeight="1">
      <c r="D2433" s="179" t="n"/>
      <c r="E2433" s="179" t="n"/>
      <c r="F2433" s="180" t="n"/>
      <c r="G2433" s="180" t="n"/>
      <c r="H2433" s="181">
        <f>IF(OR(F2433="",G2433=""),"",ROUND(MOD(G2433-F2433,1)*24,2))</f>
        <v/>
      </c>
      <c r="K2433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34" hidden="1" outlineLevel="1" ht="20" customHeight="1">
      <c r="D2434" s="179" t="n"/>
      <c r="E2434" s="179" t="n"/>
      <c r="F2434" s="180" t="n"/>
      <c r="G2434" s="180" t="n"/>
      <c r="H2434" s="181">
        <f>IF(OR(F2434="",G2434=""),"",ROUND(MOD(G2434-F2434,1)*24,2))</f>
        <v/>
      </c>
      <c r="K2434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35" hidden="1" outlineLevel="1" ht="20" customHeight="1">
      <c r="A2435" s="342" t="n"/>
      <c r="B2435" s="342" t="n"/>
      <c r="C2435" s="342" t="n"/>
      <c r="D2435" s="332" t="n"/>
      <c r="E2435" s="332" t="n"/>
      <c r="F2435" s="333" t="n"/>
      <c r="G2435" s="333" t="n"/>
      <c r="H2435" s="334">
        <f>IF(OR(F2435="",G2435=""),"",ROUND(MOD(G2435-F2435,1)*24,2))</f>
        <v/>
      </c>
      <c r="I2435" s="342" t="n"/>
      <c r="J2435" s="342" t="n"/>
      <c r="K2435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36" ht="20" customHeight="1">
      <c r="A2436" s="336">
        <f>IF($K2436="","",WEEKNUM($K2436,21))</f>
        <v/>
      </c>
      <c r="B2436" s="337">
        <f>IF($K2436="","",$K2436)</f>
        <v/>
      </c>
      <c r="C2436" s="338">
        <f>IF($K2436="","",$K2436)</f>
        <v/>
      </c>
      <c r="D2436" s="171" t="n"/>
      <c r="E2436" s="171" t="n"/>
      <c r="F2436" s="172" t="n"/>
      <c r="G2436" s="172" t="n"/>
      <c r="H2436" s="173">
        <f>IF(OR(F2436="",G2436=""),"",ROUND(MOD(G2436-F2436,1)*24,2))</f>
        <v/>
      </c>
      <c r="I2436" s="339" t="n"/>
      <c r="J2436" s="339" t="n"/>
      <c r="K2436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37" ht="20" customHeight="1">
      <c r="D2437" s="179" t="n"/>
      <c r="E2437" s="179" t="n"/>
      <c r="F2437" s="180" t="n"/>
      <c r="G2437" s="180" t="n"/>
      <c r="H2437" s="181">
        <f>IF(OR(F2437="",G2437=""),"",ROUND(MOD(G2437-F2437,1)*24,2))</f>
        <v/>
      </c>
      <c r="K2437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38" ht="20" customHeight="1">
      <c r="D2438" s="179" t="n"/>
      <c r="E2438" s="179" t="n"/>
      <c r="F2438" s="180" t="n"/>
      <c r="G2438" s="180" t="n"/>
      <c r="H2438" s="181">
        <f>IF(OR(F2438="",G2438=""),"",ROUND(MOD(G2438-F2438,1)*24,2))</f>
        <v/>
      </c>
      <c r="K2438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39" ht="20" customHeight="1">
      <c r="D2439" s="179" t="n"/>
      <c r="E2439" s="179" t="n"/>
      <c r="F2439" s="180" t="n"/>
      <c r="G2439" s="180" t="n"/>
      <c r="H2439" s="181">
        <f>IF(OR(F2439="",G2439=""),"",ROUND(MOD(G2439-F2439,1)*24,2))</f>
        <v/>
      </c>
      <c r="K2439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40" collapsed="1" ht="20" customHeight="1">
      <c r="D2440" s="179" t="n"/>
      <c r="E2440" s="179" t="n"/>
      <c r="F2440" s="180" t="n"/>
      <c r="G2440" s="180" t="n"/>
      <c r="H2440" s="181">
        <f>IF(OR(F2440="",G2440=""),"",ROUND(MOD(G2440-F2440,1)*24,2))</f>
        <v/>
      </c>
      <c r="K2440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41" hidden="1" outlineLevel="1" ht="20" customHeight="1">
      <c r="D2441" s="179" t="n"/>
      <c r="E2441" s="179" t="n"/>
      <c r="F2441" s="180" t="n"/>
      <c r="G2441" s="180" t="n"/>
      <c r="H2441" s="181">
        <f>IF(OR(F2441="",G2441=""),"",ROUND(MOD(G2441-F2441,1)*24,2))</f>
        <v/>
      </c>
      <c r="K2441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42" hidden="1" outlineLevel="1" ht="20" customHeight="1">
      <c r="D2442" s="179" t="n"/>
      <c r="E2442" s="179" t="n"/>
      <c r="F2442" s="180" t="n"/>
      <c r="G2442" s="180" t="n"/>
      <c r="H2442" s="181">
        <f>IF(OR(F2442="",G2442=""),"",ROUND(MOD(G2442-F2442,1)*24,2))</f>
        <v/>
      </c>
      <c r="K2442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43" hidden="1" outlineLevel="1" ht="20" customHeight="1">
      <c r="D2443" s="179" t="n"/>
      <c r="E2443" s="179" t="n"/>
      <c r="F2443" s="180" t="n"/>
      <c r="G2443" s="180" t="n"/>
      <c r="H2443" s="181">
        <f>IF(OR(F2443="",G2443=""),"",ROUND(MOD(G2443-F2443,1)*24,2))</f>
        <v/>
      </c>
      <c r="K2443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44" hidden="1" outlineLevel="1" ht="20" customHeight="1">
      <c r="D2444" s="179" t="n"/>
      <c r="E2444" s="179" t="n"/>
      <c r="F2444" s="180" t="n"/>
      <c r="G2444" s="180" t="n"/>
      <c r="H2444" s="181">
        <f>IF(OR(F2444="",G2444=""),"",ROUND(MOD(G2444-F2444,1)*24,2))</f>
        <v/>
      </c>
      <c r="K2444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45" hidden="1" outlineLevel="1" ht="20" customHeight="1">
      <c r="A2445" s="342" t="n"/>
      <c r="B2445" s="342" t="n"/>
      <c r="C2445" s="342" t="n"/>
      <c r="D2445" s="332" t="n"/>
      <c r="E2445" s="332" t="n"/>
      <c r="F2445" s="333" t="n"/>
      <c r="G2445" s="333" t="n"/>
      <c r="H2445" s="334">
        <f>IF(OR(F2445="",G2445=""),"",ROUND(MOD(G2445-F2445,1)*24,2))</f>
        <v/>
      </c>
      <c r="I2445" s="342" t="n"/>
      <c r="J2445" s="342" t="n"/>
      <c r="K2445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46" ht="20" customHeight="1">
      <c r="A2446" s="336">
        <f>IF($K2446="","",WEEKNUM($K2446,21))</f>
        <v/>
      </c>
      <c r="B2446" s="337">
        <f>IF($K2446="","",$K2446)</f>
        <v/>
      </c>
      <c r="C2446" s="338">
        <f>IF($K2446="","",$K2446)</f>
        <v/>
      </c>
      <c r="D2446" s="171" t="n"/>
      <c r="E2446" s="171" t="n"/>
      <c r="F2446" s="172" t="n"/>
      <c r="G2446" s="172" t="n"/>
      <c r="H2446" s="173">
        <f>IF(OR(F2446="",G2446=""),"",ROUND(MOD(G2446-F2446,1)*24,2))</f>
        <v/>
      </c>
      <c r="I2446" s="339" t="n"/>
      <c r="J2446" s="339" t="n"/>
      <c r="K2446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47" ht="20" customHeight="1">
      <c r="D2447" s="179" t="n"/>
      <c r="E2447" s="179" t="n"/>
      <c r="F2447" s="180" t="n"/>
      <c r="G2447" s="180" t="n"/>
      <c r="H2447" s="181">
        <f>IF(OR(F2447="",G2447=""),"",ROUND(MOD(G2447-F2447,1)*24,2))</f>
        <v/>
      </c>
      <c r="K2447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48" ht="20" customHeight="1">
      <c r="D2448" s="179" t="n"/>
      <c r="E2448" s="179" t="n"/>
      <c r="F2448" s="180" t="n"/>
      <c r="G2448" s="180" t="n"/>
      <c r="H2448" s="181">
        <f>IF(OR(F2448="",G2448=""),"",ROUND(MOD(G2448-F2448,1)*24,2))</f>
        <v/>
      </c>
      <c r="K2448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49" ht="20" customHeight="1">
      <c r="D2449" s="179" t="n"/>
      <c r="E2449" s="179" t="n"/>
      <c r="F2449" s="180" t="n"/>
      <c r="G2449" s="180" t="n"/>
      <c r="H2449" s="181">
        <f>IF(OR(F2449="",G2449=""),"",ROUND(MOD(G2449-F2449,1)*24,2))</f>
        <v/>
      </c>
      <c r="K2449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50" collapsed="1" ht="20" customHeight="1">
      <c r="D2450" s="179" t="n"/>
      <c r="E2450" s="179" t="n"/>
      <c r="F2450" s="180" t="n"/>
      <c r="G2450" s="180" t="n"/>
      <c r="H2450" s="181">
        <f>IF(OR(F2450="",G2450=""),"",ROUND(MOD(G2450-F2450,1)*24,2))</f>
        <v/>
      </c>
      <c r="K2450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51" hidden="1" outlineLevel="1" ht="20" customHeight="1">
      <c r="D2451" s="179" t="n"/>
      <c r="E2451" s="179" t="n"/>
      <c r="F2451" s="180" t="n"/>
      <c r="G2451" s="180" t="n"/>
      <c r="H2451" s="181">
        <f>IF(OR(F2451="",G2451=""),"",ROUND(MOD(G2451-F2451,1)*24,2))</f>
        <v/>
      </c>
      <c r="K2451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52" hidden="1" outlineLevel="1" ht="20" customHeight="1">
      <c r="D2452" s="179" t="n"/>
      <c r="E2452" s="179" t="n"/>
      <c r="F2452" s="180" t="n"/>
      <c r="G2452" s="180" t="n"/>
      <c r="H2452" s="181">
        <f>IF(OR(F2452="",G2452=""),"",ROUND(MOD(G2452-F2452,1)*24,2))</f>
        <v/>
      </c>
      <c r="K2452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53" hidden="1" outlineLevel="1" ht="20" customHeight="1">
      <c r="D2453" s="179" t="n"/>
      <c r="E2453" s="179" t="n"/>
      <c r="F2453" s="180" t="n"/>
      <c r="G2453" s="180" t="n"/>
      <c r="H2453" s="181">
        <f>IF(OR(F2453="",G2453=""),"",ROUND(MOD(G2453-F2453,1)*24,2))</f>
        <v/>
      </c>
      <c r="K2453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54" hidden="1" outlineLevel="1" ht="20" customHeight="1">
      <c r="D2454" s="179" t="n"/>
      <c r="E2454" s="179" t="n"/>
      <c r="F2454" s="180" t="n"/>
      <c r="G2454" s="180" t="n"/>
      <c r="H2454" s="181">
        <f>IF(OR(F2454="",G2454=""),"",ROUND(MOD(G2454-F2454,1)*24,2))</f>
        <v/>
      </c>
      <c r="K2454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55" hidden="1" outlineLevel="1" ht="20" customHeight="1">
      <c r="A2455" s="342" t="n"/>
      <c r="B2455" s="342" t="n"/>
      <c r="C2455" s="342" t="n"/>
      <c r="D2455" s="332" t="n"/>
      <c r="E2455" s="332" t="n"/>
      <c r="F2455" s="333" t="n"/>
      <c r="G2455" s="333" t="n"/>
      <c r="H2455" s="334">
        <f>IF(OR(F2455="",G2455=""),"",ROUND(MOD(G2455-F2455,1)*24,2))</f>
        <v/>
      </c>
      <c r="I2455" s="342" t="n"/>
      <c r="J2455" s="342" t="n"/>
      <c r="K2455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56" ht="20" customHeight="1">
      <c r="A2456" s="336">
        <f>IF($K2456="","",WEEKNUM($K2456,21))</f>
        <v/>
      </c>
      <c r="B2456" s="337">
        <f>IF($K2456="","",$K2456)</f>
        <v/>
      </c>
      <c r="C2456" s="338">
        <f>IF($K2456="","",$K2456)</f>
        <v/>
      </c>
      <c r="D2456" s="171" t="n"/>
      <c r="E2456" s="171" t="n"/>
      <c r="F2456" s="172" t="n"/>
      <c r="G2456" s="172" t="n"/>
      <c r="H2456" s="173">
        <f>IF(OR(F2456="",G2456=""),"",ROUND(MOD(G2456-F2456,1)*24,2))</f>
        <v/>
      </c>
      <c r="I2456" s="339" t="n"/>
      <c r="J2456" s="339" t="n"/>
      <c r="K2456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57" ht="20" customHeight="1">
      <c r="D2457" s="179" t="n"/>
      <c r="E2457" s="179" t="n"/>
      <c r="F2457" s="180" t="n"/>
      <c r="G2457" s="180" t="n"/>
      <c r="H2457" s="181">
        <f>IF(OR(F2457="",G2457=""),"",ROUND(MOD(G2457-F2457,1)*24,2))</f>
        <v/>
      </c>
      <c r="K2457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58" ht="20" customHeight="1">
      <c r="D2458" s="179" t="n"/>
      <c r="E2458" s="179" t="n"/>
      <c r="F2458" s="180" t="n"/>
      <c r="G2458" s="180" t="n"/>
      <c r="H2458" s="181">
        <f>IF(OR(F2458="",G2458=""),"",ROUND(MOD(G2458-F2458,1)*24,2))</f>
        <v/>
      </c>
      <c r="K2458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59" ht="20" customHeight="1">
      <c r="D2459" s="179" t="n"/>
      <c r="E2459" s="179" t="n"/>
      <c r="F2459" s="180" t="n"/>
      <c r="G2459" s="180" t="n"/>
      <c r="H2459" s="181">
        <f>IF(OR(F2459="",G2459=""),"",ROUND(MOD(G2459-F2459,1)*24,2))</f>
        <v/>
      </c>
      <c r="K2459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60" collapsed="1" ht="20" customHeight="1">
      <c r="D2460" s="179" t="n"/>
      <c r="E2460" s="179" t="n"/>
      <c r="F2460" s="180" t="n"/>
      <c r="G2460" s="180" t="n"/>
      <c r="H2460" s="181">
        <f>IF(OR(F2460="",G2460=""),"",ROUND(MOD(G2460-F2460,1)*24,2))</f>
        <v/>
      </c>
      <c r="K2460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61" hidden="1" outlineLevel="1" ht="20" customHeight="1">
      <c r="D2461" s="179" t="n"/>
      <c r="E2461" s="179" t="n"/>
      <c r="F2461" s="180" t="n"/>
      <c r="G2461" s="180" t="n"/>
      <c r="H2461" s="181">
        <f>IF(OR(F2461="",G2461=""),"",ROUND(MOD(G2461-F2461,1)*24,2))</f>
        <v/>
      </c>
      <c r="K2461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62" hidden="1" outlineLevel="1" ht="20" customHeight="1">
      <c r="D2462" s="179" t="n"/>
      <c r="E2462" s="179" t="n"/>
      <c r="F2462" s="180" t="n"/>
      <c r="G2462" s="180" t="n"/>
      <c r="H2462" s="181">
        <f>IF(OR(F2462="",G2462=""),"",ROUND(MOD(G2462-F2462,1)*24,2))</f>
        <v/>
      </c>
      <c r="K2462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63" hidden="1" outlineLevel="1" ht="20" customHeight="1">
      <c r="D2463" s="179" t="n"/>
      <c r="E2463" s="179" t="n"/>
      <c r="F2463" s="180" t="n"/>
      <c r="G2463" s="180" t="n"/>
      <c r="H2463" s="181">
        <f>IF(OR(F2463="",G2463=""),"",ROUND(MOD(G2463-F2463,1)*24,2))</f>
        <v/>
      </c>
      <c r="K2463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64" hidden="1" outlineLevel="1" ht="20" customHeight="1">
      <c r="D2464" s="179" t="n"/>
      <c r="E2464" s="179" t="n"/>
      <c r="F2464" s="180" t="n"/>
      <c r="G2464" s="180" t="n"/>
      <c r="H2464" s="181">
        <f>IF(OR(F2464="",G2464=""),"",ROUND(MOD(G2464-F2464,1)*24,2))</f>
        <v/>
      </c>
      <c r="K2464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65" hidden="1" outlineLevel="1" ht="20" customHeight="1">
      <c r="A2465" s="342" t="n"/>
      <c r="B2465" s="342" t="n"/>
      <c r="C2465" s="342" t="n"/>
      <c r="D2465" s="332" t="n"/>
      <c r="E2465" s="332" t="n"/>
      <c r="F2465" s="333" t="n"/>
      <c r="G2465" s="333" t="n"/>
      <c r="H2465" s="334">
        <f>IF(OR(F2465="",G2465=""),"",ROUND(MOD(G2465-F2465,1)*24,2))</f>
        <v/>
      </c>
      <c r="I2465" s="342" t="n"/>
      <c r="J2465" s="342" t="n"/>
      <c r="K2465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66" ht="20" customHeight="1">
      <c r="A2466" s="336">
        <f>IF($K2466="","",WEEKNUM($K2466,21))</f>
        <v/>
      </c>
      <c r="B2466" s="337">
        <f>IF($K2466="","",$K2466)</f>
        <v/>
      </c>
      <c r="C2466" s="338">
        <f>IF($K2466="","",$K2466)</f>
        <v/>
      </c>
      <c r="D2466" s="171" t="n"/>
      <c r="E2466" s="171" t="n"/>
      <c r="F2466" s="172" t="n"/>
      <c r="G2466" s="172" t="n"/>
      <c r="H2466" s="173">
        <f>IF(OR(F2466="",G2466=""),"",ROUND(MOD(G2466-F2466,1)*24,2))</f>
        <v/>
      </c>
      <c r="I2466" s="339" t="n"/>
      <c r="J2466" s="339" t="n"/>
      <c r="K2466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67" ht="20" customHeight="1">
      <c r="D2467" s="179" t="n"/>
      <c r="E2467" s="179" t="n"/>
      <c r="F2467" s="180" t="n"/>
      <c r="G2467" s="180" t="n"/>
      <c r="H2467" s="181">
        <f>IF(OR(F2467="",G2467=""),"",ROUND(MOD(G2467-F2467,1)*24,2))</f>
        <v/>
      </c>
      <c r="K2467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68" ht="20" customHeight="1">
      <c r="D2468" s="179" t="n"/>
      <c r="E2468" s="179" t="n"/>
      <c r="F2468" s="180" t="n"/>
      <c r="G2468" s="180" t="n"/>
      <c r="H2468" s="181">
        <f>IF(OR(F2468="",G2468=""),"",ROUND(MOD(G2468-F2468,1)*24,2))</f>
        <v/>
      </c>
      <c r="K2468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69" ht="20" customHeight="1">
      <c r="D2469" s="179" t="n"/>
      <c r="E2469" s="179" t="n"/>
      <c r="F2469" s="180" t="n"/>
      <c r="G2469" s="180" t="n"/>
      <c r="H2469" s="181">
        <f>IF(OR(F2469="",G2469=""),"",ROUND(MOD(G2469-F2469,1)*24,2))</f>
        <v/>
      </c>
      <c r="K2469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70" collapsed="1" ht="20" customHeight="1">
      <c r="D2470" s="179" t="n"/>
      <c r="E2470" s="179" t="n"/>
      <c r="F2470" s="180" t="n"/>
      <c r="G2470" s="180" t="n"/>
      <c r="H2470" s="181">
        <f>IF(OR(F2470="",G2470=""),"",ROUND(MOD(G2470-F2470,1)*24,2))</f>
        <v/>
      </c>
      <c r="K2470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71" hidden="1" outlineLevel="1" ht="20" customHeight="1">
      <c r="D2471" s="179" t="n"/>
      <c r="E2471" s="179" t="n"/>
      <c r="F2471" s="180" t="n"/>
      <c r="G2471" s="180" t="n"/>
      <c r="H2471" s="181">
        <f>IF(OR(F2471="",G2471=""),"",ROUND(MOD(G2471-F2471,1)*24,2))</f>
        <v/>
      </c>
      <c r="K2471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72" hidden="1" outlineLevel="1" ht="20" customHeight="1">
      <c r="D2472" s="179" t="n"/>
      <c r="E2472" s="179" t="n"/>
      <c r="F2472" s="180" t="n"/>
      <c r="G2472" s="180" t="n"/>
      <c r="H2472" s="181">
        <f>IF(OR(F2472="",G2472=""),"",ROUND(MOD(G2472-F2472,1)*24,2))</f>
        <v/>
      </c>
      <c r="K2472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73" hidden="1" outlineLevel="1" ht="20" customHeight="1">
      <c r="D2473" s="179" t="n"/>
      <c r="E2473" s="179" t="n"/>
      <c r="F2473" s="180" t="n"/>
      <c r="G2473" s="180" t="n"/>
      <c r="H2473" s="181">
        <f>IF(OR(F2473="",G2473=""),"",ROUND(MOD(G2473-F2473,1)*24,2))</f>
        <v/>
      </c>
      <c r="K2473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74" hidden="1" outlineLevel="1" ht="20" customHeight="1">
      <c r="D2474" s="179" t="n"/>
      <c r="E2474" s="179" t="n"/>
      <c r="F2474" s="180" t="n"/>
      <c r="G2474" s="180" t="n"/>
      <c r="H2474" s="181">
        <f>IF(OR(F2474="",G2474=""),"",ROUND(MOD(G2474-F2474,1)*24,2))</f>
        <v/>
      </c>
      <c r="K2474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75" hidden="1" outlineLevel="1" ht="20" customHeight="1">
      <c r="A2475" s="342" t="n"/>
      <c r="B2475" s="342" t="n"/>
      <c r="C2475" s="342" t="n"/>
      <c r="D2475" s="332" t="n"/>
      <c r="E2475" s="332" t="n"/>
      <c r="F2475" s="333" t="n"/>
      <c r="G2475" s="333" t="n"/>
      <c r="H2475" s="334">
        <f>IF(OR(F2475="",G2475=""),"",ROUND(MOD(G2475-F2475,1)*24,2))</f>
        <v/>
      </c>
      <c r="I2475" s="342" t="n"/>
      <c r="J2475" s="342" t="n"/>
      <c r="K2475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76" ht="20" customHeight="1">
      <c r="A2476" s="336">
        <f>IF($K2476="","",WEEKNUM($K2476,21))</f>
        <v/>
      </c>
      <c r="B2476" s="337">
        <f>IF($K2476="","",$K2476)</f>
        <v/>
      </c>
      <c r="C2476" s="338">
        <f>IF($K2476="","",$K2476)</f>
        <v/>
      </c>
      <c r="D2476" s="171" t="n"/>
      <c r="E2476" s="171" t="n"/>
      <c r="F2476" s="172" t="n"/>
      <c r="G2476" s="172" t="n"/>
      <c r="H2476" s="173">
        <f>IF(OR(F2476="",G2476=""),"",ROUND(MOD(G2476-F2476,1)*24,2))</f>
        <v/>
      </c>
      <c r="I2476" s="339" t="n"/>
      <c r="J2476" s="339" t="n"/>
      <c r="K2476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77" ht="20" customHeight="1">
      <c r="D2477" s="179" t="n"/>
      <c r="E2477" s="179" t="n"/>
      <c r="F2477" s="180" t="n"/>
      <c r="G2477" s="180" t="n"/>
      <c r="H2477" s="181">
        <f>IF(OR(F2477="",G2477=""),"",ROUND(MOD(G2477-F2477,1)*24,2))</f>
        <v/>
      </c>
      <c r="K2477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78" ht="20" customHeight="1">
      <c r="D2478" s="179" t="n"/>
      <c r="E2478" s="179" t="n"/>
      <c r="F2478" s="180" t="n"/>
      <c r="G2478" s="180" t="n"/>
      <c r="H2478" s="181">
        <f>IF(OR(F2478="",G2478=""),"",ROUND(MOD(G2478-F2478,1)*24,2))</f>
        <v/>
      </c>
      <c r="K2478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79" ht="20" customHeight="1">
      <c r="D2479" s="179" t="n"/>
      <c r="E2479" s="179" t="n"/>
      <c r="F2479" s="180" t="n"/>
      <c r="G2479" s="180" t="n"/>
      <c r="H2479" s="181">
        <f>IF(OR(F2479="",G2479=""),"",ROUND(MOD(G2479-F2479,1)*24,2))</f>
        <v/>
      </c>
      <c r="K2479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80" collapsed="1" ht="20" customHeight="1">
      <c r="D2480" s="179" t="n"/>
      <c r="E2480" s="179" t="n"/>
      <c r="F2480" s="180" t="n"/>
      <c r="G2480" s="180" t="n"/>
      <c r="H2480" s="181">
        <f>IF(OR(F2480="",G2480=""),"",ROUND(MOD(G2480-F2480,1)*24,2))</f>
        <v/>
      </c>
      <c r="K2480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81" hidden="1" outlineLevel="1" ht="20" customHeight="1">
      <c r="D2481" s="179" t="n"/>
      <c r="E2481" s="179" t="n"/>
      <c r="F2481" s="180" t="n"/>
      <c r="G2481" s="180" t="n"/>
      <c r="H2481" s="181">
        <f>IF(OR(F2481="",G2481=""),"",ROUND(MOD(G2481-F2481,1)*24,2))</f>
        <v/>
      </c>
      <c r="K2481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82" hidden="1" outlineLevel="1" ht="20" customHeight="1">
      <c r="D2482" s="179" t="n"/>
      <c r="E2482" s="179" t="n"/>
      <c r="F2482" s="180" t="n"/>
      <c r="G2482" s="180" t="n"/>
      <c r="H2482" s="181">
        <f>IF(OR(F2482="",G2482=""),"",ROUND(MOD(G2482-F2482,1)*24,2))</f>
        <v/>
      </c>
      <c r="K2482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83" hidden="1" outlineLevel="1" ht="20" customHeight="1">
      <c r="D2483" s="179" t="n"/>
      <c r="E2483" s="179" t="n"/>
      <c r="F2483" s="180" t="n"/>
      <c r="G2483" s="180" t="n"/>
      <c r="H2483" s="181">
        <f>IF(OR(F2483="",G2483=""),"",ROUND(MOD(G2483-F2483,1)*24,2))</f>
        <v/>
      </c>
      <c r="K2483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84" hidden="1" outlineLevel="1" ht="20" customHeight="1">
      <c r="D2484" s="179" t="n"/>
      <c r="E2484" s="179" t="n"/>
      <c r="F2484" s="180" t="n"/>
      <c r="G2484" s="180" t="n"/>
      <c r="H2484" s="181">
        <f>IF(OR(F2484="",G2484=""),"",ROUND(MOD(G2484-F2484,1)*24,2))</f>
        <v/>
      </c>
      <c r="K2484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85" hidden="1" outlineLevel="1" ht="20" customHeight="1">
      <c r="A2485" s="342" t="n"/>
      <c r="B2485" s="342" t="n"/>
      <c r="C2485" s="342" t="n"/>
      <c r="D2485" s="332" t="n"/>
      <c r="E2485" s="332" t="n"/>
      <c r="F2485" s="333" t="n"/>
      <c r="G2485" s="333" t="n"/>
      <c r="H2485" s="334">
        <f>IF(OR(F2485="",G2485=""),"",ROUND(MOD(G2485-F2485,1)*24,2))</f>
        <v/>
      </c>
      <c r="I2485" s="342" t="n"/>
      <c r="J2485" s="342" t="n"/>
      <c r="K2485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486" ht="20" customHeight="1">
      <c r="A2486" s="336">
        <f>IF($K2486="","",WEEKNUM($K2486,21))</f>
        <v/>
      </c>
      <c r="B2486" s="337">
        <f>IF($K2486="","",$K2486)</f>
        <v/>
      </c>
      <c r="C2486" s="338">
        <f>IF($K2486="","",$K2486)</f>
        <v/>
      </c>
      <c r="D2486" s="171" t="n"/>
      <c r="E2486" s="171" t="n"/>
      <c r="F2486" s="172" t="n"/>
      <c r="G2486" s="172" t="n"/>
      <c r="H2486" s="173">
        <f>IF(OR(F2486="",G2486=""),"",ROUND(MOD(G2486-F2486,1)*24,2))</f>
        <v/>
      </c>
      <c r="I2486" s="339" t="n"/>
      <c r="J2486" s="339" t="n"/>
      <c r="K2486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87" ht="20" customHeight="1">
      <c r="D2487" s="179" t="n"/>
      <c r="E2487" s="179" t="n"/>
      <c r="F2487" s="180" t="n"/>
      <c r="G2487" s="180" t="n"/>
      <c r="H2487" s="181">
        <f>IF(OR(F2487="",G2487=""),"",ROUND(MOD(G2487-F2487,1)*24,2))</f>
        <v/>
      </c>
      <c r="K2487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88" ht="20" customHeight="1">
      <c r="D2488" s="179" t="n"/>
      <c r="E2488" s="179" t="n"/>
      <c r="F2488" s="180" t="n"/>
      <c r="G2488" s="180" t="n"/>
      <c r="H2488" s="181">
        <f>IF(OR(F2488="",G2488=""),"",ROUND(MOD(G2488-F2488,1)*24,2))</f>
        <v/>
      </c>
      <c r="K2488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89" ht="20" customHeight="1">
      <c r="D2489" s="179" t="n"/>
      <c r="E2489" s="179" t="n"/>
      <c r="F2489" s="180" t="n"/>
      <c r="G2489" s="180" t="n"/>
      <c r="H2489" s="181">
        <f>IF(OR(F2489="",G2489=""),"",ROUND(MOD(G2489-F2489,1)*24,2))</f>
        <v/>
      </c>
      <c r="K2489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90" collapsed="1" ht="20" customHeight="1">
      <c r="D2490" s="179" t="n"/>
      <c r="E2490" s="179" t="n"/>
      <c r="F2490" s="180" t="n"/>
      <c r="G2490" s="180" t="n"/>
      <c r="H2490" s="181">
        <f>IF(OR(F2490="",G2490=""),"",ROUND(MOD(G2490-F2490,1)*24,2))</f>
        <v/>
      </c>
      <c r="K2490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91" hidden="1" outlineLevel="1" ht="20" customHeight="1">
      <c r="D2491" s="179" t="n"/>
      <c r="E2491" s="179" t="n"/>
      <c r="F2491" s="180" t="n"/>
      <c r="G2491" s="180" t="n"/>
      <c r="H2491" s="181">
        <f>IF(OR(F2491="",G2491=""),"",ROUND(MOD(G2491-F2491,1)*24,2))</f>
        <v/>
      </c>
      <c r="K2491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92" hidden="1" outlineLevel="1" ht="20" customHeight="1">
      <c r="D2492" s="179" t="n"/>
      <c r="E2492" s="179" t="n"/>
      <c r="F2492" s="180" t="n"/>
      <c r="G2492" s="180" t="n"/>
      <c r="H2492" s="181">
        <f>IF(OR(F2492="",G2492=""),"",ROUND(MOD(G2492-F2492,1)*24,2))</f>
        <v/>
      </c>
      <c r="K2492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93" hidden="1" outlineLevel="1" ht="20" customHeight="1">
      <c r="D2493" s="179" t="n"/>
      <c r="E2493" s="179" t="n"/>
      <c r="F2493" s="180" t="n"/>
      <c r="G2493" s="180" t="n"/>
      <c r="H2493" s="181">
        <f>IF(OR(F2493="",G2493=""),"",ROUND(MOD(G2493-F2493,1)*24,2))</f>
        <v/>
      </c>
      <c r="K2493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94" hidden="1" outlineLevel="1" ht="20" customHeight="1">
      <c r="D2494" s="179" t="n"/>
      <c r="E2494" s="179" t="n"/>
      <c r="F2494" s="180" t="n"/>
      <c r="G2494" s="180" t="n"/>
      <c r="H2494" s="181">
        <f>IF(OR(F2494="",G2494=""),"",ROUND(MOD(G2494-F2494,1)*24,2))</f>
        <v/>
      </c>
      <c r="K2494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95" hidden="1" outlineLevel="1" ht="20" customHeight="1">
      <c r="A2495" s="342" t="n"/>
      <c r="B2495" s="342" t="n"/>
      <c r="C2495" s="342" t="n"/>
      <c r="D2495" s="332" t="n"/>
      <c r="E2495" s="332" t="n"/>
      <c r="F2495" s="333" t="n"/>
      <c r="G2495" s="333" t="n"/>
      <c r="H2495" s="334">
        <f>IF(OR(F2495="",G2495=""),"",ROUND(MOD(G2495-F2495,1)*24,2))</f>
        <v/>
      </c>
      <c r="I2495" s="342" t="n"/>
      <c r="J2495" s="342" t="n"/>
      <c r="K2495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496" ht="20" customHeight="1">
      <c r="A2496" s="336">
        <f>IF($K2496="","",WEEKNUM($K2496,21))</f>
        <v/>
      </c>
      <c r="B2496" s="337">
        <f>IF($K2496="","",$K2496)</f>
        <v/>
      </c>
      <c r="C2496" s="338">
        <f>IF($K2496="","",$K2496)</f>
        <v/>
      </c>
      <c r="D2496" s="171" t="n"/>
      <c r="E2496" s="171" t="n"/>
      <c r="F2496" s="172" t="n"/>
      <c r="G2496" s="172" t="n"/>
      <c r="H2496" s="173">
        <f>IF(OR(F2496="",G2496=""),"",ROUND(MOD(G2496-F2496,1)*24,2))</f>
        <v/>
      </c>
      <c r="I2496" s="339" t="n"/>
      <c r="J2496" s="339" t="n"/>
      <c r="K2496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497" ht="20" customHeight="1">
      <c r="D2497" s="179" t="n"/>
      <c r="E2497" s="179" t="n"/>
      <c r="F2497" s="180" t="n"/>
      <c r="G2497" s="180" t="n"/>
      <c r="H2497" s="181">
        <f>IF(OR(F2497="",G2497=""),"",ROUND(MOD(G2497-F2497,1)*24,2))</f>
        <v/>
      </c>
      <c r="K2497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498" ht="20" customHeight="1">
      <c r="D2498" s="179" t="n"/>
      <c r="E2498" s="179" t="n"/>
      <c r="F2498" s="180" t="n"/>
      <c r="G2498" s="180" t="n"/>
      <c r="H2498" s="181">
        <f>IF(OR(F2498="",G2498=""),"",ROUND(MOD(G2498-F2498,1)*24,2))</f>
        <v/>
      </c>
      <c r="K2498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499" ht="20" customHeight="1">
      <c r="D2499" s="179" t="n"/>
      <c r="E2499" s="179" t="n"/>
      <c r="F2499" s="180" t="n"/>
      <c r="G2499" s="180" t="n"/>
      <c r="H2499" s="181">
        <f>IF(OR(F2499="",G2499=""),"",ROUND(MOD(G2499-F2499,1)*24,2))</f>
        <v/>
      </c>
      <c r="K2499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500" collapsed="1" ht="20" customHeight="1">
      <c r="D2500" s="179" t="n"/>
      <c r="E2500" s="179" t="n"/>
      <c r="F2500" s="180" t="n"/>
      <c r="G2500" s="180" t="n"/>
      <c r="H2500" s="181">
        <f>IF(OR(F2500="",G2500=""),"",ROUND(MOD(G2500-F2500,1)*24,2))</f>
        <v/>
      </c>
      <c r="K2500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501" hidden="1" outlineLevel="1" ht="20" customHeight="1">
      <c r="D2501" s="179" t="n"/>
      <c r="E2501" s="179" t="n"/>
      <c r="F2501" s="180" t="n"/>
      <c r="G2501" s="180" t="n"/>
      <c r="H2501" s="181">
        <f>IF(OR(F2501="",G2501=""),"",ROUND(MOD(G2501-F2501,1)*24,2))</f>
        <v/>
      </c>
      <c r="K2501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502" hidden="1" outlineLevel="1" ht="20" customHeight="1">
      <c r="D2502" s="179" t="n"/>
      <c r="E2502" s="179" t="n"/>
      <c r="F2502" s="180" t="n"/>
      <c r="G2502" s="180" t="n"/>
      <c r="H2502" s="181">
        <f>IF(OR(F2502="",G2502=""),"",ROUND(MOD(G2502-F2502,1)*24,2))</f>
        <v/>
      </c>
      <c r="K2502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503" hidden="1" outlineLevel="1" ht="20" customHeight="1">
      <c r="D2503" s="179" t="n"/>
      <c r="E2503" s="179" t="n"/>
      <c r="F2503" s="180" t="n"/>
      <c r="G2503" s="180" t="n"/>
      <c r="H2503" s="181">
        <f>IF(OR(F2503="",G2503=""),"",ROUND(MOD(G2503-F2503,1)*24,2))</f>
        <v/>
      </c>
      <c r="K2503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504" hidden="1" outlineLevel="1" ht="20" customHeight="1">
      <c r="D2504" s="179" t="n"/>
      <c r="E2504" s="179" t="n"/>
      <c r="F2504" s="180" t="n"/>
      <c r="G2504" s="180" t="n"/>
      <c r="H2504" s="181">
        <f>IF(OR(F2504="",G2504=""),"",ROUND(MOD(G2504-F2504,1)*24,2))</f>
        <v/>
      </c>
      <c r="K2504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505" hidden="1" outlineLevel="1" ht="20" customHeight="1">
      <c r="A2505" s="342" t="n"/>
      <c r="B2505" s="342" t="n"/>
      <c r="C2505" s="342" t="n"/>
      <c r="D2505" s="332" t="n"/>
      <c r="E2505" s="332" t="n"/>
      <c r="F2505" s="333" t="n"/>
      <c r="G2505" s="333" t="n"/>
      <c r="H2505" s="334">
        <f>IF(OR(F2505="",G2505=""),"",ROUND(MOD(G2505-F2505,1)*24,2))</f>
        <v/>
      </c>
      <c r="I2505" s="342" t="n"/>
      <c r="J2505" s="342" t="n"/>
      <c r="K2505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506" ht="20" customHeight="1">
      <c r="A2506" s="336">
        <f>IF($K2506="","",WEEKNUM($K2506,21))</f>
        <v/>
      </c>
      <c r="B2506" s="337">
        <f>IF($K2506="","",$K2506)</f>
        <v/>
      </c>
      <c r="C2506" s="338">
        <f>IF($K2506="","",$K2506)</f>
        <v/>
      </c>
      <c r="D2506" s="171" t="n"/>
      <c r="E2506" s="171" t="n"/>
      <c r="F2506" s="172" t="n"/>
      <c r="G2506" s="172" t="n"/>
      <c r="H2506" s="173">
        <f>IF(OR(F2506="",G2506=""),"",ROUND(MOD(G2506-F2506,1)*24,2))</f>
        <v/>
      </c>
      <c r="I2506" s="339" t="n"/>
      <c r="J2506" s="339" t="n"/>
      <c r="K2506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07" ht="20" customHeight="1">
      <c r="D2507" s="179" t="n"/>
      <c r="E2507" s="179" t="n"/>
      <c r="F2507" s="180" t="n"/>
      <c r="G2507" s="180" t="n"/>
      <c r="H2507" s="181">
        <f>IF(OR(F2507="",G2507=""),"",ROUND(MOD(G2507-F2507,1)*24,2))</f>
        <v/>
      </c>
      <c r="K2507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08" ht="20" customHeight="1">
      <c r="D2508" s="179" t="n"/>
      <c r="E2508" s="179" t="n"/>
      <c r="F2508" s="180" t="n"/>
      <c r="G2508" s="180" t="n"/>
      <c r="H2508" s="181">
        <f>IF(OR(F2508="",G2508=""),"",ROUND(MOD(G2508-F2508,1)*24,2))</f>
        <v/>
      </c>
      <c r="K2508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09" ht="20" customHeight="1">
      <c r="D2509" s="179" t="n"/>
      <c r="E2509" s="179" t="n"/>
      <c r="F2509" s="180" t="n"/>
      <c r="G2509" s="180" t="n"/>
      <c r="H2509" s="181">
        <f>IF(OR(F2509="",G2509=""),"",ROUND(MOD(G2509-F2509,1)*24,2))</f>
        <v/>
      </c>
      <c r="K2509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10" collapsed="1" ht="20" customHeight="1">
      <c r="D2510" s="179" t="n"/>
      <c r="E2510" s="179" t="n"/>
      <c r="F2510" s="180" t="n"/>
      <c r="G2510" s="180" t="n"/>
      <c r="H2510" s="181">
        <f>IF(OR(F2510="",G2510=""),"",ROUND(MOD(G2510-F2510,1)*24,2))</f>
        <v/>
      </c>
      <c r="K2510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11" hidden="1" outlineLevel="1" ht="20" customHeight="1">
      <c r="D2511" s="179" t="n"/>
      <c r="E2511" s="179" t="n"/>
      <c r="F2511" s="180" t="n"/>
      <c r="G2511" s="180" t="n"/>
      <c r="H2511" s="181">
        <f>IF(OR(F2511="",G2511=""),"",ROUND(MOD(G2511-F2511,1)*24,2))</f>
        <v/>
      </c>
      <c r="K2511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12" hidden="1" outlineLevel="1" ht="20" customHeight="1">
      <c r="D2512" s="179" t="n"/>
      <c r="E2512" s="179" t="n"/>
      <c r="F2512" s="180" t="n"/>
      <c r="G2512" s="180" t="n"/>
      <c r="H2512" s="181">
        <f>IF(OR(F2512="",G2512=""),"",ROUND(MOD(G2512-F2512,1)*24,2))</f>
        <v/>
      </c>
      <c r="K2512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13" hidden="1" outlineLevel="1" ht="20" customHeight="1">
      <c r="D2513" s="179" t="n"/>
      <c r="E2513" s="179" t="n"/>
      <c r="F2513" s="180" t="n"/>
      <c r="G2513" s="180" t="n"/>
      <c r="H2513" s="181">
        <f>IF(OR(F2513="",G2513=""),"",ROUND(MOD(G2513-F2513,1)*24,2))</f>
        <v/>
      </c>
      <c r="K2513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14" hidden="1" outlineLevel="1" ht="20" customHeight="1">
      <c r="D2514" s="179" t="n"/>
      <c r="E2514" s="179" t="n"/>
      <c r="F2514" s="180" t="n"/>
      <c r="G2514" s="180" t="n"/>
      <c r="H2514" s="181">
        <f>IF(OR(F2514="",G2514=""),"",ROUND(MOD(G2514-F2514,1)*24,2))</f>
        <v/>
      </c>
      <c r="K2514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15" hidden="1" outlineLevel="1" ht="20" customHeight="1">
      <c r="A2515" s="342" t="n"/>
      <c r="B2515" s="342" t="n"/>
      <c r="C2515" s="342" t="n"/>
      <c r="D2515" s="332" t="n"/>
      <c r="E2515" s="332" t="n"/>
      <c r="F2515" s="333" t="n"/>
      <c r="G2515" s="333" t="n"/>
      <c r="H2515" s="334">
        <f>IF(OR(F2515="",G2515=""),"",ROUND(MOD(G2515-F2515,1)*24,2))</f>
        <v/>
      </c>
      <c r="I2515" s="342" t="n"/>
      <c r="J2515" s="342" t="n"/>
      <c r="K2515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16" ht="20" customHeight="1">
      <c r="A2516" s="336">
        <f>IF($K2516="","",WEEKNUM($K2516,21))</f>
        <v/>
      </c>
      <c r="B2516" s="337">
        <f>IF($K2516="","",$K2516)</f>
        <v/>
      </c>
      <c r="C2516" s="338">
        <f>IF($K2516="","",$K2516)</f>
        <v/>
      </c>
      <c r="D2516" s="171" t="n"/>
      <c r="E2516" s="171" t="n"/>
      <c r="F2516" s="172" t="n"/>
      <c r="G2516" s="172" t="n"/>
      <c r="H2516" s="173">
        <f>IF(OR(F2516="",G2516=""),"",ROUND(MOD(G2516-F2516,1)*24,2))</f>
        <v/>
      </c>
      <c r="I2516" s="339" t="n"/>
      <c r="J2516" s="339" t="n"/>
      <c r="K2516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17" ht="20" customHeight="1">
      <c r="D2517" s="179" t="n"/>
      <c r="E2517" s="179" t="n"/>
      <c r="F2517" s="180" t="n"/>
      <c r="G2517" s="180" t="n"/>
      <c r="H2517" s="181">
        <f>IF(OR(F2517="",G2517=""),"",ROUND(MOD(G2517-F2517,1)*24,2))</f>
        <v/>
      </c>
      <c r="K2517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18" ht="20" customHeight="1">
      <c r="D2518" s="179" t="n"/>
      <c r="E2518" s="179" t="n"/>
      <c r="F2518" s="180" t="n"/>
      <c r="G2518" s="180" t="n"/>
      <c r="H2518" s="181">
        <f>IF(OR(F2518="",G2518=""),"",ROUND(MOD(G2518-F2518,1)*24,2))</f>
        <v/>
      </c>
      <c r="K2518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19" ht="20" customHeight="1">
      <c r="D2519" s="179" t="n"/>
      <c r="E2519" s="179" t="n"/>
      <c r="F2519" s="180" t="n"/>
      <c r="G2519" s="180" t="n"/>
      <c r="H2519" s="181">
        <f>IF(OR(F2519="",G2519=""),"",ROUND(MOD(G2519-F2519,1)*24,2))</f>
        <v/>
      </c>
      <c r="K2519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20" collapsed="1" ht="20" customHeight="1">
      <c r="D2520" s="179" t="n"/>
      <c r="E2520" s="179" t="n"/>
      <c r="F2520" s="180" t="n"/>
      <c r="G2520" s="180" t="n"/>
      <c r="H2520" s="181">
        <f>IF(OR(F2520="",G2520=""),"",ROUND(MOD(G2520-F2520,1)*24,2))</f>
        <v/>
      </c>
      <c r="K2520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21" hidden="1" outlineLevel="1" ht="20" customHeight="1">
      <c r="D2521" s="179" t="n"/>
      <c r="E2521" s="179" t="n"/>
      <c r="F2521" s="180" t="n"/>
      <c r="G2521" s="180" t="n"/>
      <c r="H2521" s="181">
        <f>IF(OR(F2521="",G2521=""),"",ROUND(MOD(G2521-F2521,1)*24,2))</f>
        <v/>
      </c>
      <c r="K2521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22" hidden="1" outlineLevel="1" ht="20" customHeight="1">
      <c r="D2522" s="179" t="n"/>
      <c r="E2522" s="179" t="n"/>
      <c r="F2522" s="180" t="n"/>
      <c r="G2522" s="180" t="n"/>
      <c r="H2522" s="181">
        <f>IF(OR(F2522="",G2522=""),"",ROUND(MOD(G2522-F2522,1)*24,2))</f>
        <v/>
      </c>
      <c r="K2522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23" hidden="1" outlineLevel="1" ht="20" customHeight="1">
      <c r="D2523" s="179" t="n"/>
      <c r="E2523" s="179" t="n"/>
      <c r="F2523" s="180" t="n"/>
      <c r="G2523" s="180" t="n"/>
      <c r="H2523" s="181">
        <f>IF(OR(F2523="",G2523=""),"",ROUND(MOD(G2523-F2523,1)*24,2))</f>
        <v/>
      </c>
      <c r="K2523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24" hidden="1" outlineLevel="1" ht="20" customHeight="1">
      <c r="D2524" s="179" t="n"/>
      <c r="E2524" s="179" t="n"/>
      <c r="F2524" s="180" t="n"/>
      <c r="G2524" s="180" t="n"/>
      <c r="H2524" s="181">
        <f>IF(OR(F2524="",G2524=""),"",ROUND(MOD(G2524-F2524,1)*24,2))</f>
        <v/>
      </c>
      <c r="K2524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25" hidden="1" outlineLevel="1" ht="20" customHeight="1">
      <c r="A2525" s="342" t="n"/>
      <c r="B2525" s="342" t="n"/>
      <c r="C2525" s="342" t="n"/>
      <c r="D2525" s="332" t="n"/>
      <c r="E2525" s="332" t="n"/>
      <c r="F2525" s="333" t="n"/>
      <c r="G2525" s="333" t="n"/>
      <c r="H2525" s="334">
        <f>IF(OR(F2525="",G2525=""),"",ROUND(MOD(G2525-F2525,1)*24,2))</f>
        <v/>
      </c>
      <c r="I2525" s="342" t="n"/>
      <c r="J2525" s="342" t="n"/>
      <c r="K2525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26" ht="20" customHeight="1">
      <c r="A2526" s="336">
        <f>IF($K2526="","",WEEKNUM($K2526,21))</f>
        <v/>
      </c>
      <c r="B2526" s="337">
        <f>IF($K2526="","",$K2526)</f>
        <v/>
      </c>
      <c r="C2526" s="338">
        <f>IF($K2526="","",$K2526)</f>
        <v/>
      </c>
      <c r="D2526" s="171" t="n"/>
      <c r="E2526" s="171" t="n"/>
      <c r="F2526" s="172" t="n"/>
      <c r="G2526" s="172" t="n"/>
      <c r="H2526" s="173">
        <f>IF(OR(F2526="",G2526=""),"",ROUND(MOD(G2526-F2526,1)*24,2))</f>
        <v/>
      </c>
      <c r="I2526" s="339" t="n"/>
      <c r="J2526" s="339" t="n"/>
      <c r="K2526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27" ht="20" customHeight="1">
      <c r="D2527" s="179" t="n"/>
      <c r="E2527" s="179" t="n"/>
      <c r="F2527" s="180" t="n"/>
      <c r="G2527" s="180" t="n"/>
      <c r="H2527" s="181">
        <f>IF(OR(F2527="",G2527=""),"",ROUND(MOD(G2527-F2527,1)*24,2))</f>
        <v/>
      </c>
      <c r="K2527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28" ht="20" customHeight="1">
      <c r="D2528" s="179" t="n"/>
      <c r="E2528" s="179" t="n"/>
      <c r="F2528" s="180" t="n"/>
      <c r="G2528" s="180" t="n"/>
      <c r="H2528" s="181">
        <f>IF(OR(F2528="",G2528=""),"",ROUND(MOD(G2528-F2528,1)*24,2))</f>
        <v/>
      </c>
      <c r="K2528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29" ht="20" customHeight="1">
      <c r="D2529" s="179" t="n"/>
      <c r="E2529" s="179" t="n"/>
      <c r="F2529" s="180" t="n"/>
      <c r="G2529" s="180" t="n"/>
      <c r="H2529" s="181">
        <f>IF(OR(F2529="",G2529=""),"",ROUND(MOD(G2529-F2529,1)*24,2))</f>
        <v/>
      </c>
      <c r="K2529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30" collapsed="1" ht="20" customHeight="1">
      <c r="D2530" s="179" t="n"/>
      <c r="E2530" s="179" t="n"/>
      <c r="F2530" s="180" t="n"/>
      <c r="G2530" s="180" t="n"/>
      <c r="H2530" s="181">
        <f>IF(OR(F2530="",G2530=""),"",ROUND(MOD(G2530-F2530,1)*24,2))</f>
        <v/>
      </c>
      <c r="K2530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31" hidden="1" outlineLevel="1" ht="20" customHeight="1">
      <c r="D2531" s="179" t="n"/>
      <c r="E2531" s="179" t="n"/>
      <c r="F2531" s="180" t="n"/>
      <c r="G2531" s="180" t="n"/>
      <c r="H2531" s="181">
        <f>IF(OR(F2531="",G2531=""),"",ROUND(MOD(G2531-F2531,1)*24,2))</f>
        <v/>
      </c>
      <c r="K2531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32" hidden="1" outlineLevel="1" ht="20" customHeight="1">
      <c r="D2532" s="179" t="n"/>
      <c r="E2532" s="179" t="n"/>
      <c r="F2532" s="180" t="n"/>
      <c r="G2532" s="180" t="n"/>
      <c r="H2532" s="181">
        <f>IF(OR(F2532="",G2532=""),"",ROUND(MOD(G2532-F2532,1)*24,2))</f>
        <v/>
      </c>
      <c r="K2532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33" hidden="1" outlineLevel="1" ht="20" customHeight="1">
      <c r="D2533" s="179" t="n"/>
      <c r="E2533" s="179" t="n"/>
      <c r="F2533" s="180" t="n"/>
      <c r="G2533" s="180" t="n"/>
      <c r="H2533" s="181">
        <f>IF(OR(F2533="",G2533=""),"",ROUND(MOD(G2533-F2533,1)*24,2))</f>
        <v/>
      </c>
      <c r="K2533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34" hidden="1" outlineLevel="1" ht="20" customHeight="1">
      <c r="D2534" s="179" t="n"/>
      <c r="E2534" s="179" t="n"/>
      <c r="F2534" s="180" t="n"/>
      <c r="G2534" s="180" t="n"/>
      <c r="H2534" s="181">
        <f>IF(OR(F2534="",G2534=""),"",ROUND(MOD(G2534-F2534,1)*24,2))</f>
        <v/>
      </c>
      <c r="K2534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35" hidden="1" outlineLevel="1" ht="20" customHeight="1">
      <c r="A2535" s="342" t="n"/>
      <c r="B2535" s="342" t="n"/>
      <c r="C2535" s="342" t="n"/>
      <c r="D2535" s="332" t="n"/>
      <c r="E2535" s="332" t="n"/>
      <c r="F2535" s="333" t="n"/>
      <c r="G2535" s="333" t="n"/>
      <c r="H2535" s="334">
        <f>IF(OR(F2535="",G2535=""),"",ROUND(MOD(G2535-F2535,1)*24,2))</f>
        <v/>
      </c>
      <c r="I2535" s="342" t="n"/>
      <c r="J2535" s="342" t="n"/>
      <c r="K2535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36" ht="20" customHeight="1">
      <c r="A2536" s="336">
        <f>IF($K2536="","",WEEKNUM($K2536,21))</f>
        <v/>
      </c>
      <c r="B2536" s="337">
        <f>IF($K2536="","",$K2536)</f>
        <v/>
      </c>
      <c r="C2536" s="338">
        <f>IF($K2536="","",$K2536)</f>
        <v/>
      </c>
      <c r="D2536" s="171" t="n"/>
      <c r="E2536" s="171" t="n"/>
      <c r="F2536" s="172" t="n"/>
      <c r="G2536" s="172" t="n"/>
      <c r="H2536" s="173">
        <f>IF(OR(F2536="",G2536=""),"",ROUND(MOD(G2536-F2536,1)*24,2))</f>
        <v/>
      </c>
      <c r="I2536" s="339" t="n"/>
      <c r="J2536" s="339" t="n"/>
      <c r="K2536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37" ht="20" customHeight="1">
      <c r="D2537" s="179" t="n"/>
      <c r="E2537" s="179" t="n"/>
      <c r="F2537" s="180" t="n"/>
      <c r="G2537" s="180" t="n"/>
      <c r="H2537" s="181">
        <f>IF(OR(F2537="",G2537=""),"",ROUND(MOD(G2537-F2537,1)*24,2))</f>
        <v/>
      </c>
      <c r="K2537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38" ht="20" customHeight="1">
      <c r="D2538" s="179" t="n"/>
      <c r="E2538" s="179" t="n"/>
      <c r="F2538" s="180" t="n"/>
      <c r="G2538" s="180" t="n"/>
      <c r="H2538" s="181">
        <f>IF(OR(F2538="",G2538=""),"",ROUND(MOD(G2538-F2538,1)*24,2))</f>
        <v/>
      </c>
      <c r="K2538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39" ht="20" customHeight="1">
      <c r="D2539" s="179" t="n"/>
      <c r="E2539" s="179" t="n"/>
      <c r="F2539" s="180" t="n"/>
      <c r="G2539" s="180" t="n"/>
      <c r="H2539" s="181">
        <f>IF(OR(F2539="",G2539=""),"",ROUND(MOD(G2539-F2539,1)*24,2))</f>
        <v/>
      </c>
      <c r="K2539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40" collapsed="1" ht="20" customHeight="1">
      <c r="D2540" s="179" t="n"/>
      <c r="E2540" s="179" t="n"/>
      <c r="F2540" s="180" t="n"/>
      <c r="G2540" s="180" t="n"/>
      <c r="H2540" s="181">
        <f>IF(OR(F2540="",G2540=""),"",ROUND(MOD(G2540-F2540,1)*24,2))</f>
        <v/>
      </c>
      <c r="K2540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41" hidden="1" outlineLevel="1" ht="20" customHeight="1">
      <c r="D2541" s="179" t="n"/>
      <c r="E2541" s="179" t="n"/>
      <c r="F2541" s="180" t="n"/>
      <c r="G2541" s="180" t="n"/>
      <c r="H2541" s="181">
        <f>IF(OR(F2541="",G2541=""),"",ROUND(MOD(G2541-F2541,1)*24,2))</f>
        <v/>
      </c>
      <c r="K2541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42" hidden="1" outlineLevel="1" ht="20" customHeight="1">
      <c r="D2542" s="179" t="n"/>
      <c r="E2542" s="179" t="n"/>
      <c r="F2542" s="180" t="n"/>
      <c r="G2542" s="180" t="n"/>
      <c r="H2542" s="181">
        <f>IF(OR(F2542="",G2542=""),"",ROUND(MOD(G2542-F2542,1)*24,2))</f>
        <v/>
      </c>
      <c r="K2542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43" hidden="1" outlineLevel="1" ht="20" customHeight="1">
      <c r="D2543" s="179" t="n"/>
      <c r="E2543" s="179" t="n"/>
      <c r="F2543" s="180" t="n"/>
      <c r="G2543" s="180" t="n"/>
      <c r="H2543" s="181">
        <f>IF(OR(F2543="",G2543=""),"",ROUND(MOD(G2543-F2543,1)*24,2))</f>
        <v/>
      </c>
      <c r="K2543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44" hidden="1" outlineLevel="1" ht="20" customHeight="1">
      <c r="D2544" s="179" t="n"/>
      <c r="E2544" s="179" t="n"/>
      <c r="F2544" s="180" t="n"/>
      <c r="G2544" s="180" t="n"/>
      <c r="H2544" s="181">
        <f>IF(OR(F2544="",G2544=""),"",ROUND(MOD(G2544-F2544,1)*24,2))</f>
        <v/>
      </c>
      <c r="K2544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45" hidden="1" outlineLevel="1" ht="20" customHeight="1">
      <c r="A2545" s="342" t="n"/>
      <c r="B2545" s="342" t="n"/>
      <c r="C2545" s="342" t="n"/>
      <c r="D2545" s="332" t="n"/>
      <c r="E2545" s="332" t="n"/>
      <c r="F2545" s="333" t="n"/>
      <c r="G2545" s="333" t="n"/>
      <c r="H2545" s="334">
        <f>IF(OR(F2545="",G2545=""),"",ROUND(MOD(G2545-F2545,1)*24,2))</f>
        <v/>
      </c>
      <c r="I2545" s="342" t="n"/>
      <c r="J2545" s="342" t="n"/>
      <c r="K2545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46" ht="20" customHeight="1">
      <c r="A2546" s="336">
        <f>IF($K2546="","",WEEKNUM($K2546,21))</f>
        <v/>
      </c>
      <c r="B2546" s="337">
        <f>IF($K2546="","",$K2546)</f>
        <v/>
      </c>
      <c r="C2546" s="338">
        <f>IF($K2546="","",$K2546)</f>
        <v/>
      </c>
      <c r="D2546" s="171" t="n"/>
      <c r="E2546" s="171" t="n"/>
      <c r="F2546" s="172" t="n"/>
      <c r="G2546" s="172" t="n"/>
      <c r="H2546" s="173">
        <f>IF(OR(F2546="",G2546=""),"",ROUND(MOD(G2546-F2546,1)*24,2))</f>
        <v/>
      </c>
      <c r="I2546" s="339" t="n"/>
      <c r="J2546" s="339" t="n"/>
      <c r="K2546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47" ht="20" customHeight="1">
      <c r="D2547" s="179" t="n"/>
      <c r="E2547" s="179" t="n"/>
      <c r="F2547" s="180" t="n"/>
      <c r="G2547" s="180" t="n"/>
      <c r="H2547" s="181">
        <f>IF(OR(F2547="",G2547=""),"",ROUND(MOD(G2547-F2547,1)*24,2))</f>
        <v/>
      </c>
      <c r="K2547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48" ht="20" customHeight="1">
      <c r="D2548" s="179" t="n"/>
      <c r="E2548" s="179" t="n"/>
      <c r="F2548" s="180" t="n"/>
      <c r="G2548" s="180" t="n"/>
      <c r="H2548" s="181">
        <f>IF(OR(F2548="",G2548=""),"",ROUND(MOD(G2548-F2548,1)*24,2))</f>
        <v/>
      </c>
      <c r="K2548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49" ht="20" customHeight="1">
      <c r="D2549" s="179" t="n"/>
      <c r="E2549" s="179" t="n"/>
      <c r="F2549" s="180" t="n"/>
      <c r="G2549" s="180" t="n"/>
      <c r="H2549" s="181">
        <f>IF(OR(F2549="",G2549=""),"",ROUND(MOD(G2549-F2549,1)*24,2))</f>
        <v/>
      </c>
      <c r="K2549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50" collapsed="1" ht="20" customHeight="1">
      <c r="D2550" s="179" t="n"/>
      <c r="E2550" s="179" t="n"/>
      <c r="F2550" s="180" t="n"/>
      <c r="G2550" s="180" t="n"/>
      <c r="H2550" s="181">
        <f>IF(OR(F2550="",G2550=""),"",ROUND(MOD(G2550-F2550,1)*24,2))</f>
        <v/>
      </c>
      <c r="K2550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51" hidden="1" outlineLevel="1" ht="20" customHeight="1">
      <c r="D2551" s="179" t="n"/>
      <c r="E2551" s="179" t="n"/>
      <c r="F2551" s="180" t="n"/>
      <c r="G2551" s="180" t="n"/>
      <c r="H2551" s="181">
        <f>IF(OR(F2551="",G2551=""),"",ROUND(MOD(G2551-F2551,1)*24,2))</f>
        <v/>
      </c>
      <c r="K2551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52" hidden="1" outlineLevel="1" ht="20" customHeight="1">
      <c r="D2552" s="179" t="n"/>
      <c r="E2552" s="179" t="n"/>
      <c r="F2552" s="180" t="n"/>
      <c r="G2552" s="180" t="n"/>
      <c r="H2552" s="181">
        <f>IF(OR(F2552="",G2552=""),"",ROUND(MOD(G2552-F2552,1)*24,2))</f>
        <v/>
      </c>
      <c r="K2552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53" hidden="1" outlineLevel="1" ht="20" customHeight="1">
      <c r="D2553" s="179" t="n"/>
      <c r="E2553" s="179" t="n"/>
      <c r="F2553" s="180" t="n"/>
      <c r="G2553" s="180" t="n"/>
      <c r="H2553" s="181">
        <f>IF(OR(F2553="",G2553=""),"",ROUND(MOD(G2553-F2553,1)*24,2))</f>
        <v/>
      </c>
      <c r="K2553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54" hidden="1" outlineLevel="1" ht="20" customHeight="1">
      <c r="D2554" s="179" t="n"/>
      <c r="E2554" s="179" t="n"/>
      <c r="F2554" s="180" t="n"/>
      <c r="G2554" s="180" t="n"/>
      <c r="H2554" s="181">
        <f>IF(OR(F2554="",G2554=""),"",ROUND(MOD(G2554-F2554,1)*24,2))</f>
        <v/>
      </c>
      <c r="K2554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55" hidden="1" outlineLevel="1" ht="20" customHeight="1">
      <c r="A2555" s="342" t="n"/>
      <c r="B2555" s="342" t="n"/>
      <c r="C2555" s="342" t="n"/>
      <c r="D2555" s="332" t="n"/>
      <c r="E2555" s="332" t="n"/>
      <c r="F2555" s="333" t="n"/>
      <c r="G2555" s="333" t="n"/>
      <c r="H2555" s="334">
        <f>IF(OR(F2555="",G2555=""),"",ROUND(MOD(G2555-F2555,1)*24,2))</f>
        <v/>
      </c>
      <c r="I2555" s="342" t="n"/>
      <c r="J2555" s="342" t="n"/>
      <c r="K2555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56" ht="20" customHeight="1">
      <c r="A2556" s="336">
        <f>IF($K2556="","",WEEKNUM($K2556,21))</f>
        <v/>
      </c>
      <c r="B2556" s="337">
        <f>IF($K2556="","",$K2556)</f>
        <v/>
      </c>
      <c r="C2556" s="338">
        <f>IF($K2556="","",$K2556)</f>
        <v/>
      </c>
      <c r="D2556" s="171" t="n"/>
      <c r="E2556" s="171" t="n"/>
      <c r="F2556" s="172" t="n"/>
      <c r="G2556" s="172" t="n"/>
      <c r="H2556" s="173">
        <f>IF(OR(F2556="",G2556=""),"",ROUND(MOD(G2556-F2556,1)*24,2))</f>
        <v/>
      </c>
      <c r="I2556" s="339" t="n"/>
      <c r="J2556" s="339" t="n"/>
      <c r="K2556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57" ht="20" customHeight="1">
      <c r="D2557" s="179" t="n"/>
      <c r="E2557" s="179" t="n"/>
      <c r="F2557" s="180" t="n"/>
      <c r="G2557" s="180" t="n"/>
      <c r="H2557" s="181">
        <f>IF(OR(F2557="",G2557=""),"",ROUND(MOD(G2557-F2557,1)*24,2))</f>
        <v/>
      </c>
      <c r="K2557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58" ht="20" customHeight="1">
      <c r="D2558" s="179" t="n"/>
      <c r="E2558" s="179" t="n"/>
      <c r="F2558" s="180" t="n"/>
      <c r="G2558" s="180" t="n"/>
      <c r="H2558" s="181">
        <f>IF(OR(F2558="",G2558=""),"",ROUND(MOD(G2558-F2558,1)*24,2))</f>
        <v/>
      </c>
      <c r="K2558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59" ht="20" customHeight="1">
      <c r="D2559" s="179" t="n"/>
      <c r="E2559" s="179" t="n"/>
      <c r="F2559" s="180" t="n"/>
      <c r="G2559" s="180" t="n"/>
      <c r="H2559" s="181">
        <f>IF(OR(F2559="",G2559=""),"",ROUND(MOD(G2559-F2559,1)*24,2))</f>
        <v/>
      </c>
      <c r="K2559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60" collapsed="1" ht="20" customHeight="1">
      <c r="D2560" s="179" t="n"/>
      <c r="E2560" s="179" t="n"/>
      <c r="F2560" s="180" t="n"/>
      <c r="G2560" s="180" t="n"/>
      <c r="H2560" s="181">
        <f>IF(OR(F2560="",G2560=""),"",ROUND(MOD(G2560-F2560,1)*24,2))</f>
        <v/>
      </c>
      <c r="K2560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61" hidden="1" outlineLevel="1" ht="20" customHeight="1">
      <c r="D2561" s="179" t="n"/>
      <c r="E2561" s="179" t="n"/>
      <c r="F2561" s="180" t="n"/>
      <c r="G2561" s="180" t="n"/>
      <c r="H2561" s="181">
        <f>IF(OR(F2561="",G2561=""),"",ROUND(MOD(G2561-F2561,1)*24,2))</f>
        <v/>
      </c>
      <c r="K2561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62" hidden="1" outlineLevel="1" ht="20" customHeight="1">
      <c r="D2562" s="179" t="n"/>
      <c r="E2562" s="179" t="n"/>
      <c r="F2562" s="180" t="n"/>
      <c r="G2562" s="180" t="n"/>
      <c r="H2562" s="181">
        <f>IF(OR(F2562="",G2562=""),"",ROUND(MOD(G2562-F2562,1)*24,2))</f>
        <v/>
      </c>
      <c r="K2562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63" hidden="1" outlineLevel="1" ht="20" customHeight="1">
      <c r="D2563" s="179" t="n"/>
      <c r="E2563" s="179" t="n"/>
      <c r="F2563" s="180" t="n"/>
      <c r="G2563" s="180" t="n"/>
      <c r="H2563" s="181">
        <f>IF(OR(F2563="",G2563=""),"",ROUND(MOD(G2563-F2563,1)*24,2))</f>
        <v/>
      </c>
      <c r="K2563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64" hidden="1" outlineLevel="1" ht="20" customHeight="1">
      <c r="D2564" s="179" t="n"/>
      <c r="E2564" s="179" t="n"/>
      <c r="F2564" s="180" t="n"/>
      <c r="G2564" s="180" t="n"/>
      <c r="H2564" s="181">
        <f>IF(OR(F2564="",G2564=""),"",ROUND(MOD(G2564-F2564,1)*24,2))</f>
        <v/>
      </c>
      <c r="K2564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65" hidden="1" outlineLevel="1" ht="20" customHeight="1">
      <c r="A2565" s="342" t="n"/>
      <c r="B2565" s="342" t="n"/>
      <c r="C2565" s="342" t="n"/>
      <c r="D2565" s="332" t="n"/>
      <c r="E2565" s="332" t="n"/>
      <c r="F2565" s="333" t="n"/>
      <c r="G2565" s="333" t="n"/>
      <c r="H2565" s="334">
        <f>IF(OR(F2565="",G2565=""),"",ROUND(MOD(G2565-F2565,1)*24,2))</f>
        <v/>
      </c>
      <c r="I2565" s="342" t="n"/>
      <c r="J2565" s="342" t="n"/>
      <c r="K2565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66" ht="20" customHeight="1">
      <c r="A2566" s="336">
        <f>IF($K2566="","",WEEKNUM($K2566,21))</f>
        <v/>
      </c>
      <c r="B2566" s="337">
        <f>IF($K2566="","",$K2566)</f>
        <v/>
      </c>
      <c r="C2566" s="338">
        <f>IF($K2566="","",$K2566)</f>
        <v/>
      </c>
      <c r="D2566" s="171" t="n"/>
      <c r="E2566" s="171" t="n"/>
      <c r="F2566" s="172" t="n"/>
      <c r="G2566" s="172" t="n"/>
      <c r="H2566" s="173">
        <f>IF(OR(F2566="",G2566=""),"",ROUND(MOD(G2566-F2566,1)*24,2))</f>
        <v/>
      </c>
      <c r="I2566" s="339" t="n"/>
      <c r="J2566" s="339" t="n"/>
      <c r="K2566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67" ht="20" customHeight="1">
      <c r="D2567" s="179" t="n"/>
      <c r="E2567" s="179" t="n"/>
      <c r="F2567" s="180" t="n"/>
      <c r="G2567" s="180" t="n"/>
      <c r="H2567" s="181">
        <f>IF(OR(F2567="",G2567=""),"",ROUND(MOD(G2567-F2567,1)*24,2))</f>
        <v/>
      </c>
      <c r="K2567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68" ht="20" customHeight="1">
      <c r="D2568" s="179" t="n"/>
      <c r="E2568" s="179" t="n"/>
      <c r="F2568" s="180" t="n"/>
      <c r="G2568" s="180" t="n"/>
      <c r="H2568" s="181">
        <f>IF(OR(F2568="",G2568=""),"",ROUND(MOD(G2568-F2568,1)*24,2))</f>
        <v/>
      </c>
      <c r="K2568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69" ht="20" customHeight="1">
      <c r="D2569" s="179" t="n"/>
      <c r="E2569" s="179" t="n"/>
      <c r="F2569" s="180" t="n"/>
      <c r="G2569" s="180" t="n"/>
      <c r="H2569" s="181">
        <f>IF(OR(F2569="",G2569=""),"",ROUND(MOD(G2569-F2569,1)*24,2))</f>
        <v/>
      </c>
      <c r="K2569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70" collapsed="1" ht="20" customHeight="1">
      <c r="D2570" s="179" t="n"/>
      <c r="E2570" s="179" t="n"/>
      <c r="F2570" s="180" t="n"/>
      <c r="G2570" s="180" t="n"/>
      <c r="H2570" s="181">
        <f>IF(OR(F2570="",G2570=""),"",ROUND(MOD(G2570-F2570,1)*24,2))</f>
        <v/>
      </c>
      <c r="K2570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71" hidden="1" outlineLevel="1" ht="20" customHeight="1">
      <c r="D2571" s="179" t="n"/>
      <c r="E2571" s="179" t="n"/>
      <c r="F2571" s="180" t="n"/>
      <c r="G2571" s="180" t="n"/>
      <c r="H2571" s="181">
        <f>IF(OR(F2571="",G2571=""),"",ROUND(MOD(G2571-F2571,1)*24,2))</f>
        <v/>
      </c>
      <c r="K2571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72" hidden="1" outlineLevel="1" ht="20" customHeight="1">
      <c r="D2572" s="179" t="n"/>
      <c r="E2572" s="179" t="n"/>
      <c r="F2572" s="180" t="n"/>
      <c r="G2572" s="180" t="n"/>
      <c r="H2572" s="181">
        <f>IF(OR(F2572="",G2572=""),"",ROUND(MOD(G2572-F2572,1)*24,2))</f>
        <v/>
      </c>
      <c r="K2572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73" hidden="1" outlineLevel="1" ht="20" customHeight="1">
      <c r="D2573" s="179" t="n"/>
      <c r="E2573" s="179" t="n"/>
      <c r="F2573" s="180" t="n"/>
      <c r="G2573" s="180" t="n"/>
      <c r="H2573" s="181">
        <f>IF(OR(F2573="",G2573=""),"",ROUND(MOD(G2573-F2573,1)*24,2))</f>
        <v/>
      </c>
      <c r="K2573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74" hidden="1" outlineLevel="1" ht="20" customHeight="1">
      <c r="D2574" s="179" t="n"/>
      <c r="E2574" s="179" t="n"/>
      <c r="F2574" s="180" t="n"/>
      <c r="G2574" s="180" t="n"/>
      <c r="H2574" s="181">
        <f>IF(OR(F2574="",G2574=""),"",ROUND(MOD(G2574-F2574,1)*24,2))</f>
        <v/>
      </c>
      <c r="K2574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75" hidden="1" outlineLevel="1" ht="20" customHeight="1">
      <c r="A2575" s="342" t="n"/>
      <c r="B2575" s="342" t="n"/>
      <c r="C2575" s="342" t="n"/>
      <c r="D2575" s="332" t="n"/>
      <c r="E2575" s="332" t="n"/>
      <c r="F2575" s="333" t="n"/>
      <c r="G2575" s="333" t="n"/>
      <c r="H2575" s="334">
        <f>IF(OR(F2575="",G2575=""),"",ROUND(MOD(G2575-F2575,1)*24,2))</f>
        <v/>
      </c>
      <c r="I2575" s="342" t="n"/>
      <c r="J2575" s="342" t="n"/>
      <c r="K2575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76" ht="20" customHeight="1">
      <c r="A2576" s="336">
        <f>IF($K2576="","",WEEKNUM($K2576,21))</f>
        <v/>
      </c>
      <c r="B2576" s="337">
        <f>IF($K2576="","",$K2576)</f>
        <v/>
      </c>
      <c r="C2576" s="338">
        <f>IF($K2576="","",$K2576)</f>
        <v/>
      </c>
      <c r="D2576" s="171" t="n"/>
      <c r="E2576" s="171" t="n"/>
      <c r="F2576" s="172" t="n"/>
      <c r="G2576" s="172" t="n"/>
      <c r="H2576" s="173">
        <f>IF(OR(F2576="",G2576=""),"",ROUND(MOD(G2576-F2576,1)*24,2))</f>
        <v/>
      </c>
      <c r="I2576" s="339" t="n"/>
      <c r="J2576" s="339" t="n"/>
      <c r="K2576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77" ht="20" customHeight="1">
      <c r="D2577" s="179" t="n"/>
      <c r="E2577" s="179" t="n"/>
      <c r="F2577" s="180" t="n"/>
      <c r="G2577" s="180" t="n"/>
      <c r="H2577" s="181">
        <f>IF(OR(F2577="",G2577=""),"",ROUND(MOD(G2577-F2577,1)*24,2))</f>
        <v/>
      </c>
      <c r="K2577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78" ht="20" customHeight="1">
      <c r="D2578" s="179" t="n"/>
      <c r="E2578" s="179" t="n"/>
      <c r="F2578" s="180" t="n"/>
      <c r="G2578" s="180" t="n"/>
      <c r="H2578" s="181">
        <f>IF(OR(F2578="",G2578=""),"",ROUND(MOD(G2578-F2578,1)*24,2))</f>
        <v/>
      </c>
      <c r="K2578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79" ht="20" customHeight="1">
      <c r="D2579" s="179" t="n"/>
      <c r="E2579" s="179" t="n"/>
      <c r="F2579" s="180" t="n"/>
      <c r="G2579" s="180" t="n"/>
      <c r="H2579" s="181">
        <f>IF(OR(F2579="",G2579=""),"",ROUND(MOD(G2579-F2579,1)*24,2))</f>
        <v/>
      </c>
      <c r="K2579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80" collapsed="1" ht="20" customHeight="1">
      <c r="D2580" s="179" t="n"/>
      <c r="E2580" s="179" t="n"/>
      <c r="F2580" s="180" t="n"/>
      <c r="G2580" s="180" t="n"/>
      <c r="H2580" s="181">
        <f>IF(OR(F2580="",G2580=""),"",ROUND(MOD(G2580-F2580,1)*24,2))</f>
        <v/>
      </c>
      <c r="K2580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81" hidden="1" outlineLevel="1" ht="20" customHeight="1">
      <c r="D2581" s="179" t="n"/>
      <c r="E2581" s="179" t="n"/>
      <c r="F2581" s="180" t="n"/>
      <c r="G2581" s="180" t="n"/>
      <c r="H2581" s="181">
        <f>IF(OR(F2581="",G2581=""),"",ROUND(MOD(G2581-F2581,1)*24,2))</f>
        <v/>
      </c>
      <c r="K2581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82" hidden="1" outlineLevel="1" ht="20" customHeight="1">
      <c r="D2582" s="179" t="n"/>
      <c r="E2582" s="179" t="n"/>
      <c r="F2582" s="180" t="n"/>
      <c r="G2582" s="180" t="n"/>
      <c r="H2582" s="181">
        <f>IF(OR(F2582="",G2582=""),"",ROUND(MOD(G2582-F2582,1)*24,2))</f>
        <v/>
      </c>
      <c r="K2582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83" hidden="1" outlineLevel="1" ht="20" customHeight="1">
      <c r="D2583" s="179" t="n"/>
      <c r="E2583" s="179" t="n"/>
      <c r="F2583" s="180" t="n"/>
      <c r="G2583" s="180" t="n"/>
      <c r="H2583" s="181">
        <f>IF(OR(F2583="",G2583=""),"",ROUND(MOD(G2583-F2583,1)*24,2))</f>
        <v/>
      </c>
      <c r="K2583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84" hidden="1" outlineLevel="1" ht="20" customHeight="1">
      <c r="D2584" s="179" t="n"/>
      <c r="E2584" s="179" t="n"/>
      <c r="F2584" s="180" t="n"/>
      <c r="G2584" s="180" t="n"/>
      <c r="H2584" s="181">
        <f>IF(OR(F2584="",G2584=""),"",ROUND(MOD(G2584-F2584,1)*24,2))</f>
        <v/>
      </c>
      <c r="K2584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85" hidden="1" outlineLevel="1" ht="20" customHeight="1">
      <c r="A2585" s="342" t="n"/>
      <c r="B2585" s="342" t="n"/>
      <c r="C2585" s="342" t="n"/>
      <c r="D2585" s="332" t="n"/>
      <c r="E2585" s="332" t="n"/>
      <c r="F2585" s="333" t="n"/>
      <c r="G2585" s="333" t="n"/>
      <c r="H2585" s="334">
        <f>IF(OR(F2585="",G2585=""),"",ROUND(MOD(G2585-F2585,1)*24,2))</f>
        <v/>
      </c>
      <c r="I2585" s="342" t="n"/>
      <c r="J2585" s="342" t="n"/>
      <c r="K2585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586" ht="20" customHeight="1">
      <c r="A2586" s="336">
        <f>IF($K2586="","",WEEKNUM($K2586,21))</f>
        <v/>
      </c>
      <c r="B2586" s="337">
        <f>IF($K2586="","",$K2586)</f>
        <v/>
      </c>
      <c r="C2586" s="338">
        <f>IF($K2586="","",$K2586)</f>
        <v/>
      </c>
      <c r="D2586" s="171" t="n"/>
      <c r="E2586" s="171" t="n"/>
      <c r="F2586" s="172" t="n"/>
      <c r="G2586" s="172" t="n"/>
      <c r="H2586" s="173">
        <f>IF(OR(F2586="",G2586=""),"",ROUND(MOD(G2586-F2586,1)*24,2))</f>
        <v/>
      </c>
      <c r="I2586" s="339" t="n"/>
      <c r="J2586" s="339" t="n"/>
      <c r="K2586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87" ht="20" customHeight="1">
      <c r="D2587" s="179" t="n"/>
      <c r="E2587" s="179" t="n"/>
      <c r="F2587" s="180" t="n"/>
      <c r="G2587" s="180" t="n"/>
      <c r="H2587" s="181">
        <f>IF(OR(F2587="",G2587=""),"",ROUND(MOD(G2587-F2587,1)*24,2))</f>
        <v/>
      </c>
      <c r="K2587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88" ht="20" customHeight="1">
      <c r="D2588" s="179" t="n"/>
      <c r="E2588" s="179" t="n"/>
      <c r="F2588" s="180" t="n"/>
      <c r="G2588" s="180" t="n"/>
      <c r="H2588" s="181">
        <f>IF(OR(F2588="",G2588=""),"",ROUND(MOD(G2588-F2588,1)*24,2))</f>
        <v/>
      </c>
      <c r="K2588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89" ht="20" customHeight="1">
      <c r="D2589" s="179" t="n"/>
      <c r="E2589" s="179" t="n"/>
      <c r="F2589" s="180" t="n"/>
      <c r="G2589" s="180" t="n"/>
      <c r="H2589" s="181">
        <f>IF(OR(F2589="",G2589=""),"",ROUND(MOD(G2589-F2589,1)*24,2))</f>
        <v/>
      </c>
      <c r="K2589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90" collapsed="1" ht="20" customHeight="1">
      <c r="D2590" s="179" t="n"/>
      <c r="E2590" s="179" t="n"/>
      <c r="F2590" s="180" t="n"/>
      <c r="G2590" s="180" t="n"/>
      <c r="H2590" s="181">
        <f>IF(OR(F2590="",G2590=""),"",ROUND(MOD(G2590-F2590,1)*24,2))</f>
        <v/>
      </c>
      <c r="K2590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91" hidden="1" outlineLevel="1" ht="20" customHeight="1">
      <c r="D2591" s="179" t="n"/>
      <c r="E2591" s="179" t="n"/>
      <c r="F2591" s="180" t="n"/>
      <c r="G2591" s="180" t="n"/>
      <c r="H2591" s="181">
        <f>IF(OR(F2591="",G2591=""),"",ROUND(MOD(G2591-F2591,1)*24,2))</f>
        <v/>
      </c>
      <c r="K2591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92" hidden="1" outlineLevel="1" ht="20" customHeight="1">
      <c r="D2592" s="179" t="n"/>
      <c r="E2592" s="179" t="n"/>
      <c r="F2592" s="180" t="n"/>
      <c r="G2592" s="180" t="n"/>
      <c r="H2592" s="181">
        <f>IF(OR(F2592="",G2592=""),"",ROUND(MOD(G2592-F2592,1)*24,2))</f>
        <v/>
      </c>
      <c r="K2592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93" hidden="1" outlineLevel="1" ht="20" customHeight="1">
      <c r="D2593" s="179" t="n"/>
      <c r="E2593" s="179" t="n"/>
      <c r="F2593" s="180" t="n"/>
      <c r="G2593" s="180" t="n"/>
      <c r="H2593" s="181">
        <f>IF(OR(F2593="",G2593=""),"",ROUND(MOD(G2593-F2593,1)*24,2))</f>
        <v/>
      </c>
      <c r="K2593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94" hidden="1" outlineLevel="1" ht="20" customHeight="1">
      <c r="D2594" s="179" t="n"/>
      <c r="E2594" s="179" t="n"/>
      <c r="F2594" s="180" t="n"/>
      <c r="G2594" s="180" t="n"/>
      <c r="H2594" s="181">
        <f>IF(OR(F2594="",G2594=""),"",ROUND(MOD(G2594-F2594,1)*24,2))</f>
        <v/>
      </c>
      <c r="K2594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95" hidden="1" outlineLevel="1" ht="20" customHeight="1">
      <c r="A2595" s="342" t="n"/>
      <c r="B2595" s="342" t="n"/>
      <c r="C2595" s="342" t="n"/>
      <c r="D2595" s="332" t="n"/>
      <c r="E2595" s="332" t="n"/>
      <c r="F2595" s="333" t="n"/>
      <c r="G2595" s="333" t="n"/>
      <c r="H2595" s="334">
        <f>IF(OR(F2595="",G2595=""),"",ROUND(MOD(G2595-F2595,1)*24,2))</f>
        <v/>
      </c>
      <c r="I2595" s="342" t="n"/>
      <c r="J2595" s="342" t="n"/>
      <c r="K2595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596" ht="20" customHeight="1">
      <c r="A2596" s="336">
        <f>IF($K2596="","",WEEKNUM($K2596,21))</f>
        <v/>
      </c>
      <c r="B2596" s="337">
        <f>IF($K2596="","",$K2596)</f>
        <v/>
      </c>
      <c r="C2596" s="338">
        <f>IF($K2596="","",$K2596)</f>
        <v/>
      </c>
      <c r="D2596" s="171" t="n"/>
      <c r="E2596" s="171" t="n"/>
      <c r="F2596" s="172" t="n"/>
      <c r="G2596" s="172" t="n"/>
      <c r="H2596" s="173">
        <f>IF(OR(F2596="",G2596=""),"",ROUND(MOD(G2596-F2596,1)*24,2))</f>
        <v/>
      </c>
      <c r="I2596" s="339" t="n"/>
      <c r="J2596" s="339" t="n"/>
      <c r="K2596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597" ht="20" customHeight="1">
      <c r="D2597" s="179" t="n"/>
      <c r="E2597" s="179" t="n"/>
      <c r="F2597" s="180" t="n"/>
      <c r="G2597" s="180" t="n"/>
      <c r="H2597" s="181">
        <f>IF(OR(F2597="",G2597=""),"",ROUND(MOD(G2597-F2597,1)*24,2))</f>
        <v/>
      </c>
      <c r="K2597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598" ht="20" customHeight="1">
      <c r="D2598" s="179" t="n"/>
      <c r="E2598" s="179" t="n"/>
      <c r="F2598" s="180" t="n"/>
      <c r="G2598" s="180" t="n"/>
      <c r="H2598" s="181">
        <f>IF(OR(F2598="",G2598=""),"",ROUND(MOD(G2598-F2598,1)*24,2))</f>
        <v/>
      </c>
      <c r="K2598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599" ht="20" customHeight="1">
      <c r="D2599" s="179" t="n"/>
      <c r="E2599" s="179" t="n"/>
      <c r="F2599" s="180" t="n"/>
      <c r="G2599" s="180" t="n"/>
      <c r="H2599" s="181">
        <f>IF(OR(F2599="",G2599=""),"",ROUND(MOD(G2599-F2599,1)*24,2))</f>
        <v/>
      </c>
      <c r="K2599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600" collapsed="1" ht="20" customHeight="1">
      <c r="D2600" s="179" t="n"/>
      <c r="E2600" s="179" t="n"/>
      <c r="F2600" s="180" t="n"/>
      <c r="G2600" s="180" t="n"/>
      <c r="H2600" s="181">
        <f>IF(OR(F2600="",G2600=""),"",ROUND(MOD(G2600-F2600,1)*24,2))</f>
        <v/>
      </c>
      <c r="K2600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601" hidden="1" outlineLevel="1" ht="20" customHeight="1">
      <c r="D2601" s="179" t="n"/>
      <c r="E2601" s="179" t="n"/>
      <c r="F2601" s="180" t="n"/>
      <c r="G2601" s="180" t="n"/>
      <c r="H2601" s="181">
        <f>IF(OR(F2601="",G2601=""),"",ROUND(MOD(G2601-F2601,1)*24,2))</f>
        <v/>
      </c>
      <c r="K2601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602" hidden="1" outlineLevel="1" ht="20" customHeight="1">
      <c r="D2602" s="179" t="n"/>
      <c r="E2602" s="179" t="n"/>
      <c r="F2602" s="180" t="n"/>
      <c r="G2602" s="180" t="n"/>
      <c r="H2602" s="181">
        <f>IF(OR(F2602="",G2602=""),"",ROUND(MOD(G2602-F2602,1)*24,2))</f>
        <v/>
      </c>
      <c r="K2602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603" hidden="1" outlineLevel="1" ht="20" customHeight="1">
      <c r="D2603" s="179" t="n"/>
      <c r="E2603" s="179" t="n"/>
      <c r="F2603" s="180" t="n"/>
      <c r="G2603" s="180" t="n"/>
      <c r="H2603" s="181">
        <f>IF(OR(F2603="",G2603=""),"",ROUND(MOD(G2603-F2603,1)*24,2))</f>
        <v/>
      </c>
      <c r="K2603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604" hidden="1" outlineLevel="1" ht="20" customHeight="1">
      <c r="D2604" s="179" t="n"/>
      <c r="E2604" s="179" t="n"/>
      <c r="F2604" s="180" t="n"/>
      <c r="G2604" s="180" t="n"/>
      <c r="H2604" s="181">
        <f>IF(OR(F2604="",G2604=""),"",ROUND(MOD(G2604-F2604,1)*24,2))</f>
        <v/>
      </c>
      <c r="K2604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605" hidden="1" outlineLevel="1" ht="20" customHeight="1">
      <c r="A2605" s="342" t="n"/>
      <c r="B2605" s="342" t="n"/>
      <c r="C2605" s="342" t="n"/>
      <c r="D2605" s="332" t="n"/>
      <c r="E2605" s="332" t="n"/>
      <c r="F2605" s="333" t="n"/>
      <c r="G2605" s="333" t="n"/>
      <c r="H2605" s="334">
        <f>IF(OR(F2605="",G2605=""),"",ROUND(MOD(G2605-F2605,1)*24,2))</f>
        <v/>
      </c>
      <c r="I2605" s="342" t="n"/>
      <c r="J2605" s="342" t="n"/>
      <c r="K2605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606" ht="20" customHeight="1">
      <c r="A2606" s="336">
        <f>IF($K2606="","",WEEKNUM($K2606,21))</f>
        <v/>
      </c>
      <c r="B2606" s="337">
        <f>IF($K2606="","",$K2606)</f>
        <v/>
      </c>
      <c r="C2606" s="338">
        <f>IF($K2606="","",$K2606)</f>
        <v/>
      </c>
      <c r="D2606" s="171" t="n"/>
      <c r="E2606" s="171" t="n"/>
      <c r="F2606" s="172" t="n"/>
      <c r="G2606" s="172" t="n"/>
      <c r="H2606" s="173">
        <f>IF(OR(F2606="",G2606=""),"",ROUND(MOD(G2606-F2606,1)*24,2))</f>
        <v/>
      </c>
      <c r="I2606" s="339" t="n"/>
      <c r="J2606" s="339" t="n"/>
      <c r="K2606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07" ht="20" customHeight="1">
      <c r="D2607" s="179" t="n"/>
      <c r="E2607" s="179" t="n"/>
      <c r="F2607" s="180" t="n"/>
      <c r="G2607" s="180" t="n"/>
      <c r="H2607" s="181">
        <f>IF(OR(F2607="",G2607=""),"",ROUND(MOD(G2607-F2607,1)*24,2))</f>
        <v/>
      </c>
      <c r="K2607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08" ht="20" customHeight="1">
      <c r="D2608" s="179" t="n"/>
      <c r="E2608" s="179" t="n"/>
      <c r="F2608" s="180" t="n"/>
      <c r="G2608" s="180" t="n"/>
      <c r="H2608" s="181">
        <f>IF(OR(F2608="",G2608=""),"",ROUND(MOD(G2608-F2608,1)*24,2))</f>
        <v/>
      </c>
      <c r="K2608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09" ht="20" customHeight="1">
      <c r="D2609" s="179" t="n"/>
      <c r="E2609" s="179" t="n"/>
      <c r="F2609" s="180" t="n"/>
      <c r="G2609" s="180" t="n"/>
      <c r="H2609" s="181">
        <f>IF(OR(F2609="",G2609=""),"",ROUND(MOD(G2609-F2609,1)*24,2))</f>
        <v/>
      </c>
      <c r="K2609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10" collapsed="1" ht="20" customHeight="1">
      <c r="D2610" s="179" t="n"/>
      <c r="E2610" s="179" t="n"/>
      <c r="F2610" s="180" t="n"/>
      <c r="G2610" s="180" t="n"/>
      <c r="H2610" s="181">
        <f>IF(OR(F2610="",G2610=""),"",ROUND(MOD(G2610-F2610,1)*24,2))</f>
        <v/>
      </c>
      <c r="K2610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11" hidden="1" outlineLevel="1" ht="20" customHeight="1">
      <c r="D2611" s="179" t="n"/>
      <c r="E2611" s="179" t="n"/>
      <c r="F2611" s="180" t="n"/>
      <c r="G2611" s="180" t="n"/>
      <c r="H2611" s="181">
        <f>IF(OR(F2611="",G2611=""),"",ROUND(MOD(G2611-F2611,1)*24,2))</f>
        <v/>
      </c>
      <c r="K2611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12" hidden="1" outlineLevel="1" ht="20" customHeight="1">
      <c r="D2612" s="179" t="n"/>
      <c r="E2612" s="179" t="n"/>
      <c r="F2612" s="180" t="n"/>
      <c r="G2612" s="180" t="n"/>
      <c r="H2612" s="181">
        <f>IF(OR(F2612="",G2612=""),"",ROUND(MOD(G2612-F2612,1)*24,2))</f>
        <v/>
      </c>
      <c r="K2612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13" hidden="1" outlineLevel="1" ht="20" customHeight="1">
      <c r="D2613" s="179" t="n"/>
      <c r="E2613" s="179" t="n"/>
      <c r="F2613" s="180" t="n"/>
      <c r="G2613" s="180" t="n"/>
      <c r="H2613" s="181">
        <f>IF(OR(F2613="",G2613=""),"",ROUND(MOD(G2613-F2613,1)*24,2))</f>
        <v/>
      </c>
      <c r="K2613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14" hidden="1" outlineLevel="1" ht="20" customHeight="1">
      <c r="D2614" s="179" t="n"/>
      <c r="E2614" s="179" t="n"/>
      <c r="F2614" s="180" t="n"/>
      <c r="G2614" s="180" t="n"/>
      <c r="H2614" s="181">
        <f>IF(OR(F2614="",G2614=""),"",ROUND(MOD(G2614-F2614,1)*24,2))</f>
        <v/>
      </c>
      <c r="K2614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15" hidden="1" outlineLevel="1" ht="20" customHeight="1">
      <c r="A2615" s="342" t="n"/>
      <c r="B2615" s="342" t="n"/>
      <c r="C2615" s="342" t="n"/>
      <c r="D2615" s="332" t="n"/>
      <c r="E2615" s="332" t="n"/>
      <c r="F2615" s="333" t="n"/>
      <c r="G2615" s="333" t="n"/>
      <c r="H2615" s="334">
        <f>IF(OR(F2615="",G2615=""),"",ROUND(MOD(G2615-F2615,1)*24,2))</f>
        <v/>
      </c>
      <c r="I2615" s="342" t="n"/>
      <c r="J2615" s="342" t="n"/>
      <c r="K2615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16" ht="20" customHeight="1">
      <c r="A2616" s="336">
        <f>IF($K2616="","",WEEKNUM($K2616,21))</f>
        <v/>
      </c>
      <c r="B2616" s="337">
        <f>IF($K2616="","",$K2616)</f>
        <v/>
      </c>
      <c r="C2616" s="338">
        <f>IF($K2616="","",$K2616)</f>
        <v/>
      </c>
      <c r="D2616" s="171" t="n"/>
      <c r="E2616" s="171" t="n"/>
      <c r="F2616" s="172" t="n"/>
      <c r="G2616" s="172" t="n"/>
      <c r="H2616" s="173">
        <f>IF(OR(F2616="",G2616=""),"",ROUND(MOD(G2616-F2616,1)*24,2))</f>
        <v/>
      </c>
      <c r="I2616" s="339" t="n"/>
      <c r="J2616" s="339" t="n"/>
      <c r="K2616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17" ht="20" customHeight="1">
      <c r="D2617" s="179" t="n"/>
      <c r="E2617" s="179" t="n"/>
      <c r="F2617" s="180" t="n"/>
      <c r="G2617" s="180" t="n"/>
      <c r="H2617" s="181">
        <f>IF(OR(F2617="",G2617=""),"",ROUND(MOD(G2617-F2617,1)*24,2))</f>
        <v/>
      </c>
      <c r="K2617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18" ht="20" customHeight="1">
      <c r="D2618" s="179" t="n"/>
      <c r="E2618" s="179" t="n"/>
      <c r="F2618" s="180" t="n"/>
      <c r="G2618" s="180" t="n"/>
      <c r="H2618" s="181">
        <f>IF(OR(F2618="",G2618=""),"",ROUND(MOD(G2618-F2618,1)*24,2))</f>
        <v/>
      </c>
      <c r="K2618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19" ht="20" customHeight="1">
      <c r="D2619" s="179" t="n"/>
      <c r="E2619" s="179" t="n"/>
      <c r="F2619" s="180" t="n"/>
      <c r="G2619" s="180" t="n"/>
      <c r="H2619" s="181">
        <f>IF(OR(F2619="",G2619=""),"",ROUND(MOD(G2619-F2619,1)*24,2))</f>
        <v/>
      </c>
      <c r="K2619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20" collapsed="1" ht="20" customHeight="1">
      <c r="D2620" s="179" t="n"/>
      <c r="E2620" s="179" t="n"/>
      <c r="F2620" s="180" t="n"/>
      <c r="G2620" s="180" t="n"/>
      <c r="H2620" s="181">
        <f>IF(OR(F2620="",G2620=""),"",ROUND(MOD(G2620-F2620,1)*24,2))</f>
        <v/>
      </c>
      <c r="K2620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21" hidden="1" outlineLevel="1" ht="20" customHeight="1">
      <c r="D2621" s="179" t="n"/>
      <c r="E2621" s="179" t="n"/>
      <c r="F2621" s="180" t="n"/>
      <c r="G2621" s="180" t="n"/>
      <c r="H2621" s="181">
        <f>IF(OR(F2621="",G2621=""),"",ROUND(MOD(G2621-F2621,1)*24,2))</f>
        <v/>
      </c>
      <c r="K2621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22" hidden="1" outlineLevel="1" ht="20" customHeight="1">
      <c r="D2622" s="179" t="n"/>
      <c r="E2622" s="179" t="n"/>
      <c r="F2622" s="180" t="n"/>
      <c r="G2622" s="180" t="n"/>
      <c r="H2622" s="181">
        <f>IF(OR(F2622="",G2622=""),"",ROUND(MOD(G2622-F2622,1)*24,2))</f>
        <v/>
      </c>
      <c r="K2622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23" hidden="1" outlineLevel="1" ht="20" customHeight="1">
      <c r="D2623" s="179" t="n"/>
      <c r="E2623" s="179" t="n"/>
      <c r="F2623" s="180" t="n"/>
      <c r="G2623" s="180" t="n"/>
      <c r="H2623" s="181">
        <f>IF(OR(F2623="",G2623=""),"",ROUND(MOD(G2623-F2623,1)*24,2))</f>
        <v/>
      </c>
      <c r="K2623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24" hidden="1" outlineLevel="1" ht="20" customHeight="1">
      <c r="D2624" s="179" t="n"/>
      <c r="E2624" s="179" t="n"/>
      <c r="F2624" s="180" t="n"/>
      <c r="G2624" s="180" t="n"/>
      <c r="H2624" s="181">
        <f>IF(OR(F2624="",G2624=""),"",ROUND(MOD(G2624-F2624,1)*24,2))</f>
        <v/>
      </c>
      <c r="K2624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25" hidden="1" outlineLevel="1" ht="20" customHeight="1">
      <c r="A2625" s="342" t="n"/>
      <c r="B2625" s="342" t="n"/>
      <c r="C2625" s="342" t="n"/>
      <c r="D2625" s="332" t="n"/>
      <c r="E2625" s="332" t="n"/>
      <c r="F2625" s="333" t="n"/>
      <c r="G2625" s="333" t="n"/>
      <c r="H2625" s="334">
        <f>IF(OR(F2625="",G2625=""),"",ROUND(MOD(G2625-F2625,1)*24,2))</f>
        <v/>
      </c>
      <c r="I2625" s="342" t="n"/>
      <c r="J2625" s="342" t="n"/>
      <c r="K2625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26" ht="20" customHeight="1">
      <c r="A2626" s="336">
        <f>IF($K2626="","",WEEKNUM($K2626,21))</f>
        <v/>
      </c>
      <c r="B2626" s="337">
        <f>IF($K2626="","",$K2626)</f>
        <v/>
      </c>
      <c r="C2626" s="338">
        <f>IF($K2626="","",$K2626)</f>
        <v/>
      </c>
      <c r="D2626" s="171" t="n"/>
      <c r="E2626" s="171" t="n"/>
      <c r="F2626" s="172" t="n"/>
      <c r="G2626" s="172" t="n"/>
      <c r="H2626" s="173">
        <f>IF(OR(F2626="",G2626=""),"",ROUND(MOD(G2626-F2626,1)*24,2))</f>
        <v/>
      </c>
      <c r="I2626" s="339" t="n"/>
      <c r="J2626" s="339" t="n"/>
      <c r="K2626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27" ht="20" customHeight="1">
      <c r="D2627" s="179" t="n"/>
      <c r="E2627" s="179" t="n"/>
      <c r="F2627" s="180" t="n"/>
      <c r="G2627" s="180" t="n"/>
      <c r="H2627" s="181">
        <f>IF(OR(F2627="",G2627=""),"",ROUND(MOD(G2627-F2627,1)*24,2))</f>
        <v/>
      </c>
      <c r="K2627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28" ht="20" customHeight="1">
      <c r="D2628" s="179" t="n"/>
      <c r="E2628" s="179" t="n"/>
      <c r="F2628" s="180" t="n"/>
      <c r="G2628" s="180" t="n"/>
      <c r="H2628" s="181">
        <f>IF(OR(F2628="",G2628=""),"",ROUND(MOD(G2628-F2628,1)*24,2))</f>
        <v/>
      </c>
      <c r="K2628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29" ht="20" customHeight="1">
      <c r="D2629" s="179" t="n"/>
      <c r="E2629" s="179" t="n"/>
      <c r="F2629" s="180" t="n"/>
      <c r="G2629" s="180" t="n"/>
      <c r="H2629" s="181">
        <f>IF(OR(F2629="",G2629=""),"",ROUND(MOD(G2629-F2629,1)*24,2))</f>
        <v/>
      </c>
      <c r="K2629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30" collapsed="1" ht="20" customHeight="1">
      <c r="D2630" s="179" t="n"/>
      <c r="E2630" s="179" t="n"/>
      <c r="F2630" s="180" t="n"/>
      <c r="G2630" s="180" t="n"/>
      <c r="H2630" s="181">
        <f>IF(OR(F2630="",G2630=""),"",ROUND(MOD(G2630-F2630,1)*24,2))</f>
        <v/>
      </c>
      <c r="K2630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31" hidden="1" outlineLevel="1" ht="20" customHeight="1">
      <c r="D2631" s="179" t="n"/>
      <c r="E2631" s="179" t="n"/>
      <c r="F2631" s="180" t="n"/>
      <c r="G2631" s="180" t="n"/>
      <c r="H2631" s="181">
        <f>IF(OR(F2631="",G2631=""),"",ROUND(MOD(G2631-F2631,1)*24,2))</f>
        <v/>
      </c>
      <c r="K2631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32" hidden="1" outlineLevel="1" ht="20" customHeight="1">
      <c r="D2632" s="179" t="n"/>
      <c r="E2632" s="179" t="n"/>
      <c r="F2632" s="180" t="n"/>
      <c r="G2632" s="180" t="n"/>
      <c r="H2632" s="181">
        <f>IF(OR(F2632="",G2632=""),"",ROUND(MOD(G2632-F2632,1)*24,2))</f>
        <v/>
      </c>
      <c r="K2632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33" hidden="1" outlineLevel="1" ht="20" customHeight="1">
      <c r="D2633" s="179" t="n"/>
      <c r="E2633" s="179" t="n"/>
      <c r="F2633" s="180" t="n"/>
      <c r="G2633" s="180" t="n"/>
      <c r="H2633" s="181">
        <f>IF(OR(F2633="",G2633=""),"",ROUND(MOD(G2633-F2633,1)*24,2))</f>
        <v/>
      </c>
      <c r="K2633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34" hidden="1" outlineLevel="1" ht="20" customHeight="1">
      <c r="D2634" s="179" t="n"/>
      <c r="E2634" s="179" t="n"/>
      <c r="F2634" s="180" t="n"/>
      <c r="G2634" s="180" t="n"/>
      <c r="H2634" s="181">
        <f>IF(OR(F2634="",G2634=""),"",ROUND(MOD(G2634-F2634,1)*24,2))</f>
        <v/>
      </c>
      <c r="K2634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35" hidden="1" outlineLevel="1" ht="20" customHeight="1">
      <c r="A2635" s="342" t="n"/>
      <c r="B2635" s="342" t="n"/>
      <c r="C2635" s="342" t="n"/>
      <c r="D2635" s="332" t="n"/>
      <c r="E2635" s="332" t="n"/>
      <c r="F2635" s="333" t="n"/>
      <c r="G2635" s="333" t="n"/>
      <c r="H2635" s="334">
        <f>IF(OR(F2635="",G2635=""),"",ROUND(MOD(G2635-F2635,1)*24,2))</f>
        <v/>
      </c>
      <c r="I2635" s="342" t="n"/>
      <c r="J2635" s="342" t="n"/>
      <c r="K2635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36" ht="20" customHeight="1">
      <c r="A2636" s="336">
        <f>IF($K2636="","",WEEKNUM($K2636,21))</f>
        <v/>
      </c>
      <c r="B2636" s="337">
        <f>IF($K2636="","",$K2636)</f>
        <v/>
      </c>
      <c r="C2636" s="338">
        <f>IF($K2636="","",$K2636)</f>
        <v/>
      </c>
      <c r="D2636" s="171" t="n"/>
      <c r="E2636" s="171" t="n"/>
      <c r="F2636" s="172" t="n"/>
      <c r="G2636" s="172" t="n"/>
      <c r="H2636" s="173">
        <f>IF(OR(F2636="",G2636=""),"",ROUND(MOD(G2636-F2636,1)*24,2))</f>
        <v/>
      </c>
      <c r="I2636" s="339" t="n"/>
      <c r="J2636" s="339" t="n"/>
      <c r="K2636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37" ht="20" customHeight="1">
      <c r="D2637" s="179" t="n"/>
      <c r="E2637" s="179" t="n"/>
      <c r="F2637" s="180" t="n"/>
      <c r="G2637" s="180" t="n"/>
      <c r="H2637" s="181">
        <f>IF(OR(F2637="",G2637=""),"",ROUND(MOD(G2637-F2637,1)*24,2))</f>
        <v/>
      </c>
      <c r="K2637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38" ht="20" customHeight="1">
      <c r="D2638" s="179" t="n"/>
      <c r="E2638" s="179" t="n"/>
      <c r="F2638" s="180" t="n"/>
      <c r="G2638" s="180" t="n"/>
      <c r="H2638" s="181">
        <f>IF(OR(F2638="",G2638=""),"",ROUND(MOD(G2638-F2638,1)*24,2))</f>
        <v/>
      </c>
      <c r="K2638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39" ht="20" customHeight="1">
      <c r="D2639" s="179" t="n"/>
      <c r="E2639" s="179" t="n"/>
      <c r="F2639" s="180" t="n"/>
      <c r="G2639" s="180" t="n"/>
      <c r="H2639" s="181">
        <f>IF(OR(F2639="",G2639=""),"",ROUND(MOD(G2639-F2639,1)*24,2))</f>
        <v/>
      </c>
      <c r="K2639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40" collapsed="1" ht="20" customHeight="1">
      <c r="D2640" s="179" t="n"/>
      <c r="E2640" s="179" t="n"/>
      <c r="F2640" s="180" t="n"/>
      <c r="G2640" s="180" t="n"/>
      <c r="H2640" s="181">
        <f>IF(OR(F2640="",G2640=""),"",ROUND(MOD(G2640-F2640,1)*24,2))</f>
        <v/>
      </c>
      <c r="K2640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41" hidden="1" outlineLevel="1" ht="20" customHeight="1">
      <c r="D2641" s="179" t="n"/>
      <c r="E2641" s="179" t="n"/>
      <c r="F2641" s="180" t="n"/>
      <c r="G2641" s="180" t="n"/>
      <c r="H2641" s="181">
        <f>IF(OR(F2641="",G2641=""),"",ROUND(MOD(G2641-F2641,1)*24,2))</f>
        <v/>
      </c>
      <c r="K2641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42" hidden="1" outlineLevel="1" ht="20" customHeight="1">
      <c r="D2642" s="179" t="n"/>
      <c r="E2642" s="179" t="n"/>
      <c r="F2642" s="180" t="n"/>
      <c r="G2642" s="180" t="n"/>
      <c r="H2642" s="181">
        <f>IF(OR(F2642="",G2642=""),"",ROUND(MOD(G2642-F2642,1)*24,2))</f>
        <v/>
      </c>
      <c r="K2642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43" hidden="1" outlineLevel="1" ht="20" customHeight="1">
      <c r="D2643" s="179" t="n"/>
      <c r="E2643" s="179" t="n"/>
      <c r="F2643" s="180" t="n"/>
      <c r="G2643" s="180" t="n"/>
      <c r="H2643" s="181">
        <f>IF(OR(F2643="",G2643=""),"",ROUND(MOD(G2643-F2643,1)*24,2))</f>
        <v/>
      </c>
      <c r="K2643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44" hidden="1" outlineLevel="1" ht="20" customHeight="1">
      <c r="D2644" s="179" t="n"/>
      <c r="E2644" s="179" t="n"/>
      <c r="F2644" s="180" t="n"/>
      <c r="G2644" s="180" t="n"/>
      <c r="H2644" s="181">
        <f>IF(OR(F2644="",G2644=""),"",ROUND(MOD(G2644-F2644,1)*24,2))</f>
        <v/>
      </c>
      <c r="K2644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45" hidden="1" outlineLevel="1" ht="20" customHeight="1">
      <c r="A2645" s="342" t="n"/>
      <c r="B2645" s="342" t="n"/>
      <c r="C2645" s="342" t="n"/>
      <c r="D2645" s="332" t="n"/>
      <c r="E2645" s="332" t="n"/>
      <c r="F2645" s="333" t="n"/>
      <c r="G2645" s="333" t="n"/>
      <c r="H2645" s="334">
        <f>IF(OR(F2645="",G2645=""),"",ROUND(MOD(G2645-F2645,1)*24,2))</f>
        <v/>
      </c>
      <c r="I2645" s="342" t="n"/>
      <c r="J2645" s="342" t="n"/>
      <c r="K2645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46" ht="20" customHeight="1">
      <c r="A2646" s="336">
        <f>IF($K2646="","",WEEKNUM($K2646,21))</f>
        <v/>
      </c>
      <c r="B2646" s="337">
        <f>IF($K2646="","",$K2646)</f>
        <v/>
      </c>
      <c r="C2646" s="338">
        <f>IF($K2646="","",$K2646)</f>
        <v/>
      </c>
      <c r="D2646" s="171" t="n"/>
      <c r="E2646" s="171" t="n"/>
      <c r="F2646" s="172" t="n"/>
      <c r="G2646" s="172" t="n"/>
      <c r="H2646" s="173">
        <f>IF(OR(F2646="",G2646=""),"",ROUND(MOD(G2646-F2646,1)*24,2))</f>
        <v/>
      </c>
      <c r="I2646" s="339" t="n"/>
      <c r="J2646" s="339" t="n"/>
      <c r="K2646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47" ht="20" customHeight="1">
      <c r="D2647" s="179" t="n"/>
      <c r="E2647" s="179" t="n"/>
      <c r="F2647" s="180" t="n"/>
      <c r="G2647" s="180" t="n"/>
      <c r="H2647" s="181">
        <f>IF(OR(F2647="",G2647=""),"",ROUND(MOD(G2647-F2647,1)*24,2))</f>
        <v/>
      </c>
      <c r="K2647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48" ht="20" customHeight="1">
      <c r="D2648" s="179" t="n"/>
      <c r="E2648" s="179" t="n"/>
      <c r="F2648" s="180" t="n"/>
      <c r="G2648" s="180" t="n"/>
      <c r="H2648" s="181">
        <f>IF(OR(F2648="",G2648=""),"",ROUND(MOD(G2648-F2648,1)*24,2))</f>
        <v/>
      </c>
      <c r="K2648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49" ht="20" customHeight="1">
      <c r="D2649" s="179" t="n"/>
      <c r="E2649" s="179" t="n"/>
      <c r="F2649" s="180" t="n"/>
      <c r="G2649" s="180" t="n"/>
      <c r="H2649" s="181">
        <f>IF(OR(F2649="",G2649=""),"",ROUND(MOD(G2649-F2649,1)*24,2))</f>
        <v/>
      </c>
      <c r="K2649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50" collapsed="1" ht="20" customHeight="1">
      <c r="D2650" s="179" t="n"/>
      <c r="E2650" s="179" t="n"/>
      <c r="F2650" s="180" t="n"/>
      <c r="G2650" s="180" t="n"/>
      <c r="H2650" s="181">
        <f>IF(OR(F2650="",G2650=""),"",ROUND(MOD(G2650-F2650,1)*24,2))</f>
        <v/>
      </c>
      <c r="K2650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51" hidden="1" outlineLevel="1" ht="20" customHeight="1">
      <c r="D2651" s="179" t="n"/>
      <c r="E2651" s="179" t="n"/>
      <c r="F2651" s="180" t="n"/>
      <c r="G2651" s="180" t="n"/>
      <c r="H2651" s="181">
        <f>IF(OR(F2651="",G2651=""),"",ROUND(MOD(G2651-F2651,1)*24,2))</f>
        <v/>
      </c>
      <c r="K2651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52" hidden="1" outlineLevel="1" ht="20" customHeight="1">
      <c r="D2652" s="179" t="n"/>
      <c r="E2652" s="179" t="n"/>
      <c r="F2652" s="180" t="n"/>
      <c r="G2652" s="180" t="n"/>
      <c r="H2652" s="181">
        <f>IF(OR(F2652="",G2652=""),"",ROUND(MOD(G2652-F2652,1)*24,2))</f>
        <v/>
      </c>
      <c r="K2652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53" hidden="1" outlineLevel="1" ht="20" customHeight="1">
      <c r="D2653" s="179" t="n"/>
      <c r="E2653" s="179" t="n"/>
      <c r="F2653" s="180" t="n"/>
      <c r="G2653" s="180" t="n"/>
      <c r="H2653" s="181">
        <f>IF(OR(F2653="",G2653=""),"",ROUND(MOD(G2653-F2653,1)*24,2))</f>
        <v/>
      </c>
      <c r="K2653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54" hidden="1" outlineLevel="1" ht="20" customHeight="1">
      <c r="D2654" s="179" t="n"/>
      <c r="E2654" s="179" t="n"/>
      <c r="F2654" s="180" t="n"/>
      <c r="G2654" s="180" t="n"/>
      <c r="H2654" s="181">
        <f>IF(OR(F2654="",G2654=""),"",ROUND(MOD(G2654-F2654,1)*24,2))</f>
        <v/>
      </c>
      <c r="K2654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55" hidden="1" outlineLevel="1" ht="20" customHeight="1">
      <c r="A2655" s="342" t="n"/>
      <c r="B2655" s="342" t="n"/>
      <c r="C2655" s="342" t="n"/>
      <c r="D2655" s="332" t="n"/>
      <c r="E2655" s="332" t="n"/>
      <c r="F2655" s="333" t="n"/>
      <c r="G2655" s="333" t="n"/>
      <c r="H2655" s="334">
        <f>IF(OR(F2655="",G2655=""),"",ROUND(MOD(G2655-F2655,1)*24,2))</f>
        <v/>
      </c>
      <c r="I2655" s="342" t="n"/>
      <c r="J2655" s="342" t="n"/>
      <c r="K2655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56" ht="20" customHeight="1">
      <c r="A2656" s="336">
        <f>IF($K2656="","",WEEKNUM($K2656,21))</f>
        <v/>
      </c>
      <c r="B2656" s="337">
        <f>IF($K2656="","",$K2656)</f>
        <v/>
      </c>
      <c r="C2656" s="338">
        <f>IF($K2656="","",$K2656)</f>
        <v/>
      </c>
      <c r="D2656" s="171" t="n"/>
      <c r="E2656" s="171" t="n"/>
      <c r="F2656" s="172" t="n"/>
      <c r="G2656" s="172" t="n"/>
      <c r="H2656" s="173">
        <f>IF(OR(F2656="",G2656=""),"",ROUND(MOD(G2656-F2656,1)*24,2))</f>
        <v/>
      </c>
      <c r="I2656" s="339" t="n"/>
      <c r="J2656" s="339" t="n"/>
      <c r="K2656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57" ht="20" customHeight="1">
      <c r="D2657" s="179" t="n"/>
      <c r="E2657" s="179" t="n"/>
      <c r="F2657" s="180" t="n"/>
      <c r="G2657" s="180" t="n"/>
      <c r="H2657" s="181">
        <f>IF(OR(F2657="",G2657=""),"",ROUND(MOD(G2657-F2657,1)*24,2))</f>
        <v/>
      </c>
      <c r="K2657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58" ht="20" customHeight="1">
      <c r="D2658" s="179" t="n"/>
      <c r="E2658" s="179" t="n"/>
      <c r="F2658" s="180" t="n"/>
      <c r="G2658" s="180" t="n"/>
      <c r="H2658" s="181">
        <f>IF(OR(F2658="",G2658=""),"",ROUND(MOD(G2658-F2658,1)*24,2))</f>
        <v/>
      </c>
      <c r="K2658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59" ht="20" customHeight="1">
      <c r="D2659" s="179" t="n"/>
      <c r="E2659" s="179" t="n"/>
      <c r="F2659" s="180" t="n"/>
      <c r="G2659" s="180" t="n"/>
      <c r="H2659" s="181">
        <f>IF(OR(F2659="",G2659=""),"",ROUND(MOD(G2659-F2659,1)*24,2))</f>
        <v/>
      </c>
      <c r="K2659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60" collapsed="1" ht="20" customHeight="1">
      <c r="D2660" s="179" t="n"/>
      <c r="E2660" s="179" t="n"/>
      <c r="F2660" s="180" t="n"/>
      <c r="G2660" s="180" t="n"/>
      <c r="H2660" s="181">
        <f>IF(OR(F2660="",G2660=""),"",ROUND(MOD(G2660-F2660,1)*24,2))</f>
        <v/>
      </c>
      <c r="K2660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61" hidden="1" outlineLevel="1" ht="20" customHeight="1">
      <c r="D2661" s="179" t="n"/>
      <c r="E2661" s="179" t="n"/>
      <c r="F2661" s="180" t="n"/>
      <c r="G2661" s="180" t="n"/>
      <c r="H2661" s="181">
        <f>IF(OR(F2661="",G2661=""),"",ROUND(MOD(G2661-F2661,1)*24,2))</f>
        <v/>
      </c>
      <c r="K2661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62" hidden="1" outlineLevel="1" ht="20" customHeight="1">
      <c r="D2662" s="179" t="n"/>
      <c r="E2662" s="179" t="n"/>
      <c r="F2662" s="180" t="n"/>
      <c r="G2662" s="180" t="n"/>
      <c r="H2662" s="181">
        <f>IF(OR(F2662="",G2662=""),"",ROUND(MOD(G2662-F2662,1)*24,2))</f>
        <v/>
      </c>
      <c r="K2662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63" hidden="1" outlineLevel="1" ht="20" customHeight="1">
      <c r="D2663" s="179" t="n"/>
      <c r="E2663" s="179" t="n"/>
      <c r="F2663" s="180" t="n"/>
      <c r="G2663" s="180" t="n"/>
      <c r="H2663" s="181">
        <f>IF(OR(F2663="",G2663=""),"",ROUND(MOD(G2663-F2663,1)*24,2))</f>
        <v/>
      </c>
      <c r="K2663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64" hidden="1" outlineLevel="1" ht="20" customHeight="1">
      <c r="D2664" s="179" t="n"/>
      <c r="E2664" s="179" t="n"/>
      <c r="F2664" s="180" t="n"/>
      <c r="G2664" s="180" t="n"/>
      <c r="H2664" s="181">
        <f>IF(OR(F2664="",G2664=""),"",ROUND(MOD(G2664-F2664,1)*24,2))</f>
        <v/>
      </c>
      <c r="K2664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65" hidden="1" outlineLevel="1" ht="20" customHeight="1">
      <c r="A2665" s="342" t="n"/>
      <c r="B2665" s="342" t="n"/>
      <c r="C2665" s="342" t="n"/>
      <c r="D2665" s="332" t="n"/>
      <c r="E2665" s="332" t="n"/>
      <c r="F2665" s="333" t="n"/>
      <c r="G2665" s="333" t="n"/>
      <c r="H2665" s="334">
        <f>IF(OR(F2665="",G2665=""),"",ROUND(MOD(G2665-F2665,1)*24,2))</f>
        <v/>
      </c>
      <c r="I2665" s="342" t="n"/>
      <c r="J2665" s="342" t="n"/>
      <c r="K2665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66" ht="20" customHeight="1">
      <c r="A2666" s="336">
        <f>IF($K2666="","",WEEKNUM($K2666,21))</f>
        <v/>
      </c>
      <c r="B2666" s="337">
        <f>IF($K2666="","",$K2666)</f>
        <v/>
      </c>
      <c r="C2666" s="338">
        <f>IF($K2666="","",$K2666)</f>
        <v/>
      </c>
      <c r="D2666" s="171" t="n"/>
      <c r="E2666" s="171" t="n"/>
      <c r="F2666" s="172" t="n"/>
      <c r="G2666" s="172" t="n"/>
      <c r="H2666" s="173">
        <f>IF(OR(F2666="",G2666=""),"",ROUND(MOD(G2666-F2666,1)*24,2))</f>
        <v/>
      </c>
      <c r="I2666" s="339" t="n"/>
      <c r="J2666" s="339" t="n"/>
      <c r="K2666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67" ht="20" customHeight="1">
      <c r="D2667" s="179" t="n"/>
      <c r="E2667" s="179" t="n"/>
      <c r="F2667" s="180" t="n"/>
      <c r="G2667" s="180" t="n"/>
      <c r="H2667" s="181">
        <f>IF(OR(F2667="",G2667=""),"",ROUND(MOD(G2667-F2667,1)*24,2))</f>
        <v/>
      </c>
      <c r="K2667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68" ht="20" customHeight="1">
      <c r="D2668" s="179" t="n"/>
      <c r="E2668" s="179" t="n"/>
      <c r="F2668" s="180" t="n"/>
      <c r="G2668" s="180" t="n"/>
      <c r="H2668" s="181">
        <f>IF(OR(F2668="",G2668=""),"",ROUND(MOD(G2668-F2668,1)*24,2))</f>
        <v/>
      </c>
      <c r="K2668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69" ht="20" customHeight="1">
      <c r="D2669" s="179" t="n"/>
      <c r="E2669" s="179" t="n"/>
      <c r="F2669" s="180" t="n"/>
      <c r="G2669" s="180" t="n"/>
      <c r="H2669" s="181">
        <f>IF(OR(F2669="",G2669=""),"",ROUND(MOD(G2669-F2669,1)*24,2))</f>
        <v/>
      </c>
      <c r="K2669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70" collapsed="1" ht="20" customHeight="1">
      <c r="D2670" s="179" t="n"/>
      <c r="E2670" s="179" t="n"/>
      <c r="F2670" s="180" t="n"/>
      <c r="G2670" s="180" t="n"/>
      <c r="H2670" s="181">
        <f>IF(OR(F2670="",G2670=""),"",ROUND(MOD(G2670-F2670,1)*24,2))</f>
        <v/>
      </c>
      <c r="K2670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71" hidden="1" outlineLevel="1" ht="20" customHeight="1">
      <c r="D2671" s="179" t="n"/>
      <c r="E2671" s="179" t="n"/>
      <c r="F2671" s="180" t="n"/>
      <c r="G2671" s="180" t="n"/>
      <c r="H2671" s="181">
        <f>IF(OR(F2671="",G2671=""),"",ROUND(MOD(G2671-F2671,1)*24,2))</f>
        <v/>
      </c>
      <c r="K2671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72" hidden="1" outlineLevel="1" ht="20" customHeight="1">
      <c r="D2672" s="179" t="n"/>
      <c r="E2672" s="179" t="n"/>
      <c r="F2672" s="180" t="n"/>
      <c r="G2672" s="180" t="n"/>
      <c r="H2672" s="181">
        <f>IF(OR(F2672="",G2672=""),"",ROUND(MOD(G2672-F2672,1)*24,2))</f>
        <v/>
      </c>
      <c r="K2672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73" hidden="1" outlineLevel="1" ht="20" customHeight="1">
      <c r="D2673" s="179" t="n"/>
      <c r="E2673" s="179" t="n"/>
      <c r="F2673" s="180" t="n"/>
      <c r="G2673" s="180" t="n"/>
      <c r="H2673" s="181">
        <f>IF(OR(F2673="",G2673=""),"",ROUND(MOD(G2673-F2673,1)*24,2))</f>
        <v/>
      </c>
      <c r="K2673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74" hidden="1" outlineLevel="1" ht="20" customHeight="1">
      <c r="D2674" s="179" t="n"/>
      <c r="E2674" s="179" t="n"/>
      <c r="F2674" s="180" t="n"/>
      <c r="G2674" s="180" t="n"/>
      <c r="H2674" s="181">
        <f>IF(OR(F2674="",G2674=""),"",ROUND(MOD(G2674-F2674,1)*24,2))</f>
        <v/>
      </c>
      <c r="K2674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75" hidden="1" outlineLevel="1" ht="20" customHeight="1">
      <c r="A2675" s="342" t="n"/>
      <c r="B2675" s="342" t="n"/>
      <c r="C2675" s="342" t="n"/>
      <c r="D2675" s="332" t="n"/>
      <c r="E2675" s="332" t="n"/>
      <c r="F2675" s="333" t="n"/>
      <c r="G2675" s="333" t="n"/>
      <c r="H2675" s="334">
        <f>IF(OR(F2675="",G2675=""),"",ROUND(MOD(G2675-F2675,1)*24,2))</f>
        <v/>
      </c>
      <c r="I2675" s="342" t="n"/>
      <c r="J2675" s="342" t="n"/>
      <c r="K2675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76" ht="20" customHeight="1">
      <c r="A2676" s="336">
        <f>IF($K2676="","",WEEKNUM($K2676,21))</f>
        <v/>
      </c>
      <c r="B2676" s="337">
        <f>IF($K2676="","",$K2676)</f>
        <v/>
      </c>
      <c r="C2676" s="338">
        <f>IF($K2676="","",$K2676)</f>
        <v/>
      </c>
      <c r="D2676" s="171" t="n"/>
      <c r="E2676" s="171" t="n"/>
      <c r="F2676" s="172" t="n"/>
      <c r="G2676" s="172" t="n"/>
      <c r="H2676" s="173">
        <f>IF(OR(F2676="",G2676=""),"",ROUND(MOD(G2676-F2676,1)*24,2))</f>
        <v/>
      </c>
      <c r="I2676" s="339" t="n"/>
      <c r="J2676" s="339" t="n"/>
      <c r="K2676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77" ht="20" customHeight="1">
      <c r="D2677" s="179" t="n"/>
      <c r="E2677" s="179" t="n"/>
      <c r="F2677" s="180" t="n"/>
      <c r="G2677" s="180" t="n"/>
      <c r="H2677" s="181">
        <f>IF(OR(F2677="",G2677=""),"",ROUND(MOD(G2677-F2677,1)*24,2))</f>
        <v/>
      </c>
      <c r="K2677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78" ht="20" customHeight="1">
      <c r="D2678" s="179" t="n"/>
      <c r="E2678" s="179" t="n"/>
      <c r="F2678" s="180" t="n"/>
      <c r="G2678" s="180" t="n"/>
      <c r="H2678" s="181">
        <f>IF(OR(F2678="",G2678=""),"",ROUND(MOD(G2678-F2678,1)*24,2))</f>
        <v/>
      </c>
      <c r="K2678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79" ht="20" customHeight="1">
      <c r="D2679" s="179" t="n"/>
      <c r="E2679" s="179" t="n"/>
      <c r="F2679" s="180" t="n"/>
      <c r="G2679" s="180" t="n"/>
      <c r="H2679" s="181">
        <f>IF(OR(F2679="",G2679=""),"",ROUND(MOD(G2679-F2679,1)*24,2))</f>
        <v/>
      </c>
      <c r="K2679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80" collapsed="1" ht="20" customHeight="1">
      <c r="D2680" s="179" t="n"/>
      <c r="E2680" s="179" t="n"/>
      <c r="F2680" s="180" t="n"/>
      <c r="G2680" s="180" t="n"/>
      <c r="H2680" s="181">
        <f>IF(OR(F2680="",G2680=""),"",ROUND(MOD(G2680-F2680,1)*24,2))</f>
        <v/>
      </c>
      <c r="K2680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81" hidden="1" outlineLevel="1" ht="20" customHeight="1">
      <c r="D2681" s="179" t="n"/>
      <c r="E2681" s="179" t="n"/>
      <c r="F2681" s="180" t="n"/>
      <c r="G2681" s="180" t="n"/>
      <c r="H2681" s="181">
        <f>IF(OR(F2681="",G2681=""),"",ROUND(MOD(G2681-F2681,1)*24,2))</f>
        <v/>
      </c>
      <c r="K2681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82" hidden="1" outlineLevel="1" ht="20" customHeight="1">
      <c r="D2682" s="179" t="n"/>
      <c r="E2682" s="179" t="n"/>
      <c r="F2682" s="180" t="n"/>
      <c r="G2682" s="180" t="n"/>
      <c r="H2682" s="181">
        <f>IF(OR(F2682="",G2682=""),"",ROUND(MOD(G2682-F2682,1)*24,2))</f>
        <v/>
      </c>
      <c r="K2682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83" hidden="1" outlineLevel="1" ht="20" customHeight="1">
      <c r="D2683" s="179" t="n"/>
      <c r="E2683" s="179" t="n"/>
      <c r="F2683" s="180" t="n"/>
      <c r="G2683" s="180" t="n"/>
      <c r="H2683" s="181">
        <f>IF(OR(F2683="",G2683=""),"",ROUND(MOD(G2683-F2683,1)*24,2))</f>
        <v/>
      </c>
      <c r="K2683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84" hidden="1" outlineLevel="1" ht="20" customHeight="1">
      <c r="D2684" s="179" t="n"/>
      <c r="E2684" s="179" t="n"/>
      <c r="F2684" s="180" t="n"/>
      <c r="G2684" s="180" t="n"/>
      <c r="H2684" s="181">
        <f>IF(OR(F2684="",G2684=""),"",ROUND(MOD(G2684-F2684,1)*24,2))</f>
        <v/>
      </c>
      <c r="K2684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85" hidden="1" outlineLevel="1" ht="20" customHeight="1">
      <c r="A2685" s="342" t="n"/>
      <c r="B2685" s="342" t="n"/>
      <c r="C2685" s="342" t="n"/>
      <c r="D2685" s="332" t="n"/>
      <c r="E2685" s="332" t="n"/>
      <c r="F2685" s="333" t="n"/>
      <c r="G2685" s="333" t="n"/>
      <c r="H2685" s="334">
        <f>IF(OR(F2685="",G2685=""),"",ROUND(MOD(G2685-F2685,1)*24,2))</f>
        <v/>
      </c>
      <c r="I2685" s="342" t="n"/>
      <c r="J2685" s="342" t="n"/>
      <c r="K2685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686" ht="20" customHeight="1">
      <c r="A2686" s="336">
        <f>IF($K2686="","",WEEKNUM($K2686,21))</f>
        <v/>
      </c>
      <c r="B2686" s="337">
        <f>IF($K2686="","",$K2686)</f>
        <v/>
      </c>
      <c r="C2686" s="338">
        <f>IF($K2686="","",$K2686)</f>
        <v/>
      </c>
      <c r="D2686" s="171" t="n"/>
      <c r="E2686" s="171" t="n"/>
      <c r="F2686" s="172" t="n"/>
      <c r="G2686" s="172" t="n"/>
      <c r="H2686" s="173">
        <f>IF(OR(F2686="",G2686=""),"",ROUND(MOD(G2686-F2686,1)*24,2))</f>
        <v/>
      </c>
      <c r="I2686" s="339" t="n"/>
      <c r="J2686" s="339" t="n"/>
      <c r="K2686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87" ht="20" customHeight="1">
      <c r="D2687" s="179" t="n"/>
      <c r="E2687" s="179" t="n"/>
      <c r="F2687" s="180" t="n"/>
      <c r="G2687" s="180" t="n"/>
      <c r="H2687" s="181">
        <f>IF(OR(F2687="",G2687=""),"",ROUND(MOD(G2687-F2687,1)*24,2))</f>
        <v/>
      </c>
      <c r="K2687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88" ht="20" customHeight="1">
      <c r="D2688" s="179" t="n"/>
      <c r="E2688" s="179" t="n"/>
      <c r="F2688" s="180" t="n"/>
      <c r="G2688" s="180" t="n"/>
      <c r="H2688" s="181">
        <f>IF(OR(F2688="",G2688=""),"",ROUND(MOD(G2688-F2688,1)*24,2))</f>
        <v/>
      </c>
      <c r="K2688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89" ht="20" customHeight="1">
      <c r="D2689" s="179" t="n"/>
      <c r="E2689" s="179" t="n"/>
      <c r="F2689" s="180" t="n"/>
      <c r="G2689" s="180" t="n"/>
      <c r="H2689" s="181">
        <f>IF(OR(F2689="",G2689=""),"",ROUND(MOD(G2689-F2689,1)*24,2))</f>
        <v/>
      </c>
      <c r="K2689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90" collapsed="1" ht="20" customHeight="1">
      <c r="D2690" s="179" t="n"/>
      <c r="E2690" s="179" t="n"/>
      <c r="F2690" s="180" t="n"/>
      <c r="G2690" s="180" t="n"/>
      <c r="H2690" s="181">
        <f>IF(OR(F2690="",G2690=""),"",ROUND(MOD(G2690-F2690,1)*24,2))</f>
        <v/>
      </c>
      <c r="K2690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91" hidden="1" outlineLevel="1" ht="20" customHeight="1">
      <c r="D2691" s="179" t="n"/>
      <c r="E2691" s="179" t="n"/>
      <c r="F2691" s="180" t="n"/>
      <c r="G2691" s="180" t="n"/>
      <c r="H2691" s="181">
        <f>IF(OR(F2691="",G2691=""),"",ROUND(MOD(G2691-F2691,1)*24,2))</f>
        <v/>
      </c>
      <c r="K2691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92" hidden="1" outlineLevel="1" ht="20" customHeight="1">
      <c r="D2692" s="179" t="n"/>
      <c r="E2692" s="179" t="n"/>
      <c r="F2692" s="180" t="n"/>
      <c r="G2692" s="180" t="n"/>
      <c r="H2692" s="181">
        <f>IF(OR(F2692="",G2692=""),"",ROUND(MOD(G2692-F2692,1)*24,2))</f>
        <v/>
      </c>
      <c r="K2692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93" hidden="1" outlineLevel="1" ht="20" customHeight="1">
      <c r="D2693" s="179" t="n"/>
      <c r="E2693" s="179" t="n"/>
      <c r="F2693" s="180" t="n"/>
      <c r="G2693" s="180" t="n"/>
      <c r="H2693" s="181">
        <f>IF(OR(F2693="",G2693=""),"",ROUND(MOD(G2693-F2693,1)*24,2))</f>
        <v/>
      </c>
      <c r="K2693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94" hidden="1" outlineLevel="1" ht="20" customHeight="1">
      <c r="D2694" s="179" t="n"/>
      <c r="E2694" s="179" t="n"/>
      <c r="F2694" s="180" t="n"/>
      <c r="G2694" s="180" t="n"/>
      <c r="H2694" s="181">
        <f>IF(OR(F2694="",G2694=""),"",ROUND(MOD(G2694-F2694,1)*24,2))</f>
        <v/>
      </c>
      <c r="K2694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95" hidden="1" outlineLevel="1" ht="20" customHeight="1">
      <c r="A2695" s="342" t="n"/>
      <c r="B2695" s="342" t="n"/>
      <c r="C2695" s="342" t="n"/>
      <c r="D2695" s="332" t="n"/>
      <c r="E2695" s="332" t="n"/>
      <c r="F2695" s="333" t="n"/>
      <c r="G2695" s="333" t="n"/>
      <c r="H2695" s="334">
        <f>IF(OR(F2695="",G2695=""),"",ROUND(MOD(G2695-F2695,1)*24,2))</f>
        <v/>
      </c>
      <c r="I2695" s="342" t="n"/>
      <c r="J2695" s="342" t="n"/>
      <c r="K2695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696" ht="20" customHeight="1">
      <c r="A2696" s="336">
        <f>IF($K2696="","",WEEKNUM($K2696,21))</f>
        <v/>
      </c>
      <c r="B2696" s="337">
        <f>IF($K2696="","",$K2696)</f>
        <v/>
      </c>
      <c r="C2696" s="338">
        <f>IF($K2696="","",$K2696)</f>
        <v/>
      </c>
      <c r="D2696" s="171" t="n"/>
      <c r="E2696" s="171" t="n"/>
      <c r="F2696" s="172" t="n"/>
      <c r="G2696" s="172" t="n"/>
      <c r="H2696" s="173">
        <f>IF(OR(F2696="",G2696=""),"",ROUND(MOD(G2696-F2696,1)*24,2))</f>
        <v/>
      </c>
      <c r="I2696" s="339" t="n"/>
      <c r="J2696" s="339" t="n"/>
      <c r="K2696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697" ht="20" customHeight="1">
      <c r="D2697" s="179" t="n"/>
      <c r="E2697" s="179" t="n"/>
      <c r="F2697" s="180" t="n"/>
      <c r="G2697" s="180" t="n"/>
      <c r="H2697" s="181">
        <f>IF(OR(F2697="",G2697=""),"",ROUND(MOD(G2697-F2697,1)*24,2))</f>
        <v/>
      </c>
      <c r="K2697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698" ht="20" customHeight="1">
      <c r="D2698" s="179" t="n"/>
      <c r="E2698" s="179" t="n"/>
      <c r="F2698" s="180" t="n"/>
      <c r="G2698" s="180" t="n"/>
      <c r="H2698" s="181">
        <f>IF(OR(F2698="",G2698=""),"",ROUND(MOD(G2698-F2698,1)*24,2))</f>
        <v/>
      </c>
      <c r="K2698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699" ht="20" customHeight="1">
      <c r="D2699" s="179" t="n"/>
      <c r="E2699" s="179" t="n"/>
      <c r="F2699" s="180" t="n"/>
      <c r="G2699" s="180" t="n"/>
      <c r="H2699" s="181">
        <f>IF(OR(F2699="",G2699=""),"",ROUND(MOD(G2699-F2699,1)*24,2))</f>
        <v/>
      </c>
      <c r="K2699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700" collapsed="1" ht="20" customHeight="1">
      <c r="D2700" s="179" t="n"/>
      <c r="E2700" s="179" t="n"/>
      <c r="F2700" s="180" t="n"/>
      <c r="G2700" s="180" t="n"/>
      <c r="H2700" s="181">
        <f>IF(OR(F2700="",G2700=""),"",ROUND(MOD(G2700-F2700,1)*24,2))</f>
        <v/>
      </c>
      <c r="K2700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701" hidden="1" outlineLevel="1" ht="20" customHeight="1">
      <c r="D2701" s="179" t="n"/>
      <c r="E2701" s="179" t="n"/>
      <c r="F2701" s="180" t="n"/>
      <c r="G2701" s="180" t="n"/>
      <c r="H2701" s="181">
        <f>IF(OR(F2701="",G2701=""),"",ROUND(MOD(G2701-F2701,1)*24,2))</f>
        <v/>
      </c>
      <c r="K2701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702" hidden="1" outlineLevel="1" ht="20" customHeight="1">
      <c r="D2702" s="179" t="n"/>
      <c r="E2702" s="179" t="n"/>
      <c r="F2702" s="180" t="n"/>
      <c r="G2702" s="180" t="n"/>
      <c r="H2702" s="181">
        <f>IF(OR(F2702="",G2702=""),"",ROUND(MOD(G2702-F2702,1)*24,2))</f>
        <v/>
      </c>
      <c r="K2702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703" hidden="1" outlineLevel="1" ht="20" customHeight="1">
      <c r="D2703" s="179" t="n"/>
      <c r="E2703" s="179" t="n"/>
      <c r="F2703" s="180" t="n"/>
      <c r="G2703" s="180" t="n"/>
      <c r="H2703" s="181">
        <f>IF(OR(F2703="",G2703=""),"",ROUND(MOD(G2703-F2703,1)*24,2))</f>
        <v/>
      </c>
      <c r="K2703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704" hidden="1" outlineLevel="1" ht="20" customHeight="1">
      <c r="D2704" s="179" t="n"/>
      <c r="E2704" s="179" t="n"/>
      <c r="F2704" s="180" t="n"/>
      <c r="G2704" s="180" t="n"/>
      <c r="H2704" s="181">
        <f>IF(OR(F2704="",G2704=""),"",ROUND(MOD(G2704-F2704,1)*24,2))</f>
        <v/>
      </c>
      <c r="K2704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705" hidden="1" outlineLevel="1" ht="20" customHeight="1">
      <c r="A2705" s="342" t="n"/>
      <c r="B2705" s="342" t="n"/>
      <c r="C2705" s="342" t="n"/>
      <c r="D2705" s="332" t="n"/>
      <c r="E2705" s="332" t="n"/>
      <c r="F2705" s="333" t="n"/>
      <c r="G2705" s="333" t="n"/>
      <c r="H2705" s="334">
        <f>IF(OR(F2705="",G2705=""),"",ROUND(MOD(G2705-F2705,1)*24,2))</f>
        <v/>
      </c>
      <c r="I2705" s="342" t="n"/>
      <c r="J2705" s="342" t="n"/>
      <c r="K2705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706" ht="20" customHeight="1">
      <c r="A2706" s="336">
        <f>IF($K2706="","",WEEKNUM($K2706,21))</f>
        <v/>
      </c>
      <c r="B2706" s="337">
        <f>IF($K2706="","",$K2706)</f>
        <v/>
      </c>
      <c r="C2706" s="338">
        <f>IF($K2706="","",$K2706)</f>
        <v/>
      </c>
      <c r="D2706" s="171" t="n"/>
      <c r="E2706" s="171" t="n"/>
      <c r="F2706" s="172" t="n"/>
      <c r="G2706" s="172" t="n"/>
      <c r="H2706" s="173">
        <f>IF(OR(F2706="",G2706=""),"",ROUND(MOD(G2706-F2706,1)*24,2))</f>
        <v/>
      </c>
      <c r="I2706" s="339" t="n"/>
      <c r="J2706" s="339" t="n"/>
      <c r="K2706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07" ht="20" customHeight="1">
      <c r="D2707" s="179" t="n"/>
      <c r="E2707" s="179" t="n"/>
      <c r="F2707" s="180" t="n"/>
      <c r="G2707" s="180" t="n"/>
      <c r="H2707" s="181">
        <f>IF(OR(F2707="",G2707=""),"",ROUND(MOD(G2707-F2707,1)*24,2))</f>
        <v/>
      </c>
      <c r="K2707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08" ht="20" customHeight="1">
      <c r="D2708" s="179" t="n"/>
      <c r="E2708" s="179" t="n"/>
      <c r="F2708" s="180" t="n"/>
      <c r="G2708" s="180" t="n"/>
      <c r="H2708" s="181">
        <f>IF(OR(F2708="",G2708=""),"",ROUND(MOD(G2708-F2708,1)*24,2))</f>
        <v/>
      </c>
      <c r="K2708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09" ht="20" customHeight="1">
      <c r="D2709" s="179" t="n"/>
      <c r="E2709" s="179" t="n"/>
      <c r="F2709" s="180" t="n"/>
      <c r="G2709" s="180" t="n"/>
      <c r="H2709" s="181">
        <f>IF(OR(F2709="",G2709=""),"",ROUND(MOD(G2709-F2709,1)*24,2))</f>
        <v/>
      </c>
      <c r="K2709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10" collapsed="1" ht="20" customHeight="1">
      <c r="D2710" s="179" t="n"/>
      <c r="E2710" s="179" t="n"/>
      <c r="F2710" s="180" t="n"/>
      <c r="G2710" s="180" t="n"/>
      <c r="H2710" s="181">
        <f>IF(OR(F2710="",G2710=""),"",ROUND(MOD(G2710-F2710,1)*24,2))</f>
        <v/>
      </c>
      <c r="K2710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11" hidden="1" outlineLevel="1" ht="20" customHeight="1">
      <c r="D2711" s="179" t="n"/>
      <c r="E2711" s="179" t="n"/>
      <c r="F2711" s="180" t="n"/>
      <c r="G2711" s="180" t="n"/>
      <c r="H2711" s="181">
        <f>IF(OR(F2711="",G2711=""),"",ROUND(MOD(G2711-F2711,1)*24,2))</f>
        <v/>
      </c>
      <c r="K2711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12" hidden="1" outlineLevel="1" ht="20" customHeight="1">
      <c r="D2712" s="179" t="n"/>
      <c r="E2712" s="179" t="n"/>
      <c r="F2712" s="180" t="n"/>
      <c r="G2712" s="180" t="n"/>
      <c r="H2712" s="181">
        <f>IF(OR(F2712="",G2712=""),"",ROUND(MOD(G2712-F2712,1)*24,2))</f>
        <v/>
      </c>
      <c r="K2712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13" hidden="1" outlineLevel="1" ht="20" customHeight="1">
      <c r="D2713" s="179" t="n"/>
      <c r="E2713" s="179" t="n"/>
      <c r="F2713" s="180" t="n"/>
      <c r="G2713" s="180" t="n"/>
      <c r="H2713" s="181">
        <f>IF(OR(F2713="",G2713=""),"",ROUND(MOD(G2713-F2713,1)*24,2))</f>
        <v/>
      </c>
      <c r="K2713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14" hidden="1" outlineLevel="1" ht="20" customHeight="1">
      <c r="D2714" s="179" t="n"/>
      <c r="E2714" s="179" t="n"/>
      <c r="F2714" s="180" t="n"/>
      <c r="G2714" s="180" t="n"/>
      <c r="H2714" s="181">
        <f>IF(OR(F2714="",G2714=""),"",ROUND(MOD(G2714-F2714,1)*24,2))</f>
        <v/>
      </c>
      <c r="K2714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15" hidden="1" outlineLevel="1" ht="20" customHeight="1">
      <c r="A2715" s="342" t="n"/>
      <c r="B2715" s="342" t="n"/>
      <c r="C2715" s="342" t="n"/>
      <c r="D2715" s="332" t="n"/>
      <c r="E2715" s="332" t="n"/>
      <c r="F2715" s="333" t="n"/>
      <c r="G2715" s="333" t="n"/>
      <c r="H2715" s="334">
        <f>IF(OR(F2715="",G2715=""),"",ROUND(MOD(G2715-F2715,1)*24,2))</f>
        <v/>
      </c>
      <c r="I2715" s="342" t="n"/>
      <c r="J2715" s="342" t="n"/>
      <c r="K2715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16" ht="20" customHeight="1">
      <c r="A2716" s="336">
        <f>IF($K2716="","",WEEKNUM($K2716,21))</f>
        <v/>
      </c>
      <c r="B2716" s="337">
        <f>IF($K2716="","",$K2716)</f>
        <v/>
      </c>
      <c r="C2716" s="338">
        <f>IF($K2716="","",$K2716)</f>
        <v/>
      </c>
      <c r="D2716" s="171" t="n"/>
      <c r="E2716" s="171" t="n"/>
      <c r="F2716" s="172" t="n"/>
      <c r="G2716" s="172" t="n"/>
      <c r="H2716" s="173">
        <f>IF(OR(F2716="",G2716=""),"",ROUND(MOD(G2716-F2716,1)*24,2))</f>
        <v/>
      </c>
      <c r="I2716" s="339" t="n"/>
      <c r="J2716" s="339" t="n"/>
      <c r="K2716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17" ht="20" customHeight="1">
      <c r="D2717" s="179" t="n"/>
      <c r="E2717" s="179" t="n"/>
      <c r="F2717" s="180" t="n"/>
      <c r="G2717" s="180" t="n"/>
      <c r="H2717" s="181">
        <f>IF(OR(F2717="",G2717=""),"",ROUND(MOD(G2717-F2717,1)*24,2))</f>
        <v/>
      </c>
      <c r="K2717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18" ht="20" customHeight="1">
      <c r="D2718" s="179" t="n"/>
      <c r="E2718" s="179" t="n"/>
      <c r="F2718" s="180" t="n"/>
      <c r="G2718" s="180" t="n"/>
      <c r="H2718" s="181">
        <f>IF(OR(F2718="",G2718=""),"",ROUND(MOD(G2718-F2718,1)*24,2))</f>
        <v/>
      </c>
      <c r="K2718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19" ht="20" customHeight="1">
      <c r="D2719" s="179" t="n"/>
      <c r="E2719" s="179" t="n"/>
      <c r="F2719" s="180" t="n"/>
      <c r="G2719" s="180" t="n"/>
      <c r="H2719" s="181">
        <f>IF(OR(F2719="",G2719=""),"",ROUND(MOD(G2719-F2719,1)*24,2))</f>
        <v/>
      </c>
      <c r="K2719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20" collapsed="1" ht="20" customHeight="1">
      <c r="D2720" s="179" t="n"/>
      <c r="E2720" s="179" t="n"/>
      <c r="F2720" s="180" t="n"/>
      <c r="G2720" s="180" t="n"/>
      <c r="H2720" s="181">
        <f>IF(OR(F2720="",G2720=""),"",ROUND(MOD(G2720-F2720,1)*24,2))</f>
        <v/>
      </c>
      <c r="K2720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21" hidden="1" outlineLevel="1" ht="20" customHeight="1">
      <c r="D2721" s="179" t="n"/>
      <c r="E2721" s="179" t="n"/>
      <c r="F2721" s="180" t="n"/>
      <c r="G2721" s="180" t="n"/>
      <c r="H2721" s="181">
        <f>IF(OR(F2721="",G2721=""),"",ROUND(MOD(G2721-F2721,1)*24,2))</f>
        <v/>
      </c>
      <c r="K2721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22" hidden="1" outlineLevel="1" ht="20" customHeight="1">
      <c r="D2722" s="179" t="n"/>
      <c r="E2722" s="179" t="n"/>
      <c r="F2722" s="180" t="n"/>
      <c r="G2722" s="180" t="n"/>
      <c r="H2722" s="181">
        <f>IF(OR(F2722="",G2722=""),"",ROUND(MOD(G2722-F2722,1)*24,2))</f>
        <v/>
      </c>
      <c r="K2722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23" hidden="1" outlineLevel="1" ht="20" customHeight="1">
      <c r="D2723" s="179" t="n"/>
      <c r="E2723" s="179" t="n"/>
      <c r="F2723" s="180" t="n"/>
      <c r="G2723" s="180" t="n"/>
      <c r="H2723" s="181">
        <f>IF(OR(F2723="",G2723=""),"",ROUND(MOD(G2723-F2723,1)*24,2))</f>
        <v/>
      </c>
      <c r="K2723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24" hidden="1" outlineLevel="1" ht="20" customHeight="1">
      <c r="D2724" s="179" t="n"/>
      <c r="E2724" s="179" t="n"/>
      <c r="F2724" s="180" t="n"/>
      <c r="G2724" s="180" t="n"/>
      <c r="H2724" s="181">
        <f>IF(OR(F2724="",G2724=""),"",ROUND(MOD(G2724-F2724,1)*24,2))</f>
        <v/>
      </c>
      <c r="K2724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25" hidden="1" outlineLevel="1" ht="20" customHeight="1">
      <c r="A2725" s="342" t="n"/>
      <c r="B2725" s="342" t="n"/>
      <c r="C2725" s="342" t="n"/>
      <c r="D2725" s="332" t="n"/>
      <c r="E2725" s="332" t="n"/>
      <c r="F2725" s="333" t="n"/>
      <c r="G2725" s="333" t="n"/>
      <c r="H2725" s="334">
        <f>IF(OR(F2725="",G2725=""),"",ROUND(MOD(G2725-F2725,1)*24,2))</f>
        <v/>
      </c>
      <c r="I2725" s="342" t="n"/>
      <c r="J2725" s="342" t="n"/>
      <c r="K2725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26" ht="20" customHeight="1">
      <c r="A2726" s="336">
        <f>IF($K2726="","",WEEKNUM($K2726,21))</f>
        <v/>
      </c>
      <c r="B2726" s="337">
        <f>IF($K2726="","",$K2726)</f>
        <v/>
      </c>
      <c r="C2726" s="338">
        <f>IF($K2726="","",$K2726)</f>
        <v/>
      </c>
      <c r="D2726" s="171" t="n"/>
      <c r="E2726" s="171" t="n"/>
      <c r="F2726" s="172" t="n"/>
      <c r="G2726" s="172" t="n"/>
      <c r="H2726" s="173">
        <f>IF(OR(F2726="",G2726=""),"",ROUND(MOD(G2726-F2726,1)*24,2))</f>
        <v/>
      </c>
      <c r="I2726" s="339" t="n"/>
      <c r="J2726" s="339" t="n"/>
      <c r="K2726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27" ht="20" customHeight="1">
      <c r="D2727" s="179" t="n"/>
      <c r="E2727" s="179" t="n"/>
      <c r="F2727" s="180" t="n"/>
      <c r="G2727" s="180" t="n"/>
      <c r="H2727" s="181">
        <f>IF(OR(F2727="",G2727=""),"",ROUND(MOD(G2727-F2727,1)*24,2))</f>
        <v/>
      </c>
      <c r="K2727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28" ht="20" customHeight="1">
      <c r="D2728" s="179" t="n"/>
      <c r="E2728" s="179" t="n"/>
      <c r="F2728" s="180" t="n"/>
      <c r="G2728" s="180" t="n"/>
      <c r="H2728" s="181">
        <f>IF(OR(F2728="",G2728=""),"",ROUND(MOD(G2728-F2728,1)*24,2))</f>
        <v/>
      </c>
      <c r="K2728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29" ht="20" customHeight="1">
      <c r="D2729" s="179" t="n"/>
      <c r="E2729" s="179" t="n"/>
      <c r="F2729" s="180" t="n"/>
      <c r="G2729" s="180" t="n"/>
      <c r="H2729" s="181">
        <f>IF(OR(F2729="",G2729=""),"",ROUND(MOD(G2729-F2729,1)*24,2))</f>
        <v/>
      </c>
      <c r="K2729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30" collapsed="1" ht="20" customHeight="1">
      <c r="D2730" s="179" t="n"/>
      <c r="E2730" s="179" t="n"/>
      <c r="F2730" s="180" t="n"/>
      <c r="G2730" s="180" t="n"/>
      <c r="H2730" s="181">
        <f>IF(OR(F2730="",G2730=""),"",ROUND(MOD(G2730-F2730,1)*24,2))</f>
        <v/>
      </c>
      <c r="K2730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31" hidden="1" outlineLevel="1" ht="20" customHeight="1">
      <c r="D2731" s="179" t="n"/>
      <c r="E2731" s="179" t="n"/>
      <c r="F2731" s="180" t="n"/>
      <c r="G2731" s="180" t="n"/>
      <c r="H2731" s="181">
        <f>IF(OR(F2731="",G2731=""),"",ROUND(MOD(G2731-F2731,1)*24,2))</f>
        <v/>
      </c>
      <c r="K2731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32" hidden="1" outlineLevel="1" ht="20" customHeight="1">
      <c r="D2732" s="179" t="n"/>
      <c r="E2732" s="179" t="n"/>
      <c r="F2732" s="180" t="n"/>
      <c r="G2732" s="180" t="n"/>
      <c r="H2732" s="181">
        <f>IF(OR(F2732="",G2732=""),"",ROUND(MOD(G2732-F2732,1)*24,2))</f>
        <v/>
      </c>
      <c r="K2732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33" hidden="1" outlineLevel="1" ht="20" customHeight="1">
      <c r="D2733" s="179" t="n"/>
      <c r="E2733" s="179" t="n"/>
      <c r="F2733" s="180" t="n"/>
      <c r="G2733" s="180" t="n"/>
      <c r="H2733" s="181">
        <f>IF(OR(F2733="",G2733=""),"",ROUND(MOD(G2733-F2733,1)*24,2))</f>
        <v/>
      </c>
      <c r="K2733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34" hidden="1" outlineLevel="1" ht="20" customHeight="1">
      <c r="D2734" s="179" t="n"/>
      <c r="E2734" s="179" t="n"/>
      <c r="F2734" s="180" t="n"/>
      <c r="G2734" s="180" t="n"/>
      <c r="H2734" s="181">
        <f>IF(OR(F2734="",G2734=""),"",ROUND(MOD(G2734-F2734,1)*24,2))</f>
        <v/>
      </c>
      <c r="K2734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35" hidden="1" outlineLevel="1" ht="20" customHeight="1">
      <c r="A2735" s="342" t="n"/>
      <c r="B2735" s="342" t="n"/>
      <c r="C2735" s="342" t="n"/>
      <c r="D2735" s="332" t="n"/>
      <c r="E2735" s="332" t="n"/>
      <c r="F2735" s="333" t="n"/>
      <c r="G2735" s="333" t="n"/>
      <c r="H2735" s="334">
        <f>IF(OR(F2735="",G2735=""),"",ROUND(MOD(G2735-F2735,1)*24,2))</f>
        <v/>
      </c>
      <c r="I2735" s="342" t="n"/>
      <c r="J2735" s="342" t="n"/>
      <c r="K2735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36" ht="20" customHeight="1">
      <c r="A2736" s="336">
        <f>IF($K2736="","",WEEKNUM($K2736,21))</f>
        <v/>
      </c>
      <c r="B2736" s="337">
        <f>IF($K2736="","",$K2736)</f>
        <v/>
      </c>
      <c r="C2736" s="338">
        <f>IF($K2736="","",$K2736)</f>
        <v/>
      </c>
      <c r="D2736" s="171" t="n"/>
      <c r="E2736" s="171" t="n"/>
      <c r="F2736" s="172" t="n"/>
      <c r="G2736" s="172" t="n"/>
      <c r="H2736" s="173">
        <f>IF(OR(F2736="",G2736=""),"",ROUND(MOD(G2736-F2736,1)*24,2))</f>
        <v/>
      </c>
      <c r="I2736" s="339" t="n"/>
      <c r="J2736" s="339" t="n"/>
      <c r="K2736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37" ht="20" customHeight="1">
      <c r="D2737" s="179" t="n"/>
      <c r="E2737" s="179" t="n"/>
      <c r="F2737" s="180" t="n"/>
      <c r="G2737" s="180" t="n"/>
      <c r="H2737" s="181">
        <f>IF(OR(F2737="",G2737=""),"",ROUND(MOD(G2737-F2737,1)*24,2))</f>
        <v/>
      </c>
      <c r="K2737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38" ht="20" customHeight="1">
      <c r="D2738" s="179" t="n"/>
      <c r="E2738" s="179" t="n"/>
      <c r="F2738" s="180" t="n"/>
      <c r="G2738" s="180" t="n"/>
      <c r="H2738" s="181">
        <f>IF(OR(F2738="",G2738=""),"",ROUND(MOD(G2738-F2738,1)*24,2))</f>
        <v/>
      </c>
      <c r="K2738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39" ht="20" customHeight="1">
      <c r="D2739" s="179" t="n"/>
      <c r="E2739" s="179" t="n"/>
      <c r="F2739" s="180" t="n"/>
      <c r="G2739" s="180" t="n"/>
      <c r="H2739" s="181">
        <f>IF(OR(F2739="",G2739=""),"",ROUND(MOD(G2739-F2739,1)*24,2))</f>
        <v/>
      </c>
      <c r="K2739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40" collapsed="1" ht="20" customHeight="1">
      <c r="D2740" s="179" t="n"/>
      <c r="E2740" s="179" t="n"/>
      <c r="F2740" s="180" t="n"/>
      <c r="G2740" s="180" t="n"/>
      <c r="H2740" s="181">
        <f>IF(OR(F2740="",G2740=""),"",ROUND(MOD(G2740-F2740,1)*24,2))</f>
        <v/>
      </c>
      <c r="K2740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41" hidden="1" outlineLevel="1" ht="20" customHeight="1">
      <c r="D2741" s="179" t="n"/>
      <c r="E2741" s="179" t="n"/>
      <c r="F2741" s="180" t="n"/>
      <c r="G2741" s="180" t="n"/>
      <c r="H2741" s="181">
        <f>IF(OR(F2741="",G2741=""),"",ROUND(MOD(G2741-F2741,1)*24,2))</f>
        <v/>
      </c>
      <c r="K2741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42" hidden="1" outlineLevel="1" ht="20" customHeight="1">
      <c r="D2742" s="179" t="n"/>
      <c r="E2742" s="179" t="n"/>
      <c r="F2742" s="180" t="n"/>
      <c r="G2742" s="180" t="n"/>
      <c r="H2742" s="181">
        <f>IF(OR(F2742="",G2742=""),"",ROUND(MOD(G2742-F2742,1)*24,2))</f>
        <v/>
      </c>
      <c r="K2742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43" hidden="1" outlineLevel="1" ht="20" customHeight="1">
      <c r="D2743" s="179" t="n"/>
      <c r="E2743" s="179" t="n"/>
      <c r="F2743" s="180" t="n"/>
      <c r="G2743" s="180" t="n"/>
      <c r="H2743" s="181">
        <f>IF(OR(F2743="",G2743=""),"",ROUND(MOD(G2743-F2743,1)*24,2))</f>
        <v/>
      </c>
      <c r="K2743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44" hidden="1" outlineLevel="1" ht="20" customHeight="1">
      <c r="D2744" s="179" t="n"/>
      <c r="E2744" s="179" t="n"/>
      <c r="F2744" s="180" t="n"/>
      <c r="G2744" s="180" t="n"/>
      <c r="H2744" s="181">
        <f>IF(OR(F2744="",G2744=""),"",ROUND(MOD(G2744-F2744,1)*24,2))</f>
        <v/>
      </c>
      <c r="K2744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45" hidden="1" outlineLevel="1" ht="20" customHeight="1">
      <c r="A2745" s="342" t="n"/>
      <c r="B2745" s="342" t="n"/>
      <c r="C2745" s="342" t="n"/>
      <c r="D2745" s="332" t="n"/>
      <c r="E2745" s="332" t="n"/>
      <c r="F2745" s="333" t="n"/>
      <c r="G2745" s="333" t="n"/>
      <c r="H2745" s="334">
        <f>IF(OR(F2745="",G2745=""),"",ROUND(MOD(G2745-F2745,1)*24,2))</f>
        <v/>
      </c>
      <c r="I2745" s="342" t="n"/>
      <c r="J2745" s="342" t="n"/>
      <c r="K2745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46" ht="20" customHeight="1">
      <c r="A2746" s="336">
        <f>IF($K2746="","",WEEKNUM($K2746,21))</f>
        <v/>
      </c>
      <c r="B2746" s="337">
        <f>IF($K2746="","",$K2746)</f>
        <v/>
      </c>
      <c r="C2746" s="338">
        <f>IF($K2746="","",$K2746)</f>
        <v/>
      </c>
      <c r="D2746" s="171" t="n"/>
      <c r="E2746" s="171" t="n"/>
      <c r="F2746" s="172" t="n"/>
      <c r="G2746" s="172" t="n"/>
      <c r="H2746" s="173">
        <f>IF(OR(F2746="",G2746=""),"",ROUND(MOD(G2746-F2746,1)*24,2))</f>
        <v/>
      </c>
      <c r="I2746" s="339" t="n"/>
      <c r="J2746" s="339" t="n"/>
      <c r="K2746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47" ht="20" customHeight="1">
      <c r="D2747" s="179" t="n"/>
      <c r="E2747" s="179" t="n"/>
      <c r="F2747" s="180" t="n"/>
      <c r="G2747" s="180" t="n"/>
      <c r="H2747" s="181">
        <f>IF(OR(F2747="",G2747=""),"",ROUND(MOD(G2747-F2747,1)*24,2))</f>
        <v/>
      </c>
      <c r="K2747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48" ht="20" customHeight="1">
      <c r="D2748" s="179" t="n"/>
      <c r="E2748" s="179" t="n"/>
      <c r="F2748" s="180" t="n"/>
      <c r="G2748" s="180" t="n"/>
      <c r="H2748" s="181">
        <f>IF(OR(F2748="",G2748=""),"",ROUND(MOD(G2748-F2748,1)*24,2))</f>
        <v/>
      </c>
      <c r="K2748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49" ht="20" customHeight="1">
      <c r="D2749" s="179" t="n"/>
      <c r="E2749" s="179" t="n"/>
      <c r="F2749" s="180" t="n"/>
      <c r="G2749" s="180" t="n"/>
      <c r="H2749" s="181">
        <f>IF(OR(F2749="",G2749=""),"",ROUND(MOD(G2749-F2749,1)*24,2))</f>
        <v/>
      </c>
      <c r="K2749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50" collapsed="1" ht="20" customHeight="1">
      <c r="D2750" s="179" t="n"/>
      <c r="E2750" s="179" t="n"/>
      <c r="F2750" s="180" t="n"/>
      <c r="G2750" s="180" t="n"/>
      <c r="H2750" s="181">
        <f>IF(OR(F2750="",G2750=""),"",ROUND(MOD(G2750-F2750,1)*24,2))</f>
        <v/>
      </c>
      <c r="K2750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51" hidden="1" outlineLevel="1" ht="20" customHeight="1">
      <c r="D2751" s="179" t="n"/>
      <c r="E2751" s="179" t="n"/>
      <c r="F2751" s="180" t="n"/>
      <c r="G2751" s="180" t="n"/>
      <c r="H2751" s="181">
        <f>IF(OR(F2751="",G2751=""),"",ROUND(MOD(G2751-F2751,1)*24,2))</f>
        <v/>
      </c>
      <c r="K2751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52" hidden="1" outlineLevel="1" ht="20" customHeight="1">
      <c r="D2752" s="179" t="n"/>
      <c r="E2752" s="179" t="n"/>
      <c r="F2752" s="180" t="n"/>
      <c r="G2752" s="180" t="n"/>
      <c r="H2752" s="181">
        <f>IF(OR(F2752="",G2752=""),"",ROUND(MOD(G2752-F2752,1)*24,2))</f>
        <v/>
      </c>
      <c r="K2752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53" hidden="1" outlineLevel="1" ht="20" customHeight="1">
      <c r="D2753" s="179" t="n"/>
      <c r="E2753" s="179" t="n"/>
      <c r="F2753" s="180" t="n"/>
      <c r="G2753" s="180" t="n"/>
      <c r="H2753" s="181">
        <f>IF(OR(F2753="",G2753=""),"",ROUND(MOD(G2753-F2753,1)*24,2))</f>
        <v/>
      </c>
      <c r="K2753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54" hidden="1" outlineLevel="1" ht="20" customHeight="1">
      <c r="D2754" s="179" t="n"/>
      <c r="E2754" s="179" t="n"/>
      <c r="F2754" s="180" t="n"/>
      <c r="G2754" s="180" t="n"/>
      <c r="H2754" s="181">
        <f>IF(OR(F2754="",G2754=""),"",ROUND(MOD(G2754-F2754,1)*24,2))</f>
        <v/>
      </c>
      <c r="K2754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55" hidden="1" outlineLevel="1" ht="20" customHeight="1">
      <c r="A2755" s="342" t="n"/>
      <c r="B2755" s="342" t="n"/>
      <c r="C2755" s="342" t="n"/>
      <c r="D2755" s="332" t="n"/>
      <c r="E2755" s="332" t="n"/>
      <c r="F2755" s="333" t="n"/>
      <c r="G2755" s="333" t="n"/>
      <c r="H2755" s="334">
        <f>IF(OR(F2755="",G2755=""),"",ROUND(MOD(G2755-F2755,1)*24,2))</f>
        <v/>
      </c>
      <c r="I2755" s="342" t="n"/>
      <c r="J2755" s="342" t="n"/>
      <c r="K2755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56" ht="20" customHeight="1">
      <c r="A2756" s="336">
        <f>IF($K2756="","",WEEKNUM($K2756,21))</f>
        <v/>
      </c>
      <c r="B2756" s="337">
        <f>IF($K2756="","",$K2756)</f>
        <v/>
      </c>
      <c r="C2756" s="338">
        <f>IF($K2756="","",$K2756)</f>
        <v/>
      </c>
      <c r="D2756" s="171" t="n"/>
      <c r="E2756" s="171" t="n"/>
      <c r="F2756" s="172" t="n"/>
      <c r="G2756" s="172" t="n"/>
      <c r="H2756" s="173">
        <f>IF(OR(F2756="",G2756=""),"",ROUND(MOD(G2756-F2756,1)*24,2))</f>
        <v/>
      </c>
      <c r="I2756" s="339" t="n"/>
      <c r="J2756" s="339" t="n"/>
      <c r="K2756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57" ht="20" customHeight="1">
      <c r="D2757" s="179" t="n"/>
      <c r="E2757" s="179" t="n"/>
      <c r="F2757" s="180" t="n"/>
      <c r="G2757" s="180" t="n"/>
      <c r="H2757" s="181">
        <f>IF(OR(F2757="",G2757=""),"",ROUND(MOD(G2757-F2757,1)*24,2))</f>
        <v/>
      </c>
      <c r="K2757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58" ht="20" customHeight="1">
      <c r="D2758" s="179" t="n"/>
      <c r="E2758" s="179" t="n"/>
      <c r="F2758" s="180" t="n"/>
      <c r="G2758" s="180" t="n"/>
      <c r="H2758" s="181">
        <f>IF(OR(F2758="",G2758=""),"",ROUND(MOD(G2758-F2758,1)*24,2))</f>
        <v/>
      </c>
      <c r="K2758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59" ht="20" customHeight="1">
      <c r="D2759" s="179" t="n"/>
      <c r="E2759" s="179" t="n"/>
      <c r="F2759" s="180" t="n"/>
      <c r="G2759" s="180" t="n"/>
      <c r="H2759" s="181">
        <f>IF(OR(F2759="",G2759=""),"",ROUND(MOD(G2759-F2759,1)*24,2))</f>
        <v/>
      </c>
      <c r="K2759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60" collapsed="1" ht="20" customHeight="1">
      <c r="D2760" s="179" t="n"/>
      <c r="E2760" s="179" t="n"/>
      <c r="F2760" s="180" t="n"/>
      <c r="G2760" s="180" t="n"/>
      <c r="H2760" s="181">
        <f>IF(OR(F2760="",G2760=""),"",ROUND(MOD(G2760-F2760,1)*24,2))</f>
        <v/>
      </c>
      <c r="K2760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61" hidden="1" outlineLevel="1" ht="20" customHeight="1">
      <c r="D2761" s="179" t="n"/>
      <c r="E2761" s="179" t="n"/>
      <c r="F2761" s="180" t="n"/>
      <c r="G2761" s="180" t="n"/>
      <c r="H2761" s="181">
        <f>IF(OR(F2761="",G2761=""),"",ROUND(MOD(G2761-F2761,1)*24,2))</f>
        <v/>
      </c>
      <c r="K2761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62" hidden="1" outlineLevel="1" ht="20" customHeight="1">
      <c r="D2762" s="179" t="n"/>
      <c r="E2762" s="179" t="n"/>
      <c r="F2762" s="180" t="n"/>
      <c r="G2762" s="180" t="n"/>
      <c r="H2762" s="181">
        <f>IF(OR(F2762="",G2762=""),"",ROUND(MOD(G2762-F2762,1)*24,2))</f>
        <v/>
      </c>
      <c r="K2762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63" hidden="1" outlineLevel="1" ht="20" customHeight="1">
      <c r="D2763" s="179" t="n"/>
      <c r="E2763" s="179" t="n"/>
      <c r="F2763" s="180" t="n"/>
      <c r="G2763" s="180" t="n"/>
      <c r="H2763" s="181">
        <f>IF(OR(F2763="",G2763=""),"",ROUND(MOD(G2763-F2763,1)*24,2))</f>
        <v/>
      </c>
      <c r="K2763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64" hidden="1" outlineLevel="1" ht="20" customHeight="1">
      <c r="D2764" s="179" t="n"/>
      <c r="E2764" s="179" t="n"/>
      <c r="F2764" s="180" t="n"/>
      <c r="G2764" s="180" t="n"/>
      <c r="H2764" s="181">
        <f>IF(OR(F2764="",G2764=""),"",ROUND(MOD(G2764-F2764,1)*24,2))</f>
        <v/>
      </c>
      <c r="K2764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65" hidden="1" outlineLevel="1" ht="20" customHeight="1">
      <c r="A2765" s="342" t="n"/>
      <c r="B2765" s="342" t="n"/>
      <c r="C2765" s="342" t="n"/>
      <c r="D2765" s="332" t="n"/>
      <c r="E2765" s="332" t="n"/>
      <c r="F2765" s="333" t="n"/>
      <c r="G2765" s="333" t="n"/>
      <c r="H2765" s="334">
        <f>IF(OR(F2765="",G2765=""),"",ROUND(MOD(G2765-F2765,1)*24,2))</f>
        <v/>
      </c>
      <c r="I2765" s="342" t="n"/>
      <c r="J2765" s="342" t="n"/>
      <c r="K2765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66" ht="20" customHeight="1">
      <c r="A2766" s="336">
        <f>IF($K2766="","",WEEKNUM($K2766,21))</f>
        <v/>
      </c>
      <c r="B2766" s="337">
        <f>IF($K2766="","",$K2766)</f>
        <v/>
      </c>
      <c r="C2766" s="338">
        <f>IF($K2766="","",$K2766)</f>
        <v/>
      </c>
      <c r="D2766" s="171" t="n"/>
      <c r="E2766" s="171" t="n"/>
      <c r="F2766" s="172" t="n"/>
      <c r="G2766" s="172" t="n"/>
      <c r="H2766" s="173">
        <f>IF(OR(F2766="",G2766=""),"",ROUND(MOD(G2766-F2766,1)*24,2))</f>
        <v/>
      </c>
      <c r="I2766" s="339" t="n"/>
      <c r="J2766" s="339" t="n"/>
      <c r="K2766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67" ht="20" customHeight="1">
      <c r="D2767" s="179" t="n"/>
      <c r="E2767" s="179" t="n"/>
      <c r="F2767" s="180" t="n"/>
      <c r="G2767" s="180" t="n"/>
      <c r="H2767" s="181">
        <f>IF(OR(F2767="",G2767=""),"",ROUND(MOD(G2767-F2767,1)*24,2))</f>
        <v/>
      </c>
      <c r="K2767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68" ht="20" customHeight="1">
      <c r="D2768" s="179" t="n"/>
      <c r="E2768" s="179" t="n"/>
      <c r="F2768" s="180" t="n"/>
      <c r="G2768" s="180" t="n"/>
      <c r="H2768" s="181">
        <f>IF(OR(F2768="",G2768=""),"",ROUND(MOD(G2768-F2768,1)*24,2))</f>
        <v/>
      </c>
      <c r="K2768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69" ht="20" customHeight="1">
      <c r="D2769" s="179" t="n"/>
      <c r="E2769" s="179" t="n"/>
      <c r="F2769" s="180" t="n"/>
      <c r="G2769" s="180" t="n"/>
      <c r="H2769" s="181">
        <f>IF(OR(F2769="",G2769=""),"",ROUND(MOD(G2769-F2769,1)*24,2))</f>
        <v/>
      </c>
      <c r="K2769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70" collapsed="1" ht="20" customHeight="1">
      <c r="D2770" s="179" t="n"/>
      <c r="E2770" s="179" t="n"/>
      <c r="F2770" s="180" t="n"/>
      <c r="G2770" s="180" t="n"/>
      <c r="H2770" s="181">
        <f>IF(OR(F2770="",G2770=""),"",ROUND(MOD(G2770-F2770,1)*24,2))</f>
        <v/>
      </c>
      <c r="K2770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71" hidden="1" outlineLevel="1" ht="20" customHeight="1">
      <c r="D2771" s="179" t="n"/>
      <c r="E2771" s="179" t="n"/>
      <c r="F2771" s="180" t="n"/>
      <c r="G2771" s="180" t="n"/>
      <c r="H2771" s="181">
        <f>IF(OR(F2771="",G2771=""),"",ROUND(MOD(G2771-F2771,1)*24,2))</f>
        <v/>
      </c>
      <c r="K2771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72" hidden="1" outlineLevel="1" ht="20" customHeight="1">
      <c r="D2772" s="179" t="n"/>
      <c r="E2772" s="179" t="n"/>
      <c r="F2772" s="180" t="n"/>
      <c r="G2772" s="180" t="n"/>
      <c r="H2772" s="181">
        <f>IF(OR(F2772="",G2772=""),"",ROUND(MOD(G2772-F2772,1)*24,2))</f>
        <v/>
      </c>
      <c r="K2772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73" hidden="1" outlineLevel="1" ht="20" customHeight="1">
      <c r="D2773" s="179" t="n"/>
      <c r="E2773" s="179" t="n"/>
      <c r="F2773" s="180" t="n"/>
      <c r="G2773" s="180" t="n"/>
      <c r="H2773" s="181">
        <f>IF(OR(F2773="",G2773=""),"",ROUND(MOD(G2773-F2773,1)*24,2))</f>
        <v/>
      </c>
      <c r="K2773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74" hidden="1" outlineLevel="1" ht="20" customHeight="1">
      <c r="D2774" s="179" t="n"/>
      <c r="E2774" s="179" t="n"/>
      <c r="F2774" s="180" t="n"/>
      <c r="G2774" s="180" t="n"/>
      <c r="H2774" s="181">
        <f>IF(OR(F2774="",G2774=""),"",ROUND(MOD(G2774-F2774,1)*24,2))</f>
        <v/>
      </c>
      <c r="K2774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75" hidden="1" outlineLevel="1" ht="20" customHeight="1">
      <c r="A2775" s="342" t="n"/>
      <c r="B2775" s="342" t="n"/>
      <c r="C2775" s="342" t="n"/>
      <c r="D2775" s="332" t="n"/>
      <c r="E2775" s="332" t="n"/>
      <c r="F2775" s="333" t="n"/>
      <c r="G2775" s="333" t="n"/>
      <c r="H2775" s="334">
        <f>IF(OR(F2775="",G2775=""),"",ROUND(MOD(G2775-F2775,1)*24,2))</f>
        <v/>
      </c>
      <c r="I2775" s="342" t="n"/>
      <c r="J2775" s="342" t="n"/>
      <c r="K2775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76" ht="20" customHeight="1">
      <c r="A2776" s="336">
        <f>IF($K2776="","",WEEKNUM($K2776,21))</f>
        <v/>
      </c>
      <c r="B2776" s="337">
        <f>IF($K2776="","",$K2776)</f>
        <v/>
      </c>
      <c r="C2776" s="338">
        <f>IF($K2776="","",$K2776)</f>
        <v/>
      </c>
      <c r="D2776" s="171" t="n"/>
      <c r="E2776" s="171" t="n"/>
      <c r="F2776" s="172" t="n"/>
      <c r="G2776" s="172" t="n"/>
      <c r="H2776" s="173">
        <f>IF(OR(F2776="",G2776=""),"",ROUND(MOD(G2776-F2776,1)*24,2))</f>
        <v/>
      </c>
      <c r="I2776" s="339" t="n"/>
      <c r="J2776" s="339" t="n"/>
      <c r="K2776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77" ht="20" customHeight="1">
      <c r="D2777" s="179" t="n"/>
      <c r="E2777" s="179" t="n"/>
      <c r="F2777" s="180" t="n"/>
      <c r="G2777" s="180" t="n"/>
      <c r="H2777" s="181">
        <f>IF(OR(F2777="",G2777=""),"",ROUND(MOD(G2777-F2777,1)*24,2))</f>
        <v/>
      </c>
      <c r="K2777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78" ht="20" customHeight="1">
      <c r="D2778" s="179" t="n"/>
      <c r="E2778" s="179" t="n"/>
      <c r="F2778" s="180" t="n"/>
      <c r="G2778" s="180" t="n"/>
      <c r="H2778" s="181">
        <f>IF(OR(F2778="",G2778=""),"",ROUND(MOD(G2778-F2778,1)*24,2))</f>
        <v/>
      </c>
      <c r="K2778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79" ht="20" customHeight="1">
      <c r="D2779" s="179" t="n"/>
      <c r="E2779" s="179" t="n"/>
      <c r="F2779" s="180" t="n"/>
      <c r="G2779" s="180" t="n"/>
      <c r="H2779" s="181">
        <f>IF(OR(F2779="",G2779=""),"",ROUND(MOD(G2779-F2779,1)*24,2))</f>
        <v/>
      </c>
      <c r="K2779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80" collapsed="1" ht="20" customHeight="1">
      <c r="D2780" s="179" t="n"/>
      <c r="E2780" s="179" t="n"/>
      <c r="F2780" s="180" t="n"/>
      <c r="G2780" s="180" t="n"/>
      <c r="H2780" s="181">
        <f>IF(OR(F2780="",G2780=""),"",ROUND(MOD(G2780-F2780,1)*24,2))</f>
        <v/>
      </c>
      <c r="K2780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81" hidden="1" outlineLevel="1" ht="20" customHeight="1">
      <c r="D2781" s="179" t="n"/>
      <c r="E2781" s="179" t="n"/>
      <c r="F2781" s="180" t="n"/>
      <c r="G2781" s="180" t="n"/>
      <c r="H2781" s="181">
        <f>IF(OR(F2781="",G2781=""),"",ROUND(MOD(G2781-F2781,1)*24,2))</f>
        <v/>
      </c>
      <c r="K2781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82" hidden="1" outlineLevel="1" ht="20" customHeight="1">
      <c r="D2782" s="179" t="n"/>
      <c r="E2782" s="179" t="n"/>
      <c r="F2782" s="180" t="n"/>
      <c r="G2782" s="180" t="n"/>
      <c r="H2782" s="181">
        <f>IF(OR(F2782="",G2782=""),"",ROUND(MOD(G2782-F2782,1)*24,2))</f>
        <v/>
      </c>
      <c r="K2782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83" hidden="1" outlineLevel="1" ht="20" customHeight="1">
      <c r="D2783" s="179" t="n"/>
      <c r="E2783" s="179" t="n"/>
      <c r="F2783" s="180" t="n"/>
      <c r="G2783" s="180" t="n"/>
      <c r="H2783" s="181">
        <f>IF(OR(F2783="",G2783=""),"",ROUND(MOD(G2783-F2783,1)*24,2))</f>
        <v/>
      </c>
      <c r="K2783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84" hidden="1" outlineLevel="1" ht="20" customHeight="1">
      <c r="D2784" s="179" t="n"/>
      <c r="E2784" s="179" t="n"/>
      <c r="F2784" s="180" t="n"/>
      <c r="G2784" s="180" t="n"/>
      <c r="H2784" s="181">
        <f>IF(OR(F2784="",G2784=""),"",ROUND(MOD(G2784-F2784,1)*24,2))</f>
        <v/>
      </c>
      <c r="K2784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85" hidden="1" outlineLevel="1" ht="20" customHeight="1">
      <c r="A2785" s="342" t="n"/>
      <c r="B2785" s="342" t="n"/>
      <c r="C2785" s="342" t="n"/>
      <c r="D2785" s="332" t="n"/>
      <c r="E2785" s="332" t="n"/>
      <c r="F2785" s="333" t="n"/>
      <c r="G2785" s="333" t="n"/>
      <c r="H2785" s="334">
        <f>IF(OR(F2785="",G2785=""),"",ROUND(MOD(G2785-F2785,1)*24,2))</f>
        <v/>
      </c>
      <c r="I2785" s="342" t="n"/>
      <c r="J2785" s="342" t="n"/>
      <c r="K2785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786" ht="20" customHeight="1">
      <c r="A2786" s="336">
        <f>IF($K2786="","",WEEKNUM($K2786,21))</f>
        <v/>
      </c>
      <c r="B2786" s="337">
        <f>IF($K2786="","",$K2786)</f>
        <v/>
      </c>
      <c r="C2786" s="338">
        <f>IF($K2786="","",$K2786)</f>
        <v/>
      </c>
      <c r="D2786" s="171" t="n"/>
      <c r="E2786" s="171" t="n"/>
      <c r="F2786" s="172" t="n"/>
      <c r="G2786" s="172" t="n"/>
      <c r="H2786" s="173">
        <f>IF(OR(F2786="",G2786=""),"",ROUND(MOD(G2786-F2786,1)*24,2))</f>
        <v/>
      </c>
      <c r="I2786" s="339" t="n"/>
      <c r="J2786" s="339" t="n"/>
      <c r="K2786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87" ht="20" customHeight="1">
      <c r="D2787" s="179" t="n"/>
      <c r="E2787" s="179" t="n"/>
      <c r="F2787" s="180" t="n"/>
      <c r="G2787" s="180" t="n"/>
      <c r="H2787" s="181">
        <f>IF(OR(F2787="",G2787=""),"",ROUND(MOD(G2787-F2787,1)*24,2))</f>
        <v/>
      </c>
      <c r="K2787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88" ht="20" customHeight="1">
      <c r="D2788" s="179" t="n"/>
      <c r="E2788" s="179" t="n"/>
      <c r="F2788" s="180" t="n"/>
      <c r="G2788" s="180" t="n"/>
      <c r="H2788" s="181">
        <f>IF(OR(F2788="",G2788=""),"",ROUND(MOD(G2788-F2788,1)*24,2))</f>
        <v/>
      </c>
      <c r="K2788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89" ht="20" customHeight="1">
      <c r="D2789" s="179" t="n"/>
      <c r="E2789" s="179" t="n"/>
      <c r="F2789" s="180" t="n"/>
      <c r="G2789" s="180" t="n"/>
      <c r="H2789" s="181">
        <f>IF(OR(F2789="",G2789=""),"",ROUND(MOD(G2789-F2789,1)*24,2))</f>
        <v/>
      </c>
      <c r="K2789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90" collapsed="1" ht="20" customHeight="1">
      <c r="D2790" s="179" t="n"/>
      <c r="E2790" s="179" t="n"/>
      <c r="F2790" s="180" t="n"/>
      <c r="G2790" s="180" t="n"/>
      <c r="H2790" s="181">
        <f>IF(OR(F2790="",G2790=""),"",ROUND(MOD(G2790-F2790,1)*24,2))</f>
        <v/>
      </c>
      <c r="K2790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91" hidden="1" outlineLevel="1" ht="20" customHeight="1">
      <c r="D2791" s="179" t="n"/>
      <c r="E2791" s="179" t="n"/>
      <c r="F2791" s="180" t="n"/>
      <c r="G2791" s="180" t="n"/>
      <c r="H2791" s="181">
        <f>IF(OR(F2791="",G2791=""),"",ROUND(MOD(G2791-F2791,1)*24,2))</f>
        <v/>
      </c>
      <c r="K2791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92" hidden="1" outlineLevel="1" ht="20" customHeight="1">
      <c r="D2792" s="179" t="n"/>
      <c r="E2792" s="179" t="n"/>
      <c r="F2792" s="180" t="n"/>
      <c r="G2792" s="180" t="n"/>
      <c r="H2792" s="181">
        <f>IF(OR(F2792="",G2792=""),"",ROUND(MOD(G2792-F2792,1)*24,2))</f>
        <v/>
      </c>
      <c r="K2792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93" hidden="1" outlineLevel="1" ht="20" customHeight="1">
      <c r="D2793" s="179" t="n"/>
      <c r="E2793" s="179" t="n"/>
      <c r="F2793" s="180" t="n"/>
      <c r="G2793" s="180" t="n"/>
      <c r="H2793" s="181">
        <f>IF(OR(F2793="",G2793=""),"",ROUND(MOD(G2793-F2793,1)*24,2))</f>
        <v/>
      </c>
      <c r="K2793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94" hidden="1" outlineLevel="1" ht="20" customHeight="1">
      <c r="D2794" s="179" t="n"/>
      <c r="E2794" s="179" t="n"/>
      <c r="F2794" s="180" t="n"/>
      <c r="G2794" s="180" t="n"/>
      <c r="H2794" s="181">
        <f>IF(OR(F2794="",G2794=""),"",ROUND(MOD(G2794-F2794,1)*24,2))</f>
        <v/>
      </c>
      <c r="K2794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95" hidden="1" outlineLevel="1" ht="20" customHeight="1">
      <c r="A2795" s="342" t="n"/>
      <c r="B2795" s="342" t="n"/>
      <c r="C2795" s="342" t="n"/>
      <c r="D2795" s="332" t="n"/>
      <c r="E2795" s="332" t="n"/>
      <c r="F2795" s="333" t="n"/>
      <c r="G2795" s="333" t="n"/>
      <c r="H2795" s="334">
        <f>IF(OR(F2795="",G2795=""),"",ROUND(MOD(G2795-F2795,1)*24,2))</f>
        <v/>
      </c>
      <c r="I2795" s="342" t="n"/>
      <c r="J2795" s="342" t="n"/>
      <c r="K2795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796" ht="20" customHeight="1">
      <c r="A2796" s="336">
        <f>IF($K2796="","",WEEKNUM($K2796,21))</f>
        <v/>
      </c>
      <c r="B2796" s="337">
        <f>IF($K2796="","",$K2796)</f>
        <v/>
      </c>
      <c r="C2796" s="338">
        <f>IF($K2796="","",$K2796)</f>
        <v/>
      </c>
      <c r="D2796" s="171" t="n"/>
      <c r="E2796" s="171" t="n"/>
      <c r="F2796" s="172" t="n"/>
      <c r="G2796" s="172" t="n"/>
      <c r="H2796" s="173">
        <f>IF(OR(F2796="",G2796=""),"",ROUND(MOD(G2796-F2796,1)*24,2))</f>
        <v/>
      </c>
      <c r="I2796" s="339" t="n"/>
      <c r="J2796" s="339" t="n"/>
      <c r="K2796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797" ht="20" customHeight="1">
      <c r="D2797" s="179" t="n"/>
      <c r="E2797" s="179" t="n"/>
      <c r="F2797" s="180" t="n"/>
      <c r="G2797" s="180" t="n"/>
      <c r="H2797" s="181">
        <f>IF(OR(F2797="",G2797=""),"",ROUND(MOD(G2797-F2797,1)*24,2))</f>
        <v/>
      </c>
      <c r="K2797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798" ht="20" customHeight="1">
      <c r="D2798" s="179" t="n"/>
      <c r="E2798" s="179" t="n"/>
      <c r="F2798" s="180" t="n"/>
      <c r="G2798" s="180" t="n"/>
      <c r="H2798" s="181">
        <f>IF(OR(F2798="",G2798=""),"",ROUND(MOD(G2798-F2798,1)*24,2))</f>
        <v/>
      </c>
      <c r="K2798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799" ht="20" customHeight="1">
      <c r="D2799" s="179" t="n"/>
      <c r="E2799" s="179" t="n"/>
      <c r="F2799" s="180" t="n"/>
      <c r="G2799" s="180" t="n"/>
      <c r="H2799" s="181">
        <f>IF(OR(F2799="",G2799=""),"",ROUND(MOD(G2799-F2799,1)*24,2))</f>
        <v/>
      </c>
      <c r="K2799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800" collapsed="1" ht="20" customHeight="1">
      <c r="D2800" s="179" t="n"/>
      <c r="E2800" s="179" t="n"/>
      <c r="F2800" s="180" t="n"/>
      <c r="G2800" s="180" t="n"/>
      <c r="H2800" s="181">
        <f>IF(OR(F2800="",G2800=""),"",ROUND(MOD(G2800-F2800,1)*24,2))</f>
        <v/>
      </c>
      <c r="K2800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801" hidden="1" outlineLevel="1" ht="20" customHeight="1">
      <c r="D2801" s="179" t="n"/>
      <c r="E2801" s="179" t="n"/>
      <c r="F2801" s="180" t="n"/>
      <c r="G2801" s="180" t="n"/>
      <c r="H2801" s="181">
        <f>IF(OR(F2801="",G2801=""),"",ROUND(MOD(G2801-F2801,1)*24,2))</f>
        <v/>
      </c>
      <c r="K2801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802" hidden="1" outlineLevel="1" ht="20" customHeight="1">
      <c r="D2802" s="179" t="n"/>
      <c r="E2802" s="179" t="n"/>
      <c r="F2802" s="180" t="n"/>
      <c r="G2802" s="180" t="n"/>
      <c r="H2802" s="181">
        <f>IF(OR(F2802="",G2802=""),"",ROUND(MOD(G2802-F2802,1)*24,2))</f>
        <v/>
      </c>
      <c r="K2802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803" hidden="1" outlineLevel="1" ht="20" customHeight="1">
      <c r="D2803" s="179" t="n"/>
      <c r="E2803" s="179" t="n"/>
      <c r="F2803" s="180" t="n"/>
      <c r="G2803" s="180" t="n"/>
      <c r="H2803" s="181">
        <f>IF(OR(F2803="",G2803=""),"",ROUND(MOD(G2803-F2803,1)*24,2))</f>
        <v/>
      </c>
      <c r="K2803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804" hidden="1" outlineLevel="1" ht="20" customHeight="1">
      <c r="D2804" s="179" t="n"/>
      <c r="E2804" s="179" t="n"/>
      <c r="F2804" s="180" t="n"/>
      <c r="G2804" s="180" t="n"/>
      <c r="H2804" s="181">
        <f>IF(OR(F2804="",G2804=""),"",ROUND(MOD(G2804-F2804,1)*24,2))</f>
        <v/>
      </c>
      <c r="K2804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805" hidden="1" outlineLevel="1" ht="20" customHeight="1">
      <c r="A2805" s="342" t="n"/>
      <c r="B2805" s="342" t="n"/>
      <c r="C2805" s="342" t="n"/>
      <c r="D2805" s="332" t="n"/>
      <c r="E2805" s="332" t="n"/>
      <c r="F2805" s="333" t="n"/>
      <c r="G2805" s="333" t="n"/>
      <c r="H2805" s="334">
        <f>IF(OR(F2805="",G2805=""),"",ROUND(MOD(G2805-F2805,1)*24,2))</f>
        <v/>
      </c>
      <c r="I2805" s="342" t="n"/>
      <c r="J2805" s="342" t="n"/>
      <c r="K2805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806" ht="20" customHeight="1">
      <c r="A2806" s="336">
        <f>IF($K2806="","",WEEKNUM($K2806,21))</f>
        <v/>
      </c>
      <c r="B2806" s="337">
        <f>IF($K2806="","",$K2806)</f>
        <v/>
      </c>
      <c r="C2806" s="338">
        <f>IF($K2806="","",$K2806)</f>
        <v/>
      </c>
      <c r="D2806" s="171" t="n"/>
      <c r="E2806" s="171" t="n"/>
      <c r="F2806" s="172" t="n"/>
      <c r="G2806" s="172" t="n"/>
      <c r="H2806" s="173">
        <f>IF(OR(F2806="",G2806=""),"",ROUND(MOD(G2806-F2806,1)*24,2))</f>
        <v/>
      </c>
      <c r="I2806" s="339" t="n"/>
      <c r="J2806" s="339" t="n"/>
      <c r="K2806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07" ht="20" customHeight="1">
      <c r="D2807" s="179" t="n"/>
      <c r="E2807" s="179" t="n"/>
      <c r="F2807" s="180" t="n"/>
      <c r="G2807" s="180" t="n"/>
      <c r="H2807" s="181">
        <f>IF(OR(F2807="",G2807=""),"",ROUND(MOD(G2807-F2807,1)*24,2))</f>
        <v/>
      </c>
      <c r="K2807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08" ht="20" customHeight="1">
      <c r="D2808" s="179" t="n"/>
      <c r="E2808" s="179" t="n"/>
      <c r="F2808" s="180" t="n"/>
      <c r="G2808" s="180" t="n"/>
      <c r="H2808" s="181">
        <f>IF(OR(F2808="",G2808=""),"",ROUND(MOD(G2808-F2808,1)*24,2))</f>
        <v/>
      </c>
      <c r="K2808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09" ht="20" customHeight="1">
      <c r="D2809" s="179" t="n"/>
      <c r="E2809" s="179" t="n"/>
      <c r="F2809" s="180" t="n"/>
      <c r="G2809" s="180" t="n"/>
      <c r="H2809" s="181">
        <f>IF(OR(F2809="",G2809=""),"",ROUND(MOD(G2809-F2809,1)*24,2))</f>
        <v/>
      </c>
      <c r="K2809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10" collapsed="1" ht="20" customHeight="1">
      <c r="D2810" s="179" t="n"/>
      <c r="E2810" s="179" t="n"/>
      <c r="F2810" s="180" t="n"/>
      <c r="G2810" s="180" t="n"/>
      <c r="H2810" s="181">
        <f>IF(OR(F2810="",G2810=""),"",ROUND(MOD(G2810-F2810,1)*24,2))</f>
        <v/>
      </c>
      <c r="K2810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11" hidden="1" outlineLevel="1" ht="20" customHeight="1">
      <c r="D2811" s="179" t="n"/>
      <c r="E2811" s="179" t="n"/>
      <c r="F2811" s="180" t="n"/>
      <c r="G2811" s="180" t="n"/>
      <c r="H2811" s="181">
        <f>IF(OR(F2811="",G2811=""),"",ROUND(MOD(G2811-F2811,1)*24,2))</f>
        <v/>
      </c>
      <c r="K2811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12" hidden="1" outlineLevel="1" ht="20" customHeight="1">
      <c r="D2812" s="179" t="n"/>
      <c r="E2812" s="179" t="n"/>
      <c r="F2812" s="180" t="n"/>
      <c r="G2812" s="180" t="n"/>
      <c r="H2812" s="181">
        <f>IF(OR(F2812="",G2812=""),"",ROUND(MOD(G2812-F2812,1)*24,2))</f>
        <v/>
      </c>
      <c r="K2812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13" hidden="1" outlineLevel="1" ht="20" customHeight="1">
      <c r="D2813" s="179" t="n"/>
      <c r="E2813" s="179" t="n"/>
      <c r="F2813" s="180" t="n"/>
      <c r="G2813" s="180" t="n"/>
      <c r="H2813" s="181">
        <f>IF(OR(F2813="",G2813=""),"",ROUND(MOD(G2813-F2813,1)*24,2))</f>
        <v/>
      </c>
      <c r="K2813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14" hidden="1" outlineLevel="1" ht="20" customHeight="1">
      <c r="D2814" s="179" t="n"/>
      <c r="E2814" s="179" t="n"/>
      <c r="F2814" s="180" t="n"/>
      <c r="G2814" s="180" t="n"/>
      <c r="H2814" s="181">
        <f>IF(OR(F2814="",G2814=""),"",ROUND(MOD(G2814-F2814,1)*24,2))</f>
        <v/>
      </c>
      <c r="K2814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15" hidden="1" outlineLevel="1" ht="20" customHeight="1">
      <c r="A2815" s="342" t="n"/>
      <c r="B2815" s="342" t="n"/>
      <c r="C2815" s="342" t="n"/>
      <c r="D2815" s="332" t="n"/>
      <c r="E2815" s="332" t="n"/>
      <c r="F2815" s="333" t="n"/>
      <c r="G2815" s="333" t="n"/>
      <c r="H2815" s="334">
        <f>IF(OR(F2815="",G2815=""),"",ROUND(MOD(G2815-F2815,1)*24,2))</f>
        <v/>
      </c>
      <c r="I2815" s="342" t="n"/>
      <c r="J2815" s="342" t="n"/>
      <c r="K2815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16" ht="20" customHeight="1">
      <c r="A2816" s="336">
        <f>IF($K2816="","",WEEKNUM($K2816,21))</f>
        <v/>
      </c>
      <c r="B2816" s="337">
        <f>IF($K2816="","",$K2816)</f>
        <v/>
      </c>
      <c r="C2816" s="338">
        <f>IF($K2816="","",$K2816)</f>
        <v/>
      </c>
      <c r="D2816" s="171" t="n"/>
      <c r="E2816" s="171" t="n"/>
      <c r="F2816" s="172" t="n"/>
      <c r="G2816" s="172" t="n"/>
      <c r="H2816" s="173">
        <f>IF(OR(F2816="",G2816=""),"",ROUND(MOD(G2816-F2816,1)*24,2))</f>
        <v/>
      </c>
      <c r="I2816" s="339" t="n"/>
      <c r="J2816" s="339" t="n"/>
      <c r="K2816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17" ht="20" customHeight="1">
      <c r="D2817" s="179" t="n"/>
      <c r="E2817" s="179" t="n"/>
      <c r="F2817" s="180" t="n"/>
      <c r="G2817" s="180" t="n"/>
      <c r="H2817" s="181">
        <f>IF(OR(F2817="",G2817=""),"",ROUND(MOD(G2817-F2817,1)*24,2))</f>
        <v/>
      </c>
      <c r="K2817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18" ht="20" customHeight="1">
      <c r="D2818" s="179" t="n"/>
      <c r="E2818" s="179" t="n"/>
      <c r="F2818" s="180" t="n"/>
      <c r="G2818" s="180" t="n"/>
      <c r="H2818" s="181">
        <f>IF(OR(F2818="",G2818=""),"",ROUND(MOD(G2818-F2818,1)*24,2))</f>
        <v/>
      </c>
      <c r="K2818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19" ht="20" customHeight="1">
      <c r="D2819" s="179" t="n"/>
      <c r="E2819" s="179" t="n"/>
      <c r="F2819" s="180" t="n"/>
      <c r="G2819" s="180" t="n"/>
      <c r="H2819" s="181">
        <f>IF(OR(F2819="",G2819=""),"",ROUND(MOD(G2819-F2819,1)*24,2))</f>
        <v/>
      </c>
      <c r="K2819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20" collapsed="1" ht="20" customHeight="1">
      <c r="D2820" s="179" t="n"/>
      <c r="E2820" s="179" t="n"/>
      <c r="F2820" s="180" t="n"/>
      <c r="G2820" s="180" t="n"/>
      <c r="H2820" s="181">
        <f>IF(OR(F2820="",G2820=""),"",ROUND(MOD(G2820-F2820,1)*24,2))</f>
        <v/>
      </c>
      <c r="K2820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21" hidden="1" outlineLevel="1" ht="20" customHeight="1">
      <c r="D2821" s="179" t="n"/>
      <c r="E2821" s="179" t="n"/>
      <c r="F2821" s="180" t="n"/>
      <c r="G2821" s="180" t="n"/>
      <c r="H2821" s="181">
        <f>IF(OR(F2821="",G2821=""),"",ROUND(MOD(G2821-F2821,1)*24,2))</f>
        <v/>
      </c>
      <c r="K2821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22" hidden="1" outlineLevel="1" ht="20" customHeight="1">
      <c r="D2822" s="179" t="n"/>
      <c r="E2822" s="179" t="n"/>
      <c r="F2822" s="180" t="n"/>
      <c r="G2822" s="180" t="n"/>
      <c r="H2822" s="181">
        <f>IF(OR(F2822="",G2822=""),"",ROUND(MOD(G2822-F2822,1)*24,2))</f>
        <v/>
      </c>
      <c r="K2822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23" hidden="1" outlineLevel="1" ht="20" customHeight="1">
      <c r="D2823" s="179" t="n"/>
      <c r="E2823" s="179" t="n"/>
      <c r="F2823" s="180" t="n"/>
      <c r="G2823" s="180" t="n"/>
      <c r="H2823" s="181">
        <f>IF(OR(F2823="",G2823=""),"",ROUND(MOD(G2823-F2823,1)*24,2))</f>
        <v/>
      </c>
      <c r="K2823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24" hidden="1" outlineLevel="1" ht="20" customHeight="1">
      <c r="D2824" s="179" t="n"/>
      <c r="E2824" s="179" t="n"/>
      <c r="F2824" s="180" t="n"/>
      <c r="G2824" s="180" t="n"/>
      <c r="H2824" s="181">
        <f>IF(OR(F2824="",G2824=""),"",ROUND(MOD(G2824-F2824,1)*24,2))</f>
        <v/>
      </c>
      <c r="K2824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25" hidden="1" outlineLevel="1" ht="20" customHeight="1">
      <c r="A2825" s="342" t="n"/>
      <c r="B2825" s="342" t="n"/>
      <c r="C2825" s="342" t="n"/>
      <c r="D2825" s="332" t="n"/>
      <c r="E2825" s="332" t="n"/>
      <c r="F2825" s="333" t="n"/>
      <c r="G2825" s="333" t="n"/>
      <c r="H2825" s="334">
        <f>IF(OR(F2825="",G2825=""),"",ROUND(MOD(G2825-F2825,1)*24,2))</f>
        <v/>
      </c>
      <c r="I2825" s="342" t="n"/>
      <c r="J2825" s="342" t="n"/>
      <c r="K2825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26" ht="20" customHeight="1">
      <c r="A2826" s="336">
        <f>IF($K2826="","",WEEKNUM($K2826,21))</f>
        <v/>
      </c>
      <c r="B2826" s="337">
        <f>IF($K2826="","",$K2826)</f>
        <v/>
      </c>
      <c r="C2826" s="338">
        <f>IF($K2826="","",$K2826)</f>
        <v/>
      </c>
      <c r="D2826" s="171" t="n"/>
      <c r="E2826" s="171" t="n"/>
      <c r="F2826" s="172" t="n"/>
      <c r="G2826" s="172" t="n"/>
      <c r="H2826" s="173">
        <f>IF(OR(F2826="",G2826=""),"",ROUND(MOD(G2826-F2826,1)*24,2))</f>
        <v/>
      </c>
      <c r="I2826" s="339" t="n"/>
      <c r="J2826" s="339" t="n"/>
      <c r="K2826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27" ht="20" customHeight="1">
      <c r="D2827" s="179" t="n"/>
      <c r="E2827" s="179" t="n"/>
      <c r="F2827" s="180" t="n"/>
      <c r="G2827" s="180" t="n"/>
      <c r="H2827" s="181">
        <f>IF(OR(F2827="",G2827=""),"",ROUND(MOD(G2827-F2827,1)*24,2))</f>
        <v/>
      </c>
      <c r="K2827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28" ht="20" customHeight="1">
      <c r="D2828" s="179" t="n"/>
      <c r="E2828" s="179" t="n"/>
      <c r="F2828" s="180" t="n"/>
      <c r="G2828" s="180" t="n"/>
      <c r="H2828" s="181">
        <f>IF(OR(F2828="",G2828=""),"",ROUND(MOD(G2828-F2828,1)*24,2))</f>
        <v/>
      </c>
      <c r="K2828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29" ht="20" customHeight="1">
      <c r="D2829" s="179" t="n"/>
      <c r="E2829" s="179" t="n"/>
      <c r="F2829" s="180" t="n"/>
      <c r="G2829" s="180" t="n"/>
      <c r="H2829" s="181">
        <f>IF(OR(F2829="",G2829=""),"",ROUND(MOD(G2829-F2829,1)*24,2))</f>
        <v/>
      </c>
      <c r="K2829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30" collapsed="1" ht="20" customHeight="1">
      <c r="D2830" s="179" t="n"/>
      <c r="E2830" s="179" t="n"/>
      <c r="F2830" s="180" t="n"/>
      <c r="G2830" s="180" t="n"/>
      <c r="H2830" s="181">
        <f>IF(OR(F2830="",G2830=""),"",ROUND(MOD(G2830-F2830,1)*24,2))</f>
        <v/>
      </c>
      <c r="K2830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31" hidden="1" outlineLevel="1" ht="20" customHeight="1">
      <c r="D2831" s="179" t="n"/>
      <c r="E2831" s="179" t="n"/>
      <c r="F2831" s="180" t="n"/>
      <c r="G2831" s="180" t="n"/>
      <c r="H2831" s="181">
        <f>IF(OR(F2831="",G2831=""),"",ROUND(MOD(G2831-F2831,1)*24,2))</f>
        <v/>
      </c>
      <c r="K2831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32" hidden="1" outlineLevel="1" ht="20" customHeight="1">
      <c r="D2832" s="179" t="n"/>
      <c r="E2832" s="179" t="n"/>
      <c r="F2832" s="180" t="n"/>
      <c r="G2832" s="180" t="n"/>
      <c r="H2832" s="181">
        <f>IF(OR(F2832="",G2832=""),"",ROUND(MOD(G2832-F2832,1)*24,2))</f>
        <v/>
      </c>
      <c r="K2832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33" hidden="1" outlineLevel="1" ht="20" customHeight="1">
      <c r="D2833" s="179" t="n"/>
      <c r="E2833" s="179" t="n"/>
      <c r="F2833" s="180" t="n"/>
      <c r="G2833" s="180" t="n"/>
      <c r="H2833" s="181">
        <f>IF(OR(F2833="",G2833=""),"",ROUND(MOD(G2833-F2833,1)*24,2))</f>
        <v/>
      </c>
      <c r="K2833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34" hidden="1" outlineLevel="1" ht="20" customHeight="1">
      <c r="D2834" s="179" t="n"/>
      <c r="E2834" s="179" t="n"/>
      <c r="F2834" s="180" t="n"/>
      <c r="G2834" s="180" t="n"/>
      <c r="H2834" s="181">
        <f>IF(OR(F2834="",G2834=""),"",ROUND(MOD(G2834-F2834,1)*24,2))</f>
        <v/>
      </c>
      <c r="K2834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35" hidden="1" outlineLevel="1" ht="20" customHeight="1">
      <c r="A2835" s="342" t="n"/>
      <c r="B2835" s="342" t="n"/>
      <c r="C2835" s="342" t="n"/>
      <c r="D2835" s="332" t="n"/>
      <c r="E2835" s="332" t="n"/>
      <c r="F2835" s="333" t="n"/>
      <c r="G2835" s="333" t="n"/>
      <c r="H2835" s="334">
        <f>IF(OR(F2835="",G2835=""),"",ROUND(MOD(G2835-F2835,1)*24,2))</f>
        <v/>
      </c>
      <c r="I2835" s="342" t="n"/>
      <c r="J2835" s="342" t="n"/>
      <c r="K2835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36" ht="20" customHeight="1">
      <c r="A2836" s="336">
        <f>IF($K2836="","",WEEKNUM($K2836,21))</f>
        <v/>
      </c>
      <c r="B2836" s="337">
        <f>IF($K2836="","",$K2836)</f>
        <v/>
      </c>
      <c r="C2836" s="338">
        <f>IF($K2836="","",$K2836)</f>
        <v/>
      </c>
      <c r="D2836" s="171" t="n"/>
      <c r="E2836" s="171" t="n"/>
      <c r="F2836" s="172" t="n"/>
      <c r="G2836" s="172" t="n"/>
      <c r="H2836" s="173">
        <f>IF(OR(F2836="",G2836=""),"",ROUND(MOD(G2836-F2836,1)*24,2))</f>
        <v/>
      </c>
      <c r="I2836" s="339" t="n"/>
      <c r="J2836" s="339" t="n"/>
      <c r="K2836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37" ht="20" customHeight="1">
      <c r="D2837" s="179" t="n"/>
      <c r="E2837" s="179" t="n"/>
      <c r="F2837" s="180" t="n"/>
      <c r="G2837" s="180" t="n"/>
      <c r="H2837" s="181">
        <f>IF(OR(F2837="",G2837=""),"",ROUND(MOD(G2837-F2837,1)*24,2))</f>
        <v/>
      </c>
      <c r="K2837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38" ht="20" customHeight="1">
      <c r="D2838" s="179" t="n"/>
      <c r="E2838" s="179" t="n"/>
      <c r="F2838" s="180" t="n"/>
      <c r="G2838" s="180" t="n"/>
      <c r="H2838" s="181">
        <f>IF(OR(F2838="",G2838=""),"",ROUND(MOD(G2838-F2838,1)*24,2))</f>
        <v/>
      </c>
      <c r="K2838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39" ht="20" customHeight="1">
      <c r="D2839" s="179" t="n"/>
      <c r="E2839" s="179" t="n"/>
      <c r="F2839" s="180" t="n"/>
      <c r="G2839" s="180" t="n"/>
      <c r="H2839" s="181">
        <f>IF(OR(F2839="",G2839=""),"",ROUND(MOD(G2839-F2839,1)*24,2))</f>
        <v/>
      </c>
      <c r="K2839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40" collapsed="1" ht="20" customHeight="1">
      <c r="D2840" s="179" t="n"/>
      <c r="E2840" s="179" t="n"/>
      <c r="F2840" s="180" t="n"/>
      <c r="G2840" s="180" t="n"/>
      <c r="H2840" s="181">
        <f>IF(OR(F2840="",G2840=""),"",ROUND(MOD(G2840-F2840,1)*24,2))</f>
        <v/>
      </c>
      <c r="K2840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41" hidden="1" outlineLevel="1" ht="20" customHeight="1">
      <c r="D2841" s="179" t="n"/>
      <c r="E2841" s="179" t="n"/>
      <c r="F2841" s="180" t="n"/>
      <c r="G2841" s="180" t="n"/>
      <c r="H2841" s="181">
        <f>IF(OR(F2841="",G2841=""),"",ROUND(MOD(G2841-F2841,1)*24,2))</f>
        <v/>
      </c>
      <c r="K2841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42" hidden="1" outlineLevel="1" ht="20" customHeight="1">
      <c r="D2842" s="179" t="n"/>
      <c r="E2842" s="179" t="n"/>
      <c r="F2842" s="180" t="n"/>
      <c r="G2842" s="180" t="n"/>
      <c r="H2842" s="181">
        <f>IF(OR(F2842="",G2842=""),"",ROUND(MOD(G2842-F2842,1)*24,2))</f>
        <v/>
      </c>
      <c r="K2842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43" hidden="1" outlineLevel="1" ht="20" customHeight="1">
      <c r="D2843" s="179" t="n"/>
      <c r="E2843" s="179" t="n"/>
      <c r="F2843" s="180" t="n"/>
      <c r="G2843" s="180" t="n"/>
      <c r="H2843" s="181">
        <f>IF(OR(F2843="",G2843=""),"",ROUND(MOD(G2843-F2843,1)*24,2))</f>
        <v/>
      </c>
      <c r="K2843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44" hidden="1" outlineLevel="1" ht="20" customHeight="1">
      <c r="D2844" s="179" t="n"/>
      <c r="E2844" s="179" t="n"/>
      <c r="F2844" s="180" t="n"/>
      <c r="G2844" s="180" t="n"/>
      <c r="H2844" s="181">
        <f>IF(OR(F2844="",G2844=""),"",ROUND(MOD(G2844-F2844,1)*24,2))</f>
        <v/>
      </c>
      <c r="K2844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45" hidden="1" outlineLevel="1" ht="20" customHeight="1">
      <c r="A2845" s="342" t="n"/>
      <c r="B2845" s="342" t="n"/>
      <c r="C2845" s="342" t="n"/>
      <c r="D2845" s="332" t="n"/>
      <c r="E2845" s="332" t="n"/>
      <c r="F2845" s="333" t="n"/>
      <c r="G2845" s="333" t="n"/>
      <c r="H2845" s="334">
        <f>IF(OR(F2845="",G2845=""),"",ROUND(MOD(G2845-F2845,1)*24,2))</f>
        <v/>
      </c>
      <c r="I2845" s="342" t="n"/>
      <c r="J2845" s="342" t="n"/>
      <c r="K2845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46" ht="20" customHeight="1">
      <c r="A2846" s="336">
        <f>IF($K2846="","",WEEKNUM($K2846,21))</f>
        <v/>
      </c>
      <c r="B2846" s="337">
        <f>IF($K2846="","",$K2846)</f>
        <v/>
      </c>
      <c r="C2846" s="338">
        <f>IF($K2846="","",$K2846)</f>
        <v/>
      </c>
      <c r="D2846" s="171" t="n"/>
      <c r="E2846" s="171" t="n"/>
      <c r="F2846" s="172" t="n"/>
      <c r="G2846" s="172" t="n"/>
      <c r="H2846" s="173">
        <f>IF(OR(F2846="",G2846=""),"",ROUND(MOD(G2846-F2846,1)*24,2))</f>
        <v/>
      </c>
      <c r="I2846" s="339" t="n"/>
      <c r="J2846" s="339" t="n"/>
      <c r="K2846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47" ht="20" customHeight="1">
      <c r="D2847" s="179" t="n"/>
      <c r="E2847" s="179" t="n"/>
      <c r="F2847" s="180" t="n"/>
      <c r="G2847" s="180" t="n"/>
      <c r="H2847" s="181">
        <f>IF(OR(F2847="",G2847=""),"",ROUND(MOD(G2847-F2847,1)*24,2))</f>
        <v/>
      </c>
      <c r="K2847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48" ht="20" customHeight="1">
      <c r="D2848" s="179" t="n"/>
      <c r="E2848" s="179" t="n"/>
      <c r="F2848" s="180" t="n"/>
      <c r="G2848" s="180" t="n"/>
      <c r="H2848" s="181">
        <f>IF(OR(F2848="",G2848=""),"",ROUND(MOD(G2848-F2848,1)*24,2))</f>
        <v/>
      </c>
      <c r="K2848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49" ht="20" customHeight="1">
      <c r="D2849" s="179" t="n"/>
      <c r="E2849" s="179" t="n"/>
      <c r="F2849" s="180" t="n"/>
      <c r="G2849" s="180" t="n"/>
      <c r="H2849" s="181">
        <f>IF(OR(F2849="",G2849=""),"",ROUND(MOD(G2849-F2849,1)*24,2))</f>
        <v/>
      </c>
      <c r="K2849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50" collapsed="1" ht="20" customHeight="1">
      <c r="D2850" s="179" t="n"/>
      <c r="E2850" s="179" t="n"/>
      <c r="F2850" s="180" t="n"/>
      <c r="G2850" s="180" t="n"/>
      <c r="H2850" s="181">
        <f>IF(OR(F2850="",G2850=""),"",ROUND(MOD(G2850-F2850,1)*24,2))</f>
        <v/>
      </c>
      <c r="K2850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51" hidden="1" outlineLevel="1" ht="20" customHeight="1">
      <c r="D2851" s="179" t="n"/>
      <c r="E2851" s="179" t="n"/>
      <c r="F2851" s="180" t="n"/>
      <c r="G2851" s="180" t="n"/>
      <c r="H2851" s="181">
        <f>IF(OR(F2851="",G2851=""),"",ROUND(MOD(G2851-F2851,1)*24,2))</f>
        <v/>
      </c>
      <c r="K2851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52" hidden="1" outlineLevel="1" ht="20" customHeight="1">
      <c r="D2852" s="179" t="n"/>
      <c r="E2852" s="179" t="n"/>
      <c r="F2852" s="180" t="n"/>
      <c r="G2852" s="180" t="n"/>
      <c r="H2852" s="181">
        <f>IF(OR(F2852="",G2852=""),"",ROUND(MOD(G2852-F2852,1)*24,2))</f>
        <v/>
      </c>
      <c r="K2852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53" hidden="1" outlineLevel="1" ht="20" customHeight="1">
      <c r="D2853" s="179" t="n"/>
      <c r="E2853" s="179" t="n"/>
      <c r="F2853" s="180" t="n"/>
      <c r="G2853" s="180" t="n"/>
      <c r="H2853" s="181">
        <f>IF(OR(F2853="",G2853=""),"",ROUND(MOD(G2853-F2853,1)*24,2))</f>
        <v/>
      </c>
      <c r="K2853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54" hidden="1" outlineLevel="1" ht="20" customHeight="1">
      <c r="D2854" s="179" t="n"/>
      <c r="E2854" s="179" t="n"/>
      <c r="F2854" s="180" t="n"/>
      <c r="G2854" s="180" t="n"/>
      <c r="H2854" s="181">
        <f>IF(OR(F2854="",G2854=""),"",ROUND(MOD(G2854-F2854,1)*24,2))</f>
        <v/>
      </c>
      <c r="K2854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55" hidden="1" outlineLevel="1" ht="20" customHeight="1">
      <c r="A2855" s="342" t="n"/>
      <c r="B2855" s="342" t="n"/>
      <c r="C2855" s="342" t="n"/>
      <c r="D2855" s="332" t="n"/>
      <c r="E2855" s="332" t="n"/>
      <c r="F2855" s="333" t="n"/>
      <c r="G2855" s="333" t="n"/>
      <c r="H2855" s="334">
        <f>IF(OR(F2855="",G2855=""),"",ROUND(MOD(G2855-F2855,1)*24,2))</f>
        <v/>
      </c>
      <c r="I2855" s="342" t="n"/>
      <c r="J2855" s="342" t="n"/>
      <c r="K2855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56" ht="20" customHeight="1">
      <c r="A2856" s="336">
        <f>IF($K2856="","",WEEKNUM($K2856,21))</f>
        <v/>
      </c>
      <c r="B2856" s="337">
        <f>IF($K2856="","",$K2856)</f>
        <v/>
      </c>
      <c r="C2856" s="338">
        <f>IF($K2856="","",$K2856)</f>
        <v/>
      </c>
      <c r="D2856" s="171" t="n"/>
      <c r="E2856" s="171" t="n"/>
      <c r="F2856" s="172" t="n"/>
      <c r="G2856" s="172" t="n"/>
      <c r="H2856" s="173">
        <f>IF(OR(F2856="",G2856=""),"",ROUND(MOD(G2856-F2856,1)*24,2))</f>
        <v/>
      </c>
      <c r="I2856" s="339" t="n"/>
      <c r="J2856" s="339" t="n"/>
      <c r="K2856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57" ht="20" customHeight="1">
      <c r="D2857" s="179" t="n"/>
      <c r="E2857" s="179" t="n"/>
      <c r="F2857" s="180" t="n"/>
      <c r="G2857" s="180" t="n"/>
      <c r="H2857" s="181">
        <f>IF(OR(F2857="",G2857=""),"",ROUND(MOD(G2857-F2857,1)*24,2))</f>
        <v/>
      </c>
      <c r="K2857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58" ht="20" customHeight="1">
      <c r="D2858" s="179" t="n"/>
      <c r="E2858" s="179" t="n"/>
      <c r="F2858" s="180" t="n"/>
      <c r="G2858" s="180" t="n"/>
      <c r="H2858" s="181">
        <f>IF(OR(F2858="",G2858=""),"",ROUND(MOD(G2858-F2858,1)*24,2))</f>
        <v/>
      </c>
      <c r="K2858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59" ht="20" customHeight="1">
      <c r="D2859" s="179" t="n"/>
      <c r="E2859" s="179" t="n"/>
      <c r="F2859" s="180" t="n"/>
      <c r="G2859" s="180" t="n"/>
      <c r="H2859" s="181">
        <f>IF(OR(F2859="",G2859=""),"",ROUND(MOD(G2859-F2859,1)*24,2))</f>
        <v/>
      </c>
      <c r="K2859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60" collapsed="1" ht="20" customHeight="1">
      <c r="D2860" s="179" t="n"/>
      <c r="E2860" s="179" t="n"/>
      <c r="F2860" s="180" t="n"/>
      <c r="G2860" s="180" t="n"/>
      <c r="H2860" s="181">
        <f>IF(OR(F2860="",G2860=""),"",ROUND(MOD(G2860-F2860,1)*24,2))</f>
        <v/>
      </c>
      <c r="K2860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61" hidden="1" outlineLevel="1" ht="20" customHeight="1">
      <c r="D2861" s="179" t="n"/>
      <c r="E2861" s="179" t="n"/>
      <c r="F2861" s="180" t="n"/>
      <c r="G2861" s="180" t="n"/>
      <c r="H2861" s="181">
        <f>IF(OR(F2861="",G2861=""),"",ROUND(MOD(G2861-F2861,1)*24,2))</f>
        <v/>
      </c>
      <c r="K2861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62" hidden="1" outlineLevel="1" ht="20" customHeight="1">
      <c r="D2862" s="179" t="n"/>
      <c r="E2862" s="179" t="n"/>
      <c r="F2862" s="180" t="n"/>
      <c r="G2862" s="180" t="n"/>
      <c r="H2862" s="181">
        <f>IF(OR(F2862="",G2862=""),"",ROUND(MOD(G2862-F2862,1)*24,2))</f>
        <v/>
      </c>
      <c r="K2862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63" hidden="1" outlineLevel="1" ht="20" customHeight="1">
      <c r="D2863" s="179" t="n"/>
      <c r="E2863" s="179" t="n"/>
      <c r="F2863" s="180" t="n"/>
      <c r="G2863" s="180" t="n"/>
      <c r="H2863" s="181">
        <f>IF(OR(F2863="",G2863=""),"",ROUND(MOD(G2863-F2863,1)*24,2))</f>
        <v/>
      </c>
      <c r="K2863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64" hidden="1" outlineLevel="1" ht="20" customHeight="1">
      <c r="D2864" s="179" t="n"/>
      <c r="E2864" s="179" t="n"/>
      <c r="F2864" s="180" t="n"/>
      <c r="G2864" s="180" t="n"/>
      <c r="H2864" s="181">
        <f>IF(OR(F2864="",G2864=""),"",ROUND(MOD(G2864-F2864,1)*24,2))</f>
        <v/>
      </c>
      <c r="K2864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65" hidden="1" outlineLevel="1" ht="20" customHeight="1">
      <c r="A2865" s="342" t="n"/>
      <c r="B2865" s="342" t="n"/>
      <c r="C2865" s="342" t="n"/>
      <c r="D2865" s="332" t="n"/>
      <c r="E2865" s="332" t="n"/>
      <c r="F2865" s="333" t="n"/>
      <c r="G2865" s="333" t="n"/>
      <c r="H2865" s="334">
        <f>IF(OR(F2865="",G2865=""),"",ROUND(MOD(G2865-F2865,1)*24,2))</f>
        <v/>
      </c>
      <c r="I2865" s="342" t="n"/>
      <c r="J2865" s="342" t="n"/>
      <c r="K2865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66" ht="20" customHeight="1">
      <c r="A2866" s="336">
        <f>IF($K2866="","",WEEKNUM($K2866,21))</f>
        <v/>
      </c>
      <c r="B2866" s="337">
        <f>IF($K2866="","",$K2866)</f>
        <v/>
      </c>
      <c r="C2866" s="338">
        <f>IF($K2866="","",$K2866)</f>
        <v/>
      </c>
      <c r="D2866" s="171" t="n"/>
      <c r="E2866" s="171" t="n"/>
      <c r="F2866" s="172" t="n"/>
      <c r="G2866" s="172" t="n"/>
      <c r="H2866" s="173">
        <f>IF(OR(F2866="",G2866=""),"",ROUND(MOD(G2866-F2866,1)*24,2))</f>
        <v/>
      </c>
      <c r="I2866" s="339" t="n"/>
      <c r="J2866" s="339" t="n"/>
      <c r="K2866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67" ht="20" customHeight="1">
      <c r="D2867" s="179" t="n"/>
      <c r="E2867" s="179" t="n"/>
      <c r="F2867" s="180" t="n"/>
      <c r="G2867" s="180" t="n"/>
      <c r="H2867" s="181">
        <f>IF(OR(F2867="",G2867=""),"",ROUND(MOD(G2867-F2867,1)*24,2))</f>
        <v/>
      </c>
      <c r="K2867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68" ht="20" customHeight="1">
      <c r="D2868" s="179" t="n"/>
      <c r="E2868" s="179" t="n"/>
      <c r="F2868" s="180" t="n"/>
      <c r="G2868" s="180" t="n"/>
      <c r="H2868" s="181">
        <f>IF(OR(F2868="",G2868=""),"",ROUND(MOD(G2868-F2868,1)*24,2))</f>
        <v/>
      </c>
      <c r="K2868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69" ht="20" customHeight="1">
      <c r="D2869" s="179" t="n"/>
      <c r="E2869" s="179" t="n"/>
      <c r="F2869" s="180" t="n"/>
      <c r="G2869" s="180" t="n"/>
      <c r="H2869" s="181">
        <f>IF(OR(F2869="",G2869=""),"",ROUND(MOD(G2869-F2869,1)*24,2))</f>
        <v/>
      </c>
      <c r="K2869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70" collapsed="1" ht="20" customHeight="1">
      <c r="D2870" s="179" t="n"/>
      <c r="E2870" s="179" t="n"/>
      <c r="F2870" s="180" t="n"/>
      <c r="G2870" s="180" t="n"/>
      <c r="H2870" s="181">
        <f>IF(OR(F2870="",G2870=""),"",ROUND(MOD(G2870-F2870,1)*24,2))</f>
        <v/>
      </c>
      <c r="K2870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71" hidden="1" outlineLevel="1" ht="20" customHeight="1">
      <c r="D2871" s="179" t="n"/>
      <c r="E2871" s="179" t="n"/>
      <c r="F2871" s="180" t="n"/>
      <c r="G2871" s="180" t="n"/>
      <c r="H2871" s="181">
        <f>IF(OR(F2871="",G2871=""),"",ROUND(MOD(G2871-F2871,1)*24,2))</f>
        <v/>
      </c>
      <c r="K2871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72" hidden="1" outlineLevel="1" ht="20" customHeight="1">
      <c r="D2872" s="179" t="n"/>
      <c r="E2872" s="179" t="n"/>
      <c r="F2872" s="180" t="n"/>
      <c r="G2872" s="180" t="n"/>
      <c r="H2872" s="181">
        <f>IF(OR(F2872="",G2872=""),"",ROUND(MOD(G2872-F2872,1)*24,2))</f>
        <v/>
      </c>
      <c r="K2872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73" hidden="1" outlineLevel="1" ht="20" customHeight="1">
      <c r="D2873" s="179" t="n"/>
      <c r="E2873" s="179" t="n"/>
      <c r="F2873" s="180" t="n"/>
      <c r="G2873" s="180" t="n"/>
      <c r="H2873" s="181">
        <f>IF(OR(F2873="",G2873=""),"",ROUND(MOD(G2873-F2873,1)*24,2))</f>
        <v/>
      </c>
      <c r="K2873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74" hidden="1" outlineLevel="1" ht="20" customHeight="1">
      <c r="D2874" s="179" t="n"/>
      <c r="E2874" s="179" t="n"/>
      <c r="F2874" s="180" t="n"/>
      <c r="G2874" s="180" t="n"/>
      <c r="H2874" s="181">
        <f>IF(OR(F2874="",G2874=""),"",ROUND(MOD(G2874-F2874,1)*24,2))</f>
        <v/>
      </c>
      <c r="K2874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75" hidden="1" outlineLevel="1" ht="20" customHeight="1">
      <c r="A2875" s="342" t="n"/>
      <c r="B2875" s="342" t="n"/>
      <c r="C2875" s="342" t="n"/>
      <c r="D2875" s="332" t="n"/>
      <c r="E2875" s="332" t="n"/>
      <c r="F2875" s="333" t="n"/>
      <c r="G2875" s="333" t="n"/>
      <c r="H2875" s="334">
        <f>IF(OR(F2875="",G2875=""),"",ROUND(MOD(G2875-F2875,1)*24,2))</f>
        <v/>
      </c>
      <c r="I2875" s="342" t="n"/>
      <c r="J2875" s="342" t="n"/>
      <c r="K2875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76" ht="20" customHeight="1">
      <c r="A2876" s="336">
        <f>IF($K2876="","",WEEKNUM($K2876,21))</f>
        <v/>
      </c>
      <c r="B2876" s="337">
        <f>IF($K2876="","",$K2876)</f>
        <v/>
      </c>
      <c r="C2876" s="338">
        <f>IF($K2876="","",$K2876)</f>
        <v/>
      </c>
      <c r="D2876" s="171" t="n"/>
      <c r="E2876" s="171" t="n"/>
      <c r="F2876" s="172" t="n"/>
      <c r="G2876" s="172" t="n"/>
      <c r="H2876" s="173">
        <f>IF(OR(F2876="",G2876=""),"",ROUND(MOD(G2876-F2876,1)*24,2))</f>
        <v/>
      </c>
      <c r="I2876" s="339" t="n"/>
      <c r="J2876" s="339" t="n"/>
      <c r="K2876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77" ht="20" customHeight="1">
      <c r="D2877" s="179" t="n"/>
      <c r="E2877" s="179" t="n"/>
      <c r="F2877" s="180" t="n"/>
      <c r="G2877" s="180" t="n"/>
      <c r="H2877" s="181">
        <f>IF(OR(F2877="",G2877=""),"",ROUND(MOD(G2877-F2877,1)*24,2))</f>
        <v/>
      </c>
      <c r="K2877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78" ht="20" customHeight="1">
      <c r="D2878" s="179" t="n"/>
      <c r="E2878" s="179" t="n"/>
      <c r="F2878" s="180" t="n"/>
      <c r="G2878" s="180" t="n"/>
      <c r="H2878" s="181">
        <f>IF(OR(F2878="",G2878=""),"",ROUND(MOD(G2878-F2878,1)*24,2))</f>
        <v/>
      </c>
      <c r="K2878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79" ht="20" customHeight="1">
      <c r="D2879" s="179" t="n"/>
      <c r="E2879" s="179" t="n"/>
      <c r="F2879" s="180" t="n"/>
      <c r="G2879" s="180" t="n"/>
      <c r="H2879" s="181">
        <f>IF(OR(F2879="",G2879=""),"",ROUND(MOD(G2879-F2879,1)*24,2))</f>
        <v/>
      </c>
      <c r="K2879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80" collapsed="1" ht="20" customHeight="1">
      <c r="D2880" s="179" t="n"/>
      <c r="E2880" s="179" t="n"/>
      <c r="F2880" s="180" t="n"/>
      <c r="G2880" s="180" t="n"/>
      <c r="H2880" s="181">
        <f>IF(OR(F2880="",G2880=""),"",ROUND(MOD(G2880-F2880,1)*24,2))</f>
        <v/>
      </c>
      <c r="K2880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81" hidden="1" outlineLevel="1" ht="20" customHeight="1">
      <c r="D2881" s="179" t="n"/>
      <c r="E2881" s="179" t="n"/>
      <c r="F2881" s="180" t="n"/>
      <c r="G2881" s="180" t="n"/>
      <c r="H2881" s="181">
        <f>IF(OR(F2881="",G2881=""),"",ROUND(MOD(G2881-F2881,1)*24,2))</f>
        <v/>
      </c>
      <c r="K2881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82" hidden="1" outlineLevel="1" ht="20" customHeight="1">
      <c r="D2882" s="179" t="n"/>
      <c r="E2882" s="179" t="n"/>
      <c r="F2882" s="180" t="n"/>
      <c r="G2882" s="180" t="n"/>
      <c r="H2882" s="181">
        <f>IF(OR(F2882="",G2882=""),"",ROUND(MOD(G2882-F2882,1)*24,2))</f>
        <v/>
      </c>
      <c r="K2882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83" hidden="1" outlineLevel="1" ht="20" customHeight="1">
      <c r="D2883" s="179" t="n"/>
      <c r="E2883" s="179" t="n"/>
      <c r="F2883" s="180" t="n"/>
      <c r="G2883" s="180" t="n"/>
      <c r="H2883" s="181">
        <f>IF(OR(F2883="",G2883=""),"",ROUND(MOD(G2883-F2883,1)*24,2))</f>
        <v/>
      </c>
      <c r="K2883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84" hidden="1" outlineLevel="1" ht="20" customHeight="1">
      <c r="D2884" s="179" t="n"/>
      <c r="E2884" s="179" t="n"/>
      <c r="F2884" s="180" t="n"/>
      <c r="G2884" s="180" t="n"/>
      <c r="H2884" s="181">
        <f>IF(OR(F2884="",G2884=""),"",ROUND(MOD(G2884-F2884,1)*24,2))</f>
        <v/>
      </c>
      <c r="K2884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85" hidden="1" outlineLevel="1" ht="20" customHeight="1">
      <c r="A2885" s="342" t="n"/>
      <c r="B2885" s="342" t="n"/>
      <c r="C2885" s="342" t="n"/>
      <c r="D2885" s="332" t="n"/>
      <c r="E2885" s="332" t="n"/>
      <c r="F2885" s="333" t="n"/>
      <c r="G2885" s="333" t="n"/>
      <c r="H2885" s="334">
        <f>IF(OR(F2885="",G2885=""),"",ROUND(MOD(G2885-F2885,1)*24,2))</f>
        <v/>
      </c>
      <c r="I2885" s="342" t="n"/>
      <c r="J2885" s="342" t="n"/>
      <c r="K2885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886" ht="20" customHeight="1">
      <c r="A2886" s="336">
        <f>IF($K2886="","",WEEKNUM($K2886,21))</f>
        <v/>
      </c>
      <c r="B2886" s="337">
        <f>IF($K2886="","",$K2886)</f>
        <v/>
      </c>
      <c r="C2886" s="338">
        <f>IF($K2886="","",$K2886)</f>
        <v/>
      </c>
      <c r="D2886" s="171" t="n"/>
      <c r="E2886" s="171" t="n"/>
      <c r="F2886" s="172" t="n"/>
      <c r="G2886" s="172" t="n"/>
      <c r="H2886" s="173">
        <f>IF(OR(F2886="",G2886=""),"",ROUND(MOD(G2886-F2886,1)*24,2))</f>
        <v/>
      </c>
      <c r="I2886" s="339" t="n"/>
      <c r="J2886" s="339" t="n"/>
      <c r="K2886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87" ht="20" customHeight="1">
      <c r="D2887" s="179" t="n"/>
      <c r="E2887" s="179" t="n"/>
      <c r="F2887" s="180" t="n"/>
      <c r="G2887" s="180" t="n"/>
      <c r="H2887" s="181">
        <f>IF(OR(F2887="",G2887=""),"",ROUND(MOD(G2887-F2887,1)*24,2))</f>
        <v/>
      </c>
      <c r="K2887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88" ht="20" customHeight="1">
      <c r="D2888" s="179" t="n"/>
      <c r="E2888" s="179" t="n"/>
      <c r="F2888" s="180" t="n"/>
      <c r="G2888" s="180" t="n"/>
      <c r="H2888" s="181">
        <f>IF(OR(F2888="",G2888=""),"",ROUND(MOD(G2888-F2888,1)*24,2))</f>
        <v/>
      </c>
      <c r="K2888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89" ht="20" customHeight="1">
      <c r="D2889" s="179" t="n"/>
      <c r="E2889" s="179" t="n"/>
      <c r="F2889" s="180" t="n"/>
      <c r="G2889" s="180" t="n"/>
      <c r="H2889" s="181">
        <f>IF(OR(F2889="",G2889=""),"",ROUND(MOD(G2889-F2889,1)*24,2))</f>
        <v/>
      </c>
      <c r="K2889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90" collapsed="1" ht="20" customHeight="1">
      <c r="D2890" s="179" t="n"/>
      <c r="E2890" s="179" t="n"/>
      <c r="F2890" s="180" t="n"/>
      <c r="G2890" s="180" t="n"/>
      <c r="H2890" s="181">
        <f>IF(OR(F2890="",G2890=""),"",ROUND(MOD(G2890-F2890,1)*24,2))</f>
        <v/>
      </c>
      <c r="K2890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91" hidden="1" outlineLevel="1" ht="20" customHeight="1">
      <c r="D2891" s="179" t="n"/>
      <c r="E2891" s="179" t="n"/>
      <c r="F2891" s="180" t="n"/>
      <c r="G2891" s="180" t="n"/>
      <c r="H2891" s="181">
        <f>IF(OR(F2891="",G2891=""),"",ROUND(MOD(G2891-F2891,1)*24,2))</f>
        <v/>
      </c>
      <c r="K2891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92" hidden="1" outlineLevel="1" ht="20" customHeight="1">
      <c r="D2892" s="179" t="n"/>
      <c r="E2892" s="179" t="n"/>
      <c r="F2892" s="180" t="n"/>
      <c r="G2892" s="180" t="n"/>
      <c r="H2892" s="181">
        <f>IF(OR(F2892="",G2892=""),"",ROUND(MOD(G2892-F2892,1)*24,2))</f>
        <v/>
      </c>
      <c r="K2892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93" hidden="1" outlineLevel="1" ht="20" customHeight="1">
      <c r="D2893" s="179" t="n"/>
      <c r="E2893" s="179" t="n"/>
      <c r="F2893" s="180" t="n"/>
      <c r="G2893" s="180" t="n"/>
      <c r="H2893" s="181">
        <f>IF(OR(F2893="",G2893=""),"",ROUND(MOD(G2893-F2893,1)*24,2))</f>
        <v/>
      </c>
      <c r="K2893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94" hidden="1" outlineLevel="1" ht="20" customHeight="1">
      <c r="D2894" s="179" t="n"/>
      <c r="E2894" s="179" t="n"/>
      <c r="F2894" s="180" t="n"/>
      <c r="G2894" s="180" t="n"/>
      <c r="H2894" s="181">
        <f>IF(OR(F2894="",G2894=""),"",ROUND(MOD(G2894-F2894,1)*24,2))</f>
        <v/>
      </c>
      <c r="K2894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95" hidden="1" outlineLevel="1" ht="20" customHeight="1">
      <c r="A2895" s="342" t="n"/>
      <c r="B2895" s="342" t="n"/>
      <c r="C2895" s="342" t="n"/>
      <c r="D2895" s="332" t="n"/>
      <c r="E2895" s="332" t="n"/>
      <c r="F2895" s="333" t="n"/>
      <c r="G2895" s="333" t="n"/>
      <c r="H2895" s="334">
        <f>IF(OR(F2895="",G2895=""),"",ROUND(MOD(G2895-F2895,1)*24,2))</f>
        <v/>
      </c>
      <c r="I2895" s="342" t="n"/>
      <c r="J2895" s="342" t="n"/>
      <c r="K2895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896" ht="20" customHeight="1">
      <c r="A2896" s="336">
        <f>IF($K2896="","",WEEKNUM($K2896,21))</f>
        <v/>
      </c>
      <c r="B2896" s="337">
        <f>IF($K2896="","",$K2896)</f>
        <v/>
      </c>
      <c r="C2896" s="338">
        <f>IF($K2896="","",$K2896)</f>
        <v/>
      </c>
      <c r="D2896" s="171" t="n"/>
      <c r="E2896" s="171" t="n"/>
      <c r="F2896" s="172" t="n"/>
      <c r="G2896" s="172" t="n"/>
      <c r="H2896" s="173">
        <f>IF(OR(F2896="",G2896=""),"",ROUND(MOD(G2896-F2896,1)*24,2))</f>
        <v/>
      </c>
      <c r="I2896" s="339" t="n"/>
      <c r="J2896" s="339" t="n"/>
      <c r="K2896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897" ht="20" customHeight="1">
      <c r="D2897" s="179" t="n"/>
      <c r="E2897" s="179" t="n"/>
      <c r="F2897" s="180" t="n"/>
      <c r="G2897" s="180" t="n"/>
      <c r="H2897" s="181">
        <f>IF(OR(F2897="",G2897=""),"",ROUND(MOD(G2897-F2897,1)*24,2))</f>
        <v/>
      </c>
      <c r="K2897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898" ht="20" customHeight="1">
      <c r="D2898" s="179" t="n"/>
      <c r="E2898" s="179" t="n"/>
      <c r="F2898" s="180" t="n"/>
      <c r="G2898" s="180" t="n"/>
      <c r="H2898" s="181">
        <f>IF(OR(F2898="",G2898=""),"",ROUND(MOD(G2898-F2898,1)*24,2))</f>
        <v/>
      </c>
      <c r="K2898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899" ht="20" customHeight="1">
      <c r="D2899" s="179" t="n"/>
      <c r="E2899" s="179" t="n"/>
      <c r="F2899" s="180" t="n"/>
      <c r="G2899" s="180" t="n"/>
      <c r="H2899" s="181">
        <f>IF(OR(F2899="",G2899=""),"",ROUND(MOD(G2899-F2899,1)*24,2))</f>
        <v/>
      </c>
      <c r="K2899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900" collapsed="1" ht="20" customHeight="1">
      <c r="D2900" s="179" t="n"/>
      <c r="E2900" s="179" t="n"/>
      <c r="F2900" s="180" t="n"/>
      <c r="G2900" s="180" t="n"/>
      <c r="H2900" s="181">
        <f>IF(OR(F2900="",G2900=""),"",ROUND(MOD(G2900-F2900,1)*24,2))</f>
        <v/>
      </c>
      <c r="K2900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901" hidden="1" outlineLevel="1" ht="20" customHeight="1">
      <c r="D2901" s="179" t="n"/>
      <c r="E2901" s="179" t="n"/>
      <c r="F2901" s="180" t="n"/>
      <c r="G2901" s="180" t="n"/>
      <c r="H2901" s="181">
        <f>IF(OR(F2901="",G2901=""),"",ROUND(MOD(G2901-F2901,1)*24,2))</f>
        <v/>
      </c>
      <c r="K2901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902" hidden="1" outlineLevel="1" ht="20" customHeight="1">
      <c r="D2902" s="179" t="n"/>
      <c r="E2902" s="179" t="n"/>
      <c r="F2902" s="180" t="n"/>
      <c r="G2902" s="180" t="n"/>
      <c r="H2902" s="181">
        <f>IF(OR(F2902="",G2902=""),"",ROUND(MOD(G2902-F2902,1)*24,2))</f>
        <v/>
      </c>
      <c r="K2902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903" hidden="1" outlineLevel="1" ht="20" customHeight="1">
      <c r="D2903" s="179" t="n"/>
      <c r="E2903" s="179" t="n"/>
      <c r="F2903" s="180" t="n"/>
      <c r="G2903" s="180" t="n"/>
      <c r="H2903" s="181">
        <f>IF(OR(F2903="",G2903=""),"",ROUND(MOD(G2903-F2903,1)*24,2))</f>
        <v/>
      </c>
      <c r="K2903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904" hidden="1" outlineLevel="1" ht="20" customHeight="1">
      <c r="D2904" s="179" t="n"/>
      <c r="E2904" s="179" t="n"/>
      <c r="F2904" s="180" t="n"/>
      <c r="G2904" s="180" t="n"/>
      <c r="H2904" s="181">
        <f>IF(OR(F2904="",G2904=""),"",ROUND(MOD(G2904-F2904,1)*24,2))</f>
        <v/>
      </c>
      <c r="K2904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905" hidden="1" outlineLevel="1" ht="20" customHeight="1">
      <c r="A2905" s="342" t="n"/>
      <c r="B2905" s="342" t="n"/>
      <c r="C2905" s="342" t="n"/>
      <c r="D2905" s="332" t="n"/>
      <c r="E2905" s="332" t="n"/>
      <c r="F2905" s="333" t="n"/>
      <c r="G2905" s="333" t="n"/>
      <c r="H2905" s="334">
        <f>IF(OR(F2905="",G2905=""),"",ROUND(MOD(G2905-F2905,1)*24,2))</f>
        <v/>
      </c>
      <c r="I2905" s="342" t="n"/>
      <c r="J2905" s="342" t="n"/>
      <c r="K2905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906" ht="20" customHeight="1">
      <c r="A2906" s="336">
        <f>IF($K2906="","",WEEKNUM($K2906,21))</f>
        <v/>
      </c>
      <c r="B2906" s="337">
        <f>IF($K2906="","",$K2906)</f>
        <v/>
      </c>
      <c r="C2906" s="338">
        <f>IF($K2906="","",$K2906)</f>
        <v/>
      </c>
      <c r="D2906" s="171" t="n"/>
      <c r="E2906" s="171" t="n"/>
      <c r="F2906" s="172" t="n"/>
      <c r="G2906" s="172" t="n"/>
      <c r="H2906" s="173">
        <f>IF(OR(F2906="",G2906=""),"",ROUND(MOD(G2906-F2906,1)*24,2))</f>
        <v/>
      </c>
      <c r="I2906" s="339" t="n"/>
      <c r="J2906" s="339" t="n"/>
      <c r="K2906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07" ht="20" customHeight="1">
      <c r="D2907" s="179" t="n"/>
      <c r="E2907" s="179" t="n"/>
      <c r="F2907" s="180" t="n"/>
      <c r="G2907" s="180" t="n"/>
      <c r="H2907" s="181">
        <f>IF(OR(F2907="",G2907=""),"",ROUND(MOD(G2907-F2907,1)*24,2))</f>
        <v/>
      </c>
      <c r="K2907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08" ht="20" customHeight="1">
      <c r="D2908" s="179" t="n"/>
      <c r="E2908" s="179" t="n"/>
      <c r="F2908" s="180" t="n"/>
      <c r="G2908" s="180" t="n"/>
      <c r="H2908" s="181">
        <f>IF(OR(F2908="",G2908=""),"",ROUND(MOD(G2908-F2908,1)*24,2))</f>
        <v/>
      </c>
      <c r="K2908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09" ht="20" customHeight="1">
      <c r="D2909" s="179" t="n"/>
      <c r="E2909" s="179" t="n"/>
      <c r="F2909" s="180" t="n"/>
      <c r="G2909" s="180" t="n"/>
      <c r="H2909" s="181">
        <f>IF(OR(F2909="",G2909=""),"",ROUND(MOD(G2909-F2909,1)*24,2))</f>
        <v/>
      </c>
      <c r="K2909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10" collapsed="1" ht="20" customHeight="1">
      <c r="D2910" s="179" t="n"/>
      <c r="E2910" s="179" t="n"/>
      <c r="F2910" s="180" t="n"/>
      <c r="G2910" s="180" t="n"/>
      <c r="H2910" s="181">
        <f>IF(OR(F2910="",G2910=""),"",ROUND(MOD(G2910-F2910,1)*24,2))</f>
        <v/>
      </c>
      <c r="K2910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11" hidden="1" outlineLevel="1" ht="20" customHeight="1">
      <c r="D2911" s="179" t="n"/>
      <c r="E2911" s="179" t="n"/>
      <c r="F2911" s="180" t="n"/>
      <c r="G2911" s="180" t="n"/>
      <c r="H2911" s="181">
        <f>IF(OR(F2911="",G2911=""),"",ROUND(MOD(G2911-F2911,1)*24,2))</f>
        <v/>
      </c>
      <c r="K2911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12" hidden="1" outlineLevel="1" ht="20" customHeight="1">
      <c r="D2912" s="179" t="n"/>
      <c r="E2912" s="179" t="n"/>
      <c r="F2912" s="180" t="n"/>
      <c r="G2912" s="180" t="n"/>
      <c r="H2912" s="181">
        <f>IF(OR(F2912="",G2912=""),"",ROUND(MOD(G2912-F2912,1)*24,2))</f>
        <v/>
      </c>
      <c r="K2912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13" hidden="1" outlineLevel="1" ht="20" customHeight="1">
      <c r="D2913" s="179" t="n"/>
      <c r="E2913" s="179" t="n"/>
      <c r="F2913" s="180" t="n"/>
      <c r="G2913" s="180" t="n"/>
      <c r="H2913" s="181">
        <f>IF(OR(F2913="",G2913=""),"",ROUND(MOD(G2913-F2913,1)*24,2))</f>
        <v/>
      </c>
      <c r="K2913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14" hidden="1" outlineLevel="1" ht="20" customHeight="1">
      <c r="D2914" s="179" t="n"/>
      <c r="E2914" s="179" t="n"/>
      <c r="F2914" s="180" t="n"/>
      <c r="G2914" s="180" t="n"/>
      <c r="H2914" s="181">
        <f>IF(OR(F2914="",G2914=""),"",ROUND(MOD(G2914-F2914,1)*24,2))</f>
        <v/>
      </c>
      <c r="K2914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15" hidden="1" outlineLevel="1" ht="20" customHeight="1">
      <c r="A2915" s="342" t="n"/>
      <c r="B2915" s="342" t="n"/>
      <c r="C2915" s="342" t="n"/>
      <c r="D2915" s="332" t="n"/>
      <c r="E2915" s="332" t="n"/>
      <c r="F2915" s="333" t="n"/>
      <c r="G2915" s="333" t="n"/>
      <c r="H2915" s="334">
        <f>IF(OR(F2915="",G2915=""),"",ROUND(MOD(G2915-F2915,1)*24,2))</f>
        <v/>
      </c>
      <c r="I2915" s="342" t="n"/>
      <c r="J2915" s="342" t="n"/>
      <c r="K2915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16" ht="20" customHeight="1">
      <c r="A2916" s="336">
        <f>IF($K2916="","",WEEKNUM($K2916,21))</f>
        <v/>
      </c>
      <c r="B2916" s="337">
        <f>IF($K2916="","",$K2916)</f>
        <v/>
      </c>
      <c r="C2916" s="338">
        <f>IF($K2916="","",$K2916)</f>
        <v/>
      </c>
      <c r="D2916" s="171" t="n"/>
      <c r="E2916" s="171" t="n"/>
      <c r="F2916" s="172" t="n"/>
      <c r="G2916" s="172" t="n"/>
      <c r="H2916" s="173">
        <f>IF(OR(F2916="",G2916=""),"",ROUND(MOD(G2916-F2916,1)*24,2))</f>
        <v/>
      </c>
      <c r="I2916" s="339" t="n"/>
      <c r="J2916" s="339" t="n"/>
      <c r="K2916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17" ht="20" customHeight="1">
      <c r="D2917" s="179" t="n"/>
      <c r="E2917" s="179" t="n"/>
      <c r="F2917" s="180" t="n"/>
      <c r="G2917" s="180" t="n"/>
      <c r="H2917" s="181">
        <f>IF(OR(F2917="",G2917=""),"",ROUND(MOD(G2917-F2917,1)*24,2))</f>
        <v/>
      </c>
      <c r="K2917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18" ht="20" customHeight="1">
      <c r="D2918" s="179" t="n"/>
      <c r="E2918" s="179" t="n"/>
      <c r="F2918" s="180" t="n"/>
      <c r="G2918" s="180" t="n"/>
      <c r="H2918" s="181">
        <f>IF(OR(F2918="",G2918=""),"",ROUND(MOD(G2918-F2918,1)*24,2))</f>
        <v/>
      </c>
      <c r="K2918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19" ht="20" customHeight="1">
      <c r="D2919" s="179" t="n"/>
      <c r="E2919" s="179" t="n"/>
      <c r="F2919" s="180" t="n"/>
      <c r="G2919" s="180" t="n"/>
      <c r="H2919" s="181">
        <f>IF(OR(F2919="",G2919=""),"",ROUND(MOD(G2919-F2919,1)*24,2))</f>
        <v/>
      </c>
      <c r="K2919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20" collapsed="1" ht="20" customHeight="1">
      <c r="D2920" s="179" t="n"/>
      <c r="E2920" s="179" t="n"/>
      <c r="F2920" s="180" t="n"/>
      <c r="G2920" s="180" t="n"/>
      <c r="H2920" s="181">
        <f>IF(OR(F2920="",G2920=""),"",ROUND(MOD(G2920-F2920,1)*24,2))</f>
        <v/>
      </c>
      <c r="K2920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21" hidden="1" outlineLevel="1" ht="20" customHeight="1">
      <c r="D2921" s="179" t="n"/>
      <c r="E2921" s="179" t="n"/>
      <c r="F2921" s="180" t="n"/>
      <c r="G2921" s="180" t="n"/>
      <c r="H2921" s="181">
        <f>IF(OR(F2921="",G2921=""),"",ROUND(MOD(G2921-F2921,1)*24,2))</f>
        <v/>
      </c>
      <c r="K2921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22" hidden="1" outlineLevel="1" ht="20" customHeight="1">
      <c r="D2922" s="179" t="n"/>
      <c r="E2922" s="179" t="n"/>
      <c r="F2922" s="180" t="n"/>
      <c r="G2922" s="180" t="n"/>
      <c r="H2922" s="181">
        <f>IF(OR(F2922="",G2922=""),"",ROUND(MOD(G2922-F2922,1)*24,2))</f>
        <v/>
      </c>
      <c r="K2922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23" hidden="1" outlineLevel="1" ht="20" customHeight="1">
      <c r="D2923" s="179" t="n"/>
      <c r="E2923" s="179" t="n"/>
      <c r="F2923" s="180" t="n"/>
      <c r="G2923" s="180" t="n"/>
      <c r="H2923" s="181">
        <f>IF(OR(F2923="",G2923=""),"",ROUND(MOD(G2923-F2923,1)*24,2))</f>
        <v/>
      </c>
      <c r="K2923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24" hidden="1" outlineLevel="1" ht="20" customHeight="1">
      <c r="D2924" s="179" t="n"/>
      <c r="E2924" s="179" t="n"/>
      <c r="F2924" s="180" t="n"/>
      <c r="G2924" s="180" t="n"/>
      <c r="H2924" s="181">
        <f>IF(OR(F2924="",G2924=""),"",ROUND(MOD(G2924-F2924,1)*24,2))</f>
        <v/>
      </c>
      <c r="K2924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25" hidden="1" outlineLevel="1" ht="20" customHeight="1">
      <c r="A2925" s="342" t="n"/>
      <c r="B2925" s="342" t="n"/>
      <c r="C2925" s="342" t="n"/>
      <c r="D2925" s="332" t="n"/>
      <c r="E2925" s="332" t="n"/>
      <c r="F2925" s="333" t="n"/>
      <c r="G2925" s="333" t="n"/>
      <c r="H2925" s="334">
        <f>IF(OR(F2925="",G2925=""),"",ROUND(MOD(G2925-F2925,1)*24,2))</f>
        <v/>
      </c>
      <c r="I2925" s="342" t="n"/>
      <c r="J2925" s="342" t="n"/>
      <c r="K2925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26" ht="20" customHeight="1">
      <c r="A2926" s="336">
        <f>IF($K2926="","",WEEKNUM($K2926,21))</f>
        <v/>
      </c>
      <c r="B2926" s="337">
        <f>IF($K2926="","",$K2926)</f>
        <v/>
      </c>
      <c r="C2926" s="338">
        <f>IF($K2926="","",$K2926)</f>
        <v/>
      </c>
      <c r="D2926" s="171" t="n"/>
      <c r="E2926" s="171" t="n"/>
      <c r="F2926" s="172" t="n"/>
      <c r="G2926" s="172" t="n"/>
      <c r="H2926" s="173">
        <f>IF(OR(F2926="",G2926=""),"",ROUND(MOD(G2926-F2926,1)*24,2))</f>
        <v/>
      </c>
      <c r="I2926" s="339" t="n"/>
      <c r="J2926" s="339" t="n"/>
      <c r="K2926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27" ht="20" customHeight="1">
      <c r="D2927" s="179" t="n"/>
      <c r="E2927" s="179" t="n"/>
      <c r="F2927" s="180" t="n"/>
      <c r="G2927" s="180" t="n"/>
      <c r="H2927" s="181">
        <f>IF(OR(F2927="",G2927=""),"",ROUND(MOD(G2927-F2927,1)*24,2))</f>
        <v/>
      </c>
      <c r="K2927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28" ht="20" customHeight="1">
      <c r="D2928" s="179" t="n"/>
      <c r="E2928" s="179" t="n"/>
      <c r="F2928" s="180" t="n"/>
      <c r="G2928" s="180" t="n"/>
      <c r="H2928" s="181">
        <f>IF(OR(F2928="",G2928=""),"",ROUND(MOD(G2928-F2928,1)*24,2))</f>
        <v/>
      </c>
      <c r="K2928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29" ht="20" customHeight="1">
      <c r="D2929" s="179" t="n"/>
      <c r="E2929" s="179" t="n"/>
      <c r="F2929" s="180" t="n"/>
      <c r="G2929" s="180" t="n"/>
      <c r="H2929" s="181">
        <f>IF(OR(F2929="",G2929=""),"",ROUND(MOD(G2929-F2929,1)*24,2))</f>
        <v/>
      </c>
      <c r="K2929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30" collapsed="1" ht="20" customHeight="1">
      <c r="D2930" s="179" t="n"/>
      <c r="E2930" s="179" t="n"/>
      <c r="F2930" s="180" t="n"/>
      <c r="G2930" s="180" t="n"/>
      <c r="H2930" s="181">
        <f>IF(OR(F2930="",G2930=""),"",ROUND(MOD(G2930-F2930,1)*24,2))</f>
        <v/>
      </c>
      <c r="K2930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31" hidden="1" outlineLevel="1" ht="20" customHeight="1">
      <c r="D2931" s="179" t="n"/>
      <c r="E2931" s="179" t="n"/>
      <c r="F2931" s="180" t="n"/>
      <c r="G2931" s="180" t="n"/>
      <c r="H2931" s="181">
        <f>IF(OR(F2931="",G2931=""),"",ROUND(MOD(G2931-F2931,1)*24,2))</f>
        <v/>
      </c>
      <c r="K2931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32" hidden="1" outlineLevel="1" ht="20" customHeight="1">
      <c r="D2932" s="179" t="n"/>
      <c r="E2932" s="179" t="n"/>
      <c r="F2932" s="180" t="n"/>
      <c r="G2932" s="180" t="n"/>
      <c r="H2932" s="181">
        <f>IF(OR(F2932="",G2932=""),"",ROUND(MOD(G2932-F2932,1)*24,2))</f>
        <v/>
      </c>
      <c r="K2932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33" hidden="1" outlineLevel="1" ht="20" customHeight="1">
      <c r="D2933" s="179" t="n"/>
      <c r="E2933" s="179" t="n"/>
      <c r="F2933" s="180" t="n"/>
      <c r="G2933" s="180" t="n"/>
      <c r="H2933" s="181">
        <f>IF(OR(F2933="",G2933=""),"",ROUND(MOD(G2933-F2933,1)*24,2))</f>
        <v/>
      </c>
      <c r="K2933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34" hidden="1" outlineLevel="1" ht="20" customHeight="1">
      <c r="D2934" s="179" t="n"/>
      <c r="E2934" s="179" t="n"/>
      <c r="F2934" s="180" t="n"/>
      <c r="G2934" s="180" t="n"/>
      <c r="H2934" s="181">
        <f>IF(OR(F2934="",G2934=""),"",ROUND(MOD(G2934-F2934,1)*24,2))</f>
        <v/>
      </c>
      <c r="K2934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35" hidden="1" outlineLevel="1" ht="20" customHeight="1">
      <c r="A2935" s="342" t="n"/>
      <c r="B2935" s="342" t="n"/>
      <c r="C2935" s="342" t="n"/>
      <c r="D2935" s="332" t="n"/>
      <c r="E2935" s="332" t="n"/>
      <c r="F2935" s="333" t="n"/>
      <c r="G2935" s="333" t="n"/>
      <c r="H2935" s="334">
        <f>IF(OR(F2935="",G2935=""),"",ROUND(MOD(G2935-F2935,1)*24,2))</f>
        <v/>
      </c>
      <c r="I2935" s="342" t="n"/>
      <c r="J2935" s="342" t="n"/>
      <c r="K2935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36" ht="20" customHeight="1">
      <c r="A2936" s="336">
        <f>IF($K2936="","",WEEKNUM($K2936,21))</f>
        <v/>
      </c>
      <c r="B2936" s="337">
        <f>IF($K2936="","",$K2936)</f>
        <v/>
      </c>
      <c r="C2936" s="338">
        <f>IF($K2936="","",$K2936)</f>
        <v/>
      </c>
      <c r="D2936" s="171" t="n"/>
      <c r="E2936" s="171" t="n"/>
      <c r="F2936" s="172" t="n"/>
      <c r="G2936" s="172" t="n"/>
      <c r="H2936" s="173">
        <f>IF(OR(F2936="",G2936=""),"",ROUND(MOD(G2936-F2936,1)*24,2))</f>
        <v/>
      </c>
      <c r="I2936" s="339" t="n"/>
      <c r="J2936" s="339" t="n"/>
      <c r="K2936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37" ht="20" customHeight="1">
      <c r="D2937" s="179" t="n"/>
      <c r="E2937" s="179" t="n"/>
      <c r="F2937" s="180" t="n"/>
      <c r="G2937" s="180" t="n"/>
      <c r="H2937" s="181">
        <f>IF(OR(F2937="",G2937=""),"",ROUND(MOD(G2937-F2937,1)*24,2))</f>
        <v/>
      </c>
      <c r="K2937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38" ht="20" customHeight="1">
      <c r="D2938" s="179" t="n"/>
      <c r="E2938" s="179" t="n"/>
      <c r="F2938" s="180" t="n"/>
      <c r="G2938" s="180" t="n"/>
      <c r="H2938" s="181">
        <f>IF(OR(F2938="",G2938=""),"",ROUND(MOD(G2938-F2938,1)*24,2))</f>
        <v/>
      </c>
      <c r="K2938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39" ht="20" customHeight="1">
      <c r="D2939" s="179" t="n"/>
      <c r="E2939" s="179" t="n"/>
      <c r="F2939" s="180" t="n"/>
      <c r="G2939" s="180" t="n"/>
      <c r="H2939" s="181">
        <f>IF(OR(F2939="",G2939=""),"",ROUND(MOD(G2939-F2939,1)*24,2))</f>
        <v/>
      </c>
      <c r="K2939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40" collapsed="1" ht="20" customHeight="1">
      <c r="D2940" s="179" t="n"/>
      <c r="E2940" s="179" t="n"/>
      <c r="F2940" s="180" t="n"/>
      <c r="G2940" s="180" t="n"/>
      <c r="H2940" s="181">
        <f>IF(OR(F2940="",G2940=""),"",ROUND(MOD(G2940-F2940,1)*24,2))</f>
        <v/>
      </c>
      <c r="K2940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41" hidden="1" outlineLevel="1" ht="20" customHeight="1">
      <c r="D2941" s="179" t="n"/>
      <c r="E2941" s="179" t="n"/>
      <c r="F2941" s="180" t="n"/>
      <c r="G2941" s="180" t="n"/>
      <c r="H2941" s="181">
        <f>IF(OR(F2941="",G2941=""),"",ROUND(MOD(G2941-F2941,1)*24,2))</f>
        <v/>
      </c>
      <c r="K2941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42" hidden="1" outlineLevel="1" ht="20" customHeight="1">
      <c r="D2942" s="179" t="n"/>
      <c r="E2942" s="179" t="n"/>
      <c r="F2942" s="180" t="n"/>
      <c r="G2942" s="180" t="n"/>
      <c r="H2942" s="181">
        <f>IF(OR(F2942="",G2942=""),"",ROUND(MOD(G2942-F2942,1)*24,2))</f>
        <v/>
      </c>
      <c r="K2942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43" hidden="1" outlineLevel="1" ht="20" customHeight="1">
      <c r="D2943" s="179" t="n"/>
      <c r="E2943" s="179" t="n"/>
      <c r="F2943" s="180" t="n"/>
      <c r="G2943" s="180" t="n"/>
      <c r="H2943" s="181">
        <f>IF(OR(F2943="",G2943=""),"",ROUND(MOD(G2943-F2943,1)*24,2))</f>
        <v/>
      </c>
      <c r="K2943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44" hidden="1" outlineLevel="1" ht="20" customHeight="1">
      <c r="D2944" s="179" t="n"/>
      <c r="E2944" s="179" t="n"/>
      <c r="F2944" s="180" t="n"/>
      <c r="G2944" s="180" t="n"/>
      <c r="H2944" s="181">
        <f>IF(OR(F2944="",G2944=""),"",ROUND(MOD(G2944-F2944,1)*24,2))</f>
        <v/>
      </c>
      <c r="K2944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45" hidden="1" outlineLevel="1" ht="20" customHeight="1">
      <c r="A2945" s="342" t="n"/>
      <c r="B2945" s="342" t="n"/>
      <c r="C2945" s="342" t="n"/>
      <c r="D2945" s="332" t="n"/>
      <c r="E2945" s="332" t="n"/>
      <c r="F2945" s="333" t="n"/>
      <c r="G2945" s="333" t="n"/>
      <c r="H2945" s="334">
        <f>IF(OR(F2945="",G2945=""),"",ROUND(MOD(G2945-F2945,1)*24,2))</f>
        <v/>
      </c>
      <c r="I2945" s="342" t="n"/>
      <c r="J2945" s="342" t="n"/>
      <c r="K2945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46" ht="20" customHeight="1">
      <c r="A2946" s="336">
        <f>IF($K2946="","",WEEKNUM($K2946,21))</f>
        <v/>
      </c>
      <c r="B2946" s="337">
        <f>IF($K2946="","",$K2946)</f>
        <v/>
      </c>
      <c r="C2946" s="338">
        <f>IF($K2946="","",$K2946)</f>
        <v/>
      </c>
      <c r="D2946" s="171" t="n"/>
      <c r="E2946" s="171" t="n"/>
      <c r="F2946" s="172" t="n"/>
      <c r="G2946" s="172" t="n"/>
      <c r="H2946" s="173">
        <f>IF(OR(F2946="",G2946=""),"",ROUND(MOD(G2946-F2946,1)*24,2))</f>
        <v/>
      </c>
      <c r="I2946" s="339" t="n"/>
      <c r="J2946" s="339" t="n"/>
      <c r="K2946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47" ht="20" customHeight="1">
      <c r="D2947" s="179" t="n"/>
      <c r="E2947" s="179" t="n"/>
      <c r="F2947" s="180" t="n"/>
      <c r="G2947" s="180" t="n"/>
      <c r="H2947" s="181">
        <f>IF(OR(F2947="",G2947=""),"",ROUND(MOD(G2947-F2947,1)*24,2))</f>
        <v/>
      </c>
      <c r="K2947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48" ht="20" customHeight="1">
      <c r="D2948" s="179" t="n"/>
      <c r="E2948" s="179" t="n"/>
      <c r="F2948" s="180" t="n"/>
      <c r="G2948" s="180" t="n"/>
      <c r="H2948" s="181">
        <f>IF(OR(F2948="",G2948=""),"",ROUND(MOD(G2948-F2948,1)*24,2))</f>
        <v/>
      </c>
      <c r="K2948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49" ht="20" customHeight="1">
      <c r="D2949" s="179" t="n"/>
      <c r="E2949" s="179" t="n"/>
      <c r="F2949" s="180" t="n"/>
      <c r="G2949" s="180" t="n"/>
      <c r="H2949" s="181">
        <f>IF(OR(F2949="",G2949=""),"",ROUND(MOD(G2949-F2949,1)*24,2))</f>
        <v/>
      </c>
      <c r="K2949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50" collapsed="1" ht="20" customHeight="1">
      <c r="D2950" s="179" t="n"/>
      <c r="E2950" s="179" t="n"/>
      <c r="F2950" s="180" t="n"/>
      <c r="G2950" s="180" t="n"/>
      <c r="H2950" s="181">
        <f>IF(OR(F2950="",G2950=""),"",ROUND(MOD(G2950-F2950,1)*24,2))</f>
        <v/>
      </c>
      <c r="K2950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51" hidden="1" outlineLevel="1" ht="20" customHeight="1">
      <c r="D2951" s="179" t="n"/>
      <c r="E2951" s="179" t="n"/>
      <c r="F2951" s="180" t="n"/>
      <c r="G2951" s="180" t="n"/>
      <c r="H2951" s="181">
        <f>IF(OR(F2951="",G2951=""),"",ROUND(MOD(G2951-F2951,1)*24,2))</f>
        <v/>
      </c>
      <c r="K2951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52" hidden="1" outlineLevel="1" ht="20" customHeight="1">
      <c r="D2952" s="179" t="n"/>
      <c r="E2952" s="179" t="n"/>
      <c r="F2952" s="180" t="n"/>
      <c r="G2952" s="180" t="n"/>
      <c r="H2952" s="181">
        <f>IF(OR(F2952="",G2952=""),"",ROUND(MOD(G2952-F2952,1)*24,2))</f>
        <v/>
      </c>
      <c r="K2952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53" hidden="1" outlineLevel="1" ht="20" customHeight="1">
      <c r="D2953" s="179" t="n"/>
      <c r="E2953" s="179" t="n"/>
      <c r="F2953" s="180" t="n"/>
      <c r="G2953" s="180" t="n"/>
      <c r="H2953" s="181">
        <f>IF(OR(F2953="",G2953=""),"",ROUND(MOD(G2953-F2953,1)*24,2))</f>
        <v/>
      </c>
      <c r="K2953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54" hidden="1" outlineLevel="1" ht="20" customHeight="1">
      <c r="D2954" s="179" t="n"/>
      <c r="E2954" s="179" t="n"/>
      <c r="F2954" s="180" t="n"/>
      <c r="G2954" s="180" t="n"/>
      <c r="H2954" s="181">
        <f>IF(OR(F2954="",G2954=""),"",ROUND(MOD(G2954-F2954,1)*24,2))</f>
        <v/>
      </c>
      <c r="K2954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55" hidden="1" outlineLevel="1" ht="20" customHeight="1">
      <c r="A2955" s="342" t="n"/>
      <c r="B2955" s="342" t="n"/>
      <c r="C2955" s="342" t="n"/>
      <c r="D2955" s="332" t="n"/>
      <c r="E2955" s="332" t="n"/>
      <c r="F2955" s="333" t="n"/>
      <c r="G2955" s="333" t="n"/>
      <c r="H2955" s="334">
        <f>IF(OR(F2955="",G2955=""),"",ROUND(MOD(G2955-F2955,1)*24,2))</f>
        <v/>
      </c>
      <c r="I2955" s="342" t="n"/>
      <c r="J2955" s="342" t="n"/>
      <c r="K2955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56" ht="20" customHeight="1">
      <c r="A2956" s="336">
        <f>IF($K2956="","",WEEKNUM($K2956,21))</f>
        <v/>
      </c>
      <c r="B2956" s="337">
        <f>IF($K2956="","",$K2956)</f>
        <v/>
      </c>
      <c r="C2956" s="338">
        <f>IF($K2956="","",$K2956)</f>
        <v/>
      </c>
      <c r="D2956" s="171" t="n"/>
      <c r="E2956" s="171" t="n"/>
      <c r="F2956" s="172" t="n"/>
      <c r="G2956" s="172" t="n"/>
      <c r="H2956" s="173">
        <f>IF(OR(F2956="",G2956=""),"",ROUND(MOD(G2956-F2956,1)*24,2))</f>
        <v/>
      </c>
      <c r="I2956" s="339" t="n"/>
      <c r="J2956" s="339" t="n"/>
      <c r="K2956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57" ht="20" customHeight="1">
      <c r="D2957" s="179" t="n"/>
      <c r="E2957" s="179" t="n"/>
      <c r="F2957" s="180" t="n"/>
      <c r="G2957" s="180" t="n"/>
      <c r="H2957" s="181">
        <f>IF(OR(F2957="",G2957=""),"",ROUND(MOD(G2957-F2957,1)*24,2))</f>
        <v/>
      </c>
      <c r="K2957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58" ht="20" customHeight="1">
      <c r="D2958" s="179" t="n"/>
      <c r="E2958" s="179" t="n"/>
      <c r="F2958" s="180" t="n"/>
      <c r="G2958" s="180" t="n"/>
      <c r="H2958" s="181">
        <f>IF(OR(F2958="",G2958=""),"",ROUND(MOD(G2958-F2958,1)*24,2))</f>
        <v/>
      </c>
      <c r="K2958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59" ht="20" customHeight="1">
      <c r="D2959" s="179" t="n"/>
      <c r="E2959" s="179" t="n"/>
      <c r="F2959" s="180" t="n"/>
      <c r="G2959" s="180" t="n"/>
      <c r="H2959" s="181">
        <f>IF(OR(F2959="",G2959=""),"",ROUND(MOD(G2959-F2959,1)*24,2))</f>
        <v/>
      </c>
      <c r="K2959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60" collapsed="1" ht="20" customHeight="1">
      <c r="D2960" s="179" t="n"/>
      <c r="E2960" s="179" t="n"/>
      <c r="F2960" s="180" t="n"/>
      <c r="G2960" s="180" t="n"/>
      <c r="H2960" s="181">
        <f>IF(OR(F2960="",G2960=""),"",ROUND(MOD(G2960-F2960,1)*24,2))</f>
        <v/>
      </c>
      <c r="K2960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61" hidden="1" outlineLevel="1" ht="20" customHeight="1">
      <c r="D2961" s="179" t="n"/>
      <c r="E2961" s="179" t="n"/>
      <c r="F2961" s="180" t="n"/>
      <c r="G2961" s="180" t="n"/>
      <c r="H2961" s="181">
        <f>IF(OR(F2961="",G2961=""),"",ROUND(MOD(G2961-F2961,1)*24,2))</f>
        <v/>
      </c>
      <c r="K2961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62" hidden="1" outlineLevel="1" ht="20" customHeight="1">
      <c r="D2962" s="179" t="n"/>
      <c r="E2962" s="179" t="n"/>
      <c r="F2962" s="180" t="n"/>
      <c r="G2962" s="180" t="n"/>
      <c r="H2962" s="181">
        <f>IF(OR(F2962="",G2962=""),"",ROUND(MOD(G2962-F2962,1)*24,2))</f>
        <v/>
      </c>
      <c r="K2962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63" hidden="1" outlineLevel="1" ht="20" customHeight="1">
      <c r="D2963" s="179" t="n"/>
      <c r="E2963" s="179" t="n"/>
      <c r="F2963" s="180" t="n"/>
      <c r="G2963" s="180" t="n"/>
      <c r="H2963" s="181">
        <f>IF(OR(F2963="",G2963=""),"",ROUND(MOD(G2963-F2963,1)*24,2))</f>
        <v/>
      </c>
      <c r="K2963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64" hidden="1" outlineLevel="1" ht="20" customHeight="1">
      <c r="D2964" s="179" t="n"/>
      <c r="E2964" s="179" t="n"/>
      <c r="F2964" s="180" t="n"/>
      <c r="G2964" s="180" t="n"/>
      <c r="H2964" s="181">
        <f>IF(OR(F2964="",G2964=""),"",ROUND(MOD(G2964-F2964,1)*24,2))</f>
        <v/>
      </c>
      <c r="K2964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65" hidden="1" outlineLevel="1" ht="20" customHeight="1">
      <c r="A2965" s="342" t="n"/>
      <c r="B2965" s="342" t="n"/>
      <c r="C2965" s="342" t="n"/>
      <c r="D2965" s="332" t="n"/>
      <c r="E2965" s="332" t="n"/>
      <c r="F2965" s="333" t="n"/>
      <c r="G2965" s="333" t="n"/>
      <c r="H2965" s="334">
        <f>IF(OR(F2965="",G2965=""),"",ROUND(MOD(G2965-F2965,1)*24,2))</f>
        <v/>
      </c>
      <c r="I2965" s="342" t="n"/>
      <c r="J2965" s="342" t="n"/>
      <c r="K2965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66" ht="20" customHeight="1">
      <c r="A2966" s="336">
        <f>IF($K2966="","",WEEKNUM($K2966,21))</f>
        <v/>
      </c>
      <c r="B2966" s="337">
        <f>IF($K2966="","",$K2966)</f>
        <v/>
      </c>
      <c r="C2966" s="338">
        <f>IF($K2966="","",$K2966)</f>
        <v/>
      </c>
      <c r="D2966" s="171" t="n"/>
      <c r="E2966" s="171" t="n"/>
      <c r="F2966" s="172" t="n"/>
      <c r="G2966" s="172" t="n"/>
      <c r="H2966" s="173">
        <f>IF(OR(F2966="",G2966=""),"",ROUND(MOD(G2966-F2966,1)*24,2))</f>
        <v/>
      </c>
      <c r="I2966" s="339" t="n"/>
      <c r="J2966" s="339" t="n"/>
      <c r="K2966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67" ht="20" customHeight="1">
      <c r="D2967" s="179" t="n"/>
      <c r="E2967" s="179" t="n"/>
      <c r="F2967" s="180" t="n"/>
      <c r="G2967" s="180" t="n"/>
      <c r="H2967" s="181">
        <f>IF(OR(F2967="",G2967=""),"",ROUND(MOD(G2967-F2967,1)*24,2))</f>
        <v/>
      </c>
      <c r="K2967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68" ht="20" customHeight="1">
      <c r="D2968" s="179" t="n"/>
      <c r="E2968" s="179" t="n"/>
      <c r="F2968" s="180" t="n"/>
      <c r="G2968" s="180" t="n"/>
      <c r="H2968" s="181">
        <f>IF(OR(F2968="",G2968=""),"",ROUND(MOD(G2968-F2968,1)*24,2))</f>
        <v/>
      </c>
      <c r="K2968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69" ht="20" customHeight="1">
      <c r="D2969" s="179" t="n"/>
      <c r="E2969" s="179" t="n"/>
      <c r="F2969" s="180" t="n"/>
      <c r="G2969" s="180" t="n"/>
      <c r="H2969" s="181">
        <f>IF(OR(F2969="",G2969=""),"",ROUND(MOD(G2969-F2969,1)*24,2))</f>
        <v/>
      </c>
      <c r="K2969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70" collapsed="1" ht="20" customHeight="1">
      <c r="D2970" s="179" t="n"/>
      <c r="E2970" s="179" t="n"/>
      <c r="F2970" s="180" t="n"/>
      <c r="G2970" s="180" t="n"/>
      <c r="H2970" s="181">
        <f>IF(OR(F2970="",G2970=""),"",ROUND(MOD(G2970-F2970,1)*24,2))</f>
        <v/>
      </c>
      <c r="K2970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71" hidden="1" outlineLevel="1" ht="20" customHeight="1">
      <c r="D2971" s="179" t="n"/>
      <c r="E2971" s="179" t="n"/>
      <c r="F2971" s="180" t="n"/>
      <c r="G2971" s="180" t="n"/>
      <c r="H2971" s="181">
        <f>IF(OR(F2971="",G2971=""),"",ROUND(MOD(G2971-F2971,1)*24,2))</f>
        <v/>
      </c>
      <c r="K2971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72" hidden="1" outlineLevel="1" ht="20" customHeight="1">
      <c r="D2972" s="179" t="n"/>
      <c r="E2972" s="179" t="n"/>
      <c r="F2972" s="180" t="n"/>
      <c r="G2972" s="180" t="n"/>
      <c r="H2972" s="181">
        <f>IF(OR(F2972="",G2972=""),"",ROUND(MOD(G2972-F2972,1)*24,2))</f>
        <v/>
      </c>
      <c r="K2972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73" hidden="1" outlineLevel="1" ht="20" customHeight="1">
      <c r="D2973" s="179" t="n"/>
      <c r="E2973" s="179" t="n"/>
      <c r="F2973" s="180" t="n"/>
      <c r="G2973" s="180" t="n"/>
      <c r="H2973" s="181">
        <f>IF(OR(F2973="",G2973=""),"",ROUND(MOD(G2973-F2973,1)*24,2))</f>
        <v/>
      </c>
      <c r="K2973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74" hidden="1" outlineLevel="1" ht="20" customHeight="1">
      <c r="D2974" s="179" t="n"/>
      <c r="E2974" s="179" t="n"/>
      <c r="F2974" s="180" t="n"/>
      <c r="G2974" s="180" t="n"/>
      <c r="H2974" s="181">
        <f>IF(OR(F2974="",G2974=""),"",ROUND(MOD(G2974-F2974,1)*24,2))</f>
        <v/>
      </c>
      <c r="K2974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75" hidden="1" outlineLevel="1" ht="20" customHeight="1">
      <c r="A2975" s="342" t="n"/>
      <c r="B2975" s="342" t="n"/>
      <c r="C2975" s="342" t="n"/>
      <c r="D2975" s="332" t="n"/>
      <c r="E2975" s="332" t="n"/>
      <c r="F2975" s="333" t="n"/>
      <c r="G2975" s="333" t="n"/>
      <c r="H2975" s="334">
        <f>IF(OR(F2975="",G2975=""),"",ROUND(MOD(G2975-F2975,1)*24,2))</f>
        <v/>
      </c>
      <c r="I2975" s="342" t="n"/>
      <c r="J2975" s="342" t="n"/>
      <c r="K2975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76" ht="20" customHeight="1">
      <c r="A2976" s="336">
        <f>IF($K2976="","",WEEKNUM($K2976,21))</f>
        <v/>
      </c>
      <c r="B2976" s="337">
        <f>IF($K2976="","",$K2976)</f>
        <v/>
      </c>
      <c r="C2976" s="338">
        <f>IF($K2976="","",$K2976)</f>
        <v/>
      </c>
      <c r="D2976" s="171" t="n"/>
      <c r="E2976" s="171" t="n"/>
      <c r="F2976" s="172" t="n"/>
      <c r="G2976" s="172" t="n"/>
      <c r="H2976" s="173">
        <f>IF(OR(F2976="",G2976=""),"",ROUND(MOD(G2976-F2976,1)*24,2))</f>
        <v/>
      </c>
      <c r="I2976" s="339" t="n"/>
      <c r="J2976" s="339" t="n"/>
      <c r="K2976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77" ht="20" customHeight="1">
      <c r="D2977" s="179" t="n"/>
      <c r="E2977" s="179" t="n"/>
      <c r="F2977" s="180" t="n"/>
      <c r="G2977" s="180" t="n"/>
      <c r="H2977" s="181">
        <f>IF(OR(F2977="",G2977=""),"",ROUND(MOD(G2977-F2977,1)*24,2))</f>
        <v/>
      </c>
      <c r="K2977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78" ht="20" customHeight="1">
      <c r="D2978" s="179" t="n"/>
      <c r="E2978" s="179" t="n"/>
      <c r="F2978" s="180" t="n"/>
      <c r="G2978" s="180" t="n"/>
      <c r="H2978" s="181">
        <f>IF(OR(F2978="",G2978=""),"",ROUND(MOD(G2978-F2978,1)*24,2))</f>
        <v/>
      </c>
      <c r="K2978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79" ht="20" customHeight="1">
      <c r="D2979" s="179" t="n"/>
      <c r="E2979" s="179" t="n"/>
      <c r="F2979" s="180" t="n"/>
      <c r="G2979" s="180" t="n"/>
      <c r="H2979" s="181">
        <f>IF(OR(F2979="",G2979=""),"",ROUND(MOD(G2979-F2979,1)*24,2))</f>
        <v/>
      </c>
      <c r="K2979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80" collapsed="1" ht="20" customHeight="1">
      <c r="D2980" s="179" t="n"/>
      <c r="E2980" s="179" t="n"/>
      <c r="F2980" s="180" t="n"/>
      <c r="G2980" s="180" t="n"/>
      <c r="H2980" s="181">
        <f>IF(OR(F2980="",G2980=""),"",ROUND(MOD(G2980-F2980,1)*24,2))</f>
        <v/>
      </c>
      <c r="K2980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81" hidden="1" outlineLevel="1" ht="20" customHeight="1">
      <c r="D2981" s="179" t="n"/>
      <c r="E2981" s="179" t="n"/>
      <c r="F2981" s="180" t="n"/>
      <c r="G2981" s="180" t="n"/>
      <c r="H2981" s="181">
        <f>IF(OR(F2981="",G2981=""),"",ROUND(MOD(G2981-F2981,1)*24,2))</f>
        <v/>
      </c>
      <c r="K2981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82" hidden="1" outlineLevel="1" ht="20" customHeight="1">
      <c r="D2982" s="179" t="n"/>
      <c r="E2982" s="179" t="n"/>
      <c r="F2982" s="180" t="n"/>
      <c r="G2982" s="180" t="n"/>
      <c r="H2982" s="181">
        <f>IF(OR(F2982="",G2982=""),"",ROUND(MOD(G2982-F2982,1)*24,2))</f>
        <v/>
      </c>
      <c r="K2982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83" hidden="1" outlineLevel="1" ht="20" customHeight="1">
      <c r="D2983" s="179" t="n"/>
      <c r="E2983" s="179" t="n"/>
      <c r="F2983" s="180" t="n"/>
      <c r="G2983" s="180" t="n"/>
      <c r="H2983" s="181">
        <f>IF(OR(F2983="",G2983=""),"",ROUND(MOD(G2983-F2983,1)*24,2))</f>
        <v/>
      </c>
      <c r="K2983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84" hidden="1" outlineLevel="1" ht="20" customHeight="1">
      <c r="D2984" s="179" t="n"/>
      <c r="E2984" s="179" t="n"/>
      <c r="F2984" s="180" t="n"/>
      <c r="G2984" s="180" t="n"/>
      <c r="H2984" s="181">
        <f>IF(OR(F2984="",G2984=""),"",ROUND(MOD(G2984-F2984,1)*24,2))</f>
        <v/>
      </c>
      <c r="K2984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85" hidden="1" outlineLevel="1" ht="20" customHeight="1">
      <c r="A2985" s="342" t="n"/>
      <c r="B2985" s="342" t="n"/>
      <c r="C2985" s="342" t="n"/>
      <c r="D2985" s="332" t="n"/>
      <c r="E2985" s="332" t="n"/>
      <c r="F2985" s="333" t="n"/>
      <c r="G2985" s="333" t="n"/>
      <c r="H2985" s="334">
        <f>IF(OR(F2985="",G2985=""),"",ROUND(MOD(G2985-F2985,1)*24,2))</f>
        <v/>
      </c>
      <c r="I2985" s="342" t="n"/>
      <c r="J2985" s="342" t="n"/>
      <c r="K2985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2986" ht="20" customHeight="1">
      <c r="A2986" s="336">
        <f>IF($K2986="","",WEEKNUM($K2986,21))</f>
        <v/>
      </c>
      <c r="B2986" s="337">
        <f>IF($K2986="","",$K2986)</f>
        <v/>
      </c>
      <c r="C2986" s="338">
        <f>IF($K2986="","",$K2986)</f>
        <v/>
      </c>
      <c r="D2986" s="171" t="n"/>
      <c r="E2986" s="171" t="n"/>
      <c r="F2986" s="172" t="n"/>
      <c r="G2986" s="172" t="n"/>
      <c r="H2986" s="173">
        <f>IF(OR(F2986="",G2986=""),"",ROUND(MOD(G2986-F2986,1)*24,2))</f>
        <v/>
      </c>
      <c r="I2986" s="339" t="n"/>
      <c r="J2986" s="339" t="n"/>
      <c r="K2986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87" ht="20" customHeight="1">
      <c r="D2987" s="179" t="n"/>
      <c r="E2987" s="179" t="n"/>
      <c r="F2987" s="180" t="n"/>
      <c r="G2987" s="180" t="n"/>
      <c r="H2987" s="181">
        <f>IF(OR(F2987="",G2987=""),"",ROUND(MOD(G2987-F2987,1)*24,2))</f>
        <v/>
      </c>
      <c r="K2987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88" ht="20" customHeight="1">
      <c r="D2988" s="179" t="n"/>
      <c r="E2988" s="179" t="n"/>
      <c r="F2988" s="180" t="n"/>
      <c r="G2988" s="180" t="n"/>
      <c r="H2988" s="181">
        <f>IF(OR(F2988="",G2988=""),"",ROUND(MOD(G2988-F2988,1)*24,2))</f>
        <v/>
      </c>
      <c r="K2988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89" ht="20" customHeight="1">
      <c r="D2989" s="179" t="n"/>
      <c r="E2989" s="179" t="n"/>
      <c r="F2989" s="180" t="n"/>
      <c r="G2989" s="180" t="n"/>
      <c r="H2989" s="181">
        <f>IF(OR(F2989="",G2989=""),"",ROUND(MOD(G2989-F2989,1)*24,2))</f>
        <v/>
      </c>
      <c r="K2989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90" collapsed="1" ht="20" customHeight="1">
      <c r="D2990" s="179" t="n"/>
      <c r="E2990" s="179" t="n"/>
      <c r="F2990" s="180" t="n"/>
      <c r="G2990" s="180" t="n"/>
      <c r="H2990" s="181">
        <f>IF(OR(F2990="",G2990=""),"",ROUND(MOD(G2990-F2990,1)*24,2))</f>
        <v/>
      </c>
      <c r="K2990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91" hidden="1" outlineLevel="1" ht="20" customHeight="1">
      <c r="D2991" s="179" t="n"/>
      <c r="E2991" s="179" t="n"/>
      <c r="F2991" s="180" t="n"/>
      <c r="G2991" s="180" t="n"/>
      <c r="H2991" s="181">
        <f>IF(OR(F2991="",G2991=""),"",ROUND(MOD(G2991-F2991,1)*24,2))</f>
        <v/>
      </c>
      <c r="K2991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92" hidden="1" outlineLevel="1" ht="20" customHeight="1">
      <c r="D2992" s="179" t="n"/>
      <c r="E2992" s="179" t="n"/>
      <c r="F2992" s="180" t="n"/>
      <c r="G2992" s="180" t="n"/>
      <c r="H2992" s="181">
        <f>IF(OR(F2992="",G2992=""),"",ROUND(MOD(G2992-F2992,1)*24,2))</f>
        <v/>
      </c>
      <c r="K2992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93" hidden="1" outlineLevel="1" ht="20" customHeight="1">
      <c r="D2993" s="179" t="n"/>
      <c r="E2993" s="179" t="n"/>
      <c r="F2993" s="180" t="n"/>
      <c r="G2993" s="180" t="n"/>
      <c r="H2993" s="181">
        <f>IF(OR(F2993="",G2993=""),"",ROUND(MOD(G2993-F2993,1)*24,2))</f>
        <v/>
      </c>
      <c r="K2993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94" hidden="1" outlineLevel="1" ht="20" customHeight="1">
      <c r="D2994" s="179" t="n"/>
      <c r="E2994" s="179" t="n"/>
      <c r="F2994" s="180" t="n"/>
      <c r="G2994" s="180" t="n"/>
      <c r="H2994" s="181">
        <f>IF(OR(F2994="",G2994=""),"",ROUND(MOD(G2994-F2994,1)*24,2))</f>
        <v/>
      </c>
      <c r="K2994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95" hidden="1" outlineLevel="1" ht="20" customHeight="1">
      <c r="A2995" s="342" t="n"/>
      <c r="B2995" s="342" t="n"/>
      <c r="C2995" s="342" t="n"/>
      <c r="D2995" s="332" t="n"/>
      <c r="E2995" s="332" t="n"/>
      <c r="F2995" s="333" t="n"/>
      <c r="G2995" s="333" t="n"/>
      <c r="H2995" s="334">
        <f>IF(OR(F2995="",G2995=""),"",ROUND(MOD(G2995-F2995,1)*24,2))</f>
        <v/>
      </c>
      <c r="I2995" s="342" t="n"/>
      <c r="J2995" s="342" t="n"/>
      <c r="K2995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2996" ht="20" customHeight="1">
      <c r="A2996" s="336">
        <f>IF($K2996="","",WEEKNUM($K2996,21))</f>
        <v/>
      </c>
      <c r="B2996" s="337">
        <f>IF($K2996="","",$K2996)</f>
        <v/>
      </c>
      <c r="C2996" s="338">
        <f>IF($K2996="","",$K2996)</f>
        <v/>
      </c>
      <c r="D2996" s="171" t="n"/>
      <c r="E2996" s="171" t="n"/>
      <c r="F2996" s="172" t="n"/>
      <c r="G2996" s="172" t="n"/>
      <c r="H2996" s="173">
        <f>IF(OR(F2996="",G2996=""),"",ROUND(MOD(G2996-F2996,1)*24,2))</f>
        <v/>
      </c>
      <c r="I2996" s="339" t="n"/>
      <c r="J2996" s="339" t="n"/>
      <c r="K2996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2997" ht="20" customHeight="1">
      <c r="D2997" s="179" t="n"/>
      <c r="E2997" s="179" t="n"/>
      <c r="F2997" s="180" t="n"/>
      <c r="G2997" s="180" t="n"/>
      <c r="H2997" s="181">
        <f>IF(OR(F2997="",G2997=""),"",ROUND(MOD(G2997-F2997,1)*24,2))</f>
        <v/>
      </c>
      <c r="K2997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2998" ht="20" customHeight="1">
      <c r="D2998" s="179" t="n"/>
      <c r="E2998" s="179" t="n"/>
      <c r="F2998" s="180" t="n"/>
      <c r="G2998" s="180" t="n"/>
      <c r="H2998" s="181">
        <f>IF(OR(F2998="",G2998=""),"",ROUND(MOD(G2998-F2998,1)*24,2))</f>
        <v/>
      </c>
      <c r="K2998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2999" ht="20" customHeight="1">
      <c r="D2999" s="179" t="n"/>
      <c r="E2999" s="179" t="n"/>
      <c r="F2999" s="180" t="n"/>
      <c r="G2999" s="180" t="n"/>
      <c r="H2999" s="181">
        <f>IF(OR(F2999="",G2999=""),"",ROUND(MOD(G2999-F2999,1)*24,2))</f>
        <v/>
      </c>
      <c r="K2999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3000" collapsed="1" ht="20" customHeight="1">
      <c r="D3000" s="179" t="n"/>
      <c r="E3000" s="179" t="n"/>
      <c r="F3000" s="180" t="n"/>
      <c r="G3000" s="180" t="n"/>
      <c r="H3000" s="181">
        <f>IF(OR(F3000="",G3000=""),"",ROUND(MOD(G3000-F3000,1)*24,2))</f>
        <v/>
      </c>
      <c r="K3000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3001" hidden="1" outlineLevel="1" ht="20" customHeight="1">
      <c r="D3001" s="179" t="n"/>
      <c r="E3001" s="179" t="n"/>
      <c r="F3001" s="180" t="n"/>
      <c r="G3001" s="180" t="n"/>
      <c r="H3001" s="181">
        <f>IF(OR(F3001="",G3001=""),"",ROUND(MOD(G3001-F3001,1)*24,2))</f>
        <v/>
      </c>
      <c r="K3001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3002" hidden="1" outlineLevel="1" ht="20" customHeight="1">
      <c r="D3002" s="179" t="n"/>
      <c r="E3002" s="179" t="n"/>
      <c r="F3002" s="180" t="n"/>
      <c r="G3002" s="180" t="n"/>
      <c r="H3002" s="181">
        <f>IF(OR(F3002="",G3002=""),"",ROUND(MOD(G3002-F3002,1)*24,2))</f>
        <v/>
      </c>
      <c r="K3002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3003" hidden="1" outlineLevel="1" ht="20" customHeight="1">
      <c r="D3003" s="179" t="n"/>
      <c r="E3003" s="179" t="n"/>
      <c r="F3003" s="180" t="n"/>
      <c r="G3003" s="180" t="n"/>
      <c r="H3003" s="181">
        <f>IF(OR(F3003="",G3003=""),"",ROUND(MOD(G3003-F3003,1)*24,2))</f>
        <v/>
      </c>
      <c r="K3003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3004" hidden="1" outlineLevel="1" ht="20" customHeight="1">
      <c r="D3004" s="179" t="n"/>
      <c r="E3004" s="179" t="n"/>
      <c r="F3004" s="180" t="n"/>
      <c r="G3004" s="180" t="n"/>
      <c r="H3004" s="181">
        <f>IF(OR(F3004="",G3004=""),"",ROUND(MOD(G3004-F3004,1)*24,2))</f>
        <v/>
      </c>
      <c r="K3004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3005" hidden="1" outlineLevel="1" ht="20" customHeight="1">
      <c r="A3005" s="342" t="n"/>
      <c r="B3005" s="342" t="n"/>
      <c r="C3005" s="342" t="n"/>
      <c r="D3005" s="332" t="n"/>
      <c r="E3005" s="332" t="n"/>
      <c r="F3005" s="333" t="n"/>
      <c r="G3005" s="333" t="n"/>
      <c r="H3005" s="334">
        <f>IF(OR(F3005="",G3005=""),"",ROUND(MOD(G3005-F3005,1)*24,2))</f>
        <v/>
      </c>
      <c r="I3005" s="342" t="n"/>
      <c r="J3005" s="342" t="n"/>
      <c r="K3005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3006" ht="20" customHeight="1">
      <c r="A3006" s="336">
        <f>IF($K3006="","",WEEKNUM($K3006,21))</f>
        <v/>
      </c>
      <c r="B3006" s="337">
        <f>IF($K3006="","",$K3006)</f>
        <v/>
      </c>
      <c r="C3006" s="338">
        <f>IF($K3006="","",$K3006)</f>
        <v/>
      </c>
      <c r="D3006" s="171" t="n"/>
      <c r="E3006" s="171" t="n"/>
      <c r="F3006" s="172" t="n"/>
      <c r="G3006" s="172" t="n"/>
      <c r="H3006" s="173">
        <f>IF(OR(F3006="",G3006=""),"",ROUND(MOD(G3006-F3006,1)*24,2))</f>
        <v/>
      </c>
      <c r="I3006" s="339" t="n"/>
      <c r="J3006" s="339" t="n"/>
      <c r="K3006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07" ht="20" customHeight="1">
      <c r="D3007" s="179" t="n"/>
      <c r="E3007" s="179" t="n"/>
      <c r="F3007" s="180" t="n"/>
      <c r="G3007" s="180" t="n"/>
      <c r="H3007" s="181">
        <f>IF(OR(F3007="",G3007=""),"",ROUND(MOD(G3007-F3007,1)*24,2))</f>
        <v/>
      </c>
      <c r="K3007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08" ht="20" customHeight="1">
      <c r="D3008" s="179" t="n"/>
      <c r="E3008" s="179" t="n"/>
      <c r="F3008" s="180" t="n"/>
      <c r="G3008" s="180" t="n"/>
      <c r="H3008" s="181">
        <f>IF(OR(F3008="",G3008=""),"",ROUND(MOD(G3008-F3008,1)*24,2))</f>
        <v/>
      </c>
      <c r="K3008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09" ht="20" customHeight="1">
      <c r="D3009" s="179" t="n"/>
      <c r="E3009" s="179" t="n"/>
      <c r="F3009" s="180" t="n"/>
      <c r="G3009" s="180" t="n"/>
      <c r="H3009" s="181">
        <f>IF(OR(F3009="",G3009=""),"",ROUND(MOD(G3009-F3009,1)*24,2))</f>
        <v/>
      </c>
      <c r="K3009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10" collapsed="1" ht="20" customHeight="1">
      <c r="D3010" s="179" t="n"/>
      <c r="E3010" s="179" t="n"/>
      <c r="F3010" s="180" t="n"/>
      <c r="G3010" s="180" t="n"/>
      <c r="H3010" s="181">
        <f>IF(OR(F3010="",G3010=""),"",ROUND(MOD(G3010-F3010,1)*24,2))</f>
        <v/>
      </c>
      <c r="K3010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11" hidden="1" outlineLevel="1" ht="20" customHeight="1">
      <c r="D3011" s="179" t="n"/>
      <c r="E3011" s="179" t="n"/>
      <c r="F3011" s="180" t="n"/>
      <c r="G3011" s="180" t="n"/>
      <c r="H3011" s="181">
        <f>IF(OR(F3011="",G3011=""),"",ROUND(MOD(G3011-F3011,1)*24,2))</f>
        <v/>
      </c>
      <c r="K3011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12" hidden="1" outlineLevel="1" ht="20" customHeight="1">
      <c r="D3012" s="179" t="n"/>
      <c r="E3012" s="179" t="n"/>
      <c r="F3012" s="180" t="n"/>
      <c r="G3012" s="180" t="n"/>
      <c r="H3012" s="181">
        <f>IF(OR(F3012="",G3012=""),"",ROUND(MOD(G3012-F3012,1)*24,2))</f>
        <v/>
      </c>
      <c r="K3012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13" hidden="1" outlineLevel="1" ht="20" customHeight="1">
      <c r="D3013" s="179" t="n"/>
      <c r="E3013" s="179" t="n"/>
      <c r="F3013" s="180" t="n"/>
      <c r="G3013" s="180" t="n"/>
      <c r="H3013" s="181">
        <f>IF(OR(F3013="",G3013=""),"",ROUND(MOD(G3013-F3013,1)*24,2))</f>
        <v/>
      </c>
      <c r="K3013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14" hidden="1" outlineLevel="1" ht="20" customHeight="1">
      <c r="D3014" s="179" t="n"/>
      <c r="E3014" s="179" t="n"/>
      <c r="F3014" s="180" t="n"/>
      <c r="G3014" s="180" t="n"/>
      <c r="H3014" s="181">
        <f>IF(OR(F3014="",G3014=""),"",ROUND(MOD(G3014-F3014,1)*24,2))</f>
        <v/>
      </c>
      <c r="K3014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15" hidden="1" outlineLevel="1" ht="20" customHeight="1">
      <c r="A3015" s="342" t="n"/>
      <c r="B3015" s="342" t="n"/>
      <c r="C3015" s="342" t="n"/>
      <c r="D3015" s="332" t="n"/>
      <c r="E3015" s="332" t="n"/>
      <c r="F3015" s="333" t="n"/>
      <c r="G3015" s="333" t="n"/>
      <c r="H3015" s="334">
        <f>IF(OR(F3015="",G3015=""),"",ROUND(MOD(G3015-F3015,1)*24,2))</f>
        <v/>
      </c>
      <c r="I3015" s="342" t="n"/>
      <c r="J3015" s="342" t="n"/>
      <c r="K3015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16" ht="20" customHeight="1">
      <c r="A3016" s="336">
        <f>IF($K3016="","",WEEKNUM($K3016,21))</f>
        <v/>
      </c>
      <c r="B3016" s="337">
        <f>IF($K3016="","",$K3016)</f>
        <v/>
      </c>
      <c r="C3016" s="338">
        <f>IF($K3016="","",$K3016)</f>
        <v/>
      </c>
      <c r="D3016" s="171" t="n"/>
      <c r="E3016" s="171" t="n"/>
      <c r="F3016" s="172" t="n"/>
      <c r="G3016" s="172" t="n"/>
      <c r="H3016" s="173">
        <f>IF(OR(F3016="",G3016=""),"",ROUND(MOD(G3016-F3016,1)*24,2))</f>
        <v/>
      </c>
      <c r="I3016" s="339" t="n"/>
      <c r="J3016" s="339" t="n"/>
      <c r="K3016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17" ht="20" customHeight="1">
      <c r="D3017" s="179" t="n"/>
      <c r="E3017" s="179" t="n"/>
      <c r="F3017" s="180" t="n"/>
      <c r="G3017" s="180" t="n"/>
      <c r="H3017" s="181">
        <f>IF(OR(F3017="",G3017=""),"",ROUND(MOD(G3017-F3017,1)*24,2))</f>
        <v/>
      </c>
      <c r="K3017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18" ht="20" customHeight="1">
      <c r="D3018" s="179" t="n"/>
      <c r="E3018" s="179" t="n"/>
      <c r="F3018" s="180" t="n"/>
      <c r="G3018" s="180" t="n"/>
      <c r="H3018" s="181">
        <f>IF(OR(F3018="",G3018=""),"",ROUND(MOD(G3018-F3018,1)*24,2))</f>
        <v/>
      </c>
      <c r="K3018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19" ht="20" customHeight="1">
      <c r="D3019" s="179" t="n"/>
      <c r="E3019" s="179" t="n"/>
      <c r="F3019" s="180" t="n"/>
      <c r="G3019" s="180" t="n"/>
      <c r="H3019" s="181">
        <f>IF(OR(F3019="",G3019=""),"",ROUND(MOD(G3019-F3019,1)*24,2))</f>
        <v/>
      </c>
      <c r="K3019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20" collapsed="1" ht="20" customHeight="1">
      <c r="D3020" s="179" t="n"/>
      <c r="E3020" s="179" t="n"/>
      <c r="F3020" s="180" t="n"/>
      <c r="G3020" s="180" t="n"/>
      <c r="H3020" s="181">
        <f>IF(OR(F3020="",G3020=""),"",ROUND(MOD(G3020-F3020,1)*24,2))</f>
        <v/>
      </c>
      <c r="K3020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21" hidden="1" outlineLevel="1" ht="20" customHeight="1">
      <c r="D3021" s="179" t="n"/>
      <c r="E3021" s="179" t="n"/>
      <c r="F3021" s="180" t="n"/>
      <c r="G3021" s="180" t="n"/>
      <c r="H3021" s="181">
        <f>IF(OR(F3021="",G3021=""),"",ROUND(MOD(G3021-F3021,1)*24,2))</f>
        <v/>
      </c>
      <c r="K3021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22" hidden="1" outlineLevel="1" ht="20" customHeight="1">
      <c r="D3022" s="179" t="n"/>
      <c r="E3022" s="179" t="n"/>
      <c r="F3022" s="180" t="n"/>
      <c r="G3022" s="180" t="n"/>
      <c r="H3022" s="181">
        <f>IF(OR(F3022="",G3022=""),"",ROUND(MOD(G3022-F3022,1)*24,2))</f>
        <v/>
      </c>
      <c r="K3022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23" hidden="1" outlineLevel="1" ht="20" customHeight="1">
      <c r="D3023" s="179" t="n"/>
      <c r="E3023" s="179" t="n"/>
      <c r="F3023" s="180" t="n"/>
      <c r="G3023" s="180" t="n"/>
      <c r="H3023" s="181">
        <f>IF(OR(F3023="",G3023=""),"",ROUND(MOD(G3023-F3023,1)*24,2))</f>
        <v/>
      </c>
      <c r="K3023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24" hidden="1" outlineLevel="1" ht="20" customHeight="1">
      <c r="D3024" s="179" t="n"/>
      <c r="E3024" s="179" t="n"/>
      <c r="F3024" s="180" t="n"/>
      <c r="G3024" s="180" t="n"/>
      <c r="H3024" s="181">
        <f>IF(OR(F3024="",G3024=""),"",ROUND(MOD(G3024-F3024,1)*24,2))</f>
        <v/>
      </c>
      <c r="K3024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25" hidden="1" outlineLevel="1" ht="20" customHeight="1">
      <c r="A3025" s="342" t="n"/>
      <c r="B3025" s="342" t="n"/>
      <c r="C3025" s="342" t="n"/>
      <c r="D3025" s="332" t="n"/>
      <c r="E3025" s="332" t="n"/>
      <c r="F3025" s="333" t="n"/>
      <c r="G3025" s="333" t="n"/>
      <c r="H3025" s="334">
        <f>IF(OR(F3025="",G3025=""),"",ROUND(MOD(G3025-F3025,1)*24,2))</f>
        <v/>
      </c>
      <c r="I3025" s="342" t="n"/>
      <c r="J3025" s="342" t="n"/>
      <c r="K3025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26" ht="20" customHeight="1">
      <c r="A3026" s="336">
        <f>IF($K3026="","",WEEKNUM($K3026,21))</f>
        <v/>
      </c>
      <c r="B3026" s="337">
        <f>IF($K3026="","",$K3026)</f>
        <v/>
      </c>
      <c r="C3026" s="338">
        <f>IF($K3026="","",$K3026)</f>
        <v/>
      </c>
      <c r="D3026" s="171" t="n"/>
      <c r="E3026" s="171" t="n"/>
      <c r="F3026" s="172" t="n"/>
      <c r="G3026" s="172" t="n"/>
      <c r="H3026" s="173">
        <f>IF(OR(F3026="",G3026=""),"",ROUND(MOD(G3026-F3026,1)*24,2))</f>
        <v/>
      </c>
      <c r="I3026" s="339" t="n"/>
      <c r="J3026" s="339" t="n"/>
      <c r="K3026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27" ht="20" customHeight="1">
      <c r="D3027" s="179" t="n"/>
      <c r="E3027" s="179" t="n"/>
      <c r="F3027" s="180" t="n"/>
      <c r="G3027" s="180" t="n"/>
      <c r="H3027" s="181">
        <f>IF(OR(F3027="",G3027=""),"",ROUND(MOD(G3027-F3027,1)*24,2))</f>
        <v/>
      </c>
      <c r="K3027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28" ht="20" customHeight="1">
      <c r="D3028" s="179" t="n"/>
      <c r="E3028" s="179" t="n"/>
      <c r="F3028" s="180" t="n"/>
      <c r="G3028" s="180" t="n"/>
      <c r="H3028" s="181">
        <f>IF(OR(F3028="",G3028=""),"",ROUND(MOD(G3028-F3028,1)*24,2))</f>
        <v/>
      </c>
      <c r="K3028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29" ht="20" customHeight="1">
      <c r="D3029" s="179" t="n"/>
      <c r="E3029" s="179" t="n"/>
      <c r="F3029" s="180" t="n"/>
      <c r="G3029" s="180" t="n"/>
      <c r="H3029" s="181">
        <f>IF(OR(F3029="",G3029=""),"",ROUND(MOD(G3029-F3029,1)*24,2))</f>
        <v/>
      </c>
      <c r="K3029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30" collapsed="1" ht="20" customHeight="1">
      <c r="D3030" s="179" t="n"/>
      <c r="E3030" s="179" t="n"/>
      <c r="F3030" s="180" t="n"/>
      <c r="G3030" s="180" t="n"/>
      <c r="H3030" s="181">
        <f>IF(OR(F3030="",G3030=""),"",ROUND(MOD(G3030-F3030,1)*24,2))</f>
        <v/>
      </c>
      <c r="K3030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31" hidden="1" outlineLevel="1" ht="20" customHeight="1">
      <c r="D3031" s="179" t="n"/>
      <c r="E3031" s="179" t="n"/>
      <c r="F3031" s="180" t="n"/>
      <c r="G3031" s="180" t="n"/>
      <c r="H3031" s="181">
        <f>IF(OR(F3031="",G3031=""),"",ROUND(MOD(G3031-F3031,1)*24,2))</f>
        <v/>
      </c>
      <c r="K3031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32" hidden="1" outlineLevel="1" ht="20" customHeight="1">
      <c r="D3032" s="179" t="n"/>
      <c r="E3032" s="179" t="n"/>
      <c r="F3032" s="180" t="n"/>
      <c r="G3032" s="180" t="n"/>
      <c r="H3032" s="181">
        <f>IF(OR(F3032="",G3032=""),"",ROUND(MOD(G3032-F3032,1)*24,2))</f>
        <v/>
      </c>
      <c r="K3032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33" hidden="1" outlineLevel="1" ht="20" customHeight="1">
      <c r="D3033" s="179" t="n"/>
      <c r="E3033" s="179" t="n"/>
      <c r="F3033" s="180" t="n"/>
      <c r="G3033" s="180" t="n"/>
      <c r="H3033" s="181">
        <f>IF(OR(F3033="",G3033=""),"",ROUND(MOD(G3033-F3033,1)*24,2))</f>
        <v/>
      </c>
      <c r="K3033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34" hidden="1" outlineLevel="1" ht="20" customHeight="1">
      <c r="D3034" s="179" t="n"/>
      <c r="E3034" s="179" t="n"/>
      <c r="F3034" s="180" t="n"/>
      <c r="G3034" s="180" t="n"/>
      <c r="H3034" s="181">
        <f>IF(OR(F3034="",G3034=""),"",ROUND(MOD(G3034-F3034,1)*24,2))</f>
        <v/>
      </c>
      <c r="K3034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35" hidden="1" outlineLevel="1" ht="20" customHeight="1">
      <c r="A3035" s="342" t="n"/>
      <c r="B3035" s="342" t="n"/>
      <c r="C3035" s="342" t="n"/>
      <c r="D3035" s="332" t="n"/>
      <c r="E3035" s="332" t="n"/>
      <c r="F3035" s="333" t="n"/>
      <c r="G3035" s="333" t="n"/>
      <c r="H3035" s="334">
        <f>IF(OR(F3035="",G3035=""),"",ROUND(MOD(G3035-F3035,1)*24,2))</f>
        <v/>
      </c>
      <c r="I3035" s="342" t="n"/>
      <c r="J3035" s="342" t="n"/>
      <c r="K3035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36" ht="20" customHeight="1">
      <c r="A3036" s="336">
        <f>IF($K3036="","",WEEKNUM($K3036,21))</f>
        <v/>
      </c>
      <c r="B3036" s="337">
        <f>IF($K3036="","",$K3036)</f>
        <v/>
      </c>
      <c r="C3036" s="338">
        <f>IF($K3036="","",$K3036)</f>
        <v/>
      </c>
      <c r="D3036" s="171" t="n"/>
      <c r="E3036" s="171" t="n"/>
      <c r="F3036" s="172" t="n"/>
      <c r="G3036" s="172" t="n"/>
      <c r="H3036" s="173">
        <f>IF(OR(F3036="",G3036=""),"",ROUND(MOD(G3036-F3036,1)*24,2))</f>
        <v/>
      </c>
      <c r="I3036" s="339" t="n"/>
      <c r="J3036" s="339" t="n"/>
      <c r="K3036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37" ht="20" customHeight="1">
      <c r="D3037" s="179" t="n"/>
      <c r="E3037" s="179" t="n"/>
      <c r="F3037" s="180" t="n"/>
      <c r="G3037" s="180" t="n"/>
      <c r="H3037" s="181">
        <f>IF(OR(F3037="",G3037=""),"",ROUND(MOD(G3037-F3037,1)*24,2))</f>
        <v/>
      </c>
      <c r="K3037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38" ht="20" customHeight="1">
      <c r="D3038" s="179" t="n"/>
      <c r="E3038" s="179" t="n"/>
      <c r="F3038" s="180" t="n"/>
      <c r="G3038" s="180" t="n"/>
      <c r="H3038" s="181">
        <f>IF(OR(F3038="",G3038=""),"",ROUND(MOD(G3038-F3038,1)*24,2))</f>
        <v/>
      </c>
      <c r="K3038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39" ht="20" customHeight="1">
      <c r="D3039" s="179" t="n"/>
      <c r="E3039" s="179" t="n"/>
      <c r="F3039" s="180" t="n"/>
      <c r="G3039" s="180" t="n"/>
      <c r="H3039" s="181">
        <f>IF(OR(F3039="",G3039=""),"",ROUND(MOD(G3039-F3039,1)*24,2))</f>
        <v/>
      </c>
      <c r="K3039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40" collapsed="1" ht="20" customHeight="1">
      <c r="D3040" s="179" t="n"/>
      <c r="E3040" s="179" t="n"/>
      <c r="F3040" s="180" t="n"/>
      <c r="G3040" s="180" t="n"/>
      <c r="H3040" s="181">
        <f>IF(OR(F3040="",G3040=""),"",ROUND(MOD(G3040-F3040,1)*24,2))</f>
        <v/>
      </c>
      <c r="K3040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41" hidden="1" outlineLevel="1" ht="20" customHeight="1">
      <c r="D3041" s="179" t="n"/>
      <c r="E3041" s="179" t="n"/>
      <c r="F3041" s="180" t="n"/>
      <c r="G3041" s="180" t="n"/>
      <c r="H3041" s="181">
        <f>IF(OR(F3041="",G3041=""),"",ROUND(MOD(G3041-F3041,1)*24,2))</f>
        <v/>
      </c>
      <c r="K3041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42" hidden="1" outlineLevel="1" ht="20" customHeight="1">
      <c r="D3042" s="179" t="n"/>
      <c r="E3042" s="179" t="n"/>
      <c r="F3042" s="180" t="n"/>
      <c r="G3042" s="180" t="n"/>
      <c r="H3042" s="181">
        <f>IF(OR(F3042="",G3042=""),"",ROUND(MOD(G3042-F3042,1)*24,2))</f>
        <v/>
      </c>
      <c r="K3042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43" hidden="1" outlineLevel="1" ht="20" customHeight="1">
      <c r="D3043" s="179" t="n"/>
      <c r="E3043" s="179" t="n"/>
      <c r="F3043" s="180" t="n"/>
      <c r="G3043" s="180" t="n"/>
      <c r="H3043" s="181">
        <f>IF(OR(F3043="",G3043=""),"",ROUND(MOD(G3043-F3043,1)*24,2))</f>
        <v/>
      </c>
      <c r="K3043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44" hidden="1" outlineLevel="1" ht="20" customHeight="1">
      <c r="D3044" s="179" t="n"/>
      <c r="E3044" s="179" t="n"/>
      <c r="F3044" s="180" t="n"/>
      <c r="G3044" s="180" t="n"/>
      <c r="H3044" s="181">
        <f>IF(OR(F3044="",G3044=""),"",ROUND(MOD(G3044-F3044,1)*24,2))</f>
        <v/>
      </c>
      <c r="K3044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45" hidden="1" outlineLevel="1" ht="20" customHeight="1">
      <c r="A3045" s="342" t="n"/>
      <c r="B3045" s="342" t="n"/>
      <c r="C3045" s="342" t="n"/>
      <c r="D3045" s="332" t="n"/>
      <c r="E3045" s="332" t="n"/>
      <c r="F3045" s="333" t="n"/>
      <c r="G3045" s="333" t="n"/>
      <c r="H3045" s="334">
        <f>IF(OR(F3045="",G3045=""),"",ROUND(MOD(G3045-F3045,1)*24,2))</f>
        <v/>
      </c>
      <c r="I3045" s="342" t="n"/>
      <c r="J3045" s="342" t="n"/>
      <c r="K3045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46" ht="20" customHeight="1">
      <c r="A3046" s="336">
        <f>IF($K3046="","",WEEKNUM($K3046,21))</f>
        <v/>
      </c>
      <c r="B3046" s="337">
        <f>IF($K3046="","",$K3046)</f>
        <v/>
      </c>
      <c r="C3046" s="338">
        <f>IF($K3046="","",$K3046)</f>
        <v/>
      </c>
      <c r="D3046" s="171" t="n"/>
      <c r="E3046" s="171" t="n"/>
      <c r="F3046" s="172" t="n"/>
      <c r="G3046" s="172" t="n"/>
      <c r="H3046" s="173">
        <f>IF(OR(F3046="",G3046=""),"",ROUND(MOD(G3046-F3046,1)*24,2))</f>
        <v/>
      </c>
      <c r="I3046" s="339" t="n"/>
      <c r="J3046" s="339" t="n"/>
      <c r="K3046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47" ht="20" customHeight="1">
      <c r="D3047" s="179" t="n"/>
      <c r="E3047" s="179" t="n"/>
      <c r="F3047" s="180" t="n"/>
      <c r="G3047" s="180" t="n"/>
      <c r="H3047" s="181">
        <f>IF(OR(F3047="",G3047=""),"",ROUND(MOD(G3047-F3047,1)*24,2))</f>
        <v/>
      </c>
      <c r="K3047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48" ht="20" customHeight="1">
      <c r="D3048" s="179" t="n"/>
      <c r="E3048" s="179" t="n"/>
      <c r="F3048" s="180" t="n"/>
      <c r="G3048" s="180" t="n"/>
      <c r="H3048" s="181">
        <f>IF(OR(F3048="",G3048=""),"",ROUND(MOD(G3048-F3048,1)*24,2))</f>
        <v/>
      </c>
      <c r="K3048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49" ht="20" customHeight="1">
      <c r="D3049" s="179" t="n"/>
      <c r="E3049" s="179" t="n"/>
      <c r="F3049" s="180" t="n"/>
      <c r="G3049" s="180" t="n"/>
      <c r="H3049" s="181">
        <f>IF(OR(F3049="",G3049=""),"",ROUND(MOD(G3049-F3049,1)*24,2))</f>
        <v/>
      </c>
      <c r="K3049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50" collapsed="1" ht="20" customHeight="1">
      <c r="D3050" s="179" t="n"/>
      <c r="E3050" s="179" t="n"/>
      <c r="F3050" s="180" t="n"/>
      <c r="G3050" s="180" t="n"/>
      <c r="H3050" s="181">
        <f>IF(OR(F3050="",G3050=""),"",ROUND(MOD(G3050-F3050,1)*24,2))</f>
        <v/>
      </c>
      <c r="K3050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51" hidden="1" outlineLevel="1" ht="20" customHeight="1">
      <c r="D3051" s="179" t="n"/>
      <c r="E3051" s="179" t="n"/>
      <c r="F3051" s="180" t="n"/>
      <c r="G3051" s="180" t="n"/>
      <c r="H3051" s="181">
        <f>IF(OR(F3051="",G3051=""),"",ROUND(MOD(G3051-F3051,1)*24,2))</f>
        <v/>
      </c>
      <c r="K3051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52" hidden="1" outlineLevel="1" ht="20" customHeight="1">
      <c r="D3052" s="179" t="n"/>
      <c r="E3052" s="179" t="n"/>
      <c r="F3052" s="180" t="n"/>
      <c r="G3052" s="180" t="n"/>
      <c r="H3052" s="181">
        <f>IF(OR(F3052="",G3052=""),"",ROUND(MOD(G3052-F3052,1)*24,2))</f>
        <v/>
      </c>
      <c r="K3052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53" hidden="1" outlineLevel="1" ht="20" customHeight="1">
      <c r="D3053" s="179" t="n"/>
      <c r="E3053" s="179" t="n"/>
      <c r="F3053" s="180" t="n"/>
      <c r="G3053" s="180" t="n"/>
      <c r="H3053" s="181">
        <f>IF(OR(F3053="",G3053=""),"",ROUND(MOD(G3053-F3053,1)*24,2))</f>
        <v/>
      </c>
      <c r="K3053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54" hidden="1" outlineLevel="1" ht="20" customHeight="1">
      <c r="D3054" s="179" t="n"/>
      <c r="E3054" s="179" t="n"/>
      <c r="F3054" s="180" t="n"/>
      <c r="G3054" s="180" t="n"/>
      <c r="H3054" s="181">
        <f>IF(OR(F3054="",G3054=""),"",ROUND(MOD(G3054-F3054,1)*24,2))</f>
        <v/>
      </c>
      <c r="K3054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55" hidden="1" outlineLevel="1" ht="20" customHeight="1">
      <c r="A3055" s="342" t="n"/>
      <c r="B3055" s="342" t="n"/>
      <c r="C3055" s="342" t="n"/>
      <c r="D3055" s="332" t="n"/>
      <c r="E3055" s="332" t="n"/>
      <c r="F3055" s="333" t="n"/>
      <c r="G3055" s="333" t="n"/>
      <c r="H3055" s="334">
        <f>IF(OR(F3055="",G3055=""),"",ROUND(MOD(G3055-F3055,1)*24,2))</f>
        <v/>
      </c>
      <c r="I3055" s="342" t="n"/>
      <c r="J3055" s="342" t="n"/>
      <c r="K3055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56" ht="20" customHeight="1">
      <c r="A3056" s="336">
        <f>IF($K3056="","",WEEKNUM($K3056,21))</f>
        <v/>
      </c>
      <c r="B3056" s="337">
        <f>IF($K3056="","",$K3056)</f>
        <v/>
      </c>
      <c r="C3056" s="338">
        <f>IF($K3056="","",$K3056)</f>
        <v/>
      </c>
      <c r="D3056" s="171" t="n"/>
      <c r="E3056" s="171" t="n"/>
      <c r="F3056" s="172" t="n"/>
      <c r="G3056" s="172" t="n"/>
      <c r="H3056" s="173">
        <f>IF(OR(F3056="",G3056=""),"",ROUND(MOD(G3056-F3056,1)*24,2))</f>
        <v/>
      </c>
      <c r="I3056" s="339" t="n"/>
      <c r="J3056" s="339" t="n"/>
      <c r="K3056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57" ht="20" customHeight="1">
      <c r="D3057" s="179" t="n"/>
      <c r="E3057" s="179" t="n"/>
      <c r="F3057" s="180" t="n"/>
      <c r="G3057" s="180" t="n"/>
      <c r="H3057" s="181">
        <f>IF(OR(F3057="",G3057=""),"",ROUND(MOD(G3057-F3057,1)*24,2))</f>
        <v/>
      </c>
      <c r="K3057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58" ht="20" customHeight="1">
      <c r="D3058" s="179" t="n"/>
      <c r="E3058" s="179" t="n"/>
      <c r="F3058" s="180" t="n"/>
      <c r="G3058" s="180" t="n"/>
      <c r="H3058" s="181">
        <f>IF(OR(F3058="",G3058=""),"",ROUND(MOD(G3058-F3058,1)*24,2))</f>
        <v/>
      </c>
      <c r="K3058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59" ht="20" customHeight="1">
      <c r="D3059" s="179" t="n"/>
      <c r="E3059" s="179" t="n"/>
      <c r="F3059" s="180" t="n"/>
      <c r="G3059" s="180" t="n"/>
      <c r="H3059" s="181">
        <f>IF(OR(F3059="",G3059=""),"",ROUND(MOD(G3059-F3059,1)*24,2))</f>
        <v/>
      </c>
      <c r="K3059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60" collapsed="1" ht="20" customHeight="1">
      <c r="D3060" s="179" t="n"/>
      <c r="E3060" s="179" t="n"/>
      <c r="F3060" s="180" t="n"/>
      <c r="G3060" s="180" t="n"/>
      <c r="H3060" s="181">
        <f>IF(OR(F3060="",G3060=""),"",ROUND(MOD(G3060-F3060,1)*24,2))</f>
        <v/>
      </c>
      <c r="K3060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61" hidden="1" outlineLevel="1" ht="20" customHeight="1">
      <c r="D3061" s="179" t="n"/>
      <c r="E3061" s="179" t="n"/>
      <c r="F3061" s="180" t="n"/>
      <c r="G3061" s="180" t="n"/>
      <c r="H3061" s="181">
        <f>IF(OR(F3061="",G3061=""),"",ROUND(MOD(G3061-F3061,1)*24,2))</f>
        <v/>
      </c>
      <c r="K3061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62" hidden="1" outlineLevel="1" ht="20" customHeight="1">
      <c r="D3062" s="179" t="n"/>
      <c r="E3062" s="179" t="n"/>
      <c r="F3062" s="180" t="n"/>
      <c r="G3062" s="180" t="n"/>
      <c r="H3062" s="181">
        <f>IF(OR(F3062="",G3062=""),"",ROUND(MOD(G3062-F3062,1)*24,2))</f>
        <v/>
      </c>
      <c r="K3062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63" hidden="1" outlineLevel="1" ht="20" customHeight="1">
      <c r="D3063" s="179" t="n"/>
      <c r="E3063" s="179" t="n"/>
      <c r="F3063" s="180" t="n"/>
      <c r="G3063" s="180" t="n"/>
      <c r="H3063" s="181">
        <f>IF(OR(F3063="",G3063=""),"",ROUND(MOD(G3063-F3063,1)*24,2))</f>
        <v/>
      </c>
      <c r="K3063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64" hidden="1" outlineLevel="1" ht="20" customHeight="1">
      <c r="D3064" s="179" t="n"/>
      <c r="E3064" s="179" t="n"/>
      <c r="F3064" s="180" t="n"/>
      <c r="G3064" s="180" t="n"/>
      <c r="H3064" s="181">
        <f>IF(OR(F3064="",G3064=""),"",ROUND(MOD(G3064-F3064,1)*24,2))</f>
        <v/>
      </c>
      <c r="K3064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65" hidden="1" outlineLevel="1" ht="20" customHeight="1">
      <c r="A3065" s="342" t="n"/>
      <c r="B3065" s="342" t="n"/>
      <c r="C3065" s="342" t="n"/>
      <c r="D3065" s="332" t="n"/>
      <c r="E3065" s="332" t="n"/>
      <c r="F3065" s="333" t="n"/>
      <c r="G3065" s="333" t="n"/>
      <c r="H3065" s="334">
        <f>IF(OR(F3065="",G3065=""),"",ROUND(MOD(G3065-F3065,1)*24,2))</f>
        <v/>
      </c>
      <c r="I3065" s="342" t="n"/>
      <c r="J3065" s="342" t="n"/>
      <c r="K3065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66" ht="20" customHeight="1">
      <c r="A3066" s="336">
        <f>IF($K3066="","",WEEKNUM($K3066,21))</f>
        <v/>
      </c>
      <c r="B3066" s="337">
        <f>IF($K3066="","",$K3066)</f>
        <v/>
      </c>
      <c r="C3066" s="338">
        <f>IF($K3066="","",$K3066)</f>
        <v/>
      </c>
      <c r="D3066" s="171" t="n"/>
      <c r="E3066" s="171" t="n"/>
      <c r="F3066" s="172" t="n"/>
      <c r="G3066" s="172" t="n"/>
      <c r="H3066" s="173">
        <f>IF(OR(F3066="",G3066=""),"",ROUND(MOD(G3066-F3066,1)*24,2))</f>
        <v/>
      </c>
      <c r="I3066" s="339" t="n"/>
      <c r="J3066" s="339" t="n"/>
      <c r="K3066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67" ht="20" customHeight="1">
      <c r="D3067" s="179" t="n"/>
      <c r="E3067" s="179" t="n"/>
      <c r="F3067" s="180" t="n"/>
      <c r="G3067" s="180" t="n"/>
      <c r="H3067" s="181">
        <f>IF(OR(F3067="",G3067=""),"",ROUND(MOD(G3067-F3067,1)*24,2))</f>
        <v/>
      </c>
      <c r="K3067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68" ht="20" customHeight="1">
      <c r="D3068" s="179" t="n"/>
      <c r="E3068" s="179" t="n"/>
      <c r="F3068" s="180" t="n"/>
      <c r="G3068" s="180" t="n"/>
      <c r="H3068" s="181">
        <f>IF(OR(F3068="",G3068=""),"",ROUND(MOD(G3068-F3068,1)*24,2))</f>
        <v/>
      </c>
      <c r="K3068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69" ht="20" customHeight="1">
      <c r="D3069" s="179" t="n"/>
      <c r="E3069" s="179" t="n"/>
      <c r="F3069" s="180" t="n"/>
      <c r="G3069" s="180" t="n"/>
      <c r="H3069" s="181">
        <f>IF(OR(F3069="",G3069=""),"",ROUND(MOD(G3069-F3069,1)*24,2))</f>
        <v/>
      </c>
      <c r="K3069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70" collapsed="1" ht="20" customHeight="1">
      <c r="D3070" s="179" t="n"/>
      <c r="E3070" s="179" t="n"/>
      <c r="F3070" s="180" t="n"/>
      <c r="G3070" s="180" t="n"/>
      <c r="H3070" s="181">
        <f>IF(OR(F3070="",G3070=""),"",ROUND(MOD(G3070-F3070,1)*24,2))</f>
        <v/>
      </c>
      <c r="K3070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71" hidden="1" outlineLevel="1" ht="20" customHeight="1">
      <c r="D3071" s="179" t="n"/>
      <c r="E3071" s="179" t="n"/>
      <c r="F3071" s="180" t="n"/>
      <c r="G3071" s="180" t="n"/>
      <c r="H3071" s="181">
        <f>IF(OR(F3071="",G3071=""),"",ROUND(MOD(G3071-F3071,1)*24,2))</f>
        <v/>
      </c>
      <c r="K3071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72" hidden="1" outlineLevel="1" ht="20" customHeight="1">
      <c r="D3072" s="179" t="n"/>
      <c r="E3072" s="179" t="n"/>
      <c r="F3072" s="180" t="n"/>
      <c r="G3072" s="180" t="n"/>
      <c r="H3072" s="181">
        <f>IF(OR(F3072="",G3072=""),"",ROUND(MOD(G3072-F3072,1)*24,2))</f>
        <v/>
      </c>
      <c r="K3072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73" hidden="1" outlineLevel="1" ht="20" customHeight="1">
      <c r="D3073" s="179" t="n"/>
      <c r="E3073" s="179" t="n"/>
      <c r="F3073" s="180" t="n"/>
      <c r="G3073" s="180" t="n"/>
      <c r="H3073" s="181">
        <f>IF(OR(F3073="",G3073=""),"",ROUND(MOD(G3073-F3073,1)*24,2))</f>
        <v/>
      </c>
      <c r="K3073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74" hidden="1" outlineLevel="1" ht="20" customHeight="1">
      <c r="D3074" s="179" t="n"/>
      <c r="E3074" s="179" t="n"/>
      <c r="F3074" s="180" t="n"/>
      <c r="G3074" s="180" t="n"/>
      <c r="H3074" s="181">
        <f>IF(OR(F3074="",G3074=""),"",ROUND(MOD(G3074-F3074,1)*24,2))</f>
        <v/>
      </c>
      <c r="K3074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75" hidden="1" outlineLevel="1" ht="20" customHeight="1">
      <c r="A3075" s="342" t="n"/>
      <c r="B3075" s="342" t="n"/>
      <c r="C3075" s="342" t="n"/>
      <c r="D3075" s="332" t="n"/>
      <c r="E3075" s="332" t="n"/>
      <c r="F3075" s="333" t="n"/>
      <c r="G3075" s="333" t="n"/>
      <c r="H3075" s="334">
        <f>IF(OR(F3075="",G3075=""),"",ROUND(MOD(G3075-F3075,1)*24,2))</f>
        <v/>
      </c>
      <c r="I3075" s="342" t="n"/>
      <c r="J3075" s="342" t="n"/>
      <c r="K3075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76" ht="20" customHeight="1">
      <c r="A3076" s="336">
        <f>IF($K3076="","",WEEKNUM($K3076,21))</f>
        <v/>
      </c>
      <c r="B3076" s="337">
        <f>IF($K3076="","",$K3076)</f>
        <v/>
      </c>
      <c r="C3076" s="338">
        <f>IF($K3076="","",$K3076)</f>
        <v/>
      </c>
      <c r="D3076" s="171" t="n"/>
      <c r="E3076" s="171" t="n"/>
      <c r="F3076" s="172" t="n"/>
      <c r="G3076" s="172" t="n"/>
      <c r="H3076" s="173">
        <f>IF(OR(F3076="",G3076=""),"",ROUND(MOD(G3076-F3076,1)*24,2))</f>
        <v/>
      </c>
      <c r="I3076" s="339" t="n"/>
      <c r="J3076" s="339" t="n"/>
      <c r="K3076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77" ht="20" customHeight="1">
      <c r="D3077" s="179" t="n"/>
      <c r="E3077" s="179" t="n"/>
      <c r="F3077" s="180" t="n"/>
      <c r="G3077" s="180" t="n"/>
      <c r="H3077" s="181">
        <f>IF(OR(F3077="",G3077=""),"",ROUND(MOD(G3077-F3077,1)*24,2))</f>
        <v/>
      </c>
      <c r="K3077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78" ht="20" customHeight="1">
      <c r="D3078" s="179" t="n"/>
      <c r="E3078" s="179" t="n"/>
      <c r="F3078" s="180" t="n"/>
      <c r="G3078" s="180" t="n"/>
      <c r="H3078" s="181">
        <f>IF(OR(F3078="",G3078=""),"",ROUND(MOD(G3078-F3078,1)*24,2))</f>
        <v/>
      </c>
      <c r="K3078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79" ht="20" customHeight="1">
      <c r="D3079" s="179" t="n"/>
      <c r="E3079" s="179" t="n"/>
      <c r="F3079" s="180" t="n"/>
      <c r="G3079" s="180" t="n"/>
      <c r="H3079" s="181">
        <f>IF(OR(F3079="",G3079=""),"",ROUND(MOD(G3079-F3079,1)*24,2))</f>
        <v/>
      </c>
      <c r="K3079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80" collapsed="1" ht="20" customHeight="1">
      <c r="D3080" s="179" t="n"/>
      <c r="E3080" s="179" t="n"/>
      <c r="F3080" s="180" t="n"/>
      <c r="G3080" s="180" t="n"/>
      <c r="H3080" s="181">
        <f>IF(OR(F3080="",G3080=""),"",ROUND(MOD(G3080-F3080,1)*24,2))</f>
        <v/>
      </c>
      <c r="K3080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81" hidden="1" outlineLevel="1" ht="20" customHeight="1">
      <c r="D3081" s="179" t="n"/>
      <c r="E3081" s="179" t="n"/>
      <c r="F3081" s="180" t="n"/>
      <c r="G3081" s="180" t="n"/>
      <c r="H3081" s="181">
        <f>IF(OR(F3081="",G3081=""),"",ROUND(MOD(G3081-F3081,1)*24,2))</f>
        <v/>
      </c>
      <c r="K3081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82" hidden="1" outlineLevel="1" ht="20" customHeight="1">
      <c r="D3082" s="179" t="n"/>
      <c r="E3082" s="179" t="n"/>
      <c r="F3082" s="180" t="n"/>
      <c r="G3082" s="180" t="n"/>
      <c r="H3082" s="181">
        <f>IF(OR(F3082="",G3082=""),"",ROUND(MOD(G3082-F3082,1)*24,2))</f>
        <v/>
      </c>
      <c r="K3082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83" hidden="1" outlineLevel="1" ht="20" customHeight="1">
      <c r="D3083" s="179" t="n"/>
      <c r="E3083" s="179" t="n"/>
      <c r="F3083" s="180" t="n"/>
      <c r="G3083" s="180" t="n"/>
      <c r="H3083" s="181">
        <f>IF(OR(F3083="",G3083=""),"",ROUND(MOD(G3083-F3083,1)*24,2))</f>
        <v/>
      </c>
      <c r="K3083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84" hidden="1" outlineLevel="1" ht="20" customHeight="1">
      <c r="D3084" s="179" t="n"/>
      <c r="E3084" s="179" t="n"/>
      <c r="F3084" s="180" t="n"/>
      <c r="G3084" s="180" t="n"/>
      <c r="H3084" s="181">
        <f>IF(OR(F3084="",G3084=""),"",ROUND(MOD(G3084-F3084,1)*24,2))</f>
        <v/>
      </c>
      <c r="K3084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85" hidden="1" outlineLevel="1" ht="20" customHeight="1">
      <c r="A3085" s="342" t="n"/>
      <c r="B3085" s="342" t="n"/>
      <c r="C3085" s="342" t="n"/>
      <c r="D3085" s="332" t="n"/>
      <c r="E3085" s="332" t="n"/>
      <c r="F3085" s="333" t="n"/>
      <c r="G3085" s="333" t="n"/>
      <c r="H3085" s="334">
        <f>IF(OR(F3085="",G3085=""),"",ROUND(MOD(G3085-F3085,1)*24,2))</f>
        <v/>
      </c>
      <c r="I3085" s="342" t="n"/>
      <c r="J3085" s="342" t="n"/>
      <c r="K3085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086" ht="20" customHeight="1">
      <c r="A3086" s="336">
        <f>IF($K3086="","",WEEKNUM($K3086,21))</f>
        <v/>
      </c>
      <c r="B3086" s="337">
        <f>IF($K3086="","",$K3086)</f>
        <v/>
      </c>
      <c r="C3086" s="338">
        <f>IF($K3086="","",$K3086)</f>
        <v/>
      </c>
      <c r="D3086" s="171" t="n"/>
      <c r="E3086" s="171" t="n"/>
      <c r="F3086" s="172" t="n"/>
      <c r="G3086" s="172" t="n"/>
      <c r="H3086" s="173">
        <f>IF(OR(F3086="",G3086=""),"",ROUND(MOD(G3086-F3086,1)*24,2))</f>
        <v/>
      </c>
      <c r="I3086" s="339" t="n"/>
      <c r="J3086" s="339" t="n"/>
      <c r="K3086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87" ht="20" customHeight="1">
      <c r="D3087" s="179" t="n"/>
      <c r="E3087" s="179" t="n"/>
      <c r="F3087" s="180" t="n"/>
      <c r="G3087" s="180" t="n"/>
      <c r="H3087" s="181">
        <f>IF(OR(F3087="",G3087=""),"",ROUND(MOD(G3087-F3087,1)*24,2))</f>
        <v/>
      </c>
      <c r="K3087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88" ht="20" customHeight="1">
      <c r="D3088" s="179" t="n"/>
      <c r="E3088" s="179" t="n"/>
      <c r="F3088" s="180" t="n"/>
      <c r="G3088" s="180" t="n"/>
      <c r="H3088" s="181">
        <f>IF(OR(F3088="",G3088=""),"",ROUND(MOD(G3088-F3088,1)*24,2))</f>
        <v/>
      </c>
      <c r="K3088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89" ht="20" customHeight="1">
      <c r="D3089" s="179" t="n"/>
      <c r="E3089" s="179" t="n"/>
      <c r="F3089" s="180" t="n"/>
      <c r="G3089" s="180" t="n"/>
      <c r="H3089" s="181">
        <f>IF(OR(F3089="",G3089=""),"",ROUND(MOD(G3089-F3089,1)*24,2))</f>
        <v/>
      </c>
      <c r="K3089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90" collapsed="1" ht="20" customHeight="1">
      <c r="D3090" s="179" t="n"/>
      <c r="E3090" s="179" t="n"/>
      <c r="F3090" s="180" t="n"/>
      <c r="G3090" s="180" t="n"/>
      <c r="H3090" s="181">
        <f>IF(OR(F3090="",G3090=""),"",ROUND(MOD(G3090-F3090,1)*24,2))</f>
        <v/>
      </c>
      <c r="K3090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91" hidden="1" outlineLevel="1" ht="20" customHeight="1">
      <c r="D3091" s="179" t="n"/>
      <c r="E3091" s="179" t="n"/>
      <c r="F3091" s="180" t="n"/>
      <c r="G3091" s="180" t="n"/>
      <c r="H3091" s="181">
        <f>IF(OR(F3091="",G3091=""),"",ROUND(MOD(G3091-F3091,1)*24,2))</f>
        <v/>
      </c>
      <c r="K3091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92" hidden="1" outlineLevel="1" ht="20" customHeight="1">
      <c r="D3092" s="179" t="n"/>
      <c r="E3092" s="179" t="n"/>
      <c r="F3092" s="180" t="n"/>
      <c r="G3092" s="180" t="n"/>
      <c r="H3092" s="181">
        <f>IF(OR(F3092="",G3092=""),"",ROUND(MOD(G3092-F3092,1)*24,2))</f>
        <v/>
      </c>
      <c r="K3092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93" hidden="1" outlineLevel="1" ht="20" customHeight="1">
      <c r="D3093" s="179" t="n"/>
      <c r="E3093" s="179" t="n"/>
      <c r="F3093" s="180" t="n"/>
      <c r="G3093" s="180" t="n"/>
      <c r="H3093" s="181">
        <f>IF(OR(F3093="",G3093=""),"",ROUND(MOD(G3093-F3093,1)*24,2))</f>
        <v/>
      </c>
      <c r="K3093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94" hidden="1" outlineLevel="1" ht="20" customHeight="1">
      <c r="D3094" s="179" t="n"/>
      <c r="E3094" s="179" t="n"/>
      <c r="F3094" s="180" t="n"/>
      <c r="G3094" s="180" t="n"/>
      <c r="H3094" s="181">
        <f>IF(OR(F3094="",G3094=""),"",ROUND(MOD(G3094-F3094,1)*24,2))</f>
        <v/>
      </c>
      <c r="K3094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95" hidden="1" outlineLevel="1" ht="20" customHeight="1">
      <c r="A3095" s="342" t="n"/>
      <c r="B3095" s="342" t="n"/>
      <c r="C3095" s="342" t="n"/>
      <c r="D3095" s="332" t="n"/>
      <c r="E3095" s="332" t="n"/>
      <c r="F3095" s="333" t="n"/>
      <c r="G3095" s="333" t="n"/>
      <c r="H3095" s="334">
        <f>IF(OR(F3095="",G3095=""),"",ROUND(MOD(G3095-F3095,1)*24,2))</f>
        <v/>
      </c>
      <c r="I3095" s="342" t="n"/>
      <c r="J3095" s="342" t="n"/>
      <c r="K3095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096" ht="20" customHeight="1">
      <c r="A3096" s="336">
        <f>IF($K3096="","",WEEKNUM($K3096,21))</f>
        <v/>
      </c>
      <c r="B3096" s="337">
        <f>IF($K3096="","",$K3096)</f>
        <v/>
      </c>
      <c r="C3096" s="338">
        <f>IF($K3096="","",$K3096)</f>
        <v/>
      </c>
      <c r="D3096" s="171" t="n"/>
      <c r="E3096" s="171" t="n"/>
      <c r="F3096" s="172" t="n"/>
      <c r="G3096" s="172" t="n"/>
      <c r="H3096" s="173">
        <f>IF(OR(F3096="",G3096=""),"",ROUND(MOD(G3096-F3096,1)*24,2))</f>
        <v/>
      </c>
      <c r="I3096" s="339" t="n"/>
      <c r="J3096" s="339" t="n"/>
      <c r="K3096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097" ht="20" customHeight="1">
      <c r="D3097" s="179" t="n"/>
      <c r="E3097" s="179" t="n"/>
      <c r="F3097" s="180" t="n"/>
      <c r="G3097" s="180" t="n"/>
      <c r="H3097" s="181">
        <f>IF(OR(F3097="",G3097=""),"",ROUND(MOD(G3097-F3097,1)*24,2))</f>
        <v/>
      </c>
      <c r="K3097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098" ht="20" customHeight="1">
      <c r="D3098" s="179" t="n"/>
      <c r="E3098" s="179" t="n"/>
      <c r="F3098" s="180" t="n"/>
      <c r="G3098" s="180" t="n"/>
      <c r="H3098" s="181">
        <f>IF(OR(F3098="",G3098=""),"",ROUND(MOD(G3098-F3098,1)*24,2))</f>
        <v/>
      </c>
      <c r="K3098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099" ht="20" customHeight="1">
      <c r="D3099" s="179" t="n"/>
      <c r="E3099" s="179" t="n"/>
      <c r="F3099" s="180" t="n"/>
      <c r="G3099" s="180" t="n"/>
      <c r="H3099" s="181">
        <f>IF(OR(F3099="",G3099=""),"",ROUND(MOD(G3099-F3099,1)*24,2))</f>
        <v/>
      </c>
      <c r="K3099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100" collapsed="1" ht="20" customHeight="1">
      <c r="D3100" s="179" t="n"/>
      <c r="E3100" s="179" t="n"/>
      <c r="F3100" s="180" t="n"/>
      <c r="G3100" s="180" t="n"/>
      <c r="H3100" s="181">
        <f>IF(OR(F3100="",G3100=""),"",ROUND(MOD(G3100-F3100,1)*24,2))</f>
        <v/>
      </c>
      <c r="K3100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101" hidden="1" outlineLevel="1" ht="20" customHeight="1">
      <c r="D3101" s="179" t="n"/>
      <c r="E3101" s="179" t="n"/>
      <c r="F3101" s="180" t="n"/>
      <c r="G3101" s="180" t="n"/>
      <c r="H3101" s="181">
        <f>IF(OR(F3101="",G3101=""),"",ROUND(MOD(G3101-F3101,1)*24,2))</f>
        <v/>
      </c>
      <c r="K3101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102" hidden="1" outlineLevel="1" ht="20" customHeight="1">
      <c r="D3102" s="179" t="n"/>
      <c r="E3102" s="179" t="n"/>
      <c r="F3102" s="180" t="n"/>
      <c r="G3102" s="180" t="n"/>
      <c r="H3102" s="181">
        <f>IF(OR(F3102="",G3102=""),"",ROUND(MOD(G3102-F3102,1)*24,2))</f>
        <v/>
      </c>
      <c r="K3102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103" hidden="1" outlineLevel="1" ht="20" customHeight="1">
      <c r="D3103" s="179" t="n"/>
      <c r="E3103" s="179" t="n"/>
      <c r="F3103" s="180" t="n"/>
      <c r="G3103" s="180" t="n"/>
      <c r="H3103" s="181">
        <f>IF(OR(F3103="",G3103=""),"",ROUND(MOD(G3103-F3103,1)*24,2))</f>
        <v/>
      </c>
      <c r="K3103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104" hidden="1" outlineLevel="1" ht="20" customHeight="1">
      <c r="D3104" s="179" t="n"/>
      <c r="E3104" s="179" t="n"/>
      <c r="F3104" s="180" t="n"/>
      <c r="G3104" s="180" t="n"/>
      <c r="H3104" s="181">
        <f>IF(OR(F3104="",G3104=""),"",ROUND(MOD(G3104-F3104,1)*24,2))</f>
        <v/>
      </c>
      <c r="K3104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105" hidden="1" outlineLevel="1" ht="20" customHeight="1">
      <c r="A3105" s="342" t="n"/>
      <c r="B3105" s="342" t="n"/>
      <c r="C3105" s="342" t="n"/>
      <c r="D3105" s="332" t="n"/>
      <c r="E3105" s="332" t="n"/>
      <c r="F3105" s="333" t="n"/>
      <c r="G3105" s="333" t="n"/>
      <c r="H3105" s="334">
        <f>IF(OR(F3105="",G3105=""),"",ROUND(MOD(G3105-F3105,1)*24,2))</f>
        <v/>
      </c>
      <c r="I3105" s="342" t="n"/>
      <c r="J3105" s="342" t="n"/>
      <c r="K3105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106" ht="20" customHeight="1">
      <c r="A3106" s="336">
        <f>IF($K3106="","",WEEKNUM($K3106,21))</f>
        <v/>
      </c>
      <c r="B3106" s="337">
        <f>IF($K3106="","",$K3106)</f>
        <v/>
      </c>
      <c r="C3106" s="338">
        <f>IF($K3106="","",$K3106)</f>
        <v/>
      </c>
      <c r="D3106" s="171" t="n"/>
      <c r="E3106" s="171" t="n"/>
      <c r="F3106" s="172" t="n"/>
      <c r="G3106" s="172" t="n"/>
      <c r="H3106" s="173">
        <f>IF(OR(F3106="",G3106=""),"",ROUND(MOD(G3106-F3106,1)*24,2))</f>
        <v/>
      </c>
      <c r="I3106" s="339" t="n"/>
      <c r="J3106" s="339" t="n"/>
      <c r="K3106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07" ht="20" customHeight="1">
      <c r="D3107" s="179" t="n"/>
      <c r="E3107" s="179" t="n"/>
      <c r="F3107" s="180" t="n"/>
      <c r="G3107" s="180" t="n"/>
      <c r="H3107" s="181">
        <f>IF(OR(F3107="",G3107=""),"",ROUND(MOD(G3107-F3107,1)*24,2))</f>
        <v/>
      </c>
      <c r="K3107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08" ht="20" customHeight="1">
      <c r="D3108" s="179" t="n"/>
      <c r="E3108" s="179" t="n"/>
      <c r="F3108" s="180" t="n"/>
      <c r="G3108" s="180" t="n"/>
      <c r="H3108" s="181">
        <f>IF(OR(F3108="",G3108=""),"",ROUND(MOD(G3108-F3108,1)*24,2))</f>
        <v/>
      </c>
      <c r="K3108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09" ht="20" customHeight="1">
      <c r="D3109" s="179" t="n"/>
      <c r="E3109" s="179" t="n"/>
      <c r="F3109" s="180" t="n"/>
      <c r="G3109" s="180" t="n"/>
      <c r="H3109" s="181">
        <f>IF(OR(F3109="",G3109=""),"",ROUND(MOD(G3109-F3109,1)*24,2))</f>
        <v/>
      </c>
      <c r="K3109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10" collapsed="1" ht="20" customHeight="1">
      <c r="D3110" s="179" t="n"/>
      <c r="E3110" s="179" t="n"/>
      <c r="F3110" s="180" t="n"/>
      <c r="G3110" s="180" t="n"/>
      <c r="H3110" s="181">
        <f>IF(OR(F3110="",G3110=""),"",ROUND(MOD(G3110-F3110,1)*24,2))</f>
        <v/>
      </c>
      <c r="K3110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11" hidden="1" outlineLevel="1" ht="20" customHeight="1">
      <c r="D3111" s="179" t="n"/>
      <c r="E3111" s="179" t="n"/>
      <c r="F3111" s="180" t="n"/>
      <c r="G3111" s="180" t="n"/>
      <c r="H3111" s="181">
        <f>IF(OR(F3111="",G3111=""),"",ROUND(MOD(G3111-F3111,1)*24,2))</f>
        <v/>
      </c>
      <c r="K3111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12" hidden="1" outlineLevel="1" ht="20" customHeight="1">
      <c r="D3112" s="179" t="n"/>
      <c r="E3112" s="179" t="n"/>
      <c r="F3112" s="180" t="n"/>
      <c r="G3112" s="180" t="n"/>
      <c r="H3112" s="181">
        <f>IF(OR(F3112="",G3112=""),"",ROUND(MOD(G3112-F3112,1)*24,2))</f>
        <v/>
      </c>
      <c r="K3112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13" hidden="1" outlineLevel="1" ht="20" customHeight="1">
      <c r="D3113" s="179" t="n"/>
      <c r="E3113" s="179" t="n"/>
      <c r="F3113" s="180" t="n"/>
      <c r="G3113" s="180" t="n"/>
      <c r="H3113" s="181">
        <f>IF(OR(F3113="",G3113=""),"",ROUND(MOD(G3113-F3113,1)*24,2))</f>
        <v/>
      </c>
      <c r="K3113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14" hidden="1" outlineLevel="1" ht="20" customHeight="1">
      <c r="D3114" s="179" t="n"/>
      <c r="E3114" s="179" t="n"/>
      <c r="F3114" s="180" t="n"/>
      <c r="G3114" s="180" t="n"/>
      <c r="H3114" s="181">
        <f>IF(OR(F3114="",G3114=""),"",ROUND(MOD(G3114-F3114,1)*24,2))</f>
        <v/>
      </c>
      <c r="K3114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15" hidden="1" outlineLevel="1" ht="20" customHeight="1">
      <c r="A3115" s="342" t="n"/>
      <c r="B3115" s="342" t="n"/>
      <c r="C3115" s="342" t="n"/>
      <c r="D3115" s="332" t="n"/>
      <c r="E3115" s="332" t="n"/>
      <c r="F3115" s="333" t="n"/>
      <c r="G3115" s="333" t="n"/>
      <c r="H3115" s="334">
        <f>IF(OR(F3115="",G3115=""),"",ROUND(MOD(G3115-F3115,1)*24,2))</f>
        <v/>
      </c>
      <c r="I3115" s="342" t="n"/>
      <c r="J3115" s="342" t="n"/>
      <c r="K3115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16" ht="20" customHeight="1">
      <c r="A3116" s="336">
        <f>IF($K3116="","",WEEKNUM($K3116,21))</f>
        <v/>
      </c>
      <c r="B3116" s="337">
        <f>IF($K3116="","",$K3116)</f>
        <v/>
      </c>
      <c r="C3116" s="338">
        <f>IF($K3116="","",$K3116)</f>
        <v/>
      </c>
      <c r="D3116" s="171" t="n"/>
      <c r="E3116" s="171" t="n"/>
      <c r="F3116" s="172" t="n"/>
      <c r="G3116" s="172" t="n"/>
      <c r="H3116" s="173">
        <f>IF(OR(F3116="",G3116=""),"",ROUND(MOD(G3116-F3116,1)*24,2))</f>
        <v/>
      </c>
      <c r="I3116" s="339" t="n"/>
      <c r="J3116" s="339" t="n"/>
      <c r="K3116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17" ht="20" customHeight="1">
      <c r="D3117" s="179" t="n"/>
      <c r="E3117" s="179" t="n"/>
      <c r="F3117" s="180" t="n"/>
      <c r="G3117" s="180" t="n"/>
      <c r="H3117" s="181">
        <f>IF(OR(F3117="",G3117=""),"",ROUND(MOD(G3117-F3117,1)*24,2))</f>
        <v/>
      </c>
      <c r="K3117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18" ht="20" customHeight="1">
      <c r="D3118" s="179" t="n"/>
      <c r="E3118" s="179" t="n"/>
      <c r="F3118" s="180" t="n"/>
      <c r="G3118" s="180" t="n"/>
      <c r="H3118" s="181">
        <f>IF(OR(F3118="",G3118=""),"",ROUND(MOD(G3118-F3118,1)*24,2))</f>
        <v/>
      </c>
      <c r="K3118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19" ht="20" customHeight="1">
      <c r="D3119" s="179" t="n"/>
      <c r="E3119" s="179" t="n"/>
      <c r="F3119" s="180" t="n"/>
      <c r="G3119" s="180" t="n"/>
      <c r="H3119" s="181">
        <f>IF(OR(F3119="",G3119=""),"",ROUND(MOD(G3119-F3119,1)*24,2))</f>
        <v/>
      </c>
      <c r="K3119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20" collapsed="1" ht="20" customHeight="1">
      <c r="D3120" s="179" t="n"/>
      <c r="E3120" s="179" t="n"/>
      <c r="F3120" s="180" t="n"/>
      <c r="G3120" s="180" t="n"/>
      <c r="H3120" s="181">
        <f>IF(OR(F3120="",G3120=""),"",ROUND(MOD(G3120-F3120,1)*24,2))</f>
        <v/>
      </c>
      <c r="K3120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21" hidden="1" outlineLevel="1" ht="20" customHeight="1">
      <c r="D3121" s="179" t="n"/>
      <c r="E3121" s="179" t="n"/>
      <c r="F3121" s="180" t="n"/>
      <c r="G3121" s="180" t="n"/>
      <c r="H3121" s="181">
        <f>IF(OR(F3121="",G3121=""),"",ROUND(MOD(G3121-F3121,1)*24,2))</f>
        <v/>
      </c>
      <c r="K3121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22" hidden="1" outlineLevel="1" ht="20" customHeight="1">
      <c r="D3122" s="179" t="n"/>
      <c r="E3122" s="179" t="n"/>
      <c r="F3122" s="180" t="n"/>
      <c r="G3122" s="180" t="n"/>
      <c r="H3122" s="181">
        <f>IF(OR(F3122="",G3122=""),"",ROUND(MOD(G3122-F3122,1)*24,2))</f>
        <v/>
      </c>
      <c r="K3122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23" hidden="1" outlineLevel="1" ht="20" customHeight="1">
      <c r="D3123" s="179" t="n"/>
      <c r="E3123" s="179" t="n"/>
      <c r="F3123" s="180" t="n"/>
      <c r="G3123" s="180" t="n"/>
      <c r="H3123" s="181">
        <f>IF(OR(F3123="",G3123=""),"",ROUND(MOD(G3123-F3123,1)*24,2))</f>
        <v/>
      </c>
      <c r="K3123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24" hidden="1" outlineLevel="1" ht="20" customHeight="1">
      <c r="D3124" s="179" t="n"/>
      <c r="E3124" s="179" t="n"/>
      <c r="F3124" s="180" t="n"/>
      <c r="G3124" s="180" t="n"/>
      <c r="H3124" s="181">
        <f>IF(OR(F3124="",G3124=""),"",ROUND(MOD(G3124-F3124,1)*24,2))</f>
        <v/>
      </c>
      <c r="K3124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25" hidden="1" outlineLevel="1" ht="20" customHeight="1">
      <c r="A3125" s="342" t="n"/>
      <c r="B3125" s="342" t="n"/>
      <c r="C3125" s="342" t="n"/>
      <c r="D3125" s="332" t="n"/>
      <c r="E3125" s="332" t="n"/>
      <c r="F3125" s="333" t="n"/>
      <c r="G3125" s="333" t="n"/>
      <c r="H3125" s="334">
        <f>IF(OR(F3125="",G3125=""),"",ROUND(MOD(G3125-F3125,1)*24,2))</f>
        <v/>
      </c>
      <c r="I3125" s="342" t="n"/>
      <c r="J3125" s="342" t="n"/>
      <c r="K3125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26" ht="20" customHeight="1">
      <c r="A3126" s="336">
        <f>IF($K3126="","",WEEKNUM($K3126,21))</f>
        <v/>
      </c>
      <c r="B3126" s="337">
        <f>IF($K3126="","",$K3126)</f>
        <v/>
      </c>
      <c r="C3126" s="338">
        <f>IF($K3126="","",$K3126)</f>
        <v/>
      </c>
      <c r="D3126" s="171" t="n"/>
      <c r="E3126" s="171" t="n"/>
      <c r="F3126" s="172" t="n"/>
      <c r="G3126" s="172" t="n"/>
      <c r="H3126" s="173">
        <f>IF(OR(F3126="",G3126=""),"",ROUND(MOD(G3126-F3126,1)*24,2))</f>
        <v/>
      </c>
      <c r="I3126" s="339" t="n"/>
      <c r="J3126" s="339" t="n"/>
      <c r="K3126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27" ht="20" customHeight="1">
      <c r="D3127" s="179" t="n"/>
      <c r="E3127" s="179" t="n"/>
      <c r="F3127" s="180" t="n"/>
      <c r="G3127" s="180" t="n"/>
      <c r="H3127" s="181">
        <f>IF(OR(F3127="",G3127=""),"",ROUND(MOD(G3127-F3127,1)*24,2))</f>
        <v/>
      </c>
      <c r="K3127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28" ht="20" customHeight="1">
      <c r="D3128" s="179" t="n"/>
      <c r="E3128" s="179" t="n"/>
      <c r="F3128" s="180" t="n"/>
      <c r="G3128" s="180" t="n"/>
      <c r="H3128" s="181">
        <f>IF(OR(F3128="",G3128=""),"",ROUND(MOD(G3128-F3128,1)*24,2))</f>
        <v/>
      </c>
      <c r="K3128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29" ht="20" customHeight="1">
      <c r="D3129" s="179" t="n"/>
      <c r="E3129" s="179" t="n"/>
      <c r="F3129" s="180" t="n"/>
      <c r="G3129" s="180" t="n"/>
      <c r="H3129" s="181">
        <f>IF(OR(F3129="",G3129=""),"",ROUND(MOD(G3129-F3129,1)*24,2))</f>
        <v/>
      </c>
      <c r="K3129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30" collapsed="1" ht="20" customHeight="1">
      <c r="D3130" s="179" t="n"/>
      <c r="E3130" s="179" t="n"/>
      <c r="F3130" s="180" t="n"/>
      <c r="G3130" s="180" t="n"/>
      <c r="H3130" s="181">
        <f>IF(OR(F3130="",G3130=""),"",ROUND(MOD(G3130-F3130,1)*24,2))</f>
        <v/>
      </c>
      <c r="K3130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31" hidden="1" outlineLevel="1" ht="20" customHeight="1">
      <c r="D3131" s="179" t="n"/>
      <c r="E3131" s="179" t="n"/>
      <c r="F3131" s="180" t="n"/>
      <c r="G3131" s="180" t="n"/>
      <c r="H3131" s="181">
        <f>IF(OR(F3131="",G3131=""),"",ROUND(MOD(G3131-F3131,1)*24,2))</f>
        <v/>
      </c>
      <c r="K3131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32" hidden="1" outlineLevel="1" ht="20" customHeight="1">
      <c r="D3132" s="179" t="n"/>
      <c r="E3132" s="179" t="n"/>
      <c r="F3132" s="180" t="n"/>
      <c r="G3132" s="180" t="n"/>
      <c r="H3132" s="181">
        <f>IF(OR(F3132="",G3132=""),"",ROUND(MOD(G3132-F3132,1)*24,2))</f>
        <v/>
      </c>
      <c r="K3132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33" hidden="1" outlineLevel="1" ht="20" customHeight="1">
      <c r="D3133" s="179" t="n"/>
      <c r="E3133" s="179" t="n"/>
      <c r="F3133" s="180" t="n"/>
      <c r="G3133" s="180" t="n"/>
      <c r="H3133" s="181">
        <f>IF(OR(F3133="",G3133=""),"",ROUND(MOD(G3133-F3133,1)*24,2))</f>
        <v/>
      </c>
      <c r="K3133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34" hidden="1" outlineLevel="1" ht="20" customHeight="1">
      <c r="D3134" s="179" t="n"/>
      <c r="E3134" s="179" t="n"/>
      <c r="F3134" s="180" t="n"/>
      <c r="G3134" s="180" t="n"/>
      <c r="H3134" s="181">
        <f>IF(OR(F3134="",G3134=""),"",ROUND(MOD(G3134-F3134,1)*24,2))</f>
        <v/>
      </c>
      <c r="K3134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35" hidden="1" outlineLevel="1" ht="20" customHeight="1">
      <c r="A3135" s="342" t="n"/>
      <c r="B3135" s="342" t="n"/>
      <c r="C3135" s="342" t="n"/>
      <c r="D3135" s="332" t="n"/>
      <c r="E3135" s="332" t="n"/>
      <c r="F3135" s="333" t="n"/>
      <c r="G3135" s="333" t="n"/>
      <c r="H3135" s="334">
        <f>IF(OR(F3135="",G3135=""),"",ROUND(MOD(G3135-F3135,1)*24,2))</f>
        <v/>
      </c>
      <c r="I3135" s="342" t="n"/>
      <c r="J3135" s="342" t="n"/>
      <c r="K3135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36" ht="20" customHeight="1">
      <c r="A3136" s="336">
        <f>IF($K3136="","",WEEKNUM($K3136,21))</f>
        <v/>
      </c>
      <c r="B3136" s="337">
        <f>IF($K3136="","",$K3136)</f>
        <v/>
      </c>
      <c r="C3136" s="338">
        <f>IF($K3136="","",$K3136)</f>
        <v/>
      </c>
      <c r="D3136" s="171" t="n"/>
      <c r="E3136" s="171" t="n"/>
      <c r="F3136" s="172" t="n"/>
      <c r="G3136" s="172" t="n"/>
      <c r="H3136" s="173">
        <f>IF(OR(F3136="",G3136=""),"",ROUND(MOD(G3136-F3136,1)*24,2))</f>
        <v/>
      </c>
      <c r="I3136" s="339" t="n"/>
      <c r="J3136" s="339" t="n"/>
      <c r="K3136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37" ht="20" customHeight="1">
      <c r="D3137" s="179" t="n"/>
      <c r="E3137" s="179" t="n"/>
      <c r="F3137" s="180" t="n"/>
      <c r="G3137" s="180" t="n"/>
      <c r="H3137" s="181">
        <f>IF(OR(F3137="",G3137=""),"",ROUND(MOD(G3137-F3137,1)*24,2))</f>
        <v/>
      </c>
      <c r="K3137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38" ht="20" customHeight="1">
      <c r="D3138" s="179" t="n"/>
      <c r="E3138" s="179" t="n"/>
      <c r="F3138" s="180" t="n"/>
      <c r="G3138" s="180" t="n"/>
      <c r="H3138" s="181">
        <f>IF(OR(F3138="",G3138=""),"",ROUND(MOD(G3138-F3138,1)*24,2))</f>
        <v/>
      </c>
      <c r="K3138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39" ht="20" customHeight="1">
      <c r="D3139" s="179" t="n"/>
      <c r="E3139" s="179" t="n"/>
      <c r="F3139" s="180" t="n"/>
      <c r="G3139" s="180" t="n"/>
      <c r="H3139" s="181">
        <f>IF(OR(F3139="",G3139=""),"",ROUND(MOD(G3139-F3139,1)*24,2))</f>
        <v/>
      </c>
      <c r="K3139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40" collapsed="1" ht="20" customHeight="1">
      <c r="D3140" s="179" t="n"/>
      <c r="E3140" s="179" t="n"/>
      <c r="F3140" s="180" t="n"/>
      <c r="G3140" s="180" t="n"/>
      <c r="H3140" s="181">
        <f>IF(OR(F3140="",G3140=""),"",ROUND(MOD(G3140-F3140,1)*24,2))</f>
        <v/>
      </c>
      <c r="K3140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41" hidden="1" outlineLevel="1" ht="20" customHeight="1">
      <c r="D3141" s="179" t="n"/>
      <c r="E3141" s="179" t="n"/>
      <c r="F3141" s="180" t="n"/>
      <c r="G3141" s="180" t="n"/>
      <c r="H3141" s="181">
        <f>IF(OR(F3141="",G3141=""),"",ROUND(MOD(G3141-F3141,1)*24,2))</f>
        <v/>
      </c>
      <c r="K3141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42" hidden="1" outlineLevel="1" ht="20" customHeight="1">
      <c r="D3142" s="179" t="n"/>
      <c r="E3142" s="179" t="n"/>
      <c r="F3142" s="180" t="n"/>
      <c r="G3142" s="180" t="n"/>
      <c r="H3142" s="181">
        <f>IF(OR(F3142="",G3142=""),"",ROUND(MOD(G3142-F3142,1)*24,2))</f>
        <v/>
      </c>
      <c r="K3142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43" hidden="1" outlineLevel="1" ht="20" customHeight="1">
      <c r="D3143" s="179" t="n"/>
      <c r="E3143" s="179" t="n"/>
      <c r="F3143" s="180" t="n"/>
      <c r="G3143" s="180" t="n"/>
      <c r="H3143" s="181">
        <f>IF(OR(F3143="",G3143=""),"",ROUND(MOD(G3143-F3143,1)*24,2))</f>
        <v/>
      </c>
      <c r="K3143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44" hidden="1" outlineLevel="1" ht="20" customHeight="1">
      <c r="D3144" s="179" t="n"/>
      <c r="E3144" s="179" t="n"/>
      <c r="F3144" s="180" t="n"/>
      <c r="G3144" s="180" t="n"/>
      <c r="H3144" s="181">
        <f>IF(OR(F3144="",G3144=""),"",ROUND(MOD(G3144-F3144,1)*24,2))</f>
        <v/>
      </c>
      <c r="K3144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45" hidden="1" outlineLevel="1" ht="20" customHeight="1">
      <c r="A3145" s="342" t="n"/>
      <c r="B3145" s="342" t="n"/>
      <c r="C3145" s="342" t="n"/>
      <c r="D3145" s="332" t="n"/>
      <c r="E3145" s="332" t="n"/>
      <c r="F3145" s="333" t="n"/>
      <c r="G3145" s="333" t="n"/>
      <c r="H3145" s="334">
        <f>IF(OR(F3145="",G3145=""),"",ROUND(MOD(G3145-F3145,1)*24,2))</f>
        <v/>
      </c>
      <c r="I3145" s="342" t="n"/>
      <c r="J3145" s="342" t="n"/>
      <c r="K3145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46" ht="20" customHeight="1">
      <c r="A3146" s="336">
        <f>IF($K3146="","",WEEKNUM($K3146,21))</f>
        <v/>
      </c>
      <c r="B3146" s="337">
        <f>IF($K3146="","",$K3146)</f>
        <v/>
      </c>
      <c r="C3146" s="338">
        <f>IF($K3146="","",$K3146)</f>
        <v/>
      </c>
      <c r="D3146" s="171" t="n"/>
      <c r="E3146" s="171" t="n"/>
      <c r="F3146" s="172" t="n"/>
      <c r="G3146" s="172" t="n"/>
      <c r="H3146" s="173">
        <f>IF(OR(F3146="",G3146=""),"",ROUND(MOD(G3146-F3146,1)*24,2))</f>
        <v/>
      </c>
      <c r="I3146" s="339" t="n"/>
      <c r="J3146" s="339" t="n"/>
      <c r="K3146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47" ht="20" customHeight="1">
      <c r="D3147" s="179" t="n"/>
      <c r="E3147" s="179" t="n"/>
      <c r="F3147" s="180" t="n"/>
      <c r="G3147" s="180" t="n"/>
      <c r="H3147" s="181">
        <f>IF(OR(F3147="",G3147=""),"",ROUND(MOD(G3147-F3147,1)*24,2))</f>
        <v/>
      </c>
      <c r="K3147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48" ht="20" customHeight="1">
      <c r="D3148" s="179" t="n"/>
      <c r="E3148" s="179" t="n"/>
      <c r="F3148" s="180" t="n"/>
      <c r="G3148" s="180" t="n"/>
      <c r="H3148" s="181">
        <f>IF(OR(F3148="",G3148=""),"",ROUND(MOD(G3148-F3148,1)*24,2))</f>
        <v/>
      </c>
      <c r="K3148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49" ht="20" customHeight="1">
      <c r="D3149" s="179" t="n"/>
      <c r="E3149" s="179" t="n"/>
      <c r="F3149" s="180" t="n"/>
      <c r="G3149" s="180" t="n"/>
      <c r="H3149" s="181">
        <f>IF(OR(F3149="",G3149=""),"",ROUND(MOD(G3149-F3149,1)*24,2))</f>
        <v/>
      </c>
      <c r="K3149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50" collapsed="1" ht="20" customHeight="1">
      <c r="D3150" s="179" t="n"/>
      <c r="E3150" s="179" t="n"/>
      <c r="F3150" s="180" t="n"/>
      <c r="G3150" s="180" t="n"/>
      <c r="H3150" s="181">
        <f>IF(OR(F3150="",G3150=""),"",ROUND(MOD(G3150-F3150,1)*24,2))</f>
        <v/>
      </c>
      <c r="K3150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51" hidden="1" outlineLevel="1" ht="20" customHeight="1">
      <c r="D3151" s="179" t="n"/>
      <c r="E3151" s="179" t="n"/>
      <c r="F3151" s="180" t="n"/>
      <c r="G3151" s="180" t="n"/>
      <c r="H3151" s="181">
        <f>IF(OR(F3151="",G3151=""),"",ROUND(MOD(G3151-F3151,1)*24,2))</f>
        <v/>
      </c>
      <c r="K3151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52" hidden="1" outlineLevel="1" ht="20" customHeight="1">
      <c r="D3152" s="179" t="n"/>
      <c r="E3152" s="179" t="n"/>
      <c r="F3152" s="180" t="n"/>
      <c r="G3152" s="180" t="n"/>
      <c r="H3152" s="181">
        <f>IF(OR(F3152="",G3152=""),"",ROUND(MOD(G3152-F3152,1)*24,2))</f>
        <v/>
      </c>
      <c r="K3152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53" hidden="1" outlineLevel="1" ht="20" customHeight="1">
      <c r="D3153" s="179" t="n"/>
      <c r="E3153" s="179" t="n"/>
      <c r="F3153" s="180" t="n"/>
      <c r="G3153" s="180" t="n"/>
      <c r="H3153" s="181">
        <f>IF(OR(F3153="",G3153=""),"",ROUND(MOD(G3153-F3153,1)*24,2))</f>
        <v/>
      </c>
      <c r="K3153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54" hidden="1" outlineLevel="1" ht="20" customHeight="1">
      <c r="D3154" s="179" t="n"/>
      <c r="E3154" s="179" t="n"/>
      <c r="F3154" s="180" t="n"/>
      <c r="G3154" s="180" t="n"/>
      <c r="H3154" s="181">
        <f>IF(OR(F3154="",G3154=""),"",ROUND(MOD(G3154-F3154,1)*24,2))</f>
        <v/>
      </c>
      <c r="K3154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55" hidden="1" outlineLevel="1" ht="20" customHeight="1">
      <c r="A3155" s="342" t="n"/>
      <c r="B3155" s="342" t="n"/>
      <c r="C3155" s="342" t="n"/>
      <c r="D3155" s="332" t="n"/>
      <c r="E3155" s="332" t="n"/>
      <c r="F3155" s="333" t="n"/>
      <c r="G3155" s="333" t="n"/>
      <c r="H3155" s="334">
        <f>IF(OR(F3155="",G3155=""),"",ROUND(MOD(G3155-F3155,1)*24,2))</f>
        <v/>
      </c>
      <c r="I3155" s="342" t="n"/>
      <c r="J3155" s="342" t="n"/>
      <c r="K3155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56" ht="20" customHeight="1">
      <c r="A3156" s="336">
        <f>IF($K3156="","",WEEKNUM($K3156,21))</f>
        <v/>
      </c>
      <c r="B3156" s="337">
        <f>IF($K3156="","",$K3156)</f>
        <v/>
      </c>
      <c r="C3156" s="338">
        <f>IF($K3156="","",$K3156)</f>
        <v/>
      </c>
      <c r="D3156" s="171" t="n"/>
      <c r="E3156" s="171" t="n"/>
      <c r="F3156" s="172" t="n"/>
      <c r="G3156" s="172" t="n"/>
      <c r="H3156" s="173">
        <f>IF(OR(F3156="",G3156=""),"",ROUND(MOD(G3156-F3156,1)*24,2))</f>
        <v/>
      </c>
      <c r="I3156" s="339" t="n"/>
      <c r="J3156" s="339" t="n"/>
      <c r="K3156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57" ht="20" customHeight="1">
      <c r="D3157" s="179" t="n"/>
      <c r="E3157" s="179" t="n"/>
      <c r="F3157" s="180" t="n"/>
      <c r="G3157" s="180" t="n"/>
      <c r="H3157" s="181">
        <f>IF(OR(F3157="",G3157=""),"",ROUND(MOD(G3157-F3157,1)*24,2))</f>
        <v/>
      </c>
      <c r="K3157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58" ht="20" customHeight="1">
      <c r="D3158" s="179" t="n"/>
      <c r="E3158" s="179" t="n"/>
      <c r="F3158" s="180" t="n"/>
      <c r="G3158" s="180" t="n"/>
      <c r="H3158" s="181">
        <f>IF(OR(F3158="",G3158=""),"",ROUND(MOD(G3158-F3158,1)*24,2))</f>
        <v/>
      </c>
      <c r="K3158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59" ht="20" customHeight="1">
      <c r="D3159" s="179" t="n"/>
      <c r="E3159" s="179" t="n"/>
      <c r="F3159" s="180" t="n"/>
      <c r="G3159" s="180" t="n"/>
      <c r="H3159" s="181">
        <f>IF(OR(F3159="",G3159=""),"",ROUND(MOD(G3159-F3159,1)*24,2))</f>
        <v/>
      </c>
      <c r="K3159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60" collapsed="1" ht="20" customHeight="1">
      <c r="D3160" s="179" t="n"/>
      <c r="E3160" s="179" t="n"/>
      <c r="F3160" s="180" t="n"/>
      <c r="G3160" s="180" t="n"/>
      <c r="H3160" s="181">
        <f>IF(OR(F3160="",G3160=""),"",ROUND(MOD(G3160-F3160,1)*24,2))</f>
        <v/>
      </c>
      <c r="K3160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61" hidden="1" outlineLevel="1" ht="20" customHeight="1">
      <c r="D3161" s="179" t="n"/>
      <c r="E3161" s="179" t="n"/>
      <c r="F3161" s="180" t="n"/>
      <c r="G3161" s="180" t="n"/>
      <c r="H3161" s="181">
        <f>IF(OR(F3161="",G3161=""),"",ROUND(MOD(G3161-F3161,1)*24,2))</f>
        <v/>
      </c>
      <c r="K3161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62" hidden="1" outlineLevel="1" ht="20" customHeight="1">
      <c r="D3162" s="179" t="n"/>
      <c r="E3162" s="179" t="n"/>
      <c r="F3162" s="180" t="n"/>
      <c r="G3162" s="180" t="n"/>
      <c r="H3162" s="181">
        <f>IF(OR(F3162="",G3162=""),"",ROUND(MOD(G3162-F3162,1)*24,2))</f>
        <v/>
      </c>
      <c r="K3162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63" hidden="1" outlineLevel="1" ht="20" customHeight="1">
      <c r="D3163" s="179" t="n"/>
      <c r="E3163" s="179" t="n"/>
      <c r="F3163" s="180" t="n"/>
      <c r="G3163" s="180" t="n"/>
      <c r="H3163" s="181">
        <f>IF(OR(F3163="",G3163=""),"",ROUND(MOD(G3163-F3163,1)*24,2))</f>
        <v/>
      </c>
      <c r="K3163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64" hidden="1" outlineLevel="1" ht="20" customHeight="1">
      <c r="D3164" s="179" t="n"/>
      <c r="E3164" s="179" t="n"/>
      <c r="F3164" s="180" t="n"/>
      <c r="G3164" s="180" t="n"/>
      <c r="H3164" s="181">
        <f>IF(OR(F3164="",G3164=""),"",ROUND(MOD(G3164-F3164,1)*24,2))</f>
        <v/>
      </c>
      <c r="K3164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65" hidden="1" outlineLevel="1" ht="20" customHeight="1">
      <c r="A3165" s="342" t="n"/>
      <c r="B3165" s="342" t="n"/>
      <c r="C3165" s="342" t="n"/>
      <c r="D3165" s="332" t="n"/>
      <c r="E3165" s="332" t="n"/>
      <c r="F3165" s="333" t="n"/>
      <c r="G3165" s="333" t="n"/>
      <c r="H3165" s="334">
        <f>IF(OR(F3165="",G3165=""),"",ROUND(MOD(G3165-F3165,1)*24,2))</f>
        <v/>
      </c>
      <c r="I3165" s="342" t="n"/>
      <c r="J3165" s="342" t="n"/>
      <c r="K3165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66" ht="20" customHeight="1">
      <c r="A3166" s="336">
        <f>IF($K3166="","",WEEKNUM($K3166,21))</f>
        <v/>
      </c>
      <c r="B3166" s="337">
        <f>IF($K3166="","",$K3166)</f>
        <v/>
      </c>
      <c r="C3166" s="338">
        <f>IF($K3166="","",$K3166)</f>
        <v/>
      </c>
      <c r="D3166" s="171" t="n"/>
      <c r="E3166" s="171" t="n"/>
      <c r="F3166" s="172" t="n"/>
      <c r="G3166" s="172" t="n"/>
      <c r="H3166" s="173">
        <f>IF(OR(F3166="",G3166=""),"",ROUND(MOD(G3166-F3166,1)*24,2))</f>
        <v/>
      </c>
      <c r="I3166" s="339" t="n"/>
      <c r="J3166" s="339" t="n"/>
      <c r="K3166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67" ht="20" customHeight="1">
      <c r="D3167" s="179" t="n"/>
      <c r="E3167" s="179" t="n"/>
      <c r="F3167" s="180" t="n"/>
      <c r="G3167" s="180" t="n"/>
      <c r="H3167" s="181">
        <f>IF(OR(F3167="",G3167=""),"",ROUND(MOD(G3167-F3167,1)*24,2))</f>
        <v/>
      </c>
      <c r="K3167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68" ht="20" customHeight="1">
      <c r="D3168" s="179" t="n"/>
      <c r="E3168" s="179" t="n"/>
      <c r="F3168" s="180" t="n"/>
      <c r="G3168" s="180" t="n"/>
      <c r="H3168" s="181">
        <f>IF(OR(F3168="",G3168=""),"",ROUND(MOD(G3168-F3168,1)*24,2))</f>
        <v/>
      </c>
      <c r="K3168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69" ht="20" customHeight="1">
      <c r="D3169" s="179" t="n"/>
      <c r="E3169" s="179" t="n"/>
      <c r="F3169" s="180" t="n"/>
      <c r="G3169" s="180" t="n"/>
      <c r="H3169" s="181">
        <f>IF(OR(F3169="",G3169=""),"",ROUND(MOD(G3169-F3169,1)*24,2))</f>
        <v/>
      </c>
      <c r="K3169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70" collapsed="1" ht="20" customHeight="1">
      <c r="D3170" s="179" t="n"/>
      <c r="E3170" s="179" t="n"/>
      <c r="F3170" s="180" t="n"/>
      <c r="G3170" s="180" t="n"/>
      <c r="H3170" s="181">
        <f>IF(OR(F3170="",G3170=""),"",ROUND(MOD(G3170-F3170,1)*24,2))</f>
        <v/>
      </c>
      <c r="K3170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71" hidden="1" outlineLevel="1" ht="20" customHeight="1">
      <c r="D3171" s="179" t="n"/>
      <c r="E3171" s="179" t="n"/>
      <c r="F3171" s="180" t="n"/>
      <c r="G3171" s="180" t="n"/>
      <c r="H3171" s="181">
        <f>IF(OR(F3171="",G3171=""),"",ROUND(MOD(G3171-F3171,1)*24,2))</f>
        <v/>
      </c>
      <c r="K3171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72" hidden="1" outlineLevel="1" ht="20" customHeight="1">
      <c r="D3172" s="179" t="n"/>
      <c r="E3172" s="179" t="n"/>
      <c r="F3172" s="180" t="n"/>
      <c r="G3172" s="180" t="n"/>
      <c r="H3172" s="181">
        <f>IF(OR(F3172="",G3172=""),"",ROUND(MOD(G3172-F3172,1)*24,2))</f>
        <v/>
      </c>
      <c r="K3172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73" hidden="1" outlineLevel="1" ht="20" customHeight="1">
      <c r="D3173" s="179" t="n"/>
      <c r="E3173" s="179" t="n"/>
      <c r="F3173" s="180" t="n"/>
      <c r="G3173" s="180" t="n"/>
      <c r="H3173" s="181">
        <f>IF(OR(F3173="",G3173=""),"",ROUND(MOD(G3173-F3173,1)*24,2))</f>
        <v/>
      </c>
      <c r="K3173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74" hidden="1" outlineLevel="1" ht="20" customHeight="1">
      <c r="D3174" s="179" t="n"/>
      <c r="E3174" s="179" t="n"/>
      <c r="F3174" s="180" t="n"/>
      <c r="G3174" s="180" t="n"/>
      <c r="H3174" s="181">
        <f>IF(OR(F3174="",G3174=""),"",ROUND(MOD(G3174-F3174,1)*24,2))</f>
        <v/>
      </c>
      <c r="K3174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75" hidden="1" outlineLevel="1" ht="20" customHeight="1">
      <c r="A3175" s="342" t="n"/>
      <c r="B3175" s="342" t="n"/>
      <c r="C3175" s="342" t="n"/>
      <c r="D3175" s="332" t="n"/>
      <c r="E3175" s="332" t="n"/>
      <c r="F3175" s="333" t="n"/>
      <c r="G3175" s="333" t="n"/>
      <c r="H3175" s="334">
        <f>IF(OR(F3175="",G3175=""),"",ROUND(MOD(G3175-F3175,1)*24,2))</f>
        <v/>
      </c>
      <c r="I3175" s="342" t="n"/>
      <c r="J3175" s="342" t="n"/>
      <c r="K3175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76" ht="20" customHeight="1">
      <c r="A3176" s="336">
        <f>IF($K3176="","",WEEKNUM($K3176,21))</f>
        <v/>
      </c>
      <c r="B3176" s="337">
        <f>IF($K3176="","",$K3176)</f>
        <v/>
      </c>
      <c r="C3176" s="338">
        <f>IF($K3176="","",$K3176)</f>
        <v/>
      </c>
      <c r="D3176" s="171" t="n"/>
      <c r="E3176" s="171" t="n"/>
      <c r="F3176" s="172" t="n"/>
      <c r="G3176" s="172" t="n"/>
      <c r="H3176" s="173">
        <f>IF(OR(F3176="",G3176=""),"",ROUND(MOD(G3176-F3176,1)*24,2))</f>
        <v/>
      </c>
      <c r="I3176" s="339" t="n"/>
      <c r="J3176" s="339" t="n"/>
      <c r="K3176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77" ht="20" customHeight="1">
      <c r="D3177" s="179" t="n"/>
      <c r="E3177" s="179" t="n"/>
      <c r="F3177" s="180" t="n"/>
      <c r="G3177" s="180" t="n"/>
      <c r="H3177" s="181">
        <f>IF(OR(F3177="",G3177=""),"",ROUND(MOD(G3177-F3177,1)*24,2))</f>
        <v/>
      </c>
      <c r="K3177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78" ht="20" customHeight="1">
      <c r="D3178" s="179" t="n"/>
      <c r="E3178" s="179" t="n"/>
      <c r="F3178" s="180" t="n"/>
      <c r="G3178" s="180" t="n"/>
      <c r="H3178" s="181">
        <f>IF(OR(F3178="",G3178=""),"",ROUND(MOD(G3178-F3178,1)*24,2))</f>
        <v/>
      </c>
      <c r="K3178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79" ht="20" customHeight="1">
      <c r="D3179" s="179" t="n"/>
      <c r="E3179" s="179" t="n"/>
      <c r="F3179" s="180" t="n"/>
      <c r="G3179" s="180" t="n"/>
      <c r="H3179" s="181">
        <f>IF(OR(F3179="",G3179=""),"",ROUND(MOD(G3179-F3179,1)*24,2))</f>
        <v/>
      </c>
      <c r="K3179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80" collapsed="1" ht="20" customHeight="1">
      <c r="D3180" s="179" t="n"/>
      <c r="E3180" s="179" t="n"/>
      <c r="F3180" s="180" t="n"/>
      <c r="G3180" s="180" t="n"/>
      <c r="H3180" s="181">
        <f>IF(OR(F3180="",G3180=""),"",ROUND(MOD(G3180-F3180,1)*24,2))</f>
        <v/>
      </c>
      <c r="K3180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81" hidden="1" outlineLevel="1" ht="20" customHeight="1">
      <c r="D3181" s="179" t="n"/>
      <c r="E3181" s="179" t="n"/>
      <c r="F3181" s="180" t="n"/>
      <c r="G3181" s="180" t="n"/>
      <c r="H3181" s="181">
        <f>IF(OR(F3181="",G3181=""),"",ROUND(MOD(G3181-F3181,1)*24,2))</f>
        <v/>
      </c>
      <c r="K3181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82" hidden="1" outlineLevel="1" ht="20" customHeight="1">
      <c r="D3182" s="179" t="n"/>
      <c r="E3182" s="179" t="n"/>
      <c r="F3182" s="180" t="n"/>
      <c r="G3182" s="180" t="n"/>
      <c r="H3182" s="181">
        <f>IF(OR(F3182="",G3182=""),"",ROUND(MOD(G3182-F3182,1)*24,2))</f>
        <v/>
      </c>
      <c r="K3182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83" hidden="1" outlineLevel="1" ht="20" customHeight="1">
      <c r="D3183" s="179" t="n"/>
      <c r="E3183" s="179" t="n"/>
      <c r="F3183" s="180" t="n"/>
      <c r="G3183" s="180" t="n"/>
      <c r="H3183" s="181">
        <f>IF(OR(F3183="",G3183=""),"",ROUND(MOD(G3183-F3183,1)*24,2))</f>
        <v/>
      </c>
      <c r="K3183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84" hidden="1" outlineLevel="1" ht="20" customHeight="1">
      <c r="D3184" s="179" t="n"/>
      <c r="E3184" s="179" t="n"/>
      <c r="F3184" s="180" t="n"/>
      <c r="G3184" s="180" t="n"/>
      <c r="H3184" s="181">
        <f>IF(OR(F3184="",G3184=""),"",ROUND(MOD(G3184-F3184,1)*24,2))</f>
        <v/>
      </c>
      <c r="K3184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85" hidden="1" outlineLevel="1" ht="20" customHeight="1">
      <c r="A3185" s="342" t="n"/>
      <c r="B3185" s="342" t="n"/>
      <c r="C3185" s="342" t="n"/>
      <c r="D3185" s="332" t="n"/>
      <c r="E3185" s="332" t="n"/>
      <c r="F3185" s="333" t="n"/>
      <c r="G3185" s="333" t="n"/>
      <c r="H3185" s="334">
        <f>IF(OR(F3185="",G3185=""),"",ROUND(MOD(G3185-F3185,1)*24,2))</f>
        <v/>
      </c>
      <c r="I3185" s="342" t="n"/>
      <c r="J3185" s="342" t="n"/>
      <c r="K3185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186" ht="20" customHeight="1">
      <c r="A3186" s="336">
        <f>IF($K3186="","",WEEKNUM($K3186,21))</f>
        <v/>
      </c>
      <c r="B3186" s="337">
        <f>IF($K3186="","",$K3186)</f>
        <v/>
      </c>
      <c r="C3186" s="338">
        <f>IF($K3186="","",$K3186)</f>
        <v/>
      </c>
      <c r="D3186" s="171" t="n"/>
      <c r="E3186" s="171" t="n"/>
      <c r="F3186" s="172" t="n"/>
      <c r="G3186" s="172" t="n"/>
      <c r="H3186" s="173">
        <f>IF(OR(F3186="",G3186=""),"",ROUND(MOD(G3186-F3186,1)*24,2))</f>
        <v/>
      </c>
      <c r="I3186" s="339" t="n"/>
      <c r="J3186" s="339" t="n"/>
      <c r="K3186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87" ht="20" customHeight="1">
      <c r="D3187" s="179" t="n"/>
      <c r="E3187" s="179" t="n"/>
      <c r="F3187" s="180" t="n"/>
      <c r="G3187" s="180" t="n"/>
      <c r="H3187" s="181">
        <f>IF(OR(F3187="",G3187=""),"",ROUND(MOD(G3187-F3187,1)*24,2))</f>
        <v/>
      </c>
      <c r="K3187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88" ht="20" customHeight="1">
      <c r="D3188" s="179" t="n"/>
      <c r="E3188" s="179" t="n"/>
      <c r="F3188" s="180" t="n"/>
      <c r="G3188" s="180" t="n"/>
      <c r="H3188" s="181">
        <f>IF(OR(F3188="",G3188=""),"",ROUND(MOD(G3188-F3188,1)*24,2))</f>
        <v/>
      </c>
      <c r="K3188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89" ht="20" customHeight="1">
      <c r="D3189" s="179" t="n"/>
      <c r="E3189" s="179" t="n"/>
      <c r="F3189" s="180" t="n"/>
      <c r="G3189" s="180" t="n"/>
      <c r="H3189" s="181">
        <f>IF(OR(F3189="",G3189=""),"",ROUND(MOD(G3189-F3189,1)*24,2))</f>
        <v/>
      </c>
      <c r="K3189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90" collapsed="1" ht="20" customHeight="1">
      <c r="D3190" s="179" t="n"/>
      <c r="E3190" s="179" t="n"/>
      <c r="F3190" s="180" t="n"/>
      <c r="G3190" s="180" t="n"/>
      <c r="H3190" s="181">
        <f>IF(OR(F3190="",G3190=""),"",ROUND(MOD(G3190-F3190,1)*24,2))</f>
        <v/>
      </c>
      <c r="K3190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91" hidden="1" outlineLevel="1" ht="20" customHeight="1">
      <c r="D3191" s="179" t="n"/>
      <c r="E3191" s="179" t="n"/>
      <c r="F3191" s="180" t="n"/>
      <c r="G3191" s="180" t="n"/>
      <c r="H3191" s="181">
        <f>IF(OR(F3191="",G3191=""),"",ROUND(MOD(G3191-F3191,1)*24,2))</f>
        <v/>
      </c>
      <c r="K3191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92" hidden="1" outlineLevel="1" ht="20" customHeight="1">
      <c r="D3192" s="179" t="n"/>
      <c r="E3192" s="179" t="n"/>
      <c r="F3192" s="180" t="n"/>
      <c r="G3192" s="180" t="n"/>
      <c r="H3192" s="181">
        <f>IF(OR(F3192="",G3192=""),"",ROUND(MOD(G3192-F3192,1)*24,2))</f>
        <v/>
      </c>
      <c r="K3192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93" hidden="1" outlineLevel="1" ht="20" customHeight="1">
      <c r="D3193" s="179" t="n"/>
      <c r="E3193" s="179" t="n"/>
      <c r="F3193" s="180" t="n"/>
      <c r="G3193" s="180" t="n"/>
      <c r="H3193" s="181">
        <f>IF(OR(F3193="",G3193=""),"",ROUND(MOD(G3193-F3193,1)*24,2))</f>
        <v/>
      </c>
      <c r="K3193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94" hidden="1" outlineLevel="1" ht="20" customHeight="1">
      <c r="D3194" s="179" t="n"/>
      <c r="E3194" s="179" t="n"/>
      <c r="F3194" s="180" t="n"/>
      <c r="G3194" s="180" t="n"/>
      <c r="H3194" s="181">
        <f>IF(OR(F3194="",G3194=""),"",ROUND(MOD(G3194-F3194,1)*24,2))</f>
        <v/>
      </c>
      <c r="K3194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95" hidden="1" outlineLevel="1" ht="20" customHeight="1">
      <c r="A3195" s="342" t="n"/>
      <c r="B3195" s="342" t="n"/>
      <c r="C3195" s="342" t="n"/>
      <c r="D3195" s="332" t="n"/>
      <c r="E3195" s="332" t="n"/>
      <c r="F3195" s="333" t="n"/>
      <c r="G3195" s="333" t="n"/>
      <c r="H3195" s="334">
        <f>IF(OR(F3195="",G3195=""),"",ROUND(MOD(G3195-F3195,1)*24,2))</f>
        <v/>
      </c>
      <c r="I3195" s="342" t="n"/>
      <c r="J3195" s="342" t="n"/>
      <c r="K3195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196" ht="20" customHeight="1">
      <c r="A3196" s="336">
        <f>IF($K3196="","",WEEKNUM($K3196,21))</f>
        <v/>
      </c>
      <c r="B3196" s="337">
        <f>IF($K3196="","",$K3196)</f>
        <v/>
      </c>
      <c r="C3196" s="338">
        <f>IF($K3196="","",$K3196)</f>
        <v/>
      </c>
      <c r="D3196" s="171" t="n"/>
      <c r="E3196" s="171" t="n"/>
      <c r="F3196" s="172" t="n"/>
      <c r="G3196" s="172" t="n"/>
      <c r="H3196" s="173">
        <f>IF(OR(F3196="",G3196=""),"",ROUND(MOD(G3196-F3196,1)*24,2))</f>
        <v/>
      </c>
      <c r="I3196" s="339" t="n"/>
      <c r="J3196" s="339" t="n"/>
      <c r="K3196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197" ht="20" customHeight="1">
      <c r="D3197" s="179" t="n"/>
      <c r="E3197" s="179" t="n"/>
      <c r="F3197" s="180" t="n"/>
      <c r="G3197" s="180" t="n"/>
      <c r="H3197" s="181">
        <f>IF(OR(F3197="",G3197=""),"",ROUND(MOD(G3197-F3197,1)*24,2))</f>
        <v/>
      </c>
      <c r="K3197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198" ht="20" customHeight="1">
      <c r="D3198" s="179" t="n"/>
      <c r="E3198" s="179" t="n"/>
      <c r="F3198" s="180" t="n"/>
      <c r="G3198" s="180" t="n"/>
      <c r="H3198" s="181">
        <f>IF(OR(F3198="",G3198=""),"",ROUND(MOD(G3198-F3198,1)*24,2))</f>
        <v/>
      </c>
      <c r="K3198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199" ht="20" customHeight="1">
      <c r="D3199" s="179" t="n"/>
      <c r="E3199" s="179" t="n"/>
      <c r="F3199" s="180" t="n"/>
      <c r="G3199" s="180" t="n"/>
      <c r="H3199" s="181">
        <f>IF(OR(F3199="",G3199=""),"",ROUND(MOD(G3199-F3199,1)*24,2))</f>
        <v/>
      </c>
      <c r="K3199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200" collapsed="1" ht="20" customHeight="1">
      <c r="D3200" s="179" t="n"/>
      <c r="E3200" s="179" t="n"/>
      <c r="F3200" s="180" t="n"/>
      <c r="G3200" s="180" t="n"/>
      <c r="H3200" s="181">
        <f>IF(OR(F3200="",G3200=""),"",ROUND(MOD(G3200-F3200,1)*24,2))</f>
        <v/>
      </c>
      <c r="K3200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201" hidden="1" outlineLevel="1" ht="20" customHeight="1">
      <c r="D3201" s="179" t="n"/>
      <c r="E3201" s="179" t="n"/>
      <c r="F3201" s="180" t="n"/>
      <c r="G3201" s="180" t="n"/>
      <c r="H3201" s="181">
        <f>IF(OR(F3201="",G3201=""),"",ROUND(MOD(G3201-F3201,1)*24,2))</f>
        <v/>
      </c>
      <c r="K3201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202" hidden="1" outlineLevel="1" ht="20" customHeight="1">
      <c r="D3202" s="179" t="n"/>
      <c r="E3202" s="179" t="n"/>
      <c r="F3202" s="180" t="n"/>
      <c r="G3202" s="180" t="n"/>
      <c r="H3202" s="181">
        <f>IF(OR(F3202="",G3202=""),"",ROUND(MOD(G3202-F3202,1)*24,2))</f>
        <v/>
      </c>
      <c r="K3202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203" hidden="1" outlineLevel="1" ht="20" customHeight="1">
      <c r="D3203" s="179" t="n"/>
      <c r="E3203" s="179" t="n"/>
      <c r="F3203" s="180" t="n"/>
      <c r="G3203" s="180" t="n"/>
      <c r="H3203" s="181">
        <f>IF(OR(F3203="",G3203=""),"",ROUND(MOD(G3203-F3203,1)*24,2))</f>
        <v/>
      </c>
      <c r="K3203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204" hidden="1" outlineLevel="1" ht="20" customHeight="1">
      <c r="D3204" s="179" t="n"/>
      <c r="E3204" s="179" t="n"/>
      <c r="F3204" s="180" t="n"/>
      <c r="G3204" s="180" t="n"/>
      <c r="H3204" s="181">
        <f>IF(OR(F3204="",G3204=""),"",ROUND(MOD(G3204-F3204,1)*24,2))</f>
        <v/>
      </c>
      <c r="K3204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205" hidden="1" outlineLevel="1" ht="20" customHeight="1">
      <c r="A3205" s="342" t="n"/>
      <c r="B3205" s="342" t="n"/>
      <c r="C3205" s="342" t="n"/>
      <c r="D3205" s="332" t="n"/>
      <c r="E3205" s="332" t="n"/>
      <c r="F3205" s="333" t="n"/>
      <c r="G3205" s="333" t="n"/>
      <c r="H3205" s="334">
        <f>IF(OR(F3205="",G3205=""),"",ROUND(MOD(G3205-F3205,1)*24,2))</f>
        <v/>
      </c>
      <c r="I3205" s="342" t="n"/>
      <c r="J3205" s="342" t="n"/>
      <c r="K3205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206" ht="20" customHeight="1">
      <c r="A3206" s="336">
        <f>IF($K3206="","",WEEKNUM($K3206,21))</f>
        <v/>
      </c>
      <c r="B3206" s="337">
        <f>IF($K3206="","",$K3206)</f>
        <v/>
      </c>
      <c r="C3206" s="338">
        <f>IF($K3206="","",$K3206)</f>
        <v/>
      </c>
      <c r="D3206" s="171" t="n"/>
      <c r="E3206" s="171" t="n"/>
      <c r="F3206" s="172" t="n"/>
      <c r="G3206" s="172" t="n"/>
      <c r="H3206" s="173">
        <f>IF(OR(F3206="",G3206=""),"",ROUND(MOD(G3206-F3206,1)*24,2))</f>
        <v/>
      </c>
      <c r="I3206" s="339" t="n"/>
      <c r="J3206" s="339" t="n"/>
      <c r="K3206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07" ht="20" customHeight="1">
      <c r="D3207" s="179" t="n"/>
      <c r="E3207" s="179" t="n"/>
      <c r="F3207" s="180" t="n"/>
      <c r="G3207" s="180" t="n"/>
      <c r="H3207" s="181">
        <f>IF(OR(F3207="",G3207=""),"",ROUND(MOD(G3207-F3207,1)*24,2))</f>
        <v/>
      </c>
      <c r="K3207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08" ht="20" customHeight="1">
      <c r="D3208" s="179" t="n"/>
      <c r="E3208" s="179" t="n"/>
      <c r="F3208" s="180" t="n"/>
      <c r="G3208" s="180" t="n"/>
      <c r="H3208" s="181">
        <f>IF(OR(F3208="",G3208=""),"",ROUND(MOD(G3208-F3208,1)*24,2))</f>
        <v/>
      </c>
      <c r="K3208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09" ht="20" customHeight="1">
      <c r="D3209" s="179" t="n"/>
      <c r="E3209" s="179" t="n"/>
      <c r="F3209" s="180" t="n"/>
      <c r="G3209" s="180" t="n"/>
      <c r="H3209" s="181">
        <f>IF(OR(F3209="",G3209=""),"",ROUND(MOD(G3209-F3209,1)*24,2))</f>
        <v/>
      </c>
      <c r="K3209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10" collapsed="1" ht="20" customHeight="1">
      <c r="D3210" s="179" t="n"/>
      <c r="E3210" s="179" t="n"/>
      <c r="F3210" s="180" t="n"/>
      <c r="G3210" s="180" t="n"/>
      <c r="H3210" s="181">
        <f>IF(OR(F3210="",G3210=""),"",ROUND(MOD(G3210-F3210,1)*24,2))</f>
        <v/>
      </c>
      <c r="K3210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11" hidden="1" outlineLevel="1" ht="20" customHeight="1">
      <c r="D3211" s="179" t="n"/>
      <c r="E3211" s="179" t="n"/>
      <c r="F3211" s="180" t="n"/>
      <c r="G3211" s="180" t="n"/>
      <c r="H3211" s="181">
        <f>IF(OR(F3211="",G3211=""),"",ROUND(MOD(G3211-F3211,1)*24,2))</f>
        <v/>
      </c>
      <c r="K3211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12" hidden="1" outlineLevel="1" ht="20" customHeight="1">
      <c r="D3212" s="179" t="n"/>
      <c r="E3212" s="179" t="n"/>
      <c r="F3212" s="180" t="n"/>
      <c r="G3212" s="180" t="n"/>
      <c r="H3212" s="181">
        <f>IF(OR(F3212="",G3212=""),"",ROUND(MOD(G3212-F3212,1)*24,2))</f>
        <v/>
      </c>
      <c r="K3212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13" hidden="1" outlineLevel="1" ht="20" customHeight="1">
      <c r="D3213" s="179" t="n"/>
      <c r="E3213" s="179" t="n"/>
      <c r="F3213" s="180" t="n"/>
      <c r="G3213" s="180" t="n"/>
      <c r="H3213" s="181">
        <f>IF(OR(F3213="",G3213=""),"",ROUND(MOD(G3213-F3213,1)*24,2))</f>
        <v/>
      </c>
      <c r="K3213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14" hidden="1" outlineLevel="1" ht="20" customHeight="1">
      <c r="D3214" s="179" t="n"/>
      <c r="E3214" s="179" t="n"/>
      <c r="F3214" s="180" t="n"/>
      <c r="G3214" s="180" t="n"/>
      <c r="H3214" s="181">
        <f>IF(OR(F3214="",G3214=""),"",ROUND(MOD(G3214-F3214,1)*24,2))</f>
        <v/>
      </c>
      <c r="K3214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15" hidden="1" outlineLevel="1" ht="20" customHeight="1">
      <c r="A3215" s="342" t="n"/>
      <c r="B3215" s="342" t="n"/>
      <c r="C3215" s="342" t="n"/>
      <c r="D3215" s="332" t="n"/>
      <c r="E3215" s="332" t="n"/>
      <c r="F3215" s="333" t="n"/>
      <c r="G3215" s="333" t="n"/>
      <c r="H3215" s="334">
        <f>IF(OR(F3215="",G3215=""),"",ROUND(MOD(G3215-F3215,1)*24,2))</f>
        <v/>
      </c>
      <c r="I3215" s="342" t="n"/>
      <c r="J3215" s="342" t="n"/>
      <c r="K3215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16" ht="20" customHeight="1">
      <c r="A3216" s="336">
        <f>IF($K3216="","",WEEKNUM($K3216,21))</f>
        <v/>
      </c>
      <c r="B3216" s="337">
        <f>IF($K3216="","",$K3216)</f>
        <v/>
      </c>
      <c r="C3216" s="338">
        <f>IF($K3216="","",$K3216)</f>
        <v/>
      </c>
      <c r="D3216" s="171" t="n"/>
      <c r="E3216" s="171" t="n"/>
      <c r="F3216" s="172" t="n"/>
      <c r="G3216" s="172" t="n"/>
      <c r="H3216" s="173">
        <f>IF(OR(F3216="",G3216=""),"",ROUND(MOD(G3216-F3216,1)*24,2))</f>
        <v/>
      </c>
      <c r="I3216" s="339" t="n"/>
      <c r="J3216" s="339" t="n"/>
      <c r="K3216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17" ht="20" customHeight="1">
      <c r="D3217" s="179" t="n"/>
      <c r="E3217" s="179" t="n"/>
      <c r="F3217" s="180" t="n"/>
      <c r="G3217" s="180" t="n"/>
      <c r="H3217" s="181">
        <f>IF(OR(F3217="",G3217=""),"",ROUND(MOD(G3217-F3217,1)*24,2))</f>
        <v/>
      </c>
      <c r="K3217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18" ht="20" customHeight="1">
      <c r="D3218" s="179" t="n"/>
      <c r="E3218" s="179" t="n"/>
      <c r="F3218" s="180" t="n"/>
      <c r="G3218" s="180" t="n"/>
      <c r="H3218" s="181">
        <f>IF(OR(F3218="",G3218=""),"",ROUND(MOD(G3218-F3218,1)*24,2))</f>
        <v/>
      </c>
      <c r="K3218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19" ht="20" customHeight="1">
      <c r="D3219" s="179" t="n"/>
      <c r="E3219" s="179" t="n"/>
      <c r="F3219" s="180" t="n"/>
      <c r="G3219" s="180" t="n"/>
      <c r="H3219" s="181">
        <f>IF(OR(F3219="",G3219=""),"",ROUND(MOD(G3219-F3219,1)*24,2))</f>
        <v/>
      </c>
      <c r="K3219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20" collapsed="1" ht="20" customHeight="1">
      <c r="D3220" s="179" t="n"/>
      <c r="E3220" s="179" t="n"/>
      <c r="F3220" s="180" t="n"/>
      <c r="G3220" s="180" t="n"/>
      <c r="H3220" s="181">
        <f>IF(OR(F3220="",G3220=""),"",ROUND(MOD(G3220-F3220,1)*24,2))</f>
        <v/>
      </c>
      <c r="K3220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21" hidden="1" outlineLevel="1" ht="20" customHeight="1">
      <c r="D3221" s="179" t="n"/>
      <c r="E3221" s="179" t="n"/>
      <c r="F3221" s="180" t="n"/>
      <c r="G3221" s="180" t="n"/>
      <c r="H3221" s="181">
        <f>IF(OR(F3221="",G3221=""),"",ROUND(MOD(G3221-F3221,1)*24,2))</f>
        <v/>
      </c>
      <c r="K3221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22" hidden="1" outlineLevel="1" ht="20" customHeight="1">
      <c r="D3222" s="179" t="n"/>
      <c r="E3222" s="179" t="n"/>
      <c r="F3222" s="180" t="n"/>
      <c r="G3222" s="180" t="n"/>
      <c r="H3222" s="181">
        <f>IF(OR(F3222="",G3222=""),"",ROUND(MOD(G3222-F3222,1)*24,2))</f>
        <v/>
      </c>
      <c r="K3222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23" hidden="1" outlineLevel="1" ht="20" customHeight="1">
      <c r="D3223" s="179" t="n"/>
      <c r="E3223" s="179" t="n"/>
      <c r="F3223" s="180" t="n"/>
      <c r="G3223" s="180" t="n"/>
      <c r="H3223" s="181">
        <f>IF(OR(F3223="",G3223=""),"",ROUND(MOD(G3223-F3223,1)*24,2))</f>
        <v/>
      </c>
      <c r="K3223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24" hidden="1" outlineLevel="1" ht="20" customHeight="1">
      <c r="D3224" s="179" t="n"/>
      <c r="E3224" s="179" t="n"/>
      <c r="F3224" s="180" t="n"/>
      <c r="G3224" s="180" t="n"/>
      <c r="H3224" s="181">
        <f>IF(OR(F3224="",G3224=""),"",ROUND(MOD(G3224-F3224,1)*24,2))</f>
        <v/>
      </c>
      <c r="K3224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25" hidden="1" outlineLevel="1" ht="20" customHeight="1">
      <c r="A3225" s="342" t="n"/>
      <c r="B3225" s="342" t="n"/>
      <c r="C3225" s="342" t="n"/>
      <c r="D3225" s="332" t="n"/>
      <c r="E3225" s="332" t="n"/>
      <c r="F3225" s="333" t="n"/>
      <c r="G3225" s="333" t="n"/>
      <c r="H3225" s="334">
        <f>IF(OR(F3225="",G3225=""),"",ROUND(MOD(G3225-F3225,1)*24,2))</f>
        <v/>
      </c>
      <c r="I3225" s="342" t="n"/>
      <c r="J3225" s="342" t="n"/>
      <c r="K3225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26" ht="20" customHeight="1">
      <c r="A3226" s="336">
        <f>IF($K3226="","",WEEKNUM($K3226,21))</f>
        <v/>
      </c>
      <c r="B3226" s="337">
        <f>IF($K3226="","",$K3226)</f>
        <v/>
      </c>
      <c r="C3226" s="338">
        <f>IF($K3226="","",$K3226)</f>
        <v/>
      </c>
      <c r="D3226" s="171" t="n"/>
      <c r="E3226" s="171" t="n"/>
      <c r="F3226" s="172" t="n"/>
      <c r="G3226" s="172" t="n"/>
      <c r="H3226" s="173">
        <f>IF(OR(F3226="",G3226=""),"",ROUND(MOD(G3226-F3226,1)*24,2))</f>
        <v/>
      </c>
      <c r="I3226" s="339" t="n"/>
      <c r="J3226" s="339" t="n"/>
      <c r="K3226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27" ht="20" customHeight="1">
      <c r="D3227" s="179" t="n"/>
      <c r="E3227" s="179" t="n"/>
      <c r="F3227" s="180" t="n"/>
      <c r="G3227" s="180" t="n"/>
      <c r="H3227" s="181">
        <f>IF(OR(F3227="",G3227=""),"",ROUND(MOD(G3227-F3227,1)*24,2))</f>
        <v/>
      </c>
      <c r="K3227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28" ht="20" customHeight="1">
      <c r="D3228" s="179" t="n"/>
      <c r="E3228" s="179" t="n"/>
      <c r="F3228" s="180" t="n"/>
      <c r="G3228" s="180" t="n"/>
      <c r="H3228" s="181">
        <f>IF(OR(F3228="",G3228=""),"",ROUND(MOD(G3228-F3228,1)*24,2))</f>
        <v/>
      </c>
      <c r="K3228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29" ht="20" customHeight="1">
      <c r="D3229" s="179" t="n"/>
      <c r="E3229" s="179" t="n"/>
      <c r="F3229" s="180" t="n"/>
      <c r="G3229" s="180" t="n"/>
      <c r="H3229" s="181">
        <f>IF(OR(F3229="",G3229=""),"",ROUND(MOD(G3229-F3229,1)*24,2))</f>
        <v/>
      </c>
      <c r="K3229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30" collapsed="1" ht="20" customHeight="1">
      <c r="D3230" s="179" t="n"/>
      <c r="E3230" s="179" t="n"/>
      <c r="F3230" s="180" t="n"/>
      <c r="G3230" s="180" t="n"/>
      <c r="H3230" s="181">
        <f>IF(OR(F3230="",G3230=""),"",ROUND(MOD(G3230-F3230,1)*24,2))</f>
        <v/>
      </c>
      <c r="K3230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31" hidden="1" outlineLevel="1" ht="20" customHeight="1">
      <c r="D3231" s="179" t="n"/>
      <c r="E3231" s="179" t="n"/>
      <c r="F3231" s="180" t="n"/>
      <c r="G3231" s="180" t="n"/>
      <c r="H3231" s="181">
        <f>IF(OR(F3231="",G3231=""),"",ROUND(MOD(G3231-F3231,1)*24,2))</f>
        <v/>
      </c>
      <c r="K3231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32" hidden="1" outlineLevel="1" ht="20" customHeight="1">
      <c r="D3232" s="179" t="n"/>
      <c r="E3232" s="179" t="n"/>
      <c r="F3232" s="180" t="n"/>
      <c r="G3232" s="180" t="n"/>
      <c r="H3232" s="181">
        <f>IF(OR(F3232="",G3232=""),"",ROUND(MOD(G3232-F3232,1)*24,2))</f>
        <v/>
      </c>
      <c r="K3232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33" hidden="1" outlineLevel="1" ht="20" customHeight="1">
      <c r="D3233" s="179" t="n"/>
      <c r="E3233" s="179" t="n"/>
      <c r="F3233" s="180" t="n"/>
      <c r="G3233" s="180" t="n"/>
      <c r="H3233" s="181">
        <f>IF(OR(F3233="",G3233=""),"",ROUND(MOD(G3233-F3233,1)*24,2))</f>
        <v/>
      </c>
      <c r="K3233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34" hidden="1" outlineLevel="1" ht="20" customHeight="1">
      <c r="D3234" s="179" t="n"/>
      <c r="E3234" s="179" t="n"/>
      <c r="F3234" s="180" t="n"/>
      <c r="G3234" s="180" t="n"/>
      <c r="H3234" s="181">
        <f>IF(OR(F3234="",G3234=""),"",ROUND(MOD(G3234-F3234,1)*24,2))</f>
        <v/>
      </c>
      <c r="K3234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35" hidden="1" outlineLevel="1" ht="20" customHeight="1">
      <c r="A3235" s="342" t="n"/>
      <c r="B3235" s="342" t="n"/>
      <c r="C3235" s="342" t="n"/>
      <c r="D3235" s="332" t="n"/>
      <c r="E3235" s="332" t="n"/>
      <c r="F3235" s="333" t="n"/>
      <c r="G3235" s="333" t="n"/>
      <c r="H3235" s="334">
        <f>IF(OR(F3235="",G3235=""),"",ROUND(MOD(G3235-F3235,1)*24,2))</f>
        <v/>
      </c>
      <c r="I3235" s="342" t="n"/>
      <c r="J3235" s="342" t="n"/>
      <c r="K3235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36" ht="20" customHeight="1">
      <c r="A3236" s="336">
        <f>IF($K3236="","",WEEKNUM($K3236,21))</f>
        <v/>
      </c>
      <c r="B3236" s="337">
        <f>IF($K3236="","",$K3236)</f>
        <v/>
      </c>
      <c r="C3236" s="338">
        <f>IF($K3236="","",$K3236)</f>
        <v/>
      </c>
      <c r="D3236" s="171" t="n"/>
      <c r="E3236" s="171" t="n"/>
      <c r="F3236" s="172" t="n"/>
      <c r="G3236" s="172" t="n"/>
      <c r="H3236" s="173">
        <f>IF(OR(F3236="",G3236=""),"",ROUND(MOD(G3236-F3236,1)*24,2))</f>
        <v/>
      </c>
      <c r="I3236" s="339" t="n"/>
      <c r="J3236" s="339" t="n"/>
      <c r="K3236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37" ht="20" customHeight="1">
      <c r="D3237" s="179" t="n"/>
      <c r="E3237" s="179" t="n"/>
      <c r="F3237" s="180" t="n"/>
      <c r="G3237" s="180" t="n"/>
      <c r="H3237" s="181">
        <f>IF(OR(F3237="",G3237=""),"",ROUND(MOD(G3237-F3237,1)*24,2))</f>
        <v/>
      </c>
      <c r="K3237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38" ht="20" customHeight="1">
      <c r="D3238" s="179" t="n"/>
      <c r="E3238" s="179" t="n"/>
      <c r="F3238" s="180" t="n"/>
      <c r="G3238" s="180" t="n"/>
      <c r="H3238" s="181">
        <f>IF(OR(F3238="",G3238=""),"",ROUND(MOD(G3238-F3238,1)*24,2))</f>
        <v/>
      </c>
      <c r="K3238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39" ht="20" customHeight="1">
      <c r="D3239" s="179" t="n"/>
      <c r="E3239" s="179" t="n"/>
      <c r="F3239" s="180" t="n"/>
      <c r="G3239" s="180" t="n"/>
      <c r="H3239" s="181">
        <f>IF(OR(F3239="",G3239=""),"",ROUND(MOD(G3239-F3239,1)*24,2))</f>
        <v/>
      </c>
      <c r="K3239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40" collapsed="1" ht="20" customHeight="1">
      <c r="D3240" s="179" t="n"/>
      <c r="E3240" s="179" t="n"/>
      <c r="F3240" s="180" t="n"/>
      <c r="G3240" s="180" t="n"/>
      <c r="H3240" s="181">
        <f>IF(OR(F3240="",G3240=""),"",ROUND(MOD(G3240-F3240,1)*24,2))</f>
        <v/>
      </c>
      <c r="K3240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41" hidden="1" outlineLevel="1" ht="20" customHeight="1">
      <c r="D3241" s="179" t="n"/>
      <c r="E3241" s="179" t="n"/>
      <c r="F3241" s="180" t="n"/>
      <c r="G3241" s="180" t="n"/>
      <c r="H3241" s="181">
        <f>IF(OR(F3241="",G3241=""),"",ROUND(MOD(G3241-F3241,1)*24,2))</f>
        <v/>
      </c>
      <c r="K3241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42" hidden="1" outlineLevel="1" ht="20" customHeight="1">
      <c r="D3242" s="179" t="n"/>
      <c r="E3242" s="179" t="n"/>
      <c r="F3242" s="180" t="n"/>
      <c r="G3242" s="180" t="n"/>
      <c r="H3242" s="181">
        <f>IF(OR(F3242="",G3242=""),"",ROUND(MOD(G3242-F3242,1)*24,2))</f>
        <v/>
      </c>
      <c r="K3242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43" hidden="1" outlineLevel="1" ht="20" customHeight="1">
      <c r="D3243" s="179" t="n"/>
      <c r="E3243" s="179" t="n"/>
      <c r="F3243" s="180" t="n"/>
      <c r="G3243" s="180" t="n"/>
      <c r="H3243" s="181">
        <f>IF(OR(F3243="",G3243=""),"",ROUND(MOD(G3243-F3243,1)*24,2))</f>
        <v/>
      </c>
      <c r="K3243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44" hidden="1" outlineLevel="1" ht="20" customHeight="1">
      <c r="D3244" s="179" t="n"/>
      <c r="E3244" s="179" t="n"/>
      <c r="F3244" s="180" t="n"/>
      <c r="G3244" s="180" t="n"/>
      <c r="H3244" s="181">
        <f>IF(OR(F3244="",G3244=""),"",ROUND(MOD(G3244-F3244,1)*24,2))</f>
        <v/>
      </c>
      <c r="K3244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45" hidden="1" outlineLevel="1" ht="20" customHeight="1">
      <c r="A3245" s="342" t="n"/>
      <c r="B3245" s="342" t="n"/>
      <c r="C3245" s="342" t="n"/>
      <c r="D3245" s="332" t="n"/>
      <c r="E3245" s="332" t="n"/>
      <c r="F3245" s="333" t="n"/>
      <c r="G3245" s="333" t="n"/>
      <c r="H3245" s="334">
        <f>IF(OR(F3245="",G3245=""),"",ROUND(MOD(G3245-F3245,1)*24,2))</f>
        <v/>
      </c>
      <c r="I3245" s="342" t="n"/>
      <c r="J3245" s="342" t="n"/>
      <c r="K3245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46" ht="20" customHeight="1">
      <c r="A3246" s="336">
        <f>IF($K3246="","",WEEKNUM($K3246,21))</f>
        <v/>
      </c>
      <c r="B3246" s="337">
        <f>IF($K3246="","",$K3246)</f>
        <v/>
      </c>
      <c r="C3246" s="338">
        <f>IF($K3246="","",$K3246)</f>
        <v/>
      </c>
      <c r="D3246" s="171" t="n"/>
      <c r="E3246" s="171" t="n"/>
      <c r="F3246" s="172" t="n"/>
      <c r="G3246" s="172" t="n"/>
      <c r="H3246" s="173">
        <f>IF(OR(F3246="",G3246=""),"",ROUND(MOD(G3246-F3246,1)*24,2))</f>
        <v/>
      </c>
      <c r="I3246" s="339" t="n"/>
      <c r="J3246" s="339" t="n"/>
      <c r="K3246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47" ht="20" customHeight="1">
      <c r="D3247" s="179" t="n"/>
      <c r="E3247" s="179" t="n"/>
      <c r="F3247" s="180" t="n"/>
      <c r="G3247" s="180" t="n"/>
      <c r="H3247" s="181">
        <f>IF(OR(F3247="",G3247=""),"",ROUND(MOD(G3247-F3247,1)*24,2))</f>
        <v/>
      </c>
      <c r="K3247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48" ht="20" customHeight="1">
      <c r="D3248" s="179" t="n"/>
      <c r="E3248" s="179" t="n"/>
      <c r="F3248" s="180" t="n"/>
      <c r="G3248" s="180" t="n"/>
      <c r="H3248" s="181">
        <f>IF(OR(F3248="",G3248=""),"",ROUND(MOD(G3248-F3248,1)*24,2))</f>
        <v/>
      </c>
      <c r="K3248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49" ht="20" customHeight="1">
      <c r="D3249" s="179" t="n"/>
      <c r="E3249" s="179" t="n"/>
      <c r="F3249" s="180" t="n"/>
      <c r="G3249" s="180" t="n"/>
      <c r="H3249" s="181">
        <f>IF(OR(F3249="",G3249=""),"",ROUND(MOD(G3249-F3249,1)*24,2))</f>
        <v/>
      </c>
      <c r="K3249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50" collapsed="1" ht="20" customHeight="1">
      <c r="D3250" s="179" t="n"/>
      <c r="E3250" s="179" t="n"/>
      <c r="F3250" s="180" t="n"/>
      <c r="G3250" s="180" t="n"/>
      <c r="H3250" s="181">
        <f>IF(OR(F3250="",G3250=""),"",ROUND(MOD(G3250-F3250,1)*24,2))</f>
        <v/>
      </c>
      <c r="K3250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51" hidden="1" outlineLevel="1" ht="20" customHeight="1">
      <c r="D3251" s="179" t="n"/>
      <c r="E3251" s="179" t="n"/>
      <c r="F3251" s="180" t="n"/>
      <c r="G3251" s="180" t="n"/>
      <c r="H3251" s="181">
        <f>IF(OR(F3251="",G3251=""),"",ROUND(MOD(G3251-F3251,1)*24,2))</f>
        <v/>
      </c>
      <c r="K3251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52" hidden="1" outlineLevel="1" ht="20" customHeight="1">
      <c r="D3252" s="179" t="n"/>
      <c r="E3252" s="179" t="n"/>
      <c r="F3252" s="180" t="n"/>
      <c r="G3252" s="180" t="n"/>
      <c r="H3252" s="181">
        <f>IF(OR(F3252="",G3252=""),"",ROUND(MOD(G3252-F3252,1)*24,2))</f>
        <v/>
      </c>
      <c r="K3252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53" hidden="1" outlineLevel="1" ht="20" customHeight="1">
      <c r="D3253" s="179" t="n"/>
      <c r="E3253" s="179" t="n"/>
      <c r="F3253" s="180" t="n"/>
      <c r="G3253" s="180" t="n"/>
      <c r="H3253" s="181">
        <f>IF(OR(F3253="",G3253=""),"",ROUND(MOD(G3253-F3253,1)*24,2))</f>
        <v/>
      </c>
      <c r="K3253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54" hidden="1" outlineLevel="1" ht="20" customHeight="1">
      <c r="D3254" s="179" t="n"/>
      <c r="E3254" s="179" t="n"/>
      <c r="F3254" s="180" t="n"/>
      <c r="G3254" s="180" t="n"/>
      <c r="H3254" s="181">
        <f>IF(OR(F3254="",G3254=""),"",ROUND(MOD(G3254-F3254,1)*24,2))</f>
        <v/>
      </c>
      <c r="K3254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55" hidden="1" outlineLevel="1" ht="20" customHeight="1">
      <c r="A3255" s="342" t="n"/>
      <c r="B3255" s="342" t="n"/>
      <c r="C3255" s="342" t="n"/>
      <c r="D3255" s="332" t="n"/>
      <c r="E3255" s="332" t="n"/>
      <c r="F3255" s="333" t="n"/>
      <c r="G3255" s="333" t="n"/>
      <c r="H3255" s="334">
        <f>IF(OR(F3255="",G3255=""),"",ROUND(MOD(G3255-F3255,1)*24,2))</f>
        <v/>
      </c>
      <c r="I3255" s="342" t="n"/>
      <c r="J3255" s="342" t="n"/>
      <c r="K3255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56" ht="20" customHeight="1">
      <c r="A3256" s="336">
        <f>IF($K3256="","",WEEKNUM($K3256,21))</f>
        <v/>
      </c>
      <c r="B3256" s="337">
        <f>IF($K3256="","",$K3256)</f>
        <v/>
      </c>
      <c r="C3256" s="338">
        <f>IF($K3256="","",$K3256)</f>
        <v/>
      </c>
      <c r="D3256" s="171" t="n"/>
      <c r="E3256" s="171" t="n"/>
      <c r="F3256" s="172" t="n"/>
      <c r="G3256" s="172" t="n"/>
      <c r="H3256" s="173">
        <f>IF(OR(F3256="",G3256=""),"",ROUND(MOD(G3256-F3256,1)*24,2))</f>
        <v/>
      </c>
      <c r="I3256" s="339" t="n"/>
      <c r="J3256" s="339" t="n"/>
      <c r="K3256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57" ht="20" customHeight="1">
      <c r="D3257" s="179" t="n"/>
      <c r="E3257" s="179" t="n"/>
      <c r="F3257" s="180" t="n"/>
      <c r="G3257" s="180" t="n"/>
      <c r="H3257" s="181">
        <f>IF(OR(F3257="",G3257=""),"",ROUND(MOD(G3257-F3257,1)*24,2))</f>
        <v/>
      </c>
      <c r="K3257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58" ht="20" customHeight="1">
      <c r="D3258" s="179" t="n"/>
      <c r="E3258" s="179" t="n"/>
      <c r="F3258" s="180" t="n"/>
      <c r="G3258" s="180" t="n"/>
      <c r="H3258" s="181">
        <f>IF(OR(F3258="",G3258=""),"",ROUND(MOD(G3258-F3258,1)*24,2))</f>
        <v/>
      </c>
      <c r="K3258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59" ht="20" customHeight="1">
      <c r="D3259" s="179" t="n"/>
      <c r="E3259" s="179" t="n"/>
      <c r="F3259" s="180" t="n"/>
      <c r="G3259" s="180" t="n"/>
      <c r="H3259" s="181">
        <f>IF(OR(F3259="",G3259=""),"",ROUND(MOD(G3259-F3259,1)*24,2))</f>
        <v/>
      </c>
      <c r="K3259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60" collapsed="1" ht="20" customHeight="1">
      <c r="D3260" s="179" t="n"/>
      <c r="E3260" s="179" t="n"/>
      <c r="F3260" s="180" t="n"/>
      <c r="G3260" s="180" t="n"/>
      <c r="H3260" s="181">
        <f>IF(OR(F3260="",G3260=""),"",ROUND(MOD(G3260-F3260,1)*24,2))</f>
        <v/>
      </c>
      <c r="K3260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61" hidden="1" outlineLevel="1" ht="20" customHeight="1">
      <c r="D3261" s="179" t="n"/>
      <c r="E3261" s="179" t="n"/>
      <c r="F3261" s="180" t="n"/>
      <c r="G3261" s="180" t="n"/>
      <c r="H3261" s="181">
        <f>IF(OR(F3261="",G3261=""),"",ROUND(MOD(G3261-F3261,1)*24,2))</f>
        <v/>
      </c>
      <c r="K3261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62" hidden="1" outlineLevel="1" ht="20" customHeight="1">
      <c r="D3262" s="179" t="n"/>
      <c r="E3262" s="179" t="n"/>
      <c r="F3262" s="180" t="n"/>
      <c r="G3262" s="180" t="n"/>
      <c r="H3262" s="181">
        <f>IF(OR(F3262="",G3262=""),"",ROUND(MOD(G3262-F3262,1)*24,2))</f>
        <v/>
      </c>
      <c r="K3262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63" hidden="1" outlineLevel="1" ht="20" customHeight="1">
      <c r="D3263" s="179" t="n"/>
      <c r="E3263" s="179" t="n"/>
      <c r="F3263" s="180" t="n"/>
      <c r="G3263" s="180" t="n"/>
      <c r="H3263" s="181">
        <f>IF(OR(F3263="",G3263=""),"",ROUND(MOD(G3263-F3263,1)*24,2))</f>
        <v/>
      </c>
      <c r="K3263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64" hidden="1" outlineLevel="1" ht="20" customHeight="1">
      <c r="D3264" s="179" t="n"/>
      <c r="E3264" s="179" t="n"/>
      <c r="F3264" s="180" t="n"/>
      <c r="G3264" s="180" t="n"/>
      <c r="H3264" s="181">
        <f>IF(OR(F3264="",G3264=""),"",ROUND(MOD(G3264-F3264,1)*24,2))</f>
        <v/>
      </c>
      <c r="K3264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65" hidden="1" outlineLevel="1" ht="20" customHeight="1">
      <c r="A3265" s="342" t="n"/>
      <c r="B3265" s="342" t="n"/>
      <c r="C3265" s="342" t="n"/>
      <c r="D3265" s="332" t="n"/>
      <c r="E3265" s="332" t="n"/>
      <c r="F3265" s="333" t="n"/>
      <c r="G3265" s="333" t="n"/>
      <c r="H3265" s="334">
        <f>IF(OR(F3265="",G3265=""),"",ROUND(MOD(G3265-F3265,1)*24,2))</f>
        <v/>
      </c>
      <c r="I3265" s="342" t="n"/>
      <c r="J3265" s="342" t="n"/>
      <c r="K3265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66" ht="20" customHeight="1">
      <c r="A3266" s="336">
        <f>IF($K3266="","",WEEKNUM($K3266,21))</f>
        <v/>
      </c>
      <c r="B3266" s="337">
        <f>IF($K3266="","",$K3266)</f>
        <v/>
      </c>
      <c r="C3266" s="338">
        <f>IF($K3266="","",$K3266)</f>
        <v/>
      </c>
      <c r="D3266" s="171" t="n"/>
      <c r="E3266" s="171" t="n"/>
      <c r="F3266" s="172" t="n"/>
      <c r="G3266" s="172" t="n"/>
      <c r="H3266" s="173">
        <f>IF(OR(F3266="",G3266=""),"",ROUND(MOD(G3266-F3266,1)*24,2))</f>
        <v/>
      </c>
      <c r="I3266" s="339" t="n"/>
      <c r="J3266" s="339" t="n"/>
      <c r="K3266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67" ht="20" customHeight="1">
      <c r="D3267" s="179" t="n"/>
      <c r="E3267" s="179" t="n"/>
      <c r="F3267" s="180" t="n"/>
      <c r="G3267" s="180" t="n"/>
      <c r="H3267" s="181">
        <f>IF(OR(F3267="",G3267=""),"",ROUND(MOD(G3267-F3267,1)*24,2))</f>
        <v/>
      </c>
      <c r="K3267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68" ht="20" customHeight="1">
      <c r="D3268" s="179" t="n"/>
      <c r="E3268" s="179" t="n"/>
      <c r="F3268" s="180" t="n"/>
      <c r="G3268" s="180" t="n"/>
      <c r="H3268" s="181">
        <f>IF(OR(F3268="",G3268=""),"",ROUND(MOD(G3268-F3268,1)*24,2))</f>
        <v/>
      </c>
      <c r="K3268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69" ht="20" customHeight="1">
      <c r="D3269" s="179" t="n"/>
      <c r="E3269" s="179" t="n"/>
      <c r="F3269" s="180" t="n"/>
      <c r="G3269" s="180" t="n"/>
      <c r="H3269" s="181">
        <f>IF(OR(F3269="",G3269=""),"",ROUND(MOD(G3269-F3269,1)*24,2))</f>
        <v/>
      </c>
      <c r="K3269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70" collapsed="1" ht="20" customHeight="1">
      <c r="D3270" s="179" t="n"/>
      <c r="E3270" s="179" t="n"/>
      <c r="F3270" s="180" t="n"/>
      <c r="G3270" s="180" t="n"/>
      <c r="H3270" s="181">
        <f>IF(OR(F3270="",G3270=""),"",ROUND(MOD(G3270-F3270,1)*24,2))</f>
        <v/>
      </c>
      <c r="K3270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71" hidden="1" outlineLevel="1" ht="20" customHeight="1">
      <c r="D3271" s="179" t="n"/>
      <c r="E3271" s="179" t="n"/>
      <c r="F3271" s="180" t="n"/>
      <c r="G3271" s="180" t="n"/>
      <c r="H3271" s="181">
        <f>IF(OR(F3271="",G3271=""),"",ROUND(MOD(G3271-F3271,1)*24,2))</f>
        <v/>
      </c>
      <c r="K3271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72" hidden="1" outlineLevel="1" ht="20" customHeight="1">
      <c r="D3272" s="179" t="n"/>
      <c r="E3272" s="179" t="n"/>
      <c r="F3272" s="180" t="n"/>
      <c r="G3272" s="180" t="n"/>
      <c r="H3272" s="181">
        <f>IF(OR(F3272="",G3272=""),"",ROUND(MOD(G3272-F3272,1)*24,2))</f>
        <v/>
      </c>
      <c r="K3272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73" hidden="1" outlineLevel="1" ht="20" customHeight="1">
      <c r="D3273" s="179" t="n"/>
      <c r="E3273" s="179" t="n"/>
      <c r="F3273" s="180" t="n"/>
      <c r="G3273" s="180" t="n"/>
      <c r="H3273" s="181">
        <f>IF(OR(F3273="",G3273=""),"",ROUND(MOD(G3273-F3273,1)*24,2))</f>
        <v/>
      </c>
      <c r="K3273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74" hidden="1" outlineLevel="1" ht="20" customHeight="1">
      <c r="D3274" s="179" t="n"/>
      <c r="E3274" s="179" t="n"/>
      <c r="F3274" s="180" t="n"/>
      <c r="G3274" s="180" t="n"/>
      <c r="H3274" s="181">
        <f>IF(OR(F3274="",G3274=""),"",ROUND(MOD(G3274-F3274,1)*24,2))</f>
        <v/>
      </c>
      <c r="K3274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75" hidden="1" outlineLevel="1" ht="20" customHeight="1">
      <c r="A3275" s="342" t="n"/>
      <c r="B3275" s="342" t="n"/>
      <c r="C3275" s="342" t="n"/>
      <c r="D3275" s="332" t="n"/>
      <c r="E3275" s="332" t="n"/>
      <c r="F3275" s="333" t="n"/>
      <c r="G3275" s="333" t="n"/>
      <c r="H3275" s="334">
        <f>IF(OR(F3275="",G3275=""),"",ROUND(MOD(G3275-F3275,1)*24,2))</f>
        <v/>
      </c>
      <c r="I3275" s="342" t="n"/>
      <c r="J3275" s="342" t="n"/>
      <c r="K3275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76" ht="20" customHeight="1">
      <c r="A3276" s="336">
        <f>IF($K3276="","",WEEKNUM($K3276,21))</f>
        <v/>
      </c>
      <c r="B3276" s="337">
        <f>IF($K3276="","",$K3276)</f>
        <v/>
      </c>
      <c r="C3276" s="338">
        <f>IF($K3276="","",$K3276)</f>
        <v/>
      </c>
      <c r="D3276" s="171" t="n"/>
      <c r="E3276" s="171" t="n"/>
      <c r="F3276" s="172" t="n"/>
      <c r="G3276" s="172" t="n"/>
      <c r="H3276" s="173">
        <f>IF(OR(F3276="",G3276=""),"",ROUND(MOD(G3276-F3276,1)*24,2))</f>
        <v/>
      </c>
      <c r="I3276" s="339" t="n"/>
      <c r="J3276" s="339" t="n"/>
      <c r="K3276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77" ht="20" customHeight="1">
      <c r="D3277" s="179" t="n"/>
      <c r="E3277" s="179" t="n"/>
      <c r="F3277" s="180" t="n"/>
      <c r="G3277" s="180" t="n"/>
      <c r="H3277" s="181">
        <f>IF(OR(F3277="",G3277=""),"",ROUND(MOD(G3277-F3277,1)*24,2))</f>
        <v/>
      </c>
      <c r="K3277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78" ht="20" customHeight="1">
      <c r="D3278" s="179" t="n"/>
      <c r="E3278" s="179" t="n"/>
      <c r="F3278" s="180" t="n"/>
      <c r="G3278" s="180" t="n"/>
      <c r="H3278" s="181">
        <f>IF(OR(F3278="",G3278=""),"",ROUND(MOD(G3278-F3278,1)*24,2))</f>
        <v/>
      </c>
      <c r="K3278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79" ht="20" customHeight="1">
      <c r="D3279" s="179" t="n"/>
      <c r="E3279" s="179" t="n"/>
      <c r="F3279" s="180" t="n"/>
      <c r="G3279" s="180" t="n"/>
      <c r="H3279" s="181">
        <f>IF(OR(F3279="",G3279=""),"",ROUND(MOD(G3279-F3279,1)*24,2))</f>
        <v/>
      </c>
      <c r="K3279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80" collapsed="1" ht="20" customHeight="1">
      <c r="D3280" s="179" t="n"/>
      <c r="E3280" s="179" t="n"/>
      <c r="F3280" s="180" t="n"/>
      <c r="G3280" s="180" t="n"/>
      <c r="H3280" s="181">
        <f>IF(OR(F3280="",G3280=""),"",ROUND(MOD(G3280-F3280,1)*24,2))</f>
        <v/>
      </c>
      <c r="K3280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81" hidden="1" outlineLevel="1" ht="20" customHeight="1">
      <c r="D3281" s="179" t="n"/>
      <c r="E3281" s="179" t="n"/>
      <c r="F3281" s="180" t="n"/>
      <c r="G3281" s="180" t="n"/>
      <c r="H3281" s="181">
        <f>IF(OR(F3281="",G3281=""),"",ROUND(MOD(G3281-F3281,1)*24,2))</f>
        <v/>
      </c>
      <c r="K3281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82" hidden="1" outlineLevel="1" ht="20" customHeight="1">
      <c r="D3282" s="179" t="n"/>
      <c r="E3282" s="179" t="n"/>
      <c r="F3282" s="180" t="n"/>
      <c r="G3282" s="180" t="n"/>
      <c r="H3282" s="181">
        <f>IF(OR(F3282="",G3282=""),"",ROUND(MOD(G3282-F3282,1)*24,2))</f>
        <v/>
      </c>
      <c r="K3282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83" hidden="1" outlineLevel="1" ht="20" customHeight="1">
      <c r="D3283" s="179" t="n"/>
      <c r="E3283" s="179" t="n"/>
      <c r="F3283" s="180" t="n"/>
      <c r="G3283" s="180" t="n"/>
      <c r="H3283" s="181">
        <f>IF(OR(F3283="",G3283=""),"",ROUND(MOD(G3283-F3283,1)*24,2))</f>
        <v/>
      </c>
      <c r="K3283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84" hidden="1" outlineLevel="1" ht="20" customHeight="1">
      <c r="D3284" s="179" t="n"/>
      <c r="E3284" s="179" t="n"/>
      <c r="F3284" s="180" t="n"/>
      <c r="G3284" s="180" t="n"/>
      <c r="H3284" s="181">
        <f>IF(OR(F3284="",G3284=""),"",ROUND(MOD(G3284-F3284,1)*24,2))</f>
        <v/>
      </c>
      <c r="K3284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85" hidden="1" outlineLevel="1" ht="20" customHeight="1">
      <c r="A3285" s="342" t="n"/>
      <c r="B3285" s="342" t="n"/>
      <c r="C3285" s="342" t="n"/>
      <c r="D3285" s="332" t="n"/>
      <c r="E3285" s="332" t="n"/>
      <c r="F3285" s="333" t="n"/>
      <c r="G3285" s="333" t="n"/>
      <c r="H3285" s="334">
        <f>IF(OR(F3285="",G3285=""),"",ROUND(MOD(G3285-F3285,1)*24,2))</f>
        <v/>
      </c>
      <c r="I3285" s="342" t="n"/>
      <c r="J3285" s="342" t="n"/>
      <c r="K3285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286" ht="20" customHeight="1">
      <c r="A3286" s="336">
        <f>IF($K3286="","",WEEKNUM($K3286,21))</f>
        <v/>
      </c>
      <c r="B3286" s="337">
        <f>IF($K3286="","",$K3286)</f>
        <v/>
      </c>
      <c r="C3286" s="338">
        <f>IF($K3286="","",$K3286)</f>
        <v/>
      </c>
      <c r="D3286" s="171" t="n"/>
      <c r="E3286" s="171" t="n"/>
      <c r="F3286" s="172" t="n"/>
      <c r="G3286" s="172" t="n"/>
      <c r="H3286" s="173">
        <f>IF(OR(F3286="",G3286=""),"",ROUND(MOD(G3286-F3286,1)*24,2))</f>
        <v/>
      </c>
      <c r="I3286" s="339" t="n"/>
      <c r="J3286" s="339" t="n"/>
      <c r="K3286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87" ht="20" customHeight="1">
      <c r="D3287" s="179" t="n"/>
      <c r="E3287" s="179" t="n"/>
      <c r="F3287" s="180" t="n"/>
      <c r="G3287" s="180" t="n"/>
      <c r="H3287" s="181">
        <f>IF(OR(F3287="",G3287=""),"",ROUND(MOD(G3287-F3287,1)*24,2))</f>
        <v/>
      </c>
      <c r="K3287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88" ht="20" customHeight="1">
      <c r="D3288" s="179" t="n"/>
      <c r="E3288" s="179" t="n"/>
      <c r="F3288" s="180" t="n"/>
      <c r="G3288" s="180" t="n"/>
      <c r="H3288" s="181">
        <f>IF(OR(F3288="",G3288=""),"",ROUND(MOD(G3288-F3288,1)*24,2))</f>
        <v/>
      </c>
      <c r="K3288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89" ht="20" customHeight="1">
      <c r="D3289" s="179" t="n"/>
      <c r="E3289" s="179" t="n"/>
      <c r="F3289" s="180" t="n"/>
      <c r="G3289" s="180" t="n"/>
      <c r="H3289" s="181">
        <f>IF(OR(F3289="",G3289=""),"",ROUND(MOD(G3289-F3289,1)*24,2))</f>
        <v/>
      </c>
      <c r="K3289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90" collapsed="1" ht="20" customHeight="1">
      <c r="D3290" s="179" t="n"/>
      <c r="E3290" s="179" t="n"/>
      <c r="F3290" s="180" t="n"/>
      <c r="G3290" s="180" t="n"/>
      <c r="H3290" s="181">
        <f>IF(OR(F3290="",G3290=""),"",ROUND(MOD(G3290-F3290,1)*24,2))</f>
        <v/>
      </c>
      <c r="K3290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91" hidden="1" outlineLevel="1" ht="20" customHeight="1">
      <c r="D3291" s="179" t="n"/>
      <c r="E3291" s="179" t="n"/>
      <c r="F3291" s="180" t="n"/>
      <c r="G3291" s="180" t="n"/>
      <c r="H3291" s="181">
        <f>IF(OR(F3291="",G3291=""),"",ROUND(MOD(G3291-F3291,1)*24,2))</f>
        <v/>
      </c>
      <c r="K3291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92" hidden="1" outlineLevel="1" ht="20" customHeight="1">
      <c r="D3292" s="179" t="n"/>
      <c r="E3292" s="179" t="n"/>
      <c r="F3292" s="180" t="n"/>
      <c r="G3292" s="180" t="n"/>
      <c r="H3292" s="181">
        <f>IF(OR(F3292="",G3292=""),"",ROUND(MOD(G3292-F3292,1)*24,2))</f>
        <v/>
      </c>
      <c r="K3292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93" hidden="1" outlineLevel="1" ht="20" customHeight="1">
      <c r="D3293" s="179" t="n"/>
      <c r="E3293" s="179" t="n"/>
      <c r="F3293" s="180" t="n"/>
      <c r="G3293" s="180" t="n"/>
      <c r="H3293" s="181">
        <f>IF(OR(F3293="",G3293=""),"",ROUND(MOD(G3293-F3293,1)*24,2))</f>
        <v/>
      </c>
      <c r="K3293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94" hidden="1" outlineLevel="1" ht="20" customHeight="1">
      <c r="D3294" s="179" t="n"/>
      <c r="E3294" s="179" t="n"/>
      <c r="F3294" s="180" t="n"/>
      <c r="G3294" s="180" t="n"/>
      <c r="H3294" s="181">
        <f>IF(OR(F3294="",G3294=""),"",ROUND(MOD(G3294-F3294,1)*24,2))</f>
        <v/>
      </c>
      <c r="K3294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95" hidden="1" outlineLevel="1" ht="20" customHeight="1">
      <c r="A3295" s="342" t="n"/>
      <c r="B3295" s="342" t="n"/>
      <c r="C3295" s="342" t="n"/>
      <c r="D3295" s="332" t="n"/>
      <c r="E3295" s="332" t="n"/>
      <c r="F3295" s="333" t="n"/>
      <c r="G3295" s="333" t="n"/>
      <c r="H3295" s="334">
        <f>IF(OR(F3295="",G3295=""),"",ROUND(MOD(G3295-F3295,1)*24,2))</f>
        <v/>
      </c>
      <c r="I3295" s="342" t="n"/>
      <c r="J3295" s="342" t="n"/>
      <c r="K3295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296" ht="20" customHeight="1">
      <c r="A3296" s="336">
        <f>IF($K3296="","",WEEKNUM($K3296,21))</f>
        <v/>
      </c>
      <c r="B3296" s="337">
        <f>IF($K3296="","",$K3296)</f>
        <v/>
      </c>
      <c r="C3296" s="338">
        <f>IF($K3296="","",$K3296)</f>
        <v/>
      </c>
      <c r="D3296" s="171" t="n"/>
      <c r="E3296" s="171" t="n"/>
      <c r="F3296" s="172" t="n"/>
      <c r="G3296" s="172" t="n"/>
      <c r="H3296" s="173">
        <f>IF(OR(F3296="",G3296=""),"",ROUND(MOD(G3296-F3296,1)*24,2))</f>
        <v/>
      </c>
      <c r="I3296" s="339" t="n"/>
      <c r="J3296" s="339" t="n"/>
      <c r="K3296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297" ht="20" customHeight="1">
      <c r="D3297" s="179" t="n"/>
      <c r="E3297" s="179" t="n"/>
      <c r="F3297" s="180" t="n"/>
      <c r="G3297" s="180" t="n"/>
      <c r="H3297" s="181">
        <f>IF(OR(F3297="",G3297=""),"",ROUND(MOD(G3297-F3297,1)*24,2))</f>
        <v/>
      </c>
      <c r="K3297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298" ht="20" customHeight="1">
      <c r="D3298" s="179" t="n"/>
      <c r="E3298" s="179" t="n"/>
      <c r="F3298" s="180" t="n"/>
      <c r="G3298" s="180" t="n"/>
      <c r="H3298" s="181">
        <f>IF(OR(F3298="",G3298=""),"",ROUND(MOD(G3298-F3298,1)*24,2))</f>
        <v/>
      </c>
      <c r="K3298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299" ht="20" customHeight="1">
      <c r="D3299" s="179" t="n"/>
      <c r="E3299" s="179" t="n"/>
      <c r="F3299" s="180" t="n"/>
      <c r="G3299" s="180" t="n"/>
      <c r="H3299" s="181">
        <f>IF(OR(F3299="",G3299=""),"",ROUND(MOD(G3299-F3299,1)*24,2))</f>
        <v/>
      </c>
      <c r="K3299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300" collapsed="1" ht="20" customHeight="1">
      <c r="D3300" s="179" t="n"/>
      <c r="E3300" s="179" t="n"/>
      <c r="F3300" s="180" t="n"/>
      <c r="G3300" s="180" t="n"/>
      <c r="H3300" s="181">
        <f>IF(OR(F3300="",G3300=""),"",ROUND(MOD(G3300-F3300,1)*24,2))</f>
        <v/>
      </c>
      <c r="K3300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301" hidden="1" outlineLevel="1" ht="20" customHeight="1">
      <c r="D3301" s="179" t="n"/>
      <c r="E3301" s="179" t="n"/>
      <c r="F3301" s="180" t="n"/>
      <c r="G3301" s="180" t="n"/>
      <c r="H3301" s="181">
        <f>IF(OR(F3301="",G3301=""),"",ROUND(MOD(G3301-F3301,1)*24,2))</f>
        <v/>
      </c>
      <c r="K3301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302" hidden="1" outlineLevel="1" ht="20" customHeight="1">
      <c r="D3302" s="179" t="n"/>
      <c r="E3302" s="179" t="n"/>
      <c r="F3302" s="180" t="n"/>
      <c r="G3302" s="180" t="n"/>
      <c r="H3302" s="181">
        <f>IF(OR(F3302="",G3302=""),"",ROUND(MOD(G3302-F3302,1)*24,2))</f>
        <v/>
      </c>
      <c r="K3302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303" hidden="1" outlineLevel="1" ht="20" customHeight="1">
      <c r="D3303" s="179" t="n"/>
      <c r="E3303" s="179" t="n"/>
      <c r="F3303" s="180" t="n"/>
      <c r="G3303" s="180" t="n"/>
      <c r="H3303" s="181">
        <f>IF(OR(F3303="",G3303=""),"",ROUND(MOD(G3303-F3303,1)*24,2))</f>
        <v/>
      </c>
      <c r="K3303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304" hidden="1" outlineLevel="1" ht="20" customHeight="1">
      <c r="D3304" s="179" t="n"/>
      <c r="E3304" s="179" t="n"/>
      <c r="F3304" s="180" t="n"/>
      <c r="G3304" s="180" t="n"/>
      <c r="H3304" s="181">
        <f>IF(OR(F3304="",G3304=""),"",ROUND(MOD(G3304-F3304,1)*24,2))</f>
        <v/>
      </c>
      <c r="K3304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305" hidden="1" outlineLevel="1" ht="20" customHeight="1">
      <c r="A3305" s="342" t="n"/>
      <c r="B3305" s="342" t="n"/>
      <c r="C3305" s="342" t="n"/>
      <c r="D3305" s="332" t="n"/>
      <c r="E3305" s="332" t="n"/>
      <c r="F3305" s="333" t="n"/>
      <c r="G3305" s="333" t="n"/>
      <c r="H3305" s="334">
        <f>IF(OR(F3305="",G3305=""),"",ROUND(MOD(G3305-F3305,1)*24,2))</f>
        <v/>
      </c>
      <c r="I3305" s="342" t="n"/>
      <c r="J3305" s="342" t="n"/>
      <c r="K3305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306" ht="20" customHeight="1">
      <c r="A3306" s="336">
        <f>IF($K3306="","",WEEKNUM($K3306,21))</f>
        <v/>
      </c>
      <c r="B3306" s="337">
        <f>IF($K3306="","",$K3306)</f>
        <v/>
      </c>
      <c r="C3306" s="338">
        <f>IF($K3306="","",$K3306)</f>
        <v/>
      </c>
      <c r="D3306" s="171" t="n"/>
      <c r="E3306" s="171" t="n"/>
      <c r="F3306" s="172" t="n"/>
      <c r="G3306" s="172" t="n"/>
      <c r="H3306" s="173">
        <f>IF(OR(F3306="",G3306=""),"",ROUND(MOD(G3306-F3306,1)*24,2))</f>
        <v/>
      </c>
      <c r="I3306" s="339" t="n"/>
      <c r="J3306" s="339" t="n"/>
      <c r="K3306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07" ht="20" customHeight="1">
      <c r="D3307" s="179" t="n"/>
      <c r="E3307" s="179" t="n"/>
      <c r="F3307" s="180" t="n"/>
      <c r="G3307" s="180" t="n"/>
      <c r="H3307" s="181">
        <f>IF(OR(F3307="",G3307=""),"",ROUND(MOD(G3307-F3307,1)*24,2))</f>
        <v/>
      </c>
      <c r="K3307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08" ht="20" customHeight="1">
      <c r="D3308" s="179" t="n"/>
      <c r="E3308" s="179" t="n"/>
      <c r="F3308" s="180" t="n"/>
      <c r="G3308" s="180" t="n"/>
      <c r="H3308" s="181">
        <f>IF(OR(F3308="",G3308=""),"",ROUND(MOD(G3308-F3308,1)*24,2))</f>
        <v/>
      </c>
      <c r="K3308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09" ht="20" customHeight="1">
      <c r="D3309" s="179" t="n"/>
      <c r="E3309" s="179" t="n"/>
      <c r="F3309" s="180" t="n"/>
      <c r="G3309" s="180" t="n"/>
      <c r="H3309" s="181">
        <f>IF(OR(F3309="",G3309=""),"",ROUND(MOD(G3309-F3309,1)*24,2))</f>
        <v/>
      </c>
      <c r="K3309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10" collapsed="1" ht="20" customHeight="1">
      <c r="D3310" s="179" t="n"/>
      <c r="E3310" s="179" t="n"/>
      <c r="F3310" s="180" t="n"/>
      <c r="G3310" s="180" t="n"/>
      <c r="H3310" s="181">
        <f>IF(OR(F3310="",G3310=""),"",ROUND(MOD(G3310-F3310,1)*24,2))</f>
        <v/>
      </c>
      <c r="K3310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11" hidden="1" outlineLevel="1" ht="20" customHeight="1">
      <c r="D3311" s="179" t="n"/>
      <c r="E3311" s="179" t="n"/>
      <c r="F3311" s="180" t="n"/>
      <c r="G3311" s="180" t="n"/>
      <c r="H3311" s="181">
        <f>IF(OR(F3311="",G3311=""),"",ROUND(MOD(G3311-F3311,1)*24,2))</f>
        <v/>
      </c>
      <c r="K3311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12" hidden="1" outlineLevel="1" ht="20" customHeight="1">
      <c r="D3312" s="179" t="n"/>
      <c r="E3312" s="179" t="n"/>
      <c r="F3312" s="180" t="n"/>
      <c r="G3312" s="180" t="n"/>
      <c r="H3312" s="181">
        <f>IF(OR(F3312="",G3312=""),"",ROUND(MOD(G3312-F3312,1)*24,2))</f>
        <v/>
      </c>
      <c r="K3312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13" hidden="1" outlineLevel="1" ht="20" customHeight="1">
      <c r="D3313" s="179" t="n"/>
      <c r="E3313" s="179" t="n"/>
      <c r="F3313" s="180" t="n"/>
      <c r="G3313" s="180" t="n"/>
      <c r="H3313" s="181">
        <f>IF(OR(F3313="",G3313=""),"",ROUND(MOD(G3313-F3313,1)*24,2))</f>
        <v/>
      </c>
      <c r="K3313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14" hidden="1" outlineLevel="1" ht="20" customHeight="1">
      <c r="D3314" s="179" t="n"/>
      <c r="E3314" s="179" t="n"/>
      <c r="F3314" s="180" t="n"/>
      <c r="G3314" s="180" t="n"/>
      <c r="H3314" s="181">
        <f>IF(OR(F3314="",G3314=""),"",ROUND(MOD(G3314-F3314,1)*24,2))</f>
        <v/>
      </c>
      <c r="K3314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15" hidden="1" outlineLevel="1" ht="20" customHeight="1">
      <c r="A3315" s="342" t="n"/>
      <c r="B3315" s="342" t="n"/>
      <c r="C3315" s="342" t="n"/>
      <c r="D3315" s="332" t="n"/>
      <c r="E3315" s="332" t="n"/>
      <c r="F3315" s="333" t="n"/>
      <c r="G3315" s="333" t="n"/>
      <c r="H3315" s="334">
        <f>IF(OR(F3315="",G3315=""),"",ROUND(MOD(G3315-F3315,1)*24,2))</f>
        <v/>
      </c>
      <c r="I3315" s="342" t="n"/>
      <c r="J3315" s="342" t="n"/>
      <c r="K3315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16" ht="20" customHeight="1">
      <c r="A3316" s="336">
        <f>IF($K3316="","",WEEKNUM($K3316,21))</f>
        <v/>
      </c>
      <c r="B3316" s="337">
        <f>IF($K3316="","",$K3316)</f>
        <v/>
      </c>
      <c r="C3316" s="338">
        <f>IF($K3316="","",$K3316)</f>
        <v/>
      </c>
      <c r="D3316" s="171" t="n"/>
      <c r="E3316" s="171" t="n"/>
      <c r="F3316" s="172" t="n"/>
      <c r="G3316" s="172" t="n"/>
      <c r="H3316" s="173">
        <f>IF(OR(F3316="",G3316=""),"",ROUND(MOD(G3316-F3316,1)*24,2))</f>
        <v/>
      </c>
      <c r="I3316" s="339" t="n"/>
      <c r="J3316" s="339" t="n"/>
      <c r="K3316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17" ht="20" customHeight="1">
      <c r="D3317" s="179" t="n"/>
      <c r="E3317" s="179" t="n"/>
      <c r="F3317" s="180" t="n"/>
      <c r="G3317" s="180" t="n"/>
      <c r="H3317" s="181">
        <f>IF(OR(F3317="",G3317=""),"",ROUND(MOD(G3317-F3317,1)*24,2))</f>
        <v/>
      </c>
      <c r="K3317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18" ht="20" customHeight="1">
      <c r="D3318" s="179" t="n"/>
      <c r="E3318" s="179" t="n"/>
      <c r="F3318" s="180" t="n"/>
      <c r="G3318" s="180" t="n"/>
      <c r="H3318" s="181">
        <f>IF(OR(F3318="",G3318=""),"",ROUND(MOD(G3318-F3318,1)*24,2))</f>
        <v/>
      </c>
      <c r="K3318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19" ht="20" customHeight="1">
      <c r="D3319" s="179" t="n"/>
      <c r="E3319" s="179" t="n"/>
      <c r="F3319" s="180" t="n"/>
      <c r="G3319" s="180" t="n"/>
      <c r="H3319" s="181">
        <f>IF(OR(F3319="",G3319=""),"",ROUND(MOD(G3319-F3319,1)*24,2))</f>
        <v/>
      </c>
      <c r="K3319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20" collapsed="1" ht="20" customHeight="1">
      <c r="D3320" s="179" t="n"/>
      <c r="E3320" s="179" t="n"/>
      <c r="F3320" s="180" t="n"/>
      <c r="G3320" s="180" t="n"/>
      <c r="H3320" s="181">
        <f>IF(OR(F3320="",G3320=""),"",ROUND(MOD(G3320-F3320,1)*24,2))</f>
        <v/>
      </c>
      <c r="K3320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21" hidden="1" outlineLevel="1" ht="20" customHeight="1">
      <c r="D3321" s="179" t="n"/>
      <c r="E3321" s="179" t="n"/>
      <c r="F3321" s="180" t="n"/>
      <c r="G3321" s="180" t="n"/>
      <c r="H3321" s="181">
        <f>IF(OR(F3321="",G3321=""),"",ROUND(MOD(G3321-F3321,1)*24,2))</f>
        <v/>
      </c>
      <c r="K3321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22" hidden="1" outlineLevel="1" ht="20" customHeight="1">
      <c r="D3322" s="179" t="n"/>
      <c r="E3322" s="179" t="n"/>
      <c r="F3322" s="180" t="n"/>
      <c r="G3322" s="180" t="n"/>
      <c r="H3322" s="181">
        <f>IF(OR(F3322="",G3322=""),"",ROUND(MOD(G3322-F3322,1)*24,2))</f>
        <v/>
      </c>
      <c r="K3322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23" hidden="1" outlineLevel="1" ht="20" customHeight="1">
      <c r="D3323" s="179" t="n"/>
      <c r="E3323" s="179" t="n"/>
      <c r="F3323" s="180" t="n"/>
      <c r="G3323" s="180" t="n"/>
      <c r="H3323" s="181">
        <f>IF(OR(F3323="",G3323=""),"",ROUND(MOD(G3323-F3323,1)*24,2))</f>
        <v/>
      </c>
      <c r="K3323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24" hidden="1" outlineLevel="1" ht="20" customHeight="1">
      <c r="D3324" s="179" t="n"/>
      <c r="E3324" s="179" t="n"/>
      <c r="F3324" s="180" t="n"/>
      <c r="G3324" s="180" t="n"/>
      <c r="H3324" s="181">
        <f>IF(OR(F3324="",G3324=""),"",ROUND(MOD(G3324-F3324,1)*24,2))</f>
        <v/>
      </c>
      <c r="K3324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25" hidden="1" outlineLevel="1" ht="20" customHeight="1">
      <c r="A3325" s="342" t="n"/>
      <c r="B3325" s="342" t="n"/>
      <c r="C3325" s="342" t="n"/>
      <c r="D3325" s="332" t="n"/>
      <c r="E3325" s="332" t="n"/>
      <c r="F3325" s="333" t="n"/>
      <c r="G3325" s="333" t="n"/>
      <c r="H3325" s="334">
        <f>IF(OR(F3325="",G3325=""),"",ROUND(MOD(G3325-F3325,1)*24,2))</f>
        <v/>
      </c>
      <c r="I3325" s="342" t="n"/>
      <c r="J3325" s="342" t="n"/>
      <c r="K3325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26" ht="20" customHeight="1">
      <c r="A3326" s="336">
        <f>IF($K3326="","",WEEKNUM($K3326,21))</f>
        <v/>
      </c>
      <c r="B3326" s="337">
        <f>IF($K3326="","",$K3326)</f>
        <v/>
      </c>
      <c r="C3326" s="338">
        <f>IF($K3326="","",$K3326)</f>
        <v/>
      </c>
      <c r="D3326" s="171" t="n"/>
      <c r="E3326" s="171" t="n"/>
      <c r="F3326" s="172" t="n"/>
      <c r="G3326" s="172" t="n"/>
      <c r="H3326" s="173">
        <f>IF(OR(F3326="",G3326=""),"",ROUND(MOD(G3326-F3326,1)*24,2))</f>
        <v/>
      </c>
      <c r="I3326" s="339" t="n"/>
      <c r="J3326" s="339" t="n"/>
      <c r="K3326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27" ht="20" customHeight="1">
      <c r="D3327" s="179" t="n"/>
      <c r="E3327" s="179" t="n"/>
      <c r="F3327" s="180" t="n"/>
      <c r="G3327" s="180" t="n"/>
      <c r="H3327" s="181">
        <f>IF(OR(F3327="",G3327=""),"",ROUND(MOD(G3327-F3327,1)*24,2))</f>
        <v/>
      </c>
      <c r="K3327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28" ht="20" customHeight="1">
      <c r="D3328" s="179" t="n"/>
      <c r="E3328" s="179" t="n"/>
      <c r="F3328" s="180" t="n"/>
      <c r="G3328" s="180" t="n"/>
      <c r="H3328" s="181">
        <f>IF(OR(F3328="",G3328=""),"",ROUND(MOD(G3328-F3328,1)*24,2))</f>
        <v/>
      </c>
      <c r="K3328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29" ht="20" customHeight="1">
      <c r="D3329" s="179" t="n"/>
      <c r="E3329" s="179" t="n"/>
      <c r="F3329" s="180" t="n"/>
      <c r="G3329" s="180" t="n"/>
      <c r="H3329" s="181">
        <f>IF(OR(F3329="",G3329=""),"",ROUND(MOD(G3329-F3329,1)*24,2))</f>
        <v/>
      </c>
      <c r="K3329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30" collapsed="1" ht="20" customHeight="1">
      <c r="D3330" s="179" t="n"/>
      <c r="E3330" s="179" t="n"/>
      <c r="F3330" s="180" t="n"/>
      <c r="G3330" s="180" t="n"/>
      <c r="H3330" s="181">
        <f>IF(OR(F3330="",G3330=""),"",ROUND(MOD(G3330-F3330,1)*24,2))</f>
        <v/>
      </c>
      <c r="K3330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31" hidden="1" outlineLevel="1" ht="20" customHeight="1">
      <c r="D3331" s="179" t="n"/>
      <c r="E3331" s="179" t="n"/>
      <c r="F3331" s="180" t="n"/>
      <c r="G3331" s="180" t="n"/>
      <c r="H3331" s="181">
        <f>IF(OR(F3331="",G3331=""),"",ROUND(MOD(G3331-F3331,1)*24,2))</f>
        <v/>
      </c>
      <c r="K3331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32" hidden="1" outlineLevel="1" ht="20" customHeight="1">
      <c r="D3332" s="179" t="n"/>
      <c r="E3332" s="179" t="n"/>
      <c r="F3332" s="180" t="n"/>
      <c r="G3332" s="180" t="n"/>
      <c r="H3332" s="181">
        <f>IF(OR(F3332="",G3332=""),"",ROUND(MOD(G3332-F3332,1)*24,2))</f>
        <v/>
      </c>
      <c r="K3332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33" hidden="1" outlineLevel="1" ht="20" customHeight="1">
      <c r="D3333" s="179" t="n"/>
      <c r="E3333" s="179" t="n"/>
      <c r="F3333" s="180" t="n"/>
      <c r="G3333" s="180" t="n"/>
      <c r="H3333" s="181">
        <f>IF(OR(F3333="",G3333=""),"",ROUND(MOD(G3333-F3333,1)*24,2))</f>
        <v/>
      </c>
      <c r="K3333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34" hidden="1" outlineLevel="1" ht="20" customHeight="1">
      <c r="D3334" s="179" t="n"/>
      <c r="E3334" s="179" t="n"/>
      <c r="F3334" s="180" t="n"/>
      <c r="G3334" s="180" t="n"/>
      <c r="H3334" s="181">
        <f>IF(OR(F3334="",G3334=""),"",ROUND(MOD(G3334-F3334,1)*24,2))</f>
        <v/>
      </c>
      <c r="K3334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35" hidden="1" outlineLevel="1" ht="20" customHeight="1">
      <c r="A3335" s="342" t="n"/>
      <c r="B3335" s="342" t="n"/>
      <c r="C3335" s="342" t="n"/>
      <c r="D3335" s="332" t="n"/>
      <c r="E3335" s="332" t="n"/>
      <c r="F3335" s="333" t="n"/>
      <c r="G3335" s="333" t="n"/>
      <c r="H3335" s="334">
        <f>IF(OR(F3335="",G3335=""),"",ROUND(MOD(G3335-F3335,1)*24,2))</f>
        <v/>
      </c>
      <c r="I3335" s="342" t="n"/>
      <c r="J3335" s="342" t="n"/>
      <c r="K3335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36" ht="20" customHeight="1">
      <c r="A3336" s="336">
        <f>IF($K3336="","",WEEKNUM($K3336,21))</f>
        <v/>
      </c>
      <c r="B3336" s="337">
        <f>IF($K3336="","",$K3336)</f>
        <v/>
      </c>
      <c r="C3336" s="338">
        <f>IF($K3336="","",$K3336)</f>
        <v/>
      </c>
      <c r="D3336" s="171" t="n"/>
      <c r="E3336" s="171" t="n"/>
      <c r="F3336" s="172" t="n"/>
      <c r="G3336" s="172" t="n"/>
      <c r="H3336" s="173">
        <f>IF(OR(F3336="",G3336=""),"",ROUND(MOD(G3336-F3336,1)*24,2))</f>
        <v/>
      </c>
      <c r="I3336" s="339" t="n"/>
      <c r="J3336" s="339" t="n"/>
      <c r="K3336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37" ht="20" customHeight="1">
      <c r="D3337" s="179" t="n"/>
      <c r="E3337" s="179" t="n"/>
      <c r="F3337" s="180" t="n"/>
      <c r="G3337" s="180" t="n"/>
      <c r="H3337" s="181">
        <f>IF(OR(F3337="",G3337=""),"",ROUND(MOD(G3337-F3337,1)*24,2))</f>
        <v/>
      </c>
      <c r="K3337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38" ht="20" customHeight="1">
      <c r="D3338" s="179" t="n"/>
      <c r="E3338" s="179" t="n"/>
      <c r="F3338" s="180" t="n"/>
      <c r="G3338" s="180" t="n"/>
      <c r="H3338" s="181">
        <f>IF(OR(F3338="",G3338=""),"",ROUND(MOD(G3338-F3338,1)*24,2))</f>
        <v/>
      </c>
      <c r="K3338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39" ht="20" customHeight="1">
      <c r="D3339" s="179" t="n"/>
      <c r="E3339" s="179" t="n"/>
      <c r="F3339" s="180" t="n"/>
      <c r="G3339" s="180" t="n"/>
      <c r="H3339" s="181">
        <f>IF(OR(F3339="",G3339=""),"",ROUND(MOD(G3339-F3339,1)*24,2))</f>
        <v/>
      </c>
      <c r="K3339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40" collapsed="1" ht="20" customHeight="1">
      <c r="D3340" s="179" t="n"/>
      <c r="E3340" s="179" t="n"/>
      <c r="F3340" s="180" t="n"/>
      <c r="G3340" s="180" t="n"/>
      <c r="H3340" s="181">
        <f>IF(OR(F3340="",G3340=""),"",ROUND(MOD(G3340-F3340,1)*24,2))</f>
        <v/>
      </c>
      <c r="K3340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41" hidden="1" outlineLevel="1" ht="20" customHeight="1">
      <c r="D3341" s="179" t="n"/>
      <c r="E3341" s="179" t="n"/>
      <c r="F3341" s="180" t="n"/>
      <c r="G3341" s="180" t="n"/>
      <c r="H3341" s="181">
        <f>IF(OR(F3341="",G3341=""),"",ROUND(MOD(G3341-F3341,1)*24,2))</f>
        <v/>
      </c>
      <c r="K3341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42" hidden="1" outlineLevel="1" ht="20" customHeight="1">
      <c r="D3342" s="179" t="n"/>
      <c r="E3342" s="179" t="n"/>
      <c r="F3342" s="180" t="n"/>
      <c r="G3342" s="180" t="n"/>
      <c r="H3342" s="181">
        <f>IF(OR(F3342="",G3342=""),"",ROUND(MOD(G3342-F3342,1)*24,2))</f>
        <v/>
      </c>
      <c r="K3342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43" hidden="1" outlineLevel="1" ht="20" customHeight="1">
      <c r="D3343" s="179" t="n"/>
      <c r="E3343" s="179" t="n"/>
      <c r="F3343" s="180" t="n"/>
      <c r="G3343" s="180" t="n"/>
      <c r="H3343" s="181">
        <f>IF(OR(F3343="",G3343=""),"",ROUND(MOD(G3343-F3343,1)*24,2))</f>
        <v/>
      </c>
      <c r="K3343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44" hidden="1" outlineLevel="1" ht="20" customHeight="1">
      <c r="D3344" s="179" t="n"/>
      <c r="E3344" s="179" t="n"/>
      <c r="F3344" s="180" t="n"/>
      <c r="G3344" s="180" t="n"/>
      <c r="H3344" s="181">
        <f>IF(OR(F3344="",G3344=""),"",ROUND(MOD(G3344-F3344,1)*24,2))</f>
        <v/>
      </c>
      <c r="K3344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45" hidden="1" outlineLevel="1" ht="20" customHeight="1">
      <c r="A3345" s="342" t="n"/>
      <c r="B3345" s="342" t="n"/>
      <c r="C3345" s="342" t="n"/>
      <c r="D3345" s="332" t="n"/>
      <c r="E3345" s="332" t="n"/>
      <c r="F3345" s="333" t="n"/>
      <c r="G3345" s="333" t="n"/>
      <c r="H3345" s="334">
        <f>IF(OR(F3345="",G3345=""),"",ROUND(MOD(G3345-F3345,1)*24,2))</f>
        <v/>
      </c>
      <c r="I3345" s="342" t="n"/>
      <c r="J3345" s="342" t="n"/>
      <c r="K3345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46" ht="20" customHeight="1">
      <c r="A3346" s="336">
        <f>IF($K3346="","",WEEKNUM($K3346,21))</f>
        <v/>
      </c>
      <c r="B3346" s="337">
        <f>IF($K3346="","",$K3346)</f>
        <v/>
      </c>
      <c r="C3346" s="338">
        <f>IF($K3346="","",$K3346)</f>
        <v/>
      </c>
      <c r="D3346" s="171" t="n"/>
      <c r="E3346" s="171" t="n"/>
      <c r="F3346" s="172" t="n"/>
      <c r="G3346" s="172" t="n"/>
      <c r="H3346" s="173">
        <f>IF(OR(F3346="",G3346=""),"",ROUND(MOD(G3346-F3346,1)*24,2))</f>
        <v/>
      </c>
      <c r="I3346" s="339" t="n"/>
      <c r="J3346" s="339" t="n"/>
      <c r="K3346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47" ht="20" customHeight="1">
      <c r="D3347" s="179" t="n"/>
      <c r="E3347" s="179" t="n"/>
      <c r="F3347" s="180" t="n"/>
      <c r="G3347" s="180" t="n"/>
      <c r="H3347" s="181">
        <f>IF(OR(F3347="",G3347=""),"",ROUND(MOD(G3347-F3347,1)*24,2))</f>
        <v/>
      </c>
      <c r="K3347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48" ht="20" customHeight="1">
      <c r="D3348" s="179" t="n"/>
      <c r="E3348" s="179" t="n"/>
      <c r="F3348" s="180" t="n"/>
      <c r="G3348" s="180" t="n"/>
      <c r="H3348" s="181">
        <f>IF(OR(F3348="",G3348=""),"",ROUND(MOD(G3348-F3348,1)*24,2))</f>
        <v/>
      </c>
      <c r="K3348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49" ht="20" customHeight="1">
      <c r="D3349" s="179" t="n"/>
      <c r="E3349" s="179" t="n"/>
      <c r="F3349" s="180" t="n"/>
      <c r="G3349" s="180" t="n"/>
      <c r="H3349" s="181">
        <f>IF(OR(F3349="",G3349=""),"",ROUND(MOD(G3349-F3349,1)*24,2))</f>
        <v/>
      </c>
      <c r="K3349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50" collapsed="1" ht="20" customHeight="1">
      <c r="D3350" s="179" t="n"/>
      <c r="E3350" s="179" t="n"/>
      <c r="F3350" s="180" t="n"/>
      <c r="G3350" s="180" t="n"/>
      <c r="H3350" s="181">
        <f>IF(OR(F3350="",G3350=""),"",ROUND(MOD(G3350-F3350,1)*24,2))</f>
        <v/>
      </c>
      <c r="K3350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51" hidden="1" outlineLevel="1" ht="20" customHeight="1">
      <c r="D3351" s="179" t="n"/>
      <c r="E3351" s="179" t="n"/>
      <c r="F3351" s="180" t="n"/>
      <c r="G3351" s="180" t="n"/>
      <c r="H3351" s="181">
        <f>IF(OR(F3351="",G3351=""),"",ROUND(MOD(G3351-F3351,1)*24,2))</f>
        <v/>
      </c>
      <c r="K3351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52" hidden="1" outlineLevel="1" ht="20" customHeight="1">
      <c r="D3352" s="179" t="n"/>
      <c r="E3352" s="179" t="n"/>
      <c r="F3352" s="180" t="n"/>
      <c r="G3352" s="180" t="n"/>
      <c r="H3352" s="181">
        <f>IF(OR(F3352="",G3352=""),"",ROUND(MOD(G3352-F3352,1)*24,2))</f>
        <v/>
      </c>
      <c r="K3352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53" hidden="1" outlineLevel="1" ht="20" customHeight="1">
      <c r="D3353" s="179" t="n"/>
      <c r="E3353" s="179" t="n"/>
      <c r="F3353" s="180" t="n"/>
      <c r="G3353" s="180" t="n"/>
      <c r="H3353" s="181">
        <f>IF(OR(F3353="",G3353=""),"",ROUND(MOD(G3353-F3353,1)*24,2))</f>
        <v/>
      </c>
      <c r="K3353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54" hidden="1" outlineLevel="1" ht="20" customHeight="1">
      <c r="D3354" s="179" t="n"/>
      <c r="E3354" s="179" t="n"/>
      <c r="F3354" s="180" t="n"/>
      <c r="G3354" s="180" t="n"/>
      <c r="H3354" s="181">
        <f>IF(OR(F3354="",G3354=""),"",ROUND(MOD(G3354-F3354,1)*24,2))</f>
        <v/>
      </c>
      <c r="K3354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55" hidden="1" outlineLevel="1" ht="20" customHeight="1">
      <c r="A3355" s="342" t="n"/>
      <c r="B3355" s="342" t="n"/>
      <c r="C3355" s="342" t="n"/>
      <c r="D3355" s="332" t="n"/>
      <c r="E3355" s="332" t="n"/>
      <c r="F3355" s="333" t="n"/>
      <c r="G3355" s="333" t="n"/>
      <c r="H3355" s="334">
        <f>IF(OR(F3355="",G3355=""),"",ROUND(MOD(G3355-F3355,1)*24,2))</f>
        <v/>
      </c>
      <c r="I3355" s="342" t="n"/>
      <c r="J3355" s="342" t="n"/>
      <c r="K3355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56" ht="20" customHeight="1">
      <c r="A3356" s="336">
        <f>IF($K3356="","",WEEKNUM($K3356,21))</f>
        <v/>
      </c>
      <c r="B3356" s="337">
        <f>IF($K3356="","",$K3356)</f>
        <v/>
      </c>
      <c r="C3356" s="338">
        <f>IF($K3356="","",$K3356)</f>
        <v/>
      </c>
      <c r="D3356" s="171" t="n"/>
      <c r="E3356" s="171" t="n"/>
      <c r="F3356" s="172" t="n"/>
      <c r="G3356" s="172" t="n"/>
      <c r="H3356" s="173">
        <f>IF(OR(F3356="",G3356=""),"",ROUND(MOD(G3356-F3356,1)*24,2))</f>
        <v/>
      </c>
      <c r="I3356" s="339" t="n"/>
      <c r="J3356" s="339" t="n"/>
      <c r="K3356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57" ht="20" customHeight="1">
      <c r="D3357" s="179" t="n"/>
      <c r="E3357" s="179" t="n"/>
      <c r="F3357" s="180" t="n"/>
      <c r="G3357" s="180" t="n"/>
      <c r="H3357" s="181">
        <f>IF(OR(F3357="",G3357=""),"",ROUND(MOD(G3357-F3357,1)*24,2))</f>
        <v/>
      </c>
      <c r="K3357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58" ht="20" customHeight="1">
      <c r="D3358" s="179" t="n"/>
      <c r="E3358" s="179" t="n"/>
      <c r="F3358" s="180" t="n"/>
      <c r="G3358" s="180" t="n"/>
      <c r="H3358" s="181">
        <f>IF(OR(F3358="",G3358=""),"",ROUND(MOD(G3358-F3358,1)*24,2))</f>
        <v/>
      </c>
      <c r="K3358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59" ht="20" customHeight="1">
      <c r="D3359" s="179" t="n"/>
      <c r="E3359" s="179" t="n"/>
      <c r="F3359" s="180" t="n"/>
      <c r="G3359" s="180" t="n"/>
      <c r="H3359" s="181">
        <f>IF(OR(F3359="",G3359=""),"",ROUND(MOD(G3359-F3359,1)*24,2))</f>
        <v/>
      </c>
      <c r="K3359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60" collapsed="1" ht="20" customHeight="1">
      <c r="D3360" s="179" t="n"/>
      <c r="E3360" s="179" t="n"/>
      <c r="F3360" s="180" t="n"/>
      <c r="G3360" s="180" t="n"/>
      <c r="H3360" s="181">
        <f>IF(OR(F3360="",G3360=""),"",ROUND(MOD(G3360-F3360,1)*24,2))</f>
        <v/>
      </c>
      <c r="K3360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61" hidden="1" outlineLevel="1" ht="20" customHeight="1">
      <c r="D3361" s="179" t="n"/>
      <c r="E3361" s="179" t="n"/>
      <c r="F3361" s="180" t="n"/>
      <c r="G3361" s="180" t="n"/>
      <c r="H3361" s="181">
        <f>IF(OR(F3361="",G3361=""),"",ROUND(MOD(G3361-F3361,1)*24,2))</f>
        <v/>
      </c>
      <c r="K3361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62" hidden="1" outlineLevel="1" ht="20" customHeight="1">
      <c r="D3362" s="179" t="n"/>
      <c r="E3362" s="179" t="n"/>
      <c r="F3362" s="180" t="n"/>
      <c r="G3362" s="180" t="n"/>
      <c r="H3362" s="181">
        <f>IF(OR(F3362="",G3362=""),"",ROUND(MOD(G3362-F3362,1)*24,2))</f>
        <v/>
      </c>
      <c r="K3362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63" hidden="1" outlineLevel="1" ht="20" customHeight="1">
      <c r="D3363" s="179" t="n"/>
      <c r="E3363" s="179" t="n"/>
      <c r="F3363" s="180" t="n"/>
      <c r="G3363" s="180" t="n"/>
      <c r="H3363" s="181">
        <f>IF(OR(F3363="",G3363=""),"",ROUND(MOD(G3363-F3363,1)*24,2))</f>
        <v/>
      </c>
      <c r="K3363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64" hidden="1" outlineLevel="1" ht="20" customHeight="1">
      <c r="D3364" s="179" t="n"/>
      <c r="E3364" s="179" t="n"/>
      <c r="F3364" s="180" t="n"/>
      <c r="G3364" s="180" t="n"/>
      <c r="H3364" s="181">
        <f>IF(OR(F3364="",G3364=""),"",ROUND(MOD(G3364-F3364,1)*24,2))</f>
        <v/>
      </c>
      <c r="K3364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65" hidden="1" outlineLevel="1" ht="20" customHeight="1">
      <c r="A3365" s="342" t="n"/>
      <c r="B3365" s="342" t="n"/>
      <c r="C3365" s="342" t="n"/>
      <c r="D3365" s="332" t="n"/>
      <c r="E3365" s="332" t="n"/>
      <c r="F3365" s="333" t="n"/>
      <c r="G3365" s="333" t="n"/>
      <c r="H3365" s="334">
        <f>IF(OR(F3365="",G3365=""),"",ROUND(MOD(G3365-F3365,1)*24,2))</f>
        <v/>
      </c>
      <c r="I3365" s="342" t="n"/>
      <c r="J3365" s="342" t="n"/>
      <c r="K3365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66" ht="20" customHeight="1">
      <c r="A3366" s="336">
        <f>IF($K3366="","",WEEKNUM($K3366,21))</f>
        <v/>
      </c>
      <c r="B3366" s="337">
        <f>IF($K3366="","",$K3366)</f>
        <v/>
      </c>
      <c r="C3366" s="338">
        <f>IF($K3366="","",$K3366)</f>
        <v/>
      </c>
      <c r="D3366" s="171" t="n"/>
      <c r="E3366" s="171" t="n"/>
      <c r="F3366" s="172" t="n"/>
      <c r="G3366" s="172" t="n"/>
      <c r="H3366" s="173">
        <f>IF(OR(F3366="",G3366=""),"",ROUND(MOD(G3366-F3366,1)*24,2))</f>
        <v/>
      </c>
      <c r="I3366" s="339" t="n"/>
      <c r="J3366" s="339" t="n"/>
      <c r="K3366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67" ht="20" customHeight="1">
      <c r="D3367" s="179" t="n"/>
      <c r="E3367" s="179" t="n"/>
      <c r="F3367" s="180" t="n"/>
      <c r="G3367" s="180" t="n"/>
      <c r="H3367" s="181">
        <f>IF(OR(F3367="",G3367=""),"",ROUND(MOD(G3367-F3367,1)*24,2))</f>
        <v/>
      </c>
      <c r="K3367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68" ht="20" customHeight="1">
      <c r="D3368" s="179" t="n"/>
      <c r="E3368" s="179" t="n"/>
      <c r="F3368" s="180" t="n"/>
      <c r="G3368" s="180" t="n"/>
      <c r="H3368" s="181">
        <f>IF(OR(F3368="",G3368=""),"",ROUND(MOD(G3368-F3368,1)*24,2))</f>
        <v/>
      </c>
      <c r="K3368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69" ht="20" customHeight="1">
      <c r="D3369" s="179" t="n"/>
      <c r="E3369" s="179" t="n"/>
      <c r="F3369" s="180" t="n"/>
      <c r="G3369" s="180" t="n"/>
      <c r="H3369" s="181">
        <f>IF(OR(F3369="",G3369=""),"",ROUND(MOD(G3369-F3369,1)*24,2))</f>
        <v/>
      </c>
      <c r="K3369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70" collapsed="1" ht="20" customHeight="1">
      <c r="D3370" s="179" t="n"/>
      <c r="E3370" s="179" t="n"/>
      <c r="F3370" s="180" t="n"/>
      <c r="G3370" s="180" t="n"/>
      <c r="H3370" s="181">
        <f>IF(OR(F3370="",G3370=""),"",ROUND(MOD(G3370-F3370,1)*24,2))</f>
        <v/>
      </c>
      <c r="K3370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71" hidden="1" outlineLevel="1" ht="20" customHeight="1">
      <c r="D3371" s="179" t="n"/>
      <c r="E3371" s="179" t="n"/>
      <c r="F3371" s="180" t="n"/>
      <c r="G3371" s="180" t="n"/>
      <c r="H3371" s="181">
        <f>IF(OR(F3371="",G3371=""),"",ROUND(MOD(G3371-F3371,1)*24,2))</f>
        <v/>
      </c>
      <c r="K3371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72" hidden="1" outlineLevel="1" ht="20" customHeight="1">
      <c r="D3372" s="179" t="n"/>
      <c r="E3372" s="179" t="n"/>
      <c r="F3372" s="180" t="n"/>
      <c r="G3372" s="180" t="n"/>
      <c r="H3372" s="181">
        <f>IF(OR(F3372="",G3372=""),"",ROUND(MOD(G3372-F3372,1)*24,2))</f>
        <v/>
      </c>
      <c r="K3372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73" hidden="1" outlineLevel="1" ht="20" customHeight="1">
      <c r="D3373" s="179" t="n"/>
      <c r="E3373" s="179" t="n"/>
      <c r="F3373" s="180" t="n"/>
      <c r="G3373" s="180" t="n"/>
      <c r="H3373" s="181">
        <f>IF(OR(F3373="",G3373=""),"",ROUND(MOD(G3373-F3373,1)*24,2))</f>
        <v/>
      </c>
      <c r="K3373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74" hidden="1" outlineLevel="1" ht="20" customHeight="1">
      <c r="D3374" s="179" t="n"/>
      <c r="E3374" s="179" t="n"/>
      <c r="F3374" s="180" t="n"/>
      <c r="G3374" s="180" t="n"/>
      <c r="H3374" s="181">
        <f>IF(OR(F3374="",G3374=""),"",ROUND(MOD(G3374-F3374,1)*24,2))</f>
        <v/>
      </c>
      <c r="K3374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75" hidden="1" outlineLevel="1" ht="20" customHeight="1">
      <c r="A3375" s="342" t="n"/>
      <c r="B3375" s="342" t="n"/>
      <c r="C3375" s="342" t="n"/>
      <c r="D3375" s="332" t="n"/>
      <c r="E3375" s="332" t="n"/>
      <c r="F3375" s="333" t="n"/>
      <c r="G3375" s="333" t="n"/>
      <c r="H3375" s="334">
        <f>IF(OR(F3375="",G3375=""),"",ROUND(MOD(G3375-F3375,1)*24,2))</f>
        <v/>
      </c>
      <c r="I3375" s="342" t="n"/>
      <c r="J3375" s="342" t="n"/>
      <c r="K3375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76" ht="20" customHeight="1">
      <c r="A3376" s="336">
        <f>IF($K3376="","",WEEKNUM($K3376,21))</f>
        <v/>
      </c>
      <c r="B3376" s="337">
        <f>IF($K3376="","",$K3376)</f>
        <v/>
      </c>
      <c r="C3376" s="338">
        <f>IF($K3376="","",$K3376)</f>
        <v/>
      </c>
      <c r="D3376" s="171" t="n"/>
      <c r="E3376" s="171" t="n"/>
      <c r="F3376" s="172" t="n"/>
      <c r="G3376" s="172" t="n"/>
      <c r="H3376" s="173">
        <f>IF(OR(F3376="",G3376=""),"",ROUND(MOD(G3376-F3376,1)*24,2))</f>
        <v/>
      </c>
      <c r="I3376" s="339" t="n"/>
      <c r="J3376" s="339" t="n"/>
      <c r="K3376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77" ht="20" customHeight="1">
      <c r="D3377" s="179" t="n"/>
      <c r="E3377" s="179" t="n"/>
      <c r="F3377" s="180" t="n"/>
      <c r="G3377" s="180" t="n"/>
      <c r="H3377" s="181">
        <f>IF(OR(F3377="",G3377=""),"",ROUND(MOD(G3377-F3377,1)*24,2))</f>
        <v/>
      </c>
      <c r="K3377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78" ht="20" customHeight="1">
      <c r="D3378" s="179" t="n"/>
      <c r="E3378" s="179" t="n"/>
      <c r="F3378" s="180" t="n"/>
      <c r="G3378" s="180" t="n"/>
      <c r="H3378" s="181">
        <f>IF(OR(F3378="",G3378=""),"",ROUND(MOD(G3378-F3378,1)*24,2))</f>
        <v/>
      </c>
      <c r="K3378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79" ht="20" customHeight="1">
      <c r="D3379" s="179" t="n"/>
      <c r="E3379" s="179" t="n"/>
      <c r="F3379" s="180" t="n"/>
      <c r="G3379" s="180" t="n"/>
      <c r="H3379" s="181">
        <f>IF(OR(F3379="",G3379=""),"",ROUND(MOD(G3379-F3379,1)*24,2))</f>
        <v/>
      </c>
      <c r="K3379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80" collapsed="1" ht="20" customHeight="1">
      <c r="D3380" s="179" t="n"/>
      <c r="E3380" s="179" t="n"/>
      <c r="F3380" s="180" t="n"/>
      <c r="G3380" s="180" t="n"/>
      <c r="H3380" s="181">
        <f>IF(OR(F3380="",G3380=""),"",ROUND(MOD(G3380-F3380,1)*24,2))</f>
        <v/>
      </c>
      <c r="K3380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81" hidden="1" outlineLevel="1" ht="20" customHeight="1">
      <c r="D3381" s="179" t="n"/>
      <c r="E3381" s="179" t="n"/>
      <c r="F3381" s="180" t="n"/>
      <c r="G3381" s="180" t="n"/>
      <c r="H3381" s="181">
        <f>IF(OR(F3381="",G3381=""),"",ROUND(MOD(G3381-F3381,1)*24,2))</f>
        <v/>
      </c>
      <c r="K3381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82" hidden="1" outlineLevel="1" ht="20" customHeight="1">
      <c r="D3382" s="179" t="n"/>
      <c r="E3382" s="179" t="n"/>
      <c r="F3382" s="180" t="n"/>
      <c r="G3382" s="180" t="n"/>
      <c r="H3382" s="181">
        <f>IF(OR(F3382="",G3382=""),"",ROUND(MOD(G3382-F3382,1)*24,2))</f>
        <v/>
      </c>
      <c r="K3382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83" hidden="1" outlineLevel="1" ht="20" customHeight="1">
      <c r="D3383" s="179" t="n"/>
      <c r="E3383" s="179" t="n"/>
      <c r="F3383" s="180" t="n"/>
      <c r="G3383" s="180" t="n"/>
      <c r="H3383" s="181">
        <f>IF(OR(F3383="",G3383=""),"",ROUND(MOD(G3383-F3383,1)*24,2))</f>
        <v/>
      </c>
      <c r="K3383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84" hidden="1" outlineLevel="1" ht="20" customHeight="1">
      <c r="D3384" s="179" t="n"/>
      <c r="E3384" s="179" t="n"/>
      <c r="F3384" s="180" t="n"/>
      <c r="G3384" s="180" t="n"/>
      <c r="H3384" s="181">
        <f>IF(OR(F3384="",G3384=""),"",ROUND(MOD(G3384-F3384,1)*24,2))</f>
        <v/>
      </c>
      <c r="K3384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85" hidden="1" outlineLevel="1" ht="20" customHeight="1">
      <c r="A3385" s="342" t="n"/>
      <c r="B3385" s="342" t="n"/>
      <c r="C3385" s="342" t="n"/>
      <c r="D3385" s="332" t="n"/>
      <c r="E3385" s="332" t="n"/>
      <c r="F3385" s="333" t="n"/>
      <c r="G3385" s="333" t="n"/>
      <c r="H3385" s="334">
        <f>IF(OR(F3385="",G3385=""),"",ROUND(MOD(G3385-F3385,1)*24,2))</f>
        <v/>
      </c>
      <c r="I3385" s="342" t="n"/>
      <c r="J3385" s="342" t="n"/>
      <c r="K3385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386" ht="20" customHeight="1">
      <c r="A3386" s="336">
        <f>IF($K3386="","",WEEKNUM($K3386,21))</f>
        <v/>
      </c>
      <c r="B3386" s="337">
        <f>IF($K3386="","",$K3386)</f>
        <v/>
      </c>
      <c r="C3386" s="338">
        <f>IF($K3386="","",$K3386)</f>
        <v/>
      </c>
      <c r="D3386" s="171" t="n"/>
      <c r="E3386" s="171" t="n"/>
      <c r="F3386" s="172" t="n"/>
      <c r="G3386" s="172" t="n"/>
      <c r="H3386" s="173">
        <f>IF(OR(F3386="",G3386=""),"",ROUND(MOD(G3386-F3386,1)*24,2))</f>
        <v/>
      </c>
      <c r="I3386" s="339" t="n"/>
      <c r="J3386" s="339" t="n"/>
      <c r="K3386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87" ht="20" customHeight="1">
      <c r="D3387" s="179" t="n"/>
      <c r="E3387" s="179" t="n"/>
      <c r="F3387" s="180" t="n"/>
      <c r="G3387" s="180" t="n"/>
      <c r="H3387" s="181">
        <f>IF(OR(F3387="",G3387=""),"",ROUND(MOD(G3387-F3387,1)*24,2))</f>
        <v/>
      </c>
      <c r="K3387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88" ht="20" customHeight="1">
      <c r="D3388" s="179" t="n"/>
      <c r="E3388" s="179" t="n"/>
      <c r="F3388" s="180" t="n"/>
      <c r="G3388" s="180" t="n"/>
      <c r="H3388" s="181">
        <f>IF(OR(F3388="",G3388=""),"",ROUND(MOD(G3388-F3388,1)*24,2))</f>
        <v/>
      </c>
      <c r="K3388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89" ht="20" customHeight="1">
      <c r="D3389" s="179" t="n"/>
      <c r="E3389" s="179" t="n"/>
      <c r="F3389" s="180" t="n"/>
      <c r="G3389" s="180" t="n"/>
      <c r="H3389" s="181">
        <f>IF(OR(F3389="",G3389=""),"",ROUND(MOD(G3389-F3389,1)*24,2))</f>
        <v/>
      </c>
      <c r="K3389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90" collapsed="1" ht="20" customHeight="1">
      <c r="D3390" s="179" t="n"/>
      <c r="E3390" s="179" t="n"/>
      <c r="F3390" s="180" t="n"/>
      <c r="G3390" s="180" t="n"/>
      <c r="H3390" s="181">
        <f>IF(OR(F3390="",G3390=""),"",ROUND(MOD(G3390-F3390,1)*24,2))</f>
        <v/>
      </c>
      <c r="K3390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91" hidden="1" outlineLevel="1" ht="20" customHeight="1">
      <c r="D3391" s="179" t="n"/>
      <c r="E3391" s="179" t="n"/>
      <c r="F3391" s="180" t="n"/>
      <c r="G3391" s="180" t="n"/>
      <c r="H3391" s="181">
        <f>IF(OR(F3391="",G3391=""),"",ROUND(MOD(G3391-F3391,1)*24,2))</f>
        <v/>
      </c>
      <c r="K3391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92" hidden="1" outlineLevel="1" ht="20" customHeight="1">
      <c r="D3392" s="179" t="n"/>
      <c r="E3392" s="179" t="n"/>
      <c r="F3392" s="180" t="n"/>
      <c r="G3392" s="180" t="n"/>
      <c r="H3392" s="181">
        <f>IF(OR(F3392="",G3392=""),"",ROUND(MOD(G3392-F3392,1)*24,2))</f>
        <v/>
      </c>
      <c r="K3392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93" hidden="1" outlineLevel="1" ht="20" customHeight="1">
      <c r="D3393" s="179" t="n"/>
      <c r="E3393" s="179" t="n"/>
      <c r="F3393" s="180" t="n"/>
      <c r="G3393" s="180" t="n"/>
      <c r="H3393" s="181">
        <f>IF(OR(F3393="",G3393=""),"",ROUND(MOD(G3393-F3393,1)*24,2))</f>
        <v/>
      </c>
      <c r="K3393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94" hidden="1" outlineLevel="1" ht="20" customHeight="1">
      <c r="D3394" s="179" t="n"/>
      <c r="E3394" s="179" t="n"/>
      <c r="F3394" s="180" t="n"/>
      <c r="G3394" s="180" t="n"/>
      <c r="H3394" s="181">
        <f>IF(OR(F3394="",G3394=""),"",ROUND(MOD(G3394-F3394,1)*24,2))</f>
        <v/>
      </c>
      <c r="K3394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95" hidden="1" outlineLevel="1" ht="20" customHeight="1">
      <c r="A3395" s="342" t="n"/>
      <c r="B3395" s="342" t="n"/>
      <c r="C3395" s="342" t="n"/>
      <c r="D3395" s="332" t="n"/>
      <c r="E3395" s="332" t="n"/>
      <c r="F3395" s="333" t="n"/>
      <c r="G3395" s="333" t="n"/>
      <c r="H3395" s="334">
        <f>IF(OR(F3395="",G3395=""),"",ROUND(MOD(G3395-F3395,1)*24,2))</f>
        <v/>
      </c>
      <c r="I3395" s="342" t="n"/>
      <c r="J3395" s="342" t="n"/>
      <c r="K3395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396" ht="20" customHeight="1">
      <c r="A3396" s="336">
        <f>IF($K3396="","",WEEKNUM($K3396,21))</f>
        <v/>
      </c>
      <c r="B3396" s="337">
        <f>IF($K3396="","",$K3396)</f>
        <v/>
      </c>
      <c r="C3396" s="338">
        <f>IF($K3396="","",$K3396)</f>
        <v/>
      </c>
      <c r="D3396" s="171" t="n"/>
      <c r="E3396" s="171" t="n"/>
      <c r="F3396" s="172" t="n"/>
      <c r="G3396" s="172" t="n"/>
      <c r="H3396" s="173">
        <f>IF(OR(F3396="",G3396=""),"",ROUND(MOD(G3396-F3396,1)*24,2))</f>
        <v/>
      </c>
      <c r="I3396" s="339" t="n"/>
      <c r="J3396" s="339" t="n"/>
      <c r="K3396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397" ht="20" customHeight="1">
      <c r="D3397" s="179" t="n"/>
      <c r="E3397" s="179" t="n"/>
      <c r="F3397" s="180" t="n"/>
      <c r="G3397" s="180" t="n"/>
      <c r="H3397" s="181">
        <f>IF(OR(F3397="",G3397=""),"",ROUND(MOD(G3397-F3397,1)*24,2))</f>
        <v/>
      </c>
      <c r="K3397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398" ht="20" customHeight="1">
      <c r="D3398" s="179" t="n"/>
      <c r="E3398" s="179" t="n"/>
      <c r="F3398" s="180" t="n"/>
      <c r="G3398" s="180" t="n"/>
      <c r="H3398" s="181">
        <f>IF(OR(F3398="",G3398=""),"",ROUND(MOD(G3398-F3398,1)*24,2))</f>
        <v/>
      </c>
      <c r="K3398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399" ht="20" customHeight="1">
      <c r="D3399" s="179" t="n"/>
      <c r="E3399" s="179" t="n"/>
      <c r="F3399" s="180" t="n"/>
      <c r="G3399" s="180" t="n"/>
      <c r="H3399" s="181">
        <f>IF(OR(F3399="",G3399=""),"",ROUND(MOD(G3399-F3399,1)*24,2))</f>
        <v/>
      </c>
      <c r="K3399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400" collapsed="1" ht="20" customHeight="1">
      <c r="D3400" s="179" t="n"/>
      <c r="E3400" s="179" t="n"/>
      <c r="F3400" s="180" t="n"/>
      <c r="G3400" s="180" t="n"/>
      <c r="H3400" s="181">
        <f>IF(OR(F3400="",G3400=""),"",ROUND(MOD(G3400-F3400,1)*24,2))</f>
        <v/>
      </c>
      <c r="K3400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401" hidden="1" outlineLevel="1" ht="20" customHeight="1">
      <c r="D3401" s="179" t="n"/>
      <c r="E3401" s="179" t="n"/>
      <c r="F3401" s="180" t="n"/>
      <c r="G3401" s="180" t="n"/>
      <c r="H3401" s="181">
        <f>IF(OR(F3401="",G3401=""),"",ROUND(MOD(G3401-F3401,1)*24,2))</f>
        <v/>
      </c>
      <c r="K3401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402" hidden="1" outlineLevel="1" ht="20" customHeight="1">
      <c r="D3402" s="179" t="n"/>
      <c r="E3402" s="179" t="n"/>
      <c r="F3402" s="180" t="n"/>
      <c r="G3402" s="180" t="n"/>
      <c r="H3402" s="181">
        <f>IF(OR(F3402="",G3402=""),"",ROUND(MOD(G3402-F3402,1)*24,2))</f>
        <v/>
      </c>
      <c r="K3402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403" hidden="1" outlineLevel="1" ht="20" customHeight="1">
      <c r="D3403" s="179" t="n"/>
      <c r="E3403" s="179" t="n"/>
      <c r="F3403" s="180" t="n"/>
      <c r="G3403" s="180" t="n"/>
      <c r="H3403" s="181">
        <f>IF(OR(F3403="",G3403=""),"",ROUND(MOD(G3403-F3403,1)*24,2))</f>
        <v/>
      </c>
      <c r="K3403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404" hidden="1" outlineLevel="1" ht="20" customHeight="1">
      <c r="D3404" s="179" t="n"/>
      <c r="E3404" s="179" t="n"/>
      <c r="F3404" s="180" t="n"/>
      <c r="G3404" s="180" t="n"/>
      <c r="H3404" s="181">
        <f>IF(OR(F3404="",G3404=""),"",ROUND(MOD(G3404-F3404,1)*24,2))</f>
        <v/>
      </c>
      <c r="K3404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405" hidden="1" outlineLevel="1" ht="20" customHeight="1">
      <c r="A3405" s="342" t="n"/>
      <c r="B3405" s="342" t="n"/>
      <c r="C3405" s="342" t="n"/>
      <c r="D3405" s="332" t="n"/>
      <c r="E3405" s="332" t="n"/>
      <c r="F3405" s="333" t="n"/>
      <c r="G3405" s="333" t="n"/>
      <c r="H3405" s="334">
        <f>IF(OR(F3405="",G3405=""),"",ROUND(MOD(G3405-F3405,1)*24,2))</f>
        <v/>
      </c>
      <c r="I3405" s="342" t="n"/>
      <c r="J3405" s="342" t="n"/>
      <c r="K3405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406" ht="20" customHeight="1">
      <c r="A3406" s="336">
        <f>IF($K3406="","",WEEKNUM($K3406,21))</f>
        <v/>
      </c>
      <c r="B3406" s="337">
        <f>IF($K3406="","",$K3406)</f>
        <v/>
      </c>
      <c r="C3406" s="338">
        <f>IF($K3406="","",$K3406)</f>
        <v/>
      </c>
      <c r="D3406" s="171" t="n"/>
      <c r="E3406" s="171" t="n"/>
      <c r="F3406" s="172" t="n"/>
      <c r="G3406" s="172" t="n"/>
      <c r="H3406" s="173">
        <f>IF(OR(F3406="",G3406=""),"",ROUND(MOD(G3406-F3406,1)*24,2))</f>
        <v/>
      </c>
      <c r="I3406" s="339" t="n"/>
      <c r="J3406" s="339" t="n"/>
      <c r="K3406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07" ht="20" customHeight="1">
      <c r="D3407" s="179" t="n"/>
      <c r="E3407" s="179" t="n"/>
      <c r="F3407" s="180" t="n"/>
      <c r="G3407" s="180" t="n"/>
      <c r="H3407" s="181">
        <f>IF(OR(F3407="",G3407=""),"",ROUND(MOD(G3407-F3407,1)*24,2))</f>
        <v/>
      </c>
      <c r="K3407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08" ht="20" customHeight="1">
      <c r="D3408" s="179" t="n"/>
      <c r="E3408" s="179" t="n"/>
      <c r="F3408" s="180" t="n"/>
      <c r="G3408" s="180" t="n"/>
      <c r="H3408" s="181">
        <f>IF(OR(F3408="",G3408=""),"",ROUND(MOD(G3408-F3408,1)*24,2))</f>
        <v/>
      </c>
      <c r="K3408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09" ht="20" customHeight="1">
      <c r="D3409" s="179" t="n"/>
      <c r="E3409" s="179" t="n"/>
      <c r="F3409" s="180" t="n"/>
      <c r="G3409" s="180" t="n"/>
      <c r="H3409" s="181">
        <f>IF(OR(F3409="",G3409=""),"",ROUND(MOD(G3409-F3409,1)*24,2))</f>
        <v/>
      </c>
      <c r="K3409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10" collapsed="1" ht="20" customHeight="1">
      <c r="D3410" s="179" t="n"/>
      <c r="E3410" s="179" t="n"/>
      <c r="F3410" s="180" t="n"/>
      <c r="G3410" s="180" t="n"/>
      <c r="H3410" s="181">
        <f>IF(OR(F3410="",G3410=""),"",ROUND(MOD(G3410-F3410,1)*24,2))</f>
        <v/>
      </c>
      <c r="K3410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11" hidden="1" outlineLevel="1" ht="20" customHeight="1">
      <c r="D3411" s="179" t="n"/>
      <c r="E3411" s="179" t="n"/>
      <c r="F3411" s="180" t="n"/>
      <c r="G3411" s="180" t="n"/>
      <c r="H3411" s="181">
        <f>IF(OR(F3411="",G3411=""),"",ROUND(MOD(G3411-F3411,1)*24,2))</f>
        <v/>
      </c>
      <c r="K3411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12" hidden="1" outlineLevel="1" ht="20" customHeight="1">
      <c r="D3412" s="179" t="n"/>
      <c r="E3412" s="179" t="n"/>
      <c r="F3412" s="180" t="n"/>
      <c r="G3412" s="180" t="n"/>
      <c r="H3412" s="181">
        <f>IF(OR(F3412="",G3412=""),"",ROUND(MOD(G3412-F3412,1)*24,2))</f>
        <v/>
      </c>
      <c r="K3412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13" hidden="1" outlineLevel="1" ht="20" customHeight="1">
      <c r="D3413" s="179" t="n"/>
      <c r="E3413" s="179" t="n"/>
      <c r="F3413" s="180" t="n"/>
      <c r="G3413" s="180" t="n"/>
      <c r="H3413" s="181">
        <f>IF(OR(F3413="",G3413=""),"",ROUND(MOD(G3413-F3413,1)*24,2))</f>
        <v/>
      </c>
      <c r="K3413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14" hidden="1" outlineLevel="1" ht="20" customHeight="1">
      <c r="D3414" s="179" t="n"/>
      <c r="E3414" s="179" t="n"/>
      <c r="F3414" s="180" t="n"/>
      <c r="G3414" s="180" t="n"/>
      <c r="H3414" s="181">
        <f>IF(OR(F3414="",G3414=""),"",ROUND(MOD(G3414-F3414,1)*24,2))</f>
        <v/>
      </c>
      <c r="K3414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15" hidden="1" outlineLevel="1" ht="20" customHeight="1">
      <c r="A3415" s="342" t="n"/>
      <c r="B3415" s="342" t="n"/>
      <c r="C3415" s="342" t="n"/>
      <c r="D3415" s="332" t="n"/>
      <c r="E3415" s="332" t="n"/>
      <c r="F3415" s="333" t="n"/>
      <c r="G3415" s="333" t="n"/>
      <c r="H3415" s="334">
        <f>IF(OR(F3415="",G3415=""),"",ROUND(MOD(G3415-F3415,1)*24,2))</f>
        <v/>
      </c>
      <c r="I3415" s="342" t="n"/>
      <c r="J3415" s="342" t="n"/>
      <c r="K3415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16" ht="20" customHeight="1">
      <c r="A3416" s="336">
        <f>IF($K3416="","",WEEKNUM($K3416,21))</f>
        <v/>
      </c>
      <c r="B3416" s="337">
        <f>IF($K3416="","",$K3416)</f>
        <v/>
      </c>
      <c r="C3416" s="338">
        <f>IF($K3416="","",$K3416)</f>
        <v/>
      </c>
      <c r="D3416" s="171" t="n"/>
      <c r="E3416" s="171" t="n"/>
      <c r="F3416" s="172" t="n"/>
      <c r="G3416" s="172" t="n"/>
      <c r="H3416" s="173">
        <f>IF(OR(F3416="",G3416=""),"",ROUND(MOD(G3416-F3416,1)*24,2))</f>
        <v/>
      </c>
      <c r="I3416" s="339" t="n"/>
      <c r="J3416" s="339" t="n"/>
      <c r="K3416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17" ht="20" customHeight="1">
      <c r="D3417" s="179" t="n"/>
      <c r="E3417" s="179" t="n"/>
      <c r="F3417" s="180" t="n"/>
      <c r="G3417" s="180" t="n"/>
      <c r="H3417" s="181">
        <f>IF(OR(F3417="",G3417=""),"",ROUND(MOD(G3417-F3417,1)*24,2))</f>
        <v/>
      </c>
      <c r="K3417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18" ht="20" customHeight="1">
      <c r="D3418" s="179" t="n"/>
      <c r="E3418" s="179" t="n"/>
      <c r="F3418" s="180" t="n"/>
      <c r="G3418" s="180" t="n"/>
      <c r="H3418" s="181">
        <f>IF(OR(F3418="",G3418=""),"",ROUND(MOD(G3418-F3418,1)*24,2))</f>
        <v/>
      </c>
      <c r="K3418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19" ht="20" customHeight="1">
      <c r="D3419" s="179" t="n"/>
      <c r="E3419" s="179" t="n"/>
      <c r="F3419" s="180" t="n"/>
      <c r="G3419" s="180" t="n"/>
      <c r="H3419" s="181">
        <f>IF(OR(F3419="",G3419=""),"",ROUND(MOD(G3419-F3419,1)*24,2))</f>
        <v/>
      </c>
      <c r="K3419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20" collapsed="1" ht="20" customHeight="1">
      <c r="D3420" s="179" t="n"/>
      <c r="E3420" s="179" t="n"/>
      <c r="F3420" s="180" t="n"/>
      <c r="G3420" s="180" t="n"/>
      <c r="H3420" s="181">
        <f>IF(OR(F3420="",G3420=""),"",ROUND(MOD(G3420-F3420,1)*24,2))</f>
        <v/>
      </c>
      <c r="K3420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21" hidden="1" outlineLevel="1" ht="20" customHeight="1">
      <c r="D3421" s="179" t="n"/>
      <c r="E3421" s="179" t="n"/>
      <c r="F3421" s="180" t="n"/>
      <c r="G3421" s="180" t="n"/>
      <c r="H3421" s="181">
        <f>IF(OR(F3421="",G3421=""),"",ROUND(MOD(G3421-F3421,1)*24,2))</f>
        <v/>
      </c>
      <c r="K3421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22" hidden="1" outlineLevel="1" ht="20" customHeight="1">
      <c r="D3422" s="179" t="n"/>
      <c r="E3422" s="179" t="n"/>
      <c r="F3422" s="180" t="n"/>
      <c r="G3422" s="180" t="n"/>
      <c r="H3422" s="181">
        <f>IF(OR(F3422="",G3422=""),"",ROUND(MOD(G3422-F3422,1)*24,2))</f>
        <v/>
      </c>
      <c r="K3422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23" hidden="1" outlineLevel="1" ht="20" customHeight="1">
      <c r="D3423" s="179" t="n"/>
      <c r="E3423" s="179" t="n"/>
      <c r="F3423" s="180" t="n"/>
      <c r="G3423" s="180" t="n"/>
      <c r="H3423" s="181">
        <f>IF(OR(F3423="",G3423=""),"",ROUND(MOD(G3423-F3423,1)*24,2))</f>
        <v/>
      </c>
      <c r="K3423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24" hidden="1" outlineLevel="1" ht="20" customHeight="1">
      <c r="D3424" s="179" t="n"/>
      <c r="E3424" s="179" t="n"/>
      <c r="F3424" s="180" t="n"/>
      <c r="G3424" s="180" t="n"/>
      <c r="H3424" s="181">
        <f>IF(OR(F3424="",G3424=""),"",ROUND(MOD(G3424-F3424,1)*24,2))</f>
        <v/>
      </c>
      <c r="K3424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25" hidden="1" outlineLevel="1" ht="20" customHeight="1">
      <c r="A3425" s="342" t="n"/>
      <c r="B3425" s="342" t="n"/>
      <c r="C3425" s="342" t="n"/>
      <c r="D3425" s="332" t="n"/>
      <c r="E3425" s="332" t="n"/>
      <c r="F3425" s="333" t="n"/>
      <c r="G3425" s="333" t="n"/>
      <c r="H3425" s="334">
        <f>IF(OR(F3425="",G3425=""),"",ROUND(MOD(G3425-F3425,1)*24,2))</f>
        <v/>
      </c>
      <c r="I3425" s="342" t="n"/>
      <c r="J3425" s="342" t="n"/>
      <c r="K3425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26" ht="20" customHeight="1">
      <c r="A3426" s="336">
        <f>IF($K3426="","",WEEKNUM($K3426,21))</f>
        <v/>
      </c>
      <c r="B3426" s="337">
        <f>IF($K3426="","",$K3426)</f>
        <v/>
      </c>
      <c r="C3426" s="338">
        <f>IF($K3426="","",$K3426)</f>
        <v/>
      </c>
      <c r="D3426" s="171" t="n"/>
      <c r="E3426" s="171" t="n"/>
      <c r="F3426" s="172" t="n"/>
      <c r="G3426" s="172" t="n"/>
      <c r="H3426" s="173">
        <f>IF(OR(F3426="",G3426=""),"",ROUND(MOD(G3426-F3426,1)*24,2))</f>
        <v/>
      </c>
      <c r="I3426" s="339" t="n"/>
      <c r="J3426" s="339" t="n"/>
      <c r="K3426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27" ht="20" customHeight="1">
      <c r="D3427" s="179" t="n"/>
      <c r="E3427" s="179" t="n"/>
      <c r="F3427" s="180" t="n"/>
      <c r="G3427" s="180" t="n"/>
      <c r="H3427" s="181">
        <f>IF(OR(F3427="",G3427=""),"",ROUND(MOD(G3427-F3427,1)*24,2))</f>
        <v/>
      </c>
      <c r="K3427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28" ht="20" customHeight="1">
      <c r="D3428" s="179" t="n"/>
      <c r="E3428" s="179" t="n"/>
      <c r="F3428" s="180" t="n"/>
      <c r="G3428" s="180" t="n"/>
      <c r="H3428" s="181">
        <f>IF(OR(F3428="",G3428=""),"",ROUND(MOD(G3428-F3428,1)*24,2))</f>
        <v/>
      </c>
      <c r="K3428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29" ht="20" customHeight="1">
      <c r="D3429" s="179" t="n"/>
      <c r="E3429" s="179" t="n"/>
      <c r="F3429" s="180" t="n"/>
      <c r="G3429" s="180" t="n"/>
      <c r="H3429" s="181">
        <f>IF(OR(F3429="",G3429=""),"",ROUND(MOD(G3429-F3429,1)*24,2))</f>
        <v/>
      </c>
      <c r="K3429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30" collapsed="1" ht="20" customHeight="1">
      <c r="D3430" s="179" t="n"/>
      <c r="E3430" s="179" t="n"/>
      <c r="F3430" s="180" t="n"/>
      <c r="G3430" s="180" t="n"/>
      <c r="H3430" s="181">
        <f>IF(OR(F3430="",G3430=""),"",ROUND(MOD(G3430-F3430,1)*24,2))</f>
        <v/>
      </c>
      <c r="K3430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31" hidden="1" outlineLevel="1" ht="20" customHeight="1">
      <c r="D3431" s="179" t="n"/>
      <c r="E3431" s="179" t="n"/>
      <c r="F3431" s="180" t="n"/>
      <c r="G3431" s="180" t="n"/>
      <c r="H3431" s="181">
        <f>IF(OR(F3431="",G3431=""),"",ROUND(MOD(G3431-F3431,1)*24,2))</f>
        <v/>
      </c>
      <c r="K3431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32" hidden="1" outlineLevel="1" ht="20" customHeight="1">
      <c r="D3432" s="179" t="n"/>
      <c r="E3432" s="179" t="n"/>
      <c r="F3432" s="180" t="n"/>
      <c r="G3432" s="180" t="n"/>
      <c r="H3432" s="181">
        <f>IF(OR(F3432="",G3432=""),"",ROUND(MOD(G3432-F3432,1)*24,2))</f>
        <v/>
      </c>
      <c r="K3432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33" hidden="1" outlineLevel="1" ht="20" customHeight="1">
      <c r="D3433" s="179" t="n"/>
      <c r="E3433" s="179" t="n"/>
      <c r="F3433" s="180" t="n"/>
      <c r="G3433" s="180" t="n"/>
      <c r="H3433" s="181">
        <f>IF(OR(F3433="",G3433=""),"",ROUND(MOD(G3433-F3433,1)*24,2))</f>
        <v/>
      </c>
      <c r="K3433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34" hidden="1" outlineLevel="1" ht="20" customHeight="1">
      <c r="D3434" s="179" t="n"/>
      <c r="E3434" s="179" t="n"/>
      <c r="F3434" s="180" t="n"/>
      <c r="G3434" s="180" t="n"/>
      <c r="H3434" s="181">
        <f>IF(OR(F3434="",G3434=""),"",ROUND(MOD(G3434-F3434,1)*24,2))</f>
        <v/>
      </c>
      <c r="K3434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35" hidden="1" outlineLevel="1" ht="20" customHeight="1">
      <c r="A3435" s="342" t="n"/>
      <c r="B3435" s="342" t="n"/>
      <c r="C3435" s="342" t="n"/>
      <c r="D3435" s="332" t="n"/>
      <c r="E3435" s="332" t="n"/>
      <c r="F3435" s="333" t="n"/>
      <c r="G3435" s="333" t="n"/>
      <c r="H3435" s="334">
        <f>IF(OR(F3435="",G3435=""),"",ROUND(MOD(G3435-F3435,1)*24,2))</f>
        <v/>
      </c>
      <c r="I3435" s="342" t="n"/>
      <c r="J3435" s="342" t="n"/>
      <c r="K3435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36" ht="20" customHeight="1">
      <c r="A3436" s="336">
        <f>IF($K3436="","",WEEKNUM($K3436,21))</f>
        <v/>
      </c>
      <c r="B3436" s="337">
        <f>IF($K3436="","",$K3436)</f>
        <v/>
      </c>
      <c r="C3436" s="338">
        <f>IF($K3436="","",$K3436)</f>
        <v/>
      </c>
      <c r="D3436" s="171" t="n"/>
      <c r="E3436" s="171" t="n"/>
      <c r="F3436" s="172" t="n"/>
      <c r="G3436" s="172" t="n"/>
      <c r="H3436" s="173">
        <f>IF(OR(F3436="",G3436=""),"",ROUND(MOD(G3436-F3436,1)*24,2))</f>
        <v/>
      </c>
      <c r="I3436" s="339" t="n"/>
      <c r="J3436" s="339" t="n"/>
      <c r="K3436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37" ht="20" customHeight="1">
      <c r="D3437" s="179" t="n"/>
      <c r="E3437" s="179" t="n"/>
      <c r="F3437" s="180" t="n"/>
      <c r="G3437" s="180" t="n"/>
      <c r="H3437" s="181">
        <f>IF(OR(F3437="",G3437=""),"",ROUND(MOD(G3437-F3437,1)*24,2))</f>
        <v/>
      </c>
      <c r="K3437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38" ht="20" customHeight="1">
      <c r="D3438" s="179" t="n"/>
      <c r="E3438" s="179" t="n"/>
      <c r="F3438" s="180" t="n"/>
      <c r="G3438" s="180" t="n"/>
      <c r="H3438" s="181">
        <f>IF(OR(F3438="",G3438=""),"",ROUND(MOD(G3438-F3438,1)*24,2))</f>
        <v/>
      </c>
      <c r="K3438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39" ht="20" customHeight="1">
      <c r="D3439" s="179" t="n"/>
      <c r="E3439" s="179" t="n"/>
      <c r="F3439" s="180" t="n"/>
      <c r="G3439" s="180" t="n"/>
      <c r="H3439" s="181">
        <f>IF(OR(F3439="",G3439=""),"",ROUND(MOD(G3439-F3439,1)*24,2))</f>
        <v/>
      </c>
      <c r="K3439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40" collapsed="1" ht="20" customHeight="1">
      <c r="D3440" s="179" t="n"/>
      <c r="E3440" s="179" t="n"/>
      <c r="F3440" s="180" t="n"/>
      <c r="G3440" s="180" t="n"/>
      <c r="H3440" s="181">
        <f>IF(OR(F3440="",G3440=""),"",ROUND(MOD(G3440-F3440,1)*24,2))</f>
        <v/>
      </c>
      <c r="K3440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41" hidden="1" outlineLevel="1" ht="20" customHeight="1">
      <c r="D3441" s="179" t="n"/>
      <c r="E3441" s="179" t="n"/>
      <c r="F3441" s="180" t="n"/>
      <c r="G3441" s="180" t="n"/>
      <c r="H3441" s="181">
        <f>IF(OR(F3441="",G3441=""),"",ROUND(MOD(G3441-F3441,1)*24,2))</f>
        <v/>
      </c>
      <c r="K3441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42" hidden="1" outlineLevel="1" ht="20" customHeight="1">
      <c r="D3442" s="179" t="n"/>
      <c r="E3442" s="179" t="n"/>
      <c r="F3442" s="180" t="n"/>
      <c r="G3442" s="180" t="n"/>
      <c r="H3442" s="181">
        <f>IF(OR(F3442="",G3442=""),"",ROUND(MOD(G3442-F3442,1)*24,2))</f>
        <v/>
      </c>
      <c r="K3442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43" hidden="1" outlineLevel="1" ht="20" customHeight="1">
      <c r="D3443" s="179" t="n"/>
      <c r="E3443" s="179" t="n"/>
      <c r="F3443" s="180" t="n"/>
      <c r="G3443" s="180" t="n"/>
      <c r="H3443" s="181">
        <f>IF(OR(F3443="",G3443=""),"",ROUND(MOD(G3443-F3443,1)*24,2))</f>
        <v/>
      </c>
      <c r="K3443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44" hidden="1" outlineLevel="1" ht="20" customHeight="1">
      <c r="D3444" s="179" t="n"/>
      <c r="E3444" s="179" t="n"/>
      <c r="F3444" s="180" t="n"/>
      <c r="G3444" s="180" t="n"/>
      <c r="H3444" s="181">
        <f>IF(OR(F3444="",G3444=""),"",ROUND(MOD(G3444-F3444,1)*24,2))</f>
        <v/>
      </c>
      <c r="K3444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45" hidden="1" outlineLevel="1" ht="20" customHeight="1">
      <c r="A3445" s="342" t="n"/>
      <c r="B3445" s="342" t="n"/>
      <c r="C3445" s="342" t="n"/>
      <c r="D3445" s="332" t="n"/>
      <c r="E3445" s="332" t="n"/>
      <c r="F3445" s="333" t="n"/>
      <c r="G3445" s="333" t="n"/>
      <c r="H3445" s="334">
        <f>IF(OR(F3445="",G3445=""),"",ROUND(MOD(G3445-F3445,1)*24,2))</f>
        <v/>
      </c>
      <c r="I3445" s="342" t="n"/>
      <c r="J3445" s="342" t="n"/>
      <c r="K3445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46" ht="20" customHeight="1">
      <c r="A3446" s="336">
        <f>IF($K3446="","",WEEKNUM($K3446,21))</f>
        <v/>
      </c>
      <c r="B3446" s="337">
        <f>IF($K3446="","",$K3446)</f>
        <v/>
      </c>
      <c r="C3446" s="338">
        <f>IF($K3446="","",$K3446)</f>
        <v/>
      </c>
      <c r="D3446" s="171" t="n"/>
      <c r="E3446" s="171" t="n"/>
      <c r="F3446" s="172" t="n"/>
      <c r="G3446" s="172" t="n"/>
      <c r="H3446" s="173">
        <f>IF(OR(F3446="",G3446=""),"",ROUND(MOD(G3446-F3446,1)*24,2))</f>
        <v/>
      </c>
      <c r="I3446" s="339" t="n"/>
      <c r="J3446" s="339" t="n"/>
      <c r="K3446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47" ht="20" customHeight="1">
      <c r="D3447" s="179" t="n"/>
      <c r="E3447" s="179" t="n"/>
      <c r="F3447" s="180" t="n"/>
      <c r="G3447" s="180" t="n"/>
      <c r="H3447" s="181">
        <f>IF(OR(F3447="",G3447=""),"",ROUND(MOD(G3447-F3447,1)*24,2))</f>
        <v/>
      </c>
      <c r="K3447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48" ht="20" customHeight="1">
      <c r="D3448" s="179" t="n"/>
      <c r="E3448" s="179" t="n"/>
      <c r="F3448" s="180" t="n"/>
      <c r="G3448" s="180" t="n"/>
      <c r="H3448" s="181">
        <f>IF(OR(F3448="",G3448=""),"",ROUND(MOD(G3448-F3448,1)*24,2))</f>
        <v/>
      </c>
      <c r="K3448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49" ht="20" customHeight="1">
      <c r="D3449" s="179" t="n"/>
      <c r="E3449" s="179" t="n"/>
      <c r="F3449" s="180" t="n"/>
      <c r="G3449" s="180" t="n"/>
      <c r="H3449" s="181">
        <f>IF(OR(F3449="",G3449=""),"",ROUND(MOD(G3449-F3449,1)*24,2))</f>
        <v/>
      </c>
      <c r="K3449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50" collapsed="1" ht="20" customHeight="1">
      <c r="D3450" s="179" t="n"/>
      <c r="E3450" s="179" t="n"/>
      <c r="F3450" s="180" t="n"/>
      <c r="G3450" s="180" t="n"/>
      <c r="H3450" s="181">
        <f>IF(OR(F3450="",G3450=""),"",ROUND(MOD(G3450-F3450,1)*24,2))</f>
        <v/>
      </c>
      <c r="K3450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51" hidden="1" outlineLevel="1" ht="20" customHeight="1">
      <c r="D3451" s="179" t="n"/>
      <c r="E3451" s="179" t="n"/>
      <c r="F3451" s="180" t="n"/>
      <c r="G3451" s="180" t="n"/>
      <c r="H3451" s="181">
        <f>IF(OR(F3451="",G3451=""),"",ROUND(MOD(G3451-F3451,1)*24,2))</f>
        <v/>
      </c>
      <c r="K3451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52" hidden="1" outlineLevel="1" ht="20" customHeight="1">
      <c r="D3452" s="179" t="n"/>
      <c r="E3452" s="179" t="n"/>
      <c r="F3452" s="180" t="n"/>
      <c r="G3452" s="180" t="n"/>
      <c r="H3452" s="181">
        <f>IF(OR(F3452="",G3452=""),"",ROUND(MOD(G3452-F3452,1)*24,2))</f>
        <v/>
      </c>
      <c r="K3452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53" hidden="1" outlineLevel="1" ht="20" customHeight="1">
      <c r="D3453" s="179" t="n"/>
      <c r="E3453" s="179" t="n"/>
      <c r="F3453" s="180" t="n"/>
      <c r="G3453" s="180" t="n"/>
      <c r="H3453" s="181">
        <f>IF(OR(F3453="",G3453=""),"",ROUND(MOD(G3453-F3453,1)*24,2))</f>
        <v/>
      </c>
      <c r="K3453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54" hidden="1" outlineLevel="1" ht="20" customHeight="1">
      <c r="D3454" s="179" t="n"/>
      <c r="E3454" s="179" t="n"/>
      <c r="F3454" s="180" t="n"/>
      <c r="G3454" s="180" t="n"/>
      <c r="H3454" s="181">
        <f>IF(OR(F3454="",G3454=""),"",ROUND(MOD(G3454-F3454,1)*24,2))</f>
        <v/>
      </c>
      <c r="K3454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55" hidden="1" outlineLevel="1" ht="20" customHeight="1">
      <c r="A3455" s="342" t="n"/>
      <c r="B3455" s="342" t="n"/>
      <c r="C3455" s="342" t="n"/>
      <c r="D3455" s="332" t="n"/>
      <c r="E3455" s="332" t="n"/>
      <c r="F3455" s="333" t="n"/>
      <c r="G3455" s="333" t="n"/>
      <c r="H3455" s="334">
        <f>IF(OR(F3455="",G3455=""),"",ROUND(MOD(G3455-F3455,1)*24,2))</f>
        <v/>
      </c>
      <c r="I3455" s="342" t="n"/>
      <c r="J3455" s="342" t="n"/>
      <c r="K3455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56" ht="20" customHeight="1">
      <c r="A3456" s="336">
        <f>IF($K3456="","",WEEKNUM($K3456,21))</f>
        <v/>
      </c>
      <c r="B3456" s="337">
        <f>IF($K3456="","",$K3456)</f>
        <v/>
      </c>
      <c r="C3456" s="338">
        <f>IF($K3456="","",$K3456)</f>
        <v/>
      </c>
      <c r="D3456" s="171" t="n"/>
      <c r="E3456" s="171" t="n"/>
      <c r="F3456" s="172" t="n"/>
      <c r="G3456" s="172" t="n"/>
      <c r="H3456" s="173">
        <f>IF(OR(F3456="",G3456=""),"",ROUND(MOD(G3456-F3456,1)*24,2))</f>
        <v/>
      </c>
      <c r="I3456" s="339" t="n"/>
      <c r="J3456" s="339" t="n"/>
      <c r="K3456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57" ht="20" customHeight="1">
      <c r="D3457" s="179" t="n"/>
      <c r="E3457" s="179" t="n"/>
      <c r="F3457" s="180" t="n"/>
      <c r="G3457" s="180" t="n"/>
      <c r="H3457" s="181">
        <f>IF(OR(F3457="",G3457=""),"",ROUND(MOD(G3457-F3457,1)*24,2))</f>
        <v/>
      </c>
      <c r="K3457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58" ht="20" customHeight="1">
      <c r="D3458" s="179" t="n"/>
      <c r="E3458" s="179" t="n"/>
      <c r="F3458" s="180" t="n"/>
      <c r="G3458" s="180" t="n"/>
      <c r="H3458" s="181">
        <f>IF(OR(F3458="",G3458=""),"",ROUND(MOD(G3458-F3458,1)*24,2))</f>
        <v/>
      </c>
      <c r="K3458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59" ht="20" customHeight="1">
      <c r="D3459" s="179" t="n"/>
      <c r="E3459" s="179" t="n"/>
      <c r="F3459" s="180" t="n"/>
      <c r="G3459" s="180" t="n"/>
      <c r="H3459" s="181">
        <f>IF(OR(F3459="",G3459=""),"",ROUND(MOD(G3459-F3459,1)*24,2))</f>
        <v/>
      </c>
      <c r="K3459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60" collapsed="1" ht="20" customHeight="1">
      <c r="D3460" s="179" t="n"/>
      <c r="E3460" s="179" t="n"/>
      <c r="F3460" s="180" t="n"/>
      <c r="G3460" s="180" t="n"/>
      <c r="H3460" s="181">
        <f>IF(OR(F3460="",G3460=""),"",ROUND(MOD(G3460-F3460,1)*24,2))</f>
        <v/>
      </c>
      <c r="K3460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61" hidden="1" outlineLevel="1" ht="20" customHeight="1">
      <c r="D3461" s="179" t="n"/>
      <c r="E3461" s="179" t="n"/>
      <c r="F3461" s="180" t="n"/>
      <c r="G3461" s="180" t="n"/>
      <c r="H3461" s="181">
        <f>IF(OR(F3461="",G3461=""),"",ROUND(MOD(G3461-F3461,1)*24,2))</f>
        <v/>
      </c>
      <c r="K3461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62" hidden="1" outlineLevel="1" ht="20" customHeight="1">
      <c r="D3462" s="179" t="n"/>
      <c r="E3462" s="179" t="n"/>
      <c r="F3462" s="180" t="n"/>
      <c r="G3462" s="180" t="n"/>
      <c r="H3462" s="181">
        <f>IF(OR(F3462="",G3462=""),"",ROUND(MOD(G3462-F3462,1)*24,2))</f>
        <v/>
      </c>
      <c r="K3462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63" hidden="1" outlineLevel="1" ht="20" customHeight="1">
      <c r="D3463" s="179" t="n"/>
      <c r="E3463" s="179" t="n"/>
      <c r="F3463" s="180" t="n"/>
      <c r="G3463" s="180" t="n"/>
      <c r="H3463" s="181">
        <f>IF(OR(F3463="",G3463=""),"",ROUND(MOD(G3463-F3463,1)*24,2))</f>
        <v/>
      </c>
      <c r="K3463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64" hidden="1" outlineLevel="1" ht="20" customHeight="1">
      <c r="D3464" s="179" t="n"/>
      <c r="E3464" s="179" t="n"/>
      <c r="F3464" s="180" t="n"/>
      <c r="G3464" s="180" t="n"/>
      <c r="H3464" s="181">
        <f>IF(OR(F3464="",G3464=""),"",ROUND(MOD(G3464-F3464,1)*24,2))</f>
        <v/>
      </c>
      <c r="K3464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65" hidden="1" outlineLevel="1" ht="20" customHeight="1">
      <c r="A3465" s="342" t="n"/>
      <c r="B3465" s="342" t="n"/>
      <c r="C3465" s="342" t="n"/>
      <c r="D3465" s="332" t="n"/>
      <c r="E3465" s="332" t="n"/>
      <c r="F3465" s="333" t="n"/>
      <c r="G3465" s="333" t="n"/>
      <c r="H3465" s="334">
        <f>IF(OR(F3465="",G3465=""),"",ROUND(MOD(G3465-F3465,1)*24,2))</f>
        <v/>
      </c>
      <c r="I3465" s="342" t="n"/>
      <c r="J3465" s="342" t="n"/>
      <c r="K3465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66" ht="20" customHeight="1">
      <c r="A3466" s="336">
        <f>IF($K3466="","",WEEKNUM($K3466,21))</f>
        <v/>
      </c>
      <c r="B3466" s="337">
        <f>IF($K3466="","",$K3466)</f>
        <v/>
      </c>
      <c r="C3466" s="338">
        <f>IF($K3466="","",$K3466)</f>
        <v/>
      </c>
      <c r="D3466" s="171" t="n"/>
      <c r="E3466" s="171" t="n"/>
      <c r="F3466" s="172" t="n"/>
      <c r="G3466" s="172" t="n"/>
      <c r="H3466" s="173">
        <f>IF(OR(F3466="",G3466=""),"",ROUND(MOD(G3466-F3466,1)*24,2))</f>
        <v/>
      </c>
      <c r="I3466" s="339" t="n"/>
      <c r="J3466" s="339" t="n"/>
      <c r="K3466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67" ht="20" customHeight="1">
      <c r="D3467" s="179" t="n"/>
      <c r="E3467" s="179" t="n"/>
      <c r="F3467" s="180" t="n"/>
      <c r="G3467" s="180" t="n"/>
      <c r="H3467" s="181">
        <f>IF(OR(F3467="",G3467=""),"",ROUND(MOD(G3467-F3467,1)*24,2))</f>
        <v/>
      </c>
      <c r="K3467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68" ht="20" customHeight="1">
      <c r="D3468" s="179" t="n"/>
      <c r="E3468" s="179" t="n"/>
      <c r="F3468" s="180" t="n"/>
      <c r="G3468" s="180" t="n"/>
      <c r="H3468" s="181">
        <f>IF(OR(F3468="",G3468=""),"",ROUND(MOD(G3468-F3468,1)*24,2))</f>
        <v/>
      </c>
      <c r="K3468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69" ht="20" customHeight="1">
      <c r="D3469" s="179" t="n"/>
      <c r="E3469" s="179" t="n"/>
      <c r="F3469" s="180" t="n"/>
      <c r="G3469" s="180" t="n"/>
      <c r="H3469" s="181">
        <f>IF(OR(F3469="",G3469=""),"",ROUND(MOD(G3469-F3469,1)*24,2))</f>
        <v/>
      </c>
      <c r="K3469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70" collapsed="1" ht="20" customHeight="1">
      <c r="D3470" s="179" t="n"/>
      <c r="E3470" s="179" t="n"/>
      <c r="F3470" s="180" t="n"/>
      <c r="G3470" s="180" t="n"/>
      <c r="H3470" s="181">
        <f>IF(OR(F3470="",G3470=""),"",ROUND(MOD(G3470-F3470,1)*24,2))</f>
        <v/>
      </c>
      <c r="K3470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71" hidden="1" outlineLevel="1" ht="20" customHeight="1">
      <c r="D3471" s="179" t="n"/>
      <c r="E3471" s="179" t="n"/>
      <c r="F3471" s="180" t="n"/>
      <c r="G3471" s="180" t="n"/>
      <c r="H3471" s="181">
        <f>IF(OR(F3471="",G3471=""),"",ROUND(MOD(G3471-F3471,1)*24,2))</f>
        <v/>
      </c>
      <c r="K3471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72" hidden="1" outlineLevel="1" ht="20" customHeight="1">
      <c r="D3472" s="179" t="n"/>
      <c r="E3472" s="179" t="n"/>
      <c r="F3472" s="180" t="n"/>
      <c r="G3472" s="180" t="n"/>
      <c r="H3472" s="181">
        <f>IF(OR(F3472="",G3472=""),"",ROUND(MOD(G3472-F3472,1)*24,2))</f>
        <v/>
      </c>
      <c r="K3472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73" hidden="1" outlineLevel="1" ht="20" customHeight="1">
      <c r="D3473" s="179" t="n"/>
      <c r="E3473" s="179" t="n"/>
      <c r="F3473" s="180" t="n"/>
      <c r="G3473" s="180" t="n"/>
      <c r="H3473" s="181">
        <f>IF(OR(F3473="",G3473=""),"",ROUND(MOD(G3473-F3473,1)*24,2))</f>
        <v/>
      </c>
      <c r="K3473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74" hidden="1" outlineLevel="1" ht="20" customHeight="1">
      <c r="D3474" s="179" t="n"/>
      <c r="E3474" s="179" t="n"/>
      <c r="F3474" s="180" t="n"/>
      <c r="G3474" s="180" t="n"/>
      <c r="H3474" s="181">
        <f>IF(OR(F3474="",G3474=""),"",ROUND(MOD(G3474-F3474,1)*24,2))</f>
        <v/>
      </c>
      <c r="K3474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75" hidden="1" outlineLevel="1" ht="20" customHeight="1">
      <c r="A3475" s="342" t="n"/>
      <c r="B3475" s="342" t="n"/>
      <c r="C3475" s="342" t="n"/>
      <c r="D3475" s="332" t="n"/>
      <c r="E3475" s="332" t="n"/>
      <c r="F3475" s="333" t="n"/>
      <c r="G3475" s="333" t="n"/>
      <c r="H3475" s="334">
        <f>IF(OR(F3475="",G3475=""),"",ROUND(MOD(G3475-F3475,1)*24,2))</f>
        <v/>
      </c>
      <c r="I3475" s="342" t="n"/>
      <c r="J3475" s="342" t="n"/>
      <c r="K3475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76" ht="20" customHeight="1">
      <c r="A3476" s="336">
        <f>IF($K3476="","",WEEKNUM($K3476,21))</f>
        <v/>
      </c>
      <c r="B3476" s="337">
        <f>IF($K3476="","",$K3476)</f>
        <v/>
      </c>
      <c r="C3476" s="338">
        <f>IF($K3476="","",$K3476)</f>
        <v/>
      </c>
      <c r="D3476" s="171" t="n"/>
      <c r="E3476" s="171" t="n"/>
      <c r="F3476" s="172" t="n"/>
      <c r="G3476" s="172" t="n"/>
      <c r="H3476" s="173">
        <f>IF(OR(F3476="",G3476=""),"",ROUND(MOD(G3476-F3476,1)*24,2))</f>
        <v/>
      </c>
      <c r="I3476" s="339" t="n"/>
      <c r="J3476" s="339" t="n"/>
      <c r="K3476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77" ht="20" customHeight="1">
      <c r="D3477" s="179" t="n"/>
      <c r="E3477" s="179" t="n"/>
      <c r="F3477" s="180" t="n"/>
      <c r="G3477" s="180" t="n"/>
      <c r="H3477" s="181">
        <f>IF(OR(F3477="",G3477=""),"",ROUND(MOD(G3477-F3477,1)*24,2))</f>
        <v/>
      </c>
      <c r="K3477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78" ht="20" customHeight="1">
      <c r="D3478" s="179" t="n"/>
      <c r="E3478" s="179" t="n"/>
      <c r="F3478" s="180" t="n"/>
      <c r="G3478" s="180" t="n"/>
      <c r="H3478" s="181">
        <f>IF(OR(F3478="",G3478=""),"",ROUND(MOD(G3478-F3478,1)*24,2))</f>
        <v/>
      </c>
      <c r="K3478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79" ht="20" customHeight="1">
      <c r="D3479" s="179" t="n"/>
      <c r="E3479" s="179" t="n"/>
      <c r="F3479" s="180" t="n"/>
      <c r="G3479" s="180" t="n"/>
      <c r="H3479" s="181">
        <f>IF(OR(F3479="",G3479=""),"",ROUND(MOD(G3479-F3479,1)*24,2))</f>
        <v/>
      </c>
      <c r="K3479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80" collapsed="1" ht="20" customHeight="1">
      <c r="D3480" s="179" t="n"/>
      <c r="E3480" s="179" t="n"/>
      <c r="F3480" s="180" t="n"/>
      <c r="G3480" s="180" t="n"/>
      <c r="H3480" s="181">
        <f>IF(OR(F3480="",G3480=""),"",ROUND(MOD(G3480-F3480,1)*24,2))</f>
        <v/>
      </c>
      <c r="K3480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81" hidden="1" outlineLevel="1" ht="20" customHeight="1">
      <c r="D3481" s="179" t="n"/>
      <c r="E3481" s="179" t="n"/>
      <c r="F3481" s="180" t="n"/>
      <c r="G3481" s="180" t="n"/>
      <c r="H3481" s="181">
        <f>IF(OR(F3481="",G3481=""),"",ROUND(MOD(G3481-F3481,1)*24,2))</f>
        <v/>
      </c>
      <c r="K3481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82" hidden="1" outlineLevel="1" ht="20" customHeight="1">
      <c r="D3482" s="179" t="n"/>
      <c r="E3482" s="179" t="n"/>
      <c r="F3482" s="180" t="n"/>
      <c r="G3482" s="180" t="n"/>
      <c r="H3482" s="181">
        <f>IF(OR(F3482="",G3482=""),"",ROUND(MOD(G3482-F3482,1)*24,2))</f>
        <v/>
      </c>
      <c r="K3482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83" hidden="1" outlineLevel="1" ht="20" customHeight="1">
      <c r="D3483" s="179" t="n"/>
      <c r="E3483" s="179" t="n"/>
      <c r="F3483" s="180" t="n"/>
      <c r="G3483" s="180" t="n"/>
      <c r="H3483" s="181">
        <f>IF(OR(F3483="",G3483=""),"",ROUND(MOD(G3483-F3483,1)*24,2))</f>
        <v/>
      </c>
      <c r="K3483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84" hidden="1" outlineLevel="1" ht="20" customHeight="1">
      <c r="D3484" s="179" t="n"/>
      <c r="E3484" s="179" t="n"/>
      <c r="F3484" s="180" t="n"/>
      <c r="G3484" s="180" t="n"/>
      <c r="H3484" s="181">
        <f>IF(OR(F3484="",G3484=""),"",ROUND(MOD(G3484-F3484,1)*24,2))</f>
        <v/>
      </c>
      <c r="K3484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85" hidden="1" outlineLevel="1" ht="20" customHeight="1">
      <c r="A3485" s="342" t="n"/>
      <c r="B3485" s="342" t="n"/>
      <c r="C3485" s="342" t="n"/>
      <c r="D3485" s="332" t="n"/>
      <c r="E3485" s="332" t="n"/>
      <c r="F3485" s="333" t="n"/>
      <c r="G3485" s="333" t="n"/>
      <c r="H3485" s="334">
        <f>IF(OR(F3485="",G3485=""),"",ROUND(MOD(G3485-F3485,1)*24,2))</f>
        <v/>
      </c>
      <c r="I3485" s="342" t="n"/>
      <c r="J3485" s="342" t="n"/>
      <c r="K3485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486" ht="20" customHeight="1">
      <c r="A3486" s="336">
        <f>IF($K3486="","",WEEKNUM($K3486,21))</f>
        <v/>
      </c>
      <c r="B3486" s="337">
        <f>IF($K3486="","",$K3486)</f>
        <v/>
      </c>
      <c r="C3486" s="338">
        <f>IF($K3486="","",$K3486)</f>
        <v/>
      </c>
      <c r="D3486" s="171" t="n"/>
      <c r="E3486" s="171" t="n"/>
      <c r="F3486" s="172" t="n"/>
      <c r="G3486" s="172" t="n"/>
      <c r="H3486" s="173">
        <f>IF(OR(F3486="",G3486=""),"",ROUND(MOD(G3486-F3486,1)*24,2))</f>
        <v/>
      </c>
      <c r="I3486" s="339" t="n"/>
      <c r="J3486" s="339" t="n"/>
      <c r="K3486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87" ht="20" customHeight="1">
      <c r="D3487" s="179" t="n"/>
      <c r="E3487" s="179" t="n"/>
      <c r="F3487" s="180" t="n"/>
      <c r="G3487" s="180" t="n"/>
      <c r="H3487" s="181">
        <f>IF(OR(F3487="",G3487=""),"",ROUND(MOD(G3487-F3487,1)*24,2))</f>
        <v/>
      </c>
      <c r="K3487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88" ht="20" customHeight="1">
      <c r="D3488" s="179" t="n"/>
      <c r="E3488" s="179" t="n"/>
      <c r="F3488" s="180" t="n"/>
      <c r="G3488" s="180" t="n"/>
      <c r="H3488" s="181">
        <f>IF(OR(F3488="",G3488=""),"",ROUND(MOD(G3488-F3488,1)*24,2))</f>
        <v/>
      </c>
      <c r="K3488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89" ht="20" customHeight="1">
      <c r="D3489" s="179" t="n"/>
      <c r="E3489" s="179" t="n"/>
      <c r="F3489" s="180" t="n"/>
      <c r="G3489" s="180" t="n"/>
      <c r="H3489" s="181">
        <f>IF(OR(F3489="",G3489=""),"",ROUND(MOD(G3489-F3489,1)*24,2))</f>
        <v/>
      </c>
      <c r="K3489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90" collapsed="1" ht="20" customHeight="1">
      <c r="D3490" s="179" t="n"/>
      <c r="E3490" s="179" t="n"/>
      <c r="F3490" s="180" t="n"/>
      <c r="G3490" s="180" t="n"/>
      <c r="H3490" s="181">
        <f>IF(OR(F3490="",G3490=""),"",ROUND(MOD(G3490-F3490,1)*24,2))</f>
        <v/>
      </c>
      <c r="K3490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91" hidden="1" outlineLevel="1" ht="20" customHeight="1">
      <c r="D3491" s="179" t="n"/>
      <c r="E3491" s="179" t="n"/>
      <c r="F3491" s="180" t="n"/>
      <c r="G3491" s="180" t="n"/>
      <c r="H3491" s="181">
        <f>IF(OR(F3491="",G3491=""),"",ROUND(MOD(G3491-F3491,1)*24,2))</f>
        <v/>
      </c>
      <c r="K3491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92" hidden="1" outlineLevel="1" ht="20" customHeight="1">
      <c r="D3492" s="179" t="n"/>
      <c r="E3492" s="179" t="n"/>
      <c r="F3492" s="180" t="n"/>
      <c r="G3492" s="180" t="n"/>
      <c r="H3492" s="181">
        <f>IF(OR(F3492="",G3492=""),"",ROUND(MOD(G3492-F3492,1)*24,2))</f>
        <v/>
      </c>
      <c r="K3492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93" hidden="1" outlineLevel="1" ht="20" customHeight="1">
      <c r="D3493" s="179" t="n"/>
      <c r="E3493" s="179" t="n"/>
      <c r="F3493" s="180" t="n"/>
      <c r="G3493" s="180" t="n"/>
      <c r="H3493" s="181">
        <f>IF(OR(F3493="",G3493=""),"",ROUND(MOD(G3493-F3493,1)*24,2))</f>
        <v/>
      </c>
      <c r="K3493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94" hidden="1" outlineLevel="1" ht="20" customHeight="1">
      <c r="D3494" s="179" t="n"/>
      <c r="E3494" s="179" t="n"/>
      <c r="F3494" s="180" t="n"/>
      <c r="G3494" s="180" t="n"/>
      <c r="H3494" s="181">
        <f>IF(OR(F3494="",G3494=""),"",ROUND(MOD(G3494-F3494,1)*24,2))</f>
        <v/>
      </c>
      <c r="K3494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95" hidden="1" outlineLevel="1" ht="20" customHeight="1">
      <c r="A3495" s="342" t="n"/>
      <c r="B3495" s="342" t="n"/>
      <c r="C3495" s="342" t="n"/>
      <c r="D3495" s="332" t="n"/>
      <c r="E3495" s="332" t="n"/>
      <c r="F3495" s="333" t="n"/>
      <c r="G3495" s="333" t="n"/>
      <c r="H3495" s="334">
        <f>IF(OR(F3495="",G3495=""),"",ROUND(MOD(G3495-F3495,1)*24,2))</f>
        <v/>
      </c>
      <c r="I3495" s="342" t="n"/>
      <c r="J3495" s="342" t="n"/>
      <c r="K3495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496" ht="20" customHeight="1">
      <c r="A3496" s="336">
        <f>IF($K3496="","",WEEKNUM($K3496,21))</f>
        <v/>
      </c>
      <c r="B3496" s="337">
        <f>IF($K3496="","",$K3496)</f>
        <v/>
      </c>
      <c r="C3496" s="338">
        <f>IF($K3496="","",$K3496)</f>
        <v/>
      </c>
      <c r="D3496" s="171" t="n"/>
      <c r="E3496" s="171" t="n"/>
      <c r="F3496" s="172" t="n"/>
      <c r="G3496" s="172" t="n"/>
      <c r="H3496" s="173">
        <f>IF(OR(F3496="",G3496=""),"",ROUND(MOD(G3496-F3496,1)*24,2))</f>
        <v/>
      </c>
      <c r="I3496" s="339" t="n"/>
      <c r="J3496" s="339" t="n"/>
      <c r="K3496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497" ht="20" customHeight="1">
      <c r="D3497" s="179" t="n"/>
      <c r="E3497" s="179" t="n"/>
      <c r="F3497" s="180" t="n"/>
      <c r="G3497" s="180" t="n"/>
      <c r="H3497" s="181">
        <f>IF(OR(F3497="",G3497=""),"",ROUND(MOD(G3497-F3497,1)*24,2))</f>
        <v/>
      </c>
      <c r="K3497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498" ht="20" customHeight="1">
      <c r="D3498" s="179" t="n"/>
      <c r="E3498" s="179" t="n"/>
      <c r="F3498" s="180" t="n"/>
      <c r="G3498" s="180" t="n"/>
      <c r="H3498" s="181">
        <f>IF(OR(F3498="",G3498=""),"",ROUND(MOD(G3498-F3498,1)*24,2))</f>
        <v/>
      </c>
      <c r="K3498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499" ht="20" customHeight="1">
      <c r="D3499" s="179" t="n"/>
      <c r="E3499" s="179" t="n"/>
      <c r="F3499" s="180" t="n"/>
      <c r="G3499" s="180" t="n"/>
      <c r="H3499" s="181">
        <f>IF(OR(F3499="",G3499=""),"",ROUND(MOD(G3499-F3499,1)*24,2))</f>
        <v/>
      </c>
      <c r="K3499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500" collapsed="1" ht="20" customHeight="1">
      <c r="D3500" s="179" t="n"/>
      <c r="E3500" s="179" t="n"/>
      <c r="F3500" s="180" t="n"/>
      <c r="G3500" s="180" t="n"/>
      <c r="H3500" s="181">
        <f>IF(OR(F3500="",G3500=""),"",ROUND(MOD(G3500-F3500,1)*24,2))</f>
        <v/>
      </c>
      <c r="K3500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501" hidden="1" outlineLevel="1" ht="20" customHeight="1">
      <c r="D3501" s="179" t="n"/>
      <c r="E3501" s="179" t="n"/>
      <c r="F3501" s="180" t="n"/>
      <c r="G3501" s="180" t="n"/>
      <c r="H3501" s="181">
        <f>IF(OR(F3501="",G3501=""),"",ROUND(MOD(G3501-F3501,1)*24,2))</f>
        <v/>
      </c>
      <c r="K3501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502" hidden="1" outlineLevel="1" ht="20" customHeight="1">
      <c r="D3502" s="179" t="n"/>
      <c r="E3502" s="179" t="n"/>
      <c r="F3502" s="180" t="n"/>
      <c r="G3502" s="180" t="n"/>
      <c r="H3502" s="181">
        <f>IF(OR(F3502="",G3502=""),"",ROUND(MOD(G3502-F3502,1)*24,2))</f>
        <v/>
      </c>
      <c r="K3502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503" hidden="1" outlineLevel="1" ht="20" customHeight="1">
      <c r="D3503" s="179" t="n"/>
      <c r="E3503" s="179" t="n"/>
      <c r="F3503" s="180" t="n"/>
      <c r="G3503" s="180" t="n"/>
      <c r="H3503" s="181">
        <f>IF(OR(F3503="",G3503=""),"",ROUND(MOD(G3503-F3503,1)*24,2))</f>
        <v/>
      </c>
      <c r="K3503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504" hidden="1" outlineLevel="1" ht="20" customHeight="1">
      <c r="D3504" s="179" t="n"/>
      <c r="E3504" s="179" t="n"/>
      <c r="F3504" s="180" t="n"/>
      <c r="G3504" s="180" t="n"/>
      <c r="H3504" s="181">
        <f>IF(OR(F3504="",G3504=""),"",ROUND(MOD(G3504-F3504,1)*24,2))</f>
        <v/>
      </c>
      <c r="K3504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505" hidden="1" outlineLevel="1" ht="20" customHeight="1">
      <c r="A3505" s="342" t="n"/>
      <c r="B3505" s="342" t="n"/>
      <c r="C3505" s="342" t="n"/>
      <c r="D3505" s="332" t="n"/>
      <c r="E3505" s="332" t="n"/>
      <c r="F3505" s="333" t="n"/>
      <c r="G3505" s="333" t="n"/>
      <c r="H3505" s="334">
        <f>IF(OR(F3505="",G3505=""),"",ROUND(MOD(G3505-F3505,1)*24,2))</f>
        <v/>
      </c>
      <c r="I3505" s="342" t="n"/>
      <c r="J3505" s="342" t="n"/>
      <c r="K3505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506" ht="20" customHeight="1">
      <c r="A3506" s="336">
        <f>IF($K3506="","",WEEKNUM($K3506,21))</f>
        <v/>
      </c>
      <c r="B3506" s="337">
        <f>IF($K3506="","",$K3506)</f>
        <v/>
      </c>
      <c r="C3506" s="338">
        <f>IF($K3506="","",$K3506)</f>
        <v/>
      </c>
      <c r="D3506" s="171" t="n"/>
      <c r="E3506" s="171" t="n"/>
      <c r="F3506" s="172" t="n"/>
      <c r="G3506" s="172" t="n"/>
      <c r="H3506" s="173">
        <f>IF(OR(F3506="",G3506=""),"",ROUND(MOD(G3506-F3506,1)*24,2))</f>
        <v/>
      </c>
      <c r="I3506" s="339" t="n"/>
      <c r="J3506" s="339" t="n"/>
      <c r="K3506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07" ht="20" customHeight="1">
      <c r="D3507" s="179" t="n"/>
      <c r="E3507" s="179" t="n"/>
      <c r="F3507" s="180" t="n"/>
      <c r="G3507" s="180" t="n"/>
      <c r="H3507" s="181">
        <f>IF(OR(F3507="",G3507=""),"",ROUND(MOD(G3507-F3507,1)*24,2))</f>
        <v/>
      </c>
      <c r="K3507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08" ht="20" customHeight="1">
      <c r="D3508" s="179" t="n"/>
      <c r="E3508" s="179" t="n"/>
      <c r="F3508" s="180" t="n"/>
      <c r="G3508" s="180" t="n"/>
      <c r="H3508" s="181">
        <f>IF(OR(F3508="",G3508=""),"",ROUND(MOD(G3508-F3508,1)*24,2))</f>
        <v/>
      </c>
      <c r="K3508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09" ht="20" customHeight="1">
      <c r="D3509" s="179" t="n"/>
      <c r="E3509" s="179" t="n"/>
      <c r="F3509" s="180" t="n"/>
      <c r="G3509" s="180" t="n"/>
      <c r="H3509" s="181">
        <f>IF(OR(F3509="",G3509=""),"",ROUND(MOD(G3509-F3509,1)*24,2))</f>
        <v/>
      </c>
      <c r="K3509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10" collapsed="1" ht="20" customHeight="1">
      <c r="D3510" s="179" t="n"/>
      <c r="E3510" s="179" t="n"/>
      <c r="F3510" s="180" t="n"/>
      <c r="G3510" s="180" t="n"/>
      <c r="H3510" s="181">
        <f>IF(OR(F3510="",G3510=""),"",ROUND(MOD(G3510-F3510,1)*24,2))</f>
        <v/>
      </c>
      <c r="K3510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11" hidden="1" outlineLevel="1" ht="20" customHeight="1">
      <c r="D3511" s="179" t="n"/>
      <c r="E3511" s="179" t="n"/>
      <c r="F3511" s="180" t="n"/>
      <c r="G3511" s="180" t="n"/>
      <c r="H3511" s="181">
        <f>IF(OR(F3511="",G3511=""),"",ROUND(MOD(G3511-F3511,1)*24,2))</f>
        <v/>
      </c>
      <c r="K3511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12" hidden="1" outlineLevel="1" ht="20" customHeight="1">
      <c r="D3512" s="179" t="n"/>
      <c r="E3512" s="179" t="n"/>
      <c r="F3512" s="180" t="n"/>
      <c r="G3512" s="180" t="n"/>
      <c r="H3512" s="181">
        <f>IF(OR(F3512="",G3512=""),"",ROUND(MOD(G3512-F3512,1)*24,2))</f>
        <v/>
      </c>
      <c r="K3512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13" hidden="1" outlineLevel="1" ht="20" customHeight="1">
      <c r="D3513" s="179" t="n"/>
      <c r="E3513" s="179" t="n"/>
      <c r="F3513" s="180" t="n"/>
      <c r="G3513" s="180" t="n"/>
      <c r="H3513" s="181">
        <f>IF(OR(F3513="",G3513=""),"",ROUND(MOD(G3513-F3513,1)*24,2))</f>
        <v/>
      </c>
      <c r="K3513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14" hidden="1" outlineLevel="1" ht="20" customHeight="1">
      <c r="D3514" s="179" t="n"/>
      <c r="E3514" s="179" t="n"/>
      <c r="F3514" s="180" t="n"/>
      <c r="G3514" s="180" t="n"/>
      <c r="H3514" s="181">
        <f>IF(OR(F3514="",G3514=""),"",ROUND(MOD(G3514-F3514,1)*24,2))</f>
        <v/>
      </c>
      <c r="K3514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15" hidden="1" outlineLevel="1" ht="20" customHeight="1">
      <c r="A3515" s="342" t="n"/>
      <c r="B3515" s="342" t="n"/>
      <c r="C3515" s="342" t="n"/>
      <c r="D3515" s="332" t="n"/>
      <c r="E3515" s="332" t="n"/>
      <c r="F3515" s="333" t="n"/>
      <c r="G3515" s="333" t="n"/>
      <c r="H3515" s="334">
        <f>IF(OR(F3515="",G3515=""),"",ROUND(MOD(G3515-F3515,1)*24,2))</f>
        <v/>
      </c>
      <c r="I3515" s="342" t="n"/>
      <c r="J3515" s="342" t="n"/>
      <c r="K3515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16" ht="20" customHeight="1">
      <c r="A3516" s="336">
        <f>IF($K3516="","",WEEKNUM($K3516,21))</f>
        <v/>
      </c>
      <c r="B3516" s="337">
        <f>IF($K3516="","",$K3516)</f>
        <v/>
      </c>
      <c r="C3516" s="338">
        <f>IF($K3516="","",$K3516)</f>
        <v/>
      </c>
      <c r="D3516" s="171" t="n"/>
      <c r="E3516" s="171" t="n"/>
      <c r="F3516" s="172" t="n"/>
      <c r="G3516" s="172" t="n"/>
      <c r="H3516" s="173">
        <f>IF(OR(F3516="",G3516=""),"",ROUND(MOD(G3516-F3516,1)*24,2))</f>
        <v/>
      </c>
      <c r="I3516" s="339" t="n"/>
      <c r="J3516" s="339" t="n"/>
      <c r="K3516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17" ht="20" customHeight="1">
      <c r="D3517" s="179" t="n"/>
      <c r="E3517" s="179" t="n"/>
      <c r="F3517" s="180" t="n"/>
      <c r="G3517" s="180" t="n"/>
      <c r="H3517" s="181">
        <f>IF(OR(F3517="",G3517=""),"",ROUND(MOD(G3517-F3517,1)*24,2))</f>
        <v/>
      </c>
      <c r="K3517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18" ht="20" customHeight="1">
      <c r="D3518" s="179" t="n"/>
      <c r="E3518" s="179" t="n"/>
      <c r="F3518" s="180" t="n"/>
      <c r="G3518" s="180" t="n"/>
      <c r="H3518" s="181">
        <f>IF(OR(F3518="",G3518=""),"",ROUND(MOD(G3518-F3518,1)*24,2))</f>
        <v/>
      </c>
      <c r="K3518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19" ht="20" customHeight="1">
      <c r="D3519" s="179" t="n"/>
      <c r="E3519" s="179" t="n"/>
      <c r="F3519" s="180" t="n"/>
      <c r="G3519" s="180" t="n"/>
      <c r="H3519" s="181">
        <f>IF(OR(F3519="",G3519=""),"",ROUND(MOD(G3519-F3519,1)*24,2))</f>
        <v/>
      </c>
      <c r="K3519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20" collapsed="1" ht="20" customHeight="1">
      <c r="D3520" s="179" t="n"/>
      <c r="E3520" s="179" t="n"/>
      <c r="F3520" s="180" t="n"/>
      <c r="G3520" s="180" t="n"/>
      <c r="H3520" s="181">
        <f>IF(OR(F3520="",G3520=""),"",ROUND(MOD(G3520-F3520,1)*24,2))</f>
        <v/>
      </c>
      <c r="K3520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21" hidden="1" outlineLevel="1" ht="20" customHeight="1">
      <c r="D3521" s="179" t="n"/>
      <c r="E3521" s="179" t="n"/>
      <c r="F3521" s="180" t="n"/>
      <c r="G3521" s="180" t="n"/>
      <c r="H3521" s="181">
        <f>IF(OR(F3521="",G3521=""),"",ROUND(MOD(G3521-F3521,1)*24,2))</f>
        <v/>
      </c>
      <c r="K3521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22" hidden="1" outlineLevel="1" ht="20" customHeight="1">
      <c r="D3522" s="179" t="n"/>
      <c r="E3522" s="179" t="n"/>
      <c r="F3522" s="180" t="n"/>
      <c r="G3522" s="180" t="n"/>
      <c r="H3522" s="181">
        <f>IF(OR(F3522="",G3522=""),"",ROUND(MOD(G3522-F3522,1)*24,2))</f>
        <v/>
      </c>
      <c r="K3522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23" hidden="1" outlineLevel="1" ht="20" customHeight="1">
      <c r="D3523" s="179" t="n"/>
      <c r="E3523" s="179" t="n"/>
      <c r="F3523" s="180" t="n"/>
      <c r="G3523" s="180" t="n"/>
      <c r="H3523" s="181">
        <f>IF(OR(F3523="",G3523=""),"",ROUND(MOD(G3523-F3523,1)*24,2))</f>
        <v/>
      </c>
      <c r="K3523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24" hidden="1" outlineLevel="1" ht="20" customHeight="1">
      <c r="D3524" s="179" t="n"/>
      <c r="E3524" s="179" t="n"/>
      <c r="F3524" s="180" t="n"/>
      <c r="G3524" s="180" t="n"/>
      <c r="H3524" s="181">
        <f>IF(OR(F3524="",G3524=""),"",ROUND(MOD(G3524-F3524,1)*24,2))</f>
        <v/>
      </c>
      <c r="K3524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25" hidden="1" outlineLevel="1" ht="20" customHeight="1">
      <c r="A3525" s="342" t="n"/>
      <c r="B3525" s="342" t="n"/>
      <c r="C3525" s="342" t="n"/>
      <c r="D3525" s="332" t="n"/>
      <c r="E3525" s="332" t="n"/>
      <c r="F3525" s="333" t="n"/>
      <c r="G3525" s="333" t="n"/>
      <c r="H3525" s="334">
        <f>IF(OR(F3525="",G3525=""),"",ROUND(MOD(G3525-F3525,1)*24,2))</f>
        <v/>
      </c>
      <c r="I3525" s="342" t="n"/>
      <c r="J3525" s="342" t="n"/>
      <c r="K3525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26" ht="20" customHeight="1">
      <c r="A3526" s="336">
        <f>IF($K3526="","",WEEKNUM($K3526,21))</f>
        <v/>
      </c>
      <c r="B3526" s="337">
        <f>IF($K3526="","",$K3526)</f>
        <v/>
      </c>
      <c r="C3526" s="338">
        <f>IF($K3526="","",$K3526)</f>
        <v/>
      </c>
      <c r="D3526" s="171" t="n"/>
      <c r="E3526" s="171" t="n"/>
      <c r="F3526" s="172" t="n"/>
      <c r="G3526" s="172" t="n"/>
      <c r="H3526" s="173">
        <f>IF(OR(F3526="",G3526=""),"",ROUND(MOD(G3526-F3526,1)*24,2))</f>
        <v/>
      </c>
      <c r="I3526" s="339" t="n"/>
      <c r="J3526" s="339" t="n"/>
      <c r="K3526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27" ht="20" customHeight="1">
      <c r="D3527" s="179" t="n"/>
      <c r="E3527" s="179" t="n"/>
      <c r="F3527" s="180" t="n"/>
      <c r="G3527" s="180" t="n"/>
      <c r="H3527" s="181">
        <f>IF(OR(F3527="",G3527=""),"",ROUND(MOD(G3527-F3527,1)*24,2))</f>
        <v/>
      </c>
      <c r="K3527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28" ht="20" customHeight="1">
      <c r="D3528" s="179" t="n"/>
      <c r="E3528" s="179" t="n"/>
      <c r="F3528" s="180" t="n"/>
      <c r="G3528" s="180" t="n"/>
      <c r="H3528" s="181">
        <f>IF(OR(F3528="",G3528=""),"",ROUND(MOD(G3528-F3528,1)*24,2))</f>
        <v/>
      </c>
      <c r="K3528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29" ht="20" customHeight="1">
      <c r="D3529" s="179" t="n"/>
      <c r="E3529" s="179" t="n"/>
      <c r="F3529" s="180" t="n"/>
      <c r="G3529" s="180" t="n"/>
      <c r="H3529" s="181">
        <f>IF(OR(F3529="",G3529=""),"",ROUND(MOD(G3529-F3529,1)*24,2))</f>
        <v/>
      </c>
      <c r="K3529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30" collapsed="1" ht="20" customHeight="1">
      <c r="D3530" s="179" t="n"/>
      <c r="E3530" s="179" t="n"/>
      <c r="F3530" s="180" t="n"/>
      <c r="G3530" s="180" t="n"/>
      <c r="H3530" s="181">
        <f>IF(OR(F3530="",G3530=""),"",ROUND(MOD(G3530-F3530,1)*24,2))</f>
        <v/>
      </c>
      <c r="K3530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31" hidden="1" outlineLevel="1" ht="20" customHeight="1">
      <c r="D3531" s="179" t="n"/>
      <c r="E3531" s="179" t="n"/>
      <c r="F3531" s="180" t="n"/>
      <c r="G3531" s="180" t="n"/>
      <c r="H3531" s="181">
        <f>IF(OR(F3531="",G3531=""),"",ROUND(MOD(G3531-F3531,1)*24,2))</f>
        <v/>
      </c>
      <c r="K3531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32" hidden="1" outlineLevel="1" ht="20" customHeight="1">
      <c r="D3532" s="179" t="n"/>
      <c r="E3532" s="179" t="n"/>
      <c r="F3532" s="180" t="n"/>
      <c r="G3532" s="180" t="n"/>
      <c r="H3532" s="181">
        <f>IF(OR(F3532="",G3532=""),"",ROUND(MOD(G3532-F3532,1)*24,2))</f>
        <v/>
      </c>
      <c r="K3532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33" hidden="1" outlineLevel="1" ht="20" customHeight="1">
      <c r="D3533" s="179" t="n"/>
      <c r="E3533" s="179" t="n"/>
      <c r="F3533" s="180" t="n"/>
      <c r="G3533" s="180" t="n"/>
      <c r="H3533" s="181">
        <f>IF(OR(F3533="",G3533=""),"",ROUND(MOD(G3533-F3533,1)*24,2))</f>
        <v/>
      </c>
      <c r="K3533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34" hidden="1" outlineLevel="1" ht="20" customHeight="1">
      <c r="D3534" s="179" t="n"/>
      <c r="E3534" s="179" t="n"/>
      <c r="F3534" s="180" t="n"/>
      <c r="G3534" s="180" t="n"/>
      <c r="H3534" s="181">
        <f>IF(OR(F3534="",G3534=""),"",ROUND(MOD(G3534-F3534,1)*24,2))</f>
        <v/>
      </c>
      <c r="K3534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35" hidden="1" outlineLevel="1" ht="20" customHeight="1">
      <c r="A3535" s="342" t="n"/>
      <c r="B3535" s="342" t="n"/>
      <c r="C3535" s="342" t="n"/>
      <c r="D3535" s="332" t="n"/>
      <c r="E3535" s="332" t="n"/>
      <c r="F3535" s="333" t="n"/>
      <c r="G3535" s="333" t="n"/>
      <c r="H3535" s="334">
        <f>IF(OR(F3535="",G3535=""),"",ROUND(MOD(G3535-F3535,1)*24,2))</f>
        <v/>
      </c>
      <c r="I3535" s="342" t="n"/>
      <c r="J3535" s="342" t="n"/>
      <c r="K3535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36" ht="20" customHeight="1">
      <c r="A3536" s="336">
        <f>IF($K3536="","",WEEKNUM($K3536,21))</f>
        <v/>
      </c>
      <c r="B3536" s="337">
        <f>IF($K3536="","",$K3536)</f>
        <v/>
      </c>
      <c r="C3536" s="338">
        <f>IF($K3536="","",$K3536)</f>
        <v/>
      </c>
      <c r="D3536" s="171" t="n"/>
      <c r="E3536" s="171" t="n"/>
      <c r="F3536" s="172" t="n"/>
      <c r="G3536" s="172" t="n"/>
      <c r="H3536" s="173">
        <f>IF(OR(F3536="",G3536=""),"",ROUND(MOD(G3536-F3536,1)*24,2))</f>
        <v/>
      </c>
      <c r="I3536" s="339" t="n"/>
      <c r="J3536" s="339" t="n"/>
      <c r="K3536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37" ht="20" customHeight="1">
      <c r="D3537" s="179" t="n"/>
      <c r="E3537" s="179" t="n"/>
      <c r="F3537" s="180" t="n"/>
      <c r="G3537" s="180" t="n"/>
      <c r="H3537" s="181">
        <f>IF(OR(F3537="",G3537=""),"",ROUND(MOD(G3537-F3537,1)*24,2))</f>
        <v/>
      </c>
      <c r="K3537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38" ht="20" customHeight="1">
      <c r="D3538" s="179" t="n"/>
      <c r="E3538" s="179" t="n"/>
      <c r="F3538" s="180" t="n"/>
      <c r="G3538" s="180" t="n"/>
      <c r="H3538" s="181">
        <f>IF(OR(F3538="",G3538=""),"",ROUND(MOD(G3538-F3538,1)*24,2))</f>
        <v/>
      </c>
      <c r="K3538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39" ht="20" customHeight="1">
      <c r="D3539" s="179" t="n"/>
      <c r="E3539" s="179" t="n"/>
      <c r="F3539" s="180" t="n"/>
      <c r="G3539" s="180" t="n"/>
      <c r="H3539" s="181">
        <f>IF(OR(F3539="",G3539=""),"",ROUND(MOD(G3539-F3539,1)*24,2))</f>
        <v/>
      </c>
      <c r="K3539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40" collapsed="1" ht="20" customHeight="1">
      <c r="D3540" s="179" t="n"/>
      <c r="E3540" s="179" t="n"/>
      <c r="F3540" s="180" t="n"/>
      <c r="G3540" s="180" t="n"/>
      <c r="H3540" s="181">
        <f>IF(OR(F3540="",G3540=""),"",ROUND(MOD(G3540-F3540,1)*24,2))</f>
        <v/>
      </c>
      <c r="K3540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41" hidden="1" outlineLevel="1" ht="20" customHeight="1">
      <c r="D3541" s="179" t="n"/>
      <c r="E3541" s="179" t="n"/>
      <c r="F3541" s="180" t="n"/>
      <c r="G3541" s="180" t="n"/>
      <c r="H3541" s="181">
        <f>IF(OR(F3541="",G3541=""),"",ROUND(MOD(G3541-F3541,1)*24,2))</f>
        <v/>
      </c>
      <c r="K3541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42" hidden="1" outlineLevel="1" ht="20" customHeight="1">
      <c r="D3542" s="179" t="n"/>
      <c r="E3542" s="179" t="n"/>
      <c r="F3542" s="180" t="n"/>
      <c r="G3542" s="180" t="n"/>
      <c r="H3542" s="181">
        <f>IF(OR(F3542="",G3542=""),"",ROUND(MOD(G3542-F3542,1)*24,2))</f>
        <v/>
      </c>
      <c r="K3542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43" hidden="1" outlineLevel="1" ht="20" customHeight="1">
      <c r="D3543" s="179" t="n"/>
      <c r="E3543" s="179" t="n"/>
      <c r="F3543" s="180" t="n"/>
      <c r="G3543" s="180" t="n"/>
      <c r="H3543" s="181">
        <f>IF(OR(F3543="",G3543=""),"",ROUND(MOD(G3543-F3543,1)*24,2))</f>
        <v/>
      </c>
      <c r="K3543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44" hidden="1" outlineLevel="1" ht="20" customHeight="1">
      <c r="D3544" s="179" t="n"/>
      <c r="E3544" s="179" t="n"/>
      <c r="F3544" s="180" t="n"/>
      <c r="G3544" s="180" t="n"/>
      <c r="H3544" s="181">
        <f>IF(OR(F3544="",G3544=""),"",ROUND(MOD(G3544-F3544,1)*24,2))</f>
        <v/>
      </c>
      <c r="K3544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45" hidden="1" outlineLevel="1" ht="20" customHeight="1">
      <c r="A3545" s="342" t="n"/>
      <c r="B3545" s="342" t="n"/>
      <c r="C3545" s="342" t="n"/>
      <c r="D3545" s="332" t="n"/>
      <c r="E3545" s="332" t="n"/>
      <c r="F3545" s="333" t="n"/>
      <c r="G3545" s="333" t="n"/>
      <c r="H3545" s="334">
        <f>IF(OR(F3545="",G3545=""),"",ROUND(MOD(G3545-F3545,1)*24,2))</f>
        <v/>
      </c>
      <c r="I3545" s="342" t="n"/>
      <c r="J3545" s="342" t="n"/>
      <c r="K3545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46" ht="20" customHeight="1">
      <c r="A3546" s="336">
        <f>IF($K3546="","",WEEKNUM($K3546,21))</f>
        <v/>
      </c>
      <c r="B3546" s="337">
        <f>IF($K3546="","",$K3546)</f>
        <v/>
      </c>
      <c r="C3546" s="338">
        <f>IF($K3546="","",$K3546)</f>
        <v/>
      </c>
      <c r="D3546" s="171" t="n"/>
      <c r="E3546" s="171" t="n"/>
      <c r="F3546" s="172" t="n"/>
      <c r="G3546" s="172" t="n"/>
      <c r="H3546" s="173">
        <f>IF(OR(F3546="",G3546=""),"",ROUND(MOD(G3546-F3546,1)*24,2))</f>
        <v/>
      </c>
      <c r="I3546" s="339" t="n"/>
      <c r="J3546" s="339" t="n"/>
      <c r="K3546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47" ht="20" customHeight="1">
      <c r="D3547" s="179" t="n"/>
      <c r="E3547" s="179" t="n"/>
      <c r="F3547" s="180" t="n"/>
      <c r="G3547" s="180" t="n"/>
      <c r="H3547" s="181">
        <f>IF(OR(F3547="",G3547=""),"",ROUND(MOD(G3547-F3547,1)*24,2))</f>
        <v/>
      </c>
      <c r="K3547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48" ht="20" customHeight="1">
      <c r="D3548" s="179" t="n"/>
      <c r="E3548" s="179" t="n"/>
      <c r="F3548" s="180" t="n"/>
      <c r="G3548" s="180" t="n"/>
      <c r="H3548" s="181">
        <f>IF(OR(F3548="",G3548=""),"",ROUND(MOD(G3548-F3548,1)*24,2))</f>
        <v/>
      </c>
      <c r="K3548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49" ht="20" customHeight="1">
      <c r="D3549" s="179" t="n"/>
      <c r="E3549" s="179" t="n"/>
      <c r="F3549" s="180" t="n"/>
      <c r="G3549" s="180" t="n"/>
      <c r="H3549" s="181">
        <f>IF(OR(F3549="",G3549=""),"",ROUND(MOD(G3549-F3549,1)*24,2))</f>
        <v/>
      </c>
      <c r="K3549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50" collapsed="1" ht="20" customHeight="1">
      <c r="D3550" s="179" t="n"/>
      <c r="E3550" s="179" t="n"/>
      <c r="F3550" s="180" t="n"/>
      <c r="G3550" s="180" t="n"/>
      <c r="H3550" s="181">
        <f>IF(OR(F3550="",G3550=""),"",ROUND(MOD(G3550-F3550,1)*24,2))</f>
        <v/>
      </c>
      <c r="K3550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51" hidden="1" outlineLevel="1" ht="20" customHeight="1">
      <c r="D3551" s="179" t="n"/>
      <c r="E3551" s="179" t="n"/>
      <c r="F3551" s="180" t="n"/>
      <c r="G3551" s="180" t="n"/>
      <c r="H3551" s="181">
        <f>IF(OR(F3551="",G3551=""),"",ROUND(MOD(G3551-F3551,1)*24,2))</f>
        <v/>
      </c>
      <c r="K3551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52" hidden="1" outlineLevel="1" ht="20" customHeight="1">
      <c r="D3552" s="179" t="n"/>
      <c r="E3552" s="179" t="n"/>
      <c r="F3552" s="180" t="n"/>
      <c r="G3552" s="180" t="n"/>
      <c r="H3552" s="181">
        <f>IF(OR(F3552="",G3552=""),"",ROUND(MOD(G3552-F3552,1)*24,2))</f>
        <v/>
      </c>
      <c r="K3552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53" hidden="1" outlineLevel="1" ht="20" customHeight="1">
      <c r="D3553" s="179" t="n"/>
      <c r="E3553" s="179" t="n"/>
      <c r="F3553" s="180" t="n"/>
      <c r="G3553" s="180" t="n"/>
      <c r="H3553" s="181">
        <f>IF(OR(F3553="",G3553=""),"",ROUND(MOD(G3553-F3553,1)*24,2))</f>
        <v/>
      </c>
      <c r="K3553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54" hidden="1" outlineLevel="1" ht="20" customHeight="1">
      <c r="D3554" s="179" t="n"/>
      <c r="E3554" s="179" t="n"/>
      <c r="F3554" s="180" t="n"/>
      <c r="G3554" s="180" t="n"/>
      <c r="H3554" s="181">
        <f>IF(OR(F3554="",G3554=""),"",ROUND(MOD(G3554-F3554,1)*24,2))</f>
        <v/>
      </c>
      <c r="K3554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55" hidden="1" outlineLevel="1" ht="20" customHeight="1">
      <c r="A3555" s="342" t="n"/>
      <c r="B3555" s="342" t="n"/>
      <c r="C3555" s="342" t="n"/>
      <c r="D3555" s="332" t="n"/>
      <c r="E3555" s="332" t="n"/>
      <c r="F3555" s="333" t="n"/>
      <c r="G3555" s="333" t="n"/>
      <c r="H3555" s="334">
        <f>IF(OR(F3555="",G3555=""),"",ROUND(MOD(G3555-F3555,1)*24,2))</f>
        <v/>
      </c>
      <c r="I3555" s="342" t="n"/>
      <c r="J3555" s="342" t="n"/>
      <c r="K3555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56" ht="20" customHeight="1">
      <c r="A3556" s="336">
        <f>IF($K3556="","",WEEKNUM($K3556,21))</f>
        <v/>
      </c>
      <c r="B3556" s="337">
        <f>IF($K3556="","",$K3556)</f>
        <v/>
      </c>
      <c r="C3556" s="338">
        <f>IF($K3556="","",$K3556)</f>
        <v/>
      </c>
      <c r="D3556" s="171" t="n"/>
      <c r="E3556" s="171" t="n"/>
      <c r="F3556" s="172" t="n"/>
      <c r="G3556" s="172" t="n"/>
      <c r="H3556" s="173">
        <f>IF(OR(F3556="",G3556=""),"",ROUND(MOD(G3556-F3556,1)*24,2))</f>
        <v/>
      </c>
      <c r="I3556" s="339" t="n"/>
      <c r="J3556" s="339" t="n"/>
      <c r="K3556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57" ht="20" customHeight="1">
      <c r="D3557" s="179" t="n"/>
      <c r="E3557" s="179" t="n"/>
      <c r="F3557" s="180" t="n"/>
      <c r="G3557" s="180" t="n"/>
      <c r="H3557" s="181">
        <f>IF(OR(F3557="",G3557=""),"",ROUND(MOD(G3557-F3557,1)*24,2))</f>
        <v/>
      </c>
      <c r="K3557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58" ht="20" customHeight="1">
      <c r="D3558" s="179" t="n"/>
      <c r="E3558" s="179" t="n"/>
      <c r="F3558" s="180" t="n"/>
      <c r="G3558" s="180" t="n"/>
      <c r="H3558" s="181">
        <f>IF(OR(F3558="",G3558=""),"",ROUND(MOD(G3558-F3558,1)*24,2))</f>
        <v/>
      </c>
      <c r="K3558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59" ht="20" customHeight="1">
      <c r="D3559" s="179" t="n"/>
      <c r="E3559" s="179" t="n"/>
      <c r="F3559" s="180" t="n"/>
      <c r="G3559" s="180" t="n"/>
      <c r="H3559" s="181">
        <f>IF(OR(F3559="",G3559=""),"",ROUND(MOD(G3559-F3559,1)*24,2))</f>
        <v/>
      </c>
      <c r="K3559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60" collapsed="1" ht="20" customHeight="1">
      <c r="D3560" s="179" t="n"/>
      <c r="E3560" s="179" t="n"/>
      <c r="F3560" s="180" t="n"/>
      <c r="G3560" s="180" t="n"/>
      <c r="H3560" s="181">
        <f>IF(OR(F3560="",G3560=""),"",ROUND(MOD(G3560-F3560,1)*24,2))</f>
        <v/>
      </c>
      <c r="K3560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61" hidden="1" outlineLevel="1" ht="20" customHeight="1">
      <c r="D3561" s="179" t="n"/>
      <c r="E3561" s="179" t="n"/>
      <c r="F3561" s="180" t="n"/>
      <c r="G3561" s="180" t="n"/>
      <c r="H3561" s="181">
        <f>IF(OR(F3561="",G3561=""),"",ROUND(MOD(G3561-F3561,1)*24,2))</f>
        <v/>
      </c>
      <c r="K3561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62" hidden="1" outlineLevel="1" ht="20" customHeight="1">
      <c r="D3562" s="179" t="n"/>
      <c r="E3562" s="179" t="n"/>
      <c r="F3562" s="180" t="n"/>
      <c r="G3562" s="180" t="n"/>
      <c r="H3562" s="181">
        <f>IF(OR(F3562="",G3562=""),"",ROUND(MOD(G3562-F3562,1)*24,2))</f>
        <v/>
      </c>
      <c r="K3562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63" hidden="1" outlineLevel="1" ht="20" customHeight="1">
      <c r="D3563" s="179" t="n"/>
      <c r="E3563" s="179" t="n"/>
      <c r="F3563" s="180" t="n"/>
      <c r="G3563" s="180" t="n"/>
      <c r="H3563" s="181">
        <f>IF(OR(F3563="",G3563=""),"",ROUND(MOD(G3563-F3563,1)*24,2))</f>
        <v/>
      </c>
      <c r="K3563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64" hidden="1" outlineLevel="1" ht="20" customHeight="1">
      <c r="D3564" s="179" t="n"/>
      <c r="E3564" s="179" t="n"/>
      <c r="F3564" s="180" t="n"/>
      <c r="G3564" s="180" t="n"/>
      <c r="H3564" s="181">
        <f>IF(OR(F3564="",G3564=""),"",ROUND(MOD(G3564-F3564,1)*24,2))</f>
        <v/>
      </c>
      <c r="K3564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65" hidden="1" outlineLevel="1" ht="20" customHeight="1">
      <c r="A3565" s="342" t="n"/>
      <c r="B3565" s="342" t="n"/>
      <c r="C3565" s="342" t="n"/>
      <c r="D3565" s="332" t="n"/>
      <c r="E3565" s="332" t="n"/>
      <c r="F3565" s="333" t="n"/>
      <c r="G3565" s="333" t="n"/>
      <c r="H3565" s="334">
        <f>IF(OR(F3565="",G3565=""),"",ROUND(MOD(G3565-F3565,1)*24,2))</f>
        <v/>
      </c>
      <c r="I3565" s="342" t="n"/>
      <c r="J3565" s="342" t="n"/>
      <c r="K3565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66" ht="20" customHeight="1">
      <c r="A3566" s="336">
        <f>IF($K3566="","",WEEKNUM($K3566,21))</f>
        <v/>
      </c>
      <c r="B3566" s="337">
        <f>IF($K3566="","",$K3566)</f>
        <v/>
      </c>
      <c r="C3566" s="338">
        <f>IF($K3566="","",$K3566)</f>
        <v/>
      </c>
      <c r="D3566" s="171" t="n"/>
      <c r="E3566" s="171" t="n"/>
      <c r="F3566" s="172" t="n"/>
      <c r="G3566" s="172" t="n"/>
      <c r="H3566" s="173">
        <f>IF(OR(F3566="",G3566=""),"",ROUND(MOD(G3566-F3566,1)*24,2))</f>
        <v/>
      </c>
      <c r="I3566" s="339" t="n"/>
      <c r="J3566" s="339" t="n"/>
      <c r="K3566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67" ht="20" customHeight="1">
      <c r="D3567" s="179" t="n"/>
      <c r="E3567" s="179" t="n"/>
      <c r="F3567" s="180" t="n"/>
      <c r="G3567" s="180" t="n"/>
      <c r="H3567" s="181">
        <f>IF(OR(F3567="",G3567=""),"",ROUND(MOD(G3567-F3567,1)*24,2))</f>
        <v/>
      </c>
      <c r="K3567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68" ht="20" customHeight="1">
      <c r="D3568" s="179" t="n"/>
      <c r="E3568" s="179" t="n"/>
      <c r="F3568" s="180" t="n"/>
      <c r="G3568" s="180" t="n"/>
      <c r="H3568" s="181">
        <f>IF(OR(F3568="",G3568=""),"",ROUND(MOD(G3568-F3568,1)*24,2))</f>
        <v/>
      </c>
      <c r="K3568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69" ht="20" customHeight="1">
      <c r="D3569" s="179" t="n"/>
      <c r="E3569" s="179" t="n"/>
      <c r="F3569" s="180" t="n"/>
      <c r="G3569" s="180" t="n"/>
      <c r="H3569" s="181">
        <f>IF(OR(F3569="",G3569=""),"",ROUND(MOD(G3569-F3569,1)*24,2))</f>
        <v/>
      </c>
      <c r="K3569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70" collapsed="1" ht="20" customHeight="1">
      <c r="D3570" s="179" t="n"/>
      <c r="E3570" s="179" t="n"/>
      <c r="F3570" s="180" t="n"/>
      <c r="G3570" s="180" t="n"/>
      <c r="H3570" s="181">
        <f>IF(OR(F3570="",G3570=""),"",ROUND(MOD(G3570-F3570,1)*24,2))</f>
        <v/>
      </c>
      <c r="K3570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71" hidden="1" outlineLevel="1" ht="20" customHeight="1">
      <c r="D3571" s="179" t="n"/>
      <c r="E3571" s="179" t="n"/>
      <c r="F3571" s="180" t="n"/>
      <c r="G3571" s="180" t="n"/>
      <c r="H3571" s="181">
        <f>IF(OR(F3571="",G3571=""),"",ROUND(MOD(G3571-F3571,1)*24,2))</f>
        <v/>
      </c>
      <c r="K3571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72" hidden="1" outlineLevel="1" ht="20" customHeight="1">
      <c r="D3572" s="179" t="n"/>
      <c r="E3572" s="179" t="n"/>
      <c r="F3572" s="180" t="n"/>
      <c r="G3572" s="180" t="n"/>
      <c r="H3572" s="181">
        <f>IF(OR(F3572="",G3572=""),"",ROUND(MOD(G3572-F3572,1)*24,2))</f>
        <v/>
      </c>
      <c r="K3572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73" hidden="1" outlineLevel="1" ht="20" customHeight="1">
      <c r="D3573" s="179" t="n"/>
      <c r="E3573" s="179" t="n"/>
      <c r="F3573" s="180" t="n"/>
      <c r="G3573" s="180" t="n"/>
      <c r="H3573" s="181">
        <f>IF(OR(F3573="",G3573=""),"",ROUND(MOD(G3573-F3573,1)*24,2))</f>
        <v/>
      </c>
      <c r="K3573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74" hidden="1" outlineLevel="1" ht="20" customHeight="1">
      <c r="D3574" s="179" t="n"/>
      <c r="E3574" s="179" t="n"/>
      <c r="F3574" s="180" t="n"/>
      <c r="G3574" s="180" t="n"/>
      <c r="H3574" s="181">
        <f>IF(OR(F3574="",G3574=""),"",ROUND(MOD(G3574-F3574,1)*24,2))</f>
        <v/>
      </c>
      <c r="K3574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75" hidden="1" outlineLevel="1" ht="20" customHeight="1">
      <c r="A3575" s="342" t="n"/>
      <c r="B3575" s="342" t="n"/>
      <c r="C3575" s="342" t="n"/>
      <c r="D3575" s="332" t="n"/>
      <c r="E3575" s="332" t="n"/>
      <c r="F3575" s="333" t="n"/>
      <c r="G3575" s="333" t="n"/>
      <c r="H3575" s="334">
        <f>IF(OR(F3575="",G3575=""),"",ROUND(MOD(G3575-F3575,1)*24,2))</f>
        <v/>
      </c>
      <c r="I3575" s="342" t="n"/>
      <c r="J3575" s="342" t="n"/>
      <c r="K3575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76" ht="20" customHeight="1">
      <c r="A3576" s="336">
        <f>IF($K3576="","",WEEKNUM($K3576,21))</f>
        <v/>
      </c>
      <c r="B3576" s="337">
        <f>IF($K3576="","",$K3576)</f>
        <v/>
      </c>
      <c r="C3576" s="338">
        <f>IF($K3576="","",$K3576)</f>
        <v/>
      </c>
      <c r="D3576" s="171" t="n"/>
      <c r="E3576" s="171" t="n"/>
      <c r="F3576" s="172" t="n"/>
      <c r="G3576" s="172" t="n"/>
      <c r="H3576" s="173">
        <f>IF(OR(F3576="",G3576=""),"",ROUND(MOD(G3576-F3576,1)*24,2))</f>
        <v/>
      </c>
      <c r="I3576" s="339" t="n"/>
      <c r="J3576" s="339" t="n"/>
      <c r="K3576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77" ht="20" customHeight="1">
      <c r="D3577" s="179" t="n"/>
      <c r="E3577" s="179" t="n"/>
      <c r="F3577" s="180" t="n"/>
      <c r="G3577" s="180" t="n"/>
      <c r="H3577" s="181">
        <f>IF(OR(F3577="",G3577=""),"",ROUND(MOD(G3577-F3577,1)*24,2))</f>
        <v/>
      </c>
      <c r="K3577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78" ht="20" customHeight="1">
      <c r="D3578" s="179" t="n"/>
      <c r="E3578" s="179" t="n"/>
      <c r="F3578" s="180" t="n"/>
      <c r="G3578" s="180" t="n"/>
      <c r="H3578" s="181">
        <f>IF(OR(F3578="",G3578=""),"",ROUND(MOD(G3578-F3578,1)*24,2))</f>
        <v/>
      </c>
      <c r="K3578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79" ht="20" customHeight="1">
      <c r="D3579" s="179" t="n"/>
      <c r="E3579" s="179" t="n"/>
      <c r="F3579" s="180" t="n"/>
      <c r="G3579" s="180" t="n"/>
      <c r="H3579" s="181">
        <f>IF(OR(F3579="",G3579=""),"",ROUND(MOD(G3579-F3579,1)*24,2))</f>
        <v/>
      </c>
      <c r="K3579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80" collapsed="1" ht="20" customHeight="1">
      <c r="D3580" s="179" t="n"/>
      <c r="E3580" s="179" t="n"/>
      <c r="F3580" s="180" t="n"/>
      <c r="G3580" s="180" t="n"/>
      <c r="H3580" s="181">
        <f>IF(OR(F3580="",G3580=""),"",ROUND(MOD(G3580-F3580,1)*24,2))</f>
        <v/>
      </c>
      <c r="K3580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81" hidden="1" outlineLevel="1" ht="20" customHeight="1">
      <c r="D3581" s="179" t="n"/>
      <c r="E3581" s="179" t="n"/>
      <c r="F3581" s="180" t="n"/>
      <c r="G3581" s="180" t="n"/>
      <c r="H3581" s="181">
        <f>IF(OR(F3581="",G3581=""),"",ROUND(MOD(G3581-F3581,1)*24,2))</f>
        <v/>
      </c>
      <c r="K3581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82" hidden="1" outlineLevel="1" ht="20" customHeight="1">
      <c r="D3582" s="179" t="n"/>
      <c r="E3582" s="179" t="n"/>
      <c r="F3582" s="180" t="n"/>
      <c r="G3582" s="180" t="n"/>
      <c r="H3582" s="181">
        <f>IF(OR(F3582="",G3582=""),"",ROUND(MOD(G3582-F3582,1)*24,2))</f>
        <v/>
      </c>
      <c r="K3582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83" hidden="1" outlineLevel="1" ht="20" customHeight="1">
      <c r="D3583" s="179" t="n"/>
      <c r="E3583" s="179" t="n"/>
      <c r="F3583" s="180" t="n"/>
      <c r="G3583" s="180" t="n"/>
      <c r="H3583" s="181">
        <f>IF(OR(F3583="",G3583=""),"",ROUND(MOD(G3583-F3583,1)*24,2))</f>
        <v/>
      </c>
      <c r="K3583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84" hidden="1" outlineLevel="1" ht="20" customHeight="1">
      <c r="D3584" s="179" t="n"/>
      <c r="E3584" s="179" t="n"/>
      <c r="F3584" s="180" t="n"/>
      <c r="G3584" s="180" t="n"/>
      <c r="H3584" s="181">
        <f>IF(OR(F3584="",G3584=""),"",ROUND(MOD(G3584-F3584,1)*24,2))</f>
        <v/>
      </c>
      <c r="K3584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85" hidden="1" outlineLevel="1" ht="20" customHeight="1">
      <c r="A3585" s="342" t="n"/>
      <c r="B3585" s="342" t="n"/>
      <c r="C3585" s="342" t="n"/>
      <c r="D3585" s="332" t="n"/>
      <c r="E3585" s="332" t="n"/>
      <c r="F3585" s="333" t="n"/>
      <c r="G3585" s="333" t="n"/>
      <c r="H3585" s="334">
        <f>IF(OR(F3585="",G3585=""),"",ROUND(MOD(G3585-F3585,1)*24,2))</f>
        <v/>
      </c>
      <c r="I3585" s="342" t="n"/>
      <c r="J3585" s="342" t="n"/>
      <c r="K3585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586" ht="20" customHeight="1">
      <c r="A3586" s="336">
        <f>IF($K3586="","",WEEKNUM($K3586,21))</f>
        <v/>
      </c>
      <c r="B3586" s="337">
        <f>IF($K3586="","",$K3586)</f>
        <v/>
      </c>
      <c r="C3586" s="338">
        <f>IF($K3586="","",$K3586)</f>
        <v/>
      </c>
      <c r="D3586" s="171" t="n"/>
      <c r="E3586" s="171" t="n"/>
      <c r="F3586" s="172" t="n"/>
      <c r="G3586" s="172" t="n"/>
      <c r="H3586" s="173">
        <f>IF(OR(F3586="",G3586=""),"",ROUND(MOD(G3586-F3586,1)*24,2))</f>
        <v/>
      </c>
      <c r="I3586" s="339" t="n"/>
      <c r="J3586" s="339" t="n"/>
      <c r="K3586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87" ht="20" customHeight="1">
      <c r="D3587" s="179" t="n"/>
      <c r="E3587" s="179" t="n"/>
      <c r="F3587" s="180" t="n"/>
      <c r="G3587" s="180" t="n"/>
      <c r="H3587" s="181">
        <f>IF(OR(F3587="",G3587=""),"",ROUND(MOD(G3587-F3587,1)*24,2))</f>
        <v/>
      </c>
      <c r="K3587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88" ht="20" customHeight="1">
      <c r="D3588" s="179" t="n"/>
      <c r="E3588" s="179" t="n"/>
      <c r="F3588" s="180" t="n"/>
      <c r="G3588" s="180" t="n"/>
      <c r="H3588" s="181">
        <f>IF(OR(F3588="",G3588=""),"",ROUND(MOD(G3588-F3588,1)*24,2))</f>
        <v/>
      </c>
      <c r="K3588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89" ht="20" customHeight="1">
      <c r="D3589" s="179" t="n"/>
      <c r="E3589" s="179" t="n"/>
      <c r="F3589" s="180" t="n"/>
      <c r="G3589" s="180" t="n"/>
      <c r="H3589" s="181">
        <f>IF(OR(F3589="",G3589=""),"",ROUND(MOD(G3589-F3589,1)*24,2))</f>
        <v/>
      </c>
      <c r="K3589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90" collapsed="1" ht="20" customHeight="1">
      <c r="D3590" s="179" t="n"/>
      <c r="E3590" s="179" t="n"/>
      <c r="F3590" s="180" t="n"/>
      <c r="G3590" s="180" t="n"/>
      <c r="H3590" s="181">
        <f>IF(OR(F3590="",G3590=""),"",ROUND(MOD(G3590-F3590,1)*24,2))</f>
        <v/>
      </c>
      <c r="K3590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91" hidden="1" outlineLevel="1" ht="20" customHeight="1">
      <c r="D3591" s="179" t="n"/>
      <c r="E3591" s="179" t="n"/>
      <c r="F3591" s="180" t="n"/>
      <c r="G3591" s="180" t="n"/>
      <c r="H3591" s="181">
        <f>IF(OR(F3591="",G3591=""),"",ROUND(MOD(G3591-F3591,1)*24,2))</f>
        <v/>
      </c>
      <c r="K3591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92" hidden="1" outlineLevel="1" ht="20" customHeight="1">
      <c r="D3592" s="179" t="n"/>
      <c r="E3592" s="179" t="n"/>
      <c r="F3592" s="180" t="n"/>
      <c r="G3592" s="180" t="n"/>
      <c r="H3592" s="181">
        <f>IF(OR(F3592="",G3592=""),"",ROUND(MOD(G3592-F3592,1)*24,2))</f>
        <v/>
      </c>
      <c r="K3592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93" hidden="1" outlineLevel="1" ht="20" customHeight="1">
      <c r="D3593" s="179" t="n"/>
      <c r="E3593" s="179" t="n"/>
      <c r="F3593" s="180" t="n"/>
      <c r="G3593" s="180" t="n"/>
      <c r="H3593" s="181">
        <f>IF(OR(F3593="",G3593=""),"",ROUND(MOD(G3593-F3593,1)*24,2))</f>
        <v/>
      </c>
      <c r="K3593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94" hidden="1" outlineLevel="1" ht="20" customHeight="1">
      <c r="D3594" s="179" t="n"/>
      <c r="E3594" s="179" t="n"/>
      <c r="F3594" s="180" t="n"/>
      <c r="G3594" s="180" t="n"/>
      <c r="H3594" s="181">
        <f>IF(OR(F3594="",G3594=""),"",ROUND(MOD(G3594-F3594,1)*24,2))</f>
        <v/>
      </c>
      <c r="K3594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95" hidden="1" outlineLevel="1" ht="20" customHeight="1">
      <c r="A3595" s="342" t="n"/>
      <c r="B3595" s="342" t="n"/>
      <c r="C3595" s="342" t="n"/>
      <c r="D3595" s="332" t="n"/>
      <c r="E3595" s="332" t="n"/>
      <c r="F3595" s="333" t="n"/>
      <c r="G3595" s="333" t="n"/>
      <c r="H3595" s="334">
        <f>IF(OR(F3595="",G3595=""),"",ROUND(MOD(G3595-F3595,1)*24,2))</f>
        <v/>
      </c>
      <c r="I3595" s="342" t="n"/>
      <c r="J3595" s="342" t="n"/>
      <c r="K3595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596" ht="20" customHeight="1">
      <c r="A3596" s="336">
        <f>IF($K3596="","",WEEKNUM($K3596,21))</f>
        <v/>
      </c>
      <c r="B3596" s="337">
        <f>IF($K3596="","",$K3596)</f>
        <v/>
      </c>
      <c r="C3596" s="338">
        <f>IF($K3596="","",$K3596)</f>
        <v/>
      </c>
      <c r="D3596" s="171" t="n"/>
      <c r="E3596" s="171" t="n"/>
      <c r="F3596" s="172" t="n"/>
      <c r="G3596" s="172" t="n"/>
      <c r="H3596" s="173">
        <f>IF(OR(F3596="",G3596=""),"",ROUND(MOD(G3596-F3596,1)*24,2))</f>
        <v/>
      </c>
      <c r="I3596" s="339" t="n"/>
      <c r="J3596" s="339" t="n"/>
      <c r="K3596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597" ht="20" customHeight="1">
      <c r="D3597" s="179" t="n"/>
      <c r="E3597" s="179" t="n"/>
      <c r="F3597" s="180" t="n"/>
      <c r="G3597" s="180" t="n"/>
      <c r="H3597" s="181">
        <f>IF(OR(F3597="",G3597=""),"",ROUND(MOD(G3597-F3597,1)*24,2))</f>
        <v/>
      </c>
      <c r="K3597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598" ht="20" customHeight="1">
      <c r="D3598" s="179" t="n"/>
      <c r="E3598" s="179" t="n"/>
      <c r="F3598" s="180" t="n"/>
      <c r="G3598" s="180" t="n"/>
      <c r="H3598" s="181">
        <f>IF(OR(F3598="",G3598=""),"",ROUND(MOD(G3598-F3598,1)*24,2))</f>
        <v/>
      </c>
      <c r="K3598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599" ht="20" customHeight="1">
      <c r="D3599" s="179" t="n"/>
      <c r="E3599" s="179" t="n"/>
      <c r="F3599" s="180" t="n"/>
      <c r="G3599" s="180" t="n"/>
      <c r="H3599" s="181">
        <f>IF(OR(F3599="",G3599=""),"",ROUND(MOD(G3599-F3599,1)*24,2))</f>
        <v/>
      </c>
      <c r="K3599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600" collapsed="1" ht="20" customHeight="1">
      <c r="D3600" s="179" t="n"/>
      <c r="E3600" s="179" t="n"/>
      <c r="F3600" s="180" t="n"/>
      <c r="G3600" s="180" t="n"/>
      <c r="H3600" s="181">
        <f>IF(OR(F3600="",G3600=""),"",ROUND(MOD(G3600-F3600,1)*24,2))</f>
        <v/>
      </c>
      <c r="K3600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601" hidden="1" outlineLevel="1" ht="20" customHeight="1">
      <c r="D3601" s="179" t="n"/>
      <c r="E3601" s="179" t="n"/>
      <c r="F3601" s="180" t="n"/>
      <c r="G3601" s="180" t="n"/>
      <c r="H3601" s="181">
        <f>IF(OR(F3601="",G3601=""),"",ROUND(MOD(G3601-F3601,1)*24,2))</f>
        <v/>
      </c>
      <c r="K3601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602" hidden="1" outlineLevel="1" ht="20" customHeight="1">
      <c r="D3602" s="179" t="n"/>
      <c r="E3602" s="179" t="n"/>
      <c r="F3602" s="180" t="n"/>
      <c r="G3602" s="180" t="n"/>
      <c r="H3602" s="181">
        <f>IF(OR(F3602="",G3602=""),"",ROUND(MOD(G3602-F3602,1)*24,2))</f>
        <v/>
      </c>
      <c r="K3602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603" hidden="1" outlineLevel="1" ht="20" customHeight="1">
      <c r="D3603" s="179" t="n"/>
      <c r="E3603" s="179" t="n"/>
      <c r="F3603" s="180" t="n"/>
      <c r="G3603" s="180" t="n"/>
      <c r="H3603" s="181">
        <f>IF(OR(F3603="",G3603=""),"",ROUND(MOD(G3603-F3603,1)*24,2))</f>
        <v/>
      </c>
      <c r="K3603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604" hidden="1" outlineLevel="1" ht="20" customHeight="1">
      <c r="D3604" s="179" t="n"/>
      <c r="E3604" s="179" t="n"/>
      <c r="F3604" s="180" t="n"/>
      <c r="G3604" s="180" t="n"/>
      <c r="H3604" s="181">
        <f>IF(OR(F3604="",G3604=""),"",ROUND(MOD(G3604-F3604,1)*24,2))</f>
        <v/>
      </c>
      <c r="K3604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605" hidden="1" outlineLevel="1" ht="20" customHeight="1">
      <c r="A3605" s="342" t="n"/>
      <c r="B3605" s="342" t="n"/>
      <c r="C3605" s="342" t="n"/>
      <c r="D3605" s="332" t="n"/>
      <c r="E3605" s="332" t="n"/>
      <c r="F3605" s="333" t="n"/>
      <c r="G3605" s="333" t="n"/>
      <c r="H3605" s="334">
        <f>IF(OR(F3605="",G3605=""),"",ROUND(MOD(G3605-F3605,1)*24,2))</f>
        <v/>
      </c>
      <c r="I3605" s="342" t="n"/>
      <c r="J3605" s="342" t="n"/>
      <c r="K3605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606" ht="20" customHeight="1">
      <c r="A3606" s="336">
        <f>IF($K3606="","",WEEKNUM($K3606,21))</f>
        <v/>
      </c>
      <c r="B3606" s="337">
        <f>IF($K3606="","",$K3606)</f>
        <v/>
      </c>
      <c r="C3606" s="338">
        <f>IF($K3606="","",$K3606)</f>
        <v/>
      </c>
      <c r="D3606" s="171" t="n"/>
      <c r="E3606" s="171" t="n"/>
      <c r="F3606" s="172" t="n"/>
      <c r="G3606" s="172" t="n"/>
      <c r="H3606" s="173">
        <f>IF(OR(F3606="",G3606=""),"",ROUND(MOD(G3606-F3606,1)*24,2))</f>
        <v/>
      </c>
      <c r="I3606" s="339" t="n"/>
      <c r="J3606" s="339" t="n"/>
      <c r="K3606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07" ht="20" customHeight="1">
      <c r="D3607" s="179" t="n"/>
      <c r="E3607" s="179" t="n"/>
      <c r="F3607" s="180" t="n"/>
      <c r="G3607" s="180" t="n"/>
      <c r="H3607" s="181">
        <f>IF(OR(F3607="",G3607=""),"",ROUND(MOD(G3607-F3607,1)*24,2))</f>
        <v/>
      </c>
      <c r="K3607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08" ht="20" customHeight="1">
      <c r="D3608" s="179" t="n"/>
      <c r="E3608" s="179" t="n"/>
      <c r="F3608" s="180" t="n"/>
      <c r="G3608" s="180" t="n"/>
      <c r="H3608" s="181">
        <f>IF(OR(F3608="",G3608=""),"",ROUND(MOD(G3608-F3608,1)*24,2))</f>
        <v/>
      </c>
      <c r="K3608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09" ht="20" customHeight="1">
      <c r="D3609" s="179" t="n"/>
      <c r="E3609" s="179" t="n"/>
      <c r="F3609" s="180" t="n"/>
      <c r="G3609" s="180" t="n"/>
      <c r="H3609" s="181">
        <f>IF(OR(F3609="",G3609=""),"",ROUND(MOD(G3609-F3609,1)*24,2))</f>
        <v/>
      </c>
      <c r="K3609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10" collapsed="1" ht="20" customHeight="1">
      <c r="D3610" s="179" t="n"/>
      <c r="E3610" s="179" t="n"/>
      <c r="F3610" s="180" t="n"/>
      <c r="G3610" s="180" t="n"/>
      <c r="H3610" s="181">
        <f>IF(OR(F3610="",G3610=""),"",ROUND(MOD(G3610-F3610,1)*24,2))</f>
        <v/>
      </c>
      <c r="K3610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11" hidden="1" outlineLevel="1" ht="20" customHeight="1">
      <c r="D3611" s="179" t="n"/>
      <c r="E3611" s="179" t="n"/>
      <c r="F3611" s="180" t="n"/>
      <c r="G3611" s="180" t="n"/>
      <c r="H3611" s="181">
        <f>IF(OR(F3611="",G3611=""),"",ROUND(MOD(G3611-F3611,1)*24,2))</f>
        <v/>
      </c>
      <c r="K3611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12" hidden="1" outlineLevel="1" ht="20" customHeight="1">
      <c r="D3612" s="179" t="n"/>
      <c r="E3612" s="179" t="n"/>
      <c r="F3612" s="180" t="n"/>
      <c r="G3612" s="180" t="n"/>
      <c r="H3612" s="181">
        <f>IF(OR(F3612="",G3612=""),"",ROUND(MOD(G3612-F3612,1)*24,2))</f>
        <v/>
      </c>
      <c r="K3612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13" hidden="1" outlineLevel="1" ht="20" customHeight="1">
      <c r="D3613" s="179" t="n"/>
      <c r="E3613" s="179" t="n"/>
      <c r="F3613" s="180" t="n"/>
      <c r="G3613" s="180" t="n"/>
      <c r="H3613" s="181">
        <f>IF(OR(F3613="",G3613=""),"",ROUND(MOD(G3613-F3613,1)*24,2))</f>
        <v/>
      </c>
      <c r="K3613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14" hidden="1" outlineLevel="1" ht="20" customHeight="1">
      <c r="D3614" s="179" t="n"/>
      <c r="E3614" s="179" t="n"/>
      <c r="F3614" s="180" t="n"/>
      <c r="G3614" s="180" t="n"/>
      <c r="H3614" s="181">
        <f>IF(OR(F3614="",G3614=""),"",ROUND(MOD(G3614-F3614,1)*24,2))</f>
        <v/>
      </c>
      <c r="K3614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15" hidden="1" outlineLevel="1" ht="20" customHeight="1">
      <c r="A3615" s="342" t="n"/>
      <c r="B3615" s="342" t="n"/>
      <c r="C3615" s="342" t="n"/>
      <c r="D3615" s="332" t="n"/>
      <c r="E3615" s="332" t="n"/>
      <c r="F3615" s="333" t="n"/>
      <c r="G3615" s="333" t="n"/>
      <c r="H3615" s="334">
        <f>IF(OR(F3615="",G3615=""),"",ROUND(MOD(G3615-F3615,1)*24,2))</f>
        <v/>
      </c>
      <c r="I3615" s="342" t="n"/>
      <c r="J3615" s="342" t="n"/>
      <c r="K3615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16" ht="20" customHeight="1">
      <c r="A3616" s="336">
        <f>IF($K3616="","",WEEKNUM($K3616,21))</f>
        <v/>
      </c>
      <c r="B3616" s="337">
        <f>IF($K3616="","",$K3616)</f>
        <v/>
      </c>
      <c r="C3616" s="338">
        <f>IF($K3616="","",$K3616)</f>
        <v/>
      </c>
      <c r="D3616" s="171" t="n"/>
      <c r="E3616" s="171" t="n"/>
      <c r="F3616" s="172" t="n"/>
      <c r="G3616" s="172" t="n"/>
      <c r="H3616" s="173">
        <f>IF(OR(F3616="",G3616=""),"",ROUND(MOD(G3616-F3616,1)*24,2))</f>
        <v/>
      </c>
      <c r="I3616" s="339" t="n"/>
      <c r="J3616" s="339" t="n"/>
      <c r="K3616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17" ht="20" customHeight="1">
      <c r="D3617" s="179" t="n"/>
      <c r="E3617" s="179" t="n"/>
      <c r="F3617" s="180" t="n"/>
      <c r="G3617" s="180" t="n"/>
      <c r="H3617" s="181">
        <f>IF(OR(F3617="",G3617=""),"",ROUND(MOD(G3617-F3617,1)*24,2))</f>
        <v/>
      </c>
      <c r="K3617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18" ht="20" customHeight="1">
      <c r="D3618" s="179" t="n"/>
      <c r="E3618" s="179" t="n"/>
      <c r="F3618" s="180" t="n"/>
      <c r="G3618" s="180" t="n"/>
      <c r="H3618" s="181">
        <f>IF(OR(F3618="",G3618=""),"",ROUND(MOD(G3618-F3618,1)*24,2))</f>
        <v/>
      </c>
      <c r="K3618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19" ht="20" customHeight="1">
      <c r="D3619" s="179" t="n"/>
      <c r="E3619" s="179" t="n"/>
      <c r="F3619" s="180" t="n"/>
      <c r="G3619" s="180" t="n"/>
      <c r="H3619" s="181">
        <f>IF(OR(F3619="",G3619=""),"",ROUND(MOD(G3619-F3619,1)*24,2))</f>
        <v/>
      </c>
      <c r="K3619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20" collapsed="1" ht="20" customHeight="1">
      <c r="D3620" s="179" t="n"/>
      <c r="E3620" s="179" t="n"/>
      <c r="F3620" s="180" t="n"/>
      <c r="G3620" s="180" t="n"/>
      <c r="H3620" s="181">
        <f>IF(OR(F3620="",G3620=""),"",ROUND(MOD(G3620-F3620,1)*24,2))</f>
        <v/>
      </c>
      <c r="K3620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21" hidden="1" outlineLevel="1" ht="20" customHeight="1">
      <c r="D3621" s="179" t="n"/>
      <c r="E3621" s="179" t="n"/>
      <c r="F3621" s="180" t="n"/>
      <c r="G3621" s="180" t="n"/>
      <c r="H3621" s="181">
        <f>IF(OR(F3621="",G3621=""),"",ROUND(MOD(G3621-F3621,1)*24,2))</f>
        <v/>
      </c>
      <c r="K3621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22" hidden="1" outlineLevel="1" ht="20" customHeight="1">
      <c r="D3622" s="179" t="n"/>
      <c r="E3622" s="179" t="n"/>
      <c r="F3622" s="180" t="n"/>
      <c r="G3622" s="180" t="n"/>
      <c r="H3622" s="181">
        <f>IF(OR(F3622="",G3622=""),"",ROUND(MOD(G3622-F3622,1)*24,2))</f>
        <v/>
      </c>
      <c r="K3622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23" hidden="1" outlineLevel="1" ht="20" customHeight="1">
      <c r="D3623" s="179" t="n"/>
      <c r="E3623" s="179" t="n"/>
      <c r="F3623" s="180" t="n"/>
      <c r="G3623" s="180" t="n"/>
      <c r="H3623" s="181">
        <f>IF(OR(F3623="",G3623=""),"",ROUND(MOD(G3623-F3623,1)*24,2))</f>
        <v/>
      </c>
      <c r="K3623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24" hidden="1" outlineLevel="1" ht="20" customHeight="1">
      <c r="D3624" s="179" t="n"/>
      <c r="E3624" s="179" t="n"/>
      <c r="F3624" s="180" t="n"/>
      <c r="G3624" s="180" t="n"/>
      <c r="H3624" s="181">
        <f>IF(OR(F3624="",G3624=""),"",ROUND(MOD(G3624-F3624,1)*24,2))</f>
        <v/>
      </c>
      <c r="K3624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25" hidden="1" outlineLevel="1" ht="20" customHeight="1">
      <c r="A3625" s="342" t="n"/>
      <c r="B3625" s="342" t="n"/>
      <c r="C3625" s="342" t="n"/>
      <c r="D3625" s="332" t="n"/>
      <c r="E3625" s="332" t="n"/>
      <c r="F3625" s="333" t="n"/>
      <c r="G3625" s="333" t="n"/>
      <c r="H3625" s="334">
        <f>IF(OR(F3625="",G3625=""),"",ROUND(MOD(G3625-F3625,1)*24,2))</f>
        <v/>
      </c>
      <c r="I3625" s="342" t="n"/>
      <c r="J3625" s="342" t="n"/>
      <c r="K3625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26" ht="20" customHeight="1">
      <c r="A3626" s="336">
        <f>IF($K3626="","",WEEKNUM($K3626,21))</f>
        <v/>
      </c>
      <c r="B3626" s="337">
        <f>IF($K3626="","",$K3626)</f>
        <v/>
      </c>
      <c r="C3626" s="338">
        <f>IF($K3626="","",$K3626)</f>
        <v/>
      </c>
      <c r="D3626" s="171" t="n"/>
      <c r="E3626" s="171" t="n"/>
      <c r="F3626" s="172" t="n"/>
      <c r="G3626" s="172" t="n"/>
      <c r="H3626" s="173">
        <f>IF(OR(F3626="",G3626=""),"",ROUND(MOD(G3626-F3626,1)*24,2))</f>
        <v/>
      </c>
      <c r="I3626" s="339" t="n"/>
      <c r="J3626" s="339" t="n"/>
      <c r="K3626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27" ht="20" customHeight="1">
      <c r="D3627" s="179" t="n"/>
      <c r="E3627" s="179" t="n"/>
      <c r="F3627" s="180" t="n"/>
      <c r="G3627" s="180" t="n"/>
      <c r="H3627" s="181">
        <f>IF(OR(F3627="",G3627=""),"",ROUND(MOD(G3627-F3627,1)*24,2))</f>
        <v/>
      </c>
      <c r="K3627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28" ht="20" customHeight="1">
      <c r="D3628" s="179" t="n"/>
      <c r="E3628" s="179" t="n"/>
      <c r="F3628" s="180" t="n"/>
      <c r="G3628" s="180" t="n"/>
      <c r="H3628" s="181">
        <f>IF(OR(F3628="",G3628=""),"",ROUND(MOD(G3628-F3628,1)*24,2))</f>
        <v/>
      </c>
      <c r="K3628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29" ht="20" customHeight="1">
      <c r="D3629" s="179" t="n"/>
      <c r="E3629" s="179" t="n"/>
      <c r="F3629" s="180" t="n"/>
      <c r="G3629" s="180" t="n"/>
      <c r="H3629" s="181">
        <f>IF(OR(F3629="",G3629=""),"",ROUND(MOD(G3629-F3629,1)*24,2))</f>
        <v/>
      </c>
      <c r="K3629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30" collapsed="1" ht="20" customHeight="1">
      <c r="D3630" s="179" t="n"/>
      <c r="E3630" s="179" t="n"/>
      <c r="F3630" s="180" t="n"/>
      <c r="G3630" s="180" t="n"/>
      <c r="H3630" s="181">
        <f>IF(OR(F3630="",G3630=""),"",ROUND(MOD(G3630-F3630,1)*24,2))</f>
        <v/>
      </c>
      <c r="K3630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31" hidden="1" outlineLevel="1" ht="20" customHeight="1">
      <c r="D3631" s="179" t="n"/>
      <c r="E3631" s="179" t="n"/>
      <c r="F3631" s="180" t="n"/>
      <c r="G3631" s="180" t="n"/>
      <c r="H3631" s="181">
        <f>IF(OR(F3631="",G3631=""),"",ROUND(MOD(G3631-F3631,1)*24,2))</f>
        <v/>
      </c>
      <c r="K3631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32" hidden="1" outlineLevel="1" ht="20" customHeight="1">
      <c r="D3632" s="179" t="n"/>
      <c r="E3632" s="179" t="n"/>
      <c r="F3632" s="180" t="n"/>
      <c r="G3632" s="180" t="n"/>
      <c r="H3632" s="181">
        <f>IF(OR(F3632="",G3632=""),"",ROUND(MOD(G3632-F3632,1)*24,2))</f>
        <v/>
      </c>
      <c r="K3632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33" hidden="1" outlineLevel="1" ht="20" customHeight="1">
      <c r="D3633" s="179" t="n"/>
      <c r="E3633" s="179" t="n"/>
      <c r="F3633" s="180" t="n"/>
      <c r="G3633" s="180" t="n"/>
      <c r="H3633" s="181">
        <f>IF(OR(F3633="",G3633=""),"",ROUND(MOD(G3633-F3633,1)*24,2))</f>
        <v/>
      </c>
      <c r="K3633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34" hidden="1" outlineLevel="1" ht="20" customHeight="1">
      <c r="D3634" s="179" t="n"/>
      <c r="E3634" s="179" t="n"/>
      <c r="F3634" s="180" t="n"/>
      <c r="G3634" s="180" t="n"/>
      <c r="H3634" s="181">
        <f>IF(OR(F3634="",G3634=""),"",ROUND(MOD(G3634-F3634,1)*24,2))</f>
        <v/>
      </c>
      <c r="K3634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35" hidden="1" outlineLevel="1" ht="20" customHeight="1">
      <c r="A3635" s="342" t="n"/>
      <c r="B3635" s="342" t="n"/>
      <c r="C3635" s="342" t="n"/>
      <c r="D3635" s="332" t="n"/>
      <c r="E3635" s="332" t="n"/>
      <c r="F3635" s="333" t="n"/>
      <c r="G3635" s="333" t="n"/>
      <c r="H3635" s="334">
        <f>IF(OR(F3635="",G3635=""),"",ROUND(MOD(G3635-F3635,1)*24,2))</f>
        <v/>
      </c>
      <c r="I3635" s="342" t="n"/>
      <c r="J3635" s="342" t="n"/>
      <c r="K3635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36" ht="20" customHeight="1">
      <c r="A3636" s="336">
        <f>IF($K3636="","",WEEKNUM($K3636,21))</f>
        <v/>
      </c>
      <c r="B3636" s="337">
        <f>IF($K3636="","",$K3636)</f>
        <v/>
      </c>
      <c r="C3636" s="338">
        <f>IF($K3636="","",$K3636)</f>
        <v/>
      </c>
      <c r="D3636" s="171" t="n"/>
      <c r="E3636" s="171" t="n"/>
      <c r="F3636" s="172" t="n"/>
      <c r="G3636" s="172" t="n"/>
      <c r="H3636" s="173">
        <f>IF(OR(F3636="",G3636=""),"",ROUND(MOD(G3636-F3636,1)*24,2))</f>
        <v/>
      </c>
      <c r="I3636" s="339" t="n"/>
      <c r="J3636" s="339" t="n"/>
      <c r="K3636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37" ht="20" customHeight="1">
      <c r="D3637" s="179" t="n"/>
      <c r="E3637" s="179" t="n"/>
      <c r="F3637" s="180" t="n"/>
      <c r="G3637" s="180" t="n"/>
      <c r="H3637" s="181">
        <f>IF(OR(F3637="",G3637=""),"",ROUND(MOD(G3637-F3637,1)*24,2))</f>
        <v/>
      </c>
      <c r="K3637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38" ht="20" customHeight="1">
      <c r="D3638" s="179" t="n"/>
      <c r="E3638" s="179" t="n"/>
      <c r="F3638" s="180" t="n"/>
      <c r="G3638" s="180" t="n"/>
      <c r="H3638" s="181">
        <f>IF(OR(F3638="",G3638=""),"",ROUND(MOD(G3638-F3638,1)*24,2))</f>
        <v/>
      </c>
      <c r="K3638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39" ht="20" customHeight="1">
      <c r="D3639" s="179" t="n"/>
      <c r="E3639" s="179" t="n"/>
      <c r="F3639" s="180" t="n"/>
      <c r="G3639" s="180" t="n"/>
      <c r="H3639" s="181">
        <f>IF(OR(F3639="",G3639=""),"",ROUND(MOD(G3639-F3639,1)*24,2))</f>
        <v/>
      </c>
      <c r="K3639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40" collapsed="1" ht="20" customHeight="1">
      <c r="D3640" s="179" t="n"/>
      <c r="E3640" s="179" t="n"/>
      <c r="F3640" s="180" t="n"/>
      <c r="G3640" s="180" t="n"/>
      <c r="H3640" s="181">
        <f>IF(OR(F3640="",G3640=""),"",ROUND(MOD(G3640-F3640,1)*24,2))</f>
        <v/>
      </c>
      <c r="K3640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41" hidden="1" outlineLevel="1" ht="20" customHeight="1">
      <c r="D3641" s="179" t="n"/>
      <c r="E3641" s="179" t="n"/>
      <c r="F3641" s="180" t="n"/>
      <c r="G3641" s="180" t="n"/>
      <c r="H3641" s="181">
        <f>IF(OR(F3641="",G3641=""),"",ROUND(MOD(G3641-F3641,1)*24,2))</f>
        <v/>
      </c>
      <c r="K3641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42" hidden="1" outlineLevel="1" ht="20" customHeight="1">
      <c r="D3642" s="179" t="n"/>
      <c r="E3642" s="179" t="n"/>
      <c r="F3642" s="180" t="n"/>
      <c r="G3642" s="180" t="n"/>
      <c r="H3642" s="181">
        <f>IF(OR(F3642="",G3642=""),"",ROUND(MOD(G3642-F3642,1)*24,2))</f>
        <v/>
      </c>
      <c r="K3642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43" hidden="1" outlineLevel="1" ht="20" customHeight="1">
      <c r="D3643" s="179" t="n"/>
      <c r="E3643" s="179" t="n"/>
      <c r="F3643" s="180" t="n"/>
      <c r="G3643" s="180" t="n"/>
      <c r="H3643" s="181">
        <f>IF(OR(F3643="",G3643=""),"",ROUND(MOD(G3643-F3643,1)*24,2))</f>
        <v/>
      </c>
      <c r="K3643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44" hidden="1" outlineLevel="1" ht="20" customHeight="1">
      <c r="D3644" s="179" t="n"/>
      <c r="E3644" s="179" t="n"/>
      <c r="F3644" s="180" t="n"/>
      <c r="G3644" s="180" t="n"/>
      <c r="H3644" s="181">
        <f>IF(OR(F3644="",G3644=""),"",ROUND(MOD(G3644-F3644,1)*24,2))</f>
        <v/>
      </c>
      <c r="K3644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45" hidden="1" outlineLevel="1" ht="20" customHeight="1">
      <c r="A3645" s="342" t="n"/>
      <c r="B3645" s="342" t="n"/>
      <c r="C3645" s="342" t="n"/>
      <c r="D3645" s="332" t="n"/>
      <c r="E3645" s="332" t="n"/>
      <c r="F3645" s="333" t="n"/>
      <c r="G3645" s="333" t="n"/>
      <c r="H3645" s="334">
        <f>IF(OR(F3645="",G3645=""),"",ROUND(MOD(G3645-F3645,1)*24,2))</f>
        <v/>
      </c>
      <c r="I3645" s="342" t="n"/>
      <c r="J3645" s="342" t="n"/>
      <c r="K3645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46" ht="20" customHeight="1">
      <c r="A3646" s="336">
        <f>IF($K3646="","",WEEKNUM($K3646,21))</f>
        <v/>
      </c>
      <c r="B3646" s="337">
        <f>IF($K3646="","",$K3646)</f>
        <v/>
      </c>
      <c r="C3646" s="338">
        <f>IF($K3646="","",$K3646)</f>
        <v/>
      </c>
      <c r="D3646" s="171" t="n"/>
      <c r="E3646" s="171" t="n"/>
      <c r="F3646" s="172" t="n"/>
      <c r="G3646" s="172" t="n"/>
      <c r="H3646" s="173">
        <f>IF(OR(F3646="",G3646=""),"",ROUND(MOD(G3646-F3646,1)*24,2))</f>
        <v/>
      </c>
      <c r="I3646" s="339" t="n"/>
      <c r="J3646" s="339" t="n"/>
      <c r="K3646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47" ht="20" customHeight="1">
      <c r="D3647" s="179" t="n"/>
      <c r="E3647" s="179" t="n"/>
      <c r="F3647" s="180" t="n"/>
      <c r="G3647" s="180" t="n"/>
      <c r="H3647" s="181">
        <f>IF(OR(F3647="",G3647=""),"",ROUND(MOD(G3647-F3647,1)*24,2))</f>
        <v/>
      </c>
      <c r="K3647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48" ht="20" customHeight="1">
      <c r="D3648" s="179" t="n"/>
      <c r="E3648" s="179" t="n"/>
      <c r="F3648" s="180" t="n"/>
      <c r="G3648" s="180" t="n"/>
      <c r="H3648" s="181">
        <f>IF(OR(F3648="",G3648=""),"",ROUND(MOD(G3648-F3648,1)*24,2))</f>
        <v/>
      </c>
      <c r="K3648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49" ht="20" customHeight="1">
      <c r="D3649" s="179" t="n"/>
      <c r="E3649" s="179" t="n"/>
      <c r="F3649" s="180" t="n"/>
      <c r="G3649" s="180" t="n"/>
      <c r="H3649" s="181">
        <f>IF(OR(F3649="",G3649=""),"",ROUND(MOD(G3649-F3649,1)*24,2))</f>
        <v/>
      </c>
      <c r="K3649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50" collapsed="1" ht="20" customHeight="1">
      <c r="D3650" s="179" t="n"/>
      <c r="E3650" s="179" t="n"/>
      <c r="F3650" s="180" t="n"/>
      <c r="G3650" s="180" t="n"/>
      <c r="H3650" s="181">
        <f>IF(OR(F3650="",G3650=""),"",ROUND(MOD(G3650-F3650,1)*24,2))</f>
        <v/>
      </c>
      <c r="K3650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51" hidden="1" outlineLevel="1" ht="20" customHeight="1">
      <c r="D3651" s="179" t="n"/>
      <c r="E3651" s="179" t="n"/>
      <c r="F3651" s="180" t="n"/>
      <c r="G3651" s="180" t="n"/>
      <c r="H3651" s="181">
        <f>IF(OR(F3651="",G3651=""),"",ROUND(MOD(G3651-F3651,1)*24,2))</f>
        <v/>
      </c>
      <c r="K3651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52" hidden="1" outlineLevel="1" ht="20" customHeight="1">
      <c r="D3652" s="179" t="n"/>
      <c r="E3652" s="179" t="n"/>
      <c r="F3652" s="180" t="n"/>
      <c r="G3652" s="180" t="n"/>
      <c r="H3652" s="181">
        <f>IF(OR(F3652="",G3652=""),"",ROUND(MOD(G3652-F3652,1)*24,2))</f>
        <v/>
      </c>
      <c r="K3652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53" hidden="1" outlineLevel="1" ht="20" customHeight="1">
      <c r="D3653" s="179" t="n"/>
      <c r="E3653" s="179" t="n"/>
      <c r="F3653" s="180" t="n"/>
      <c r="G3653" s="180" t="n"/>
      <c r="H3653" s="181">
        <f>IF(OR(F3653="",G3653=""),"",ROUND(MOD(G3653-F3653,1)*24,2))</f>
        <v/>
      </c>
      <c r="K3653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54" hidden="1" outlineLevel="1" ht="20" customHeight="1">
      <c r="D3654" s="179" t="n"/>
      <c r="E3654" s="179" t="n"/>
      <c r="F3654" s="180" t="n"/>
      <c r="G3654" s="180" t="n"/>
      <c r="H3654" s="181">
        <f>IF(OR(F3654="",G3654=""),"",ROUND(MOD(G3654-F3654,1)*24,2))</f>
        <v/>
      </c>
      <c r="K3654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55" hidden="1" outlineLevel="1" ht="20" customHeight="1">
      <c r="A3655" s="342" t="n"/>
      <c r="B3655" s="342" t="n"/>
      <c r="C3655" s="342" t="n"/>
      <c r="D3655" s="332" t="n"/>
      <c r="E3655" s="332" t="n"/>
      <c r="F3655" s="333" t="n"/>
      <c r="G3655" s="333" t="n"/>
      <c r="H3655" s="334">
        <f>IF(OR(F3655="",G3655=""),"",ROUND(MOD(G3655-F3655,1)*24,2))</f>
        <v/>
      </c>
      <c r="I3655" s="342" t="n"/>
      <c r="J3655" s="342" t="n"/>
      <c r="K3655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56" ht="20" customHeight="1">
      <c r="A3656" s="336">
        <f>IF($K3656="","",WEEKNUM($K3656,21))</f>
        <v/>
      </c>
      <c r="B3656" s="337">
        <f>IF($K3656="","",$K3656)</f>
        <v/>
      </c>
      <c r="C3656" s="338">
        <f>IF($K3656="","",$K3656)</f>
        <v/>
      </c>
      <c r="D3656" s="171" t="n"/>
      <c r="E3656" s="171" t="n"/>
      <c r="F3656" s="172" t="n"/>
      <c r="G3656" s="172" t="n"/>
      <c r="H3656" s="173">
        <f>IF(OR(F3656="",G3656=""),"",ROUND(MOD(G3656-F3656,1)*24,2))</f>
        <v/>
      </c>
      <c r="I3656" s="339" t="n"/>
      <c r="J3656" s="339" t="n"/>
      <c r="K3656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  <row r="3657" ht="20" customHeight="1">
      <c r="D3657" s="179" t="n"/>
      <c r="E3657" s="179" t="n"/>
      <c r="F3657" s="180" t="n"/>
      <c r="G3657" s="180" t="n"/>
      <c r="H3657" s="181">
        <f>IF(OR(F3657="",G3657=""),"",ROUND(MOD(G3657-F3657,1)*24,2))</f>
        <v/>
      </c>
      <c r="K3657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  <row r="3658" ht="20" customHeight="1">
      <c r="D3658" s="179" t="n"/>
      <c r="E3658" s="179" t="n"/>
      <c r="F3658" s="180" t="n"/>
      <c r="G3658" s="180" t="n"/>
      <c r="H3658" s="181">
        <f>IF(OR(F3658="",G3658=""),"",ROUND(MOD(G3658-F3658,1)*24,2))</f>
        <v/>
      </c>
      <c r="K3658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  <row r="3659" ht="20" customHeight="1">
      <c r="D3659" s="179" t="n"/>
      <c r="E3659" s="179" t="n"/>
      <c r="F3659" s="180" t="n"/>
      <c r="G3659" s="180" t="n"/>
      <c r="H3659" s="181">
        <f>IF(OR(F3659="",G3659=""),"",ROUND(MOD(G3659-F3659,1)*24,2))</f>
        <v/>
      </c>
      <c r="K3659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  <row r="3660" collapsed="1" ht="20" customHeight="1">
      <c r="D3660" s="179" t="n"/>
      <c r="E3660" s="179" t="n"/>
      <c r="F3660" s="180" t="n"/>
      <c r="G3660" s="180" t="n"/>
      <c r="H3660" s="181">
        <f>IF(OR(F3660="",G3660=""),"",ROUND(MOD(G3660-F3660,1)*24,2))</f>
        <v/>
      </c>
      <c r="K3660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  <row r="3661" hidden="1" outlineLevel="1" ht="20" customHeight="1">
      <c r="D3661" s="179" t="n"/>
      <c r="E3661" s="179" t="n"/>
      <c r="F3661" s="180" t="n"/>
      <c r="G3661" s="180" t="n"/>
      <c r="H3661" s="181">
        <f>IF(OR(F3661="",G3661=""),"",ROUND(MOD(G3661-F3661,1)*24,2))</f>
        <v/>
      </c>
      <c r="K3661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  <row r="3662" hidden="1" outlineLevel="1" ht="20" customHeight="1">
      <c r="D3662" s="179" t="n"/>
      <c r="E3662" s="179" t="n"/>
      <c r="F3662" s="180" t="n"/>
      <c r="G3662" s="180" t="n"/>
      <c r="H3662" s="181">
        <f>IF(OR(F3662="",G3662=""),"",ROUND(MOD(G3662-F3662,1)*24,2))</f>
        <v/>
      </c>
      <c r="K3662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  <row r="3663" hidden="1" outlineLevel="1" ht="20" customHeight="1">
      <c r="D3663" s="179" t="n"/>
      <c r="E3663" s="179" t="n"/>
      <c r="F3663" s="180" t="n"/>
      <c r="G3663" s="180" t="n"/>
      <c r="H3663" s="181">
        <f>IF(OR(F3663="",G3663=""),"",ROUND(MOD(G3663-F3663,1)*24,2))</f>
        <v/>
      </c>
      <c r="K3663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  <row r="3664" hidden="1" outlineLevel="1" ht="20" customHeight="1">
      <c r="D3664" s="179" t="n"/>
      <c r="E3664" s="179" t="n"/>
      <c r="F3664" s="180" t="n"/>
      <c r="G3664" s="180" t="n"/>
      <c r="H3664" s="181">
        <f>IF(OR(F3664="",G3664=""),"",ROUND(MOD(G3664-F3664,1)*24,2))</f>
        <v/>
      </c>
      <c r="K3664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  <row r="3665" hidden="1" outlineLevel="1" ht="20" customHeight="1">
      <c r="A3665" s="342" t="n"/>
      <c r="B3665" s="342" t="n"/>
      <c r="C3665" s="342" t="n"/>
      <c r="D3665" s="332" t="n"/>
      <c r="E3665" s="332" t="n"/>
      <c r="F3665" s="333" t="n"/>
      <c r="G3665" s="333" t="n"/>
      <c r="H3665" s="334">
        <f>IF(OR(F3665="",G3665=""),"",ROUND(MOD(G3665-F3665,1)*24,2))</f>
        <v/>
      </c>
      <c r="I3665" s="342" t="n"/>
      <c r="J3665" s="342" t="n"/>
      <c r="K3665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</sheetData>
  <autoFilter ref="A5:J3665"/>
  <mergeCells count="1841">
    <mergeCell ref="B316:B325"/>
    <mergeCell ref="B1646:B1655"/>
    <mergeCell ref="J2246:J2255"/>
    <mergeCell ref="C2356:C2365"/>
    <mergeCell ref="C2706:C2715"/>
    <mergeCell ref="B616:B625"/>
    <mergeCell ref="B1946:B1955"/>
    <mergeCell ref="J1216:J1225"/>
    <mergeCell ref="J2546:J2555"/>
    <mergeCell ref="B2396:B2405"/>
    <mergeCell ref="J1486:J1495"/>
    <mergeCell ref="B916:B925"/>
    <mergeCell ref="A216:A225"/>
    <mergeCell ref="I816:I825"/>
    <mergeCell ref="B3376:B3385"/>
    <mergeCell ref="J456:J465"/>
    <mergeCell ref="I2296:I2305"/>
    <mergeCell ref="A516:A525"/>
    <mergeCell ref="C2426:C2435"/>
    <mergeCell ref="I1116:I1125"/>
    <mergeCell ref="C2436:C2445"/>
    <mergeCell ref="I1406:I1415"/>
    <mergeCell ref="J1356:J1365"/>
    <mergeCell ref="C2726:C2735"/>
    <mergeCell ref="B2026:B2035"/>
    <mergeCell ref="J2716:J2725"/>
    <mergeCell ref="C2736:C2745"/>
    <mergeCell ref="C1666:C1675"/>
    <mergeCell ref="B546:B555"/>
    <mergeCell ref="J466:J475"/>
    <mergeCell ref="J1656:J1665"/>
    <mergeCell ref="J2986:J2995"/>
    <mergeCell ref="C3026:C3035"/>
    <mergeCell ref="B2326:B2335"/>
    <mergeCell ref="A1206:A1215"/>
    <mergeCell ref="B3516:B3525"/>
    <mergeCell ref="C1966:C1975"/>
    <mergeCell ref="B846:B855"/>
    <mergeCell ref="J1956:J1965"/>
    <mergeCell ref="I836:I845"/>
    <mergeCell ref="B2966:B2975"/>
    <mergeCell ref="B2626:B2635"/>
    <mergeCell ref="A1506:A1515"/>
    <mergeCell ref="C1236:C1245"/>
    <mergeCell ref="A446:A455"/>
    <mergeCell ref="I76:I85"/>
    <mergeCell ref="B1756:B1765"/>
    <mergeCell ref="C206:C215"/>
    <mergeCell ref="A746:A755"/>
    <mergeCell ref="C1396:C1405"/>
    <mergeCell ref="J316:J325"/>
    <mergeCell ref="B866:B875"/>
    <mergeCell ref="B2056:B2065"/>
    <mergeCell ref="B986:B995"/>
    <mergeCell ref="C506:C515"/>
    <mergeCell ref="I976:I985"/>
    <mergeCell ref="A3016:A3025"/>
    <mergeCell ref="A1646:A1655"/>
    <mergeCell ref="J616:J625"/>
    <mergeCell ref="I2246:I2255"/>
    <mergeCell ref="B2356:B2365"/>
    <mergeCell ref="B1286:B1295"/>
    <mergeCell ref="J1886:J1895"/>
    <mergeCell ref="I1276:I1285"/>
    <mergeCell ref="A616:A625"/>
    <mergeCell ref="A1946:A1955"/>
    <mergeCell ref="A3136:A3145"/>
    <mergeCell ref="I2546:I2555"/>
    <mergeCell ref="C346:C355"/>
    <mergeCell ref="A916:A925"/>
    <mergeCell ref="C1616:C1625"/>
    <mergeCell ref="A3436:A3445"/>
    <mergeCell ref="I2846:I2855"/>
    <mergeCell ref="C646:C655"/>
    <mergeCell ref="J3086:J3095"/>
    <mergeCell ref="C3106:C3115"/>
    <mergeCell ref="J2026:J2035"/>
    <mergeCell ref="I906:I915"/>
    <mergeCell ref="B1016:B1025"/>
    <mergeCell ref="J3386:J3395"/>
    <mergeCell ref="C3406:C3415"/>
    <mergeCell ref="A606:A615"/>
    <mergeCell ref="J996:J1005"/>
    <mergeCell ref="J2326:J2335"/>
    <mergeCell ref="I1206:I1215"/>
    <mergeCell ref="C1336:C1345"/>
    <mergeCell ref="I236:I245"/>
    <mergeCell ref="I2986:I2995"/>
    <mergeCell ref="B186:B195"/>
    <mergeCell ref="C276:C285"/>
    <mergeCell ref="J1296:J1305"/>
    <mergeCell ref="I1506:I1515"/>
    <mergeCell ref="A3516:A3525"/>
    <mergeCell ref="C1636:C1645"/>
    <mergeCell ref="A2176:A2185"/>
    <mergeCell ref="B3156:B3165"/>
    <mergeCell ref="I1956:I1965"/>
    <mergeCell ref="C576:C585"/>
    <mergeCell ref="J566:J575"/>
    <mergeCell ref="B2426:B2435"/>
    <mergeCell ref="C876:C885"/>
    <mergeCell ref="C3576:C3585"/>
    <mergeCell ref="J866:J875"/>
    <mergeCell ref="B206:B215"/>
    <mergeCell ref="B1396:B1405"/>
    <mergeCell ref="B2726:B2735"/>
    <mergeCell ref="C3146:C3155"/>
    <mergeCell ref="I316:I325"/>
    <mergeCell ref="I1646:I1655"/>
    <mergeCell ref="I3346:I3355"/>
    <mergeCell ref="A986:A995"/>
    <mergeCell ref="I1676:I1685"/>
    <mergeCell ref="B626:B635"/>
    <mergeCell ref="I616:I625"/>
    <mergeCell ref="I1946:I1955"/>
    <mergeCell ref="A1626:A1635"/>
    <mergeCell ref="C746:C755"/>
    <mergeCell ref="A1286:A1295"/>
    <mergeCell ref="C3266:C3275"/>
    <mergeCell ref="A2476:A2485"/>
    <mergeCell ref="I3216:I3225"/>
    <mergeCell ref="B1266:B1275"/>
    <mergeCell ref="I916:I925"/>
    <mergeCell ref="A1926:A1935"/>
    <mergeCell ref="C1046:C1055"/>
    <mergeCell ref="A1586:A1595"/>
    <mergeCell ref="C3566:C3575"/>
    <mergeCell ref="C3506:C3515"/>
    <mergeCell ref="B196:B205"/>
    <mergeCell ref="B2166:B2175"/>
    <mergeCell ref="B2896:B2905"/>
    <mergeCell ref="J2426:J2435"/>
    <mergeCell ref="A716:A725"/>
    <mergeCell ref="A2046:A2055"/>
    <mergeCell ref="B2466:B2475"/>
    <mergeCell ref="B356:B365"/>
    <mergeCell ref="B3106:B3115"/>
    <mergeCell ref="J3066:J3075"/>
    <mergeCell ref="J2726:J2735"/>
    <mergeCell ref="I2026:I2035"/>
    <mergeCell ref="B1626:B1635"/>
    <mergeCell ref="A1016:A1025"/>
    <mergeCell ref="I546:I555"/>
    <mergeCell ref="B2766:B2775"/>
    <mergeCell ref="J1996:J2005"/>
    <mergeCell ref="C3646:C3655"/>
    <mergeCell ref="J936:J945"/>
    <mergeCell ref="C976:C985"/>
    <mergeCell ref="C2166:C2175"/>
    <mergeCell ref="B276:B285"/>
    <mergeCell ref="J966:J975"/>
    <mergeCell ref="B2826:B2835"/>
    <mergeCell ref="J1236:J1245"/>
    <mergeCell ref="C1276:C1285"/>
    <mergeCell ref="I1746:I1755"/>
    <mergeCell ref="B3126:B3135"/>
    <mergeCell ref="J206:J215"/>
    <mergeCell ref="J3506:J3515"/>
    <mergeCell ref="A2426:A2435"/>
    <mergeCell ref="I2386:I2395"/>
    <mergeCell ref="I3116:I3125"/>
    <mergeCell ref="I2046:I2055"/>
    <mergeCell ref="B2066:B2075"/>
    <mergeCell ref="C2176:C2185"/>
    <mergeCell ref="I866:I875"/>
    <mergeCell ref="I986:I995"/>
    <mergeCell ref="A2726:A2735"/>
    <mergeCell ref="I2686:I2695"/>
    <mergeCell ref="J46:J55"/>
    <mergeCell ref="C2486:C2495"/>
    <mergeCell ref="A3026:A3035"/>
    <mergeCell ref="C1416:C1425"/>
    <mergeCell ref="B296:B305"/>
    <mergeCell ref="C2606:C2615"/>
    <mergeCell ref="J1406:J1415"/>
    <mergeCell ref="B3266:B3275"/>
    <mergeCell ref="C2056:C2065"/>
    <mergeCell ref="I556:I565"/>
    <mergeCell ref="B596:B605"/>
    <mergeCell ref="A1086:A1095"/>
    <mergeCell ref="B3566:B3575"/>
    <mergeCell ref="J136:J145"/>
    <mergeCell ref="A196:A205"/>
    <mergeCell ref="C846:C855"/>
    <mergeCell ref="A1386:A1395"/>
    <mergeCell ref="J1036:J1045"/>
    <mergeCell ref="C1146:C1155"/>
    <mergeCell ref="A356:A365"/>
    <mergeCell ref="A1686:A1695"/>
    <mergeCell ref="C3606:C3615"/>
    <mergeCell ref="J1336:J1345"/>
    <mergeCell ref="A2766:A2775"/>
    <mergeCell ref="J2526:J2535"/>
    <mergeCell ref="J276:J285"/>
    <mergeCell ref="B2226:B2235"/>
    <mergeCell ref="J1636:J1645"/>
    <mergeCell ref="J2826:J2835"/>
    <mergeCell ref="I936:I945"/>
    <mergeCell ref="I3486:I3495"/>
    <mergeCell ref="C2556:C2565"/>
    <mergeCell ref="C1076:C1085"/>
    <mergeCell ref="C1526:C1535"/>
    <mergeCell ref="C2856:C2865"/>
    <mergeCell ref="I656:I665"/>
    <mergeCell ref="J3476:J3485"/>
    <mergeCell ref="J296:J305"/>
    <mergeCell ref="C1826:C1835"/>
    <mergeCell ref="I956:I965"/>
    <mergeCell ref="B2606:B2615"/>
    <mergeCell ref="A3266:A3275"/>
    <mergeCell ref="B3246:B3255"/>
    <mergeCell ref="B2906:B2915"/>
    <mergeCell ref="A1786:A1795"/>
    <mergeCell ref="I196:I205"/>
    <mergeCell ref="I2166:I2175"/>
    <mergeCell ref="B236:B245"/>
    <mergeCell ref="C326:C335"/>
    <mergeCell ref="C186:C195"/>
    <mergeCell ref="C1516:C1525"/>
    <mergeCell ref="A726:A735"/>
    <mergeCell ref="A2836:A2845"/>
    <mergeCell ref="A3566:A3575"/>
    <mergeCell ref="C1546:C1555"/>
    <mergeCell ref="B3206:B3215"/>
    <mergeCell ref="A2086:A2095"/>
    <mergeCell ref="B2176:B2185"/>
    <mergeCell ref="I2466:I2475"/>
    <mergeCell ref="C486:C495"/>
    <mergeCell ref="C1816:C1825"/>
    <mergeCell ref="B1146:B1155"/>
    <mergeCell ref="J676:J685"/>
    <mergeCell ref="I66:I75"/>
    <mergeCell ref="C786:C795"/>
    <mergeCell ref="J3646:J3655"/>
    <mergeCell ref="B716:B725"/>
    <mergeCell ref="I2526:I2535"/>
    <mergeCell ref="J976:J985"/>
    <mergeCell ref="J2166:J2175"/>
    <mergeCell ref="A2566:A2575"/>
    <mergeCell ref="B2836:B2845"/>
    <mergeCell ref="A2226:A2235"/>
    <mergeCell ref="I2826:I2835"/>
    <mergeCell ref="A1676:A1685"/>
    <mergeCell ref="A2866:A2875"/>
    <mergeCell ref="C1896:C1905"/>
    <mergeCell ref="A1:J2"/>
    <mergeCell ref="I3126:I3135"/>
    <mergeCell ref="J3216:J3225"/>
    <mergeCell ref="J406:J415"/>
    <mergeCell ref="J1736:J1745"/>
    <mergeCell ref="B1076:B1085"/>
    <mergeCell ref="A466:A475"/>
    <mergeCell ref="B2216:B2225"/>
    <mergeCell ref="B106:B115"/>
    <mergeCell ref="B2856:B2865"/>
    <mergeCell ref="B1376:B1385"/>
    <mergeCell ref="A36:A45"/>
    <mergeCell ref="B2566:B2575"/>
    <mergeCell ref="I296:I305"/>
    <mergeCell ref="I1486:I1495"/>
    <mergeCell ref="J3116:J3125"/>
    <mergeCell ref="I3606:I3615"/>
    <mergeCell ref="B1676:B1685"/>
    <mergeCell ref="I596:I605"/>
    <mergeCell ref="C2256:C2265"/>
    <mergeCell ref="A2796:A2805"/>
    <mergeCell ref="C1916:C1925"/>
    <mergeCell ref="C856:C865"/>
    <mergeCell ref="B2576:B2585"/>
    <mergeCell ref="A3096:A3105"/>
    <mergeCell ref="C2216:C2225"/>
    <mergeCell ref="B1516:B1525"/>
    <mergeCell ref="B36:B45"/>
    <mergeCell ref="B3336:B3345"/>
    <mergeCell ref="J3256:J3265"/>
    <mergeCell ref="J3596:J3605"/>
    <mergeCell ref="B486:B495"/>
    <mergeCell ref="B1816:B1825"/>
    <mergeCell ref="A696:A705"/>
    <mergeCell ref="J2416:J2425"/>
    <mergeCell ref="C126:C135"/>
    <mergeCell ref="B786:B795"/>
    <mergeCell ref="A2966:A2975"/>
    <mergeCell ref="B176:B185"/>
    <mergeCell ref="J3616:J3625"/>
    <mergeCell ref="A2206:A2215"/>
    <mergeCell ref="J2556:J2565"/>
    <mergeCell ref="B3656:B3665"/>
    <mergeCell ref="B476:B485"/>
    <mergeCell ref="J1076:J1085"/>
    <mergeCell ref="C596:C605"/>
    <mergeCell ref="B1746:B1755"/>
    <mergeCell ref="A1136:A1145"/>
    <mergeCell ref="A106:A115"/>
    <mergeCell ref="C3356:C3365"/>
    <mergeCell ref="J2616:J2625"/>
    <mergeCell ref="J2276:J2285"/>
    <mergeCell ref="C3656:C3665"/>
    <mergeCell ref="J2916:J2925"/>
    <mergeCell ref="J1246:J1255"/>
    <mergeCell ref="J2576:J2585"/>
    <mergeCell ref="J186:J195"/>
    <mergeCell ref="J1516:J1525"/>
    <mergeCell ref="I396:I405"/>
    <mergeCell ref="B856:B865"/>
    <mergeCell ref="J1546:J1555"/>
    <mergeCell ref="B3406:B3415"/>
    <mergeCell ref="A1516:A1525"/>
    <mergeCell ref="J486:J495"/>
    <mergeCell ref="I1476:I1485"/>
    <mergeCell ref="C826:C835"/>
    <mergeCell ref="A3336:A3345"/>
    <mergeCell ref="B2976:B2985"/>
    <mergeCell ref="I1776:I1785"/>
    <mergeCell ref="I2966:I2975"/>
    <mergeCell ref="C3096:C3105"/>
    <mergeCell ref="A336:A345"/>
    <mergeCell ref="A3636:A3645"/>
    <mergeCell ref="B576:B585"/>
    <mergeCell ref="J2506:J2515"/>
    <mergeCell ref="C3396:C3405"/>
    <mergeCell ref="C2336:C2345"/>
    <mergeCell ref="B1216:B1225"/>
    <mergeCell ref="B876:B885"/>
    <mergeCell ref="A176:A185"/>
    <mergeCell ref="I136:I145"/>
    <mergeCell ref="B2996:B3005"/>
    <mergeCell ref="A1876:A1885"/>
    <mergeCell ref="A816:A825"/>
    <mergeCell ref="B1086:B1095"/>
    <mergeCell ref="A476:A485"/>
    <mergeCell ref="I1076:I1085"/>
    <mergeCell ref="B3296:B3305"/>
    <mergeCell ref="A2296:A2305"/>
    <mergeCell ref="A1116:A1125"/>
    <mergeCell ref="C236:C245"/>
    <mergeCell ref="A776:A785"/>
    <mergeCell ref="I1376:I1385"/>
    <mergeCell ref="C2696:C2705"/>
    <mergeCell ref="J1616:J1625"/>
    <mergeCell ref="B466:B475"/>
    <mergeCell ref="I2276:I2285"/>
    <mergeCell ref="C2996:C3005"/>
    <mergeCell ref="J2256:J2265"/>
    <mergeCell ref="J1916:J1925"/>
    <mergeCell ref="B2926:B2935"/>
    <mergeCell ref="J856:J865"/>
    <mergeCell ref="I2576:I2585"/>
    <mergeCell ref="J2216:J2225"/>
    <mergeCell ref="I1096:I1105"/>
    <mergeCell ref="J1186:J1195"/>
    <mergeCell ref="I1516:I1525"/>
    <mergeCell ref="B3226:B3235"/>
    <mergeCell ref="C1646:C1655"/>
    <mergeCell ref="I3336:I3345"/>
    <mergeCell ref="C166:C175"/>
    <mergeCell ref="C1356:C1365"/>
    <mergeCell ref="J156:J165"/>
    <mergeCell ref="B826:B835"/>
    <mergeCell ref="J426:J435"/>
    <mergeCell ref="C466:C475"/>
    <mergeCell ref="A2976:A2985"/>
    <mergeCell ref="B2316:B2325"/>
    <mergeCell ref="I1576:I1585"/>
    <mergeCell ref="I1236:I1245"/>
    <mergeCell ref="A3276:A3285"/>
    <mergeCell ref="B3366:B3375"/>
    <mergeCell ref="A2246:A2255"/>
    <mergeCell ref="I176:I185"/>
    <mergeCell ref="B1886:B1895"/>
    <mergeCell ref="I1876:I1885"/>
    <mergeCell ref="C2006:C2015"/>
    <mergeCell ref="A1216:A1225"/>
    <mergeCell ref="A2546:A2555"/>
    <mergeCell ref="I3656:I3665"/>
    <mergeCell ref="C606:C615"/>
    <mergeCell ref="C2306:C2315"/>
    <mergeCell ref="A2846:A2855"/>
    <mergeCell ref="J1866:J1875"/>
    <mergeCell ref="B3086:B3095"/>
    <mergeCell ref="J386:J395"/>
    <mergeCell ref="B1906:B1915"/>
    <mergeCell ref="B3386:B3395"/>
    <mergeCell ref="J686:J695"/>
    <mergeCell ref="I3286:I3295"/>
    <mergeCell ref="J2926:J2935"/>
    <mergeCell ref="J226:J235"/>
    <mergeCell ref="A1656:A1665"/>
    <mergeCell ref="I2256:I2265"/>
    <mergeCell ref="I3586:I3595"/>
    <mergeCell ref="A2926:A2935"/>
    <mergeCell ref="J526:J535"/>
    <mergeCell ref="A1956:A1965"/>
    <mergeCell ref="A3146:A3155"/>
    <mergeCell ref="I1186:I1195"/>
    <mergeCell ref="C3536:C3545"/>
    <mergeCell ref="J826:J835"/>
    <mergeCell ref="A3446:A3455"/>
    <mergeCell ref="B1356:B1365"/>
    <mergeCell ref="B1656:B1665"/>
    <mergeCell ref="C1746:C1755"/>
    <mergeCell ref="C266:C275"/>
    <mergeCell ref="I1216:I1225"/>
    <mergeCell ref="C1346:C1355"/>
    <mergeCell ref="A1886:A1895"/>
    <mergeCell ref="J2666:J2675"/>
    <mergeCell ref="I146:I155"/>
    <mergeCell ref="A2186:A2195"/>
    <mergeCell ref="B606:B615"/>
    <mergeCell ref="B3496:B3505"/>
    <mergeCell ref="J236:J245"/>
    <mergeCell ref="I2416:I2425"/>
    <mergeCell ref="B2436:B2445"/>
    <mergeCell ref="A3086:A3095"/>
    <mergeCell ref="A976:A985"/>
    <mergeCell ref="I166:I175"/>
    <mergeCell ref="J2696:J2705"/>
    <mergeCell ref="A2026:A2035"/>
    <mergeCell ref="I2716:I2725"/>
    <mergeCell ref="B2736:B2745"/>
    <mergeCell ref="C6:C15"/>
    <mergeCell ref="A3386:A3395"/>
    <mergeCell ref="A546:A555"/>
    <mergeCell ref="A1276:A1285"/>
    <mergeCell ref="J2996:J3005"/>
    <mergeCell ref="A3396:A3405"/>
    <mergeCell ref="C1786:C1795"/>
    <mergeCell ref="A996:A1005"/>
    <mergeCell ref="A2326:A2335"/>
    <mergeCell ref="C306:C315"/>
    <mergeCell ref="C946:C955"/>
    <mergeCell ref="C2086:C2095"/>
    <mergeCell ref="B966:B975"/>
    <mergeCell ref="C1246:C1255"/>
    <mergeCell ref="B3426:B3435"/>
    <mergeCell ref="J166:J175"/>
    <mergeCell ref="J3466:J3475"/>
    <mergeCell ref="A566:A575"/>
    <mergeCell ref="C2146:C2155"/>
    <mergeCell ref="I2646:I2655"/>
    <mergeCell ref="A866:A875"/>
    <mergeCell ref="C1086:C1095"/>
    <mergeCell ref="C2446:C2455"/>
    <mergeCell ref="A2986:A2995"/>
    <mergeCell ref="I2946:I2955"/>
    <mergeCell ref="J1366:J1375"/>
    <mergeCell ref="C1386:C1395"/>
    <mergeCell ref="I3396:I3405"/>
    <mergeCell ref="J2006:J2015"/>
    <mergeCell ref="J3196:J3205"/>
    <mergeCell ref="B566:B575"/>
    <mergeCell ref="J606:J615"/>
    <mergeCell ref="I2786:I2795"/>
    <mergeCell ref="J2306:J2315"/>
    <mergeCell ref="J3496:J3505"/>
    <mergeCell ref="I126:I135"/>
    <mergeCell ref="A3466:A3475"/>
    <mergeCell ref="I3086:I3095"/>
    <mergeCell ref="C1446:C1455"/>
    <mergeCell ref="C1106:C1115"/>
    <mergeCell ref="A316:A325"/>
    <mergeCell ref="A3346:A3355"/>
    <mergeCell ref="A2436:A2445"/>
    <mergeCell ref="C46:C55"/>
    <mergeCell ref="I3386:I3395"/>
    <mergeCell ref="C76:C85"/>
    <mergeCell ref="C1406:C1415"/>
    <mergeCell ref="B6:B15"/>
    <mergeCell ref="I1326:I1335"/>
    <mergeCell ref="A1996:A2005"/>
    <mergeCell ref="B306:B315"/>
    <mergeCell ref="B1636:B1645"/>
    <mergeCell ref="J3426:J3435"/>
    <mergeCell ref="B3276:B3285"/>
    <mergeCell ref="A2156:A2165"/>
    <mergeCell ref="A3486:A3495"/>
    <mergeCell ref="I3466:I3475"/>
    <mergeCell ref="B3066:B3075"/>
    <mergeCell ref="J2076:J2085"/>
    <mergeCell ref="A1396:A1405"/>
    <mergeCell ref="B1996:B2005"/>
    <mergeCell ref="J2376:J2385"/>
    <mergeCell ref="J266:J275"/>
    <mergeCell ref="J1346:J1355"/>
    <mergeCell ref="J2676:J2685"/>
    <mergeCell ref="A2596:A2605"/>
    <mergeCell ref="I3196:I3205"/>
    <mergeCell ref="B3506:B3515"/>
    <mergeCell ref="A2386:A2395"/>
    <mergeCell ref="I2306:I2315"/>
    <mergeCell ref="A2896:A2905"/>
    <mergeCell ref="I3496:I3505"/>
    <mergeCell ref="B806:B815"/>
    <mergeCell ref="C446:C455"/>
    <mergeCell ref="C3476:C3485"/>
    <mergeCell ref="A2686:A2695"/>
    <mergeCell ref="C2566:C2575"/>
    <mergeCell ref="B1106:B1115"/>
    <mergeCell ref="B46:B55"/>
    <mergeCell ref="J6:J15"/>
    <mergeCell ref="B1406:B1415"/>
    <mergeCell ref="I666:I675"/>
    <mergeCell ref="C16:C25"/>
    <mergeCell ref="J306:J315"/>
    <mergeCell ref="B346:B355"/>
    <mergeCell ref="A1336:A1345"/>
    <mergeCell ref="J946:J955"/>
    <mergeCell ref="A2526:A2535"/>
    <mergeCell ref="B3646:B3655"/>
    <mergeCell ref="I966:I975"/>
    <mergeCell ref="I2156:I2165"/>
    <mergeCell ref="A1636:A1645"/>
    <mergeCell ref="C2286:C2295"/>
    <mergeCell ref="A2826:A2835"/>
    <mergeCell ref="I3426:I3435"/>
    <mergeCell ref="C36:C45"/>
    <mergeCell ref="J1846:J1855"/>
    <mergeCell ref="C3556:C3565"/>
    <mergeCell ref="C2586:C2595"/>
    <mergeCell ref="A3126:A3135"/>
    <mergeCell ref="J2146:J2155"/>
    <mergeCell ref="B406:B415"/>
    <mergeCell ref="B66:B75"/>
    <mergeCell ref="J666:J675"/>
    <mergeCell ref="C2796:C2805"/>
    <mergeCell ref="B2186:B2195"/>
    <mergeCell ref="C2456:C2465"/>
    <mergeCell ref="A1066:A1075"/>
    <mergeCell ref="J1716:J1725"/>
    <mergeCell ref="J2446:J2455"/>
    <mergeCell ref="I2376:I2385"/>
    <mergeCell ref="I266:I275"/>
    <mergeCell ref="B2486:B2495"/>
    <mergeCell ref="B3606:B3615"/>
    <mergeCell ref="A296:A305"/>
    <mergeCell ref="C396:C405"/>
    <mergeCell ref="I566:I575"/>
    <mergeCell ref="C56:C65"/>
    <mergeCell ref="A596:A605"/>
    <mergeCell ref="C696:C705"/>
    <mergeCell ref="J806:J815"/>
    <mergeCell ref="C2516:C2525"/>
    <mergeCell ref="B3176:B3185"/>
    <mergeCell ref="J256:J265"/>
    <mergeCell ref="J1446:J1455"/>
    <mergeCell ref="J1106:J1115"/>
    <mergeCell ref="C2816:C2825"/>
    <mergeCell ref="B2116:B2125"/>
    <mergeCell ref="J3226:J3235"/>
    <mergeCell ref="I1036:I1045"/>
    <mergeCell ref="B3476:B3485"/>
    <mergeCell ref="B2416:B2425"/>
    <mergeCell ref="A956:A965"/>
    <mergeCell ref="I6:I15"/>
    <mergeCell ref="I1336:I1345"/>
    <mergeCell ref="C2656:C2665"/>
    <mergeCell ref="B2716:B2725"/>
    <mergeCell ref="C1136:C1145"/>
    <mergeCell ref="A3226:A3235"/>
    <mergeCell ref="B16:B25"/>
    <mergeCell ref="I306:I315"/>
    <mergeCell ref="I1636:I1645"/>
    <mergeCell ref="C2956:C2965"/>
    <mergeCell ref="A2166:A2175"/>
    <mergeCell ref="J2946:J2955"/>
    <mergeCell ref="A3526:A3535"/>
    <mergeCell ref="B3616:B3625"/>
    <mergeCell ref="C3256:C3265"/>
    <mergeCell ref="A2466:A2475"/>
    <mergeCell ref="I3066:I3075"/>
    <mergeCell ref="A1436:A1445"/>
    <mergeCell ref="I1696:I1705"/>
    <mergeCell ref="B2586:B2595"/>
    <mergeCell ref="A3216:A3225"/>
    <mergeCell ref="C1196:C1205"/>
    <mergeCell ref="B1526:B1535"/>
    <mergeCell ref="A406:A415"/>
    <mergeCell ref="A1736:A1745"/>
    <mergeCell ref="I1996:I2005"/>
    <mergeCell ref="L3:Q3"/>
    <mergeCell ref="C1496:C1505"/>
    <mergeCell ref="A2036:A2045"/>
    <mergeCell ref="J416:J425"/>
    <mergeCell ref="C3616:C3625"/>
    <mergeCell ref="C1366:C1375"/>
    <mergeCell ref="C3336:C3345"/>
    <mergeCell ref="J626:J635"/>
    <mergeCell ref="B56:B65"/>
    <mergeCell ref="J3176:J3185"/>
    <mergeCell ref="C3636:C3645"/>
    <mergeCell ref="B2516:B2525"/>
    <mergeCell ref="B2786:B2795"/>
    <mergeCell ref="A846:A855"/>
    <mergeCell ref="I1446:I1455"/>
    <mergeCell ref="I1106:I1115"/>
    <mergeCell ref="B2816:B2825"/>
    <mergeCell ref="C2906:C2915"/>
    <mergeCell ref="A2116:A2125"/>
    <mergeCell ref="A1146:A1155"/>
    <mergeCell ref="C176:C185"/>
    <mergeCell ref="A3596:A3605"/>
    <mergeCell ref="I676:I685"/>
    <mergeCell ref="B3116:B3125"/>
    <mergeCell ref="C3206:C3215"/>
    <mergeCell ref="A2416:A2425"/>
    <mergeCell ref="C3066:C3075"/>
    <mergeCell ref="A3606:A3615"/>
    <mergeCell ref="J2126:J2135"/>
    <mergeCell ref="J16:J25"/>
    <mergeCell ref="J1986:J1995"/>
    <mergeCell ref="B2656:B2665"/>
    <mergeCell ref="J1096:J1105"/>
    <mergeCell ref="J2286:J2295"/>
    <mergeCell ref="B2956:B2965"/>
    <mergeCell ref="J3556:J3565"/>
    <mergeCell ref="I246:I255"/>
    <mergeCell ref="B1476:B1485"/>
    <mergeCell ref="J2586:J2595"/>
    <mergeCell ref="I1886:I1895"/>
    <mergeCell ref="B3256:B3265"/>
    <mergeCell ref="A2136:A2145"/>
    <mergeCell ref="I406:I415"/>
    <mergeCell ref="C536:C545"/>
    <mergeCell ref="A1076:A1085"/>
    <mergeCell ref="C836:C845"/>
    <mergeCell ref="A1376:A1385"/>
    <mergeCell ref="J396:J405"/>
    <mergeCell ref="B1496:B1505"/>
    <mergeCell ref="B2686:B2695"/>
    <mergeCell ref="B1616:B1625"/>
    <mergeCell ref="B436:B445"/>
    <mergeCell ref="A2276:A2285"/>
    <mergeCell ref="J696:J705"/>
    <mergeCell ref="I2876:I2885"/>
    <mergeCell ref="B1916:B1925"/>
    <mergeCell ref="B2556:B2565"/>
    <mergeCell ref="J2516:J2525"/>
    <mergeCell ref="A3546:A3555"/>
    <mergeCell ref="I1906:I1915"/>
    <mergeCell ref="A1246:A1255"/>
    <mergeCell ref="A2576:A2585"/>
    <mergeCell ref="I3176:I3185"/>
    <mergeCell ref="A186:A195"/>
    <mergeCell ref="I2116:I2125"/>
    <mergeCell ref="A1546:A1555"/>
    <mergeCell ref="C2246:C2255"/>
    <mergeCell ref="I3476:I3485"/>
    <mergeCell ref="B156:B165"/>
    <mergeCell ref="A486:A495"/>
    <mergeCell ref="C2546:C2555"/>
    <mergeCell ref="J1466:J1475"/>
    <mergeCell ref="J2656:J2665"/>
    <mergeCell ref="I16:I25"/>
    <mergeCell ref="I3316:I3325"/>
    <mergeCell ref="B2916:B2925"/>
    <mergeCell ref="J2956:J2965"/>
    <mergeCell ref="I1836:I1845"/>
    <mergeCell ref="A56:A65"/>
    <mergeCell ref="B2296:B2305"/>
    <mergeCell ref="A1176:A1185"/>
    <mergeCell ref="A2506:A2515"/>
    <mergeCell ref="I3616:I3625"/>
    <mergeCell ref="C906:C915"/>
    <mergeCell ref="I2136:I2145"/>
    <mergeCell ref="J556:J565"/>
    <mergeCell ref="C2266:C2275"/>
    <mergeCell ref="A1476:A1485"/>
    <mergeCell ref="A2806:A2815"/>
    <mergeCell ref="B1566:B1575"/>
    <mergeCell ref="I2586:I2595"/>
    <mergeCell ref="C1206:C1215"/>
    <mergeCell ref="J1196:J1205"/>
    <mergeCell ref="A1776:A1785"/>
    <mergeCell ref="B1866:B1875"/>
    <mergeCell ref="B3056:B3065"/>
    <mergeCell ref="C1506:C1515"/>
    <mergeCell ref="J3316:J3325"/>
    <mergeCell ref="B386:B395"/>
    <mergeCell ref="J1496:J1505"/>
    <mergeCell ref="B836:B845"/>
    <mergeCell ref="B3356:B3365"/>
    <mergeCell ref="C2406:C2415"/>
    <mergeCell ref="A1616:A1625"/>
    <mergeCell ref="I3546:I3555"/>
    <mergeCell ref="A136:A145"/>
    <mergeCell ref="A2256:A2265"/>
    <mergeCell ref="A1916:A1925"/>
    <mergeCell ref="I2516:I2525"/>
    <mergeCell ref="C1866:C1875"/>
    <mergeCell ref="J1126:J1135"/>
    <mergeCell ref="A2216:A2225"/>
    <mergeCell ref="I2816:I2825"/>
    <mergeCell ref="A1186:A1195"/>
    <mergeCell ref="J2906:J2915"/>
    <mergeCell ref="B3526:B3535"/>
    <mergeCell ref="J1426:J1435"/>
    <mergeCell ref="B1276:B1285"/>
    <mergeCell ref="I2656:I2665"/>
    <mergeCell ref="B2256:B2265"/>
    <mergeCell ref="L7:Q8"/>
    <mergeCell ref="C676:C685"/>
    <mergeCell ref="I1176:I1185"/>
    <mergeCell ref="I2956:I2965"/>
    <mergeCell ref="J376:J385"/>
    <mergeCell ref="B906:B915"/>
    <mergeCell ref="J1596:J1605"/>
    <mergeCell ref="I2226:I2235"/>
    <mergeCell ref="C546:C555"/>
    <mergeCell ref="B2266:B2275"/>
    <mergeCell ref="J536:J545"/>
    <mergeCell ref="B1206:B1215"/>
    <mergeCell ref="A86:A95"/>
    <mergeCell ref="J1806:J1815"/>
    <mergeCell ref="J836:J845"/>
    <mergeCell ref="A3056:A3065"/>
    <mergeCell ref="I3016:I3025"/>
    <mergeCell ref="A386:A395"/>
    <mergeCell ref="B2696:B2705"/>
    <mergeCell ref="I1496:I1505"/>
    <mergeCell ref="I426:I435"/>
    <mergeCell ref="A3356:A3365"/>
    <mergeCell ref="I2886:I2895"/>
    <mergeCell ref="A686:A695"/>
    <mergeCell ref="C1756:C1765"/>
    <mergeCell ref="B636:B645"/>
    <mergeCell ref="B3596:B3605"/>
    <mergeCell ref="C3116:C3125"/>
    <mergeCell ref="A3656:A3665"/>
    <mergeCell ref="I3186:I3195"/>
    <mergeCell ref="J3306:J3315"/>
    <mergeCell ref="B1226:B1235"/>
    <mergeCell ref="A526:A535"/>
    <mergeCell ref="A1716:A1725"/>
    <mergeCell ref="B166:B175"/>
    <mergeCell ref="J766:J775"/>
    <mergeCell ref="I156:I165"/>
    <mergeCell ref="A826:A835"/>
    <mergeCell ref="A2016:A2025"/>
    <mergeCell ref="I2616:I2625"/>
    <mergeCell ref="C2746:C2755"/>
    <mergeCell ref="J1666:J1675"/>
    <mergeCell ref="C1776:C1785"/>
    <mergeCell ref="A2316:A2325"/>
    <mergeCell ref="I1726:I1735"/>
    <mergeCell ref="I2916:I2925"/>
    <mergeCell ref="B226:B235"/>
    <mergeCell ref="C3046:C3055"/>
    <mergeCell ref="J1966:J1975"/>
    <mergeCell ref="C1986:C1995"/>
    <mergeCell ref="B526:B535"/>
    <mergeCell ref="J906:J915"/>
    <mergeCell ref="C3346:C3355"/>
    <mergeCell ref="J2266:J2275"/>
    <mergeCell ref="J3456:J3465"/>
    <mergeCell ref="I1566:I1575"/>
    <mergeCell ref="B2796:B2805"/>
    <mergeCell ref="J1206:J1215"/>
    <mergeCell ref="D4:F4"/>
    <mergeCell ref="I86:I95"/>
    <mergeCell ref="I1866:I1875"/>
    <mergeCell ref="I3056:I3065"/>
    <mergeCell ref="B3096:B3105"/>
    <mergeCell ref="C3186:C3195"/>
    <mergeCell ref="I386:I395"/>
    <mergeCell ref="A236:A245"/>
    <mergeCell ref="J506:J515"/>
    <mergeCell ref="I3356:I3365"/>
    <mergeCell ref="B3396:B3405"/>
    <mergeCell ref="C2156:C2165"/>
    <mergeCell ref="C3486:C3495"/>
    <mergeCell ref="A2696:A2705"/>
    <mergeCell ref="J2406:J2415"/>
    <mergeCell ref="A26:A35"/>
    <mergeCell ref="L1:N2"/>
    <mergeCell ref="J926:J935"/>
    <mergeCell ref="J1566:J1575"/>
    <mergeCell ref="I226:I235"/>
    <mergeCell ref="B2666:B2675"/>
    <mergeCell ref="I1586:I1595"/>
    <mergeCell ref="B1606:B1615"/>
    <mergeCell ref="A926:A935"/>
    <mergeCell ref="I526:I535"/>
    <mergeCell ref="C656:C665"/>
    <mergeCell ref="A1226:A1235"/>
    <mergeCell ref="I826:I835"/>
    <mergeCell ref="B2506:B2515"/>
    <mergeCell ref="C956:C965"/>
    <mergeCell ref="A166:A175"/>
    <mergeCell ref="C816:C825"/>
    <mergeCell ref="A1356:A1365"/>
    <mergeCell ref="I766:I775"/>
    <mergeCell ref="A2716:A2725"/>
    <mergeCell ref="C3416:C3425"/>
    <mergeCell ref="B2806:B2815"/>
    <mergeCell ref="C1116:C1125"/>
    <mergeCell ref="C2386:C2395"/>
    <mergeCell ref="B1776:B1785"/>
    <mergeCell ref="J1306:J1315"/>
    <mergeCell ref="I1966:I1975"/>
    <mergeCell ref="C2686:C2695"/>
    <mergeCell ref="I3156:I3165"/>
    <mergeCell ref="C1316:C1325"/>
    <mergeCell ref="J1606:J1615"/>
    <mergeCell ref="J576:J585"/>
    <mergeCell ref="B3466:B3475"/>
    <mergeCell ref="I2266:I2275"/>
    <mergeCell ref="I3456:I3465"/>
    <mergeCell ref="J3546:J3555"/>
    <mergeCell ref="J1906:J1915"/>
    <mergeCell ref="C3586:C3595"/>
    <mergeCell ref="J876:J885"/>
    <mergeCell ref="A2306:A2315"/>
    <mergeCell ref="C556:C565"/>
    <mergeCell ref="C2526:C2535"/>
    <mergeCell ref="J2366:J2375"/>
    <mergeCell ref="I2696:I2705"/>
    <mergeCell ref="C2826:C2835"/>
    <mergeCell ref="B1706:B1715"/>
    <mergeCell ref="B3036:B3045"/>
    <mergeCell ref="J116:J125"/>
    <mergeCell ref="J2816:J2825"/>
    <mergeCell ref="I626:I635"/>
    <mergeCell ref="B736:B745"/>
    <mergeCell ref="B3486:B3495"/>
    <mergeCell ref="I636:I645"/>
    <mergeCell ref="B2006:B2015"/>
    <mergeCell ref="B3196:B3205"/>
    <mergeCell ref="C426:C435"/>
    <mergeCell ref="I926:I935"/>
    <mergeCell ref="B946:B955"/>
    <mergeCell ref="A2666:A2675"/>
    <mergeCell ref="A2786:A2795"/>
    <mergeCell ref="B2306:B2315"/>
    <mergeCell ref="I1226:I1235"/>
    <mergeCell ref="J1176:J1185"/>
    <mergeCell ref="A3426:A3435"/>
    <mergeCell ref="B1846:B1855"/>
    <mergeCell ref="C296:C305"/>
    <mergeCell ref="C1486:C1495"/>
    <mergeCell ref="J286:J295"/>
    <mergeCell ref="J1476:J1485"/>
    <mergeCell ref="B956:B965"/>
    <mergeCell ref="B2146:B2155"/>
    <mergeCell ref="J1556:J1565"/>
    <mergeCell ref="J2746:J2755"/>
    <mergeCell ref="B666:B675"/>
    <mergeCell ref="B3416:B3425"/>
    <mergeCell ref="J1266:J1275"/>
    <mergeCell ref="J1776:J1785"/>
    <mergeCell ref="B1116:B1125"/>
    <mergeCell ref="B2446:B2455"/>
    <mergeCell ref="J3046:J3055"/>
    <mergeCell ref="A1746:A1755"/>
    <mergeCell ref="A266:A275"/>
    <mergeCell ref="J3346:J3355"/>
    <mergeCell ref="C1846:C1855"/>
    <mergeCell ref="C26:C35"/>
    <mergeCell ref="A1346:A1355"/>
    <mergeCell ref="I2936:I2945"/>
    <mergeCell ref="I2796:I2805"/>
    <mergeCell ref="J2886:J2895"/>
    <mergeCell ref="B686:B695"/>
    <mergeCell ref="J216:J225"/>
    <mergeCell ref="B2076:B2085"/>
    <mergeCell ref="I3096:I3105"/>
    <mergeCell ref="A1466:A1475"/>
    <mergeCell ref="J3186:J3195"/>
    <mergeCell ref="I2066:I2075"/>
    <mergeCell ref="B3436:B3445"/>
    <mergeCell ref="J516:J525"/>
    <mergeCell ref="J1706:J1715"/>
    <mergeCell ref="B2376:B2385"/>
    <mergeCell ref="A436:A445"/>
    <mergeCell ref="A1766:A1775"/>
    <mergeCell ref="J2156:J2165"/>
    <mergeCell ref="J3486:J3495"/>
    <mergeCell ref="I2366:I2375"/>
    <mergeCell ref="A3036:A3045"/>
    <mergeCell ref="I1306:I1315"/>
    <mergeCell ref="B1346:B1355"/>
    <mergeCell ref="A736:A745"/>
    <mergeCell ref="C1436:C1445"/>
    <mergeCell ref="I2666:I2675"/>
    <mergeCell ref="A3196:A3205"/>
    <mergeCell ref="I1606:I1615"/>
    <mergeCell ref="C406:C415"/>
    <mergeCell ref="C1736:C1745"/>
    <mergeCell ref="C2926:C2935"/>
    <mergeCell ref="J1726:J1735"/>
    <mergeCell ref="B2246:B2255"/>
    <mergeCell ref="J656:J665"/>
    <mergeCell ref="A3496:A3505"/>
    <mergeCell ref="J3206:J3215"/>
    <mergeCell ref="I2506:I2515"/>
    <mergeCell ref="B2546:B2555"/>
    <mergeCell ref="J956:J965"/>
    <mergeCell ref="B1486:B1495"/>
    <mergeCell ref="A366:A375"/>
    <mergeCell ref="A1696:A1705"/>
    <mergeCell ref="J3416:J3425"/>
    <mergeCell ref="I2806:I2815"/>
    <mergeCell ref="B2846:B2855"/>
    <mergeCell ref="A2146:A2155"/>
    <mergeCell ref="J86:J95"/>
    <mergeCell ref="B1786:B1795"/>
    <mergeCell ref="A666:A675"/>
    <mergeCell ref="J2386:J2395"/>
    <mergeCell ref="B756:B765"/>
    <mergeCell ref="A2446:A2455"/>
    <mergeCell ref="A966:A975"/>
    <mergeCell ref="B1056:B1065"/>
    <mergeCell ref="G4:J4"/>
    <mergeCell ref="J1316:J1325"/>
    <mergeCell ref="C636:C645"/>
    <mergeCell ref="B26:B35"/>
    <mergeCell ref="C3596:C3605"/>
    <mergeCell ref="J3586:J3595"/>
    <mergeCell ref="J2106:J2115"/>
    <mergeCell ref="A806:A815"/>
    <mergeCell ref="A2076:A2085"/>
    <mergeCell ref="B1716:B1725"/>
    <mergeCell ref="A1106:A1115"/>
    <mergeCell ref="I1706:I1715"/>
    <mergeCell ref="I3036:I3045"/>
    <mergeCell ref="C1836:C1845"/>
    <mergeCell ref="C3166:C3175"/>
    <mergeCell ref="A2376:A2385"/>
    <mergeCell ref="A46:A55"/>
    <mergeCell ref="A1406:A1415"/>
    <mergeCell ref="I2006:I2015"/>
    <mergeCell ref="A376:A385"/>
    <mergeCell ref="C2136:C2145"/>
    <mergeCell ref="A2676:A2685"/>
    <mergeCell ref="C3326:C3335"/>
    <mergeCell ref="J1056:J1065"/>
    <mergeCell ref="J1066:J1075"/>
    <mergeCell ref="J2396:J2405"/>
    <mergeCell ref="I2906:I2915"/>
    <mergeCell ref="C3626:C3635"/>
    <mergeCell ref="B256:B265"/>
    <mergeCell ref="I1846:I1855"/>
    <mergeCell ref="B1446:B1455"/>
    <mergeCell ref="B3216:B3225"/>
    <mergeCell ref="I3206:I3215"/>
    <mergeCell ref="I366:I375"/>
    <mergeCell ref="C496:C505"/>
    <mergeCell ref="A1036:A1045"/>
    <mergeCell ref="I2146:I2155"/>
    <mergeCell ref="A2396:A2405"/>
    <mergeCell ref="C2276:C2285"/>
    <mergeCell ref="A1486:A1495"/>
    <mergeCell ref="C3466:C3475"/>
    <mergeCell ref="A4:C4"/>
    <mergeCell ref="C796:C805"/>
    <mergeCell ref="A6:A15"/>
    <mergeCell ref="B96:B105"/>
    <mergeCell ref="J786:J795"/>
    <mergeCell ref="I2446:I2455"/>
    <mergeCell ref="C2576:C2585"/>
    <mergeCell ref="B1456:B1465"/>
    <mergeCell ref="I376:I385"/>
    <mergeCell ref="C1096:C1105"/>
    <mergeCell ref="A306:A315"/>
    <mergeCell ref="B396:B405"/>
    <mergeCell ref="I2836:I2845"/>
    <mergeCell ref="B2946:B2955"/>
    <mergeCell ref="J26:J35"/>
    <mergeCell ref="B696:B705"/>
    <mergeCell ref="A2876:A2885"/>
    <mergeCell ref="I686:I695"/>
    <mergeCell ref="I3136:I3145"/>
    <mergeCell ref="I806:I815"/>
    <mergeCell ref="C936:C945"/>
    <mergeCell ref="I2076:I2085"/>
    <mergeCell ref="C2636:C2645"/>
    <mergeCell ref="A3176:A3185"/>
    <mergeCell ref="C96:C105"/>
    <mergeCell ref="I3436:I3445"/>
    <mergeCell ref="J1226:J1235"/>
    <mergeCell ref="A3476:A3485"/>
    <mergeCell ref="C2506:C2515"/>
    <mergeCell ref="J2496:J2505"/>
    <mergeCell ref="B416:B425"/>
    <mergeCell ref="B3166:B3175"/>
    <mergeCell ref="J1016:J1025"/>
    <mergeCell ref="I1346:I1355"/>
    <mergeCell ref="C2806:C2815"/>
    <mergeCell ref="B3326:B3335"/>
    <mergeCell ref="A16:A25"/>
    <mergeCell ref="C2966:C2975"/>
    <mergeCell ref="C1936:C1945"/>
    <mergeCell ref="B3626:B3635"/>
    <mergeCell ref="A2286:A2295"/>
    <mergeCell ref="C2236:C2245"/>
    <mergeCell ref="A1446:A1455"/>
    <mergeCell ref="B556:B565"/>
    <mergeCell ref="I1066:I1075"/>
    <mergeCell ref="J1156:J1165"/>
    <mergeCell ref="A2586:A2595"/>
    <mergeCell ref="B496:B505"/>
    <mergeCell ref="J2936:J2945"/>
    <mergeCell ref="J96:J105"/>
    <mergeCell ref="I1816:I1825"/>
    <mergeCell ref="C2536:C2545"/>
    <mergeCell ref="C136:C145"/>
    <mergeCell ref="J126:J135"/>
    <mergeCell ref="J1456:J1465"/>
    <mergeCell ref="I756:I765"/>
    <mergeCell ref="B796:B805"/>
    <mergeCell ref="B2126:B2135"/>
    <mergeCell ref="B1986:B1995"/>
    <mergeCell ref="B3316:B3325"/>
    <mergeCell ref="C2076:C2085"/>
    <mergeCell ref="C436:C445"/>
    <mergeCell ref="A2646:A2655"/>
    <mergeCell ref="I1056:I1065"/>
    <mergeCell ref="B1096:B1105"/>
    <mergeCell ref="N4:Q4"/>
    <mergeCell ref="B2286:B2295"/>
    <mergeCell ref="J3026:J3035"/>
    <mergeCell ref="A396:A405"/>
    <mergeCell ref="C2376:C2385"/>
    <mergeCell ref="A2946:A2955"/>
    <mergeCell ref="I26:I35"/>
    <mergeCell ref="I3326:I3335"/>
    <mergeCell ref="C2676:C2685"/>
    <mergeCell ref="J1086:J1095"/>
    <mergeCell ref="I3626:I3635"/>
    <mergeCell ref="B1856:B1865"/>
    <mergeCell ref="J1386:J1395"/>
    <mergeCell ref="A2816:A2825"/>
    <mergeCell ref="C2916:C2925"/>
    <mergeCell ref="B1236:B1245"/>
    <mergeCell ref="A116:A125"/>
    <mergeCell ref="J1836:J1845"/>
    <mergeCell ref="J3166:J3175"/>
    <mergeCell ref="J356:J365"/>
    <mergeCell ref="B1876:B1885"/>
    <mergeCell ref="A416:A425"/>
    <mergeCell ref="J2136:J2145"/>
    <mergeCell ref="J3326:J3335"/>
    <mergeCell ref="C86:C95"/>
    <mergeCell ref="A1906:A1915"/>
    <mergeCell ref="J3626:J3635"/>
    <mergeCell ref="C3056:C3065"/>
    <mergeCell ref="I256:I265"/>
    <mergeCell ref="I3556:I3565"/>
    <mergeCell ref="C386:C395"/>
    <mergeCell ref="C1576:C1585"/>
    <mergeCell ref="O1:Q2"/>
    <mergeCell ref="J496:J505"/>
    <mergeCell ref="B1596:B1605"/>
    <mergeCell ref="B2236:B2245"/>
    <mergeCell ref="J1856:J1865"/>
    <mergeCell ref="A556:A565"/>
    <mergeCell ref="I1156:I1165"/>
    <mergeCell ref="C1876:C1885"/>
    <mergeCell ref="J796:J805"/>
    <mergeCell ref="I96:I105"/>
    <mergeCell ref="B2536:B2545"/>
    <mergeCell ref="B1466:B1475"/>
    <mergeCell ref="I1456:I1465"/>
    <mergeCell ref="A2126:A2135"/>
    <mergeCell ref="C2776:C2785"/>
    <mergeCell ref="A3316:A3325"/>
    <mergeCell ref="J66:J75"/>
    <mergeCell ref="C526:C535"/>
    <mergeCell ref="C1716:C1725"/>
    <mergeCell ref="C3076:C3085"/>
    <mergeCell ref="A3616:A3625"/>
    <mergeCell ref="C2016:C2025"/>
    <mergeCell ref="B896:B905"/>
    <mergeCell ref="B2676:B2685"/>
    <mergeCell ref="J2636:J2645"/>
    <mergeCell ref="I1086:I1095"/>
    <mergeCell ref="C2316:C2325"/>
    <mergeCell ref="B1196:B1205"/>
    <mergeCell ref="I116:I125"/>
    <mergeCell ref="B136:B145"/>
    <mergeCell ref="C246:C255"/>
    <mergeCell ref="I1386:I1395"/>
    <mergeCell ref="C256:C265"/>
    <mergeCell ref="C3216:C3225"/>
    <mergeCell ref="I416:I425"/>
    <mergeCell ref="A946:A955"/>
    <mergeCell ref="I1686:I1695"/>
    <mergeCell ref="B1036:B1045"/>
    <mergeCell ref="A3066:A3075"/>
    <mergeCell ref="C3006:C3015"/>
    <mergeCell ref="C2036:C2045"/>
    <mergeCell ref="B146:B155"/>
    <mergeCell ref="B1336:B1345"/>
    <mergeCell ref="J746:J755"/>
    <mergeCell ref="J1936:J1945"/>
    <mergeCell ref="C3306:C3315"/>
    <mergeCell ref="J3296:J3305"/>
    <mergeCell ref="J2226:J2235"/>
    <mergeCell ref="A2626:A2635"/>
    <mergeCell ref="J1046:J1055"/>
    <mergeCell ref="J2236:J2245"/>
    <mergeCell ref="I46:I55"/>
    <mergeCell ref="C1216:C1225"/>
    <mergeCell ref="J2536:J2545"/>
    <mergeCell ref="A536:A545"/>
    <mergeCell ref="I796:I805"/>
    <mergeCell ref="I2126:I2135"/>
    <mergeCell ref="I1986:I1995"/>
    <mergeCell ref="C146:C155"/>
    <mergeCell ref="C2116:C2125"/>
    <mergeCell ref="A2656:A2665"/>
    <mergeCell ref="J3436:J3445"/>
    <mergeCell ref="A836:A845"/>
    <mergeCell ref="I2286:I2295"/>
    <mergeCell ref="C2416:C2425"/>
    <mergeCell ref="A2956:A2965"/>
    <mergeCell ref="J896:J905"/>
    <mergeCell ref="B376:B385"/>
    <mergeCell ref="I1556:I1565"/>
    <mergeCell ref="C2716:C2725"/>
    <mergeCell ref="C1686:C1695"/>
    <mergeCell ref="J1976:J1985"/>
    <mergeCell ref="A896:A905"/>
    <mergeCell ref="B2016:B2025"/>
    <mergeCell ref="B536:B545"/>
    <mergeCell ref="C626:C635"/>
    <mergeCell ref="I1856:I1865"/>
    <mergeCell ref="A1196:A1205"/>
    <mergeCell ref="C926:C935"/>
    <mergeCell ref="J2176:J2185"/>
    <mergeCell ref="J3366:J3375"/>
    <mergeCell ref="A1496:A1505"/>
    <mergeCell ref="A426:A435"/>
    <mergeCell ref="C1226:C1235"/>
    <mergeCell ref="B1736:B1745"/>
    <mergeCell ref="J146:J155"/>
    <mergeCell ref="B676:B685"/>
    <mergeCell ref="J2606:J2615"/>
    <mergeCell ref="B2036:B2045"/>
    <mergeCell ref="C2126:C2135"/>
    <mergeCell ref="I1296:I1305"/>
    <mergeCell ref="I1936:I1945"/>
    <mergeCell ref="B976:B985"/>
    <mergeCell ref="A3156:A3165"/>
    <mergeCell ref="J1576:J1585"/>
    <mergeCell ref="I456:I465"/>
    <mergeCell ref="I3416:I3425"/>
    <mergeCell ref="A1976:A1985"/>
    <mergeCell ref="I1596:I1605"/>
    <mergeCell ref="I2236:I2245"/>
    <mergeCell ref="A156:A165"/>
    <mergeCell ref="A3456:A3465"/>
    <mergeCell ref="J2476:J2485"/>
    <mergeCell ref="I2536:I2545"/>
    <mergeCell ref="J1136:J1145"/>
    <mergeCell ref="C2786:C2795"/>
    <mergeCell ref="B1666:B1675"/>
    <mergeCell ref="J2776:J2785"/>
    <mergeCell ref="C3426:C3435"/>
    <mergeCell ref="C3086:C3095"/>
    <mergeCell ref="B1966:B1975"/>
    <mergeCell ref="J2346:J2355"/>
    <mergeCell ref="J3076:J3085"/>
    <mergeCell ref="I3006:I3015"/>
    <mergeCell ref="I896:I905"/>
    <mergeCell ref="C1026:C1035"/>
    <mergeCell ref="J2646:J2655"/>
    <mergeCell ref="A1566:A1575"/>
    <mergeCell ref="I3306:I3315"/>
    <mergeCell ref="I1196:I1205"/>
    <mergeCell ref="C1326:C1335"/>
    <mergeCell ref="A1866:A1875"/>
    <mergeCell ref="J246:J255"/>
    <mergeCell ref="J1436:J1445"/>
    <mergeCell ref="J2706:J2715"/>
    <mergeCell ref="B506:B515"/>
    <mergeCell ref="B926:B935"/>
    <mergeCell ref="J886:J895"/>
    <mergeCell ref="B2746:B2755"/>
    <mergeCell ref="B2406:B2415"/>
    <mergeCell ref="I2736:I2745"/>
    <mergeCell ref="J3006:J3015"/>
    <mergeCell ref="I2396:I2405"/>
    <mergeCell ref="A3406:A3415"/>
    <mergeCell ref="A226:A235"/>
    <mergeCell ref="B3046:B3055"/>
    <mergeCell ref="C1466:C1475"/>
    <mergeCell ref="A676:A685"/>
    <mergeCell ref="I2606:I2615"/>
    <mergeCell ref="B3346:B3355"/>
    <mergeCell ref="C1256:C1265"/>
    <mergeCell ref="C1766:C1775"/>
    <mergeCell ref="B646:B655"/>
    <mergeCell ref="C286:C295"/>
    <mergeCell ref="C736:C745"/>
    <mergeCell ref="C1556:C1565"/>
    <mergeCell ref="I206:I215"/>
    <mergeCell ref="J476:J485"/>
    <mergeCell ref="C3196:C3205"/>
    <mergeCell ref="J2116:J2125"/>
    <mergeCell ref="I2326:I2335"/>
    <mergeCell ref="I506:I515"/>
    <mergeCell ref="J636:J645"/>
    <mergeCell ref="C3496:C3505"/>
    <mergeCell ref="B2156:B2165"/>
    <mergeCell ref="I2626:I2635"/>
    <mergeCell ref="C2756:C2765"/>
    <mergeCell ref="I2346:I2355"/>
    <mergeCell ref="C366:C375"/>
    <mergeCell ref="C1696:C1705"/>
    <mergeCell ref="A906:A915"/>
    <mergeCell ref="C2886:C2895"/>
    <mergeCell ref="J1686:J1695"/>
    <mergeCell ref="A3116:A3125"/>
    <mergeCell ref="I536:I545"/>
    <mergeCell ref="B3546:B3555"/>
    <mergeCell ref="C666:C675"/>
    <mergeCell ref="C1996:C2005"/>
    <mergeCell ref="I1916:I1925"/>
    <mergeCell ref="C966:C975"/>
    <mergeCell ref="I1436:I1445"/>
    <mergeCell ref="I2216:I2225"/>
    <mergeCell ref="A626:A635"/>
    <mergeCell ref="I1736:I1745"/>
    <mergeCell ref="B3446:B3455"/>
    <mergeCell ref="A2746:A2755"/>
    <mergeCell ref="A2406:A2415"/>
    <mergeCell ref="J346:J355"/>
    <mergeCell ref="B2386:B2395"/>
    <mergeCell ref="C806:C815"/>
    <mergeCell ref="I2036:I2045"/>
    <mergeCell ref="A3046:A3055"/>
    <mergeCell ref="J646:J655"/>
    <mergeCell ref="C686:C695"/>
    <mergeCell ref="B1316:B1325"/>
    <mergeCell ref="B3286:B3295"/>
    <mergeCell ref="B1766:B1775"/>
    <mergeCell ref="B286:B295"/>
    <mergeCell ref="B3586:B3595"/>
    <mergeCell ref="C376:C385"/>
    <mergeCell ref="B2106:B2115"/>
    <mergeCell ref="J2786:J2795"/>
    <mergeCell ref="I1666:I1675"/>
    <mergeCell ref="A3186:A3195"/>
    <mergeCell ref="C1166:C1175"/>
    <mergeCell ref="A1706:A1715"/>
    <mergeCell ref="J726:J735"/>
    <mergeCell ref="C3286:C3295"/>
    <mergeCell ref="A2006:A2015"/>
    <mergeCell ref="C1036:C1045"/>
    <mergeCell ref="B426:B435"/>
    <mergeCell ref="J1026:J1035"/>
    <mergeCell ref="B1696:B1705"/>
    <mergeCell ref="B2886:B2895"/>
    <mergeCell ref="B216:B225"/>
    <mergeCell ref="A2906:A2915"/>
    <mergeCell ref="J1326:J1335"/>
    <mergeCell ref="I3506:I3515"/>
    <mergeCell ref="I3166:I3175"/>
    <mergeCell ref="A656:A665"/>
    <mergeCell ref="B3186:B3195"/>
    <mergeCell ref="J3146:J3155"/>
    <mergeCell ref="A2066:A2075"/>
    <mergeCell ref="I1256:I1265"/>
    <mergeCell ref="A3206:A3215"/>
    <mergeCell ref="A2366:A2375"/>
    <mergeCell ref="C756:C765"/>
    <mergeCell ref="I2746:I2755"/>
    <mergeCell ref="I2406:I2415"/>
    <mergeCell ref="C2876:C2885"/>
    <mergeCell ref="C766:C775"/>
    <mergeCell ref="A3416:A3425"/>
    <mergeCell ref="B1416:B1425"/>
    <mergeCell ref="J1796:J1805"/>
    <mergeCell ref="I3046:I3055"/>
    <mergeCell ref="C3176:C3185"/>
    <mergeCell ref="I346:I355"/>
    <mergeCell ref="C1066:C1075"/>
    <mergeCell ref="J2096:J2105"/>
    <mergeCell ref="B996:B1005"/>
    <mergeCell ref="B656:B665"/>
    <mergeCell ref="J1256:J1265"/>
    <mergeCell ref="I646:I655"/>
    <mergeCell ref="A1316:A1325"/>
    <mergeCell ref="B1296:B1305"/>
    <mergeCell ref="B816:B825"/>
    <mergeCell ref="A1806:A1815"/>
    <mergeCell ref="I216:I225"/>
    <mergeCell ref="I2766:I2775"/>
    <mergeCell ref="A2106:A2115"/>
    <mergeCell ref="I516:I525"/>
    <mergeCell ref="B2196:B2205"/>
    <mergeCell ref="J2456:J2465"/>
    <mergeCell ref="I276:I285"/>
    <mergeCell ref="B2496:B2505"/>
    <mergeCell ref="J3096:J3105"/>
    <mergeCell ref="J2756:J2765"/>
    <mergeCell ref="J366:J375"/>
    <mergeCell ref="J1696:J1705"/>
    <mergeCell ref="I576:I585"/>
    <mergeCell ref="J3396:J3405"/>
    <mergeCell ref="C706:C715"/>
    <mergeCell ref="I876:I885"/>
    <mergeCell ref="C1006:C1015"/>
    <mergeCell ref="C2196:C2205"/>
    <mergeCell ref="B2526:B2535"/>
    <mergeCell ref="I3146:I3155"/>
    <mergeCell ref="C2496:C2505"/>
    <mergeCell ref="J1756:J1765"/>
    <mergeCell ref="J1416:J1425"/>
    <mergeCell ref="C3546:C3555"/>
    <mergeCell ref="I3446:I3455"/>
    <mergeCell ref="J3536:J3545"/>
    <mergeCell ref="B126:B135"/>
    <mergeCell ref="B766:B775"/>
    <mergeCell ref="J2056:J2065"/>
    <mergeCell ref="B1066:B1075"/>
    <mergeCell ref="A3246:A3255"/>
    <mergeCell ref="I1316:I1325"/>
    <mergeCell ref="C116:C125"/>
    <mergeCell ref="B326:B335"/>
    <mergeCell ref="C1306:C1315"/>
    <mergeCell ref="A1846:A1855"/>
    <mergeCell ref="I1806:I1815"/>
    <mergeCell ref="A2356:A2365"/>
    <mergeCell ref="I286:I295"/>
    <mergeCell ref="C416:C425"/>
    <mergeCell ref="C1606:C1615"/>
    <mergeCell ref="C2936:C2945"/>
    <mergeCell ref="B1536:B1545"/>
    <mergeCell ref="C1176:C1185"/>
    <mergeCell ref="C1906:C1915"/>
    <mergeCell ref="J1166:J1175"/>
    <mergeCell ref="B1836:B1845"/>
    <mergeCell ref="J2436:J2445"/>
    <mergeCell ref="J3286:J3295"/>
    <mergeCell ref="B2136:B2145"/>
    <mergeCell ref="J2736:J2745"/>
    <mergeCell ref="I3516:I3525"/>
    <mergeCell ref="C1536:C1545"/>
    <mergeCell ref="J1526:J1535"/>
    <mergeCell ref="A256:A265"/>
    <mergeCell ref="J2856:J2865"/>
    <mergeCell ref="C3316:C3325"/>
    <mergeCell ref="J1826:J1835"/>
    <mergeCell ref="J756:J765"/>
    <mergeCell ref="A1156:A1165"/>
    <mergeCell ref="J2876:J2885"/>
    <mergeCell ref="I1756:I1765"/>
    <mergeCell ref="I1416:I1425"/>
    <mergeCell ref="B1436:B1445"/>
    <mergeCell ref="J1396:J1405"/>
    <mergeCell ref="A126:A135"/>
    <mergeCell ref="A1456:A1465"/>
    <mergeCell ref="I2056:I2065"/>
    <mergeCell ref="I3246:I3255"/>
    <mergeCell ref="C3376:C3385"/>
    <mergeCell ref="C3036:C3045"/>
    <mergeCell ref="J326:J335"/>
    <mergeCell ref="C1126:C1135"/>
    <mergeCell ref="C1856:C1865"/>
    <mergeCell ref="I2356:I2365"/>
    <mergeCell ref="J776:J785"/>
    <mergeCell ref="J2596:J2605"/>
    <mergeCell ref="C2616:C2625"/>
    <mergeCell ref="B1156:B1165"/>
    <mergeCell ref="B2936:B2945"/>
    <mergeCell ref="J2896:J2905"/>
    <mergeCell ref="A1816:A1825"/>
    <mergeCell ref="I2196:I2205"/>
    <mergeCell ref="C216:C225"/>
    <mergeCell ref="A756:A765"/>
    <mergeCell ref="I716:I725"/>
    <mergeCell ref="B3576:B3585"/>
    <mergeCell ref="B1176:B1185"/>
    <mergeCell ref="I2496:I2505"/>
    <mergeCell ref="C516:C525"/>
    <mergeCell ref="A3166:A3175"/>
    <mergeCell ref="A1056:A1065"/>
    <mergeCell ref="I1016:I1025"/>
    <mergeCell ref="B446:B455"/>
    <mergeCell ref="J706:J715"/>
    <mergeCell ref="J1896:J1905"/>
    <mergeCell ref="A3326:A3335"/>
    <mergeCell ref="B746:B755"/>
    <mergeCell ref="I2556:I2565"/>
    <mergeCell ref="B266:B275"/>
    <mergeCell ref="J1006:J1015"/>
    <mergeCell ref="J2196:J2205"/>
    <mergeCell ref="A3626:A3635"/>
    <mergeCell ref="B1046:B1055"/>
    <mergeCell ref="I2856:I2865"/>
    <mergeCell ref="A1556:A1565"/>
    <mergeCell ref="J3276:J3285"/>
    <mergeCell ref="A496:A505"/>
    <mergeCell ref="I2426:I2435"/>
    <mergeCell ref="A1856:A1865"/>
    <mergeCell ref="J3576:J3585"/>
    <mergeCell ref="A796:A805"/>
    <mergeCell ref="C2226:C2235"/>
    <mergeCell ref="A1986:A1995"/>
    <mergeCell ref="I1396:I1405"/>
    <mergeCell ref="I2726:I2735"/>
    <mergeCell ref="J2846:J2855"/>
    <mergeCell ref="A1096:A1105"/>
    <mergeCell ref="A66:A75"/>
    <mergeCell ref="J1786:J1795"/>
    <mergeCell ref="I326:I335"/>
    <mergeCell ref="C3016:C3025"/>
    <mergeCell ref="J3266:J3275"/>
    <mergeCell ref="I2596:I2605"/>
    <mergeCell ref="I486:I495"/>
    <mergeCell ref="B2616:B2625"/>
    <mergeCell ref="C1946:C1955"/>
    <mergeCell ref="B2276:B2285"/>
    <mergeCell ref="I1536:I1545"/>
    <mergeCell ref="I2896:I2905"/>
    <mergeCell ref="A96:A105"/>
    <mergeCell ref="I786:I795"/>
    <mergeCell ref="J1506:J1515"/>
    <mergeCell ref="C1186:C1195"/>
    <mergeCell ref="C3156:C3165"/>
    <mergeCell ref="B516:B525"/>
    <mergeCell ref="C156:C165"/>
    <mergeCell ref="C3456:C3465"/>
    <mergeCell ref="B2336:B2345"/>
    <mergeCell ref="J3446:J3455"/>
    <mergeCell ref="B86:B95"/>
    <mergeCell ref="A2996:A3005"/>
    <mergeCell ref="B936:B945"/>
    <mergeCell ref="I1266:I1275"/>
    <mergeCell ref="J1536:J1545"/>
    <mergeCell ref="B2636:B2645"/>
    <mergeCell ref="A1936:A1945"/>
    <mergeCell ref="C1056:C1065"/>
    <mergeCell ref="B1576:B1585"/>
    <mergeCell ref="A3296:A3305"/>
    <mergeCell ref="A456:A465"/>
    <mergeCell ref="C3516:C3525"/>
    <mergeCell ref="I496:I505"/>
    <mergeCell ref="A2236:A2245"/>
    <mergeCell ref="B2476:B2485"/>
    <mergeCell ref="A2536:A2545"/>
    <mergeCell ref="J916:J925"/>
    <mergeCell ref="B1586:B1595"/>
    <mergeCell ref="B2776:B2785"/>
    <mergeCell ref="J2186:J2195"/>
    <mergeCell ref="J76:J85"/>
    <mergeCell ref="J3376:J3385"/>
    <mergeCell ref="J3036:J3045"/>
    <mergeCell ref="I856:I865"/>
    <mergeCell ref="J2486:J2495"/>
    <mergeCell ref="B3076:B3085"/>
    <mergeCell ref="C986:C995"/>
    <mergeCell ref="I2976:I2985"/>
    <mergeCell ref="B3016:B3025"/>
    <mergeCell ref="I3266:I3275"/>
    <mergeCell ref="C1626:C1635"/>
    <mergeCell ref="C1286:C1295"/>
    <mergeCell ref="J546:J555"/>
    <mergeCell ref="J1276:J1285"/>
    <mergeCell ref="C226:C235"/>
    <mergeCell ref="I3566:I3575"/>
    <mergeCell ref="C1926:C1935"/>
    <mergeCell ref="J3516:J3525"/>
    <mergeCell ref="C1586:C1595"/>
    <mergeCell ref="B246:B255"/>
    <mergeCell ref="J846:J855"/>
    <mergeCell ref="B2706:B2715"/>
    <mergeCell ref="J2626:J2635"/>
    <mergeCell ref="B1186:B1195"/>
    <mergeCell ref="J1146:J1155"/>
    <mergeCell ref="A3366:A3375"/>
    <mergeCell ref="J2336:J2345"/>
    <mergeCell ref="I446:I455"/>
    <mergeCell ref="B3006:B3015"/>
    <mergeCell ref="J3606:J3615"/>
    <mergeCell ref="I2996:I3005"/>
    <mergeCell ref="C3126:C3135"/>
    <mergeCell ref="B3456:B3465"/>
    <mergeCell ref="A2336:A2345"/>
    <mergeCell ref="B1976:B1985"/>
    <mergeCell ref="C2066:C2075"/>
    <mergeCell ref="A2606:A2615"/>
    <mergeCell ref="I3296:I3305"/>
    <mergeCell ref="A936:A945"/>
    <mergeCell ref="C586:C595"/>
    <mergeCell ref="A2636:A2645"/>
    <mergeCell ref="C2366:C2375"/>
    <mergeCell ref="B1246:B1255"/>
    <mergeCell ref="A1576:A1585"/>
    <mergeCell ref="A1236:A1245"/>
    <mergeCell ref="J2356:J2365"/>
    <mergeCell ref="B3026:B3035"/>
    <mergeCell ref="J446:J455"/>
    <mergeCell ref="C2666:C2675"/>
    <mergeCell ref="B1546:B1555"/>
    <mergeCell ref="I466:I475"/>
    <mergeCell ref="I2106:I2115"/>
    <mergeCell ref="I2926:I2935"/>
    <mergeCell ref="A2776:A2785"/>
    <mergeCell ref="I3376:I3385"/>
    <mergeCell ref="A1296:A1305"/>
    <mergeCell ref="J3016:J3025"/>
    <mergeCell ref="J1646:J1655"/>
    <mergeCell ref="A3076:A3085"/>
    <mergeCell ref="A1596:A1605"/>
    <mergeCell ref="C1476:C1485"/>
    <mergeCell ref="C2296:C2305"/>
    <mergeCell ref="J1946:J1955"/>
    <mergeCell ref="C1266:C1275"/>
    <mergeCell ref="C2596:C2605"/>
    <mergeCell ref="B1926:B1935"/>
    <mergeCell ref="A246:A255"/>
    <mergeCell ref="I846:I855"/>
    <mergeCell ref="I2176:I2185"/>
    <mergeCell ref="J3156:J3165"/>
    <mergeCell ref="I3366:I3375"/>
    <mergeCell ref="C196:C205"/>
    <mergeCell ref="A2706:A2715"/>
    <mergeCell ref="B2346:B2355"/>
    <mergeCell ref="I1146:I1155"/>
    <mergeCell ref="I2336:I2345"/>
    <mergeCell ref="C2466:C2475"/>
    <mergeCell ref="C356:C365"/>
    <mergeCell ref="A3006:A3015"/>
    <mergeCell ref="I2636:I2645"/>
    <mergeCell ref="C2766:C2775"/>
    <mergeCell ref="A3306:A3315"/>
    <mergeCell ref="J56:J65"/>
    <mergeCell ref="C1706:C1715"/>
    <mergeCell ref="B586:B595"/>
    <mergeCell ref="B2366:B2375"/>
    <mergeCell ref="B3556:B3565"/>
    <mergeCell ref="I1286:I1295"/>
    <mergeCell ref="B886:B895"/>
    <mergeCell ref="I2476:I2485"/>
    <mergeCell ref="I996:I1005"/>
    <mergeCell ref="A2736:A2745"/>
    <mergeCell ref="A1666:A1675"/>
    <mergeCell ref="I2776:I2785"/>
    <mergeCell ref="A146:A155"/>
    <mergeCell ref="I106:I115"/>
    <mergeCell ref="C1426:C1435"/>
    <mergeCell ref="A636:A645"/>
    <mergeCell ref="B726:B735"/>
    <mergeCell ref="I3076:I3085"/>
    <mergeCell ref="J986:J995"/>
    <mergeCell ref="B2086:B2095"/>
    <mergeCell ref="J2686:J2695"/>
    <mergeCell ref="C1726:C1735"/>
    <mergeCell ref="B1026:B1035"/>
    <mergeCell ref="J1626:J1635"/>
    <mergeCell ref="J1286:J1295"/>
    <mergeCell ref="B1326:B1335"/>
    <mergeCell ref="A206:A215"/>
    <mergeCell ref="J1926:J1935"/>
    <mergeCell ref="J1586:J1595"/>
    <mergeCell ref="I2706:I2715"/>
    <mergeCell ref="A506:A515"/>
    <mergeCell ref="C2836:C2845"/>
    <mergeCell ref="C726:C735"/>
    <mergeCell ref="B1386:B1395"/>
    <mergeCell ref="C1806:C1815"/>
    <mergeCell ref="C3136:C3145"/>
    <mergeCell ref="A2346:A2355"/>
    <mergeCell ref="J3126:J3135"/>
    <mergeCell ref="B1686:B1695"/>
    <mergeCell ref="I1976:I1985"/>
    <mergeCell ref="A346:A355"/>
    <mergeCell ref="J2066:J2075"/>
    <mergeCell ref="I946:I955"/>
    <mergeCell ref="C2106:C2115"/>
    <mergeCell ref="C3436:C3445"/>
    <mergeCell ref="I606:I615"/>
    <mergeCell ref="J586:J595"/>
    <mergeCell ref="B1256:B1265"/>
    <mergeCell ref="I56:I65"/>
    <mergeCell ref="I1246:I1255"/>
    <mergeCell ref="I2436:I2445"/>
    <mergeCell ref="C1376:C1385"/>
    <mergeCell ref="A586:A595"/>
    <mergeCell ref="A3106:A3115"/>
    <mergeCell ref="I186:I195"/>
    <mergeCell ref="C316:C325"/>
    <mergeCell ref="I1546:I1555"/>
    <mergeCell ref="A3556:A3565"/>
    <mergeCell ref="C1676:C1685"/>
    <mergeCell ref="A886:A895"/>
    <mergeCell ref="C2866:C2875"/>
    <mergeCell ref="C1796:C1805"/>
    <mergeCell ref="J596:J605"/>
    <mergeCell ref="C616:C625"/>
    <mergeCell ref="B1126:B1135"/>
    <mergeCell ref="B2456:B2465"/>
    <mergeCell ref="J3056:J3065"/>
    <mergeCell ref="J3566:J3575"/>
    <mergeCell ref="J2086:J2095"/>
    <mergeCell ref="A276:A285"/>
    <mergeCell ref="B1426:B1435"/>
    <mergeCell ref="B2756:B2765"/>
    <mergeCell ref="J3356:J3365"/>
    <mergeCell ref="B366:B375"/>
    <mergeCell ref="A576:A585"/>
    <mergeCell ref="J2296:J2305"/>
    <mergeCell ref="I356:I365"/>
    <mergeCell ref="B1726:B1735"/>
    <mergeCell ref="J3656:J3665"/>
    <mergeCell ref="A1026:A1035"/>
    <mergeCell ref="I1626:I1635"/>
    <mergeCell ref="C336:C345"/>
    <mergeCell ref="A3576:A3585"/>
    <mergeCell ref="I3106:I3115"/>
    <mergeCell ref="A1326:A1335"/>
    <mergeCell ref="C1976:C1985"/>
    <mergeCell ref="A2516:A2525"/>
    <mergeCell ref="C3246:C3255"/>
    <mergeCell ref="I3406:I3415"/>
    <mergeCell ref="J196:J205"/>
    <mergeCell ref="J2016:J2025"/>
    <mergeCell ref="C2476:C2485"/>
    <mergeCell ref="J2466:J2475"/>
    <mergeCell ref="I2676:I2685"/>
    <mergeCell ref="B3136:B3145"/>
    <mergeCell ref="I1616:I1625"/>
    <mergeCell ref="A1046:A1055"/>
    <mergeCell ref="J2766:J2775"/>
    <mergeCell ref="A3506:A3515"/>
    <mergeCell ref="I586:I595"/>
    <mergeCell ref="C716:C725"/>
    <mergeCell ref="C2046:C2055"/>
    <mergeCell ref="A1256:A1265"/>
    <mergeCell ref="C3236:C3245"/>
    <mergeCell ref="C1566:C1575"/>
    <mergeCell ref="J2036:J2045"/>
    <mergeCell ref="A286:A295"/>
    <mergeCell ref="I886:I895"/>
    <mergeCell ref="C1016:C1025"/>
    <mergeCell ref="C2206:C2215"/>
    <mergeCell ref="J3526:J3535"/>
    <mergeCell ref="B2866:B2875"/>
    <mergeCell ref="B1796:B1805"/>
    <mergeCell ref="I1786:I1795"/>
    <mergeCell ref="B1806:B1815"/>
    <mergeCell ref="A2456:A2465"/>
    <mergeCell ref="A3646:A3655"/>
    <mergeCell ref="I726:I735"/>
    <mergeCell ref="B2096:B2105"/>
    <mergeCell ref="I2086:I2095"/>
    <mergeCell ref="I3276:I3285"/>
    <mergeCell ref="C106:C115"/>
    <mergeCell ref="A2756:A2765"/>
    <mergeCell ref="A646:A655"/>
    <mergeCell ref="A2616:A2625"/>
    <mergeCell ref="I1026:I1035"/>
    <mergeCell ref="C1156:C1165"/>
    <mergeCell ref="B1366:B1375"/>
    <mergeCell ref="C2346:C2355"/>
    <mergeCell ref="A2886:A2895"/>
    <mergeCell ref="I3576:I3585"/>
    <mergeCell ref="A2916:A2925"/>
    <mergeCell ref="C1456:C1465"/>
    <mergeCell ref="B336:B345"/>
    <mergeCell ref="C2646:C2655"/>
    <mergeCell ref="B3306:B3315"/>
    <mergeCell ref="J2836:J2845"/>
    <mergeCell ref="I1716:I1725"/>
    <mergeCell ref="C2946:C2955"/>
    <mergeCell ref="B1826:B1835"/>
    <mergeCell ref="A1126:A1135"/>
    <mergeCell ref="I746:I755"/>
    <mergeCell ref="A2486:A2495"/>
    <mergeCell ref="A1416:A1425"/>
    <mergeCell ref="J3136:J3145"/>
    <mergeCell ref="I2016:I2025"/>
    <mergeCell ref="C886:C895"/>
    <mergeCell ref="A1426:A1435"/>
    <mergeCell ref="I1046:I1055"/>
    <mergeCell ref="I2316:I2325"/>
    <mergeCell ref="A1726:A1735"/>
    <mergeCell ref="J106:J115"/>
    <mergeCell ref="B776:B785"/>
    <mergeCell ref="J1376:J1385"/>
    <mergeCell ref="J2566:J2575"/>
    <mergeCell ref="B2046:B2055"/>
    <mergeCell ref="B3236:B3245"/>
    <mergeCell ref="I3226:I3235"/>
    <mergeCell ref="J1676:J1685"/>
    <mergeCell ref="J2866:J2875"/>
    <mergeCell ref="B2206:B2215"/>
    <mergeCell ref="B3536:B3545"/>
    <mergeCell ref="I3526:I3535"/>
    <mergeCell ref="I1126:I1135"/>
    <mergeCell ref="I2456:I2465"/>
    <mergeCell ref="I3646:I3655"/>
    <mergeCell ref="C476:C485"/>
    <mergeCell ref="A1796:A1805"/>
    <mergeCell ref="B1136:B1145"/>
    <mergeCell ref="I1426:I1435"/>
    <mergeCell ref="I2756:I2765"/>
    <mergeCell ref="C776:C785"/>
    <mergeCell ref="A2096:A2105"/>
    <mergeCell ref="A3286:A3295"/>
    <mergeCell ref="J36:J45"/>
    <mergeCell ref="C2896:C2905"/>
    <mergeCell ref="B706:B715"/>
    <mergeCell ref="B1896:B1905"/>
    <mergeCell ref="J1816:J1825"/>
    <mergeCell ref="I696:I705"/>
    <mergeCell ref="A3586:A3595"/>
    <mergeCell ref="A1366:A1375"/>
    <mergeCell ref="J336:J345"/>
    <mergeCell ref="A2556:A2565"/>
    <mergeCell ref="B1006:B1015"/>
    <mergeCell ref="J2796:J2805"/>
    <mergeCell ref="I2186:I2195"/>
    <mergeCell ref="B2646:B2655"/>
    <mergeCell ref="A1526:A1535"/>
    <mergeCell ref="A2856:A2865"/>
    <mergeCell ref="J3246:J3255"/>
    <mergeCell ref="C66:C75"/>
    <mergeCell ref="B1166:B1175"/>
    <mergeCell ref="I2486:I2495"/>
    <mergeCell ref="A1826:A1835"/>
    <mergeCell ref="I1356:I1365"/>
    <mergeCell ref="A766:A775"/>
    <mergeCell ref="J2806:J2815"/>
    <mergeCell ref="I1656:I1665"/>
    <mergeCell ref="J1746:J1755"/>
    <mergeCell ref="I1136:I1145"/>
    <mergeCell ref="C2976:C2985"/>
    <mergeCell ref="J2966:J2975"/>
    <mergeCell ref="I3596:I3605"/>
    <mergeCell ref="B116:B125"/>
    <mergeCell ref="B3636:B3645"/>
    <mergeCell ref="A326:A335"/>
    <mergeCell ref="B1306:B1315"/>
    <mergeCell ref="J716:J725"/>
    <mergeCell ref="J2046:J2055"/>
    <mergeCell ref="J3236:J3245"/>
    <mergeCell ref="C3276:C3285"/>
    <mergeCell ref="N5:Q5"/>
    <mergeCell ref="A1966:A1975"/>
    <mergeCell ref="I2566:I2575"/>
    <mergeCell ref="A3:J3"/>
    <mergeCell ref="A3236:A3245"/>
    <mergeCell ref="J2206:J2215"/>
    <mergeCell ref="B2876:B2885"/>
    <mergeCell ref="A1756:A1765"/>
    <mergeCell ref="A2266:A2275"/>
    <mergeCell ref="I2866:I2875"/>
    <mergeCell ref="I1796:I1805"/>
    <mergeCell ref="A786:A795"/>
    <mergeCell ref="A3536:A3545"/>
    <mergeCell ref="C2846:C2855"/>
    <mergeCell ref="J3106:J3115"/>
    <mergeCell ref="A2056:A2065"/>
    <mergeCell ref="J436:J445"/>
    <mergeCell ref="J1766:J1775"/>
    <mergeCell ref="I2096:I2105"/>
    <mergeCell ref="C3296:C3305"/>
    <mergeCell ref="C456:C465"/>
    <mergeCell ref="J3406:J3415"/>
    <mergeCell ref="J736:J745"/>
    <mergeCell ref="I36:I45"/>
    <mergeCell ref="I1366:I1375"/>
    <mergeCell ref="B2596:B2605"/>
    <mergeCell ref="A706:A715"/>
    <mergeCell ref="A1896:A1905"/>
    <mergeCell ref="A3256:A3265"/>
    <mergeCell ref="I336:I345"/>
    <mergeCell ref="I3636:I3645"/>
    <mergeCell ref="I1526:I1535"/>
    <mergeCell ref="A1006:A1015"/>
    <mergeCell ref="C1656:C1665"/>
    <mergeCell ref="C2986:C2995"/>
    <mergeCell ref="A2196:A2205"/>
    <mergeCell ref="I1826:I1835"/>
    <mergeCell ref="C1956:C1965"/>
    <mergeCell ref="A1166:A1175"/>
    <mergeCell ref="A2496:A2505"/>
    <mergeCell ref="C3226:C3235"/>
    <mergeCell ref="C896:C905"/>
    <mergeCell ref="J3336:J3345"/>
    <mergeCell ref="C3446:C3455"/>
    <mergeCell ref="B1556:B1565"/>
    <mergeCell ref="C3526:C3535"/>
    <mergeCell ref="I476:I485"/>
    <mergeCell ref="B76:B85"/>
    <mergeCell ref="J3636:J3645"/>
    <mergeCell ref="I3026:I3035"/>
    <mergeCell ref="A856:A865"/>
    <mergeCell ref="I776:I785"/>
    <mergeCell ref="C2096:C2105"/>
    <mergeCell ref="A1306:A1315"/>
    <mergeCell ref="I3236:I3245"/>
    <mergeCell ref="C3366:C3375"/>
    <mergeCell ref="J176:J185"/>
    <mergeCell ref="C1886:C1895"/>
    <mergeCell ref="A1606:A1615"/>
    <mergeCell ref="C2396:C2405"/>
    <mergeCell ref="A2936:A2945"/>
    <mergeCell ref="J1876:J1885"/>
    <mergeCell ref="I2206:I2215"/>
    <mergeCell ref="I3536:I3545"/>
    <mergeCell ref="C916:C925"/>
    <mergeCell ref="J816:J825"/>
    <mergeCell ref="I1466:I1475"/>
    <mergeCell ref="C2186:C2195"/>
    <mergeCell ref="A876:A885"/>
    <mergeCell ref="J1116:J1125"/>
    <mergeCell ref="I1766:I1775"/>
    <mergeCell ref="B456:B465"/>
    <mergeCell ref="I706:I715"/>
    <mergeCell ref="I1896:I1905"/>
    <mergeCell ref="B1936:B1945"/>
    <mergeCell ref="C2026:C2035"/>
    <mergeCell ref="I1926:I1935"/>
    <mergeCell ref="I3256:I3265"/>
    <mergeCell ref="C3386:C3395"/>
    <mergeCell ref="I1006:I1015"/>
    <mergeCell ref="C996:C1005"/>
    <mergeCell ref="C2326:C2335"/>
    <mergeCell ref="A1536:A1545"/>
    <mergeCell ref="J2316:J2325"/>
    <mergeCell ref="B2986:B2995"/>
    <mergeCell ref="I1166:I1175"/>
    <mergeCell ref="C1296:C1305"/>
    <mergeCell ref="C2626:C2635"/>
    <mergeCell ref="B1506:B1515"/>
    <mergeCell ref="A1836:A1845"/>
    <mergeCell ref="B1956:B1965"/>
    <mergeCell ref="B3146:B3155"/>
    <mergeCell ref="I436:I445"/>
    <mergeCell ref="C1596:C1605"/>
    <mergeCell ref="C566:C575"/>
    <mergeCell ref="I736:I745"/>
    <mergeCell ref="J2976:J2985"/>
    <mergeCell ref="C866:C875"/>
    <mergeCell ref="A76:A85"/>
    <mergeCell ref="A3376:A3385"/>
    <mergeCell ref="A1266:A1275"/>
  </mergeCells>
  <conditionalFormatting sqref="A6:J3665">
    <cfRule type="expression" priority="1" dxfId="6" stopIfTrue="1">
      <formula>AND($K6&lt;&gt;"",COUNTIF(Berlin_Feiertage,$K6)&gt;0)</formula>
    </cfRule>
    <cfRule type="expression" priority="2" dxfId="7" stopIfTrue="1">
      <formula>AND($K6&lt;&gt;"",WEEKDAY($K6,2)&gt;5)</formula>
    </cfRule>
    <cfRule type="expression" priority="3" dxfId="8">
      <formula>AND($K6&lt;&gt;"",MOD(WEEKNUM($K6,21),2)=0)</formula>
    </cfRule>
    <cfRule type="expression" priority="4" dxfId="3">
      <formula>AND($K6&lt;&gt;"",WEEKDAY($K6,2)=1,MOD(ROW()-6,10)=0)</formula>
    </cfRule>
  </conditionalFormatting>
  <dataValidations count="8">
    <dataValidation sqref="D6:D3665" showDropDown="0" showInputMessage="0" showErrorMessage="1" allowBlank="1" errorTitle="Feiertag – Eingabe gesperrt" error="An gesetzlichen Feiertagen in Berlin ist keine Zeiterfassung vorgesehen." type="list">
      <formula1>=IF(COUNTIF(Berlin_Feiertage,$K6)=0,MitarbeiterListe,"")</formula1>
    </dataValidation>
    <dataValidation sqref="E6:E3665" showDropDown="0" showInputMessage="0" showErrorMessage="1" allowBlank="1" errorTitle="Feiertag – Eingabe gesperrt" error="An gesetzlichen Feiertagen in Berlin ist keine Zeiterfassung vorgesehen." type="list">
      <formula1>=IF(COUNTIF(Berlin_Feiertage,$K6)=0,GewerkeListe,"")</formula1>
    </dataValidation>
    <dataValidation sqref="F6:F3665" showDropDown="0" showInputMessage="0" showErrorMessage="1" allowBlank="1" errorTitle="Feiertag – Eingabe gesperrt" error="An gesetzlichen Feiertagen in Berlin ist keine Eingabe möglich." type="custom">
      <formula1>=OR(F6="",AND(COUNTIF(Berlin_Feiertage,$K6)=0,ISNUMBER(F6),F6&gt;=0,F6&lt;1))</formula1>
    </dataValidation>
    <dataValidation sqref="G6:G3665" showDropDown="0" showInputMessage="0" showErrorMessage="1" allowBlank="1" errorTitle="Feiertag – Eingabe gesperrt" error="An gesetzlichen Feiertagen in Berlin ist keine Eingabe möglich." type="custom">
      <formula1>=OR(G6="",AND(COUNTIF(Berlin_Feiertage,$K6)=0,ISNUMBER(G6),G6&gt;=0,G6&lt;1))</formula1>
    </dataValidation>
    <dataValidation sqref="I6:I3665" showDropDown="0" showInputMessage="0" showErrorMessage="1" allowBlank="1" errorTitle="Feiertag – Eingabe gesperrt" error="An gesetzlichen Feiertagen in Berlin ist dieses Feld gesperrt." type="custom">
      <formula1>=COUNTIF(Berlin_Feiertage,$K6)=0</formula1>
    </dataValidation>
    <dataValidation sqref="J6:J3665" showDropDown="0" showInputMessage="0" showErrorMessage="1" allowBlank="1" errorTitle="Feiertag – Eingabe gesperrt" error="An gesetzlichen Feiertagen in Berlin ist dieses Feld gesperrt." type="custom">
      <formula1>=COUNTIF(Berlin_Feiertage,$K6)=0</formula1>
    </dataValidation>
    <dataValidation sqref="M4" showDropDown="0" showInputMessage="0" showErrorMessage="0" allowBlank="1" type="list">
      <formula1>=ErfassungDatumListe</formula1>
    </dataValidation>
    <dataValidation sqref="M5" showDropDown="0" showInputMessage="0" showErrorMessage="0" allowBlank="1" type="list">
      <formula1>=ErfassungKWListe</formula1>
    </dataValidation>
  </dataValidations>
  <hyperlinks>
    <hyperlink xmlns:r="http://schemas.openxmlformats.org/officeDocument/2006/relationships" ref="L1" r:id="rId1"/>
    <hyperlink xmlns:r="http://schemas.openxmlformats.org/officeDocument/2006/relationships" ref="O1" r:id="rId2"/>
  </hyperlinks>
  <pageMargins left="0.25" right="0.25" top="0.45" bottom="0.75" header="0.2" footer="0.3"/>
  <pageSetup orientation="landscape" paperSize="9" fitToHeight="0" fitToWidth="1"/>
  <headerFooter>
    <oddHeader/>
    <oddFooter>&amp;LF+K Projektbau GmbH&amp;COrt / Datum ____________________    Unterschrift ______________________________&amp;RSeite &amp;P von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66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.5" customWidth="1" min="1" max="1"/>
    <col width="12.5" customWidth="1" min="2" max="2"/>
    <col width="12.5" customWidth="1" min="3" max="3"/>
    <col width="24" customWidth="1" min="4" max="4"/>
    <col width="21" customWidth="1" min="5" max="5"/>
    <col width="14" customWidth="1" min="6" max="6"/>
    <col width="14" customWidth="1" min="7" max="7"/>
    <col width="14" customWidth="1" min="8" max="8"/>
    <col width="48" customWidth="1" min="9" max="9"/>
    <col width="24" customWidth="1" min="10" max="10"/>
    <col hidden="1" width="13" customWidth="1" min="11" max="11"/>
    <col width="13" customWidth="1" min="12" max="12"/>
    <col width="13" customWidth="1" min="13" max="13"/>
    <col width="13" customWidth="1" min="14" max="14"/>
  </cols>
  <sheetData>
    <row r="1" ht="26" customHeight="1">
      <c r="A1" s="164" t="inlineStr">
        <is>
          <t>ZEITERFASSUNG · EXPORT</t>
        </is>
      </c>
      <c r="L1" s="263" t="inlineStr">
        <is>
          <t>←  ZUM COCKPIT</t>
        </is>
      </c>
      <c r="M1" s="269" t="n"/>
      <c r="N1" s="270" t="n"/>
    </row>
    <row r="2" ht="18" customHeight="1">
      <c r="L2" s="271" t="n"/>
      <c r="M2" s="272" t="n"/>
      <c r="N2" s="273" t="n"/>
    </row>
    <row r="3" ht="25" customHeight="1">
      <c r="A3" s="343" t="inlineStr">
        <is>
          <t>Hinweis: Der echte PDF-Export wird dynamisch aus der Zeiterfassung erzeugt (2 KW je Blatt, nur belegte Datensätze).</t>
        </is>
      </c>
    </row>
    <row r="4">
      <c r="A4" s="193">
        <f>IF('Projektübersicht'!B9="","BAUVORHABEN","BAUVORHABEN  ·  "&amp;'Projektübersicht'!B9)</f>
        <v/>
      </c>
      <c r="B4" s="190" t="n"/>
      <c r="C4" s="190" t="n"/>
      <c r="D4" s="193">
        <f>IF('Projektübersicht'!B13="","AUFTRAGGEBER","AUFTRAGGEBER  ·  "&amp;'Projektübersicht'!B13)</f>
        <v/>
      </c>
      <c r="E4" s="190" t="n"/>
      <c r="F4" s="190" t="n"/>
      <c r="G4" s="193">
        <f>IF(AND('Projektübersicht'!$F$11="",'Projektübersicht'!$F$13=""),"BAUZEIT",IF(OR('Projektübersicht'!$F$11="",'Projektübersicht'!$F$13=""),"BAUZEIT  ·  Stammdaten unvollständig","BAUZEIT  ·  "&amp;TEXT('Projektübersicht'!$F$11,"dd.mm.yyyy")&amp;" – "&amp;TEXT('Projektübersicht'!$F$13,"dd.mm.yyyy")))</f>
        <v/>
      </c>
      <c r="H4" s="190" t="n"/>
      <c r="I4" s="190" t="n"/>
      <c r="J4" s="190" t="n"/>
    </row>
    <row r="5" ht="30" customHeight="1">
      <c r="A5" s="145" t="inlineStr">
        <is>
          <t>KW</t>
        </is>
      </c>
      <c r="B5" s="145" t="inlineStr">
        <is>
          <t>DATUM</t>
        </is>
      </c>
      <c r="C5" s="145" t="inlineStr">
        <is>
          <t>TAG</t>
        </is>
      </c>
      <c r="D5" s="145" t="inlineStr">
        <is>
          <t>MITARBEITER</t>
        </is>
      </c>
      <c r="E5" s="145" t="inlineStr">
        <is>
          <t>GEWERK</t>
        </is>
      </c>
      <c r="F5" s="145" t="inlineStr">
        <is>
          <t>ARBEITSANFANG</t>
        </is>
      </c>
      <c r="G5" s="145" t="inlineStr">
        <is>
          <t>ARBEITSENDE</t>
        </is>
      </c>
      <c r="H5" s="145" t="inlineStr">
        <is>
          <t>ARBEITSSTUNDEN</t>
        </is>
      </c>
      <c r="I5" s="145" t="inlineStr">
        <is>
          <t>ARBEITEN / LEISTUNGEN DES TAGES</t>
        </is>
      </c>
      <c r="J5" s="145" t="inlineStr">
        <is>
          <t>TAGESBEMERKUNG</t>
        </is>
      </c>
    </row>
    <row r="6" ht="20" customHeight="1">
      <c r="A6" s="183">
        <f>IF($K6="","",WEEKNUM(INDEX(Zeiterfassung!$K$6:$K$3665,$K6),21))</f>
        <v/>
      </c>
      <c r="B6" s="184">
        <f>IF($K6="","",INDEX(Zeiterfassung!$K$6:$K$3665,$K6))</f>
        <v/>
      </c>
      <c r="C6" s="185">
        <f>IF($K6="","",INDEX(Zeiterfassung!$K$6:$K$3665,$K6))</f>
        <v/>
      </c>
      <c r="D6" s="186">
        <f>IF($K6="","",INDEX(Zeiterfassung!$D$6:$D$3665,$K6))</f>
        <v/>
      </c>
      <c r="E6" s="186">
        <f>IF($K6="","",INDEX(Zeiterfassung!$E$6:$E$3665,$K6))</f>
        <v/>
      </c>
      <c r="F6" s="187">
        <f>IF($K6="","",INDEX(Zeiterfassung!$F$6:$F$3665,$K6))</f>
        <v/>
      </c>
      <c r="G6" s="187">
        <f>IF($K6="","",INDEX(Zeiterfassung!$G$6:$G$3665,$K6))</f>
        <v/>
      </c>
      <c r="H6" s="188">
        <f>IF($K6="","",INDEX(Zeiterfassung!$H$6:$H$3665,$K6))</f>
        <v/>
      </c>
      <c r="I6" s="335">
        <f>IF($K6="","",INDEX(Zeiterfassung!$I$6:$I$3665,MATCH(INDEX(Zeiterfassung!$K$6:$K$3665,$K6),Zeiterfassung!$K$6:$K$3665,0)))</f>
        <v/>
      </c>
      <c r="J6" s="335">
        <f>IF($K6="","",INDEX(Zeiterfassung!$J$6:$J$3665,MATCH(INDEX(Zeiterfassung!$K$6:$K$3665,$K6),Zeiterfassung!$K$6:$K$3665,0)))</f>
        <v/>
      </c>
      <c r="K6">
        <f>IFERROR(AGGREGATE(15,6,(ROW(Zeiterfassung!$D$6:$D$3665)-ROW(Zeiterfassung!$D$6)+1)/(Zeiterfassung!$D$6:$D$3665&lt;&gt;""),1),"")</f>
        <v/>
      </c>
    </row>
    <row r="7" ht="20" customHeight="1">
      <c r="A7" s="183">
        <f>IF($K7="","",WEEKNUM(INDEX(Zeiterfassung!$K$6:$K$3665,$K7),21))</f>
        <v/>
      </c>
      <c r="B7" s="184">
        <f>IF($K7="","",INDEX(Zeiterfassung!$K$6:$K$3665,$K7))</f>
        <v/>
      </c>
      <c r="C7" s="185">
        <f>IF($K7="","",INDEX(Zeiterfassung!$K$6:$K$3665,$K7))</f>
        <v/>
      </c>
      <c r="D7" s="186">
        <f>IF($K7="","",INDEX(Zeiterfassung!$D$6:$D$3665,$K7))</f>
        <v/>
      </c>
      <c r="E7" s="186">
        <f>IF($K7="","",INDEX(Zeiterfassung!$E$6:$E$3665,$K7))</f>
        <v/>
      </c>
      <c r="F7" s="187">
        <f>IF($K7="","",INDEX(Zeiterfassung!$F$6:$F$3665,$K7))</f>
        <v/>
      </c>
      <c r="G7" s="187">
        <f>IF($K7="","",INDEX(Zeiterfassung!$G$6:$G$3665,$K7))</f>
        <v/>
      </c>
      <c r="H7" s="188">
        <f>IF($K7="","",INDEX(Zeiterfassung!$H$6:$H$3665,$K7))</f>
        <v/>
      </c>
      <c r="I7" s="335">
        <f>IF(B7=B6,"",IF($K7="","",INDEX(Zeiterfassung!$I$6:$I$3665,MATCH(INDEX(Zeiterfassung!$K$6:$K$3665,$K7),Zeiterfassung!$K$6:$K$3665,0))))</f>
        <v/>
      </c>
      <c r="J7" s="335">
        <f>IF(B7=B6,"",IF($K7="","",INDEX(Zeiterfassung!$J$6:$J$3665,MATCH(INDEX(Zeiterfassung!$K$6:$K$3665,$K7),Zeiterfassung!$K$6:$K$3665,0))))</f>
        <v/>
      </c>
      <c r="K7">
        <f>IFERROR(AGGREGATE(15,6,(ROW(Zeiterfassung!$D$6:$D$3665)-ROW(Zeiterfassung!$D$6)+1)/(Zeiterfassung!$D$6:$D$3665&lt;&gt;""),2),"")</f>
        <v/>
      </c>
    </row>
    <row r="8" ht="20" customHeight="1">
      <c r="A8" s="183">
        <f>IF($K8="","",WEEKNUM(INDEX(Zeiterfassung!$K$6:$K$3665,$K8),21))</f>
        <v/>
      </c>
      <c r="B8" s="184">
        <f>IF($K8="","",INDEX(Zeiterfassung!$K$6:$K$3665,$K8))</f>
        <v/>
      </c>
      <c r="C8" s="185">
        <f>IF($K8="","",INDEX(Zeiterfassung!$K$6:$K$3665,$K8))</f>
        <v/>
      </c>
      <c r="D8" s="186">
        <f>IF($K8="","",INDEX(Zeiterfassung!$D$6:$D$3665,$K8))</f>
        <v/>
      </c>
      <c r="E8" s="186">
        <f>IF($K8="","",INDEX(Zeiterfassung!$E$6:$E$3665,$K8))</f>
        <v/>
      </c>
      <c r="F8" s="187">
        <f>IF($K8="","",INDEX(Zeiterfassung!$F$6:$F$3665,$K8))</f>
        <v/>
      </c>
      <c r="G8" s="187">
        <f>IF($K8="","",INDEX(Zeiterfassung!$G$6:$G$3665,$K8))</f>
        <v/>
      </c>
      <c r="H8" s="188">
        <f>IF($K8="","",INDEX(Zeiterfassung!$H$6:$H$3665,$K8))</f>
        <v/>
      </c>
      <c r="I8" s="335">
        <f>IF(B8=B7,"",IF($K8="","",INDEX(Zeiterfassung!$I$6:$I$3665,MATCH(INDEX(Zeiterfassung!$K$6:$K$3665,$K8),Zeiterfassung!$K$6:$K$3665,0))))</f>
        <v/>
      </c>
      <c r="J8" s="335">
        <f>IF(B8=B7,"",IF($K8="","",INDEX(Zeiterfassung!$J$6:$J$3665,MATCH(INDEX(Zeiterfassung!$K$6:$K$3665,$K8),Zeiterfassung!$K$6:$K$3665,0))))</f>
        <v/>
      </c>
      <c r="K8">
        <f>IFERROR(AGGREGATE(15,6,(ROW(Zeiterfassung!$D$6:$D$3665)-ROW(Zeiterfassung!$D$6)+1)/(Zeiterfassung!$D$6:$D$3665&lt;&gt;""),3),"")</f>
        <v/>
      </c>
    </row>
    <row r="9" ht="20" customHeight="1">
      <c r="A9" s="183">
        <f>IF($K9="","",WEEKNUM(INDEX(Zeiterfassung!$K$6:$K$3665,$K9),21))</f>
        <v/>
      </c>
      <c r="B9" s="184">
        <f>IF($K9="","",INDEX(Zeiterfassung!$K$6:$K$3665,$K9))</f>
        <v/>
      </c>
      <c r="C9" s="185">
        <f>IF($K9="","",INDEX(Zeiterfassung!$K$6:$K$3665,$K9))</f>
        <v/>
      </c>
      <c r="D9" s="186">
        <f>IF($K9="","",INDEX(Zeiterfassung!$D$6:$D$3665,$K9))</f>
        <v/>
      </c>
      <c r="E9" s="186">
        <f>IF($K9="","",INDEX(Zeiterfassung!$E$6:$E$3665,$K9))</f>
        <v/>
      </c>
      <c r="F9" s="187">
        <f>IF($K9="","",INDEX(Zeiterfassung!$F$6:$F$3665,$K9))</f>
        <v/>
      </c>
      <c r="G9" s="187">
        <f>IF($K9="","",INDEX(Zeiterfassung!$G$6:$G$3665,$K9))</f>
        <v/>
      </c>
      <c r="H9" s="188">
        <f>IF($K9="","",INDEX(Zeiterfassung!$H$6:$H$3665,$K9))</f>
        <v/>
      </c>
      <c r="I9" s="335">
        <f>IF(B9=B8,"",IF($K9="","",INDEX(Zeiterfassung!$I$6:$I$3665,MATCH(INDEX(Zeiterfassung!$K$6:$K$3665,$K9),Zeiterfassung!$K$6:$K$3665,0))))</f>
        <v/>
      </c>
      <c r="J9" s="335">
        <f>IF(B9=B8,"",IF($K9="","",INDEX(Zeiterfassung!$J$6:$J$3665,MATCH(INDEX(Zeiterfassung!$K$6:$K$3665,$K9),Zeiterfassung!$K$6:$K$3665,0))))</f>
        <v/>
      </c>
      <c r="K9">
        <f>IFERROR(AGGREGATE(15,6,(ROW(Zeiterfassung!$D$6:$D$3665)-ROW(Zeiterfassung!$D$6)+1)/(Zeiterfassung!$D$6:$D$3665&lt;&gt;""),4),"")</f>
        <v/>
      </c>
    </row>
    <row r="10" ht="20" customHeight="1">
      <c r="A10" s="183">
        <f>IF($K10="","",WEEKNUM(INDEX(Zeiterfassung!$K$6:$K$3665,$K10),21))</f>
        <v/>
      </c>
      <c r="B10" s="184">
        <f>IF($K10="","",INDEX(Zeiterfassung!$K$6:$K$3665,$K10))</f>
        <v/>
      </c>
      <c r="C10" s="185">
        <f>IF($K10="","",INDEX(Zeiterfassung!$K$6:$K$3665,$K10))</f>
        <v/>
      </c>
      <c r="D10" s="186">
        <f>IF($K10="","",INDEX(Zeiterfassung!$D$6:$D$3665,$K10))</f>
        <v/>
      </c>
      <c r="E10" s="186">
        <f>IF($K10="","",INDEX(Zeiterfassung!$E$6:$E$3665,$K10))</f>
        <v/>
      </c>
      <c r="F10" s="187">
        <f>IF($K10="","",INDEX(Zeiterfassung!$F$6:$F$3665,$K10))</f>
        <v/>
      </c>
      <c r="G10" s="187">
        <f>IF($K10="","",INDEX(Zeiterfassung!$G$6:$G$3665,$K10))</f>
        <v/>
      </c>
      <c r="H10" s="188">
        <f>IF($K10="","",INDEX(Zeiterfassung!$H$6:$H$3665,$K10))</f>
        <v/>
      </c>
      <c r="I10" s="335">
        <f>IF(B10=B9,"",IF($K10="","",INDEX(Zeiterfassung!$I$6:$I$3665,MATCH(INDEX(Zeiterfassung!$K$6:$K$3665,$K10),Zeiterfassung!$K$6:$K$3665,0))))</f>
        <v/>
      </c>
      <c r="J10" s="335">
        <f>IF(B10=B9,"",IF($K10="","",INDEX(Zeiterfassung!$J$6:$J$3665,MATCH(INDEX(Zeiterfassung!$K$6:$K$3665,$K10),Zeiterfassung!$K$6:$K$3665,0))))</f>
        <v/>
      </c>
      <c r="K10">
        <f>IFERROR(AGGREGATE(15,6,(ROW(Zeiterfassung!$D$6:$D$3665)-ROW(Zeiterfassung!$D$6)+1)/(Zeiterfassung!$D$6:$D$3665&lt;&gt;""),5),"")</f>
        <v/>
      </c>
    </row>
    <row r="11" ht="20" customHeight="1">
      <c r="A11" s="183">
        <f>IF($K11="","",WEEKNUM(INDEX(Zeiterfassung!$K$6:$K$3665,$K11),21))</f>
        <v/>
      </c>
      <c r="B11" s="184">
        <f>IF($K11="","",INDEX(Zeiterfassung!$K$6:$K$3665,$K11))</f>
        <v/>
      </c>
      <c r="C11" s="185">
        <f>IF($K11="","",INDEX(Zeiterfassung!$K$6:$K$3665,$K11))</f>
        <v/>
      </c>
      <c r="D11" s="186">
        <f>IF($K11="","",INDEX(Zeiterfassung!$D$6:$D$3665,$K11))</f>
        <v/>
      </c>
      <c r="E11" s="186">
        <f>IF($K11="","",INDEX(Zeiterfassung!$E$6:$E$3665,$K11))</f>
        <v/>
      </c>
      <c r="F11" s="187">
        <f>IF($K11="","",INDEX(Zeiterfassung!$F$6:$F$3665,$K11))</f>
        <v/>
      </c>
      <c r="G11" s="187">
        <f>IF($K11="","",INDEX(Zeiterfassung!$G$6:$G$3665,$K11))</f>
        <v/>
      </c>
      <c r="H11" s="188">
        <f>IF($K11="","",INDEX(Zeiterfassung!$H$6:$H$3665,$K11))</f>
        <v/>
      </c>
      <c r="I11" s="335">
        <f>IF(B11=B10,"",IF($K11="","",INDEX(Zeiterfassung!$I$6:$I$3665,MATCH(INDEX(Zeiterfassung!$K$6:$K$3665,$K11),Zeiterfassung!$K$6:$K$3665,0))))</f>
        <v/>
      </c>
      <c r="J11" s="335">
        <f>IF(B11=B10,"",IF($K11="","",INDEX(Zeiterfassung!$J$6:$J$3665,MATCH(INDEX(Zeiterfassung!$K$6:$K$3665,$K11),Zeiterfassung!$K$6:$K$3665,0))))</f>
        <v/>
      </c>
      <c r="K11">
        <f>IFERROR(AGGREGATE(15,6,(ROW(Zeiterfassung!$D$6:$D$3665)-ROW(Zeiterfassung!$D$6)+1)/(Zeiterfassung!$D$6:$D$3665&lt;&gt;""),6),"")</f>
        <v/>
      </c>
    </row>
    <row r="12" ht="20" customHeight="1">
      <c r="A12" s="183">
        <f>IF($K12="","",WEEKNUM(INDEX(Zeiterfassung!$K$6:$K$3665,$K12),21))</f>
        <v/>
      </c>
      <c r="B12" s="184">
        <f>IF($K12="","",INDEX(Zeiterfassung!$K$6:$K$3665,$K12))</f>
        <v/>
      </c>
      <c r="C12" s="185">
        <f>IF($K12="","",INDEX(Zeiterfassung!$K$6:$K$3665,$K12))</f>
        <v/>
      </c>
      <c r="D12" s="186">
        <f>IF($K12="","",INDEX(Zeiterfassung!$D$6:$D$3665,$K12))</f>
        <v/>
      </c>
      <c r="E12" s="186">
        <f>IF($K12="","",INDEX(Zeiterfassung!$E$6:$E$3665,$K12))</f>
        <v/>
      </c>
      <c r="F12" s="187">
        <f>IF($K12="","",INDEX(Zeiterfassung!$F$6:$F$3665,$K12))</f>
        <v/>
      </c>
      <c r="G12" s="187">
        <f>IF($K12="","",INDEX(Zeiterfassung!$G$6:$G$3665,$K12))</f>
        <v/>
      </c>
      <c r="H12" s="188">
        <f>IF($K12="","",INDEX(Zeiterfassung!$H$6:$H$3665,$K12))</f>
        <v/>
      </c>
      <c r="I12" s="335">
        <f>IF(B12=B11,"",IF($K12="","",INDEX(Zeiterfassung!$I$6:$I$3665,MATCH(INDEX(Zeiterfassung!$K$6:$K$3665,$K12),Zeiterfassung!$K$6:$K$3665,0))))</f>
        <v/>
      </c>
      <c r="J12" s="335">
        <f>IF(B12=B11,"",IF($K12="","",INDEX(Zeiterfassung!$J$6:$J$3665,MATCH(INDEX(Zeiterfassung!$K$6:$K$3665,$K12),Zeiterfassung!$K$6:$K$3665,0))))</f>
        <v/>
      </c>
      <c r="K12">
        <f>IFERROR(AGGREGATE(15,6,(ROW(Zeiterfassung!$D$6:$D$3665)-ROW(Zeiterfassung!$D$6)+1)/(Zeiterfassung!$D$6:$D$3665&lt;&gt;""),7),"")</f>
        <v/>
      </c>
    </row>
    <row r="13" ht="20" customHeight="1">
      <c r="A13" s="183">
        <f>IF($K13="","",WEEKNUM(INDEX(Zeiterfassung!$K$6:$K$3665,$K13),21))</f>
        <v/>
      </c>
      <c r="B13" s="184">
        <f>IF($K13="","",INDEX(Zeiterfassung!$K$6:$K$3665,$K13))</f>
        <v/>
      </c>
      <c r="C13" s="185">
        <f>IF($K13="","",INDEX(Zeiterfassung!$K$6:$K$3665,$K13))</f>
        <v/>
      </c>
      <c r="D13" s="186">
        <f>IF($K13="","",INDEX(Zeiterfassung!$D$6:$D$3665,$K13))</f>
        <v/>
      </c>
      <c r="E13" s="186">
        <f>IF($K13="","",INDEX(Zeiterfassung!$E$6:$E$3665,$K13))</f>
        <v/>
      </c>
      <c r="F13" s="187">
        <f>IF($K13="","",INDEX(Zeiterfassung!$F$6:$F$3665,$K13))</f>
        <v/>
      </c>
      <c r="G13" s="187">
        <f>IF($K13="","",INDEX(Zeiterfassung!$G$6:$G$3665,$K13))</f>
        <v/>
      </c>
      <c r="H13" s="188">
        <f>IF($K13="","",INDEX(Zeiterfassung!$H$6:$H$3665,$K13))</f>
        <v/>
      </c>
      <c r="I13" s="335">
        <f>IF(B13=B12,"",IF($K13="","",INDEX(Zeiterfassung!$I$6:$I$3665,MATCH(INDEX(Zeiterfassung!$K$6:$K$3665,$K13),Zeiterfassung!$K$6:$K$3665,0))))</f>
        <v/>
      </c>
      <c r="J13" s="335">
        <f>IF(B13=B12,"",IF($K13="","",INDEX(Zeiterfassung!$J$6:$J$3665,MATCH(INDEX(Zeiterfassung!$K$6:$K$3665,$K13),Zeiterfassung!$K$6:$K$3665,0))))</f>
        <v/>
      </c>
      <c r="K13">
        <f>IFERROR(AGGREGATE(15,6,(ROW(Zeiterfassung!$D$6:$D$3665)-ROW(Zeiterfassung!$D$6)+1)/(Zeiterfassung!$D$6:$D$3665&lt;&gt;""),8),"")</f>
        <v/>
      </c>
    </row>
    <row r="14" ht="20" customHeight="1">
      <c r="A14" s="183">
        <f>IF($K14="","",WEEKNUM(INDEX(Zeiterfassung!$K$6:$K$3665,$K14),21))</f>
        <v/>
      </c>
      <c r="B14" s="184">
        <f>IF($K14="","",INDEX(Zeiterfassung!$K$6:$K$3665,$K14))</f>
        <v/>
      </c>
      <c r="C14" s="185">
        <f>IF($K14="","",INDEX(Zeiterfassung!$K$6:$K$3665,$K14))</f>
        <v/>
      </c>
      <c r="D14" s="186">
        <f>IF($K14="","",INDEX(Zeiterfassung!$D$6:$D$3665,$K14))</f>
        <v/>
      </c>
      <c r="E14" s="186">
        <f>IF($K14="","",INDEX(Zeiterfassung!$E$6:$E$3665,$K14))</f>
        <v/>
      </c>
      <c r="F14" s="187">
        <f>IF($K14="","",INDEX(Zeiterfassung!$F$6:$F$3665,$K14))</f>
        <v/>
      </c>
      <c r="G14" s="187">
        <f>IF($K14="","",INDEX(Zeiterfassung!$G$6:$G$3665,$K14))</f>
        <v/>
      </c>
      <c r="H14" s="188">
        <f>IF($K14="","",INDEX(Zeiterfassung!$H$6:$H$3665,$K14))</f>
        <v/>
      </c>
      <c r="I14" s="335">
        <f>IF(B14=B13,"",IF($K14="","",INDEX(Zeiterfassung!$I$6:$I$3665,MATCH(INDEX(Zeiterfassung!$K$6:$K$3665,$K14),Zeiterfassung!$K$6:$K$3665,0))))</f>
        <v/>
      </c>
      <c r="J14" s="335">
        <f>IF(B14=B13,"",IF($K14="","",INDEX(Zeiterfassung!$J$6:$J$3665,MATCH(INDEX(Zeiterfassung!$K$6:$K$3665,$K14),Zeiterfassung!$K$6:$K$3665,0))))</f>
        <v/>
      </c>
      <c r="K14">
        <f>IFERROR(AGGREGATE(15,6,(ROW(Zeiterfassung!$D$6:$D$3665)-ROW(Zeiterfassung!$D$6)+1)/(Zeiterfassung!$D$6:$D$3665&lt;&gt;""),9),"")</f>
        <v/>
      </c>
    </row>
    <row r="15" ht="20" customHeight="1">
      <c r="A15" s="183">
        <f>IF($K15="","",WEEKNUM(INDEX(Zeiterfassung!$K$6:$K$3665,$K15),21))</f>
        <v/>
      </c>
      <c r="B15" s="184">
        <f>IF($K15="","",INDEX(Zeiterfassung!$K$6:$K$3665,$K15))</f>
        <v/>
      </c>
      <c r="C15" s="185">
        <f>IF($K15="","",INDEX(Zeiterfassung!$K$6:$K$3665,$K15))</f>
        <v/>
      </c>
      <c r="D15" s="186">
        <f>IF($K15="","",INDEX(Zeiterfassung!$D$6:$D$3665,$K15))</f>
        <v/>
      </c>
      <c r="E15" s="186">
        <f>IF($K15="","",INDEX(Zeiterfassung!$E$6:$E$3665,$K15))</f>
        <v/>
      </c>
      <c r="F15" s="187">
        <f>IF($K15="","",INDEX(Zeiterfassung!$F$6:$F$3665,$K15))</f>
        <v/>
      </c>
      <c r="G15" s="187">
        <f>IF($K15="","",INDEX(Zeiterfassung!$G$6:$G$3665,$K15))</f>
        <v/>
      </c>
      <c r="H15" s="188">
        <f>IF($K15="","",INDEX(Zeiterfassung!$H$6:$H$3665,$K15))</f>
        <v/>
      </c>
      <c r="I15" s="335">
        <f>IF(B15=B14,"",IF($K15="","",INDEX(Zeiterfassung!$I$6:$I$3665,MATCH(INDEX(Zeiterfassung!$K$6:$K$3665,$K15),Zeiterfassung!$K$6:$K$3665,0))))</f>
        <v/>
      </c>
      <c r="J15" s="335">
        <f>IF(B15=B14,"",IF($K15="","",INDEX(Zeiterfassung!$J$6:$J$3665,MATCH(INDEX(Zeiterfassung!$K$6:$K$3665,$K15),Zeiterfassung!$K$6:$K$3665,0))))</f>
        <v/>
      </c>
      <c r="K15">
        <f>IFERROR(AGGREGATE(15,6,(ROW(Zeiterfassung!$D$6:$D$3665)-ROW(Zeiterfassung!$D$6)+1)/(Zeiterfassung!$D$6:$D$3665&lt;&gt;""),10),"")</f>
        <v/>
      </c>
    </row>
    <row r="16" ht="20" customHeight="1">
      <c r="A16" s="183">
        <f>IF($K16="","",WEEKNUM(INDEX(Zeiterfassung!$K$6:$K$3665,$K16),21))</f>
        <v/>
      </c>
      <c r="B16" s="184">
        <f>IF($K16="","",INDEX(Zeiterfassung!$K$6:$K$3665,$K16))</f>
        <v/>
      </c>
      <c r="C16" s="185">
        <f>IF($K16="","",INDEX(Zeiterfassung!$K$6:$K$3665,$K16))</f>
        <v/>
      </c>
      <c r="D16" s="186">
        <f>IF($K16="","",INDEX(Zeiterfassung!$D$6:$D$3665,$K16))</f>
        <v/>
      </c>
      <c r="E16" s="186">
        <f>IF($K16="","",INDEX(Zeiterfassung!$E$6:$E$3665,$K16))</f>
        <v/>
      </c>
      <c r="F16" s="187">
        <f>IF($K16="","",INDEX(Zeiterfassung!$F$6:$F$3665,$K16))</f>
        <v/>
      </c>
      <c r="G16" s="187">
        <f>IF($K16="","",INDEX(Zeiterfassung!$G$6:$G$3665,$K16))</f>
        <v/>
      </c>
      <c r="H16" s="188">
        <f>IF($K16="","",INDEX(Zeiterfassung!$H$6:$H$3665,$K16))</f>
        <v/>
      </c>
      <c r="I16" s="335">
        <f>IF(B16=B15,"",IF($K16="","",INDEX(Zeiterfassung!$I$6:$I$3665,MATCH(INDEX(Zeiterfassung!$K$6:$K$3665,$K16),Zeiterfassung!$K$6:$K$3665,0))))</f>
        <v/>
      </c>
      <c r="J16" s="335">
        <f>IF(B16=B15,"",IF($K16="","",INDEX(Zeiterfassung!$J$6:$J$3665,MATCH(INDEX(Zeiterfassung!$K$6:$K$3665,$K16),Zeiterfassung!$K$6:$K$3665,0))))</f>
        <v/>
      </c>
      <c r="K16">
        <f>IFERROR(AGGREGATE(15,6,(ROW(Zeiterfassung!$D$6:$D$3665)-ROW(Zeiterfassung!$D$6)+1)/(Zeiterfassung!$D$6:$D$3665&lt;&gt;""),11),"")</f>
        <v/>
      </c>
    </row>
    <row r="17" ht="20" customHeight="1">
      <c r="A17" s="183">
        <f>IF($K17="","",WEEKNUM(INDEX(Zeiterfassung!$K$6:$K$3665,$K17),21))</f>
        <v/>
      </c>
      <c r="B17" s="184">
        <f>IF($K17="","",INDEX(Zeiterfassung!$K$6:$K$3665,$K17))</f>
        <v/>
      </c>
      <c r="C17" s="185">
        <f>IF($K17="","",INDEX(Zeiterfassung!$K$6:$K$3665,$K17))</f>
        <v/>
      </c>
      <c r="D17" s="186">
        <f>IF($K17="","",INDEX(Zeiterfassung!$D$6:$D$3665,$K17))</f>
        <v/>
      </c>
      <c r="E17" s="186">
        <f>IF($K17="","",INDEX(Zeiterfassung!$E$6:$E$3665,$K17))</f>
        <v/>
      </c>
      <c r="F17" s="187">
        <f>IF($K17="","",INDEX(Zeiterfassung!$F$6:$F$3665,$K17))</f>
        <v/>
      </c>
      <c r="G17" s="187">
        <f>IF($K17="","",INDEX(Zeiterfassung!$G$6:$G$3665,$K17))</f>
        <v/>
      </c>
      <c r="H17" s="188">
        <f>IF($K17="","",INDEX(Zeiterfassung!$H$6:$H$3665,$K17))</f>
        <v/>
      </c>
      <c r="I17" s="335">
        <f>IF(B17=B16,"",IF($K17="","",INDEX(Zeiterfassung!$I$6:$I$3665,MATCH(INDEX(Zeiterfassung!$K$6:$K$3665,$K17),Zeiterfassung!$K$6:$K$3665,0))))</f>
        <v/>
      </c>
      <c r="J17" s="335">
        <f>IF(B17=B16,"",IF($K17="","",INDEX(Zeiterfassung!$J$6:$J$3665,MATCH(INDEX(Zeiterfassung!$K$6:$K$3665,$K17),Zeiterfassung!$K$6:$K$3665,0))))</f>
        <v/>
      </c>
      <c r="K17">
        <f>IFERROR(AGGREGATE(15,6,(ROW(Zeiterfassung!$D$6:$D$3665)-ROW(Zeiterfassung!$D$6)+1)/(Zeiterfassung!$D$6:$D$3665&lt;&gt;""),12),"")</f>
        <v/>
      </c>
    </row>
    <row r="18" ht="20" customHeight="1">
      <c r="A18" s="183">
        <f>IF($K18="","",WEEKNUM(INDEX(Zeiterfassung!$K$6:$K$3665,$K18),21))</f>
        <v/>
      </c>
      <c r="B18" s="184">
        <f>IF($K18="","",INDEX(Zeiterfassung!$K$6:$K$3665,$K18))</f>
        <v/>
      </c>
      <c r="C18" s="185">
        <f>IF($K18="","",INDEX(Zeiterfassung!$K$6:$K$3665,$K18))</f>
        <v/>
      </c>
      <c r="D18" s="186">
        <f>IF($K18="","",INDEX(Zeiterfassung!$D$6:$D$3665,$K18))</f>
        <v/>
      </c>
      <c r="E18" s="186">
        <f>IF($K18="","",INDEX(Zeiterfassung!$E$6:$E$3665,$K18))</f>
        <v/>
      </c>
      <c r="F18" s="187">
        <f>IF($K18="","",INDEX(Zeiterfassung!$F$6:$F$3665,$K18))</f>
        <v/>
      </c>
      <c r="G18" s="187">
        <f>IF($K18="","",INDEX(Zeiterfassung!$G$6:$G$3665,$K18))</f>
        <v/>
      </c>
      <c r="H18" s="188">
        <f>IF($K18="","",INDEX(Zeiterfassung!$H$6:$H$3665,$K18))</f>
        <v/>
      </c>
      <c r="I18" s="335">
        <f>IF(B18=B17,"",IF($K18="","",INDEX(Zeiterfassung!$I$6:$I$3665,MATCH(INDEX(Zeiterfassung!$K$6:$K$3665,$K18),Zeiterfassung!$K$6:$K$3665,0))))</f>
        <v/>
      </c>
      <c r="J18" s="335">
        <f>IF(B18=B17,"",IF($K18="","",INDEX(Zeiterfassung!$J$6:$J$3665,MATCH(INDEX(Zeiterfassung!$K$6:$K$3665,$K18),Zeiterfassung!$K$6:$K$3665,0))))</f>
        <v/>
      </c>
      <c r="K18">
        <f>IFERROR(AGGREGATE(15,6,(ROW(Zeiterfassung!$D$6:$D$3665)-ROW(Zeiterfassung!$D$6)+1)/(Zeiterfassung!$D$6:$D$3665&lt;&gt;""),13),"")</f>
        <v/>
      </c>
    </row>
    <row r="19" ht="20" customHeight="1">
      <c r="A19" s="183">
        <f>IF($K19="","",WEEKNUM(INDEX(Zeiterfassung!$K$6:$K$3665,$K19),21))</f>
        <v/>
      </c>
      <c r="B19" s="184">
        <f>IF($K19="","",INDEX(Zeiterfassung!$K$6:$K$3665,$K19))</f>
        <v/>
      </c>
      <c r="C19" s="185">
        <f>IF($K19="","",INDEX(Zeiterfassung!$K$6:$K$3665,$K19))</f>
        <v/>
      </c>
      <c r="D19" s="186">
        <f>IF($K19="","",INDEX(Zeiterfassung!$D$6:$D$3665,$K19))</f>
        <v/>
      </c>
      <c r="E19" s="186">
        <f>IF($K19="","",INDEX(Zeiterfassung!$E$6:$E$3665,$K19))</f>
        <v/>
      </c>
      <c r="F19" s="187">
        <f>IF($K19="","",INDEX(Zeiterfassung!$F$6:$F$3665,$K19))</f>
        <v/>
      </c>
      <c r="G19" s="187">
        <f>IF($K19="","",INDEX(Zeiterfassung!$G$6:$G$3665,$K19))</f>
        <v/>
      </c>
      <c r="H19" s="188">
        <f>IF($K19="","",INDEX(Zeiterfassung!$H$6:$H$3665,$K19))</f>
        <v/>
      </c>
      <c r="I19" s="335">
        <f>IF(B19=B18,"",IF($K19="","",INDEX(Zeiterfassung!$I$6:$I$3665,MATCH(INDEX(Zeiterfassung!$K$6:$K$3665,$K19),Zeiterfassung!$K$6:$K$3665,0))))</f>
        <v/>
      </c>
      <c r="J19" s="335">
        <f>IF(B19=B18,"",IF($K19="","",INDEX(Zeiterfassung!$J$6:$J$3665,MATCH(INDEX(Zeiterfassung!$K$6:$K$3665,$K19),Zeiterfassung!$K$6:$K$3665,0))))</f>
        <v/>
      </c>
      <c r="K19">
        <f>IFERROR(AGGREGATE(15,6,(ROW(Zeiterfassung!$D$6:$D$3665)-ROW(Zeiterfassung!$D$6)+1)/(Zeiterfassung!$D$6:$D$3665&lt;&gt;""),14),"")</f>
        <v/>
      </c>
    </row>
    <row r="20" ht="20" customHeight="1">
      <c r="A20" s="183">
        <f>IF($K20="","",WEEKNUM(INDEX(Zeiterfassung!$K$6:$K$3665,$K20),21))</f>
        <v/>
      </c>
      <c r="B20" s="184">
        <f>IF($K20="","",INDEX(Zeiterfassung!$K$6:$K$3665,$K20))</f>
        <v/>
      </c>
      <c r="C20" s="185">
        <f>IF($K20="","",INDEX(Zeiterfassung!$K$6:$K$3665,$K20))</f>
        <v/>
      </c>
      <c r="D20" s="186">
        <f>IF($K20="","",INDEX(Zeiterfassung!$D$6:$D$3665,$K20))</f>
        <v/>
      </c>
      <c r="E20" s="186">
        <f>IF($K20="","",INDEX(Zeiterfassung!$E$6:$E$3665,$K20))</f>
        <v/>
      </c>
      <c r="F20" s="187">
        <f>IF($K20="","",INDEX(Zeiterfassung!$F$6:$F$3665,$K20))</f>
        <v/>
      </c>
      <c r="G20" s="187">
        <f>IF($K20="","",INDEX(Zeiterfassung!$G$6:$G$3665,$K20))</f>
        <v/>
      </c>
      <c r="H20" s="188">
        <f>IF($K20="","",INDEX(Zeiterfassung!$H$6:$H$3665,$K20))</f>
        <v/>
      </c>
      <c r="I20" s="335">
        <f>IF(B20=B19,"",IF($K20="","",INDEX(Zeiterfassung!$I$6:$I$3665,MATCH(INDEX(Zeiterfassung!$K$6:$K$3665,$K20),Zeiterfassung!$K$6:$K$3665,0))))</f>
        <v/>
      </c>
      <c r="J20" s="335">
        <f>IF(B20=B19,"",IF($K20="","",INDEX(Zeiterfassung!$J$6:$J$3665,MATCH(INDEX(Zeiterfassung!$K$6:$K$3665,$K20),Zeiterfassung!$K$6:$K$3665,0))))</f>
        <v/>
      </c>
      <c r="K20">
        <f>IFERROR(AGGREGATE(15,6,(ROW(Zeiterfassung!$D$6:$D$3665)-ROW(Zeiterfassung!$D$6)+1)/(Zeiterfassung!$D$6:$D$3665&lt;&gt;""),15),"")</f>
        <v/>
      </c>
    </row>
    <row r="21" ht="20" customHeight="1">
      <c r="A21" s="183">
        <f>IF($K21="","",WEEKNUM(INDEX(Zeiterfassung!$K$6:$K$3665,$K21),21))</f>
        <v/>
      </c>
      <c r="B21" s="184">
        <f>IF($K21="","",INDEX(Zeiterfassung!$K$6:$K$3665,$K21))</f>
        <v/>
      </c>
      <c r="C21" s="185">
        <f>IF($K21="","",INDEX(Zeiterfassung!$K$6:$K$3665,$K21))</f>
        <v/>
      </c>
      <c r="D21" s="186">
        <f>IF($K21="","",INDEX(Zeiterfassung!$D$6:$D$3665,$K21))</f>
        <v/>
      </c>
      <c r="E21" s="186">
        <f>IF($K21="","",INDEX(Zeiterfassung!$E$6:$E$3665,$K21))</f>
        <v/>
      </c>
      <c r="F21" s="187">
        <f>IF($K21="","",INDEX(Zeiterfassung!$F$6:$F$3665,$K21))</f>
        <v/>
      </c>
      <c r="G21" s="187">
        <f>IF($K21="","",INDEX(Zeiterfassung!$G$6:$G$3665,$K21))</f>
        <v/>
      </c>
      <c r="H21" s="188">
        <f>IF($K21="","",INDEX(Zeiterfassung!$H$6:$H$3665,$K21))</f>
        <v/>
      </c>
      <c r="I21" s="335">
        <f>IF(B21=B20,"",IF($K21="","",INDEX(Zeiterfassung!$I$6:$I$3665,MATCH(INDEX(Zeiterfassung!$K$6:$K$3665,$K21),Zeiterfassung!$K$6:$K$3665,0))))</f>
        <v/>
      </c>
      <c r="J21" s="335">
        <f>IF(B21=B20,"",IF($K21="","",INDEX(Zeiterfassung!$J$6:$J$3665,MATCH(INDEX(Zeiterfassung!$K$6:$K$3665,$K21),Zeiterfassung!$K$6:$K$3665,0))))</f>
        <v/>
      </c>
      <c r="K21">
        <f>IFERROR(AGGREGATE(15,6,(ROW(Zeiterfassung!$D$6:$D$3665)-ROW(Zeiterfassung!$D$6)+1)/(Zeiterfassung!$D$6:$D$3665&lt;&gt;""),16),"")</f>
        <v/>
      </c>
    </row>
    <row r="22" ht="20" customHeight="1">
      <c r="A22" s="183">
        <f>IF($K22="","",WEEKNUM(INDEX(Zeiterfassung!$K$6:$K$3665,$K22),21))</f>
        <v/>
      </c>
      <c r="B22" s="184">
        <f>IF($K22="","",INDEX(Zeiterfassung!$K$6:$K$3665,$K22))</f>
        <v/>
      </c>
      <c r="C22" s="185">
        <f>IF($K22="","",INDEX(Zeiterfassung!$K$6:$K$3665,$K22))</f>
        <v/>
      </c>
      <c r="D22" s="186">
        <f>IF($K22="","",INDEX(Zeiterfassung!$D$6:$D$3665,$K22))</f>
        <v/>
      </c>
      <c r="E22" s="186">
        <f>IF($K22="","",INDEX(Zeiterfassung!$E$6:$E$3665,$K22))</f>
        <v/>
      </c>
      <c r="F22" s="187">
        <f>IF($K22="","",INDEX(Zeiterfassung!$F$6:$F$3665,$K22))</f>
        <v/>
      </c>
      <c r="G22" s="187">
        <f>IF($K22="","",INDEX(Zeiterfassung!$G$6:$G$3665,$K22))</f>
        <v/>
      </c>
      <c r="H22" s="188">
        <f>IF($K22="","",INDEX(Zeiterfassung!$H$6:$H$3665,$K22))</f>
        <v/>
      </c>
      <c r="I22" s="335">
        <f>IF(B22=B21,"",IF($K22="","",INDEX(Zeiterfassung!$I$6:$I$3665,MATCH(INDEX(Zeiterfassung!$K$6:$K$3665,$K22),Zeiterfassung!$K$6:$K$3665,0))))</f>
        <v/>
      </c>
      <c r="J22" s="335">
        <f>IF(B22=B21,"",IF($K22="","",INDEX(Zeiterfassung!$J$6:$J$3665,MATCH(INDEX(Zeiterfassung!$K$6:$K$3665,$K22),Zeiterfassung!$K$6:$K$3665,0))))</f>
        <v/>
      </c>
      <c r="K22">
        <f>IFERROR(AGGREGATE(15,6,(ROW(Zeiterfassung!$D$6:$D$3665)-ROW(Zeiterfassung!$D$6)+1)/(Zeiterfassung!$D$6:$D$3665&lt;&gt;""),17),"")</f>
        <v/>
      </c>
    </row>
    <row r="23" ht="20" customHeight="1">
      <c r="A23" s="183">
        <f>IF($K23="","",WEEKNUM(INDEX(Zeiterfassung!$K$6:$K$3665,$K23),21))</f>
        <v/>
      </c>
      <c r="B23" s="184">
        <f>IF($K23="","",INDEX(Zeiterfassung!$K$6:$K$3665,$K23))</f>
        <v/>
      </c>
      <c r="C23" s="185">
        <f>IF($K23="","",INDEX(Zeiterfassung!$K$6:$K$3665,$K23))</f>
        <v/>
      </c>
      <c r="D23" s="186">
        <f>IF($K23="","",INDEX(Zeiterfassung!$D$6:$D$3665,$K23))</f>
        <v/>
      </c>
      <c r="E23" s="186">
        <f>IF($K23="","",INDEX(Zeiterfassung!$E$6:$E$3665,$K23))</f>
        <v/>
      </c>
      <c r="F23" s="187">
        <f>IF($K23="","",INDEX(Zeiterfassung!$F$6:$F$3665,$K23))</f>
        <v/>
      </c>
      <c r="G23" s="187">
        <f>IF($K23="","",INDEX(Zeiterfassung!$G$6:$G$3665,$K23))</f>
        <v/>
      </c>
      <c r="H23" s="188">
        <f>IF($K23="","",INDEX(Zeiterfassung!$H$6:$H$3665,$K23))</f>
        <v/>
      </c>
      <c r="I23" s="335">
        <f>IF(B23=B22,"",IF($K23="","",INDEX(Zeiterfassung!$I$6:$I$3665,MATCH(INDEX(Zeiterfassung!$K$6:$K$3665,$K23),Zeiterfassung!$K$6:$K$3665,0))))</f>
        <v/>
      </c>
      <c r="J23" s="335">
        <f>IF(B23=B22,"",IF($K23="","",INDEX(Zeiterfassung!$J$6:$J$3665,MATCH(INDEX(Zeiterfassung!$K$6:$K$3665,$K23),Zeiterfassung!$K$6:$K$3665,0))))</f>
        <v/>
      </c>
      <c r="K23">
        <f>IFERROR(AGGREGATE(15,6,(ROW(Zeiterfassung!$D$6:$D$3665)-ROW(Zeiterfassung!$D$6)+1)/(Zeiterfassung!$D$6:$D$3665&lt;&gt;""),18),"")</f>
        <v/>
      </c>
    </row>
    <row r="24" ht="20" customHeight="1">
      <c r="A24" s="183">
        <f>IF($K24="","",WEEKNUM(INDEX(Zeiterfassung!$K$6:$K$3665,$K24),21))</f>
        <v/>
      </c>
      <c r="B24" s="184">
        <f>IF($K24="","",INDEX(Zeiterfassung!$K$6:$K$3665,$K24))</f>
        <v/>
      </c>
      <c r="C24" s="185">
        <f>IF($K24="","",INDEX(Zeiterfassung!$K$6:$K$3665,$K24))</f>
        <v/>
      </c>
      <c r="D24" s="186">
        <f>IF($K24="","",INDEX(Zeiterfassung!$D$6:$D$3665,$K24))</f>
        <v/>
      </c>
      <c r="E24" s="186">
        <f>IF($K24="","",INDEX(Zeiterfassung!$E$6:$E$3665,$K24))</f>
        <v/>
      </c>
      <c r="F24" s="187">
        <f>IF($K24="","",INDEX(Zeiterfassung!$F$6:$F$3665,$K24))</f>
        <v/>
      </c>
      <c r="G24" s="187">
        <f>IF($K24="","",INDEX(Zeiterfassung!$G$6:$G$3665,$K24))</f>
        <v/>
      </c>
      <c r="H24" s="188">
        <f>IF($K24="","",INDEX(Zeiterfassung!$H$6:$H$3665,$K24))</f>
        <v/>
      </c>
      <c r="I24" s="335">
        <f>IF(B24=B23,"",IF($K24="","",INDEX(Zeiterfassung!$I$6:$I$3665,MATCH(INDEX(Zeiterfassung!$K$6:$K$3665,$K24),Zeiterfassung!$K$6:$K$3665,0))))</f>
        <v/>
      </c>
      <c r="J24" s="335">
        <f>IF(B24=B23,"",IF($K24="","",INDEX(Zeiterfassung!$J$6:$J$3665,MATCH(INDEX(Zeiterfassung!$K$6:$K$3665,$K24),Zeiterfassung!$K$6:$K$3665,0))))</f>
        <v/>
      </c>
      <c r="K24">
        <f>IFERROR(AGGREGATE(15,6,(ROW(Zeiterfassung!$D$6:$D$3665)-ROW(Zeiterfassung!$D$6)+1)/(Zeiterfassung!$D$6:$D$3665&lt;&gt;""),19),"")</f>
        <v/>
      </c>
    </row>
    <row r="25" ht="20" customHeight="1">
      <c r="A25" s="183">
        <f>IF($K25="","",WEEKNUM(INDEX(Zeiterfassung!$K$6:$K$3665,$K25),21))</f>
        <v/>
      </c>
      <c r="B25" s="184">
        <f>IF($K25="","",INDEX(Zeiterfassung!$K$6:$K$3665,$K25))</f>
        <v/>
      </c>
      <c r="C25" s="185">
        <f>IF($K25="","",INDEX(Zeiterfassung!$K$6:$K$3665,$K25))</f>
        <v/>
      </c>
      <c r="D25" s="186">
        <f>IF($K25="","",INDEX(Zeiterfassung!$D$6:$D$3665,$K25))</f>
        <v/>
      </c>
      <c r="E25" s="186">
        <f>IF($K25="","",INDEX(Zeiterfassung!$E$6:$E$3665,$K25))</f>
        <v/>
      </c>
      <c r="F25" s="187">
        <f>IF($K25="","",INDEX(Zeiterfassung!$F$6:$F$3665,$K25))</f>
        <v/>
      </c>
      <c r="G25" s="187">
        <f>IF($K25="","",INDEX(Zeiterfassung!$G$6:$G$3665,$K25))</f>
        <v/>
      </c>
      <c r="H25" s="188">
        <f>IF($K25="","",INDEX(Zeiterfassung!$H$6:$H$3665,$K25))</f>
        <v/>
      </c>
      <c r="I25" s="335">
        <f>IF(B25=B24,"",IF($K25="","",INDEX(Zeiterfassung!$I$6:$I$3665,MATCH(INDEX(Zeiterfassung!$K$6:$K$3665,$K25),Zeiterfassung!$K$6:$K$3665,0))))</f>
        <v/>
      </c>
      <c r="J25" s="335">
        <f>IF(B25=B24,"",IF($K25="","",INDEX(Zeiterfassung!$J$6:$J$3665,MATCH(INDEX(Zeiterfassung!$K$6:$K$3665,$K25),Zeiterfassung!$K$6:$K$3665,0))))</f>
        <v/>
      </c>
      <c r="K25">
        <f>IFERROR(AGGREGATE(15,6,(ROW(Zeiterfassung!$D$6:$D$3665)-ROW(Zeiterfassung!$D$6)+1)/(Zeiterfassung!$D$6:$D$3665&lt;&gt;""),20),"")</f>
        <v/>
      </c>
    </row>
    <row r="26" ht="20" customHeight="1">
      <c r="A26" s="183">
        <f>IF($K26="","",WEEKNUM(INDEX(Zeiterfassung!$K$6:$K$3665,$K26),21))</f>
        <v/>
      </c>
      <c r="B26" s="184">
        <f>IF($K26="","",INDEX(Zeiterfassung!$K$6:$K$3665,$K26))</f>
        <v/>
      </c>
      <c r="C26" s="185">
        <f>IF($K26="","",INDEX(Zeiterfassung!$K$6:$K$3665,$K26))</f>
        <v/>
      </c>
      <c r="D26" s="186">
        <f>IF($K26="","",INDEX(Zeiterfassung!$D$6:$D$3665,$K26))</f>
        <v/>
      </c>
      <c r="E26" s="186">
        <f>IF($K26="","",INDEX(Zeiterfassung!$E$6:$E$3665,$K26))</f>
        <v/>
      </c>
      <c r="F26" s="187">
        <f>IF($K26="","",INDEX(Zeiterfassung!$F$6:$F$3665,$K26))</f>
        <v/>
      </c>
      <c r="G26" s="187">
        <f>IF($K26="","",INDEX(Zeiterfassung!$G$6:$G$3665,$K26))</f>
        <v/>
      </c>
      <c r="H26" s="188">
        <f>IF($K26="","",INDEX(Zeiterfassung!$H$6:$H$3665,$K26))</f>
        <v/>
      </c>
      <c r="I26" s="335">
        <f>IF(B26=B25,"",IF($K26="","",INDEX(Zeiterfassung!$I$6:$I$3665,MATCH(INDEX(Zeiterfassung!$K$6:$K$3665,$K26),Zeiterfassung!$K$6:$K$3665,0))))</f>
        <v/>
      </c>
      <c r="J26" s="335">
        <f>IF(B26=B25,"",IF($K26="","",INDEX(Zeiterfassung!$J$6:$J$3665,MATCH(INDEX(Zeiterfassung!$K$6:$K$3665,$K26),Zeiterfassung!$K$6:$K$3665,0))))</f>
        <v/>
      </c>
      <c r="K26">
        <f>IFERROR(AGGREGATE(15,6,(ROW(Zeiterfassung!$D$6:$D$3665)-ROW(Zeiterfassung!$D$6)+1)/(Zeiterfassung!$D$6:$D$3665&lt;&gt;""),21),"")</f>
        <v/>
      </c>
    </row>
    <row r="27" ht="20" customHeight="1">
      <c r="A27" s="183">
        <f>IF($K27="","",WEEKNUM(INDEX(Zeiterfassung!$K$6:$K$3665,$K27),21))</f>
        <v/>
      </c>
      <c r="B27" s="184">
        <f>IF($K27="","",INDEX(Zeiterfassung!$K$6:$K$3665,$K27))</f>
        <v/>
      </c>
      <c r="C27" s="185">
        <f>IF($K27="","",INDEX(Zeiterfassung!$K$6:$K$3665,$K27))</f>
        <v/>
      </c>
      <c r="D27" s="186">
        <f>IF($K27="","",INDEX(Zeiterfassung!$D$6:$D$3665,$K27))</f>
        <v/>
      </c>
      <c r="E27" s="186">
        <f>IF($K27="","",INDEX(Zeiterfassung!$E$6:$E$3665,$K27))</f>
        <v/>
      </c>
      <c r="F27" s="187">
        <f>IF($K27="","",INDEX(Zeiterfassung!$F$6:$F$3665,$K27))</f>
        <v/>
      </c>
      <c r="G27" s="187">
        <f>IF($K27="","",INDEX(Zeiterfassung!$G$6:$G$3665,$K27))</f>
        <v/>
      </c>
      <c r="H27" s="188">
        <f>IF($K27="","",INDEX(Zeiterfassung!$H$6:$H$3665,$K27))</f>
        <v/>
      </c>
      <c r="I27" s="335">
        <f>IF(B27=B26,"",IF($K27="","",INDEX(Zeiterfassung!$I$6:$I$3665,MATCH(INDEX(Zeiterfassung!$K$6:$K$3665,$K27),Zeiterfassung!$K$6:$K$3665,0))))</f>
        <v/>
      </c>
      <c r="J27" s="335">
        <f>IF(B27=B26,"",IF($K27="","",INDEX(Zeiterfassung!$J$6:$J$3665,MATCH(INDEX(Zeiterfassung!$K$6:$K$3665,$K27),Zeiterfassung!$K$6:$K$3665,0))))</f>
        <v/>
      </c>
      <c r="K27">
        <f>IFERROR(AGGREGATE(15,6,(ROW(Zeiterfassung!$D$6:$D$3665)-ROW(Zeiterfassung!$D$6)+1)/(Zeiterfassung!$D$6:$D$3665&lt;&gt;""),22),"")</f>
        <v/>
      </c>
    </row>
    <row r="28" ht="20" customHeight="1">
      <c r="A28" s="183">
        <f>IF($K28="","",WEEKNUM(INDEX(Zeiterfassung!$K$6:$K$3665,$K28),21))</f>
        <v/>
      </c>
      <c r="B28" s="184">
        <f>IF($K28="","",INDEX(Zeiterfassung!$K$6:$K$3665,$K28))</f>
        <v/>
      </c>
      <c r="C28" s="185">
        <f>IF($K28="","",INDEX(Zeiterfassung!$K$6:$K$3665,$K28))</f>
        <v/>
      </c>
      <c r="D28" s="186">
        <f>IF($K28="","",INDEX(Zeiterfassung!$D$6:$D$3665,$K28))</f>
        <v/>
      </c>
      <c r="E28" s="186">
        <f>IF($K28="","",INDEX(Zeiterfassung!$E$6:$E$3665,$K28))</f>
        <v/>
      </c>
      <c r="F28" s="187">
        <f>IF($K28="","",INDEX(Zeiterfassung!$F$6:$F$3665,$K28))</f>
        <v/>
      </c>
      <c r="G28" s="187">
        <f>IF($K28="","",INDEX(Zeiterfassung!$G$6:$G$3665,$K28))</f>
        <v/>
      </c>
      <c r="H28" s="188">
        <f>IF($K28="","",INDEX(Zeiterfassung!$H$6:$H$3665,$K28))</f>
        <v/>
      </c>
      <c r="I28" s="335">
        <f>IF(B28=B27,"",IF($K28="","",INDEX(Zeiterfassung!$I$6:$I$3665,MATCH(INDEX(Zeiterfassung!$K$6:$K$3665,$K28),Zeiterfassung!$K$6:$K$3665,0))))</f>
        <v/>
      </c>
      <c r="J28" s="335">
        <f>IF(B28=B27,"",IF($K28="","",INDEX(Zeiterfassung!$J$6:$J$3665,MATCH(INDEX(Zeiterfassung!$K$6:$K$3665,$K28),Zeiterfassung!$K$6:$K$3665,0))))</f>
        <v/>
      </c>
      <c r="K28">
        <f>IFERROR(AGGREGATE(15,6,(ROW(Zeiterfassung!$D$6:$D$3665)-ROW(Zeiterfassung!$D$6)+1)/(Zeiterfassung!$D$6:$D$3665&lt;&gt;""),23),"")</f>
        <v/>
      </c>
    </row>
    <row r="29" ht="20" customHeight="1">
      <c r="A29" s="183">
        <f>IF($K29="","",WEEKNUM(INDEX(Zeiterfassung!$K$6:$K$3665,$K29),21))</f>
        <v/>
      </c>
      <c r="B29" s="184">
        <f>IF($K29="","",INDEX(Zeiterfassung!$K$6:$K$3665,$K29))</f>
        <v/>
      </c>
      <c r="C29" s="185">
        <f>IF($K29="","",INDEX(Zeiterfassung!$K$6:$K$3665,$K29))</f>
        <v/>
      </c>
      <c r="D29" s="186">
        <f>IF($K29="","",INDEX(Zeiterfassung!$D$6:$D$3665,$K29))</f>
        <v/>
      </c>
      <c r="E29" s="186">
        <f>IF($K29="","",INDEX(Zeiterfassung!$E$6:$E$3665,$K29))</f>
        <v/>
      </c>
      <c r="F29" s="187">
        <f>IF($K29="","",INDEX(Zeiterfassung!$F$6:$F$3665,$K29))</f>
        <v/>
      </c>
      <c r="G29" s="187">
        <f>IF($K29="","",INDEX(Zeiterfassung!$G$6:$G$3665,$K29))</f>
        <v/>
      </c>
      <c r="H29" s="188">
        <f>IF($K29="","",INDEX(Zeiterfassung!$H$6:$H$3665,$K29))</f>
        <v/>
      </c>
      <c r="I29" s="335">
        <f>IF(B29=B28,"",IF($K29="","",INDEX(Zeiterfassung!$I$6:$I$3665,MATCH(INDEX(Zeiterfassung!$K$6:$K$3665,$K29),Zeiterfassung!$K$6:$K$3665,0))))</f>
        <v/>
      </c>
      <c r="J29" s="335">
        <f>IF(B29=B28,"",IF($K29="","",INDEX(Zeiterfassung!$J$6:$J$3665,MATCH(INDEX(Zeiterfassung!$K$6:$K$3665,$K29),Zeiterfassung!$K$6:$K$3665,0))))</f>
        <v/>
      </c>
      <c r="K29">
        <f>IFERROR(AGGREGATE(15,6,(ROW(Zeiterfassung!$D$6:$D$3665)-ROW(Zeiterfassung!$D$6)+1)/(Zeiterfassung!$D$6:$D$3665&lt;&gt;""),24),"")</f>
        <v/>
      </c>
    </row>
    <row r="30" ht="20" customHeight="1">
      <c r="A30" s="183">
        <f>IF($K30="","",WEEKNUM(INDEX(Zeiterfassung!$K$6:$K$3665,$K30),21))</f>
        <v/>
      </c>
      <c r="B30" s="184">
        <f>IF($K30="","",INDEX(Zeiterfassung!$K$6:$K$3665,$K30))</f>
        <v/>
      </c>
      <c r="C30" s="185">
        <f>IF($K30="","",INDEX(Zeiterfassung!$K$6:$K$3665,$K30))</f>
        <v/>
      </c>
      <c r="D30" s="186">
        <f>IF($K30="","",INDEX(Zeiterfassung!$D$6:$D$3665,$K30))</f>
        <v/>
      </c>
      <c r="E30" s="186">
        <f>IF($K30="","",INDEX(Zeiterfassung!$E$6:$E$3665,$K30))</f>
        <v/>
      </c>
      <c r="F30" s="187">
        <f>IF($K30="","",INDEX(Zeiterfassung!$F$6:$F$3665,$K30))</f>
        <v/>
      </c>
      <c r="G30" s="187">
        <f>IF($K30="","",INDEX(Zeiterfassung!$G$6:$G$3665,$K30))</f>
        <v/>
      </c>
      <c r="H30" s="188">
        <f>IF($K30="","",INDEX(Zeiterfassung!$H$6:$H$3665,$K30))</f>
        <v/>
      </c>
      <c r="I30" s="335">
        <f>IF(B30=B29,"",IF($K30="","",INDEX(Zeiterfassung!$I$6:$I$3665,MATCH(INDEX(Zeiterfassung!$K$6:$K$3665,$K30),Zeiterfassung!$K$6:$K$3665,0))))</f>
        <v/>
      </c>
      <c r="J30" s="335">
        <f>IF(B30=B29,"",IF($K30="","",INDEX(Zeiterfassung!$J$6:$J$3665,MATCH(INDEX(Zeiterfassung!$K$6:$K$3665,$K30),Zeiterfassung!$K$6:$K$3665,0))))</f>
        <v/>
      </c>
      <c r="K30">
        <f>IFERROR(AGGREGATE(15,6,(ROW(Zeiterfassung!$D$6:$D$3665)-ROW(Zeiterfassung!$D$6)+1)/(Zeiterfassung!$D$6:$D$3665&lt;&gt;""),25),"")</f>
        <v/>
      </c>
    </row>
    <row r="31" ht="20" customHeight="1">
      <c r="A31" s="183">
        <f>IF($K31="","",WEEKNUM(INDEX(Zeiterfassung!$K$6:$K$3665,$K31),21))</f>
        <v/>
      </c>
      <c r="B31" s="184">
        <f>IF($K31="","",INDEX(Zeiterfassung!$K$6:$K$3665,$K31))</f>
        <v/>
      </c>
      <c r="C31" s="185">
        <f>IF($K31="","",INDEX(Zeiterfassung!$K$6:$K$3665,$K31))</f>
        <v/>
      </c>
      <c r="D31" s="186">
        <f>IF($K31="","",INDEX(Zeiterfassung!$D$6:$D$3665,$K31))</f>
        <v/>
      </c>
      <c r="E31" s="186">
        <f>IF($K31="","",INDEX(Zeiterfassung!$E$6:$E$3665,$K31))</f>
        <v/>
      </c>
      <c r="F31" s="187">
        <f>IF($K31="","",INDEX(Zeiterfassung!$F$6:$F$3665,$K31))</f>
        <v/>
      </c>
      <c r="G31" s="187">
        <f>IF($K31="","",INDEX(Zeiterfassung!$G$6:$G$3665,$K31))</f>
        <v/>
      </c>
      <c r="H31" s="188">
        <f>IF($K31="","",INDEX(Zeiterfassung!$H$6:$H$3665,$K31))</f>
        <v/>
      </c>
      <c r="I31" s="335">
        <f>IF(B31=B30,"",IF($K31="","",INDEX(Zeiterfassung!$I$6:$I$3665,MATCH(INDEX(Zeiterfassung!$K$6:$K$3665,$K31),Zeiterfassung!$K$6:$K$3665,0))))</f>
        <v/>
      </c>
      <c r="J31" s="335">
        <f>IF(B31=B30,"",IF($K31="","",INDEX(Zeiterfassung!$J$6:$J$3665,MATCH(INDEX(Zeiterfassung!$K$6:$K$3665,$K31),Zeiterfassung!$K$6:$K$3665,0))))</f>
        <v/>
      </c>
      <c r="K31">
        <f>IFERROR(AGGREGATE(15,6,(ROW(Zeiterfassung!$D$6:$D$3665)-ROW(Zeiterfassung!$D$6)+1)/(Zeiterfassung!$D$6:$D$3665&lt;&gt;""),26),"")</f>
        <v/>
      </c>
    </row>
    <row r="32" ht="20" customHeight="1">
      <c r="A32" s="183">
        <f>IF($K32="","",WEEKNUM(INDEX(Zeiterfassung!$K$6:$K$3665,$K32),21))</f>
        <v/>
      </c>
      <c r="B32" s="184">
        <f>IF($K32="","",INDEX(Zeiterfassung!$K$6:$K$3665,$K32))</f>
        <v/>
      </c>
      <c r="C32" s="185">
        <f>IF($K32="","",INDEX(Zeiterfassung!$K$6:$K$3665,$K32))</f>
        <v/>
      </c>
      <c r="D32" s="186">
        <f>IF($K32="","",INDEX(Zeiterfassung!$D$6:$D$3665,$K32))</f>
        <v/>
      </c>
      <c r="E32" s="186">
        <f>IF($K32="","",INDEX(Zeiterfassung!$E$6:$E$3665,$K32))</f>
        <v/>
      </c>
      <c r="F32" s="187">
        <f>IF($K32="","",INDEX(Zeiterfassung!$F$6:$F$3665,$K32))</f>
        <v/>
      </c>
      <c r="G32" s="187">
        <f>IF($K32="","",INDEX(Zeiterfassung!$G$6:$G$3665,$K32))</f>
        <v/>
      </c>
      <c r="H32" s="188">
        <f>IF($K32="","",INDEX(Zeiterfassung!$H$6:$H$3665,$K32))</f>
        <v/>
      </c>
      <c r="I32" s="335">
        <f>IF(B32=B31,"",IF($K32="","",INDEX(Zeiterfassung!$I$6:$I$3665,MATCH(INDEX(Zeiterfassung!$K$6:$K$3665,$K32),Zeiterfassung!$K$6:$K$3665,0))))</f>
        <v/>
      </c>
      <c r="J32" s="335">
        <f>IF(B32=B31,"",IF($K32="","",INDEX(Zeiterfassung!$J$6:$J$3665,MATCH(INDEX(Zeiterfassung!$K$6:$K$3665,$K32),Zeiterfassung!$K$6:$K$3665,0))))</f>
        <v/>
      </c>
      <c r="K32">
        <f>IFERROR(AGGREGATE(15,6,(ROW(Zeiterfassung!$D$6:$D$3665)-ROW(Zeiterfassung!$D$6)+1)/(Zeiterfassung!$D$6:$D$3665&lt;&gt;""),27),"")</f>
        <v/>
      </c>
    </row>
    <row r="33" ht="20" customHeight="1">
      <c r="A33" s="183">
        <f>IF($K33="","",WEEKNUM(INDEX(Zeiterfassung!$K$6:$K$3665,$K33),21))</f>
        <v/>
      </c>
      <c r="B33" s="184">
        <f>IF($K33="","",INDEX(Zeiterfassung!$K$6:$K$3665,$K33))</f>
        <v/>
      </c>
      <c r="C33" s="185">
        <f>IF($K33="","",INDEX(Zeiterfassung!$K$6:$K$3665,$K33))</f>
        <v/>
      </c>
      <c r="D33" s="186">
        <f>IF($K33="","",INDEX(Zeiterfassung!$D$6:$D$3665,$K33))</f>
        <v/>
      </c>
      <c r="E33" s="186">
        <f>IF($K33="","",INDEX(Zeiterfassung!$E$6:$E$3665,$K33))</f>
        <v/>
      </c>
      <c r="F33" s="187">
        <f>IF($K33="","",INDEX(Zeiterfassung!$F$6:$F$3665,$K33))</f>
        <v/>
      </c>
      <c r="G33" s="187">
        <f>IF($K33="","",INDEX(Zeiterfassung!$G$6:$G$3665,$K33))</f>
        <v/>
      </c>
      <c r="H33" s="188">
        <f>IF($K33="","",INDEX(Zeiterfassung!$H$6:$H$3665,$K33))</f>
        <v/>
      </c>
      <c r="I33" s="335">
        <f>IF(B33=B32,"",IF($K33="","",INDEX(Zeiterfassung!$I$6:$I$3665,MATCH(INDEX(Zeiterfassung!$K$6:$K$3665,$K33),Zeiterfassung!$K$6:$K$3665,0))))</f>
        <v/>
      </c>
      <c r="J33" s="335">
        <f>IF(B33=B32,"",IF($K33="","",INDEX(Zeiterfassung!$J$6:$J$3665,MATCH(INDEX(Zeiterfassung!$K$6:$K$3665,$K33),Zeiterfassung!$K$6:$K$3665,0))))</f>
        <v/>
      </c>
      <c r="K33">
        <f>IFERROR(AGGREGATE(15,6,(ROW(Zeiterfassung!$D$6:$D$3665)-ROW(Zeiterfassung!$D$6)+1)/(Zeiterfassung!$D$6:$D$3665&lt;&gt;""),28),"")</f>
        <v/>
      </c>
    </row>
    <row r="34" ht="20" customHeight="1">
      <c r="A34" s="183">
        <f>IF($K34="","",WEEKNUM(INDEX(Zeiterfassung!$K$6:$K$3665,$K34),21))</f>
        <v/>
      </c>
      <c r="B34" s="184">
        <f>IF($K34="","",INDEX(Zeiterfassung!$K$6:$K$3665,$K34))</f>
        <v/>
      </c>
      <c r="C34" s="185">
        <f>IF($K34="","",INDEX(Zeiterfassung!$K$6:$K$3665,$K34))</f>
        <v/>
      </c>
      <c r="D34" s="186">
        <f>IF($K34="","",INDEX(Zeiterfassung!$D$6:$D$3665,$K34))</f>
        <v/>
      </c>
      <c r="E34" s="186">
        <f>IF($K34="","",INDEX(Zeiterfassung!$E$6:$E$3665,$K34))</f>
        <v/>
      </c>
      <c r="F34" s="187">
        <f>IF($K34="","",INDEX(Zeiterfassung!$F$6:$F$3665,$K34))</f>
        <v/>
      </c>
      <c r="G34" s="187">
        <f>IF($K34="","",INDEX(Zeiterfassung!$G$6:$G$3665,$K34))</f>
        <v/>
      </c>
      <c r="H34" s="188">
        <f>IF($K34="","",INDEX(Zeiterfassung!$H$6:$H$3665,$K34))</f>
        <v/>
      </c>
      <c r="I34" s="335">
        <f>IF(B34=B33,"",IF($K34="","",INDEX(Zeiterfassung!$I$6:$I$3665,MATCH(INDEX(Zeiterfassung!$K$6:$K$3665,$K34),Zeiterfassung!$K$6:$K$3665,0))))</f>
        <v/>
      </c>
      <c r="J34" s="335">
        <f>IF(B34=B33,"",IF($K34="","",INDEX(Zeiterfassung!$J$6:$J$3665,MATCH(INDEX(Zeiterfassung!$K$6:$K$3665,$K34),Zeiterfassung!$K$6:$K$3665,0))))</f>
        <v/>
      </c>
      <c r="K34">
        <f>IFERROR(AGGREGATE(15,6,(ROW(Zeiterfassung!$D$6:$D$3665)-ROW(Zeiterfassung!$D$6)+1)/(Zeiterfassung!$D$6:$D$3665&lt;&gt;""),29),"")</f>
        <v/>
      </c>
    </row>
    <row r="35" ht="20" customHeight="1">
      <c r="A35" s="183">
        <f>IF($K35="","",WEEKNUM(INDEX(Zeiterfassung!$K$6:$K$3665,$K35),21))</f>
        <v/>
      </c>
      <c r="B35" s="184">
        <f>IF($K35="","",INDEX(Zeiterfassung!$K$6:$K$3665,$K35))</f>
        <v/>
      </c>
      <c r="C35" s="185">
        <f>IF($K35="","",INDEX(Zeiterfassung!$K$6:$K$3665,$K35))</f>
        <v/>
      </c>
      <c r="D35" s="186">
        <f>IF($K35="","",INDEX(Zeiterfassung!$D$6:$D$3665,$K35))</f>
        <v/>
      </c>
      <c r="E35" s="186">
        <f>IF($K35="","",INDEX(Zeiterfassung!$E$6:$E$3665,$K35))</f>
        <v/>
      </c>
      <c r="F35" s="187">
        <f>IF($K35="","",INDEX(Zeiterfassung!$F$6:$F$3665,$K35))</f>
        <v/>
      </c>
      <c r="G35" s="187">
        <f>IF($K35="","",INDEX(Zeiterfassung!$G$6:$G$3665,$K35))</f>
        <v/>
      </c>
      <c r="H35" s="188">
        <f>IF($K35="","",INDEX(Zeiterfassung!$H$6:$H$3665,$K35))</f>
        <v/>
      </c>
      <c r="I35" s="335">
        <f>IF(B35=B34,"",IF($K35="","",INDEX(Zeiterfassung!$I$6:$I$3665,MATCH(INDEX(Zeiterfassung!$K$6:$K$3665,$K35),Zeiterfassung!$K$6:$K$3665,0))))</f>
        <v/>
      </c>
      <c r="J35" s="335">
        <f>IF(B35=B34,"",IF($K35="","",INDEX(Zeiterfassung!$J$6:$J$3665,MATCH(INDEX(Zeiterfassung!$K$6:$K$3665,$K35),Zeiterfassung!$K$6:$K$3665,0))))</f>
        <v/>
      </c>
      <c r="K35">
        <f>IFERROR(AGGREGATE(15,6,(ROW(Zeiterfassung!$D$6:$D$3665)-ROW(Zeiterfassung!$D$6)+1)/(Zeiterfassung!$D$6:$D$3665&lt;&gt;""),30),"")</f>
        <v/>
      </c>
    </row>
    <row r="36" ht="20" customHeight="1">
      <c r="A36" s="183">
        <f>IF($K36="","",WEEKNUM(INDEX(Zeiterfassung!$K$6:$K$3665,$K36),21))</f>
        <v/>
      </c>
      <c r="B36" s="184">
        <f>IF($K36="","",INDEX(Zeiterfassung!$K$6:$K$3665,$K36))</f>
        <v/>
      </c>
      <c r="C36" s="185">
        <f>IF($K36="","",INDEX(Zeiterfassung!$K$6:$K$3665,$K36))</f>
        <v/>
      </c>
      <c r="D36" s="186">
        <f>IF($K36="","",INDEX(Zeiterfassung!$D$6:$D$3665,$K36))</f>
        <v/>
      </c>
      <c r="E36" s="186">
        <f>IF($K36="","",INDEX(Zeiterfassung!$E$6:$E$3665,$K36))</f>
        <v/>
      </c>
      <c r="F36" s="187">
        <f>IF($K36="","",INDEX(Zeiterfassung!$F$6:$F$3665,$K36))</f>
        <v/>
      </c>
      <c r="G36" s="187">
        <f>IF($K36="","",INDEX(Zeiterfassung!$G$6:$G$3665,$K36))</f>
        <v/>
      </c>
      <c r="H36" s="188">
        <f>IF($K36="","",INDEX(Zeiterfassung!$H$6:$H$3665,$K36))</f>
        <v/>
      </c>
      <c r="I36" s="335">
        <f>IF(B36=B35,"",IF($K36="","",INDEX(Zeiterfassung!$I$6:$I$3665,MATCH(INDEX(Zeiterfassung!$K$6:$K$3665,$K36),Zeiterfassung!$K$6:$K$3665,0))))</f>
        <v/>
      </c>
      <c r="J36" s="335">
        <f>IF(B36=B35,"",IF($K36="","",INDEX(Zeiterfassung!$J$6:$J$3665,MATCH(INDEX(Zeiterfassung!$K$6:$K$3665,$K36),Zeiterfassung!$K$6:$K$3665,0))))</f>
        <v/>
      </c>
      <c r="K36">
        <f>IFERROR(AGGREGATE(15,6,(ROW(Zeiterfassung!$D$6:$D$3665)-ROW(Zeiterfassung!$D$6)+1)/(Zeiterfassung!$D$6:$D$3665&lt;&gt;""),31),"")</f>
        <v/>
      </c>
    </row>
    <row r="37" ht="20" customHeight="1">
      <c r="A37" s="183">
        <f>IF($K37="","",WEEKNUM(INDEX(Zeiterfassung!$K$6:$K$3665,$K37),21))</f>
        <v/>
      </c>
      <c r="B37" s="184">
        <f>IF($K37="","",INDEX(Zeiterfassung!$K$6:$K$3665,$K37))</f>
        <v/>
      </c>
      <c r="C37" s="185">
        <f>IF($K37="","",INDEX(Zeiterfassung!$K$6:$K$3665,$K37))</f>
        <v/>
      </c>
      <c r="D37" s="186">
        <f>IF($K37="","",INDEX(Zeiterfassung!$D$6:$D$3665,$K37))</f>
        <v/>
      </c>
      <c r="E37" s="186">
        <f>IF($K37="","",INDEX(Zeiterfassung!$E$6:$E$3665,$K37))</f>
        <v/>
      </c>
      <c r="F37" s="187">
        <f>IF($K37="","",INDEX(Zeiterfassung!$F$6:$F$3665,$K37))</f>
        <v/>
      </c>
      <c r="G37" s="187">
        <f>IF($K37="","",INDEX(Zeiterfassung!$G$6:$G$3665,$K37))</f>
        <v/>
      </c>
      <c r="H37" s="188">
        <f>IF($K37="","",INDEX(Zeiterfassung!$H$6:$H$3665,$K37))</f>
        <v/>
      </c>
      <c r="I37" s="335">
        <f>IF(B37=B36,"",IF($K37="","",INDEX(Zeiterfassung!$I$6:$I$3665,MATCH(INDEX(Zeiterfassung!$K$6:$K$3665,$K37),Zeiterfassung!$K$6:$K$3665,0))))</f>
        <v/>
      </c>
      <c r="J37" s="335">
        <f>IF(B37=B36,"",IF($K37="","",INDEX(Zeiterfassung!$J$6:$J$3665,MATCH(INDEX(Zeiterfassung!$K$6:$K$3665,$K37),Zeiterfassung!$K$6:$K$3665,0))))</f>
        <v/>
      </c>
      <c r="K37">
        <f>IFERROR(AGGREGATE(15,6,(ROW(Zeiterfassung!$D$6:$D$3665)-ROW(Zeiterfassung!$D$6)+1)/(Zeiterfassung!$D$6:$D$3665&lt;&gt;""),32),"")</f>
        <v/>
      </c>
    </row>
    <row r="38" ht="20" customHeight="1">
      <c r="A38" s="183">
        <f>IF($K38="","",WEEKNUM(INDEX(Zeiterfassung!$K$6:$K$3665,$K38),21))</f>
        <v/>
      </c>
      <c r="B38" s="184">
        <f>IF($K38="","",INDEX(Zeiterfassung!$K$6:$K$3665,$K38))</f>
        <v/>
      </c>
      <c r="C38" s="185">
        <f>IF($K38="","",INDEX(Zeiterfassung!$K$6:$K$3665,$K38))</f>
        <v/>
      </c>
      <c r="D38" s="186">
        <f>IF($K38="","",INDEX(Zeiterfassung!$D$6:$D$3665,$K38))</f>
        <v/>
      </c>
      <c r="E38" s="186">
        <f>IF($K38="","",INDEX(Zeiterfassung!$E$6:$E$3665,$K38))</f>
        <v/>
      </c>
      <c r="F38" s="187">
        <f>IF($K38="","",INDEX(Zeiterfassung!$F$6:$F$3665,$K38))</f>
        <v/>
      </c>
      <c r="G38" s="187">
        <f>IF($K38="","",INDEX(Zeiterfassung!$G$6:$G$3665,$K38))</f>
        <v/>
      </c>
      <c r="H38" s="188">
        <f>IF($K38="","",INDEX(Zeiterfassung!$H$6:$H$3665,$K38))</f>
        <v/>
      </c>
      <c r="I38" s="335">
        <f>IF(B38=B37,"",IF($K38="","",INDEX(Zeiterfassung!$I$6:$I$3665,MATCH(INDEX(Zeiterfassung!$K$6:$K$3665,$K38),Zeiterfassung!$K$6:$K$3665,0))))</f>
        <v/>
      </c>
      <c r="J38" s="335">
        <f>IF(B38=B37,"",IF($K38="","",INDEX(Zeiterfassung!$J$6:$J$3665,MATCH(INDEX(Zeiterfassung!$K$6:$K$3665,$K38),Zeiterfassung!$K$6:$K$3665,0))))</f>
        <v/>
      </c>
      <c r="K38">
        <f>IFERROR(AGGREGATE(15,6,(ROW(Zeiterfassung!$D$6:$D$3665)-ROW(Zeiterfassung!$D$6)+1)/(Zeiterfassung!$D$6:$D$3665&lt;&gt;""),33),"")</f>
        <v/>
      </c>
    </row>
    <row r="39" ht="20" customHeight="1">
      <c r="A39" s="183">
        <f>IF($K39="","",WEEKNUM(INDEX(Zeiterfassung!$K$6:$K$3665,$K39),21))</f>
        <v/>
      </c>
      <c r="B39" s="184">
        <f>IF($K39="","",INDEX(Zeiterfassung!$K$6:$K$3665,$K39))</f>
        <v/>
      </c>
      <c r="C39" s="185">
        <f>IF($K39="","",INDEX(Zeiterfassung!$K$6:$K$3665,$K39))</f>
        <v/>
      </c>
      <c r="D39" s="186">
        <f>IF($K39="","",INDEX(Zeiterfassung!$D$6:$D$3665,$K39))</f>
        <v/>
      </c>
      <c r="E39" s="186">
        <f>IF($K39="","",INDEX(Zeiterfassung!$E$6:$E$3665,$K39))</f>
        <v/>
      </c>
      <c r="F39" s="187">
        <f>IF($K39="","",INDEX(Zeiterfassung!$F$6:$F$3665,$K39))</f>
        <v/>
      </c>
      <c r="G39" s="187">
        <f>IF($K39="","",INDEX(Zeiterfassung!$G$6:$G$3665,$K39))</f>
        <v/>
      </c>
      <c r="H39" s="188">
        <f>IF($K39="","",INDEX(Zeiterfassung!$H$6:$H$3665,$K39))</f>
        <v/>
      </c>
      <c r="I39" s="335">
        <f>IF(B39=B38,"",IF($K39="","",INDEX(Zeiterfassung!$I$6:$I$3665,MATCH(INDEX(Zeiterfassung!$K$6:$K$3665,$K39),Zeiterfassung!$K$6:$K$3665,0))))</f>
        <v/>
      </c>
      <c r="J39" s="335">
        <f>IF(B39=B38,"",IF($K39="","",INDEX(Zeiterfassung!$J$6:$J$3665,MATCH(INDEX(Zeiterfassung!$K$6:$K$3665,$K39),Zeiterfassung!$K$6:$K$3665,0))))</f>
        <v/>
      </c>
      <c r="K39">
        <f>IFERROR(AGGREGATE(15,6,(ROW(Zeiterfassung!$D$6:$D$3665)-ROW(Zeiterfassung!$D$6)+1)/(Zeiterfassung!$D$6:$D$3665&lt;&gt;""),34),"")</f>
        <v/>
      </c>
    </row>
    <row r="40" ht="20" customHeight="1">
      <c r="A40" s="183">
        <f>IF($K40="","",WEEKNUM(INDEX(Zeiterfassung!$K$6:$K$3665,$K40),21))</f>
        <v/>
      </c>
      <c r="B40" s="184">
        <f>IF($K40="","",INDEX(Zeiterfassung!$K$6:$K$3665,$K40))</f>
        <v/>
      </c>
      <c r="C40" s="185">
        <f>IF($K40="","",INDEX(Zeiterfassung!$K$6:$K$3665,$K40))</f>
        <v/>
      </c>
      <c r="D40" s="186">
        <f>IF($K40="","",INDEX(Zeiterfassung!$D$6:$D$3665,$K40))</f>
        <v/>
      </c>
      <c r="E40" s="186">
        <f>IF($K40="","",INDEX(Zeiterfassung!$E$6:$E$3665,$K40))</f>
        <v/>
      </c>
      <c r="F40" s="187">
        <f>IF($K40="","",INDEX(Zeiterfassung!$F$6:$F$3665,$K40))</f>
        <v/>
      </c>
      <c r="G40" s="187">
        <f>IF($K40="","",INDEX(Zeiterfassung!$G$6:$G$3665,$K40))</f>
        <v/>
      </c>
      <c r="H40" s="188">
        <f>IF($K40="","",INDEX(Zeiterfassung!$H$6:$H$3665,$K40))</f>
        <v/>
      </c>
      <c r="I40" s="335">
        <f>IF(B40=B39,"",IF($K40="","",INDEX(Zeiterfassung!$I$6:$I$3665,MATCH(INDEX(Zeiterfassung!$K$6:$K$3665,$K40),Zeiterfassung!$K$6:$K$3665,0))))</f>
        <v/>
      </c>
      <c r="J40" s="335">
        <f>IF(B40=B39,"",IF($K40="","",INDEX(Zeiterfassung!$J$6:$J$3665,MATCH(INDEX(Zeiterfassung!$K$6:$K$3665,$K40),Zeiterfassung!$K$6:$K$3665,0))))</f>
        <v/>
      </c>
      <c r="K40">
        <f>IFERROR(AGGREGATE(15,6,(ROW(Zeiterfassung!$D$6:$D$3665)-ROW(Zeiterfassung!$D$6)+1)/(Zeiterfassung!$D$6:$D$3665&lt;&gt;""),35),"")</f>
        <v/>
      </c>
    </row>
    <row r="41" ht="20" customHeight="1">
      <c r="A41" s="183">
        <f>IF($K41="","",WEEKNUM(INDEX(Zeiterfassung!$K$6:$K$3665,$K41),21))</f>
        <v/>
      </c>
      <c r="B41" s="184">
        <f>IF($K41="","",INDEX(Zeiterfassung!$K$6:$K$3665,$K41))</f>
        <v/>
      </c>
      <c r="C41" s="185">
        <f>IF($K41="","",INDEX(Zeiterfassung!$K$6:$K$3665,$K41))</f>
        <v/>
      </c>
      <c r="D41" s="186">
        <f>IF($K41="","",INDEX(Zeiterfassung!$D$6:$D$3665,$K41))</f>
        <v/>
      </c>
      <c r="E41" s="186">
        <f>IF($K41="","",INDEX(Zeiterfassung!$E$6:$E$3665,$K41))</f>
        <v/>
      </c>
      <c r="F41" s="187">
        <f>IF($K41="","",INDEX(Zeiterfassung!$F$6:$F$3665,$K41))</f>
        <v/>
      </c>
      <c r="G41" s="187">
        <f>IF($K41="","",INDEX(Zeiterfassung!$G$6:$G$3665,$K41))</f>
        <v/>
      </c>
      <c r="H41" s="188">
        <f>IF($K41="","",INDEX(Zeiterfassung!$H$6:$H$3665,$K41))</f>
        <v/>
      </c>
      <c r="I41" s="335">
        <f>IF(B41=B40,"",IF($K41="","",INDEX(Zeiterfassung!$I$6:$I$3665,MATCH(INDEX(Zeiterfassung!$K$6:$K$3665,$K41),Zeiterfassung!$K$6:$K$3665,0))))</f>
        <v/>
      </c>
      <c r="J41" s="335">
        <f>IF(B41=B40,"",IF($K41="","",INDEX(Zeiterfassung!$J$6:$J$3665,MATCH(INDEX(Zeiterfassung!$K$6:$K$3665,$K41),Zeiterfassung!$K$6:$K$3665,0))))</f>
        <v/>
      </c>
      <c r="K41">
        <f>IFERROR(AGGREGATE(15,6,(ROW(Zeiterfassung!$D$6:$D$3665)-ROW(Zeiterfassung!$D$6)+1)/(Zeiterfassung!$D$6:$D$3665&lt;&gt;""),36),"")</f>
        <v/>
      </c>
    </row>
    <row r="42" ht="20" customHeight="1">
      <c r="A42" s="183">
        <f>IF($K42="","",WEEKNUM(INDEX(Zeiterfassung!$K$6:$K$3665,$K42),21))</f>
        <v/>
      </c>
      <c r="B42" s="184">
        <f>IF($K42="","",INDEX(Zeiterfassung!$K$6:$K$3665,$K42))</f>
        <v/>
      </c>
      <c r="C42" s="185">
        <f>IF($K42="","",INDEX(Zeiterfassung!$K$6:$K$3665,$K42))</f>
        <v/>
      </c>
      <c r="D42" s="186">
        <f>IF($K42="","",INDEX(Zeiterfassung!$D$6:$D$3665,$K42))</f>
        <v/>
      </c>
      <c r="E42" s="186">
        <f>IF($K42="","",INDEX(Zeiterfassung!$E$6:$E$3665,$K42))</f>
        <v/>
      </c>
      <c r="F42" s="187">
        <f>IF($K42="","",INDEX(Zeiterfassung!$F$6:$F$3665,$K42))</f>
        <v/>
      </c>
      <c r="G42" s="187">
        <f>IF($K42="","",INDEX(Zeiterfassung!$G$6:$G$3665,$K42))</f>
        <v/>
      </c>
      <c r="H42" s="188">
        <f>IF($K42="","",INDEX(Zeiterfassung!$H$6:$H$3665,$K42))</f>
        <v/>
      </c>
      <c r="I42" s="335">
        <f>IF(B42=B41,"",IF($K42="","",INDEX(Zeiterfassung!$I$6:$I$3665,MATCH(INDEX(Zeiterfassung!$K$6:$K$3665,$K42),Zeiterfassung!$K$6:$K$3665,0))))</f>
        <v/>
      </c>
      <c r="J42" s="335">
        <f>IF(B42=B41,"",IF($K42="","",INDEX(Zeiterfassung!$J$6:$J$3665,MATCH(INDEX(Zeiterfassung!$K$6:$K$3665,$K42),Zeiterfassung!$K$6:$K$3665,0))))</f>
        <v/>
      </c>
      <c r="K42">
        <f>IFERROR(AGGREGATE(15,6,(ROW(Zeiterfassung!$D$6:$D$3665)-ROW(Zeiterfassung!$D$6)+1)/(Zeiterfassung!$D$6:$D$3665&lt;&gt;""),37),"")</f>
        <v/>
      </c>
    </row>
    <row r="43" ht="20" customHeight="1">
      <c r="A43" s="183">
        <f>IF($K43="","",WEEKNUM(INDEX(Zeiterfassung!$K$6:$K$3665,$K43),21))</f>
        <v/>
      </c>
      <c r="B43" s="184">
        <f>IF($K43="","",INDEX(Zeiterfassung!$K$6:$K$3665,$K43))</f>
        <v/>
      </c>
      <c r="C43" s="185">
        <f>IF($K43="","",INDEX(Zeiterfassung!$K$6:$K$3665,$K43))</f>
        <v/>
      </c>
      <c r="D43" s="186">
        <f>IF($K43="","",INDEX(Zeiterfassung!$D$6:$D$3665,$K43))</f>
        <v/>
      </c>
      <c r="E43" s="186">
        <f>IF($K43="","",INDEX(Zeiterfassung!$E$6:$E$3665,$K43))</f>
        <v/>
      </c>
      <c r="F43" s="187">
        <f>IF($K43="","",INDEX(Zeiterfassung!$F$6:$F$3665,$K43))</f>
        <v/>
      </c>
      <c r="G43" s="187">
        <f>IF($K43="","",INDEX(Zeiterfassung!$G$6:$G$3665,$K43))</f>
        <v/>
      </c>
      <c r="H43" s="188">
        <f>IF($K43="","",INDEX(Zeiterfassung!$H$6:$H$3665,$K43))</f>
        <v/>
      </c>
      <c r="I43" s="335">
        <f>IF(B43=B42,"",IF($K43="","",INDEX(Zeiterfassung!$I$6:$I$3665,MATCH(INDEX(Zeiterfassung!$K$6:$K$3665,$K43),Zeiterfassung!$K$6:$K$3665,0))))</f>
        <v/>
      </c>
      <c r="J43" s="335">
        <f>IF(B43=B42,"",IF($K43="","",INDEX(Zeiterfassung!$J$6:$J$3665,MATCH(INDEX(Zeiterfassung!$K$6:$K$3665,$K43),Zeiterfassung!$K$6:$K$3665,0))))</f>
        <v/>
      </c>
      <c r="K43">
        <f>IFERROR(AGGREGATE(15,6,(ROW(Zeiterfassung!$D$6:$D$3665)-ROW(Zeiterfassung!$D$6)+1)/(Zeiterfassung!$D$6:$D$3665&lt;&gt;""),38),"")</f>
        <v/>
      </c>
    </row>
    <row r="44" ht="20" customHeight="1">
      <c r="A44" s="183">
        <f>IF($K44="","",WEEKNUM(INDEX(Zeiterfassung!$K$6:$K$3665,$K44),21))</f>
        <v/>
      </c>
      <c r="B44" s="184">
        <f>IF($K44="","",INDEX(Zeiterfassung!$K$6:$K$3665,$K44))</f>
        <v/>
      </c>
      <c r="C44" s="185">
        <f>IF($K44="","",INDEX(Zeiterfassung!$K$6:$K$3665,$K44))</f>
        <v/>
      </c>
      <c r="D44" s="186">
        <f>IF($K44="","",INDEX(Zeiterfassung!$D$6:$D$3665,$K44))</f>
        <v/>
      </c>
      <c r="E44" s="186">
        <f>IF($K44="","",INDEX(Zeiterfassung!$E$6:$E$3665,$K44))</f>
        <v/>
      </c>
      <c r="F44" s="187">
        <f>IF($K44="","",INDEX(Zeiterfassung!$F$6:$F$3665,$K44))</f>
        <v/>
      </c>
      <c r="G44" s="187">
        <f>IF($K44="","",INDEX(Zeiterfassung!$G$6:$G$3665,$K44))</f>
        <v/>
      </c>
      <c r="H44" s="188">
        <f>IF($K44="","",INDEX(Zeiterfassung!$H$6:$H$3665,$K44))</f>
        <v/>
      </c>
      <c r="I44" s="335">
        <f>IF(B44=B43,"",IF($K44="","",INDEX(Zeiterfassung!$I$6:$I$3665,MATCH(INDEX(Zeiterfassung!$K$6:$K$3665,$K44),Zeiterfassung!$K$6:$K$3665,0))))</f>
        <v/>
      </c>
      <c r="J44" s="335">
        <f>IF(B44=B43,"",IF($K44="","",INDEX(Zeiterfassung!$J$6:$J$3665,MATCH(INDEX(Zeiterfassung!$K$6:$K$3665,$K44),Zeiterfassung!$K$6:$K$3665,0))))</f>
        <v/>
      </c>
      <c r="K44">
        <f>IFERROR(AGGREGATE(15,6,(ROW(Zeiterfassung!$D$6:$D$3665)-ROW(Zeiterfassung!$D$6)+1)/(Zeiterfassung!$D$6:$D$3665&lt;&gt;""),39),"")</f>
        <v/>
      </c>
    </row>
    <row r="45" ht="20" customHeight="1">
      <c r="A45" s="183">
        <f>IF($K45="","",WEEKNUM(INDEX(Zeiterfassung!$K$6:$K$3665,$K45),21))</f>
        <v/>
      </c>
      <c r="B45" s="184">
        <f>IF($K45="","",INDEX(Zeiterfassung!$K$6:$K$3665,$K45))</f>
        <v/>
      </c>
      <c r="C45" s="185">
        <f>IF($K45="","",INDEX(Zeiterfassung!$K$6:$K$3665,$K45))</f>
        <v/>
      </c>
      <c r="D45" s="186">
        <f>IF($K45="","",INDEX(Zeiterfassung!$D$6:$D$3665,$K45))</f>
        <v/>
      </c>
      <c r="E45" s="186">
        <f>IF($K45="","",INDEX(Zeiterfassung!$E$6:$E$3665,$K45))</f>
        <v/>
      </c>
      <c r="F45" s="187">
        <f>IF($K45="","",INDEX(Zeiterfassung!$F$6:$F$3665,$K45))</f>
        <v/>
      </c>
      <c r="G45" s="187">
        <f>IF($K45="","",INDEX(Zeiterfassung!$G$6:$G$3665,$K45))</f>
        <v/>
      </c>
      <c r="H45" s="188">
        <f>IF($K45="","",INDEX(Zeiterfassung!$H$6:$H$3665,$K45))</f>
        <v/>
      </c>
      <c r="I45" s="335">
        <f>IF(B45=B44,"",IF($K45="","",INDEX(Zeiterfassung!$I$6:$I$3665,MATCH(INDEX(Zeiterfassung!$K$6:$K$3665,$K45),Zeiterfassung!$K$6:$K$3665,0))))</f>
        <v/>
      </c>
      <c r="J45" s="335">
        <f>IF(B45=B44,"",IF($K45="","",INDEX(Zeiterfassung!$J$6:$J$3665,MATCH(INDEX(Zeiterfassung!$K$6:$K$3665,$K45),Zeiterfassung!$K$6:$K$3665,0))))</f>
        <v/>
      </c>
      <c r="K45">
        <f>IFERROR(AGGREGATE(15,6,(ROW(Zeiterfassung!$D$6:$D$3665)-ROW(Zeiterfassung!$D$6)+1)/(Zeiterfassung!$D$6:$D$3665&lt;&gt;""),40),"")</f>
        <v/>
      </c>
    </row>
    <row r="46" ht="20" customHeight="1">
      <c r="A46" s="183">
        <f>IF($K46="","",WEEKNUM(INDEX(Zeiterfassung!$K$6:$K$3665,$K46),21))</f>
        <v/>
      </c>
      <c r="B46" s="184">
        <f>IF($K46="","",INDEX(Zeiterfassung!$K$6:$K$3665,$K46))</f>
        <v/>
      </c>
      <c r="C46" s="185">
        <f>IF($K46="","",INDEX(Zeiterfassung!$K$6:$K$3665,$K46))</f>
        <v/>
      </c>
      <c r="D46" s="186">
        <f>IF($K46="","",INDEX(Zeiterfassung!$D$6:$D$3665,$K46))</f>
        <v/>
      </c>
      <c r="E46" s="186">
        <f>IF($K46="","",INDEX(Zeiterfassung!$E$6:$E$3665,$K46))</f>
        <v/>
      </c>
      <c r="F46" s="187">
        <f>IF($K46="","",INDEX(Zeiterfassung!$F$6:$F$3665,$K46))</f>
        <v/>
      </c>
      <c r="G46" s="187">
        <f>IF($K46="","",INDEX(Zeiterfassung!$G$6:$G$3665,$K46))</f>
        <v/>
      </c>
      <c r="H46" s="188">
        <f>IF($K46="","",INDEX(Zeiterfassung!$H$6:$H$3665,$K46))</f>
        <v/>
      </c>
      <c r="I46" s="335">
        <f>IF(B46=B45,"",IF($K46="","",INDEX(Zeiterfassung!$I$6:$I$3665,MATCH(INDEX(Zeiterfassung!$K$6:$K$3665,$K46),Zeiterfassung!$K$6:$K$3665,0))))</f>
        <v/>
      </c>
      <c r="J46" s="335">
        <f>IF(B46=B45,"",IF($K46="","",INDEX(Zeiterfassung!$J$6:$J$3665,MATCH(INDEX(Zeiterfassung!$K$6:$K$3665,$K46),Zeiterfassung!$K$6:$K$3665,0))))</f>
        <v/>
      </c>
      <c r="K46">
        <f>IFERROR(AGGREGATE(15,6,(ROW(Zeiterfassung!$D$6:$D$3665)-ROW(Zeiterfassung!$D$6)+1)/(Zeiterfassung!$D$6:$D$3665&lt;&gt;""),41),"")</f>
        <v/>
      </c>
    </row>
    <row r="47" ht="20" customHeight="1">
      <c r="A47" s="183">
        <f>IF($K47="","",WEEKNUM(INDEX(Zeiterfassung!$K$6:$K$3665,$K47),21))</f>
        <v/>
      </c>
      <c r="B47" s="184">
        <f>IF($K47="","",INDEX(Zeiterfassung!$K$6:$K$3665,$K47))</f>
        <v/>
      </c>
      <c r="C47" s="185">
        <f>IF($K47="","",INDEX(Zeiterfassung!$K$6:$K$3665,$K47))</f>
        <v/>
      </c>
      <c r="D47" s="186">
        <f>IF($K47="","",INDEX(Zeiterfassung!$D$6:$D$3665,$K47))</f>
        <v/>
      </c>
      <c r="E47" s="186">
        <f>IF($K47="","",INDEX(Zeiterfassung!$E$6:$E$3665,$K47))</f>
        <v/>
      </c>
      <c r="F47" s="187">
        <f>IF($K47="","",INDEX(Zeiterfassung!$F$6:$F$3665,$K47))</f>
        <v/>
      </c>
      <c r="G47" s="187">
        <f>IF($K47="","",INDEX(Zeiterfassung!$G$6:$G$3665,$K47))</f>
        <v/>
      </c>
      <c r="H47" s="188">
        <f>IF($K47="","",INDEX(Zeiterfassung!$H$6:$H$3665,$K47))</f>
        <v/>
      </c>
      <c r="I47" s="335">
        <f>IF(B47=B46,"",IF($K47="","",INDEX(Zeiterfassung!$I$6:$I$3665,MATCH(INDEX(Zeiterfassung!$K$6:$K$3665,$K47),Zeiterfassung!$K$6:$K$3665,0))))</f>
        <v/>
      </c>
      <c r="J47" s="335">
        <f>IF(B47=B46,"",IF($K47="","",INDEX(Zeiterfassung!$J$6:$J$3665,MATCH(INDEX(Zeiterfassung!$K$6:$K$3665,$K47),Zeiterfassung!$K$6:$K$3665,0))))</f>
        <v/>
      </c>
      <c r="K47">
        <f>IFERROR(AGGREGATE(15,6,(ROW(Zeiterfassung!$D$6:$D$3665)-ROW(Zeiterfassung!$D$6)+1)/(Zeiterfassung!$D$6:$D$3665&lt;&gt;""),42),"")</f>
        <v/>
      </c>
    </row>
    <row r="48" ht="20" customHeight="1">
      <c r="A48" s="183">
        <f>IF($K48="","",WEEKNUM(INDEX(Zeiterfassung!$K$6:$K$3665,$K48),21))</f>
        <v/>
      </c>
      <c r="B48" s="184">
        <f>IF($K48="","",INDEX(Zeiterfassung!$K$6:$K$3665,$K48))</f>
        <v/>
      </c>
      <c r="C48" s="185">
        <f>IF($K48="","",INDEX(Zeiterfassung!$K$6:$K$3665,$K48))</f>
        <v/>
      </c>
      <c r="D48" s="186">
        <f>IF($K48="","",INDEX(Zeiterfassung!$D$6:$D$3665,$K48))</f>
        <v/>
      </c>
      <c r="E48" s="186">
        <f>IF($K48="","",INDEX(Zeiterfassung!$E$6:$E$3665,$K48))</f>
        <v/>
      </c>
      <c r="F48" s="187">
        <f>IF($K48="","",INDEX(Zeiterfassung!$F$6:$F$3665,$K48))</f>
        <v/>
      </c>
      <c r="G48" s="187">
        <f>IF($K48="","",INDEX(Zeiterfassung!$G$6:$G$3665,$K48))</f>
        <v/>
      </c>
      <c r="H48" s="188">
        <f>IF($K48="","",INDEX(Zeiterfassung!$H$6:$H$3665,$K48))</f>
        <v/>
      </c>
      <c r="I48" s="335">
        <f>IF(B48=B47,"",IF($K48="","",INDEX(Zeiterfassung!$I$6:$I$3665,MATCH(INDEX(Zeiterfassung!$K$6:$K$3665,$K48),Zeiterfassung!$K$6:$K$3665,0))))</f>
        <v/>
      </c>
      <c r="J48" s="335">
        <f>IF(B48=B47,"",IF($K48="","",INDEX(Zeiterfassung!$J$6:$J$3665,MATCH(INDEX(Zeiterfassung!$K$6:$K$3665,$K48),Zeiterfassung!$K$6:$K$3665,0))))</f>
        <v/>
      </c>
      <c r="K48">
        <f>IFERROR(AGGREGATE(15,6,(ROW(Zeiterfassung!$D$6:$D$3665)-ROW(Zeiterfassung!$D$6)+1)/(Zeiterfassung!$D$6:$D$3665&lt;&gt;""),43),"")</f>
        <v/>
      </c>
    </row>
    <row r="49" ht="20" customHeight="1">
      <c r="A49" s="183">
        <f>IF($K49="","",WEEKNUM(INDEX(Zeiterfassung!$K$6:$K$3665,$K49),21))</f>
        <v/>
      </c>
      <c r="B49" s="184">
        <f>IF($K49="","",INDEX(Zeiterfassung!$K$6:$K$3665,$K49))</f>
        <v/>
      </c>
      <c r="C49" s="185">
        <f>IF($K49="","",INDEX(Zeiterfassung!$K$6:$K$3665,$K49))</f>
        <v/>
      </c>
      <c r="D49" s="186">
        <f>IF($K49="","",INDEX(Zeiterfassung!$D$6:$D$3665,$K49))</f>
        <v/>
      </c>
      <c r="E49" s="186">
        <f>IF($K49="","",INDEX(Zeiterfassung!$E$6:$E$3665,$K49))</f>
        <v/>
      </c>
      <c r="F49" s="187">
        <f>IF($K49="","",INDEX(Zeiterfassung!$F$6:$F$3665,$K49))</f>
        <v/>
      </c>
      <c r="G49" s="187">
        <f>IF($K49="","",INDEX(Zeiterfassung!$G$6:$G$3665,$K49))</f>
        <v/>
      </c>
      <c r="H49" s="188">
        <f>IF($K49="","",INDEX(Zeiterfassung!$H$6:$H$3665,$K49))</f>
        <v/>
      </c>
      <c r="I49" s="335">
        <f>IF(B49=B48,"",IF($K49="","",INDEX(Zeiterfassung!$I$6:$I$3665,MATCH(INDEX(Zeiterfassung!$K$6:$K$3665,$K49),Zeiterfassung!$K$6:$K$3665,0))))</f>
        <v/>
      </c>
      <c r="J49" s="335">
        <f>IF(B49=B48,"",IF($K49="","",INDEX(Zeiterfassung!$J$6:$J$3665,MATCH(INDEX(Zeiterfassung!$K$6:$K$3665,$K49),Zeiterfassung!$K$6:$K$3665,0))))</f>
        <v/>
      </c>
      <c r="K49">
        <f>IFERROR(AGGREGATE(15,6,(ROW(Zeiterfassung!$D$6:$D$3665)-ROW(Zeiterfassung!$D$6)+1)/(Zeiterfassung!$D$6:$D$3665&lt;&gt;""),44),"")</f>
        <v/>
      </c>
    </row>
    <row r="50" ht="20" customHeight="1">
      <c r="A50" s="183">
        <f>IF($K50="","",WEEKNUM(INDEX(Zeiterfassung!$K$6:$K$3665,$K50),21))</f>
        <v/>
      </c>
      <c r="B50" s="184">
        <f>IF($K50="","",INDEX(Zeiterfassung!$K$6:$K$3665,$K50))</f>
        <v/>
      </c>
      <c r="C50" s="185">
        <f>IF($K50="","",INDEX(Zeiterfassung!$K$6:$K$3665,$K50))</f>
        <v/>
      </c>
      <c r="D50" s="186">
        <f>IF($K50="","",INDEX(Zeiterfassung!$D$6:$D$3665,$K50))</f>
        <v/>
      </c>
      <c r="E50" s="186">
        <f>IF($K50="","",INDEX(Zeiterfassung!$E$6:$E$3665,$K50))</f>
        <v/>
      </c>
      <c r="F50" s="187">
        <f>IF($K50="","",INDEX(Zeiterfassung!$F$6:$F$3665,$K50))</f>
        <v/>
      </c>
      <c r="G50" s="187">
        <f>IF($K50="","",INDEX(Zeiterfassung!$G$6:$G$3665,$K50))</f>
        <v/>
      </c>
      <c r="H50" s="188">
        <f>IF($K50="","",INDEX(Zeiterfassung!$H$6:$H$3665,$K50))</f>
        <v/>
      </c>
      <c r="I50" s="335">
        <f>IF(B50=B49,"",IF($K50="","",INDEX(Zeiterfassung!$I$6:$I$3665,MATCH(INDEX(Zeiterfassung!$K$6:$K$3665,$K50),Zeiterfassung!$K$6:$K$3665,0))))</f>
        <v/>
      </c>
      <c r="J50" s="335">
        <f>IF(B50=B49,"",IF($K50="","",INDEX(Zeiterfassung!$J$6:$J$3665,MATCH(INDEX(Zeiterfassung!$K$6:$K$3665,$K50),Zeiterfassung!$K$6:$K$3665,0))))</f>
        <v/>
      </c>
      <c r="K50">
        <f>IFERROR(AGGREGATE(15,6,(ROW(Zeiterfassung!$D$6:$D$3665)-ROW(Zeiterfassung!$D$6)+1)/(Zeiterfassung!$D$6:$D$3665&lt;&gt;""),45),"")</f>
        <v/>
      </c>
    </row>
    <row r="51" ht="20" customHeight="1">
      <c r="A51" s="183">
        <f>IF($K51="","",WEEKNUM(INDEX(Zeiterfassung!$K$6:$K$3665,$K51),21))</f>
        <v/>
      </c>
      <c r="B51" s="184">
        <f>IF($K51="","",INDEX(Zeiterfassung!$K$6:$K$3665,$K51))</f>
        <v/>
      </c>
      <c r="C51" s="185">
        <f>IF($K51="","",INDEX(Zeiterfassung!$K$6:$K$3665,$K51))</f>
        <v/>
      </c>
      <c r="D51" s="186">
        <f>IF($K51="","",INDEX(Zeiterfassung!$D$6:$D$3665,$K51))</f>
        <v/>
      </c>
      <c r="E51" s="186">
        <f>IF($K51="","",INDEX(Zeiterfassung!$E$6:$E$3665,$K51))</f>
        <v/>
      </c>
      <c r="F51" s="187">
        <f>IF($K51="","",INDEX(Zeiterfassung!$F$6:$F$3665,$K51))</f>
        <v/>
      </c>
      <c r="G51" s="187">
        <f>IF($K51="","",INDEX(Zeiterfassung!$G$6:$G$3665,$K51))</f>
        <v/>
      </c>
      <c r="H51" s="188">
        <f>IF($K51="","",INDEX(Zeiterfassung!$H$6:$H$3665,$K51))</f>
        <v/>
      </c>
      <c r="I51" s="335">
        <f>IF(B51=B50,"",IF($K51="","",INDEX(Zeiterfassung!$I$6:$I$3665,MATCH(INDEX(Zeiterfassung!$K$6:$K$3665,$K51),Zeiterfassung!$K$6:$K$3665,0))))</f>
        <v/>
      </c>
      <c r="J51" s="335">
        <f>IF(B51=B50,"",IF($K51="","",INDEX(Zeiterfassung!$J$6:$J$3665,MATCH(INDEX(Zeiterfassung!$K$6:$K$3665,$K51),Zeiterfassung!$K$6:$K$3665,0))))</f>
        <v/>
      </c>
      <c r="K51">
        <f>IFERROR(AGGREGATE(15,6,(ROW(Zeiterfassung!$D$6:$D$3665)-ROW(Zeiterfassung!$D$6)+1)/(Zeiterfassung!$D$6:$D$3665&lt;&gt;""),46),"")</f>
        <v/>
      </c>
    </row>
    <row r="52" ht="20" customHeight="1">
      <c r="A52" s="183">
        <f>IF($K52="","",WEEKNUM(INDEX(Zeiterfassung!$K$6:$K$3665,$K52),21))</f>
        <v/>
      </c>
      <c r="B52" s="184">
        <f>IF($K52="","",INDEX(Zeiterfassung!$K$6:$K$3665,$K52))</f>
        <v/>
      </c>
      <c r="C52" s="185">
        <f>IF($K52="","",INDEX(Zeiterfassung!$K$6:$K$3665,$K52))</f>
        <v/>
      </c>
      <c r="D52" s="186">
        <f>IF($K52="","",INDEX(Zeiterfassung!$D$6:$D$3665,$K52))</f>
        <v/>
      </c>
      <c r="E52" s="186">
        <f>IF($K52="","",INDEX(Zeiterfassung!$E$6:$E$3665,$K52))</f>
        <v/>
      </c>
      <c r="F52" s="187">
        <f>IF($K52="","",INDEX(Zeiterfassung!$F$6:$F$3665,$K52))</f>
        <v/>
      </c>
      <c r="G52" s="187">
        <f>IF($K52="","",INDEX(Zeiterfassung!$G$6:$G$3665,$K52))</f>
        <v/>
      </c>
      <c r="H52" s="188">
        <f>IF($K52="","",INDEX(Zeiterfassung!$H$6:$H$3665,$K52))</f>
        <v/>
      </c>
      <c r="I52" s="335">
        <f>IF(B52=B51,"",IF($K52="","",INDEX(Zeiterfassung!$I$6:$I$3665,MATCH(INDEX(Zeiterfassung!$K$6:$K$3665,$K52),Zeiterfassung!$K$6:$K$3665,0))))</f>
        <v/>
      </c>
      <c r="J52" s="335">
        <f>IF(B52=B51,"",IF($K52="","",INDEX(Zeiterfassung!$J$6:$J$3665,MATCH(INDEX(Zeiterfassung!$K$6:$K$3665,$K52),Zeiterfassung!$K$6:$K$3665,0))))</f>
        <v/>
      </c>
      <c r="K52">
        <f>IFERROR(AGGREGATE(15,6,(ROW(Zeiterfassung!$D$6:$D$3665)-ROW(Zeiterfassung!$D$6)+1)/(Zeiterfassung!$D$6:$D$3665&lt;&gt;""),47),"")</f>
        <v/>
      </c>
    </row>
    <row r="53" ht="20" customHeight="1">
      <c r="A53" s="183">
        <f>IF($K53="","",WEEKNUM(INDEX(Zeiterfassung!$K$6:$K$3665,$K53),21))</f>
        <v/>
      </c>
      <c r="B53" s="184">
        <f>IF($K53="","",INDEX(Zeiterfassung!$K$6:$K$3665,$K53))</f>
        <v/>
      </c>
      <c r="C53" s="185">
        <f>IF($K53="","",INDEX(Zeiterfassung!$K$6:$K$3665,$K53))</f>
        <v/>
      </c>
      <c r="D53" s="186">
        <f>IF($K53="","",INDEX(Zeiterfassung!$D$6:$D$3665,$K53))</f>
        <v/>
      </c>
      <c r="E53" s="186">
        <f>IF($K53="","",INDEX(Zeiterfassung!$E$6:$E$3665,$K53))</f>
        <v/>
      </c>
      <c r="F53" s="187">
        <f>IF($K53="","",INDEX(Zeiterfassung!$F$6:$F$3665,$K53))</f>
        <v/>
      </c>
      <c r="G53" s="187">
        <f>IF($K53="","",INDEX(Zeiterfassung!$G$6:$G$3665,$K53))</f>
        <v/>
      </c>
      <c r="H53" s="188">
        <f>IF($K53="","",INDEX(Zeiterfassung!$H$6:$H$3665,$K53))</f>
        <v/>
      </c>
      <c r="I53" s="335">
        <f>IF(B53=B52,"",IF($K53="","",INDEX(Zeiterfassung!$I$6:$I$3665,MATCH(INDEX(Zeiterfassung!$K$6:$K$3665,$K53),Zeiterfassung!$K$6:$K$3665,0))))</f>
        <v/>
      </c>
      <c r="J53" s="335">
        <f>IF(B53=B52,"",IF($K53="","",INDEX(Zeiterfassung!$J$6:$J$3665,MATCH(INDEX(Zeiterfassung!$K$6:$K$3665,$K53),Zeiterfassung!$K$6:$K$3665,0))))</f>
        <v/>
      </c>
      <c r="K53">
        <f>IFERROR(AGGREGATE(15,6,(ROW(Zeiterfassung!$D$6:$D$3665)-ROW(Zeiterfassung!$D$6)+1)/(Zeiterfassung!$D$6:$D$3665&lt;&gt;""),48),"")</f>
        <v/>
      </c>
    </row>
    <row r="54" ht="20" customHeight="1">
      <c r="A54" s="183">
        <f>IF($K54="","",WEEKNUM(INDEX(Zeiterfassung!$K$6:$K$3665,$K54),21))</f>
        <v/>
      </c>
      <c r="B54" s="184">
        <f>IF($K54="","",INDEX(Zeiterfassung!$K$6:$K$3665,$K54))</f>
        <v/>
      </c>
      <c r="C54" s="185">
        <f>IF($K54="","",INDEX(Zeiterfassung!$K$6:$K$3665,$K54))</f>
        <v/>
      </c>
      <c r="D54" s="186">
        <f>IF($K54="","",INDEX(Zeiterfassung!$D$6:$D$3665,$K54))</f>
        <v/>
      </c>
      <c r="E54" s="186">
        <f>IF($K54="","",INDEX(Zeiterfassung!$E$6:$E$3665,$K54))</f>
        <v/>
      </c>
      <c r="F54" s="187">
        <f>IF($K54="","",INDEX(Zeiterfassung!$F$6:$F$3665,$K54))</f>
        <v/>
      </c>
      <c r="G54" s="187">
        <f>IF($K54="","",INDEX(Zeiterfassung!$G$6:$G$3665,$K54))</f>
        <v/>
      </c>
      <c r="H54" s="188">
        <f>IF($K54="","",INDEX(Zeiterfassung!$H$6:$H$3665,$K54))</f>
        <v/>
      </c>
      <c r="I54" s="335">
        <f>IF(B54=B53,"",IF($K54="","",INDEX(Zeiterfassung!$I$6:$I$3665,MATCH(INDEX(Zeiterfassung!$K$6:$K$3665,$K54),Zeiterfassung!$K$6:$K$3665,0))))</f>
        <v/>
      </c>
      <c r="J54" s="335">
        <f>IF(B54=B53,"",IF($K54="","",INDEX(Zeiterfassung!$J$6:$J$3665,MATCH(INDEX(Zeiterfassung!$K$6:$K$3665,$K54),Zeiterfassung!$K$6:$K$3665,0))))</f>
        <v/>
      </c>
      <c r="K54">
        <f>IFERROR(AGGREGATE(15,6,(ROW(Zeiterfassung!$D$6:$D$3665)-ROW(Zeiterfassung!$D$6)+1)/(Zeiterfassung!$D$6:$D$3665&lt;&gt;""),49),"")</f>
        <v/>
      </c>
    </row>
    <row r="55" ht="20" customHeight="1">
      <c r="A55" s="183">
        <f>IF($K55="","",WEEKNUM(INDEX(Zeiterfassung!$K$6:$K$3665,$K55),21))</f>
        <v/>
      </c>
      <c r="B55" s="184">
        <f>IF($K55="","",INDEX(Zeiterfassung!$K$6:$K$3665,$K55))</f>
        <v/>
      </c>
      <c r="C55" s="185">
        <f>IF($K55="","",INDEX(Zeiterfassung!$K$6:$K$3665,$K55))</f>
        <v/>
      </c>
      <c r="D55" s="186">
        <f>IF($K55="","",INDEX(Zeiterfassung!$D$6:$D$3665,$K55))</f>
        <v/>
      </c>
      <c r="E55" s="186">
        <f>IF($K55="","",INDEX(Zeiterfassung!$E$6:$E$3665,$K55))</f>
        <v/>
      </c>
      <c r="F55" s="187">
        <f>IF($K55="","",INDEX(Zeiterfassung!$F$6:$F$3665,$K55))</f>
        <v/>
      </c>
      <c r="G55" s="187">
        <f>IF($K55="","",INDEX(Zeiterfassung!$G$6:$G$3665,$K55))</f>
        <v/>
      </c>
      <c r="H55" s="188">
        <f>IF($K55="","",INDEX(Zeiterfassung!$H$6:$H$3665,$K55))</f>
        <v/>
      </c>
      <c r="I55" s="335">
        <f>IF(B55=B54,"",IF($K55="","",INDEX(Zeiterfassung!$I$6:$I$3665,MATCH(INDEX(Zeiterfassung!$K$6:$K$3665,$K55),Zeiterfassung!$K$6:$K$3665,0))))</f>
        <v/>
      </c>
      <c r="J55" s="335">
        <f>IF(B55=B54,"",IF($K55="","",INDEX(Zeiterfassung!$J$6:$J$3665,MATCH(INDEX(Zeiterfassung!$K$6:$K$3665,$K55),Zeiterfassung!$K$6:$K$3665,0))))</f>
        <v/>
      </c>
      <c r="K55">
        <f>IFERROR(AGGREGATE(15,6,(ROW(Zeiterfassung!$D$6:$D$3665)-ROW(Zeiterfassung!$D$6)+1)/(Zeiterfassung!$D$6:$D$3665&lt;&gt;""),50),"")</f>
        <v/>
      </c>
    </row>
    <row r="56" ht="20" customHeight="1">
      <c r="A56" s="183">
        <f>IF($K56="","",WEEKNUM(INDEX(Zeiterfassung!$K$6:$K$3665,$K56),21))</f>
        <v/>
      </c>
      <c r="B56" s="184">
        <f>IF($K56="","",INDEX(Zeiterfassung!$K$6:$K$3665,$K56))</f>
        <v/>
      </c>
      <c r="C56" s="185">
        <f>IF($K56="","",INDEX(Zeiterfassung!$K$6:$K$3665,$K56))</f>
        <v/>
      </c>
      <c r="D56" s="186">
        <f>IF($K56="","",INDEX(Zeiterfassung!$D$6:$D$3665,$K56))</f>
        <v/>
      </c>
      <c r="E56" s="186">
        <f>IF($K56="","",INDEX(Zeiterfassung!$E$6:$E$3665,$K56))</f>
        <v/>
      </c>
      <c r="F56" s="187">
        <f>IF($K56="","",INDEX(Zeiterfassung!$F$6:$F$3665,$K56))</f>
        <v/>
      </c>
      <c r="G56" s="187">
        <f>IF($K56="","",INDEX(Zeiterfassung!$G$6:$G$3665,$K56))</f>
        <v/>
      </c>
      <c r="H56" s="188">
        <f>IF($K56="","",INDEX(Zeiterfassung!$H$6:$H$3665,$K56))</f>
        <v/>
      </c>
      <c r="I56" s="335">
        <f>IF(B56=B55,"",IF($K56="","",INDEX(Zeiterfassung!$I$6:$I$3665,MATCH(INDEX(Zeiterfassung!$K$6:$K$3665,$K56),Zeiterfassung!$K$6:$K$3665,0))))</f>
        <v/>
      </c>
      <c r="J56" s="335">
        <f>IF(B56=B55,"",IF($K56="","",INDEX(Zeiterfassung!$J$6:$J$3665,MATCH(INDEX(Zeiterfassung!$K$6:$K$3665,$K56),Zeiterfassung!$K$6:$K$3665,0))))</f>
        <v/>
      </c>
      <c r="K56">
        <f>IFERROR(AGGREGATE(15,6,(ROW(Zeiterfassung!$D$6:$D$3665)-ROW(Zeiterfassung!$D$6)+1)/(Zeiterfassung!$D$6:$D$3665&lt;&gt;""),51),"")</f>
        <v/>
      </c>
    </row>
    <row r="57" ht="20" customHeight="1">
      <c r="A57" s="183">
        <f>IF($K57="","",WEEKNUM(INDEX(Zeiterfassung!$K$6:$K$3665,$K57),21))</f>
        <v/>
      </c>
      <c r="B57" s="184">
        <f>IF($K57="","",INDEX(Zeiterfassung!$K$6:$K$3665,$K57))</f>
        <v/>
      </c>
      <c r="C57" s="185">
        <f>IF($K57="","",INDEX(Zeiterfassung!$K$6:$K$3665,$K57))</f>
        <v/>
      </c>
      <c r="D57" s="186">
        <f>IF($K57="","",INDEX(Zeiterfassung!$D$6:$D$3665,$K57))</f>
        <v/>
      </c>
      <c r="E57" s="186">
        <f>IF($K57="","",INDEX(Zeiterfassung!$E$6:$E$3665,$K57))</f>
        <v/>
      </c>
      <c r="F57" s="187">
        <f>IF($K57="","",INDEX(Zeiterfassung!$F$6:$F$3665,$K57))</f>
        <v/>
      </c>
      <c r="G57" s="187">
        <f>IF($K57="","",INDEX(Zeiterfassung!$G$6:$G$3665,$K57))</f>
        <v/>
      </c>
      <c r="H57" s="188">
        <f>IF($K57="","",INDEX(Zeiterfassung!$H$6:$H$3665,$K57))</f>
        <v/>
      </c>
      <c r="I57" s="335">
        <f>IF(B57=B56,"",IF($K57="","",INDEX(Zeiterfassung!$I$6:$I$3665,MATCH(INDEX(Zeiterfassung!$K$6:$K$3665,$K57),Zeiterfassung!$K$6:$K$3665,0))))</f>
        <v/>
      </c>
      <c r="J57" s="335">
        <f>IF(B57=B56,"",IF($K57="","",INDEX(Zeiterfassung!$J$6:$J$3665,MATCH(INDEX(Zeiterfassung!$K$6:$K$3665,$K57),Zeiterfassung!$K$6:$K$3665,0))))</f>
        <v/>
      </c>
      <c r="K57">
        <f>IFERROR(AGGREGATE(15,6,(ROW(Zeiterfassung!$D$6:$D$3665)-ROW(Zeiterfassung!$D$6)+1)/(Zeiterfassung!$D$6:$D$3665&lt;&gt;""),52),"")</f>
        <v/>
      </c>
    </row>
    <row r="58" ht="20" customHeight="1">
      <c r="A58" s="183">
        <f>IF($K58="","",WEEKNUM(INDEX(Zeiterfassung!$K$6:$K$3665,$K58),21))</f>
        <v/>
      </c>
      <c r="B58" s="184">
        <f>IF($K58="","",INDEX(Zeiterfassung!$K$6:$K$3665,$K58))</f>
        <v/>
      </c>
      <c r="C58" s="185">
        <f>IF($K58="","",INDEX(Zeiterfassung!$K$6:$K$3665,$K58))</f>
        <v/>
      </c>
      <c r="D58" s="186">
        <f>IF($K58="","",INDEX(Zeiterfassung!$D$6:$D$3665,$K58))</f>
        <v/>
      </c>
      <c r="E58" s="186">
        <f>IF($K58="","",INDEX(Zeiterfassung!$E$6:$E$3665,$K58))</f>
        <v/>
      </c>
      <c r="F58" s="187">
        <f>IF($K58="","",INDEX(Zeiterfassung!$F$6:$F$3665,$K58))</f>
        <v/>
      </c>
      <c r="G58" s="187">
        <f>IF($K58="","",INDEX(Zeiterfassung!$G$6:$G$3665,$K58))</f>
        <v/>
      </c>
      <c r="H58" s="188">
        <f>IF($K58="","",INDEX(Zeiterfassung!$H$6:$H$3665,$K58))</f>
        <v/>
      </c>
      <c r="I58" s="335">
        <f>IF(B58=B57,"",IF($K58="","",INDEX(Zeiterfassung!$I$6:$I$3665,MATCH(INDEX(Zeiterfassung!$K$6:$K$3665,$K58),Zeiterfassung!$K$6:$K$3665,0))))</f>
        <v/>
      </c>
      <c r="J58" s="335">
        <f>IF(B58=B57,"",IF($K58="","",INDEX(Zeiterfassung!$J$6:$J$3665,MATCH(INDEX(Zeiterfassung!$K$6:$K$3665,$K58),Zeiterfassung!$K$6:$K$3665,0))))</f>
        <v/>
      </c>
      <c r="K58">
        <f>IFERROR(AGGREGATE(15,6,(ROW(Zeiterfassung!$D$6:$D$3665)-ROW(Zeiterfassung!$D$6)+1)/(Zeiterfassung!$D$6:$D$3665&lt;&gt;""),53),"")</f>
        <v/>
      </c>
    </row>
    <row r="59" ht="20" customHeight="1">
      <c r="A59" s="183">
        <f>IF($K59="","",WEEKNUM(INDEX(Zeiterfassung!$K$6:$K$3665,$K59),21))</f>
        <v/>
      </c>
      <c r="B59" s="184">
        <f>IF($K59="","",INDEX(Zeiterfassung!$K$6:$K$3665,$K59))</f>
        <v/>
      </c>
      <c r="C59" s="185">
        <f>IF($K59="","",INDEX(Zeiterfassung!$K$6:$K$3665,$K59))</f>
        <v/>
      </c>
      <c r="D59" s="186">
        <f>IF($K59="","",INDEX(Zeiterfassung!$D$6:$D$3665,$K59))</f>
        <v/>
      </c>
      <c r="E59" s="186">
        <f>IF($K59="","",INDEX(Zeiterfassung!$E$6:$E$3665,$K59))</f>
        <v/>
      </c>
      <c r="F59" s="187">
        <f>IF($K59="","",INDEX(Zeiterfassung!$F$6:$F$3665,$K59))</f>
        <v/>
      </c>
      <c r="G59" s="187">
        <f>IF($K59="","",INDEX(Zeiterfassung!$G$6:$G$3665,$K59))</f>
        <v/>
      </c>
      <c r="H59" s="188">
        <f>IF($K59="","",INDEX(Zeiterfassung!$H$6:$H$3665,$K59))</f>
        <v/>
      </c>
      <c r="I59" s="335">
        <f>IF(B59=B58,"",IF($K59="","",INDEX(Zeiterfassung!$I$6:$I$3665,MATCH(INDEX(Zeiterfassung!$K$6:$K$3665,$K59),Zeiterfassung!$K$6:$K$3665,0))))</f>
        <v/>
      </c>
      <c r="J59" s="335">
        <f>IF(B59=B58,"",IF($K59="","",INDEX(Zeiterfassung!$J$6:$J$3665,MATCH(INDEX(Zeiterfassung!$K$6:$K$3665,$K59),Zeiterfassung!$K$6:$K$3665,0))))</f>
        <v/>
      </c>
      <c r="K59">
        <f>IFERROR(AGGREGATE(15,6,(ROW(Zeiterfassung!$D$6:$D$3665)-ROW(Zeiterfassung!$D$6)+1)/(Zeiterfassung!$D$6:$D$3665&lt;&gt;""),54),"")</f>
        <v/>
      </c>
    </row>
    <row r="60" ht="20" customHeight="1">
      <c r="A60" s="183">
        <f>IF($K60="","",WEEKNUM(INDEX(Zeiterfassung!$K$6:$K$3665,$K60),21))</f>
        <v/>
      </c>
      <c r="B60" s="184">
        <f>IF($K60="","",INDEX(Zeiterfassung!$K$6:$K$3665,$K60))</f>
        <v/>
      </c>
      <c r="C60" s="185">
        <f>IF($K60="","",INDEX(Zeiterfassung!$K$6:$K$3665,$K60))</f>
        <v/>
      </c>
      <c r="D60" s="186">
        <f>IF($K60="","",INDEX(Zeiterfassung!$D$6:$D$3665,$K60))</f>
        <v/>
      </c>
      <c r="E60" s="186">
        <f>IF($K60="","",INDEX(Zeiterfassung!$E$6:$E$3665,$K60))</f>
        <v/>
      </c>
      <c r="F60" s="187">
        <f>IF($K60="","",INDEX(Zeiterfassung!$F$6:$F$3665,$K60))</f>
        <v/>
      </c>
      <c r="G60" s="187">
        <f>IF($K60="","",INDEX(Zeiterfassung!$G$6:$G$3665,$K60))</f>
        <v/>
      </c>
      <c r="H60" s="188">
        <f>IF($K60="","",INDEX(Zeiterfassung!$H$6:$H$3665,$K60))</f>
        <v/>
      </c>
      <c r="I60" s="335">
        <f>IF(B60=B59,"",IF($K60="","",INDEX(Zeiterfassung!$I$6:$I$3665,MATCH(INDEX(Zeiterfassung!$K$6:$K$3665,$K60),Zeiterfassung!$K$6:$K$3665,0))))</f>
        <v/>
      </c>
      <c r="J60" s="335">
        <f>IF(B60=B59,"",IF($K60="","",INDEX(Zeiterfassung!$J$6:$J$3665,MATCH(INDEX(Zeiterfassung!$K$6:$K$3665,$K60),Zeiterfassung!$K$6:$K$3665,0))))</f>
        <v/>
      </c>
      <c r="K60">
        <f>IFERROR(AGGREGATE(15,6,(ROW(Zeiterfassung!$D$6:$D$3665)-ROW(Zeiterfassung!$D$6)+1)/(Zeiterfassung!$D$6:$D$3665&lt;&gt;""),55),"")</f>
        <v/>
      </c>
    </row>
    <row r="61" ht="20" customHeight="1">
      <c r="A61" s="183">
        <f>IF($K61="","",WEEKNUM(INDEX(Zeiterfassung!$K$6:$K$3665,$K61),21))</f>
        <v/>
      </c>
      <c r="B61" s="184">
        <f>IF($K61="","",INDEX(Zeiterfassung!$K$6:$K$3665,$K61))</f>
        <v/>
      </c>
      <c r="C61" s="185">
        <f>IF($K61="","",INDEX(Zeiterfassung!$K$6:$K$3665,$K61))</f>
        <v/>
      </c>
      <c r="D61" s="186">
        <f>IF($K61="","",INDEX(Zeiterfassung!$D$6:$D$3665,$K61))</f>
        <v/>
      </c>
      <c r="E61" s="186">
        <f>IF($K61="","",INDEX(Zeiterfassung!$E$6:$E$3665,$K61))</f>
        <v/>
      </c>
      <c r="F61" s="187">
        <f>IF($K61="","",INDEX(Zeiterfassung!$F$6:$F$3665,$K61))</f>
        <v/>
      </c>
      <c r="G61" s="187">
        <f>IF($K61="","",INDEX(Zeiterfassung!$G$6:$G$3665,$K61))</f>
        <v/>
      </c>
      <c r="H61" s="188">
        <f>IF($K61="","",INDEX(Zeiterfassung!$H$6:$H$3665,$K61))</f>
        <v/>
      </c>
      <c r="I61" s="335">
        <f>IF(B61=B60,"",IF($K61="","",INDEX(Zeiterfassung!$I$6:$I$3665,MATCH(INDEX(Zeiterfassung!$K$6:$K$3665,$K61),Zeiterfassung!$K$6:$K$3665,0))))</f>
        <v/>
      </c>
      <c r="J61" s="335">
        <f>IF(B61=B60,"",IF($K61="","",INDEX(Zeiterfassung!$J$6:$J$3665,MATCH(INDEX(Zeiterfassung!$K$6:$K$3665,$K61),Zeiterfassung!$K$6:$K$3665,0))))</f>
        <v/>
      </c>
      <c r="K61">
        <f>IFERROR(AGGREGATE(15,6,(ROW(Zeiterfassung!$D$6:$D$3665)-ROW(Zeiterfassung!$D$6)+1)/(Zeiterfassung!$D$6:$D$3665&lt;&gt;""),56),"")</f>
        <v/>
      </c>
    </row>
    <row r="62" ht="20" customHeight="1">
      <c r="A62" s="183">
        <f>IF($K62="","",WEEKNUM(INDEX(Zeiterfassung!$K$6:$K$3665,$K62),21))</f>
        <v/>
      </c>
      <c r="B62" s="184">
        <f>IF($K62="","",INDEX(Zeiterfassung!$K$6:$K$3665,$K62))</f>
        <v/>
      </c>
      <c r="C62" s="185">
        <f>IF($K62="","",INDEX(Zeiterfassung!$K$6:$K$3665,$K62))</f>
        <v/>
      </c>
      <c r="D62" s="186">
        <f>IF($K62="","",INDEX(Zeiterfassung!$D$6:$D$3665,$K62))</f>
        <v/>
      </c>
      <c r="E62" s="186">
        <f>IF($K62="","",INDEX(Zeiterfassung!$E$6:$E$3665,$K62))</f>
        <v/>
      </c>
      <c r="F62" s="187">
        <f>IF($K62="","",INDEX(Zeiterfassung!$F$6:$F$3665,$K62))</f>
        <v/>
      </c>
      <c r="G62" s="187">
        <f>IF($K62="","",INDEX(Zeiterfassung!$G$6:$G$3665,$K62))</f>
        <v/>
      </c>
      <c r="H62" s="188">
        <f>IF($K62="","",INDEX(Zeiterfassung!$H$6:$H$3665,$K62))</f>
        <v/>
      </c>
      <c r="I62" s="335">
        <f>IF(B62=B61,"",IF($K62="","",INDEX(Zeiterfassung!$I$6:$I$3665,MATCH(INDEX(Zeiterfassung!$K$6:$K$3665,$K62),Zeiterfassung!$K$6:$K$3665,0))))</f>
        <v/>
      </c>
      <c r="J62" s="335">
        <f>IF(B62=B61,"",IF($K62="","",INDEX(Zeiterfassung!$J$6:$J$3665,MATCH(INDEX(Zeiterfassung!$K$6:$K$3665,$K62),Zeiterfassung!$K$6:$K$3665,0))))</f>
        <v/>
      </c>
      <c r="K62">
        <f>IFERROR(AGGREGATE(15,6,(ROW(Zeiterfassung!$D$6:$D$3665)-ROW(Zeiterfassung!$D$6)+1)/(Zeiterfassung!$D$6:$D$3665&lt;&gt;""),57),"")</f>
        <v/>
      </c>
    </row>
    <row r="63" ht="20" customHeight="1">
      <c r="A63" s="183">
        <f>IF($K63="","",WEEKNUM(INDEX(Zeiterfassung!$K$6:$K$3665,$K63),21))</f>
        <v/>
      </c>
      <c r="B63" s="184">
        <f>IF($K63="","",INDEX(Zeiterfassung!$K$6:$K$3665,$K63))</f>
        <v/>
      </c>
      <c r="C63" s="185">
        <f>IF($K63="","",INDEX(Zeiterfassung!$K$6:$K$3665,$K63))</f>
        <v/>
      </c>
      <c r="D63" s="186">
        <f>IF($K63="","",INDEX(Zeiterfassung!$D$6:$D$3665,$K63))</f>
        <v/>
      </c>
      <c r="E63" s="186">
        <f>IF($K63="","",INDEX(Zeiterfassung!$E$6:$E$3665,$K63))</f>
        <v/>
      </c>
      <c r="F63" s="187">
        <f>IF($K63="","",INDEX(Zeiterfassung!$F$6:$F$3665,$K63))</f>
        <v/>
      </c>
      <c r="G63" s="187">
        <f>IF($K63="","",INDEX(Zeiterfassung!$G$6:$G$3665,$K63))</f>
        <v/>
      </c>
      <c r="H63" s="188">
        <f>IF($K63="","",INDEX(Zeiterfassung!$H$6:$H$3665,$K63))</f>
        <v/>
      </c>
      <c r="I63" s="335">
        <f>IF(B63=B62,"",IF($K63="","",INDEX(Zeiterfassung!$I$6:$I$3665,MATCH(INDEX(Zeiterfassung!$K$6:$K$3665,$K63),Zeiterfassung!$K$6:$K$3665,0))))</f>
        <v/>
      </c>
      <c r="J63" s="335">
        <f>IF(B63=B62,"",IF($K63="","",INDEX(Zeiterfassung!$J$6:$J$3665,MATCH(INDEX(Zeiterfassung!$K$6:$K$3665,$K63),Zeiterfassung!$K$6:$K$3665,0))))</f>
        <v/>
      </c>
      <c r="K63">
        <f>IFERROR(AGGREGATE(15,6,(ROW(Zeiterfassung!$D$6:$D$3665)-ROW(Zeiterfassung!$D$6)+1)/(Zeiterfassung!$D$6:$D$3665&lt;&gt;""),58),"")</f>
        <v/>
      </c>
    </row>
    <row r="64" ht="20" customHeight="1">
      <c r="A64" s="183">
        <f>IF($K64="","",WEEKNUM(INDEX(Zeiterfassung!$K$6:$K$3665,$K64),21))</f>
        <v/>
      </c>
      <c r="B64" s="184">
        <f>IF($K64="","",INDEX(Zeiterfassung!$K$6:$K$3665,$K64))</f>
        <v/>
      </c>
      <c r="C64" s="185">
        <f>IF($K64="","",INDEX(Zeiterfassung!$K$6:$K$3665,$K64))</f>
        <v/>
      </c>
      <c r="D64" s="186">
        <f>IF($K64="","",INDEX(Zeiterfassung!$D$6:$D$3665,$K64))</f>
        <v/>
      </c>
      <c r="E64" s="186">
        <f>IF($K64="","",INDEX(Zeiterfassung!$E$6:$E$3665,$K64))</f>
        <v/>
      </c>
      <c r="F64" s="187">
        <f>IF($K64="","",INDEX(Zeiterfassung!$F$6:$F$3665,$K64))</f>
        <v/>
      </c>
      <c r="G64" s="187">
        <f>IF($K64="","",INDEX(Zeiterfassung!$G$6:$G$3665,$K64))</f>
        <v/>
      </c>
      <c r="H64" s="188">
        <f>IF($K64="","",INDEX(Zeiterfassung!$H$6:$H$3665,$K64))</f>
        <v/>
      </c>
      <c r="I64" s="335">
        <f>IF(B64=B63,"",IF($K64="","",INDEX(Zeiterfassung!$I$6:$I$3665,MATCH(INDEX(Zeiterfassung!$K$6:$K$3665,$K64),Zeiterfassung!$K$6:$K$3665,0))))</f>
        <v/>
      </c>
      <c r="J64" s="335">
        <f>IF(B64=B63,"",IF($K64="","",INDEX(Zeiterfassung!$J$6:$J$3665,MATCH(INDEX(Zeiterfassung!$K$6:$K$3665,$K64),Zeiterfassung!$K$6:$K$3665,0))))</f>
        <v/>
      </c>
      <c r="K64">
        <f>IFERROR(AGGREGATE(15,6,(ROW(Zeiterfassung!$D$6:$D$3665)-ROW(Zeiterfassung!$D$6)+1)/(Zeiterfassung!$D$6:$D$3665&lt;&gt;""),59),"")</f>
        <v/>
      </c>
    </row>
    <row r="65" ht="20" customHeight="1">
      <c r="A65" s="183">
        <f>IF($K65="","",WEEKNUM(INDEX(Zeiterfassung!$K$6:$K$3665,$K65),21))</f>
        <v/>
      </c>
      <c r="B65" s="184">
        <f>IF($K65="","",INDEX(Zeiterfassung!$K$6:$K$3665,$K65))</f>
        <v/>
      </c>
      <c r="C65" s="185">
        <f>IF($K65="","",INDEX(Zeiterfassung!$K$6:$K$3665,$K65))</f>
        <v/>
      </c>
      <c r="D65" s="186">
        <f>IF($K65="","",INDEX(Zeiterfassung!$D$6:$D$3665,$K65))</f>
        <v/>
      </c>
      <c r="E65" s="186">
        <f>IF($K65="","",INDEX(Zeiterfassung!$E$6:$E$3665,$K65))</f>
        <v/>
      </c>
      <c r="F65" s="187">
        <f>IF($K65="","",INDEX(Zeiterfassung!$F$6:$F$3665,$K65))</f>
        <v/>
      </c>
      <c r="G65" s="187">
        <f>IF($K65="","",INDEX(Zeiterfassung!$G$6:$G$3665,$K65))</f>
        <v/>
      </c>
      <c r="H65" s="188">
        <f>IF($K65="","",INDEX(Zeiterfassung!$H$6:$H$3665,$K65))</f>
        <v/>
      </c>
      <c r="I65" s="335">
        <f>IF(B65=B64,"",IF($K65="","",INDEX(Zeiterfassung!$I$6:$I$3665,MATCH(INDEX(Zeiterfassung!$K$6:$K$3665,$K65),Zeiterfassung!$K$6:$K$3665,0))))</f>
        <v/>
      </c>
      <c r="J65" s="335">
        <f>IF(B65=B64,"",IF($K65="","",INDEX(Zeiterfassung!$J$6:$J$3665,MATCH(INDEX(Zeiterfassung!$K$6:$K$3665,$K65),Zeiterfassung!$K$6:$K$3665,0))))</f>
        <v/>
      </c>
      <c r="K65">
        <f>IFERROR(AGGREGATE(15,6,(ROW(Zeiterfassung!$D$6:$D$3665)-ROW(Zeiterfassung!$D$6)+1)/(Zeiterfassung!$D$6:$D$3665&lt;&gt;""),60),"")</f>
        <v/>
      </c>
    </row>
    <row r="66" ht="20" customHeight="1">
      <c r="A66" s="183">
        <f>IF($K66="","",WEEKNUM(INDEX(Zeiterfassung!$K$6:$K$3665,$K66),21))</f>
        <v/>
      </c>
      <c r="B66" s="184">
        <f>IF($K66="","",INDEX(Zeiterfassung!$K$6:$K$3665,$K66))</f>
        <v/>
      </c>
      <c r="C66" s="185">
        <f>IF($K66="","",INDEX(Zeiterfassung!$K$6:$K$3665,$K66))</f>
        <v/>
      </c>
      <c r="D66" s="186">
        <f>IF($K66="","",INDEX(Zeiterfassung!$D$6:$D$3665,$K66))</f>
        <v/>
      </c>
      <c r="E66" s="186">
        <f>IF($K66="","",INDEX(Zeiterfassung!$E$6:$E$3665,$K66))</f>
        <v/>
      </c>
      <c r="F66" s="187">
        <f>IF($K66="","",INDEX(Zeiterfassung!$F$6:$F$3665,$K66))</f>
        <v/>
      </c>
      <c r="G66" s="187">
        <f>IF($K66="","",INDEX(Zeiterfassung!$G$6:$G$3665,$K66))</f>
        <v/>
      </c>
      <c r="H66" s="188">
        <f>IF($K66="","",INDEX(Zeiterfassung!$H$6:$H$3665,$K66))</f>
        <v/>
      </c>
      <c r="I66" s="335">
        <f>IF(B66=B65,"",IF($K66="","",INDEX(Zeiterfassung!$I$6:$I$3665,MATCH(INDEX(Zeiterfassung!$K$6:$K$3665,$K66),Zeiterfassung!$K$6:$K$3665,0))))</f>
        <v/>
      </c>
      <c r="J66" s="335">
        <f>IF(B66=B65,"",IF($K66="","",INDEX(Zeiterfassung!$J$6:$J$3665,MATCH(INDEX(Zeiterfassung!$K$6:$K$3665,$K66),Zeiterfassung!$K$6:$K$3665,0))))</f>
        <v/>
      </c>
      <c r="K66">
        <f>IFERROR(AGGREGATE(15,6,(ROW(Zeiterfassung!$D$6:$D$3665)-ROW(Zeiterfassung!$D$6)+1)/(Zeiterfassung!$D$6:$D$3665&lt;&gt;""),61),"")</f>
        <v/>
      </c>
    </row>
    <row r="67" ht="20" customHeight="1">
      <c r="A67" s="183">
        <f>IF($K67="","",WEEKNUM(INDEX(Zeiterfassung!$K$6:$K$3665,$K67),21))</f>
        <v/>
      </c>
      <c r="B67" s="184">
        <f>IF($K67="","",INDEX(Zeiterfassung!$K$6:$K$3665,$K67))</f>
        <v/>
      </c>
      <c r="C67" s="185">
        <f>IF($K67="","",INDEX(Zeiterfassung!$K$6:$K$3665,$K67))</f>
        <v/>
      </c>
      <c r="D67" s="186">
        <f>IF($K67="","",INDEX(Zeiterfassung!$D$6:$D$3665,$K67))</f>
        <v/>
      </c>
      <c r="E67" s="186">
        <f>IF($K67="","",INDEX(Zeiterfassung!$E$6:$E$3665,$K67))</f>
        <v/>
      </c>
      <c r="F67" s="187">
        <f>IF($K67="","",INDEX(Zeiterfassung!$F$6:$F$3665,$K67))</f>
        <v/>
      </c>
      <c r="G67" s="187">
        <f>IF($K67="","",INDEX(Zeiterfassung!$G$6:$G$3665,$K67))</f>
        <v/>
      </c>
      <c r="H67" s="188">
        <f>IF($K67="","",INDEX(Zeiterfassung!$H$6:$H$3665,$K67))</f>
        <v/>
      </c>
      <c r="I67" s="335">
        <f>IF(B67=B66,"",IF($K67="","",INDEX(Zeiterfassung!$I$6:$I$3665,MATCH(INDEX(Zeiterfassung!$K$6:$K$3665,$K67),Zeiterfassung!$K$6:$K$3665,0))))</f>
        <v/>
      </c>
      <c r="J67" s="335">
        <f>IF(B67=B66,"",IF($K67="","",INDEX(Zeiterfassung!$J$6:$J$3665,MATCH(INDEX(Zeiterfassung!$K$6:$K$3665,$K67),Zeiterfassung!$K$6:$K$3665,0))))</f>
        <v/>
      </c>
      <c r="K67">
        <f>IFERROR(AGGREGATE(15,6,(ROW(Zeiterfassung!$D$6:$D$3665)-ROW(Zeiterfassung!$D$6)+1)/(Zeiterfassung!$D$6:$D$3665&lt;&gt;""),62),"")</f>
        <v/>
      </c>
    </row>
    <row r="68" ht="20" customHeight="1">
      <c r="A68" s="183">
        <f>IF($K68="","",WEEKNUM(INDEX(Zeiterfassung!$K$6:$K$3665,$K68),21))</f>
        <v/>
      </c>
      <c r="B68" s="184">
        <f>IF($K68="","",INDEX(Zeiterfassung!$K$6:$K$3665,$K68))</f>
        <v/>
      </c>
      <c r="C68" s="185">
        <f>IF($K68="","",INDEX(Zeiterfassung!$K$6:$K$3665,$K68))</f>
        <v/>
      </c>
      <c r="D68" s="186">
        <f>IF($K68="","",INDEX(Zeiterfassung!$D$6:$D$3665,$K68))</f>
        <v/>
      </c>
      <c r="E68" s="186">
        <f>IF($K68="","",INDEX(Zeiterfassung!$E$6:$E$3665,$K68))</f>
        <v/>
      </c>
      <c r="F68" s="187">
        <f>IF($K68="","",INDEX(Zeiterfassung!$F$6:$F$3665,$K68))</f>
        <v/>
      </c>
      <c r="G68" s="187">
        <f>IF($K68="","",INDEX(Zeiterfassung!$G$6:$G$3665,$K68))</f>
        <v/>
      </c>
      <c r="H68" s="188">
        <f>IF($K68="","",INDEX(Zeiterfassung!$H$6:$H$3665,$K68))</f>
        <v/>
      </c>
      <c r="I68" s="335">
        <f>IF(B68=B67,"",IF($K68="","",INDEX(Zeiterfassung!$I$6:$I$3665,MATCH(INDEX(Zeiterfassung!$K$6:$K$3665,$K68),Zeiterfassung!$K$6:$K$3665,0))))</f>
        <v/>
      </c>
      <c r="J68" s="335">
        <f>IF(B68=B67,"",IF($K68="","",INDEX(Zeiterfassung!$J$6:$J$3665,MATCH(INDEX(Zeiterfassung!$K$6:$K$3665,$K68),Zeiterfassung!$K$6:$K$3665,0))))</f>
        <v/>
      </c>
      <c r="K68">
        <f>IFERROR(AGGREGATE(15,6,(ROW(Zeiterfassung!$D$6:$D$3665)-ROW(Zeiterfassung!$D$6)+1)/(Zeiterfassung!$D$6:$D$3665&lt;&gt;""),63),"")</f>
        <v/>
      </c>
    </row>
    <row r="69" ht="20" customHeight="1">
      <c r="A69" s="183">
        <f>IF($K69="","",WEEKNUM(INDEX(Zeiterfassung!$K$6:$K$3665,$K69),21))</f>
        <v/>
      </c>
      <c r="B69" s="184">
        <f>IF($K69="","",INDEX(Zeiterfassung!$K$6:$K$3665,$K69))</f>
        <v/>
      </c>
      <c r="C69" s="185">
        <f>IF($K69="","",INDEX(Zeiterfassung!$K$6:$K$3665,$K69))</f>
        <v/>
      </c>
      <c r="D69" s="186">
        <f>IF($K69="","",INDEX(Zeiterfassung!$D$6:$D$3665,$K69))</f>
        <v/>
      </c>
      <c r="E69" s="186">
        <f>IF($K69="","",INDEX(Zeiterfassung!$E$6:$E$3665,$K69))</f>
        <v/>
      </c>
      <c r="F69" s="187">
        <f>IF($K69="","",INDEX(Zeiterfassung!$F$6:$F$3665,$K69))</f>
        <v/>
      </c>
      <c r="G69" s="187">
        <f>IF($K69="","",INDEX(Zeiterfassung!$G$6:$G$3665,$K69))</f>
        <v/>
      </c>
      <c r="H69" s="188">
        <f>IF($K69="","",INDEX(Zeiterfassung!$H$6:$H$3665,$K69))</f>
        <v/>
      </c>
      <c r="I69" s="335">
        <f>IF(B69=B68,"",IF($K69="","",INDEX(Zeiterfassung!$I$6:$I$3665,MATCH(INDEX(Zeiterfassung!$K$6:$K$3665,$K69),Zeiterfassung!$K$6:$K$3665,0))))</f>
        <v/>
      </c>
      <c r="J69" s="335">
        <f>IF(B69=B68,"",IF($K69="","",INDEX(Zeiterfassung!$J$6:$J$3665,MATCH(INDEX(Zeiterfassung!$K$6:$K$3665,$K69),Zeiterfassung!$K$6:$K$3665,0))))</f>
        <v/>
      </c>
      <c r="K69">
        <f>IFERROR(AGGREGATE(15,6,(ROW(Zeiterfassung!$D$6:$D$3665)-ROW(Zeiterfassung!$D$6)+1)/(Zeiterfassung!$D$6:$D$3665&lt;&gt;""),64),"")</f>
        <v/>
      </c>
    </row>
    <row r="70" ht="20" customHeight="1">
      <c r="A70" s="183">
        <f>IF($K70="","",WEEKNUM(INDEX(Zeiterfassung!$K$6:$K$3665,$K70),21))</f>
        <v/>
      </c>
      <c r="B70" s="184">
        <f>IF($K70="","",INDEX(Zeiterfassung!$K$6:$K$3665,$K70))</f>
        <v/>
      </c>
      <c r="C70" s="185">
        <f>IF($K70="","",INDEX(Zeiterfassung!$K$6:$K$3665,$K70))</f>
        <v/>
      </c>
      <c r="D70" s="186">
        <f>IF($K70="","",INDEX(Zeiterfassung!$D$6:$D$3665,$K70))</f>
        <v/>
      </c>
      <c r="E70" s="186">
        <f>IF($K70="","",INDEX(Zeiterfassung!$E$6:$E$3665,$K70))</f>
        <v/>
      </c>
      <c r="F70" s="187">
        <f>IF($K70="","",INDEX(Zeiterfassung!$F$6:$F$3665,$K70))</f>
        <v/>
      </c>
      <c r="G70" s="187">
        <f>IF($K70="","",INDEX(Zeiterfassung!$G$6:$G$3665,$K70))</f>
        <v/>
      </c>
      <c r="H70" s="188">
        <f>IF($K70="","",INDEX(Zeiterfassung!$H$6:$H$3665,$K70))</f>
        <v/>
      </c>
      <c r="I70" s="335">
        <f>IF(B70=B69,"",IF($K70="","",INDEX(Zeiterfassung!$I$6:$I$3665,MATCH(INDEX(Zeiterfassung!$K$6:$K$3665,$K70),Zeiterfassung!$K$6:$K$3665,0))))</f>
        <v/>
      </c>
      <c r="J70" s="335">
        <f>IF(B70=B69,"",IF($K70="","",INDEX(Zeiterfassung!$J$6:$J$3665,MATCH(INDEX(Zeiterfassung!$K$6:$K$3665,$K70),Zeiterfassung!$K$6:$K$3665,0))))</f>
        <v/>
      </c>
      <c r="K70">
        <f>IFERROR(AGGREGATE(15,6,(ROW(Zeiterfassung!$D$6:$D$3665)-ROW(Zeiterfassung!$D$6)+1)/(Zeiterfassung!$D$6:$D$3665&lt;&gt;""),65),"")</f>
        <v/>
      </c>
    </row>
    <row r="71" ht="20" customHeight="1">
      <c r="A71" s="183">
        <f>IF($K71="","",WEEKNUM(INDEX(Zeiterfassung!$K$6:$K$3665,$K71),21))</f>
        <v/>
      </c>
      <c r="B71" s="184">
        <f>IF($K71="","",INDEX(Zeiterfassung!$K$6:$K$3665,$K71))</f>
        <v/>
      </c>
      <c r="C71" s="185">
        <f>IF($K71="","",INDEX(Zeiterfassung!$K$6:$K$3665,$K71))</f>
        <v/>
      </c>
      <c r="D71" s="186">
        <f>IF($K71="","",INDEX(Zeiterfassung!$D$6:$D$3665,$K71))</f>
        <v/>
      </c>
      <c r="E71" s="186">
        <f>IF($K71="","",INDEX(Zeiterfassung!$E$6:$E$3665,$K71))</f>
        <v/>
      </c>
      <c r="F71" s="187">
        <f>IF($K71="","",INDEX(Zeiterfassung!$F$6:$F$3665,$K71))</f>
        <v/>
      </c>
      <c r="G71" s="187">
        <f>IF($K71="","",INDEX(Zeiterfassung!$G$6:$G$3665,$K71))</f>
        <v/>
      </c>
      <c r="H71" s="188">
        <f>IF($K71="","",INDEX(Zeiterfassung!$H$6:$H$3665,$K71))</f>
        <v/>
      </c>
      <c r="I71" s="335">
        <f>IF(B71=B70,"",IF($K71="","",INDEX(Zeiterfassung!$I$6:$I$3665,MATCH(INDEX(Zeiterfassung!$K$6:$K$3665,$K71),Zeiterfassung!$K$6:$K$3665,0))))</f>
        <v/>
      </c>
      <c r="J71" s="335">
        <f>IF(B71=B70,"",IF($K71="","",INDEX(Zeiterfassung!$J$6:$J$3665,MATCH(INDEX(Zeiterfassung!$K$6:$K$3665,$K71),Zeiterfassung!$K$6:$K$3665,0))))</f>
        <v/>
      </c>
      <c r="K71">
        <f>IFERROR(AGGREGATE(15,6,(ROW(Zeiterfassung!$D$6:$D$3665)-ROW(Zeiterfassung!$D$6)+1)/(Zeiterfassung!$D$6:$D$3665&lt;&gt;""),66),"")</f>
        <v/>
      </c>
    </row>
    <row r="72" ht="20" customHeight="1">
      <c r="A72" s="183">
        <f>IF($K72="","",WEEKNUM(INDEX(Zeiterfassung!$K$6:$K$3665,$K72),21))</f>
        <v/>
      </c>
      <c r="B72" s="184">
        <f>IF($K72="","",INDEX(Zeiterfassung!$K$6:$K$3665,$K72))</f>
        <v/>
      </c>
      <c r="C72" s="185">
        <f>IF($K72="","",INDEX(Zeiterfassung!$K$6:$K$3665,$K72))</f>
        <v/>
      </c>
      <c r="D72" s="186">
        <f>IF($K72="","",INDEX(Zeiterfassung!$D$6:$D$3665,$K72))</f>
        <v/>
      </c>
      <c r="E72" s="186">
        <f>IF($K72="","",INDEX(Zeiterfassung!$E$6:$E$3665,$K72))</f>
        <v/>
      </c>
      <c r="F72" s="187">
        <f>IF($K72="","",INDEX(Zeiterfassung!$F$6:$F$3665,$K72))</f>
        <v/>
      </c>
      <c r="G72" s="187">
        <f>IF($K72="","",INDEX(Zeiterfassung!$G$6:$G$3665,$K72))</f>
        <v/>
      </c>
      <c r="H72" s="188">
        <f>IF($K72="","",INDEX(Zeiterfassung!$H$6:$H$3665,$K72))</f>
        <v/>
      </c>
      <c r="I72" s="335">
        <f>IF(B72=B71,"",IF($K72="","",INDEX(Zeiterfassung!$I$6:$I$3665,MATCH(INDEX(Zeiterfassung!$K$6:$K$3665,$K72),Zeiterfassung!$K$6:$K$3665,0))))</f>
        <v/>
      </c>
      <c r="J72" s="335">
        <f>IF(B72=B71,"",IF($K72="","",INDEX(Zeiterfassung!$J$6:$J$3665,MATCH(INDEX(Zeiterfassung!$K$6:$K$3665,$K72),Zeiterfassung!$K$6:$K$3665,0))))</f>
        <v/>
      </c>
      <c r="K72">
        <f>IFERROR(AGGREGATE(15,6,(ROW(Zeiterfassung!$D$6:$D$3665)-ROW(Zeiterfassung!$D$6)+1)/(Zeiterfassung!$D$6:$D$3665&lt;&gt;""),67),"")</f>
        <v/>
      </c>
    </row>
    <row r="73" ht="20" customHeight="1">
      <c r="A73" s="183">
        <f>IF($K73="","",WEEKNUM(INDEX(Zeiterfassung!$K$6:$K$3665,$K73),21))</f>
        <v/>
      </c>
      <c r="B73" s="184">
        <f>IF($K73="","",INDEX(Zeiterfassung!$K$6:$K$3665,$K73))</f>
        <v/>
      </c>
      <c r="C73" s="185">
        <f>IF($K73="","",INDEX(Zeiterfassung!$K$6:$K$3665,$K73))</f>
        <v/>
      </c>
      <c r="D73" s="186">
        <f>IF($K73="","",INDEX(Zeiterfassung!$D$6:$D$3665,$K73))</f>
        <v/>
      </c>
      <c r="E73" s="186">
        <f>IF($K73="","",INDEX(Zeiterfassung!$E$6:$E$3665,$K73))</f>
        <v/>
      </c>
      <c r="F73" s="187">
        <f>IF($K73="","",INDEX(Zeiterfassung!$F$6:$F$3665,$K73))</f>
        <v/>
      </c>
      <c r="G73" s="187">
        <f>IF($K73="","",INDEX(Zeiterfassung!$G$6:$G$3665,$K73))</f>
        <v/>
      </c>
      <c r="H73" s="188">
        <f>IF($K73="","",INDEX(Zeiterfassung!$H$6:$H$3665,$K73))</f>
        <v/>
      </c>
      <c r="I73" s="335">
        <f>IF(B73=B72,"",IF($K73="","",INDEX(Zeiterfassung!$I$6:$I$3665,MATCH(INDEX(Zeiterfassung!$K$6:$K$3665,$K73),Zeiterfassung!$K$6:$K$3665,0))))</f>
        <v/>
      </c>
      <c r="J73" s="335">
        <f>IF(B73=B72,"",IF($K73="","",INDEX(Zeiterfassung!$J$6:$J$3665,MATCH(INDEX(Zeiterfassung!$K$6:$K$3665,$K73),Zeiterfassung!$K$6:$K$3665,0))))</f>
        <v/>
      </c>
      <c r="K73">
        <f>IFERROR(AGGREGATE(15,6,(ROW(Zeiterfassung!$D$6:$D$3665)-ROW(Zeiterfassung!$D$6)+1)/(Zeiterfassung!$D$6:$D$3665&lt;&gt;""),68),"")</f>
        <v/>
      </c>
    </row>
    <row r="74" ht="20" customHeight="1">
      <c r="A74" s="183">
        <f>IF($K74="","",WEEKNUM(INDEX(Zeiterfassung!$K$6:$K$3665,$K74),21))</f>
        <v/>
      </c>
      <c r="B74" s="184">
        <f>IF($K74="","",INDEX(Zeiterfassung!$K$6:$K$3665,$K74))</f>
        <v/>
      </c>
      <c r="C74" s="185">
        <f>IF($K74="","",INDEX(Zeiterfassung!$K$6:$K$3665,$K74))</f>
        <v/>
      </c>
      <c r="D74" s="186">
        <f>IF($K74="","",INDEX(Zeiterfassung!$D$6:$D$3665,$K74))</f>
        <v/>
      </c>
      <c r="E74" s="186">
        <f>IF($K74="","",INDEX(Zeiterfassung!$E$6:$E$3665,$K74))</f>
        <v/>
      </c>
      <c r="F74" s="187">
        <f>IF($K74="","",INDEX(Zeiterfassung!$F$6:$F$3665,$K74))</f>
        <v/>
      </c>
      <c r="G74" s="187">
        <f>IF($K74="","",INDEX(Zeiterfassung!$G$6:$G$3665,$K74))</f>
        <v/>
      </c>
      <c r="H74" s="188">
        <f>IF($K74="","",INDEX(Zeiterfassung!$H$6:$H$3665,$K74))</f>
        <v/>
      </c>
      <c r="I74" s="335">
        <f>IF(B74=B73,"",IF($K74="","",INDEX(Zeiterfassung!$I$6:$I$3665,MATCH(INDEX(Zeiterfassung!$K$6:$K$3665,$K74),Zeiterfassung!$K$6:$K$3665,0))))</f>
        <v/>
      </c>
      <c r="J74" s="335">
        <f>IF(B74=B73,"",IF($K74="","",INDEX(Zeiterfassung!$J$6:$J$3665,MATCH(INDEX(Zeiterfassung!$K$6:$K$3665,$K74),Zeiterfassung!$K$6:$K$3665,0))))</f>
        <v/>
      </c>
      <c r="K74">
        <f>IFERROR(AGGREGATE(15,6,(ROW(Zeiterfassung!$D$6:$D$3665)-ROW(Zeiterfassung!$D$6)+1)/(Zeiterfassung!$D$6:$D$3665&lt;&gt;""),69),"")</f>
        <v/>
      </c>
    </row>
    <row r="75" ht="20" customHeight="1">
      <c r="A75" s="183">
        <f>IF($K75="","",WEEKNUM(INDEX(Zeiterfassung!$K$6:$K$3665,$K75),21))</f>
        <v/>
      </c>
      <c r="B75" s="184">
        <f>IF($K75="","",INDEX(Zeiterfassung!$K$6:$K$3665,$K75))</f>
        <v/>
      </c>
      <c r="C75" s="185">
        <f>IF($K75="","",INDEX(Zeiterfassung!$K$6:$K$3665,$K75))</f>
        <v/>
      </c>
      <c r="D75" s="186">
        <f>IF($K75="","",INDEX(Zeiterfassung!$D$6:$D$3665,$K75))</f>
        <v/>
      </c>
      <c r="E75" s="186">
        <f>IF($K75="","",INDEX(Zeiterfassung!$E$6:$E$3665,$K75))</f>
        <v/>
      </c>
      <c r="F75" s="187">
        <f>IF($K75="","",INDEX(Zeiterfassung!$F$6:$F$3665,$K75))</f>
        <v/>
      </c>
      <c r="G75" s="187">
        <f>IF($K75="","",INDEX(Zeiterfassung!$G$6:$G$3665,$K75))</f>
        <v/>
      </c>
      <c r="H75" s="188">
        <f>IF($K75="","",INDEX(Zeiterfassung!$H$6:$H$3665,$K75))</f>
        <v/>
      </c>
      <c r="I75" s="335">
        <f>IF(B75=B74,"",IF($K75="","",INDEX(Zeiterfassung!$I$6:$I$3665,MATCH(INDEX(Zeiterfassung!$K$6:$K$3665,$K75),Zeiterfassung!$K$6:$K$3665,0))))</f>
        <v/>
      </c>
      <c r="J75" s="335">
        <f>IF(B75=B74,"",IF($K75="","",INDEX(Zeiterfassung!$J$6:$J$3665,MATCH(INDEX(Zeiterfassung!$K$6:$K$3665,$K75),Zeiterfassung!$K$6:$K$3665,0))))</f>
        <v/>
      </c>
      <c r="K75">
        <f>IFERROR(AGGREGATE(15,6,(ROW(Zeiterfassung!$D$6:$D$3665)-ROW(Zeiterfassung!$D$6)+1)/(Zeiterfassung!$D$6:$D$3665&lt;&gt;""),70),"")</f>
        <v/>
      </c>
    </row>
    <row r="76" ht="20" customHeight="1">
      <c r="A76" s="183">
        <f>IF($K76="","",WEEKNUM(INDEX(Zeiterfassung!$K$6:$K$3665,$K76),21))</f>
        <v/>
      </c>
      <c r="B76" s="184">
        <f>IF($K76="","",INDEX(Zeiterfassung!$K$6:$K$3665,$K76))</f>
        <v/>
      </c>
      <c r="C76" s="185">
        <f>IF($K76="","",INDEX(Zeiterfassung!$K$6:$K$3665,$K76))</f>
        <v/>
      </c>
      <c r="D76" s="186">
        <f>IF($K76="","",INDEX(Zeiterfassung!$D$6:$D$3665,$K76))</f>
        <v/>
      </c>
      <c r="E76" s="186">
        <f>IF($K76="","",INDEX(Zeiterfassung!$E$6:$E$3665,$K76))</f>
        <v/>
      </c>
      <c r="F76" s="187">
        <f>IF($K76="","",INDEX(Zeiterfassung!$F$6:$F$3665,$K76))</f>
        <v/>
      </c>
      <c r="G76" s="187">
        <f>IF($K76="","",INDEX(Zeiterfassung!$G$6:$G$3665,$K76))</f>
        <v/>
      </c>
      <c r="H76" s="188">
        <f>IF($K76="","",INDEX(Zeiterfassung!$H$6:$H$3665,$K76))</f>
        <v/>
      </c>
      <c r="I76" s="335">
        <f>IF(B76=B75,"",IF($K76="","",INDEX(Zeiterfassung!$I$6:$I$3665,MATCH(INDEX(Zeiterfassung!$K$6:$K$3665,$K76),Zeiterfassung!$K$6:$K$3665,0))))</f>
        <v/>
      </c>
      <c r="J76" s="335">
        <f>IF(B76=B75,"",IF($K76="","",INDEX(Zeiterfassung!$J$6:$J$3665,MATCH(INDEX(Zeiterfassung!$K$6:$K$3665,$K76),Zeiterfassung!$K$6:$K$3665,0))))</f>
        <v/>
      </c>
      <c r="K76">
        <f>IFERROR(AGGREGATE(15,6,(ROW(Zeiterfassung!$D$6:$D$3665)-ROW(Zeiterfassung!$D$6)+1)/(Zeiterfassung!$D$6:$D$3665&lt;&gt;""),71),"")</f>
        <v/>
      </c>
    </row>
    <row r="77" ht="20" customHeight="1">
      <c r="A77" s="183">
        <f>IF($K77="","",WEEKNUM(INDEX(Zeiterfassung!$K$6:$K$3665,$K77),21))</f>
        <v/>
      </c>
      <c r="B77" s="184">
        <f>IF($K77="","",INDEX(Zeiterfassung!$K$6:$K$3665,$K77))</f>
        <v/>
      </c>
      <c r="C77" s="185">
        <f>IF($K77="","",INDEX(Zeiterfassung!$K$6:$K$3665,$K77))</f>
        <v/>
      </c>
      <c r="D77" s="186">
        <f>IF($K77="","",INDEX(Zeiterfassung!$D$6:$D$3665,$K77))</f>
        <v/>
      </c>
      <c r="E77" s="186">
        <f>IF($K77="","",INDEX(Zeiterfassung!$E$6:$E$3665,$K77))</f>
        <v/>
      </c>
      <c r="F77" s="187">
        <f>IF($K77="","",INDEX(Zeiterfassung!$F$6:$F$3665,$K77))</f>
        <v/>
      </c>
      <c r="G77" s="187">
        <f>IF($K77="","",INDEX(Zeiterfassung!$G$6:$G$3665,$K77))</f>
        <v/>
      </c>
      <c r="H77" s="188">
        <f>IF($K77="","",INDEX(Zeiterfassung!$H$6:$H$3665,$K77))</f>
        <v/>
      </c>
      <c r="I77" s="335">
        <f>IF(B77=B76,"",IF($K77="","",INDEX(Zeiterfassung!$I$6:$I$3665,MATCH(INDEX(Zeiterfassung!$K$6:$K$3665,$K77),Zeiterfassung!$K$6:$K$3665,0))))</f>
        <v/>
      </c>
      <c r="J77" s="335">
        <f>IF(B77=B76,"",IF($K77="","",INDEX(Zeiterfassung!$J$6:$J$3665,MATCH(INDEX(Zeiterfassung!$K$6:$K$3665,$K77),Zeiterfassung!$K$6:$K$3665,0))))</f>
        <v/>
      </c>
      <c r="K77">
        <f>IFERROR(AGGREGATE(15,6,(ROW(Zeiterfassung!$D$6:$D$3665)-ROW(Zeiterfassung!$D$6)+1)/(Zeiterfassung!$D$6:$D$3665&lt;&gt;""),72),"")</f>
        <v/>
      </c>
    </row>
    <row r="78" ht="20" customHeight="1">
      <c r="A78" s="183">
        <f>IF($K78="","",WEEKNUM(INDEX(Zeiterfassung!$K$6:$K$3665,$K78),21))</f>
        <v/>
      </c>
      <c r="B78" s="184">
        <f>IF($K78="","",INDEX(Zeiterfassung!$K$6:$K$3665,$K78))</f>
        <v/>
      </c>
      <c r="C78" s="185">
        <f>IF($K78="","",INDEX(Zeiterfassung!$K$6:$K$3665,$K78))</f>
        <v/>
      </c>
      <c r="D78" s="186">
        <f>IF($K78="","",INDEX(Zeiterfassung!$D$6:$D$3665,$K78))</f>
        <v/>
      </c>
      <c r="E78" s="186">
        <f>IF($K78="","",INDEX(Zeiterfassung!$E$6:$E$3665,$K78))</f>
        <v/>
      </c>
      <c r="F78" s="187">
        <f>IF($K78="","",INDEX(Zeiterfassung!$F$6:$F$3665,$K78))</f>
        <v/>
      </c>
      <c r="G78" s="187">
        <f>IF($K78="","",INDEX(Zeiterfassung!$G$6:$G$3665,$K78))</f>
        <v/>
      </c>
      <c r="H78" s="188">
        <f>IF($K78="","",INDEX(Zeiterfassung!$H$6:$H$3665,$K78))</f>
        <v/>
      </c>
      <c r="I78" s="335">
        <f>IF(B78=B77,"",IF($K78="","",INDEX(Zeiterfassung!$I$6:$I$3665,MATCH(INDEX(Zeiterfassung!$K$6:$K$3665,$K78),Zeiterfassung!$K$6:$K$3665,0))))</f>
        <v/>
      </c>
      <c r="J78" s="335">
        <f>IF(B78=B77,"",IF($K78="","",INDEX(Zeiterfassung!$J$6:$J$3665,MATCH(INDEX(Zeiterfassung!$K$6:$K$3665,$K78),Zeiterfassung!$K$6:$K$3665,0))))</f>
        <v/>
      </c>
      <c r="K78">
        <f>IFERROR(AGGREGATE(15,6,(ROW(Zeiterfassung!$D$6:$D$3665)-ROW(Zeiterfassung!$D$6)+1)/(Zeiterfassung!$D$6:$D$3665&lt;&gt;""),73),"")</f>
        <v/>
      </c>
    </row>
    <row r="79" ht="20" customHeight="1">
      <c r="A79" s="183">
        <f>IF($K79="","",WEEKNUM(INDEX(Zeiterfassung!$K$6:$K$3665,$K79),21))</f>
        <v/>
      </c>
      <c r="B79" s="184">
        <f>IF($K79="","",INDEX(Zeiterfassung!$K$6:$K$3665,$K79))</f>
        <v/>
      </c>
      <c r="C79" s="185">
        <f>IF($K79="","",INDEX(Zeiterfassung!$K$6:$K$3665,$K79))</f>
        <v/>
      </c>
      <c r="D79" s="186">
        <f>IF($K79="","",INDEX(Zeiterfassung!$D$6:$D$3665,$K79))</f>
        <v/>
      </c>
      <c r="E79" s="186">
        <f>IF($K79="","",INDEX(Zeiterfassung!$E$6:$E$3665,$K79))</f>
        <v/>
      </c>
      <c r="F79" s="187">
        <f>IF($K79="","",INDEX(Zeiterfassung!$F$6:$F$3665,$K79))</f>
        <v/>
      </c>
      <c r="G79" s="187">
        <f>IF($K79="","",INDEX(Zeiterfassung!$G$6:$G$3665,$K79))</f>
        <v/>
      </c>
      <c r="H79" s="188">
        <f>IF($K79="","",INDEX(Zeiterfassung!$H$6:$H$3665,$K79))</f>
        <v/>
      </c>
      <c r="I79" s="335">
        <f>IF(B79=B78,"",IF($K79="","",INDEX(Zeiterfassung!$I$6:$I$3665,MATCH(INDEX(Zeiterfassung!$K$6:$K$3665,$K79),Zeiterfassung!$K$6:$K$3665,0))))</f>
        <v/>
      </c>
      <c r="J79" s="335">
        <f>IF(B79=B78,"",IF($K79="","",INDEX(Zeiterfassung!$J$6:$J$3665,MATCH(INDEX(Zeiterfassung!$K$6:$K$3665,$K79),Zeiterfassung!$K$6:$K$3665,0))))</f>
        <v/>
      </c>
      <c r="K79">
        <f>IFERROR(AGGREGATE(15,6,(ROW(Zeiterfassung!$D$6:$D$3665)-ROW(Zeiterfassung!$D$6)+1)/(Zeiterfassung!$D$6:$D$3665&lt;&gt;""),74),"")</f>
        <v/>
      </c>
    </row>
    <row r="80" ht="20" customHeight="1">
      <c r="A80" s="183">
        <f>IF($K80="","",WEEKNUM(INDEX(Zeiterfassung!$K$6:$K$3665,$K80),21))</f>
        <v/>
      </c>
      <c r="B80" s="184">
        <f>IF($K80="","",INDEX(Zeiterfassung!$K$6:$K$3665,$K80))</f>
        <v/>
      </c>
      <c r="C80" s="185">
        <f>IF($K80="","",INDEX(Zeiterfassung!$K$6:$K$3665,$K80))</f>
        <v/>
      </c>
      <c r="D80" s="186">
        <f>IF($K80="","",INDEX(Zeiterfassung!$D$6:$D$3665,$K80))</f>
        <v/>
      </c>
      <c r="E80" s="186">
        <f>IF($K80="","",INDEX(Zeiterfassung!$E$6:$E$3665,$K80))</f>
        <v/>
      </c>
      <c r="F80" s="187">
        <f>IF($K80="","",INDEX(Zeiterfassung!$F$6:$F$3665,$K80))</f>
        <v/>
      </c>
      <c r="G80" s="187">
        <f>IF($K80="","",INDEX(Zeiterfassung!$G$6:$G$3665,$K80))</f>
        <v/>
      </c>
      <c r="H80" s="188">
        <f>IF($K80="","",INDEX(Zeiterfassung!$H$6:$H$3665,$K80))</f>
        <v/>
      </c>
      <c r="I80" s="335">
        <f>IF(B80=B79,"",IF($K80="","",INDEX(Zeiterfassung!$I$6:$I$3665,MATCH(INDEX(Zeiterfassung!$K$6:$K$3665,$K80),Zeiterfassung!$K$6:$K$3665,0))))</f>
        <v/>
      </c>
      <c r="J80" s="335">
        <f>IF(B80=B79,"",IF($K80="","",INDEX(Zeiterfassung!$J$6:$J$3665,MATCH(INDEX(Zeiterfassung!$K$6:$K$3665,$K80),Zeiterfassung!$K$6:$K$3665,0))))</f>
        <v/>
      </c>
      <c r="K80">
        <f>IFERROR(AGGREGATE(15,6,(ROW(Zeiterfassung!$D$6:$D$3665)-ROW(Zeiterfassung!$D$6)+1)/(Zeiterfassung!$D$6:$D$3665&lt;&gt;""),75),"")</f>
        <v/>
      </c>
    </row>
    <row r="81" ht="20" customHeight="1">
      <c r="A81" s="183">
        <f>IF($K81="","",WEEKNUM(INDEX(Zeiterfassung!$K$6:$K$3665,$K81),21))</f>
        <v/>
      </c>
      <c r="B81" s="184">
        <f>IF($K81="","",INDEX(Zeiterfassung!$K$6:$K$3665,$K81))</f>
        <v/>
      </c>
      <c r="C81" s="185">
        <f>IF($K81="","",INDEX(Zeiterfassung!$K$6:$K$3665,$K81))</f>
        <v/>
      </c>
      <c r="D81" s="186">
        <f>IF($K81="","",INDEX(Zeiterfassung!$D$6:$D$3665,$K81))</f>
        <v/>
      </c>
      <c r="E81" s="186">
        <f>IF($K81="","",INDEX(Zeiterfassung!$E$6:$E$3665,$K81))</f>
        <v/>
      </c>
      <c r="F81" s="187">
        <f>IF($K81="","",INDEX(Zeiterfassung!$F$6:$F$3665,$K81))</f>
        <v/>
      </c>
      <c r="G81" s="187">
        <f>IF($K81="","",INDEX(Zeiterfassung!$G$6:$G$3665,$K81))</f>
        <v/>
      </c>
      <c r="H81" s="188">
        <f>IF($K81="","",INDEX(Zeiterfassung!$H$6:$H$3665,$K81))</f>
        <v/>
      </c>
      <c r="I81" s="335">
        <f>IF(B81=B80,"",IF($K81="","",INDEX(Zeiterfassung!$I$6:$I$3665,MATCH(INDEX(Zeiterfassung!$K$6:$K$3665,$K81),Zeiterfassung!$K$6:$K$3665,0))))</f>
        <v/>
      </c>
      <c r="J81" s="335">
        <f>IF(B81=B80,"",IF($K81="","",INDEX(Zeiterfassung!$J$6:$J$3665,MATCH(INDEX(Zeiterfassung!$K$6:$K$3665,$K81),Zeiterfassung!$K$6:$K$3665,0))))</f>
        <v/>
      </c>
      <c r="K81">
        <f>IFERROR(AGGREGATE(15,6,(ROW(Zeiterfassung!$D$6:$D$3665)-ROW(Zeiterfassung!$D$6)+1)/(Zeiterfassung!$D$6:$D$3665&lt;&gt;""),76),"")</f>
        <v/>
      </c>
    </row>
    <row r="82" ht="20" customHeight="1">
      <c r="A82" s="183">
        <f>IF($K82="","",WEEKNUM(INDEX(Zeiterfassung!$K$6:$K$3665,$K82),21))</f>
        <v/>
      </c>
      <c r="B82" s="184">
        <f>IF($K82="","",INDEX(Zeiterfassung!$K$6:$K$3665,$K82))</f>
        <v/>
      </c>
      <c r="C82" s="185">
        <f>IF($K82="","",INDEX(Zeiterfassung!$K$6:$K$3665,$K82))</f>
        <v/>
      </c>
      <c r="D82" s="186">
        <f>IF($K82="","",INDEX(Zeiterfassung!$D$6:$D$3665,$K82))</f>
        <v/>
      </c>
      <c r="E82" s="186">
        <f>IF($K82="","",INDEX(Zeiterfassung!$E$6:$E$3665,$K82))</f>
        <v/>
      </c>
      <c r="F82" s="187">
        <f>IF($K82="","",INDEX(Zeiterfassung!$F$6:$F$3665,$K82))</f>
        <v/>
      </c>
      <c r="G82" s="187">
        <f>IF($K82="","",INDEX(Zeiterfassung!$G$6:$G$3665,$K82))</f>
        <v/>
      </c>
      <c r="H82" s="188">
        <f>IF($K82="","",INDEX(Zeiterfassung!$H$6:$H$3665,$K82))</f>
        <v/>
      </c>
      <c r="I82" s="335">
        <f>IF(B82=B81,"",IF($K82="","",INDEX(Zeiterfassung!$I$6:$I$3665,MATCH(INDEX(Zeiterfassung!$K$6:$K$3665,$K82),Zeiterfassung!$K$6:$K$3665,0))))</f>
        <v/>
      </c>
      <c r="J82" s="335">
        <f>IF(B82=B81,"",IF($K82="","",INDEX(Zeiterfassung!$J$6:$J$3665,MATCH(INDEX(Zeiterfassung!$K$6:$K$3665,$K82),Zeiterfassung!$K$6:$K$3665,0))))</f>
        <v/>
      </c>
      <c r="K82">
        <f>IFERROR(AGGREGATE(15,6,(ROW(Zeiterfassung!$D$6:$D$3665)-ROW(Zeiterfassung!$D$6)+1)/(Zeiterfassung!$D$6:$D$3665&lt;&gt;""),77),"")</f>
        <v/>
      </c>
    </row>
    <row r="83" ht="20" customHeight="1">
      <c r="A83" s="183">
        <f>IF($K83="","",WEEKNUM(INDEX(Zeiterfassung!$K$6:$K$3665,$K83),21))</f>
        <v/>
      </c>
      <c r="B83" s="184">
        <f>IF($K83="","",INDEX(Zeiterfassung!$K$6:$K$3665,$K83))</f>
        <v/>
      </c>
      <c r="C83" s="185">
        <f>IF($K83="","",INDEX(Zeiterfassung!$K$6:$K$3665,$K83))</f>
        <v/>
      </c>
      <c r="D83" s="186">
        <f>IF($K83="","",INDEX(Zeiterfassung!$D$6:$D$3665,$K83))</f>
        <v/>
      </c>
      <c r="E83" s="186">
        <f>IF($K83="","",INDEX(Zeiterfassung!$E$6:$E$3665,$K83))</f>
        <v/>
      </c>
      <c r="F83" s="187">
        <f>IF($K83="","",INDEX(Zeiterfassung!$F$6:$F$3665,$K83))</f>
        <v/>
      </c>
      <c r="G83" s="187">
        <f>IF($K83="","",INDEX(Zeiterfassung!$G$6:$G$3665,$K83))</f>
        <v/>
      </c>
      <c r="H83" s="188">
        <f>IF($K83="","",INDEX(Zeiterfassung!$H$6:$H$3665,$K83))</f>
        <v/>
      </c>
      <c r="I83" s="335">
        <f>IF(B83=B82,"",IF($K83="","",INDEX(Zeiterfassung!$I$6:$I$3665,MATCH(INDEX(Zeiterfassung!$K$6:$K$3665,$K83),Zeiterfassung!$K$6:$K$3665,0))))</f>
        <v/>
      </c>
      <c r="J83" s="335">
        <f>IF(B83=B82,"",IF($K83="","",INDEX(Zeiterfassung!$J$6:$J$3665,MATCH(INDEX(Zeiterfassung!$K$6:$K$3665,$K83),Zeiterfassung!$K$6:$K$3665,0))))</f>
        <v/>
      </c>
      <c r="K83">
        <f>IFERROR(AGGREGATE(15,6,(ROW(Zeiterfassung!$D$6:$D$3665)-ROW(Zeiterfassung!$D$6)+1)/(Zeiterfassung!$D$6:$D$3665&lt;&gt;""),78),"")</f>
        <v/>
      </c>
    </row>
    <row r="84" ht="20" customHeight="1">
      <c r="A84" s="183">
        <f>IF($K84="","",WEEKNUM(INDEX(Zeiterfassung!$K$6:$K$3665,$K84),21))</f>
        <v/>
      </c>
      <c r="B84" s="184">
        <f>IF($K84="","",INDEX(Zeiterfassung!$K$6:$K$3665,$K84))</f>
        <v/>
      </c>
      <c r="C84" s="185">
        <f>IF($K84="","",INDEX(Zeiterfassung!$K$6:$K$3665,$K84))</f>
        <v/>
      </c>
      <c r="D84" s="186">
        <f>IF($K84="","",INDEX(Zeiterfassung!$D$6:$D$3665,$K84))</f>
        <v/>
      </c>
      <c r="E84" s="186">
        <f>IF($K84="","",INDEX(Zeiterfassung!$E$6:$E$3665,$K84))</f>
        <v/>
      </c>
      <c r="F84" s="187">
        <f>IF($K84="","",INDEX(Zeiterfassung!$F$6:$F$3665,$K84))</f>
        <v/>
      </c>
      <c r="G84" s="187">
        <f>IF($K84="","",INDEX(Zeiterfassung!$G$6:$G$3665,$K84))</f>
        <v/>
      </c>
      <c r="H84" s="188">
        <f>IF($K84="","",INDEX(Zeiterfassung!$H$6:$H$3665,$K84))</f>
        <v/>
      </c>
      <c r="I84" s="335">
        <f>IF(B84=B83,"",IF($K84="","",INDEX(Zeiterfassung!$I$6:$I$3665,MATCH(INDEX(Zeiterfassung!$K$6:$K$3665,$K84),Zeiterfassung!$K$6:$K$3665,0))))</f>
        <v/>
      </c>
      <c r="J84" s="335">
        <f>IF(B84=B83,"",IF($K84="","",INDEX(Zeiterfassung!$J$6:$J$3665,MATCH(INDEX(Zeiterfassung!$K$6:$K$3665,$K84),Zeiterfassung!$K$6:$K$3665,0))))</f>
        <v/>
      </c>
      <c r="K84">
        <f>IFERROR(AGGREGATE(15,6,(ROW(Zeiterfassung!$D$6:$D$3665)-ROW(Zeiterfassung!$D$6)+1)/(Zeiterfassung!$D$6:$D$3665&lt;&gt;""),79),"")</f>
        <v/>
      </c>
    </row>
    <row r="85" ht="20" customHeight="1">
      <c r="A85" s="183">
        <f>IF($K85="","",WEEKNUM(INDEX(Zeiterfassung!$K$6:$K$3665,$K85),21))</f>
        <v/>
      </c>
      <c r="B85" s="184">
        <f>IF($K85="","",INDEX(Zeiterfassung!$K$6:$K$3665,$K85))</f>
        <v/>
      </c>
      <c r="C85" s="185">
        <f>IF($K85="","",INDEX(Zeiterfassung!$K$6:$K$3665,$K85))</f>
        <v/>
      </c>
      <c r="D85" s="186">
        <f>IF($K85="","",INDEX(Zeiterfassung!$D$6:$D$3665,$K85))</f>
        <v/>
      </c>
      <c r="E85" s="186">
        <f>IF($K85="","",INDEX(Zeiterfassung!$E$6:$E$3665,$K85))</f>
        <v/>
      </c>
      <c r="F85" s="187">
        <f>IF($K85="","",INDEX(Zeiterfassung!$F$6:$F$3665,$K85))</f>
        <v/>
      </c>
      <c r="G85" s="187">
        <f>IF($K85="","",INDEX(Zeiterfassung!$G$6:$G$3665,$K85))</f>
        <v/>
      </c>
      <c r="H85" s="188">
        <f>IF($K85="","",INDEX(Zeiterfassung!$H$6:$H$3665,$K85))</f>
        <v/>
      </c>
      <c r="I85" s="335">
        <f>IF(B85=B84,"",IF($K85="","",INDEX(Zeiterfassung!$I$6:$I$3665,MATCH(INDEX(Zeiterfassung!$K$6:$K$3665,$K85),Zeiterfassung!$K$6:$K$3665,0))))</f>
        <v/>
      </c>
      <c r="J85" s="335">
        <f>IF(B85=B84,"",IF($K85="","",INDEX(Zeiterfassung!$J$6:$J$3665,MATCH(INDEX(Zeiterfassung!$K$6:$K$3665,$K85),Zeiterfassung!$K$6:$K$3665,0))))</f>
        <v/>
      </c>
      <c r="K85">
        <f>IFERROR(AGGREGATE(15,6,(ROW(Zeiterfassung!$D$6:$D$3665)-ROW(Zeiterfassung!$D$6)+1)/(Zeiterfassung!$D$6:$D$3665&lt;&gt;""),80),"")</f>
        <v/>
      </c>
    </row>
    <row r="86" ht="20" customHeight="1">
      <c r="A86" s="183">
        <f>IF($K86="","",WEEKNUM(INDEX(Zeiterfassung!$K$6:$K$3665,$K86),21))</f>
        <v/>
      </c>
      <c r="B86" s="184">
        <f>IF($K86="","",INDEX(Zeiterfassung!$K$6:$K$3665,$K86))</f>
        <v/>
      </c>
      <c r="C86" s="185">
        <f>IF($K86="","",INDEX(Zeiterfassung!$K$6:$K$3665,$K86))</f>
        <v/>
      </c>
      <c r="D86" s="186">
        <f>IF($K86="","",INDEX(Zeiterfassung!$D$6:$D$3665,$K86))</f>
        <v/>
      </c>
      <c r="E86" s="186">
        <f>IF($K86="","",INDEX(Zeiterfassung!$E$6:$E$3665,$K86))</f>
        <v/>
      </c>
      <c r="F86" s="187">
        <f>IF($K86="","",INDEX(Zeiterfassung!$F$6:$F$3665,$K86))</f>
        <v/>
      </c>
      <c r="G86" s="187">
        <f>IF($K86="","",INDEX(Zeiterfassung!$G$6:$G$3665,$K86))</f>
        <v/>
      </c>
      <c r="H86" s="188">
        <f>IF($K86="","",INDEX(Zeiterfassung!$H$6:$H$3665,$K86))</f>
        <v/>
      </c>
      <c r="I86" s="335">
        <f>IF(B86=B85,"",IF($K86="","",INDEX(Zeiterfassung!$I$6:$I$3665,MATCH(INDEX(Zeiterfassung!$K$6:$K$3665,$K86),Zeiterfassung!$K$6:$K$3665,0))))</f>
        <v/>
      </c>
      <c r="J86" s="335">
        <f>IF(B86=B85,"",IF($K86="","",INDEX(Zeiterfassung!$J$6:$J$3665,MATCH(INDEX(Zeiterfassung!$K$6:$K$3665,$K86),Zeiterfassung!$K$6:$K$3665,0))))</f>
        <v/>
      </c>
      <c r="K86">
        <f>IFERROR(AGGREGATE(15,6,(ROW(Zeiterfassung!$D$6:$D$3665)-ROW(Zeiterfassung!$D$6)+1)/(Zeiterfassung!$D$6:$D$3665&lt;&gt;""),81),"")</f>
        <v/>
      </c>
    </row>
    <row r="87" ht="20" customHeight="1">
      <c r="A87" s="183">
        <f>IF($K87="","",WEEKNUM(INDEX(Zeiterfassung!$K$6:$K$3665,$K87),21))</f>
        <v/>
      </c>
      <c r="B87" s="184">
        <f>IF($K87="","",INDEX(Zeiterfassung!$K$6:$K$3665,$K87))</f>
        <v/>
      </c>
      <c r="C87" s="185">
        <f>IF($K87="","",INDEX(Zeiterfassung!$K$6:$K$3665,$K87))</f>
        <v/>
      </c>
      <c r="D87" s="186">
        <f>IF($K87="","",INDEX(Zeiterfassung!$D$6:$D$3665,$K87))</f>
        <v/>
      </c>
      <c r="E87" s="186">
        <f>IF($K87="","",INDEX(Zeiterfassung!$E$6:$E$3665,$K87))</f>
        <v/>
      </c>
      <c r="F87" s="187">
        <f>IF($K87="","",INDEX(Zeiterfassung!$F$6:$F$3665,$K87))</f>
        <v/>
      </c>
      <c r="G87" s="187">
        <f>IF($K87="","",INDEX(Zeiterfassung!$G$6:$G$3665,$K87))</f>
        <v/>
      </c>
      <c r="H87" s="188">
        <f>IF($K87="","",INDEX(Zeiterfassung!$H$6:$H$3665,$K87))</f>
        <v/>
      </c>
      <c r="I87" s="335">
        <f>IF(B87=B86,"",IF($K87="","",INDEX(Zeiterfassung!$I$6:$I$3665,MATCH(INDEX(Zeiterfassung!$K$6:$K$3665,$K87),Zeiterfassung!$K$6:$K$3665,0))))</f>
        <v/>
      </c>
      <c r="J87" s="335">
        <f>IF(B87=B86,"",IF($K87="","",INDEX(Zeiterfassung!$J$6:$J$3665,MATCH(INDEX(Zeiterfassung!$K$6:$K$3665,$K87),Zeiterfassung!$K$6:$K$3665,0))))</f>
        <v/>
      </c>
      <c r="K87">
        <f>IFERROR(AGGREGATE(15,6,(ROW(Zeiterfassung!$D$6:$D$3665)-ROW(Zeiterfassung!$D$6)+1)/(Zeiterfassung!$D$6:$D$3665&lt;&gt;""),82),"")</f>
        <v/>
      </c>
    </row>
    <row r="88" ht="20" customHeight="1">
      <c r="A88" s="183">
        <f>IF($K88="","",WEEKNUM(INDEX(Zeiterfassung!$K$6:$K$3665,$K88),21))</f>
        <v/>
      </c>
      <c r="B88" s="184">
        <f>IF($K88="","",INDEX(Zeiterfassung!$K$6:$K$3665,$K88))</f>
        <v/>
      </c>
      <c r="C88" s="185">
        <f>IF($K88="","",INDEX(Zeiterfassung!$K$6:$K$3665,$K88))</f>
        <v/>
      </c>
      <c r="D88" s="186">
        <f>IF($K88="","",INDEX(Zeiterfassung!$D$6:$D$3665,$K88))</f>
        <v/>
      </c>
      <c r="E88" s="186">
        <f>IF($K88="","",INDEX(Zeiterfassung!$E$6:$E$3665,$K88))</f>
        <v/>
      </c>
      <c r="F88" s="187">
        <f>IF($K88="","",INDEX(Zeiterfassung!$F$6:$F$3665,$K88))</f>
        <v/>
      </c>
      <c r="G88" s="187">
        <f>IF($K88="","",INDEX(Zeiterfassung!$G$6:$G$3665,$K88))</f>
        <v/>
      </c>
      <c r="H88" s="188">
        <f>IF($K88="","",INDEX(Zeiterfassung!$H$6:$H$3665,$K88))</f>
        <v/>
      </c>
      <c r="I88" s="335">
        <f>IF(B88=B87,"",IF($K88="","",INDEX(Zeiterfassung!$I$6:$I$3665,MATCH(INDEX(Zeiterfassung!$K$6:$K$3665,$K88),Zeiterfassung!$K$6:$K$3665,0))))</f>
        <v/>
      </c>
      <c r="J88" s="335">
        <f>IF(B88=B87,"",IF($K88="","",INDEX(Zeiterfassung!$J$6:$J$3665,MATCH(INDEX(Zeiterfassung!$K$6:$K$3665,$K88),Zeiterfassung!$K$6:$K$3665,0))))</f>
        <v/>
      </c>
      <c r="K88">
        <f>IFERROR(AGGREGATE(15,6,(ROW(Zeiterfassung!$D$6:$D$3665)-ROW(Zeiterfassung!$D$6)+1)/(Zeiterfassung!$D$6:$D$3665&lt;&gt;""),83),"")</f>
        <v/>
      </c>
    </row>
    <row r="89" ht="20" customHeight="1">
      <c r="A89" s="183">
        <f>IF($K89="","",WEEKNUM(INDEX(Zeiterfassung!$K$6:$K$3665,$K89),21))</f>
        <v/>
      </c>
      <c r="B89" s="184">
        <f>IF($K89="","",INDEX(Zeiterfassung!$K$6:$K$3665,$K89))</f>
        <v/>
      </c>
      <c r="C89" s="185">
        <f>IF($K89="","",INDEX(Zeiterfassung!$K$6:$K$3665,$K89))</f>
        <v/>
      </c>
      <c r="D89" s="186">
        <f>IF($K89="","",INDEX(Zeiterfassung!$D$6:$D$3665,$K89))</f>
        <v/>
      </c>
      <c r="E89" s="186">
        <f>IF($K89="","",INDEX(Zeiterfassung!$E$6:$E$3665,$K89))</f>
        <v/>
      </c>
      <c r="F89" s="187">
        <f>IF($K89="","",INDEX(Zeiterfassung!$F$6:$F$3665,$K89))</f>
        <v/>
      </c>
      <c r="G89" s="187">
        <f>IF($K89="","",INDEX(Zeiterfassung!$G$6:$G$3665,$K89))</f>
        <v/>
      </c>
      <c r="H89" s="188">
        <f>IF($K89="","",INDEX(Zeiterfassung!$H$6:$H$3665,$K89))</f>
        <v/>
      </c>
      <c r="I89" s="335">
        <f>IF(B89=B88,"",IF($K89="","",INDEX(Zeiterfassung!$I$6:$I$3665,MATCH(INDEX(Zeiterfassung!$K$6:$K$3665,$K89),Zeiterfassung!$K$6:$K$3665,0))))</f>
        <v/>
      </c>
      <c r="J89" s="335">
        <f>IF(B89=B88,"",IF($K89="","",INDEX(Zeiterfassung!$J$6:$J$3665,MATCH(INDEX(Zeiterfassung!$K$6:$K$3665,$K89),Zeiterfassung!$K$6:$K$3665,0))))</f>
        <v/>
      </c>
      <c r="K89">
        <f>IFERROR(AGGREGATE(15,6,(ROW(Zeiterfassung!$D$6:$D$3665)-ROW(Zeiterfassung!$D$6)+1)/(Zeiterfassung!$D$6:$D$3665&lt;&gt;""),84),"")</f>
        <v/>
      </c>
    </row>
    <row r="90" ht="20" customHeight="1">
      <c r="A90" s="183">
        <f>IF($K90="","",WEEKNUM(INDEX(Zeiterfassung!$K$6:$K$3665,$K90),21))</f>
        <v/>
      </c>
      <c r="B90" s="184">
        <f>IF($K90="","",INDEX(Zeiterfassung!$K$6:$K$3665,$K90))</f>
        <v/>
      </c>
      <c r="C90" s="185">
        <f>IF($K90="","",INDEX(Zeiterfassung!$K$6:$K$3665,$K90))</f>
        <v/>
      </c>
      <c r="D90" s="186">
        <f>IF($K90="","",INDEX(Zeiterfassung!$D$6:$D$3665,$K90))</f>
        <v/>
      </c>
      <c r="E90" s="186">
        <f>IF($K90="","",INDEX(Zeiterfassung!$E$6:$E$3665,$K90))</f>
        <v/>
      </c>
      <c r="F90" s="187">
        <f>IF($K90="","",INDEX(Zeiterfassung!$F$6:$F$3665,$K90))</f>
        <v/>
      </c>
      <c r="G90" s="187">
        <f>IF($K90="","",INDEX(Zeiterfassung!$G$6:$G$3665,$K90))</f>
        <v/>
      </c>
      <c r="H90" s="188">
        <f>IF($K90="","",INDEX(Zeiterfassung!$H$6:$H$3665,$K90))</f>
        <v/>
      </c>
      <c r="I90" s="335">
        <f>IF(B90=B89,"",IF($K90="","",INDEX(Zeiterfassung!$I$6:$I$3665,MATCH(INDEX(Zeiterfassung!$K$6:$K$3665,$K90),Zeiterfassung!$K$6:$K$3665,0))))</f>
        <v/>
      </c>
      <c r="J90" s="335">
        <f>IF(B90=B89,"",IF($K90="","",INDEX(Zeiterfassung!$J$6:$J$3665,MATCH(INDEX(Zeiterfassung!$K$6:$K$3665,$K90),Zeiterfassung!$K$6:$K$3665,0))))</f>
        <v/>
      </c>
      <c r="K90">
        <f>IFERROR(AGGREGATE(15,6,(ROW(Zeiterfassung!$D$6:$D$3665)-ROW(Zeiterfassung!$D$6)+1)/(Zeiterfassung!$D$6:$D$3665&lt;&gt;""),85),"")</f>
        <v/>
      </c>
    </row>
    <row r="91" ht="20" customHeight="1">
      <c r="A91" s="183">
        <f>IF($K91="","",WEEKNUM(INDEX(Zeiterfassung!$K$6:$K$3665,$K91),21))</f>
        <v/>
      </c>
      <c r="B91" s="184">
        <f>IF($K91="","",INDEX(Zeiterfassung!$K$6:$K$3665,$K91))</f>
        <v/>
      </c>
      <c r="C91" s="185">
        <f>IF($K91="","",INDEX(Zeiterfassung!$K$6:$K$3665,$K91))</f>
        <v/>
      </c>
      <c r="D91" s="186">
        <f>IF($K91="","",INDEX(Zeiterfassung!$D$6:$D$3665,$K91))</f>
        <v/>
      </c>
      <c r="E91" s="186">
        <f>IF($K91="","",INDEX(Zeiterfassung!$E$6:$E$3665,$K91))</f>
        <v/>
      </c>
      <c r="F91" s="187">
        <f>IF($K91="","",INDEX(Zeiterfassung!$F$6:$F$3665,$K91))</f>
        <v/>
      </c>
      <c r="G91" s="187">
        <f>IF($K91="","",INDEX(Zeiterfassung!$G$6:$G$3665,$K91))</f>
        <v/>
      </c>
      <c r="H91" s="188">
        <f>IF($K91="","",INDEX(Zeiterfassung!$H$6:$H$3665,$K91))</f>
        <v/>
      </c>
      <c r="I91" s="335">
        <f>IF(B91=B90,"",IF($K91="","",INDEX(Zeiterfassung!$I$6:$I$3665,MATCH(INDEX(Zeiterfassung!$K$6:$K$3665,$K91),Zeiterfassung!$K$6:$K$3665,0))))</f>
        <v/>
      </c>
      <c r="J91" s="335">
        <f>IF(B91=B90,"",IF($K91="","",INDEX(Zeiterfassung!$J$6:$J$3665,MATCH(INDEX(Zeiterfassung!$K$6:$K$3665,$K91),Zeiterfassung!$K$6:$K$3665,0))))</f>
        <v/>
      </c>
      <c r="K91">
        <f>IFERROR(AGGREGATE(15,6,(ROW(Zeiterfassung!$D$6:$D$3665)-ROW(Zeiterfassung!$D$6)+1)/(Zeiterfassung!$D$6:$D$3665&lt;&gt;""),86),"")</f>
        <v/>
      </c>
    </row>
    <row r="92" ht="20" customHeight="1">
      <c r="A92" s="183">
        <f>IF($K92="","",WEEKNUM(INDEX(Zeiterfassung!$K$6:$K$3665,$K92),21))</f>
        <v/>
      </c>
      <c r="B92" s="184">
        <f>IF($K92="","",INDEX(Zeiterfassung!$K$6:$K$3665,$K92))</f>
        <v/>
      </c>
      <c r="C92" s="185">
        <f>IF($K92="","",INDEX(Zeiterfassung!$K$6:$K$3665,$K92))</f>
        <v/>
      </c>
      <c r="D92" s="186">
        <f>IF($K92="","",INDEX(Zeiterfassung!$D$6:$D$3665,$K92))</f>
        <v/>
      </c>
      <c r="E92" s="186">
        <f>IF($K92="","",INDEX(Zeiterfassung!$E$6:$E$3665,$K92))</f>
        <v/>
      </c>
      <c r="F92" s="187">
        <f>IF($K92="","",INDEX(Zeiterfassung!$F$6:$F$3665,$K92))</f>
        <v/>
      </c>
      <c r="G92" s="187">
        <f>IF($K92="","",INDEX(Zeiterfassung!$G$6:$G$3665,$K92))</f>
        <v/>
      </c>
      <c r="H92" s="188">
        <f>IF($K92="","",INDEX(Zeiterfassung!$H$6:$H$3665,$K92))</f>
        <v/>
      </c>
      <c r="I92" s="335">
        <f>IF(B92=B91,"",IF($K92="","",INDEX(Zeiterfassung!$I$6:$I$3665,MATCH(INDEX(Zeiterfassung!$K$6:$K$3665,$K92),Zeiterfassung!$K$6:$K$3665,0))))</f>
        <v/>
      </c>
      <c r="J92" s="335">
        <f>IF(B92=B91,"",IF($K92="","",INDEX(Zeiterfassung!$J$6:$J$3665,MATCH(INDEX(Zeiterfassung!$K$6:$K$3665,$K92),Zeiterfassung!$K$6:$K$3665,0))))</f>
        <v/>
      </c>
      <c r="K92">
        <f>IFERROR(AGGREGATE(15,6,(ROW(Zeiterfassung!$D$6:$D$3665)-ROW(Zeiterfassung!$D$6)+1)/(Zeiterfassung!$D$6:$D$3665&lt;&gt;""),87),"")</f>
        <v/>
      </c>
    </row>
    <row r="93" ht="20" customHeight="1">
      <c r="A93" s="183">
        <f>IF($K93="","",WEEKNUM(INDEX(Zeiterfassung!$K$6:$K$3665,$K93),21))</f>
        <v/>
      </c>
      <c r="B93" s="184">
        <f>IF($K93="","",INDEX(Zeiterfassung!$K$6:$K$3665,$K93))</f>
        <v/>
      </c>
      <c r="C93" s="185">
        <f>IF($K93="","",INDEX(Zeiterfassung!$K$6:$K$3665,$K93))</f>
        <v/>
      </c>
      <c r="D93" s="186">
        <f>IF($K93="","",INDEX(Zeiterfassung!$D$6:$D$3665,$K93))</f>
        <v/>
      </c>
      <c r="E93" s="186">
        <f>IF($K93="","",INDEX(Zeiterfassung!$E$6:$E$3665,$K93))</f>
        <v/>
      </c>
      <c r="F93" s="187">
        <f>IF($K93="","",INDEX(Zeiterfassung!$F$6:$F$3665,$K93))</f>
        <v/>
      </c>
      <c r="G93" s="187">
        <f>IF($K93="","",INDEX(Zeiterfassung!$G$6:$G$3665,$K93))</f>
        <v/>
      </c>
      <c r="H93" s="188">
        <f>IF($K93="","",INDEX(Zeiterfassung!$H$6:$H$3665,$K93))</f>
        <v/>
      </c>
      <c r="I93" s="335">
        <f>IF(B93=B92,"",IF($K93="","",INDEX(Zeiterfassung!$I$6:$I$3665,MATCH(INDEX(Zeiterfassung!$K$6:$K$3665,$K93),Zeiterfassung!$K$6:$K$3665,0))))</f>
        <v/>
      </c>
      <c r="J93" s="335">
        <f>IF(B93=B92,"",IF($K93="","",INDEX(Zeiterfassung!$J$6:$J$3665,MATCH(INDEX(Zeiterfassung!$K$6:$K$3665,$K93),Zeiterfassung!$K$6:$K$3665,0))))</f>
        <v/>
      </c>
      <c r="K93">
        <f>IFERROR(AGGREGATE(15,6,(ROW(Zeiterfassung!$D$6:$D$3665)-ROW(Zeiterfassung!$D$6)+1)/(Zeiterfassung!$D$6:$D$3665&lt;&gt;""),88),"")</f>
        <v/>
      </c>
    </row>
    <row r="94" ht="20" customHeight="1">
      <c r="A94" s="183">
        <f>IF($K94="","",WEEKNUM(INDEX(Zeiterfassung!$K$6:$K$3665,$K94),21))</f>
        <v/>
      </c>
      <c r="B94" s="184">
        <f>IF($K94="","",INDEX(Zeiterfassung!$K$6:$K$3665,$K94))</f>
        <v/>
      </c>
      <c r="C94" s="185">
        <f>IF($K94="","",INDEX(Zeiterfassung!$K$6:$K$3665,$K94))</f>
        <v/>
      </c>
      <c r="D94" s="186">
        <f>IF($K94="","",INDEX(Zeiterfassung!$D$6:$D$3665,$K94))</f>
        <v/>
      </c>
      <c r="E94" s="186">
        <f>IF($K94="","",INDEX(Zeiterfassung!$E$6:$E$3665,$K94))</f>
        <v/>
      </c>
      <c r="F94" s="187">
        <f>IF($K94="","",INDEX(Zeiterfassung!$F$6:$F$3665,$K94))</f>
        <v/>
      </c>
      <c r="G94" s="187">
        <f>IF($K94="","",INDEX(Zeiterfassung!$G$6:$G$3665,$K94))</f>
        <v/>
      </c>
      <c r="H94" s="188">
        <f>IF($K94="","",INDEX(Zeiterfassung!$H$6:$H$3665,$K94))</f>
        <v/>
      </c>
      <c r="I94" s="335">
        <f>IF(B94=B93,"",IF($K94="","",INDEX(Zeiterfassung!$I$6:$I$3665,MATCH(INDEX(Zeiterfassung!$K$6:$K$3665,$K94),Zeiterfassung!$K$6:$K$3665,0))))</f>
        <v/>
      </c>
      <c r="J94" s="335">
        <f>IF(B94=B93,"",IF($K94="","",INDEX(Zeiterfassung!$J$6:$J$3665,MATCH(INDEX(Zeiterfassung!$K$6:$K$3665,$K94),Zeiterfassung!$K$6:$K$3665,0))))</f>
        <v/>
      </c>
      <c r="K94">
        <f>IFERROR(AGGREGATE(15,6,(ROW(Zeiterfassung!$D$6:$D$3665)-ROW(Zeiterfassung!$D$6)+1)/(Zeiterfassung!$D$6:$D$3665&lt;&gt;""),89),"")</f>
        <v/>
      </c>
    </row>
    <row r="95" ht="20" customHeight="1">
      <c r="A95" s="183">
        <f>IF($K95="","",WEEKNUM(INDEX(Zeiterfassung!$K$6:$K$3665,$K95),21))</f>
        <v/>
      </c>
      <c r="B95" s="184">
        <f>IF($K95="","",INDEX(Zeiterfassung!$K$6:$K$3665,$K95))</f>
        <v/>
      </c>
      <c r="C95" s="185">
        <f>IF($K95="","",INDEX(Zeiterfassung!$K$6:$K$3665,$K95))</f>
        <v/>
      </c>
      <c r="D95" s="186">
        <f>IF($K95="","",INDEX(Zeiterfassung!$D$6:$D$3665,$K95))</f>
        <v/>
      </c>
      <c r="E95" s="186">
        <f>IF($K95="","",INDEX(Zeiterfassung!$E$6:$E$3665,$K95))</f>
        <v/>
      </c>
      <c r="F95" s="187">
        <f>IF($K95="","",INDEX(Zeiterfassung!$F$6:$F$3665,$K95))</f>
        <v/>
      </c>
      <c r="G95" s="187">
        <f>IF($K95="","",INDEX(Zeiterfassung!$G$6:$G$3665,$K95))</f>
        <v/>
      </c>
      <c r="H95" s="188">
        <f>IF($K95="","",INDEX(Zeiterfassung!$H$6:$H$3665,$K95))</f>
        <v/>
      </c>
      <c r="I95" s="335">
        <f>IF(B95=B94,"",IF($K95="","",INDEX(Zeiterfassung!$I$6:$I$3665,MATCH(INDEX(Zeiterfassung!$K$6:$K$3665,$K95),Zeiterfassung!$K$6:$K$3665,0))))</f>
        <v/>
      </c>
      <c r="J95" s="335">
        <f>IF(B95=B94,"",IF($K95="","",INDEX(Zeiterfassung!$J$6:$J$3665,MATCH(INDEX(Zeiterfassung!$K$6:$K$3665,$K95),Zeiterfassung!$K$6:$K$3665,0))))</f>
        <v/>
      </c>
      <c r="K95">
        <f>IFERROR(AGGREGATE(15,6,(ROW(Zeiterfassung!$D$6:$D$3665)-ROW(Zeiterfassung!$D$6)+1)/(Zeiterfassung!$D$6:$D$3665&lt;&gt;""),90),"")</f>
        <v/>
      </c>
    </row>
    <row r="96" ht="20" customHeight="1">
      <c r="A96" s="183">
        <f>IF($K96="","",WEEKNUM(INDEX(Zeiterfassung!$K$6:$K$3665,$K96),21))</f>
        <v/>
      </c>
      <c r="B96" s="184">
        <f>IF($K96="","",INDEX(Zeiterfassung!$K$6:$K$3665,$K96))</f>
        <v/>
      </c>
      <c r="C96" s="185">
        <f>IF($K96="","",INDEX(Zeiterfassung!$K$6:$K$3665,$K96))</f>
        <v/>
      </c>
      <c r="D96" s="186">
        <f>IF($K96="","",INDEX(Zeiterfassung!$D$6:$D$3665,$K96))</f>
        <v/>
      </c>
      <c r="E96" s="186">
        <f>IF($K96="","",INDEX(Zeiterfassung!$E$6:$E$3665,$K96))</f>
        <v/>
      </c>
      <c r="F96" s="187">
        <f>IF($K96="","",INDEX(Zeiterfassung!$F$6:$F$3665,$K96))</f>
        <v/>
      </c>
      <c r="G96" s="187">
        <f>IF($K96="","",INDEX(Zeiterfassung!$G$6:$G$3665,$K96))</f>
        <v/>
      </c>
      <c r="H96" s="188">
        <f>IF($K96="","",INDEX(Zeiterfassung!$H$6:$H$3665,$K96))</f>
        <v/>
      </c>
      <c r="I96" s="335">
        <f>IF(B96=B95,"",IF($K96="","",INDEX(Zeiterfassung!$I$6:$I$3665,MATCH(INDEX(Zeiterfassung!$K$6:$K$3665,$K96),Zeiterfassung!$K$6:$K$3665,0))))</f>
        <v/>
      </c>
      <c r="J96" s="335">
        <f>IF(B96=B95,"",IF($K96="","",INDEX(Zeiterfassung!$J$6:$J$3665,MATCH(INDEX(Zeiterfassung!$K$6:$K$3665,$K96),Zeiterfassung!$K$6:$K$3665,0))))</f>
        <v/>
      </c>
      <c r="K96">
        <f>IFERROR(AGGREGATE(15,6,(ROW(Zeiterfassung!$D$6:$D$3665)-ROW(Zeiterfassung!$D$6)+1)/(Zeiterfassung!$D$6:$D$3665&lt;&gt;""),91),"")</f>
        <v/>
      </c>
    </row>
    <row r="97" ht="20" customHeight="1">
      <c r="A97" s="183">
        <f>IF($K97="","",WEEKNUM(INDEX(Zeiterfassung!$K$6:$K$3665,$K97),21))</f>
        <v/>
      </c>
      <c r="B97" s="184">
        <f>IF($K97="","",INDEX(Zeiterfassung!$K$6:$K$3665,$K97))</f>
        <v/>
      </c>
      <c r="C97" s="185">
        <f>IF($K97="","",INDEX(Zeiterfassung!$K$6:$K$3665,$K97))</f>
        <v/>
      </c>
      <c r="D97" s="186">
        <f>IF($K97="","",INDEX(Zeiterfassung!$D$6:$D$3665,$K97))</f>
        <v/>
      </c>
      <c r="E97" s="186">
        <f>IF($K97="","",INDEX(Zeiterfassung!$E$6:$E$3665,$K97))</f>
        <v/>
      </c>
      <c r="F97" s="187">
        <f>IF($K97="","",INDEX(Zeiterfassung!$F$6:$F$3665,$K97))</f>
        <v/>
      </c>
      <c r="G97" s="187">
        <f>IF($K97="","",INDEX(Zeiterfassung!$G$6:$G$3665,$K97))</f>
        <v/>
      </c>
      <c r="H97" s="188">
        <f>IF($K97="","",INDEX(Zeiterfassung!$H$6:$H$3665,$K97))</f>
        <v/>
      </c>
      <c r="I97" s="335">
        <f>IF(B97=B96,"",IF($K97="","",INDEX(Zeiterfassung!$I$6:$I$3665,MATCH(INDEX(Zeiterfassung!$K$6:$K$3665,$K97),Zeiterfassung!$K$6:$K$3665,0))))</f>
        <v/>
      </c>
      <c r="J97" s="335">
        <f>IF(B97=B96,"",IF($K97="","",INDEX(Zeiterfassung!$J$6:$J$3665,MATCH(INDEX(Zeiterfassung!$K$6:$K$3665,$K97),Zeiterfassung!$K$6:$K$3665,0))))</f>
        <v/>
      </c>
      <c r="K97">
        <f>IFERROR(AGGREGATE(15,6,(ROW(Zeiterfassung!$D$6:$D$3665)-ROW(Zeiterfassung!$D$6)+1)/(Zeiterfassung!$D$6:$D$3665&lt;&gt;""),92),"")</f>
        <v/>
      </c>
    </row>
    <row r="98" ht="20" customHeight="1">
      <c r="A98" s="183">
        <f>IF($K98="","",WEEKNUM(INDEX(Zeiterfassung!$K$6:$K$3665,$K98),21))</f>
        <v/>
      </c>
      <c r="B98" s="184">
        <f>IF($K98="","",INDEX(Zeiterfassung!$K$6:$K$3665,$K98))</f>
        <v/>
      </c>
      <c r="C98" s="185">
        <f>IF($K98="","",INDEX(Zeiterfassung!$K$6:$K$3665,$K98))</f>
        <v/>
      </c>
      <c r="D98" s="186">
        <f>IF($K98="","",INDEX(Zeiterfassung!$D$6:$D$3665,$K98))</f>
        <v/>
      </c>
      <c r="E98" s="186">
        <f>IF($K98="","",INDEX(Zeiterfassung!$E$6:$E$3665,$K98))</f>
        <v/>
      </c>
      <c r="F98" s="187">
        <f>IF($K98="","",INDEX(Zeiterfassung!$F$6:$F$3665,$K98))</f>
        <v/>
      </c>
      <c r="G98" s="187">
        <f>IF($K98="","",INDEX(Zeiterfassung!$G$6:$G$3665,$K98))</f>
        <v/>
      </c>
      <c r="H98" s="188">
        <f>IF($K98="","",INDEX(Zeiterfassung!$H$6:$H$3665,$K98))</f>
        <v/>
      </c>
      <c r="I98" s="335">
        <f>IF(B98=B97,"",IF($K98="","",INDEX(Zeiterfassung!$I$6:$I$3665,MATCH(INDEX(Zeiterfassung!$K$6:$K$3665,$K98),Zeiterfassung!$K$6:$K$3665,0))))</f>
        <v/>
      </c>
      <c r="J98" s="335">
        <f>IF(B98=B97,"",IF($K98="","",INDEX(Zeiterfassung!$J$6:$J$3665,MATCH(INDEX(Zeiterfassung!$K$6:$K$3665,$K98),Zeiterfassung!$K$6:$K$3665,0))))</f>
        <v/>
      </c>
      <c r="K98">
        <f>IFERROR(AGGREGATE(15,6,(ROW(Zeiterfassung!$D$6:$D$3665)-ROW(Zeiterfassung!$D$6)+1)/(Zeiterfassung!$D$6:$D$3665&lt;&gt;""),93),"")</f>
        <v/>
      </c>
    </row>
    <row r="99" ht="20" customHeight="1">
      <c r="A99" s="183">
        <f>IF($K99="","",WEEKNUM(INDEX(Zeiterfassung!$K$6:$K$3665,$K99),21))</f>
        <v/>
      </c>
      <c r="B99" s="184">
        <f>IF($K99="","",INDEX(Zeiterfassung!$K$6:$K$3665,$K99))</f>
        <v/>
      </c>
      <c r="C99" s="185">
        <f>IF($K99="","",INDEX(Zeiterfassung!$K$6:$K$3665,$K99))</f>
        <v/>
      </c>
      <c r="D99" s="186">
        <f>IF($K99="","",INDEX(Zeiterfassung!$D$6:$D$3665,$K99))</f>
        <v/>
      </c>
      <c r="E99" s="186">
        <f>IF($K99="","",INDEX(Zeiterfassung!$E$6:$E$3665,$K99))</f>
        <v/>
      </c>
      <c r="F99" s="187">
        <f>IF($K99="","",INDEX(Zeiterfassung!$F$6:$F$3665,$K99))</f>
        <v/>
      </c>
      <c r="G99" s="187">
        <f>IF($K99="","",INDEX(Zeiterfassung!$G$6:$G$3665,$K99))</f>
        <v/>
      </c>
      <c r="H99" s="188">
        <f>IF($K99="","",INDEX(Zeiterfassung!$H$6:$H$3665,$K99))</f>
        <v/>
      </c>
      <c r="I99" s="335">
        <f>IF(B99=B98,"",IF($K99="","",INDEX(Zeiterfassung!$I$6:$I$3665,MATCH(INDEX(Zeiterfassung!$K$6:$K$3665,$K99),Zeiterfassung!$K$6:$K$3665,0))))</f>
        <v/>
      </c>
      <c r="J99" s="335">
        <f>IF(B99=B98,"",IF($K99="","",INDEX(Zeiterfassung!$J$6:$J$3665,MATCH(INDEX(Zeiterfassung!$K$6:$K$3665,$K99),Zeiterfassung!$K$6:$K$3665,0))))</f>
        <v/>
      </c>
      <c r="K99">
        <f>IFERROR(AGGREGATE(15,6,(ROW(Zeiterfassung!$D$6:$D$3665)-ROW(Zeiterfassung!$D$6)+1)/(Zeiterfassung!$D$6:$D$3665&lt;&gt;""),94),"")</f>
        <v/>
      </c>
    </row>
    <row r="100" ht="20" customHeight="1">
      <c r="A100" s="183">
        <f>IF($K100="","",WEEKNUM(INDEX(Zeiterfassung!$K$6:$K$3665,$K100),21))</f>
        <v/>
      </c>
      <c r="B100" s="184">
        <f>IF($K100="","",INDEX(Zeiterfassung!$K$6:$K$3665,$K100))</f>
        <v/>
      </c>
      <c r="C100" s="185">
        <f>IF($K100="","",INDEX(Zeiterfassung!$K$6:$K$3665,$K100))</f>
        <v/>
      </c>
      <c r="D100" s="186">
        <f>IF($K100="","",INDEX(Zeiterfassung!$D$6:$D$3665,$K100))</f>
        <v/>
      </c>
      <c r="E100" s="186">
        <f>IF($K100="","",INDEX(Zeiterfassung!$E$6:$E$3665,$K100))</f>
        <v/>
      </c>
      <c r="F100" s="187">
        <f>IF($K100="","",INDEX(Zeiterfassung!$F$6:$F$3665,$K100))</f>
        <v/>
      </c>
      <c r="G100" s="187">
        <f>IF($K100="","",INDEX(Zeiterfassung!$G$6:$G$3665,$K100))</f>
        <v/>
      </c>
      <c r="H100" s="188">
        <f>IF($K100="","",INDEX(Zeiterfassung!$H$6:$H$3665,$K100))</f>
        <v/>
      </c>
      <c r="I100" s="335">
        <f>IF(B100=B99,"",IF($K100="","",INDEX(Zeiterfassung!$I$6:$I$3665,MATCH(INDEX(Zeiterfassung!$K$6:$K$3665,$K100),Zeiterfassung!$K$6:$K$3665,0))))</f>
        <v/>
      </c>
      <c r="J100" s="335">
        <f>IF(B100=B99,"",IF($K100="","",INDEX(Zeiterfassung!$J$6:$J$3665,MATCH(INDEX(Zeiterfassung!$K$6:$K$3665,$K100),Zeiterfassung!$K$6:$K$3665,0))))</f>
        <v/>
      </c>
      <c r="K100">
        <f>IFERROR(AGGREGATE(15,6,(ROW(Zeiterfassung!$D$6:$D$3665)-ROW(Zeiterfassung!$D$6)+1)/(Zeiterfassung!$D$6:$D$3665&lt;&gt;""),95),"")</f>
        <v/>
      </c>
    </row>
    <row r="101" ht="20" customHeight="1">
      <c r="A101" s="183">
        <f>IF($K101="","",WEEKNUM(INDEX(Zeiterfassung!$K$6:$K$3665,$K101),21))</f>
        <v/>
      </c>
      <c r="B101" s="184">
        <f>IF($K101="","",INDEX(Zeiterfassung!$K$6:$K$3665,$K101))</f>
        <v/>
      </c>
      <c r="C101" s="185">
        <f>IF($K101="","",INDEX(Zeiterfassung!$K$6:$K$3665,$K101))</f>
        <v/>
      </c>
      <c r="D101" s="186">
        <f>IF($K101="","",INDEX(Zeiterfassung!$D$6:$D$3665,$K101))</f>
        <v/>
      </c>
      <c r="E101" s="186">
        <f>IF($K101="","",INDEX(Zeiterfassung!$E$6:$E$3665,$K101))</f>
        <v/>
      </c>
      <c r="F101" s="187">
        <f>IF($K101="","",INDEX(Zeiterfassung!$F$6:$F$3665,$K101))</f>
        <v/>
      </c>
      <c r="G101" s="187">
        <f>IF($K101="","",INDEX(Zeiterfassung!$G$6:$G$3665,$K101))</f>
        <v/>
      </c>
      <c r="H101" s="188">
        <f>IF($K101="","",INDEX(Zeiterfassung!$H$6:$H$3665,$K101))</f>
        <v/>
      </c>
      <c r="I101" s="335">
        <f>IF(B101=B100,"",IF($K101="","",INDEX(Zeiterfassung!$I$6:$I$3665,MATCH(INDEX(Zeiterfassung!$K$6:$K$3665,$K101),Zeiterfassung!$K$6:$K$3665,0))))</f>
        <v/>
      </c>
      <c r="J101" s="335">
        <f>IF(B101=B100,"",IF($K101="","",INDEX(Zeiterfassung!$J$6:$J$3665,MATCH(INDEX(Zeiterfassung!$K$6:$K$3665,$K101),Zeiterfassung!$K$6:$K$3665,0))))</f>
        <v/>
      </c>
      <c r="K101">
        <f>IFERROR(AGGREGATE(15,6,(ROW(Zeiterfassung!$D$6:$D$3665)-ROW(Zeiterfassung!$D$6)+1)/(Zeiterfassung!$D$6:$D$3665&lt;&gt;""),96),"")</f>
        <v/>
      </c>
    </row>
    <row r="102" ht="20" customHeight="1">
      <c r="A102" s="183">
        <f>IF($K102="","",WEEKNUM(INDEX(Zeiterfassung!$K$6:$K$3665,$K102),21))</f>
        <v/>
      </c>
      <c r="B102" s="184">
        <f>IF($K102="","",INDEX(Zeiterfassung!$K$6:$K$3665,$K102))</f>
        <v/>
      </c>
      <c r="C102" s="185">
        <f>IF($K102="","",INDEX(Zeiterfassung!$K$6:$K$3665,$K102))</f>
        <v/>
      </c>
      <c r="D102" s="186">
        <f>IF($K102="","",INDEX(Zeiterfassung!$D$6:$D$3665,$K102))</f>
        <v/>
      </c>
      <c r="E102" s="186">
        <f>IF($K102="","",INDEX(Zeiterfassung!$E$6:$E$3665,$K102))</f>
        <v/>
      </c>
      <c r="F102" s="187">
        <f>IF($K102="","",INDEX(Zeiterfassung!$F$6:$F$3665,$K102))</f>
        <v/>
      </c>
      <c r="G102" s="187">
        <f>IF($K102="","",INDEX(Zeiterfassung!$G$6:$G$3665,$K102))</f>
        <v/>
      </c>
      <c r="H102" s="188">
        <f>IF($K102="","",INDEX(Zeiterfassung!$H$6:$H$3665,$K102))</f>
        <v/>
      </c>
      <c r="I102" s="335">
        <f>IF(B102=B101,"",IF($K102="","",INDEX(Zeiterfassung!$I$6:$I$3665,MATCH(INDEX(Zeiterfassung!$K$6:$K$3665,$K102),Zeiterfassung!$K$6:$K$3665,0))))</f>
        <v/>
      </c>
      <c r="J102" s="335">
        <f>IF(B102=B101,"",IF($K102="","",INDEX(Zeiterfassung!$J$6:$J$3665,MATCH(INDEX(Zeiterfassung!$K$6:$K$3665,$K102),Zeiterfassung!$K$6:$K$3665,0))))</f>
        <v/>
      </c>
      <c r="K102">
        <f>IFERROR(AGGREGATE(15,6,(ROW(Zeiterfassung!$D$6:$D$3665)-ROW(Zeiterfassung!$D$6)+1)/(Zeiterfassung!$D$6:$D$3665&lt;&gt;""),97),"")</f>
        <v/>
      </c>
    </row>
    <row r="103" ht="20" customHeight="1">
      <c r="A103" s="183">
        <f>IF($K103="","",WEEKNUM(INDEX(Zeiterfassung!$K$6:$K$3665,$K103),21))</f>
        <v/>
      </c>
      <c r="B103" s="184">
        <f>IF($K103="","",INDEX(Zeiterfassung!$K$6:$K$3665,$K103))</f>
        <v/>
      </c>
      <c r="C103" s="185">
        <f>IF($K103="","",INDEX(Zeiterfassung!$K$6:$K$3665,$K103))</f>
        <v/>
      </c>
      <c r="D103" s="186">
        <f>IF($K103="","",INDEX(Zeiterfassung!$D$6:$D$3665,$K103))</f>
        <v/>
      </c>
      <c r="E103" s="186">
        <f>IF($K103="","",INDEX(Zeiterfassung!$E$6:$E$3665,$K103))</f>
        <v/>
      </c>
      <c r="F103" s="187">
        <f>IF($K103="","",INDEX(Zeiterfassung!$F$6:$F$3665,$K103))</f>
        <v/>
      </c>
      <c r="G103" s="187">
        <f>IF($K103="","",INDEX(Zeiterfassung!$G$6:$G$3665,$K103))</f>
        <v/>
      </c>
      <c r="H103" s="188">
        <f>IF($K103="","",INDEX(Zeiterfassung!$H$6:$H$3665,$K103))</f>
        <v/>
      </c>
      <c r="I103" s="335">
        <f>IF(B103=B102,"",IF($K103="","",INDEX(Zeiterfassung!$I$6:$I$3665,MATCH(INDEX(Zeiterfassung!$K$6:$K$3665,$K103),Zeiterfassung!$K$6:$K$3665,0))))</f>
        <v/>
      </c>
      <c r="J103" s="335">
        <f>IF(B103=B102,"",IF($K103="","",INDEX(Zeiterfassung!$J$6:$J$3665,MATCH(INDEX(Zeiterfassung!$K$6:$K$3665,$K103),Zeiterfassung!$K$6:$K$3665,0))))</f>
        <v/>
      </c>
      <c r="K103">
        <f>IFERROR(AGGREGATE(15,6,(ROW(Zeiterfassung!$D$6:$D$3665)-ROW(Zeiterfassung!$D$6)+1)/(Zeiterfassung!$D$6:$D$3665&lt;&gt;""),98),"")</f>
        <v/>
      </c>
    </row>
    <row r="104" ht="20" customHeight="1">
      <c r="A104" s="183">
        <f>IF($K104="","",WEEKNUM(INDEX(Zeiterfassung!$K$6:$K$3665,$K104),21))</f>
        <v/>
      </c>
      <c r="B104" s="184">
        <f>IF($K104="","",INDEX(Zeiterfassung!$K$6:$K$3665,$K104))</f>
        <v/>
      </c>
      <c r="C104" s="185">
        <f>IF($K104="","",INDEX(Zeiterfassung!$K$6:$K$3665,$K104))</f>
        <v/>
      </c>
      <c r="D104" s="186">
        <f>IF($K104="","",INDEX(Zeiterfassung!$D$6:$D$3665,$K104))</f>
        <v/>
      </c>
      <c r="E104" s="186">
        <f>IF($K104="","",INDEX(Zeiterfassung!$E$6:$E$3665,$K104))</f>
        <v/>
      </c>
      <c r="F104" s="187">
        <f>IF($K104="","",INDEX(Zeiterfassung!$F$6:$F$3665,$K104))</f>
        <v/>
      </c>
      <c r="G104" s="187">
        <f>IF($K104="","",INDEX(Zeiterfassung!$G$6:$G$3665,$K104))</f>
        <v/>
      </c>
      <c r="H104" s="188">
        <f>IF($K104="","",INDEX(Zeiterfassung!$H$6:$H$3665,$K104))</f>
        <v/>
      </c>
      <c r="I104" s="335">
        <f>IF(B104=B103,"",IF($K104="","",INDEX(Zeiterfassung!$I$6:$I$3665,MATCH(INDEX(Zeiterfassung!$K$6:$K$3665,$K104),Zeiterfassung!$K$6:$K$3665,0))))</f>
        <v/>
      </c>
      <c r="J104" s="335">
        <f>IF(B104=B103,"",IF($K104="","",INDEX(Zeiterfassung!$J$6:$J$3665,MATCH(INDEX(Zeiterfassung!$K$6:$K$3665,$K104),Zeiterfassung!$K$6:$K$3665,0))))</f>
        <v/>
      </c>
      <c r="K104">
        <f>IFERROR(AGGREGATE(15,6,(ROW(Zeiterfassung!$D$6:$D$3665)-ROW(Zeiterfassung!$D$6)+1)/(Zeiterfassung!$D$6:$D$3665&lt;&gt;""),99),"")</f>
        <v/>
      </c>
    </row>
    <row r="105" ht="20" customHeight="1">
      <c r="A105" s="183">
        <f>IF($K105="","",WEEKNUM(INDEX(Zeiterfassung!$K$6:$K$3665,$K105),21))</f>
        <v/>
      </c>
      <c r="B105" s="184">
        <f>IF($K105="","",INDEX(Zeiterfassung!$K$6:$K$3665,$K105))</f>
        <v/>
      </c>
      <c r="C105" s="185">
        <f>IF($K105="","",INDEX(Zeiterfassung!$K$6:$K$3665,$K105))</f>
        <v/>
      </c>
      <c r="D105" s="186">
        <f>IF($K105="","",INDEX(Zeiterfassung!$D$6:$D$3665,$K105))</f>
        <v/>
      </c>
      <c r="E105" s="186">
        <f>IF($K105="","",INDEX(Zeiterfassung!$E$6:$E$3665,$K105))</f>
        <v/>
      </c>
      <c r="F105" s="187">
        <f>IF($K105="","",INDEX(Zeiterfassung!$F$6:$F$3665,$K105))</f>
        <v/>
      </c>
      <c r="G105" s="187">
        <f>IF($K105="","",INDEX(Zeiterfassung!$G$6:$G$3665,$K105))</f>
        <v/>
      </c>
      <c r="H105" s="188">
        <f>IF($K105="","",INDEX(Zeiterfassung!$H$6:$H$3665,$K105))</f>
        <v/>
      </c>
      <c r="I105" s="335">
        <f>IF(B105=B104,"",IF($K105="","",INDEX(Zeiterfassung!$I$6:$I$3665,MATCH(INDEX(Zeiterfassung!$K$6:$K$3665,$K105),Zeiterfassung!$K$6:$K$3665,0))))</f>
        <v/>
      </c>
      <c r="J105" s="335">
        <f>IF(B105=B104,"",IF($K105="","",INDEX(Zeiterfassung!$J$6:$J$3665,MATCH(INDEX(Zeiterfassung!$K$6:$K$3665,$K105),Zeiterfassung!$K$6:$K$3665,0))))</f>
        <v/>
      </c>
      <c r="K105">
        <f>IFERROR(AGGREGATE(15,6,(ROW(Zeiterfassung!$D$6:$D$3665)-ROW(Zeiterfassung!$D$6)+1)/(Zeiterfassung!$D$6:$D$3665&lt;&gt;""),100),"")</f>
        <v/>
      </c>
    </row>
    <row r="106" ht="20" customHeight="1">
      <c r="A106" s="183">
        <f>IF($K106="","",WEEKNUM(INDEX(Zeiterfassung!$K$6:$K$3665,$K106),21))</f>
        <v/>
      </c>
      <c r="B106" s="184">
        <f>IF($K106="","",INDEX(Zeiterfassung!$K$6:$K$3665,$K106))</f>
        <v/>
      </c>
      <c r="C106" s="185">
        <f>IF($K106="","",INDEX(Zeiterfassung!$K$6:$K$3665,$K106))</f>
        <v/>
      </c>
      <c r="D106" s="186">
        <f>IF($K106="","",INDEX(Zeiterfassung!$D$6:$D$3665,$K106))</f>
        <v/>
      </c>
      <c r="E106" s="186">
        <f>IF($K106="","",INDEX(Zeiterfassung!$E$6:$E$3665,$K106))</f>
        <v/>
      </c>
      <c r="F106" s="187">
        <f>IF($K106="","",INDEX(Zeiterfassung!$F$6:$F$3665,$K106))</f>
        <v/>
      </c>
      <c r="G106" s="187">
        <f>IF($K106="","",INDEX(Zeiterfassung!$G$6:$G$3665,$K106))</f>
        <v/>
      </c>
      <c r="H106" s="188">
        <f>IF($K106="","",INDEX(Zeiterfassung!$H$6:$H$3665,$K106))</f>
        <v/>
      </c>
      <c r="I106" s="335">
        <f>IF(B106=B105,"",IF($K106="","",INDEX(Zeiterfassung!$I$6:$I$3665,MATCH(INDEX(Zeiterfassung!$K$6:$K$3665,$K106),Zeiterfassung!$K$6:$K$3665,0))))</f>
        <v/>
      </c>
      <c r="J106" s="335">
        <f>IF(B106=B105,"",IF($K106="","",INDEX(Zeiterfassung!$J$6:$J$3665,MATCH(INDEX(Zeiterfassung!$K$6:$K$3665,$K106),Zeiterfassung!$K$6:$K$3665,0))))</f>
        <v/>
      </c>
      <c r="K106">
        <f>IFERROR(AGGREGATE(15,6,(ROW(Zeiterfassung!$D$6:$D$3665)-ROW(Zeiterfassung!$D$6)+1)/(Zeiterfassung!$D$6:$D$3665&lt;&gt;""),101),"")</f>
        <v/>
      </c>
    </row>
    <row r="107" ht="20" customHeight="1">
      <c r="A107" s="183">
        <f>IF($K107="","",WEEKNUM(INDEX(Zeiterfassung!$K$6:$K$3665,$K107),21))</f>
        <v/>
      </c>
      <c r="B107" s="184">
        <f>IF($K107="","",INDEX(Zeiterfassung!$K$6:$K$3665,$K107))</f>
        <v/>
      </c>
      <c r="C107" s="185">
        <f>IF($K107="","",INDEX(Zeiterfassung!$K$6:$K$3665,$K107))</f>
        <v/>
      </c>
      <c r="D107" s="186">
        <f>IF($K107="","",INDEX(Zeiterfassung!$D$6:$D$3665,$K107))</f>
        <v/>
      </c>
      <c r="E107" s="186">
        <f>IF($K107="","",INDEX(Zeiterfassung!$E$6:$E$3665,$K107))</f>
        <v/>
      </c>
      <c r="F107" s="187">
        <f>IF($K107="","",INDEX(Zeiterfassung!$F$6:$F$3665,$K107))</f>
        <v/>
      </c>
      <c r="G107" s="187">
        <f>IF($K107="","",INDEX(Zeiterfassung!$G$6:$G$3665,$K107))</f>
        <v/>
      </c>
      <c r="H107" s="188">
        <f>IF($K107="","",INDEX(Zeiterfassung!$H$6:$H$3665,$K107))</f>
        <v/>
      </c>
      <c r="I107" s="335">
        <f>IF(B107=B106,"",IF($K107="","",INDEX(Zeiterfassung!$I$6:$I$3665,MATCH(INDEX(Zeiterfassung!$K$6:$K$3665,$K107),Zeiterfassung!$K$6:$K$3665,0))))</f>
        <v/>
      </c>
      <c r="J107" s="335">
        <f>IF(B107=B106,"",IF($K107="","",INDEX(Zeiterfassung!$J$6:$J$3665,MATCH(INDEX(Zeiterfassung!$K$6:$K$3665,$K107),Zeiterfassung!$K$6:$K$3665,0))))</f>
        <v/>
      </c>
      <c r="K107">
        <f>IFERROR(AGGREGATE(15,6,(ROW(Zeiterfassung!$D$6:$D$3665)-ROW(Zeiterfassung!$D$6)+1)/(Zeiterfassung!$D$6:$D$3665&lt;&gt;""),102),"")</f>
        <v/>
      </c>
    </row>
    <row r="108" ht="20" customHeight="1">
      <c r="A108" s="183">
        <f>IF($K108="","",WEEKNUM(INDEX(Zeiterfassung!$K$6:$K$3665,$K108),21))</f>
        <v/>
      </c>
      <c r="B108" s="184">
        <f>IF($K108="","",INDEX(Zeiterfassung!$K$6:$K$3665,$K108))</f>
        <v/>
      </c>
      <c r="C108" s="185">
        <f>IF($K108="","",INDEX(Zeiterfassung!$K$6:$K$3665,$K108))</f>
        <v/>
      </c>
      <c r="D108" s="186">
        <f>IF($K108="","",INDEX(Zeiterfassung!$D$6:$D$3665,$K108))</f>
        <v/>
      </c>
      <c r="E108" s="186">
        <f>IF($K108="","",INDEX(Zeiterfassung!$E$6:$E$3665,$K108))</f>
        <v/>
      </c>
      <c r="F108" s="187">
        <f>IF($K108="","",INDEX(Zeiterfassung!$F$6:$F$3665,$K108))</f>
        <v/>
      </c>
      <c r="G108" s="187">
        <f>IF($K108="","",INDEX(Zeiterfassung!$G$6:$G$3665,$K108))</f>
        <v/>
      </c>
      <c r="H108" s="188">
        <f>IF($K108="","",INDEX(Zeiterfassung!$H$6:$H$3665,$K108))</f>
        <v/>
      </c>
      <c r="I108" s="335">
        <f>IF(B108=B107,"",IF($K108="","",INDEX(Zeiterfassung!$I$6:$I$3665,MATCH(INDEX(Zeiterfassung!$K$6:$K$3665,$K108),Zeiterfassung!$K$6:$K$3665,0))))</f>
        <v/>
      </c>
      <c r="J108" s="335">
        <f>IF(B108=B107,"",IF($K108="","",INDEX(Zeiterfassung!$J$6:$J$3665,MATCH(INDEX(Zeiterfassung!$K$6:$K$3665,$K108),Zeiterfassung!$K$6:$K$3665,0))))</f>
        <v/>
      </c>
      <c r="K108">
        <f>IFERROR(AGGREGATE(15,6,(ROW(Zeiterfassung!$D$6:$D$3665)-ROW(Zeiterfassung!$D$6)+1)/(Zeiterfassung!$D$6:$D$3665&lt;&gt;""),103),"")</f>
        <v/>
      </c>
    </row>
    <row r="109" ht="20" customHeight="1">
      <c r="A109" s="183">
        <f>IF($K109="","",WEEKNUM(INDEX(Zeiterfassung!$K$6:$K$3665,$K109),21))</f>
        <v/>
      </c>
      <c r="B109" s="184">
        <f>IF($K109="","",INDEX(Zeiterfassung!$K$6:$K$3665,$K109))</f>
        <v/>
      </c>
      <c r="C109" s="185">
        <f>IF($K109="","",INDEX(Zeiterfassung!$K$6:$K$3665,$K109))</f>
        <v/>
      </c>
      <c r="D109" s="186">
        <f>IF($K109="","",INDEX(Zeiterfassung!$D$6:$D$3665,$K109))</f>
        <v/>
      </c>
      <c r="E109" s="186">
        <f>IF($K109="","",INDEX(Zeiterfassung!$E$6:$E$3665,$K109))</f>
        <v/>
      </c>
      <c r="F109" s="187">
        <f>IF($K109="","",INDEX(Zeiterfassung!$F$6:$F$3665,$K109))</f>
        <v/>
      </c>
      <c r="G109" s="187">
        <f>IF($K109="","",INDEX(Zeiterfassung!$G$6:$G$3665,$K109))</f>
        <v/>
      </c>
      <c r="H109" s="188">
        <f>IF($K109="","",INDEX(Zeiterfassung!$H$6:$H$3665,$K109))</f>
        <v/>
      </c>
      <c r="I109" s="335">
        <f>IF(B109=B108,"",IF($K109="","",INDEX(Zeiterfassung!$I$6:$I$3665,MATCH(INDEX(Zeiterfassung!$K$6:$K$3665,$K109),Zeiterfassung!$K$6:$K$3665,0))))</f>
        <v/>
      </c>
      <c r="J109" s="335">
        <f>IF(B109=B108,"",IF($K109="","",INDEX(Zeiterfassung!$J$6:$J$3665,MATCH(INDEX(Zeiterfassung!$K$6:$K$3665,$K109),Zeiterfassung!$K$6:$K$3665,0))))</f>
        <v/>
      </c>
      <c r="K109">
        <f>IFERROR(AGGREGATE(15,6,(ROW(Zeiterfassung!$D$6:$D$3665)-ROW(Zeiterfassung!$D$6)+1)/(Zeiterfassung!$D$6:$D$3665&lt;&gt;""),104),"")</f>
        <v/>
      </c>
    </row>
    <row r="110" ht="20" customHeight="1">
      <c r="A110" s="183">
        <f>IF($K110="","",WEEKNUM(INDEX(Zeiterfassung!$K$6:$K$3665,$K110),21))</f>
        <v/>
      </c>
      <c r="B110" s="184">
        <f>IF($K110="","",INDEX(Zeiterfassung!$K$6:$K$3665,$K110))</f>
        <v/>
      </c>
      <c r="C110" s="185">
        <f>IF($K110="","",INDEX(Zeiterfassung!$K$6:$K$3665,$K110))</f>
        <v/>
      </c>
      <c r="D110" s="186">
        <f>IF($K110="","",INDEX(Zeiterfassung!$D$6:$D$3665,$K110))</f>
        <v/>
      </c>
      <c r="E110" s="186">
        <f>IF($K110="","",INDEX(Zeiterfassung!$E$6:$E$3665,$K110))</f>
        <v/>
      </c>
      <c r="F110" s="187">
        <f>IF($K110="","",INDEX(Zeiterfassung!$F$6:$F$3665,$K110))</f>
        <v/>
      </c>
      <c r="G110" s="187">
        <f>IF($K110="","",INDEX(Zeiterfassung!$G$6:$G$3665,$K110))</f>
        <v/>
      </c>
      <c r="H110" s="188">
        <f>IF($K110="","",INDEX(Zeiterfassung!$H$6:$H$3665,$K110))</f>
        <v/>
      </c>
      <c r="I110" s="335">
        <f>IF(B110=B109,"",IF($K110="","",INDEX(Zeiterfassung!$I$6:$I$3665,MATCH(INDEX(Zeiterfassung!$K$6:$K$3665,$K110),Zeiterfassung!$K$6:$K$3665,0))))</f>
        <v/>
      </c>
      <c r="J110" s="335">
        <f>IF(B110=B109,"",IF($K110="","",INDEX(Zeiterfassung!$J$6:$J$3665,MATCH(INDEX(Zeiterfassung!$K$6:$K$3665,$K110),Zeiterfassung!$K$6:$K$3665,0))))</f>
        <v/>
      </c>
      <c r="K110">
        <f>IFERROR(AGGREGATE(15,6,(ROW(Zeiterfassung!$D$6:$D$3665)-ROW(Zeiterfassung!$D$6)+1)/(Zeiterfassung!$D$6:$D$3665&lt;&gt;""),105),"")</f>
        <v/>
      </c>
    </row>
    <row r="111" ht="20" customHeight="1">
      <c r="A111" s="183">
        <f>IF($K111="","",WEEKNUM(INDEX(Zeiterfassung!$K$6:$K$3665,$K111),21))</f>
        <v/>
      </c>
      <c r="B111" s="184">
        <f>IF($K111="","",INDEX(Zeiterfassung!$K$6:$K$3665,$K111))</f>
        <v/>
      </c>
      <c r="C111" s="185">
        <f>IF($K111="","",INDEX(Zeiterfassung!$K$6:$K$3665,$K111))</f>
        <v/>
      </c>
      <c r="D111" s="186">
        <f>IF($K111="","",INDEX(Zeiterfassung!$D$6:$D$3665,$K111))</f>
        <v/>
      </c>
      <c r="E111" s="186">
        <f>IF($K111="","",INDEX(Zeiterfassung!$E$6:$E$3665,$K111))</f>
        <v/>
      </c>
      <c r="F111" s="187">
        <f>IF($K111="","",INDEX(Zeiterfassung!$F$6:$F$3665,$K111))</f>
        <v/>
      </c>
      <c r="G111" s="187">
        <f>IF($K111="","",INDEX(Zeiterfassung!$G$6:$G$3665,$K111))</f>
        <v/>
      </c>
      <c r="H111" s="188">
        <f>IF($K111="","",INDEX(Zeiterfassung!$H$6:$H$3665,$K111))</f>
        <v/>
      </c>
      <c r="I111" s="335">
        <f>IF(B111=B110,"",IF($K111="","",INDEX(Zeiterfassung!$I$6:$I$3665,MATCH(INDEX(Zeiterfassung!$K$6:$K$3665,$K111),Zeiterfassung!$K$6:$K$3665,0))))</f>
        <v/>
      </c>
      <c r="J111" s="335">
        <f>IF(B111=B110,"",IF($K111="","",INDEX(Zeiterfassung!$J$6:$J$3665,MATCH(INDEX(Zeiterfassung!$K$6:$K$3665,$K111),Zeiterfassung!$K$6:$K$3665,0))))</f>
        <v/>
      </c>
      <c r="K111">
        <f>IFERROR(AGGREGATE(15,6,(ROW(Zeiterfassung!$D$6:$D$3665)-ROW(Zeiterfassung!$D$6)+1)/(Zeiterfassung!$D$6:$D$3665&lt;&gt;""),106),"")</f>
        <v/>
      </c>
    </row>
    <row r="112" ht="20" customHeight="1">
      <c r="A112" s="183">
        <f>IF($K112="","",WEEKNUM(INDEX(Zeiterfassung!$K$6:$K$3665,$K112),21))</f>
        <v/>
      </c>
      <c r="B112" s="184">
        <f>IF($K112="","",INDEX(Zeiterfassung!$K$6:$K$3665,$K112))</f>
        <v/>
      </c>
      <c r="C112" s="185">
        <f>IF($K112="","",INDEX(Zeiterfassung!$K$6:$K$3665,$K112))</f>
        <v/>
      </c>
      <c r="D112" s="186">
        <f>IF($K112="","",INDEX(Zeiterfassung!$D$6:$D$3665,$K112))</f>
        <v/>
      </c>
      <c r="E112" s="186">
        <f>IF($K112="","",INDEX(Zeiterfassung!$E$6:$E$3665,$K112))</f>
        <v/>
      </c>
      <c r="F112" s="187">
        <f>IF($K112="","",INDEX(Zeiterfassung!$F$6:$F$3665,$K112))</f>
        <v/>
      </c>
      <c r="G112" s="187">
        <f>IF($K112="","",INDEX(Zeiterfassung!$G$6:$G$3665,$K112))</f>
        <v/>
      </c>
      <c r="H112" s="188">
        <f>IF($K112="","",INDEX(Zeiterfassung!$H$6:$H$3665,$K112))</f>
        <v/>
      </c>
      <c r="I112" s="335">
        <f>IF(B112=B111,"",IF($K112="","",INDEX(Zeiterfassung!$I$6:$I$3665,MATCH(INDEX(Zeiterfassung!$K$6:$K$3665,$K112),Zeiterfassung!$K$6:$K$3665,0))))</f>
        <v/>
      </c>
      <c r="J112" s="335">
        <f>IF(B112=B111,"",IF($K112="","",INDEX(Zeiterfassung!$J$6:$J$3665,MATCH(INDEX(Zeiterfassung!$K$6:$K$3665,$K112),Zeiterfassung!$K$6:$K$3665,0))))</f>
        <v/>
      </c>
      <c r="K112">
        <f>IFERROR(AGGREGATE(15,6,(ROW(Zeiterfassung!$D$6:$D$3665)-ROW(Zeiterfassung!$D$6)+1)/(Zeiterfassung!$D$6:$D$3665&lt;&gt;""),107),"")</f>
        <v/>
      </c>
    </row>
    <row r="113" ht="20" customHeight="1">
      <c r="A113" s="183">
        <f>IF($K113="","",WEEKNUM(INDEX(Zeiterfassung!$K$6:$K$3665,$K113),21))</f>
        <v/>
      </c>
      <c r="B113" s="184">
        <f>IF($K113="","",INDEX(Zeiterfassung!$K$6:$K$3665,$K113))</f>
        <v/>
      </c>
      <c r="C113" s="185">
        <f>IF($K113="","",INDEX(Zeiterfassung!$K$6:$K$3665,$K113))</f>
        <v/>
      </c>
      <c r="D113" s="186">
        <f>IF($K113="","",INDEX(Zeiterfassung!$D$6:$D$3665,$K113))</f>
        <v/>
      </c>
      <c r="E113" s="186">
        <f>IF($K113="","",INDEX(Zeiterfassung!$E$6:$E$3665,$K113))</f>
        <v/>
      </c>
      <c r="F113" s="187">
        <f>IF($K113="","",INDEX(Zeiterfassung!$F$6:$F$3665,$K113))</f>
        <v/>
      </c>
      <c r="G113" s="187">
        <f>IF($K113="","",INDEX(Zeiterfassung!$G$6:$G$3665,$K113))</f>
        <v/>
      </c>
      <c r="H113" s="188">
        <f>IF($K113="","",INDEX(Zeiterfassung!$H$6:$H$3665,$K113))</f>
        <v/>
      </c>
      <c r="I113" s="335">
        <f>IF(B113=B112,"",IF($K113="","",INDEX(Zeiterfassung!$I$6:$I$3665,MATCH(INDEX(Zeiterfassung!$K$6:$K$3665,$K113),Zeiterfassung!$K$6:$K$3665,0))))</f>
        <v/>
      </c>
      <c r="J113" s="335">
        <f>IF(B113=B112,"",IF($K113="","",INDEX(Zeiterfassung!$J$6:$J$3665,MATCH(INDEX(Zeiterfassung!$K$6:$K$3665,$K113),Zeiterfassung!$K$6:$K$3665,0))))</f>
        <v/>
      </c>
      <c r="K113">
        <f>IFERROR(AGGREGATE(15,6,(ROW(Zeiterfassung!$D$6:$D$3665)-ROW(Zeiterfassung!$D$6)+1)/(Zeiterfassung!$D$6:$D$3665&lt;&gt;""),108),"")</f>
        <v/>
      </c>
    </row>
    <row r="114" ht="20" customHeight="1">
      <c r="A114" s="183">
        <f>IF($K114="","",WEEKNUM(INDEX(Zeiterfassung!$K$6:$K$3665,$K114),21))</f>
        <v/>
      </c>
      <c r="B114" s="184">
        <f>IF($K114="","",INDEX(Zeiterfassung!$K$6:$K$3665,$K114))</f>
        <v/>
      </c>
      <c r="C114" s="185">
        <f>IF($K114="","",INDEX(Zeiterfassung!$K$6:$K$3665,$K114))</f>
        <v/>
      </c>
      <c r="D114" s="186">
        <f>IF($K114="","",INDEX(Zeiterfassung!$D$6:$D$3665,$K114))</f>
        <v/>
      </c>
      <c r="E114" s="186">
        <f>IF($K114="","",INDEX(Zeiterfassung!$E$6:$E$3665,$K114))</f>
        <v/>
      </c>
      <c r="F114" s="187">
        <f>IF($K114="","",INDEX(Zeiterfassung!$F$6:$F$3665,$K114))</f>
        <v/>
      </c>
      <c r="G114" s="187">
        <f>IF($K114="","",INDEX(Zeiterfassung!$G$6:$G$3665,$K114))</f>
        <v/>
      </c>
      <c r="H114" s="188">
        <f>IF($K114="","",INDEX(Zeiterfassung!$H$6:$H$3665,$K114))</f>
        <v/>
      </c>
      <c r="I114" s="335">
        <f>IF(B114=B113,"",IF($K114="","",INDEX(Zeiterfassung!$I$6:$I$3665,MATCH(INDEX(Zeiterfassung!$K$6:$K$3665,$K114),Zeiterfassung!$K$6:$K$3665,0))))</f>
        <v/>
      </c>
      <c r="J114" s="335">
        <f>IF(B114=B113,"",IF($K114="","",INDEX(Zeiterfassung!$J$6:$J$3665,MATCH(INDEX(Zeiterfassung!$K$6:$K$3665,$K114),Zeiterfassung!$K$6:$K$3665,0))))</f>
        <v/>
      </c>
      <c r="K114">
        <f>IFERROR(AGGREGATE(15,6,(ROW(Zeiterfassung!$D$6:$D$3665)-ROW(Zeiterfassung!$D$6)+1)/(Zeiterfassung!$D$6:$D$3665&lt;&gt;""),109),"")</f>
        <v/>
      </c>
    </row>
    <row r="115" ht="20" customHeight="1">
      <c r="A115" s="183">
        <f>IF($K115="","",WEEKNUM(INDEX(Zeiterfassung!$K$6:$K$3665,$K115),21))</f>
        <v/>
      </c>
      <c r="B115" s="184">
        <f>IF($K115="","",INDEX(Zeiterfassung!$K$6:$K$3665,$K115))</f>
        <v/>
      </c>
      <c r="C115" s="185">
        <f>IF($K115="","",INDEX(Zeiterfassung!$K$6:$K$3665,$K115))</f>
        <v/>
      </c>
      <c r="D115" s="186">
        <f>IF($K115="","",INDEX(Zeiterfassung!$D$6:$D$3665,$K115))</f>
        <v/>
      </c>
      <c r="E115" s="186">
        <f>IF($K115="","",INDEX(Zeiterfassung!$E$6:$E$3665,$K115))</f>
        <v/>
      </c>
      <c r="F115" s="187">
        <f>IF($K115="","",INDEX(Zeiterfassung!$F$6:$F$3665,$K115))</f>
        <v/>
      </c>
      <c r="G115" s="187">
        <f>IF($K115="","",INDEX(Zeiterfassung!$G$6:$G$3665,$K115))</f>
        <v/>
      </c>
      <c r="H115" s="188">
        <f>IF($K115="","",INDEX(Zeiterfassung!$H$6:$H$3665,$K115))</f>
        <v/>
      </c>
      <c r="I115" s="335">
        <f>IF(B115=B114,"",IF($K115="","",INDEX(Zeiterfassung!$I$6:$I$3665,MATCH(INDEX(Zeiterfassung!$K$6:$K$3665,$K115),Zeiterfassung!$K$6:$K$3665,0))))</f>
        <v/>
      </c>
      <c r="J115" s="335">
        <f>IF(B115=B114,"",IF($K115="","",INDEX(Zeiterfassung!$J$6:$J$3665,MATCH(INDEX(Zeiterfassung!$K$6:$K$3665,$K115),Zeiterfassung!$K$6:$K$3665,0))))</f>
        <v/>
      </c>
      <c r="K115">
        <f>IFERROR(AGGREGATE(15,6,(ROW(Zeiterfassung!$D$6:$D$3665)-ROW(Zeiterfassung!$D$6)+1)/(Zeiterfassung!$D$6:$D$3665&lt;&gt;""),110),"")</f>
        <v/>
      </c>
    </row>
    <row r="116" ht="20" customHeight="1">
      <c r="A116" s="183">
        <f>IF($K116="","",WEEKNUM(INDEX(Zeiterfassung!$K$6:$K$3665,$K116),21))</f>
        <v/>
      </c>
      <c r="B116" s="184">
        <f>IF($K116="","",INDEX(Zeiterfassung!$K$6:$K$3665,$K116))</f>
        <v/>
      </c>
      <c r="C116" s="185">
        <f>IF($K116="","",INDEX(Zeiterfassung!$K$6:$K$3665,$K116))</f>
        <v/>
      </c>
      <c r="D116" s="186">
        <f>IF($K116="","",INDEX(Zeiterfassung!$D$6:$D$3665,$K116))</f>
        <v/>
      </c>
      <c r="E116" s="186">
        <f>IF($K116="","",INDEX(Zeiterfassung!$E$6:$E$3665,$K116))</f>
        <v/>
      </c>
      <c r="F116" s="187">
        <f>IF($K116="","",INDEX(Zeiterfassung!$F$6:$F$3665,$K116))</f>
        <v/>
      </c>
      <c r="G116" s="187">
        <f>IF($K116="","",INDEX(Zeiterfassung!$G$6:$G$3665,$K116))</f>
        <v/>
      </c>
      <c r="H116" s="188">
        <f>IF($K116="","",INDEX(Zeiterfassung!$H$6:$H$3665,$K116))</f>
        <v/>
      </c>
      <c r="I116" s="335">
        <f>IF(B116=B115,"",IF($K116="","",INDEX(Zeiterfassung!$I$6:$I$3665,MATCH(INDEX(Zeiterfassung!$K$6:$K$3665,$K116),Zeiterfassung!$K$6:$K$3665,0))))</f>
        <v/>
      </c>
      <c r="J116" s="335">
        <f>IF(B116=B115,"",IF($K116="","",INDEX(Zeiterfassung!$J$6:$J$3665,MATCH(INDEX(Zeiterfassung!$K$6:$K$3665,$K116),Zeiterfassung!$K$6:$K$3665,0))))</f>
        <v/>
      </c>
      <c r="K116">
        <f>IFERROR(AGGREGATE(15,6,(ROW(Zeiterfassung!$D$6:$D$3665)-ROW(Zeiterfassung!$D$6)+1)/(Zeiterfassung!$D$6:$D$3665&lt;&gt;""),111),"")</f>
        <v/>
      </c>
    </row>
    <row r="117" ht="20" customHeight="1">
      <c r="A117" s="183">
        <f>IF($K117="","",WEEKNUM(INDEX(Zeiterfassung!$K$6:$K$3665,$K117),21))</f>
        <v/>
      </c>
      <c r="B117" s="184">
        <f>IF($K117="","",INDEX(Zeiterfassung!$K$6:$K$3665,$K117))</f>
        <v/>
      </c>
      <c r="C117" s="185">
        <f>IF($K117="","",INDEX(Zeiterfassung!$K$6:$K$3665,$K117))</f>
        <v/>
      </c>
      <c r="D117" s="186">
        <f>IF($K117="","",INDEX(Zeiterfassung!$D$6:$D$3665,$K117))</f>
        <v/>
      </c>
      <c r="E117" s="186">
        <f>IF($K117="","",INDEX(Zeiterfassung!$E$6:$E$3665,$K117))</f>
        <v/>
      </c>
      <c r="F117" s="187">
        <f>IF($K117="","",INDEX(Zeiterfassung!$F$6:$F$3665,$K117))</f>
        <v/>
      </c>
      <c r="G117" s="187">
        <f>IF($K117="","",INDEX(Zeiterfassung!$G$6:$G$3665,$K117))</f>
        <v/>
      </c>
      <c r="H117" s="188">
        <f>IF($K117="","",INDEX(Zeiterfassung!$H$6:$H$3665,$K117))</f>
        <v/>
      </c>
      <c r="I117" s="335">
        <f>IF(B117=B116,"",IF($K117="","",INDEX(Zeiterfassung!$I$6:$I$3665,MATCH(INDEX(Zeiterfassung!$K$6:$K$3665,$K117),Zeiterfassung!$K$6:$K$3665,0))))</f>
        <v/>
      </c>
      <c r="J117" s="335">
        <f>IF(B117=B116,"",IF($K117="","",INDEX(Zeiterfassung!$J$6:$J$3665,MATCH(INDEX(Zeiterfassung!$K$6:$K$3665,$K117),Zeiterfassung!$K$6:$K$3665,0))))</f>
        <v/>
      </c>
      <c r="K117">
        <f>IFERROR(AGGREGATE(15,6,(ROW(Zeiterfassung!$D$6:$D$3665)-ROW(Zeiterfassung!$D$6)+1)/(Zeiterfassung!$D$6:$D$3665&lt;&gt;""),112),"")</f>
        <v/>
      </c>
    </row>
    <row r="118" ht="20" customHeight="1">
      <c r="A118" s="183">
        <f>IF($K118="","",WEEKNUM(INDEX(Zeiterfassung!$K$6:$K$3665,$K118),21))</f>
        <v/>
      </c>
      <c r="B118" s="184">
        <f>IF($K118="","",INDEX(Zeiterfassung!$K$6:$K$3665,$K118))</f>
        <v/>
      </c>
      <c r="C118" s="185">
        <f>IF($K118="","",INDEX(Zeiterfassung!$K$6:$K$3665,$K118))</f>
        <v/>
      </c>
      <c r="D118" s="186">
        <f>IF($K118="","",INDEX(Zeiterfassung!$D$6:$D$3665,$K118))</f>
        <v/>
      </c>
      <c r="E118" s="186">
        <f>IF($K118="","",INDEX(Zeiterfassung!$E$6:$E$3665,$K118))</f>
        <v/>
      </c>
      <c r="F118" s="187">
        <f>IF($K118="","",INDEX(Zeiterfassung!$F$6:$F$3665,$K118))</f>
        <v/>
      </c>
      <c r="G118" s="187">
        <f>IF($K118="","",INDEX(Zeiterfassung!$G$6:$G$3665,$K118))</f>
        <v/>
      </c>
      <c r="H118" s="188">
        <f>IF($K118="","",INDEX(Zeiterfassung!$H$6:$H$3665,$K118))</f>
        <v/>
      </c>
      <c r="I118" s="335">
        <f>IF(B118=B117,"",IF($K118="","",INDEX(Zeiterfassung!$I$6:$I$3665,MATCH(INDEX(Zeiterfassung!$K$6:$K$3665,$K118),Zeiterfassung!$K$6:$K$3665,0))))</f>
        <v/>
      </c>
      <c r="J118" s="335">
        <f>IF(B118=B117,"",IF($K118="","",INDEX(Zeiterfassung!$J$6:$J$3665,MATCH(INDEX(Zeiterfassung!$K$6:$K$3665,$K118),Zeiterfassung!$K$6:$K$3665,0))))</f>
        <v/>
      </c>
      <c r="K118">
        <f>IFERROR(AGGREGATE(15,6,(ROW(Zeiterfassung!$D$6:$D$3665)-ROW(Zeiterfassung!$D$6)+1)/(Zeiterfassung!$D$6:$D$3665&lt;&gt;""),113),"")</f>
        <v/>
      </c>
    </row>
    <row r="119" ht="20" customHeight="1">
      <c r="A119" s="183">
        <f>IF($K119="","",WEEKNUM(INDEX(Zeiterfassung!$K$6:$K$3665,$K119),21))</f>
        <v/>
      </c>
      <c r="B119" s="184">
        <f>IF($K119="","",INDEX(Zeiterfassung!$K$6:$K$3665,$K119))</f>
        <v/>
      </c>
      <c r="C119" s="185">
        <f>IF($K119="","",INDEX(Zeiterfassung!$K$6:$K$3665,$K119))</f>
        <v/>
      </c>
      <c r="D119" s="186">
        <f>IF($K119="","",INDEX(Zeiterfassung!$D$6:$D$3665,$K119))</f>
        <v/>
      </c>
      <c r="E119" s="186">
        <f>IF($K119="","",INDEX(Zeiterfassung!$E$6:$E$3665,$K119))</f>
        <v/>
      </c>
      <c r="F119" s="187">
        <f>IF($K119="","",INDEX(Zeiterfassung!$F$6:$F$3665,$K119))</f>
        <v/>
      </c>
      <c r="G119" s="187">
        <f>IF($K119="","",INDEX(Zeiterfassung!$G$6:$G$3665,$K119))</f>
        <v/>
      </c>
      <c r="H119" s="188">
        <f>IF($K119="","",INDEX(Zeiterfassung!$H$6:$H$3665,$K119))</f>
        <v/>
      </c>
      <c r="I119" s="335">
        <f>IF(B119=B118,"",IF($K119="","",INDEX(Zeiterfassung!$I$6:$I$3665,MATCH(INDEX(Zeiterfassung!$K$6:$K$3665,$K119),Zeiterfassung!$K$6:$K$3665,0))))</f>
        <v/>
      </c>
      <c r="J119" s="335">
        <f>IF(B119=B118,"",IF($K119="","",INDEX(Zeiterfassung!$J$6:$J$3665,MATCH(INDEX(Zeiterfassung!$K$6:$K$3665,$K119),Zeiterfassung!$K$6:$K$3665,0))))</f>
        <v/>
      </c>
      <c r="K119">
        <f>IFERROR(AGGREGATE(15,6,(ROW(Zeiterfassung!$D$6:$D$3665)-ROW(Zeiterfassung!$D$6)+1)/(Zeiterfassung!$D$6:$D$3665&lt;&gt;""),114),"")</f>
        <v/>
      </c>
    </row>
    <row r="120" ht="20" customHeight="1">
      <c r="A120" s="183">
        <f>IF($K120="","",WEEKNUM(INDEX(Zeiterfassung!$K$6:$K$3665,$K120),21))</f>
        <v/>
      </c>
      <c r="B120" s="184">
        <f>IF($K120="","",INDEX(Zeiterfassung!$K$6:$K$3665,$K120))</f>
        <v/>
      </c>
      <c r="C120" s="185">
        <f>IF($K120="","",INDEX(Zeiterfassung!$K$6:$K$3665,$K120))</f>
        <v/>
      </c>
      <c r="D120" s="186">
        <f>IF($K120="","",INDEX(Zeiterfassung!$D$6:$D$3665,$K120))</f>
        <v/>
      </c>
      <c r="E120" s="186">
        <f>IF($K120="","",INDEX(Zeiterfassung!$E$6:$E$3665,$K120))</f>
        <v/>
      </c>
      <c r="F120" s="187">
        <f>IF($K120="","",INDEX(Zeiterfassung!$F$6:$F$3665,$K120))</f>
        <v/>
      </c>
      <c r="G120" s="187">
        <f>IF($K120="","",INDEX(Zeiterfassung!$G$6:$G$3665,$K120))</f>
        <v/>
      </c>
      <c r="H120" s="188">
        <f>IF($K120="","",INDEX(Zeiterfassung!$H$6:$H$3665,$K120))</f>
        <v/>
      </c>
      <c r="I120" s="335">
        <f>IF(B120=B119,"",IF($K120="","",INDEX(Zeiterfassung!$I$6:$I$3665,MATCH(INDEX(Zeiterfassung!$K$6:$K$3665,$K120),Zeiterfassung!$K$6:$K$3665,0))))</f>
        <v/>
      </c>
      <c r="J120" s="335">
        <f>IF(B120=B119,"",IF($K120="","",INDEX(Zeiterfassung!$J$6:$J$3665,MATCH(INDEX(Zeiterfassung!$K$6:$K$3665,$K120),Zeiterfassung!$K$6:$K$3665,0))))</f>
        <v/>
      </c>
      <c r="K120">
        <f>IFERROR(AGGREGATE(15,6,(ROW(Zeiterfassung!$D$6:$D$3665)-ROW(Zeiterfassung!$D$6)+1)/(Zeiterfassung!$D$6:$D$3665&lt;&gt;""),115),"")</f>
        <v/>
      </c>
    </row>
    <row r="121" ht="20" customHeight="1">
      <c r="A121" s="183">
        <f>IF($K121="","",WEEKNUM(INDEX(Zeiterfassung!$K$6:$K$3665,$K121),21))</f>
        <v/>
      </c>
      <c r="B121" s="184">
        <f>IF($K121="","",INDEX(Zeiterfassung!$K$6:$K$3665,$K121))</f>
        <v/>
      </c>
      <c r="C121" s="185">
        <f>IF($K121="","",INDEX(Zeiterfassung!$K$6:$K$3665,$K121))</f>
        <v/>
      </c>
      <c r="D121" s="186">
        <f>IF($K121="","",INDEX(Zeiterfassung!$D$6:$D$3665,$K121))</f>
        <v/>
      </c>
      <c r="E121" s="186">
        <f>IF($K121="","",INDEX(Zeiterfassung!$E$6:$E$3665,$K121))</f>
        <v/>
      </c>
      <c r="F121" s="187">
        <f>IF($K121="","",INDEX(Zeiterfassung!$F$6:$F$3665,$K121))</f>
        <v/>
      </c>
      <c r="G121" s="187">
        <f>IF($K121="","",INDEX(Zeiterfassung!$G$6:$G$3665,$K121))</f>
        <v/>
      </c>
      <c r="H121" s="188">
        <f>IF($K121="","",INDEX(Zeiterfassung!$H$6:$H$3665,$K121))</f>
        <v/>
      </c>
      <c r="I121" s="335">
        <f>IF(B121=B120,"",IF($K121="","",INDEX(Zeiterfassung!$I$6:$I$3665,MATCH(INDEX(Zeiterfassung!$K$6:$K$3665,$K121),Zeiterfassung!$K$6:$K$3665,0))))</f>
        <v/>
      </c>
      <c r="J121" s="335">
        <f>IF(B121=B120,"",IF($K121="","",INDEX(Zeiterfassung!$J$6:$J$3665,MATCH(INDEX(Zeiterfassung!$K$6:$K$3665,$K121),Zeiterfassung!$K$6:$K$3665,0))))</f>
        <v/>
      </c>
      <c r="K121">
        <f>IFERROR(AGGREGATE(15,6,(ROW(Zeiterfassung!$D$6:$D$3665)-ROW(Zeiterfassung!$D$6)+1)/(Zeiterfassung!$D$6:$D$3665&lt;&gt;""),116),"")</f>
        <v/>
      </c>
    </row>
    <row r="122" ht="20" customHeight="1">
      <c r="A122" s="183">
        <f>IF($K122="","",WEEKNUM(INDEX(Zeiterfassung!$K$6:$K$3665,$K122),21))</f>
        <v/>
      </c>
      <c r="B122" s="184">
        <f>IF($K122="","",INDEX(Zeiterfassung!$K$6:$K$3665,$K122))</f>
        <v/>
      </c>
      <c r="C122" s="185">
        <f>IF($K122="","",INDEX(Zeiterfassung!$K$6:$K$3665,$K122))</f>
        <v/>
      </c>
      <c r="D122" s="186">
        <f>IF($K122="","",INDEX(Zeiterfassung!$D$6:$D$3665,$K122))</f>
        <v/>
      </c>
      <c r="E122" s="186">
        <f>IF($K122="","",INDEX(Zeiterfassung!$E$6:$E$3665,$K122))</f>
        <v/>
      </c>
      <c r="F122" s="187">
        <f>IF($K122="","",INDEX(Zeiterfassung!$F$6:$F$3665,$K122))</f>
        <v/>
      </c>
      <c r="G122" s="187">
        <f>IF($K122="","",INDEX(Zeiterfassung!$G$6:$G$3665,$K122))</f>
        <v/>
      </c>
      <c r="H122" s="188">
        <f>IF($K122="","",INDEX(Zeiterfassung!$H$6:$H$3665,$K122))</f>
        <v/>
      </c>
      <c r="I122" s="335">
        <f>IF(B122=B121,"",IF($K122="","",INDEX(Zeiterfassung!$I$6:$I$3665,MATCH(INDEX(Zeiterfassung!$K$6:$K$3665,$K122),Zeiterfassung!$K$6:$K$3665,0))))</f>
        <v/>
      </c>
      <c r="J122" s="335">
        <f>IF(B122=B121,"",IF($K122="","",INDEX(Zeiterfassung!$J$6:$J$3665,MATCH(INDEX(Zeiterfassung!$K$6:$K$3665,$K122),Zeiterfassung!$K$6:$K$3665,0))))</f>
        <v/>
      </c>
      <c r="K122">
        <f>IFERROR(AGGREGATE(15,6,(ROW(Zeiterfassung!$D$6:$D$3665)-ROW(Zeiterfassung!$D$6)+1)/(Zeiterfassung!$D$6:$D$3665&lt;&gt;""),117),"")</f>
        <v/>
      </c>
    </row>
    <row r="123" ht="20" customHeight="1">
      <c r="A123" s="183">
        <f>IF($K123="","",WEEKNUM(INDEX(Zeiterfassung!$K$6:$K$3665,$K123),21))</f>
        <v/>
      </c>
      <c r="B123" s="184">
        <f>IF($K123="","",INDEX(Zeiterfassung!$K$6:$K$3665,$K123))</f>
        <v/>
      </c>
      <c r="C123" s="185">
        <f>IF($K123="","",INDEX(Zeiterfassung!$K$6:$K$3665,$K123))</f>
        <v/>
      </c>
      <c r="D123" s="186">
        <f>IF($K123="","",INDEX(Zeiterfassung!$D$6:$D$3665,$K123))</f>
        <v/>
      </c>
      <c r="E123" s="186">
        <f>IF($K123="","",INDEX(Zeiterfassung!$E$6:$E$3665,$K123))</f>
        <v/>
      </c>
      <c r="F123" s="187">
        <f>IF($K123="","",INDEX(Zeiterfassung!$F$6:$F$3665,$K123))</f>
        <v/>
      </c>
      <c r="G123" s="187">
        <f>IF($K123="","",INDEX(Zeiterfassung!$G$6:$G$3665,$K123))</f>
        <v/>
      </c>
      <c r="H123" s="188">
        <f>IF($K123="","",INDEX(Zeiterfassung!$H$6:$H$3665,$K123))</f>
        <v/>
      </c>
      <c r="I123" s="335">
        <f>IF(B123=B122,"",IF($K123="","",INDEX(Zeiterfassung!$I$6:$I$3665,MATCH(INDEX(Zeiterfassung!$K$6:$K$3665,$K123),Zeiterfassung!$K$6:$K$3665,0))))</f>
        <v/>
      </c>
      <c r="J123" s="335">
        <f>IF(B123=B122,"",IF($K123="","",INDEX(Zeiterfassung!$J$6:$J$3665,MATCH(INDEX(Zeiterfassung!$K$6:$K$3665,$K123),Zeiterfassung!$K$6:$K$3665,0))))</f>
        <v/>
      </c>
      <c r="K123">
        <f>IFERROR(AGGREGATE(15,6,(ROW(Zeiterfassung!$D$6:$D$3665)-ROW(Zeiterfassung!$D$6)+1)/(Zeiterfassung!$D$6:$D$3665&lt;&gt;""),118),"")</f>
        <v/>
      </c>
    </row>
    <row r="124" ht="20" customHeight="1">
      <c r="A124" s="183">
        <f>IF($K124="","",WEEKNUM(INDEX(Zeiterfassung!$K$6:$K$3665,$K124),21))</f>
        <v/>
      </c>
      <c r="B124" s="184">
        <f>IF($K124="","",INDEX(Zeiterfassung!$K$6:$K$3665,$K124))</f>
        <v/>
      </c>
      <c r="C124" s="185">
        <f>IF($K124="","",INDEX(Zeiterfassung!$K$6:$K$3665,$K124))</f>
        <v/>
      </c>
      <c r="D124" s="186">
        <f>IF($K124="","",INDEX(Zeiterfassung!$D$6:$D$3665,$K124))</f>
        <v/>
      </c>
      <c r="E124" s="186">
        <f>IF($K124="","",INDEX(Zeiterfassung!$E$6:$E$3665,$K124))</f>
        <v/>
      </c>
      <c r="F124" s="187">
        <f>IF($K124="","",INDEX(Zeiterfassung!$F$6:$F$3665,$K124))</f>
        <v/>
      </c>
      <c r="G124" s="187">
        <f>IF($K124="","",INDEX(Zeiterfassung!$G$6:$G$3665,$K124))</f>
        <v/>
      </c>
      <c r="H124" s="188">
        <f>IF($K124="","",INDEX(Zeiterfassung!$H$6:$H$3665,$K124))</f>
        <v/>
      </c>
      <c r="I124" s="335">
        <f>IF(B124=B123,"",IF($K124="","",INDEX(Zeiterfassung!$I$6:$I$3665,MATCH(INDEX(Zeiterfassung!$K$6:$K$3665,$K124),Zeiterfassung!$K$6:$K$3665,0))))</f>
        <v/>
      </c>
      <c r="J124" s="335">
        <f>IF(B124=B123,"",IF($K124="","",INDEX(Zeiterfassung!$J$6:$J$3665,MATCH(INDEX(Zeiterfassung!$K$6:$K$3665,$K124),Zeiterfassung!$K$6:$K$3665,0))))</f>
        <v/>
      </c>
      <c r="K124">
        <f>IFERROR(AGGREGATE(15,6,(ROW(Zeiterfassung!$D$6:$D$3665)-ROW(Zeiterfassung!$D$6)+1)/(Zeiterfassung!$D$6:$D$3665&lt;&gt;""),119),"")</f>
        <v/>
      </c>
    </row>
    <row r="125" ht="20" customHeight="1">
      <c r="A125" s="183">
        <f>IF($K125="","",WEEKNUM(INDEX(Zeiterfassung!$K$6:$K$3665,$K125),21))</f>
        <v/>
      </c>
      <c r="B125" s="184">
        <f>IF($K125="","",INDEX(Zeiterfassung!$K$6:$K$3665,$K125))</f>
        <v/>
      </c>
      <c r="C125" s="185">
        <f>IF($K125="","",INDEX(Zeiterfassung!$K$6:$K$3665,$K125))</f>
        <v/>
      </c>
      <c r="D125" s="186">
        <f>IF($K125="","",INDEX(Zeiterfassung!$D$6:$D$3665,$K125))</f>
        <v/>
      </c>
      <c r="E125" s="186">
        <f>IF($K125="","",INDEX(Zeiterfassung!$E$6:$E$3665,$K125))</f>
        <v/>
      </c>
      <c r="F125" s="187">
        <f>IF($K125="","",INDEX(Zeiterfassung!$F$6:$F$3665,$K125))</f>
        <v/>
      </c>
      <c r="G125" s="187">
        <f>IF($K125="","",INDEX(Zeiterfassung!$G$6:$G$3665,$K125))</f>
        <v/>
      </c>
      <c r="H125" s="188">
        <f>IF($K125="","",INDEX(Zeiterfassung!$H$6:$H$3665,$K125))</f>
        <v/>
      </c>
      <c r="I125" s="335">
        <f>IF(B125=B124,"",IF($K125="","",INDEX(Zeiterfassung!$I$6:$I$3665,MATCH(INDEX(Zeiterfassung!$K$6:$K$3665,$K125),Zeiterfassung!$K$6:$K$3665,0))))</f>
        <v/>
      </c>
      <c r="J125" s="335">
        <f>IF(B125=B124,"",IF($K125="","",INDEX(Zeiterfassung!$J$6:$J$3665,MATCH(INDEX(Zeiterfassung!$K$6:$K$3665,$K125),Zeiterfassung!$K$6:$K$3665,0))))</f>
        <v/>
      </c>
      <c r="K125">
        <f>IFERROR(AGGREGATE(15,6,(ROW(Zeiterfassung!$D$6:$D$3665)-ROW(Zeiterfassung!$D$6)+1)/(Zeiterfassung!$D$6:$D$3665&lt;&gt;""),120),"")</f>
        <v/>
      </c>
    </row>
    <row r="126" ht="20" customHeight="1">
      <c r="A126" s="183">
        <f>IF($K126="","",WEEKNUM(INDEX(Zeiterfassung!$K$6:$K$3665,$K126),21))</f>
        <v/>
      </c>
      <c r="B126" s="184">
        <f>IF($K126="","",INDEX(Zeiterfassung!$K$6:$K$3665,$K126))</f>
        <v/>
      </c>
      <c r="C126" s="185">
        <f>IF($K126="","",INDEX(Zeiterfassung!$K$6:$K$3665,$K126))</f>
        <v/>
      </c>
      <c r="D126" s="186">
        <f>IF($K126="","",INDEX(Zeiterfassung!$D$6:$D$3665,$K126))</f>
        <v/>
      </c>
      <c r="E126" s="186">
        <f>IF($K126="","",INDEX(Zeiterfassung!$E$6:$E$3665,$K126))</f>
        <v/>
      </c>
      <c r="F126" s="187">
        <f>IF($K126="","",INDEX(Zeiterfassung!$F$6:$F$3665,$K126))</f>
        <v/>
      </c>
      <c r="G126" s="187">
        <f>IF($K126="","",INDEX(Zeiterfassung!$G$6:$G$3665,$K126))</f>
        <v/>
      </c>
      <c r="H126" s="188">
        <f>IF($K126="","",INDEX(Zeiterfassung!$H$6:$H$3665,$K126))</f>
        <v/>
      </c>
      <c r="I126" s="335">
        <f>IF(B126=B125,"",IF($K126="","",INDEX(Zeiterfassung!$I$6:$I$3665,MATCH(INDEX(Zeiterfassung!$K$6:$K$3665,$K126),Zeiterfassung!$K$6:$K$3665,0))))</f>
        <v/>
      </c>
      <c r="J126" s="335">
        <f>IF(B126=B125,"",IF($K126="","",INDEX(Zeiterfassung!$J$6:$J$3665,MATCH(INDEX(Zeiterfassung!$K$6:$K$3665,$K126),Zeiterfassung!$K$6:$K$3665,0))))</f>
        <v/>
      </c>
      <c r="K126">
        <f>IFERROR(AGGREGATE(15,6,(ROW(Zeiterfassung!$D$6:$D$3665)-ROW(Zeiterfassung!$D$6)+1)/(Zeiterfassung!$D$6:$D$3665&lt;&gt;""),121),"")</f>
        <v/>
      </c>
    </row>
    <row r="127" ht="20" customHeight="1">
      <c r="A127" s="183">
        <f>IF($K127="","",WEEKNUM(INDEX(Zeiterfassung!$K$6:$K$3665,$K127),21))</f>
        <v/>
      </c>
      <c r="B127" s="184">
        <f>IF($K127="","",INDEX(Zeiterfassung!$K$6:$K$3665,$K127))</f>
        <v/>
      </c>
      <c r="C127" s="185">
        <f>IF($K127="","",INDEX(Zeiterfassung!$K$6:$K$3665,$K127))</f>
        <v/>
      </c>
      <c r="D127" s="186">
        <f>IF($K127="","",INDEX(Zeiterfassung!$D$6:$D$3665,$K127))</f>
        <v/>
      </c>
      <c r="E127" s="186">
        <f>IF($K127="","",INDEX(Zeiterfassung!$E$6:$E$3665,$K127))</f>
        <v/>
      </c>
      <c r="F127" s="187">
        <f>IF($K127="","",INDEX(Zeiterfassung!$F$6:$F$3665,$K127))</f>
        <v/>
      </c>
      <c r="G127" s="187">
        <f>IF($K127="","",INDEX(Zeiterfassung!$G$6:$G$3665,$K127))</f>
        <v/>
      </c>
      <c r="H127" s="188">
        <f>IF($K127="","",INDEX(Zeiterfassung!$H$6:$H$3665,$K127))</f>
        <v/>
      </c>
      <c r="I127" s="335">
        <f>IF(B127=B126,"",IF($K127="","",INDEX(Zeiterfassung!$I$6:$I$3665,MATCH(INDEX(Zeiterfassung!$K$6:$K$3665,$K127),Zeiterfassung!$K$6:$K$3665,0))))</f>
        <v/>
      </c>
      <c r="J127" s="335">
        <f>IF(B127=B126,"",IF($K127="","",INDEX(Zeiterfassung!$J$6:$J$3665,MATCH(INDEX(Zeiterfassung!$K$6:$K$3665,$K127),Zeiterfassung!$K$6:$K$3665,0))))</f>
        <v/>
      </c>
      <c r="K127">
        <f>IFERROR(AGGREGATE(15,6,(ROW(Zeiterfassung!$D$6:$D$3665)-ROW(Zeiterfassung!$D$6)+1)/(Zeiterfassung!$D$6:$D$3665&lt;&gt;""),122),"")</f>
        <v/>
      </c>
    </row>
    <row r="128" ht="20" customHeight="1">
      <c r="A128" s="183">
        <f>IF($K128="","",WEEKNUM(INDEX(Zeiterfassung!$K$6:$K$3665,$K128),21))</f>
        <v/>
      </c>
      <c r="B128" s="184">
        <f>IF($K128="","",INDEX(Zeiterfassung!$K$6:$K$3665,$K128))</f>
        <v/>
      </c>
      <c r="C128" s="185">
        <f>IF($K128="","",INDEX(Zeiterfassung!$K$6:$K$3665,$K128))</f>
        <v/>
      </c>
      <c r="D128" s="186">
        <f>IF($K128="","",INDEX(Zeiterfassung!$D$6:$D$3665,$K128))</f>
        <v/>
      </c>
      <c r="E128" s="186">
        <f>IF($K128="","",INDEX(Zeiterfassung!$E$6:$E$3665,$K128))</f>
        <v/>
      </c>
      <c r="F128" s="187">
        <f>IF($K128="","",INDEX(Zeiterfassung!$F$6:$F$3665,$K128))</f>
        <v/>
      </c>
      <c r="G128" s="187">
        <f>IF($K128="","",INDEX(Zeiterfassung!$G$6:$G$3665,$K128))</f>
        <v/>
      </c>
      <c r="H128" s="188">
        <f>IF($K128="","",INDEX(Zeiterfassung!$H$6:$H$3665,$K128))</f>
        <v/>
      </c>
      <c r="I128" s="335">
        <f>IF(B128=B127,"",IF($K128="","",INDEX(Zeiterfassung!$I$6:$I$3665,MATCH(INDEX(Zeiterfassung!$K$6:$K$3665,$K128),Zeiterfassung!$K$6:$K$3665,0))))</f>
        <v/>
      </c>
      <c r="J128" s="335">
        <f>IF(B128=B127,"",IF($K128="","",INDEX(Zeiterfassung!$J$6:$J$3665,MATCH(INDEX(Zeiterfassung!$K$6:$K$3665,$K128),Zeiterfassung!$K$6:$K$3665,0))))</f>
        <v/>
      </c>
      <c r="K128">
        <f>IFERROR(AGGREGATE(15,6,(ROW(Zeiterfassung!$D$6:$D$3665)-ROW(Zeiterfassung!$D$6)+1)/(Zeiterfassung!$D$6:$D$3665&lt;&gt;""),123),"")</f>
        <v/>
      </c>
    </row>
    <row r="129" ht="20" customHeight="1">
      <c r="A129" s="183">
        <f>IF($K129="","",WEEKNUM(INDEX(Zeiterfassung!$K$6:$K$3665,$K129),21))</f>
        <v/>
      </c>
      <c r="B129" s="184">
        <f>IF($K129="","",INDEX(Zeiterfassung!$K$6:$K$3665,$K129))</f>
        <v/>
      </c>
      <c r="C129" s="185">
        <f>IF($K129="","",INDEX(Zeiterfassung!$K$6:$K$3665,$K129))</f>
        <v/>
      </c>
      <c r="D129" s="186">
        <f>IF($K129="","",INDEX(Zeiterfassung!$D$6:$D$3665,$K129))</f>
        <v/>
      </c>
      <c r="E129" s="186">
        <f>IF($K129="","",INDEX(Zeiterfassung!$E$6:$E$3665,$K129))</f>
        <v/>
      </c>
      <c r="F129" s="187">
        <f>IF($K129="","",INDEX(Zeiterfassung!$F$6:$F$3665,$K129))</f>
        <v/>
      </c>
      <c r="G129" s="187">
        <f>IF($K129="","",INDEX(Zeiterfassung!$G$6:$G$3665,$K129))</f>
        <v/>
      </c>
      <c r="H129" s="188">
        <f>IF($K129="","",INDEX(Zeiterfassung!$H$6:$H$3665,$K129))</f>
        <v/>
      </c>
      <c r="I129" s="335">
        <f>IF(B129=B128,"",IF($K129="","",INDEX(Zeiterfassung!$I$6:$I$3665,MATCH(INDEX(Zeiterfassung!$K$6:$K$3665,$K129),Zeiterfassung!$K$6:$K$3665,0))))</f>
        <v/>
      </c>
      <c r="J129" s="335">
        <f>IF(B129=B128,"",IF($K129="","",INDEX(Zeiterfassung!$J$6:$J$3665,MATCH(INDEX(Zeiterfassung!$K$6:$K$3665,$K129),Zeiterfassung!$K$6:$K$3665,0))))</f>
        <v/>
      </c>
      <c r="K129">
        <f>IFERROR(AGGREGATE(15,6,(ROW(Zeiterfassung!$D$6:$D$3665)-ROW(Zeiterfassung!$D$6)+1)/(Zeiterfassung!$D$6:$D$3665&lt;&gt;""),124),"")</f>
        <v/>
      </c>
    </row>
    <row r="130" ht="20" customHeight="1">
      <c r="A130" s="183">
        <f>IF($K130="","",WEEKNUM(INDEX(Zeiterfassung!$K$6:$K$3665,$K130),21))</f>
        <v/>
      </c>
      <c r="B130" s="184">
        <f>IF($K130="","",INDEX(Zeiterfassung!$K$6:$K$3665,$K130))</f>
        <v/>
      </c>
      <c r="C130" s="185">
        <f>IF($K130="","",INDEX(Zeiterfassung!$K$6:$K$3665,$K130))</f>
        <v/>
      </c>
      <c r="D130" s="186">
        <f>IF($K130="","",INDEX(Zeiterfassung!$D$6:$D$3665,$K130))</f>
        <v/>
      </c>
      <c r="E130" s="186">
        <f>IF($K130="","",INDEX(Zeiterfassung!$E$6:$E$3665,$K130))</f>
        <v/>
      </c>
      <c r="F130" s="187">
        <f>IF($K130="","",INDEX(Zeiterfassung!$F$6:$F$3665,$K130))</f>
        <v/>
      </c>
      <c r="G130" s="187">
        <f>IF($K130="","",INDEX(Zeiterfassung!$G$6:$G$3665,$K130))</f>
        <v/>
      </c>
      <c r="H130" s="188">
        <f>IF($K130="","",INDEX(Zeiterfassung!$H$6:$H$3665,$K130))</f>
        <v/>
      </c>
      <c r="I130" s="335">
        <f>IF(B130=B129,"",IF($K130="","",INDEX(Zeiterfassung!$I$6:$I$3665,MATCH(INDEX(Zeiterfassung!$K$6:$K$3665,$K130),Zeiterfassung!$K$6:$K$3665,0))))</f>
        <v/>
      </c>
      <c r="J130" s="335">
        <f>IF(B130=B129,"",IF($K130="","",INDEX(Zeiterfassung!$J$6:$J$3665,MATCH(INDEX(Zeiterfassung!$K$6:$K$3665,$K130),Zeiterfassung!$K$6:$K$3665,0))))</f>
        <v/>
      </c>
      <c r="K130">
        <f>IFERROR(AGGREGATE(15,6,(ROW(Zeiterfassung!$D$6:$D$3665)-ROW(Zeiterfassung!$D$6)+1)/(Zeiterfassung!$D$6:$D$3665&lt;&gt;""),125),"")</f>
        <v/>
      </c>
    </row>
    <row r="131" ht="20" customHeight="1">
      <c r="A131" s="183">
        <f>IF($K131="","",WEEKNUM(INDEX(Zeiterfassung!$K$6:$K$3665,$K131),21))</f>
        <v/>
      </c>
      <c r="B131" s="184">
        <f>IF($K131="","",INDEX(Zeiterfassung!$K$6:$K$3665,$K131))</f>
        <v/>
      </c>
      <c r="C131" s="185">
        <f>IF($K131="","",INDEX(Zeiterfassung!$K$6:$K$3665,$K131))</f>
        <v/>
      </c>
      <c r="D131" s="186">
        <f>IF($K131="","",INDEX(Zeiterfassung!$D$6:$D$3665,$K131))</f>
        <v/>
      </c>
      <c r="E131" s="186">
        <f>IF($K131="","",INDEX(Zeiterfassung!$E$6:$E$3665,$K131))</f>
        <v/>
      </c>
      <c r="F131" s="187">
        <f>IF($K131="","",INDEX(Zeiterfassung!$F$6:$F$3665,$K131))</f>
        <v/>
      </c>
      <c r="G131" s="187">
        <f>IF($K131="","",INDEX(Zeiterfassung!$G$6:$G$3665,$K131))</f>
        <v/>
      </c>
      <c r="H131" s="188">
        <f>IF($K131="","",INDEX(Zeiterfassung!$H$6:$H$3665,$K131))</f>
        <v/>
      </c>
      <c r="I131" s="335">
        <f>IF(B131=B130,"",IF($K131="","",INDEX(Zeiterfassung!$I$6:$I$3665,MATCH(INDEX(Zeiterfassung!$K$6:$K$3665,$K131),Zeiterfassung!$K$6:$K$3665,0))))</f>
        <v/>
      </c>
      <c r="J131" s="335">
        <f>IF(B131=B130,"",IF($K131="","",INDEX(Zeiterfassung!$J$6:$J$3665,MATCH(INDEX(Zeiterfassung!$K$6:$K$3665,$K131),Zeiterfassung!$K$6:$K$3665,0))))</f>
        <v/>
      </c>
      <c r="K131">
        <f>IFERROR(AGGREGATE(15,6,(ROW(Zeiterfassung!$D$6:$D$3665)-ROW(Zeiterfassung!$D$6)+1)/(Zeiterfassung!$D$6:$D$3665&lt;&gt;""),126),"")</f>
        <v/>
      </c>
    </row>
    <row r="132" ht="20" customHeight="1">
      <c r="A132" s="183">
        <f>IF($K132="","",WEEKNUM(INDEX(Zeiterfassung!$K$6:$K$3665,$K132),21))</f>
        <v/>
      </c>
      <c r="B132" s="184">
        <f>IF($K132="","",INDEX(Zeiterfassung!$K$6:$K$3665,$K132))</f>
        <v/>
      </c>
      <c r="C132" s="185">
        <f>IF($K132="","",INDEX(Zeiterfassung!$K$6:$K$3665,$K132))</f>
        <v/>
      </c>
      <c r="D132" s="186">
        <f>IF($K132="","",INDEX(Zeiterfassung!$D$6:$D$3665,$K132))</f>
        <v/>
      </c>
      <c r="E132" s="186">
        <f>IF($K132="","",INDEX(Zeiterfassung!$E$6:$E$3665,$K132))</f>
        <v/>
      </c>
      <c r="F132" s="187">
        <f>IF($K132="","",INDEX(Zeiterfassung!$F$6:$F$3665,$K132))</f>
        <v/>
      </c>
      <c r="G132" s="187">
        <f>IF($K132="","",INDEX(Zeiterfassung!$G$6:$G$3665,$K132))</f>
        <v/>
      </c>
      <c r="H132" s="188">
        <f>IF($K132="","",INDEX(Zeiterfassung!$H$6:$H$3665,$K132))</f>
        <v/>
      </c>
      <c r="I132" s="335">
        <f>IF(B132=B131,"",IF($K132="","",INDEX(Zeiterfassung!$I$6:$I$3665,MATCH(INDEX(Zeiterfassung!$K$6:$K$3665,$K132),Zeiterfassung!$K$6:$K$3665,0))))</f>
        <v/>
      </c>
      <c r="J132" s="335">
        <f>IF(B132=B131,"",IF($K132="","",INDEX(Zeiterfassung!$J$6:$J$3665,MATCH(INDEX(Zeiterfassung!$K$6:$K$3665,$K132),Zeiterfassung!$K$6:$K$3665,0))))</f>
        <v/>
      </c>
      <c r="K132">
        <f>IFERROR(AGGREGATE(15,6,(ROW(Zeiterfassung!$D$6:$D$3665)-ROW(Zeiterfassung!$D$6)+1)/(Zeiterfassung!$D$6:$D$3665&lt;&gt;""),127),"")</f>
        <v/>
      </c>
    </row>
    <row r="133" ht="20" customHeight="1">
      <c r="A133" s="183">
        <f>IF($K133="","",WEEKNUM(INDEX(Zeiterfassung!$K$6:$K$3665,$K133),21))</f>
        <v/>
      </c>
      <c r="B133" s="184">
        <f>IF($K133="","",INDEX(Zeiterfassung!$K$6:$K$3665,$K133))</f>
        <v/>
      </c>
      <c r="C133" s="185">
        <f>IF($K133="","",INDEX(Zeiterfassung!$K$6:$K$3665,$K133))</f>
        <v/>
      </c>
      <c r="D133" s="186">
        <f>IF($K133="","",INDEX(Zeiterfassung!$D$6:$D$3665,$K133))</f>
        <v/>
      </c>
      <c r="E133" s="186">
        <f>IF($K133="","",INDEX(Zeiterfassung!$E$6:$E$3665,$K133))</f>
        <v/>
      </c>
      <c r="F133" s="187">
        <f>IF($K133="","",INDEX(Zeiterfassung!$F$6:$F$3665,$K133))</f>
        <v/>
      </c>
      <c r="G133" s="187">
        <f>IF($K133="","",INDEX(Zeiterfassung!$G$6:$G$3665,$K133))</f>
        <v/>
      </c>
      <c r="H133" s="188">
        <f>IF($K133="","",INDEX(Zeiterfassung!$H$6:$H$3665,$K133))</f>
        <v/>
      </c>
      <c r="I133" s="335">
        <f>IF(B133=B132,"",IF($K133="","",INDEX(Zeiterfassung!$I$6:$I$3665,MATCH(INDEX(Zeiterfassung!$K$6:$K$3665,$K133),Zeiterfassung!$K$6:$K$3665,0))))</f>
        <v/>
      </c>
      <c r="J133" s="335">
        <f>IF(B133=B132,"",IF($K133="","",INDEX(Zeiterfassung!$J$6:$J$3665,MATCH(INDEX(Zeiterfassung!$K$6:$K$3665,$K133),Zeiterfassung!$K$6:$K$3665,0))))</f>
        <v/>
      </c>
      <c r="K133">
        <f>IFERROR(AGGREGATE(15,6,(ROW(Zeiterfassung!$D$6:$D$3665)-ROW(Zeiterfassung!$D$6)+1)/(Zeiterfassung!$D$6:$D$3665&lt;&gt;""),128),"")</f>
        <v/>
      </c>
    </row>
    <row r="134" ht="20" customHeight="1">
      <c r="A134" s="183">
        <f>IF($K134="","",WEEKNUM(INDEX(Zeiterfassung!$K$6:$K$3665,$K134),21))</f>
        <v/>
      </c>
      <c r="B134" s="184">
        <f>IF($K134="","",INDEX(Zeiterfassung!$K$6:$K$3665,$K134))</f>
        <v/>
      </c>
      <c r="C134" s="185">
        <f>IF($K134="","",INDEX(Zeiterfassung!$K$6:$K$3665,$K134))</f>
        <v/>
      </c>
      <c r="D134" s="186">
        <f>IF($K134="","",INDEX(Zeiterfassung!$D$6:$D$3665,$K134))</f>
        <v/>
      </c>
      <c r="E134" s="186">
        <f>IF($K134="","",INDEX(Zeiterfassung!$E$6:$E$3665,$K134))</f>
        <v/>
      </c>
      <c r="F134" s="187">
        <f>IF($K134="","",INDEX(Zeiterfassung!$F$6:$F$3665,$K134))</f>
        <v/>
      </c>
      <c r="G134" s="187">
        <f>IF($K134="","",INDEX(Zeiterfassung!$G$6:$G$3665,$K134))</f>
        <v/>
      </c>
      <c r="H134" s="188">
        <f>IF($K134="","",INDEX(Zeiterfassung!$H$6:$H$3665,$K134))</f>
        <v/>
      </c>
      <c r="I134" s="335">
        <f>IF(B134=B133,"",IF($K134="","",INDEX(Zeiterfassung!$I$6:$I$3665,MATCH(INDEX(Zeiterfassung!$K$6:$K$3665,$K134),Zeiterfassung!$K$6:$K$3665,0))))</f>
        <v/>
      </c>
      <c r="J134" s="335">
        <f>IF(B134=B133,"",IF($K134="","",INDEX(Zeiterfassung!$J$6:$J$3665,MATCH(INDEX(Zeiterfassung!$K$6:$K$3665,$K134),Zeiterfassung!$K$6:$K$3665,0))))</f>
        <v/>
      </c>
      <c r="K134">
        <f>IFERROR(AGGREGATE(15,6,(ROW(Zeiterfassung!$D$6:$D$3665)-ROW(Zeiterfassung!$D$6)+1)/(Zeiterfassung!$D$6:$D$3665&lt;&gt;""),129),"")</f>
        <v/>
      </c>
    </row>
    <row r="135" ht="20" customHeight="1">
      <c r="A135" s="183">
        <f>IF($K135="","",WEEKNUM(INDEX(Zeiterfassung!$K$6:$K$3665,$K135),21))</f>
        <v/>
      </c>
      <c r="B135" s="184">
        <f>IF($K135="","",INDEX(Zeiterfassung!$K$6:$K$3665,$K135))</f>
        <v/>
      </c>
      <c r="C135" s="185">
        <f>IF($K135="","",INDEX(Zeiterfassung!$K$6:$K$3665,$K135))</f>
        <v/>
      </c>
      <c r="D135" s="186">
        <f>IF($K135="","",INDEX(Zeiterfassung!$D$6:$D$3665,$K135))</f>
        <v/>
      </c>
      <c r="E135" s="186">
        <f>IF($K135="","",INDEX(Zeiterfassung!$E$6:$E$3665,$K135))</f>
        <v/>
      </c>
      <c r="F135" s="187">
        <f>IF($K135="","",INDEX(Zeiterfassung!$F$6:$F$3665,$K135))</f>
        <v/>
      </c>
      <c r="G135" s="187">
        <f>IF($K135="","",INDEX(Zeiterfassung!$G$6:$G$3665,$K135))</f>
        <v/>
      </c>
      <c r="H135" s="188">
        <f>IF($K135="","",INDEX(Zeiterfassung!$H$6:$H$3665,$K135))</f>
        <v/>
      </c>
      <c r="I135" s="335">
        <f>IF(B135=B134,"",IF($K135="","",INDEX(Zeiterfassung!$I$6:$I$3665,MATCH(INDEX(Zeiterfassung!$K$6:$K$3665,$K135),Zeiterfassung!$K$6:$K$3665,0))))</f>
        <v/>
      </c>
      <c r="J135" s="335">
        <f>IF(B135=B134,"",IF($K135="","",INDEX(Zeiterfassung!$J$6:$J$3665,MATCH(INDEX(Zeiterfassung!$K$6:$K$3665,$K135),Zeiterfassung!$K$6:$K$3665,0))))</f>
        <v/>
      </c>
      <c r="K135">
        <f>IFERROR(AGGREGATE(15,6,(ROW(Zeiterfassung!$D$6:$D$3665)-ROW(Zeiterfassung!$D$6)+1)/(Zeiterfassung!$D$6:$D$3665&lt;&gt;""),130),"")</f>
        <v/>
      </c>
    </row>
    <row r="136" ht="20" customHeight="1">
      <c r="A136" s="183">
        <f>IF($K136="","",WEEKNUM(INDEX(Zeiterfassung!$K$6:$K$3665,$K136),21))</f>
        <v/>
      </c>
      <c r="B136" s="184">
        <f>IF($K136="","",INDEX(Zeiterfassung!$K$6:$K$3665,$K136))</f>
        <v/>
      </c>
      <c r="C136" s="185">
        <f>IF($K136="","",INDEX(Zeiterfassung!$K$6:$K$3665,$K136))</f>
        <v/>
      </c>
      <c r="D136" s="186">
        <f>IF($K136="","",INDEX(Zeiterfassung!$D$6:$D$3665,$K136))</f>
        <v/>
      </c>
      <c r="E136" s="186">
        <f>IF($K136="","",INDEX(Zeiterfassung!$E$6:$E$3665,$K136))</f>
        <v/>
      </c>
      <c r="F136" s="187">
        <f>IF($K136="","",INDEX(Zeiterfassung!$F$6:$F$3665,$K136))</f>
        <v/>
      </c>
      <c r="G136" s="187">
        <f>IF($K136="","",INDEX(Zeiterfassung!$G$6:$G$3665,$K136))</f>
        <v/>
      </c>
      <c r="H136" s="188">
        <f>IF($K136="","",INDEX(Zeiterfassung!$H$6:$H$3665,$K136))</f>
        <v/>
      </c>
      <c r="I136" s="335">
        <f>IF(B136=B135,"",IF($K136="","",INDEX(Zeiterfassung!$I$6:$I$3665,MATCH(INDEX(Zeiterfassung!$K$6:$K$3665,$K136),Zeiterfassung!$K$6:$K$3665,0))))</f>
        <v/>
      </c>
      <c r="J136" s="335">
        <f>IF(B136=B135,"",IF($K136="","",INDEX(Zeiterfassung!$J$6:$J$3665,MATCH(INDEX(Zeiterfassung!$K$6:$K$3665,$K136),Zeiterfassung!$K$6:$K$3665,0))))</f>
        <v/>
      </c>
      <c r="K136">
        <f>IFERROR(AGGREGATE(15,6,(ROW(Zeiterfassung!$D$6:$D$3665)-ROW(Zeiterfassung!$D$6)+1)/(Zeiterfassung!$D$6:$D$3665&lt;&gt;""),131),"")</f>
        <v/>
      </c>
    </row>
    <row r="137" ht="20" customHeight="1">
      <c r="A137" s="183">
        <f>IF($K137="","",WEEKNUM(INDEX(Zeiterfassung!$K$6:$K$3665,$K137),21))</f>
        <v/>
      </c>
      <c r="B137" s="184">
        <f>IF($K137="","",INDEX(Zeiterfassung!$K$6:$K$3665,$K137))</f>
        <v/>
      </c>
      <c r="C137" s="185">
        <f>IF($K137="","",INDEX(Zeiterfassung!$K$6:$K$3665,$K137))</f>
        <v/>
      </c>
      <c r="D137" s="186">
        <f>IF($K137="","",INDEX(Zeiterfassung!$D$6:$D$3665,$K137))</f>
        <v/>
      </c>
      <c r="E137" s="186">
        <f>IF($K137="","",INDEX(Zeiterfassung!$E$6:$E$3665,$K137))</f>
        <v/>
      </c>
      <c r="F137" s="187">
        <f>IF($K137="","",INDEX(Zeiterfassung!$F$6:$F$3665,$K137))</f>
        <v/>
      </c>
      <c r="G137" s="187">
        <f>IF($K137="","",INDEX(Zeiterfassung!$G$6:$G$3665,$K137))</f>
        <v/>
      </c>
      <c r="H137" s="188">
        <f>IF($K137="","",INDEX(Zeiterfassung!$H$6:$H$3665,$K137))</f>
        <v/>
      </c>
      <c r="I137" s="335">
        <f>IF(B137=B136,"",IF($K137="","",INDEX(Zeiterfassung!$I$6:$I$3665,MATCH(INDEX(Zeiterfassung!$K$6:$K$3665,$K137),Zeiterfassung!$K$6:$K$3665,0))))</f>
        <v/>
      </c>
      <c r="J137" s="335">
        <f>IF(B137=B136,"",IF($K137="","",INDEX(Zeiterfassung!$J$6:$J$3665,MATCH(INDEX(Zeiterfassung!$K$6:$K$3665,$K137),Zeiterfassung!$K$6:$K$3665,0))))</f>
        <v/>
      </c>
      <c r="K137">
        <f>IFERROR(AGGREGATE(15,6,(ROW(Zeiterfassung!$D$6:$D$3665)-ROW(Zeiterfassung!$D$6)+1)/(Zeiterfassung!$D$6:$D$3665&lt;&gt;""),132),"")</f>
        <v/>
      </c>
    </row>
    <row r="138" ht="20" customHeight="1">
      <c r="A138" s="183">
        <f>IF($K138="","",WEEKNUM(INDEX(Zeiterfassung!$K$6:$K$3665,$K138),21))</f>
        <v/>
      </c>
      <c r="B138" s="184">
        <f>IF($K138="","",INDEX(Zeiterfassung!$K$6:$K$3665,$K138))</f>
        <v/>
      </c>
      <c r="C138" s="185">
        <f>IF($K138="","",INDEX(Zeiterfassung!$K$6:$K$3665,$K138))</f>
        <v/>
      </c>
      <c r="D138" s="186">
        <f>IF($K138="","",INDEX(Zeiterfassung!$D$6:$D$3665,$K138))</f>
        <v/>
      </c>
      <c r="E138" s="186">
        <f>IF($K138="","",INDEX(Zeiterfassung!$E$6:$E$3665,$K138))</f>
        <v/>
      </c>
      <c r="F138" s="187">
        <f>IF($K138="","",INDEX(Zeiterfassung!$F$6:$F$3665,$K138))</f>
        <v/>
      </c>
      <c r="G138" s="187">
        <f>IF($K138="","",INDEX(Zeiterfassung!$G$6:$G$3665,$K138))</f>
        <v/>
      </c>
      <c r="H138" s="188">
        <f>IF($K138="","",INDEX(Zeiterfassung!$H$6:$H$3665,$K138))</f>
        <v/>
      </c>
      <c r="I138" s="335">
        <f>IF(B138=B137,"",IF($K138="","",INDEX(Zeiterfassung!$I$6:$I$3665,MATCH(INDEX(Zeiterfassung!$K$6:$K$3665,$K138),Zeiterfassung!$K$6:$K$3665,0))))</f>
        <v/>
      </c>
      <c r="J138" s="335">
        <f>IF(B138=B137,"",IF($K138="","",INDEX(Zeiterfassung!$J$6:$J$3665,MATCH(INDEX(Zeiterfassung!$K$6:$K$3665,$K138),Zeiterfassung!$K$6:$K$3665,0))))</f>
        <v/>
      </c>
      <c r="K138">
        <f>IFERROR(AGGREGATE(15,6,(ROW(Zeiterfassung!$D$6:$D$3665)-ROW(Zeiterfassung!$D$6)+1)/(Zeiterfassung!$D$6:$D$3665&lt;&gt;""),133),"")</f>
        <v/>
      </c>
    </row>
    <row r="139" ht="20" customHeight="1">
      <c r="A139" s="183">
        <f>IF($K139="","",WEEKNUM(INDEX(Zeiterfassung!$K$6:$K$3665,$K139),21))</f>
        <v/>
      </c>
      <c r="B139" s="184">
        <f>IF($K139="","",INDEX(Zeiterfassung!$K$6:$K$3665,$K139))</f>
        <v/>
      </c>
      <c r="C139" s="185">
        <f>IF($K139="","",INDEX(Zeiterfassung!$K$6:$K$3665,$K139))</f>
        <v/>
      </c>
      <c r="D139" s="186">
        <f>IF($K139="","",INDEX(Zeiterfassung!$D$6:$D$3665,$K139))</f>
        <v/>
      </c>
      <c r="E139" s="186">
        <f>IF($K139="","",INDEX(Zeiterfassung!$E$6:$E$3665,$K139))</f>
        <v/>
      </c>
      <c r="F139" s="187">
        <f>IF($K139="","",INDEX(Zeiterfassung!$F$6:$F$3665,$K139))</f>
        <v/>
      </c>
      <c r="G139" s="187">
        <f>IF($K139="","",INDEX(Zeiterfassung!$G$6:$G$3665,$K139))</f>
        <v/>
      </c>
      <c r="H139" s="188">
        <f>IF($K139="","",INDEX(Zeiterfassung!$H$6:$H$3665,$K139))</f>
        <v/>
      </c>
      <c r="I139" s="335">
        <f>IF(B139=B138,"",IF($K139="","",INDEX(Zeiterfassung!$I$6:$I$3665,MATCH(INDEX(Zeiterfassung!$K$6:$K$3665,$K139),Zeiterfassung!$K$6:$K$3665,0))))</f>
        <v/>
      </c>
      <c r="J139" s="335">
        <f>IF(B139=B138,"",IF($K139="","",INDEX(Zeiterfassung!$J$6:$J$3665,MATCH(INDEX(Zeiterfassung!$K$6:$K$3665,$K139),Zeiterfassung!$K$6:$K$3665,0))))</f>
        <v/>
      </c>
      <c r="K139">
        <f>IFERROR(AGGREGATE(15,6,(ROW(Zeiterfassung!$D$6:$D$3665)-ROW(Zeiterfassung!$D$6)+1)/(Zeiterfassung!$D$6:$D$3665&lt;&gt;""),134),"")</f>
        <v/>
      </c>
    </row>
    <row r="140" ht="20" customHeight="1">
      <c r="A140" s="183">
        <f>IF($K140="","",WEEKNUM(INDEX(Zeiterfassung!$K$6:$K$3665,$K140),21))</f>
        <v/>
      </c>
      <c r="B140" s="184">
        <f>IF($K140="","",INDEX(Zeiterfassung!$K$6:$K$3665,$K140))</f>
        <v/>
      </c>
      <c r="C140" s="185">
        <f>IF($K140="","",INDEX(Zeiterfassung!$K$6:$K$3665,$K140))</f>
        <v/>
      </c>
      <c r="D140" s="186">
        <f>IF($K140="","",INDEX(Zeiterfassung!$D$6:$D$3665,$K140))</f>
        <v/>
      </c>
      <c r="E140" s="186">
        <f>IF($K140="","",INDEX(Zeiterfassung!$E$6:$E$3665,$K140))</f>
        <v/>
      </c>
      <c r="F140" s="187">
        <f>IF($K140="","",INDEX(Zeiterfassung!$F$6:$F$3665,$K140))</f>
        <v/>
      </c>
      <c r="G140" s="187">
        <f>IF($K140="","",INDEX(Zeiterfassung!$G$6:$G$3665,$K140))</f>
        <v/>
      </c>
      <c r="H140" s="188">
        <f>IF($K140="","",INDEX(Zeiterfassung!$H$6:$H$3665,$K140))</f>
        <v/>
      </c>
      <c r="I140" s="335">
        <f>IF(B140=B139,"",IF($K140="","",INDEX(Zeiterfassung!$I$6:$I$3665,MATCH(INDEX(Zeiterfassung!$K$6:$K$3665,$K140),Zeiterfassung!$K$6:$K$3665,0))))</f>
        <v/>
      </c>
      <c r="J140" s="335">
        <f>IF(B140=B139,"",IF($K140="","",INDEX(Zeiterfassung!$J$6:$J$3665,MATCH(INDEX(Zeiterfassung!$K$6:$K$3665,$K140),Zeiterfassung!$K$6:$K$3665,0))))</f>
        <v/>
      </c>
      <c r="K140">
        <f>IFERROR(AGGREGATE(15,6,(ROW(Zeiterfassung!$D$6:$D$3665)-ROW(Zeiterfassung!$D$6)+1)/(Zeiterfassung!$D$6:$D$3665&lt;&gt;""),135),"")</f>
        <v/>
      </c>
    </row>
    <row r="141" ht="20" customHeight="1">
      <c r="A141" s="183">
        <f>IF($K141="","",WEEKNUM(INDEX(Zeiterfassung!$K$6:$K$3665,$K141),21))</f>
        <v/>
      </c>
      <c r="B141" s="184">
        <f>IF($K141="","",INDEX(Zeiterfassung!$K$6:$K$3665,$K141))</f>
        <v/>
      </c>
      <c r="C141" s="185">
        <f>IF($K141="","",INDEX(Zeiterfassung!$K$6:$K$3665,$K141))</f>
        <v/>
      </c>
      <c r="D141" s="186">
        <f>IF($K141="","",INDEX(Zeiterfassung!$D$6:$D$3665,$K141))</f>
        <v/>
      </c>
      <c r="E141" s="186">
        <f>IF($K141="","",INDEX(Zeiterfassung!$E$6:$E$3665,$K141))</f>
        <v/>
      </c>
      <c r="F141" s="187">
        <f>IF($K141="","",INDEX(Zeiterfassung!$F$6:$F$3665,$K141))</f>
        <v/>
      </c>
      <c r="G141" s="187">
        <f>IF($K141="","",INDEX(Zeiterfassung!$G$6:$G$3665,$K141))</f>
        <v/>
      </c>
      <c r="H141" s="188">
        <f>IF($K141="","",INDEX(Zeiterfassung!$H$6:$H$3665,$K141))</f>
        <v/>
      </c>
      <c r="I141" s="335">
        <f>IF(B141=B140,"",IF($K141="","",INDEX(Zeiterfassung!$I$6:$I$3665,MATCH(INDEX(Zeiterfassung!$K$6:$K$3665,$K141),Zeiterfassung!$K$6:$K$3665,0))))</f>
        <v/>
      </c>
      <c r="J141" s="335">
        <f>IF(B141=B140,"",IF($K141="","",INDEX(Zeiterfassung!$J$6:$J$3665,MATCH(INDEX(Zeiterfassung!$K$6:$K$3665,$K141),Zeiterfassung!$K$6:$K$3665,0))))</f>
        <v/>
      </c>
      <c r="K141">
        <f>IFERROR(AGGREGATE(15,6,(ROW(Zeiterfassung!$D$6:$D$3665)-ROW(Zeiterfassung!$D$6)+1)/(Zeiterfassung!$D$6:$D$3665&lt;&gt;""),136),"")</f>
        <v/>
      </c>
    </row>
    <row r="142" ht="20" customHeight="1">
      <c r="A142" s="183">
        <f>IF($K142="","",WEEKNUM(INDEX(Zeiterfassung!$K$6:$K$3665,$K142),21))</f>
        <v/>
      </c>
      <c r="B142" s="184">
        <f>IF($K142="","",INDEX(Zeiterfassung!$K$6:$K$3665,$K142))</f>
        <v/>
      </c>
      <c r="C142" s="185">
        <f>IF($K142="","",INDEX(Zeiterfassung!$K$6:$K$3665,$K142))</f>
        <v/>
      </c>
      <c r="D142" s="186">
        <f>IF($K142="","",INDEX(Zeiterfassung!$D$6:$D$3665,$K142))</f>
        <v/>
      </c>
      <c r="E142" s="186">
        <f>IF($K142="","",INDEX(Zeiterfassung!$E$6:$E$3665,$K142))</f>
        <v/>
      </c>
      <c r="F142" s="187">
        <f>IF($K142="","",INDEX(Zeiterfassung!$F$6:$F$3665,$K142))</f>
        <v/>
      </c>
      <c r="G142" s="187">
        <f>IF($K142="","",INDEX(Zeiterfassung!$G$6:$G$3665,$K142))</f>
        <v/>
      </c>
      <c r="H142" s="188">
        <f>IF($K142="","",INDEX(Zeiterfassung!$H$6:$H$3665,$K142))</f>
        <v/>
      </c>
      <c r="I142" s="335">
        <f>IF(B142=B141,"",IF($K142="","",INDEX(Zeiterfassung!$I$6:$I$3665,MATCH(INDEX(Zeiterfassung!$K$6:$K$3665,$K142),Zeiterfassung!$K$6:$K$3665,0))))</f>
        <v/>
      </c>
      <c r="J142" s="335">
        <f>IF(B142=B141,"",IF($K142="","",INDEX(Zeiterfassung!$J$6:$J$3665,MATCH(INDEX(Zeiterfassung!$K$6:$K$3665,$K142),Zeiterfassung!$K$6:$K$3665,0))))</f>
        <v/>
      </c>
      <c r="K142">
        <f>IFERROR(AGGREGATE(15,6,(ROW(Zeiterfassung!$D$6:$D$3665)-ROW(Zeiterfassung!$D$6)+1)/(Zeiterfassung!$D$6:$D$3665&lt;&gt;""),137),"")</f>
        <v/>
      </c>
    </row>
    <row r="143" ht="20" customHeight="1">
      <c r="A143" s="183">
        <f>IF($K143="","",WEEKNUM(INDEX(Zeiterfassung!$K$6:$K$3665,$K143),21))</f>
        <v/>
      </c>
      <c r="B143" s="184">
        <f>IF($K143="","",INDEX(Zeiterfassung!$K$6:$K$3665,$K143))</f>
        <v/>
      </c>
      <c r="C143" s="185">
        <f>IF($K143="","",INDEX(Zeiterfassung!$K$6:$K$3665,$K143))</f>
        <v/>
      </c>
      <c r="D143" s="186">
        <f>IF($K143="","",INDEX(Zeiterfassung!$D$6:$D$3665,$K143))</f>
        <v/>
      </c>
      <c r="E143" s="186">
        <f>IF($K143="","",INDEX(Zeiterfassung!$E$6:$E$3665,$K143))</f>
        <v/>
      </c>
      <c r="F143" s="187">
        <f>IF($K143="","",INDEX(Zeiterfassung!$F$6:$F$3665,$K143))</f>
        <v/>
      </c>
      <c r="G143" s="187">
        <f>IF($K143="","",INDEX(Zeiterfassung!$G$6:$G$3665,$K143))</f>
        <v/>
      </c>
      <c r="H143" s="188">
        <f>IF($K143="","",INDEX(Zeiterfassung!$H$6:$H$3665,$K143))</f>
        <v/>
      </c>
      <c r="I143" s="335">
        <f>IF(B143=B142,"",IF($K143="","",INDEX(Zeiterfassung!$I$6:$I$3665,MATCH(INDEX(Zeiterfassung!$K$6:$K$3665,$K143),Zeiterfassung!$K$6:$K$3665,0))))</f>
        <v/>
      </c>
      <c r="J143" s="335">
        <f>IF(B143=B142,"",IF($K143="","",INDEX(Zeiterfassung!$J$6:$J$3665,MATCH(INDEX(Zeiterfassung!$K$6:$K$3665,$K143),Zeiterfassung!$K$6:$K$3665,0))))</f>
        <v/>
      </c>
      <c r="K143">
        <f>IFERROR(AGGREGATE(15,6,(ROW(Zeiterfassung!$D$6:$D$3665)-ROW(Zeiterfassung!$D$6)+1)/(Zeiterfassung!$D$6:$D$3665&lt;&gt;""),138),"")</f>
        <v/>
      </c>
    </row>
    <row r="144" ht="20" customHeight="1">
      <c r="A144" s="183">
        <f>IF($K144="","",WEEKNUM(INDEX(Zeiterfassung!$K$6:$K$3665,$K144),21))</f>
        <v/>
      </c>
      <c r="B144" s="184">
        <f>IF($K144="","",INDEX(Zeiterfassung!$K$6:$K$3665,$K144))</f>
        <v/>
      </c>
      <c r="C144" s="185">
        <f>IF($K144="","",INDEX(Zeiterfassung!$K$6:$K$3665,$K144))</f>
        <v/>
      </c>
      <c r="D144" s="186">
        <f>IF($K144="","",INDEX(Zeiterfassung!$D$6:$D$3665,$K144))</f>
        <v/>
      </c>
      <c r="E144" s="186">
        <f>IF($K144="","",INDEX(Zeiterfassung!$E$6:$E$3665,$K144))</f>
        <v/>
      </c>
      <c r="F144" s="187">
        <f>IF($K144="","",INDEX(Zeiterfassung!$F$6:$F$3665,$K144))</f>
        <v/>
      </c>
      <c r="G144" s="187">
        <f>IF($K144="","",INDEX(Zeiterfassung!$G$6:$G$3665,$K144))</f>
        <v/>
      </c>
      <c r="H144" s="188">
        <f>IF($K144="","",INDEX(Zeiterfassung!$H$6:$H$3665,$K144))</f>
        <v/>
      </c>
      <c r="I144" s="335">
        <f>IF(B144=B143,"",IF($K144="","",INDEX(Zeiterfassung!$I$6:$I$3665,MATCH(INDEX(Zeiterfassung!$K$6:$K$3665,$K144),Zeiterfassung!$K$6:$K$3665,0))))</f>
        <v/>
      </c>
      <c r="J144" s="335">
        <f>IF(B144=B143,"",IF($K144="","",INDEX(Zeiterfassung!$J$6:$J$3665,MATCH(INDEX(Zeiterfassung!$K$6:$K$3665,$K144),Zeiterfassung!$K$6:$K$3665,0))))</f>
        <v/>
      </c>
      <c r="K144">
        <f>IFERROR(AGGREGATE(15,6,(ROW(Zeiterfassung!$D$6:$D$3665)-ROW(Zeiterfassung!$D$6)+1)/(Zeiterfassung!$D$6:$D$3665&lt;&gt;""),139),"")</f>
        <v/>
      </c>
    </row>
    <row r="145" ht="20" customHeight="1">
      <c r="A145" s="183">
        <f>IF($K145="","",WEEKNUM(INDEX(Zeiterfassung!$K$6:$K$3665,$K145),21))</f>
        <v/>
      </c>
      <c r="B145" s="184">
        <f>IF($K145="","",INDEX(Zeiterfassung!$K$6:$K$3665,$K145))</f>
        <v/>
      </c>
      <c r="C145" s="185">
        <f>IF($K145="","",INDEX(Zeiterfassung!$K$6:$K$3665,$K145))</f>
        <v/>
      </c>
      <c r="D145" s="186">
        <f>IF($K145="","",INDEX(Zeiterfassung!$D$6:$D$3665,$K145))</f>
        <v/>
      </c>
      <c r="E145" s="186">
        <f>IF($K145="","",INDEX(Zeiterfassung!$E$6:$E$3665,$K145))</f>
        <v/>
      </c>
      <c r="F145" s="187">
        <f>IF($K145="","",INDEX(Zeiterfassung!$F$6:$F$3665,$K145))</f>
        <v/>
      </c>
      <c r="G145" s="187">
        <f>IF($K145="","",INDEX(Zeiterfassung!$G$6:$G$3665,$K145))</f>
        <v/>
      </c>
      <c r="H145" s="188">
        <f>IF($K145="","",INDEX(Zeiterfassung!$H$6:$H$3665,$K145))</f>
        <v/>
      </c>
      <c r="I145" s="335">
        <f>IF(B145=B144,"",IF($K145="","",INDEX(Zeiterfassung!$I$6:$I$3665,MATCH(INDEX(Zeiterfassung!$K$6:$K$3665,$K145),Zeiterfassung!$K$6:$K$3665,0))))</f>
        <v/>
      </c>
      <c r="J145" s="335">
        <f>IF(B145=B144,"",IF($K145="","",INDEX(Zeiterfassung!$J$6:$J$3665,MATCH(INDEX(Zeiterfassung!$K$6:$K$3665,$K145),Zeiterfassung!$K$6:$K$3665,0))))</f>
        <v/>
      </c>
      <c r="K145">
        <f>IFERROR(AGGREGATE(15,6,(ROW(Zeiterfassung!$D$6:$D$3665)-ROW(Zeiterfassung!$D$6)+1)/(Zeiterfassung!$D$6:$D$3665&lt;&gt;""),140),"")</f>
        <v/>
      </c>
    </row>
    <row r="146" ht="20" customHeight="1">
      <c r="A146" s="183">
        <f>IF($K146="","",WEEKNUM(INDEX(Zeiterfassung!$K$6:$K$3665,$K146),21))</f>
        <v/>
      </c>
      <c r="B146" s="184">
        <f>IF($K146="","",INDEX(Zeiterfassung!$K$6:$K$3665,$K146))</f>
        <v/>
      </c>
      <c r="C146" s="185">
        <f>IF($K146="","",INDEX(Zeiterfassung!$K$6:$K$3665,$K146))</f>
        <v/>
      </c>
      <c r="D146" s="186">
        <f>IF($K146="","",INDEX(Zeiterfassung!$D$6:$D$3665,$K146))</f>
        <v/>
      </c>
      <c r="E146" s="186">
        <f>IF($K146="","",INDEX(Zeiterfassung!$E$6:$E$3665,$K146))</f>
        <v/>
      </c>
      <c r="F146" s="187">
        <f>IF($K146="","",INDEX(Zeiterfassung!$F$6:$F$3665,$K146))</f>
        <v/>
      </c>
      <c r="G146" s="187">
        <f>IF($K146="","",INDEX(Zeiterfassung!$G$6:$G$3665,$K146))</f>
        <v/>
      </c>
      <c r="H146" s="188">
        <f>IF($K146="","",INDEX(Zeiterfassung!$H$6:$H$3665,$K146))</f>
        <v/>
      </c>
      <c r="I146" s="335">
        <f>IF(B146=B145,"",IF($K146="","",INDEX(Zeiterfassung!$I$6:$I$3665,MATCH(INDEX(Zeiterfassung!$K$6:$K$3665,$K146),Zeiterfassung!$K$6:$K$3665,0))))</f>
        <v/>
      </c>
      <c r="J146" s="335">
        <f>IF(B146=B145,"",IF($K146="","",INDEX(Zeiterfassung!$J$6:$J$3665,MATCH(INDEX(Zeiterfassung!$K$6:$K$3665,$K146),Zeiterfassung!$K$6:$K$3665,0))))</f>
        <v/>
      </c>
      <c r="K146">
        <f>IFERROR(AGGREGATE(15,6,(ROW(Zeiterfassung!$D$6:$D$3665)-ROW(Zeiterfassung!$D$6)+1)/(Zeiterfassung!$D$6:$D$3665&lt;&gt;""),141),"")</f>
        <v/>
      </c>
    </row>
    <row r="147" ht="20" customHeight="1">
      <c r="A147" s="183">
        <f>IF($K147="","",WEEKNUM(INDEX(Zeiterfassung!$K$6:$K$3665,$K147),21))</f>
        <v/>
      </c>
      <c r="B147" s="184">
        <f>IF($K147="","",INDEX(Zeiterfassung!$K$6:$K$3665,$K147))</f>
        <v/>
      </c>
      <c r="C147" s="185">
        <f>IF($K147="","",INDEX(Zeiterfassung!$K$6:$K$3665,$K147))</f>
        <v/>
      </c>
      <c r="D147" s="186">
        <f>IF($K147="","",INDEX(Zeiterfassung!$D$6:$D$3665,$K147))</f>
        <v/>
      </c>
      <c r="E147" s="186">
        <f>IF($K147="","",INDEX(Zeiterfassung!$E$6:$E$3665,$K147))</f>
        <v/>
      </c>
      <c r="F147" s="187">
        <f>IF($K147="","",INDEX(Zeiterfassung!$F$6:$F$3665,$K147))</f>
        <v/>
      </c>
      <c r="G147" s="187">
        <f>IF($K147="","",INDEX(Zeiterfassung!$G$6:$G$3665,$K147))</f>
        <v/>
      </c>
      <c r="H147" s="188">
        <f>IF($K147="","",INDEX(Zeiterfassung!$H$6:$H$3665,$K147))</f>
        <v/>
      </c>
      <c r="I147" s="335">
        <f>IF(B147=B146,"",IF($K147="","",INDEX(Zeiterfassung!$I$6:$I$3665,MATCH(INDEX(Zeiterfassung!$K$6:$K$3665,$K147),Zeiterfassung!$K$6:$K$3665,0))))</f>
        <v/>
      </c>
      <c r="J147" s="335">
        <f>IF(B147=B146,"",IF($K147="","",INDEX(Zeiterfassung!$J$6:$J$3665,MATCH(INDEX(Zeiterfassung!$K$6:$K$3665,$K147),Zeiterfassung!$K$6:$K$3665,0))))</f>
        <v/>
      </c>
      <c r="K147">
        <f>IFERROR(AGGREGATE(15,6,(ROW(Zeiterfassung!$D$6:$D$3665)-ROW(Zeiterfassung!$D$6)+1)/(Zeiterfassung!$D$6:$D$3665&lt;&gt;""),142),"")</f>
        <v/>
      </c>
    </row>
    <row r="148" ht="20" customHeight="1">
      <c r="A148" s="183">
        <f>IF($K148="","",WEEKNUM(INDEX(Zeiterfassung!$K$6:$K$3665,$K148),21))</f>
        <v/>
      </c>
      <c r="B148" s="184">
        <f>IF($K148="","",INDEX(Zeiterfassung!$K$6:$K$3665,$K148))</f>
        <v/>
      </c>
      <c r="C148" s="185">
        <f>IF($K148="","",INDEX(Zeiterfassung!$K$6:$K$3665,$K148))</f>
        <v/>
      </c>
      <c r="D148" s="186">
        <f>IF($K148="","",INDEX(Zeiterfassung!$D$6:$D$3665,$K148))</f>
        <v/>
      </c>
      <c r="E148" s="186">
        <f>IF($K148="","",INDEX(Zeiterfassung!$E$6:$E$3665,$K148))</f>
        <v/>
      </c>
      <c r="F148" s="187">
        <f>IF($K148="","",INDEX(Zeiterfassung!$F$6:$F$3665,$K148))</f>
        <v/>
      </c>
      <c r="G148" s="187">
        <f>IF($K148="","",INDEX(Zeiterfassung!$G$6:$G$3665,$K148))</f>
        <v/>
      </c>
      <c r="H148" s="188">
        <f>IF($K148="","",INDEX(Zeiterfassung!$H$6:$H$3665,$K148))</f>
        <v/>
      </c>
      <c r="I148" s="335">
        <f>IF(B148=B147,"",IF($K148="","",INDEX(Zeiterfassung!$I$6:$I$3665,MATCH(INDEX(Zeiterfassung!$K$6:$K$3665,$K148),Zeiterfassung!$K$6:$K$3665,0))))</f>
        <v/>
      </c>
      <c r="J148" s="335">
        <f>IF(B148=B147,"",IF($K148="","",INDEX(Zeiterfassung!$J$6:$J$3665,MATCH(INDEX(Zeiterfassung!$K$6:$K$3665,$K148),Zeiterfassung!$K$6:$K$3665,0))))</f>
        <v/>
      </c>
      <c r="K148">
        <f>IFERROR(AGGREGATE(15,6,(ROW(Zeiterfassung!$D$6:$D$3665)-ROW(Zeiterfassung!$D$6)+1)/(Zeiterfassung!$D$6:$D$3665&lt;&gt;""),143),"")</f>
        <v/>
      </c>
    </row>
    <row r="149" ht="20" customHeight="1">
      <c r="A149" s="183">
        <f>IF($K149="","",WEEKNUM(INDEX(Zeiterfassung!$K$6:$K$3665,$K149),21))</f>
        <v/>
      </c>
      <c r="B149" s="184">
        <f>IF($K149="","",INDEX(Zeiterfassung!$K$6:$K$3665,$K149))</f>
        <v/>
      </c>
      <c r="C149" s="185">
        <f>IF($K149="","",INDEX(Zeiterfassung!$K$6:$K$3665,$K149))</f>
        <v/>
      </c>
      <c r="D149" s="186">
        <f>IF($K149="","",INDEX(Zeiterfassung!$D$6:$D$3665,$K149))</f>
        <v/>
      </c>
      <c r="E149" s="186">
        <f>IF($K149="","",INDEX(Zeiterfassung!$E$6:$E$3665,$K149))</f>
        <v/>
      </c>
      <c r="F149" s="187">
        <f>IF($K149="","",INDEX(Zeiterfassung!$F$6:$F$3665,$K149))</f>
        <v/>
      </c>
      <c r="G149" s="187">
        <f>IF($K149="","",INDEX(Zeiterfassung!$G$6:$G$3665,$K149))</f>
        <v/>
      </c>
      <c r="H149" s="188">
        <f>IF($K149="","",INDEX(Zeiterfassung!$H$6:$H$3665,$K149))</f>
        <v/>
      </c>
      <c r="I149" s="335">
        <f>IF(B149=B148,"",IF($K149="","",INDEX(Zeiterfassung!$I$6:$I$3665,MATCH(INDEX(Zeiterfassung!$K$6:$K$3665,$K149),Zeiterfassung!$K$6:$K$3665,0))))</f>
        <v/>
      </c>
      <c r="J149" s="335">
        <f>IF(B149=B148,"",IF($K149="","",INDEX(Zeiterfassung!$J$6:$J$3665,MATCH(INDEX(Zeiterfassung!$K$6:$K$3665,$K149),Zeiterfassung!$K$6:$K$3665,0))))</f>
        <v/>
      </c>
      <c r="K149">
        <f>IFERROR(AGGREGATE(15,6,(ROW(Zeiterfassung!$D$6:$D$3665)-ROW(Zeiterfassung!$D$6)+1)/(Zeiterfassung!$D$6:$D$3665&lt;&gt;""),144),"")</f>
        <v/>
      </c>
    </row>
    <row r="150" ht="20" customHeight="1">
      <c r="A150" s="183">
        <f>IF($K150="","",WEEKNUM(INDEX(Zeiterfassung!$K$6:$K$3665,$K150),21))</f>
        <v/>
      </c>
      <c r="B150" s="184">
        <f>IF($K150="","",INDEX(Zeiterfassung!$K$6:$K$3665,$K150))</f>
        <v/>
      </c>
      <c r="C150" s="185">
        <f>IF($K150="","",INDEX(Zeiterfassung!$K$6:$K$3665,$K150))</f>
        <v/>
      </c>
      <c r="D150" s="186">
        <f>IF($K150="","",INDEX(Zeiterfassung!$D$6:$D$3665,$K150))</f>
        <v/>
      </c>
      <c r="E150" s="186">
        <f>IF($K150="","",INDEX(Zeiterfassung!$E$6:$E$3665,$K150))</f>
        <v/>
      </c>
      <c r="F150" s="187">
        <f>IF($K150="","",INDEX(Zeiterfassung!$F$6:$F$3665,$K150))</f>
        <v/>
      </c>
      <c r="G150" s="187">
        <f>IF($K150="","",INDEX(Zeiterfassung!$G$6:$G$3665,$K150))</f>
        <v/>
      </c>
      <c r="H150" s="188">
        <f>IF($K150="","",INDEX(Zeiterfassung!$H$6:$H$3665,$K150))</f>
        <v/>
      </c>
      <c r="I150" s="335">
        <f>IF(B150=B149,"",IF($K150="","",INDEX(Zeiterfassung!$I$6:$I$3665,MATCH(INDEX(Zeiterfassung!$K$6:$K$3665,$K150),Zeiterfassung!$K$6:$K$3665,0))))</f>
        <v/>
      </c>
      <c r="J150" s="335">
        <f>IF(B150=B149,"",IF($K150="","",INDEX(Zeiterfassung!$J$6:$J$3665,MATCH(INDEX(Zeiterfassung!$K$6:$K$3665,$K150),Zeiterfassung!$K$6:$K$3665,0))))</f>
        <v/>
      </c>
      <c r="K150">
        <f>IFERROR(AGGREGATE(15,6,(ROW(Zeiterfassung!$D$6:$D$3665)-ROW(Zeiterfassung!$D$6)+1)/(Zeiterfassung!$D$6:$D$3665&lt;&gt;""),145),"")</f>
        <v/>
      </c>
    </row>
    <row r="151" ht="20" customHeight="1">
      <c r="A151" s="183">
        <f>IF($K151="","",WEEKNUM(INDEX(Zeiterfassung!$K$6:$K$3665,$K151),21))</f>
        <v/>
      </c>
      <c r="B151" s="184">
        <f>IF($K151="","",INDEX(Zeiterfassung!$K$6:$K$3665,$K151))</f>
        <v/>
      </c>
      <c r="C151" s="185">
        <f>IF($K151="","",INDEX(Zeiterfassung!$K$6:$K$3665,$K151))</f>
        <v/>
      </c>
      <c r="D151" s="186">
        <f>IF($K151="","",INDEX(Zeiterfassung!$D$6:$D$3665,$K151))</f>
        <v/>
      </c>
      <c r="E151" s="186">
        <f>IF($K151="","",INDEX(Zeiterfassung!$E$6:$E$3665,$K151))</f>
        <v/>
      </c>
      <c r="F151" s="187">
        <f>IF($K151="","",INDEX(Zeiterfassung!$F$6:$F$3665,$K151))</f>
        <v/>
      </c>
      <c r="G151" s="187">
        <f>IF($K151="","",INDEX(Zeiterfassung!$G$6:$G$3665,$K151))</f>
        <v/>
      </c>
      <c r="H151" s="188">
        <f>IF($K151="","",INDEX(Zeiterfassung!$H$6:$H$3665,$K151))</f>
        <v/>
      </c>
      <c r="I151" s="335">
        <f>IF(B151=B150,"",IF($K151="","",INDEX(Zeiterfassung!$I$6:$I$3665,MATCH(INDEX(Zeiterfassung!$K$6:$K$3665,$K151),Zeiterfassung!$K$6:$K$3665,0))))</f>
        <v/>
      </c>
      <c r="J151" s="335">
        <f>IF(B151=B150,"",IF($K151="","",INDEX(Zeiterfassung!$J$6:$J$3665,MATCH(INDEX(Zeiterfassung!$K$6:$K$3665,$K151),Zeiterfassung!$K$6:$K$3665,0))))</f>
        <v/>
      </c>
      <c r="K151">
        <f>IFERROR(AGGREGATE(15,6,(ROW(Zeiterfassung!$D$6:$D$3665)-ROW(Zeiterfassung!$D$6)+1)/(Zeiterfassung!$D$6:$D$3665&lt;&gt;""),146),"")</f>
        <v/>
      </c>
    </row>
    <row r="152" ht="20" customHeight="1">
      <c r="A152" s="183">
        <f>IF($K152="","",WEEKNUM(INDEX(Zeiterfassung!$K$6:$K$3665,$K152),21))</f>
        <v/>
      </c>
      <c r="B152" s="184">
        <f>IF($K152="","",INDEX(Zeiterfassung!$K$6:$K$3665,$K152))</f>
        <v/>
      </c>
      <c r="C152" s="185">
        <f>IF($K152="","",INDEX(Zeiterfassung!$K$6:$K$3665,$K152))</f>
        <v/>
      </c>
      <c r="D152" s="186">
        <f>IF($K152="","",INDEX(Zeiterfassung!$D$6:$D$3665,$K152))</f>
        <v/>
      </c>
      <c r="E152" s="186">
        <f>IF($K152="","",INDEX(Zeiterfassung!$E$6:$E$3665,$K152))</f>
        <v/>
      </c>
      <c r="F152" s="187">
        <f>IF($K152="","",INDEX(Zeiterfassung!$F$6:$F$3665,$K152))</f>
        <v/>
      </c>
      <c r="G152" s="187">
        <f>IF($K152="","",INDEX(Zeiterfassung!$G$6:$G$3665,$K152))</f>
        <v/>
      </c>
      <c r="H152" s="188">
        <f>IF($K152="","",INDEX(Zeiterfassung!$H$6:$H$3665,$K152))</f>
        <v/>
      </c>
      <c r="I152" s="335">
        <f>IF(B152=B151,"",IF($K152="","",INDEX(Zeiterfassung!$I$6:$I$3665,MATCH(INDEX(Zeiterfassung!$K$6:$K$3665,$K152),Zeiterfassung!$K$6:$K$3665,0))))</f>
        <v/>
      </c>
      <c r="J152" s="335">
        <f>IF(B152=B151,"",IF($K152="","",INDEX(Zeiterfassung!$J$6:$J$3665,MATCH(INDEX(Zeiterfassung!$K$6:$K$3665,$K152),Zeiterfassung!$K$6:$K$3665,0))))</f>
        <v/>
      </c>
      <c r="K152">
        <f>IFERROR(AGGREGATE(15,6,(ROW(Zeiterfassung!$D$6:$D$3665)-ROW(Zeiterfassung!$D$6)+1)/(Zeiterfassung!$D$6:$D$3665&lt;&gt;""),147),"")</f>
        <v/>
      </c>
    </row>
    <row r="153" ht="20" customHeight="1">
      <c r="A153" s="183">
        <f>IF($K153="","",WEEKNUM(INDEX(Zeiterfassung!$K$6:$K$3665,$K153),21))</f>
        <v/>
      </c>
      <c r="B153" s="184">
        <f>IF($K153="","",INDEX(Zeiterfassung!$K$6:$K$3665,$K153))</f>
        <v/>
      </c>
      <c r="C153" s="185">
        <f>IF($K153="","",INDEX(Zeiterfassung!$K$6:$K$3665,$K153))</f>
        <v/>
      </c>
      <c r="D153" s="186">
        <f>IF($K153="","",INDEX(Zeiterfassung!$D$6:$D$3665,$K153))</f>
        <v/>
      </c>
      <c r="E153" s="186">
        <f>IF($K153="","",INDEX(Zeiterfassung!$E$6:$E$3665,$K153))</f>
        <v/>
      </c>
      <c r="F153" s="187">
        <f>IF($K153="","",INDEX(Zeiterfassung!$F$6:$F$3665,$K153))</f>
        <v/>
      </c>
      <c r="G153" s="187">
        <f>IF($K153="","",INDEX(Zeiterfassung!$G$6:$G$3665,$K153))</f>
        <v/>
      </c>
      <c r="H153" s="188">
        <f>IF($K153="","",INDEX(Zeiterfassung!$H$6:$H$3665,$K153))</f>
        <v/>
      </c>
      <c r="I153" s="335">
        <f>IF(B153=B152,"",IF($K153="","",INDEX(Zeiterfassung!$I$6:$I$3665,MATCH(INDEX(Zeiterfassung!$K$6:$K$3665,$K153),Zeiterfassung!$K$6:$K$3665,0))))</f>
        <v/>
      </c>
      <c r="J153" s="335">
        <f>IF(B153=B152,"",IF($K153="","",INDEX(Zeiterfassung!$J$6:$J$3665,MATCH(INDEX(Zeiterfassung!$K$6:$K$3665,$K153),Zeiterfassung!$K$6:$K$3665,0))))</f>
        <v/>
      </c>
      <c r="K153">
        <f>IFERROR(AGGREGATE(15,6,(ROW(Zeiterfassung!$D$6:$D$3665)-ROW(Zeiterfassung!$D$6)+1)/(Zeiterfassung!$D$6:$D$3665&lt;&gt;""),148),"")</f>
        <v/>
      </c>
    </row>
    <row r="154" ht="20" customHeight="1">
      <c r="A154" s="183">
        <f>IF($K154="","",WEEKNUM(INDEX(Zeiterfassung!$K$6:$K$3665,$K154),21))</f>
        <v/>
      </c>
      <c r="B154" s="184">
        <f>IF($K154="","",INDEX(Zeiterfassung!$K$6:$K$3665,$K154))</f>
        <v/>
      </c>
      <c r="C154" s="185">
        <f>IF($K154="","",INDEX(Zeiterfassung!$K$6:$K$3665,$K154))</f>
        <v/>
      </c>
      <c r="D154" s="186">
        <f>IF($K154="","",INDEX(Zeiterfassung!$D$6:$D$3665,$K154))</f>
        <v/>
      </c>
      <c r="E154" s="186">
        <f>IF($K154="","",INDEX(Zeiterfassung!$E$6:$E$3665,$K154))</f>
        <v/>
      </c>
      <c r="F154" s="187">
        <f>IF($K154="","",INDEX(Zeiterfassung!$F$6:$F$3665,$K154))</f>
        <v/>
      </c>
      <c r="G154" s="187">
        <f>IF($K154="","",INDEX(Zeiterfassung!$G$6:$G$3665,$K154))</f>
        <v/>
      </c>
      <c r="H154" s="188">
        <f>IF($K154="","",INDEX(Zeiterfassung!$H$6:$H$3665,$K154))</f>
        <v/>
      </c>
      <c r="I154" s="335">
        <f>IF(B154=B153,"",IF($K154="","",INDEX(Zeiterfassung!$I$6:$I$3665,MATCH(INDEX(Zeiterfassung!$K$6:$K$3665,$K154),Zeiterfassung!$K$6:$K$3665,0))))</f>
        <v/>
      </c>
      <c r="J154" s="335">
        <f>IF(B154=B153,"",IF($K154="","",INDEX(Zeiterfassung!$J$6:$J$3665,MATCH(INDEX(Zeiterfassung!$K$6:$K$3665,$K154),Zeiterfassung!$K$6:$K$3665,0))))</f>
        <v/>
      </c>
      <c r="K154">
        <f>IFERROR(AGGREGATE(15,6,(ROW(Zeiterfassung!$D$6:$D$3665)-ROW(Zeiterfassung!$D$6)+1)/(Zeiterfassung!$D$6:$D$3665&lt;&gt;""),149),"")</f>
        <v/>
      </c>
    </row>
    <row r="155" ht="20" customHeight="1">
      <c r="A155" s="183">
        <f>IF($K155="","",WEEKNUM(INDEX(Zeiterfassung!$K$6:$K$3665,$K155),21))</f>
        <v/>
      </c>
      <c r="B155" s="184">
        <f>IF($K155="","",INDEX(Zeiterfassung!$K$6:$K$3665,$K155))</f>
        <v/>
      </c>
      <c r="C155" s="185">
        <f>IF($K155="","",INDEX(Zeiterfassung!$K$6:$K$3665,$K155))</f>
        <v/>
      </c>
      <c r="D155" s="186">
        <f>IF($K155="","",INDEX(Zeiterfassung!$D$6:$D$3665,$K155))</f>
        <v/>
      </c>
      <c r="E155" s="186">
        <f>IF($K155="","",INDEX(Zeiterfassung!$E$6:$E$3665,$K155))</f>
        <v/>
      </c>
      <c r="F155" s="187">
        <f>IF($K155="","",INDEX(Zeiterfassung!$F$6:$F$3665,$K155))</f>
        <v/>
      </c>
      <c r="G155" s="187">
        <f>IF($K155="","",INDEX(Zeiterfassung!$G$6:$G$3665,$K155))</f>
        <v/>
      </c>
      <c r="H155" s="188">
        <f>IF($K155="","",INDEX(Zeiterfassung!$H$6:$H$3665,$K155))</f>
        <v/>
      </c>
      <c r="I155" s="335">
        <f>IF(B155=B154,"",IF($K155="","",INDEX(Zeiterfassung!$I$6:$I$3665,MATCH(INDEX(Zeiterfassung!$K$6:$K$3665,$K155),Zeiterfassung!$K$6:$K$3665,0))))</f>
        <v/>
      </c>
      <c r="J155" s="335">
        <f>IF(B155=B154,"",IF($K155="","",INDEX(Zeiterfassung!$J$6:$J$3665,MATCH(INDEX(Zeiterfassung!$K$6:$K$3665,$K155),Zeiterfassung!$K$6:$K$3665,0))))</f>
        <v/>
      </c>
      <c r="K155">
        <f>IFERROR(AGGREGATE(15,6,(ROW(Zeiterfassung!$D$6:$D$3665)-ROW(Zeiterfassung!$D$6)+1)/(Zeiterfassung!$D$6:$D$3665&lt;&gt;""),150),"")</f>
        <v/>
      </c>
    </row>
    <row r="156" ht="20" customHeight="1">
      <c r="A156" s="183">
        <f>IF($K156="","",WEEKNUM(INDEX(Zeiterfassung!$K$6:$K$3665,$K156),21))</f>
        <v/>
      </c>
      <c r="B156" s="184">
        <f>IF($K156="","",INDEX(Zeiterfassung!$K$6:$K$3665,$K156))</f>
        <v/>
      </c>
      <c r="C156" s="185">
        <f>IF($K156="","",INDEX(Zeiterfassung!$K$6:$K$3665,$K156))</f>
        <v/>
      </c>
      <c r="D156" s="186">
        <f>IF($K156="","",INDEX(Zeiterfassung!$D$6:$D$3665,$K156))</f>
        <v/>
      </c>
      <c r="E156" s="186">
        <f>IF($K156="","",INDEX(Zeiterfassung!$E$6:$E$3665,$K156))</f>
        <v/>
      </c>
      <c r="F156" s="187">
        <f>IF($K156="","",INDEX(Zeiterfassung!$F$6:$F$3665,$K156))</f>
        <v/>
      </c>
      <c r="G156" s="187">
        <f>IF($K156="","",INDEX(Zeiterfassung!$G$6:$G$3665,$K156))</f>
        <v/>
      </c>
      <c r="H156" s="188">
        <f>IF($K156="","",INDEX(Zeiterfassung!$H$6:$H$3665,$K156))</f>
        <v/>
      </c>
      <c r="I156" s="335">
        <f>IF(B156=B155,"",IF($K156="","",INDEX(Zeiterfassung!$I$6:$I$3665,MATCH(INDEX(Zeiterfassung!$K$6:$K$3665,$K156),Zeiterfassung!$K$6:$K$3665,0))))</f>
        <v/>
      </c>
      <c r="J156" s="335">
        <f>IF(B156=B155,"",IF($K156="","",INDEX(Zeiterfassung!$J$6:$J$3665,MATCH(INDEX(Zeiterfassung!$K$6:$K$3665,$K156),Zeiterfassung!$K$6:$K$3665,0))))</f>
        <v/>
      </c>
      <c r="K156">
        <f>IFERROR(AGGREGATE(15,6,(ROW(Zeiterfassung!$D$6:$D$3665)-ROW(Zeiterfassung!$D$6)+1)/(Zeiterfassung!$D$6:$D$3665&lt;&gt;""),151),"")</f>
        <v/>
      </c>
    </row>
    <row r="157" ht="20" customHeight="1">
      <c r="A157" s="183">
        <f>IF($K157="","",WEEKNUM(INDEX(Zeiterfassung!$K$6:$K$3665,$K157),21))</f>
        <v/>
      </c>
      <c r="B157" s="184">
        <f>IF($K157="","",INDEX(Zeiterfassung!$K$6:$K$3665,$K157))</f>
        <v/>
      </c>
      <c r="C157" s="185">
        <f>IF($K157="","",INDEX(Zeiterfassung!$K$6:$K$3665,$K157))</f>
        <v/>
      </c>
      <c r="D157" s="186">
        <f>IF($K157="","",INDEX(Zeiterfassung!$D$6:$D$3665,$K157))</f>
        <v/>
      </c>
      <c r="E157" s="186">
        <f>IF($K157="","",INDEX(Zeiterfassung!$E$6:$E$3665,$K157))</f>
        <v/>
      </c>
      <c r="F157" s="187">
        <f>IF($K157="","",INDEX(Zeiterfassung!$F$6:$F$3665,$K157))</f>
        <v/>
      </c>
      <c r="G157" s="187">
        <f>IF($K157="","",INDEX(Zeiterfassung!$G$6:$G$3665,$K157))</f>
        <v/>
      </c>
      <c r="H157" s="188">
        <f>IF($K157="","",INDEX(Zeiterfassung!$H$6:$H$3665,$K157))</f>
        <v/>
      </c>
      <c r="I157" s="335">
        <f>IF(B157=B156,"",IF($K157="","",INDEX(Zeiterfassung!$I$6:$I$3665,MATCH(INDEX(Zeiterfassung!$K$6:$K$3665,$K157),Zeiterfassung!$K$6:$K$3665,0))))</f>
        <v/>
      </c>
      <c r="J157" s="335">
        <f>IF(B157=B156,"",IF($K157="","",INDEX(Zeiterfassung!$J$6:$J$3665,MATCH(INDEX(Zeiterfassung!$K$6:$K$3665,$K157),Zeiterfassung!$K$6:$K$3665,0))))</f>
        <v/>
      </c>
      <c r="K157">
        <f>IFERROR(AGGREGATE(15,6,(ROW(Zeiterfassung!$D$6:$D$3665)-ROW(Zeiterfassung!$D$6)+1)/(Zeiterfassung!$D$6:$D$3665&lt;&gt;""),152),"")</f>
        <v/>
      </c>
    </row>
    <row r="158" ht="20" customHeight="1">
      <c r="A158" s="183">
        <f>IF($K158="","",WEEKNUM(INDEX(Zeiterfassung!$K$6:$K$3665,$K158),21))</f>
        <v/>
      </c>
      <c r="B158" s="184">
        <f>IF($K158="","",INDEX(Zeiterfassung!$K$6:$K$3665,$K158))</f>
        <v/>
      </c>
      <c r="C158" s="185">
        <f>IF($K158="","",INDEX(Zeiterfassung!$K$6:$K$3665,$K158))</f>
        <v/>
      </c>
      <c r="D158" s="186">
        <f>IF($K158="","",INDEX(Zeiterfassung!$D$6:$D$3665,$K158))</f>
        <v/>
      </c>
      <c r="E158" s="186">
        <f>IF($K158="","",INDEX(Zeiterfassung!$E$6:$E$3665,$K158))</f>
        <v/>
      </c>
      <c r="F158" s="187">
        <f>IF($K158="","",INDEX(Zeiterfassung!$F$6:$F$3665,$K158))</f>
        <v/>
      </c>
      <c r="G158" s="187">
        <f>IF($K158="","",INDEX(Zeiterfassung!$G$6:$G$3665,$K158))</f>
        <v/>
      </c>
      <c r="H158" s="188">
        <f>IF($K158="","",INDEX(Zeiterfassung!$H$6:$H$3665,$K158))</f>
        <v/>
      </c>
      <c r="I158" s="335">
        <f>IF(B158=B157,"",IF($K158="","",INDEX(Zeiterfassung!$I$6:$I$3665,MATCH(INDEX(Zeiterfassung!$K$6:$K$3665,$K158),Zeiterfassung!$K$6:$K$3665,0))))</f>
        <v/>
      </c>
      <c r="J158" s="335">
        <f>IF(B158=B157,"",IF($K158="","",INDEX(Zeiterfassung!$J$6:$J$3665,MATCH(INDEX(Zeiterfassung!$K$6:$K$3665,$K158),Zeiterfassung!$K$6:$K$3665,0))))</f>
        <v/>
      </c>
      <c r="K158">
        <f>IFERROR(AGGREGATE(15,6,(ROW(Zeiterfassung!$D$6:$D$3665)-ROW(Zeiterfassung!$D$6)+1)/(Zeiterfassung!$D$6:$D$3665&lt;&gt;""),153),"")</f>
        <v/>
      </c>
    </row>
    <row r="159" ht="20" customHeight="1">
      <c r="A159" s="183">
        <f>IF($K159="","",WEEKNUM(INDEX(Zeiterfassung!$K$6:$K$3665,$K159),21))</f>
        <v/>
      </c>
      <c r="B159" s="184">
        <f>IF($K159="","",INDEX(Zeiterfassung!$K$6:$K$3665,$K159))</f>
        <v/>
      </c>
      <c r="C159" s="185">
        <f>IF($K159="","",INDEX(Zeiterfassung!$K$6:$K$3665,$K159))</f>
        <v/>
      </c>
      <c r="D159" s="186">
        <f>IF($K159="","",INDEX(Zeiterfassung!$D$6:$D$3665,$K159))</f>
        <v/>
      </c>
      <c r="E159" s="186">
        <f>IF($K159="","",INDEX(Zeiterfassung!$E$6:$E$3665,$K159))</f>
        <v/>
      </c>
      <c r="F159" s="187">
        <f>IF($K159="","",INDEX(Zeiterfassung!$F$6:$F$3665,$K159))</f>
        <v/>
      </c>
      <c r="G159" s="187">
        <f>IF($K159="","",INDEX(Zeiterfassung!$G$6:$G$3665,$K159))</f>
        <v/>
      </c>
      <c r="H159" s="188">
        <f>IF($K159="","",INDEX(Zeiterfassung!$H$6:$H$3665,$K159))</f>
        <v/>
      </c>
      <c r="I159" s="335">
        <f>IF(B159=B158,"",IF($K159="","",INDEX(Zeiterfassung!$I$6:$I$3665,MATCH(INDEX(Zeiterfassung!$K$6:$K$3665,$K159),Zeiterfassung!$K$6:$K$3665,0))))</f>
        <v/>
      </c>
      <c r="J159" s="335">
        <f>IF(B159=B158,"",IF($K159="","",INDEX(Zeiterfassung!$J$6:$J$3665,MATCH(INDEX(Zeiterfassung!$K$6:$K$3665,$K159),Zeiterfassung!$K$6:$K$3665,0))))</f>
        <v/>
      </c>
      <c r="K159">
        <f>IFERROR(AGGREGATE(15,6,(ROW(Zeiterfassung!$D$6:$D$3665)-ROW(Zeiterfassung!$D$6)+1)/(Zeiterfassung!$D$6:$D$3665&lt;&gt;""),154),"")</f>
        <v/>
      </c>
    </row>
    <row r="160" ht="20" customHeight="1">
      <c r="A160" s="183">
        <f>IF($K160="","",WEEKNUM(INDEX(Zeiterfassung!$K$6:$K$3665,$K160),21))</f>
        <v/>
      </c>
      <c r="B160" s="184">
        <f>IF($K160="","",INDEX(Zeiterfassung!$K$6:$K$3665,$K160))</f>
        <v/>
      </c>
      <c r="C160" s="185">
        <f>IF($K160="","",INDEX(Zeiterfassung!$K$6:$K$3665,$K160))</f>
        <v/>
      </c>
      <c r="D160" s="186">
        <f>IF($K160="","",INDEX(Zeiterfassung!$D$6:$D$3665,$K160))</f>
        <v/>
      </c>
      <c r="E160" s="186">
        <f>IF($K160="","",INDEX(Zeiterfassung!$E$6:$E$3665,$K160))</f>
        <v/>
      </c>
      <c r="F160" s="187">
        <f>IF($K160="","",INDEX(Zeiterfassung!$F$6:$F$3665,$K160))</f>
        <v/>
      </c>
      <c r="G160" s="187">
        <f>IF($K160="","",INDEX(Zeiterfassung!$G$6:$G$3665,$K160))</f>
        <v/>
      </c>
      <c r="H160" s="188">
        <f>IF($K160="","",INDEX(Zeiterfassung!$H$6:$H$3665,$K160))</f>
        <v/>
      </c>
      <c r="I160" s="335">
        <f>IF(B160=B159,"",IF($K160="","",INDEX(Zeiterfassung!$I$6:$I$3665,MATCH(INDEX(Zeiterfassung!$K$6:$K$3665,$K160),Zeiterfassung!$K$6:$K$3665,0))))</f>
        <v/>
      </c>
      <c r="J160" s="335">
        <f>IF(B160=B159,"",IF($K160="","",INDEX(Zeiterfassung!$J$6:$J$3665,MATCH(INDEX(Zeiterfassung!$K$6:$K$3665,$K160),Zeiterfassung!$K$6:$K$3665,0))))</f>
        <v/>
      </c>
      <c r="K160">
        <f>IFERROR(AGGREGATE(15,6,(ROW(Zeiterfassung!$D$6:$D$3665)-ROW(Zeiterfassung!$D$6)+1)/(Zeiterfassung!$D$6:$D$3665&lt;&gt;""),155),"")</f>
        <v/>
      </c>
    </row>
    <row r="161" ht="20" customHeight="1">
      <c r="A161" s="183">
        <f>IF($K161="","",WEEKNUM(INDEX(Zeiterfassung!$K$6:$K$3665,$K161),21))</f>
        <v/>
      </c>
      <c r="B161" s="184">
        <f>IF($K161="","",INDEX(Zeiterfassung!$K$6:$K$3665,$K161))</f>
        <v/>
      </c>
      <c r="C161" s="185">
        <f>IF($K161="","",INDEX(Zeiterfassung!$K$6:$K$3665,$K161))</f>
        <v/>
      </c>
      <c r="D161" s="186">
        <f>IF($K161="","",INDEX(Zeiterfassung!$D$6:$D$3665,$K161))</f>
        <v/>
      </c>
      <c r="E161" s="186">
        <f>IF($K161="","",INDEX(Zeiterfassung!$E$6:$E$3665,$K161))</f>
        <v/>
      </c>
      <c r="F161" s="187">
        <f>IF($K161="","",INDEX(Zeiterfassung!$F$6:$F$3665,$K161))</f>
        <v/>
      </c>
      <c r="G161" s="187">
        <f>IF($K161="","",INDEX(Zeiterfassung!$G$6:$G$3665,$K161))</f>
        <v/>
      </c>
      <c r="H161" s="188">
        <f>IF($K161="","",INDEX(Zeiterfassung!$H$6:$H$3665,$K161))</f>
        <v/>
      </c>
      <c r="I161" s="335">
        <f>IF(B161=B160,"",IF($K161="","",INDEX(Zeiterfassung!$I$6:$I$3665,MATCH(INDEX(Zeiterfassung!$K$6:$K$3665,$K161),Zeiterfassung!$K$6:$K$3665,0))))</f>
        <v/>
      </c>
      <c r="J161" s="335">
        <f>IF(B161=B160,"",IF($K161="","",INDEX(Zeiterfassung!$J$6:$J$3665,MATCH(INDEX(Zeiterfassung!$K$6:$K$3665,$K161),Zeiterfassung!$K$6:$K$3665,0))))</f>
        <v/>
      </c>
      <c r="K161">
        <f>IFERROR(AGGREGATE(15,6,(ROW(Zeiterfassung!$D$6:$D$3665)-ROW(Zeiterfassung!$D$6)+1)/(Zeiterfassung!$D$6:$D$3665&lt;&gt;""),156),"")</f>
        <v/>
      </c>
    </row>
    <row r="162" ht="20" customHeight="1">
      <c r="A162" s="183">
        <f>IF($K162="","",WEEKNUM(INDEX(Zeiterfassung!$K$6:$K$3665,$K162),21))</f>
        <v/>
      </c>
      <c r="B162" s="184">
        <f>IF($K162="","",INDEX(Zeiterfassung!$K$6:$K$3665,$K162))</f>
        <v/>
      </c>
      <c r="C162" s="185">
        <f>IF($K162="","",INDEX(Zeiterfassung!$K$6:$K$3665,$K162))</f>
        <v/>
      </c>
      <c r="D162" s="186">
        <f>IF($K162="","",INDEX(Zeiterfassung!$D$6:$D$3665,$K162))</f>
        <v/>
      </c>
      <c r="E162" s="186">
        <f>IF($K162="","",INDEX(Zeiterfassung!$E$6:$E$3665,$K162))</f>
        <v/>
      </c>
      <c r="F162" s="187">
        <f>IF($K162="","",INDEX(Zeiterfassung!$F$6:$F$3665,$K162))</f>
        <v/>
      </c>
      <c r="G162" s="187">
        <f>IF($K162="","",INDEX(Zeiterfassung!$G$6:$G$3665,$K162))</f>
        <v/>
      </c>
      <c r="H162" s="188">
        <f>IF($K162="","",INDEX(Zeiterfassung!$H$6:$H$3665,$K162))</f>
        <v/>
      </c>
      <c r="I162" s="335">
        <f>IF(B162=B161,"",IF($K162="","",INDEX(Zeiterfassung!$I$6:$I$3665,MATCH(INDEX(Zeiterfassung!$K$6:$K$3665,$K162),Zeiterfassung!$K$6:$K$3665,0))))</f>
        <v/>
      </c>
      <c r="J162" s="335">
        <f>IF(B162=B161,"",IF($K162="","",INDEX(Zeiterfassung!$J$6:$J$3665,MATCH(INDEX(Zeiterfassung!$K$6:$K$3665,$K162),Zeiterfassung!$K$6:$K$3665,0))))</f>
        <v/>
      </c>
      <c r="K162">
        <f>IFERROR(AGGREGATE(15,6,(ROW(Zeiterfassung!$D$6:$D$3665)-ROW(Zeiterfassung!$D$6)+1)/(Zeiterfassung!$D$6:$D$3665&lt;&gt;""),157),"")</f>
        <v/>
      </c>
    </row>
    <row r="163" ht="20" customHeight="1">
      <c r="A163" s="183">
        <f>IF($K163="","",WEEKNUM(INDEX(Zeiterfassung!$K$6:$K$3665,$K163),21))</f>
        <v/>
      </c>
      <c r="B163" s="184">
        <f>IF($K163="","",INDEX(Zeiterfassung!$K$6:$K$3665,$K163))</f>
        <v/>
      </c>
      <c r="C163" s="185">
        <f>IF($K163="","",INDEX(Zeiterfassung!$K$6:$K$3665,$K163))</f>
        <v/>
      </c>
      <c r="D163" s="186">
        <f>IF($K163="","",INDEX(Zeiterfassung!$D$6:$D$3665,$K163))</f>
        <v/>
      </c>
      <c r="E163" s="186">
        <f>IF($K163="","",INDEX(Zeiterfassung!$E$6:$E$3665,$K163))</f>
        <v/>
      </c>
      <c r="F163" s="187">
        <f>IF($K163="","",INDEX(Zeiterfassung!$F$6:$F$3665,$K163))</f>
        <v/>
      </c>
      <c r="G163" s="187">
        <f>IF($K163="","",INDEX(Zeiterfassung!$G$6:$G$3665,$K163))</f>
        <v/>
      </c>
      <c r="H163" s="188">
        <f>IF($K163="","",INDEX(Zeiterfassung!$H$6:$H$3665,$K163))</f>
        <v/>
      </c>
      <c r="I163" s="335">
        <f>IF(B163=B162,"",IF($K163="","",INDEX(Zeiterfassung!$I$6:$I$3665,MATCH(INDEX(Zeiterfassung!$K$6:$K$3665,$K163),Zeiterfassung!$K$6:$K$3665,0))))</f>
        <v/>
      </c>
      <c r="J163" s="335">
        <f>IF(B163=B162,"",IF($K163="","",INDEX(Zeiterfassung!$J$6:$J$3665,MATCH(INDEX(Zeiterfassung!$K$6:$K$3665,$K163),Zeiterfassung!$K$6:$K$3665,0))))</f>
        <v/>
      </c>
      <c r="K163">
        <f>IFERROR(AGGREGATE(15,6,(ROW(Zeiterfassung!$D$6:$D$3665)-ROW(Zeiterfassung!$D$6)+1)/(Zeiterfassung!$D$6:$D$3665&lt;&gt;""),158),"")</f>
        <v/>
      </c>
    </row>
    <row r="164" ht="20" customHeight="1">
      <c r="A164" s="183">
        <f>IF($K164="","",WEEKNUM(INDEX(Zeiterfassung!$K$6:$K$3665,$K164),21))</f>
        <v/>
      </c>
      <c r="B164" s="184">
        <f>IF($K164="","",INDEX(Zeiterfassung!$K$6:$K$3665,$K164))</f>
        <v/>
      </c>
      <c r="C164" s="185">
        <f>IF($K164="","",INDEX(Zeiterfassung!$K$6:$K$3665,$K164))</f>
        <v/>
      </c>
      <c r="D164" s="186">
        <f>IF($K164="","",INDEX(Zeiterfassung!$D$6:$D$3665,$K164))</f>
        <v/>
      </c>
      <c r="E164" s="186">
        <f>IF($K164="","",INDEX(Zeiterfassung!$E$6:$E$3665,$K164))</f>
        <v/>
      </c>
      <c r="F164" s="187">
        <f>IF($K164="","",INDEX(Zeiterfassung!$F$6:$F$3665,$K164))</f>
        <v/>
      </c>
      <c r="G164" s="187">
        <f>IF($K164="","",INDEX(Zeiterfassung!$G$6:$G$3665,$K164))</f>
        <v/>
      </c>
      <c r="H164" s="188">
        <f>IF($K164="","",INDEX(Zeiterfassung!$H$6:$H$3665,$K164))</f>
        <v/>
      </c>
      <c r="I164" s="335">
        <f>IF(B164=B163,"",IF($K164="","",INDEX(Zeiterfassung!$I$6:$I$3665,MATCH(INDEX(Zeiterfassung!$K$6:$K$3665,$K164),Zeiterfassung!$K$6:$K$3665,0))))</f>
        <v/>
      </c>
      <c r="J164" s="335">
        <f>IF(B164=B163,"",IF($K164="","",INDEX(Zeiterfassung!$J$6:$J$3665,MATCH(INDEX(Zeiterfassung!$K$6:$K$3665,$K164),Zeiterfassung!$K$6:$K$3665,0))))</f>
        <v/>
      </c>
      <c r="K164">
        <f>IFERROR(AGGREGATE(15,6,(ROW(Zeiterfassung!$D$6:$D$3665)-ROW(Zeiterfassung!$D$6)+1)/(Zeiterfassung!$D$6:$D$3665&lt;&gt;""),159),"")</f>
        <v/>
      </c>
    </row>
    <row r="165" ht="20" customHeight="1">
      <c r="A165" s="183">
        <f>IF($K165="","",WEEKNUM(INDEX(Zeiterfassung!$K$6:$K$3665,$K165),21))</f>
        <v/>
      </c>
      <c r="B165" s="184">
        <f>IF($K165="","",INDEX(Zeiterfassung!$K$6:$K$3665,$K165))</f>
        <v/>
      </c>
      <c r="C165" s="185">
        <f>IF($K165="","",INDEX(Zeiterfassung!$K$6:$K$3665,$K165))</f>
        <v/>
      </c>
      <c r="D165" s="186">
        <f>IF($K165="","",INDEX(Zeiterfassung!$D$6:$D$3665,$K165))</f>
        <v/>
      </c>
      <c r="E165" s="186">
        <f>IF($K165="","",INDEX(Zeiterfassung!$E$6:$E$3665,$K165))</f>
        <v/>
      </c>
      <c r="F165" s="187">
        <f>IF($K165="","",INDEX(Zeiterfassung!$F$6:$F$3665,$K165))</f>
        <v/>
      </c>
      <c r="G165" s="187">
        <f>IF($K165="","",INDEX(Zeiterfassung!$G$6:$G$3665,$K165))</f>
        <v/>
      </c>
      <c r="H165" s="188">
        <f>IF($K165="","",INDEX(Zeiterfassung!$H$6:$H$3665,$K165))</f>
        <v/>
      </c>
      <c r="I165" s="335">
        <f>IF(B165=B164,"",IF($K165="","",INDEX(Zeiterfassung!$I$6:$I$3665,MATCH(INDEX(Zeiterfassung!$K$6:$K$3665,$K165),Zeiterfassung!$K$6:$K$3665,0))))</f>
        <v/>
      </c>
      <c r="J165" s="335">
        <f>IF(B165=B164,"",IF($K165="","",INDEX(Zeiterfassung!$J$6:$J$3665,MATCH(INDEX(Zeiterfassung!$K$6:$K$3665,$K165),Zeiterfassung!$K$6:$K$3665,0))))</f>
        <v/>
      </c>
      <c r="K165">
        <f>IFERROR(AGGREGATE(15,6,(ROW(Zeiterfassung!$D$6:$D$3665)-ROW(Zeiterfassung!$D$6)+1)/(Zeiterfassung!$D$6:$D$3665&lt;&gt;""),160),"")</f>
        <v/>
      </c>
    </row>
    <row r="166" ht="20" customHeight="1">
      <c r="A166" s="183">
        <f>IF($K166="","",WEEKNUM(INDEX(Zeiterfassung!$K$6:$K$3665,$K166),21))</f>
        <v/>
      </c>
      <c r="B166" s="184">
        <f>IF($K166="","",INDEX(Zeiterfassung!$K$6:$K$3665,$K166))</f>
        <v/>
      </c>
      <c r="C166" s="185">
        <f>IF($K166="","",INDEX(Zeiterfassung!$K$6:$K$3665,$K166))</f>
        <v/>
      </c>
      <c r="D166" s="186">
        <f>IF($K166="","",INDEX(Zeiterfassung!$D$6:$D$3665,$K166))</f>
        <v/>
      </c>
      <c r="E166" s="186">
        <f>IF($K166="","",INDEX(Zeiterfassung!$E$6:$E$3665,$K166))</f>
        <v/>
      </c>
      <c r="F166" s="187">
        <f>IF($K166="","",INDEX(Zeiterfassung!$F$6:$F$3665,$K166))</f>
        <v/>
      </c>
      <c r="G166" s="187">
        <f>IF($K166="","",INDEX(Zeiterfassung!$G$6:$G$3665,$K166))</f>
        <v/>
      </c>
      <c r="H166" s="188">
        <f>IF($K166="","",INDEX(Zeiterfassung!$H$6:$H$3665,$K166))</f>
        <v/>
      </c>
      <c r="I166" s="335">
        <f>IF(B166=B165,"",IF($K166="","",INDEX(Zeiterfassung!$I$6:$I$3665,MATCH(INDEX(Zeiterfassung!$K$6:$K$3665,$K166),Zeiterfassung!$K$6:$K$3665,0))))</f>
        <v/>
      </c>
      <c r="J166" s="335">
        <f>IF(B166=B165,"",IF($K166="","",INDEX(Zeiterfassung!$J$6:$J$3665,MATCH(INDEX(Zeiterfassung!$K$6:$K$3665,$K166),Zeiterfassung!$K$6:$K$3665,0))))</f>
        <v/>
      </c>
      <c r="K166">
        <f>IFERROR(AGGREGATE(15,6,(ROW(Zeiterfassung!$D$6:$D$3665)-ROW(Zeiterfassung!$D$6)+1)/(Zeiterfassung!$D$6:$D$3665&lt;&gt;""),161),"")</f>
        <v/>
      </c>
    </row>
    <row r="167" ht="20" customHeight="1">
      <c r="A167" s="183">
        <f>IF($K167="","",WEEKNUM(INDEX(Zeiterfassung!$K$6:$K$3665,$K167),21))</f>
        <v/>
      </c>
      <c r="B167" s="184">
        <f>IF($K167="","",INDEX(Zeiterfassung!$K$6:$K$3665,$K167))</f>
        <v/>
      </c>
      <c r="C167" s="185">
        <f>IF($K167="","",INDEX(Zeiterfassung!$K$6:$K$3665,$K167))</f>
        <v/>
      </c>
      <c r="D167" s="186">
        <f>IF($K167="","",INDEX(Zeiterfassung!$D$6:$D$3665,$K167))</f>
        <v/>
      </c>
      <c r="E167" s="186">
        <f>IF($K167="","",INDEX(Zeiterfassung!$E$6:$E$3665,$K167))</f>
        <v/>
      </c>
      <c r="F167" s="187">
        <f>IF($K167="","",INDEX(Zeiterfassung!$F$6:$F$3665,$K167))</f>
        <v/>
      </c>
      <c r="G167" s="187">
        <f>IF($K167="","",INDEX(Zeiterfassung!$G$6:$G$3665,$K167))</f>
        <v/>
      </c>
      <c r="H167" s="188">
        <f>IF($K167="","",INDEX(Zeiterfassung!$H$6:$H$3665,$K167))</f>
        <v/>
      </c>
      <c r="I167" s="335">
        <f>IF(B167=B166,"",IF($K167="","",INDEX(Zeiterfassung!$I$6:$I$3665,MATCH(INDEX(Zeiterfassung!$K$6:$K$3665,$K167),Zeiterfassung!$K$6:$K$3665,0))))</f>
        <v/>
      </c>
      <c r="J167" s="335">
        <f>IF(B167=B166,"",IF($K167="","",INDEX(Zeiterfassung!$J$6:$J$3665,MATCH(INDEX(Zeiterfassung!$K$6:$K$3665,$K167),Zeiterfassung!$K$6:$K$3665,0))))</f>
        <v/>
      </c>
      <c r="K167">
        <f>IFERROR(AGGREGATE(15,6,(ROW(Zeiterfassung!$D$6:$D$3665)-ROW(Zeiterfassung!$D$6)+1)/(Zeiterfassung!$D$6:$D$3665&lt;&gt;""),162),"")</f>
        <v/>
      </c>
    </row>
    <row r="168" ht="20" customHeight="1">
      <c r="A168" s="183">
        <f>IF($K168="","",WEEKNUM(INDEX(Zeiterfassung!$K$6:$K$3665,$K168),21))</f>
        <v/>
      </c>
      <c r="B168" s="184">
        <f>IF($K168="","",INDEX(Zeiterfassung!$K$6:$K$3665,$K168))</f>
        <v/>
      </c>
      <c r="C168" s="185">
        <f>IF($K168="","",INDEX(Zeiterfassung!$K$6:$K$3665,$K168))</f>
        <v/>
      </c>
      <c r="D168" s="186">
        <f>IF($K168="","",INDEX(Zeiterfassung!$D$6:$D$3665,$K168))</f>
        <v/>
      </c>
      <c r="E168" s="186">
        <f>IF($K168="","",INDEX(Zeiterfassung!$E$6:$E$3665,$K168))</f>
        <v/>
      </c>
      <c r="F168" s="187">
        <f>IF($K168="","",INDEX(Zeiterfassung!$F$6:$F$3665,$K168))</f>
        <v/>
      </c>
      <c r="G168" s="187">
        <f>IF($K168="","",INDEX(Zeiterfassung!$G$6:$G$3665,$K168))</f>
        <v/>
      </c>
      <c r="H168" s="188">
        <f>IF($K168="","",INDEX(Zeiterfassung!$H$6:$H$3665,$K168))</f>
        <v/>
      </c>
      <c r="I168" s="335">
        <f>IF(B168=B167,"",IF($K168="","",INDEX(Zeiterfassung!$I$6:$I$3665,MATCH(INDEX(Zeiterfassung!$K$6:$K$3665,$K168),Zeiterfassung!$K$6:$K$3665,0))))</f>
        <v/>
      </c>
      <c r="J168" s="335">
        <f>IF(B168=B167,"",IF($K168="","",INDEX(Zeiterfassung!$J$6:$J$3665,MATCH(INDEX(Zeiterfassung!$K$6:$K$3665,$K168),Zeiterfassung!$K$6:$K$3665,0))))</f>
        <v/>
      </c>
      <c r="K168">
        <f>IFERROR(AGGREGATE(15,6,(ROW(Zeiterfassung!$D$6:$D$3665)-ROW(Zeiterfassung!$D$6)+1)/(Zeiterfassung!$D$6:$D$3665&lt;&gt;""),163),"")</f>
        <v/>
      </c>
    </row>
    <row r="169" ht="20" customHeight="1">
      <c r="A169" s="183">
        <f>IF($K169="","",WEEKNUM(INDEX(Zeiterfassung!$K$6:$K$3665,$K169),21))</f>
        <v/>
      </c>
      <c r="B169" s="184">
        <f>IF($K169="","",INDEX(Zeiterfassung!$K$6:$K$3665,$K169))</f>
        <v/>
      </c>
      <c r="C169" s="185">
        <f>IF($K169="","",INDEX(Zeiterfassung!$K$6:$K$3665,$K169))</f>
        <v/>
      </c>
      <c r="D169" s="186">
        <f>IF($K169="","",INDEX(Zeiterfassung!$D$6:$D$3665,$K169))</f>
        <v/>
      </c>
      <c r="E169" s="186">
        <f>IF($K169="","",INDEX(Zeiterfassung!$E$6:$E$3665,$K169))</f>
        <v/>
      </c>
      <c r="F169" s="187">
        <f>IF($K169="","",INDEX(Zeiterfassung!$F$6:$F$3665,$K169))</f>
        <v/>
      </c>
      <c r="G169" s="187">
        <f>IF($K169="","",INDEX(Zeiterfassung!$G$6:$G$3665,$K169))</f>
        <v/>
      </c>
      <c r="H169" s="188">
        <f>IF($K169="","",INDEX(Zeiterfassung!$H$6:$H$3665,$K169))</f>
        <v/>
      </c>
      <c r="I169" s="335">
        <f>IF(B169=B168,"",IF($K169="","",INDEX(Zeiterfassung!$I$6:$I$3665,MATCH(INDEX(Zeiterfassung!$K$6:$K$3665,$K169),Zeiterfassung!$K$6:$K$3665,0))))</f>
        <v/>
      </c>
      <c r="J169" s="335">
        <f>IF(B169=B168,"",IF($K169="","",INDEX(Zeiterfassung!$J$6:$J$3665,MATCH(INDEX(Zeiterfassung!$K$6:$K$3665,$K169),Zeiterfassung!$K$6:$K$3665,0))))</f>
        <v/>
      </c>
      <c r="K169">
        <f>IFERROR(AGGREGATE(15,6,(ROW(Zeiterfassung!$D$6:$D$3665)-ROW(Zeiterfassung!$D$6)+1)/(Zeiterfassung!$D$6:$D$3665&lt;&gt;""),164),"")</f>
        <v/>
      </c>
    </row>
    <row r="170" ht="20" customHeight="1">
      <c r="A170" s="183">
        <f>IF($K170="","",WEEKNUM(INDEX(Zeiterfassung!$K$6:$K$3665,$K170),21))</f>
        <v/>
      </c>
      <c r="B170" s="184">
        <f>IF($K170="","",INDEX(Zeiterfassung!$K$6:$K$3665,$K170))</f>
        <v/>
      </c>
      <c r="C170" s="185">
        <f>IF($K170="","",INDEX(Zeiterfassung!$K$6:$K$3665,$K170))</f>
        <v/>
      </c>
      <c r="D170" s="186">
        <f>IF($K170="","",INDEX(Zeiterfassung!$D$6:$D$3665,$K170))</f>
        <v/>
      </c>
      <c r="E170" s="186">
        <f>IF($K170="","",INDEX(Zeiterfassung!$E$6:$E$3665,$K170))</f>
        <v/>
      </c>
      <c r="F170" s="187">
        <f>IF($K170="","",INDEX(Zeiterfassung!$F$6:$F$3665,$K170))</f>
        <v/>
      </c>
      <c r="G170" s="187">
        <f>IF($K170="","",INDEX(Zeiterfassung!$G$6:$G$3665,$K170))</f>
        <v/>
      </c>
      <c r="H170" s="188">
        <f>IF($K170="","",INDEX(Zeiterfassung!$H$6:$H$3665,$K170))</f>
        <v/>
      </c>
      <c r="I170" s="335">
        <f>IF(B170=B169,"",IF($K170="","",INDEX(Zeiterfassung!$I$6:$I$3665,MATCH(INDEX(Zeiterfassung!$K$6:$K$3665,$K170),Zeiterfassung!$K$6:$K$3665,0))))</f>
        <v/>
      </c>
      <c r="J170" s="335">
        <f>IF(B170=B169,"",IF($K170="","",INDEX(Zeiterfassung!$J$6:$J$3665,MATCH(INDEX(Zeiterfassung!$K$6:$K$3665,$K170),Zeiterfassung!$K$6:$K$3665,0))))</f>
        <v/>
      </c>
      <c r="K170">
        <f>IFERROR(AGGREGATE(15,6,(ROW(Zeiterfassung!$D$6:$D$3665)-ROW(Zeiterfassung!$D$6)+1)/(Zeiterfassung!$D$6:$D$3665&lt;&gt;""),165),"")</f>
        <v/>
      </c>
    </row>
    <row r="171" ht="20" customHeight="1">
      <c r="A171" s="183">
        <f>IF($K171="","",WEEKNUM(INDEX(Zeiterfassung!$K$6:$K$3665,$K171),21))</f>
        <v/>
      </c>
      <c r="B171" s="184">
        <f>IF($K171="","",INDEX(Zeiterfassung!$K$6:$K$3665,$K171))</f>
        <v/>
      </c>
      <c r="C171" s="185">
        <f>IF($K171="","",INDEX(Zeiterfassung!$K$6:$K$3665,$K171))</f>
        <v/>
      </c>
      <c r="D171" s="186">
        <f>IF($K171="","",INDEX(Zeiterfassung!$D$6:$D$3665,$K171))</f>
        <v/>
      </c>
      <c r="E171" s="186">
        <f>IF($K171="","",INDEX(Zeiterfassung!$E$6:$E$3665,$K171))</f>
        <v/>
      </c>
      <c r="F171" s="187">
        <f>IF($K171="","",INDEX(Zeiterfassung!$F$6:$F$3665,$K171))</f>
        <v/>
      </c>
      <c r="G171" s="187">
        <f>IF($K171="","",INDEX(Zeiterfassung!$G$6:$G$3665,$K171))</f>
        <v/>
      </c>
      <c r="H171" s="188">
        <f>IF($K171="","",INDEX(Zeiterfassung!$H$6:$H$3665,$K171))</f>
        <v/>
      </c>
      <c r="I171" s="335">
        <f>IF(B171=B170,"",IF($K171="","",INDEX(Zeiterfassung!$I$6:$I$3665,MATCH(INDEX(Zeiterfassung!$K$6:$K$3665,$K171),Zeiterfassung!$K$6:$K$3665,0))))</f>
        <v/>
      </c>
      <c r="J171" s="335">
        <f>IF(B171=B170,"",IF($K171="","",INDEX(Zeiterfassung!$J$6:$J$3665,MATCH(INDEX(Zeiterfassung!$K$6:$K$3665,$K171),Zeiterfassung!$K$6:$K$3665,0))))</f>
        <v/>
      </c>
      <c r="K171">
        <f>IFERROR(AGGREGATE(15,6,(ROW(Zeiterfassung!$D$6:$D$3665)-ROW(Zeiterfassung!$D$6)+1)/(Zeiterfassung!$D$6:$D$3665&lt;&gt;""),166),"")</f>
        <v/>
      </c>
    </row>
    <row r="172" ht="20" customHeight="1">
      <c r="A172" s="183">
        <f>IF($K172="","",WEEKNUM(INDEX(Zeiterfassung!$K$6:$K$3665,$K172),21))</f>
        <v/>
      </c>
      <c r="B172" s="184">
        <f>IF($K172="","",INDEX(Zeiterfassung!$K$6:$K$3665,$K172))</f>
        <v/>
      </c>
      <c r="C172" s="185">
        <f>IF($K172="","",INDEX(Zeiterfassung!$K$6:$K$3665,$K172))</f>
        <v/>
      </c>
      <c r="D172" s="186">
        <f>IF($K172="","",INDEX(Zeiterfassung!$D$6:$D$3665,$K172))</f>
        <v/>
      </c>
      <c r="E172" s="186">
        <f>IF($K172="","",INDEX(Zeiterfassung!$E$6:$E$3665,$K172))</f>
        <v/>
      </c>
      <c r="F172" s="187">
        <f>IF($K172="","",INDEX(Zeiterfassung!$F$6:$F$3665,$K172))</f>
        <v/>
      </c>
      <c r="G172" s="187">
        <f>IF($K172="","",INDEX(Zeiterfassung!$G$6:$G$3665,$K172))</f>
        <v/>
      </c>
      <c r="H172" s="188">
        <f>IF($K172="","",INDEX(Zeiterfassung!$H$6:$H$3665,$K172))</f>
        <v/>
      </c>
      <c r="I172" s="335">
        <f>IF(B172=B171,"",IF($K172="","",INDEX(Zeiterfassung!$I$6:$I$3665,MATCH(INDEX(Zeiterfassung!$K$6:$K$3665,$K172),Zeiterfassung!$K$6:$K$3665,0))))</f>
        <v/>
      </c>
      <c r="J172" s="335">
        <f>IF(B172=B171,"",IF($K172="","",INDEX(Zeiterfassung!$J$6:$J$3665,MATCH(INDEX(Zeiterfassung!$K$6:$K$3665,$K172),Zeiterfassung!$K$6:$K$3665,0))))</f>
        <v/>
      </c>
      <c r="K172">
        <f>IFERROR(AGGREGATE(15,6,(ROW(Zeiterfassung!$D$6:$D$3665)-ROW(Zeiterfassung!$D$6)+1)/(Zeiterfassung!$D$6:$D$3665&lt;&gt;""),167),"")</f>
        <v/>
      </c>
    </row>
    <row r="173" ht="20" customHeight="1">
      <c r="A173" s="183">
        <f>IF($K173="","",WEEKNUM(INDEX(Zeiterfassung!$K$6:$K$3665,$K173),21))</f>
        <v/>
      </c>
      <c r="B173" s="184">
        <f>IF($K173="","",INDEX(Zeiterfassung!$K$6:$K$3665,$K173))</f>
        <v/>
      </c>
      <c r="C173" s="185">
        <f>IF($K173="","",INDEX(Zeiterfassung!$K$6:$K$3665,$K173))</f>
        <v/>
      </c>
      <c r="D173" s="186">
        <f>IF($K173="","",INDEX(Zeiterfassung!$D$6:$D$3665,$K173))</f>
        <v/>
      </c>
      <c r="E173" s="186">
        <f>IF($K173="","",INDEX(Zeiterfassung!$E$6:$E$3665,$K173))</f>
        <v/>
      </c>
      <c r="F173" s="187">
        <f>IF($K173="","",INDEX(Zeiterfassung!$F$6:$F$3665,$K173))</f>
        <v/>
      </c>
      <c r="G173" s="187">
        <f>IF($K173="","",INDEX(Zeiterfassung!$G$6:$G$3665,$K173))</f>
        <v/>
      </c>
      <c r="H173" s="188">
        <f>IF($K173="","",INDEX(Zeiterfassung!$H$6:$H$3665,$K173))</f>
        <v/>
      </c>
      <c r="I173" s="335">
        <f>IF(B173=B172,"",IF($K173="","",INDEX(Zeiterfassung!$I$6:$I$3665,MATCH(INDEX(Zeiterfassung!$K$6:$K$3665,$K173),Zeiterfassung!$K$6:$K$3665,0))))</f>
        <v/>
      </c>
      <c r="J173" s="335">
        <f>IF(B173=B172,"",IF($K173="","",INDEX(Zeiterfassung!$J$6:$J$3665,MATCH(INDEX(Zeiterfassung!$K$6:$K$3665,$K173),Zeiterfassung!$K$6:$K$3665,0))))</f>
        <v/>
      </c>
      <c r="K173">
        <f>IFERROR(AGGREGATE(15,6,(ROW(Zeiterfassung!$D$6:$D$3665)-ROW(Zeiterfassung!$D$6)+1)/(Zeiterfassung!$D$6:$D$3665&lt;&gt;""),168),"")</f>
        <v/>
      </c>
    </row>
    <row r="174" ht="20" customHeight="1">
      <c r="A174" s="183">
        <f>IF($K174="","",WEEKNUM(INDEX(Zeiterfassung!$K$6:$K$3665,$K174),21))</f>
        <v/>
      </c>
      <c r="B174" s="184">
        <f>IF($K174="","",INDEX(Zeiterfassung!$K$6:$K$3665,$K174))</f>
        <v/>
      </c>
      <c r="C174" s="185">
        <f>IF($K174="","",INDEX(Zeiterfassung!$K$6:$K$3665,$K174))</f>
        <v/>
      </c>
      <c r="D174" s="186">
        <f>IF($K174="","",INDEX(Zeiterfassung!$D$6:$D$3665,$K174))</f>
        <v/>
      </c>
      <c r="E174" s="186">
        <f>IF($K174="","",INDEX(Zeiterfassung!$E$6:$E$3665,$K174))</f>
        <v/>
      </c>
      <c r="F174" s="187">
        <f>IF($K174="","",INDEX(Zeiterfassung!$F$6:$F$3665,$K174))</f>
        <v/>
      </c>
      <c r="G174" s="187">
        <f>IF($K174="","",INDEX(Zeiterfassung!$G$6:$G$3665,$K174))</f>
        <v/>
      </c>
      <c r="H174" s="188">
        <f>IF($K174="","",INDEX(Zeiterfassung!$H$6:$H$3665,$K174))</f>
        <v/>
      </c>
      <c r="I174" s="335">
        <f>IF(B174=B173,"",IF($K174="","",INDEX(Zeiterfassung!$I$6:$I$3665,MATCH(INDEX(Zeiterfassung!$K$6:$K$3665,$K174),Zeiterfassung!$K$6:$K$3665,0))))</f>
        <v/>
      </c>
      <c r="J174" s="335">
        <f>IF(B174=B173,"",IF($K174="","",INDEX(Zeiterfassung!$J$6:$J$3665,MATCH(INDEX(Zeiterfassung!$K$6:$K$3665,$K174),Zeiterfassung!$K$6:$K$3665,0))))</f>
        <v/>
      </c>
      <c r="K174">
        <f>IFERROR(AGGREGATE(15,6,(ROW(Zeiterfassung!$D$6:$D$3665)-ROW(Zeiterfassung!$D$6)+1)/(Zeiterfassung!$D$6:$D$3665&lt;&gt;""),169),"")</f>
        <v/>
      </c>
    </row>
    <row r="175" ht="20" customHeight="1">
      <c r="A175" s="183">
        <f>IF($K175="","",WEEKNUM(INDEX(Zeiterfassung!$K$6:$K$3665,$K175),21))</f>
        <v/>
      </c>
      <c r="B175" s="184">
        <f>IF($K175="","",INDEX(Zeiterfassung!$K$6:$K$3665,$K175))</f>
        <v/>
      </c>
      <c r="C175" s="185">
        <f>IF($K175="","",INDEX(Zeiterfassung!$K$6:$K$3665,$K175))</f>
        <v/>
      </c>
      <c r="D175" s="186">
        <f>IF($K175="","",INDEX(Zeiterfassung!$D$6:$D$3665,$K175))</f>
        <v/>
      </c>
      <c r="E175" s="186">
        <f>IF($K175="","",INDEX(Zeiterfassung!$E$6:$E$3665,$K175))</f>
        <v/>
      </c>
      <c r="F175" s="187">
        <f>IF($K175="","",INDEX(Zeiterfassung!$F$6:$F$3665,$K175))</f>
        <v/>
      </c>
      <c r="G175" s="187">
        <f>IF($K175="","",INDEX(Zeiterfassung!$G$6:$G$3665,$K175))</f>
        <v/>
      </c>
      <c r="H175" s="188">
        <f>IF($K175="","",INDEX(Zeiterfassung!$H$6:$H$3665,$K175))</f>
        <v/>
      </c>
      <c r="I175" s="335">
        <f>IF(B175=B174,"",IF($K175="","",INDEX(Zeiterfassung!$I$6:$I$3665,MATCH(INDEX(Zeiterfassung!$K$6:$K$3665,$K175),Zeiterfassung!$K$6:$K$3665,0))))</f>
        <v/>
      </c>
      <c r="J175" s="335">
        <f>IF(B175=B174,"",IF($K175="","",INDEX(Zeiterfassung!$J$6:$J$3665,MATCH(INDEX(Zeiterfassung!$K$6:$K$3665,$K175),Zeiterfassung!$K$6:$K$3665,0))))</f>
        <v/>
      </c>
      <c r="K175">
        <f>IFERROR(AGGREGATE(15,6,(ROW(Zeiterfassung!$D$6:$D$3665)-ROW(Zeiterfassung!$D$6)+1)/(Zeiterfassung!$D$6:$D$3665&lt;&gt;""),170),"")</f>
        <v/>
      </c>
    </row>
    <row r="176" ht="20" customHeight="1">
      <c r="A176" s="183">
        <f>IF($K176="","",WEEKNUM(INDEX(Zeiterfassung!$K$6:$K$3665,$K176),21))</f>
        <v/>
      </c>
      <c r="B176" s="184">
        <f>IF($K176="","",INDEX(Zeiterfassung!$K$6:$K$3665,$K176))</f>
        <v/>
      </c>
      <c r="C176" s="185">
        <f>IF($K176="","",INDEX(Zeiterfassung!$K$6:$K$3665,$K176))</f>
        <v/>
      </c>
      <c r="D176" s="186">
        <f>IF($K176="","",INDEX(Zeiterfassung!$D$6:$D$3665,$K176))</f>
        <v/>
      </c>
      <c r="E176" s="186">
        <f>IF($K176="","",INDEX(Zeiterfassung!$E$6:$E$3665,$K176))</f>
        <v/>
      </c>
      <c r="F176" s="187">
        <f>IF($K176="","",INDEX(Zeiterfassung!$F$6:$F$3665,$K176))</f>
        <v/>
      </c>
      <c r="G176" s="187">
        <f>IF($K176="","",INDEX(Zeiterfassung!$G$6:$G$3665,$K176))</f>
        <v/>
      </c>
      <c r="H176" s="188">
        <f>IF($K176="","",INDEX(Zeiterfassung!$H$6:$H$3665,$K176))</f>
        <v/>
      </c>
      <c r="I176" s="335">
        <f>IF(B176=B175,"",IF($K176="","",INDEX(Zeiterfassung!$I$6:$I$3665,MATCH(INDEX(Zeiterfassung!$K$6:$K$3665,$K176),Zeiterfassung!$K$6:$K$3665,0))))</f>
        <v/>
      </c>
      <c r="J176" s="335">
        <f>IF(B176=B175,"",IF($K176="","",INDEX(Zeiterfassung!$J$6:$J$3665,MATCH(INDEX(Zeiterfassung!$K$6:$K$3665,$K176),Zeiterfassung!$K$6:$K$3665,0))))</f>
        <v/>
      </c>
      <c r="K176">
        <f>IFERROR(AGGREGATE(15,6,(ROW(Zeiterfassung!$D$6:$D$3665)-ROW(Zeiterfassung!$D$6)+1)/(Zeiterfassung!$D$6:$D$3665&lt;&gt;""),171),"")</f>
        <v/>
      </c>
    </row>
    <row r="177" ht="20" customHeight="1">
      <c r="A177" s="183">
        <f>IF($K177="","",WEEKNUM(INDEX(Zeiterfassung!$K$6:$K$3665,$K177),21))</f>
        <v/>
      </c>
      <c r="B177" s="184">
        <f>IF($K177="","",INDEX(Zeiterfassung!$K$6:$K$3665,$K177))</f>
        <v/>
      </c>
      <c r="C177" s="185">
        <f>IF($K177="","",INDEX(Zeiterfassung!$K$6:$K$3665,$K177))</f>
        <v/>
      </c>
      <c r="D177" s="186">
        <f>IF($K177="","",INDEX(Zeiterfassung!$D$6:$D$3665,$K177))</f>
        <v/>
      </c>
      <c r="E177" s="186">
        <f>IF($K177="","",INDEX(Zeiterfassung!$E$6:$E$3665,$K177))</f>
        <v/>
      </c>
      <c r="F177" s="187">
        <f>IF($K177="","",INDEX(Zeiterfassung!$F$6:$F$3665,$K177))</f>
        <v/>
      </c>
      <c r="G177" s="187">
        <f>IF($K177="","",INDEX(Zeiterfassung!$G$6:$G$3665,$K177))</f>
        <v/>
      </c>
      <c r="H177" s="188">
        <f>IF($K177="","",INDEX(Zeiterfassung!$H$6:$H$3665,$K177))</f>
        <v/>
      </c>
      <c r="I177" s="335">
        <f>IF(B177=B176,"",IF($K177="","",INDEX(Zeiterfassung!$I$6:$I$3665,MATCH(INDEX(Zeiterfassung!$K$6:$K$3665,$K177),Zeiterfassung!$K$6:$K$3665,0))))</f>
        <v/>
      </c>
      <c r="J177" s="335">
        <f>IF(B177=B176,"",IF($K177="","",INDEX(Zeiterfassung!$J$6:$J$3665,MATCH(INDEX(Zeiterfassung!$K$6:$K$3665,$K177),Zeiterfassung!$K$6:$K$3665,0))))</f>
        <v/>
      </c>
      <c r="K177">
        <f>IFERROR(AGGREGATE(15,6,(ROW(Zeiterfassung!$D$6:$D$3665)-ROW(Zeiterfassung!$D$6)+1)/(Zeiterfassung!$D$6:$D$3665&lt;&gt;""),172),"")</f>
        <v/>
      </c>
    </row>
    <row r="178" ht="20" customHeight="1">
      <c r="A178" s="183">
        <f>IF($K178="","",WEEKNUM(INDEX(Zeiterfassung!$K$6:$K$3665,$K178),21))</f>
        <v/>
      </c>
      <c r="B178" s="184">
        <f>IF($K178="","",INDEX(Zeiterfassung!$K$6:$K$3665,$K178))</f>
        <v/>
      </c>
      <c r="C178" s="185">
        <f>IF($K178="","",INDEX(Zeiterfassung!$K$6:$K$3665,$K178))</f>
        <v/>
      </c>
      <c r="D178" s="186">
        <f>IF($K178="","",INDEX(Zeiterfassung!$D$6:$D$3665,$K178))</f>
        <v/>
      </c>
      <c r="E178" s="186">
        <f>IF($K178="","",INDEX(Zeiterfassung!$E$6:$E$3665,$K178))</f>
        <v/>
      </c>
      <c r="F178" s="187">
        <f>IF($K178="","",INDEX(Zeiterfassung!$F$6:$F$3665,$K178))</f>
        <v/>
      </c>
      <c r="G178" s="187">
        <f>IF($K178="","",INDEX(Zeiterfassung!$G$6:$G$3665,$K178))</f>
        <v/>
      </c>
      <c r="H178" s="188">
        <f>IF($K178="","",INDEX(Zeiterfassung!$H$6:$H$3665,$K178))</f>
        <v/>
      </c>
      <c r="I178" s="335">
        <f>IF(B178=B177,"",IF($K178="","",INDEX(Zeiterfassung!$I$6:$I$3665,MATCH(INDEX(Zeiterfassung!$K$6:$K$3665,$K178),Zeiterfassung!$K$6:$K$3665,0))))</f>
        <v/>
      </c>
      <c r="J178" s="335">
        <f>IF(B178=B177,"",IF($K178="","",INDEX(Zeiterfassung!$J$6:$J$3665,MATCH(INDEX(Zeiterfassung!$K$6:$K$3665,$K178),Zeiterfassung!$K$6:$K$3665,0))))</f>
        <v/>
      </c>
      <c r="K178">
        <f>IFERROR(AGGREGATE(15,6,(ROW(Zeiterfassung!$D$6:$D$3665)-ROW(Zeiterfassung!$D$6)+1)/(Zeiterfassung!$D$6:$D$3665&lt;&gt;""),173),"")</f>
        <v/>
      </c>
    </row>
    <row r="179" ht="20" customHeight="1">
      <c r="A179" s="183">
        <f>IF($K179="","",WEEKNUM(INDEX(Zeiterfassung!$K$6:$K$3665,$K179),21))</f>
        <v/>
      </c>
      <c r="B179" s="184">
        <f>IF($K179="","",INDEX(Zeiterfassung!$K$6:$K$3665,$K179))</f>
        <v/>
      </c>
      <c r="C179" s="185">
        <f>IF($K179="","",INDEX(Zeiterfassung!$K$6:$K$3665,$K179))</f>
        <v/>
      </c>
      <c r="D179" s="186">
        <f>IF($K179="","",INDEX(Zeiterfassung!$D$6:$D$3665,$K179))</f>
        <v/>
      </c>
      <c r="E179" s="186">
        <f>IF($K179="","",INDEX(Zeiterfassung!$E$6:$E$3665,$K179))</f>
        <v/>
      </c>
      <c r="F179" s="187">
        <f>IF($K179="","",INDEX(Zeiterfassung!$F$6:$F$3665,$K179))</f>
        <v/>
      </c>
      <c r="G179" s="187">
        <f>IF($K179="","",INDEX(Zeiterfassung!$G$6:$G$3665,$K179))</f>
        <v/>
      </c>
      <c r="H179" s="188">
        <f>IF($K179="","",INDEX(Zeiterfassung!$H$6:$H$3665,$K179))</f>
        <v/>
      </c>
      <c r="I179" s="335">
        <f>IF(B179=B178,"",IF($K179="","",INDEX(Zeiterfassung!$I$6:$I$3665,MATCH(INDEX(Zeiterfassung!$K$6:$K$3665,$K179),Zeiterfassung!$K$6:$K$3665,0))))</f>
        <v/>
      </c>
      <c r="J179" s="335">
        <f>IF(B179=B178,"",IF($K179="","",INDEX(Zeiterfassung!$J$6:$J$3665,MATCH(INDEX(Zeiterfassung!$K$6:$K$3665,$K179),Zeiterfassung!$K$6:$K$3665,0))))</f>
        <v/>
      </c>
      <c r="K179">
        <f>IFERROR(AGGREGATE(15,6,(ROW(Zeiterfassung!$D$6:$D$3665)-ROW(Zeiterfassung!$D$6)+1)/(Zeiterfassung!$D$6:$D$3665&lt;&gt;""),174),"")</f>
        <v/>
      </c>
    </row>
    <row r="180" ht="20" customHeight="1">
      <c r="A180" s="183">
        <f>IF($K180="","",WEEKNUM(INDEX(Zeiterfassung!$K$6:$K$3665,$K180),21))</f>
        <v/>
      </c>
      <c r="B180" s="184">
        <f>IF($K180="","",INDEX(Zeiterfassung!$K$6:$K$3665,$K180))</f>
        <v/>
      </c>
      <c r="C180" s="185">
        <f>IF($K180="","",INDEX(Zeiterfassung!$K$6:$K$3665,$K180))</f>
        <v/>
      </c>
      <c r="D180" s="186">
        <f>IF($K180="","",INDEX(Zeiterfassung!$D$6:$D$3665,$K180))</f>
        <v/>
      </c>
      <c r="E180" s="186">
        <f>IF($K180="","",INDEX(Zeiterfassung!$E$6:$E$3665,$K180))</f>
        <v/>
      </c>
      <c r="F180" s="187">
        <f>IF($K180="","",INDEX(Zeiterfassung!$F$6:$F$3665,$K180))</f>
        <v/>
      </c>
      <c r="G180" s="187">
        <f>IF($K180="","",INDEX(Zeiterfassung!$G$6:$G$3665,$K180))</f>
        <v/>
      </c>
      <c r="H180" s="188">
        <f>IF($K180="","",INDEX(Zeiterfassung!$H$6:$H$3665,$K180))</f>
        <v/>
      </c>
      <c r="I180" s="335">
        <f>IF(B180=B179,"",IF($K180="","",INDEX(Zeiterfassung!$I$6:$I$3665,MATCH(INDEX(Zeiterfassung!$K$6:$K$3665,$K180),Zeiterfassung!$K$6:$K$3665,0))))</f>
        <v/>
      </c>
      <c r="J180" s="335">
        <f>IF(B180=B179,"",IF($K180="","",INDEX(Zeiterfassung!$J$6:$J$3665,MATCH(INDEX(Zeiterfassung!$K$6:$K$3665,$K180),Zeiterfassung!$K$6:$K$3665,0))))</f>
        <v/>
      </c>
      <c r="K180">
        <f>IFERROR(AGGREGATE(15,6,(ROW(Zeiterfassung!$D$6:$D$3665)-ROW(Zeiterfassung!$D$6)+1)/(Zeiterfassung!$D$6:$D$3665&lt;&gt;""),175),"")</f>
        <v/>
      </c>
    </row>
    <row r="181" ht="20" customHeight="1">
      <c r="A181" s="183">
        <f>IF($K181="","",WEEKNUM(INDEX(Zeiterfassung!$K$6:$K$3665,$K181),21))</f>
        <v/>
      </c>
      <c r="B181" s="184">
        <f>IF($K181="","",INDEX(Zeiterfassung!$K$6:$K$3665,$K181))</f>
        <v/>
      </c>
      <c r="C181" s="185">
        <f>IF($K181="","",INDEX(Zeiterfassung!$K$6:$K$3665,$K181))</f>
        <v/>
      </c>
      <c r="D181" s="186">
        <f>IF($K181="","",INDEX(Zeiterfassung!$D$6:$D$3665,$K181))</f>
        <v/>
      </c>
      <c r="E181" s="186">
        <f>IF($K181="","",INDEX(Zeiterfassung!$E$6:$E$3665,$K181))</f>
        <v/>
      </c>
      <c r="F181" s="187">
        <f>IF($K181="","",INDEX(Zeiterfassung!$F$6:$F$3665,$K181))</f>
        <v/>
      </c>
      <c r="G181" s="187">
        <f>IF($K181="","",INDEX(Zeiterfassung!$G$6:$G$3665,$K181))</f>
        <v/>
      </c>
      <c r="H181" s="188">
        <f>IF($K181="","",INDEX(Zeiterfassung!$H$6:$H$3665,$K181))</f>
        <v/>
      </c>
      <c r="I181" s="335">
        <f>IF(B181=B180,"",IF($K181="","",INDEX(Zeiterfassung!$I$6:$I$3665,MATCH(INDEX(Zeiterfassung!$K$6:$K$3665,$K181),Zeiterfassung!$K$6:$K$3665,0))))</f>
        <v/>
      </c>
      <c r="J181" s="335">
        <f>IF(B181=B180,"",IF($K181="","",INDEX(Zeiterfassung!$J$6:$J$3665,MATCH(INDEX(Zeiterfassung!$K$6:$K$3665,$K181),Zeiterfassung!$K$6:$K$3665,0))))</f>
        <v/>
      </c>
      <c r="K181">
        <f>IFERROR(AGGREGATE(15,6,(ROW(Zeiterfassung!$D$6:$D$3665)-ROW(Zeiterfassung!$D$6)+1)/(Zeiterfassung!$D$6:$D$3665&lt;&gt;""),176),"")</f>
        <v/>
      </c>
    </row>
    <row r="182" ht="20" customHeight="1">
      <c r="A182" s="183">
        <f>IF($K182="","",WEEKNUM(INDEX(Zeiterfassung!$K$6:$K$3665,$K182),21))</f>
        <v/>
      </c>
      <c r="B182" s="184">
        <f>IF($K182="","",INDEX(Zeiterfassung!$K$6:$K$3665,$K182))</f>
        <v/>
      </c>
      <c r="C182" s="185">
        <f>IF($K182="","",INDEX(Zeiterfassung!$K$6:$K$3665,$K182))</f>
        <v/>
      </c>
      <c r="D182" s="186">
        <f>IF($K182="","",INDEX(Zeiterfassung!$D$6:$D$3665,$K182))</f>
        <v/>
      </c>
      <c r="E182" s="186">
        <f>IF($K182="","",INDEX(Zeiterfassung!$E$6:$E$3665,$K182))</f>
        <v/>
      </c>
      <c r="F182" s="187">
        <f>IF($K182="","",INDEX(Zeiterfassung!$F$6:$F$3665,$K182))</f>
        <v/>
      </c>
      <c r="G182" s="187">
        <f>IF($K182="","",INDEX(Zeiterfassung!$G$6:$G$3665,$K182))</f>
        <v/>
      </c>
      <c r="H182" s="188">
        <f>IF($K182="","",INDEX(Zeiterfassung!$H$6:$H$3665,$K182))</f>
        <v/>
      </c>
      <c r="I182" s="335">
        <f>IF(B182=B181,"",IF($K182="","",INDEX(Zeiterfassung!$I$6:$I$3665,MATCH(INDEX(Zeiterfassung!$K$6:$K$3665,$K182),Zeiterfassung!$K$6:$K$3665,0))))</f>
        <v/>
      </c>
      <c r="J182" s="335">
        <f>IF(B182=B181,"",IF($K182="","",INDEX(Zeiterfassung!$J$6:$J$3665,MATCH(INDEX(Zeiterfassung!$K$6:$K$3665,$K182),Zeiterfassung!$K$6:$K$3665,0))))</f>
        <v/>
      </c>
      <c r="K182">
        <f>IFERROR(AGGREGATE(15,6,(ROW(Zeiterfassung!$D$6:$D$3665)-ROW(Zeiterfassung!$D$6)+1)/(Zeiterfassung!$D$6:$D$3665&lt;&gt;""),177),"")</f>
        <v/>
      </c>
    </row>
    <row r="183" ht="20" customHeight="1">
      <c r="A183" s="183">
        <f>IF($K183="","",WEEKNUM(INDEX(Zeiterfassung!$K$6:$K$3665,$K183),21))</f>
        <v/>
      </c>
      <c r="B183" s="184">
        <f>IF($K183="","",INDEX(Zeiterfassung!$K$6:$K$3665,$K183))</f>
        <v/>
      </c>
      <c r="C183" s="185">
        <f>IF($K183="","",INDEX(Zeiterfassung!$K$6:$K$3665,$K183))</f>
        <v/>
      </c>
      <c r="D183" s="186">
        <f>IF($K183="","",INDEX(Zeiterfassung!$D$6:$D$3665,$K183))</f>
        <v/>
      </c>
      <c r="E183" s="186">
        <f>IF($K183="","",INDEX(Zeiterfassung!$E$6:$E$3665,$K183))</f>
        <v/>
      </c>
      <c r="F183" s="187">
        <f>IF($K183="","",INDEX(Zeiterfassung!$F$6:$F$3665,$K183))</f>
        <v/>
      </c>
      <c r="G183" s="187">
        <f>IF($K183="","",INDEX(Zeiterfassung!$G$6:$G$3665,$K183))</f>
        <v/>
      </c>
      <c r="H183" s="188">
        <f>IF($K183="","",INDEX(Zeiterfassung!$H$6:$H$3665,$K183))</f>
        <v/>
      </c>
      <c r="I183" s="335">
        <f>IF(B183=B182,"",IF($K183="","",INDEX(Zeiterfassung!$I$6:$I$3665,MATCH(INDEX(Zeiterfassung!$K$6:$K$3665,$K183),Zeiterfassung!$K$6:$K$3665,0))))</f>
        <v/>
      </c>
      <c r="J183" s="335">
        <f>IF(B183=B182,"",IF($K183="","",INDEX(Zeiterfassung!$J$6:$J$3665,MATCH(INDEX(Zeiterfassung!$K$6:$K$3665,$K183),Zeiterfassung!$K$6:$K$3665,0))))</f>
        <v/>
      </c>
      <c r="K183">
        <f>IFERROR(AGGREGATE(15,6,(ROW(Zeiterfassung!$D$6:$D$3665)-ROW(Zeiterfassung!$D$6)+1)/(Zeiterfassung!$D$6:$D$3665&lt;&gt;""),178),"")</f>
        <v/>
      </c>
    </row>
    <row r="184" ht="20" customHeight="1">
      <c r="A184" s="183">
        <f>IF($K184="","",WEEKNUM(INDEX(Zeiterfassung!$K$6:$K$3665,$K184),21))</f>
        <v/>
      </c>
      <c r="B184" s="184">
        <f>IF($K184="","",INDEX(Zeiterfassung!$K$6:$K$3665,$K184))</f>
        <v/>
      </c>
      <c r="C184" s="185">
        <f>IF($K184="","",INDEX(Zeiterfassung!$K$6:$K$3665,$K184))</f>
        <v/>
      </c>
      <c r="D184" s="186">
        <f>IF($K184="","",INDEX(Zeiterfassung!$D$6:$D$3665,$K184))</f>
        <v/>
      </c>
      <c r="E184" s="186">
        <f>IF($K184="","",INDEX(Zeiterfassung!$E$6:$E$3665,$K184))</f>
        <v/>
      </c>
      <c r="F184" s="187">
        <f>IF($K184="","",INDEX(Zeiterfassung!$F$6:$F$3665,$K184))</f>
        <v/>
      </c>
      <c r="G184" s="187">
        <f>IF($K184="","",INDEX(Zeiterfassung!$G$6:$G$3665,$K184))</f>
        <v/>
      </c>
      <c r="H184" s="188">
        <f>IF($K184="","",INDEX(Zeiterfassung!$H$6:$H$3665,$K184))</f>
        <v/>
      </c>
      <c r="I184" s="335">
        <f>IF(B184=B183,"",IF($K184="","",INDEX(Zeiterfassung!$I$6:$I$3665,MATCH(INDEX(Zeiterfassung!$K$6:$K$3665,$K184),Zeiterfassung!$K$6:$K$3665,0))))</f>
        <v/>
      </c>
      <c r="J184" s="335">
        <f>IF(B184=B183,"",IF($K184="","",INDEX(Zeiterfassung!$J$6:$J$3665,MATCH(INDEX(Zeiterfassung!$K$6:$K$3665,$K184),Zeiterfassung!$K$6:$K$3665,0))))</f>
        <v/>
      </c>
      <c r="K184">
        <f>IFERROR(AGGREGATE(15,6,(ROW(Zeiterfassung!$D$6:$D$3665)-ROW(Zeiterfassung!$D$6)+1)/(Zeiterfassung!$D$6:$D$3665&lt;&gt;""),179),"")</f>
        <v/>
      </c>
    </row>
    <row r="185" ht="20" customHeight="1">
      <c r="A185" s="183">
        <f>IF($K185="","",WEEKNUM(INDEX(Zeiterfassung!$K$6:$K$3665,$K185),21))</f>
        <v/>
      </c>
      <c r="B185" s="184">
        <f>IF($K185="","",INDEX(Zeiterfassung!$K$6:$K$3665,$K185))</f>
        <v/>
      </c>
      <c r="C185" s="185">
        <f>IF($K185="","",INDEX(Zeiterfassung!$K$6:$K$3665,$K185))</f>
        <v/>
      </c>
      <c r="D185" s="186">
        <f>IF($K185="","",INDEX(Zeiterfassung!$D$6:$D$3665,$K185))</f>
        <v/>
      </c>
      <c r="E185" s="186">
        <f>IF($K185="","",INDEX(Zeiterfassung!$E$6:$E$3665,$K185))</f>
        <v/>
      </c>
      <c r="F185" s="187">
        <f>IF($K185="","",INDEX(Zeiterfassung!$F$6:$F$3665,$K185))</f>
        <v/>
      </c>
      <c r="G185" s="187">
        <f>IF($K185="","",INDEX(Zeiterfassung!$G$6:$G$3665,$K185))</f>
        <v/>
      </c>
      <c r="H185" s="188">
        <f>IF($K185="","",INDEX(Zeiterfassung!$H$6:$H$3665,$K185))</f>
        <v/>
      </c>
      <c r="I185" s="335">
        <f>IF(B185=B184,"",IF($K185="","",INDEX(Zeiterfassung!$I$6:$I$3665,MATCH(INDEX(Zeiterfassung!$K$6:$K$3665,$K185),Zeiterfassung!$K$6:$K$3665,0))))</f>
        <v/>
      </c>
      <c r="J185" s="335">
        <f>IF(B185=B184,"",IF($K185="","",INDEX(Zeiterfassung!$J$6:$J$3665,MATCH(INDEX(Zeiterfassung!$K$6:$K$3665,$K185),Zeiterfassung!$K$6:$K$3665,0))))</f>
        <v/>
      </c>
      <c r="K185">
        <f>IFERROR(AGGREGATE(15,6,(ROW(Zeiterfassung!$D$6:$D$3665)-ROW(Zeiterfassung!$D$6)+1)/(Zeiterfassung!$D$6:$D$3665&lt;&gt;""),180),"")</f>
        <v/>
      </c>
    </row>
    <row r="186" ht="20" customHeight="1">
      <c r="A186" s="183">
        <f>IF($K186="","",WEEKNUM(INDEX(Zeiterfassung!$K$6:$K$3665,$K186),21))</f>
        <v/>
      </c>
      <c r="B186" s="184">
        <f>IF($K186="","",INDEX(Zeiterfassung!$K$6:$K$3665,$K186))</f>
        <v/>
      </c>
      <c r="C186" s="185">
        <f>IF($K186="","",INDEX(Zeiterfassung!$K$6:$K$3665,$K186))</f>
        <v/>
      </c>
      <c r="D186" s="186">
        <f>IF($K186="","",INDEX(Zeiterfassung!$D$6:$D$3665,$K186))</f>
        <v/>
      </c>
      <c r="E186" s="186">
        <f>IF($K186="","",INDEX(Zeiterfassung!$E$6:$E$3665,$K186))</f>
        <v/>
      </c>
      <c r="F186" s="187">
        <f>IF($K186="","",INDEX(Zeiterfassung!$F$6:$F$3665,$K186))</f>
        <v/>
      </c>
      <c r="G186" s="187">
        <f>IF($K186="","",INDEX(Zeiterfassung!$G$6:$G$3665,$K186))</f>
        <v/>
      </c>
      <c r="H186" s="188">
        <f>IF($K186="","",INDEX(Zeiterfassung!$H$6:$H$3665,$K186))</f>
        <v/>
      </c>
      <c r="I186" s="335">
        <f>IF(B186=B185,"",IF($K186="","",INDEX(Zeiterfassung!$I$6:$I$3665,MATCH(INDEX(Zeiterfassung!$K$6:$K$3665,$K186),Zeiterfassung!$K$6:$K$3665,0))))</f>
        <v/>
      </c>
      <c r="J186" s="335">
        <f>IF(B186=B185,"",IF($K186="","",INDEX(Zeiterfassung!$J$6:$J$3665,MATCH(INDEX(Zeiterfassung!$K$6:$K$3665,$K186),Zeiterfassung!$K$6:$K$3665,0))))</f>
        <v/>
      </c>
      <c r="K186">
        <f>IFERROR(AGGREGATE(15,6,(ROW(Zeiterfassung!$D$6:$D$3665)-ROW(Zeiterfassung!$D$6)+1)/(Zeiterfassung!$D$6:$D$3665&lt;&gt;""),181),"")</f>
        <v/>
      </c>
    </row>
    <row r="187" ht="20" customHeight="1">
      <c r="A187" s="183">
        <f>IF($K187="","",WEEKNUM(INDEX(Zeiterfassung!$K$6:$K$3665,$K187),21))</f>
        <v/>
      </c>
      <c r="B187" s="184">
        <f>IF($K187="","",INDEX(Zeiterfassung!$K$6:$K$3665,$K187))</f>
        <v/>
      </c>
      <c r="C187" s="185">
        <f>IF($K187="","",INDEX(Zeiterfassung!$K$6:$K$3665,$K187))</f>
        <v/>
      </c>
      <c r="D187" s="186">
        <f>IF($K187="","",INDEX(Zeiterfassung!$D$6:$D$3665,$K187))</f>
        <v/>
      </c>
      <c r="E187" s="186">
        <f>IF($K187="","",INDEX(Zeiterfassung!$E$6:$E$3665,$K187))</f>
        <v/>
      </c>
      <c r="F187" s="187">
        <f>IF($K187="","",INDEX(Zeiterfassung!$F$6:$F$3665,$K187))</f>
        <v/>
      </c>
      <c r="G187" s="187">
        <f>IF($K187="","",INDEX(Zeiterfassung!$G$6:$G$3665,$K187))</f>
        <v/>
      </c>
      <c r="H187" s="188">
        <f>IF($K187="","",INDEX(Zeiterfassung!$H$6:$H$3665,$K187))</f>
        <v/>
      </c>
      <c r="I187" s="335">
        <f>IF(B187=B186,"",IF($K187="","",INDEX(Zeiterfassung!$I$6:$I$3665,MATCH(INDEX(Zeiterfassung!$K$6:$K$3665,$K187),Zeiterfassung!$K$6:$K$3665,0))))</f>
        <v/>
      </c>
      <c r="J187" s="335">
        <f>IF(B187=B186,"",IF($K187="","",INDEX(Zeiterfassung!$J$6:$J$3665,MATCH(INDEX(Zeiterfassung!$K$6:$K$3665,$K187),Zeiterfassung!$K$6:$K$3665,0))))</f>
        <v/>
      </c>
      <c r="K187">
        <f>IFERROR(AGGREGATE(15,6,(ROW(Zeiterfassung!$D$6:$D$3665)-ROW(Zeiterfassung!$D$6)+1)/(Zeiterfassung!$D$6:$D$3665&lt;&gt;""),182),"")</f>
        <v/>
      </c>
    </row>
    <row r="188" ht="20" customHeight="1">
      <c r="A188" s="183">
        <f>IF($K188="","",WEEKNUM(INDEX(Zeiterfassung!$K$6:$K$3665,$K188),21))</f>
        <v/>
      </c>
      <c r="B188" s="184">
        <f>IF($K188="","",INDEX(Zeiterfassung!$K$6:$K$3665,$K188))</f>
        <v/>
      </c>
      <c r="C188" s="185">
        <f>IF($K188="","",INDEX(Zeiterfassung!$K$6:$K$3665,$K188))</f>
        <v/>
      </c>
      <c r="D188" s="186">
        <f>IF($K188="","",INDEX(Zeiterfassung!$D$6:$D$3665,$K188))</f>
        <v/>
      </c>
      <c r="E188" s="186">
        <f>IF($K188="","",INDEX(Zeiterfassung!$E$6:$E$3665,$K188))</f>
        <v/>
      </c>
      <c r="F188" s="187">
        <f>IF($K188="","",INDEX(Zeiterfassung!$F$6:$F$3665,$K188))</f>
        <v/>
      </c>
      <c r="G188" s="187">
        <f>IF($K188="","",INDEX(Zeiterfassung!$G$6:$G$3665,$K188))</f>
        <v/>
      </c>
      <c r="H188" s="188">
        <f>IF($K188="","",INDEX(Zeiterfassung!$H$6:$H$3665,$K188))</f>
        <v/>
      </c>
      <c r="I188" s="335">
        <f>IF(B188=B187,"",IF($K188="","",INDEX(Zeiterfassung!$I$6:$I$3665,MATCH(INDEX(Zeiterfassung!$K$6:$K$3665,$K188),Zeiterfassung!$K$6:$K$3665,0))))</f>
        <v/>
      </c>
      <c r="J188" s="335">
        <f>IF(B188=B187,"",IF($K188="","",INDEX(Zeiterfassung!$J$6:$J$3665,MATCH(INDEX(Zeiterfassung!$K$6:$K$3665,$K188),Zeiterfassung!$K$6:$K$3665,0))))</f>
        <v/>
      </c>
      <c r="K188">
        <f>IFERROR(AGGREGATE(15,6,(ROW(Zeiterfassung!$D$6:$D$3665)-ROW(Zeiterfassung!$D$6)+1)/(Zeiterfassung!$D$6:$D$3665&lt;&gt;""),183),"")</f>
        <v/>
      </c>
    </row>
    <row r="189" ht="20" customHeight="1">
      <c r="A189" s="183">
        <f>IF($K189="","",WEEKNUM(INDEX(Zeiterfassung!$K$6:$K$3665,$K189),21))</f>
        <v/>
      </c>
      <c r="B189" s="184">
        <f>IF($K189="","",INDEX(Zeiterfassung!$K$6:$K$3665,$K189))</f>
        <v/>
      </c>
      <c r="C189" s="185">
        <f>IF($K189="","",INDEX(Zeiterfassung!$K$6:$K$3665,$K189))</f>
        <v/>
      </c>
      <c r="D189" s="186">
        <f>IF($K189="","",INDEX(Zeiterfassung!$D$6:$D$3665,$K189))</f>
        <v/>
      </c>
      <c r="E189" s="186">
        <f>IF($K189="","",INDEX(Zeiterfassung!$E$6:$E$3665,$K189))</f>
        <v/>
      </c>
      <c r="F189" s="187">
        <f>IF($K189="","",INDEX(Zeiterfassung!$F$6:$F$3665,$K189))</f>
        <v/>
      </c>
      <c r="G189" s="187">
        <f>IF($K189="","",INDEX(Zeiterfassung!$G$6:$G$3665,$K189))</f>
        <v/>
      </c>
      <c r="H189" s="188">
        <f>IF($K189="","",INDEX(Zeiterfassung!$H$6:$H$3665,$K189))</f>
        <v/>
      </c>
      <c r="I189" s="335">
        <f>IF(B189=B188,"",IF($K189="","",INDEX(Zeiterfassung!$I$6:$I$3665,MATCH(INDEX(Zeiterfassung!$K$6:$K$3665,$K189),Zeiterfassung!$K$6:$K$3665,0))))</f>
        <v/>
      </c>
      <c r="J189" s="335">
        <f>IF(B189=B188,"",IF($K189="","",INDEX(Zeiterfassung!$J$6:$J$3665,MATCH(INDEX(Zeiterfassung!$K$6:$K$3665,$K189),Zeiterfassung!$K$6:$K$3665,0))))</f>
        <v/>
      </c>
      <c r="K189">
        <f>IFERROR(AGGREGATE(15,6,(ROW(Zeiterfassung!$D$6:$D$3665)-ROW(Zeiterfassung!$D$6)+1)/(Zeiterfassung!$D$6:$D$3665&lt;&gt;""),184),"")</f>
        <v/>
      </c>
    </row>
    <row r="190" ht="20" customHeight="1">
      <c r="A190" s="183">
        <f>IF($K190="","",WEEKNUM(INDEX(Zeiterfassung!$K$6:$K$3665,$K190),21))</f>
        <v/>
      </c>
      <c r="B190" s="184">
        <f>IF($K190="","",INDEX(Zeiterfassung!$K$6:$K$3665,$K190))</f>
        <v/>
      </c>
      <c r="C190" s="185">
        <f>IF($K190="","",INDEX(Zeiterfassung!$K$6:$K$3665,$K190))</f>
        <v/>
      </c>
      <c r="D190" s="186">
        <f>IF($K190="","",INDEX(Zeiterfassung!$D$6:$D$3665,$K190))</f>
        <v/>
      </c>
      <c r="E190" s="186">
        <f>IF($K190="","",INDEX(Zeiterfassung!$E$6:$E$3665,$K190))</f>
        <v/>
      </c>
      <c r="F190" s="187">
        <f>IF($K190="","",INDEX(Zeiterfassung!$F$6:$F$3665,$K190))</f>
        <v/>
      </c>
      <c r="G190" s="187">
        <f>IF($K190="","",INDEX(Zeiterfassung!$G$6:$G$3665,$K190))</f>
        <v/>
      </c>
      <c r="H190" s="188">
        <f>IF($K190="","",INDEX(Zeiterfassung!$H$6:$H$3665,$K190))</f>
        <v/>
      </c>
      <c r="I190" s="335">
        <f>IF(B190=B189,"",IF($K190="","",INDEX(Zeiterfassung!$I$6:$I$3665,MATCH(INDEX(Zeiterfassung!$K$6:$K$3665,$K190),Zeiterfassung!$K$6:$K$3665,0))))</f>
        <v/>
      </c>
      <c r="J190" s="335">
        <f>IF(B190=B189,"",IF($K190="","",INDEX(Zeiterfassung!$J$6:$J$3665,MATCH(INDEX(Zeiterfassung!$K$6:$K$3665,$K190),Zeiterfassung!$K$6:$K$3665,0))))</f>
        <v/>
      </c>
      <c r="K190">
        <f>IFERROR(AGGREGATE(15,6,(ROW(Zeiterfassung!$D$6:$D$3665)-ROW(Zeiterfassung!$D$6)+1)/(Zeiterfassung!$D$6:$D$3665&lt;&gt;""),185),"")</f>
        <v/>
      </c>
    </row>
    <row r="191" ht="20" customHeight="1">
      <c r="A191" s="183">
        <f>IF($K191="","",WEEKNUM(INDEX(Zeiterfassung!$K$6:$K$3665,$K191),21))</f>
        <v/>
      </c>
      <c r="B191" s="184">
        <f>IF($K191="","",INDEX(Zeiterfassung!$K$6:$K$3665,$K191))</f>
        <v/>
      </c>
      <c r="C191" s="185">
        <f>IF($K191="","",INDEX(Zeiterfassung!$K$6:$K$3665,$K191))</f>
        <v/>
      </c>
      <c r="D191" s="186">
        <f>IF($K191="","",INDEX(Zeiterfassung!$D$6:$D$3665,$K191))</f>
        <v/>
      </c>
      <c r="E191" s="186">
        <f>IF($K191="","",INDEX(Zeiterfassung!$E$6:$E$3665,$K191))</f>
        <v/>
      </c>
      <c r="F191" s="187">
        <f>IF($K191="","",INDEX(Zeiterfassung!$F$6:$F$3665,$K191))</f>
        <v/>
      </c>
      <c r="G191" s="187">
        <f>IF($K191="","",INDEX(Zeiterfassung!$G$6:$G$3665,$K191))</f>
        <v/>
      </c>
      <c r="H191" s="188">
        <f>IF($K191="","",INDEX(Zeiterfassung!$H$6:$H$3665,$K191))</f>
        <v/>
      </c>
      <c r="I191" s="335">
        <f>IF(B191=B190,"",IF($K191="","",INDEX(Zeiterfassung!$I$6:$I$3665,MATCH(INDEX(Zeiterfassung!$K$6:$K$3665,$K191),Zeiterfassung!$K$6:$K$3665,0))))</f>
        <v/>
      </c>
      <c r="J191" s="335">
        <f>IF(B191=B190,"",IF($K191="","",INDEX(Zeiterfassung!$J$6:$J$3665,MATCH(INDEX(Zeiterfassung!$K$6:$K$3665,$K191),Zeiterfassung!$K$6:$K$3665,0))))</f>
        <v/>
      </c>
      <c r="K191">
        <f>IFERROR(AGGREGATE(15,6,(ROW(Zeiterfassung!$D$6:$D$3665)-ROW(Zeiterfassung!$D$6)+1)/(Zeiterfassung!$D$6:$D$3665&lt;&gt;""),186),"")</f>
        <v/>
      </c>
    </row>
    <row r="192" ht="20" customHeight="1">
      <c r="A192" s="183">
        <f>IF($K192="","",WEEKNUM(INDEX(Zeiterfassung!$K$6:$K$3665,$K192),21))</f>
        <v/>
      </c>
      <c r="B192" s="184">
        <f>IF($K192="","",INDEX(Zeiterfassung!$K$6:$K$3665,$K192))</f>
        <v/>
      </c>
      <c r="C192" s="185">
        <f>IF($K192="","",INDEX(Zeiterfassung!$K$6:$K$3665,$K192))</f>
        <v/>
      </c>
      <c r="D192" s="186">
        <f>IF($K192="","",INDEX(Zeiterfassung!$D$6:$D$3665,$K192))</f>
        <v/>
      </c>
      <c r="E192" s="186">
        <f>IF($K192="","",INDEX(Zeiterfassung!$E$6:$E$3665,$K192))</f>
        <v/>
      </c>
      <c r="F192" s="187">
        <f>IF($K192="","",INDEX(Zeiterfassung!$F$6:$F$3665,$K192))</f>
        <v/>
      </c>
      <c r="G192" s="187">
        <f>IF($K192="","",INDEX(Zeiterfassung!$G$6:$G$3665,$K192))</f>
        <v/>
      </c>
      <c r="H192" s="188">
        <f>IF($K192="","",INDEX(Zeiterfassung!$H$6:$H$3665,$K192))</f>
        <v/>
      </c>
      <c r="I192" s="335">
        <f>IF(B192=B191,"",IF($K192="","",INDEX(Zeiterfassung!$I$6:$I$3665,MATCH(INDEX(Zeiterfassung!$K$6:$K$3665,$K192),Zeiterfassung!$K$6:$K$3665,0))))</f>
        <v/>
      </c>
      <c r="J192" s="335">
        <f>IF(B192=B191,"",IF($K192="","",INDEX(Zeiterfassung!$J$6:$J$3665,MATCH(INDEX(Zeiterfassung!$K$6:$K$3665,$K192),Zeiterfassung!$K$6:$K$3665,0))))</f>
        <v/>
      </c>
      <c r="K192">
        <f>IFERROR(AGGREGATE(15,6,(ROW(Zeiterfassung!$D$6:$D$3665)-ROW(Zeiterfassung!$D$6)+1)/(Zeiterfassung!$D$6:$D$3665&lt;&gt;""),187),"")</f>
        <v/>
      </c>
    </row>
    <row r="193" ht="20" customHeight="1">
      <c r="A193" s="183">
        <f>IF($K193="","",WEEKNUM(INDEX(Zeiterfassung!$K$6:$K$3665,$K193),21))</f>
        <v/>
      </c>
      <c r="B193" s="184">
        <f>IF($K193="","",INDEX(Zeiterfassung!$K$6:$K$3665,$K193))</f>
        <v/>
      </c>
      <c r="C193" s="185">
        <f>IF($K193="","",INDEX(Zeiterfassung!$K$6:$K$3665,$K193))</f>
        <v/>
      </c>
      <c r="D193" s="186">
        <f>IF($K193="","",INDEX(Zeiterfassung!$D$6:$D$3665,$K193))</f>
        <v/>
      </c>
      <c r="E193" s="186">
        <f>IF($K193="","",INDEX(Zeiterfassung!$E$6:$E$3665,$K193))</f>
        <v/>
      </c>
      <c r="F193" s="187">
        <f>IF($K193="","",INDEX(Zeiterfassung!$F$6:$F$3665,$K193))</f>
        <v/>
      </c>
      <c r="G193" s="187">
        <f>IF($K193="","",INDEX(Zeiterfassung!$G$6:$G$3665,$K193))</f>
        <v/>
      </c>
      <c r="H193" s="188">
        <f>IF($K193="","",INDEX(Zeiterfassung!$H$6:$H$3665,$K193))</f>
        <v/>
      </c>
      <c r="I193" s="335">
        <f>IF(B193=B192,"",IF($K193="","",INDEX(Zeiterfassung!$I$6:$I$3665,MATCH(INDEX(Zeiterfassung!$K$6:$K$3665,$K193),Zeiterfassung!$K$6:$K$3665,0))))</f>
        <v/>
      </c>
      <c r="J193" s="335">
        <f>IF(B193=B192,"",IF($K193="","",INDEX(Zeiterfassung!$J$6:$J$3665,MATCH(INDEX(Zeiterfassung!$K$6:$K$3665,$K193),Zeiterfassung!$K$6:$K$3665,0))))</f>
        <v/>
      </c>
      <c r="K193">
        <f>IFERROR(AGGREGATE(15,6,(ROW(Zeiterfassung!$D$6:$D$3665)-ROW(Zeiterfassung!$D$6)+1)/(Zeiterfassung!$D$6:$D$3665&lt;&gt;""),188),"")</f>
        <v/>
      </c>
    </row>
    <row r="194" ht="20" customHeight="1">
      <c r="A194" s="183">
        <f>IF($K194="","",WEEKNUM(INDEX(Zeiterfassung!$K$6:$K$3665,$K194),21))</f>
        <v/>
      </c>
      <c r="B194" s="184">
        <f>IF($K194="","",INDEX(Zeiterfassung!$K$6:$K$3665,$K194))</f>
        <v/>
      </c>
      <c r="C194" s="185">
        <f>IF($K194="","",INDEX(Zeiterfassung!$K$6:$K$3665,$K194))</f>
        <v/>
      </c>
      <c r="D194" s="186">
        <f>IF($K194="","",INDEX(Zeiterfassung!$D$6:$D$3665,$K194))</f>
        <v/>
      </c>
      <c r="E194" s="186">
        <f>IF($K194="","",INDEX(Zeiterfassung!$E$6:$E$3665,$K194))</f>
        <v/>
      </c>
      <c r="F194" s="187">
        <f>IF($K194="","",INDEX(Zeiterfassung!$F$6:$F$3665,$K194))</f>
        <v/>
      </c>
      <c r="G194" s="187">
        <f>IF($K194="","",INDEX(Zeiterfassung!$G$6:$G$3665,$K194))</f>
        <v/>
      </c>
      <c r="H194" s="188">
        <f>IF($K194="","",INDEX(Zeiterfassung!$H$6:$H$3665,$K194))</f>
        <v/>
      </c>
      <c r="I194" s="335">
        <f>IF(B194=B193,"",IF($K194="","",INDEX(Zeiterfassung!$I$6:$I$3665,MATCH(INDEX(Zeiterfassung!$K$6:$K$3665,$K194),Zeiterfassung!$K$6:$K$3665,0))))</f>
        <v/>
      </c>
      <c r="J194" s="335">
        <f>IF(B194=B193,"",IF($K194="","",INDEX(Zeiterfassung!$J$6:$J$3665,MATCH(INDEX(Zeiterfassung!$K$6:$K$3665,$K194),Zeiterfassung!$K$6:$K$3665,0))))</f>
        <v/>
      </c>
      <c r="K194">
        <f>IFERROR(AGGREGATE(15,6,(ROW(Zeiterfassung!$D$6:$D$3665)-ROW(Zeiterfassung!$D$6)+1)/(Zeiterfassung!$D$6:$D$3665&lt;&gt;""),189),"")</f>
        <v/>
      </c>
    </row>
    <row r="195" ht="20" customHeight="1">
      <c r="A195" s="183">
        <f>IF($K195="","",WEEKNUM(INDEX(Zeiterfassung!$K$6:$K$3665,$K195),21))</f>
        <v/>
      </c>
      <c r="B195" s="184">
        <f>IF($K195="","",INDEX(Zeiterfassung!$K$6:$K$3665,$K195))</f>
        <v/>
      </c>
      <c r="C195" s="185">
        <f>IF($K195="","",INDEX(Zeiterfassung!$K$6:$K$3665,$K195))</f>
        <v/>
      </c>
      <c r="D195" s="186">
        <f>IF($K195="","",INDEX(Zeiterfassung!$D$6:$D$3665,$K195))</f>
        <v/>
      </c>
      <c r="E195" s="186">
        <f>IF($K195="","",INDEX(Zeiterfassung!$E$6:$E$3665,$K195))</f>
        <v/>
      </c>
      <c r="F195" s="187">
        <f>IF($K195="","",INDEX(Zeiterfassung!$F$6:$F$3665,$K195))</f>
        <v/>
      </c>
      <c r="G195" s="187">
        <f>IF($K195="","",INDEX(Zeiterfassung!$G$6:$G$3665,$K195))</f>
        <v/>
      </c>
      <c r="H195" s="188">
        <f>IF($K195="","",INDEX(Zeiterfassung!$H$6:$H$3665,$K195))</f>
        <v/>
      </c>
      <c r="I195" s="335">
        <f>IF(B195=B194,"",IF($K195="","",INDEX(Zeiterfassung!$I$6:$I$3665,MATCH(INDEX(Zeiterfassung!$K$6:$K$3665,$K195),Zeiterfassung!$K$6:$K$3665,0))))</f>
        <v/>
      </c>
      <c r="J195" s="335">
        <f>IF(B195=B194,"",IF($K195="","",INDEX(Zeiterfassung!$J$6:$J$3665,MATCH(INDEX(Zeiterfassung!$K$6:$K$3665,$K195),Zeiterfassung!$K$6:$K$3665,0))))</f>
        <v/>
      </c>
      <c r="K195">
        <f>IFERROR(AGGREGATE(15,6,(ROW(Zeiterfassung!$D$6:$D$3665)-ROW(Zeiterfassung!$D$6)+1)/(Zeiterfassung!$D$6:$D$3665&lt;&gt;""),190),"")</f>
        <v/>
      </c>
    </row>
    <row r="196" ht="20" customHeight="1">
      <c r="A196" s="183">
        <f>IF($K196="","",WEEKNUM(INDEX(Zeiterfassung!$K$6:$K$3665,$K196),21))</f>
        <v/>
      </c>
      <c r="B196" s="184">
        <f>IF($K196="","",INDEX(Zeiterfassung!$K$6:$K$3665,$K196))</f>
        <v/>
      </c>
      <c r="C196" s="185">
        <f>IF($K196="","",INDEX(Zeiterfassung!$K$6:$K$3665,$K196))</f>
        <v/>
      </c>
      <c r="D196" s="186">
        <f>IF($K196="","",INDEX(Zeiterfassung!$D$6:$D$3665,$K196))</f>
        <v/>
      </c>
      <c r="E196" s="186">
        <f>IF($K196="","",INDEX(Zeiterfassung!$E$6:$E$3665,$K196))</f>
        <v/>
      </c>
      <c r="F196" s="187">
        <f>IF($K196="","",INDEX(Zeiterfassung!$F$6:$F$3665,$K196))</f>
        <v/>
      </c>
      <c r="G196" s="187">
        <f>IF($K196="","",INDEX(Zeiterfassung!$G$6:$G$3665,$K196))</f>
        <v/>
      </c>
      <c r="H196" s="188">
        <f>IF($K196="","",INDEX(Zeiterfassung!$H$6:$H$3665,$K196))</f>
        <v/>
      </c>
      <c r="I196" s="335">
        <f>IF(B196=B195,"",IF($K196="","",INDEX(Zeiterfassung!$I$6:$I$3665,MATCH(INDEX(Zeiterfassung!$K$6:$K$3665,$K196),Zeiterfassung!$K$6:$K$3665,0))))</f>
        <v/>
      </c>
      <c r="J196" s="335">
        <f>IF(B196=B195,"",IF($K196="","",INDEX(Zeiterfassung!$J$6:$J$3665,MATCH(INDEX(Zeiterfassung!$K$6:$K$3665,$K196),Zeiterfassung!$K$6:$K$3665,0))))</f>
        <v/>
      </c>
      <c r="K196">
        <f>IFERROR(AGGREGATE(15,6,(ROW(Zeiterfassung!$D$6:$D$3665)-ROW(Zeiterfassung!$D$6)+1)/(Zeiterfassung!$D$6:$D$3665&lt;&gt;""),191),"")</f>
        <v/>
      </c>
    </row>
    <row r="197" ht="20" customHeight="1">
      <c r="A197" s="183">
        <f>IF($K197="","",WEEKNUM(INDEX(Zeiterfassung!$K$6:$K$3665,$K197),21))</f>
        <v/>
      </c>
      <c r="B197" s="184">
        <f>IF($K197="","",INDEX(Zeiterfassung!$K$6:$K$3665,$K197))</f>
        <v/>
      </c>
      <c r="C197" s="185">
        <f>IF($K197="","",INDEX(Zeiterfassung!$K$6:$K$3665,$K197))</f>
        <v/>
      </c>
      <c r="D197" s="186">
        <f>IF($K197="","",INDEX(Zeiterfassung!$D$6:$D$3665,$K197))</f>
        <v/>
      </c>
      <c r="E197" s="186">
        <f>IF($K197="","",INDEX(Zeiterfassung!$E$6:$E$3665,$K197))</f>
        <v/>
      </c>
      <c r="F197" s="187">
        <f>IF($K197="","",INDEX(Zeiterfassung!$F$6:$F$3665,$K197))</f>
        <v/>
      </c>
      <c r="G197" s="187">
        <f>IF($K197="","",INDEX(Zeiterfassung!$G$6:$G$3665,$K197))</f>
        <v/>
      </c>
      <c r="H197" s="188">
        <f>IF($K197="","",INDEX(Zeiterfassung!$H$6:$H$3665,$K197))</f>
        <v/>
      </c>
      <c r="I197" s="335">
        <f>IF(B197=B196,"",IF($K197="","",INDEX(Zeiterfassung!$I$6:$I$3665,MATCH(INDEX(Zeiterfassung!$K$6:$K$3665,$K197),Zeiterfassung!$K$6:$K$3665,0))))</f>
        <v/>
      </c>
      <c r="J197" s="335">
        <f>IF(B197=B196,"",IF($K197="","",INDEX(Zeiterfassung!$J$6:$J$3665,MATCH(INDEX(Zeiterfassung!$K$6:$K$3665,$K197),Zeiterfassung!$K$6:$K$3665,0))))</f>
        <v/>
      </c>
      <c r="K197">
        <f>IFERROR(AGGREGATE(15,6,(ROW(Zeiterfassung!$D$6:$D$3665)-ROW(Zeiterfassung!$D$6)+1)/(Zeiterfassung!$D$6:$D$3665&lt;&gt;""),192),"")</f>
        <v/>
      </c>
    </row>
    <row r="198" ht="20" customHeight="1">
      <c r="A198" s="183">
        <f>IF($K198="","",WEEKNUM(INDEX(Zeiterfassung!$K$6:$K$3665,$K198),21))</f>
        <v/>
      </c>
      <c r="B198" s="184">
        <f>IF($K198="","",INDEX(Zeiterfassung!$K$6:$K$3665,$K198))</f>
        <v/>
      </c>
      <c r="C198" s="185">
        <f>IF($K198="","",INDEX(Zeiterfassung!$K$6:$K$3665,$K198))</f>
        <v/>
      </c>
      <c r="D198" s="186">
        <f>IF($K198="","",INDEX(Zeiterfassung!$D$6:$D$3665,$K198))</f>
        <v/>
      </c>
      <c r="E198" s="186">
        <f>IF($K198="","",INDEX(Zeiterfassung!$E$6:$E$3665,$K198))</f>
        <v/>
      </c>
      <c r="F198" s="187">
        <f>IF($K198="","",INDEX(Zeiterfassung!$F$6:$F$3665,$K198))</f>
        <v/>
      </c>
      <c r="G198" s="187">
        <f>IF($K198="","",INDEX(Zeiterfassung!$G$6:$G$3665,$K198))</f>
        <v/>
      </c>
      <c r="H198" s="188">
        <f>IF($K198="","",INDEX(Zeiterfassung!$H$6:$H$3665,$K198))</f>
        <v/>
      </c>
      <c r="I198" s="335">
        <f>IF(B198=B197,"",IF($K198="","",INDEX(Zeiterfassung!$I$6:$I$3665,MATCH(INDEX(Zeiterfassung!$K$6:$K$3665,$K198),Zeiterfassung!$K$6:$K$3665,0))))</f>
        <v/>
      </c>
      <c r="J198" s="335">
        <f>IF(B198=B197,"",IF($K198="","",INDEX(Zeiterfassung!$J$6:$J$3665,MATCH(INDEX(Zeiterfassung!$K$6:$K$3665,$K198),Zeiterfassung!$K$6:$K$3665,0))))</f>
        <v/>
      </c>
      <c r="K198">
        <f>IFERROR(AGGREGATE(15,6,(ROW(Zeiterfassung!$D$6:$D$3665)-ROW(Zeiterfassung!$D$6)+1)/(Zeiterfassung!$D$6:$D$3665&lt;&gt;""),193),"")</f>
        <v/>
      </c>
    </row>
    <row r="199" ht="20" customHeight="1">
      <c r="A199" s="183">
        <f>IF($K199="","",WEEKNUM(INDEX(Zeiterfassung!$K$6:$K$3665,$K199),21))</f>
        <v/>
      </c>
      <c r="B199" s="184">
        <f>IF($K199="","",INDEX(Zeiterfassung!$K$6:$K$3665,$K199))</f>
        <v/>
      </c>
      <c r="C199" s="185">
        <f>IF($K199="","",INDEX(Zeiterfassung!$K$6:$K$3665,$K199))</f>
        <v/>
      </c>
      <c r="D199" s="186">
        <f>IF($K199="","",INDEX(Zeiterfassung!$D$6:$D$3665,$K199))</f>
        <v/>
      </c>
      <c r="E199" s="186">
        <f>IF($K199="","",INDEX(Zeiterfassung!$E$6:$E$3665,$K199))</f>
        <v/>
      </c>
      <c r="F199" s="187">
        <f>IF($K199="","",INDEX(Zeiterfassung!$F$6:$F$3665,$K199))</f>
        <v/>
      </c>
      <c r="G199" s="187">
        <f>IF($K199="","",INDEX(Zeiterfassung!$G$6:$G$3665,$K199))</f>
        <v/>
      </c>
      <c r="H199" s="188">
        <f>IF($K199="","",INDEX(Zeiterfassung!$H$6:$H$3665,$K199))</f>
        <v/>
      </c>
      <c r="I199" s="335">
        <f>IF(B199=B198,"",IF($K199="","",INDEX(Zeiterfassung!$I$6:$I$3665,MATCH(INDEX(Zeiterfassung!$K$6:$K$3665,$K199),Zeiterfassung!$K$6:$K$3665,0))))</f>
        <v/>
      </c>
      <c r="J199" s="335">
        <f>IF(B199=B198,"",IF($K199="","",INDEX(Zeiterfassung!$J$6:$J$3665,MATCH(INDEX(Zeiterfassung!$K$6:$K$3665,$K199),Zeiterfassung!$K$6:$K$3665,0))))</f>
        <v/>
      </c>
      <c r="K199">
        <f>IFERROR(AGGREGATE(15,6,(ROW(Zeiterfassung!$D$6:$D$3665)-ROW(Zeiterfassung!$D$6)+1)/(Zeiterfassung!$D$6:$D$3665&lt;&gt;""),194),"")</f>
        <v/>
      </c>
    </row>
    <row r="200" ht="20" customHeight="1">
      <c r="A200" s="183">
        <f>IF($K200="","",WEEKNUM(INDEX(Zeiterfassung!$K$6:$K$3665,$K200),21))</f>
        <v/>
      </c>
      <c r="B200" s="184">
        <f>IF($K200="","",INDEX(Zeiterfassung!$K$6:$K$3665,$K200))</f>
        <v/>
      </c>
      <c r="C200" s="185">
        <f>IF($K200="","",INDEX(Zeiterfassung!$K$6:$K$3665,$K200))</f>
        <v/>
      </c>
      <c r="D200" s="186">
        <f>IF($K200="","",INDEX(Zeiterfassung!$D$6:$D$3665,$K200))</f>
        <v/>
      </c>
      <c r="E200" s="186">
        <f>IF($K200="","",INDEX(Zeiterfassung!$E$6:$E$3665,$K200))</f>
        <v/>
      </c>
      <c r="F200" s="187">
        <f>IF($K200="","",INDEX(Zeiterfassung!$F$6:$F$3665,$K200))</f>
        <v/>
      </c>
      <c r="G200" s="187">
        <f>IF($K200="","",INDEX(Zeiterfassung!$G$6:$G$3665,$K200))</f>
        <v/>
      </c>
      <c r="H200" s="188">
        <f>IF($K200="","",INDEX(Zeiterfassung!$H$6:$H$3665,$K200))</f>
        <v/>
      </c>
      <c r="I200" s="335">
        <f>IF(B200=B199,"",IF($K200="","",INDEX(Zeiterfassung!$I$6:$I$3665,MATCH(INDEX(Zeiterfassung!$K$6:$K$3665,$K200),Zeiterfassung!$K$6:$K$3665,0))))</f>
        <v/>
      </c>
      <c r="J200" s="335">
        <f>IF(B200=B199,"",IF($K200="","",INDEX(Zeiterfassung!$J$6:$J$3665,MATCH(INDEX(Zeiterfassung!$K$6:$K$3665,$K200),Zeiterfassung!$K$6:$K$3665,0))))</f>
        <v/>
      </c>
      <c r="K200">
        <f>IFERROR(AGGREGATE(15,6,(ROW(Zeiterfassung!$D$6:$D$3665)-ROW(Zeiterfassung!$D$6)+1)/(Zeiterfassung!$D$6:$D$3665&lt;&gt;""),195),"")</f>
        <v/>
      </c>
    </row>
    <row r="201" ht="20" customHeight="1">
      <c r="A201" s="183">
        <f>IF($K201="","",WEEKNUM(INDEX(Zeiterfassung!$K$6:$K$3665,$K201),21))</f>
        <v/>
      </c>
      <c r="B201" s="184">
        <f>IF($K201="","",INDEX(Zeiterfassung!$K$6:$K$3665,$K201))</f>
        <v/>
      </c>
      <c r="C201" s="185">
        <f>IF($K201="","",INDEX(Zeiterfassung!$K$6:$K$3665,$K201))</f>
        <v/>
      </c>
      <c r="D201" s="186">
        <f>IF($K201="","",INDEX(Zeiterfassung!$D$6:$D$3665,$K201))</f>
        <v/>
      </c>
      <c r="E201" s="186">
        <f>IF($K201="","",INDEX(Zeiterfassung!$E$6:$E$3665,$K201))</f>
        <v/>
      </c>
      <c r="F201" s="187">
        <f>IF($K201="","",INDEX(Zeiterfassung!$F$6:$F$3665,$K201))</f>
        <v/>
      </c>
      <c r="G201" s="187">
        <f>IF($K201="","",INDEX(Zeiterfassung!$G$6:$G$3665,$K201))</f>
        <v/>
      </c>
      <c r="H201" s="188">
        <f>IF($K201="","",INDEX(Zeiterfassung!$H$6:$H$3665,$K201))</f>
        <v/>
      </c>
      <c r="I201" s="335">
        <f>IF(B201=B200,"",IF($K201="","",INDEX(Zeiterfassung!$I$6:$I$3665,MATCH(INDEX(Zeiterfassung!$K$6:$K$3665,$K201),Zeiterfassung!$K$6:$K$3665,0))))</f>
        <v/>
      </c>
      <c r="J201" s="335">
        <f>IF(B201=B200,"",IF($K201="","",INDEX(Zeiterfassung!$J$6:$J$3665,MATCH(INDEX(Zeiterfassung!$K$6:$K$3665,$K201),Zeiterfassung!$K$6:$K$3665,0))))</f>
        <v/>
      </c>
      <c r="K201">
        <f>IFERROR(AGGREGATE(15,6,(ROW(Zeiterfassung!$D$6:$D$3665)-ROW(Zeiterfassung!$D$6)+1)/(Zeiterfassung!$D$6:$D$3665&lt;&gt;""),196),"")</f>
        <v/>
      </c>
    </row>
    <row r="202" ht="20" customHeight="1">
      <c r="A202" s="183">
        <f>IF($K202="","",WEEKNUM(INDEX(Zeiterfassung!$K$6:$K$3665,$K202),21))</f>
        <v/>
      </c>
      <c r="B202" s="184">
        <f>IF($K202="","",INDEX(Zeiterfassung!$K$6:$K$3665,$K202))</f>
        <v/>
      </c>
      <c r="C202" s="185">
        <f>IF($K202="","",INDEX(Zeiterfassung!$K$6:$K$3665,$K202))</f>
        <v/>
      </c>
      <c r="D202" s="186">
        <f>IF($K202="","",INDEX(Zeiterfassung!$D$6:$D$3665,$K202))</f>
        <v/>
      </c>
      <c r="E202" s="186">
        <f>IF($K202="","",INDEX(Zeiterfassung!$E$6:$E$3665,$K202))</f>
        <v/>
      </c>
      <c r="F202" s="187">
        <f>IF($K202="","",INDEX(Zeiterfassung!$F$6:$F$3665,$K202))</f>
        <v/>
      </c>
      <c r="G202" s="187">
        <f>IF($K202="","",INDEX(Zeiterfassung!$G$6:$G$3665,$K202))</f>
        <v/>
      </c>
      <c r="H202" s="188">
        <f>IF($K202="","",INDEX(Zeiterfassung!$H$6:$H$3665,$K202))</f>
        <v/>
      </c>
      <c r="I202" s="335">
        <f>IF(B202=B201,"",IF($K202="","",INDEX(Zeiterfassung!$I$6:$I$3665,MATCH(INDEX(Zeiterfassung!$K$6:$K$3665,$K202),Zeiterfassung!$K$6:$K$3665,0))))</f>
        <v/>
      </c>
      <c r="J202" s="335">
        <f>IF(B202=B201,"",IF($K202="","",INDEX(Zeiterfassung!$J$6:$J$3665,MATCH(INDEX(Zeiterfassung!$K$6:$K$3665,$K202),Zeiterfassung!$K$6:$K$3665,0))))</f>
        <v/>
      </c>
      <c r="K202">
        <f>IFERROR(AGGREGATE(15,6,(ROW(Zeiterfassung!$D$6:$D$3665)-ROW(Zeiterfassung!$D$6)+1)/(Zeiterfassung!$D$6:$D$3665&lt;&gt;""),197),"")</f>
        <v/>
      </c>
    </row>
    <row r="203" ht="20" customHeight="1">
      <c r="A203" s="183">
        <f>IF($K203="","",WEEKNUM(INDEX(Zeiterfassung!$K$6:$K$3665,$K203),21))</f>
        <v/>
      </c>
      <c r="B203" s="184">
        <f>IF($K203="","",INDEX(Zeiterfassung!$K$6:$K$3665,$K203))</f>
        <v/>
      </c>
      <c r="C203" s="185">
        <f>IF($K203="","",INDEX(Zeiterfassung!$K$6:$K$3665,$K203))</f>
        <v/>
      </c>
      <c r="D203" s="186">
        <f>IF($K203="","",INDEX(Zeiterfassung!$D$6:$D$3665,$K203))</f>
        <v/>
      </c>
      <c r="E203" s="186">
        <f>IF($K203="","",INDEX(Zeiterfassung!$E$6:$E$3665,$K203))</f>
        <v/>
      </c>
      <c r="F203" s="187">
        <f>IF($K203="","",INDEX(Zeiterfassung!$F$6:$F$3665,$K203))</f>
        <v/>
      </c>
      <c r="G203" s="187">
        <f>IF($K203="","",INDEX(Zeiterfassung!$G$6:$G$3665,$K203))</f>
        <v/>
      </c>
      <c r="H203" s="188">
        <f>IF($K203="","",INDEX(Zeiterfassung!$H$6:$H$3665,$K203))</f>
        <v/>
      </c>
      <c r="I203" s="335">
        <f>IF(B203=B202,"",IF($K203="","",INDEX(Zeiterfassung!$I$6:$I$3665,MATCH(INDEX(Zeiterfassung!$K$6:$K$3665,$K203),Zeiterfassung!$K$6:$K$3665,0))))</f>
        <v/>
      </c>
      <c r="J203" s="335">
        <f>IF(B203=B202,"",IF($K203="","",INDEX(Zeiterfassung!$J$6:$J$3665,MATCH(INDEX(Zeiterfassung!$K$6:$K$3665,$K203),Zeiterfassung!$K$6:$K$3665,0))))</f>
        <v/>
      </c>
      <c r="K203">
        <f>IFERROR(AGGREGATE(15,6,(ROW(Zeiterfassung!$D$6:$D$3665)-ROW(Zeiterfassung!$D$6)+1)/(Zeiterfassung!$D$6:$D$3665&lt;&gt;""),198),"")</f>
        <v/>
      </c>
    </row>
    <row r="204" ht="20" customHeight="1">
      <c r="A204" s="183">
        <f>IF($K204="","",WEEKNUM(INDEX(Zeiterfassung!$K$6:$K$3665,$K204),21))</f>
        <v/>
      </c>
      <c r="B204" s="184">
        <f>IF($K204="","",INDEX(Zeiterfassung!$K$6:$K$3665,$K204))</f>
        <v/>
      </c>
      <c r="C204" s="185">
        <f>IF($K204="","",INDEX(Zeiterfassung!$K$6:$K$3665,$K204))</f>
        <v/>
      </c>
      <c r="D204" s="186">
        <f>IF($K204="","",INDEX(Zeiterfassung!$D$6:$D$3665,$K204))</f>
        <v/>
      </c>
      <c r="E204" s="186">
        <f>IF($K204="","",INDEX(Zeiterfassung!$E$6:$E$3665,$K204))</f>
        <v/>
      </c>
      <c r="F204" s="187">
        <f>IF($K204="","",INDEX(Zeiterfassung!$F$6:$F$3665,$K204))</f>
        <v/>
      </c>
      <c r="G204" s="187">
        <f>IF($K204="","",INDEX(Zeiterfassung!$G$6:$G$3665,$K204))</f>
        <v/>
      </c>
      <c r="H204" s="188">
        <f>IF($K204="","",INDEX(Zeiterfassung!$H$6:$H$3665,$K204))</f>
        <v/>
      </c>
      <c r="I204" s="335">
        <f>IF(B204=B203,"",IF($K204="","",INDEX(Zeiterfassung!$I$6:$I$3665,MATCH(INDEX(Zeiterfassung!$K$6:$K$3665,$K204),Zeiterfassung!$K$6:$K$3665,0))))</f>
        <v/>
      </c>
      <c r="J204" s="335">
        <f>IF(B204=B203,"",IF($K204="","",INDEX(Zeiterfassung!$J$6:$J$3665,MATCH(INDEX(Zeiterfassung!$K$6:$K$3665,$K204),Zeiterfassung!$K$6:$K$3665,0))))</f>
        <v/>
      </c>
      <c r="K204">
        <f>IFERROR(AGGREGATE(15,6,(ROW(Zeiterfassung!$D$6:$D$3665)-ROW(Zeiterfassung!$D$6)+1)/(Zeiterfassung!$D$6:$D$3665&lt;&gt;""),199),"")</f>
        <v/>
      </c>
    </row>
    <row r="205" ht="20" customHeight="1">
      <c r="A205" s="183">
        <f>IF($K205="","",WEEKNUM(INDEX(Zeiterfassung!$K$6:$K$3665,$K205),21))</f>
        <v/>
      </c>
      <c r="B205" s="184">
        <f>IF($K205="","",INDEX(Zeiterfassung!$K$6:$K$3665,$K205))</f>
        <v/>
      </c>
      <c r="C205" s="185">
        <f>IF($K205="","",INDEX(Zeiterfassung!$K$6:$K$3665,$K205))</f>
        <v/>
      </c>
      <c r="D205" s="186">
        <f>IF($K205="","",INDEX(Zeiterfassung!$D$6:$D$3665,$K205))</f>
        <v/>
      </c>
      <c r="E205" s="186">
        <f>IF($K205="","",INDEX(Zeiterfassung!$E$6:$E$3665,$K205))</f>
        <v/>
      </c>
      <c r="F205" s="187">
        <f>IF($K205="","",INDEX(Zeiterfassung!$F$6:$F$3665,$K205))</f>
        <v/>
      </c>
      <c r="G205" s="187">
        <f>IF($K205="","",INDEX(Zeiterfassung!$G$6:$G$3665,$K205))</f>
        <v/>
      </c>
      <c r="H205" s="188">
        <f>IF($K205="","",INDEX(Zeiterfassung!$H$6:$H$3665,$K205))</f>
        <v/>
      </c>
      <c r="I205" s="335">
        <f>IF(B205=B204,"",IF($K205="","",INDEX(Zeiterfassung!$I$6:$I$3665,MATCH(INDEX(Zeiterfassung!$K$6:$K$3665,$K205),Zeiterfassung!$K$6:$K$3665,0))))</f>
        <v/>
      </c>
      <c r="J205" s="335">
        <f>IF(B205=B204,"",IF($K205="","",INDEX(Zeiterfassung!$J$6:$J$3665,MATCH(INDEX(Zeiterfassung!$K$6:$K$3665,$K205),Zeiterfassung!$K$6:$K$3665,0))))</f>
        <v/>
      </c>
      <c r="K205">
        <f>IFERROR(AGGREGATE(15,6,(ROW(Zeiterfassung!$D$6:$D$3665)-ROW(Zeiterfassung!$D$6)+1)/(Zeiterfassung!$D$6:$D$3665&lt;&gt;""),200),"")</f>
        <v/>
      </c>
    </row>
    <row r="206" ht="20" customHeight="1">
      <c r="A206" s="183">
        <f>IF($K206="","",WEEKNUM(INDEX(Zeiterfassung!$K$6:$K$3665,$K206),21))</f>
        <v/>
      </c>
      <c r="B206" s="184">
        <f>IF($K206="","",INDEX(Zeiterfassung!$K$6:$K$3665,$K206))</f>
        <v/>
      </c>
      <c r="C206" s="185">
        <f>IF($K206="","",INDEX(Zeiterfassung!$K$6:$K$3665,$K206))</f>
        <v/>
      </c>
      <c r="D206" s="186">
        <f>IF($K206="","",INDEX(Zeiterfassung!$D$6:$D$3665,$K206))</f>
        <v/>
      </c>
      <c r="E206" s="186">
        <f>IF($K206="","",INDEX(Zeiterfassung!$E$6:$E$3665,$K206))</f>
        <v/>
      </c>
      <c r="F206" s="187">
        <f>IF($K206="","",INDEX(Zeiterfassung!$F$6:$F$3665,$K206))</f>
        <v/>
      </c>
      <c r="G206" s="187">
        <f>IF($K206="","",INDEX(Zeiterfassung!$G$6:$G$3665,$K206))</f>
        <v/>
      </c>
      <c r="H206" s="188">
        <f>IF($K206="","",INDEX(Zeiterfassung!$H$6:$H$3665,$K206))</f>
        <v/>
      </c>
      <c r="I206" s="335">
        <f>IF(B206=B205,"",IF($K206="","",INDEX(Zeiterfassung!$I$6:$I$3665,MATCH(INDEX(Zeiterfassung!$K$6:$K$3665,$K206),Zeiterfassung!$K$6:$K$3665,0))))</f>
        <v/>
      </c>
      <c r="J206" s="335">
        <f>IF(B206=B205,"",IF($K206="","",INDEX(Zeiterfassung!$J$6:$J$3665,MATCH(INDEX(Zeiterfassung!$K$6:$K$3665,$K206),Zeiterfassung!$K$6:$K$3665,0))))</f>
        <v/>
      </c>
      <c r="K206">
        <f>IFERROR(AGGREGATE(15,6,(ROW(Zeiterfassung!$D$6:$D$3665)-ROW(Zeiterfassung!$D$6)+1)/(Zeiterfassung!$D$6:$D$3665&lt;&gt;""),201),"")</f>
        <v/>
      </c>
    </row>
    <row r="207" ht="20" customHeight="1">
      <c r="A207" s="183">
        <f>IF($K207="","",WEEKNUM(INDEX(Zeiterfassung!$K$6:$K$3665,$K207),21))</f>
        <v/>
      </c>
      <c r="B207" s="184">
        <f>IF($K207="","",INDEX(Zeiterfassung!$K$6:$K$3665,$K207))</f>
        <v/>
      </c>
      <c r="C207" s="185">
        <f>IF($K207="","",INDEX(Zeiterfassung!$K$6:$K$3665,$K207))</f>
        <v/>
      </c>
      <c r="D207" s="186">
        <f>IF($K207="","",INDEX(Zeiterfassung!$D$6:$D$3665,$K207))</f>
        <v/>
      </c>
      <c r="E207" s="186">
        <f>IF($K207="","",INDEX(Zeiterfassung!$E$6:$E$3665,$K207))</f>
        <v/>
      </c>
      <c r="F207" s="187">
        <f>IF($K207="","",INDEX(Zeiterfassung!$F$6:$F$3665,$K207))</f>
        <v/>
      </c>
      <c r="G207" s="187">
        <f>IF($K207="","",INDEX(Zeiterfassung!$G$6:$G$3665,$K207))</f>
        <v/>
      </c>
      <c r="H207" s="188">
        <f>IF($K207="","",INDEX(Zeiterfassung!$H$6:$H$3665,$K207))</f>
        <v/>
      </c>
      <c r="I207" s="335">
        <f>IF(B207=B206,"",IF($K207="","",INDEX(Zeiterfassung!$I$6:$I$3665,MATCH(INDEX(Zeiterfassung!$K$6:$K$3665,$K207),Zeiterfassung!$K$6:$K$3665,0))))</f>
        <v/>
      </c>
      <c r="J207" s="335">
        <f>IF(B207=B206,"",IF($K207="","",INDEX(Zeiterfassung!$J$6:$J$3665,MATCH(INDEX(Zeiterfassung!$K$6:$K$3665,$K207),Zeiterfassung!$K$6:$K$3665,0))))</f>
        <v/>
      </c>
      <c r="K207">
        <f>IFERROR(AGGREGATE(15,6,(ROW(Zeiterfassung!$D$6:$D$3665)-ROW(Zeiterfassung!$D$6)+1)/(Zeiterfassung!$D$6:$D$3665&lt;&gt;""),202),"")</f>
        <v/>
      </c>
    </row>
    <row r="208" ht="20" customHeight="1">
      <c r="A208" s="183">
        <f>IF($K208="","",WEEKNUM(INDEX(Zeiterfassung!$K$6:$K$3665,$K208),21))</f>
        <v/>
      </c>
      <c r="B208" s="184">
        <f>IF($K208="","",INDEX(Zeiterfassung!$K$6:$K$3665,$K208))</f>
        <v/>
      </c>
      <c r="C208" s="185">
        <f>IF($K208="","",INDEX(Zeiterfassung!$K$6:$K$3665,$K208))</f>
        <v/>
      </c>
      <c r="D208" s="186">
        <f>IF($K208="","",INDEX(Zeiterfassung!$D$6:$D$3665,$K208))</f>
        <v/>
      </c>
      <c r="E208" s="186">
        <f>IF($K208="","",INDEX(Zeiterfassung!$E$6:$E$3665,$K208))</f>
        <v/>
      </c>
      <c r="F208" s="187">
        <f>IF($K208="","",INDEX(Zeiterfassung!$F$6:$F$3665,$K208))</f>
        <v/>
      </c>
      <c r="G208" s="187">
        <f>IF($K208="","",INDEX(Zeiterfassung!$G$6:$G$3665,$K208))</f>
        <v/>
      </c>
      <c r="H208" s="188">
        <f>IF($K208="","",INDEX(Zeiterfassung!$H$6:$H$3665,$K208))</f>
        <v/>
      </c>
      <c r="I208" s="335">
        <f>IF(B208=B207,"",IF($K208="","",INDEX(Zeiterfassung!$I$6:$I$3665,MATCH(INDEX(Zeiterfassung!$K$6:$K$3665,$K208),Zeiterfassung!$K$6:$K$3665,0))))</f>
        <v/>
      </c>
      <c r="J208" s="335">
        <f>IF(B208=B207,"",IF($K208="","",INDEX(Zeiterfassung!$J$6:$J$3665,MATCH(INDEX(Zeiterfassung!$K$6:$K$3665,$K208),Zeiterfassung!$K$6:$K$3665,0))))</f>
        <v/>
      </c>
      <c r="K208">
        <f>IFERROR(AGGREGATE(15,6,(ROW(Zeiterfassung!$D$6:$D$3665)-ROW(Zeiterfassung!$D$6)+1)/(Zeiterfassung!$D$6:$D$3665&lt;&gt;""),203),"")</f>
        <v/>
      </c>
    </row>
    <row r="209" ht="20" customHeight="1">
      <c r="A209" s="183">
        <f>IF($K209="","",WEEKNUM(INDEX(Zeiterfassung!$K$6:$K$3665,$K209),21))</f>
        <v/>
      </c>
      <c r="B209" s="184">
        <f>IF($K209="","",INDEX(Zeiterfassung!$K$6:$K$3665,$K209))</f>
        <v/>
      </c>
      <c r="C209" s="185">
        <f>IF($K209="","",INDEX(Zeiterfassung!$K$6:$K$3665,$K209))</f>
        <v/>
      </c>
      <c r="D209" s="186">
        <f>IF($K209="","",INDEX(Zeiterfassung!$D$6:$D$3665,$K209))</f>
        <v/>
      </c>
      <c r="E209" s="186">
        <f>IF($K209="","",INDEX(Zeiterfassung!$E$6:$E$3665,$K209))</f>
        <v/>
      </c>
      <c r="F209" s="187">
        <f>IF($K209="","",INDEX(Zeiterfassung!$F$6:$F$3665,$K209))</f>
        <v/>
      </c>
      <c r="G209" s="187">
        <f>IF($K209="","",INDEX(Zeiterfassung!$G$6:$G$3665,$K209))</f>
        <v/>
      </c>
      <c r="H209" s="188">
        <f>IF($K209="","",INDEX(Zeiterfassung!$H$6:$H$3665,$K209))</f>
        <v/>
      </c>
      <c r="I209" s="335">
        <f>IF(B209=B208,"",IF($K209="","",INDEX(Zeiterfassung!$I$6:$I$3665,MATCH(INDEX(Zeiterfassung!$K$6:$K$3665,$K209),Zeiterfassung!$K$6:$K$3665,0))))</f>
        <v/>
      </c>
      <c r="J209" s="335">
        <f>IF(B209=B208,"",IF($K209="","",INDEX(Zeiterfassung!$J$6:$J$3665,MATCH(INDEX(Zeiterfassung!$K$6:$K$3665,$K209),Zeiterfassung!$K$6:$K$3665,0))))</f>
        <v/>
      </c>
      <c r="K209">
        <f>IFERROR(AGGREGATE(15,6,(ROW(Zeiterfassung!$D$6:$D$3665)-ROW(Zeiterfassung!$D$6)+1)/(Zeiterfassung!$D$6:$D$3665&lt;&gt;""),204),"")</f>
        <v/>
      </c>
    </row>
    <row r="210" ht="20" customHeight="1">
      <c r="A210" s="183">
        <f>IF($K210="","",WEEKNUM(INDEX(Zeiterfassung!$K$6:$K$3665,$K210),21))</f>
        <v/>
      </c>
      <c r="B210" s="184">
        <f>IF($K210="","",INDEX(Zeiterfassung!$K$6:$K$3665,$K210))</f>
        <v/>
      </c>
      <c r="C210" s="185">
        <f>IF($K210="","",INDEX(Zeiterfassung!$K$6:$K$3665,$K210))</f>
        <v/>
      </c>
      <c r="D210" s="186">
        <f>IF($K210="","",INDEX(Zeiterfassung!$D$6:$D$3665,$K210))</f>
        <v/>
      </c>
      <c r="E210" s="186">
        <f>IF($K210="","",INDEX(Zeiterfassung!$E$6:$E$3665,$K210))</f>
        <v/>
      </c>
      <c r="F210" s="187">
        <f>IF($K210="","",INDEX(Zeiterfassung!$F$6:$F$3665,$K210))</f>
        <v/>
      </c>
      <c r="G210" s="187">
        <f>IF($K210="","",INDEX(Zeiterfassung!$G$6:$G$3665,$K210))</f>
        <v/>
      </c>
      <c r="H210" s="188">
        <f>IF($K210="","",INDEX(Zeiterfassung!$H$6:$H$3665,$K210))</f>
        <v/>
      </c>
      <c r="I210" s="335">
        <f>IF(B210=B209,"",IF($K210="","",INDEX(Zeiterfassung!$I$6:$I$3665,MATCH(INDEX(Zeiterfassung!$K$6:$K$3665,$K210),Zeiterfassung!$K$6:$K$3665,0))))</f>
        <v/>
      </c>
      <c r="J210" s="335">
        <f>IF(B210=B209,"",IF($K210="","",INDEX(Zeiterfassung!$J$6:$J$3665,MATCH(INDEX(Zeiterfassung!$K$6:$K$3665,$K210),Zeiterfassung!$K$6:$K$3665,0))))</f>
        <v/>
      </c>
      <c r="K210">
        <f>IFERROR(AGGREGATE(15,6,(ROW(Zeiterfassung!$D$6:$D$3665)-ROW(Zeiterfassung!$D$6)+1)/(Zeiterfassung!$D$6:$D$3665&lt;&gt;""),205),"")</f>
        <v/>
      </c>
    </row>
    <row r="211" ht="20" customHeight="1">
      <c r="A211" s="183">
        <f>IF($K211="","",WEEKNUM(INDEX(Zeiterfassung!$K$6:$K$3665,$K211),21))</f>
        <v/>
      </c>
      <c r="B211" s="184">
        <f>IF($K211="","",INDEX(Zeiterfassung!$K$6:$K$3665,$K211))</f>
        <v/>
      </c>
      <c r="C211" s="185">
        <f>IF($K211="","",INDEX(Zeiterfassung!$K$6:$K$3665,$K211))</f>
        <v/>
      </c>
      <c r="D211" s="186">
        <f>IF($K211="","",INDEX(Zeiterfassung!$D$6:$D$3665,$K211))</f>
        <v/>
      </c>
      <c r="E211" s="186">
        <f>IF($K211="","",INDEX(Zeiterfassung!$E$6:$E$3665,$K211))</f>
        <v/>
      </c>
      <c r="F211" s="187">
        <f>IF($K211="","",INDEX(Zeiterfassung!$F$6:$F$3665,$K211))</f>
        <v/>
      </c>
      <c r="G211" s="187">
        <f>IF($K211="","",INDEX(Zeiterfassung!$G$6:$G$3665,$K211))</f>
        <v/>
      </c>
      <c r="H211" s="188">
        <f>IF($K211="","",INDEX(Zeiterfassung!$H$6:$H$3665,$K211))</f>
        <v/>
      </c>
      <c r="I211" s="335">
        <f>IF(B211=B210,"",IF($K211="","",INDEX(Zeiterfassung!$I$6:$I$3665,MATCH(INDEX(Zeiterfassung!$K$6:$K$3665,$K211),Zeiterfassung!$K$6:$K$3665,0))))</f>
        <v/>
      </c>
      <c r="J211" s="335">
        <f>IF(B211=B210,"",IF($K211="","",INDEX(Zeiterfassung!$J$6:$J$3665,MATCH(INDEX(Zeiterfassung!$K$6:$K$3665,$K211),Zeiterfassung!$K$6:$K$3665,0))))</f>
        <v/>
      </c>
      <c r="K211">
        <f>IFERROR(AGGREGATE(15,6,(ROW(Zeiterfassung!$D$6:$D$3665)-ROW(Zeiterfassung!$D$6)+1)/(Zeiterfassung!$D$6:$D$3665&lt;&gt;""),206),"")</f>
        <v/>
      </c>
    </row>
    <row r="212" ht="20" customHeight="1">
      <c r="A212" s="183">
        <f>IF($K212="","",WEEKNUM(INDEX(Zeiterfassung!$K$6:$K$3665,$K212),21))</f>
        <v/>
      </c>
      <c r="B212" s="184">
        <f>IF($K212="","",INDEX(Zeiterfassung!$K$6:$K$3665,$K212))</f>
        <v/>
      </c>
      <c r="C212" s="185">
        <f>IF($K212="","",INDEX(Zeiterfassung!$K$6:$K$3665,$K212))</f>
        <v/>
      </c>
      <c r="D212" s="186">
        <f>IF($K212="","",INDEX(Zeiterfassung!$D$6:$D$3665,$K212))</f>
        <v/>
      </c>
      <c r="E212" s="186">
        <f>IF($K212="","",INDEX(Zeiterfassung!$E$6:$E$3665,$K212))</f>
        <v/>
      </c>
      <c r="F212" s="187">
        <f>IF($K212="","",INDEX(Zeiterfassung!$F$6:$F$3665,$K212))</f>
        <v/>
      </c>
      <c r="G212" s="187">
        <f>IF($K212="","",INDEX(Zeiterfassung!$G$6:$G$3665,$K212))</f>
        <v/>
      </c>
      <c r="H212" s="188">
        <f>IF($K212="","",INDEX(Zeiterfassung!$H$6:$H$3665,$K212))</f>
        <v/>
      </c>
      <c r="I212" s="335">
        <f>IF(B212=B211,"",IF($K212="","",INDEX(Zeiterfassung!$I$6:$I$3665,MATCH(INDEX(Zeiterfassung!$K$6:$K$3665,$K212),Zeiterfassung!$K$6:$K$3665,0))))</f>
        <v/>
      </c>
      <c r="J212" s="335">
        <f>IF(B212=B211,"",IF($K212="","",INDEX(Zeiterfassung!$J$6:$J$3665,MATCH(INDEX(Zeiterfassung!$K$6:$K$3665,$K212),Zeiterfassung!$K$6:$K$3665,0))))</f>
        <v/>
      </c>
      <c r="K212">
        <f>IFERROR(AGGREGATE(15,6,(ROW(Zeiterfassung!$D$6:$D$3665)-ROW(Zeiterfassung!$D$6)+1)/(Zeiterfassung!$D$6:$D$3665&lt;&gt;""),207),"")</f>
        <v/>
      </c>
    </row>
    <row r="213" ht="20" customHeight="1">
      <c r="A213" s="183">
        <f>IF($K213="","",WEEKNUM(INDEX(Zeiterfassung!$K$6:$K$3665,$K213),21))</f>
        <v/>
      </c>
      <c r="B213" s="184">
        <f>IF($K213="","",INDEX(Zeiterfassung!$K$6:$K$3665,$K213))</f>
        <v/>
      </c>
      <c r="C213" s="185">
        <f>IF($K213="","",INDEX(Zeiterfassung!$K$6:$K$3665,$K213))</f>
        <v/>
      </c>
      <c r="D213" s="186">
        <f>IF($K213="","",INDEX(Zeiterfassung!$D$6:$D$3665,$K213))</f>
        <v/>
      </c>
      <c r="E213" s="186">
        <f>IF($K213="","",INDEX(Zeiterfassung!$E$6:$E$3665,$K213))</f>
        <v/>
      </c>
      <c r="F213" s="187">
        <f>IF($K213="","",INDEX(Zeiterfassung!$F$6:$F$3665,$K213))</f>
        <v/>
      </c>
      <c r="G213" s="187">
        <f>IF($K213="","",INDEX(Zeiterfassung!$G$6:$G$3665,$K213))</f>
        <v/>
      </c>
      <c r="H213" s="188">
        <f>IF($K213="","",INDEX(Zeiterfassung!$H$6:$H$3665,$K213))</f>
        <v/>
      </c>
      <c r="I213" s="335">
        <f>IF(B213=B212,"",IF($K213="","",INDEX(Zeiterfassung!$I$6:$I$3665,MATCH(INDEX(Zeiterfassung!$K$6:$K$3665,$K213),Zeiterfassung!$K$6:$K$3665,0))))</f>
        <v/>
      </c>
      <c r="J213" s="335">
        <f>IF(B213=B212,"",IF($K213="","",INDEX(Zeiterfassung!$J$6:$J$3665,MATCH(INDEX(Zeiterfassung!$K$6:$K$3665,$K213),Zeiterfassung!$K$6:$K$3665,0))))</f>
        <v/>
      </c>
      <c r="K213">
        <f>IFERROR(AGGREGATE(15,6,(ROW(Zeiterfassung!$D$6:$D$3665)-ROW(Zeiterfassung!$D$6)+1)/(Zeiterfassung!$D$6:$D$3665&lt;&gt;""),208),"")</f>
        <v/>
      </c>
    </row>
    <row r="214" ht="20" customHeight="1">
      <c r="A214" s="183">
        <f>IF($K214="","",WEEKNUM(INDEX(Zeiterfassung!$K$6:$K$3665,$K214),21))</f>
        <v/>
      </c>
      <c r="B214" s="184">
        <f>IF($K214="","",INDEX(Zeiterfassung!$K$6:$K$3665,$K214))</f>
        <v/>
      </c>
      <c r="C214" s="185">
        <f>IF($K214="","",INDEX(Zeiterfassung!$K$6:$K$3665,$K214))</f>
        <v/>
      </c>
      <c r="D214" s="186">
        <f>IF($K214="","",INDEX(Zeiterfassung!$D$6:$D$3665,$K214))</f>
        <v/>
      </c>
      <c r="E214" s="186">
        <f>IF($K214="","",INDEX(Zeiterfassung!$E$6:$E$3665,$K214))</f>
        <v/>
      </c>
      <c r="F214" s="187">
        <f>IF($K214="","",INDEX(Zeiterfassung!$F$6:$F$3665,$K214))</f>
        <v/>
      </c>
      <c r="G214" s="187">
        <f>IF($K214="","",INDEX(Zeiterfassung!$G$6:$G$3665,$K214))</f>
        <v/>
      </c>
      <c r="H214" s="188">
        <f>IF($K214="","",INDEX(Zeiterfassung!$H$6:$H$3665,$K214))</f>
        <v/>
      </c>
      <c r="I214" s="335">
        <f>IF(B214=B213,"",IF($K214="","",INDEX(Zeiterfassung!$I$6:$I$3665,MATCH(INDEX(Zeiterfassung!$K$6:$K$3665,$K214),Zeiterfassung!$K$6:$K$3665,0))))</f>
        <v/>
      </c>
      <c r="J214" s="335">
        <f>IF(B214=B213,"",IF($K214="","",INDEX(Zeiterfassung!$J$6:$J$3665,MATCH(INDEX(Zeiterfassung!$K$6:$K$3665,$K214),Zeiterfassung!$K$6:$K$3665,0))))</f>
        <v/>
      </c>
      <c r="K214">
        <f>IFERROR(AGGREGATE(15,6,(ROW(Zeiterfassung!$D$6:$D$3665)-ROW(Zeiterfassung!$D$6)+1)/(Zeiterfassung!$D$6:$D$3665&lt;&gt;""),209),"")</f>
        <v/>
      </c>
    </row>
    <row r="215" ht="20" customHeight="1">
      <c r="A215" s="183">
        <f>IF($K215="","",WEEKNUM(INDEX(Zeiterfassung!$K$6:$K$3665,$K215),21))</f>
        <v/>
      </c>
      <c r="B215" s="184">
        <f>IF($K215="","",INDEX(Zeiterfassung!$K$6:$K$3665,$K215))</f>
        <v/>
      </c>
      <c r="C215" s="185">
        <f>IF($K215="","",INDEX(Zeiterfassung!$K$6:$K$3665,$K215))</f>
        <v/>
      </c>
      <c r="D215" s="186">
        <f>IF($K215="","",INDEX(Zeiterfassung!$D$6:$D$3665,$K215))</f>
        <v/>
      </c>
      <c r="E215" s="186">
        <f>IF($K215="","",INDEX(Zeiterfassung!$E$6:$E$3665,$K215))</f>
        <v/>
      </c>
      <c r="F215" s="187">
        <f>IF($K215="","",INDEX(Zeiterfassung!$F$6:$F$3665,$K215))</f>
        <v/>
      </c>
      <c r="G215" s="187">
        <f>IF($K215="","",INDEX(Zeiterfassung!$G$6:$G$3665,$K215))</f>
        <v/>
      </c>
      <c r="H215" s="188">
        <f>IF($K215="","",INDEX(Zeiterfassung!$H$6:$H$3665,$K215))</f>
        <v/>
      </c>
      <c r="I215" s="335">
        <f>IF(B215=B214,"",IF($K215="","",INDEX(Zeiterfassung!$I$6:$I$3665,MATCH(INDEX(Zeiterfassung!$K$6:$K$3665,$K215),Zeiterfassung!$K$6:$K$3665,0))))</f>
        <v/>
      </c>
      <c r="J215" s="335">
        <f>IF(B215=B214,"",IF($K215="","",INDEX(Zeiterfassung!$J$6:$J$3665,MATCH(INDEX(Zeiterfassung!$K$6:$K$3665,$K215),Zeiterfassung!$K$6:$K$3665,0))))</f>
        <v/>
      </c>
      <c r="K215">
        <f>IFERROR(AGGREGATE(15,6,(ROW(Zeiterfassung!$D$6:$D$3665)-ROW(Zeiterfassung!$D$6)+1)/(Zeiterfassung!$D$6:$D$3665&lt;&gt;""),210),"")</f>
        <v/>
      </c>
    </row>
    <row r="216" ht="20" customHeight="1">
      <c r="A216" s="183">
        <f>IF($K216="","",WEEKNUM(INDEX(Zeiterfassung!$K$6:$K$3665,$K216),21))</f>
        <v/>
      </c>
      <c r="B216" s="184">
        <f>IF($K216="","",INDEX(Zeiterfassung!$K$6:$K$3665,$K216))</f>
        <v/>
      </c>
      <c r="C216" s="185">
        <f>IF($K216="","",INDEX(Zeiterfassung!$K$6:$K$3665,$K216))</f>
        <v/>
      </c>
      <c r="D216" s="186">
        <f>IF($K216="","",INDEX(Zeiterfassung!$D$6:$D$3665,$K216))</f>
        <v/>
      </c>
      <c r="E216" s="186">
        <f>IF($K216="","",INDEX(Zeiterfassung!$E$6:$E$3665,$K216))</f>
        <v/>
      </c>
      <c r="F216" s="187">
        <f>IF($K216="","",INDEX(Zeiterfassung!$F$6:$F$3665,$K216))</f>
        <v/>
      </c>
      <c r="G216" s="187">
        <f>IF($K216="","",INDEX(Zeiterfassung!$G$6:$G$3665,$K216))</f>
        <v/>
      </c>
      <c r="H216" s="188">
        <f>IF($K216="","",INDEX(Zeiterfassung!$H$6:$H$3665,$K216))</f>
        <v/>
      </c>
      <c r="I216" s="335">
        <f>IF(B216=B215,"",IF($K216="","",INDEX(Zeiterfassung!$I$6:$I$3665,MATCH(INDEX(Zeiterfassung!$K$6:$K$3665,$K216),Zeiterfassung!$K$6:$K$3665,0))))</f>
        <v/>
      </c>
      <c r="J216" s="335">
        <f>IF(B216=B215,"",IF($K216="","",INDEX(Zeiterfassung!$J$6:$J$3665,MATCH(INDEX(Zeiterfassung!$K$6:$K$3665,$K216),Zeiterfassung!$K$6:$K$3665,0))))</f>
        <v/>
      </c>
      <c r="K216">
        <f>IFERROR(AGGREGATE(15,6,(ROW(Zeiterfassung!$D$6:$D$3665)-ROW(Zeiterfassung!$D$6)+1)/(Zeiterfassung!$D$6:$D$3665&lt;&gt;""),211),"")</f>
        <v/>
      </c>
    </row>
    <row r="217" ht="20" customHeight="1">
      <c r="A217" s="183">
        <f>IF($K217="","",WEEKNUM(INDEX(Zeiterfassung!$K$6:$K$3665,$K217),21))</f>
        <v/>
      </c>
      <c r="B217" s="184">
        <f>IF($K217="","",INDEX(Zeiterfassung!$K$6:$K$3665,$K217))</f>
        <v/>
      </c>
      <c r="C217" s="185">
        <f>IF($K217="","",INDEX(Zeiterfassung!$K$6:$K$3665,$K217))</f>
        <v/>
      </c>
      <c r="D217" s="186">
        <f>IF($K217="","",INDEX(Zeiterfassung!$D$6:$D$3665,$K217))</f>
        <v/>
      </c>
      <c r="E217" s="186">
        <f>IF($K217="","",INDEX(Zeiterfassung!$E$6:$E$3665,$K217))</f>
        <v/>
      </c>
      <c r="F217" s="187">
        <f>IF($K217="","",INDEX(Zeiterfassung!$F$6:$F$3665,$K217))</f>
        <v/>
      </c>
      <c r="G217" s="187">
        <f>IF($K217="","",INDEX(Zeiterfassung!$G$6:$G$3665,$K217))</f>
        <v/>
      </c>
      <c r="H217" s="188">
        <f>IF($K217="","",INDEX(Zeiterfassung!$H$6:$H$3665,$K217))</f>
        <v/>
      </c>
      <c r="I217" s="335">
        <f>IF(B217=B216,"",IF($K217="","",INDEX(Zeiterfassung!$I$6:$I$3665,MATCH(INDEX(Zeiterfassung!$K$6:$K$3665,$K217),Zeiterfassung!$K$6:$K$3665,0))))</f>
        <v/>
      </c>
      <c r="J217" s="335">
        <f>IF(B217=B216,"",IF($K217="","",INDEX(Zeiterfassung!$J$6:$J$3665,MATCH(INDEX(Zeiterfassung!$K$6:$K$3665,$K217),Zeiterfassung!$K$6:$K$3665,0))))</f>
        <v/>
      </c>
      <c r="K217">
        <f>IFERROR(AGGREGATE(15,6,(ROW(Zeiterfassung!$D$6:$D$3665)-ROW(Zeiterfassung!$D$6)+1)/(Zeiterfassung!$D$6:$D$3665&lt;&gt;""),212),"")</f>
        <v/>
      </c>
    </row>
    <row r="218" ht="20" customHeight="1">
      <c r="A218" s="183">
        <f>IF($K218="","",WEEKNUM(INDEX(Zeiterfassung!$K$6:$K$3665,$K218),21))</f>
        <v/>
      </c>
      <c r="B218" s="184">
        <f>IF($K218="","",INDEX(Zeiterfassung!$K$6:$K$3665,$K218))</f>
        <v/>
      </c>
      <c r="C218" s="185">
        <f>IF($K218="","",INDEX(Zeiterfassung!$K$6:$K$3665,$K218))</f>
        <v/>
      </c>
      <c r="D218" s="186">
        <f>IF($K218="","",INDEX(Zeiterfassung!$D$6:$D$3665,$K218))</f>
        <v/>
      </c>
      <c r="E218" s="186">
        <f>IF($K218="","",INDEX(Zeiterfassung!$E$6:$E$3665,$K218))</f>
        <v/>
      </c>
      <c r="F218" s="187">
        <f>IF($K218="","",INDEX(Zeiterfassung!$F$6:$F$3665,$K218))</f>
        <v/>
      </c>
      <c r="G218" s="187">
        <f>IF($K218="","",INDEX(Zeiterfassung!$G$6:$G$3665,$K218))</f>
        <v/>
      </c>
      <c r="H218" s="188">
        <f>IF($K218="","",INDEX(Zeiterfassung!$H$6:$H$3665,$K218))</f>
        <v/>
      </c>
      <c r="I218" s="335">
        <f>IF(B218=B217,"",IF($K218="","",INDEX(Zeiterfassung!$I$6:$I$3665,MATCH(INDEX(Zeiterfassung!$K$6:$K$3665,$K218),Zeiterfassung!$K$6:$K$3665,0))))</f>
        <v/>
      </c>
      <c r="J218" s="335">
        <f>IF(B218=B217,"",IF($K218="","",INDEX(Zeiterfassung!$J$6:$J$3665,MATCH(INDEX(Zeiterfassung!$K$6:$K$3665,$K218),Zeiterfassung!$K$6:$K$3665,0))))</f>
        <v/>
      </c>
      <c r="K218">
        <f>IFERROR(AGGREGATE(15,6,(ROW(Zeiterfassung!$D$6:$D$3665)-ROW(Zeiterfassung!$D$6)+1)/(Zeiterfassung!$D$6:$D$3665&lt;&gt;""),213),"")</f>
        <v/>
      </c>
    </row>
    <row r="219" ht="20" customHeight="1">
      <c r="A219" s="183">
        <f>IF($K219="","",WEEKNUM(INDEX(Zeiterfassung!$K$6:$K$3665,$K219),21))</f>
        <v/>
      </c>
      <c r="B219" s="184">
        <f>IF($K219="","",INDEX(Zeiterfassung!$K$6:$K$3665,$K219))</f>
        <v/>
      </c>
      <c r="C219" s="185">
        <f>IF($K219="","",INDEX(Zeiterfassung!$K$6:$K$3665,$K219))</f>
        <v/>
      </c>
      <c r="D219" s="186">
        <f>IF($K219="","",INDEX(Zeiterfassung!$D$6:$D$3665,$K219))</f>
        <v/>
      </c>
      <c r="E219" s="186">
        <f>IF($K219="","",INDEX(Zeiterfassung!$E$6:$E$3665,$K219))</f>
        <v/>
      </c>
      <c r="F219" s="187">
        <f>IF($K219="","",INDEX(Zeiterfassung!$F$6:$F$3665,$K219))</f>
        <v/>
      </c>
      <c r="G219" s="187">
        <f>IF($K219="","",INDEX(Zeiterfassung!$G$6:$G$3665,$K219))</f>
        <v/>
      </c>
      <c r="H219" s="188">
        <f>IF($K219="","",INDEX(Zeiterfassung!$H$6:$H$3665,$K219))</f>
        <v/>
      </c>
      <c r="I219" s="335">
        <f>IF(B219=B218,"",IF($K219="","",INDEX(Zeiterfassung!$I$6:$I$3665,MATCH(INDEX(Zeiterfassung!$K$6:$K$3665,$K219),Zeiterfassung!$K$6:$K$3665,0))))</f>
        <v/>
      </c>
      <c r="J219" s="335">
        <f>IF(B219=B218,"",IF($K219="","",INDEX(Zeiterfassung!$J$6:$J$3665,MATCH(INDEX(Zeiterfassung!$K$6:$K$3665,$K219),Zeiterfassung!$K$6:$K$3665,0))))</f>
        <v/>
      </c>
      <c r="K219">
        <f>IFERROR(AGGREGATE(15,6,(ROW(Zeiterfassung!$D$6:$D$3665)-ROW(Zeiterfassung!$D$6)+1)/(Zeiterfassung!$D$6:$D$3665&lt;&gt;""),214),"")</f>
        <v/>
      </c>
    </row>
    <row r="220" ht="20" customHeight="1">
      <c r="A220" s="183">
        <f>IF($K220="","",WEEKNUM(INDEX(Zeiterfassung!$K$6:$K$3665,$K220),21))</f>
        <v/>
      </c>
      <c r="B220" s="184">
        <f>IF($K220="","",INDEX(Zeiterfassung!$K$6:$K$3665,$K220))</f>
        <v/>
      </c>
      <c r="C220" s="185">
        <f>IF($K220="","",INDEX(Zeiterfassung!$K$6:$K$3665,$K220))</f>
        <v/>
      </c>
      <c r="D220" s="186">
        <f>IF($K220="","",INDEX(Zeiterfassung!$D$6:$D$3665,$K220))</f>
        <v/>
      </c>
      <c r="E220" s="186">
        <f>IF($K220="","",INDEX(Zeiterfassung!$E$6:$E$3665,$K220))</f>
        <v/>
      </c>
      <c r="F220" s="187">
        <f>IF($K220="","",INDEX(Zeiterfassung!$F$6:$F$3665,$K220))</f>
        <v/>
      </c>
      <c r="G220" s="187">
        <f>IF($K220="","",INDEX(Zeiterfassung!$G$6:$G$3665,$K220))</f>
        <v/>
      </c>
      <c r="H220" s="188">
        <f>IF($K220="","",INDEX(Zeiterfassung!$H$6:$H$3665,$K220))</f>
        <v/>
      </c>
      <c r="I220" s="335">
        <f>IF(B220=B219,"",IF($K220="","",INDEX(Zeiterfassung!$I$6:$I$3665,MATCH(INDEX(Zeiterfassung!$K$6:$K$3665,$K220),Zeiterfassung!$K$6:$K$3665,0))))</f>
        <v/>
      </c>
      <c r="J220" s="335">
        <f>IF(B220=B219,"",IF($K220="","",INDEX(Zeiterfassung!$J$6:$J$3665,MATCH(INDEX(Zeiterfassung!$K$6:$K$3665,$K220),Zeiterfassung!$K$6:$K$3665,0))))</f>
        <v/>
      </c>
      <c r="K220">
        <f>IFERROR(AGGREGATE(15,6,(ROW(Zeiterfassung!$D$6:$D$3665)-ROW(Zeiterfassung!$D$6)+1)/(Zeiterfassung!$D$6:$D$3665&lt;&gt;""),215),"")</f>
        <v/>
      </c>
    </row>
    <row r="221" ht="20" customHeight="1">
      <c r="A221" s="183">
        <f>IF($K221="","",WEEKNUM(INDEX(Zeiterfassung!$K$6:$K$3665,$K221),21))</f>
        <v/>
      </c>
      <c r="B221" s="184">
        <f>IF($K221="","",INDEX(Zeiterfassung!$K$6:$K$3665,$K221))</f>
        <v/>
      </c>
      <c r="C221" s="185">
        <f>IF($K221="","",INDEX(Zeiterfassung!$K$6:$K$3665,$K221))</f>
        <v/>
      </c>
      <c r="D221" s="186">
        <f>IF($K221="","",INDEX(Zeiterfassung!$D$6:$D$3665,$K221))</f>
        <v/>
      </c>
      <c r="E221" s="186">
        <f>IF($K221="","",INDEX(Zeiterfassung!$E$6:$E$3665,$K221))</f>
        <v/>
      </c>
      <c r="F221" s="187">
        <f>IF($K221="","",INDEX(Zeiterfassung!$F$6:$F$3665,$K221))</f>
        <v/>
      </c>
      <c r="G221" s="187">
        <f>IF($K221="","",INDEX(Zeiterfassung!$G$6:$G$3665,$K221))</f>
        <v/>
      </c>
      <c r="H221" s="188">
        <f>IF($K221="","",INDEX(Zeiterfassung!$H$6:$H$3665,$K221))</f>
        <v/>
      </c>
      <c r="I221" s="335">
        <f>IF(B221=B220,"",IF($K221="","",INDEX(Zeiterfassung!$I$6:$I$3665,MATCH(INDEX(Zeiterfassung!$K$6:$K$3665,$K221),Zeiterfassung!$K$6:$K$3665,0))))</f>
        <v/>
      </c>
      <c r="J221" s="335">
        <f>IF(B221=B220,"",IF($K221="","",INDEX(Zeiterfassung!$J$6:$J$3665,MATCH(INDEX(Zeiterfassung!$K$6:$K$3665,$K221),Zeiterfassung!$K$6:$K$3665,0))))</f>
        <v/>
      </c>
      <c r="K221">
        <f>IFERROR(AGGREGATE(15,6,(ROW(Zeiterfassung!$D$6:$D$3665)-ROW(Zeiterfassung!$D$6)+1)/(Zeiterfassung!$D$6:$D$3665&lt;&gt;""),216),"")</f>
        <v/>
      </c>
    </row>
    <row r="222" ht="20" customHeight="1">
      <c r="A222" s="183">
        <f>IF($K222="","",WEEKNUM(INDEX(Zeiterfassung!$K$6:$K$3665,$K222),21))</f>
        <v/>
      </c>
      <c r="B222" s="184">
        <f>IF($K222="","",INDEX(Zeiterfassung!$K$6:$K$3665,$K222))</f>
        <v/>
      </c>
      <c r="C222" s="185">
        <f>IF($K222="","",INDEX(Zeiterfassung!$K$6:$K$3665,$K222))</f>
        <v/>
      </c>
      <c r="D222" s="186">
        <f>IF($K222="","",INDEX(Zeiterfassung!$D$6:$D$3665,$K222))</f>
        <v/>
      </c>
      <c r="E222" s="186">
        <f>IF($K222="","",INDEX(Zeiterfassung!$E$6:$E$3665,$K222))</f>
        <v/>
      </c>
      <c r="F222" s="187">
        <f>IF($K222="","",INDEX(Zeiterfassung!$F$6:$F$3665,$K222))</f>
        <v/>
      </c>
      <c r="G222" s="187">
        <f>IF($K222="","",INDEX(Zeiterfassung!$G$6:$G$3665,$K222))</f>
        <v/>
      </c>
      <c r="H222" s="188">
        <f>IF($K222="","",INDEX(Zeiterfassung!$H$6:$H$3665,$K222))</f>
        <v/>
      </c>
      <c r="I222" s="335">
        <f>IF(B222=B221,"",IF($K222="","",INDEX(Zeiterfassung!$I$6:$I$3665,MATCH(INDEX(Zeiterfassung!$K$6:$K$3665,$K222),Zeiterfassung!$K$6:$K$3665,0))))</f>
        <v/>
      </c>
      <c r="J222" s="335">
        <f>IF(B222=B221,"",IF($K222="","",INDEX(Zeiterfassung!$J$6:$J$3665,MATCH(INDEX(Zeiterfassung!$K$6:$K$3665,$K222),Zeiterfassung!$K$6:$K$3665,0))))</f>
        <v/>
      </c>
      <c r="K222">
        <f>IFERROR(AGGREGATE(15,6,(ROW(Zeiterfassung!$D$6:$D$3665)-ROW(Zeiterfassung!$D$6)+1)/(Zeiterfassung!$D$6:$D$3665&lt;&gt;""),217),"")</f>
        <v/>
      </c>
    </row>
    <row r="223" ht="20" customHeight="1">
      <c r="A223" s="183">
        <f>IF($K223="","",WEEKNUM(INDEX(Zeiterfassung!$K$6:$K$3665,$K223),21))</f>
        <v/>
      </c>
      <c r="B223" s="184">
        <f>IF($K223="","",INDEX(Zeiterfassung!$K$6:$K$3665,$K223))</f>
        <v/>
      </c>
      <c r="C223" s="185">
        <f>IF($K223="","",INDEX(Zeiterfassung!$K$6:$K$3665,$K223))</f>
        <v/>
      </c>
      <c r="D223" s="186">
        <f>IF($K223="","",INDEX(Zeiterfassung!$D$6:$D$3665,$K223))</f>
        <v/>
      </c>
      <c r="E223" s="186">
        <f>IF($K223="","",INDEX(Zeiterfassung!$E$6:$E$3665,$K223))</f>
        <v/>
      </c>
      <c r="F223" s="187">
        <f>IF($K223="","",INDEX(Zeiterfassung!$F$6:$F$3665,$K223))</f>
        <v/>
      </c>
      <c r="G223" s="187">
        <f>IF($K223="","",INDEX(Zeiterfassung!$G$6:$G$3665,$K223))</f>
        <v/>
      </c>
      <c r="H223" s="188">
        <f>IF($K223="","",INDEX(Zeiterfassung!$H$6:$H$3665,$K223))</f>
        <v/>
      </c>
      <c r="I223" s="335">
        <f>IF(B223=B222,"",IF($K223="","",INDEX(Zeiterfassung!$I$6:$I$3665,MATCH(INDEX(Zeiterfassung!$K$6:$K$3665,$K223),Zeiterfassung!$K$6:$K$3665,0))))</f>
        <v/>
      </c>
      <c r="J223" s="335">
        <f>IF(B223=B222,"",IF($K223="","",INDEX(Zeiterfassung!$J$6:$J$3665,MATCH(INDEX(Zeiterfassung!$K$6:$K$3665,$K223),Zeiterfassung!$K$6:$K$3665,0))))</f>
        <v/>
      </c>
      <c r="K223">
        <f>IFERROR(AGGREGATE(15,6,(ROW(Zeiterfassung!$D$6:$D$3665)-ROW(Zeiterfassung!$D$6)+1)/(Zeiterfassung!$D$6:$D$3665&lt;&gt;""),218),"")</f>
        <v/>
      </c>
    </row>
    <row r="224" ht="20" customHeight="1">
      <c r="A224" s="183">
        <f>IF($K224="","",WEEKNUM(INDEX(Zeiterfassung!$K$6:$K$3665,$K224),21))</f>
        <v/>
      </c>
      <c r="B224" s="184">
        <f>IF($K224="","",INDEX(Zeiterfassung!$K$6:$K$3665,$K224))</f>
        <v/>
      </c>
      <c r="C224" s="185">
        <f>IF($K224="","",INDEX(Zeiterfassung!$K$6:$K$3665,$K224))</f>
        <v/>
      </c>
      <c r="D224" s="186">
        <f>IF($K224="","",INDEX(Zeiterfassung!$D$6:$D$3665,$K224))</f>
        <v/>
      </c>
      <c r="E224" s="186">
        <f>IF($K224="","",INDEX(Zeiterfassung!$E$6:$E$3665,$K224))</f>
        <v/>
      </c>
      <c r="F224" s="187">
        <f>IF($K224="","",INDEX(Zeiterfassung!$F$6:$F$3665,$K224))</f>
        <v/>
      </c>
      <c r="G224" s="187">
        <f>IF($K224="","",INDEX(Zeiterfassung!$G$6:$G$3665,$K224))</f>
        <v/>
      </c>
      <c r="H224" s="188">
        <f>IF($K224="","",INDEX(Zeiterfassung!$H$6:$H$3665,$K224))</f>
        <v/>
      </c>
      <c r="I224" s="335">
        <f>IF(B224=B223,"",IF($K224="","",INDEX(Zeiterfassung!$I$6:$I$3665,MATCH(INDEX(Zeiterfassung!$K$6:$K$3665,$K224),Zeiterfassung!$K$6:$K$3665,0))))</f>
        <v/>
      </c>
      <c r="J224" s="335">
        <f>IF(B224=B223,"",IF($K224="","",INDEX(Zeiterfassung!$J$6:$J$3665,MATCH(INDEX(Zeiterfassung!$K$6:$K$3665,$K224),Zeiterfassung!$K$6:$K$3665,0))))</f>
        <v/>
      </c>
      <c r="K224">
        <f>IFERROR(AGGREGATE(15,6,(ROW(Zeiterfassung!$D$6:$D$3665)-ROW(Zeiterfassung!$D$6)+1)/(Zeiterfassung!$D$6:$D$3665&lt;&gt;""),219),"")</f>
        <v/>
      </c>
    </row>
    <row r="225" ht="20" customHeight="1">
      <c r="A225" s="183">
        <f>IF($K225="","",WEEKNUM(INDEX(Zeiterfassung!$K$6:$K$3665,$K225),21))</f>
        <v/>
      </c>
      <c r="B225" s="184">
        <f>IF($K225="","",INDEX(Zeiterfassung!$K$6:$K$3665,$K225))</f>
        <v/>
      </c>
      <c r="C225" s="185">
        <f>IF($K225="","",INDEX(Zeiterfassung!$K$6:$K$3665,$K225))</f>
        <v/>
      </c>
      <c r="D225" s="186">
        <f>IF($K225="","",INDEX(Zeiterfassung!$D$6:$D$3665,$K225))</f>
        <v/>
      </c>
      <c r="E225" s="186">
        <f>IF($K225="","",INDEX(Zeiterfassung!$E$6:$E$3665,$K225))</f>
        <v/>
      </c>
      <c r="F225" s="187">
        <f>IF($K225="","",INDEX(Zeiterfassung!$F$6:$F$3665,$K225))</f>
        <v/>
      </c>
      <c r="G225" s="187">
        <f>IF($K225="","",INDEX(Zeiterfassung!$G$6:$G$3665,$K225))</f>
        <v/>
      </c>
      <c r="H225" s="188">
        <f>IF($K225="","",INDEX(Zeiterfassung!$H$6:$H$3665,$K225))</f>
        <v/>
      </c>
      <c r="I225" s="335">
        <f>IF(B225=B224,"",IF($K225="","",INDEX(Zeiterfassung!$I$6:$I$3665,MATCH(INDEX(Zeiterfassung!$K$6:$K$3665,$K225),Zeiterfassung!$K$6:$K$3665,0))))</f>
        <v/>
      </c>
      <c r="J225" s="335">
        <f>IF(B225=B224,"",IF($K225="","",INDEX(Zeiterfassung!$J$6:$J$3665,MATCH(INDEX(Zeiterfassung!$K$6:$K$3665,$K225),Zeiterfassung!$K$6:$K$3665,0))))</f>
        <v/>
      </c>
      <c r="K225">
        <f>IFERROR(AGGREGATE(15,6,(ROW(Zeiterfassung!$D$6:$D$3665)-ROW(Zeiterfassung!$D$6)+1)/(Zeiterfassung!$D$6:$D$3665&lt;&gt;""),220),"")</f>
        <v/>
      </c>
    </row>
    <row r="226" ht="20" customHeight="1">
      <c r="A226" s="183">
        <f>IF($K226="","",WEEKNUM(INDEX(Zeiterfassung!$K$6:$K$3665,$K226),21))</f>
        <v/>
      </c>
      <c r="B226" s="184">
        <f>IF($K226="","",INDEX(Zeiterfassung!$K$6:$K$3665,$K226))</f>
        <v/>
      </c>
      <c r="C226" s="185">
        <f>IF($K226="","",INDEX(Zeiterfassung!$K$6:$K$3665,$K226))</f>
        <v/>
      </c>
      <c r="D226" s="186">
        <f>IF($K226="","",INDEX(Zeiterfassung!$D$6:$D$3665,$K226))</f>
        <v/>
      </c>
      <c r="E226" s="186">
        <f>IF($K226="","",INDEX(Zeiterfassung!$E$6:$E$3665,$K226))</f>
        <v/>
      </c>
      <c r="F226" s="187">
        <f>IF($K226="","",INDEX(Zeiterfassung!$F$6:$F$3665,$K226))</f>
        <v/>
      </c>
      <c r="G226" s="187">
        <f>IF($K226="","",INDEX(Zeiterfassung!$G$6:$G$3665,$K226))</f>
        <v/>
      </c>
      <c r="H226" s="188">
        <f>IF($K226="","",INDEX(Zeiterfassung!$H$6:$H$3665,$K226))</f>
        <v/>
      </c>
      <c r="I226" s="335">
        <f>IF(B226=B225,"",IF($K226="","",INDEX(Zeiterfassung!$I$6:$I$3665,MATCH(INDEX(Zeiterfassung!$K$6:$K$3665,$K226),Zeiterfassung!$K$6:$K$3665,0))))</f>
        <v/>
      </c>
      <c r="J226" s="335">
        <f>IF(B226=B225,"",IF($K226="","",INDEX(Zeiterfassung!$J$6:$J$3665,MATCH(INDEX(Zeiterfassung!$K$6:$K$3665,$K226),Zeiterfassung!$K$6:$K$3665,0))))</f>
        <v/>
      </c>
      <c r="K226">
        <f>IFERROR(AGGREGATE(15,6,(ROW(Zeiterfassung!$D$6:$D$3665)-ROW(Zeiterfassung!$D$6)+1)/(Zeiterfassung!$D$6:$D$3665&lt;&gt;""),221),"")</f>
        <v/>
      </c>
    </row>
    <row r="227" ht="20" customHeight="1">
      <c r="A227" s="183">
        <f>IF($K227="","",WEEKNUM(INDEX(Zeiterfassung!$K$6:$K$3665,$K227),21))</f>
        <v/>
      </c>
      <c r="B227" s="184">
        <f>IF($K227="","",INDEX(Zeiterfassung!$K$6:$K$3665,$K227))</f>
        <v/>
      </c>
      <c r="C227" s="185">
        <f>IF($K227="","",INDEX(Zeiterfassung!$K$6:$K$3665,$K227))</f>
        <v/>
      </c>
      <c r="D227" s="186">
        <f>IF($K227="","",INDEX(Zeiterfassung!$D$6:$D$3665,$K227))</f>
        <v/>
      </c>
      <c r="E227" s="186">
        <f>IF($K227="","",INDEX(Zeiterfassung!$E$6:$E$3665,$K227))</f>
        <v/>
      </c>
      <c r="F227" s="187">
        <f>IF($K227="","",INDEX(Zeiterfassung!$F$6:$F$3665,$K227))</f>
        <v/>
      </c>
      <c r="G227" s="187">
        <f>IF($K227="","",INDEX(Zeiterfassung!$G$6:$G$3665,$K227))</f>
        <v/>
      </c>
      <c r="H227" s="188">
        <f>IF($K227="","",INDEX(Zeiterfassung!$H$6:$H$3665,$K227))</f>
        <v/>
      </c>
      <c r="I227" s="335">
        <f>IF(B227=B226,"",IF($K227="","",INDEX(Zeiterfassung!$I$6:$I$3665,MATCH(INDEX(Zeiterfassung!$K$6:$K$3665,$K227),Zeiterfassung!$K$6:$K$3665,0))))</f>
        <v/>
      </c>
      <c r="J227" s="335">
        <f>IF(B227=B226,"",IF($K227="","",INDEX(Zeiterfassung!$J$6:$J$3665,MATCH(INDEX(Zeiterfassung!$K$6:$K$3665,$K227),Zeiterfassung!$K$6:$K$3665,0))))</f>
        <v/>
      </c>
      <c r="K227">
        <f>IFERROR(AGGREGATE(15,6,(ROW(Zeiterfassung!$D$6:$D$3665)-ROW(Zeiterfassung!$D$6)+1)/(Zeiterfassung!$D$6:$D$3665&lt;&gt;""),222),"")</f>
        <v/>
      </c>
    </row>
    <row r="228" ht="20" customHeight="1">
      <c r="A228" s="183">
        <f>IF($K228="","",WEEKNUM(INDEX(Zeiterfassung!$K$6:$K$3665,$K228),21))</f>
        <v/>
      </c>
      <c r="B228" s="184">
        <f>IF($K228="","",INDEX(Zeiterfassung!$K$6:$K$3665,$K228))</f>
        <v/>
      </c>
      <c r="C228" s="185">
        <f>IF($K228="","",INDEX(Zeiterfassung!$K$6:$K$3665,$K228))</f>
        <v/>
      </c>
      <c r="D228" s="186">
        <f>IF($K228="","",INDEX(Zeiterfassung!$D$6:$D$3665,$K228))</f>
        <v/>
      </c>
      <c r="E228" s="186">
        <f>IF($K228="","",INDEX(Zeiterfassung!$E$6:$E$3665,$K228))</f>
        <v/>
      </c>
      <c r="F228" s="187">
        <f>IF($K228="","",INDEX(Zeiterfassung!$F$6:$F$3665,$K228))</f>
        <v/>
      </c>
      <c r="G228" s="187">
        <f>IF($K228="","",INDEX(Zeiterfassung!$G$6:$G$3665,$K228))</f>
        <v/>
      </c>
      <c r="H228" s="188">
        <f>IF($K228="","",INDEX(Zeiterfassung!$H$6:$H$3665,$K228))</f>
        <v/>
      </c>
      <c r="I228" s="335">
        <f>IF(B228=B227,"",IF($K228="","",INDEX(Zeiterfassung!$I$6:$I$3665,MATCH(INDEX(Zeiterfassung!$K$6:$K$3665,$K228),Zeiterfassung!$K$6:$K$3665,0))))</f>
        <v/>
      </c>
      <c r="J228" s="335">
        <f>IF(B228=B227,"",IF($K228="","",INDEX(Zeiterfassung!$J$6:$J$3665,MATCH(INDEX(Zeiterfassung!$K$6:$K$3665,$K228),Zeiterfassung!$K$6:$K$3665,0))))</f>
        <v/>
      </c>
      <c r="K228">
        <f>IFERROR(AGGREGATE(15,6,(ROW(Zeiterfassung!$D$6:$D$3665)-ROW(Zeiterfassung!$D$6)+1)/(Zeiterfassung!$D$6:$D$3665&lt;&gt;""),223),"")</f>
        <v/>
      </c>
    </row>
    <row r="229" ht="20" customHeight="1">
      <c r="A229" s="183">
        <f>IF($K229="","",WEEKNUM(INDEX(Zeiterfassung!$K$6:$K$3665,$K229),21))</f>
        <v/>
      </c>
      <c r="B229" s="184">
        <f>IF($K229="","",INDEX(Zeiterfassung!$K$6:$K$3665,$K229))</f>
        <v/>
      </c>
      <c r="C229" s="185">
        <f>IF($K229="","",INDEX(Zeiterfassung!$K$6:$K$3665,$K229))</f>
        <v/>
      </c>
      <c r="D229" s="186">
        <f>IF($K229="","",INDEX(Zeiterfassung!$D$6:$D$3665,$K229))</f>
        <v/>
      </c>
      <c r="E229" s="186">
        <f>IF($K229="","",INDEX(Zeiterfassung!$E$6:$E$3665,$K229))</f>
        <v/>
      </c>
      <c r="F229" s="187">
        <f>IF($K229="","",INDEX(Zeiterfassung!$F$6:$F$3665,$K229))</f>
        <v/>
      </c>
      <c r="G229" s="187">
        <f>IF($K229="","",INDEX(Zeiterfassung!$G$6:$G$3665,$K229))</f>
        <v/>
      </c>
      <c r="H229" s="188">
        <f>IF($K229="","",INDEX(Zeiterfassung!$H$6:$H$3665,$K229))</f>
        <v/>
      </c>
      <c r="I229" s="335">
        <f>IF(B229=B228,"",IF($K229="","",INDEX(Zeiterfassung!$I$6:$I$3665,MATCH(INDEX(Zeiterfassung!$K$6:$K$3665,$K229),Zeiterfassung!$K$6:$K$3665,0))))</f>
        <v/>
      </c>
      <c r="J229" s="335">
        <f>IF(B229=B228,"",IF($K229="","",INDEX(Zeiterfassung!$J$6:$J$3665,MATCH(INDEX(Zeiterfassung!$K$6:$K$3665,$K229),Zeiterfassung!$K$6:$K$3665,0))))</f>
        <v/>
      </c>
      <c r="K229">
        <f>IFERROR(AGGREGATE(15,6,(ROW(Zeiterfassung!$D$6:$D$3665)-ROW(Zeiterfassung!$D$6)+1)/(Zeiterfassung!$D$6:$D$3665&lt;&gt;""),224),"")</f>
        <v/>
      </c>
    </row>
    <row r="230" ht="20" customHeight="1">
      <c r="A230" s="183">
        <f>IF($K230="","",WEEKNUM(INDEX(Zeiterfassung!$K$6:$K$3665,$K230),21))</f>
        <v/>
      </c>
      <c r="B230" s="184">
        <f>IF($K230="","",INDEX(Zeiterfassung!$K$6:$K$3665,$K230))</f>
        <v/>
      </c>
      <c r="C230" s="185">
        <f>IF($K230="","",INDEX(Zeiterfassung!$K$6:$K$3665,$K230))</f>
        <v/>
      </c>
      <c r="D230" s="186">
        <f>IF($K230="","",INDEX(Zeiterfassung!$D$6:$D$3665,$K230))</f>
        <v/>
      </c>
      <c r="E230" s="186">
        <f>IF($K230="","",INDEX(Zeiterfassung!$E$6:$E$3665,$K230))</f>
        <v/>
      </c>
      <c r="F230" s="187">
        <f>IF($K230="","",INDEX(Zeiterfassung!$F$6:$F$3665,$K230))</f>
        <v/>
      </c>
      <c r="G230" s="187">
        <f>IF($K230="","",INDEX(Zeiterfassung!$G$6:$G$3665,$K230))</f>
        <v/>
      </c>
      <c r="H230" s="188">
        <f>IF($K230="","",INDEX(Zeiterfassung!$H$6:$H$3665,$K230))</f>
        <v/>
      </c>
      <c r="I230" s="335">
        <f>IF(B230=B229,"",IF($K230="","",INDEX(Zeiterfassung!$I$6:$I$3665,MATCH(INDEX(Zeiterfassung!$K$6:$K$3665,$K230),Zeiterfassung!$K$6:$K$3665,0))))</f>
        <v/>
      </c>
      <c r="J230" s="335">
        <f>IF(B230=B229,"",IF($K230="","",INDEX(Zeiterfassung!$J$6:$J$3665,MATCH(INDEX(Zeiterfassung!$K$6:$K$3665,$K230),Zeiterfassung!$K$6:$K$3665,0))))</f>
        <v/>
      </c>
      <c r="K230">
        <f>IFERROR(AGGREGATE(15,6,(ROW(Zeiterfassung!$D$6:$D$3665)-ROW(Zeiterfassung!$D$6)+1)/(Zeiterfassung!$D$6:$D$3665&lt;&gt;""),225),"")</f>
        <v/>
      </c>
    </row>
    <row r="231" ht="20" customHeight="1">
      <c r="A231" s="183">
        <f>IF($K231="","",WEEKNUM(INDEX(Zeiterfassung!$K$6:$K$3665,$K231),21))</f>
        <v/>
      </c>
      <c r="B231" s="184">
        <f>IF($K231="","",INDEX(Zeiterfassung!$K$6:$K$3665,$K231))</f>
        <v/>
      </c>
      <c r="C231" s="185">
        <f>IF($K231="","",INDEX(Zeiterfassung!$K$6:$K$3665,$K231))</f>
        <v/>
      </c>
      <c r="D231" s="186">
        <f>IF($K231="","",INDEX(Zeiterfassung!$D$6:$D$3665,$K231))</f>
        <v/>
      </c>
      <c r="E231" s="186">
        <f>IF($K231="","",INDEX(Zeiterfassung!$E$6:$E$3665,$K231))</f>
        <v/>
      </c>
      <c r="F231" s="187">
        <f>IF($K231="","",INDEX(Zeiterfassung!$F$6:$F$3665,$K231))</f>
        <v/>
      </c>
      <c r="G231" s="187">
        <f>IF($K231="","",INDEX(Zeiterfassung!$G$6:$G$3665,$K231))</f>
        <v/>
      </c>
      <c r="H231" s="188">
        <f>IF($K231="","",INDEX(Zeiterfassung!$H$6:$H$3665,$K231))</f>
        <v/>
      </c>
      <c r="I231" s="335">
        <f>IF(B231=B230,"",IF($K231="","",INDEX(Zeiterfassung!$I$6:$I$3665,MATCH(INDEX(Zeiterfassung!$K$6:$K$3665,$K231),Zeiterfassung!$K$6:$K$3665,0))))</f>
        <v/>
      </c>
      <c r="J231" s="335">
        <f>IF(B231=B230,"",IF($K231="","",INDEX(Zeiterfassung!$J$6:$J$3665,MATCH(INDEX(Zeiterfassung!$K$6:$K$3665,$K231),Zeiterfassung!$K$6:$K$3665,0))))</f>
        <v/>
      </c>
      <c r="K231">
        <f>IFERROR(AGGREGATE(15,6,(ROW(Zeiterfassung!$D$6:$D$3665)-ROW(Zeiterfassung!$D$6)+1)/(Zeiterfassung!$D$6:$D$3665&lt;&gt;""),226),"")</f>
        <v/>
      </c>
    </row>
    <row r="232" ht="20" customHeight="1">
      <c r="A232" s="183">
        <f>IF($K232="","",WEEKNUM(INDEX(Zeiterfassung!$K$6:$K$3665,$K232),21))</f>
        <v/>
      </c>
      <c r="B232" s="184">
        <f>IF($K232="","",INDEX(Zeiterfassung!$K$6:$K$3665,$K232))</f>
        <v/>
      </c>
      <c r="C232" s="185">
        <f>IF($K232="","",INDEX(Zeiterfassung!$K$6:$K$3665,$K232))</f>
        <v/>
      </c>
      <c r="D232" s="186">
        <f>IF($K232="","",INDEX(Zeiterfassung!$D$6:$D$3665,$K232))</f>
        <v/>
      </c>
      <c r="E232" s="186">
        <f>IF($K232="","",INDEX(Zeiterfassung!$E$6:$E$3665,$K232))</f>
        <v/>
      </c>
      <c r="F232" s="187">
        <f>IF($K232="","",INDEX(Zeiterfassung!$F$6:$F$3665,$K232))</f>
        <v/>
      </c>
      <c r="G232" s="187">
        <f>IF($K232="","",INDEX(Zeiterfassung!$G$6:$G$3665,$K232))</f>
        <v/>
      </c>
      <c r="H232" s="188">
        <f>IF($K232="","",INDEX(Zeiterfassung!$H$6:$H$3665,$K232))</f>
        <v/>
      </c>
      <c r="I232" s="335">
        <f>IF(B232=B231,"",IF($K232="","",INDEX(Zeiterfassung!$I$6:$I$3665,MATCH(INDEX(Zeiterfassung!$K$6:$K$3665,$K232),Zeiterfassung!$K$6:$K$3665,0))))</f>
        <v/>
      </c>
      <c r="J232" s="335">
        <f>IF(B232=B231,"",IF($K232="","",INDEX(Zeiterfassung!$J$6:$J$3665,MATCH(INDEX(Zeiterfassung!$K$6:$K$3665,$K232),Zeiterfassung!$K$6:$K$3665,0))))</f>
        <v/>
      </c>
      <c r="K232">
        <f>IFERROR(AGGREGATE(15,6,(ROW(Zeiterfassung!$D$6:$D$3665)-ROW(Zeiterfassung!$D$6)+1)/(Zeiterfassung!$D$6:$D$3665&lt;&gt;""),227),"")</f>
        <v/>
      </c>
    </row>
    <row r="233" ht="20" customHeight="1">
      <c r="A233" s="183">
        <f>IF($K233="","",WEEKNUM(INDEX(Zeiterfassung!$K$6:$K$3665,$K233),21))</f>
        <v/>
      </c>
      <c r="B233" s="184">
        <f>IF($K233="","",INDEX(Zeiterfassung!$K$6:$K$3665,$K233))</f>
        <v/>
      </c>
      <c r="C233" s="185">
        <f>IF($K233="","",INDEX(Zeiterfassung!$K$6:$K$3665,$K233))</f>
        <v/>
      </c>
      <c r="D233" s="186">
        <f>IF($K233="","",INDEX(Zeiterfassung!$D$6:$D$3665,$K233))</f>
        <v/>
      </c>
      <c r="E233" s="186">
        <f>IF($K233="","",INDEX(Zeiterfassung!$E$6:$E$3665,$K233))</f>
        <v/>
      </c>
      <c r="F233" s="187">
        <f>IF($K233="","",INDEX(Zeiterfassung!$F$6:$F$3665,$K233))</f>
        <v/>
      </c>
      <c r="G233" s="187">
        <f>IF($K233="","",INDEX(Zeiterfassung!$G$6:$G$3665,$K233))</f>
        <v/>
      </c>
      <c r="H233" s="188">
        <f>IF($K233="","",INDEX(Zeiterfassung!$H$6:$H$3665,$K233))</f>
        <v/>
      </c>
      <c r="I233" s="335">
        <f>IF(B233=B232,"",IF($K233="","",INDEX(Zeiterfassung!$I$6:$I$3665,MATCH(INDEX(Zeiterfassung!$K$6:$K$3665,$K233),Zeiterfassung!$K$6:$K$3665,0))))</f>
        <v/>
      </c>
      <c r="J233" s="335">
        <f>IF(B233=B232,"",IF($K233="","",INDEX(Zeiterfassung!$J$6:$J$3665,MATCH(INDEX(Zeiterfassung!$K$6:$K$3665,$K233),Zeiterfassung!$K$6:$K$3665,0))))</f>
        <v/>
      </c>
      <c r="K233">
        <f>IFERROR(AGGREGATE(15,6,(ROW(Zeiterfassung!$D$6:$D$3665)-ROW(Zeiterfassung!$D$6)+1)/(Zeiterfassung!$D$6:$D$3665&lt;&gt;""),228),"")</f>
        <v/>
      </c>
    </row>
    <row r="234" ht="20" customHeight="1">
      <c r="A234" s="183">
        <f>IF($K234="","",WEEKNUM(INDEX(Zeiterfassung!$K$6:$K$3665,$K234),21))</f>
        <v/>
      </c>
      <c r="B234" s="184">
        <f>IF($K234="","",INDEX(Zeiterfassung!$K$6:$K$3665,$K234))</f>
        <v/>
      </c>
      <c r="C234" s="185">
        <f>IF($K234="","",INDEX(Zeiterfassung!$K$6:$K$3665,$K234))</f>
        <v/>
      </c>
      <c r="D234" s="186">
        <f>IF($K234="","",INDEX(Zeiterfassung!$D$6:$D$3665,$K234))</f>
        <v/>
      </c>
      <c r="E234" s="186">
        <f>IF($K234="","",INDEX(Zeiterfassung!$E$6:$E$3665,$K234))</f>
        <v/>
      </c>
      <c r="F234" s="187">
        <f>IF($K234="","",INDEX(Zeiterfassung!$F$6:$F$3665,$K234))</f>
        <v/>
      </c>
      <c r="G234" s="187">
        <f>IF($K234="","",INDEX(Zeiterfassung!$G$6:$G$3665,$K234))</f>
        <v/>
      </c>
      <c r="H234" s="188">
        <f>IF($K234="","",INDEX(Zeiterfassung!$H$6:$H$3665,$K234))</f>
        <v/>
      </c>
      <c r="I234" s="335">
        <f>IF(B234=B233,"",IF($K234="","",INDEX(Zeiterfassung!$I$6:$I$3665,MATCH(INDEX(Zeiterfassung!$K$6:$K$3665,$K234),Zeiterfassung!$K$6:$K$3665,0))))</f>
        <v/>
      </c>
      <c r="J234" s="335">
        <f>IF(B234=B233,"",IF($K234="","",INDEX(Zeiterfassung!$J$6:$J$3665,MATCH(INDEX(Zeiterfassung!$K$6:$K$3665,$K234),Zeiterfassung!$K$6:$K$3665,0))))</f>
        <v/>
      </c>
      <c r="K234">
        <f>IFERROR(AGGREGATE(15,6,(ROW(Zeiterfassung!$D$6:$D$3665)-ROW(Zeiterfassung!$D$6)+1)/(Zeiterfassung!$D$6:$D$3665&lt;&gt;""),229),"")</f>
        <v/>
      </c>
    </row>
    <row r="235" ht="20" customHeight="1">
      <c r="A235" s="183">
        <f>IF($K235="","",WEEKNUM(INDEX(Zeiterfassung!$K$6:$K$3665,$K235),21))</f>
        <v/>
      </c>
      <c r="B235" s="184">
        <f>IF($K235="","",INDEX(Zeiterfassung!$K$6:$K$3665,$K235))</f>
        <v/>
      </c>
      <c r="C235" s="185">
        <f>IF($K235="","",INDEX(Zeiterfassung!$K$6:$K$3665,$K235))</f>
        <v/>
      </c>
      <c r="D235" s="186">
        <f>IF($K235="","",INDEX(Zeiterfassung!$D$6:$D$3665,$K235))</f>
        <v/>
      </c>
      <c r="E235" s="186">
        <f>IF($K235="","",INDEX(Zeiterfassung!$E$6:$E$3665,$K235))</f>
        <v/>
      </c>
      <c r="F235" s="187">
        <f>IF($K235="","",INDEX(Zeiterfassung!$F$6:$F$3665,$K235))</f>
        <v/>
      </c>
      <c r="G235" s="187">
        <f>IF($K235="","",INDEX(Zeiterfassung!$G$6:$G$3665,$K235))</f>
        <v/>
      </c>
      <c r="H235" s="188">
        <f>IF($K235="","",INDEX(Zeiterfassung!$H$6:$H$3665,$K235))</f>
        <v/>
      </c>
      <c r="I235" s="335">
        <f>IF(B235=B234,"",IF($K235="","",INDEX(Zeiterfassung!$I$6:$I$3665,MATCH(INDEX(Zeiterfassung!$K$6:$K$3665,$K235),Zeiterfassung!$K$6:$K$3665,0))))</f>
        <v/>
      </c>
      <c r="J235" s="335">
        <f>IF(B235=B234,"",IF($K235="","",INDEX(Zeiterfassung!$J$6:$J$3665,MATCH(INDEX(Zeiterfassung!$K$6:$K$3665,$K235),Zeiterfassung!$K$6:$K$3665,0))))</f>
        <v/>
      </c>
      <c r="K235">
        <f>IFERROR(AGGREGATE(15,6,(ROW(Zeiterfassung!$D$6:$D$3665)-ROW(Zeiterfassung!$D$6)+1)/(Zeiterfassung!$D$6:$D$3665&lt;&gt;""),230),"")</f>
        <v/>
      </c>
    </row>
    <row r="236" ht="20" customHeight="1">
      <c r="A236" s="183">
        <f>IF($K236="","",WEEKNUM(INDEX(Zeiterfassung!$K$6:$K$3665,$K236),21))</f>
        <v/>
      </c>
      <c r="B236" s="184">
        <f>IF($K236="","",INDEX(Zeiterfassung!$K$6:$K$3665,$K236))</f>
        <v/>
      </c>
      <c r="C236" s="185">
        <f>IF($K236="","",INDEX(Zeiterfassung!$K$6:$K$3665,$K236))</f>
        <v/>
      </c>
      <c r="D236" s="186">
        <f>IF($K236="","",INDEX(Zeiterfassung!$D$6:$D$3665,$K236))</f>
        <v/>
      </c>
      <c r="E236" s="186">
        <f>IF($K236="","",INDEX(Zeiterfassung!$E$6:$E$3665,$K236))</f>
        <v/>
      </c>
      <c r="F236" s="187">
        <f>IF($K236="","",INDEX(Zeiterfassung!$F$6:$F$3665,$K236))</f>
        <v/>
      </c>
      <c r="G236" s="187">
        <f>IF($K236="","",INDEX(Zeiterfassung!$G$6:$G$3665,$K236))</f>
        <v/>
      </c>
      <c r="H236" s="188">
        <f>IF($K236="","",INDEX(Zeiterfassung!$H$6:$H$3665,$K236))</f>
        <v/>
      </c>
      <c r="I236" s="335">
        <f>IF(B236=B235,"",IF($K236="","",INDEX(Zeiterfassung!$I$6:$I$3665,MATCH(INDEX(Zeiterfassung!$K$6:$K$3665,$K236),Zeiterfassung!$K$6:$K$3665,0))))</f>
        <v/>
      </c>
      <c r="J236" s="335">
        <f>IF(B236=B235,"",IF($K236="","",INDEX(Zeiterfassung!$J$6:$J$3665,MATCH(INDEX(Zeiterfassung!$K$6:$K$3665,$K236),Zeiterfassung!$K$6:$K$3665,0))))</f>
        <v/>
      </c>
      <c r="K236">
        <f>IFERROR(AGGREGATE(15,6,(ROW(Zeiterfassung!$D$6:$D$3665)-ROW(Zeiterfassung!$D$6)+1)/(Zeiterfassung!$D$6:$D$3665&lt;&gt;""),231),"")</f>
        <v/>
      </c>
    </row>
    <row r="237" ht="20" customHeight="1">
      <c r="A237" s="183">
        <f>IF($K237="","",WEEKNUM(INDEX(Zeiterfassung!$K$6:$K$3665,$K237),21))</f>
        <v/>
      </c>
      <c r="B237" s="184">
        <f>IF($K237="","",INDEX(Zeiterfassung!$K$6:$K$3665,$K237))</f>
        <v/>
      </c>
      <c r="C237" s="185">
        <f>IF($K237="","",INDEX(Zeiterfassung!$K$6:$K$3665,$K237))</f>
        <v/>
      </c>
      <c r="D237" s="186">
        <f>IF($K237="","",INDEX(Zeiterfassung!$D$6:$D$3665,$K237))</f>
        <v/>
      </c>
      <c r="E237" s="186">
        <f>IF($K237="","",INDEX(Zeiterfassung!$E$6:$E$3665,$K237))</f>
        <v/>
      </c>
      <c r="F237" s="187">
        <f>IF($K237="","",INDEX(Zeiterfassung!$F$6:$F$3665,$K237))</f>
        <v/>
      </c>
      <c r="G237" s="187">
        <f>IF($K237="","",INDEX(Zeiterfassung!$G$6:$G$3665,$K237))</f>
        <v/>
      </c>
      <c r="H237" s="188">
        <f>IF($K237="","",INDEX(Zeiterfassung!$H$6:$H$3665,$K237))</f>
        <v/>
      </c>
      <c r="I237" s="335">
        <f>IF(B237=B236,"",IF($K237="","",INDEX(Zeiterfassung!$I$6:$I$3665,MATCH(INDEX(Zeiterfassung!$K$6:$K$3665,$K237),Zeiterfassung!$K$6:$K$3665,0))))</f>
        <v/>
      </c>
      <c r="J237" s="335">
        <f>IF(B237=B236,"",IF($K237="","",INDEX(Zeiterfassung!$J$6:$J$3665,MATCH(INDEX(Zeiterfassung!$K$6:$K$3665,$K237),Zeiterfassung!$K$6:$K$3665,0))))</f>
        <v/>
      </c>
      <c r="K237">
        <f>IFERROR(AGGREGATE(15,6,(ROW(Zeiterfassung!$D$6:$D$3665)-ROW(Zeiterfassung!$D$6)+1)/(Zeiterfassung!$D$6:$D$3665&lt;&gt;""),232),"")</f>
        <v/>
      </c>
    </row>
    <row r="238" ht="20" customHeight="1">
      <c r="A238" s="183">
        <f>IF($K238="","",WEEKNUM(INDEX(Zeiterfassung!$K$6:$K$3665,$K238),21))</f>
        <v/>
      </c>
      <c r="B238" s="184">
        <f>IF($K238="","",INDEX(Zeiterfassung!$K$6:$K$3665,$K238))</f>
        <v/>
      </c>
      <c r="C238" s="185">
        <f>IF($K238="","",INDEX(Zeiterfassung!$K$6:$K$3665,$K238))</f>
        <v/>
      </c>
      <c r="D238" s="186">
        <f>IF($K238="","",INDEX(Zeiterfassung!$D$6:$D$3665,$K238))</f>
        <v/>
      </c>
      <c r="E238" s="186">
        <f>IF($K238="","",INDEX(Zeiterfassung!$E$6:$E$3665,$K238))</f>
        <v/>
      </c>
      <c r="F238" s="187">
        <f>IF($K238="","",INDEX(Zeiterfassung!$F$6:$F$3665,$K238))</f>
        <v/>
      </c>
      <c r="G238" s="187">
        <f>IF($K238="","",INDEX(Zeiterfassung!$G$6:$G$3665,$K238))</f>
        <v/>
      </c>
      <c r="H238" s="188">
        <f>IF($K238="","",INDEX(Zeiterfassung!$H$6:$H$3665,$K238))</f>
        <v/>
      </c>
      <c r="I238" s="335">
        <f>IF(B238=B237,"",IF($K238="","",INDEX(Zeiterfassung!$I$6:$I$3665,MATCH(INDEX(Zeiterfassung!$K$6:$K$3665,$K238),Zeiterfassung!$K$6:$K$3665,0))))</f>
        <v/>
      </c>
      <c r="J238" s="335">
        <f>IF(B238=B237,"",IF($K238="","",INDEX(Zeiterfassung!$J$6:$J$3665,MATCH(INDEX(Zeiterfassung!$K$6:$K$3665,$K238),Zeiterfassung!$K$6:$K$3665,0))))</f>
        <v/>
      </c>
      <c r="K238">
        <f>IFERROR(AGGREGATE(15,6,(ROW(Zeiterfassung!$D$6:$D$3665)-ROW(Zeiterfassung!$D$6)+1)/(Zeiterfassung!$D$6:$D$3665&lt;&gt;""),233),"")</f>
        <v/>
      </c>
    </row>
    <row r="239" ht="20" customHeight="1">
      <c r="A239" s="183">
        <f>IF($K239="","",WEEKNUM(INDEX(Zeiterfassung!$K$6:$K$3665,$K239),21))</f>
        <v/>
      </c>
      <c r="B239" s="184">
        <f>IF($K239="","",INDEX(Zeiterfassung!$K$6:$K$3665,$K239))</f>
        <v/>
      </c>
      <c r="C239" s="185">
        <f>IF($K239="","",INDEX(Zeiterfassung!$K$6:$K$3665,$K239))</f>
        <v/>
      </c>
      <c r="D239" s="186">
        <f>IF($K239="","",INDEX(Zeiterfassung!$D$6:$D$3665,$K239))</f>
        <v/>
      </c>
      <c r="E239" s="186">
        <f>IF($K239="","",INDEX(Zeiterfassung!$E$6:$E$3665,$K239))</f>
        <v/>
      </c>
      <c r="F239" s="187">
        <f>IF($K239="","",INDEX(Zeiterfassung!$F$6:$F$3665,$K239))</f>
        <v/>
      </c>
      <c r="G239" s="187">
        <f>IF($K239="","",INDEX(Zeiterfassung!$G$6:$G$3665,$K239))</f>
        <v/>
      </c>
      <c r="H239" s="188">
        <f>IF($K239="","",INDEX(Zeiterfassung!$H$6:$H$3665,$K239))</f>
        <v/>
      </c>
      <c r="I239" s="335">
        <f>IF(B239=B238,"",IF($K239="","",INDEX(Zeiterfassung!$I$6:$I$3665,MATCH(INDEX(Zeiterfassung!$K$6:$K$3665,$K239),Zeiterfassung!$K$6:$K$3665,0))))</f>
        <v/>
      </c>
      <c r="J239" s="335">
        <f>IF(B239=B238,"",IF($K239="","",INDEX(Zeiterfassung!$J$6:$J$3665,MATCH(INDEX(Zeiterfassung!$K$6:$K$3665,$K239),Zeiterfassung!$K$6:$K$3665,0))))</f>
        <v/>
      </c>
      <c r="K239">
        <f>IFERROR(AGGREGATE(15,6,(ROW(Zeiterfassung!$D$6:$D$3665)-ROW(Zeiterfassung!$D$6)+1)/(Zeiterfassung!$D$6:$D$3665&lt;&gt;""),234),"")</f>
        <v/>
      </c>
    </row>
    <row r="240" ht="20" customHeight="1">
      <c r="A240" s="183">
        <f>IF($K240="","",WEEKNUM(INDEX(Zeiterfassung!$K$6:$K$3665,$K240),21))</f>
        <v/>
      </c>
      <c r="B240" s="184">
        <f>IF($K240="","",INDEX(Zeiterfassung!$K$6:$K$3665,$K240))</f>
        <v/>
      </c>
      <c r="C240" s="185">
        <f>IF($K240="","",INDEX(Zeiterfassung!$K$6:$K$3665,$K240))</f>
        <v/>
      </c>
      <c r="D240" s="186">
        <f>IF($K240="","",INDEX(Zeiterfassung!$D$6:$D$3665,$K240))</f>
        <v/>
      </c>
      <c r="E240" s="186">
        <f>IF($K240="","",INDEX(Zeiterfassung!$E$6:$E$3665,$K240))</f>
        <v/>
      </c>
      <c r="F240" s="187">
        <f>IF($K240="","",INDEX(Zeiterfassung!$F$6:$F$3665,$K240))</f>
        <v/>
      </c>
      <c r="G240" s="187">
        <f>IF($K240="","",INDEX(Zeiterfassung!$G$6:$G$3665,$K240))</f>
        <v/>
      </c>
      <c r="H240" s="188">
        <f>IF($K240="","",INDEX(Zeiterfassung!$H$6:$H$3665,$K240))</f>
        <v/>
      </c>
      <c r="I240" s="335">
        <f>IF(B240=B239,"",IF($K240="","",INDEX(Zeiterfassung!$I$6:$I$3665,MATCH(INDEX(Zeiterfassung!$K$6:$K$3665,$K240),Zeiterfassung!$K$6:$K$3665,0))))</f>
        <v/>
      </c>
      <c r="J240" s="335">
        <f>IF(B240=B239,"",IF($K240="","",INDEX(Zeiterfassung!$J$6:$J$3665,MATCH(INDEX(Zeiterfassung!$K$6:$K$3665,$K240),Zeiterfassung!$K$6:$K$3665,0))))</f>
        <v/>
      </c>
      <c r="K240">
        <f>IFERROR(AGGREGATE(15,6,(ROW(Zeiterfassung!$D$6:$D$3665)-ROW(Zeiterfassung!$D$6)+1)/(Zeiterfassung!$D$6:$D$3665&lt;&gt;""),235),"")</f>
        <v/>
      </c>
    </row>
    <row r="241" ht="20" customHeight="1">
      <c r="A241" s="183">
        <f>IF($K241="","",WEEKNUM(INDEX(Zeiterfassung!$K$6:$K$3665,$K241),21))</f>
        <v/>
      </c>
      <c r="B241" s="184">
        <f>IF($K241="","",INDEX(Zeiterfassung!$K$6:$K$3665,$K241))</f>
        <v/>
      </c>
      <c r="C241" s="185">
        <f>IF($K241="","",INDEX(Zeiterfassung!$K$6:$K$3665,$K241))</f>
        <v/>
      </c>
      <c r="D241" s="186">
        <f>IF($K241="","",INDEX(Zeiterfassung!$D$6:$D$3665,$K241))</f>
        <v/>
      </c>
      <c r="E241" s="186">
        <f>IF($K241="","",INDEX(Zeiterfassung!$E$6:$E$3665,$K241))</f>
        <v/>
      </c>
      <c r="F241" s="187">
        <f>IF($K241="","",INDEX(Zeiterfassung!$F$6:$F$3665,$K241))</f>
        <v/>
      </c>
      <c r="G241" s="187">
        <f>IF($K241="","",INDEX(Zeiterfassung!$G$6:$G$3665,$K241))</f>
        <v/>
      </c>
      <c r="H241" s="188">
        <f>IF($K241="","",INDEX(Zeiterfassung!$H$6:$H$3665,$K241))</f>
        <v/>
      </c>
      <c r="I241" s="335">
        <f>IF(B241=B240,"",IF($K241="","",INDEX(Zeiterfassung!$I$6:$I$3665,MATCH(INDEX(Zeiterfassung!$K$6:$K$3665,$K241),Zeiterfassung!$K$6:$K$3665,0))))</f>
        <v/>
      </c>
      <c r="J241" s="335">
        <f>IF(B241=B240,"",IF($K241="","",INDEX(Zeiterfassung!$J$6:$J$3665,MATCH(INDEX(Zeiterfassung!$K$6:$K$3665,$K241),Zeiterfassung!$K$6:$K$3665,0))))</f>
        <v/>
      </c>
      <c r="K241">
        <f>IFERROR(AGGREGATE(15,6,(ROW(Zeiterfassung!$D$6:$D$3665)-ROW(Zeiterfassung!$D$6)+1)/(Zeiterfassung!$D$6:$D$3665&lt;&gt;""),236),"")</f>
        <v/>
      </c>
    </row>
    <row r="242" ht="20" customHeight="1">
      <c r="A242" s="183">
        <f>IF($K242="","",WEEKNUM(INDEX(Zeiterfassung!$K$6:$K$3665,$K242),21))</f>
        <v/>
      </c>
      <c r="B242" s="184">
        <f>IF($K242="","",INDEX(Zeiterfassung!$K$6:$K$3665,$K242))</f>
        <v/>
      </c>
      <c r="C242" s="185">
        <f>IF($K242="","",INDEX(Zeiterfassung!$K$6:$K$3665,$K242))</f>
        <v/>
      </c>
      <c r="D242" s="186">
        <f>IF($K242="","",INDEX(Zeiterfassung!$D$6:$D$3665,$K242))</f>
        <v/>
      </c>
      <c r="E242" s="186">
        <f>IF($K242="","",INDEX(Zeiterfassung!$E$6:$E$3665,$K242))</f>
        <v/>
      </c>
      <c r="F242" s="187">
        <f>IF($K242="","",INDEX(Zeiterfassung!$F$6:$F$3665,$K242))</f>
        <v/>
      </c>
      <c r="G242" s="187">
        <f>IF($K242="","",INDEX(Zeiterfassung!$G$6:$G$3665,$K242))</f>
        <v/>
      </c>
      <c r="H242" s="188">
        <f>IF($K242="","",INDEX(Zeiterfassung!$H$6:$H$3665,$K242))</f>
        <v/>
      </c>
      <c r="I242" s="335">
        <f>IF(B242=B241,"",IF($K242="","",INDEX(Zeiterfassung!$I$6:$I$3665,MATCH(INDEX(Zeiterfassung!$K$6:$K$3665,$K242),Zeiterfassung!$K$6:$K$3665,0))))</f>
        <v/>
      </c>
      <c r="J242" s="335">
        <f>IF(B242=B241,"",IF($K242="","",INDEX(Zeiterfassung!$J$6:$J$3665,MATCH(INDEX(Zeiterfassung!$K$6:$K$3665,$K242),Zeiterfassung!$K$6:$K$3665,0))))</f>
        <v/>
      </c>
      <c r="K242">
        <f>IFERROR(AGGREGATE(15,6,(ROW(Zeiterfassung!$D$6:$D$3665)-ROW(Zeiterfassung!$D$6)+1)/(Zeiterfassung!$D$6:$D$3665&lt;&gt;""),237),"")</f>
        <v/>
      </c>
    </row>
    <row r="243" ht="20" customHeight="1">
      <c r="A243" s="183">
        <f>IF($K243="","",WEEKNUM(INDEX(Zeiterfassung!$K$6:$K$3665,$K243),21))</f>
        <v/>
      </c>
      <c r="B243" s="184">
        <f>IF($K243="","",INDEX(Zeiterfassung!$K$6:$K$3665,$K243))</f>
        <v/>
      </c>
      <c r="C243" s="185">
        <f>IF($K243="","",INDEX(Zeiterfassung!$K$6:$K$3665,$K243))</f>
        <v/>
      </c>
      <c r="D243" s="186">
        <f>IF($K243="","",INDEX(Zeiterfassung!$D$6:$D$3665,$K243))</f>
        <v/>
      </c>
      <c r="E243" s="186">
        <f>IF($K243="","",INDEX(Zeiterfassung!$E$6:$E$3665,$K243))</f>
        <v/>
      </c>
      <c r="F243" s="187">
        <f>IF($K243="","",INDEX(Zeiterfassung!$F$6:$F$3665,$K243))</f>
        <v/>
      </c>
      <c r="G243" s="187">
        <f>IF($K243="","",INDEX(Zeiterfassung!$G$6:$G$3665,$K243))</f>
        <v/>
      </c>
      <c r="H243" s="188">
        <f>IF($K243="","",INDEX(Zeiterfassung!$H$6:$H$3665,$K243))</f>
        <v/>
      </c>
      <c r="I243" s="335">
        <f>IF(B243=B242,"",IF($K243="","",INDEX(Zeiterfassung!$I$6:$I$3665,MATCH(INDEX(Zeiterfassung!$K$6:$K$3665,$K243),Zeiterfassung!$K$6:$K$3665,0))))</f>
        <v/>
      </c>
      <c r="J243" s="335">
        <f>IF(B243=B242,"",IF($K243="","",INDEX(Zeiterfassung!$J$6:$J$3665,MATCH(INDEX(Zeiterfassung!$K$6:$K$3665,$K243),Zeiterfassung!$K$6:$K$3665,0))))</f>
        <v/>
      </c>
      <c r="K243">
        <f>IFERROR(AGGREGATE(15,6,(ROW(Zeiterfassung!$D$6:$D$3665)-ROW(Zeiterfassung!$D$6)+1)/(Zeiterfassung!$D$6:$D$3665&lt;&gt;""),238),"")</f>
        <v/>
      </c>
    </row>
    <row r="244" ht="20" customHeight="1">
      <c r="A244" s="183">
        <f>IF($K244="","",WEEKNUM(INDEX(Zeiterfassung!$K$6:$K$3665,$K244),21))</f>
        <v/>
      </c>
      <c r="B244" s="184">
        <f>IF($K244="","",INDEX(Zeiterfassung!$K$6:$K$3665,$K244))</f>
        <v/>
      </c>
      <c r="C244" s="185">
        <f>IF($K244="","",INDEX(Zeiterfassung!$K$6:$K$3665,$K244))</f>
        <v/>
      </c>
      <c r="D244" s="186">
        <f>IF($K244="","",INDEX(Zeiterfassung!$D$6:$D$3665,$K244))</f>
        <v/>
      </c>
      <c r="E244" s="186">
        <f>IF($K244="","",INDEX(Zeiterfassung!$E$6:$E$3665,$K244))</f>
        <v/>
      </c>
      <c r="F244" s="187">
        <f>IF($K244="","",INDEX(Zeiterfassung!$F$6:$F$3665,$K244))</f>
        <v/>
      </c>
      <c r="G244" s="187">
        <f>IF($K244="","",INDEX(Zeiterfassung!$G$6:$G$3665,$K244))</f>
        <v/>
      </c>
      <c r="H244" s="188">
        <f>IF($K244="","",INDEX(Zeiterfassung!$H$6:$H$3665,$K244))</f>
        <v/>
      </c>
      <c r="I244" s="335">
        <f>IF(B244=B243,"",IF($K244="","",INDEX(Zeiterfassung!$I$6:$I$3665,MATCH(INDEX(Zeiterfassung!$K$6:$K$3665,$K244),Zeiterfassung!$K$6:$K$3665,0))))</f>
        <v/>
      </c>
      <c r="J244" s="335">
        <f>IF(B244=B243,"",IF($K244="","",INDEX(Zeiterfassung!$J$6:$J$3665,MATCH(INDEX(Zeiterfassung!$K$6:$K$3665,$K244),Zeiterfassung!$K$6:$K$3665,0))))</f>
        <v/>
      </c>
      <c r="K244">
        <f>IFERROR(AGGREGATE(15,6,(ROW(Zeiterfassung!$D$6:$D$3665)-ROW(Zeiterfassung!$D$6)+1)/(Zeiterfassung!$D$6:$D$3665&lt;&gt;""),239),"")</f>
        <v/>
      </c>
    </row>
    <row r="245" ht="20" customHeight="1">
      <c r="A245" s="183">
        <f>IF($K245="","",WEEKNUM(INDEX(Zeiterfassung!$K$6:$K$3665,$K245),21))</f>
        <v/>
      </c>
      <c r="B245" s="184">
        <f>IF($K245="","",INDEX(Zeiterfassung!$K$6:$K$3665,$K245))</f>
        <v/>
      </c>
      <c r="C245" s="185">
        <f>IF($K245="","",INDEX(Zeiterfassung!$K$6:$K$3665,$K245))</f>
        <v/>
      </c>
      <c r="D245" s="186">
        <f>IF($K245="","",INDEX(Zeiterfassung!$D$6:$D$3665,$K245))</f>
        <v/>
      </c>
      <c r="E245" s="186">
        <f>IF($K245="","",INDEX(Zeiterfassung!$E$6:$E$3665,$K245))</f>
        <v/>
      </c>
      <c r="F245" s="187">
        <f>IF($K245="","",INDEX(Zeiterfassung!$F$6:$F$3665,$K245))</f>
        <v/>
      </c>
      <c r="G245" s="187">
        <f>IF($K245="","",INDEX(Zeiterfassung!$G$6:$G$3665,$K245))</f>
        <v/>
      </c>
      <c r="H245" s="188">
        <f>IF($K245="","",INDEX(Zeiterfassung!$H$6:$H$3665,$K245))</f>
        <v/>
      </c>
      <c r="I245" s="335">
        <f>IF(B245=B244,"",IF($K245="","",INDEX(Zeiterfassung!$I$6:$I$3665,MATCH(INDEX(Zeiterfassung!$K$6:$K$3665,$K245),Zeiterfassung!$K$6:$K$3665,0))))</f>
        <v/>
      </c>
      <c r="J245" s="335">
        <f>IF(B245=B244,"",IF($K245="","",INDEX(Zeiterfassung!$J$6:$J$3665,MATCH(INDEX(Zeiterfassung!$K$6:$K$3665,$K245),Zeiterfassung!$K$6:$K$3665,0))))</f>
        <v/>
      </c>
      <c r="K245">
        <f>IFERROR(AGGREGATE(15,6,(ROW(Zeiterfassung!$D$6:$D$3665)-ROW(Zeiterfassung!$D$6)+1)/(Zeiterfassung!$D$6:$D$3665&lt;&gt;""),240),"")</f>
        <v/>
      </c>
    </row>
    <row r="246" ht="20" customHeight="1">
      <c r="A246" s="183">
        <f>IF($K246="","",WEEKNUM(INDEX(Zeiterfassung!$K$6:$K$3665,$K246),21))</f>
        <v/>
      </c>
      <c r="B246" s="184">
        <f>IF($K246="","",INDEX(Zeiterfassung!$K$6:$K$3665,$K246))</f>
        <v/>
      </c>
      <c r="C246" s="185">
        <f>IF($K246="","",INDEX(Zeiterfassung!$K$6:$K$3665,$K246))</f>
        <v/>
      </c>
      <c r="D246" s="186">
        <f>IF($K246="","",INDEX(Zeiterfassung!$D$6:$D$3665,$K246))</f>
        <v/>
      </c>
      <c r="E246" s="186">
        <f>IF($K246="","",INDEX(Zeiterfassung!$E$6:$E$3665,$K246))</f>
        <v/>
      </c>
      <c r="F246" s="187">
        <f>IF($K246="","",INDEX(Zeiterfassung!$F$6:$F$3665,$K246))</f>
        <v/>
      </c>
      <c r="G246" s="187">
        <f>IF($K246="","",INDEX(Zeiterfassung!$G$6:$G$3665,$K246))</f>
        <v/>
      </c>
      <c r="H246" s="188">
        <f>IF($K246="","",INDEX(Zeiterfassung!$H$6:$H$3665,$K246))</f>
        <v/>
      </c>
      <c r="I246" s="335">
        <f>IF(B246=B245,"",IF($K246="","",INDEX(Zeiterfassung!$I$6:$I$3665,MATCH(INDEX(Zeiterfassung!$K$6:$K$3665,$K246),Zeiterfassung!$K$6:$K$3665,0))))</f>
        <v/>
      </c>
      <c r="J246" s="335">
        <f>IF(B246=B245,"",IF($K246="","",INDEX(Zeiterfassung!$J$6:$J$3665,MATCH(INDEX(Zeiterfassung!$K$6:$K$3665,$K246),Zeiterfassung!$K$6:$K$3665,0))))</f>
        <v/>
      </c>
      <c r="K246">
        <f>IFERROR(AGGREGATE(15,6,(ROW(Zeiterfassung!$D$6:$D$3665)-ROW(Zeiterfassung!$D$6)+1)/(Zeiterfassung!$D$6:$D$3665&lt;&gt;""),241),"")</f>
        <v/>
      </c>
    </row>
    <row r="247" ht="20" customHeight="1">
      <c r="A247" s="183">
        <f>IF($K247="","",WEEKNUM(INDEX(Zeiterfassung!$K$6:$K$3665,$K247),21))</f>
        <v/>
      </c>
      <c r="B247" s="184">
        <f>IF($K247="","",INDEX(Zeiterfassung!$K$6:$K$3665,$K247))</f>
        <v/>
      </c>
      <c r="C247" s="185">
        <f>IF($K247="","",INDEX(Zeiterfassung!$K$6:$K$3665,$K247))</f>
        <v/>
      </c>
      <c r="D247" s="186">
        <f>IF($K247="","",INDEX(Zeiterfassung!$D$6:$D$3665,$K247))</f>
        <v/>
      </c>
      <c r="E247" s="186">
        <f>IF($K247="","",INDEX(Zeiterfassung!$E$6:$E$3665,$K247))</f>
        <v/>
      </c>
      <c r="F247" s="187">
        <f>IF($K247="","",INDEX(Zeiterfassung!$F$6:$F$3665,$K247))</f>
        <v/>
      </c>
      <c r="G247" s="187">
        <f>IF($K247="","",INDEX(Zeiterfassung!$G$6:$G$3665,$K247))</f>
        <v/>
      </c>
      <c r="H247" s="188">
        <f>IF($K247="","",INDEX(Zeiterfassung!$H$6:$H$3665,$K247))</f>
        <v/>
      </c>
      <c r="I247" s="335">
        <f>IF(B247=B246,"",IF($K247="","",INDEX(Zeiterfassung!$I$6:$I$3665,MATCH(INDEX(Zeiterfassung!$K$6:$K$3665,$K247),Zeiterfassung!$K$6:$K$3665,0))))</f>
        <v/>
      </c>
      <c r="J247" s="335">
        <f>IF(B247=B246,"",IF($K247="","",INDEX(Zeiterfassung!$J$6:$J$3665,MATCH(INDEX(Zeiterfassung!$K$6:$K$3665,$K247),Zeiterfassung!$K$6:$K$3665,0))))</f>
        <v/>
      </c>
      <c r="K247">
        <f>IFERROR(AGGREGATE(15,6,(ROW(Zeiterfassung!$D$6:$D$3665)-ROW(Zeiterfassung!$D$6)+1)/(Zeiterfassung!$D$6:$D$3665&lt;&gt;""),242),"")</f>
        <v/>
      </c>
    </row>
    <row r="248" ht="20" customHeight="1">
      <c r="A248" s="183">
        <f>IF($K248="","",WEEKNUM(INDEX(Zeiterfassung!$K$6:$K$3665,$K248),21))</f>
        <v/>
      </c>
      <c r="B248" s="184">
        <f>IF($K248="","",INDEX(Zeiterfassung!$K$6:$K$3665,$K248))</f>
        <v/>
      </c>
      <c r="C248" s="185">
        <f>IF($K248="","",INDEX(Zeiterfassung!$K$6:$K$3665,$K248))</f>
        <v/>
      </c>
      <c r="D248" s="186">
        <f>IF($K248="","",INDEX(Zeiterfassung!$D$6:$D$3665,$K248))</f>
        <v/>
      </c>
      <c r="E248" s="186">
        <f>IF($K248="","",INDEX(Zeiterfassung!$E$6:$E$3665,$K248))</f>
        <v/>
      </c>
      <c r="F248" s="187">
        <f>IF($K248="","",INDEX(Zeiterfassung!$F$6:$F$3665,$K248))</f>
        <v/>
      </c>
      <c r="G248" s="187">
        <f>IF($K248="","",INDEX(Zeiterfassung!$G$6:$G$3665,$K248))</f>
        <v/>
      </c>
      <c r="H248" s="188">
        <f>IF($K248="","",INDEX(Zeiterfassung!$H$6:$H$3665,$K248))</f>
        <v/>
      </c>
      <c r="I248" s="335">
        <f>IF(B248=B247,"",IF($K248="","",INDEX(Zeiterfassung!$I$6:$I$3665,MATCH(INDEX(Zeiterfassung!$K$6:$K$3665,$K248),Zeiterfassung!$K$6:$K$3665,0))))</f>
        <v/>
      </c>
      <c r="J248" s="335">
        <f>IF(B248=B247,"",IF($K248="","",INDEX(Zeiterfassung!$J$6:$J$3665,MATCH(INDEX(Zeiterfassung!$K$6:$K$3665,$K248),Zeiterfassung!$K$6:$K$3665,0))))</f>
        <v/>
      </c>
      <c r="K248">
        <f>IFERROR(AGGREGATE(15,6,(ROW(Zeiterfassung!$D$6:$D$3665)-ROW(Zeiterfassung!$D$6)+1)/(Zeiterfassung!$D$6:$D$3665&lt;&gt;""),243),"")</f>
        <v/>
      </c>
    </row>
    <row r="249" ht="20" customHeight="1">
      <c r="A249" s="183">
        <f>IF($K249="","",WEEKNUM(INDEX(Zeiterfassung!$K$6:$K$3665,$K249),21))</f>
        <v/>
      </c>
      <c r="B249" s="184">
        <f>IF($K249="","",INDEX(Zeiterfassung!$K$6:$K$3665,$K249))</f>
        <v/>
      </c>
      <c r="C249" s="185">
        <f>IF($K249="","",INDEX(Zeiterfassung!$K$6:$K$3665,$K249))</f>
        <v/>
      </c>
      <c r="D249" s="186">
        <f>IF($K249="","",INDEX(Zeiterfassung!$D$6:$D$3665,$K249))</f>
        <v/>
      </c>
      <c r="E249" s="186">
        <f>IF($K249="","",INDEX(Zeiterfassung!$E$6:$E$3665,$K249))</f>
        <v/>
      </c>
      <c r="F249" s="187">
        <f>IF($K249="","",INDEX(Zeiterfassung!$F$6:$F$3665,$K249))</f>
        <v/>
      </c>
      <c r="G249" s="187">
        <f>IF($K249="","",INDEX(Zeiterfassung!$G$6:$G$3665,$K249))</f>
        <v/>
      </c>
      <c r="H249" s="188">
        <f>IF($K249="","",INDEX(Zeiterfassung!$H$6:$H$3665,$K249))</f>
        <v/>
      </c>
      <c r="I249" s="335">
        <f>IF(B249=B248,"",IF($K249="","",INDEX(Zeiterfassung!$I$6:$I$3665,MATCH(INDEX(Zeiterfassung!$K$6:$K$3665,$K249),Zeiterfassung!$K$6:$K$3665,0))))</f>
        <v/>
      </c>
      <c r="J249" s="335">
        <f>IF(B249=B248,"",IF($K249="","",INDEX(Zeiterfassung!$J$6:$J$3665,MATCH(INDEX(Zeiterfassung!$K$6:$K$3665,$K249),Zeiterfassung!$K$6:$K$3665,0))))</f>
        <v/>
      </c>
      <c r="K249">
        <f>IFERROR(AGGREGATE(15,6,(ROW(Zeiterfassung!$D$6:$D$3665)-ROW(Zeiterfassung!$D$6)+1)/(Zeiterfassung!$D$6:$D$3665&lt;&gt;""),244),"")</f>
        <v/>
      </c>
    </row>
    <row r="250" ht="20" customHeight="1">
      <c r="A250" s="183">
        <f>IF($K250="","",WEEKNUM(INDEX(Zeiterfassung!$K$6:$K$3665,$K250),21))</f>
        <v/>
      </c>
      <c r="B250" s="184">
        <f>IF($K250="","",INDEX(Zeiterfassung!$K$6:$K$3665,$K250))</f>
        <v/>
      </c>
      <c r="C250" s="185">
        <f>IF($K250="","",INDEX(Zeiterfassung!$K$6:$K$3665,$K250))</f>
        <v/>
      </c>
      <c r="D250" s="186">
        <f>IF($K250="","",INDEX(Zeiterfassung!$D$6:$D$3665,$K250))</f>
        <v/>
      </c>
      <c r="E250" s="186">
        <f>IF($K250="","",INDEX(Zeiterfassung!$E$6:$E$3665,$K250))</f>
        <v/>
      </c>
      <c r="F250" s="187">
        <f>IF($K250="","",INDEX(Zeiterfassung!$F$6:$F$3665,$K250))</f>
        <v/>
      </c>
      <c r="G250" s="187">
        <f>IF($K250="","",INDEX(Zeiterfassung!$G$6:$G$3665,$K250))</f>
        <v/>
      </c>
      <c r="H250" s="188">
        <f>IF($K250="","",INDEX(Zeiterfassung!$H$6:$H$3665,$K250))</f>
        <v/>
      </c>
      <c r="I250" s="335">
        <f>IF(B250=B249,"",IF($K250="","",INDEX(Zeiterfassung!$I$6:$I$3665,MATCH(INDEX(Zeiterfassung!$K$6:$K$3665,$K250),Zeiterfassung!$K$6:$K$3665,0))))</f>
        <v/>
      </c>
      <c r="J250" s="335">
        <f>IF(B250=B249,"",IF($K250="","",INDEX(Zeiterfassung!$J$6:$J$3665,MATCH(INDEX(Zeiterfassung!$K$6:$K$3665,$K250),Zeiterfassung!$K$6:$K$3665,0))))</f>
        <v/>
      </c>
      <c r="K250">
        <f>IFERROR(AGGREGATE(15,6,(ROW(Zeiterfassung!$D$6:$D$3665)-ROW(Zeiterfassung!$D$6)+1)/(Zeiterfassung!$D$6:$D$3665&lt;&gt;""),245),"")</f>
        <v/>
      </c>
    </row>
    <row r="251" ht="20" customHeight="1">
      <c r="A251" s="183">
        <f>IF($K251="","",WEEKNUM(INDEX(Zeiterfassung!$K$6:$K$3665,$K251),21))</f>
        <v/>
      </c>
      <c r="B251" s="184">
        <f>IF($K251="","",INDEX(Zeiterfassung!$K$6:$K$3665,$K251))</f>
        <v/>
      </c>
      <c r="C251" s="185">
        <f>IF($K251="","",INDEX(Zeiterfassung!$K$6:$K$3665,$K251))</f>
        <v/>
      </c>
      <c r="D251" s="186">
        <f>IF($K251="","",INDEX(Zeiterfassung!$D$6:$D$3665,$K251))</f>
        <v/>
      </c>
      <c r="E251" s="186">
        <f>IF($K251="","",INDEX(Zeiterfassung!$E$6:$E$3665,$K251))</f>
        <v/>
      </c>
      <c r="F251" s="187">
        <f>IF($K251="","",INDEX(Zeiterfassung!$F$6:$F$3665,$K251))</f>
        <v/>
      </c>
      <c r="G251" s="187">
        <f>IF($K251="","",INDEX(Zeiterfassung!$G$6:$G$3665,$K251))</f>
        <v/>
      </c>
      <c r="H251" s="188">
        <f>IF($K251="","",INDEX(Zeiterfassung!$H$6:$H$3665,$K251))</f>
        <v/>
      </c>
      <c r="I251" s="335">
        <f>IF(B251=B250,"",IF($K251="","",INDEX(Zeiterfassung!$I$6:$I$3665,MATCH(INDEX(Zeiterfassung!$K$6:$K$3665,$K251),Zeiterfassung!$K$6:$K$3665,0))))</f>
        <v/>
      </c>
      <c r="J251" s="335">
        <f>IF(B251=B250,"",IF($K251="","",INDEX(Zeiterfassung!$J$6:$J$3665,MATCH(INDEX(Zeiterfassung!$K$6:$K$3665,$K251),Zeiterfassung!$K$6:$K$3665,0))))</f>
        <v/>
      </c>
      <c r="K251">
        <f>IFERROR(AGGREGATE(15,6,(ROW(Zeiterfassung!$D$6:$D$3665)-ROW(Zeiterfassung!$D$6)+1)/(Zeiterfassung!$D$6:$D$3665&lt;&gt;""),246),"")</f>
        <v/>
      </c>
    </row>
    <row r="252" ht="20" customHeight="1">
      <c r="A252" s="183">
        <f>IF($K252="","",WEEKNUM(INDEX(Zeiterfassung!$K$6:$K$3665,$K252),21))</f>
        <v/>
      </c>
      <c r="B252" s="184">
        <f>IF($K252="","",INDEX(Zeiterfassung!$K$6:$K$3665,$K252))</f>
        <v/>
      </c>
      <c r="C252" s="185">
        <f>IF($K252="","",INDEX(Zeiterfassung!$K$6:$K$3665,$K252))</f>
        <v/>
      </c>
      <c r="D252" s="186">
        <f>IF($K252="","",INDEX(Zeiterfassung!$D$6:$D$3665,$K252))</f>
        <v/>
      </c>
      <c r="E252" s="186">
        <f>IF($K252="","",INDEX(Zeiterfassung!$E$6:$E$3665,$K252))</f>
        <v/>
      </c>
      <c r="F252" s="187">
        <f>IF($K252="","",INDEX(Zeiterfassung!$F$6:$F$3665,$K252))</f>
        <v/>
      </c>
      <c r="G252" s="187">
        <f>IF($K252="","",INDEX(Zeiterfassung!$G$6:$G$3665,$K252))</f>
        <v/>
      </c>
      <c r="H252" s="188">
        <f>IF($K252="","",INDEX(Zeiterfassung!$H$6:$H$3665,$K252))</f>
        <v/>
      </c>
      <c r="I252" s="335">
        <f>IF(B252=B251,"",IF($K252="","",INDEX(Zeiterfassung!$I$6:$I$3665,MATCH(INDEX(Zeiterfassung!$K$6:$K$3665,$K252),Zeiterfassung!$K$6:$K$3665,0))))</f>
        <v/>
      </c>
      <c r="J252" s="335">
        <f>IF(B252=B251,"",IF($K252="","",INDEX(Zeiterfassung!$J$6:$J$3665,MATCH(INDEX(Zeiterfassung!$K$6:$K$3665,$K252),Zeiterfassung!$K$6:$K$3665,0))))</f>
        <v/>
      </c>
      <c r="K252">
        <f>IFERROR(AGGREGATE(15,6,(ROW(Zeiterfassung!$D$6:$D$3665)-ROW(Zeiterfassung!$D$6)+1)/(Zeiterfassung!$D$6:$D$3665&lt;&gt;""),247),"")</f>
        <v/>
      </c>
    </row>
    <row r="253" ht="20" customHeight="1">
      <c r="A253" s="183">
        <f>IF($K253="","",WEEKNUM(INDEX(Zeiterfassung!$K$6:$K$3665,$K253),21))</f>
        <v/>
      </c>
      <c r="B253" s="184">
        <f>IF($K253="","",INDEX(Zeiterfassung!$K$6:$K$3665,$K253))</f>
        <v/>
      </c>
      <c r="C253" s="185">
        <f>IF($K253="","",INDEX(Zeiterfassung!$K$6:$K$3665,$K253))</f>
        <v/>
      </c>
      <c r="D253" s="186">
        <f>IF($K253="","",INDEX(Zeiterfassung!$D$6:$D$3665,$K253))</f>
        <v/>
      </c>
      <c r="E253" s="186">
        <f>IF($K253="","",INDEX(Zeiterfassung!$E$6:$E$3665,$K253))</f>
        <v/>
      </c>
      <c r="F253" s="187">
        <f>IF($K253="","",INDEX(Zeiterfassung!$F$6:$F$3665,$K253))</f>
        <v/>
      </c>
      <c r="G253" s="187">
        <f>IF($K253="","",INDEX(Zeiterfassung!$G$6:$G$3665,$K253))</f>
        <v/>
      </c>
      <c r="H253" s="188">
        <f>IF($K253="","",INDEX(Zeiterfassung!$H$6:$H$3665,$K253))</f>
        <v/>
      </c>
      <c r="I253" s="335">
        <f>IF(B253=B252,"",IF($K253="","",INDEX(Zeiterfassung!$I$6:$I$3665,MATCH(INDEX(Zeiterfassung!$K$6:$K$3665,$K253),Zeiterfassung!$K$6:$K$3665,0))))</f>
        <v/>
      </c>
      <c r="J253" s="335">
        <f>IF(B253=B252,"",IF($K253="","",INDEX(Zeiterfassung!$J$6:$J$3665,MATCH(INDEX(Zeiterfassung!$K$6:$K$3665,$K253),Zeiterfassung!$K$6:$K$3665,0))))</f>
        <v/>
      </c>
      <c r="K253">
        <f>IFERROR(AGGREGATE(15,6,(ROW(Zeiterfassung!$D$6:$D$3665)-ROW(Zeiterfassung!$D$6)+1)/(Zeiterfassung!$D$6:$D$3665&lt;&gt;""),248),"")</f>
        <v/>
      </c>
    </row>
    <row r="254" ht="20" customHeight="1">
      <c r="A254" s="183">
        <f>IF($K254="","",WEEKNUM(INDEX(Zeiterfassung!$K$6:$K$3665,$K254),21))</f>
        <v/>
      </c>
      <c r="B254" s="184">
        <f>IF($K254="","",INDEX(Zeiterfassung!$K$6:$K$3665,$K254))</f>
        <v/>
      </c>
      <c r="C254" s="185">
        <f>IF($K254="","",INDEX(Zeiterfassung!$K$6:$K$3665,$K254))</f>
        <v/>
      </c>
      <c r="D254" s="186">
        <f>IF($K254="","",INDEX(Zeiterfassung!$D$6:$D$3665,$K254))</f>
        <v/>
      </c>
      <c r="E254" s="186">
        <f>IF($K254="","",INDEX(Zeiterfassung!$E$6:$E$3665,$K254))</f>
        <v/>
      </c>
      <c r="F254" s="187">
        <f>IF($K254="","",INDEX(Zeiterfassung!$F$6:$F$3665,$K254))</f>
        <v/>
      </c>
      <c r="G254" s="187">
        <f>IF($K254="","",INDEX(Zeiterfassung!$G$6:$G$3665,$K254))</f>
        <v/>
      </c>
      <c r="H254" s="188">
        <f>IF($K254="","",INDEX(Zeiterfassung!$H$6:$H$3665,$K254))</f>
        <v/>
      </c>
      <c r="I254" s="335">
        <f>IF(B254=B253,"",IF($K254="","",INDEX(Zeiterfassung!$I$6:$I$3665,MATCH(INDEX(Zeiterfassung!$K$6:$K$3665,$K254),Zeiterfassung!$K$6:$K$3665,0))))</f>
        <v/>
      </c>
      <c r="J254" s="335">
        <f>IF(B254=B253,"",IF($K254="","",INDEX(Zeiterfassung!$J$6:$J$3665,MATCH(INDEX(Zeiterfassung!$K$6:$K$3665,$K254),Zeiterfassung!$K$6:$K$3665,0))))</f>
        <v/>
      </c>
      <c r="K254">
        <f>IFERROR(AGGREGATE(15,6,(ROW(Zeiterfassung!$D$6:$D$3665)-ROW(Zeiterfassung!$D$6)+1)/(Zeiterfassung!$D$6:$D$3665&lt;&gt;""),249),"")</f>
        <v/>
      </c>
    </row>
    <row r="255" ht="20" customHeight="1">
      <c r="A255" s="183">
        <f>IF($K255="","",WEEKNUM(INDEX(Zeiterfassung!$K$6:$K$3665,$K255),21))</f>
        <v/>
      </c>
      <c r="B255" s="184">
        <f>IF($K255="","",INDEX(Zeiterfassung!$K$6:$K$3665,$K255))</f>
        <v/>
      </c>
      <c r="C255" s="185">
        <f>IF($K255="","",INDEX(Zeiterfassung!$K$6:$K$3665,$K255))</f>
        <v/>
      </c>
      <c r="D255" s="186">
        <f>IF($K255="","",INDEX(Zeiterfassung!$D$6:$D$3665,$K255))</f>
        <v/>
      </c>
      <c r="E255" s="186">
        <f>IF($K255="","",INDEX(Zeiterfassung!$E$6:$E$3665,$K255))</f>
        <v/>
      </c>
      <c r="F255" s="187">
        <f>IF($K255="","",INDEX(Zeiterfassung!$F$6:$F$3665,$K255))</f>
        <v/>
      </c>
      <c r="G255" s="187">
        <f>IF($K255="","",INDEX(Zeiterfassung!$G$6:$G$3665,$K255))</f>
        <v/>
      </c>
      <c r="H255" s="188">
        <f>IF($K255="","",INDEX(Zeiterfassung!$H$6:$H$3665,$K255))</f>
        <v/>
      </c>
      <c r="I255" s="335">
        <f>IF(B255=B254,"",IF($K255="","",INDEX(Zeiterfassung!$I$6:$I$3665,MATCH(INDEX(Zeiterfassung!$K$6:$K$3665,$K255),Zeiterfassung!$K$6:$K$3665,0))))</f>
        <v/>
      </c>
      <c r="J255" s="335">
        <f>IF(B255=B254,"",IF($K255="","",INDEX(Zeiterfassung!$J$6:$J$3665,MATCH(INDEX(Zeiterfassung!$K$6:$K$3665,$K255),Zeiterfassung!$K$6:$K$3665,0))))</f>
        <v/>
      </c>
      <c r="K255">
        <f>IFERROR(AGGREGATE(15,6,(ROW(Zeiterfassung!$D$6:$D$3665)-ROW(Zeiterfassung!$D$6)+1)/(Zeiterfassung!$D$6:$D$3665&lt;&gt;""),250),"")</f>
        <v/>
      </c>
    </row>
    <row r="256" ht="20" customHeight="1">
      <c r="A256" s="183">
        <f>IF($K256="","",WEEKNUM(INDEX(Zeiterfassung!$K$6:$K$3665,$K256),21))</f>
        <v/>
      </c>
      <c r="B256" s="184">
        <f>IF($K256="","",INDEX(Zeiterfassung!$K$6:$K$3665,$K256))</f>
        <v/>
      </c>
      <c r="C256" s="185">
        <f>IF($K256="","",INDEX(Zeiterfassung!$K$6:$K$3665,$K256))</f>
        <v/>
      </c>
      <c r="D256" s="186">
        <f>IF($K256="","",INDEX(Zeiterfassung!$D$6:$D$3665,$K256))</f>
        <v/>
      </c>
      <c r="E256" s="186">
        <f>IF($K256="","",INDEX(Zeiterfassung!$E$6:$E$3665,$K256))</f>
        <v/>
      </c>
      <c r="F256" s="187">
        <f>IF($K256="","",INDEX(Zeiterfassung!$F$6:$F$3665,$K256))</f>
        <v/>
      </c>
      <c r="G256" s="187">
        <f>IF($K256="","",INDEX(Zeiterfassung!$G$6:$G$3665,$K256))</f>
        <v/>
      </c>
      <c r="H256" s="188">
        <f>IF($K256="","",INDEX(Zeiterfassung!$H$6:$H$3665,$K256))</f>
        <v/>
      </c>
      <c r="I256" s="335">
        <f>IF(B256=B255,"",IF($K256="","",INDEX(Zeiterfassung!$I$6:$I$3665,MATCH(INDEX(Zeiterfassung!$K$6:$K$3665,$K256),Zeiterfassung!$K$6:$K$3665,0))))</f>
        <v/>
      </c>
      <c r="J256" s="335">
        <f>IF(B256=B255,"",IF($K256="","",INDEX(Zeiterfassung!$J$6:$J$3665,MATCH(INDEX(Zeiterfassung!$K$6:$K$3665,$K256),Zeiterfassung!$K$6:$K$3665,0))))</f>
        <v/>
      </c>
      <c r="K256">
        <f>IFERROR(AGGREGATE(15,6,(ROW(Zeiterfassung!$D$6:$D$3665)-ROW(Zeiterfassung!$D$6)+1)/(Zeiterfassung!$D$6:$D$3665&lt;&gt;""),251),"")</f>
        <v/>
      </c>
    </row>
    <row r="257" ht="20" customHeight="1">
      <c r="A257" s="183">
        <f>IF($K257="","",WEEKNUM(INDEX(Zeiterfassung!$K$6:$K$3665,$K257),21))</f>
        <v/>
      </c>
      <c r="B257" s="184">
        <f>IF($K257="","",INDEX(Zeiterfassung!$K$6:$K$3665,$K257))</f>
        <v/>
      </c>
      <c r="C257" s="185">
        <f>IF($K257="","",INDEX(Zeiterfassung!$K$6:$K$3665,$K257))</f>
        <v/>
      </c>
      <c r="D257" s="186">
        <f>IF($K257="","",INDEX(Zeiterfassung!$D$6:$D$3665,$K257))</f>
        <v/>
      </c>
      <c r="E257" s="186">
        <f>IF($K257="","",INDEX(Zeiterfassung!$E$6:$E$3665,$K257))</f>
        <v/>
      </c>
      <c r="F257" s="187">
        <f>IF($K257="","",INDEX(Zeiterfassung!$F$6:$F$3665,$K257))</f>
        <v/>
      </c>
      <c r="G257" s="187">
        <f>IF($K257="","",INDEX(Zeiterfassung!$G$6:$G$3665,$K257))</f>
        <v/>
      </c>
      <c r="H257" s="188">
        <f>IF($K257="","",INDEX(Zeiterfassung!$H$6:$H$3665,$K257))</f>
        <v/>
      </c>
      <c r="I257" s="335">
        <f>IF(B257=B256,"",IF($K257="","",INDEX(Zeiterfassung!$I$6:$I$3665,MATCH(INDEX(Zeiterfassung!$K$6:$K$3665,$K257),Zeiterfassung!$K$6:$K$3665,0))))</f>
        <v/>
      </c>
      <c r="J257" s="335">
        <f>IF(B257=B256,"",IF($K257="","",INDEX(Zeiterfassung!$J$6:$J$3665,MATCH(INDEX(Zeiterfassung!$K$6:$K$3665,$K257),Zeiterfassung!$K$6:$K$3665,0))))</f>
        <v/>
      </c>
      <c r="K257">
        <f>IFERROR(AGGREGATE(15,6,(ROW(Zeiterfassung!$D$6:$D$3665)-ROW(Zeiterfassung!$D$6)+1)/(Zeiterfassung!$D$6:$D$3665&lt;&gt;""),252),"")</f>
        <v/>
      </c>
    </row>
    <row r="258" ht="20" customHeight="1">
      <c r="A258" s="183">
        <f>IF($K258="","",WEEKNUM(INDEX(Zeiterfassung!$K$6:$K$3665,$K258),21))</f>
        <v/>
      </c>
      <c r="B258" s="184">
        <f>IF($K258="","",INDEX(Zeiterfassung!$K$6:$K$3665,$K258))</f>
        <v/>
      </c>
      <c r="C258" s="185">
        <f>IF($K258="","",INDEX(Zeiterfassung!$K$6:$K$3665,$K258))</f>
        <v/>
      </c>
      <c r="D258" s="186">
        <f>IF($K258="","",INDEX(Zeiterfassung!$D$6:$D$3665,$K258))</f>
        <v/>
      </c>
      <c r="E258" s="186">
        <f>IF($K258="","",INDEX(Zeiterfassung!$E$6:$E$3665,$K258))</f>
        <v/>
      </c>
      <c r="F258" s="187">
        <f>IF($K258="","",INDEX(Zeiterfassung!$F$6:$F$3665,$K258))</f>
        <v/>
      </c>
      <c r="G258" s="187">
        <f>IF($K258="","",INDEX(Zeiterfassung!$G$6:$G$3665,$K258))</f>
        <v/>
      </c>
      <c r="H258" s="188">
        <f>IF($K258="","",INDEX(Zeiterfassung!$H$6:$H$3665,$K258))</f>
        <v/>
      </c>
      <c r="I258" s="335">
        <f>IF(B258=B257,"",IF($K258="","",INDEX(Zeiterfassung!$I$6:$I$3665,MATCH(INDEX(Zeiterfassung!$K$6:$K$3665,$K258),Zeiterfassung!$K$6:$K$3665,0))))</f>
        <v/>
      </c>
      <c r="J258" s="335">
        <f>IF(B258=B257,"",IF($K258="","",INDEX(Zeiterfassung!$J$6:$J$3665,MATCH(INDEX(Zeiterfassung!$K$6:$K$3665,$K258),Zeiterfassung!$K$6:$K$3665,0))))</f>
        <v/>
      </c>
      <c r="K258">
        <f>IFERROR(AGGREGATE(15,6,(ROW(Zeiterfassung!$D$6:$D$3665)-ROW(Zeiterfassung!$D$6)+1)/(Zeiterfassung!$D$6:$D$3665&lt;&gt;""),253),"")</f>
        <v/>
      </c>
    </row>
    <row r="259" ht="20" customHeight="1">
      <c r="A259" s="183">
        <f>IF($K259="","",WEEKNUM(INDEX(Zeiterfassung!$K$6:$K$3665,$K259),21))</f>
        <v/>
      </c>
      <c r="B259" s="184">
        <f>IF($K259="","",INDEX(Zeiterfassung!$K$6:$K$3665,$K259))</f>
        <v/>
      </c>
      <c r="C259" s="185">
        <f>IF($K259="","",INDEX(Zeiterfassung!$K$6:$K$3665,$K259))</f>
        <v/>
      </c>
      <c r="D259" s="186">
        <f>IF($K259="","",INDEX(Zeiterfassung!$D$6:$D$3665,$K259))</f>
        <v/>
      </c>
      <c r="E259" s="186">
        <f>IF($K259="","",INDEX(Zeiterfassung!$E$6:$E$3665,$K259))</f>
        <v/>
      </c>
      <c r="F259" s="187">
        <f>IF($K259="","",INDEX(Zeiterfassung!$F$6:$F$3665,$K259))</f>
        <v/>
      </c>
      <c r="G259" s="187">
        <f>IF($K259="","",INDEX(Zeiterfassung!$G$6:$G$3665,$K259))</f>
        <v/>
      </c>
      <c r="H259" s="188">
        <f>IF($K259="","",INDEX(Zeiterfassung!$H$6:$H$3665,$K259))</f>
        <v/>
      </c>
      <c r="I259" s="335">
        <f>IF(B259=B258,"",IF($K259="","",INDEX(Zeiterfassung!$I$6:$I$3665,MATCH(INDEX(Zeiterfassung!$K$6:$K$3665,$K259),Zeiterfassung!$K$6:$K$3665,0))))</f>
        <v/>
      </c>
      <c r="J259" s="335">
        <f>IF(B259=B258,"",IF($K259="","",INDEX(Zeiterfassung!$J$6:$J$3665,MATCH(INDEX(Zeiterfassung!$K$6:$K$3665,$K259),Zeiterfassung!$K$6:$K$3665,0))))</f>
        <v/>
      </c>
      <c r="K259">
        <f>IFERROR(AGGREGATE(15,6,(ROW(Zeiterfassung!$D$6:$D$3665)-ROW(Zeiterfassung!$D$6)+1)/(Zeiterfassung!$D$6:$D$3665&lt;&gt;""),254),"")</f>
        <v/>
      </c>
    </row>
    <row r="260" ht="20" customHeight="1">
      <c r="A260" s="183">
        <f>IF($K260="","",WEEKNUM(INDEX(Zeiterfassung!$K$6:$K$3665,$K260),21))</f>
        <v/>
      </c>
      <c r="B260" s="184">
        <f>IF($K260="","",INDEX(Zeiterfassung!$K$6:$K$3665,$K260))</f>
        <v/>
      </c>
      <c r="C260" s="185">
        <f>IF($K260="","",INDEX(Zeiterfassung!$K$6:$K$3665,$K260))</f>
        <v/>
      </c>
      <c r="D260" s="186">
        <f>IF($K260="","",INDEX(Zeiterfassung!$D$6:$D$3665,$K260))</f>
        <v/>
      </c>
      <c r="E260" s="186">
        <f>IF($K260="","",INDEX(Zeiterfassung!$E$6:$E$3665,$K260))</f>
        <v/>
      </c>
      <c r="F260" s="187">
        <f>IF($K260="","",INDEX(Zeiterfassung!$F$6:$F$3665,$K260))</f>
        <v/>
      </c>
      <c r="G260" s="187">
        <f>IF($K260="","",INDEX(Zeiterfassung!$G$6:$G$3665,$K260))</f>
        <v/>
      </c>
      <c r="H260" s="188">
        <f>IF($K260="","",INDEX(Zeiterfassung!$H$6:$H$3665,$K260))</f>
        <v/>
      </c>
      <c r="I260" s="335">
        <f>IF(B260=B259,"",IF($K260="","",INDEX(Zeiterfassung!$I$6:$I$3665,MATCH(INDEX(Zeiterfassung!$K$6:$K$3665,$K260),Zeiterfassung!$K$6:$K$3665,0))))</f>
        <v/>
      </c>
      <c r="J260" s="335">
        <f>IF(B260=B259,"",IF($K260="","",INDEX(Zeiterfassung!$J$6:$J$3665,MATCH(INDEX(Zeiterfassung!$K$6:$K$3665,$K260),Zeiterfassung!$K$6:$K$3665,0))))</f>
        <v/>
      </c>
      <c r="K260">
        <f>IFERROR(AGGREGATE(15,6,(ROW(Zeiterfassung!$D$6:$D$3665)-ROW(Zeiterfassung!$D$6)+1)/(Zeiterfassung!$D$6:$D$3665&lt;&gt;""),255),"")</f>
        <v/>
      </c>
    </row>
    <row r="261" ht="20" customHeight="1">
      <c r="A261" s="183">
        <f>IF($K261="","",WEEKNUM(INDEX(Zeiterfassung!$K$6:$K$3665,$K261),21))</f>
        <v/>
      </c>
      <c r="B261" s="184">
        <f>IF($K261="","",INDEX(Zeiterfassung!$K$6:$K$3665,$K261))</f>
        <v/>
      </c>
      <c r="C261" s="185">
        <f>IF($K261="","",INDEX(Zeiterfassung!$K$6:$K$3665,$K261))</f>
        <v/>
      </c>
      <c r="D261" s="186">
        <f>IF($K261="","",INDEX(Zeiterfassung!$D$6:$D$3665,$K261))</f>
        <v/>
      </c>
      <c r="E261" s="186">
        <f>IF($K261="","",INDEX(Zeiterfassung!$E$6:$E$3665,$K261))</f>
        <v/>
      </c>
      <c r="F261" s="187">
        <f>IF($K261="","",INDEX(Zeiterfassung!$F$6:$F$3665,$K261))</f>
        <v/>
      </c>
      <c r="G261" s="187">
        <f>IF($K261="","",INDEX(Zeiterfassung!$G$6:$G$3665,$K261))</f>
        <v/>
      </c>
      <c r="H261" s="188">
        <f>IF($K261="","",INDEX(Zeiterfassung!$H$6:$H$3665,$K261))</f>
        <v/>
      </c>
      <c r="I261" s="335">
        <f>IF(B261=B260,"",IF($K261="","",INDEX(Zeiterfassung!$I$6:$I$3665,MATCH(INDEX(Zeiterfassung!$K$6:$K$3665,$K261),Zeiterfassung!$K$6:$K$3665,0))))</f>
        <v/>
      </c>
      <c r="J261" s="335">
        <f>IF(B261=B260,"",IF($K261="","",INDEX(Zeiterfassung!$J$6:$J$3665,MATCH(INDEX(Zeiterfassung!$K$6:$K$3665,$K261),Zeiterfassung!$K$6:$K$3665,0))))</f>
        <v/>
      </c>
      <c r="K261">
        <f>IFERROR(AGGREGATE(15,6,(ROW(Zeiterfassung!$D$6:$D$3665)-ROW(Zeiterfassung!$D$6)+1)/(Zeiterfassung!$D$6:$D$3665&lt;&gt;""),256),"")</f>
        <v/>
      </c>
    </row>
    <row r="262" ht="20" customHeight="1">
      <c r="A262" s="183">
        <f>IF($K262="","",WEEKNUM(INDEX(Zeiterfassung!$K$6:$K$3665,$K262),21))</f>
        <v/>
      </c>
      <c r="B262" s="184">
        <f>IF($K262="","",INDEX(Zeiterfassung!$K$6:$K$3665,$K262))</f>
        <v/>
      </c>
      <c r="C262" s="185">
        <f>IF($K262="","",INDEX(Zeiterfassung!$K$6:$K$3665,$K262))</f>
        <v/>
      </c>
      <c r="D262" s="186">
        <f>IF($K262="","",INDEX(Zeiterfassung!$D$6:$D$3665,$K262))</f>
        <v/>
      </c>
      <c r="E262" s="186">
        <f>IF($K262="","",INDEX(Zeiterfassung!$E$6:$E$3665,$K262))</f>
        <v/>
      </c>
      <c r="F262" s="187">
        <f>IF($K262="","",INDEX(Zeiterfassung!$F$6:$F$3665,$K262))</f>
        <v/>
      </c>
      <c r="G262" s="187">
        <f>IF($K262="","",INDEX(Zeiterfassung!$G$6:$G$3665,$K262))</f>
        <v/>
      </c>
      <c r="H262" s="188">
        <f>IF($K262="","",INDEX(Zeiterfassung!$H$6:$H$3665,$K262))</f>
        <v/>
      </c>
      <c r="I262" s="335">
        <f>IF(B262=B261,"",IF($K262="","",INDEX(Zeiterfassung!$I$6:$I$3665,MATCH(INDEX(Zeiterfassung!$K$6:$K$3665,$K262),Zeiterfassung!$K$6:$K$3665,0))))</f>
        <v/>
      </c>
      <c r="J262" s="335">
        <f>IF(B262=B261,"",IF($K262="","",INDEX(Zeiterfassung!$J$6:$J$3665,MATCH(INDEX(Zeiterfassung!$K$6:$K$3665,$K262),Zeiterfassung!$K$6:$K$3665,0))))</f>
        <v/>
      </c>
      <c r="K262">
        <f>IFERROR(AGGREGATE(15,6,(ROW(Zeiterfassung!$D$6:$D$3665)-ROW(Zeiterfassung!$D$6)+1)/(Zeiterfassung!$D$6:$D$3665&lt;&gt;""),257),"")</f>
        <v/>
      </c>
    </row>
    <row r="263" ht="20" customHeight="1">
      <c r="A263" s="183">
        <f>IF($K263="","",WEEKNUM(INDEX(Zeiterfassung!$K$6:$K$3665,$K263),21))</f>
        <v/>
      </c>
      <c r="B263" s="184">
        <f>IF($K263="","",INDEX(Zeiterfassung!$K$6:$K$3665,$K263))</f>
        <v/>
      </c>
      <c r="C263" s="185">
        <f>IF($K263="","",INDEX(Zeiterfassung!$K$6:$K$3665,$K263))</f>
        <v/>
      </c>
      <c r="D263" s="186">
        <f>IF($K263="","",INDEX(Zeiterfassung!$D$6:$D$3665,$K263))</f>
        <v/>
      </c>
      <c r="E263" s="186">
        <f>IF($K263="","",INDEX(Zeiterfassung!$E$6:$E$3665,$K263))</f>
        <v/>
      </c>
      <c r="F263" s="187">
        <f>IF($K263="","",INDEX(Zeiterfassung!$F$6:$F$3665,$K263))</f>
        <v/>
      </c>
      <c r="G263" s="187">
        <f>IF($K263="","",INDEX(Zeiterfassung!$G$6:$G$3665,$K263))</f>
        <v/>
      </c>
      <c r="H263" s="188">
        <f>IF($K263="","",INDEX(Zeiterfassung!$H$6:$H$3665,$K263))</f>
        <v/>
      </c>
      <c r="I263" s="335">
        <f>IF(B263=B262,"",IF($K263="","",INDEX(Zeiterfassung!$I$6:$I$3665,MATCH(INDEX(Zeiterfassung!$K$6:$K$3665,$K263),Zeiterfassung!$K$6:$K$3665,0))))</f>
        <v/>
      </c>
      <c r="J263" s="335">
        <f>IF(B263=B262,"",IF($K263="","",INDEX(Zeiterfassung!$J$6:$J$3665,MATCH(INDEX(Zeiterfassung!$K$6:$K$3665,$K263),Zeiterfassung!$K$6:$K$3665,0))))</f>
        <v/>
      </c>
      <c r="K263">
        <f>IFERROR(AGGREGATE(15,6,(ROW(Zeiterfassung!$D$6:$D$3665)-ROW(Zeiterfassung!$D$6)+1)/(Zeiterfassung!$D$6:$D$3665&lt;&gt;""),258),"")</f>
        <v/>
      </c>
    </row>
    <row r="264" ht="20" customHeight="1">
      <c r="A264" s="183">
        <f>IF($K264="","",WEEKNUM(INDEX(Zeiterfassung!$K$6:$K$3665,$K264),21))</f>
        <v/>
      </c>
      <c r="B264" s="184">
        <f>IF($K264="","",INDEX(Zeiterfassung!$K$6:$K$3665,$K264))</f>
        <v/>
      </c>
      <c r="C264" s="185">
        <f>IF($K264="","",INDEX(Zeiterfassung!$K$6:$K$3665,$K264))</f>
        <v/>
      </c>
      <c r="D264" s="186">
        <f>IF($K264="","",INDEX(Zeiterfassung!$D$6:$D$3665,$K264))</f>
        <v/>
      </c>
      <c r="E264" s="186">
        <f>IF($K264="","",INDEX(Zeiterfassung!$E$6:$E$3665,$K264))</f>
        <v/>
      </c>
      <c r="F264" s="187">
        <f>IF($K264="","",INDEX(Zeiterfassung!$F$6:$F$3665,$K264))</f>
        <v/>
      </c>
      <c r="G264" s="187">
        <f>IF($K264="","",INDEX(Zeiterfassung!$G$6:$G$3665,$K264))</f>
        <v/>
      </c>
      <c r="H264" s="188">
        <f>IF($K264="","",INDEX(Zeiterfassung!$H$6:$H$3665,$K264))</f>
        <v/>
      </c>
      <c r="I264" s="335">
        <f>IF(B264=B263,"",IF($K264="","",INDEX(Zeiterfassung!$I$6:$I$3665,MATCH(INDEX(Zeiterfassung!$K$6:$K$3665,$K264),Zeiterfassung!$K$6:$K$3665,0))))</f>
        <v/>
      </c>
      <c r="J264" s="335">
        <f>IF(B264=B263,"",IF($K264="","",INDEX(Zeiterfassung!$J$6:$J$3665,MATCH(INDEX(Zeiterfassung!$K$6:$K$3665,$K264),Zeiterfassung!$K$6:$K$3665,0))))</f>
        <v/>
      </c>
      <c r="K264">
        <f>IFERROR(AGGREGATE(15,6,(ROW(Zeiterfassung!$D$6:$D$3665)-ROW(Zeiterfassung!$D$6)+1)/(Zeiterfassung!$D$6:$D$3665&lt;&gt;""),259),"")</f>
        <v/>
      </c>
    </row>
    <row r="265" ht="20" customHeight="1">
      <c r="A265" s="183">
        <f>IF($K265="","",WEEKNUM(INDEX(Zeiterfassung!$K$6:$K$3665,$K265),21))</f>
        <v/>
      </c>
      <c r="B265" s="184">
        <f>IF($K265="","",INDEX(Zeiterfassung!$K$6:$K$3665,$K265))</f>
        <v/>
      </c>
      <c r="C265" s="185">
        <f>IF($K265="","",INDEX(Zeiterfassung!$K$6:$K$3665,$K265))</f>
        <v/>
      </c>
      <c r="D265" s="186">
        <f>IF($K265="","",INDEX(Zeiterfassung!$D$6:$D$3665,$K265))</f>
        <v/>
      </c>
      <c r="E265" s="186">
        <f>IF($K265="","",INDEX(Zeiterfassung!$E$6:$E$3665,$K265))</f>
        <v/>
      </c>
      <c r="F265" s="187">
        <f>IF($K265="","",INDEX(Zeiterfassung!$F$6:$F$3665,$K265))</f>
        <v/>
      </c>
      <c r="G265" s="187">
        <f>IF($K265="","",INDEX(Zeiterfassung!$G$6:$G$3665,$K265))</f>
        <v/>
      </c>
      <c r="H265" s="188">
        <f>IF($K265="","",INDEX(Zeiterfassung!$H$6:$H$3665,$K265))</f>
        <v/>
      </c>
      <c r="I265" s="335">
        <f>IF(B265=B264,"",IF($K265="","",INDEX(Zeiterfassung!$I$6:$I$3665,MATCH(INDEX(Zeiterfassung!$K$6:$K$3665,$K265),Zeiterfassung!$K$6:$K$3665,0))))</f>
        <v/>
      </c>
      <c r="J265" s="335">
        <f>IF(B265=B264,"",IF($K265="","",INDEX(Zeiterfassung!$J$6:$J$3665,MATCH(INDEX(Zeiterfassung!$K$6:$K$3665,$K265),Zeiterfassung!$K$6:$K$3665,0))))</f>
        <v/>
      </c>
      <c r="K265">
        <f>IFERROR(AGGREGATE(15,6,(ROW(Zeiterfassung!$D$6:$D$3665)-ROW(Zeiterfassung!$D$6)+1)/(Zeiterfassung!$D$6:$D$3665&lt;&gt;""),260),"")</f>
        <v/>
      </c>
    </row>
    <row r="266" ht="20" customHeight="1">
      <c r="A266" s="183">
        <f>IF($K266="","",WEEKNUM(INDEX(Zeiterfassung!$K$6:$K$3665,$K266),21))</f>
        <v/>
      </c>
      <c r="B266" s="184">
        <f>IF($K266="","",INDEX(Zeiterfassung!$K$6:$K$3665,$K266))</f>
        <v/>
      </c>
      <c r="C266" s="185">
        <f>IF($K266="","",INDEX(Zeiterfassung!$K$6:$K$3665,$K266))</f>
        <v/>
      </c>
      <c r="D266" s="186">
        <f>IF($K266="","",INDEX(Zeiterfassung!$D$6:$D$3665,$K266))</f>
        <v/>
      </c>
      <c r="E266" s="186">
        <f>IF($K266="","",INDEX(Zeiterfassung!$E$6:$E$3665,$K266))</f>
        <v/>
      </c>
      <c r="F266" s="187">
        <f>IF($K266="","",INDEX(Zeiterfassung!$F$6:$F$3665,$K266))</f>
        <v/>
      </c>
      <c r="G266" s="187">
        <f>IF($K266="","",INDEX(Zeiterfassung!$G$6:$G$3665,$K266))</f>
        <v/>
      </c>
      <c r="H266" s="188">
        <f>IF($K266="","",INDEX(Zeiterfassung!$H$6:$H$3665,$K266))</f>
        <v/>
      </c>
      <c r="I266" s="335">
        <f>IF(B266=B265,"",IF($K266="","",INDEX(Zeiterfassung!$I$6:$I$3665,MATCH(INDEX(Zeiterfassung!$K$6:$K$3665,$K266),Zeiterfassung!$K$6:$K$3665,0))))</f>
        <v/>
      </c>
      <c r="J266" s="335">
        <f>IF(B266=B265,"",IF($K266="","",INDEX(Zeiterfassung!$J$6:$J$3665,MATCH(INDEX(Zeiterfassung!$K$6:$K$3665,$K266),Zeiterfassung!$K$6:$K$3665,0))))</f>
        <v/>
      </c>
      <c r="K266">
        <f>IFERROR(AGGREGATE(15,6,(ROW(Zeiterfassung!$D$6:$D$3665)-ROW(Zeiterfassung!$D$6)+1)/(Zeiterfassung!$D$6:$D$3665&lt;&gt;""),261),"")</f>
        <v/>
      </c>
    </row>
    <row r="267" ht="20" customHeight="1">
      <c r="A267" s="183">
        <f>IF($K267="","",WEEKNUM(INDEX(Zeiterfassung!$K$6:$K$3665,$K267),21))</f>
        <v/>
      </c>
      <c r="B267" s="184">
        <f>IF($K267="","",INDEX(Zeiterfassung!$K$6:$K$3665,$K267))</f>
        <v/>
      </c>
      <c r="C267" s="185">
        <f>IF($K267="","",INDEX(Zeiterfassung!$K$6:$K$3665,$K267))</f>
        <v/>
      </c>
      <c r="D267" s="186">
        <f>IF($K267="","",INDEX(Zeiterfassung!$D$6:$D$3665,$K267))</f>
        <v/>
      </c>
      <c r="E267" s="186">
        <f>IF($K267="","",INDEX(Zeiterfassung!$E$6:$E$3665,$K267))</f>
        <v/>
      </c>
      <c r="F267" s="187">
        <f>IF($K267="","",INDEX(Zeiterfassung!$F$6:$F$3665,$K267))</f>
        <v/>
      </c>
      <c r="G267" s="187">
        <f>IF($K267="","",INDEX(Zeiterfassung!$G$6:$G$3665,$K267))</f>
        <v/>
      </c>
      <c r="H267" s="188">
        <f>IF($K267="","",INDEX(Zeiterfassung!$H$6:$H$3665,$K267))</f>
        <v/>
      </c>
      <c r="I267" s="335">
        <f>IF(B267=B266,"",IF($K267="","",INDEX(Zeiterfassung!$I$6:$I$3665,MATCH(INDEX(Zeiterfassung!$K$6:$K$3665,$K267),Zeiterfassung!$K$6:$K$3665,0))))</f>
        <v/>
      </c>
      <c r="J267" s="335">
        <f>IF(B267=B266,"",IF($K267="","",INDEX(Zeiterfassung!$J$6:$J$3665,MATCH(INDEX(Zeiterfassung!$K$6:$K$3665,$K267),Zeiterfassung!$K$6:$K$3665,0))))</f>
        <v/>
      </c>
      <c r="K267">
        <f>IFERROR(AGGREGATE(15,6,(ROW(Zeiterfassung!$D$6:$D$3665)-ROW(Zeiterfassung!$D$6)+1)/(Zeiterfassung!$D$6:$D$3665&lt;&gt;""),262),"")</f>
        <v/>
      </c>
    </row>
    <row r="268" ht="20" customHeight="1">
      <c r="A268" s="183">
        <f>IF($K268="","",WEEKNUM(INDEX(Zeiterfassung!$K$6:$K$3665,$K268),21))</f>
        <v/>
      </c>
      <c r="B268" s="184">
        <f>IF($K268="","",INDEX(Zeiterfassung!$K$6:$K$3665,$K268))</f>
        <v/>
      </c>
      <c r="C268" s="185">
        <f>IF($K268="","",INDEX(Zeiterfassung!$K$6:$K$3665,$K268))</f>
        <v/>
      </c>
      <c r="D268" s="186">
        <f>IF($K268="","",INDEX(Zeiterfassung!$D$6:$D$3665,$K268))</f>
        <v/>
      </c>
      <c r="E268" s="186">
        <f>IF($K268="","",INDEX(Zeiterfassung!$E$6:$E$3665,$K268))</f>
        <v/>
      </c>
      <c r="F268" s="187">
        <f>IF($K268="","",INDEX(Zeiterfassung!$F$6:$F$3665,$K268))</f>
        <v/>
      </c>
      <c r="G268" s="187">
        <f>IF($K268="","",INDEX(Zeiterfassung!$G$6:$G$3665,$K268))</f>
        <v/>
      </c>
      <c r="H268" s="188">
        <f>IF($K268="","",INDEX(Zeiterfassung!$H$6:$H$3665,$K268))</f>
        <v/>
      </c>
      <c r="I268" s="335">
        <f>IF(B268=B267,"",IF($K268="","",INDEX(Zeiterfassung!$I$6:$I$3665,MATCH(INDEX(Zeiterfassung!$K$6:$K$3665,$K268),Zeiterfassung!$K$6:$K$3665,0))))</f>
        <v/>
      </c>
      <c r="J268" s="335">
        <f>IF(B268=B267,"",IF($K268="","",INDEX(Zeiterfassung!$J$6:$J$3665,MATCH(INDEX(Zeiterfassung!$K$6:$K$3665,$K268),Zeiterfassung!$K$6:$K$3665,0))))</f>
        <v/>
      </c>
      <c r="K268">
        <f>IFERROR(AGGREGATE(15,6,(ROW(Zeiterfassung!$D$6:$D$3665)-ROW(Zeiterfassung!$D$6)+1)/(Zeiterfassung!$D$6:$D$3665&lt;&gt;""),263),"")</f>
        <v/>
      </c>
    </row>
    <row r="269" ht="20" customHeight="1">
      <c r="A269" s="183">
        <f>IF($K269="","",WEEKNUM(INDEX(Zeiterfassung!$K$6:$K$3665,$K269),21))</f>
        <v/>
      </c>
      <c r="B269" s="184">
        <f>IF($K269="","",INDEX(Zeiterfassung!$K$6:$K$3665,$K269))</f>
        <v/>
      </c>
      <c r="C269" s="185">
        <f>IF($K269="","",INDEX(Zeiterfassung!$K$6:$K$3665,$K269))</f>
        <v/>
      </c>
      <c r="D269" s="186">
        <f>IF($K269="","",INDEX(Zeiterfassung!$D$6:$D$3665,$K269))</f>
        <v/>
      </c>
      <c r="E269" s="186">
        <f>IF($K269="","",INDEX(Zeiterfassung!$E$6:$E$3665,$K269))</f>
        <v/>
      </c>
      <c r="F269" s="187">
        <f>IF($K269="","",INDEX(Zeiterfassung!$F$6:$F$3665,$K269))</f>
        <v/>
      </c>
      <c r="G269" s="187">
        <f>IF($K269="","",INDEX(Zeiterfassung!$G$6:$G$3665,$K269))</f>
        <v/>
      </c>
      <c r="H269" s="188">
        <f>IF($K269="","",INDEX(Zeiterfassung!$H$6:$H$3665,$K269))</f>
        <v/>
      </c>
      <c r="I269" s="335">
        <f>IF(B269=B268,"",IF($K269="","",INDEX(Zeiterfassung!$I$6:$I$3665,MATCH(INDEX(Zeiterfassung!$K$6:$K$3665,$K269),Zeiterfassung!$K$6:$K$3665,0))))</f>
        <v/>
      </c>
      <c r="J269" s="335">
        <f>IF(B269=B268,"",IF($K269="","",INDEX(Zeiterfassung!$J$6:$J$3665,MATCH(INDEX(Zeiterfassung!$K$6:$K$3665,$K269),Zeiterfassung!$K$6:$K$3665,0))))</f>
        <v/>
      </c>
      <c r="K269">
        <f>IFERROR(AGGREGATE(15,6,(ROW(Zeiterfassung!$D$6:$D$3665)-ROW(Zeiterfassung!$D$6)+1)/(Zeiterfassung!$D$6:$D$3665&lt;&gt;""),264),"")</f>
        <v/>
      </c>
    </row>
    <row r="270" ht="20" customHeight="1">
      <c r="A270" s="183">
        <f>IF($K270="","",WEEKNUM(INDEX(Zeiterfassung!$K$6:$K$3665,$K270),21))</f>
        <v/>
      </c>
      <c r="B270" s="184">
        <f>IF($K270="","",INDEX(Zeiterfassung!$K$6:$K$3665,$K270))</f>
        <v/>
      </c>
      <c r="C270" s="185">
        <f>IF($K270="","",INDEX(Zeiterfassung!$K$6:$K$3665,$K270))</f>
        <v/>
      </c>
      <c r="D270" s="186">
        <f>IF($K270="","",INDEX(Zeiterfassung!$D$6:$D$3665,$K270))</f>
        <v/>
      </c>
      <c r="E270" s="186">
        <f>IF($K270="","",INDEX(Zeiterfassung!$E$6:$E$3665,$K270))</f>
        <v/>
      </c>
      <c r="F270" s="187">
        <f>IF($K270="","",INDEX(Zeiterfassung!$F$6:$F$3665,$K270))</f>
        <v/>
      </c>
      <c r="G270" s="187">
        <f>IF($K270="","",INDEX(Zeiterfassung!$G$6:$G$3665,$K270))</f>
        <v/>
      </c>
      <c r="H270" s="188">
        <f>IF($K270="","",INDEX(Zeiterfassung!$H$6:$H$3665,$K270))</f>
        <v/>
      </c>
      <c r="I270" s="335">
        <f>IF(B270=B269,"",IF($K270="","",INDEX(Zeiterfassung!$I$6:$I$3665,MATCH(INDEX(Zeiterfassung!$K$6:$K$3665,$K270),Zeiterfassung!$K$6:$K$3665,0))))</f>
        <v/>
      </c>
      <c r="J270" s="335">
        <f>IF(B270=B269,"",IF($K270="","",INDEX(Zeiterfassung!$J$6:$J$3665,MATCH(INDEX(Zeiterfassung!$K$6:$K$3665,$K270),Zeiterfassung!$K$6:$K$3665,0))))</f>
        <v/>
      </c>
      <c r="K270">
        <f>IFERROR(AGGREGATE(15,6,(ROW(Zeiterfassung!$D$6:$D$3665)-ROW(Zeiterfassung!$D$6)+1)/(Zeiterfassung!$D$6:$D$3665&lt;&gt;""),265),"")</f>
        <v/>
      </c>
    </row>
    <row r="271" ht="20" customHeight="1">
      <c r="A271" s="183">
        <f>IF($K271="","",WEEKNUM(INDEX(Zeiterfassung!$K$6:$K$3665,$K271),21))</f>
        <v/>
      </c>
      <c r="B271" s="184">
        <f>IF($K271="","",INDEX(Zeiterfassung!$K$6:$K$3665,$K271))</f>
        <v/>
      </c>
      <c r="C271" s="185">
        <f>IF($K271="","",INDEX(Zeiterfassung!$K$6:$K$3665,$K271))</f>
        <v/>
      </c>
      <c r="D271" s="186">
        <f>IF($K271="","",INDEX(Zeiterfassung!$D$6:$D$3665,$K271))</f>
        <v/>
      </c>
      <c r="E271" s="186">
        <f>IF($K271="","",INDEX(Zeiterfassung!$E$6:$E$3665,$K271))</f>
        <v/>
      </c>
      <c r="F271" s="187">
        <f>IF($K271="","",INDEX(Zeiterfassung!$F$6:$F$3665,$K271))</f>
        <v/>
      </c>
      <c r="G271" s="187">
        <f>IF($K271="","",INDEX(Zeiterfassung!$G$6:$G$3665,$K271))</f>
        <v/>
      </c>
      <c r="H271" s="188">
        <f>IF($K271="","",INDEX(Zeiterfassung!$H$6:$H$3665,$K271))</f>
        <v/>
      </c>
      <c r="I271" s="335">
        <f>IF(B271=B270,"",IF($K271="","",INDEX(Zeiterfassung!$I$6:$I$3665,MATCH(INDEX(Zeiterfassung!$K$6:$K$3665,$K271),Zeiterfassung!$K$6:$K$3665,0))))</f>
        <v/>
      </c>
      <c r="J271" s="335">
        <f>IF(B271=B270,"",IF($K271="","",INDEX(Zeiterfassung!$J$6:$J$3665,MATCH(INDEX(Zeiterfassung!$K$6:$K$3665,$K271),Zeiterfassung!$K$6:$K$3665,0))))</f>
        <v/>
      </c>
      <c r="K271">
        <f>IFERROR(AGGREGATE(15,6,(ROW(Zeiterfassung!$D$6:$D$3665)-ROW(Zeiterfassung!$D$6)+1)/(Zeiterfassung!$D$6:$D$3665&lt;&gt;""),266),"")</f>
        <v/>
      </c>
    </row>
    <row r="272" ht="20" customHeight="1">
      <c r="A272" s="183">
        <f>IF($K272="","",WEEKNUM(INDEX(Zeiterfassung!$K$6:$K$3665,$K272),21))</f>
        <v/>
      </c>
      <c r="B272" s="184">
        <f>IF($K272="","",INDEX(Zeiterfassung!$K$6:$K$3665,$K272))</f>
        <v/>
      </c>
      <c r="C272" s="185">
        <f>IF($K272="","",INDEX(Zeiterfassung!$K$6:$K$3665,$K272))</f>
        <v/>
      </c>
      <c r="D272" s="186">
        <f>IF($K272="","",INDEX(Zeiterfassung!$D$6:$D$3665,$K272))</f>
        <v/>
      </c>
      <c r="E272" s="186">
        <f>IF($K272="","",INDEX(Zeiterfassung!$E$6:$E$3665,$K272))</f>
        <v/>
      </c>
      <c r="F272" s="187">
        <f>IF($K272="","",INDEX(Zeiterfassung!$F$6:$F$3665,$K272))</f>
        <v/>
      </c>
      <c r="G272" s="187">
        <f>IF($K272="","",INDEX(Zeiterfassung!$G$6:$G$3665,$K272))</f>
        <v/>
      </c>
      <c r="H272" s="188">
        <f>IF($K272="","",INDEX(Zeiterfassung!$H$6:$H$3665,$K272))</f>
        <v/>
      </c>
      <c r="I272" s="335">
        <f>IF(B272=B271,"",IF($K272="","",INDEX(Zeiterfassung!$I$6:$I$3665,MATCH(INDEX(Zeiterfassung!$K$6:$K$3665,$K272),Zeiterfassung!$K$6:$K$3665,0))))</f>
        <v/>
      </c>
      <c r="J272" s="335">
        <f>IF(B272=B271,"",IF($K272="","",INDEX(Zeiterfassung!$J$6:$J$3665,MATCH(INDEX(Zeiterfassung!$K$6:$K$3665,$K272),Zeiterfassung!$K$6:$K$3665,0))))</f>
        <v/>
      </c>
      <c r="K272">
        <f>IFERROR(AGGREGATE(15,6,(ROW(Zeiterfassung!$D$6:$D$3665)-ROW(Zeiterfassung!$D$6)+1)/(Zeiterfassung!$D$6:$D$3665&lt;&gt;""),267),"")</f>
        <v/>
      </c>
    </row>
    <row r="273" ht="20" customHeight="1">
      <c r="A273" s="183">
        <f>IF($K273="","",WEEKNUM(INDEX(Zeiterfassung!$K$6:$K$3665,$K273),21))</f>
        <v/>
      </c>
      <c r="B273" s="184">
        <f>IF($K273="","",INDEX(Zeiterfassung!$K$6:$K$3665,$K273))</f>
        <v/>
      </c>
      <c r="C273" s="185">
        <f>IF($K273="","",INDEX(Zeiterfassung!$K$6:$K$3665,$K273))</f>
        <v/>
      </c>
      <c r="D273" s="186">
        <f>IF($K273="","",INDEX(Zeiterfassung!$D$6:$D$3665,$K273))</f>
        <v/>
      </c>
      <c r="E273" s="186">
        <f>IF($K273="","",INDEX(Zeiterfassung!$E$6:$E$3665,$K273))</f>
        <v/>
      </c>
      <c r="F273" s="187">
        <f>IF($K273="","",INDEX(Zeiterfassung!$F$6:$F$3665,$K273))</f>
        <v/>
      </c>
      <c r="G273" s="187">
        <f>IF($K273="","",INDEX(Zeiterfassung!$G$6:$G$3665,$K273))</f>
        <v/>
      </c>
      <c r="H273" s="188">
        <f>IF($K273="","",INDEX(Zeiterfassung!$H$6:$H$3665,$K273))</f>
        <v/>
      </c>
      <c r="I273" s="335">
        <f>IF(B273=B272,"",IF($K273="","",INDEX(Zeiterfassung!$I$6:$I$3665,MATCH(INDEX(Zeiterfassung!$K$6:$K$3665,$K273),Zeiterfassung!$K$6:$K$3665,0))))</f>
        <v/>
      </c>
      <c r="J273" s="335">
        <f>IF(B273=B272,"",IF($K273="","",INDEX(Zeiterfassung!$J$6:$J$3665,MATCH(INDEX(Zeiterfassung!$K$6:$K$3665,$K273),Zeiterfassung!$K$6:$K$3665,0))))</f>
        <v/>
      </c>
      <c r="K273">
        <f>IFERROR(AGGREGATE(15,6,(ROW(Zeiterfassung!$D$6:$D$3665)-ROW(Zeiterfassung!$D$6)+1)/(Zeiterfassung!$D$6:$D$3665&lt;&gt;""),268),"")</f>
        <v/>
      </c>
    </row>
    <row r="274" ht="20" customHeight="1">
      <c r="A274" s="183">
        <f>IF($K274="","",WEEKNUM(INDEX(Zeiterfassung!$K$6:$K$3665,$K274),21))</f>
        <v/>
      </c>
      <c r="B274" s="184">
        <f>IF($K274="","",INDEX(Zeiterfassung!$K$6:$K$3665,$K274))</f>
        <v/>
      </c>
      <c r="C274" s="185">
        <f>IF($K274="","",INDEX(Zeiterfassung!$K$6:$K$3665,$K274))</f>
        <v/>
      </c>
      <c r="D274" s="186">
        <f>IF($K274="","",INDEX(Zeiterfassung!$D$6:$D$3665,$K274))</f>
        <v/>
      </c>
      <c r="E274" s="186">
        <f>IF($K274="","",INDEX(Zeiterfassung!$E$6:$E$3665,$K274))</f>
        <v/>
      </c>
      <c r="F274" s="187">
        <f>IF($K274="","",INDEX(Zeiterfassung!$F$6:$F$3665,$K274))</f>
        <v/>
      </c>
      <c r="G274" s="187">
        <f>IF($K274="","",INDEX(Zeiterfassung!$G$6:$G$3665,$K274))</f>
        <v/>
      </c>
      <c r="H274" s="188">
        <f>IF($K274="","",INDEX(Zeiterfassung!$H$6:$H$3665,$K274))</f>
        <v/>
      </c>
      <c r="I274" s="335">
        <f>IF(B274=B273,"",IF($K274="","",INDEX(Zeiterfassung!$I$6:$I$3665,MATCH(INDEX(Zeiterfassung!$K$6:$K$3665,$K274),Zeiterfassung!$K$6:$K$3665,0))))</f>
        <v/>
      </c>
      <c r="J274" s="335">
        <f>IF(B274=B273,"",IF($K274="","",INDEX(Zeiterfassung!$J$6:$J$3665,MATCH(INDEX(Zeiterfassung!$K$6:$K$3665,$K274),Zeiterfassung!$K$6:$K$3665,0))))</f>
        <v/>
      </c>
      <c r="K274">
        <f>IFERROR(AGGREGATE(15,6,(ROW(Zeiterfassung!$D$6:$D$3665)-ROW(Zeiterfassung!$D$6)+1)/(Zeiterfassung!$D$6:$D$3665&lt;&gt;""),269),"")</f>
        <v/>
      </c>
    </row>
    <row r="275" ht="20" customHeight="1">
      <c r="A275" s="183">
        <f>IF($K275="","",WEEKNUM(INDEX(Zeiterfassung!$K$6:$K$3665,$K275),21))</f>
        <v/>
      </c>
      <c r="B275" s="184">
        <f>IF($K275="","",INDEX(Zeiterfassung!$K$6:$K$3665,$K275))</f>
        <v/>
      </c>
      <c r="C275" s="185">
        <f>IF($K275="","",INDEX(Zeiterfassung!$K$6:$K$3665,$K275))</f>
        <v/>
      </c>
      <c r="D275" s="186">
        <f>IF($K275="","",INDEX(Zeiterfassung!$D$6:$D$3665,$K275))</f>
        <v/>
      </c>
      <c r="E275" s="186">
        <f>IF($K275="","",INDEX(Zeiterfassung!$E$6:$E$3665,$K275))</f>
        <v/>
      </c>
      <c r="F275" s="187">
        <f>IF($K275="","",INDEX(Zeiterfassung!$F$6:$F$3665,$K275))</f>
        <v/>
      </c>
      <c r="G275" s="187">
        <f>IF($K275="","",INDEX(Zeiterfassung!$G$6:$G$3665,$K275))</f>
        <v/>
      </c>
      <c r="H275" s="188">
        <f>IF($K275="","",INDEX(Zeiterfassung!$H$6:$H$3665,$K275))</f>
        <v/>
      </c>
      <c r="I275" s="335">
        <f>IF(B275=B274,"",IF($K275="","",INDEX(Zeiterfassung!$I$6:$I$3665,MATCH(INDEX(Zeiterfassung!$K$6:$K$3665,$K275),Zeiterfassung!$K$6:$K$3665,0))))</f>
        <v/>
      </c>
      <c r="J275" s="335">
        <f>IF(B275=B274,"",IF($K275="","",INDEX(Zeiterfassung!$J$6:$J$3665,MATCH(INDEX(Zeiterfassung!$K$6:$K$3665,$K275),Zeiterfassung!$K$6:$K$3665,0))))</f>
        <v/>
      </c>
      <c r="K275">
        <f>IFERROR(AGGREGATE(15,6,(ROW(Zeiterfassung!$D$6:$D$3665)-ROW(Zeiterfassung!$D$6)+1)/(Zeiterfassung!$D$6:$D$3665&lt;&gt;""),270),"")</f>
        <v/>
      </c>
    </row>
    <row r="276" ht="20" customHeight="1">
      <c r="A276" s="183">
        <f>IF($K276="","",WEEKNUM(INDEX(Zeiterfassung!$K$6:$K$3665,$K276),21))</f>
        <v/>
      </c>
      <c r="B276" s="184">
        <f>IF($K276="","",INDEX(Zeiterfassung!$K$6:$K$3665,$K276))</f>
        <v/>
      </c>
      <c r="C276" s="185">
        <f>IF($K276="","",INDEX(Zeiterfassung!$K$6:$K$3665,$K276))</f>
        <v/>
      </c>
      <c r="D276" s="186">
        <f>IF($K276="","",INDEX(Zeiterfassung!$D$6:$D$3665,$K276))</f>
        <v/>
      </c>
      <c r="E276" s="186">
        <f>IF($K276="","",INDEX(Zeiterfassung!$E$6:$E$3665,$K276))</f>
        <v/>
      </c>
      <c r="F276" s="187">
        <f>IF($K276="","",INDEX(Zeiterfassung!$F$6:$F$3665,$K276))</f>
        <v/>
      </c>
      <c r="G276" s="187">
        <f>IF($K276="","",INDEX(Zeiterfassung!$G$6:$G$3665,$K276))</f>
        <v/>
      </c>
      <c r="H276" s="188">
        <f>IF($K276="","",INDEX(Zeiterfassung!$H$6:$H$3665,$K276))</f>
        <v/>
      </c>
      <c r="I276" s="335">
        <f>IF(B276=B275,"",IF($K276="","",INDEX(Zeiterfassung!$I$6:$I$3665,MATCH(INDEX(Zeiterfassung!$K$6:$K$3665,$K276),Zeiterfassung!$K$6:$K$3665,0))))</f>
        <v/>
      </c>
      <c r="J276" s="335">
        <f>IF(B276=B275,"",IF($K276="","",INDEX(Zeiterfassung!$J$6:$J$3665,MATCH(INDEX(Zeiterfassung!$K$6:$K$3665,$K276),Zeiterfassung!$K$6:$K$3665,0))))</f>
        <v/>
      </c>
      <c r="K276">
        <f>IFERROR(AGGREGATE(15,6,(ROW(Zeiterfassung!$D$6:$D$3665)-ROW(Zeiterfassung!$D$6)+1)/(Zeiterfassung!$D$6:$D$3665&lt;&gt;""),271),"")</f>
        <v/>
      </c>
    </row>
    <row r="277" ht="20" customHeight="1">
      <c r="A277" s="183">
        <f>IF($K277="","",WEEKNUM(INDEX(Zeiterfassung!$K$6:$K$3665,$K277),21))</f>
        <v/>
      </c>
      <c r="B277" s="184">
        <f>IF($K277="","",INDEX(Zeiterfassung!$K$6:$K$3665,$K277))</f>
        <v/>
      </c>
      <c r="C277" s="185">
        <f>IF($K277="","",INDEX(Zeiterfassung!$K$6:$K$3665,$K277))</f>
        <v/>
      </c>
      <c r="D277" s="186">
        <f>IF($K277="","",INDEX(Zeiterfassung!$D$6:$D$3665,$K277))</f>
        <v/>
      </c>
      <c r="E277" s="186">
        <f>IF($K277="","",INDEX(Zeiterfassung!$E$6:$E$3665,$K277))</f>
        <v/>
      </c>
      <c r="F277" s="187">
        <f>IF($K277="","",INDEX(Zeiterfassung!$F$6:$F$3665,$K277))</f>
        <v/>
      </c>
      <c r="G277" s="187">
        <f>IF($K277="","",INDEX(Zeiterfassung!$G$6:$G$3665,$K277))</f>
        <v/>
      </c>
      <c r="H277" s="188">
        <f>IF($K277="","",INDEX(Zeiterfassung!$H$6:$H$3665,$K277))</f>
        <v/>
      </c>
      <c r="I277" s="335">
        <f>IF(B277=B276,"",IF($K277="","",INDEX(Zeiterfassung!$I$6:$I$3665,MATCH(INDEX(Zeiterfassung!$K$6:$K$3665,$K277),Zeiterfassung!$K$6:$K$3665,0))))</f>
        <v/>
      </c>
      <c r="J277" s="335">
        <f>IF(B277=B276,"",IF($K277="","",INDEX(Zeiterfassung!$J$6:$J$3665,MATCH(INDEX(Zeiterfassung!$K$6:$K$3665,$K277),Zeiterfassung!$K$6:$K$3665,0))))</f>
        <v/>
      </c>
      <c r="K277">
        <f>IFERROR(AGGREGATE(15,6,(ROW(Zeiterfassung!$D$6:$D$3665)-ROW(Zeiterfassung!$D$6)+1)/(Zeiterfassung!$D$6:$D$3665&lt;&gt;""),272),"")</f>
        <v/>
      </c>
    </row>
    <row r="278" ht="20" customHeight="1">
      <c r="A278" s="183">
        <f>IF($K278="","",WEEKNUM(INDEX(Zeiterfassung!$K$6:$K$3665,$K278),21))</f>
        <v/>
      </c>
      <c r="B278" s="184">
        <f>IF($K278="","",INDEX(Zeiterfassung!$K$6:$K$3665,$K278))</f>
        <v/>
      </c>
      <c r="C278" s="185">
        <f>IF($K278="","",INDEX(Zeiterfassung!$K$6:$K$3665,$K278))</f>
        <v/>
      </c>
      <c r="D278" s="186">
        <f>IF($K278="","",INDEX(Zeiterfassung!$D$6:$D$3665,$K278))</f>
        <v/>
      </c>
      <c r="E278" s="186">
        <f>IF($K278="","",INDEX(Zeiterfassung!$E$6:$E$3665,$K278))</f>
        <v/>
      </c>
      <c r="F278" s="187">
        <f>IF($K278="","",INDEX(Zeiterfassung!$F$6:$F$3665,$K278))</f>
        <v/>
      </c>
      <c r="G278" s="187">
        <f>IF($K278="","",INDEX(Zeiterfassung!$G$6:$G$3665,$K278))</f>
        <v/>
      </c>
      <c r="H278" s="188">
        <f>IF($K278="","",INDEX(Zeiterfassung!$H$6:$H$3665,$K278))</f>
        <v/>
      </c>
      <c r="I278" s="335">
        <f>IF(B278=B277,"",IF($K278="","",INDEX(Zeiterfassung!$I$6:$I$3665,MATCH(INDEX(Zeiterfassung!$K$6:$K$3665,$K278),Zeiterfassung!$K$6:$K$3665,0))))</f>
        <v/>
      </c>
      <c r="J278" s="335">
        <f>IF(B278=B277,"",IF($K278="","",INDEX(Zeiterfassung!$J$6:$J$3665,MATCH(INDEX(Zeiterfassung!$K$6:$K$3665,$K278),Zeiterfassung!$K$6:$K$3665,0))))</f>
        <v/>
      </c>
      <c r="K278">
        <f>IFERROR(AGGREGATE(15,6,(ROW(Zeiterfassung!$D$6:$D$3665)-ROW(Zeiterfassung!$D$6)+1)/(Zeiterfassung!$D$6:$D$3665&lt;&gt;""),273),"")</f>
        <v/>
      </c>
    </row>
    <row r="279" ht="20" customHeight="1">
      <c r="A279" s="183">
        <f>IF($K279="","",WEEKNUM(INDEX(Zeiterfassung!$K$6:$K$3665,$K279),21))</f>
        <v/>
      </c>
      <c r="B279" s="184">
        <f>IF($K279="","",INDEX(Zeiterfassung!$K$6:$K$3665,$K279))</f>
        <v/>
      </c>
      <c r="C279" s="185">
        <f>IF($K279="","",INDEX(Zeiterfassung!$K$6:$K$3665,$K279))</f>
        <v/>
      </c>
      <c r="D279" s="186">
        <f>IF($K279="","",INDEX(Zeiterfassung!$D$6:$D$3665,$K279))</f>
        <v/>
      </c>
      <c r="E279" s="186">
        <f>IF($K279="","",INDEX(Zeiterfassung!$E$6:$E$3665,$K279))</f>
        <v/>
      </c>
      <c r="F279" s="187">
        <f>IF($K279="","",INDEX(Zeiterfassung!$F$6:$F$3665,$K279))</f>
        <v/>
      </c>
      <c r="G279" s="187">
        <f>IF($K279="","",INDEX(Zeiterfassung!$G$6:$G$3665,$K279))</f>
        <v/>
      </c>
      <c r="H279" s="188">
        <f>IF($K279="","",INDEX(Zeiterfassung!$H$6:$H$3665,$K279))</f>
        <v/>
      </c>
      <c r="I279" s="335">
        <f>IF(B279=B278,"",IF($K279="","",INDEX(Zeiterfassung!$I$6:$I$3665,MATCH(INDEX(Zeiterfassung!$K$6:$K$3665,$K279),Zeiterfassung!$K$6:$K$3665,0))))</f>
        <v/>
      </c>
      <c r="J279" s="335">
        <f>IF(B279=B278,"",IF($K279="","",INDEX(Zeiterfassung!$J$6:$J$3665,MATCH(INDEX(Zeiterfassung!$K$6:$K$3665,$K279),Zeiterfassung!$K$6:$K$3665,0))))</f>
        <v/>
      </c>
      <c r="K279">
        <f>IFERROR(AGGREGATE(15,6,(ROW(Zeiterfassung!$D$6:$D$3665)-ROW(Zeiterfassung!$D$6)+1)/(Zeiterfassung!$D$6:$D$3665&lt;&gt;""),274),"")</f>
        <v/>
      </c>
    </row>
    <row r="280" ht="20" customHeight="1">
      <c r="A280" s="183">
        <f>IF($K280="","",WEEKNUM(INDEX(Zeiterfassung!$K$6:$K$3665,$K280),21))</f>
        <v/>
      </c>
      <c r="B280" s="184">
        <f>IF($K280="","",INDEX(Zeiterfassung!$K$6:$K$3665,$K280))</f>
        <v/>
      </c>
      <c r="C280" s="185">
        <f>IF($K280="","",INDEX(Zeiterfassung!$K$6:$K$3665,$K280))</f>
        <v/>
      </c>
      <c r="D280" s="186">
        <f>IF($K280="","",INDEX(Zeiterfassung!$D$6:$D$3665,$K280))</f>
        <v/>
      </c>
      <c r="E280" s="186">
        <f>IF($K280="","",INDEX(Zeiterfassung!$E$6:$E$3665,$K280))</f>
        <v/>
      </c>
      <c r="F280" s="187">
        <f>IF($K280="","",INDEX(Zeiterfassung!$F$6:$F$3665,$K280))</f>
        <v/>
      </c>
      <c r="G280" s="187">
        <f>IF($K280="","",INDEX(Zeiterfassung!$G$6:$G$3665,$K280))</f>
        <v/>
      </c>
      <c r="H280" s="188">
        <f>IF($K280="","",INDEX(Zeiterfassung!$H$6:$H$3665,$K280))</f>
        <v/>
      </c>
      <c r="I280" s="335">
        <f>IF(B280=B279,"",IF($K280="","",INDEX(Zeiterfassung!$I$6:$I$3665,MATCH(INDEX(Zeiterfassung!$K$6:$K$3665,$K280),Zeiterfassung!$K$6:$K$3665,0))))</f>
        <v/>
      </c>
      <c r="J280" s="335">
        <f>IF(B280=B279,"",IF($K280="","",INDEX(Zeiterfassung!$J$6:$J$3665,MATCH(INDEX(Zeiterfassung!$K$6:$K$3665,$K280),Zeiterfassung!$K$6:$K$3665,0))))</f>
        <v/>
      </c>
      <c r="K280">
        <f>IFERROR(AGGREGATE(15,6,(ROW(Zeiterfassung!$D$6:$D$3665)-ROW(Zeiterfassung!$D$6)+1)/(Zeiterfassung!$D$6:$D$3665&lt;&gt;""),275),"")</f>
        <v/>
      </c>
    </row>
    <row r="281" ht="20" customHeight="1">
      <c r="A281" s="183">
        <f>IF($K281="","",WEEKNUM(INDEX(Zeiterfassung!$K$6:$K$3665,$K281),21))</f>
        <v/>
      </c>
      <c r="B281" s="184">
        <f>IF($K281="","",INDEX(Zeiterfassung!$K$6:$K$3665,$K281))</f>
        <v/>
      </c>
      <c r="C281" s="185">
        <f>IF($K281="","",INDEX(Zeiterfassung!$K$6:$K$3665,$K281))</f>
        <v/>
      </c>
      <c r="D281" s="186">
        <f>IF($K281="","",INDEX(Zeiterfassung!$D$6:$D$3665,$K281))</f>
        <v/>
      </c>
      <c r="E281" s="186">
        <f>IF($K281="","",INDEX(Zeiterfassung!$E$6:$E$3665,$K281))</f>
        <v/>
      </c>
      <c r="F281" s="187">
        <f>IF($K281="","",INDEX(Zeiterfassung!$F$6:$F$3665,$K281))</f>
        <v/>
      </c>
      <c r="G281" s="187">
        <f>IF($K281="","",INDEX(Zeiterfassung!$G$6:$G$3665,$K281))</f>
        <v/>
      </c>
      <c r="H281" s="188">
        <f>IF($K281="","",INDEX(Zeiterfassung!$H$6:$H$3665,$K281))</f>
        <v/>
      </c>
      <c r="I281" s="335">
        <f>IF(B281=B280,"",IF($K281="","",INDEX(Zeiterfassung!$I$6:$I$3665,MATCH(INDEX(Zeiterfassung!$K$6:$K$3665,$K281),Zeiterfassung!$K$6:$K$3665,0))))</f>
        <v/>
      </c>
      <c r="J281" s="335">
        <f>IF(B281=B280,"",IF($K281="","",INDEX(Zeiterfassung!$J$6:$J$3665,MATCH(INDEX(Zeiterfassung!$K$6:$K$3665,$K281),Zeiterfassung!$K$6:$K$3665,0))))</f>
        <v/>
      </c>
      <c r="K281">
        <f>IFERROR(AGGREGATE(15,6,(ROW(Zeiterfassung!$D$6:$D$3665)-ROW(Zeiterfassung!$D$6)+1)/(Zeiterfassung!$D$6:$D$3665&lt;&gt;""),276),"")</f>
        <v/>
      </c>
    </row>
    <row r="282" ht="20" customHeight="1">
      <c r="A282" s="183">
        <f>IF($K282="","",WEEKNUM(INDEX(Zeiterfassung!$K$6:$K$3665,$K282),21))</f>
        <v/>
      </c>
      <c r="B282" s="184">
        <f>IF($K282="","",INDEX(Zeiterfassung!$K$6:$K$3665,$K282))</f>
        <v/>
      </c>
      <c r="C282" s="185">
        <f>IF($K282="","",INDEX(Zeiterfassung!$K$6:$K$3665,$K282))</f>
        <v/>
      </c>
      <c r="D282" s="186">
        <f>IF($K282="","",INDEX(Zeiterfassung!$D$6:$D$3665,$K282))</f>
        <v/>
      </c>
      <c r="E282" s="186">
        <f>IF($K282="","",INDEX(Zeiterfassung!$E$6:$E$3665,$K282))</f>
        <v/>
      </c>
      <c r="F282" s="187">
        <f>IF($K282="","",INDEX(Zeiterfassung!$F$6:$F$3665,$K282))</f>
        <v/>
      </c>
      <c r="G282" s="187">
        <f>IF($K282="","",INDEX(Zeiterfassung!$G$6:$G$3665,$K282))</f>
        <v/>
      </c>
      <c r="H282" s="188">
        <f>IF($K282="","",INDEX(Zeiterfassung!$H$6:$H$3665,$K282))</f>
        <v/>
      </c>
      <c r="I282" s="335">
        <f>IF(B282=B281,"",IF($K282="","",INDEX(Zeiterfassung!$I$6:$I$3665,MATCH(INDEX(Zeiterfassung!$K$6:$K$3665,$K282),Zeiterfassung!$K$6:$K$3665,0))))</f>
        <v/>
      </c>
      <c r="J282" s="335">
        <f>IF(B282=B281,"",IF($K282="","",INDEX(Zeiterfassung!$J$6:$J$3665,MATCH(INDEX(Zeiterfassung!$K$6:$K$3665,$K282),Zeiterfassung!$K$6:$K$3665,0))))</f>
        <v/>
      </c>
      <c r="K282">
        <f>IFERROR(AGGREGATE(15,6,(ROW(Zeiterfassung!$D$6:$D$3665)-ROW(Zeiterfassung!$D$6)+1)/(Zeiterfassung!$D$6:$D$3665&lt;&gt;""),277),"")</f>
        <v/>
      </c>
    </row>
    <row r="283" ht="20" customHeight="1">
      <c r="A283" s="183">
        <f>IF($K283="","",WEEKNUM(INDEX(Zeiterfassung!$K$6:$K$3665,$K283),21))</f>
        <v/>
      </c>
      <c r="B283" s="184">
        <f>IF($K283="","",INDEX(Zeiterfassung!$K$6:$K$3665,$K283))</f>
        <v/>
      </c>
      <c r="C283" s="185">
        <f>IF($K283="","",INDEX(Zeiterfassung!$K$6:$K$3665,$K283))</f>
        <v/>
      </c>
      <c r="D283" s="186">
        <f>IF($K283="","",INDEX(Zeiterfassung!$D$6:$D$3665,$K283))</f>
        <v/>
      </c>
      <c r="E283" s="186">
        <f>IF($K283="","",INDEX(Zeiterfassung!$E$6:$E$3665,$K283))</f>
        <v/>
      </c>
      <c r="F283" s="187">
        <f>IF($K283="","",INDEX(Zeiterfassung!$F$6:$F$3665,$K283))</f>
        <v/>
      </c>
      <c r="G283" s="187">
        <f>IF($K283="","",INDEX(Zeiterfassung!$G$6:$G$3665,$K283))</f>
        <v/>
      </c>
      <c r="H283" s="188">
        <f>IF($K283="","",INDEX(Zeiterfassung!$H$6:$H$3665,$K283))</f>
        <v/>
      </c>
      <c r="I283" s="335">
        <f>IF(B283=B282,"",IF($K283="","",INDEX(Zeiterfassung!$I$6:$I$3665,MATCH(INDEX(Zeiterfassung!$K$6:$K$3665,$K283),Zeiterfassung!$K$6:$K$3665,0))))</f>
        <v/>
      </c>
      <c r="J283" s="335">
        <f>IF(B283=B282,"",IF($K283="","",INDEX(Zeiterfassung!$J$6:$J$3665,MATCH(INDEX(Zeiterfassung!$K$6:$K$3665,$K283),Zeiterfassung!$K$6:$K$3665,0))))</f>
        <v/>
      </c>
      <c r="K283">
        <f>IFERROR(AGGREGATE(15,6,(ROW(Zeiterfassung!$D$6:$D$3665)-ROW(Zeiterfassung!$D$6)+1)/(Zeiterfassung!$D$6:$D$3665&lt;&gt;""),278),"")</f>
        <v/>
      </c>
    </row>
    <row r="284" ht="20" customHeight="1">
      <c r="A284" s="183">
        <f>IF($K284="","",WEEKNUM(INDEX(Zeiterfassung!$K$6:$K$3665,$K284),21))</f>
        <v/>
      </c>
      <c r="B284" s="184">
        <f>IF($K284="","",INDEX(Zeiterfassung!$K$6:$K$3665,$K284))</f>
        <v/>
      </c>
      <c r="C284" s="185">
        <f>IF($K284="","",INDEX(Zeiterfassung!$K$6:$K$3665,$K284))</f>
        <v/>
      </c>
      <c r="D284" s="186">
        <f>IF($K284="","",INDEX(Zeiterfassung!$D$6:$D$3665,$K284))</f>
        <v/>
      </c>
      <c r="E284" s="186">
        <f>IF($K284="","",INDEX(Zeiterfassung!$E$6:$E$3665,$K284))</f>
        <v/>
      </c>
      <c r="F284" s="187">
        <f>IF($K284="","",INDEX(Zeiterfassung!$F$6:$F$3665,$K284))</f>
        <v/>
      </c>
      <c r="G284" s="187">
        <f>IF($K284="","",INDEX(Zeiterfassung!$G$6:$G$3665,$K284))</f>
        <v/>
      </c>
      <c r="H284" s="188">
        <f>IF($K284="","",INDEX(Zeiterfassung!$H$6:$H$3665,$K284))</f>
        <v/>
      </c>
      <c r="I284" s="335">
        <f>IF(B284=B283,"",IF($K284="","",INDEX(Zeiterfassung!$I$6:$I$3665,MATCH(INDEX(Zeiterfassung!$K$6:$K$3665,$K284),Zeiterfassung!$K$6:$K$3665,0))))</f>
        <v/>
      </c>
      <c r="J284" s="335">
        <f>IF(B284=B283,"",IF($K284="","",INDEX(Zeiterfassung!$J$6:$J$3665,MATCH(INDEX(Zeiterfassung!$K$6:$K$3665,$K284),Zeiterfassung!$K$6:$K$3665,0))))</f>
        <v/>
      </c>
      <c r="K284">
        <f>IFERROR(AGGREGATE(15,6,(ROW(Zeiterfassung!$D$6:$D$3665)-ROW(Zeiterfassung!$D$6)+1)/(Zeiterfassung!$D$6:$D$3665&lt;&gt;""),279),"")</f>
        <v/>
      </c>
    </row>
    <row r="285" ht="20" customHeight="1">
      <c r="A285" s="183">
        <f>IF($K285="","",WEEKNUM(INDEX(Zeiterfassung!$K$6:$K$3665,$K285),21))</f>
        <v/>
      </c>
      <c r="B285" s="184">
        <f>IF($K285="","",INDEX(Zeiterfassung!$K$6:$K$3665,$K285))</f>
        <v/>
      </c>
      <c r="C285" s="185">
        <f>IF($K285="","",INDEX(Zeiterfassung!$K$6:$K$3665,$K285))</f>
        <v/>
      </c>
      <c r="D285" s="186">
        <f>IF($K285="","",INDEX(Zeiterfassung!$D$6:$D$3665,$K285))</f>
        <v/>
      </c>
      <c r="E285" s="186">
        <f>IF($K285="","",INDEX(Zeiterfassung!$E$6:$E$3665,$K285))</f>
        <v/>
      </c>
      <c r="F285" s="187">
        <f>IF($K285="","",INDEX(Zeiterfassung!$F$6:$F$3665,$K285))</f>
        <v/>
      </c>
      <c r="G285" s="187">
        <f>IF($K285="","",INDEX(Zeiterfassung!$G$6:$G$3665,$K285))</f>
        <v/>
      </c>
      <c r="H285" s="188">
        <f>IF($K285="","",INDEX(Zeiterfassung!$H$6:$H$3665,$K285))</f>
        <v/>
      </c>
      <c r="I285" s="335">
        <f>IF(B285=B284,"",IF($K285="","",INDEX(Zeiterfassung!$I$6:$I$3665,MATCH(INDEX(Zeiterfassung!$K$6:$K$3665,$K285),Zeiterfassung!$K$6:$K$3665,0))))</f>
        <v/>
      </c>
      <c r="J285" s="335">
        <f>IF(B285=B284,"",IF($K285="","",INDEX(Zeiterfassung!$J$6:$J$3665,MATCH(INDEX(Zeiterfassung!$K$6:$K$3665,$K285),Zeiterfassung!$K$6:$K$3665,0))))</f>
        <v/>
      </c>
      <c r="K285">
        <f>IFERROR(AGGREGATE(15,6,(ROW(Zeiterfassung!$D$6:$D$3665)-ROW(Zeiterfassung!$D$6)+1)/(Zeiterfassung!$D$6:$D$3665&lt;&gt;""),280),"")</f>
        <v/>
      </c>
    </row>
    <row r="286" ht="20" customHeight="1">
      <c r="A286" s="183">
        <f>IF($K286="","",WEEKNUM(INDEX(Zeiterfassung!$K$6:$K$3665,$K286),21))</f>
        <v/>
      </c>
      <c r="B286" s="184">
        <f>IF($K286="","",INDEX(Zeiterfassung!$K$6:$K$3665,$K286))</f>
        <v/>
      </c>
      <c r="C286" s="185">
        <f>IF($K286="","",INDEX(Zeiterfassung!$K$6:$K$3665,$K286))</f>
        <v/>
      </c>
      <c r="D286" s="186">
        <f>IF($K286="","",INDEX(Zeiterfassung!$D$6:$D$3665,$K286))</f>
        <v/>
      </c>
      <c r="E286" s="186">
        <f>IF($K286="","",INDEX(Zeiterfassung!$E$6:$E$3665,$K286))</f>
        <v/>
      </c>
      <c r="F286" s="187">
        <f>IF($K286="","",INDEX(Zeiterfassung!$F$6:$F$3665,$K286))</f>
        <v/>
      </c>
      <c r="G286" s="187">
        <f>IF($K286="","",INDEX(Zeiterfassung!$G$6:$G$3665,$K286))</f>
        <v/>
      </c>
      <c r="H286" s="188">
        <f>IF($K286="","",INDEX(Zeiterfassung!$H$6:$H$3665,$K286))</f>
        <v/>
      </c>
      <c r="I286" s="335">
        <f>IF(B286=B285,"",IF($K286="","",INDEX(Zeiterfassung!$I$6:$I$3665,MATCH(INDEX(Zeiterfassung!$K$6:$K$3665,$K286),Zeiterfassung!$K$6:$K$3665,0))))</f>
        <v/>
      </c>
      <c r="J286" s="335">
        <f>IF(B286=B285,"",IF($K286="","",INDEX(Zeiterfassung!$J$6:$J$3665,MATCH(INDEX(Zeiterfassung!$K$6:$K$3665,$K286),Zeiterfassung!$K$6:$K$3665,0))))</f>
        <v/>
      </c>
      <c r="K286">
        <f>IFERROR(AGGREGATE(15,6,(ROW(Zeiterfassung!$D$6:$D$3665)-ROW(Zeiterfassung!$D$6)+1)/(Zeiterfassung!$D$6:$D$3665&lt;&gt;""),281),"")</f>
        <v/>
      </c>
    </row>
    <row r="287" ht="20" customHeight="1">
      <c r="A287" s="183">
        <f>IF($K287="","",WEEKNUM(INDEX(Zeiterfassung!$K$6:$K$3665,$K287),21))</f>
        <v/>
      </c>
      <c r="B287" s="184">
        <f>IF($K287="","",INDEX(Zeiterfassung!$K$6:$K$3665,$K287))</f>
        <v/>
      </c>
      <c r="C287" s="185">
        <f>IF($K287="","",INDEX(Zeiterfassung!$K$6:$K$3665,$K287))</f>
        <v/>
      </c>
      <c r="D287" s="186">
        <f>IF($K287="","",INDEX(Zeiterfassung!$D$6:$D$3665,$K287))</f>
        <v/>
      </c>
      <c r="E287" s="186">
        <f>IF($K287="","",INDEX(Zeiterfassung!$E$6:$E$3665,$K287))</f>
        <v/>
      </c>
      <c r="F287" s="187">
        <f>IF($K287="","",INDEX(Zeiterfassung!$F$6:$F$3665,$K287))</f>
        <v/>
      </c>
      <c r="G287" s="187">
        <f>IF($K287="","",INDEX(Zeiterfassung!$G$6:$G$3665,$K287))</f>
        <v/>
      </c>
      <c r="H287" s="188">
        <f>IF($K287="","",INDEX(Zeiterfassung!$H$6:$H$3665,$K287))</f>
        <v/>
      </c>
      <c r="I287" s="335">
        <f>IF(B287=B286,"",IF($K287="","",INDEX(Zeiterfassung!$I$6:$I$3665,MATCH(INDEX(Zeiterfassung!$K$6:$K$3665,$K287),Zeiterfassung!$K$6:$K$3665,0))))</f>
        <v/>
      </c>
      <c r="J287" s="335">
        <f>IF(B287=B286,"",IF($K287="","",INDEX(Zeiterfassung!$J$6:$J$3665,MATCH(INDEX(Zeiterfassung!$K$6:$K$3665,$K287),Zeiterfassung!$K$6:$K$3665,0))))</f>
        <v/>
      </c>
      <c r="K287">
        <f>IFERROR(AGGREGATE(15,6,(ROW(Zeiterfassung!$D$6:$D$3665)-ROW(Zeiterfassung!$D$6)+1)/(Zeiterfassung!$D$6:$D$3665&lt;&gt;""),282),"")</f>
        <v/>
      </c>
    </row>
    <row r="288" ht="20" customHeight="1">
      <c r="A288" s="183">
        <f>IF($K288="","",WEEKNUM(INDEX(Zeiterfassung!$K$6:$K$3665,$K288),21))</f>
        <v/>
      </c>
      <c r="B288" s="184">
        <f>IF($K288="","",INDEX(Zeiterfassung!$K$6:$K$3665,$K288))</f>
        <v/>
      </c>
      <c r="C288" s="185">
        <f>IF($K288="","",INDEX(Zeiterfassung!$K$6:$K$3665,$K288))</f>
        <v/>
      </c>
      <c r="D288" s="186">
        <f>IF($K288="","",INDEX(Zeiterfassung!$D$6:$D$3665,$K288))</f>
        <v/>
      </c>
      <c r="E288" s="186">
        <f>IF($K288="","",INDEX(Zeiterfassung!$E$6:$E$3665,$K288))</f>
        <v/>
      </c>
      <c r="F288" s="187">
        <f>IF($K288="","",INDEX(Zeiterfassung!$F$6:$F$3665,$K288))</f>
        <v/>
      </c>
      <c r="G288" s="187">
        <f>IF($K288="","",INDEX(Zeiterfassung!$G$6:$G$3665,$K288))</f>
        <v/>
      </c>
      <c r="H288" s="188">
        <f>IF($K288="","",INDEX(Zeiterfassung!$H$6:$H$3665,$K288))</f>
        <v/>
      </c>
      <c r="I288" s="335">
        <f>IF(B288=B287,"",IF($K288="","",INDEX(Zeiterfassung!$I$6:$I$3665,MATCH(INDEX(Zeiterfassung!$K$6:$K$3665,$K288),Zeiterfassung!$K$6:$K$3665,0))))</f>
        <v/>
      </c>
      <c r="J288" s="335">
        <f>IF(B288=B287,"",IF($K288="","",INDEX(Zeiterfassung!$J$6:$J$3665,MATCH(INDEX(Zeiterfassung!$K$6:$K$3665,$K288),Zeiterfassung!$K$6:$K$3665,0))))</f>
        <v/>
      </c>
      <c r="K288">
        <f>IFERROR(AGGREGATE(15,6,(ROW(Zeiterfassung!$D$6:$D$3665)-ROW(Zeiterfassung!$D$6)+1)/(Zeiterfassung!$D$6:$D$3665&lt;&gt;""),283),"")</f>
        <v/>
      </c>
    </row>
    <row r="289" ht="20" customHeight="1">
      <c r="A289" s="183">
        <f>IF($K289="","",WEEKNUM(INDEX(Zeiterfassung!$K$6:$K$3665,$K289),21))</f>
        <v/>
      </c>
      <c r="B289" s="184">
        <f>IF($K289="","",INDEX(Zeiterfassung!$K$6:$K$3665,$K289))</f>
        <v/>
      </c>
      <c r="C289" s="185">
        <f>IF($K289="","",INDEX(Zeiterfassung!$K$6:$K$3665,$K289))</f>
        <v/>
      </c>
      <c r="D289" s="186">
        <f>IF($K289="","",INDEX(Zeiterfassung!$D$6:$D$3665,$K289))</f>
        <v/>
      </c>
      <c r="E289" s="186">
        <f>IF($K289="","",INDEX(Zeiterfassung!$E$6:$E$3665,$K289))</f>
        <v/>
      </c>
      <c r="F289" s="187">
        <f>IF($K289="","",INDEX(Zeiterfassung!$F$6:$F$3665,$K289))</f>
        <v/>
      </c>
      <c r="G289" s="187">
        <f>IF($K289="","",INDEX(Zeiterfassung!$G$6:$G$3665,$K289))</f>
        <v/>
      </c>
      <c r="H289" s="188">
        <f>IF($K289="","",INDEX(Zeiterfassung!$H$6:$H$3665,$K289))</f>
        <v/>
      </c>
      <c r="I289" s="335">
        <f>IF(B289=B288,"",IF($K289="","",INDEX(Zeiterfassung!$I$6:$I$3665,MATCH(INDEX(Zeiterfassung!$K$6:$K$3665,$K289),Zeiterfassung!$K$6:$K$3665,0))))</f>
        <v/>
      </c>
      <c r="J289" s="335">
        <f>IF(B289=B288,"",IF($K289="","",INDEX(Zeiterfassung!$J$6:$J$3665,MATCH(INDEX(Zeiterfassung!$K$6:$K$3665,$K289),Zeiterfassung!$K$6:$K$3665,0))))</f>
        <v/>
      </c>
      <c r="K289">
        <f>IFERROR(AGGREGATE(15,6,(ROW(Zeiterfassung!$D$6:$D$3665)-ROW(Zeiterfassung!$D$6)+1)/(Zeiterfassung!$D$6:$D$3665&lt;&gt;""),284),"")</f>
        <v/>
      </c>
    </row>
    <row r="290" ht="20" customHeight="1">
      <c r="A290" s="183">
        <f>IF($K290="","",WEEKNUM(INDEX(Zeiterfassung!$K$6:$K$3665,$K290),21))</f>
        <v/>
      </c>
      <c r="B290" s="184">
        <f>IF($K290="","",INDEX(Zeiterfassung!$K$6:$K$3665,$K290))</f>
        <v/>
      </c>
      <c r="C290" s="185">
        <f>IF($K290="","",INDEX(Zeiterfassung!$K$6:$K$3665,$K290))</f>
        <v/>
      </c>
      <c r="D290" s="186">
        <f>IF($K290="","",INDEX(Zeiterfassung!$D$6:$D$3665,$K290))</f>
        <v/>
      </c>
      <c r="E290" s="186">
        <f>IF($K290="","",INDEX(Zeiterfassung!$E$6:$E$3665,$K290))</f>
        <v/>
      </c>
      <c r="F290" s="187">
        <f>IF($K290="","",INDEX(Zeiterfassung!$F$6:$F$3665,$K290))</f>
        <v/>
      </c>
      <c r="G290" s="187">
        <f>IF($K290="","",INDEX(Zeiterfassung!$G$6:$G$3665,$K290))</f>
        <v/>
      </c>
      <c r="H290" s="188">
        <f>IF($K290="","",INDEX(Zeiterfassung!$H$6:$H$3665,$K290))</f>
        <v/>
      </c>
      <c r="I290" s="335">
        <f>IF(B290=B289,"",IF($K290="","",INDEX(Zeiterfassung!$I$6:$I$3665,MATCH(INDEX(Zeiterfassung!$K$6:$K$3665,$K290),Zeiterfassung!$K$6:$K$3665,0))))</f>
        <v/>
      </c>
      <c r="J290" s="335">
        <f>IF(B290=B289,"",IF($K290="","",INDEX(Zeiterfassung!$J$6:$J$3665,MATCH(INDEX(Zeiterfassung!$K$6:$K$3665,$K290),Zeiterfassung!$K$6:$K$3665,0))))</f>
        <v/>
      </c>
      <c r="K290">
        <f>IFERROR(AGGREGATE(15,6,(ROW(Zeiterfassung!$D$6:$D$3665)-ROW(Zeiterfassung!$D$6)+1)/(Zeiterfassung!$D$6:$D$3665&lt;&gt;""),285),"")</f>
        <v/>
      </c>
    </row>
    <row r="291" ht="20" customHeight="1">
      <c r="A291" s="183">
        <f>IF($K291="","",WEEKNUM(INDEX(Zeiterfassung!$K$6:$K$3665,$K291),21))</f>
        <v/>
      </c>
      <c r="B291" s="184">
        <f>IF($K291="","",INDEX(Zeiterfassung!$K$6:$K$3665,$K291))</f>
        <v/>
      </c>
      <c r="C291" s="185">
        <f>IF($K291="","",INDEX(Zeiterfassung!$K$6:$K$3665,$K291))</f>
        <v/>
      </c>
      <c r="D291" s="186">
        <f>IF($K291="","",INDEX(Zeiterfassung!$D$6:$D$3665,$K291))</f>
        <v/>
      </c>
      <c r="E291" s="186">
        <f>IF($K291="","",INDEX(Zeiterfassung!$E$6:$E$3665,$K291))</f>
        <v/>
      </c>
      <c r="F291" s="187">
        <f>IF($K291="","",INDEX(Zeiterfassung!$F$6:$F$3665,$K291))</f>
        <v/>
      </c>
      <c r="G291" s="187">
        <f>IF($K291="","",INDEX(Zeiterfassung!$G$6:$G$3665,$K291))</f>
        <v/>
      </c>
      <c r="H291" s="188">
        <f>IF($K291="","",INDEX(Zeiterfassung!$H$6:$H$3665,$K291))</f>
        <v/>
      </c>
      <c r="I291" s="335">
        <f>IF(B291=B290,"",IF($K291="","",INDEX(Zeiterfassung!$I$6:$I$3665,MATCH(INDEX(Zeiterfassung!$K$6:$K$3665,$K291),Zeiterfassung!$K$6:$K$3665,0))))</f>
        <v/>
      </c>
      <c r="J291" s="335">
        <f>IF(B291=B290,"",IF($K291="","",INDEX(Zeiterfassung!$J$6:$J$3665,MATCH(INDEX(Zeiterfassung!$K$6:$K$3665,$K291),Zeiterfassung!$K$6:$K$3665,0))))</f>
        <v/>
      </c>
      <c r="K291">
        <f>IFERROR(AGGREGATE(15,6,(ROW(Zeiterfassung!$D$6:$D$3665)-ROW(Zeiterfassung!$D$6)+1)/(Zeiterfassung!$D$6:$D$3665&lt;&gt;""),286),"")</f>
        <v/>
      </c>
    </row>
    <row r="292" ht="20" customHeight="1">
      <c r="A292" s="183">
        <f>IF($K292="","",WEEKNUM(INDEX(Zeiterfassung!$K$6:$K$3665,$K292),21))</f>
        <v/>
      </c>
      <c r="B292" s="184">
        <f>IF($K292="","",INDEX(Zeiterfassung!$K$6:$K$3665,$K292))</f>
        <v/>
      </c>
      <c r="C292" s="185">
        <f>IF($K292="","",INDEX(Zeiterfassung!$K$6:$K$3665,$K292))</f>
        <v/>
      </c>
      <c r="D292" s="186">
        <f>IF($K292="","",INDEX(Zeiterfassung!$D$6:$D$3665,$K292))</f>
        <v/>
      </c>
      <c r="E292" s="186">
        <f>IF($K292="","",INDEX(Zeiterfassung!$E$6:$E$3665,$K292))</f>
        <v/>
      </c>
      <c r="F292" s="187">
        <f>IF($K292="","",INDEX(Zeiterfassung!$F$6:$F$3665,$K292))</f>
        <v/>
      </c>
      <c r="G292" s="187">
        <f>IF($K292="","",INDEX(Zeiterfassung!$G$6:$G$3665,$K292))</f>
        <v/>
      </c>
      <c r="H292" s="188">
        <f>IF($K292="","",INDEX(Zeiterfassung!$H$6:$H$3665,$K292))</f>
        <v/>
      </c>
      <c r="I292" s="335">
        <f>IF(B292=B291,"",IF($K292="","",INDEX(Zeiterfassung!$I$6:$I$3665,MATCH(INDEX(Zeiterfassung!$K$6:$K$3665,$K292),Zeiterfassung!$K$6:$K$3665,0))))</f>
        <v/>
      </c>
      <c r="J292" s="335">
        <f>IF(B292=B291,"",IF($K292="","",INDEX(Zeiterfassung!$J$6:$J$3665,MATCH(INDEX(Zeiterfassung!$K$6:$K$3665,$K292),Zeiterfassung!$K$6:$K$3665,0))))</f>
        <v/>
      </c>
      <c r="K292">
        <f>IFERROR(AGGREGATE(15,6,(ROW(Zeiterfassung!$D$6:$D$3665)-ROW(Zeiterfassung!$D$6)+1)/(Zeiterfassung!$D$6:$D$3665&lt;&gt;""),287),"")</f>
        <v/>
      </c>
    </row>
    <row r="293" ht="20" customHeight="1">
      <c r="A293" s="183">
        <f>IF($K293="","",WEEKNUM(INDEX(Zeiterfassung!$K$6:$K$3665,$K293),21))</f>
        <v/>
      </c>
      <c r="B293" s="184">
        <f>IF($K293="","",INDEX(Zeiterfassung!$K$6:$K$3665,$K293))</f>
        <v/>
      </c>
      <c r="C293" s="185">
        <f>IF($K293="","",INDEX(Zeiterfassung!$K$6:$K$3665,$K293))</f>
        <v/>
      </c>
      <c r="D293" s="186">
        <f>IF($K293="","",INDEX(Zeiterfassung!$D$6:$D$3665,$K293))</f>
        <v/>
      </c>
      <c r="E293" s="186">
        <f>IF($K293="","",INDEX(Zeiterfassung!$E$6:$E$3665,$K293))</f>
        <v/>
      </c>
      <c r="F293" s="187">
        <f>IF($K293="","",INDEX(Zeiterfassung!$F$6:$F$3665,$K293))</f>
        <v/>
      </c>
      <c r="G293" s="187">
        <f>IF($K293="","",INDEX(Zeiterfassung!$G$6:$G$3665,$K293))</f>
        <v/>
      </c>
      <c r="H293" s="188">
        <f>IF($K293="","",INDEX(Zeiterfassung!$H$6:$H$3665,$K293))</f>
        <v/>
      </c>
      <c r="I293" s="335">
        <f>IF(B293=B292,"",IF($K293="","",INDEX(Zeiterfassung!$I$6:$I$3665,MATCH(INDEX(Zeiterfassung!$K$6:$K$3665,$K293),Zeiterfassung!$K$6:$K$3665,0))))</f>
        <v/>
      </c>
      <c r="J293" s="335">
        <f>IF(B293=B292,"",IF($K293="","",INDEX(Zeiterfassung!$J$6:$J$3665,MATCH(INDEX(Zeiterfassung!$K$6:$K$3665,$K293),Zeiterfassung!$K$6:$K$3665,0))))</f>
        <v/>
      </c>
      <c r="K293">
        <f>IFERROR(AGGREGATE(15,6,(ROW(Zeiterfassung!$D$6:$D$3665)-ROW(Zeiterfassung!$D$6)+1)/(Zeiterfassung!$D$6:$D$3665&lt;&gt;""),288),"")</f>
        <v/>
      </c>
    </row>
    <row r="294" ht="20" customHeight="1">
      <c r="A294" s="183">
        <f>IF($K294="","",WEEKNUM(INDEX(Zeiterfassung!$K$6:$K$3665,$K294),21))</f>
        <v/>
      </c>
      <c r="B294" s="184">
        <f>IF($K294="","",INDEX(Zeiterfassung!$K$6:$K$3665,$K294))</f>
        <v/>
      </c>
      <c r="C294" s="185">
        <f>IF($K294="","",INDEX(Zeiterfassung!$K$6:$K$3665,$K294))</f>
        <v/>
      </c>
      <c r="D294" s="186">
        <f>IF($K294="","",INDEX(Zeiterfassung!$D$6:$D$3665,$K294))</f>
        <v/>
      </c>
      <c r="E294" s="186">
        <f>IF($K294="","",INDEX(Zeiterfassung!$E$6:$E$3665,$K294))</f>
        <v/>
      </c>
      <c r="F294" s="187">
        <f>IF($K294="","",INDEX(Zeiterfassung!$F$6:$F$3665,$K294))</f>
        <v/>
      </c>
      <c r="G294" s="187">
        <f>IF($K294="","",INDEX(Zeiterfassung!$G$6:$G$3665,$K294))</f>
        <v/>
      </c>
      <c r="H294" s="188">
        <f>IF($K294="","",INDEX(Zeiterfassung!$H$6:$H$3665,$K294))</f>
        <v/>
      </c>
      <c r="I294" s="335">
        <f>IF(B294=B293,"",IF($K294="","",INDEX(Zeiterfassung!$I$6:$I$3665,MATCH(INDEX(Zeiterfassung!$K$6:$K$3665,$K294),Zeiterfassung!$K$6:$K$3665,0))))</f>
        <v/>
      </c>
      <c r="J294" s="335">
        <f>IF(B294=B293,"",IF($K294="","",INDEX(Zeiterfassung!$J$6:$J$3665,MATCH(INDEX(Zeiterfassung!$K$6:$K$3665,$K294),Zeiterfassung!$K$6:$K$3665,0))))</f>
        <v/>
      </c>
      <c r="K294">
        <f>IFERROR(AGGREGATE(15,6,(ROW(Zeiterfassung!$D$6:$D$3665)-ROW(Zeiterfassung!$D$6)+1)/(Zeiterfassung!$D$6:$D$3665&lt;&gt;""),289),"")</f>
        <v/>
      </c>
    </row>
    <row r="295" ht="20" customHeight="1">
      <c r="A295" s="183">
        <f>IF($K295="","",WEEKNUM(INDEX(Zeiterfassung!$K$6:$K$3665,$K295),21))</f>
        <v/>
      </c>
      <c r="B295" s="184">
        <f>IF($K295="","",INDEX(Zeiterfassung!$K$6:$K$3665,$K295))</f>
        <v/>
      </c>
      <c r="C295" s="185">
        <f>IF($K295="","",INDEX(Zeiterfassung!$K$6:$K$3665,$K295))</f>
        <v/>
      </c>
      <c r="D295" s="186">
        <f>IF($K295="","",INDEX(Zeiterfassung!$D$6:$D$3665,$K295))</f>
        <v/>
      </c>
      <c r="E295" s="186">
        <f>IF($K295="","",INDEX(Zeiterfassung!$E$6:$E$3665,$K295))</f>
        <v/>
      </c>
      <c r="F295" s="187">
        <f>IF($K295="","",INDEX(Zeiterfassung!$F$6:$F$3665,$K295))</f>
        <v/>
      </c>
      <c r="G295" s="187">
        <f>IF($K295="","",INDEX(Zeiterfassung!$G$6:$G$3665,$K295))</f>
        <v/>
      </c>
      <c r="H295" s="188">
        <f>IF($K295="","",INDEX(Zeiterfassung!$H$6:$H$3665,$K295))</f>
        <v/>
      </c>
      <c r="I295" s="335">
        <f>IF(B295=B294,"",IF($K295="","",INDEX(Zeiterfassung!$I$6:$I$3665,MATCH(INDEX(Zeiterfassung!$K$6:$K$3665,$K295),Zeiterfassung!$K$6:$K$3665,0))))</f>
        <v/>
      </c>
      <c r="J295" s="335">
        <f>IF(B295=B294,"",IF($K295="","",INDEX(Zeiterfassung!$J$6:$J$3665,MATCH(INDEX(Zeiterfassung!$K$6:$K$3665,$K295),Zeiterfassung!$K$6:$K$3665,0))))</f>
        <v/>
      </c>
      <c r="K295">
        <f>IFERROR(AGGREGATE(15,6,(ROW(Zeiterfassung!$D$6:$D$3665)-ROW(Zeiterfassung!$D$6)+1)/(Zeiterfassung!$D$6:$D$3665&lt;&gt;""),290),"")</f>
        <v/>
      </c>
    </row>
    <row r="296" ht="20" customHeight="1">
      <c r="A296" s="183">
        <f>IF($K296="","",WEEKNUM(INDEX(Zeiterfassung!$K$6:$K$3665,$K296),21))</f>
        <v/>
      </c>
      <c r="B296" s="184">
        <f>IF($K296="","",INDEX(Zeiterfassung!$K$6:$K$3665,$K296))</f>
        <v/>
      </c>
      <c r="C296" s="185">
        <f>IF($K296="","",INDEX(Zeiterfassung!$K$6:$K$3665,$K296))</f>
        <v/>
      </c>
      <c r="D296" s="186">
        <f>IF($K296="","",INDEX(Zeiterfassung!$D$6:$D$3665,$K296))</f>
        <v/>
      </c>
      <c r="E296" s="186">
        <f>IF($K296="","",INDEX(Zeiterfassung!$E$6:$E$3665,$K296))</f>
        <v/>
      </c>
      <c r="F296" s="187">
        <f>IF($K296="","",INDEX(Zeiterfassung!$F$6:$F$3665,$K296))</f>
        <v/>
      </c>
      <c r="G296" s="187">
        <f>IF($K296="","",INDEX(Zeiterfassung!$G$6:$G$3665,$K296))</f>
        <v/>
      </c>
      <c r="H296" s="188">
        <f>IF($K296="","",INDEX(Zeiterfassung!$H$6:$H$3665,$K296))</f>
        <v/>
      </c>
      <c r="I296" s="335">
        <f>IF(B296=B295,"",IF($K296="","",INDEX(Zeiterfassung!$I$6:$I$3665,MATCH(INDEX(Zeiterfassung!$K$6:$K$3665,$K296),Zeiterfassung!$K$6:$K$3665,0))))</f>
        <v/>
      </c>
      <c r="J296" s="335">
        <f>IF(B296=B295,"",IF($K296="","",INDEX(Zeiterfassung!$J$6:$J$3665,MATCH(INDEX(Zeiterfassung!$K$6:$K$3665,$K296),Zeiterfassung!$K$6:$K$3665,0))))</f>
        <v/>
      </c>
      <c r="K296">
        <f>IFERROR(AGGREGATE(15,6,(ROW(Zeiterfassung!$D$6:$D$3665)-ROW(Zeiterfassung!$D$6)+1)/(Zeiterfassung!$D$6:$D$3665&lt;&gt;""),291),"")</f>
        <v/>
      </c>
    </row>
    <row r="297" ht="20" customHeight="1">
      <c r="A297" s="183">
        <f>IF($K297="","",WEEKNUM(INDEX(Zeiterfassung!$K$6:$K$3665,$K297),21))</f>
        <v/>
      </c>
      <c r="B297" s="184">
        <f>IF($K297="","",INDEX(Zeiterfassung!$K$6:$K$3665,$K297))</f>
        <v/>
      </c>
      <c r="C297" s="185">
        <f>IF($K297="","",INDEX(Zeiterfassung!$K$6:$K$3665,$K297))</f>
        <v/>
      </c>
      <c r="D297" s="186">
        <f>IF($K297="","",INDEX(Zeiterfassung!$D$6:$D$3665,$K297))</f>
        <v/>
      </c>
      <c r="E297" s="186">
        <f>IF($K297="","",INDEX(Zeiterfassung!$E$6:$E$3665,$K297))</f>
        <v/>
      </c>
      <c r="F297" s="187">
        <f>IF($K297="","",INDEX(Zeiterfassung!$F$6:$F$3665,$K297))</f>
        <v/>
      </c>
      <c r="G297" s="187">
        <f>IF($K297="","",INDEX(Zeiterfassung!$G$6:$G$3665,$K297))</f>
        <v/>
      </c>
      <c r="H297" s="188">
        <f>IF($K297="","",INDEX(Zeiterfassung!$H$6:$H$3665,$K297))</f>
        <v/>
      </c>
      <c r="I297" s="335">
        <f>IF(B297=B296,"",IF($K297="","",INDEX(Zeiterfassung!$I$6:$I$3665,MATCH(INDEX(Zeiterfassung!$K$6:$K$3665,$K297),Zeiterfassung!$K$6:$K$3665,0))))</f>
        <v/>
      </c>
      <c r="J297" s="335">
        <f>IF(B297=B296,"",IF($K297="","",INDEX(Zeiterfassung!$J$6:$J$3665,MATCH(INDEX(Zeiterfassung!$K$6:$K$3665,$K297),Zeiterfassung!$K$6:$K$3665,0))))</f>
        <v/>
      </c>
      <c r="K297">
        <f>IFERROR(AGGREGATE(15,6,(ROW(Zeiterfassung!$D$6:$D$3665)-ROW(Zeiterfassung!$D$6)+1)/(Zeiterfassung!$D$6:$D$3665&lt;&gt;""),292),"")</f>
        <v/>
      </c>
    </row>
    <row r="298" ht="20" customHeight="1">
      <c r="A298" s="183">
        <f>IF($K298="","",WEEKNUM(INDEX(Zeiterfassung!$K$6:$K$3665,$K298),21))</f>
        <v/>
      </c>
      <c r="B298" s="184">
        <f>IF($K298="","",INDEX(Zeiterfassung!$K$6:$K$3665,$K298))</f>
        <v/>
      </c>
      <c r="C298" s="185">
        <f>IF($K298="","",INDEX(Zeiterfassung!$K$6:$K$3665,$K298))</f>
        <v/>
      </c>
      <c r="D298" s="186">
        <f>IF($K298="","",INDEX(Zeiterfassung!$D$6:$D$3665,$K298))</f>
        <v/>
      </c>
      <c r="E298" s="186">
        <f>IF($K298="","",INDEX(Zeiterfassung!$E$6:$E$3665,$K298))</f>
        <v/>
      </c>
      <c r="F298" s="187">
        <f>IF($K298="","",INDEX(Zeiterfassung!$F$6:$F$3665,$K298))</f>
        <v/>
      </c>
      <c r="G298" s="187">
        <f>IF($K298="","",INDEX(Zeiterfassung!$G$6:$G$3665,$K298))</f>
        <v/>
      </c>
      <c r="H298" s="188">
        <f>IF($K298="","",INDEX(Zeiterfassung!$H$6:$H$3665,$K298))</f>
        <v/>
      </c>
      <c r="I298" s="335">
        <f>IF(B298=B297,"",IF($K298="","",INDEX(Zeiterfassung!$I$6:$I$3665,MATCH(INDEX(Zeiterfassung!$K$6:$K$3665,$K298),Zeiterfassung!$K$6:$K$3665,0))))</f>
        <v/>
      </c>
      <c r="J298" s="335">
        <f>IF(B298=B297,"",IF($K298="","",INDEX(Zeiterfassung!$J$6:$J$3665,MATCH(INDEX(Zeiterfassung!$K$6:$K$3665,$K298),Zeiterfassung!$K$6:$K$3665,0))))</f>
        <v/>
      </c>
      <c r="K298">
        <f>IFERROR(AGGREGATE(15,6,(ROW(Zeiterfassung!$D$6:$D$3665)-ROW(Zeiterfassung!$D$6)+1)/(Zeiterfassung!$D$6:$D$3665&lt;&gt;""),293),"")</f>
        <v/>
      </c>
    </row>
    <row r="299" ht="20" customHeight="1">
      <c r="A299" s="183">
        <f>IF($K299="","",WEEKNUM(INDEX(Zeiterfassung!$K$6:$K$3665,$K299),21))</f>
        <v/>
      </c>
      <c r="B299" s="184">
        <f>IF($K299="","",INDEX(Zeiterfassung!$K$6:$K$3665,$K299))</f>
        <v/>
      </c>
      <c r="C299" s="185">
        <f>IF($K299="","",INDEX(Zeiterfassung!$K$6:$K$3665,$K299))</f>
        <v/>
      </c>
      <c r="D299" s="186">
        <f>IF($K299="","",INDEX(Zeiterfassung!$D$6:$D$3665,$K299))</f>
        <v/>
      </c>
      <c r="E299" s="186">
        <f>IF($K299="","",INDEX(Zeiterfassung!$E$6:$E$3665,$K299))</f>
        <v/>
      </c>
      <c r="F299" s="187">
        <f>IF($K299="","",INDEX(Zeiterfassung!$F$6:$F$3665,$K299))</f>
        <v/>
      </c>
      <c r="G299" s="187">
        <f>IF($K299="","",INDEX(Zeiterfassung!$G$6:$G$3665,$K299))</f>
        <v/>
      </c>
      <c r="H299" s="188">
        <f>IF($K299="","",INDEX(Zeiterfassung!$H$6:$H$3665,$K299))</f>
        <v/>
      </c>
      <c r="I299" s="335">
        <f>IF(B299=B298,"",IF($K299="","",INDEX(Zeiterfassung!$I$6:$I$3665,MATCH(INDEX(Zeiterfassung!$K$6:$K$3665,$K299),Zeiterfassung!$K$6:$K$3665,0))))</f>
        <v/>
      </c>
      <c r="J299" s="335">
        <f>IF(B299=B298,"",IF($K299="","",INDEX(Zeiterfassung!$J$6:$J$3665,MATCH(INDEX(Zeiterfassung!$K$6:$K$3665,$K299),Zeiterfassung!$K$6:$K$3665,0))))</f>
        <v/>
      </c>
      <c r="K299">
        <f>IFERROR(AGGREGATE(15,6,(ROW(Zeiterfassung!$D$6:$D$3665)-ROW(Zeiterfassung!$D$6)+1)/(Zeiterfassung!$D$6:$D$3665&lt;&gt;""),294),"")</f>
        <v/>
      </c>
    </row>
    <row r="300" ht="20" customHeight="1">
      <c r="A300" s="183">
        <f>IF($K300="","",WEEKNUM(INDEX(Zeiterfassung!$K$6:$K$3665,$K300),21))</f>
        <v/>
      </c>
      <c r="B300" s="184">
        <f>IF($K300="","",INDEX(Zeiterfassung!$K$6:$K$3665,$K300))</f>
        <v/>
      </c>
      <c r="C300" s="185">
        <f>IF($K300="","",INDEX(Zeiterfassung!$K$6:$K$3665,$K300))</f>
        <v/>
      </c>
      <c r="D300" s="186">
        <f>IF($K300="","",INDEX(Zeiterfassung!$D$6:$D$3665,$K300))</f>
        <v/>
      </c>
      <c r="E300" s="186">
        <f>IF($K300="","",INDEX(Zeiterfassung!$E$6:$E$3665,$K300))</f>
        <v/>
      </c>
      <c r="F300" s="187">
        <f>IF($K300="","",INDEX(Zeiterfassung!$F$6:$F$3665,$K300))</f>
        <v/>
      </c>
      <c r="G300" s="187">
        <f>IF($K300="","",INDEX(Zeiterfassung!$G$6:$G$3665,$K300))</f>
        <v/>
      </c>
      <c r="H300" s="188">
        <f>IF($K300="","",INDEX(Zeiterfassung!$H$6:$H$3665,$K300))</f>
        <v/>
      </c>
      <c r="I300" s="335">
        <f>IF(B300=B299,"",IF($K300="","",INDEX(Zeiterfassung!$I$6:$I$3665,MATCH(INDEX(Zeiterfassung!$K$6:$K$3665,$K300),Zeiterfassung!$K$6:$K$3665,0))))</f>
        <v/>
      </c>
      <c r="J300" s="335">
        <f>IF(B300=B299,"",IF($K300="","",INDEX(Zeiterfassung!$J$6:$J$3665,MATCH(INDEX(Zeiterfassung!$K$6:$K$3665,$K300),Zeiterfassung!$K$6:$K$3665,0))))</f>
        <v/>
      </c>
      <c r="K300">
        <f>IFERROR(AGGREGATE(15,6,(ROW(Zeiterfassung!$D$6:$D$3665)-ROW(Zeiterfassung!$D$6)+1)/(Zeiterfassung!$D$6:$D$3665&lt;&gt;""),295),"")</f>
        <v/>
      </c>
    </row>
    <row r="301" ht="20" customHeight="1">
      <c r="A301" s="183">
        <f>IF($K301="","",WEEKNUM(INDEX(Zeiterfassung!$K$6:$K$3665,$K301),21))</f>
        <v/>
      </c>
      <c r="B301" s="184">
        <f>IF($K301="","",INDEX(Zeiterfassung!$K$6:$K$3665,$K301))</f>
        <v/>
      </c>
      <c r="C301" s="185">
        <f>IF($K301="","",INDEX(Zeiterfassung!$K$6:$K$3665,$K301))</f>
        <v/>
      </c>
      <c r="D301" s="186">
        <f>IF($K301="","",INDEX(Zeiterfassung!$D$6:$D$3665,$K301))</f>
        <v/>
      </c>
      <c r="E301" s="186">
        <f>IF($K301="","",INDEX(Zeiterfassung!$E$6:$E$3665,$K301))</f>
        <v/>
      </c>
      <c r="F301" s="187">
        <f>IF($K301="","",INDEX(Zeiterfassung!$F$6:$F$3665,$K301))</f>
        <v/>
      </c>
      <c r="G301" s="187">
        <f>IF($K301="","",INDEX(Zeiterfassung!$G$6:$G$3665,$K301))</f>
        <v/>
      </c>
      <c r="H301" s="188">
        <f>IF($K301="","",INDEX(Zeiterfassung!$H$6:$H$3665,$K301))</f>
        <v/>
      </c>
      <c r="I301" s="335">
        <f>IF(B301=B300,"",IF($K301="","",INDEX(Zeiterfassung!$I$6:$I$3665,MATCH(INDEX(Zeiterfassung!$K$6:$K$3665,$K301),Zeiterfassung!$K$6:$K$3665,0))))</f>
        <v/>
      </c>
      <c r="J301" s="335">
        <f>IF(B301=B300,"",IF($K301="","",INDEX(Zeiterfassung!$J$6:$J$3665,MATCH(INDEX(Zeiterfassung!$K$6:$K$3665,$K301),Zeiterfassung!$K$6:$K$3665,0))))</f>
        <v/>
      </c>
      <c r="K301">
        <f>IFERROR(AGGREGATE(15,6,(ROW(Zeiterfassung!$D$6:$D$3665)-ROW(Zeiterfassung!$D$6)+1)/(Zeiterfassung!$D$6:$D$3665&lt;&gt;""),296),"")</f>
        <v/>
      </c>
    </row>
    <row r="302" ht="20" customHeight="1">
      <c r="A302" s="183">
        <f>IF($K302="","",WEEKNUM(INDEX(Zeiterfassung!$K$6:$K$3665,$K302),21))</f>
        <v/>
      </c>
      <c r="B302" s="184">
        <f>IF($K302="","",INDEX(Zeiterfassung!$K$6:$K$3665,$K302))</f>
        <v/>
      </c>
      <c r="C302" s="185">
        <f>IF($K302="","",INDEX(Zeiterfassung!$K$6:$K$3665,$K302))</f>
        <v/>
      </c>
      <c r="D302" s="186">
        <f>IF($K302="","",INDEX(Zeiterfassung!$D$6:$D$3665,$K302))</f>
        <v/>
      </c>
      <c r="E302" s="186">
        <f>IF($K302="","",INDEX(Zeiterfassung!$E$6:$E$3665,$K302))</f>
        <v/>
      </c>
      <c r="F302" s="187">
        <f>IF($K302="","",INDEX(Zeiterfassung!$F$6:$F$3665,$K302))</f>
        <v/>
      </c>
      <c r="G302" s="187">
        <f>IF($K302="","",INDEX(Zeiterfassung!$G$6:$G$3665,$K302))</f>
        <v/>
      </c>
      <c r="H302" s="188">
        <f>IF($K302="","",INDEX(Zeiterfassung!$H$6:$H$3665,$K302))</f>
        <v/>
      </c>
      <c r="I302" s="335">
        <f>IF(B302=B301,"",IF($K302="","",INDEX(Zeiterfassung!$I$6:$I$3665,MATCH(INDEX(Zeiterfassung!$K$6:$K$3665,$K302),Zeiterfassung!$K$6:$K$3665,0))))</f>
        <v/>
      </c>
      <c r="J302" s="335">
        <f>IF(B302=B301,"",IF($K302="","",INDEX(Zeiterfassung!$J$6:$J$3665,MATCH(INDEX(Zeiterfassung!$K$6:$K$3665,$K302),Zeiterfassung!$K$6:$K$3665,0))))</f>
        <v/>
      </c>
      <c r="K302">
        <f>IFERROR(AGGREGATE(15,6,(ROW(Zeiterfassung!$D$6:$D$3665)-ROW(Zeiterfassung!$D$6)+1)/(Zeiterfassung!$D$6:$D$3665&lt;&gt;""),297),"")</f>
        <v/>
      </c>
    </row>
    <row r="303" ht="20" customHeight="1">
      <c r="A303" s="183">
        <f>IF($K303="","",WEEKNUM(INDEX(Zeiterfassung!$K$6:$K$3665,$K303),21))</f>
        <v/>
      </c>
      <c r="B303" s="184">
        <f>IF($K303="","",INDEX(Zeiterfassung!$K$6:$K$3665,$K303))</f>
        <v/>
      </c>
      <c r="C303" s="185">
        <f>IF($K303="","",INDEX(Zeiterfassung!$K$6:$K$3665,$K303))</f>
        <v/>
      </c>
      <c r="D303" s="186">
        <f>IF($K303="","",INDEX(Zeiterfassung!$D$6:$D$3665,$K303))</f>
        <v/>
      </c>
      <c r="E303" s="186">
        <f>IF($K303="","",INDEX(Zeiterfassung!$E$6:$E$3665,$K303))</f>
        <v/>
      </c>
      <c r="F303" s="187">
        <f>IF($K303="","",INDEX(Zeiterfassung!$F$6:$F$3665,$K303))</f>
        <v/>
      </c>
      <c r="G303" s="187">
        <f>IF($K303="","",INDEX(Zeiterfassung!$G$6:$G$3665,$K303))</f>
        <v/>
      </c>
      <c r="H303" s="188">
        <f>IF($K303="","",INDEX(Zeiterfassung!$H$6:$H$3665,$K303))</f>
        <v/>
      </c>
      <c r="I303" s="335">
        <f>IF(B303=B302,"",IF($K303="","",INDEX(Zeiterfassung!$I$6:$I$3665,MATCH(INDEX(Zeiterfassung!$K$6:$K$3665,$K303),Zeiterfassung!$K$6:$K$3665,0))))</f>
        <v/>
      </c>
      <c r="J303" s="335">
        <f>IF(B303=B302,"",IF($K303="","",INDEX(Zeiterfassung!$J$6:$J$3665,MATCH(INDEX(Zeiterfassung!$K$6:$K$3665,$K303),Zeiterfassung!$K$6:$K$3665,0))))</f>
        <v/>
      </c>
      <c r="K303">
        <f>IFERROR(AGGREGATE(15,6,(ROW(Zeiterfassung!$D$6:$D$3665)-ROW(Zeiterfassung!$D$6)+1)/(Zeiterfassung!$D$6:$D$3665&lt;&gt;""),298),"")</f>
        <v/>
      </c>
    </row>
    <row r="304" ht="20" customHeight="1">
      <c r="A304" s="183">
        <f>IF($K304="","",WEEKNUM(INDEX(Zeiterfassung!$K$6:$K$3665,$K304),21))</f>
        <v/>
      </c>
      <c r="B304" s="184">
        <f>IF($K304="","",INDEX(Zeiterfassung!$K$6:$K$3665,$K304))</f>
        <v/>
      </c>
      <c r="C304" s="185">
        <f>IF($K304="","",INDEX(Zeiterfassung!$K$6:$K$3665,$K304))</f>
        <v/>
      </c>
      <c r="D304" s="186">
        <f>IF($K304="","",INDEX(Zeiterfassung!$D$6:$D$3665,$K304))</f>
        <v/>
      </c>
      <c r="E304" s="186">
        <f>IF($K304="","",INDEX(Zeiterfassung!$E$6:$E$3665,$K304))</f>
        <v/>
      </c>
      <c r="F304" s="187">
        <f>IF($K304="","",INDEX(Zeiterfassung!$F$6:$F$3665,$K304))</f>
        <v/>
      </c>
      <c r="G304" s="187">
        <f>IF($K304="","",INDEX(Zeiterfassung!$G$6:$G$3665,$K304))</f>
        <v/>
      </c>
      <c r="H304" s="188">
        <f>IF($K304="","",INDEX(Zeiterfassung!$H$6:$H$3665,$K304))</f>
        <v/>
      </c>
      <c r="I304" s="335">
        <f>IF(B304=B303,"",IF($K304="","",INDEX(Zeiterfassung!$I$6:$I$3665,MATCH(INDEX(Zeiterfassung!$K$6:$K$3665,$K304),Zeiterfassung!$K$6:$K$3665,0))))</f>
        <v/>
      </c>
      <c r="J304" s="335">
        <f>IF(B304=B303,"",IF($K304="","",INDEX(Zeiterfassung!$J$6:$J$3665,MATCH(INDEX(Zeiterfassung!$K$6:$K$3665,$K304),Zeiterfassung!$K$6:$K$3665,0))))</f>
        <v/>
      </c>
      <c r="K304">
        <f>IFERROR(AGGREGATE(15,6,(ROW(Zeiterfassung!$D$6:$D$3665)-ROW(Zeiterfassung!$D$6)+1)/(Zeiterfassung!$D$6:$D$3665&lt;&gt;""),299),"")</f>
        <v/>
      </c>
    </row>
    <row r="305" ht="20" customHeight="1">
      <c r="A305" s="183">
        <f>IF($K305="","",WEEKNUM(INDEX(Zeiterfassung!$K$6:$K$3665,$K305),21))</f>
        <v/>
      </c>
      <c r="B305" s="184">
        <f>IF($K305="","",INDEX(Zeiterfassung!$K$6:$K$3665,$K305))</f>
        <v/>
      </c>
      <c r="C305" s="185">
        <f>IF($K305="","",INDEX(Zeiterfassung!$K$6:$K$3665,$K305))</f>
        <v/>
      </c>
      <c r="D305" s="186">
        <f>IF($K305="","",INDEX(Zeiterfassung!$D$6:$D$3665,$K305))</f>
        <v/>
      </c>
      <c r="E305" s="186">
        <f>IF($K305="","",INDEX(Zeiterfassung!$E$6:$E$3665,$K305))</f>
        <v/>
      </c>
      <c r="F305" s="187">
        <f>IF($K305="","",INDEX(Zeiterfassung!$F$6:$F$3665,$K305))</f>
        <v/>
      </c>
      <c r="G305" s="187">
        <f>IF($K305="","",INDEX(Zeiterfassung!$G$6:$G$3665,$K305))</f>
        <v/>
      </c>
      <c r="H305" s="188">
        <f>IF($K305="","",INDEX(Zeiterfassung!$H$6:$H$3665,$K305))</f>
        <v/>
      </c>
      <c r="I305" s="335">
        <f>IF(B305=B304,"",IF($K305="","",INDEX(Zeiterfassung!$I$6:$I$3665,MATCH(INDEX(Zeiterfassung!$K$6:$K$3665,$K305),Zeiterfassung!$K$6:$K$3665,0))))</f>
        <v/>
      </c>
      <c r="J305" s="335">
        <f>IF(B305=B304,"",IF($K305="","",INDEX(Zeiterfassung!$J$6:$J$3665,MATCH(INDEX(Zeiterfassung!$K$6:$K$3665,$K305),Zeiterfassung!$K$6:$K$3665,0))))</f>
        <v/>
      </c>
      <c r="K305">
        <f>IFERROR(AGGREGATE(15,6,(ROW(Zeiterfassung!$D$6:$D$3665)-ROW(Zeiterfassung!$D$6)+1)/(Zeiterfassung!$D$6:$D$3665&lt;&gt;""),300),"")</f>
        <v/>
      </c>
    </row>
    <row r="306" ht="20" customHeight="1">
      <c r="A306" s="183">
        <f>IF($K306="","",WEEKNUM(INDEX(Zeiterfassung!$K$6:$K$3665,$K306),21))</f>
        <v/>
      </c>
      <c r="B306" s="184">
        <f>IF($K306="","",INDEX(Zeiterfassung!$K$6:$K$3665,$K306))</f>
        <v/>
      </c>
      <c r="C306" s="185">
        <f>IF($K306="","",INDEX(Zeiterfassung!$K$6:$K$3665,$K306))</f>
        <v/>
      </c>
      <c r="D306" s="186">
        <f>IF($K306="","",INDEX(Zeiterfassung!$D$6:$D$3665,$K306))</f>
        <v/>
      </c>
      <c r="E306" s="186">
        <f>IF($K306="","",INDEX(Zeiterfassung!$E$6:$E$3665,$K306))</f>
        <v/>
      </c>
      <c r="F306" s="187">
        <f>IF($K306="","",INDEX(Zeiterfassung!$F$6:$F$3665,$K306))</f>
        <v/>
      </c>
      <c r="G306" s="187">
        <f>IF($K306="","",INDEX(Zeiterfassung!$G$6:$G$3665,$K306))</f>
        <v/>
      </c>
      <c r="H306" s="188">
        <f>IF($K306="","",INDEX(Zeiterfassung!$H$6:$H$3665,$K306))</f>
        <v/>
      </c>
      <c r="I306" s="335">
        <f>IF(B306=B305,"",IF($K306="","",INDEX(Zeiterfassung!$I$6:$I$3665,MATCH(INDEX(Zeiterfassung!$K$6:$K$3665,$K306),Zeiterfassung!$K$6:$K$3665,0))))</f>
        <v/>
      </c>
      <c r="J306" s="335">
        <f>IF(B306=B305,"",IF($K306="","",INDEX(Zeiterfassung!$J$6:$J$3665,MATCH(INDEX(Zeiterfassung!$K$6:$K$3665,$K306),Zeiterfassung!$K$6:$K$3665,0))))</f>
        <v/>
      </c>
      <c r="K306">
        <f>IFERROR(AGGREGATE(15,6,(ROW(Zeiterfassung!$D$6:$D$3665)-ROW(Zeiterfassung!$D$6)+1)/(Zeiterfassung!$D$6:$D$3665&lt;&gt;""),301),"")</f>
        <v/>
      </c>
    </row>
    <row r="307" ht="20" customHeight="1">
      <c r="A307" s="183">
        <f>IF($K307="","",WEEKNUM(INDEX(Zeiterfassung!$K$6:$K$3665,$K307),21))</f>
        <v/>
      </c>
      <c r="B307" s="184">
        <f>IF($K307="","",INDEX(Zeiterfassung!$K$6:$K$3665,$K307))</f>
        <v/>
      </c>
      <c r="C307" s="185">
        <f>IF($K307="","",INDEX(Zeiterfassung!$K$6:$K$3665,$K307))</f>
        <v/>
      </c>
      <c r="D307" s="186">
        <f>IF($K307="","",INDEX(Zeiterfassung!$D$6:$D$3665,$K307))</f>
        <v/>
      </c>
      <c r="E307" s="186">
        <f>IF($K307="","",INDEX(Zeiterfassung!$E$6:$E$3665,$K307))</f>
        <v/>
      </c>
      <c r="F307" s="187">
        <f>IF($K307="","",INDEX(Zeiterfassung!$F$6:$F$3665,$K307))</f>
        <v/>
      </c>
      <c r="G307" s="187">
        <f>IF($K307="","",INDEX(Zeiterfassung!$G$6:$G$3665,$K307))</f>
        <v/>
      </c>
      <c r="H307" s="188">
        <f>IF($K307="","",INDEX(Zeiterfassung!$H$6:$H$3665,$K307))</f>
        <v/>
      </c>
      <c r="I307" s="335">
        <f>IF(B307=B306,"",IF($K307="","",INDEX(Zeiterfassung!$I$6:$I$3665,MATCH(INDEX(Zeiterfassung!$K$6:$K$3665,$K307),Zeiterfassung!$K$6:$K$3665,0))))</f>
        <v/>
      </c>
      <c r="J307" s="335">
        <f>IF(B307=B306,"",IF($K307="","",INDEX(Zeiterfassung!$J$6:$J$3665,MATCH(INDEX(Zeiterfassung!$K$6:$K$3665,$K307),Zeiterfassung!$K$6:$K$3665,0))))</f>
        <v/>
      </c>
      <c r="K307">
        <f>IFERROR(AGGREGATE(15,6,(ROW(Zeiterfassung!$D$6:$D$3665)-ROW(Zeiterfassung!$D$6)+1)/(Zeiterfassung!$D$6:$D$3665&lt;&gt;""),302),"")</f>
        <v/>
      </c>
    </row>
    <row r="308" ht="20" customHeight="1">
      <c r="A308" s="183">
        <f>IF($K308="","",WEEKNUM(INDEX(Zeiterfassung!$K$6:$K$3665,$K308),21))</f>
        <v/>
      </c>
      <c r="B308" s="184">
        <f>IF($K308="","",INDEX(Zeiterfassung!$K$6:$K$3665,$K308))</f>
        <v/>
      </c>
      <c r="C308" s="185">
        <f>IF($K308="","",INDEX(Zeiterfassung!$K$6:$K$3665,$K308))</f>
        <v/>
      </c>
      <c r="D308" s="186">
        <f>IF($K308="","",INDEX(Zeiterfassung!$D$6:$D$3665,$K308))</f>
        <v/>
      </c>
      <c r="E308" s="186">
        <f>IF($K308="","",INDEX(Zeiterfassung!$E$6:$E$3665,$K308))</f>
        <v/>
      </c>
      <c r="F308" s="187">
        <f>IF($K308="","",INDEX(Zeiterfassung!$F$6:$F$3665,$K308))</f>
        <v/>
      </c>
      <c r="G308" s="187">
        <f>IF($K308="","",INDEX(Zeiterfassung!$G$6:$G$3665,$K308))</f>
        <v/>
      </c>
      <c r="H308" s="188">
        <f>IF($K308="","",INDEX(Zeiterfassung!$H$6:$H$3665,$K308))</f>
        <v/>
      </c>
      <c r="I308" s="335">
        <f>IF(B308=B307,"",IF($K308="","",INDEX(Zeiterfassung!$I$6:$I$3665,MATCH(INDEX(Zeiterfassung!$K$6:$K$3665,$K308),Zeiterfassung!$K$6:$K$3665,0))))</f>
        <v/>
      </c>
      <c r="J308" s="335">
        <f>IF(B308=B307,"",IF($K308="","",INDEX(Zeiterfassung!$J$6:$J$3665,MATCH(INDEX(Zeiterfassung!$K$6:$K$3665,$K308),Zeiterfassung!$K$6:$K$3665,0))))</f>
        <v/>
      </c>
      <c r="K308">
        <f>IFERROR(AGGREGATE(15,6,(ROW(Zeiterfassung!$D$6:$D$3665)-ROW(Zeiterfassung!$D$6)+1)/(Zeiterfassung!$D$6:$D$3665&lt;&gt;""),303),"")</f>
        <v/>
      </c>
    </row>
    <row r="309" ht="20" customHeight="1">
      <c r="A309" s="183">
        <f>IF($K309="","",WEEKNUM(INDEX(Zeiterfassung!$K$6:$K$3665,$K309),21))</f>
        <v/>
      </c>
      <c r="B309" s="184">
        <f>IF($K309="","",INDEX(Zeiterfassung!$K$6:$K$3665,$K309))</f>
        <v/>
      </c>
      <c r="C309" s="185">
        <f>IF($K309="","",INDEX(Zeiterfassung!$K$6:$K$3665,$K309))</f>
        <v/>
      </c>
      <c r="D309" s="186">
        <f>IF($K309="","",INDEX(Zeiterfassung!$D$6:$D$3665,$K309))</f>
        <v/>
      </c>
      <c r="E309" s="186">
        <f>IF($K309="","",INDEX(Zeiterfassung!$E$6:$E$3665,$K309))</f>
        <v/>
      </c>
      <c r="F309" s="187">
        <f>IF($K309="","",INDEX(Zeiterfassung!$F$6:$F$3665,$K309))</f>
        <v/>
      </c>
      <c r="G309" s="187">
        <f>IF($K309="","",INDEX(Zeiterfassung!$G$6:$G$3665,$K309))</f>
        <v/>
      </c>
      <c r="H309" s="188">
        <f>IF($K309="","",INDEX(Zeiterfassung!$H$6:$H$3665,$K309))</f>
        <v/>
      </c>
      <c r="I309" s="335">
        <f>IF(B309=B308,"",IF($K309="","",INDEX(Zeiterfassung!$I$6:$I$3665,MATCH(INDEX(Zeiterfassung!$K$6:$K$3665,$K309),Zeiterfassung!$K$6:$K$3665,0))))</f>
        <v/>
      </c>
      <c r="J309" s="335">
        <f>IF(B309=B308,"",IF($K309="","",INDEX(Zeiterfassung!$J$6:$J$3665,MATCH(INDEX(Zeiterfassung!$K$6:$K$3665,$K309),Zeiterfassung!$K$6:$K$3665,0))))</f>
        <v/>
      </c>
      <c r="K309">
        <f>IFERROR(AGGREGATE(15,6,(ROW(Zeiterfassung!$D$6:$D$3665)-ROW(Zeiterfassung!$D$6)+1)/(Zeiterfassung!$D$6:$D$3665&lt;&gt;""),304),"")</f>
        <v/>
      </c>
    </row>
    <row r="310" ht="20" customHeight="1">
      <c r="A310" s="183">
        <f>IF($K310="","",WEEKNUM(INDEX(Zeiterfassung!$K$6:$K$3665,$K310),21))</f>
        <v/>
      </c>
      <c r="B310" s="184">
        <f>IF($K310="","",INDEX(Zeiterfassung!$K$6:$K$3665,$K310))</f>
        <v/>
      </c>
      <c r="C310" s="185">
        <f>IF($K310="","",INDEX(Zeiterfassung!$K$6:$K$3665,$K310))</f>
        <v/>
      </c>
      <c r="D310" s="186">
        <f>IF($K310="","",INDEX(Zeiterfassung!$D$6:$D$3665,$K310))</f>
        <v/>
      </c>
      <c r="E310" s="186">
        <f>IF($K310="","",INDEX(Zeiterfassung!$E$6:$E$3665,$K310))</f>
        <v/>
      </c>
      <c r="F310" s="187">
        <f>IF($K310="","",INDEX(Zeiterfassung!$F$6:$F$3665,$K310))</f>
        <v/>
      </c>
      <c r="G310" s="187">
        <f>IF($K310="","",INDEX(Zeiterfassung!$G$6:$G$3665,$K310))</f>
        <v/>
      </c>
      <c r="H310" s="188">
        <f>IF($K310="","",INDEX(Zeiterfassung!$H$6:$H$3665,$K310))</f>
        <v/>
      </c>
      <c r="I310" s="335">
        <f>IF(B310=B309,"",IF($K310="","",INDEX(Zeiterfassung!$I$6:$I$3665,MATCH(INDEX(Zeiterfassung!$K$6:$K$3665,$K310),Zeiterfassung!$K$6:$K$3665,0))))</f>
        <v/>
      </c>
      <c r="J310" s="335">
        <f>IF(B310=B309,"",IF($K310="","",INDEX(Zeiterfassung!$J$6:$J$3665,MATCH(INDEX(Zeiterfassung!$K$6:$K$3665,$K310),Zeiterfassung!$K$6:$K$3665,0))))</f>
        <v/>
      </c>
      <c r="K310">
        <f>IFERROR(AGGREGATE(15,6,(ROW(Zeiterfassung!$D$6:$D$3665)-ROW(Zeiterfassung!$D$6)+1)/(Zeiterfassung!$D$6:$D$3665&lt;&gt;""),305),"")</f>
        <v/>
      </c>
    </row>
    <row r="311" ht="20" customHeight="1">
      <c r="A311" s="183">
        <f>IF($K311="","",WEEKNUM(INDEX(Zeiterfassung!$K$6:$K$3665,$K311),21))</f>
        <v/>
      </c>
      <c r="B311" s="184">
        <f>IF($K311="","",INDEX(Zeiterfassung!$K$6:$K$3665,$K311))</f>
        <v/>
      </c>
      <c r="C311" s="185">
        <f>IF($K311="","",INDEX(Zeiterfassung!$K$6:$K$3665,$K311))</f>
        <v/>
      </c>
      <c r="D311" s="186">
        <f>IF($K311="","",INDEX(Zeiterfassung!$D$6:$D$3665,$K311))</f>
        <v/>
      </c>
      <c r="E311" s="186">
        <f>IF($K311="","",INDEX(Zeiterfassung!$E$6:$E$3665,$K311))</f>
        <v/>
      </c>
      <c r="F311" s="187">
        <f>IF($K311="","",INDEX(Zeiterfassung!$F$6:$F$3665,$K311))</f>
        <v/>
      </c>
      <c r="G311" s="187">
        <f>IF($K311="","",INDEX(Zeiterfassung!$G$6:$G$3665,$K311))</f>
        <v/>
      </c>
      <c r="H311" s="188">
        <f>IF($K311="","",INDEX(Zeiterfassung!$H$6:$H$3665,$K311))</f>
        <v/>
      </c>
      <c r="I311" s="335">
        <f>IF(B311=B310,"",IF($K311="","",INDEX(Zeiterfassung!$I$6:$I$3665,MATCH(INDEX(Zeiterfassung!$K$6:$K$3665,$K311),Zeiterfassung!$K$6:$K$3665,0))))</f>
        <v/>
      </c>
      <c r="J311" s="335">
        <f>IF(B311=B310,"",IF($K311="","",INDEX(Zeiterfassung!$J$6:$J$3665,MATCH(INDEX(Zeiterfassung!$K$6:$K$3665,$K311),Zeiterfassung!$K$6:$K$3665,0))))</f>
        <v/>
      </c>
      <c r="K311">
        <f>IFERROR(AGGREGATE(15,6,(ROW(Zeiterfassung!$D$6:$D$3665)-ROW(Zeiterfassung!$D$6)+1)/(Zeiterfassung!$D$6:$D$3665&lt;&gt;""),306),"")</f>
        <v/>
      </c>
    </row>
    <row r="312" ht="20" customHeight="1">
      <c r="A312" s="183">
        <f>IF($K312="","",WEEKNUM(INDEX(Zeiterfassung!$K$6:$K$3665,$K312),21))</f>
        <v/>
      </c>
      <c r="B312" s="184">
        <f>IF($K312="","",INDEX(Zeiterfassung!$K$6:$K$3665,$K312))</f>
        <v/>
      </c>
      <c r="C312" s="185">
        <f>IF($K312="","",INDEX(Zeiterfassung!$K$6:$K$3665,$K312))</f>
        <v/>
      </c>
      <c r="D312" s="186">
        <f>IF($K312="","",INDEX(Zeiterfassung!$D$6:$D$3665,$K312))</f>
        <v/>
      </c>
      <c r="E312" s="186">
        <f>IF($K312="","",INDEX(Zeiterfassung!$E$6:$E$3665,$K312))</f>
        <v/>
      </c>
      <c r="F312" s="187">
        <f>IF($K312="","",INDEX(Zeiterfassung!$F$6:$F$3665,$K312))</f>
        <v/>
      </c>
      <c r="G312" s="187">
        <f>IF($K312="","",INDEX(Zeiterfassung!$G$6:$G$3665,$K312))</f>
        <v/>
      </c>
      <c r="H312" s="188">
        <f>IF($K312="","",INDEX(Zeiterfassung!$H$6:$H$3665,$K312))</f>
        <v/>
      </c>
      <c r="I312" s="335">
        <f>IF(B312=B311,"",IF($K312="","",INDEX(Zeiterfassung!$I$6:$I$3665,MATCH(INDEX(Zeiterfassung!$K$6:$K$3665,$K312),Zeiterfassung!$K$6:$K$3665,0))))</f>
        <v/>
      </c>
      <c r="J312" s="335">
        <f>IF(B312=B311,"",IF($K312="","",INDEX(Zeiterfassung!$J$6:$J$3665,MATCH(INDEX(Zeiterfassung!$K$6:$K$3665,$K312),Zeiterfassung!$K$6:$K$3665,0))))</f>
        <v/>
      </c>
      <c r="K312">
        <f>IFERROR(AGGREGATE(15,6,(ROW(Zeiterfassung!$D$6:$D$3665)-ROW(Zeiterfassung!$D$6)+1)/(Zeiterfassung!$D$6:$D$3665&lt;&gt;""),307),"")</f>
        <v/>
      </c>
    </row>
    <row r="313" ht="20" customHeight="1">
      <c r="A313" s="183">
        <f>IF($K313="","",WEEKNUM(INDEX(Zeiterfassung!$K$6:$K$3665,$K313),21))</f>
        <v/>
      </c>
      <c r="B313" s="184">
        <f>IF($K313="","",INDEX(Zeiterfassung!$K$6:$K$3665,$K313))</f>
        <v/>
      </c>
      <c r="C313" s="185">
        <f>IF($K313="","",INDEX(Zeiterfassung!$K$6:$K$3665,$K313))</f>
        <v/>
      </c>
      <c r="D313" s="186">
        <f>IF($K313="","",INDEX(Zeiterfassung!$D$6:$D$3665,$K313))</f>
        <v/>
      </c>
      <c r="E313" s="186">
        <f>IF($K313="","",INDEX(Zeiterfassung!$E$6:$E$3665,$K313))</f>
        <v/>
      </c>
      <c r="F313" s="187">
        <f>IF($K313="","",INDEX(Zeiterfassung!$F$6:$F$3665,$K313))</f>
        <v/>
      </c>
      <c r="G313" s="187">
        <f>IF($K313="","",INDEX(Zeiterfassung!$G$6:$G$3665,$K313))</f>
        <v/>
      </c>
      <c r="H313" s="188">
        <f>IF($K313="","",INDEX(Zeiterfassung!$H$6:$H$3665,$K313))</f>
        <v/>
      </c>
      <c r="I313" s="335">
        <f>IF(B313=B312,"",IF($K313="","",INDEX(Zeiterfassung!$I$6:$I$3665,MATCH(INDEX(Zeiterfassung!$K$6:$K$3665,$K313),Zeiterfassung!$K$6:$K$3665,0))))</f>
        <v/>
      </c>
      <c r="J313" s="335">
        <f>IF(B313=B312,"",IF($K313="","",INDEX(Zeiterfassung!$J$6:$J$3665,MATCH(INDEX(Zeiterfassung!$K$6:$K$3665,$K313),Zeiterfassung!$K$6:$K$3665,0))))</f>
        <v/>
      </c>
      <c r="K313">
        <f>IFERROR(AGGREGATE(15,6,(ROW(Zeiterfassung!$D$6:$D$3665)-ROW(Zeiterfassung!$D$6)+1)/(Zeiterfassung!$D$6:$D$3665&lt;&gt;""),308),"")</f>
        <v/>
      </c>
    </row>
    <row r="314" ht="20" customHeight="1">
      <c r="A314" s="183">
        <f>IF($K314="","",WEEKNUM(INDEX(Zeiterfassung!$K$6:$K$3665,$K314),21))</f>
        <v/>
      </c>
      <c r="B314" s="184">
        <f>IF($K314="","",INDEX(Zeiterfassung!$K$6:$K$3665,$K314))</f>
        <v/>
      </c>
      <c r="C314" s="185">
        <f>IF($K314="","",INDEX(Zeiterfassung!$K$6:$K$3665,$K314))</f>
        <v/>
      </c>
      <c r="D314" s="186">
        <f>IF($K314="","",INDEX(Zeiterfassung!$D$6:$D$3665,$K314))</f>
        <v/>
      </c>
      <c r="E314" s="186">
        <f>IF($K314="","",INDEX(Zeiterfassung!$E$6:$E$3665,$K314))</f>
        <v/>
      </c>
      <c r="F314" s="187">
        <f>IF($K314="","",INDEX(Zeiterfassung!$F$6:$F$3665,$K314))</f>
        <v/>
      </c>
      <c r="G314" s="187">
        <f>IF($K314="","",INDEX(Zeiterfassung!$G$6:$G$3665,$K314))</f>
        <v/>
      </c>
      <c r="H314" s="188">
        <f>IF($K314="","",INDEX(Zeiterfassung!$H$6:$H$3665,$K314))</f>
        <v/>
      </c>
      <c r="I314" s="335">
        <f>IF(B314=B313,"",IF($K314="","",INDEX(Zeiterfassung!$I$6:$I$3665,MATCH(INDEX(Zeiterfassung!$K$6:$K$3665,$K314),Zeiterfassung!$K$6:$K$3665,0))))</f>
        <v/>
      </c>
      <c r="J314" s="335">
        <f>IF(B314=B313,"",IF($K314="","",INDEX(Zeiterfassung!$J$6:$J$3665,MATCH(INDEX(Zeiterfassung!$K$6:$K$3665,$K314),Zeiterfassung!$K$6:$K$3665,0))))</f>
        <v/>
      </c>
      <c r="K314">
        <f>IFERROR(AGGREGATE(15,6,(ROW(Zeiterfassung!$D$6:$D$3665)-ROW(Zeiterfassung!$D$6)+1)/(Zeiterfassung!$D$6:$D$3665&lt;&gt;""),309),"")</f>
        <v/>
      </c>
    </row>
    <row r="315" ht="20" customHeight="1">
      <c r="A315" s="183">
        <f>IF($K315="","",WEEKNUM(INDEX(Zeiterfassung!$K$6:$K$3665,$K315),21))</f>
        <v/>
      </c>
      <c r="B315" s="184">
        <f>IF($K315="","",INDEX(Zeiterfassung!$K$6:$K$3665,$K315))</f>
        <v/>
      </c>
      <c r="C315" s="185">
        <f>IF($K315="","",INDEX(Zeiterfassung!$K$6:$K$3665,$K315))</f>
        <v/>
      </c>
      <c r="D315" s="186">
        <f>IF($K315="","",INDEX(Zeiterfassung!$D$6:$D$3665,$K315))</f>
        <v/>
      </c>
      <c r="E315" s="186">
        <f>IF($K315="","",INDEX(Zeiterfassung!$E$6:$E$3665,$K315))</f>
        <v/>
      </c>
      <c r="F315" s="187">
        <f>IF($K315="","",INDEX(Zeiterfassung!$F$6:$F$3665,$K315))</f>
        <v/>
      </c>
      <c r="G315" s="187">
        <f>IF($K315="","",INDEX(Zeiterfassung!$G$6:$G$3665,$K315))</f>
        <v/>
      </c>
      <c r="H315" s="188">
        <f>IF($K315="","",INDEX(Zeiterfassung!$H$6:$H$3665,$K315))</f>
        <v/>
      </c>
      <c r="I315" s="335">
        <f>IF(B315=B314,"",IF($K315="","",INDEX(Zeiterfassung!$I$6:$I$3665,MATCH(INDEX(Zeiterfassung!$K$6:$K$3665,$K315),Zeiterfassung!$K$6:$K$3665,0))))</f>
        <v/>
      </c>
      <c r="J315" s="335">
        <f>IF(B315=B314,"",IF($K315="","",INDEX(Zeiterfassung!$J$6:$J$3665,MATCH(INDEX(Zeiterfassung!$K$6:$K$3665,$K315),Zeiterfassung!$K$6:$K$3665,0))))</f>
        <v/>
      </c>
      <c r="K315">
        <f>IFERROR(AGGREGATE(15,6,(ROW(Zeiterfassung!$D$6:$D$3665)-ROW(Zeiterfassung!$D$6)+1)/(Zeiterfassung!$D$6:$D$3665&lt;&gt;""),310),"")</f>
        <v/>
      </c>
    </row>
    <row r="316" ht="20" customHeight="1">
      <c r="A316" s="183">
        <f>IF($K316="","",WEEKNUM(INDEX(Zeiterfassung!$K$6:$K$3665,$K316),21))</f>
        <v/>
      </c>
      <c r="B316" s="184">
        <f>IF($K316="","",INDEX(Zeiterfassung!$K$6:$K$3665,$K316))</f>
        <v/>
      </c>
      <c r="C316" s="185">
        <f>IF($K316="","",INDEX(Zeiterfassung!$K$6:$K$3665,$K316))</f>
        <v/>
      </c>
      <c r="D316" s="186">
        <f>IF($K316="","",INDEX(Zeiterfassung!$D$6:$D$3665,$K316))</f>
        <v/>
      </c>
      <c r="E316" s="186">
        <f>IF($K316="","",INDEX(Zeiterfassung!$E$6:$E$3665,$K316))</f>
        <v/>
      </c>
      <c r="F316" s="187">
        <f>IF($K316="","",INDEX(Zeiterfassung!$F$6:$F$3665,$K316))</f>
        <v/>
      </c>
      <c r="G316" s="187">
        <f>IF($K316="","",INDEX(Zeiterfassung!$G$6:$G$3665,$K316))</f>
        <v/>
      </c>
      <c r="H316" s="188">
        <f>IF($K316="","",INDEX(Zeiterfassung!$H$6:$H$3665,$K316))</f>
        <v/>
      </c>
      <c r="I316" s="335">
        <f>IF(B316=B315,"",IF($K316="","",INDEX(Zeiterfassung!$I$6:$I$3665,MATCH(INDEX(Zeiterfassung!$K$6:$K$3665,$K316),Zeiterfassung!$K$6:$K$3665,0))))</f>
        <v/>
      </c>
      <c r="J316" s="335">
        <f>IF(B316=B315,"",IF($K316="","",INDEX(Zeiterfassung!$J$6:$J$3665,MATCH(INDEX(Zeiterfassung!$K$6:$K$3665,$K316),Zeiterfassung!$K$6:$K$3665,0))))</f>
        <v/>
      </c>
      <c r="K316">
        <f>IFERROR(AGGREGATE(15,6,(ROW(Zeiterfassung!$D$6:$D$3665)-ROW(Zeiterfassung!$D$6)+1)/(Zeiterfassung!$D$6:$D$3665&lt;&gt;""),311),"")</f>
        <v/>
      </c>
    </row>
    <row r="317" ht="20" customHeight="1">
      <c r="A317" s="183">
        <f>IF($K317="","",WEEKNUM(INDEX(Zeiterfassung!$K$6:$K$3665,$K317),21))</f>
        <v/>
      </c>
      <c r="B317" s="184">
        <f>IF($K317="","",INDEX(Zeiterfassung!$K$6:$K$3665,$K317))</f>
        <v/>
      </c>
      <c r="C317" s="185">
        <f>IF($K317="","",INDEX(Zeiterfassung!$K$6:$K$3665,$K317))</f>
        <v/>
      </c>
      <c r="D317" s="186">
        <f>IF($K317="","",INDEX(Zeiterfassung!$D$6:$D$3665,$K317))</f>
        <v/>
      </c>
      <c r="E317" s="186">
        <f>IF($K317="","",INDEX(Zeiterfassung!$E$6:$E$3665,$K317))</f>
        <v/>
      </c>
      <c r="F317" s="187">
        <f>IF($K317="","",INDEX(Zeiterfassung!$F$6:$F$3665,$K317))</f>
        <v/>
      </c>
      <c r="G317" s="187">
        <f>IF($K317="","",INDEX(Zeiterfassung!$G$6:$G$3665,$K317))</f>
        <v/>
      </c>
      <c r="H317" s="188">
        <f>IF($K317="","",INDEX(Zeiterfassung!$H$6:$H$3665,$K317))</f>
        <v/>
      </c>
      <c r="I317" s="335">
        <f>IF(B317=B316,"",IF($K317="","",INDEX(Zeiterfassung!$I$6:$I$3665,MATCH(INDEX(Zeiterfassung!$K$6:$K$3665,$K317),Zeiterfassung!$K$6:$K$3665,0))))</f>
        <v/>
      </c>
      <c r="J317" s="335">
        <f>IF(B317=B316,"",IF($K317="","",INDEX(Zeiterfassung!$J$6:$J$3665,MATCH(INDEX(Zeiterfassung!$K$6:$K$3665,$K317),Zeiterfassung!$K$6:$K$3665,0))))</f>
        <v/>
      </c>
      <c r="K317">
        <f>IFERROR(AGGREGATE(15,6,(ROW(Zeiterfassung!$D$6:$D$3665)-ROW(Zeiterfassung!$D$6)+1)/(Zeiterfassung!$D$6:$D$3665&lt;&gt;""),312),"")</f>
        <v/>
      </c>
    </row>
    <row r="318" ht="20" customHeight="1">
      <c r="A318" s="183">
        <f>IF($K318="","",WEEKNUM(INDEX(Zeiterfassung!$K$6:$K$3665,$K318),21))</f>
        <v/>
      </c>
      <c r="B318" s="184">
        <f>IF($K318="","",INDEX(Zeiterfassung!$K$6:$K$3665,$K318))</f>
        <v/>
      </c>
      <c r="C318" s="185">
        <f>IF($K318="","",INDEX(Zeiterfassung!$K$6:$K$3665,$K318))</f>
        <v/>
      </c>
      <c r="D318" s="186">
        <f>IF($K318="","",INDEX(Zeiterfassung!$D$6:$D$3665,$K318))</f>
        <v/>
      </c>
      <c r="E318" s="186">
        <f>IF($K318="","",INDEX(Zeiterfassung!$E$6:$E$3665,$K318))</f>
        <v/>
      </c>
      <c r="F318" s="187">
        <f>IF($K318="","",INDEX(Zeiterfassung!$F$6:$F$3665,$K318))</f>
        <v/>
      </c>
      <c r="G318" s="187">
        <f>IF($K318="","",INDEX(Zeiterfassung!$G$6:$G$3665,$K318))</f>
        <v/>
      </c>
      <c r="H318" s="188">
        <f>IF($K318="","",INDEX(Zeiterfassung!$H$6:$H$3665,$K318))</f>
        <v/>
      </c>
      <c r="I318" s="335">
        <f>IF(B318=B317,"",IF($K318="","",INDEX(Zeiterfassung!$I$6:$I$3665,MATCH(INDEX(Zeiterfassung!$K$6:$K$3665,$K318),Zeiterfassung!$K$6:$K$3665,0))))</f>
        <v/>
      </c>
      <c r="J318" s="335">
        <f>IF(B318=B317,"",IF($K318="","",INDEX(Zeiterfassung!$J$6:$J$3665,MATCH(INDEX(Zeiterfassung!$K$6:$K$3665,$K318),Zeiterfassung!$K$6:$K$3665,0))))</f>
        <v/>
      </c>
      <c r="K318">
        <f>IFERROR(AGGREGATE(15,6,(ROW(Zeiterfassung!$D$6:$D$3665)-ROW(Zeiterfassung!$D$6)+1)/(Zeiterfassung!$D$6:$D$3665&lt;&gt;""),313),"")</f>
        <v/>
      </c>
    </row>
    <row r="319" ht="20" customHeight="1">
      <c r="A319" s="183">
        <f>IF($K319="","",WEEKNUM(INDEX(Zeiterfassung!$K$6:$K$3665,$K319),21))</f>
        <v/>
      </c>
      <c r="B319" s="184">
        <f>IF($K319="","",INDEX(Zeiterfassung!$K$6:$K$3665,$K319))</f>
        <v/>
      </c>
      <c r="C319" s="185">
        <f>IF($K319="","",INDEX(Zeiterfassung!$K$6:$K$3665,$K319))</f>
        <v/>
      </c>
      <c r="D319" s="186">
        <f>IF($K319="","",INDEX(Zeiterfassung!$D$6:$D$3665,$K319))</f>
        <v/>
      </c>
      <c r="E319" s="186">
        <f>IF($K319="","",INDEX(Zeiterfassung!$E$6:$E$3665,$K319))</f>
        <v/>
      </c>
      <c r="F319" s="187">
        <f>IF($K319="","",INDEX(Zeiterfassung!$F$6:$F$3665,$K319))</f>
        <v/>
      </c>
      <c r="G319" s="187">
        <f>IF($K319="","",INDEX(Zeiterfassung!$G$6:$G$3665,$K319))</f>
        <v/>
      </c>
      <c r="H319" s="188">
        <f>IF($K319="","",INDEX(Zeiterfassung!$H$6:$H$3665,$K319))</f>
        <v/>
      </c>
      <c r="I319" s="335">
        <f>IF(B319=B318,"",IF($K319="","",INDEX(Zeiterfassung!$I$6:$I$3665,MATCH(INDEX(Zeiterfassung!$K$6:$K$3665,$K319),Zeiterfassung!$K$6:$K$3665,0))))</f>
        <v/>
      </c>
      <c r="J319" s="335">
        <f>IF(B319=B318,"",IF($K319="","",INDEX(Zeiterfassung!$J$6:$J$3665,MATCH(INDEX(Zeiterfassung!$K$6:$K$3665,$K319),Zeiterfassung!$K$6:$K$3665,0))))</f>
        <v/>
      </c>
      <c r="K319">
        <f>IFERROR(AGGREGATE(15,6,(ROW(Zeiterfassung!$D$6:$D$3665)-ROW(Zeiterfassung!$D$6)+1)/(Zeiterfassung!$D$6:$D$3665&lt;&gt;""),314),"")</f>
        <v/>
      </c>
    </row>
    <row r="320" ht="20" customHeight="1">
      <c r="A320" s="183">
        <f>IF($K320="","",WEEKNUM(INDEX(Zeiterfassung!$K$6:$K$3665,$K320),21))</f>
        <v/>
      </c>
      <c r="B320" s="184">
        <f>IF($K320="","",INDEX(Zeiterfassung!$K$6:$K$3665,$K320))</f>
        <v/>
      </c>
      <c r="C320" s="185">
        <f>IF($K320="","",INDEX(Zeiterfassung!$K$6:$K$3665,$K320))</f>
        <v/>
      </c>
      <c r="D320" s="186">
        <f>IF($K320="","",INDEX(Zeiterfassung!$D$6:$D$3665,$K320))</f>
        <v/>
      </c>
      <c r="E320" s="186">
        <f>IF($K320="","",INDEX(Zeiterfassung!$E$6:$E$3665,$K320))</f>
        <v/>
      </c>
      <c r="F320" s="187">
        <f>IF($K320="","",INDEX(Zeiterfassung!$F$6:$F$3665,$K320))</f>
        <v/>
      </c>
      <c r="G320" s="187">
        <f>IF($K320="","",INDEX(Zeiterfassung!$G$6:$G$3665,$K320))</f>
        <v/>
      </c>
      <c r="H320" s="188">
        <f>IF($K320="","",INDEX(Zeiterfassung!$H$6:$H$3665,$K320))</f>
        <v/>
      </c>
      <c r="I320" s="335">
        <f>IF(B320=B319,"",IF($K320="","",INDEX(Zeiterfassung!$I$6:$I$3665,MATCH(INDEX(Zeiterfassung!$K$6:$K$3665,$K320),Zeiterfassung!$K$6:$K$3665,0))))</f>
        <v/>
      </c>
      <c r="J320" s="335">
        <f>IF(B320=B319,"",IF($K320="","",INDEX(Zeiterfassung!$J$6:$J$3665,MATCH(INDEX(Zeiterfassung!$K$6:$K$3665,$K320),Zeiterfassung!$K$6:$K$3665,0))))</f>
        <v/>
      </c>
      <c r="K320">
        <f>IFERROR(AGGREGATE(15,6,(ROW(Zeiterfassung!$D$6:$D$3665)-ROW(Zeiterfassung!$D$6)+1)/(Zeiterfassung!$D$6:$D$3665&lt;&gt;""),315),"")</f>
        <v/>
      </c>
    </row>
    <row r="321" ht="20" customHeight="1">
      <c r="A321" s="183">
        <f>IF($K321="","",WEEKNUM(INDEX(Zeiterfassung!$K$6:$K$3665,$K321),21))</f>
        <v/>
      </c>
      <c r="B321" s="184">
        <f>IF($K321="","",INDEX(Zeiterfassung!$K$6:$K$3665,$K321))</f>
        <v/>
      </c>
      <c r="C321" s="185">
        <f>IF($K321="","",INDEX(Zeiterfassung!$K$6:$K$3665,$K321))</f>
        <v/>
      </c>
      <c r="D321" s="186">
        <f>IF($K321="","",INDEX(Zeiterfassung!$D$6:$D$3665,$K321))</f>
        <v/>
      </c>
      <c r="E321" s="186">
        <f>IF($K321="","",INDEX(Zeiterfassung!$E$6:$E$3665,$K321))</f>
        <v/>
      </c>
      <c r="F321" s="187">
        <f>IF($K321="","",INDEX(Zeiterfassung!$F$6:$F$3665,$K321))</f>
        <v/>
      </c>
      <c r="G321" s="187">
        <f>IF($K321="","",INDEX(Zeiterfassung!$G$6:$G$3665,$K321))</f>
        <v/>
      </c>
      <c r="H321" s="188">
        <f>IF($K321="","",INDEX(Zeiterfassung!$H$6:$H$3665,$K321))</f>
        <v/>
      </c>
      <c r="I321" s="335">
        <f>IF(B321=B320,"",IF($K321="","",INDEX(Zeiterfassung!$I$6:$I$3665,MATCH(INDEX(Zeiterfassung!$K$6:$K$3665,$K321),Zeiterfassung!$K$6:$K$3665,0))))</f>
        <v/>
      </c>
      <c r="J321" s="335">
        <f>IF(B321=B320,"",IF($K321="","",INDEX(Zeiterfassung!$J$6:$J$3665,MATCH(INDEX(Zeiterfassung!$K$6:$K$3665,$K321),Zeiterfassung!$K$6:$K$3665,0))))</f>
        <v/>
      </c>
      <c r="K321">
        <f>IFERROR(AGGREGATE(15,6,(ROW(Zeiterfassung!$D$6:$D$3665)-ROW(Zeiterfassung!$D$6)+1)/(Zeiterfassung!$D$6:$D$3665&lt;&gt;""),316),"")</f>
        <v/>
      </c>
    </row>
    <row r="322" ht="20" customHeight="1">
      <c r="A322" s="183">
        <f>IF($K322="","",WEEKNUM(INDEX(Zeiterfassung!$K$6:$K$3665,$K322),21))</f>
        <v/>
      </c>
      <c r="B322" s="184">
        <f>IF($K322="","",INDEX(Zeiterfassung!$K$6:$K$3665,$K322))</f>
        <v/>
      </c>
      <c r="C322" s="185">
        <f>IF($K322="","",INDEX(Zeiterfassung!$K$6:$K$3665,$K322))</f>
        <v/>
      </c>
      <c r="D322" s="186">
        <f>IF($K322="","",INDEX(Zeiterfassung!$D$6:$D$3665,$K322))</f>
        <v/>
      </c>
      <c r="E322" s="186">
        <f>IF($K322="","",INDEX(Zeiterfassung!$E$6:$E$3665,$K322))</f>
        <v/>
      </c>
      <c r="F322" s="187">
        <f>IF($K322="","",INDEX(Zeiterfassung!$F$6:$F$3665,$K322))</f>
        <v/>
      </c>
      <c r="G322" s="187">
        <f>IF($K322="","",INDEX(Zeiterfassung!$G$6:$G$3665,$K322))</f>
        <v/>
      </c>
      <c r="H322" s="188">
        <f>IF($K322="","",INDEX(Zeiterfassung!$H$6:$H$3665,$K322))</f>
        <v/>
      </c>
      <c r="I322" s="335">
        <f>IF(B322=B321,"",IF($K322="","",INDEX(Zeiterfassung!$I$6:$I$3665,MATCH(INDEX(Zeiterfassung!$K$6:$K$3665,$K322),Zeiterfassung!$K$6:$K$3665,0))))</f>
        <v/>
      </c>
      <c r="J322" s="335">
        <f>IF(B322=B321,"",IF($K322="","",INDEX(Zeiterfassung!$J$6:$J$3665,MATCH(INDEX(Zeiterfassung!$K$6:$K$3665,$K322),Zeiterfassung!$K$6:$K$3665,0))))</f>
        <v/>
      </c>
      <c r="K322">
        <f>IFERROR(AGGREGATE(15,6,(ROW(Zeiterfassung!$D$6:$D$3665)-ROW(Zeiterfassung!$D$6)+1)/(Zeiterfassung!$D$6:$D$3665&lt;&gt;""),317),"")</f>
        <v/>
      </c>
    </row>
    <row r="323" ht="20" customHeight="1">
      <c r="A323" s="183">
        <f>IF($K323="","",WEEKNUM(INDEX(Zeiterfassung!$K$6:$K$3665,$K323),21))</f>
        <v/>
      </c>
      <c r="B323" s="184">
        <f>IF($K323="","",INDEX(Zeiterfassung!$K$6:$K$3665,$K323))</f>
        <v/>
      </c>
      <c r="C323" s="185">
        <f>IF($K323="","",INDEX(Zeiterfassung!$K$6:$K$3665,$K323))</f>
        <v/>
      </c>
      <c r="D323" s="186">
        <f>IF($K323="","",INDEX(Zeiterfassung!$D$6:$D$3665,$K323))</f>
        <v/>
      </c>
      <c r="E323" s="186">
        <f>IF($K323="","",INDEX(Zeiterfassung!$E$6:$E$3665,$K323))</f>
        <v/>
      </c>
      <c r="F323" s="187">
        <f>IF($K323="","",INDEX(Zeiterfassung!$F$6:$F$3665,$K323))</f>
        <v/>
      </c>
      <c r="G323" s="187">
        <f>IF($K323="","",INDEX(Zeiterfassung!$G$6:$G$3665,$K323))</f>
        <v/>
      </c>
      <c r="H323" s="188">
        <f>IF($K323="","",INDEX(Zeiterfassung!$H$6:$H$3665,$K323))</f>
        <v/>
      </c>
      <c r="I323" s="335">
        <f>IF(B323=B322,"",IF($K323="","",INDEX(Zeiterfassung!$I$6:$I$3665,MATCH(INDEX(Zeiterfassung!$K$6:$K$3665,$K323),Zeiterfassung!$K$6:$K$3665,0))))</f>
        <v/>
      </c>
      <c r="J323" s="335">
        <f>IF(B323=B322,"",IF($K323="","",INDEX(Zeiterfassung!$J$6:$J$3665,MATCH(INDEX(Zeiterfassung!$K$6:$K$3665,$K323),Zeiterfassung!$K$6:$K$3665,0))))</f>
        <v/>
      </c>
      <c r="K323">
        <f>IFERROR(AGGREGATE(15,6,(ROW(Zeiterfassung!$D$6:$D$3665)-ROW(Zeiterfassung!$D$6)+1)/(Zeiterfassung!$D$6:$D$3665&lt;&gt;""),318),"")</f>
        <v/>
      </c>
    </row>
    <row r="324" ht="20" customHeight="1">
      <c r="A324" s="183">
        <f>IF($K324="","",WEEKNUM(INDEX(Zeiterfassung!$K$6:$K$3665,$K324),21))</f>
        <v/>
      </c>
      <c r="B324" s="184">
        <f>IF($K324="","",INDEX(Zeiterfassung!$K$6:$K$3665,$K324))</f>
        <v/>
      </c>
      <c r="C324" s="185">
        <f>IF($K324="","",INDEX(Zeiterfassung!$K$6:$K$3665,$K324))</f>
        <v/>
      </c>
      <c r="D324" s="186">
        <f>IF($K324="","",INDEX(Zeiterfassung!$D$6:$D$3665,$K324))</f>
        <v/>
      </c>
      <c r="E324" s="186">
        <f>IF($K324="","",INDEX(Zeiterfassung!$E$6:$E$3665,$K324))</f>
        <v/>
      </c>
      <c r="F324" s="187">
        <f>IF($K324="","",INDEX(Zeiterfassung!$F$6:$F$3665,$K324))</f>
        <v/>
      </c>
      <c r="G324" s="187">
        <f>IF($K324="","",INDEX(Zeiterfassung!$G$6:$G$3665,$K324))</f>
        <v/>
      </c>
      <c r="H324" s="188">
        <f>IF($K324="","",INDEX(Zeiterfassung!$H$6:$H$3665,$K324))</f>
        <v/>
      </c>
      <c r="I324" s="335">
        <f>IF(B324=B323,"",IF($K324="","",INDEX(Zeiterfassung!$I$6:$I$3665,MATCH(INDEX(Zeiterfassung!$K$6:$K$3665,$K324),Zeiterfassung!$K$6:$K$3665,0))))</f>
        <v/>
      </c>
      <c r="J324" s="335">
        <f>IF(B324=B323,"",IF($K324="","",INDEX(Zeiterfassung!$J$6:$J$3665,MATCH(INDEX(Zeiterfassung!$K$6:$K$3665,$K324),Zeiterfassung!$K$6:$K$3665,0))))</f>
        <v/>
      </c>
      <c r="K324">
        <f>IFERROR(AGGREGATE(15,6,(ROW(Zeiterfassung!$D$6:$D$3665)-ROW(Zeiterfassung!$D$6)+1)/(Zeiterfassung!$D$6:$D$3665&lt;&gt;""),319),"")</f>
        <v/>
      </c>
    </row>
    <row r="325" ht="20" customHeight="1">
      <c r="A325" s="183">
        <f>IF($K325="","",WEEKNUM(INDEX(Zeiterfassung!$K$6:$K$3665,$K325),21))</f>
        <v/>
      </c>
      <c r="B325" s="184">
        <f>IF($K325="","",INDEX(Zeiterfassung!$K$6:$K$3665,$K325))</f>
        <v/>
      </c>
      <c r="C325" s="185">
        <f>IF($K325="","",INDEX(Zeiterfassung!$K$6:$K$3665,$K325))</f>
        <v/>
      </c>
      <c r="D325" s="186">
        <f>IF($K325="","",INDEX(Zeiterfassung!$D$6:$D$3665,$K325))</f>
        <v/>
      </c>
      <c r="E325" s="186">
        <f>IF($K325="","",INDEX(Zeiterfassung!$E$6:$E$3665,$K325))</f>
        <v/>
      </c>
      <c r="F325" s="187">
        <f>IF($K325="","",INDEX(Zeiterfassung!$F$6:$F$3665,$K325))</f>
        <v/>
      </c>
      <c r="G325" s="187">
        <f>IF($K325="","",INDEX(Zeiterfassung!$G$6:$G$3665,$K325))</f>
        <v/>
      </c>
      <c r="H325" s="188">
        <f>IF($K325="","",INDEX(Zeiterfassung!$H$6:$H$3665,$K325))</f>
        <v/>
      </c>
      <c r="I325" s="335">
        <f>IF(B325=B324,"",IF($K325="","",INDEX(Zeiterfassung!$I$6:$I$3665,MATCH(INDEX(Zeiterfassung!$K$6:$K$3665,$K325),Zeiterfassung!$K$6:$K$3665,0))))</f>
        <v/>
      </c>
      <c r="J325" s="335">
        <f>IF(B325=B324,"",IF($K325="","",INDEX(Zeiterfassung!$J$6:$J$3665,MATCH(INDEX(Zeiterfassung!$K$6:$K$3665,$K325),Zeiterfassung!$K$6:$K$3665,0))))</f>
        <v/>
      </c>
      <c r="K325">
        <f>IFERROR(AGGREGATE(15,6,(ROW(Zeiterfassung!$D$6:$D$3665)-ROW(Zeiterfassung!$D$6)+1)/(Zeiterfassung!$D$6:$D$3665&lt;&gt;""),320),"")</f>
        <v/>
      </c>
    </row>
    <row r="326" ht="20" customHeight="1">
      <c r="A326" s="183">
        <f>IF($K326="","",WEEKNUM(INDEX(Zeiterfassung!$K$6:$K$3665,$K326),21))</f>
        <v/>
      </c>
      <c r="B326" s="184">
        <f>IF($K326="","",INDEX(Zeiterfassung!$K$6:$K$3665,$K326))</f>
        <v/>
      </c>
      <c r="C326" s="185">
        <f>IF($K326="","",INDEX(Zeiterfassung!$K$6:$K$3665,$K326))</f>
        <v/>
      </c>
      <c r="D326" s="186">
        <f>IF($K326="","",INDEX(Zeiterfassung!$D$6:$D$3665,$K326))</f>
        <v/>
      </c>
      <c r="E326" s="186">
        <f>IF($K326="","",INDEX(Zeiterfassung!$E$6:$E$3665,$K326))</f>
        <v/>
      </c>
      <c r="F326" s="187">
        <f>IF($K326="","",INDEX(Zeiterfassung!$F$6:$F$3665,$K326))</f>
        <v/>
      </c>
      <c r="G326" s="187">
        <f>IF($K326="","",INDEX(Zeiterfassung!$G$6:$G$3665,$K326))</f>
        <v/>
      </c>
      <c r="H326" s="188">
        <f>IF($K326="","",INDEX(Zeiterfassung!$H$6:$H$3665,$K326))</f>
        <v/>
      </c>
      <c r="I326" s="335">
        <f>IF(B326=B325,"",IF($K326="","",INDEX(Zeiterfassung!$I$6:$I$3665,MATCH(INDEX(Zeiterfassung!$K$6:$K$3665,$K326),Zeiterfassung!$K$6:$K$3665,0))))</f>
        <v/>
      </c>
      <c r="J326" s="335">
        <f>IF(B326=B325,"",IF($K326="","",INDEX(Zeiterfassung!$J$6:$J$3665,MATCH(INDEX(Zeiterfassung!$K$6:$K$3665,$K326),Zeiterfassung!$K$6:$K$3665,0))))</f>
        <v/>
      </c>
      <c r="K326">
        <f>IFERROR(AGGREGATE(15,6,(ROW(Zeiterfassung!$D$6:$D$3665)-ROW(Zeiterfassung!$D$6)+1)/(Zeiterfassung!$D$6:$D$3665&lt;&gt;""),321),"")</f>
        <v/>
      </c>
    </row>
    <row r="327" ht="20" customHeight="1">
      <c r="A327" s="183">
        <f>IF($K327="","",WEEKNUM(INDEX(Zeiterfassung!$K$6:$K$3665,$K327),21))</f>
        <v/>
      </c>
      <c r="B327" s="184">
        <f>IF($K327="","",INDEX(Zeiterfassung!$K$6:$K$3665,$K327))</f>
        <v/>
      </c>
      <c r="C327" s="185">
        <f>IF($K327="","",INDEX(Zeiterfassung!$K$6:$K$3665,$K327))</f>
        <v/>
      </c>
      <c r="D327" s="186">
        <f>IF($K327="","",INDEX(Zeiterfassung!$D$6:$D$3665,$K327))</f>
        <v/>
      </c>
      <c r="E327" s="186">
        <f>IF($K327="","",INDEX(Zeiterfassung!$E$6:$E$3665,$K327))</f>
        <v/>
      </c>
      <c r="F327" s="187">
        <f>IF($K327="","",INDEX(Zeiterfassung!$F$6:$F$3665,$K327))</f>
        <v/>
      </c>
      <c r="G327" s="187">
        <f>IF($K327="","",INDEX(Zeiterfassung!$G$6:$G$3665,$K327))</f>
        <v/>
      </c>
      <c r="H327" s="188">
        <f>IF($K327="","",INDEX(Zeiterfassung!$H$6:$H$3665,$K327))</f>
        <v/>
      </c>
      <c r="I327" s="335">
        <f>IF(B327=B326,"",IF($K327="","",INDEX(Zeiterfassung!$I$6:$I$3665,MATCH(INDEX(Zeiterfassung!$K$6:$K$3665,$K327),Zeiterfassung!$K$6:$K$3665,0))))</f>
        <v/>
      </c>
      <c r="J327" s="335">
        <f>IF(B327=B326,"",IF($K327="","",INDEX(Zeiterfassung!$J$6:$J$3665,MATCH(INDEX(Zeiterfassung!$K$6:$K$3665,$K327),Zeiterfassung!$K$6:$K$3665,0))))</f>
        <v/>
      </c>
      <c r="K327">
        <f>IFERROR(AGGREGATE(15,6,(ROW(Zeiterfassung!$D$6:$D$3665)-ROW(Zeiterfassung!$D$6)+1)/(Zeiterfassung!$D$6:$D$3665&lt;&gt;""),322),"")</f>
        <v/>
      </c>
    </row>
    <row r="328" ht="20" customHeight="1">
      <c r="A328" s="183">
        <f>IF($K328="","",WEEKNUM(INDEX(Zeiterfassung!$K$6:$K$3665,$K328),21))</f>
        <v/>
      </c>
      <c r="B328" s="184">
        <f>IF($K328="","",INDEX(Zeiterfassung!$K$6:$K$3665,$K328))</f>
        <v/>
      </c>
      <c r="C328" s="185">
        <f>IF($K328="","",INDEX(Zeiterfassung!$K$6:$K$3665,$K328))</f>
        <v/>
      </c>
      <c r="D328" s="186">
        <f>IF($K328="","",INDEX(Zeiterfassung!$D$6:$D$3665,$K328))</f>
        <v/>
      </c>
      <c r="E328" s="186">
        <f>IF($K328="","",INDEX(Zeiterfassung!$E$6:$E$3665,$K328))</f>
        <v/>
      </c>
      <c r="F328" s="187">
        <f>IF($K328="","",INDEX(Zeiterfassung!$F$6:$F$3665,$K328))</f>
        <v/>
      </c>
      <c r="G328" s="187">
        <f>IF($K328="","",INDEX(Zeiterfassung!$G$6:$G$3665,$K328))</f>
        <v/>
      </c>
      <c r="H328" s="188">
        <f>IF($K328="","",INDEX(Zeiterfassung!$H$6:$H$3665,$K328))</f>
        <v/>
      </c>
      <c r="I328" s="335">
        <f>IF(B328=B327,"",IF($K328="","",INDEX(Zeiterfassung!$I$6:$I$3665,MATCH(INDEX(Zeiterfassung!$K$6:$K$3665,$K328),Zeiterfassung!$K$6:$K$3665,0))))</f>
        <v/>
      </c>
      <c r="J328" s="335">
        <f>IF(B328=B327,"",IF($K328="","",INDEX(Zeiterfassung!$J$6:$J$3665,MATCH(INDEX(Zeiterfassung!$K$6:$K$3665,$K328),Zeiterfassung!$K$6:$K$3665,0))))</f>
        <v/>
      </c>
      <c r="K328">
        <f>IFERROR(AGGREGATE(15,6,(ROW(Zeiterfassung!$D$6:$D$3665)-ROW(Zeiterfassung!$D$6)+1)/(Zeiterfassung!$D$6:$D$3665&lt;&gt;""),323),"")</f>
        <v/>
      </c>
    </row>
    <row r="329" ht="20" customHeight="1">
      <c r="A329" s="183">
        <f>IF($K329="","",WEEKNUM(INDEX(Zeiterfassung!$K$6:$K$3665,$K329),21))</f>
        <v/>
      </c>
      <c r="B329" s="184">
        <f>IF($K329="","",INDEX(Zeiterfassung!$K$6:$K$3665,$K329))</f>
        <v/>
      </c>
      <c r="C329" s="185">
        <f>IF($K329="","",INDEX(Zeiterfassung!$K$6:$K$3665,$K329))</f>
        <v/>
      </c>
      <c r="D329" s="186">
        <f>IF($K329="","",INDEX(Zeiterfassung!$D$6:$D$3665,$K329))</f>
        <v/>
      </c>
      <c r="E329" s="186">
        <f>IF($K329="","",INDEX(Zeiterfassung!$E$6:$E$3665,$K329))</f>
        <v/>
      </c>
      <c r="F329" s="187">
        <f>IF($K329="","",INDEX(Zeiterfassung!$F$6:$F$3665,$K329))</f>
        <v/>
      </c>
      <c r="G329" s="187">
        <f>IF($K329="","",INDEX(Zeiterfassung!$G$6:$G$3665,$K329))</f>
        <v/>
      </c>
      <c r="H329" s="188">
        <f>IF($K329="","",INDEX(Zeiterfassung!$H$6:$H$3665,$K329))</f>
        <v/>
      </c>
      <c r="I329" s="335">
        <f>IF(B329=B328,"",IF($K329="","",INDEX(Zeiterfassung!$I$6:$I$3665,MATCH(INDEX(Zeiterfassung!$K$6:$K$3665,$K329),Zeiterfassung!$K$6:$K$3665,0))))</f>
        <v/>
      </c>
      <c r="J329" s="335">
        <f>IF(B329=B328,"",IF($K329="","",INDEX(Zeiterfassung!$J$6:$J$3665,MATCH(INDEX(Zeiterfassung!$K$6:$K$3665,$K329),Zeiterfassung!$K$6:$K$3665,0))))</f>
        <v/>
      </c>
      <c r="K329">
        <f>IFERROR(AGGREGATE(15,6,(ROW(Zeiterfassung!$D$6:$D$3665)-ROW(Zeiterfassung!$D$6)+1)/(Zeiterfassung!$D$6:$D$3665&lt;&gt;""),324),"")</f>
        <v/>
      </c>
    </row>
    <row r="330" ht="20" customHeight="1">
      <c r="A330" s="183">
        <f>IF($K330="","",WEEKNUM(INDEX(Zeiterfassung!$K$6:$K$3665,$K330),21))</f>
        <v/>
      </c>
      <c r="B330" s="184">
        <f>IF($K330="","",INDEX(Zeiterfassung!$K$6:$K$3665,$K330))</f>
        <v/>
      </c>
      <c r="C330" s="185">
        <f>IF($K330="","",INDEX(Zeiterfassung!$K$6:$K$3665,$K330))</f>
        <v/>
      </c>
      <c r="D330" s="186">
        <f>IF($K330="","",INDEX(Zeiterfassung!$D$6:$D$3665,$K330))</f>
        <v/>
      </c>
      <c r="E330" s="186">
        <f>IF($K330="","",INDEX(Zeiterfassung!$E$6:$E$3665,$K330))</f>
        <v/>
      </c>
      <c r="F330" s="187">
        <f>IF($K330="","",INDEX(Zeiterfassung!$F$6:$F$3665,$K330))</f>
        <v/>
      </c>
      <c r="G330" s="187">
        <f>IF($K330="","",INDEX(Zeiterfassung!$G$6:$G$3665,$K330))</f>
        <v/>
      </c>
      <c r="H330" s="188">
        <f>IF($K330="","",INDEX(Zeiterfassung!$H$6:$H$3665,$K330))</f>
        <v/>
      </c>
      <c r="I330" s="335">
        <f>IF(B330=B329,"",IF($K330="","",INDEX(Zeiterfassung!$I$6:$I$3665,MATCH(INDEX(Zeiterfassung!$K$6:$K$3665,$K330),Zeiterfassung!$K$6:$K$3665,0))))</f>
        <v/>
      </c>
      <c r="J330" s="335">
        <f>IF(B330=B329,"",IF($K330="","",INDEX(Zeiterfassung!$J$6:$J$3665,MATCH(INDEX(Zeiterfassung!$K$6:$K$3665,$K330),Zeiterfassung!$K$6:$K$3665,0))))</f>
        <v/>
      </c>
      <c r="K330">
        <f>IFERROR(AGGREGATE(15,6,(ROW(Zeiterfassung!$D$6:$D$3665)-ROW(Zeiterfassung!$D$6)+1)/(Zeiterfassung!$D$6:$D$3665&lt;&gt;""),325),"")</f>
        <v/>
      </c>
    </row>
    <row r="331" ht="20" customHeight="1">
      <c r="A331" s="183">
        <f>IF($K331="","",WEEKNUM(INDEX(Zeiterfassung!$K$6:$K$3665,$K331),21))</f>
        <v/>
      </c>
      <c r="B331" s="184">
        <f>IF($K331="","",INDEX(Zeiterfassung!$K$6:$K$3665,$K331))</f>
        <v/>
      </c>
      <c r="C331" s="185">
        <f>IF($K331="","",INDEX(Zeiterfassung!$K$6:$K$3665,$K331))</f>
        <v/>
      </c>
      <c r="D331" s="186">
        <f>IF($K331="","",INDEX(Zeiterfassung!$D$6:$D$3665,$K331))</f>
        <v/>
      </c>
      <c r="E331" s="186">
        <f>IF($K331="","",INDEX(Zeiterfassung!$E$6:$E$3665,$K331))</f>
        <v/>
      </c>
      <c r="F331" s="187">
        <f>IF($K331="","",INDEX(Zeiterfassung!$F$6:$F$3665,$K331))</f>
        <v/>
      </c>
      <c r="G331" s="187">
        <f>IF($K331="","",INDEX(Zeiterfassung!$G$6:$G$3665,$K331))</f>
        <v/>
      </c>
      <c r="H331" s="188">
        <f>IF($K331="","",INDEX(Zeiterfassung!$H$6:$H$3665,$K331))</f>
        <v/>
      </c>
      <c r="I331" s="335">
        <f>IF(B331=B330,"",IF($K331="","",INDEX(Zeiterfassung!$I$6:$I$3665,MATCH(INDEX(Zeiterfassung!$K$6:$K$3665,$K331),Zeiterfassung!$K$6:$K$3665,0))))</f>
        <v/>
      </c>
      <c r="J331" s="335">
        <f>IF(B331=B330,"",IF($K331="","",INDEX(Zeiterfassung!$J$6:$J$3665,MATCH(INDEX(Zeiterfassung!$K$6:$K$3665,$K331),Zeiterfassung!$K$6:$K$3665,0))))</f>
        <v/>
      </c>
      <c r="K331">
        <f>IFERROR(AGGREGATE(15,6,(ROW(Zeiterfassung!$D$6:$D$3665)-ROW(Zeiterfassung!$D$6)+1)/(Zeiterfassung!$D$6:$D$3665&lt;&gt;""),326),"")</f>
        <v/>
      </c>
    </row>
    <row r="332" ht="20" customHeight="1">
      <c r="A332" s="183">
        <f>IF($K332="","",WEEKNUM(INDEX(Zeiterfassung!$K$6:$K$3665,$K332),21))</f>
        <v/>
      </c>
      <c r="B332" s="184">
        <f>IF($K332="","",INDEX(Zeiterfassung!$K$6:$K$3665,$K332))</f>
        <v/>
      </c>
      <c r="C332" s="185">
        <f>IF($K332="","",INDEX(Zeiterfassung!$K$6:$K$3665,$K332))</f>
        <v/>
      </c>
      <c r="D332" s="186">
        <f>IF($K332="","",INDEX(Zeiterfassung!$D$6:$D$3665,$K332))</f>
        <v/>
      </c>
      <c r="E332" s="186">
        <f>IF($K332="","",INDEX(Zeiterfassung!$E$6:$E$3665,$K332))</f>
        <v/>
      </c>
      <c r="F332" s="187">
        <f>IF($K332="","",INDEX(Zeiterfassung!$F$6:$F$3665,$K332))</f>
        <v/>
      </c>
      <c r="G332" s="187">
        <f>IF($K332="","",INDEX(Zeiterfassung!$G$6:$G$3665,$K332))</f>
        <v/>
      </c>
      <c r="H332" s="188">
        <f>IF($K332="","",INDEX(Zeiterfassung!$H$6:$H$3665,$K332))</f>
        <v/>
      </c>
      <c r="I332" s="335">
        <f>IF(B332=B331,"",IF($K332="","",INDEX(Zeiterfassung!$I$6:$I$3665,MATCH(INDEX(Zeiterfassung!$K$6:$K$3665,$K332),Zeiterfassung!$K$6:$K$3665,0))))</f>
        <v/>
      </c>
      <c r="J332" s="335">
        <f>IF(B332=B331,"",IF($K332="","",INDEX(Zeiterfassung!$J$6:$J$3665,MATCH(INDEX(Zeiterfassung!$K$6:$K$3665,$K332),Zeiterfassung!$K$6:$K$3665,0))))</f>
        <v/>
      </c>
      <c r="K332">
        <f>IFERROR(AGGREGATE(15,6,(ROW(Zeiterfassung!$D$6:$D$3665)-ROW(Zeiterfassung!$D$6)+1)/(Zeiterfassung!$D$6:$D$3665&lt;&gt;""),327),"")</f>
        <v/>
      </c>
    </row>
    <row r="333" ht="20" customHeight="1">
      <c r="A333" s="183">
        <f>IF($K333="","",WEEKNUM(INDEX(Zeiterfassung!$K$6:$K$3665,$K333),21))</f>
        <v/>
      </c>
      <c r="B333" s="184">
        <f>IF($K333="","",INDEX(Zeiterfassung!$K$6:$K$3665,$K333))</f>
        <v/>
      </c>
      <c r="C333" s="185">
        <f>IF($K333="","",INDEX(Zeiterfassung!$K$6:$K$3665,$K333))</f>
        <v/>
      </c>
      <c r="D333" s="186">
        <f>IF($K333="","",INDEX(Zeiterfassung!$D$6:$D$3665,$K333))</f>
        <v/>
      </c>
      <c r="E333" s="186">
        <f>IF($K333="","",INDEX(Zeiterfassung!$E$6:$E$3665,$K333))</f>
        <v/>
      </c>
      <c r="F333" s="187">
        <f>IF($K333="","",INDEX(Zeiterfassung!$F$6:$F$3665,$K333))</f>
        <v/>
      </c>
      <c r="G333" s="187">
        <f>IF($K333="","",INDEX(Zeiterfassung!$G$6:$G$3665,$K333))</f>
        <v/>
      </c>
      <c r="H333" s="188">
        <f>IF($K333="","",INDEX(Zeiterfassung!$H$6:$H$3665,$K333))</f>
        <v/>
      </c>
      <c r="I333" s="335">
        <f>IF(B333=B332,"",IF($K333="","",INDEX(Zeiterfassung!$I$6:$I$3665,MATCH(INDEX(Zeiterfassung!$K$6:$K$3665,$K333),Zeiterfassung!$K$6:$K$3665,0))))</f>
        <v/>
      </c>
      <c r="J333" s="335">
        <f>IF(B333=B332,"",IF($K333="","",INDEX(Zeiterfassung!$J$6:$J$3665,MATCH(INDEX(Zeiterfassung!$K$6:$K$3665,$K333),Zeiterfassung!$K$6:$K$3665,0))))</f>
        <v/>
      </c>
      <c r="K333">
        <f>IFERROR(AGGREGATE(15,6,(ROW(Zeiterfassung!$D$6:$D$3665)-ROW(Zeiterfassung!$D$6)+1)/(Zeiterfassung!$D$6:$D$3665&lt;&gt;""),328),"")</f>
        <v/>
      </c>
    </row>
    <row r="334" ht="20" customHeight="1">
      <c r="A334" s="183">
        <f>IF($K334="","",WEEKNUM(INDEX(Zeiterfassung!$K$6:$K$3665,$K334),21))</f>
        <v/>
      </c>
      <c r="B334" s="184">
        <f>IF($K334="","",INDEX(Zeiterfassung!$K$6:$K$3665,$K334))</f>
        <v/>
      </c>
      <c r="C334" s="185">
        <f>IF($K334="","",INDEX(Zeiterfassung!$K$6:$K$3665,$K334))</f>
        <v/>
      </c>
      <c r="D334" s="186">
        <f>IF($K334="","",INDEX(Zeiterfassung!$D$6:$D$3665,$K334))</f>
        <v/>
      </c>
      <c r="E334" s="186">
        <f>IF($K334="","",INDEX(Zeiterfassung!$E$6:$E$3665,$K334))</f>
        <v/>
      </c>
      <c r="F334" s="187">
        <f>IF($K334="","",INDEX(Zeiterfassung!$F$6:$F$3665,$K334))</f>
        <v/>
      </c>
      <c r="G334" s="187">
        <f>IF($K334="","",INDEX(Zeiterfassung!$G$6:$G$3665,$K334))</f>
        <v/>
      </c>
      <c r="H334" s="188">
        <f>IF($K334="","",INDEX(Zeiterfassung!$H$6:$H$3665,$K334))</f>
        <v/>
      </c>
      <c r="I334" s="335">
        <f>IF(B334=B333,"",IF($K334="","",INDEX(Zeiterfassung!$I$6:$I$3665,MATCH(INDEX(Zeiterfassung!$K$6:$K$3665,$K334),Zeiterfassung!$K$6:$K$3665,0))))</f>
        <v/>
      </c>
      <c r="J334" s="335">
        <f>IF(B334=B333,"",IF($K334="","",INDEX(Zeiterfassung!$J$6:$J$3665,MATCH(INDEX(Zeiterfassung!$K$6:$K$3665,$K334),Zeiterfassung!$K$6:$K$3665,0))))</f>
        <v/>
      </c>
      <c r="K334">
        <f>IFERROR(AGGREGATE(15,6,(ROW(Zeiterfassung!$D$6:$D$3665)-ROW(Zeiterfassung!$D$6)+1)/(Zeiterfassung!$D$6:$D$3665&lt;&gt;""),329),"")</f>
        <v/>
      </c>
    </row>
    <row r="335" ht="20" customHeight="1">
      <c r="A335" s="183">
        <f>IF($K335="","",WEEKNUM(INDEX(Zeiterfassung!$K$6:$K$3665,$K335),21))</f>
        <v/>
      </c>
      <c r="B335" s="184">
        <f>IF($K335="","",INDEX(Zeiterfassung!$K$6:$K$3665,$K335))</f>
        <v/>
      </c>
      <c r="C335" s="185">
        <f>IF($K335="","",INDEX(Zeiterfassung!$K$6:$K$3665,$K335))</f>
        <v/>
      </c>
      <c r="D335" s="186">
        <f>IF($K335="","",INDEX(Zeiterfassung!$D$6:$D$3665,$K335))</f>
        <v/>
      </c>
      <c r="E335" s="186">
        <f>IF($K335="","",INDEX(Zeiterfassung!$E$6:$E$3665,$K335))</f>
        <v/>
      </c>
      <c r="F335" s="187">
        <f>IF($K335="","",INDEX(Zeiterfassung!$F$6:$F$3665,$K335))</f>
        <v/>
      </c>
      <c r="G335" s="187">
        <f>IF($K335="","",INDEX(Zeiterfassung!$G$6:$G$3665,$K335))</f>
        <v/>
      </c>
      <c r="H335" s="188">
        <f>IF($K335="","",INDEX(Zeiterfassung!$H$6:$H$3665,$K335))</f>
        <v/>
      </c>
      <c r="I335" s="335">
        <f>IF(B335=B334,"",IF($K335="","",INDEX(Zeiterfassung!$I$6:$I$3665,MATCH(INDEX(Zeiterfassung!$K$6:$K$3665,$K335),Zeiterfassung!$K$6:$K$3665,0))))</f>
        <v/>
      </c>
      <c r="J335" s="335">
        <f>IF(B335=B334,"",IF($K335="","",INDEX(Zeiterfassung!$J$6:$J$3665,MATCH(INDEX(Zeiterfassung!$K$6:$K$3665,$K335),Zeiterfassung!$K$6:$K$3665,0))))</f>
        <v/>
      </c>
      <c r="K335">
        <f>IFERROR(AGGREGATE(15,6,(ROW(Zeiterfassung!$D$6:$D$3665)-ROW(Zeiterfassung!$D$6)+1)/(Zeiterfassung!$D$6:$D$3665&lt;&gt;""),330),"")</f>
        <v/>
      </c>
    </row>
    <row r="336" ht="20" customHeight="1">
      <c r="A336" s="183">
        <f>IF($K336="","",WEEKNUM(INDEX(Zeiterfassung!$K$6:$K$3665,$K336),21))</f>
        <v/>
      </c>
      <c r="B336" s="184">
        <f>IF($K336="","",INDEX(Zeiterfassung!$K$6:$K$3665,$K336))</f>
        <v/>
      </c>
      <c r="C336" s="185">
        <f>IF($K336="","",INDEX(Zeiterfassung!$K$6:$K$3665,$K336))</f>
        <v/>
      </c>
      <c r="D336" s="186">
        <f>IF($K336="","",INDEX(Zeiterfassung!$D$6:$D$3665,$K336))</f>
        <v/>
      </c>
      <c r="E336" s="186">
        <f>IF($K336="","",INDEX(Zeiterfassung!$E$6:$E$3665,$K336))</f>
        <v/>
      </c>
      <c r="F336" s="187">
        <f>IF($K336="","",INDEX(Zeiterfassung!$F$6:$F$3665,$K336))</f>
        <v/>
      </c>
      <c r="G336" s="187">
        <f>IF($K336="","",INDEX(Zeiterfassung!$G$6:$G$3665,$K336))</f>
        <v/>
      </c>
      <c r="H336" s="188">
        <f>IF($K336="","",INDEX(Zeiterfassung!$H$6:$H$3665,$K336))</f>
        <v/>
      </c>
      <c r="I336" s="335">
        <f>IF(B336=B335,"",IF($K336="","",INDEX(Zeiterfassung!$I$6:$I$3665,MATCH(INDEX(Zeiterfassung!$K$6:$K$3665,$K336),Zeiterfassung!$K$6:$K$3665,0))))</f>
        <v/>
      </c>
      <c r="J336" s="335">
        <f>IF(B336=B335,"",IF($K336="","",INDEX(Zeiterfassung!$J$6:$J$3665,MATCH(INDEX(Zeiterfassung!$K$6:$K$3665,$K336),Zeiterfassung!$K$6:$K$3665,0))))</f>
        <v/>
      </c>
      <c r="K336">
        <f>IFERROR(AGGREGATE(15,6,(ROW(Zeiterfassung!$D$6:$D$3665)-ROW(Zeiterfassung!$D$6)+1)/(Zeiterfassung!$D$6:$D$3665&lt;&gt;""),331),"")</f>
        <v/>
      </c>
    </row>
    <row r="337" ht="20" customHeight="1">
      <c r="A337" s="183">
        <f>IF($K337="","",WEEKNUM(INDEX(Zeiterfassung!$K$6:$K$3665,$K337),21))</f>
        <v/>
      </c>
      <c r="B337" s="184">
        <f>IF($K337="","",INDEX(Zeiterfassung!$K$6:$K$3665,$K337))</f>
        <v/>
      </c>
      <c r="C337" s="185">
        <f>IF($K337="","",INDEX(Zeiterfassung!$K$6:$K$3665,$K337))</f>
        <v/>
      </c>
      <c r="D337" s="186">
        <f>IF($K337="","",INDEX(Zeiterfassung!$D$6:$D$3665,$K337))</f>
        <v/>
      </c>
      <c r="E337" s="186">
        <f>IF($K337="","",INDEX(Zeiterfassung!$E$6:$E$3665,$K337))</f>
        <v/>
      </c>
      <c r="F337" s="187">
        <f>IF($K337="","",INDEX(Zeiterfassung!$F$6:$F$3665,$K337))</f>
        <v/>
      </c>
      <c r="G337" s="187">
        <f>IF($K337="","",INDEX(Zeiterfassung!$G$6:$G$3665,$K337))</f>
        <v/>
      </c>
      <c r="H337" s="188">
        <f>IF($K337="","",INDEX(Zeiterfassung!$H$6:$H$3665,$K337))</f>
        <v/>
      </c>
      <c r="I337" s="335">
        <f>IF(B337=B336,"",IF($K337="","",INDEX(Zeiterfassung!$I$6:$I$3665,MATCH(INDEX(Zeiterfassung!$K$6:$K$3665,$K337),Zeiterfassung!$K$6:$K$3665,0))))</f>
        <v/>
      </c>
      <c r="J337" s="335">
        <f>IF(B337=B336,"",IF($K337="","",INDEX(Zeiterfassung!$J$6:$J$3665,MATCH(INDEX(Zeiterfassung!$K$6:$K$3665,$K337),Zeiterfassung!$K$6:$K$3665,0))))</f>
        <v/>
      </c>
      <c r="K337">
        <f>IFERROR(AGGREGATE(15,6,(ROW(Zeiterfassung!$D$6:$D$3665)-ROW(Zeiterfassung!$D$6)+1)/(Zeiterfassung!$D$6:$D$3665&lt;&gt;""),332),"")</f>
        <v/>
      </c>
    </row>
    <row r="338" ht="20" customHeight="1">
      <c r="A338" s="183">
        <f>IF($K338="","",WEEKNUM(INDEX(Zeiterfassung!$K$6:$K$3665,$K338),21))</f>
        <v/>
      </c>
      <c r="B338" s="184">
        <f>IF($K338="","",INDEX(Zeiterfassung!$K$6:$K$3665,$K338))</f>
        <v/>
      </c>
      <c r="C338" s="185">
        <f>IF($K338="","",INDEX(Zeiterfassung!$K$6:$K$3665,$K338))</f>
        <v/>
      </c>
      <c r="D338" s="186">
        <f>IF($K338="","",INDEX(Zeiterfassung!$D$6:$D$3665,$K338))</f>
        <v/>
      </c>
      <c r="E338" s="186">
        <f>IF($K338="","",INDEX(Zeiterfassung!$E$6:$E$3665,$K338))</f>
        <v/>
      </c>
      <c r="F338" s="187">
        <f>IF($K338="","",INDEX(Zeiterfassung!$F$6:$F$3665,$K338))</f>
        <v/>
      </c>
      <c r="G338" s="187">
        <f>IF($K338="","",INDEX(Zeiterfassung!$G$6:$G$3665,$K338))</f>
        <v/>
      </c>
      <c r="H338" s="188">
        <f>IF($K338="","",INDEX(Zeiterfassung!$H$6:$H$3665,$K338))</f>
        <v/>
      </c>
      <c r="I338" s="335">
        <f>IF(B338=B337,"",IF($K338="","",INDEX(Zeiterfassung!$I$6:$I$3665,MATCH(INDEX(Zeiterfassung!$K$6:$K$3665,$K338),Zeiterfassung!$K$6:$K$3665,0))))</f>
        <v/>
      </c>
      <c r="J338" s="335">
        <f>IF(B338=B337,"",IF($K338="","",INDEX(Zeiterfassung!$J$6:$J$3665,MATCH(INDEX(Zeiterfassung!$K$6:$K$3665,$K338),Zeiterfassung!$K$6:$K$3665,0))))</f>
        <v/>
      </c>
      <c r="K338">
        <f>IFERROR(AGGREGATE(15,6,(ROW(Zeiterfassung!$D$6:$D$3665)-ROW(Zeiterfassung!$D$6)+1)/(Zeiterfassung!$D$6:$D$3665&lt;&gt;""),333),"")</f>
        <v/>
      </c>
    </row>
    <row r="339" ht="20" customHeight="1">
      <c r="A339" s="183">
        <f>IF($K339="","",WEEKNUM(INDEX(Zeiterfassung!$K$6:$K$3665,$K339),21))</f>
        <v/>
      </c>
      <c r="B339" s="184">
        <f>IF($K339="","",INDEX(Zeiterfassung!$K$6:$K$3665,$K339))</f>
        <v/>
      </c>
      <c r="C339" s="185">
        <f>IF($K339="","",INDEX(Zeiterfassung!$K$6:$K$3665,$K339))</f>
        <v/>
      </c>
      <c r="D339" s="186">
        <f>IF($K339="","",INDEX(Zeiterfassung!$D$6:$D$3665,$K339))</f>
        <v/>
      </c>
      <c r="E339" s="186">
        <f>IF($K339="","",INDEX(Zeiterfassung!$E$6:$E$3665,$K339))</f>
        <v/>
      </c>
      <c r="F339" s="187">
        <f>IF($K339="","",INDEX(Zeiterfassung!$F$6:$F$3665,$K339))</f>
        <v/>
      </c>
      <c r="G339" s="187">
        <f>IF($K339="","",INDEX(Zeiterfassung!$G$6:$G$3665,$K339))</f>
        <v/>
      </c>
      <c r="H339" s="188">
        <f>IF($K339="","",INDEX(Zeiterfassung!$H$6:$H$3665,$K339))</f>
        <v/>
      </c>
      <c r="I339" s="335">
        <f>IF(B339=B338,"",IF($K339="","",INDEX(Zeiterfassung!$I$6:$I$3665,MATCH(INDEX(Zeiterfassung!$K$6:$K$3665,$K339),Zeiterfassung!$K$6:$K$3665,0))))</f>
        <v/>
      </c>
      <c r="J339" s="335">
        <f>IF(B339=B338,"",IF($K339="","",INDEX(Zeiterfassung!$J$6:$J$3665,MATCH(INDEX(Zeiterfassung!$K$6:$K$3665,$K339),Zeiterfassung!$K$6:$K$3665,0))))</f>
        <v/>
      </c>
      <c r="K339">
        <f>IFERROR(AGGREGATE(15,6,(ROW(Zeiterfassung!$D$6:$D$3665)-ROW(Zeiterfassung!$D$6)+1)/(Zeiterfassung!$D$6:$D$3665&lt;&gt;""),334),"")</f>
        <v/>
      </c>
    </row>
    <row r="340" ht="20" customHeight="1">
      <c r="A340" s="183">
        <f>IF($K340="","",WEEKNUM(INDEX(Zeiterfassung!$K$6:$K$3665,$K340),21))</f>
        <v/>
      </c>
      <c r="B340" s="184">
        <f>IF($K340="","",INDEX(Zeiterfassung!$K$6:$K$3665,$K340))</f>
        <v/>
      </c>
      <c r="C340" s="185">
        <f>IF($K340="","",INDEX(Zeiterfassung!$K$6:$K$3665,$K340))</f>
        <v/>
      </c>
      <c r="D340" s="186">
        <f>IF($K340="","",INDEX(Zeiterfassung!$D$6:$D$3665,$K340))</f>
        <v/>
      </c>
      <c r="E340" s="186">
        <f>IF($K340="","",INDEX(Zeiterfassung!$E$6:$E$3665,$K340))</f>
        <v/>
      </c>
      <c r="F340" s="187">
        <f>IF($K340="","",INDEX(Zeiterfassung!$F$6:$F$3665,$K340))</f>
        <v/>
      </c>
      <c r="G340" s="187">
        <f>IF($K340="","",INDEX(Zeiterfassung!$G$6:$G$3665,$K340))</f>
        <v/>
      </c>
      <c r="H340" s="188">
        <f>IF($K340="","",INDEX(Zeiterfassung!$H$6:$H$3665,$K340))</f>
        <v/>
      </c>
      <c r="I340" s="335">
        <f>IF(B340=B339,"",IF($K340="","",INDEX(Zeiterfassung!$I$6:$I$3665,MATCH(INDEX(Zeiterfassung!$K$6:$K$3665,$K340),Zeiterfassung!$K$6:$K$3665,0))))</f>
        <v/>
      </c>
      <c r="J340" s="335">
        <f>IF(B340=B339,"",IF($K340="","",INDEX(Zeiterfassung!$J$6:$J$3665,MATCH(INDEX(Zeiterfassung!$K$6:$K$3665,$K340),Zeiterfassung!$K$6:$K$3665,0))))</f>
        <v/>
      </c>
      <c r="K340">
        <f>IFERROR(AGGREGATE(15,6,(ROW(Zeiterfassung!$D$6:$D$3665)-ROW(Zeiterfassung!$D$6)+1)/(Zeiterfassung!$D$6:$D$3665&lt;&gt;""),335),"")</f>
        <v/>
      </c>
    </row>
    <row r="341" ht="20" customHeight="1">
      <c r="A341" s="183">
        <f>IF($K341="","",WEEKNUM(INDEX(Zeiterfassung!$K$6:$K$3665,$K341),21))</f>
        <v/>
      </c>
      <c r="B341" s="184">
        <f>IF($K341="","",INDEX(Zeiterfassung!$K$6:$K$3665,$K341))</f>
        <v/>
      </c>
      <c r="C341" s="185">
        <f>IF($K341="","",INDEX(Zeiterfassung!$K$6:$K$3665,$K341))</f>
        <v/>
      </c>
      <c r="D341" s="186">
        <f>IF($K341="","",INDEX(Zeiterfassung!$D$6:$D$3665,$K341))</f>
        <v/>
      </c>
      <c r="E341" s="186">
        <f>IF($K341="","",INDEX(Zeiterfassung!$E$6:$E$3665,$K341))</f>
        <v/>
      </c>
      <c r="F341" s="187">
        <f>IF($K341="","",INDEX(Zeiterfassung!$F$6:$F$3665,$K341))</f>
        <v/>
      </c>
      <c r="G341" s="187">
        <f>IF($K341="","",INDEX(Zeiterfassung!$G$6:$G$3665,$K341))</f>
        <v/>
      </c>
      <c r="H341" s="188">
        <f>IF($K341="","",INDEX(Zeiterfassung!$H$6:$H$3665,$K341))</f>
        <v/>
      </c>
      <c r="I341" s="335">
        <f>IF(B341=B340,"",IF($K341="","",INDEX(Zeiterfassung!$I$6:$I$3665,MATCH(INDEX(Zeiterfassung!$K$6:$K$3665,$K341),Zeiterfassung!$K$6:$K$3665,0))))</f>
        <v/>
      </c>
      <c r="J341" s="335">
        <f>IF(B341=B340,"",IF($K341="","",INDEX(Zeiterfassung!$J$6:$J$3665,MATCH(INDEX(Zeiterfassung!$K$6:$K$3665,$K341),Zeiterfassung!$K$6:$K$3665,0))))</f>
        <v/>
      </c>
      <c r="K341">
        <f>IFERROR(AGGREGATE(15,6,(ROW(Zeiterfassung!$D$6:$D$3665)-ROW(Zeiterfassung!$D$6)+1)/(Zeiterfassung!$D$6:$D$3665&lt;&gt;""),336),"")</f>
        <v/>
      </c>
    </row>
    <row r="342" ht="20" customHeight="1">
      <c r="A342" s="183">
        <f>IF($K342="","",WEEKNUM(INDEX(Zeiterfassung!$K$6:$K$3665,$K342),21))</f>
        <v/>
      </c>
      <c r="B342" s="184">
        <f>IF($K342="","",INDEX(Zeiterfassung!$K$6:$K$3665,$K342))</f>
        <v/>
      </c>
      <c r="C342" s="185">
        <f>IF($K342="","",INDEX(Zeiterfassung!$K$6:$K$3665,$K342))</f>
        <v/>
      </c>
      <c r="D342" s="186">
        <f>IF($K342="","",INDEX(Zeiterfassung!$D$6:$D$3665,$K342))</f>
        <v/>
      </c>
      <c r="E342" s="186">
        <f>IF($K342="","",INDEX(Zeiterfassung!$E$6:$E$3665,$K342))</f>
        <v/>
      </c>
      <c r="F342" s="187">
        <f>IF($K342="","",INDEX(Zeiterfassung!$F$6:$F$3665,$K342))</f>
        <v/>
      </c>
      <c r="G342" s="187">
        <f>IF($K342="","",INDEX(Zeiterfassung!$G$6:$G$3665,$K342))</f>
        <v/>
      </c>
      <c r="H342" s="188">
        <f>IF($K342="","",INDEX(Zeiterfassung!$H$6:$H$3665,$K342))</f>
        <v/>
      </c>
      <c r="I342" s="335">
        <f>IF(B342=B341,"",IF($K342="","",INDEX(Zeiterfassung!$I$6:$I$3665,MATCH(INDEX(Zeiterfassung!$K$6:$K$3665,$K342),Zeiterfassung!$K$6:$K$3665,0))))</f>
        <v/>
      </c>
      <c r="J342" s="335">
        <f>IF(B342=B341,"",IF($K342="","",INDEX(Zeiterfassung!$J$6:$J$3665,MATCH(INDEX(Zeiterfassung!$K$6:$K$3665,$K342),Zeiterfassung!$K$6:$K$3665,0))))</f>
        <v/>
      </c>
      <c r="K342">
        <f>IFERROR(AGGREGATE(15,6,(ROW(Zeiterfassung!$D$6:$D$3665)-ROW(Zeiterfassung!$D$6)+1)/(Zeiterfassung!$D$6:$D$3665&lt;&gt;""),337),"")</f>
        <v/>
      </c>
    </row>
    <row r="343" ht="20" customHeight="1">
      <c r="A343" s="183">
        <f>IF($K343="","",WEEKNUM(INDEX(Zeiterfassung!$K$6:$K$3665,$K343),21))</f>
        <v/>
      </c>
      <c r="B343" s="184">
        <f>IF($K343="","",INDEX(Zeiterfassung!$K$6:$K$3665,$K343))</f>
        <v/>
      </c>
      <c r="C343" s="185">
        <f>IF($K343="","",INDEX(Zeiterfassung!$K$6:$K$3665,$K343))</f>
        <v/>
      </c>
      <c r="D343" s="186">
        <f>IF($K343="","",INDEX(Zeiterfassung!$D$6:$D$3665,$K343))</f>
        <v/>
      </c>
      <c r="E343" s="186">
        <f>IF($K343="","",INDEX(Zeiterfassung!$E$6:$E$3665,$K343))</f>
        <v/>
      </c>
      <c r="F343" s="187">
        <f>IF($K343="","",INDEX(Zeiterfassung!$F$6:$F$3665,$K343))</f>
        <v/>
      </c>
      <c r="G343" s="187">
        <f>IF($K343="","",INDEX(Zeiterfassung!$G$6:$G$3665,$K343))</f>
        <v/>
      </c>
      <c r="H343" s="188">
        <f>IF($K343="","",INDEX(Zeiterfassung!$H$6:$H$3665,$K343))</f>
        <v/>
      </c>
      <c r="I343" s="335">
        <f>IF(B343=B342,"",IF($K343="","",INDEX(Zeiterfassung!$I$6:$I$3665,MATCH(INDEX(Zeiterfassung!$K$6:$K$3665,$K343),Zeiterfassung!$K$6:$K$3665,0))))</f>
        <v/>
      </c>
      <c r="J343" s="335">
        <f>IF(B343=B342,"",IF($K343="","",INDEX(Zeiterfassung!$J$6:$J$3665,MATCH(INDEX(Zeiterfassung!$K$6:$K$3665,$K343),Zeiterfassung!$K$6:$K$3665,0))))</f>
        <v/>
      </c>
      <c r="K343">
        <f>IFERROR(AGGREGATE(15,6,(ROW(Zeiterfassung!$D$6:$D$3665)-ROW(Zeiterfassung!$D$6)+1)/(Zeiterfassung!$D$6:$D$3665&lt;&gt;""),338),"")</f>
        <v/>
      </c>
    </row>
    <row r="344" ht="20" customHeight="1">
      <c r="A344" s="183">
        <f>IF($K344="","",WEEKNUM(INDEX(Zeiterfassung!$K$6:$K$3665,$K344),21))</f>
        <v/>
      </c>
      <c r="B344" s="184">
        <f>IF($K344="","",INDEX(Zeiterfassung!$K$6:$K$3665,$K344))</f>
        <v/>
      </c>
      <c r="C344" s="185">
        <f>IF($K344="","",INDEX(Zeiterfassung!$K$6:$K$3665,$K344))</f>
        <v/>
      </c>
      <c r="D344" s="186">
        <f>IF($K344="","",INDEX(Zeiterfassung!$D$6:$D$3665,$K344))</f>
        <v/>
      </c>
      <c r="E344" s="186">
        <f>IF($K344="","",INDEX(Zeiterfassung!$E$6:$E$3665,$K344))</f>
        <v/>
      </c>
      <c r="F344" s="187">
        <f>IF($K344="","",INDEX(Zeiterfassung!$F$6:$F$3665,$K344))</f>
        <v/>
      </c>
      <c r="G344" s="187">
        <f>IF($K344="","",INDEX(Zeiterfassung!$G$6:$G$3665,$K344))</f>
        <v/>
      </c>
      <c r="H344" s="188">
        <f>IF($K344="","",INDEX(Zeiterfassung!$H$6:$H$3665,$K344))</f>
        <v/>
      </c>
      <c r="I344" s="335">
        <f>IF(B344=B343,"",IF($K344="","",INDEX(Zeiterfassung!$I$6:$I$3665,MATCH(INDEX(Zeiterfassung!$K$6:$K$3665,$K344),Zeiterfassung!$K$6:$K$3665,0))))</f>
        <v/>
      </c>
      <c r="J344" s="335">
        <f>IF(B344=B343,"",IF($K344="","",INDEX(Zeiterfassung!$J$6:$J$3665,MATCH(INDEX(Zeiterfassung!$K$6:$K$3665,$K344),Zeiterfassung!$K$6:$K$3665,0))))</f>
        <v/>
      </c>
      <c r="K344">
        <f>IFERROR(AGGREGATE(15,6,(ROW(Zeiterfassung!$D$6:$D$3665)-ROW(Zeiterfassung!$D$6)+1)/(Zeiterfassung!$D$6:$D$3665&lt;&gt;""),339),"")</f>
        <v/>
      </c>
    </row>
    <row r="345" ht="20" customHeight="1">
      <c r="A345" s="183">
        <f>IF($K345="","",WEEKNUM(INDEX(Zeiterfassung!$K$6:$K$3665,$K345),21))</f>
        <v/>
      </c>
      <c r="B345" s="184">
        <f>IF($K345="","",INDEX(Zeiterfassung!$K$6:$K$3665,$K345))</f>
        <v/>
      </c>
      <c r="C345" s="185">
        <f>IF($K345="","",INDEX(Zeiterfassung!$K$6:$K$3665,$K345))</f>
        <v/>
      </c>
      <c r="D345" s="186">
        <f>IF($K345="","",INDEX(Zeiterfassung!$D$6:$D$3665,$K345))</f>
        <v/>
      </c>
      <c r="E345" s="186">
        <f>IF($K345="","",INDEX(Zeiterfassung!$E$6:$E$3665,$K345))</f>
        <v/>
      </c>
      <c r="F345" s="187">
        <f>IF($K345="","",INDEX(Zeiterfassung!$F$6:$F$3665,$K345))</f>
        <v/>
      </c>
      <c r="G345" s="187">
        <f>IF($K345="","",INDEX(Zeiterfassung!$G$6:$G$3665,$K345))</f>
        <v/>
      </c>
      <c r="H345" s="188">
        <f>IF($K345="","",INDEX(Zeiterfassung!$H$6:$H$3665,$K345))</f>
        <v/>
      </c>
      <c r="I345" s="335">
        <f>IF(B345=B344,"",IF($K345="","",INDEX(Zeiterfassung!$I$6:$I$3665,MATCH(INDEX(Zeiterfassung!$K$6:$K$3665,$K345),Zeiterfassung!$K$6:$K$3665,0))))</f>
        <v/>
      </c>
      <c r="J345" s="335">
        <f>IF(B345=B344,"",IF($K345="","",INDEX(Zeiterfassung!$J$6:$J$3665,MATCH(INDEX(Zeiterfassung!$K$6:$K$3665,$K345),Zeiterfassung!$K$6:$K$3665,0))))</f>
        <v/>
      </c>
      <c r="K345">
        <f>IFERROR(AGGREGATE(15,6,(ROW(Zeiterfassung!$D$6:$D$3665)-ROW(Zeiterfassung!$D$6)+1)/(Zeiterfassung!$D$6:$D$3665&lt;&gt;""),340),"")</f>
        <v/>
      </c>
    </row>
    <row r="346" ht="20" customHeight="1">
      <c r="A346" s="183">
        <f>IF($K346="","",WEEKNUM(INDEX(Zeiterfassung!$K$6:$K$3665,$K346),21))</f>
        <v/>
      </c>
      <c r="B346" s="184">
        <f>IF($K346="","",INDEX(Zeiterfassung!$K$6:$K$3665,$K346))</f>
        <v/>
      </c>
      <c r="C346" s="185">
        <f>IF($K346="","",INDEX(Zeiterfassung!$K$6:$K$3665,$K346))</f>
        <v/>
      </c>
      <c r="D346" s="186">
        <f>IF($K346="","",INDEX(Zeiterfassung!$D$6:$D$3665,$K346))</f>
        <v/>
      </c>
      <c r="E346" s="186">
        <f>IF($K346="","",INDEX(Zeiterfassung!$E$6:$E$3665,$K346))</f>
        <v/>
      </c>
      <c r="F346" s="187">
        <f>IF($K346="","",INDEX(Zeiterfassung!$F$6:$F$3665,$K346))</f>
        <v/>
      </c>
      <c r="G346" s="187">
        <f>IF($K346="","",INDEX(Zeiterfassung!$G$6:$G$3665,$K346))</f>
        <v/>
      </c>
      <c r="H346" s="188">
        <f>IF($K346="","",INDEX(Zeiterfassung!$H$6:$H$3665,$K346))</f>
        <v/>
      </c>
      <c r="I346" s="335">
        <f>IF(B346=B345,"",IF($K346="","",INDEX(Zeiterfassung!$I$6:$I$3665,MATCH(INDEX(Zeiterfassung!$K$6:$K$3665,$K346),Zeiterfassung!$K$6:$K$3665,0))))</f>
        <v/>
      </c>
      <c r="J346" s="335">
        <f>IF(B346=B345,"",IF($K346="","",INDEX(Zeiterfassung!$J$6:$J$3665,MATCH(INDEX(Zeiterfassung!$K$6:$K$3665,$K346),Zeiterfassung!$K$6:$K$3665,0))))</f>
        <v/>
      </c>
      <c r="K346">
        <f>IFERROR(AGGREGATE(15,6,(ROW(Zeiterfassung!$D$6:$D$3665)-ROW(Zeiterfassung!$D$6)+1)/(Zeiterfassung!$D$6:$D$3665&lt;&gt;""),341),"")</f>
        <v/>
      </c>
    </row>
    <row r="347" ht="20" customHeight="1">
      <c r="A347" s="183">
        <f>IF($K347="","",WEEKNUM(INDEX(Zeiterfassung!$K$6:$K$3665,$K347),21))</f>
        <v/>
      </c>
      <c r="B347" s="184">
        <f>IF($K347="","",INDEX(Zeiterfassung!$K$6:$K$3665,$K347))</f>
        <v/>
      </c>
      <c r="C347" s="185">
        <f>IF($K347="","",INDEX(Zeiterfassung!$K$6:$K$3665,$K347))</f>
        <v/>
      </c>
      <c r="D347" s="186">
        <f>IF($K347="","",INDEX(Zeiterfassung!$D$6:$D$3665,$K347))</f>
        <v/>
      </c>
      <c r="E347" s="186">
        <f>IF($K347="","",INDEX(Zeiterfassung!$E$6:$E$3665,$K347))</f>
        <v/>
      </c>
      <c r="F347" s="187">
        <f>IF($K347="","",INDEX(Zeiterfassung!$F$6:$F$3665,$K347))</f>
        <v/>
      </c>
      <c r="G347" s="187">
        <f>IF($K347="","",INDEX(Zeiterfassung!$G$6:$G$3665,$K347))</f>
        <v/>
      </c>
      <c r="H347" s="188">
        <f>IF($K347="","",INDEX(Zeiterfassung!$H$6:$H$3665,$K347))</f>
        <v/>
      </c>
      <c r="I347" s="335">
        <f>IF(B347=B346,"",IF($K347="","",INDEX(Zeiterfassung!$I$6:$I$3665,MATCH(INDEX(Zeiterfassung!$K$6:$K$3665,$K347),Zeiterfassung!$K$6:$K$3665,0))))</f>
        <v/>
      </c>
      <c r="J347" s="335">
        <f>IF(B347=B346,"",IF($K347="","",INDEX(Zeiterfassung!$J$6:$J$3665,MATCH(INDEX(Zeiterfassung!$K$6:$K$3665,$K347),Zeiterfassung!$K$6:$K$3665,0))))</f>
        <v/>
      </c>
      <c r="K347">
        <f>IFERROR(AGGREGATE(15,6,(ROW(Zeiterfassung!$D$6:$D$3665)-ROW(Zeiterfassung!$D$6)+1)/(Zeiterfassung!$D$6:$D$3665&lt;&gt;""),342),"")</f>
        <v/>
      </c>
    </row>
    <row r="348" ht="20" customHeight="1">
      <c r="A348" s="183">
        <f>IF($K348="","",WEEKNUM(INDEX(Zeiterfassung!$K$6:$K$3665,$K348),21))</f>
        <v/>
      </c>
      <c r="B348" s="184">
        <f>IF($K348="","",INDEX(Zeiterfassung!$K$6:$K$3665,$K348))</f>
        <v/>
      </c>
      <c r="C348" s="185">
        <f>IF($K348="","",INDEX(Zeiterfassung!$K$6:$K$3665,$K348))</f>
        <v/>
      </c>
      <c r="D348" s="186">
        <f>IF($K348="","",INDEX(Zeiterfassung!$D$6:$D$3665,$K348))</f>
        <v/>
      </c>
      <c r="E348" s="186">
        <f>IF($K348="","",INDEX(Zeiterfassung!$E$6:$E$3665,$K348))</f>
        <v/>
      </c>
      <c r="F348" s="187">
        <f>IF($K348="","",INDEX(Zeiterfassung!$F$6:$F$3665,$K348))</f>
        <v/>
      </c>
      <c r="G348" s="187">
        <f>IF($K348="","",INDEX(Zeiterfassung!$G$6:$G$3665,$K348))</f>
        <v/>
      </c>
      <c r="H348" s="188">
        <f>IF($K348="","",INDEX(Zeiterfassung!$H$6:$H$3665,$K348))</f>
        <v/>
      </c>
      <c r="I348" s="335">
        <f>IF(B348=B347,"",IF($K348="","",INDEX(Zeiterfassung!$I$6:$I$3665,MATCH(INDEX(Zeiterfassung!$K$6:$K$3665,$K348),Zeiterfassung!$K$6:$K$3665,0))))</f>
        <v/>
      </c>
      <c r="J348" s="335">
        <f>IF(B348=B347,"",IF($K348="","",INDEX(Zeiterfassung!$J$6:$J$3665,MATCH(INDEX(Zeiterfassung!$K$6:$K$3665,$K348),Zeiterfassung!$K$6:$K$3665,0))))</f>
        <v/>
      </c>
      <c r="K348">
        <f>IFERROR(AGGREGATE(15,6,(ROW(Zeiterfassung!$D$6:$D$3665)-ROW(Zeiterfassung!$D$6)+1)/(Zeiterfassung!$D$6:$D$3665&lt;&gt;""),343),"")</f>
        <v/>
      </c>
    </row>
    <row r="349" ht="20" customHeight="1">
      <c r="A349" s="183">
        <f>IF($K349="","",WEEKNUM(INDEX(Zeiterfassung!$K$6:$K$3665,$K349),21))</f>
        <v/>
      </c>
      <c r="B349" s="184">
        <f>IF($K349="","",INDEX(Zeiterfassung!$K$6:$K$3665,$K349))</f>
        <v/>
      </c>
      <c r="C349" s="185">
        <f>IF($K349="","",INDEX(Zeiterfassung!$K$6:$K$3665,$K349))</f>
        <v/>
      </c>
      <c r="D349" s="186">
        <f>IF($K349="","",INDEX(Zeiterfassung!$D$6:$D$3665,$K349))</f>
        <v/>
      </c>
      <c r="E349" s="186">
        <f>IF($K349="","",INDEX(Zeiterfassung!$E$6:$E$3665,$K349))</f>
        <v/>
      </c>
      <c r="F349" s="187">
        <f>IF($K349="","",INDEX(Zeiterfassung!$F$6:$F$3665,$K349))</f>
        <v/>
      </c>
      <c r="G349" s="187">
        <f>IF($K349="","",INDEX(Zeiterfassung!$G$6:$G$3665,$K349))</f>
        <v/>
      </c>
      <c r="H349" s="188">
        <f>IF($K349="","",INDEX(Zeiterfassung!$H$6:$H$3665,$K349))</f>
        <v/>
      </c>
      <c r="I349" s="335">
        <f>IF(B349=B348,"",IF($K349="","",INDEX(Zeiterfassung!$I$6:$I$3665,MATCH(INDEX(Zeiterfassung!$K$6:$K$3665,$K349),Zeiterfassung!$K$6:$K$3665,0))))</f>
        <v/>
      </c>
      <c r="J349" s="335">
        <f>IF(B349=B348,"",IF($K349="","",INDEX(Zeiterfassung!$J$6:$J$3665,MATCH(INDEX(Zeiterfassung!$K$6:$K$3665,$K349),Zeiterfassung!$K$6:$K$3665,0))))</f>
        <v/>
      </c>
      <c r="K349">
        <f>IFERROR(AGGREGATE(15,6,(ROW(Zeiterfassung!$D$6:$D$3665)-ROW(Zeiterfassung!$D$6)+1)/(Zeiterfassung!$D$6:$D$3665&lt;&gt;""),344),"")</f>
        <v/>
      </c>
    </row>
    <row r="350" ht="20" customHeight="1">
      <c r="A350" s="183">
        <f>IF($K350="","",WEEKNUM(INDEX(Zeiterfassung!$K$6:$K$3665,$K350),21))</f>
        <v/>
      </c>
      <c r="B350" s="184">
        <f>IF($K350="","",INDEX(Zeiterfassung!$K$6:$K$3665,$K350))</f>
        <v/>
      </c>
      <c r="C350" s="185">
        <f>IF($K350="","",INDEX(Zeiterfassung!$K$6:$K$3665,$K350))</f>
        <v/>
      </c>
      <c r="D350" s="186">
        <f>IF($K350="","",INDEX(Zeiterfassung!$D$6:$D$3665,$K350))</f>
        <v/>
      </c>
      <c r="E350" s="186">
        <f>IF($K350="","",INDEX(Zeiterfassung!$E$6:$E$3665,$K350))</f>
        <v/>
      </c>
      <c r="F350" s="187">
        <f>IF($K350="","",INDEX(Zeiterfassung!$F$6:$F$3665,$K350))</f>
        <v/>
      </c>
      <c r="G350" s="187">
        <f>IF($K350="","",INDEX(Zeiterfassung!$G$6:$G$3665,$K350))</f>
        <v/>
      </c>
      <c r="H350" s="188">
        <f>IF($K350="","",INDEX(Zeiterfassung!$H$6:$H$3665,$K350))</f>
        <v/>
      </c>
      <c r="I350" s="335">
        <f>IF(B350=B349,"",IF($K350="","",INDEX(Zeiterfassung!$I$6:$I$3665,MATCH(INDEX(Zeiterfassung!$K$6:$K$3665,$K350),Zeiterfassung!$K$6:$K$3665,0))))</f>
        <v/>
      </c>
      <c r="J350" s="335">
        <f>IF(B350=B349,"",IF($K350="","",INDEX(Zeiterfassung!$J$6:$J$3665,MATCH(INDEX(Zeiterfassung!$K$6:$K$3665,$K350),Zeiterfassung!$K$6:$K$3665,0))))</f>
        <v/>
      </c>
      <c r="K350">
        <f>IFERROR(AGGREGATE(15,6,(ROW(Zeiterfassung!$D$6:$D$3665)-ROW(Zeiterfassung!$D$6)+1)/(Zeiterfassung!$D$6:$D$3665&lt;&gt;""),345),"")</f>
        <v/>
      </c>
    </row>
    <row r="351" ht="20" customHeight="1">
      <c r="A351" s="183">
        <f>IF($K351="","",WEEKNUM(INDEX(Zeiterfassung!$K$6:$K$3665,$K351),21))</f>
        <v/>
      </c>
      <c r="B351" s="184">
        <f>IF($K351="","",INDEX(Zeiterfassung!$K$6:$K$3665,$K351))</f>
        <v/>
      </c>
      <c r="C351" s="185">
        <f>IF($K351="","",INDEX(Zeiterfassung!$K$6:$K$3665,$K351))</f>
        <v/>
      </c>
      <c r="D351" s="186">
        <f>IF($K351="","",INDEX(Zeiterfassung!$D$6:$D$3665,$K351))</f>
        <v/>
      </c>
      <c r="E351" s="186">
        <f>IF($K351="","",INDEX(Zeiterfassung!$E$6:$E$3665,$K351))</f>
        <v/>
      </c>
      <c r="F351" s="187">
        <f>IF($K351="","",INDEX(Zeiterfassung!$F$6:$F$3665,$K351))</f>
        <v/>
      </c>
      <c r="G351" s="187">
        <f>IF($K351="","",INDEX(Zeiterfassung!$G$6:$G$3665,$K351))</f>
        <v/>
      </c>
      <c r="H351" s="188">
        <f>IF($K351="","",INDEX(Zeiterfassung!$H$6:$H$3665,$K351))</f>
        <v/>
      </c>
      <c r="I351" s="335">
        <f>IF(B351=B350,"",IF($K351="","",INDEX(Zeiterfassung!$I$6:$I$3665,MATCH(INDEX(Zeiterfassung!$K$6:$K$3665,$K351),Zeiterfassung!$K$6:$K$3665,0))))</f>
        <v/>
      </c>
      <c r="J351" s="335">
        <f>IF(B351=B350,"",IF($K351="","",INDEX(Zeiterfassung!$J$6:$J$3665,MATCH(INDEX(Zeiterfassung!$K$6:$K$3665,$K351),Zeiterfassung!$K$6:$K$3665,0))))</f>
        <v/>
      </c>
      <c r="K351">
        <f>IFERROR(AGGREGATE(15,6,(ROW(Zeiterfassung!$D$6:$D$3665)-ROW(Zeiterfassung!$D$6)+1)/(Zeiterfassung!$D$6:$D$3665&lt;&gt;""),346),"")</f>
        <v/>
      </c>
    </row>
    <row r="352" ht="20" customHeight="1">
      <c r="A352" s="183">
        <f>IF($K352="","",WEEKNUM(INDEX(Zeiterfassung!$K$6:$K$3665,$K352),21))</f>
        <v/>
      </c>
      <c r="B352" s="184">
        <f>IF($K352="","",INDEX(Zeiterfassung!$K$6:$K$3665,$K352))</f>
        <v/>
      </c>
      <c r="C352" s="185">
        <f>IF($K352="","",INDEX(Zeiterfassung!$K$6:$K$3665,$K352))</f>
        <v/>
      </c>
      <c r="D352" s="186">
        <f>IF($K352="","",INDEX(Zeiterfassung!$D$6:$D$3665,$K352))</f>
        <v/>
      </c>
      <c r="E352" s="186">
        <f>IF($K352="","",INDEX(Zeiterfassung!$E$6:$E$3665,$K352))</f>
        <v/>
      </c>
      <c r="F352" s="187">
        <f>IF($K352="","",INDEX(Zeiterfassung!$F$6:$F$3665,$K352))</f>
        <v/>
      </c>
      <c r="G352" s="187">
        <f>IF($K352="","",INDEX(Zeiterfassung!$G$6:$G$3665,$K352))</f>
        <v/>
      </c>
      <c r="H352" s="188">
        <f>IF($K352="","",INDEX(Zeiterfassung!$H$6:$H$3665,$K352))</f>
        <v/>
      </c>
      <c r="I352" s="335">
        <f>IF(B352=B351,"",IF($K352="","",INDEX(Zeiterfassung!$I$6:$I$3665,MATCH(INDEX(Zeiterfassung!$K$6:$K$3665,$K352),Zeiterfassung!$K$6:$K$3665,0))))</f>
        <v/>
      </c>
      <c r="J352" s="335">
        <f>IF(B352=B351,"",IF($K352="","",INDEX(Zeiterfassung!$J$6:$J$3665,MATCH(INDEX(Zeiterfassung!$K$6:$K$3665,$K352),Zeiterfassung!$K$6:$K$3665,0))))</f>
        <v/>
      </c>
      <c r="K352">
        <f>IFERROR(AGGREGATE(15,6,(ROW(Zeiterfassung!$D$6:$D$3665)-ROW(Zeiterfassung!$D$6)+1)/(Zeiterfassung!$D$6:$D$3665&lt;&gt;""),347),"")</f>
        <v/>
      </c>
    </row>
    <row r="353" ht="20" customHeight="1">
      <c r="A353" s="183">
        <f>IF($K353="","",WEEKNUM(INDEX(Zeiterfassung!$K$6:$K$3665,$K353),21))</f>
        <v/>
      </c>
      <c r="B353" s="184">
        <f>IF($K353="","",INDEX(Zeiterfassung!$K$6:$K$3665,$K353))</f>
        <v/>
      </c>
      <c r="C353" s="185">
        <f>IF($K353="","",INDEX(Zeiterfassung!$K$6:$K$3665,$K353))</f>
        <v/>
      </c>
      <c r="D353" s="186">
        <f>IF($K353="","",INDEX(Zeiterfassung!$D$6:$D$3665,$K353))</f>
        <v/>
      </c>
      <c r="E353" s="186">
        <f>IF($K353="","",INDEX(Zeiterfassung!$E$6:$E$3665,$K353))</f>
        <v/>
      </c>
      <c r="F353" s="187">
        <f>IF($K353="","",INDEX(Zeiterfassung!$F$6:$F$3665,$K353))</f>
        <v/>
      </c>
      <c r="G353" s="187">
        <f>IF($K353="","",INDEX(Zeiterfassung!$G$6:$G$3665,$K353))</f>
        <v/>
      </c>
      <c r="H353" s="188">
        <f>IF($K353="","",INDEX(Zeiterfassung!$H$6:$H$3665,$K353))</f>
        <v/>
      </c>
      <c r="I353" s="335">
        <f>IF(B353=B352,"",IF($K353="","",INDEX(Zeiterfassung!$I$6:$I$3665,MATCH(INDEX(Zeiterfassung!$K$6:$K$3665,$K353),Zeiterfassung!$K$6:$K$3665,0))))</f>
        <v/>
      </c>
      <c r="J353" s="335">
        <f>IF(B353=B352,"",IF($K353="","",INDEX(Zeiterfassung!$J$6:$J$3665,MATCH(INDEX(Zeiterfassung!$K$6:$K$3665,$K353),Zeiterfassung!$K$6:$K$3665,0))))</f>
        <v/>
      </c>
      <c r="K353">
        <f>IFERROR(AGGREGATE(15,6,(ROW(Zeiterfassung!$D$6:$D$3665)-ROW(Zeiterfassung!$D$6)+1)/(Zeiterfassung!$D$6:$D$3665&lt;&gt;""),348),"")</f>
        <v/>
      </c>
    </row>
    <row r="354" ht="20" customHeight="1">
      <c r="A354" s="183">
        <f>IF($K354="","",WEEKNUM(INDEX(Zeiterfassung!$K$6:$K$3665,$K354),21))</f>
        <v/>
      </c>
      <c r="B354" s="184">
        <f>IF($K354="","",INDEX(Zeiterfassung!$K$6:$K$3665,$K354))</f>
        <v/>
      </c>
      <c r="C354" s="185">
        <f>IF($K354="","",INDEX(Zeiterfassung!$K$6:$K$3665,$K354))</f>
        <v/>
      </c>
      <c r="D354" s="186">
        <f>IF($K354="","",INDEX(Zeiterfassung!$D$6:$D$3665,$K354))</f>
        <v/>
      </c>
      <c r="E354" s="186">
        <f>IF($K354="","",INDEX(Zeiterfassung!$E$6:$E$3665,$K354))</f>
        <v/>
      </c>
      <c r="F354" s="187">
        <f>IF($K354="","",INDEX(Zeiterfassung!$F$6:$F$3665,$K354))</f>
        <v/>
      </c>
      <c r="G354" s="187">
        <f>IF($K354="","",INDEX(Zeiterfassung!$G$6:$G$3665,$K354))</f>
        <v/>
      </c>
      <c r="H354" s="188">
        <f>IF($K354="","",INDEX(Zeiterfassung!$H$6:$H$3665,$K354))</f>
        <v/>
      </c>
      <c r="I354" s="335">
        <f>IF(B354=B353,"",IF($K354="","",INDEX(Zeiterfassung!$I$6:$I$3665,MATCH(INDEX(Zeiterfassung!$K$6:$K$3665,$K354),Zeiterfassung!$K$6:$K$3665,0))))</f>
        <v/>
      </c>
      <c r="J354" s="335">
        <f>IF(B354=B353,"",IF($K354="","",INDEX(Zeiterfassung!$J$6:$J$3665,MATCH(INDEX(Zeiterfassung!$K$6:$K$3665,$K354),Zeiterfassung!$K$6:$K$3665,0))))</f>
        <v/>
      </c>
      <c r="K354">
        <f>IFERROR(AGGREGATE(15,6,(ROW(Zeiterfassung!$D$6:$D$3665)-ROW(Zeiterfassung!$D$6)+1)/(Zeiterfassung!$D$6:$D$3665&lt;&gt;""),349),"")</f>
        <v/>
      </c>
    </row>
    <row r="355" ht="20" customHeight="1">
      <c r="A355" s="183">
        <f>IF($K355="","",WEEKNUM(INDEX(Zeiterfassung!$K$6:$K$3665,$K355),21))</f>
        <v/>
      </c>
      <c r="B355" s="184">
        <f>IF($K355="","",INDEX(Zeiterfassung!$K$6:$K$3665,$K355))</f>
        <v/>
      </c>
      <c r="C355" s="185">
        <f>IF($K355="","",INDEX(Zeiterfassung!$K$6:$K$3665,$K355))</f>
        <v/>
      </c>
      <c r="D355" s="186">
        <f>IF($K355="","",INDEX(Zeiterfassung!$D$6:$D$3665,$K355))</f>
        <v/>
      </c>
      <c r="E355" s="186">
        <f>IF($K355="","",INDEX(Zeiterfassung!$E$6:$E$3665,$K355))</f>
        <v/>
      </c>
      <c r="F355" s="187">
        <f>IF($K355="","",INDEX(Zeiterfassung!$F$6:$F$3665,$K355))</f>
        <v/>
      </c>
      <c r="G355" s="187">
        <f>IF($K355="","",INDEX(Zeiterfassung!$G$6:$G$3665,$K355))</f>
        <v/>
      </c>
      <c r="H355" s="188">
        <f>IF($K355="","",INDEX(Zeiterfassung!$H$6:$H$3665,$K355))</f>
        <v/>
      </c>
      <c r="I355" s="335">
        <f>IF(B355=B354,"",IF($K355="","",INDEX(Zeiterfassung!$I$6:$I$3665,MATCH(INDEX(Zeiterfassung!$K$6:$K$3665,$K355),Zeiterfassung!$K$6:$K$3665,0))))</f>
        <v/>
      </c>
      <c r="J355" s="335">
        <f>IF(B355=B354,"",IF($K355="","",INDEX(Zeiterfassung!$J$6:$J$3665,MATCH(INDEX(Zeiterfassung!$K$6:$K$3665,$K355),Zeiterfassung!$K$6:$K$3665,0))))</f>
        <v/>
      </c>
      <c r="K355">
        <f>IFERROR(AGGREGATE(15,6,(ROW(Zeiterfassung!$D$6:$D$3665)-ROW(Zeiterfassung!$D$6)+1)/(Zeiterfassung!$D$6:$D$3665&lt;&gt;""),350),"")</f>
        <v/>
      </c>
    </row>
    <row r="356" ht="20" customHeight="1">
      <c r="A356" s="183">
        <f>IF($K356="","",WEEKNUM(INDEX(Zeiterfassung!$K$6:$K$3665,$K356),21))</f>
        <v/>
      </c>
      <c r="B356" s="184">
        <f>IF($K356="","",INDEX(Zeiterfassung!$K$6:$K$3665,$K356))</f>
        <v/>
      </c>
      <c r="C356" s="185">
        <f>IF($K356="","",INDEX(Zeiterfassung!$K$6:$K$3665,$K356))</f>
        <v/>
      </c>
      <c r="D356" s="186">
        <f>IF($K356="","",INDEX(Zeiterfassung!$D$6:$D$3665,$K356))</f>
        <v/>
      </c>
      <c r="E356" s="186">
        <f>IF($K356="","",INDEX(Zeiterfassung!$E$6:$E$3665,$K356))</f>
        <v/>
      </c>
      <c r="F356" s="187">
        <f>IF($K356="","",INDEX(Zeiterfassung!$F$6:$F$3665,$K356))</f>
        <v/>
      </c>
      <c r="G356" s="187">
        <f>IF($K356="","",INDEX(Zeiterfassung!$G$6:$G$3665,$K356))</f>
        <v/>
      </c>
      <c r="H356" s="188">
        <f>IF($K356="","",INDEX(Zeiterfassung!$H$6:$H$3665,$K356))</f>
        <v/>
      </c>
      <c r="I356" s="335">
        <f>IF(B356=B355,"",IF($K356="","",INDEX(Zeiterfassung!$I$6:$I$3665,MATCH(INDEX(Zeiterfassung!$K$6:$K$3665,$K356),Zeiterfassung!$K$6:$K$3665,0))))</f>
        <v/>
      </c>
      <c r="J356" s="335">
        <f>IF(B356=B355,"",IF($K356="","",INDEX(Zeiterfassung!$J$6:$J$3665,MATCH(INDEX(Zeiterfassung!$K$6:$K$3665,$K356),Zeiterfassung!$K$6:$K$3665,0))))</f>
        <v/>
      </c>
      <c r="K356">
        <f>IFERROR(AGGREGATE(15,6,(ROW(Zeiterfassung!$D$6:$D$3665)-ROW(Zeiterfassung!$D$6)+1)/(Zeiterfassung!$D$6:$D$3665&lt;&gt;""),351),"")</f>
        <v/>
      </c>
    </row>
    <row r="357" ht="20" customHeight="1">
      <c r="A357" s="183">
        <f>IF($K357="","",WEEKNUM(INDEX(Zeiterfassung!$K$6:$K$3665,$K357),21))</f>
        <v/>
      </c>
      <c r="B357" s="184">
        <f>IF($K357="","",INDEX(Zeiterfassung!$K$6:$K$3665,$K357))</f>
        <v/>
      </c>
      <c r="C357" s="185">
        <f>IF($K357="","",INDEX(Zeiterfassung!$K$6:$K$3665,$K357))</f>
        <v/>
      </c>
      <c r="D357" s="186">
        <f>IF($K357="","",INDEX(Zeiterfassung!$D$6:$D$3665,$K357))</f>
        <v/>
      </c>
      <c r="E357" s="186">
        <f>IF($K357="","",INDEX(Zeiterfassung!$E$6:$E$3665,$K357))</f>
        <v/>
      </c>
      <c r="F357" s="187">
        <f>IF($K357="","",INDEX(Zeiterfassung!$F$6:$F$3665,$K357))</f>
        <v/>
      </c>
      <c r="G357" s="187">
        <f>IF($K357="","",INDEX(Zeiterfassung!$G$6:$G$3665,$K357))</f>
        <v/>
      </c>
      <c r="H357" s="188">
        <f>IF($K357="","",INDEX(Zeiterfassung!$H$6:$H$3665,$K357))</f>
        <v/>
      </c>
      <c r="I357" s="335">
        <f>IF(B357=B356,"",IF($K357="","",INDEX(Zeiterfassung!$I$6:$I$3665,MATCH(INDEX(Zeiterfassung!$K$6:$K$3665,$K357),Zeiterfassung!$K$6:$K$3665,0))))</f>
        <v/>
      </c>
      <c r="J357" s="335">
        <f>IF(B357=B356,"",IF($K357="","",INDEX(Zeiterfassung!$J$6:$J$3665,MATCH(INDEX(Zeiterfassung!$K$6:$K$3665,$K357),Zeiterfassung!$K$6:$K$3665,0))))</f>
        <v/>
      </c>
      <c r="K357">
        <f>IFERROR(AGGREGATE(15,6,(ROW(Zeiterfassung!$D$6:$D$3665)-ROW(Zeiterfassung!$D$6)+1)/(Zeiterfassung!$D$6:$D$3665&lt;&gt;""),352),"")</f>
        <v/>
      </c>
    </row>
    <row r="358" ht="20" customHeight="1">
      <c r="A358" s="183">
        <f>IF($K358="","",WEEKNUM(INDEX(Zeiterfassung!$K$6:$K$3665,$K358),21))</f>
        <v/>
      </c>
      <c r="B358" s="184">
        <f>IF($K358="","",INDEX(Zeiterfassung!$K$6:$K$3665,$K358))</f>
        <v/>
      </c>
      <c r="C358" s="185">
        <f>IF($K358="","",INDEX(Zeiterfassung!$K$6:$K$3665,$K358))</f>
        <v/>
      </c>
      <c r="D358" s="186">
        <f>IF($K358="","",INDEX(Zeiterfassung!$D$6:$D$3665,$K358))</f>
        <v/>
      </c>
      <c r="E358" s="186">
        <f>IF($K358="","",INDEX(Zeiterfassung!$E$6:$E$3665,$K358))</f>
        <v/>
      </c>
      <c r="F358" s="187">
        <f>IF($K358="","",INDEX(Zeiterfassung!$F$6:$F$3665,$K358))</f>
        <v/>
      </c>
      <c r="G358" s="187">
        <f>IF($K358="","",INDEX(Zeiterfassung!$G$6:$G$3665,$K358))</f>
        <v/>
      </c>
      <c r="H358" s="188">
        <f>IF($K358="","",INDEX(Zeiterfassung!$H$6:$H$3665,$K358))</f>
        <v/>
      </c>
      <c r="I358" s="335">
        <f>IF(B358=B357,"",IF($K358="","",INDEX(Zeiterfassung!$I$6:$I$3665,MATCH(INDEX(Zeiterfassung!$K$6:$K$3665,$K358),Zeiterfassung!$K$6:$K$3665,0))))</f>
        <v/>
      </c>
      <c r="J358" s="335">
        <f>IF(B358=B357,"",IF($K358="","",INDEX(Zeiterfassung!$J$6:$J$3665,MATCH(INDEX(Zeiterfassung!$K$6:$K$3665,$K358),Zeiterfassung!$K$6:$K$3665,0))))</f>
        <v/>
      </c>
      <c r="K358">
        <f>IFERROR(AGGREGATE(15,6,(ROW(Zeiterfassung!$D$6:$D$3665)-ROW(Zeiterfassung!$D$6)+1)/(Zeiterfassung!$D$6:$D$3665&lt;&gt;""),353),"")</f>
        <v/>
      </c>
    </row>
    <row r="359" ht="20" customHeight="1">
      <c r="A359" s="183">
        <f>IF($K359="","",WEEKNUM(INDEX(Zeiterfassung!$K$6:$K$3665,$K359),21))</f>
        <v/>
      </c>
      <c r="B359" s="184">
        <f>IF($K359="","",INDEX(Zeiterfassung!$K$6:$K$3665,$K359))</f>
        <v/>
      </c>
      <c r="C359" s="185">
        <f>IF($K359="","",INDEX(Zeiterfassung!$K$6:$K$3665,$K359))</f>
        <v/>
      </c>
      <c r="D359" s="186">
        <f>IF($K359="","",INDEX(Zeiterfassung!$D$6:$D$3665,$K359))</f>
        <v/>
      </c>
      <c r="E359" s="186">
        <f>IF($K359="","",INDEX(Zeiterfassung!$E$6:$E$3665,$K359))</f>
        <v/>
      </c>
      <c r="F359" s="187">
        <f>IF($K359="","",INDEX(Zeiterfassung!$F$6:$F$3665,$K359))</f>
        <v/>
      </c>
      <c r="G359" s="187">
        <f>IF($K359="","",INDEX(Zeiterfassung!$G$6:$G$3665,$K359))</f>
        <v/>
      </c>
      <c r="H359" s="188">
        <f>IF($K359="","",INDEX(Zeiterfassung!$H$6:$H$3665,$K359))</f>
        <v/>
      </c>
      <c r="I359" s="335">
        <f>IF(B359=B358,"",IF($K359="","",INDEX(Zeiterfassung!$I$6:$I$3665,MATCH(INDEX(Zeiterfassung!$K$6:$K$3665,$K359),Zeiterfassung!$K$6:$K$3665,0))))</f>
        <v/>
      </c>
      <c r="J359" s="335">
        <f>IF(B359=B358,"",IF($K359="","",INDEX(Zeiterfassung!$J$6:$J$3665,MATCH(INDEX(Zeiterfassung!$K$6:$K$3665,$K359),Zeiterfassung!$K$6:$K$3665,0))))</f>
        <v/>
      </c>
      <c r="K359">
        <f>IFERROR(AGGREGATE(15,6,(ROW(Zeiterfassung!$D$6:$D$3665)-ROW(Zeiterfassung!$D$6)+1)/(Zeiterfassung!$D$6:$D$3665&lt;&gt;""),354),"")</f>
        <v/>
      </c>
    </row>
    <row r="360" ht="20" customHeight="1">
      <c r="A360" s="183">
        <f>IF($K360="","",WEEKNUM(INDEX(Zeiterfassung!$K$6:$K$3665,$K360),21))</f>
        <v/>
      </c>
      <c r="B360" s="184">
        <f>IF($K360="","",INDEX(Zeiterfassung!$K$6:$K$3665,$K360))</f>
        <v/>
      </c>
      <c r="C360" s="185">
        <f>IF($K360="","",INDEX(Zeiterfassung!$K$6:$K$3665,$K360))</f>
        <v/>
      </c>
      <c r="D360" s="186">
        <f>IF($K360="","",INDEX(Zeiterfassung!$D$6:$D$3665,$K360))</f>
        <v/>
      </c>
      <c r="E360" s="186">
        <f>IF($K360="","",INDEX(Zeiterfassung!$E$6:$E$3665,$K360))</f>
        <v/>
      </c>
      <c r="F360" s="187">
        <f>IF($K360="","",INDEX(Zeiterfassung!$F$6:$F$3665,$K360))</f>
        <v/>
      </c>
      <c r="G360" s="187">
        <f>IF($K360="","",INDEX(Zeiterfassung!$G$6:$G$3665,$K360))</f>
        <v/>
      </c>
      <c r="H360" s="188">
        <f>IF($K360="","",INDEX(Zeiterfassung!$H$6:$H$3665,$K360))</f>
        <v/>
      </c>
      <c r="I360" s="335">
        <f>IF(B360=B359,"",IF($K360="","",INDEX(Zeiterfassung!$I$6:$I$3665,MATCH(INDEX(Zeiterfassung!$K$6:$K$3665,$K360),Zeiterfassung!$K$6:$K$3665,0))))</f>
        <v/>
      </c>
      <c r="J360" s="335">
        <f>IF(B360=B359,"",IF($K360="","",INDEX(Zeiterfassung!$J$6:$J$3665,MATCH(INDEX(Zeiterfassung!$K$6:$K$3665,$K360),Zeiterfassung!$K$6:$K$3665,0))))</f>
        <v/>
      </c>
      <c r="K360">
        <f>IFERROR(AGGREGATE(15,6,(ROW(Zeiterfassung!$D$6:$D$3665)-ROW(Zeiterfassung!$D$6)+1)/(Zeiterfassung!$D$6:$D$3665&lt;&gt;""),355),"")</f>
        <v/>
      </c>
    </row>
    <row r="361" ht="20" customHeight="1">
      <c r="A361" s="183">
        <f>IF($K361="","",WEEKNUM(INDEX(Zeiterfassung!$K$6:$K$3665,$K361),21))</f>
        <v/>
      </c>
      <c r="B361" s="184">
        <f>IF($K361="","",INDEX(Zeiterfassung!$K$6:$K$3665,$K361))</f>
        <v/>
      </c>
      <c r="C361" s="185">
        <f>IF($K361="","",INDEX(Zeiterfassung!$K$6:$K$3665,$K361))</f>
        <v/>
      </c>
      <c r="D361" s="186">
        <f>IF($K361="","",INDEX(Zeiterfassung!$D$6:$D$3665,$K361))</f>
        <v/>
      </c>
      <c r="E361" s="186">
        <f>IF($K361="","",INDEX(Zeiterfassung!$E$6:$E$3665,$K361))</f>
        <v/>
      </c>
      <c r="F361" s="187">
        <f>IF($K361="","",INDEX(Zeiterfassung!$F$6:$F$3665,$K361))</f>
        <v/>
      </c>
      <c r="G361" s="187">
        <f>IF($K361="","",INDEX(Zeiterfassung!$G$6:$G$3665,$K361))</f>
        <v/>
      </c>
      <c r="H361" s="188">
        <f>IF($K361="","",INDEX(Zeiterfassung!$H$6:$H$3665,$K361))</f>
        <v/>
      </c>
      <c r="I361" s="335">
        <f>IF(B361=B360,"",IF($K361="","",INDEX(Zeiterfassung!$I$6:$I$3665,MATCH(INDEX(Zeiterfassung!$K$6:$K$3665,$K361),Zeiterfassung!$K$6:$K$3665,0))))</f>
        <v/>
      </c>
      <c r="J361" s="335">
        <f>IF(B361=B360,"",IF($K361="","",INDEX(Zeiterfassung!$J$6:$J$3665,MATCH(INDEX(Zeiterfassung!$K$6:$K$3665,$K361),Zeiterfassung!$K$6:$K$3665,0))))</f>
        <v/>
      </c>
      <c r="K361">
        <f>IFERROR(AGGREGATE(15,6,(ROW(Zeiterfassung!$D$6:$D$3665)-ROW(Zeiterfassung!$D$6)+1)/(Zeiterfassung!$D$6:$D$3665&lt;&gt;""),356),"")</f>
        <v/>
      </c>
    </row>
    <row r="362" ht="20" customHeight="1">
      <c r="A362" s="183">
        <f>IF($K362="","",WEEKNUM(INDEX(Zeiterfassung!$K$6:$K$3665,$K362),21))</f>
        <v/>
      </c>
      <c r="B362" s="184">
        <f>IF($K362="","",INDEX(Zeiterfassung!$K$6:$K$3665,$K362))</f>
        <v/>
      </c>
      <c r="C362" s="185">
        <f>IF($K362="","",INDEX(Zeiterfassung!$K$6:$K$3665,$K362))</f>
        <v/>
      </c>
      <c r="D362" s="186">
        <f>IF($K362="","",INDEX(Zeiterfassung!$D$6:$D$3665,$K362))</f>
        <v/>
      </c>
      <c r="E362" s="186">
        <f>IF($K362="","",INDEX(Zeiterfassung!$E$6:$E$3665,$K362))</f>
        <v/>
      </c>
      <c r="F362" s="187">
        <f>IF($K362="","",INDEX(Zeiterfassung!$F$6:$F$3665,$K362))</f>
        <v/>
      </c>
      <c r="G362" s="187">
        <f>IF($K362="","",INDEX(Zeiterfassung!$G$6:$G$3665,$K362))</f>
        <v/>
      </c>
      <c r="H362" s="188">
        <f>IF($K362="","",INDEX(Zeiterfassung!$H$6:$H$3665,$K362))</f>
        <v/>
      </c>
      <c r="I362" s="335">
        <f>IF(B362=B361,"",IF($K362="","",INDEX(Zeiterfassung!$I$6:$I$3665,MATCH(INDEX(Zeiterfassung!$K$6:$K$3665,$K362),Zeiterfassung!$K$6:$K$3665,0))))</f>
        <v/>
      </c>
      <c r="J362" s="335">
        <f>IF(B362=B361,"",IF($K362="","",INDEX(Zeiterfassung!$J$6:$J$3665,MATCH(INDEX(Zeiterfassung!$K$6:$K$3665,$K362),Zeiterfassung!$K$6:$K$3665,0))))</f>
        <v/>
      </c>
      <c r="K362">
        <f>IFERROR(AGGREGATE(15,6,(ROW(Zeiterfassung!$D$6:$D$3665)-ROW(Zeiterfassung!$D$6)+1)/(Zeiterfassung!$D$6:$D$3665&lt;&gt;""),357),"")</f>
        <v/>
      </c>
    </row>
    <row r="363" ht="20" customHeight="1">
      <c r="A363" s="183">
        <f>IF($K363="","",WEEKNUM(INDEX(Zeiterfassung!$K$6:$K$3665,$K363),21))</f>
        <v/>
      </c>
      <c r="B363" s="184">
        <f>IF($K363="","",INDEX(Zeiterfassung!$K$6:$K$3665,$K363))</f>
        <v/>
      </c>
      <c r="C363" s="185">
        <f>IF($K363="","",INDEX(Zeiterfassung!$K$6:$K$3665,$K363))</f>
        <v/>
      </c>
      <c r="D363" s="186">
        <f>IF($K363="","",INDEX(Zeiterfassung!$D$6:$D$3665,$K363))</f>
        <v/>
      </c>
      <c r="E363" s="186">
        <f>IF($K363="","",INDEX(Zeiterfassung!$E$6:$E$3665,$K363))</f>
        <v/>
      </c>
      <c r="F363" s="187">
        <f>IF($K363="","",INDEX(Zeiterfassung!$F$6:$F$3665,$K363))</f>
        <v/>
      </c>
      <c r="G363" s="187">
        <f>IF($K363="","",INDEX(Zeiterfassung!$G$6:$G$3665,$K363))</f>
        <v/>
      </c>
      <c r="H363" s="188">
        <f>IF($K363="","",INDEX(Zeiterfassung!$H$6:$H$3665,$K363))</f>
        <v/>
      </c>
      <c r="I363" s="335">
        <f>IF(B363=B362,"",IF($K363="","",INDEX(Zeiterfassung!$I$6:$I$3665,MATCH(INDEX(Zeiterfassung!$K$6:$K$3665,$K363),Zeiterfassung!$K$6:$K$3665,0))))</f>
        <v/>
      </c>
      <c r="J363" s="335">
        <f>IF(B363=B362,"",IF($K363="","",INDEX(Zeiterfassung!$J$6:$J$3665,MATCH(INDEX(Zeiterfassung!$K$6:$K$3665,$K363),Zeiterfassung!$K$6:$K$3665,0))))</f>
        <v/>
      </c>
      <c r="K363">
        <f>IFERROR(AGGREGATE(15,6,(ROW(Zeiterfassung!$D$6:$D$3665)-ROW(Zeiterfassung!$D$6)+1)/(Zeiterfassung!$D$6:$D$3665&lt;&gt;""),358),"")</f>
        <v/>
      </c>
    </row>
    <row r="364" ht="20" customHeight="1">
      <c r="A364" s="183">
        <f>IF($K364="","",WEEKNUM(INDEX(Zeiterfassung!$K$6:$K$3665,$K364),21))</f>
        <v/>
      </c>
      <c r="B364" s="184">
        <f>IF($K364="","",INDEX(Zeiterfassung!$K$6:$K$3665,$K364))</f>
        <v/>
      </c>
      <c r="C364" s="185">
        <f>IF($K364="","",INDEX(Zeiterfassung!$K$6:$K$3665,$K364))</f>
        <v/>
      </c>
      <c r="D364" s="186">
        <f>IF($K364="","",INDEX(Zeiterfassung!$D$6:$D$3665,$K364))</f>
        <v/>
      </c>
      <c r="E364" s="186">
        <f>IF($K364="","",INDEX(Zeiterfassung!$E$6:$E$3665,$K364))</f>
        <v/>
      </c>
      <c r="F364" s="187">
        <f>IF($K364="","",INDEX(Zeiterfassung!$F$6:$F$3665,$K364))</f>
        <v/>
      </c>
      <c r="G364" s="187">
        <f>IF($K364="","",INDEX(Zeiterfassung!$G$6:$G$3665,$K364))</f>
        <v/>
      </c>
      <c r="H364" s="188">
        <f>IF($K364="","",INDEX(Zeiterfassung!$H$6:$H$3665,$K364))</f>
        <v/>
      </c>
      <c r="I364" s="335">
        <f>IF(B364=B363,"",IF($K364="","",INDEX(Zeiterfassung!$I$6:$I$3665,MATCH(INDEX(Zeiterfassung!$K$6:$K$3665,$K364),Zeiterfassung!$K$6:$K$3665,0))))</f>
        <v/>
      </c>
      <c r="J364" s="335">
        <f>IF(B364=B363,"",IF($K364="","",INDEX(Zeiterfassung!$J$6:$J$3665,MATCH(INDEX(Zeiterfassung!$K$6:$K$3665,$K364),Zeiterfassung!$K$6:$K$3665,0))))</f>
        <v/>
      </c>
      <c r="K364">
        <f>IFERROR(AGGREGATE(15,6,(ROW(Zeiterfassung!$D$6:$D$3665)-ROW(Zeiterfassung!$D$6)+1)/(Zeiterfassung!$D$6:$D$3665&lt;&gt;""),359),"")</f>
        <v/>
      </c>
    </row>
    <row r="365" ht="20" customHeight="1">
      <c r="A365" s="183">
        <f>IF($K365="","",WEEKNUM(INDEX(Zeiterfassung!$K$6:$K$3665,$K365),21))</f>
        <v/>
      </c>
      <c r="B365" s="184">
        <f>IF($K365="","",INDEX(Zeiterfassung!$K$6:$K$3665,$K365))</f>
        <v/>
      </c>
      <c r="C365" s="185">
        <f>IF($K365="","",INDEX(Zeiterfassung!$K$6:$K$3665,$K365))</f>
        <v/>
      </c>
      <c r="D365" s="186">
        <f>IF($K365="","",INDEX(Zeiterfassung!$D$6:$D$3665,$K365))</f>
        <v/>
      </c>
      <c r="E365" s="186">
        <f>IF($K365="","",INDEX(Zeiterfassung!$E$6:$E$3665,$K365))</f>
        <v/>
      </c>
      <c r="F365" s="187">
        <f>IF($K365="","",INDEX(Zeiterfassung!$F$6:$F$3665,$K365))</f>
        <v/>
      </c>
      <c r="G365" s="187">
        <f>IF($K365="","",INDEX(Zeiterfassung!$G$6:$G$3665,$K365))</f>
        <v/>
      </c>
      <c r="H365" s="188">
        <f>IF($K365="","",INDEX(Zeiterfassung!$H$6:$H$3665,$K365))</f>
        <v/>
      </c>
      <c r="I365" s="335">
        <f>IF(B365=B364,"",IF($K365="","",INDEX(Zeiterfassung!$I$6:$I$3665,MATCH(INDEX(Zeiterfassung!$K$6:$K$3665,$K365),Zeiterfassung!$K$6:$K$3665,0))))</f>
        <v/>
      </c>
      <c r="J365" s="335">
        <f>IF(B365=B364,"",IF($K365="","",INDEX(Zeiterfassung!$J$6:$J$3665,MATCH(INDEX(Zeiterfassung!$K$6:$K$3665,$K365),Zeiterfassung!$K$6:$K$3665,0))))</f>
        <v/>
      </c>
      <c r="K365">
        <f>IFERROR(AGGREGATE(15,6,(ROW(Zeiterfassung!$D$6:$D$3665)-ROW(Zeiterfassung!$D$6)+1)/(Zeiterfassung!$D$6:$D$3665&lt;&gt;""),360),"")</f>
        <v/>
      </c>
    </row>
    <row r="366" ht="20" customHeight="1">
      <c r="A366" s="183">
        <f>IF($K366="","",WEEKNUM(INDEX(Zeiterfassung!$K$6:$K$3665,$K366),21))</f>
        <v/>
      </c>
      <c r="B366" s="184">
        <f>IF($K366="","",INDEX(Zeiterfassung!$K$6:$K$3665,$K366))</f>
        <v/>
      </c>
      <c r="C366" s="185">
        <f>IF($K366="","",INDEX(Zeiterfassung!$K$6:$K$3665,$K366))</f>
        <v/>
      </c>
      <c r="D366" s="186">
        <f>IF($K366="","",INDEX(Zeiterfassung!$D$6:$D$3665,$K366))</f>
        <v/>
      </c>
      <c r="E366" s="186">
        <f>IF($K366="","",INDEX(Zeiterfassung!$E$6:$E$3665,$K366))</f>
        <v/>
      </c>
      <c r="F366" s="187">
        <f>IF($K366="","",INDEX(Zeiterfassung!$F$6:$F$3665,$K366))</f>
        <v/>
      </c>
      <c r="G366" s="187">
        <f>IF($K366="","",INDEX(Zeiterfassung!$G$6:$G$3665,$K366))</f>
        <v/>
      </c>
      <c r="H366" s="188">
        <f>IF($K366="","",INDEX(Zeiterfassung!$H$6:$H$3665,$K366))</f>
        <v/>
      </c>
      <c r="I366" s="335">
        <f>IF(B366=B365,"",IF($K366="","",INDEX(Zeiterfassung!$I$6:$I$3665,MATCH(INDEX(Zeiterfassung!$K$6:$K$3665,$K366),Zeiterfassung!$K$6:$K$3665,0))))</f>
        <v/>
      </c>
      <c r="J366" s="335">
        <f>IF(B366=B365,"",IF($K366="","",INDEX(Zeiterfassung!$J$6:$J$3665,MATCH(INDEX(Zeiterfassung!$K$6:$K$3665,$K366),Zeiterfassung!$K$6:$K$3665,0))))</f>
        <v/>
      </c>
      <c r="K366">
        <f>IFERROR(AGGREGATE(15,6,(ROW(Zeiterfassung!$D$6:$D$3665)-ROW(Zeiterfassung!$D$6)+1)/(Zeiterfassung!$D$6:$D$3665&lt;&gt;""),361),"")</f>
        <v/>
      </c>
    </row>
    <row r="367" ht="20" customHeight="1">
      <c r="A367" s="183">
        <f>IF($K367="","",WEEKNUM(INDEX(Zeiterfassung!$K$6:$K$3665,$K367),21))</f>
        <v/>
      </c>
      <c r="B367" s="184">
        <f>IF($K367="","",INDEX(Zeiterfassung!$K$6:$K$3665,$K367))</f>
        <v/>
      </c>
      <c r="C367" s="185">
        <f>IF($K367="","",INDEX(Zeiterfassung!$K$6:$K$3665,$K367))</f>
        <v/>
      </c>
      <c r="D367" s="186">
        <f>IF($K367="","",INDEX(Zeiterfassung!$D$6:$D$3665,$K367))</f>
        <v/>
      </c>
      <c r="E367" s="186">
        <f>IF($K367="","",INDEX(Zeiterfassung!$E$6:$E$3665,$K367))</f>
        <v/>
      </c>
      <c r="F367" s="187">
        <f>IF($K367="","",INDEX(Zeiterfassung!$F$6:$F$3665,$K367))</f>
        <v/>
      </c>
      <c r="G367" s="187">
        <f>IF($K367="","",INDEX(Zeiterfassung!$G$6:$G$3665,$K367))</f>
        <v/>
      </c>
      <c r="H367" s="188">
        <f>IF($K367="","",INDEX(Zeiterfassung!$H$6:$H$3665,$K367))</f>
        <v/>
      </c>
      <c r="I367" s="335">
        <f>IF(B367=B366,"",IF($K367="","",INDEX(Zeiterfassung!$I$6:$I$3665,MATCH(INDEX(Zeiterfassung!$K$6:$K$3665,$K367),Zeiterfassung!$K$6:$K$3665,0))))</f>
        <v/>
      </c>
      <c r="J367" s="335">
        <f>IF(B367=B366,"",IF($K367="","",INDEX(Zeiterfassung!$J$6:$J$3665,MATCH(INDEX(Zeiterfassung!$K$6:$K$3665,$K367),Zeiterfassung!$K$6:$K$3665,0))))</f>
        <v/>
      </c>
      <c r="K367">
        <f>IFERROR(AGGREGATE(15,6,(ROW(Zeiterfassung!$D$6:$D$3665)-ROW(Zeiterfassung!$D$6)+1)/(Zeiterfassung!$D$6:$D$3665&lt;&gt;""),362),"")</f>
        <v/>
      </c>
    </row>
    <row r="368" ht="20" customHeight="1">
      <c r="A368" s="183">
        <f>IF($K368="","",WEEKNUM(INDEX(Zeiterfassung!$K$6:$K$3665,$K368),21))</f>
        <v/>
      </c>
      <c r="B368" s="184">
        <f>IF($K368="","",INDEX(Zeiterfassung!$K$6:$K$3665,$K368))</f>
        <v/>
      </c>
      <c r="C368" s="185">
        <f>IF($K368="","",INDEX(Zeiterfassung!$K$6:$K$3665,$K368))</f>
        <v/>
      </c>
      <c r="D368" s="186">
        <f>IF($K368="","",INDEX(Zeiterfassung!$D$6:$D$3665,$K368))</f>
        <v/>
      </c>
      <c r="E368" s="186">
        <f>IF($K368="","",INDEX(Zeiterfassung!$E$6:$E$3665,$K368))</f>
        <v/>
      </c>
      <c r="F368" s="187">
        <f>IF($K368="","",INDEX(Zeiterfassung!$F$6:$F$3665,$K368))</f>
        <v/>
      </c>
      <c r="G368" s="187">
        <f>IF($K368="","",INDEX(Zeiterfassung!$G$6:$G$3665,$K368))</f>
        <v/>
      </c>
      <c r="H368" s="188">
        <f>IF($K368="","",INDEX(Zeiterfassung!$H$6:$H$3665,$K368))</f>
        <v/>
      </c>
      <c r="I368" s="335">
        <f>IF(B368=B367,"",IF($K368="","",INDEX(Zeiterfassung!$I$6:$I$3665,MATCH(INDEX(Zeiterfassung!$K$6:$K$3665,$K368),Zeiterfassung!$K$6:$K$3665,0))))</f>
        <v/>
      </c>
      <c r="J368" s="335">
        <f>IF(B368=B367,"",IF($K368="","",INDEX(Zeiterfassung!$J$6:$J$3665,MATCH(INDEX(Zeiterfassung!$K$6:$K$3665,$K368),Zeiterfassung!$K$6:$K$3665,0))))</f>
        <v/>
      </c>
      <c r="K368">
        <f>IFERROR(AGGREGATE(15,6,(ROW(Zeiterfassung!$D$6:$D$3665)-ROW(Zeiterfassung!$D$6)+1)/(Zeiterfassung!$D$6:$D$3665&lt;&gt;""),363),"")</f>
        <v/>
      </c>
    </row>
    <row r="369" ht="20" customHeight="1">
      <c r="A369" s="183">
        <f>IF($K369="","",WEEKNUM(INDEX(Zeiterfassung!$K$6:$K$3665,$K369),21))</f>
        <v/>
      </c>
      <c r="B369" s="184">
        <f>IF($K369="","",INDEX(Zeiterfassung!$K$6:$K$3665,$K369))</f>
        <v/>
      </c>
      <c r="C369" s="185">
        <f>IF($K369="","",INDEX(Zeiterfassung!$K$6:$K$3665,$K369))</f>
        <v/>
      </c>
      <c r="D369" s="186">
        <f>IF($K369="","",INDEX(Zeiterfassung!$D$6:$D$3665,$K369))</f>
        <v/>
      </c>
      <c r="E369" s="186">
        <f>IF($K369="","",INDEX(Zeiterfassung!$E$6:$E$3665,$K369))</f>
        <v/>
      </c>
      <c r="F369" s="187">
        <f>IF($K369="","",INDEX(Zeiterfassung!$F$6:$F$3665,$K369))</f>
        <v/>
      </c>
      <c r="G369" s="187">
        <f>IF($K369="","",INDEX(Zeiterfassung!$G$6:$G$3665,$K369))</f>
        <v/>
      </c>
      <c r="H369" s="188">
        <f>IF($K369="","",INDEX(Zeiterfassung!$H$6:$H$3665,$K369))</f>
        <v/>
      </c>
      <c r="I369" s="335">
        <f>IF(B369=B368,"",IF($K369="","",INDEX(Zeiterfassung!$I$6:$I$3665,MATCH(INDEX(Zeiterfassung!$K$6:$K$3665,$K369),Zeiterfassung!$K$6:$K$3665,0))))</f>
        <v/>
      </c>
      <c r="J369" s="335">
        <f>IF(B369=B368,"",IF($K369="","",INDEX(Zeiterfassung!$J$6:$J$3665,MATCH(INDEX(Zeiterfassung!$K$6:$K$3665,$K369),Zeiterfassung!$K$6:$K$3665,0))))</f>
        <v/>
      </c>
      <c r="K369">
        <f>IFERROR(AGGREGATE(15,6,(ROW(Zeiterfassung!$D$6:$D$3665)-ROW(Zeiterfassung!$D$6)+1)/(Zeiterfassung!$D$6:$D$3665&lt;&gt;""),364),"")</f>
        <v/>
      </c>
    </row>
    <row r="370" ht="20" customHeight="1">
      <c r="A370" s="183">
        <f>IF($K370="","",WEEKNUM(INDEX(Zeiterfassung!$K$6:$K$3665,$K370),21))</f>
        <v/>
      </c>
      <c r="B370" s="184">
        <f>IF($K370="","",INDEX(Zeiterfassung!$K$6:$K$3665,$K370))</f>
        <v/>
      </c>
      <c r="C370" s="185">
        <f>IF($K370="","",INDEX(Zeiterfassung!$K$6:$K$3665,$K370))</f>
        <v/>
      </c>
      <c r="D370" s="186">
        <f>IF($K370="","",INDEX(Zeiterfassung!$D$6:$D$3665,$K370))</f>
        <v/>
      </c>
      <c r="E370" s="186">
        <f>IF($K370="","",INDEX(Zeiterfassung!$E$6:$E$3665,$K370))</f>
        <v/>
      </c>
      <c r="F370" s="187">
        <f>IF($K370="","",INDEX(Zeiterfassung!$F$6:$F$3665,$K370))</f>
        <v/>
      </c>
      <c r="G370" s="187">
        <f>IF($K370="","",INDEX(Zeiterfassung!$G$6:$G$3665,$K370))</f>
        <v/>
      </c>
      <c r="H370" s="188">
        <f>IF($K370="","",INDEX(Zeiterfassung!$H$6:$H$3665,$K370))</f>
        <v/>
      </c>
      <c r="I370" s="335">
        <f>IF(B370=B369,"",IF($K370="","",INDEX(Zeiterfassung!$I$6:$I$3665,MATCH(INDEX(Zeiterfassung!$K$6:$K$3665,$K370),Zeiterfassung!$K$6:$K$3665,0))))</f>
        <v/>
      </c>
      <c r="J370" s="335">
        <f>IF(B370=B369,"",IF($K370="","",INDEX(Zeiterfassung!$J$6:$J$3665,MATCH(INDEX(Zeiterfassung!$K$6:$K$3665,$K370),Zeiterfassung!$K$6:$K$3665,0))))</f>
        <v/>
      </c>
      <c r="K370">
        <f>IFERROR(AGGREGATE(15,6,(ROW(Zeiterfassung!$D$6:$D$3665)-ROW(Zeiterfassung!$D$6)+1)/(Zeiterfassung!$D$6:$D$3665&lt;&gt;""),365),"")</f>
        <v/>
      </c>
    </row>
    <row r="371" ht="20" customHeight="1">
      <c r="A371" s="183">
        <f>IF($K371="","",WEEKNUM(INDEX(Zeiterfassung!$K$6:$K$3665,$K371),21))</f>
        <v/>
      </c>
      <c r="B371" s="184">
        <f>IF($K371="","",INDEX(Zeiterfassung!$K$6:$K$3665,$K371))</f>
        <v/>
      </c>
      <c r="C371" s="185">
        <f>IF($K371="","",INDEX(Zeiterfassung!$K$6:$K$3665,$K371))</f>
        <v/>
      </c>
      <c r="D371" s="186">
        <f>IF($K371="","",INDEX(Zeiterfassung!$D$6:$D$3665,$K371))</f>
        <v/>
      </c>
      <c r="E371" s="186">
        <f>IF($K371="","",INDEX(Zeiterfassung!$E$6:$E$3665,$K371))</f>
        <v/>
      </c>
      <c r="F371" s="187">
        <f>IF($K371="","",INDEX(Zeiterfassung!$F$6:$F$3665,$K371))</f>
        <v/>
      </c>
      <c r="G371" s="187">
        <f>IF($K371="","",INDEX(Zeiterfassung!$G$6:$G$3665,$K371))</f>
        <v/>
      </c>
      <c r="H371" s="188">
        <f>IF($K371="","",INDEX(Zeiterfassung!$H$6:$H$3665,$K371))</f>
        <v/>
      </c>
      <c r="I371" s="335">
        <f>IF(B371=B370,"",IF($K371="","",INDEX(Zeiterfassung!$I$6:$I$3665,MATCH(INDEX(Zeiterfassung!$K$6:$K$3665,$K371),Zeiterfassung!$K$6:$K$3665,0))))</f>
        <v/>
      </c>
      <c r="J371" s="335">
        <f>IF(B371=B370,"",IF($K371="","",INDEX(Zeiterfassung!$J$6:$J$3665,MATCH(INDEX(Zeiterfassung!$K$6:$K$3665,$K371),Zeiterfassung!$K$6:$K$3665,0))))</f>
        <v/>
      </c>
      <c r="K371">
        <f>IFERROR(AGGREGATE(15,6,(ROW(Zeiterfassung!$D$6:$D$3665)-ROW(Zeiterfassung!$D$6)+1)/(Zeiterfassung!$D$6:$D$3665&lt;&gt;""),366),"")</f>
        <v/>
      </c>
    </row>
    <row r="372" ht="20" customHeight="1">
      <c r="A372" s="183">
        <f>IF($K372="","",WEEKNUM(INDEX(Zeiterfassung!$K$6:$K$3665,$K372),21))</f>
        <v/>
      </c>
      <c r="B372" s="184">
        <f>IF($K372="","",INDEX(Zeiterfassung!$K$6:$K$3665,$K372))</f>
        <v/>
      </c>
      <c r="C372" s="185">
        <f>IF($K372="","",INDEX(Zeiterfassung!$K$6:$K$3665,$K372))</f>
        <v/>
      </c>
      <c r="D372" s="186">
        <f>IF($K372="","",INDEX(Zeiterfassung!$D$6:$D$3665,$K372))</f>
        <v/>
      </c>
      <c r="E372" s="186">
        <f>IF($K372="","",INDEX(Zeiterfassung!$E$6:$E$3665,$K372))</f>
        <v/>
      </c>
      <c r="F372" s="187">
        <f>IF($K372="","",INDEX(Zeiterfassung!$F$6:$F$3665,$K372))</f>
        <v/>
      </c>
      <c r="G372" s="187">
        <f>IF($K372="","",INDEX(Zeiterfassung!$G$6:$G$3665,$K372))</f>
        <v/>
      </c>
      <c r="H372" s="188">
        <f>IF($K372="","",INDEX(Zeiterfassung!$H$6:$H$3665,$K372))</f>
        <v/>
      </c>
      <c r="I372" s="335">
        <f>IF(B372=B371,"",IF($K372="","",INDEX(Zeiterfassung!$I$6:$I$3665,MATCH(INDEX(Zeiterfassung!$K$6:$K$3665,$K372),Zeiterfassung!$K$6:$K$3665,0))))</f>
        <v/>
      </c>
      <c r="J372" s="335">
        <f>IF(B372=B371,"",IF($K372="","",INDEX(Zeiterfassung!$J$6:$J$3665,MATCH(INDEX(Zeiterfassung!$K$6:$K$3665,$K372),Zeiterfassung!$K$6:$K$3665,0))))</f>
        <v/>
      </c>
      <c r="K372">
        <f>IFERROR(AGGREGATE(15,6,(ROW(Zeiterfassung!$D$6:$D$3665)-ROW(Zeiterfassung!$D$6)+1)/(Zeiterfassung!$D$6:$D$3665&lt;&gt;""),367),"")</f>
        <v/>
      </c>
    </row>
    <row r="373" ht="20" customHeight="1">
      <c r="A373" s="183">
        <f>IF($K373="","",WEEKNUM(INDEX(Zeiterfassung!$K$6:$K$3665,$K373),21))</f>
        <v/>
      </c>
      <c r="B373" s="184">
        <f>IF($K373="","",INDEX(Zeiterfassung!$K$6:$K$3665,$K373))</f>
        <v/>
      </c>
      <c r="C373" s="185">
        <f>IF($K373="","",INDEX(Zeiterfassung!$K$6:$K$3665,$K373))</f>
        <v/>
      </c>
      <c r="D373" s="186">
        <f>IF($K373="","",INDEX(Zeiterfassung!$D$6:$D$3665,$K373))</f>
        <v/>
      </c>
      <c r="E373" s="186">
        <f>IF($K373="","",INDEX(Zeiterfassung!$E$6:$E$3665,$K373))</f>
        <v/>
      </c>
      <c r="F373" s="187">
        <f>IF($K373="","",INDEX(Zeiterfassung!$F$6:$F$3665,$K373))</f>
        <v/>
      </c>
      <c r="G373" s="187">
        <f>IF($K373="","",INDEX(Zeiterfassung!$G$6:$G$3665,$K373))</f>
        <v/>
      </c>
      <c r="H373" s="188">
        <f>IF($K373="","",INDEX(Zeiterfassung!$H$6:$H$3665,$K373))</f>
        <v/>
      </c>
      <c r="I373" s="335">
        <f>IF(B373=B372,"",IF($K373="","",INDEX(Zeiterfassung!$I$6:$I$3665,MATCH(INDEX(Zeiterfassung!$K$6:$K$3665,$K373),Zeiterfassung!$K$6:$K$3665,0))))</f>
        <v/>
      </c>
      <c r="J373" s="335">
        <f>IF(B373=B372,"",IF($K373="","",INDEX(Zeiterfassung!$J$6:$J$3665,MATCH(INDEX(Zeiterfassung!$K$6:$K$3665,$K373),Zeiterfassung!$K$6:$K$3665,0))))</f>
        <v/>
      </c>
      <c r="K373">
        <f>IFERROR(AGGREGATE(15,6,(ROW(Zeiterfassung!$D$6:$D$3665)-ROW(Zeiterfassung!$D$6)+1)/(Zeiterfassung!$D$6:$D$3665&lt;&gt;""),368),"")</f>
        <v/>
      </c>
    </row>
    <row r="374" ht="20" customHeight="1">
      <c r="A374" s="183">
        <f>IF($K374="","",WEEKNUM(INDEX(Zeiterfassung!$K$6:$K$3665,$K374),21))</f>
        <v/>
      </c>
      <c r="B374" s="184">
        <f>IF($K374="","",INDEX(Zeiterfassung!$K$6:$K$3665,$K374))</f>
        <v/>
      </c>
      <c r="C374" s="185">
        <f>IF($K374="","",INDEX(Zeiterfassung!$K$6:$K$3665,$K374))</f>
        <v/>
      </c>
      <c r="D374" s="186">
        <f>IF($K374="","",INDEX(Zeiterfassung!$D$6:$D$3665,$K374))</f>
        <v/>
      </c>
      <c r="E374" s="186">
        <f>IF($K374="","",INDEX(Zeiterfassung!$E$6:$E$3665,$K374))</f>
        <v/>
      </c>
      <c r="F374" s="187">
        <f>IF($K374="","",INDEX(Zeiterfassung!$F$6:$F$3665,$K374))</f>
        <v/>
      </c>
      <c r="G374" s="187">
        <f>IF($K374="","",INDEX(Zeiterfassung!$G$6:$G$3665,$K374))</f>
        <v/>
      </c>
      <c r="H374" s="188">
        <f>IF($K374="","",INDEX(Zeiterfassung!$H$6:$H$3665,$K374))</f>
        <v/>
      </c>
      <c r="I374" s="335">
        <f>IF(B374=B373,"",IF($K374="","",INDEX(Zeiterfassung!$I$6:$I$3665,MATCH(INDEX(Zeiterfassung!$K$6:$K$3665,$K374),Zeiterfassung!$K$6:$K$3665,0))))</f>
        <v/>
      </c>
      <c r="J374" s="335">
        <f>IF(B374=B373,"",IF($K374="","",INDEX(Zeiterfassung!$J$6:$J$3665,MATCH(INDEX(Zeiterfassung!$K$6:$K$3665,$K374),Zeiterfassung!$K$6:$K$3665,0))))</f>
        <v/>
      </c>
      <c r="K374">
        <f>IFERROR(AGGREGATE(15,6,(ROW(Zeiterfassung!$D$6:$D$3665)-ROW(Zeiterfassung!$D$6)+1)/(Zeiterfassung!$D$6:$D$3665&lt;&gt;""),369),"")</f>
        <v/>
      </c>
    </row>
    <row r="375" ht="20" customHeight="1">
      <c r="A375" s="183">
        <f>IF($K375="","",WEEKNUM(INDEX(Zeiterfassung!$K$6:$K$3665,$K375),21))</f>
        <v/>
      </c>
      <c r="B375" s="184">
        <f>IF($K375="","",INDEX(Zeiterfassung!$K$6:$K$3665,$K375))</f>
        <v/>
      </c>
      <c r="C375" s="185">
        <f>IF($K375="","",INDEX(Zeiterfassung!$K$6:$K$3665,$K375))</f>
        <v/>
      </c>
      <c r="D375" s="186">
        <f>IF($K375="","",INDEX(Zeiterfassung!$D$6:$D$3665,$K375))</f>
        <v/>
      </c>
      <c r="E375" s="186">
        <f>IF($K375="","",INDEX(Zeiterfassung!$E$6:$E$3665,$K375))</f>
        <v/>
      </c>
      <c r="F375" s="187">
        <f>IF($K375="","",INDEX(Zeiterfassung!$F$6:$F$3665,$K375))</f>
        <v/>
      </c>
      <c r="G375" s="187">
        <f>IF($K375="","",INDEX(Zeiterfassung!$G$6:$G$3665,$K375))</f>
        <v/>
      </c>
      <c r="H375" s="188">
        <f>IF($K375="","",INDEX(Zeiterfassung!$H$6:$H$3665,$K375))</f>
        <v/>
      </c>
      <c r="I375" s="335">
        <f>IF(B375=B374,"",IF($K375="","",INDEX(Zeiterfassung!$I$6:$I$3665,MATCH(INDEX(Zeiterfassung!$K$6:$K$3665,$K375),Zeiterfassung!$K$6:$K$3665,0))))</f>
        <v/>
      </c>
      <c r="J375" s="335">
        <f>IF(B375=B374,"",IF($K375="","",INDEX(Zeiterfassung!$J$6:$J$3665,MATCH(INDEX(Zeiterfassung!$K$6:$K$3665,$K375),Zeiterfassung!$K$6:$K$3665,0))))</f>
        <v/>
      </c>
      <c r="K375">
        <f>IFERROR(AGGREGATE(15,6,(ROW(Zeiterfassung!$D$6:$D$3665)-ROW(Zeiterfassung!$D$6)+1)/(Zeiterfassung!$D$6:$D$3665&lt;&gt;""),370),"")</f>
        <v/>
      </c>
    </row>
    <row r="376" ht="20" customHeight="1">
      <c r="A376" s="183">
        <f>IF($K376="","",WEEKNUM(INDEX(Zeiterfassung!$K$6:$K$3665,$K376),21))</f>
        <v/>
      </c>
      <c r="B376" s="184">
        <f>IF($K376="","",INDEX(Zeiterfassung!$K$6:$K$3665,$K376))</f>
        <v/>
      </c>
      <c r="C376" s="185">
        <f>IF($K376="","",INDEX(Zeiterfassung!$K$6:$K$3665,$K376))</f>
        <v/>
      </c>
      <c r="D376" s="186">
        <f>IF($K376="","",INDEX(Zeiterfassung!$D$6:$D$3665,$K376))</f>
        <v/>
      </c>
      <c r="E376" s="186">
        <f>IF($K376="","",INDEX(Zeiterfassung!$E$6:$E$3665,$K376))</f>
        <v/>
      </c>
      <c r="F376" s="187">
        <f>IF($K376="","",INDEX(Zeiterfassung!$F$6:$F$3665,$K376))</f>
        <v/>
      </c>
      <c r="G376" s="187">
        <f>IF($K376="","",INDEX(Zeiterfassung!$G$6:$G$3665,$K376))</f>
        <v/>
      </c>
      <c r="H376" s="188">
        <f>IF($K376="","",INDEX(Zeiterfassung!$H$6:$H$3665,$K376))</f>
        <v/>
      </c>
      <c r="I376" s="335">
        <f>IF(B376=B375,"",IF($K376="","",INDEX(Zeiterfassung!$I$6:$I$3665,MATCH(INDEX(Zeiterfassung!$K$6:$K$3665,$K376),Zeiterfassung!$K$6:$K$3665,0))))</f>
        <v/>
      </c>
      <c r="J376" s="335">
        <f>IF(B376=B375,"",IF($K376="","",INDEX(Zeiterfassung!$J$6:$J$3665,MATCH(INDEX(Zeiterfassung!$K$6:$K$3665,$K376),Zeiterfassung!$K$6:$K$3665,0))))</f>
        <v/>
      </c>
      <c r="K376">
        <f>IFERROR(AGGREGATE(15,6,(ROW(Zeiterfassung!$D$6:$D$3665)-ROW(Zeiterfassung!$D$6)+1)/(Zeiterfassung!$D$6:$D$3665&lt;&gt;""),371),"")</f>
        <v/>
      </c>
    </row>
    <row r="377" ht="20" customHeight="1">
      <c r="A377" s="183">
        <f>IF($K377="","",WEEKNUM(INDEX(Zeiterfassung!$K$6:$K$3665,$K377),21))</f>
        <v/>
      </c>
      <c r="B377" s="184">
        <f>IF($K377="","",INDEX(Zeiterfassung!$K$6:$K$3665,$K377))</f>
        <v/>
      </c>
      <c r="C377" s="185">
        <f>IF($K377="","",INDEX(Zeiterfassung!$K$6:$K$3665,$K377))</f>
        <v/>
      </c>
      <c r="D377" s="186">
        <f>IF($K377="","",INDEX(Zeiterfassung!$D$6:$D$3665,$K377))</f>
        <v/>
      </c>
      <c r="E377" s="186">
        <f>IF($K377="","",INDEX(Zeiterfassung!$E$6:$E$3665,$K377))</f>
        <v/>
      </c>
      <c r="F377" s="187">
        <f>IF($K377="","",INDEX(Zeiterfassung!$F$6:$F$3665,$K377))</f>
        <v/>
      </c>
      <c r="G377" s="187">
        <f>IF($K377="","",INDEX(Zeiterfassung!$G$6:$G$3665,$K377))</f>
        <v/>
      </c>
      <c r="H377" s="188">
        <f>IF($K377="","",INDEX(Zeiterfassung!$H$6:$H$3665,$K377))</f>
        <v/>
      </c>
      <c r="I377" s="335">
        <f>IF(B377=B376,"",IF($K377="","",INDEX(Zeiterfassung!$I$6:$I$3665,MATCH(INDEX(Zeiterfassung!$K$6:$K$3665,$K377),Zeiterfassung!$K$6:$K$3665,0))))</f>
        <v/>
      </c>
      <c r="J377" s="335">
        <f>IF(B377=B376,"",IF($K377="","",INDEX(Zeiterfassung!$J$6:$J$3665,MATCH(INDEX(Zeiterfassung!$K$6:$K$3665,$K377),Zeiterfassung!$K$6:$K$3665,0))))</f>
        <v/>
      </c>
      <c r="K377">
        <f>IFERROR(AGGREGATE(15,6,(ROW(Zeiterfassung!$D$6:$D$3665)-ROW(Zeiterfassung!$D$6)+1)/(Zeiterfassung!$D$6:$D$3665&lt;&gt;""),372),"")</f>
        <v/>
      </c>
    </row>
    <row r="378" ht="20" customHeight="1">
      <c r="A378" s="183">
        <f>IF($K378="","",WEEKNUM(INDEX(Zeiterfassung!$K$6:$K$3665,$K378),21))</f>
        <v/>
      </c>
      <c r="B378" s="184">
        <f>IF($K378="","",INDEX(Zeiterfassung!$K$6:$K$3665,$K378))</f>
        <v/>
      </c>
      <c r="C378" s="185">
        <f>IF($K378="","",INDEX(Zeiterfassung!$K$6:$K$3665,$K378))</f>
        <v/>
      </c>
      <c r="D378" s="186">
        <f>IF($K378="","",INDEX(Zeiterfassung!$D$6:$D$3665,$K378))</f>
        <v/>
      </c>
      <c r="E378" s="186">
        <f>IF($K378="","",INDEX(Zeiterfassung!$E$6:$E$3665,$K378))</f>
        <v/>
      </c>
      <c r="F378" s="187">
        <f>IF($K378="","",INDEX(Zeiterfassung!$F$6:$F$3665,$K378))</f>
        <v/>
      </c>
      <c r="G378" s="187">
        <f>IF($K378="","",INDEX(Zeiterfassung!$G$6:$G$3665,$K378))</f>
        <v/>
      </c>
      <c r="H378" s="188">
        <f>IF($K378="","",INDEX(Zeiterfassung!$H$6:$H$3665,$K378))</f>
        <v/>
      </c>
      <c r="I378" s="335">
        <f>IF(B378=B377,"",IF($K378="","",INDEX(Zeiterfassung!$I$6:$I$3665,MATCH(INDEX(Zeiterfassung!$K$6:$K$3665,$K378),Zeiterfassung!$K$6:$K$3665,0))))</f>
        <v/>
      </c>
      <c r="J378" s="335">
        <f>IF(B378=B377,"",IF($K378="","",INDEX(Zeiterfassung!$J$6:$J$3665,MATCH(INDEX(Zeiterfassung!$K$6:$K$3665,$K378),Zeiterfassung!$K$6:$K$3665,0))))</f>
        <v/>
      </c>
      <c r="K378">
        <f>IFERROR(AGGREGATE(15,6,(ROW(Zeiterfassung!$D$6:$D$3665)-ROW(Zeiterfassung!$D$6)+1)/(Zeiterfassung!$D$6:$D$3665&lt;&gt;""),373),"")</f>
        <v/>
      </c>
    </row>
    <row r="379" ht="20" customHeight="1">
      <c r="A379" s="183">
        <f>IF($K379="","",WEEKNUM(INDEX(Zeiterfassung!$K$6:$K$3665,$K379),21))</f>
        <v/>
      </c>
      <c r="B379" s="184">
        <f>IF($K379="","",INDEX(Zeiterfassung!$K$6:$K$3665,$K379))</f>
        <v/>
      </c>
      <c r="C379" s="185">
        <f>IF($K379="","",INDEX(Zeiterfassung!$K$6:$K$3665,$K379))</f>
        <v/>
      </c>
      <c r="D379" s="186">
        <f>IF($K379="","",INDEX(Zeiterfassung!$D$6:$D$3665,$K379))</f>
        <v/>
      </c>
      <c r="E379" s="186">
        <f>IF($K379="","",INDEX(Zeiterfassung!$E$6:$E$3665,$K379))</f>
        <v/>
      </c>
      <c r="F379" s="187">
        <f>IF($K379="","",INDEX(Zeiterfassung!$F$6:$F$3665,$K379))</f>
        <v/>
      </c>
      <c r="G379" s="187">
        <f>IF($K379="","",INDEX(Zeiterfassung!$G$6:$G$3665,$K379))</f>
        <v/>
      </c>
      <c r="H379" s="188">
        <f>IF($K379="","",INDEX(Zeiterfassung!$H$6:$H$3665,$K379))</f>
        <v/>
      </c>
      <c r="I379" s="335">
        <f>IF(B379=B378,"",IF($K379="","",INDEX(Zeiterfassung!$I$6:$I$3665,MATCH(INDEX(Zeiterfassung!$K$6:$K$3665,$K379),Zeiterfassung!$K$6:$K$3665,0))))</f>
        <v/>
      </c>
      <c r="J379" s="335">
        <f>IF(B379=B378,"",IF($K379="","",INDEX(Zeiterfassung!$J$6:$J$3665,MATCH(INDEX(Zeiterfassung!$K$6:$K$3665,$K379),Zeiterfassung!$K$6:$K$3665,0))))</f>
        <v/>
      </c>
      <c r="K379">
        <f>IFERROR(AGGREGATE(15,6,(ROW(Zeiterfassung!$D$6:$D$3665)-ROW(Zeiterfassung!$D$6)+1)/(Zeiterfassung!$D$6:$D$3665&lt;&gt;""),374),"")</f>
        <v/>
      </c>
    </row>
    <row r="380" ht="20" customHeight="1">
      <c r="A380" s="183">
        <f>IF($K380="","",WEEKNUM(INDEX(Zeiterfassung!$K$6:$K$3665,$K380),21))</f>
        <v/>
      </c>
      <c r="B380" s="184">
        <f>IF($K380="","",INDEX(Zeiterfassung!$K$6:$K$3665,$K380))</f>
        <v/>
      </c>
      <c r="C380" s="185">
        <f>IF($K380="","",INDEX(Zeiterfassung!$K$6:$K$3665,$K380))</f>
        <v/>
      </c>
      <c r="D380" s="186">
        <f>IF($K380="","",INDEX(Zeiterfassung!$D$6:$D$3665,$K380))</f>
        <v/>
      </c>
      <c r="E380" s="186">
        <f>IF($K380="","",INDEX(Zeiterfassung!$E$6:$E$3665,$K380))</f>
        <v/>
      </c>
      <c r="F380" s="187">
        <f>IF($K380="","",INDEX(Zeiterfassung!$F$6:$F$3665,$K380))</f>
        <v/>
      </c>
      <c r="G380" s="187">
        <f>IF($K380="","",INDEX(Zeiterfassung!$G$6:$G$3665,$K380))</f>
        <v/>
      </c>
      <c r="H380" s="188">
        <f>IF($K380="","",INDEX(Zeiterfassung!$H$6:$H$3665,$K380))</f>
        <v/>
      </c>
      <c r="I380" s="335">
        <f>IF(B380=B379,"",IF($K380="","",INDEX(Zeiterfassung!$I$6:$I$3665,MATCH(INDEX(Zeiterfassung!$K$6:$K$3665,$K380),Zeiterfassung!$K$6:$K$3665,0))))</f>
        <v/>
      </c>
      <c r="J380" s="335">
        <f>IF(B380=B379,"",IF($K380="","",INDEX(Zeiterfassung!$J$6:$J$3665,MATCH(INDEX(Zeiterfassung!$K$6:$K$3665,$K380),Zeiterfassung!$K$6:$K$3665,0))))</f>
        <v/>
      </c>
      <c r="K380">
        <f>IFERROR(AGGREGATE(15,6,(ROW(Zeiterfassung!$D$6:$D$3665)-ROW(Zeiterfassung!$D$6)+1)/(Zeiterfassung!$D$6:$D$3665&lt;&gt;""),375),"")</f>
        <v/>
      </c>
    </row>
    <row r="381" ht="20" customHeight="1">
      <c r="A381" s="183">
        <f>IF($K381="","",WEEKNUM(INDEX(Zeiterfassung!$K$6:$K$3665,$K381),21))</f>
        <v/>
      </c>
      <c r="B381" s="184">
        <f>IF($K381="","",INDEX(Zeiterfassung!$K$6:$K$3665,$K381))</f>
        <v/>
      </c>
      <c r="C381" s="185">
        <f>IF($K381="","",INDEX(Zeiterfassung!$K$6:$K$3665,$K381))</f>
        <v/>
      </c>
      <c r="D381" s="186">
        <f>IF($K381="","",INDEX(Zeiterfassung!$D$6:$D$3665,$K381))</f>
        <v/>
      </c>
      <c r="E381" s="186">
        <f>IF($K381="","",INDEX(Zeiterfassung!$E$6:$E$3665,$K381))</f>
        <v/>
      </c>
      <c r="F381" s="187">
        <f>IF($K381="","",INDEX(Zeiterfassung!$F$6:$F$3665,$K381))</f>
        <v/>
      </c>
      <c r="G381" s="187">
        <f>IF($K381="","",INDEX(Zeiterfassung!$G$6:$G$3665,$K381))</f>
        <v/>
      </c>
      <c r="H381" s="188">
        <f>IF($K381="","",INDEX(Zeiterfassung!$H$6:$H$3665,$K381))</f>
        <v/>
      </c>
      <c r="I381" s="335">
        <f>IF(B381=B380,"",IF($K381="","",INDEX(Zeiterfassung!$I$6:$I$3665,MATCH(INDEX(Zeiterfassung!$K$6:$K$3665,$K381),Zeiterfassung!$K$6:$K$3665,0))))</f>
        <v/>
      </c>
      <c r="J381" s="335">
        <f>IF(B381=B380,"",IF($K381="","",INDEX(Zeiterfassung!$J$6:$J$3665,MATCH(INDEX(Zeiterfassung!$K$6:$K$3665,$K381),Zeiterfassung!$K$6:$K$3665,0))))</f>
        <v/>
      </c>
      <c r="K381">
        <f>IFERROR(AGGREGATE(15,6,(ROW(Zeiterfassung!$D$6:$D$3665)-ROW(Zeiterfassung!$D$6)+1)/(Zeiterfassung!$D$6:$D$3665&lt;&gt;""),376),"")</f>
        <v/>
      </c>
    </row>
    <row r="382" ht="20" customHeight="1">
      <c r="A382" s="183">
        <f>IF($K382="","",WEEKNUM(INDEX(Zeiterfassung!$K$6:$K$3665,$K382),21))</f>
        <v/>
      </c>
      <c r="B382" s="184">
        <f>IF($K382="","",INDEX(Zeiterfassung!$K$6:$K$3665,$K382))</f>
        <v/>
      </c>
      <c r="C382" s="185">
        <f>IF($K382="","",INDEX(Zeiterfassung!$K$6:$K$3665,$K382))</f>
        <v/>
      </c>
      <c r="D382" s="186">
        <f>IF($K382="","",INDEX(Zeiterfassung!$D$6:$D$3665,$K382))</f>
        <v/>
      </c>
      <c r="E382" s="186">
        <f>IF($K382="","",INDEX(Zeiterfassung!$E$6:$E$3665,$K382))</f>
        <v/>
      </c>
      <c r="F382" s="187">
        <f>IF($K382="","",INDEX(Zeiterfassung!$F$6:$F$3665,$K382))</f>
        <v/>
      </c>
      <c r="G382" s="187">
        <f>IF($K382="","",INDEX(Zeiterfassung!$G$6:$G$3665,$K382))</f>
        <v/>
      </c>
      <c r="H382" s="188">
        <f>IF($K382="","",INDEX(Zeiterfassung!$H$6:$H$3665,$K382))</f>
        <v/>
      </c>
      <c r="I382" s="335">
        <f>IF(B382=B381,"",IF($K382="","",INDEX(Zeiterfassung!$I$6:$I$3665,MATCH(INDEX(Zeiterfassung!$K$6:$K$3665,$K382),Zeiterfassung!$K$6:$K$3665,0))))</f>
        <v/>
      </c>
      <c r="J382" s="335">
        <f>IF(B382=B381,"",IF($K382="","",INDEX(Zeiterfassung!$J$6:$J$3665,MATCH(INDEX(Zeiterfassung!$K$6:$K$3665,$K382),Zeiterfassung!$K$6:$K$3665,0))))</f>
        <v/>
      </c>
      <c r="K382">
        <f>IFERROR(AGGREGATE(15,6,(ROW(Zeiterfassung!$D$6:$D$3665)-ROW(Zeiterfassung!$D$6)+1)/(Zeiterfassung!$D$6:$D$3665&lt;&gt;""),377),"")</f>
        <v/>
      </c>
    </row>
    <row r="383" ht="20" customHeight="1">
      <c r="A383" s="183">
        <f>IF($K383="","",WEEKNUM(INDEX(Zeiterfassung!$K$6:$K$3665,$K383),21))</f>
        <v/>
      </c>
      <c r="B383" s="184">
        <f>IF($K383="","",INDEX(Zeiterfassung!$K$6:$K$3665,$K383))</f>
        <v/>
      </c>
      <c r="C383" s="185">
        <f>IF($K383="","",INDEX(Zeiterfassung!$K$6:$K$3665,$K383))</f>
        <v/>
      </c>
      <c r="D383" s="186">
        <f>IF($K383="","",INDEX(Zeiterfassung!$D$6:$D$3665,$K383))</f>
        <v/>
      </c>
      <c r="E383" s="186">
        <f>IF($K383="","",INDEX(Zeiterfassung!$E$6:$E$3665,$K383))</f>
        <v/>
      </c>
      <c r="F383" s="187">
        <f>IF($K383="","",INDEX(Zeiterfassung!$F$6:$F$3665,$K383))</f>
        <v/>
      </c>
      <c r="G383" s="187">
        <f>IF($K383="","",INDEX(Zeiterfassung!$G$6:$G$3665,$K383))</f>
        <v/>
      </c>
      <c r="H383" s="188">
        <f>IF($K383="","",INDEX(Zeiterfassung!$H$6:$H$3665,$K383))</f>
        <v/>
      </c>
      <c r="I383" s="335">
        <f>IF(B383=B382,"",IF($K383="","",INDEX(Zeiterfassung!$I$6:$I$3665,MATCH(INDEX(Zeiterfassung!$K$6:$K$3665,$K383),Zeiterfassung!$K$6:$K$3665,0))))</f>
        <v/>
      </c>
      <c r="J383" s="335">
        <f>IF(B383=B382,"",IF($K383="","",INDEX(Zeiterfassung!$J$6:$J$3665,MATCH(INDEX(Zeiterfassung!$K$6:$K$3665,$K383),Zeiterfassung!$K$6:$K$3665,0))))</f>
        <v/>
      </c>
      <c r="K383">
        <f>IFERROR(AGGREGATE(15,6,(ROW(Zeiterfassung!$D$6:$D$3665)-ROW(Zeiterfassung!$D$6)+1)/(Zeiterfassung!$D$6:$D$3665&lt;&gt;""),378),"")</f>
        <v/>
      </c>
    </row>
    <row r="384" ht="20" customHeight="1">
      <c r="A384" s="183">
        <f>IF($K384="","",WEEKNUM(INDEX(Zeiterfassung!$K$6:$K$3665,$K384),21))</f>
        <v/>
      </c>
      <c r="B384" s="184">
        <f>IF($K384="","",INDEX(Zeiterfassung!$K$6:$K$3665,$K384))</f>
        <v/>
      </c>
      <c r="C384" s="185">
        <f>IF($K384="","",INDEX(Zeiterfassung!$K$6:$K$3665,$K384))</f>
        <v/>
      </c>
      <c r="D384" s="186">
        <f>IF($K384="","",INDEX(Zeiterfassung!$D$6:$D$3665,$K384))</f>
        <v/>
      </c>
      <c r="E384" s="186">
        <f>IF($K384="","",INDEX(Zeiterfassung!$E$6:$E$3665,$K384))</f>
        <v/>
      </c>
      <c r="F384" s="187">
        <f>IF($K384="","",INDEX(Zeiterfassung!$F$6:$F$3665,$K384))</f>
        <v/>
      </c>
      <c r="G384" s="187">
        <f>IF($K384="","",INDEX(Zeiterfassung!$G$6:$G$3665,$K384))</f>
        <v/>
      </c>
      <c r="H384" s="188">
        <f>IF($K384="","",INDEX(Zeiterfassung!$H$6:$H$3665,$K384))</f>
        <v/>
      </c>
      <c r="I384" s="335">
        <f>IF(B384=B383,"",IF($K384="","",INDEX(Zeiterfassung!$I$6:$I$3665,MATCH(INDEX(Zeiterfassung!$K$6:$K$3665,$K384),Zeiterfassung!$K$6:$K$3665,0))))</f>
        <v/>
      </c>
      <c r="J384" s="335">
        <f>IF(B384=B383,"",IF($K384="","",INDEX(Zeiterfassung!$J$6:$J$3665,MATCH(INDEX(Zeiterfassung!$K$6:$K$3665,$K384),Zeiterfassung!$K$6:$K$3665,0))))</f>
        <v/>
      </c>
      <c r="K384">
        <f>IFERROR(AGGREGATE(15,6,(ROW(Zeiterfassung!$D$6:$D$3665)-ROW(Zeiterfassung!$D$6)+1)/(Zeiterfassung!$D$6:$D$3665&lt;&gt;""),379),"")</f>
        <v/>
      </c>
    </row>
    <row r="385" ht="20" customHeight="1">
      <c r="A385" s="183">
        <f>IF($K385="","",WEEKNUM(INDEX(Zeiterfassung!$K$6:$K$3665,$K385),21))</f>
        <v/>
      </c>
      <c r="B385" s="184">
        <f>IF($K385="","",INDEX(Zeiterfassung!$K$6:$K$3665,$K385))</f>
        <v/>
      </c>
      <c r="C385" s="185">
        <f>IF($K385="","",INDEX(Zeiterfassung!$K$6:$K$3665,$K385))</f>
        <v/>
      </c>
      <c r="D385" s="186">
        <f>IF($K385="","",INDEX(Zeiterfassung!$D$6:$D$3665,$K385))</f>
        <v/>
      </c>
      <c r="E385" s="186">
        <f>IF($K385="","",INDEX(Zeiterfassung!$E$6:$E$3665,$K385))</f>
        <v/>
      </c>
      <c r="F385" s="187">
        <f>IF($K385="","",INDEX(Zeiterfassung!$F$6:$F$3665,$K385))</f>
        <v/>
      </c>
      <c r="G385" s="187">
        <f>IF($K385="","",INDEX(Zeiterfassung!$G$6:$G$3665,$K385))</f>
        <v/>
      </c>
      <c r="H385" s="188">
        <f>IF($K385="","",INDEX(Zeiterfassung!$H$6:$H$3665,$K385))</f>
        <v/>
      </c>
      <c r="I385" s="335">
        <f>IF(B385=B384,"",IF($K385="","",INDEX(Zeiterfassung!$I$6:$I$3665,MATCH(INDEX(Zeiterfassung!$K$6:$K$3665,$K385),Zeiterfassung!$K$6:$K$3665,0))))</f>
        <v/>
      </c>
      <c r="J385" s="335">
        <f>IF(B385=B384,"",IF($K385="","",INDEX(Zeiterfassung!$J$6:$J$3665,MATCH(INDEX(Zeiterfassung!$K$6:$K$3665,$K385),Zeiterfassung!$K$6:$K$3665,0))))</f>
        <v/>
      </c>
      <c r="K385">
        <f>IFERROR(AGGREGATE(15,6,(ROW(Zeiterfassung!$D$6:$D$3665)-ROW(Zeiterfassung!$D$6)+1)/(Zeiterfassung!$D$6:$D$3665&lt;&gt;""),380),"")</f>
        <v/>
      </c>
    </row>
    <row r="386" ht="20" customHeight="1">
      <c r="A386" s="183">
        <f>IF($K386="","",WEEKNUM(INDEX(Zeiterfassung!$K$6:$K$3665,$K386),21))</f>
        <v/>
      </c>
      <c r="B386" s="184">
        <f>IF($K386="","",INDEX(Zeiterfassung!$K$6:$K$3665,$K386))</f>
        <v/>
      </c>
      <c r="C386" s="185">
        <f>IF($K386="","",INDEX(Zeiterfassung!$K$6:$K$3665,$K386))</f>
        <v/>
      </c>
      <c r="D386" s="186">
        <f>IF($K386="","",INDEX(Zeiterfassung!$D$6:$D$3665,$K386))</f>
        <v/>
      </c>
      <c r="E386" s="186">
        <f>IF($K386="","",INDEX(Zeiterfassung!$E$6:$E$3665,$K386))</f>
        <v/>
      </c>
      <c r="F386" s="187">
        <f>IF($K386="","",INDEX(Zeiterfassung!$F$6:$F$3665,$K386))</f>
        <v/>
      </c>
      <c r="G386" s="187">
        <f>IF($K386="","",INDEX(Zeiterfassung!$G$6:$G$3665,$K386))</f>
        <v/>
      </c>
      <c r="H386" s="188">
        <f>IF($K386="","",INDEX(Zeiterfassung!$H$6:$H$3665,$K386))</f>
        <v/>
      </c>
      <c r="I386" s="335">
        <f>IF(B386=B385,"",IF($K386="","",INDEX(Zeiterfassung!$I$6:$I$3665,MATCH(INDEX(Zeiterfassung!$K$6:$K$3665,$K386),Zeiterfassung!$K$6:$K$3665,0))))</f>
        <v/>
      </c>
      <c r="J386" s="335">
        <f>IF(B386=B385,"",IF($K386="","",INDEX(Zeiterfassung!$J$6:$J$3665,MATCH(INDEX(Zeiterfassung!$K$6:$K$3665,$K386),Zeiterfassung!$K$6:$K$3665,0))))</f>
        <v/>
      </c>
      <c r="K386">
        <f>IFERROR(AGGREGATE(15,6,(ROW(Zeiterfassung!$D$6:$D$3665)-ROW(Zeiterfassung!$D$6)+1)/(Zeiterfassung!$D$6:$D$3665&lt;&gt;""),381),"")</f>
        <v/>
      </c>
    </row>
    <row r="387" ht="20" customHeight="1">
      <c r="A387" s="183">
        <f>IF($K387="","",WEEKNUM(INDEX(Zeiterfassung!$K$6:$K$3665,$K387),21))</f>
        <v/>
      </c>
      <c r="B387" s="184">
        <f>IF($K387="","",INDEX(Zeiterfassung!$K$6:$K$3665,$K387))</f>
        <v/>
      </c>
      <c r="C387" s="185">
        <f>IF($K387="","",INDEX(Zeiterfassung!$K$6:$K$3665,$K387))</f>
        <v/>
      </c>
      <c r="D387" s="186">
        <f>IF($K387="","",INDEX(Zeiterfassung!$D$6:$D$3665,$K387))</f>
        <v/>
      </c>
      <c r="E387" s="186">
        <f>IF($K387="","",INDEX(Zeiterfassung!$E$6:$E$3665,$K387))</f>
        <v/>
      </c>
      <c r="F387" s="187">
        <f>IF($K387="","",INDEX(Zeiterfassung!$F$6:$F$3665,$K387))</f>
        <v/>
      </c>
      <c r="G387" s="187">
        <f>IF($K387="","",INDEX(Zeiterfassung!$G$6:$G$3665,$K387))</f>
        <v/>
      </c>
      <c r="H387" s="188">
        <f>IF($K387="","",INDEX(Zeiterfassung!$H$6:$H$3665,$K387))</f>
        <v/>
      </c>
      <c r="I387" s="335">
        <f>IF(B387=B386,"",IF($K387="","",INDEX(Zeiterfassung!$I$6:$I$3665,MATCH(INDEX(Zeiterfassung!$K$6:$K$3665,$K387),Zeiterfassung!$K$6:$K$3665,0))))</f>
        <v/>
      </c>
      <c r="J387" s="335">
        <f>IF(B387=B386,"",IF($K387="","",INDEX(Zeiterfassung!$J$6:$J$3665,MATCH(INDEX(Zeiterfassung!$K$6:$K$3665,$K387),Zeiterfassung!$K$6:$K$3665,0))))</f>
        <v/>
      </c>
      <c r="K387">
        <f>IFERROR(AGGREGATE(15,6,(ROW(Zeiterfassung!$D$6:$D$3665)-ROW(Zeiterfassung!$D$6)+1)/(Zeiterfassung!$D$6:$D$3665&lt;&gt;""),382),"")</f>
        <v/>
      </c>
    </row>
    <row r="388" ht="20" customHeight="1">
      <c r="A388" s="183">
        <f>IF($K388="","",WEEKNUM(INDEX(Zeiterfassung!$K$6:$K$3665,$K388),21))</f>
        <v/>
      </c>
      <c r="B388" s="184">
        <f>IF($K388="","",INDEX(Zeiterfassung!$K$6:$K$3665,$K388))</f>
        <v/>
      </c>
      <c r="C388" s="185">
        <f>IF($K388="","",INDEX(Zeiterfassung!$K$6:$K$3665,$K388))</f>
        <v/>
      </c>
      <c r="D388" s="186">
        <f>IF($K388="","",INDEX(Zeiterfassung!$D$6:$D$3665,$K388))</f>
        <v/>
      </c>
      <c r="E388" s="186">
        <f>IF($K388="","",INDEX(Zeiterfassung!$E$6:$E$3665,$K388))</f>
        <v/>
      </c>
      <c r="F388" s="187">
        <f>IF($K388="","",INDEX(Zeiterfassung!$F$6:$F$3665,$K388))</f>
        <v/>
      </c>
      <c r="G388" s="187">
        <f>IF($K388="","",INDEX(Zeiterfassung!$G$6:$G$3665,$K388))</f>
        <v/>
      </c>
      <c r="H388" s="188">
        <f>IF($K388="","",INDEX(Zeiterfassung!$H$6:$H$3665,$K388))</f>
        <v/>
      </c>
      <c r="I388" s="335">
        <f>IF(B388=B387,"",IF($K388="","",INDEX(Zeiterfassung!$I$6:$I$3665,MATCH(INDEX(Zeiterfassung!$K$6:$K$3665,$K388),Zeiterfassung!$K$6:$K$3665,0))))</f>
        <v/>
      </c>
      <c r="J388" s="335">
        <f>IF(B388=B387,"",IF($K388="","",INDEX(Zeiterfassung!$J$6:$J$3665,MATCH(INDEX(Zeiterfassung!$K$6:$K$3665,$K388),Zeiterfassung!$K$6:$K$3665,0))))</f>
        <v/>
      </c>
      <c r="K388">
        <f>IFERROR(AGGREGATE(15,6,(ROW(Zeiterfassung!$D$6:$D$3665)-ROW(Zeiterfassung!$D$6)+1)/(Zeiterfassung!$D$6:$D$3665&lt;&gt;""),383),"")</f>
        <v/>
      </c>
    </row>
    <row r="389" ht="20" customHeight="1">
      <c r="A389" s="183">
        <f>IF($K389="","",WEEKNUM(INDEX(Zeiterfassung!$K$6:$K$3665,$K389),21))</f>
        <v/>
      </c>
      <c r="B389" s="184">
        <f>IF($K389="","",INDEX(Zeiterfassung!$K$6:$K$3665,$K389))</f>
        <v/>
      </c>
      <c r="C389" s="185">
        <f>IF($K389="","",INDEX(Zeiterfassung!$K$6:$K$3665,$K389))</f>
        <v/>
      </c>
      <c r="D389" s="186">
        <f>IF($K389="","",INDEX(Zeiterfassung!$D$6:$D$3665,$K389))</f>
        <v/>
      </c>
      <c r="E389" s="186">
        <f>IF($K389="","",INDEX(Zeiterfassung!$E$6:$E$3665,$K389))</f>
        <v/>
      </c>
      <c r="F389" s="187">
        <f>IF($K389="","",INDEX(Zeiterfassung!$F$6:$F$3665,$K389))</f>
        <v/>
      </c>
      <c r="G389" s="187">
        <f>IF($K389="","",INDEX(Zeiterfassung!$G$6:$G$3665,$K389))</f>
        <v/>
      </c>
      <c r="H389" s="188">
        <f>IF($K389="","",INDEX(Zeiterfassung!$H$6:$H$3665,$K389))</f>
        <v/>
      </c>
      <c r="I389" s="335">
        <f>IF(B389=B388,"",IF($K389="","",INDEX(Zeiterfassung!$I$6:$I$3665,MATCH(INDEX(Zeiterfassung!$K$6:$K$3665,$K389),Zeiterfassung!$K$6:$K$3665,0))))</f>
        <v/>
      </c>
      <c r="J389" s="335">
        <f>IF(B389=B388,"",IF($K389="","",INDEX(Zeiterfassung!$J$6:$J$3665,MATCH(INDEX(Zeiterfassung!$K$6:$K$3665,$K389),Zeiterfassung!$K$6:$K$3665,0))))</f>
        <v/>
      </c>
      <c r="K389">
        <f>IFERROR(AGGREGATE(15,6,(ROW(Zeiterfassung!$D$6:$D$3665)-ROW(Zeiterfassung!$D$6)+1)/(Zeiterfassung!$D$6:$D$3665&lt;&gt;""),384),"")</f>
        <v/>
      </c>
    </row>
    <row r="390" ht="20" customHeight="1">
      <c r="A390" s="183">
        <f>IF($K390="","",WEEKNUM(INDEX(Zeiterfassung!$K$6:$K$3665,$K390),21))</f>
        <v/>
      </c>
      <c r="B390" s="184">
        <f>IF($K390="","",INDEX(Zeiterfassung!$K$6:$K$3665,$K390))</f>
        <v/>
      </c>
      <c r="C390" s="185">
        <f>IF($K390="","",INDEX(Zeiterfassung!$K$6:$K$3665,$K390))</f>
        <v/>
      </c>
      <c r="D390" s="186">
        <f>IF($K390="","",INDEX(Zeiterfassung!$D$6:$D$3665,$K390))</f>
        <v/>
      </c>
      <c r="E390" s="186">
        <f>IF($K390="","",INDEX(Zeiterfassung!$E$6:$E$3665,$K390))</f>
        <v/>
      </c>
      <c r="F390" s="187">
        <f>IF($K390="","",INDEX(Zeiterfassung!$F$6:$F$3665,$K390))</f>
        <v/>
      </c>
      <c r="G390" s="187">
        <f>IF($K390="","",INDEX(Zeiterfassung!$G$6:$G$3665,$K390))</f>
        <v/>
      </c>
      <c r="H390" s="188">
        <f>IF($K390="","",INDEX(Zeiterfassung!$H$6:$H$3665,$K390))</f>
        <v/>
      </c>
      <c r="I390" s="335">
        <f>IF(B390=B389,"",IF($K390="","",INDEX(Zeiterfassung!$I$6:$I$3665,MATCH(INDEX(Zeiterfassung!$K$6:$K$3665,$K390),Zeiterfassung!$K$6:$K$3665,0))))</f>
        <v/>
      </c>
      <c r="J390" s="335">
        <f>IF(B390=B389,"",IF($K390="","",INDEX(Zeiterfassung!$J$6:$J$3665,MATCH(INDEX(Zeiterfassung!$K$6:$K$3665,$K390),Zeiterfassung!$K$6:$K$3665,0))))</f>
        <v/>
      </c>
      <c r="K390">
        <f>IFERROR(AGGREGATE(15,6,(ROW(Zeiterfassung!$D$6:$D$3665)-ROW(Zeiterfassung!$D$6)+1)/(Zeiterfassung!$D$6:$D$3665&lt;&gt;""),385),"")</f>
        <v/>
      </c>
    </row>
    <row r="391" ht="20" customHeight="1">
      <c r="A391" s="183">
        <f>IF($K391="","",WEEKNUM(INDEX(Zeiterfassung!$K$6:$K$3665,$K391),21))</f>
        <v/>
      </c>
      <c r="B391" s="184">
        <f>IF($K391="","",INDEX(Zeiterfassung!$K$6:$K$3665,$K391))</f>
        <v/>
      </c>
      <c r="C391" s="185">
        <f>IF($K391="","",INDEX(Zeiterfassung!$K$6:$K$3665,$K391))</f>
        <v/>
      </c>
      <c r="D391" s="186">
        <f>IF($K391="","",INDEX(Zeiterfassung!$D$6:$D$3665,$K391))</f>
        <v/>
      </c>
      <c r="E391" s="186">
        <f>IF($K391="","",INDEX(Zeiterfassung!$E$6:$E$3665,$K391))</f>
        <v/>
      </c>
      <c r="F391" s="187">
        <f>IF($K391="","",INDEX(Zeiterfassung!$F$6:$F$3665,$K391))</f>
        <v/>
      </c>
      <c r="G391" s="187">
        <f>IF($K391="","",INDEX(Zeiterfassung!$G$6:$G$3665,$K391))</f>
        <v/>
      </c>
      <c r="H391" s="188">
        <f>IF($K391="","",INDEX(Zeiterfassung!$H$6:$H$3665,$K391))</f>
        <v/>
      </c>
      <c r="I391" s="335">
        <f>IF(B391=B390,"",IF($K391="","",INDEX(Zeiterfassung!$I$6:$I$3665,MATCH(INDEX(Zeiterfassung!$K$6:$K$3665,$K391),Zeiterfassung!$K$6:$K$3665,0))))</f>
        <v/>
      </c>
      <c r="J391" s="335">
        <f>IF(B391=B390,"",IF($K391="","",INDEX(Zeiterfassung!$J$6:$J$3665,MATCH(INDEX(Zeiterfassung!$K$6:$K$3665,$K391),Zeiterfassung!$K$6:$K$3665,0))))</f>
        <v/>
      </c>
      <c r="K391">
        <f>IFERROR(AGGREGATE(15,6,(ROW(Zeiterfassung!$D$6:$D$3665)-ROW(Zeiterfassung!$D$6)+1)/(Zeiterfassung!$D$6:$D$3665&lt;&gt;""),386),"")</f>
        <v/>
      </c>
    </row>
    <row r="392" ht="20" customHeight="1">
      <c r="A392" s="183">
        <f>IF($K392="","",WEEKNUM(INDEX(Zeiterfassung!$K$6:$K$3665,$K392),21))</f>
        <v/>
      </c>
      <c r="B392" s="184">
        <f>IF($K392="","",INDEX(Zeiterfassung!$K$6:$K$3665,$K392))</f>
        <v/>
      </c>
      <c r="C392" s="185">
        <f>IF($K392="","",INDEX(Zeiterfassung!$K$6:$K$3665,$K392))</f>
        <v/>
      </c>
      <c r="D392" s="186">
        <f>IF($K392="","",INDEX(Zeiterfassung!$D$6:$D$3665,$K392))</f>
        <v/>
      </c>
      <c r="E392" s="186">
        <f>IF($K392="","",INDEX(Zeiterfassung!$E$6:$E$3665,$K392))</f>
        <v/>
      </c>
      <c r="F392" s="187">
        <f>IF($K392="","",INDEX(Zeiterfassung!$F$6:$F$3665,$K392))</f>
        <v/>
      </c>
      <c r="G392" s="187">
        <f>IF($K392="","",INDEX(Zeiterfassung!$G$6:$G$3665,$K392))</f>
        <v/>
      </c>
      <c r="H392" s="188">
        <f>IF($K392="","",INDEX(Zeiterfassung!$H$6:$H$3665,$K392))</f>
        <v/>
      </c>
      <c r="I392" s="335">
        <f>IF(B392=B391,"",IF($K392="","",INDEX(Zeiterfassung!$I$6:$I$3665,MATCH(INDEX(Zeiterfassung!$K$6:$K$3665,$K392),Zeiterfassung!$K$6:$K$3665,0))))</f>
        <v/>
      </c>
      <c r="J392" s="335">
        <f>IF(B392=B391,"",IF($K392="","",INDEX(Zeiterfassung!$J$6:$J$3665,MATCH(INDEX(Zeiterfassung!$K$6:$K$3665,$K392),Zeiterfassung!$K$6:$K$3665,0))))</f>
        <v/>
      </c>
      <c r="K392">
        <f>IFERROR(AGGREGATE(15,6,(ROW(Zeiterfassung!$D$6:$D$3665)-ROW(Zeiterfassung!$D$6)+1)/(Zeiterfassung!$D$6:$D$3665&lt;&gt;""),387),"")</f>
        <v/>
      </c>
    </row>
    <row r="393" ht="20" customHeight="1">
      <c r="A393" s="183">
        <f>IF($K393="","",WEEKNUM(INDEX(Zeiterfassung!$K$6:$K$3665,$K393),21))</f>
        <v/>
      </c>
      <c r="B393" s="184">
        <f>IF($K393="","",INDEX(Zeiterfassung!$K$6:$K$3665,$K393))</f>
        <v/>
      </c>
      <c r="C393" s="185">
        <f>IF($K393="","",INDEX(Zeiterfassung!$K$6:$K$3665,$K393))</f>
        <v/>
      </c>
      <c r="D393" s="186">
        <f>IF($K393="","",INDEX(Zeiterfassung!$D$6:$D$3665,$K393))</f>
        <v/>
      </c>
      <c r="E393" s="186">
        <f>IF($K393="","",INDEX(Zeiterfassung!$E$6:$E$3665,$K393))</f>
        <v/>
      </c>
      <c r="F393" s="187">
        <f>IF($K393="","",INDEX(Zeiterfassung!$F$6:$F$3665,$K393))</f>
        <v/>
      </c>
      <c r="G393" s="187">
        <f>IF($K393="","",INDEX(Zeiterfassung!$G$6:$G$3665,$K393))</f>
        <v/>
      </c>
      <c r="H393" s="188">
        <f>IF($K393="","",INDEX(Zeiterfassung!$H$6:$H$3665,$K393))</f>
        <v/>
      </c>
      <c r="I393" s="335">
        <f>IF(B393=B392,"",IF($K393="","",INDEX(Zeiterfassung!$I$6:$I$3665,MATCH(INDEX(Zeiterfassung!$K$6:$K$3665,$K393),Zeiterfassung!$K$6:$K$3665,0))))</f>
        <v/>
      </c>
      <c r="J393" s="335">
        <f>IF(B393=B392,"",IF($K393="","",INDEX(Zeiterfassung!$J$6:$J$3665,MATCH(INDEX(Zeiterfassung!$K$6:$K$3665,$K393),Zeiterfassung!$K$6:$K$3665,0))))</f>
        <v/>
      </c>
      <c r="K393">
        <f>IFERROR(AGGREGATE(15,6,(ROW(Zeiterfassung!$D$6:$D$3665)-ROW(Zeiterfassung!$D$6)+1)/(Zeiterfassung!$D$6:$D$3665&lt;&gt;""),388),"")</f>
        <v/>
      </c>
    </row>
    <row r="394" ht="20" customHeight="1">
      <c r="A394" s="183">
        <f>IF($K394="","",WEEKNUM(INDEX(Zeiterfassung!$K$6:$K$3665,$K394),21))</f>
        <v/>
      </c>
      <c r="B394" s="184">
        <f>IF($K394="","",INDEX(Zeiterfassung!$K$6:$K$3665,$K394))</f>
        <v/>
      </c>
      <c r="C394" s="185">
        <f>IF($K394="","",INDEX(Zeiterfassung!$K$6:$K$3665,$K394))</f>
        <v/>
      </c>
      <c r="D394" s="186">
        <f>IF($K394="","",INDEX(Zeiterfassung!$D$6:$D$3665,$K394))</f>
        <v/>
      </c>
      <c r="E394" s="186">
        <f>IF($K394="","",INDEX(Zeiterfassung!$E$6:$E$3665,$K394))</f>
        <v/>
      </c>
      <c r="F394" s="187">
        <f>IF($K394="","",INDEX(Zeiterfassung!$F$6:$F$3665,$K394))</f>
        <v/>
      </c>
      <c r="G394" s="187">
        <f>IF($K394="","",INDEX(Zeiterfassung!$G$6:$G$3665,$K394))</f>
        <v/>
      </c>
      <c r="H394" s="188">
        <f>IF($K394="","",INDEX(Zeiterfassung!$H$6:$H$3665,$K394))</f>
        <v/>
      </c>
      <c r="I394" s="335">
        <f>IF(B394=B393,"",IF($K394="","",INDEX(Zeiterfassung!$I$6:$I$3665,MATCH(INDEX(Zeiterfassung!$K$6:$K$3665,$K394),Zeiterfassung!$K$6:$K$3665,0))))</f>
        <v/>
      </c>
      <c r="J394" s="335">
        <f>IF(B394=B393,"",IF($K394="","",INDEX(Zeiterfassung!$J$6:$J$3665,MATCH(INDEX(Zeiterfassung!$K$6:$K$3665,$K394),Zeiterfassung!$K$6:$K$3665,0))))</f>
        <v/>
      </c>
      <c r="K394">
        <f>IFERROR(AGGREGATE(15,6,(ROW(Zeiterfassung!$D$6:$D$3665)-ROW(Zeiterfassung!$D$6)+1)/(Zeiterfassung!$D$6:$D$3665&lt;&gt;""),389),"")</f>
        <v/>
      </c>
    </row>
    <row r="395" ht="20" customHeight="1">
      <c r="A395" s="183">
        <f>IF($K395="","",WEEKNUM(INDEX(Zeiterfassung!$K$6:$K$3665,$K395),21))</f>
        <v/>
      </c>
      <c r="B395" s="184">
        <f>IF($K395="","",INDEX(Zeiterfassung!$K$6:$K$3665,$K395))</f>
        <v/>
      </c>
      <c r="C395" s="185">
        <f>IF($K395="","",INDEX(Zeiterfassung!$K$6:$K$3665,$K395))</f>
        <v/>
      </c>
      <c r="D395" s="186">
        <f>IF($K395="","",INDEX(Zeiterfassung!$D$6:$D$3665,$K395))</f>
        <v/>
      </c>
      <c r="E395" s="186">
        <f>IF($K395="","",INDEX(Zeiterfassung!$E$6:$E$3665,$K395))</f>
        <v/>
      </c>
      <c r="F395" s="187">
        <f>IF($K395="","",INDEX(Zeiterfassung!$F$6:$F$3665,$K395))</f>
        <v/>
      </c>
      <c r="G395" s="187">
        <f>IF($K395="","",INDEX(Zeiterfassung!$G$6:$G$3665,$K395))</f>
        <v/>
      </c>
      <c r="H395" s="188">
        <f>IF($K395="","",INDEX(Zeiterfassung!$H$6:$H$3665,$K395))</f>
        <v/>
      </c>
      <c r="I395" s="335">
        <f>IF(B395=B394,"",IF($K395="","",INDEX(Zeiterfassung!$I$6:$I$3665,MATCH(INDEX(Zeiterfassung!$K$6:$K$3665,$K395),Zeiterfassung!$K$6:$K$3665,0))))</f>
        <v/>
      </c>
      <c r="J395" s="335">
        <f>IF(B395=B394,"",IF($K395="","",INDEX(Zeiterfassung!$J$6:$J$3665,MATCH(INDEX(Zeiterfassung!$K$6:$K$3665,$K395),Zeiterfassung!$K$6:$K$3665,0))))</f>
        <v/>
      </c>
      <c r="K395">
        <f>IFERROR(AGGREGATE(15,6,(ROW(Zeiterfassung!$D$6:$D$3665)-ROW(Zeiterfassung!$D$6)+1)/(Zeiterfassung!$D$6:$D$3665&lt;&gt;""),390),"")</f>
        <v/>
      </c>
    </row>
    <row r="396" ht="20" customHeight="1">
      <c r="A396" s="183">
        <f>IF($K396="","",WEEKNUM(INDEX(Zeiterfassung!$K$6:$K$3665,$K396),21))</f>
        <v/>
      </c>
      <c r="B396" s="184">
        <f>IF($K396="","",INDEX(Zeiterfassung!$K$6:$K$3665,$K396))</f>
        <v/>
      </c>
      <c r="C396" s="185">
        <f>IF($K396="","",INDEX(Zeiterfassung!$K$6:$K$3665,$K396))</f>
        <v/>
      </c>
      <c r="D396" s="186">
        <f>IF($K396="","",INDEX(Zeiterfassung!$D$6:$D$3665,$K396))</f>
        <v/>
      </c>
      <c r="E396" s="186">
        <f>IF($K396="","",INDEX(Zeiterfassung!$E$6:$E$3665,$K396))</f>
        <v/>
      </c>
      <c r="F396" s="187">
        <f>IF($K396="","",INDEX(Zeiterfassung!$F$6:$F$3665,$K396))</f>
        <v/>
      </c>
      <c r="G396" s="187">
        <f>IF($K396="","",INDEX(Zeiterfassung!$G$6:$G$3665,$K396))</f>
        <v/>
      </c>
      <c r="H396" s="188">
        <f>IF($K396="","",INDEX(Zeiterfassung!$H$6:$H$3665,$K396))</f>
        <v/>
      </c>
      <c r="I396" s="335">
        <f>IF(B396=B395,"",IF($K396="","",INDEX(Zeiterfassung!$I$6:$I$3665,MATCH(INDEX(Zeiterfassung!$K$6:$K$3665,$K396),Zeiterfassung!$K$6:$K$3665,0))))</f>
        <v/>
      </c>
      <c r="J396" s="335">
        <f>IF(B396=B395,"",IF($K396="","",INDEX(Zeiterfassung!$J$6:$J$3665,MATCH(INDEX(Zeiterfassung!$K$6:$K$3665,$K396),Zeiterfassung!$K$6:$K$3665,0))))</f>
        <v/>
      </c>
      <c r="K396">
        <f>IFERROR(AGGREGATE(15,6,(ROW(Zeiterfassung!$D$6:$D$3665)-ROW(Zeiterfassung!$D$6)+1)/(Zeiterfassung!$D$6:$D$3665&lt;&gt;""),391),"")</f>
        <v/>
      </c>
    </row>
    <row r="397" ht="20" customHeight="1">
      <c r="A397" s="183">
        <f>IF($K397="","",WEEKNUM(INDEX(Zeiterfassung!$K$6:$K$3665,$K397),21))</f>
        <v/>
      </c>
      <c r="B397" s="184">
        <f>IF($K397="","",INDEX(Zeiterfassung!$K$6:$K$3665,$K397))</f>
        <v/>
      </c>
      <c r="C397" s="185">
        <f>IF($K397="","",INDEX(Zeiterfassung!$K$6:$K$3665,$K397))</f>
        <v/>
      </c>
      <c r="D397" s="186">
        <f>IF($K397="","",INDEX(Zeiterfassung!$D$6:$D$3665,$K397))</f>
        <v/>
      </c>
      <c r="E397" s="186">
        <f>IF($K397="","",INDEX(Zeiterfassung!$E$6:$E$3665,$K397))</f>
        <v/>
      </c>
      <c r="F397" s="187">
        <f>IF($K397="","",INDEX(Zeiterfassung!$F$6:$F$3665,$K397))</f>
        <v/>
      </c>
      <c r="G397" s="187">
        <f>IF($K397="","",INDEX(Zeiterfassung!$G$6:$G$3665,$K397))</f>
        <v/>
      </c>
      <c r="H397" s="188">
        <f>IF($K397="","",INDEX(Zeiterfassung!$H$6:$H$3665,$K397))</f>
        <v/>
      </c>
      <c r="I397" s="335">
        <f>IF(B397=B396,"",IF($K397="","",INDEX(Zeiterfassung!$I$6:$I$3665,MATCH(INDEX(Zeiterfassung!$K$6:$K$3665,$K397),Zeiterfassung!$K$6:$K$3665,0))))</f>
        <v/>
      </c>
      <c r="J397" s="335">
        <f>IF(B397=B396,"",IF($K397="","",INDEX(Zeiterfassung!$J$6:$J$3665,MATCH(INDEX(Zeiterfassung!$K$6:$K$3665,$K397),Zeiterfassung!$K$6:$K$3665,0))))</f>
        <v/>
      </c>
      <c r="K397">
        <f>IFERROR(AGGREGATE(15,6,(ROW(Zeiterfassung!$D$6:$D$3665)-ROW(Zeiterfassung!$D$6)+1)/(Zeiterfassung!$D$6:$D$3665&lt;&gt;""),392),"")</f>
        <v/>
      </c>
    </row>
    <row r="398" ht="20" customHeight="1">
      <c r="A398" s="183">
        <f>IF($K398="","",WEEKNUM(INDEX(Zeiterfassung!$K$6:$K$3665,$K398),21))</f>
        <v/>
      </c>
      <c r="B398" s="184">
        <f>IF($K398="","",INDEX(Zeiterfassung!$K$6:$K$3665,$K398))</f>
        <v/>
      </c>
      <c r="C398" s="185">
        <f>IF($K398="","",INDEX(Zeiterfassung!$K$6:$K$3665,$K398))</f>
        <v/>
      </c>
      <c r="D398" s="186">
        <f>IF($K398="","",INDEX(Zeiterfassung!$D$6:$D$3665,$K398))</f>
        <v/>
      </c>
      <c r="E398" s="186">
        <f>IF($K398="","",INDEX(Zeiterfassung!$E$6:$E$3665,$K398))</f>
        <v/>
      </c>
      <c r="F398" s="187">
        <f>IF($K398="","",INDEX(Zeiterfassung!$F$6:$F$3665,$K398))</f>
        <v/>
      </c>
      <c r="G398" s="187">
        <f>IF($K398="","",INDEX(Zeiterfassung!$G$6:$G$3665,$K398))</f>
        <v/>
      </c>
      <c r="H398" s="188">
        <f>IF($K398="","",INDEX(Zeiterfassung!$H$6:$H$3665,$K398))</f>
        <v/>
      </c>
      <c r="I398" s="335">
        <f>IF(B398=B397,"",IF($K398="","",INDEX(Zeiterfassung!$I$6:$I$3665,MATCH(INDEX(Zeiterfassung!$K$6:$K$3665,$K398),Zeiterfassung!$K$6:$K$3665,0))))</f>
        <v/>
      </c>
      <c r="J398" s="335">
        <f>IF(B398=B397,"",IF($K398="","",INDEX(Zeiterfassung!$J$6:$J$3665,MATCH(INDEX(Zeiterfassung!$K$6:$K$3665,$K398),Zeiterfassung!$K$6:$K$3665,0))))</f>
        <v/>
      </c>
      <c r="K398">
        <f>IFERROR(AGGREGATE(15,6,(ROW(Zeiterfassung!$D$6:$D$3665)-ROW(Zeiterfassung!$D$6)+1)/(Zeiterfassung!$D$6:$D$3665&lt;&gt;""),393),"")</f>
        <v/>
      </c>
    </row>
    <row r="399" ht="20" customHeight="1">
      <c r="A399" s="183">
        <f>IF($K399="","",WEEKNUM(INDEX(Zeiterfassung!$K$6:$K$3665,$K399),21))</f>
        <v/>
      </c>
      <c r="B399" s="184">
        <f>IF($K399="","",INDEX(Zeiterfassung!$K$6:$K$3665,$K399))</f>
        <v/>
      </c>
      <c r="C399" s="185">
        <f>IF($K399="","",INDEX(Zeiterfassung!$K$6:$K$3665,$K399))</f>
        <v/>
      </c>
      <c r="D399" s="186">
        <f>IF($K399="","",INDEX(Zeiterfassung!$D$6:$D$3665,$K399))</f>
        <v/>
      </c>
      <c r="E399" s="186">
        <f>IF($K399="","",INDEX(Zeiterfassung!$E$6:$E$3665,$K399))</f>
        <v/>
      </c>
      <c r="F399" s="187">
        <f>IF($K399="","",INDEX(Zeiterfassung!$F$6:$F$3665,$K399))</f>
        <v/>
      </c>
      <c r="G399" s="187">
        <f>IF($K399="","",INDEX(Zeiterfassung!$G$6:$G$3665,$K399))</f>
        <v/>
      </c>
      <c r="H399" s="188">
        <f>IF($K399="","",INDEX(Zeiterfassung!$H$6:$H$3665,$K399))</f>
        <v/>
      </c>
      <c r="I399" s="335">
        <f>IF(B399=B398,"",IF($K399="","",INDEX(Zeiterfassung!$I$6:$I$3665,MATCH(INDEX(Zeiterfassung!$K$6:$K$3665,$K399),Zeiterfassung!$K$6:$K$3665,0))))</f>
        <v/>
      </c>
      <c r="J399" s="335">
        <f>IF(B399=B398,"",IF($K399="","",INDEX(Zeiterfassung!$J$6:$J$3665,MATCH(INDEX(Zeiterfassung!$K$6:$K$3665,$K399),Zeiterfassung!$K$6:$K$3665,0))))</f>
        <v/>
      </c>
      <c r="K399">
        <f>IFERROR(AGGREGATE(15,6,(ROW(Zeiterfassung!$D$6:$D$3665)-ROW(Zeiterfassung!$D$6)+1)/(Zeiterfassung!$D$6:$D$3665&lt;&gt;""),394),"")</f>
        <v/>
      </c>
    </row>
    <row r="400" ht="20" customHeight="1">
      <c r="A400" s="183">
        <f>IF($K400="","",WEEKNUM(INDEX(Zeiterfassung!$K$6:$K$3665,$K400),21))</f>
        <v/>
      </c>
      <c r="B400" s="184">
        <f>IF($K400="","",INDEX(Zeiterfassung!$K$6:$K$3665,$K400))</f>
        <v/>
      </c>
      <c r="C400" s="185">
        <f>IF($K400="","",INDEX(Zeiterfassung!$K$6:$K$3665,$K400))</f>
        <v/>
      </c>
      <c r="D400" s="186">
        <f>IF($K400="","",INDEX(Zeiterfassung!$D$6:$D$3665,$K400))</f>
        <v/>
      </c>
      <c r="E400" s="186">
        <f>IF($K400="","",INDEX(Zeiterfassung!$E$6:$E$3665,$K400))</f>
        <v/>
      </c>
      <c r="F400" s="187">
        <f>IF($K400="","",INDEX(Zeiterfassung!$F$6:$F$3665,$K400))</f>
        <v/>
      </c>
      <c r="G400" s="187">
        <f>IF($K400="","",INDEX(Zeiterfassung!$G$6:$G$3665,$K400))</f>
        <v/>
      </c>
      <c r="H400" s="188">
        <f>IF($K400="","",INDEX(Zeiterfassung!$H$6:$H$3665,$K400))</f>
        <v/>
      </c>
      <c r="I400" s="335">
        <f>IF(B400=B399,"",IF($K400="","",INDEX(Zeiterfassung!$I$6:$I$3665,MATCH(INDEX(Zeiterfassung!$K$6:$K$3665,$K400),Zeiterfassung!$K$6:$K$3665,0))))</f>
        <v/>
      </c>
      <c r="J400" s="335">
        <f>IF(B400=B399,"",IF($K400="","",INDEX(Zeiterfassung!$J$6:$J$3665,MATCH(INDEX(Zeiterfassung!$K$6:$K$3665,$K400),Zeiterfassung!$K$6:$K$3665,0))))</f>
        <v/>
      </c>
      <c r="K400">
        <f>IFERROR(AGGREGATE(15,6,(ROW(Zeiterfassung!$D$6:$D$3665)-ROW(Zeiterfassung!$D$6)+1)/(Zeiterfassung!$D$6:$D$3665&lt;&gt;""),395),"")</f>
        <v/>
      </c>
    </row>
    <row r="401" ht="20" customHeight="1">
      <c r="A401" s="183">
        <f>IF($K401="","",WEEKNUM(INDEX(Zeiterfassung!$K$6:$K$3665,$K401),21))</f>
        <v/>
      </c>
      <c r="B401" s="184">
        <f>IF($K401="","",INDEX(Zeiterfassung!$K$6:$K$3665,$K401))</f>
        <v/>
      </c>
      <c r="C401" s="185">
        <f>IF($K401="","",INDEX(Zeiterfassung!$K$6:$K$3665,$K401))</f>
        <v/>
      </c>
      <c r="D401" s="186">
        <f>IF($K401="","",INDEX(Zeiterfassung!$D$6:$D$3665,$K401))</f>
        <v/>
      </c>
      <c r="E401" s="186">
        <f>IF($K401="","",INDEX(Zeiterfassung!$E$6:$E$3665,$K401))</f>
        <v/>
      </c>
      <c r="F401" s="187">
        <f>IF($K401="","",INDEX(Zeiterfassung!$F$6:$F$3665,$K401))</f>
        <v/>
      </c>
      <c r="G401" s="187">
        <f>IF($K401="","",INDEX(Zeiterfassung!$G$6:$G$3665,$K401))</f>
        <v/>
      </c>
      <c r="H401" s="188">
        <f>IF($K401="","",INDEX(Zeiterfassung!$H$6:$H$3665,$K401))</f>
        <v/>
      </c>
      <c r="I401" s="335">
        <f>IF(B401=B400,"",IF($K401="","",INDEX(Zeiterfassung!$I$6:$I$3665,MATCH(INDEX(Zeiterfassung!$K$6:$K$3665,$K401),Zeiterfassung!$K$6:$K$3665,0))))</f>
        <v/>
      </c>
      <c r="J401" s="335">
        <f>IF(B401=B400,"",IF($K401="","",INDEX(Zeiterfassung!$J$6:$J$3665,MATCH(INDEX(Zeiterfassung!$K$6:$K$3665,$K401),Zeiterfassung!$K$6:$K$3665,0))))</f>
        <v/>
      </c>
      <c r="K401">
        <f>IFERROR(AGGREGATE(15,6,(ROW(Zeiterfassung!$D$6:$D$3665)-ROW(Zeiterfassung!$D$6)+1)/(Zeiterfassung!$D$6:$D$3665&lt;&gt;""),396),"")</f>
        <v/>
      </c>
    </row>
    <row r="402" ht="20" customHeight="1">
      <c r="A402" s="183">
        <f>IF($K402="","",WEEKNUM(INDEX(Zeiterfassung!$K$6:$K$3665,$K402),21))</f>
        <v/>
      </c>
      <c r="B402" s="184">
        <f>IF($K402="","",INDEX(Zeiterfassung!$K$6:$K$3665,$K402))</f>
        <v/>
      </c>
      <c r="C402" s="185">
        <f>IF($K402="","",INDEX(Zeiterfassung!$K$6:$K$3665,$K402))</f>
        <v/>
      </c>
      <c r="D402" s="186">
        <f>IF($K402="","",INDEX(Zeiterfassung!$D$6:$D$3665,$K402))</f>
        <v/>
      </c>
      <c r="E402" s="186">
        <f>IF($K402="","",INDEX(Zeiterfassung!$E$6:$E$3665,$K402))</f>
        <v/>
      </c>
      <c r="F402" s="187">
        <f>IF($K402="","",INDEX(Zeiterfassung!$F$6:$F$3665,$K402))</f>
        <v/>
      </c>
      <c r="G402" s="187">
        <f>IF($K402="","",INDEX(Zeiterfassung!$G$6:$G$3665,$K402))</f>
        <v/>
      </c>
      <c r="H402" s="188">
        <f>IF($K402="","",INDEX(Zeiterfassung!$H$6:$H$3665,$K402))</f>
        <v/>
      </c>
      <c r="I402" s="335">
        <f>IF(B402=B401,"",IF($K402="","",INDEX(Zeiterfassung!$I$6:$I$3665,MATCH(INDEX(Zeiterfassung!$K$6:$K$3665,$K402),Zeiterfassung!$K$6:$K$3665,0))))</f>
        <v/>
      </c>
      <c r="J402" s="335">
        <f>IF(B402=B401,"",IF($K402="","",INDEX(Zeiterfassung!$J$6:$J$3665,MATCH(INDEX(Zeiterfassung!$K$6:$K$3665,$K402),Zeiterfassung!$K$6:$K$3665,0))))</f>
        <v/>
      </c>
      <c r="K402">
        <f>IFERROR(AGGREGATE(15,6,(ROW(Zeiterfassung!$D$6:$D$3665)-ROW(Zeiterfassung!$D$6)+1)/(Zeiterfassung!$D$6:$D$3665&lt;&gt;""),397),"")</f>
        <v/>
      </c>
    </row>
    <row r="403" ht="20" customHeight="1">
      <c r="A403" s="183">
        <f>IF($K403="","",WEEKNUM(INDEX(Zeiterfassung!$K$6:$K$3665,$K403),21))</f>
        <v/>
      </c>
      <c r="B403" s="184">
        <f>IF($K403="","",INDEX(Zeiterfassung!$K$6:$K$3665,$K403))</f>
        <v/>
      </c>
      <c r="C403" s="185">
        <f>IF($K403="","",INDEX(Zeiterfassung!$K$6:$K$3665,$K403))</f>
        <v/>
      </c>
      <c r="D403" s="186">
        <f>IF($K403="","",INDEX(Zeiterfassung!$D$6:$D$3665,$K403))</f>
        <v/>
      </c>
      <c r="E403" s="186">
        <f>IF($K403="","",INDEX(Zeiterfassung!$E$6:$E$3665,$K403))</f>
        <v/>
      </c>
      <c r="F403" s="187">
        <f>IF($K403="","",INDEX(Zeiterfassung!$F$6:$F$3665,$K403))</f>
        <v/>
      </c>
      <c r="G403" s="187">
        <f>IF($K403="","",INDEX(Zeiterfassung!$G$6:$G$3665,$K403))</f>
        <v/>
      </c>
      <c r="H403" s="188">
        <f>IF($K403="","",INDEX(Zeiterfassung!$H$6:$H$3665,$K403))</f>
        <v/>
      </c>
      <c r="I403" s="335">
        <f>IF(B403=B402,"",IF($K403="","",INDEX(Zeiterfassung!$I$6:$I$3665,MATCH(INDEX(Zeiterfassung!$K$6:$K$3665,$K403),Zeiterfassung!$K$6:$K$3665,0))))</f>
        <v/>
      </c>
      <c r="J403" s="335">
        <f>IF(B403=B402,"",IF($K403="","",INDEX(Zeiterfassung!$J$6:$J$3665,MATCH(INDEX(Zeiterfassung!$K$6:$K$3665,$K403),Zeiterfassung!$K$6:$K$3665,0))))</f>
        <v/>
      </c>
      <c r="K403">
        <f>IFERROR(AGGREGATE(15,6,(ROW(Zeiterfassung!$D$6:$D$3665)-ROW(Zeiterfassung!$D$6)+1)/(Zeiterfassung!$D$6:$D$3665&lt;&gt;""),398),"")</f>
        <v/>
      </c>
    </row>
    <row r="404" ht="20" customHeight="1">
      <c r="A404" s="183">
        <f>IF($K404="","",WEEKNUM(INDEX(Zeiterfassung!$K$6:$K$3665,$K404),21))</f>
        <v/>
      </c>
      <c r="B404" s="184">
        <f>IF($K404="","",INDEX(Zeiterfassung!$K$6:$K$3665,$K404))</f>
        <v/>
      </c>
      <c r="C404" s="185">
        <f>IF($K404="","",INDEX(Zeiterfassung!$K$6:$K$3665,$K404))</f>
        <v/>
      </c>
      <c r="D404" s="186">
        <f>IF($K404="","",INDEX(Zeiterfassung!$D$6:$D$3665,$K404))</f>
        <v/>
      </c>
      <c r="E404" s="186">
        <f>IF($K404="","",INDEX(Zeiterfassung!$E$6:$E$3665,$K404))</f>
        <v/>
      </c>
      <c r="F404" s="187">
        <f>IF($K404="","",INDEX(Zeiterfassung!$F$6:$F$3665,$K404))</f>
        <v/>
      </c>
      <c r="G404" s="187">
        <f>IF($K404="","",INDEX(Zeiterfassung!$G$6:$G$3665,$K404))</f>
        <v/>
      </c>
      <c r="H404" s="188">
        <f>IF($K404="","",INDEX(Zeiterfassung!$H$6:$H$3665,$K404))</f>
        <v/>
      </c>
      <c r="I404" s="335">
        <f>IF(B404=B403,"",IF($K404="","",INDEX(Zeiterfassung!$I$6:$I$3665,MATCH(INDEX(Zeiterfassung!$K$6:$K$3665,$K404),Zeiterfassung!$K$6:$K$3665,0))))</f>
        <v/>
      </c>
      <c r="J404" s="335">
        <f>IF(B404=B403,"",IF($K404="","",INDEX(Zeiterfassung!$J$6:$J$3665,MATCH(INDEX(Zeiterfassung!$K$6:$K$3665,$K404),Zeiterfassung!$K$6:$K$3665,0))))</f>
        <v/>
      </c>
      <c r="K404">
        <f>IFERROR(AGGREGATE(15,6,(ROW(Zeiterfassung!$D$6:$D$3665)-ROW(Zeiterfassung!$D$6)+1)/(Zeiterfassung!$D$6:$D$3665&lt;&gt;""),399),"")</f>
        <v/>
      </c>
    </row>
    <row r="405" ht="20" customHeight="1">
      <c r="A405" s="183">
        <f>IF($K405="","",WEEKNUM(INDEX(Zeiterfassung!$K$6:$K$3665,$K405),21))</f>
        <v/>
      </c>
      <c r="B405" s="184">
        <f>IF($K405="","",INDEX(Zeiterfassung!$K$6:$K$3665,$K405))</f>
        <v/>
      </c>
      <c r="C405" s="185">
        <f>IF($K405="","",INDEX(Zeiterfassung!$K$6:$K$3665,$K405))</f>
        <v/>
      </c>
      <c r="D405" s="186">
        <f>IF($K405="","",INDEX(Zeiterfassung!$D$6:$D$3665,$K405))</f>
        <v/>
      </c>
      <c r="E405" s="186">
        <f>IF($K405="","",INDEX(Zeiterfassung!$E$6:$E$3665,$K405))</f>
        <v/>
      </c>
      <c r="F405" s="187">
        <f>IF($K405="","",INDEX(Zeiterfassung!$F$6:$F$3665,$K405))</f>
        <v/>
      </c>
      <c r="G405" s="187">
        <f>IF($K405="","",INDEX(Zeiterfassung!$G$6:$G$3665,$K405))</f>
        <v/>
      </c>
      <c r="H405" s="188">
        <f>IF($K405="","",INDEX(Zeiterfassung!$H$6:$H$3665,$K405))</f>
        <v/>
      </c>
      <c r="I405" s="335">
        <f>IF(B405=B404,"",IF($K405="","",INDEX(Zeiterfassung!$I$6:$I$3665,MATCH(INDEX(Zeiterfassung!$K$6:$K$3665,$K405),Zeiterfassung!$K$6:$K$3665,0))))</f>
        <v/>
      </c>
      <c r="J405" s="335">
        <f>IF(B405=B404,"",IF($K405="","",INDEX(Zeiterfassung!$J$6:$J$3665,MATCH(INDEX(Zeiterfassung!$K$6:$K$3665,$K405),Zeiterfassung!$K$6:$K$3665,0))))</f>
        <v/>
      </c>
      <c r="K405">
        <f>IFERROR(AGGREGATE(15,6,(ROW(Zeiterfassung!$D$6:$D$3665)-ROW(Zeiterfassung!$D$6)+1)/(Zeiterfassung!$D$6:$D$3665&lt;&gt;""),400),"")</f>
        <v/>
      </c>
    </row>
    <row r="406" ht="20" customHeight="1">
      <c r="A406" s="183">
        <f>IF($K406="","",WEEKNUM(INDEX(Zeiterfassung!$K$6:$K$3665,$K406),21))</f>
        <v/>
      </c>
      <c r="B406" s="184">
        <f>IF($K406="","",INDEX(Zeiterfassung!$K$6:$K$3665,$K406))</f>
        <v/>
      </c>
      <c r="C406" s="185">
        <f>IF($K406="","",INDEX(Zeiterfassung!$K$6:$K$3665,$K406))</f>
        <v/>
      </c>
      <c r="D406" s="186">
        <f>IF($K406="","",INDEX(Zeiterfassung!$D$6:$D$3665,$K406))</f>
        <v/>
      </c>
      <c r="E406" s="186">
        <f>IF($K406="","",INDEX(Zeiterfassung!$E$6:$E$3665,$K406))</f>
        <v/>
      </c>
      <c r="F406" s="187">
        <f>IF($K406="","",INDEX(Zeiterfassung!$F$6:$F$3665,$K406))</f>
        <v/>
      </c>
      <c r="G406" s="187">
        <f>IF($K406="","",INDEX(Zeiterfassung!$G$6:$G$3665,$K406))</f>
        <v/>
      </c>
      <c r="H406" s="188">
        <f>IF($K406="","",INDEX(Zeiterfassung!$H$6:$H$3665,$K406))</f>
        <v/>
      </c>
      <c r="I406" s="335">
        <f>IF(B406=B405,"",IF($K406="","",INDEX(Zeiterfassung!$I$6:$I$3665,MATCH(INDEX(Zeiterfassung!$K$6:$K$3665,$K406),Zeiterfassung!$K$6:$K$3665,0))))</f>
        <v/>
      </c>
      <c r="J406" s="335">
        <f>IF(B406=B405,"",IF($K406="","",INDEX(Zeiterfassung!$J$6:$J$3665,MATCH(INDEX(Zeiterfassung!$K$6:$K$3665,$K406),Zeiterfassung!$K$6:$K$3665,0))))</f>
        <v/>
      </c>
      <c r="K406">
        <f>IFERROR(AGGREGATE(15,6,(ROW(Zeiterfassung!$D$6:$D$3665)-ROW(Zeiterfassung!$D$6)+1)/(Zeiterfassung!$D$6:$D$3665&lt;&gt;""),401),"")</f>
        <v/>
      </c>
    </row>
    <row r="407" ht="20" customHeight="1">
      <c r="A407" s="183">
        <f>IF($K407="","",WEEKNUM(INDEX(Zeiterfassung!$K$6:$K$3665,$K407),21))</f>
        <v/>
      </c>
      <c r="B407" s="184">
        <f>IF($K407="","",INDEX(Zeiterfassung!$K$6:$K$3665,$K407))</f>
        <v/>
      </c>
      <c r="C407" s="185">
        <f>IF($K407="","",INDEX(Zeiterfassung!$K$6:$K$3665,$K407))</f>
        <v/>
      </c>
      <c r="D407" s="186">
        <f>IF($K407="","",INDEX(Zeiterfassung!$D$6:$D$3665,$K407))</f>
        <v/>
      </c>
      <c r="E407" s="186">
        <f>IF($K407="","",INDEX(Zeiterfassung!$E$6:$E$3665,$K407))</f>
        <v/>
      </c>
      <c r="F407" s="187">
        <f>IF($K407="","",INDEX(Zeiterfassung!$F$6:$F$3665,$K407))</f>
        <v/>
      </c>
      <c r="G407" s="187">
        <f>IF($K407="","",INDEX(Zeiterfassung!$G$6:$G$3665,$K407))</f>
        <v/>
      </c>
      <c r="H407" s="188">
        <f>IF($K407="","",INDEX(Zeiterfassung!$H$6:$H$3665,$K407))</f>
        <v/>
      </c>
      <c r="I407" s="335">
        <f>IF(B407=B406,"",IF($K407="","",INDEX(Zeiterfassung!$I$6:$I$3665,MATCH(INDEX(Zeiterfassung!$K$6:$K$3665,$K407),Zeiterfassung!$K$6:$K$3665,0))))</f>
        <v/>
      </c>
      <c r="J407" s="335">
        <f>IF(B407=B406,"",IF($K407="","",INDEX(Zeiterfassung!$J$6:$J$3665,MATCH(INDEX(Zeiterfassung!$K$6:$K$3665,$K407),Zeiterfassung!$K$6:$K$3665,0))))</f>
        <v/>
      </c>
      <c r="K407">
        <f>IFERROR(AGGREGATE(15,6,(ROW(Zeiterfassung!$D$6:$D$3665)-ROW(Zeiterfassung!$D$6)+1)/(Zeiterfassung!$D$6:$D$3665&lt;&gt;""),402),"")</f>
        <v/>
      </c>
    </row>
    <row r="408" ht="20" customHeight="1">
      <c r="A408" s="183">
        <f>IF($K408="","",WEEKNUM(INDEX(Zeiterfassung!$K$6:$K$3665,$K408),21))</f>
        <v/>
      </c>
      <c r="B408" s="184">
        <f>IF($K408="","",INDEX(Zeiterfassung!$K$6:$K$3665,$K408))</f>
        <v/>
      </c>
      <c r="C408" s="185">
        <f>IF($K408="","",INDEX(Zeiterfassung!$K$6:$K$3665,$K408))</f>
        <v/>
      </c>
      <c r="D408" s="186">
        <f>IF($K408="","",INDEX(Zeiterfassung!$D$6:$D$3665,$K408))</f>
        <v/>
      </c>
      <c r="E408" s="186">
        <f>IF($K408="","",INDEX(Zeiterfassung!$E$6:$E$3665,$K408))</f>
        <v/>
      </c>
      <c r="F408" s="187">
        <f>IF($K408="","",INDEX(Zeiterfassung!$F$6:$F$3665,$K408))</f>
        <v/>
      </c>
      <c r="G408" s="187">
        <f>IF($K408="","",INDEX(Zeiterfassung!$G$6:$G$3665,$K408))</f>
        <v/>
      </c>
      <c r="H408" s="188">
        <f>IF($K408="","",INDEX(Zeiterfassung!$H$6:$H$3665,$K408))</f>
        <v/>
      </c>
      <c r="I408" s="335">
        <f>IF(B408=B407,"",IF($K408="","",INDEX(Zeiterfassung!$I$6:$I$3665,MATCH(INDEX(Zeiterfassung!$K$6:$K$3665,$K408),Zeiterfassung!$K$6:$K$3665,0))))</f>
        <v/>
      </c>
      <c r="J408" s="335">
        <f>IF(B408=B407,"",IF($K408="","",INDEX(Zeiterfassung!$J$6:$J$3665,MATCH(INDEX(Zeiterfassung!$K$6:$K$3665,$K408),Zeiterfassung!$K$6:$K$3665,0))))</f>
        <v/>
      </c>
      <c r="K408">
        <f>IFERROR(AGGREGATE(15,6,(ROW(Zeiterfassung!$D$6:$D$3665)-ROW(Zeiterfassung!$D$6)+1)/(Zeiterfassung!$D$6:$D$3665&lt;&gt;""),403),"")</f>
        <v/>
      </c>
    </row>
    <row r="409" ht="20" customHeight="1">
      <c r="A409" s="183">
        <f>IF($K409="","",WEEKNUM(INDEX(Zeiterfassung!$K$6:$K$3665,$K409),21))</f>
        <v/>
      </c>
      <c r="B409" s="184">
        <f>IF($K409="","",INDEX(Zeiterfassung!$K$6:$K$3665,$K409))</f>
        <v/>
      </c>
      <c r="C409" s="185">
        <f>IF($K409="","",INDEX(Zeiterfassung!$K$6:$K$3665,$K409))</f>
        <v/>
      </c>
      <c r="D409" s="186">
        <f>IF($K409="","",INDEX(Zeiterfassung!$D$6:$D$3665,$K409))</f>
        <v/>
      </c>
      <c r="E409" s="186">
        <f>IF($K409="","",INDEX(Zeiterfassung!$E$6:$E$3665,$K409))</f>
        <v/>
      </c>
      <c r="F409" s="187">
        <f>IF($K409="","",INDEX(Zeiterfassung!$F$6:$F$3665,$K409))</f>
        <v/>
      </c>
      <c r="G409" s="187">
        <f>IF($K409="","",INDEX(Zeiterfassung!$G$6:$G$3665,$K409))</f>
        <v/>
      </c>
      <c r="H409" s="188">
        <f>IF($K409="","",INDEX(Zeiterfassung!$H$6:$H$3665,$K409))</f>
        <v/>
      </c>
      <c r="I409" s="335">
        <f>IF(B409=B408,"",IF($K409="","",INDEX(Zeiterfassung!$I$6:$I$3665,MATCH(INDEX(Zeiterfassung!$K$6:$K$3665,$K409),Zeiterfassung!$K$6:$K$3665,0))))</f>
        <v/>
      </c>
      <c r="J409" s="335">
        <f>IF(B409=B408,"",IF($K409="","",INDEX(Zeiterfassung!$J$6:$J$3665,MATCH(INDEX(Zeiterfassung!$K$6:$K$3665,$K409),Zeiterfassung!$K$6:$K$3665,0))))</f>
        <v/>
      </c>
      <c r="K409">
        <f>IFERROR(AGGREGATE(15,6,(ROW(Zeiterfassung!$D$6:$D$3665)-ROW(Zeiterfassung!$D$6)+1)/(Zeiterfassung!$D$6:$D$3665&lt;&gt;""),404),"")</f>
        <v/>
      </c>
    </row>
    <row r="410" ht="20" customHeight="1">
      <c r="A410" s="183">
        <f>IF($K410="","",WEEKNUM(INDEX(Zeiterfassung!$K$6:$K$3665,$K410),21))</f>
        <v/>
      </c>
      <c r="B410" s="184">
        <f>IF($K410="","",INDEX(Zeiterfassung!$K$6:$K$3665,$K410))</f>
        <v/>
      </c>
      <c r="C410" s="185">
        <f>IF($K410="","",INDEX(Zeiterfassung!$K$6:$K$3665,$K410))</f>
        <v/>
      </c>
      <c r="D410" s="186">
        <f>IF($K410="","",INDEX(Zeiterfassung!$D$6:$D$3665,$K410))</f>
        <v/>
      </c>
      <c r="E410" s="186">
        <f>IF($K410="","",INDEX(Zeiterfassung!$E$6:$E$3665,$K410))</f>
        <v/>
      </c>
      <c r="F410" s="187">
        <f>IF($K410="","",INDEX(Zeiterfassung!$F$6:$F$3665,$K410))</f>
        <v/>
      </c>
      <c r="G410" s="187">
        <f>IF($K410="","",INDEX(Zeiterfassung!$G$6:$G$3665,$K410))</f>
        <v/>
      </c>
      <c r="H410" s="188">
        <f>IF($K410="","",INDEX(Zeiterfassung!$H$6:$H$3665,$K410))</f>
        <v/>
      </c>
      <c r="I410" s="335">
        <f>IF(B410=B409,"",IF($K410="","",INDEX(Zeiterfassung!$I$6:$I$3665,MATCH(INDEX(Zeiterfassung!$K$6:$K$3665,$K410),Zeiterfassung!$K$6:$K$3665,0))))</f>
        <v/>
      </c>
      <c r="J410" s="335">
        <f>IF(B410=B409,"",IF($K410="","",INDEX(Zeiterfassung!$J$6:$J$3665,MATCH(INDEX(Zeiterfassung!$K$6:$K$3665,$K410),Zeiterfassung!$K$6:$K$3665,0))))</f>
        <v/>
      </c>
      <c r="K410">
        <f>IFERROR(AGGREGATE(15,6,(ROW(Zeiterfassung!$D$6:$D$3665)-ROW(Zeiterfassung!$D$6)+1)/(Zeiterfassung!$D$6:$D$3665&lt;&gt;""),405),"")</f>
        <v/>
      </c>
    </row>
    <row r="411" ht="20" customHeight="1">
      <c r="A411" s="183">
        <f>IF($K411="","",WEEKNUM(INDEX(Zeiterfassung!$K$6:$K$3665,$K411),21))</f>
        <v/>
      </c>
      <c r="B411" s="184">
        <f>IF($K411="","",INDEX(Zeiterfassung!$K$6:$K$3665,$K411))</f>
        <v/>
      </c>
      <c r="C411" s="185">
        <f>IF($K411="","",INDEX(Zeiterfassung!$K$6:$K$3665,$K411))</f>
        <v/>
      </c>
      <c r="D411" s="186">
        <f>IF($K411="","",INDEX(Zeiterfassung!$D$6:$D$3665,$K411))</f>
        <v/>
      </c>
      <c r="E411" s="186">
        <f>IF($K411="","",INDEX(Zeiterfassung!$E$6:$E$3665,$K411))</f>
        <v/>
      </c>
      <c r="F411" s="187">
        <f>IF($K411="","",INDEX(Zeiterfassung!$F$6:$F$3665,$K411))</f>
        <v/>
      </c>
      <c r="G411" s="187">
        <f>IF($K411="","",INDEX(Zeiterfassung!$G$6:$G$3665,$K411))</f>
        <v/>
      </c>
      <c r="H411" s="188">
        <f>IF($K411="","",INDEX(Zeiterfassung!$H$6:$H$3665,$K411))</f>
        <v/>
      </c>
      <c r="I411" s="335">
        <f>IF(B411=B410,"",IF($K411="","",INDEX(Zeiterfassung!$I$6:$I$3665,MATCH(INDEX(Zeiterfassung!$K$6:$K$3665,$K411),Zeiterfassung!$K$6:$K$3665,0))))</f>
        <v/>
      </c>
      <c r="J411" s="335">
        <f>IF(B411=B410,"",IF($K411="","",INDEX(Zeiterfassung!$J$6:$J$3665,MATCH(INDEX(Zeiterfassung!$K$6:$K$3665,$K411),Zeiterfassung!$K$6:$K$3665,0))))</f>
        <v/>
      </c>
      <c r="K411">
        <f>IFERROR(AGGREGATE(15,6,(ROW(Zeiterfassung!$D$6:$D$3665)-ROW(Zeiterfassung!$D$6)+1)/(Zeiterfassung!$D$6:$D$3665&lt;&gt;""),406),"")</f>
        <v/>
      </c>
    </row>
    <row r="412" ht="20" customHeight="1">
      <c r="A412" s="183">
        <f>IF($K412="","",WEEKNUM(INDEX(Zeiterfassung!$K$6:$K$3665,$K412),21))</f>
        <v/>
      </c>
      <c r="B412" s="184">
        <f>IF($K412="","",INDEX(Zeiterfassung!$K$6:$K$3665,$K412))</f>
        <v/>
      </c>
      <c r="C412" s="185">
        <f>IF($K412="","",INDEX(Zeiterfassung!$K$6:$K$3665,$K412))</f>
        <v/>
      </c>
      <c r="D412" s="186">
        <f>IF($K412="","",INDEX(Zeiterfassung!$D$6:$D$3665,$K412))</f>
        <v/>
      </c>
      <c r="E412" s="186">
        <f>IF($K412="","",INDEX(Zeiterfassung!$E$6:$E$3665,$K412))</f>
        <v/>
      </c>
      <c r="F412" s="187">
        <f>IF($K412="","",INDEX(Zeiterfassung!$F$6:$F$3665,$K412))</f>
        <v/>
      </c>
      <c r="G412" s="187">
        <f>IF($K412="","",INDEX(Zeiterfassung!$G$6:$G$3665,$K412))</f>
        <v/>
      </c>
      <c r="H412" s="188">
        <f>IF($K412="","",INDEX(Zeiterfassung!$H$6:$H$3665,$K412))</f>
        <v/>
      </c>
      <c r="I412" s="335">
        <f>IF(B412=B411,"",IF($K412="","",INDEX(Zeiterfassung!$I$6:$I$3665,MATCH(INDEX(Zeiterfassung!$K$6:$K$3665,$K412),Zeiterfassung!$K$6:$K$3665,0))))</f>
        <v/>
      </c>
      <c r="J412" s="335">
        <f>IF(B412=B411,"",IF($K412="","",INDEX(Zeiterfassung!$J$6:$J$3665,MATCH(INDEX(Zeiterfassung!$K$6:$K$3665,$K412),Zeiterfassung!$K$6:$K$3665,0))))</f>
        <v/>
      </c>
      <c r="K412">
        <f>IFERROR(AGGREGATE(15,6,(ROW(Zeiterfassung!$D$6:$D$3665)-ROW(Zeiterfassung!$D$6)+1)/(Zeiterfassung!$D$6:$D$3665&lt;&gt;""),407),"")</f>
        <v/>
      </c>
    </row>
    <row r="413" ht="20" customHeight="1">
      <c r="A413" s="183">
        <f>IF($K413="","",WEEKNUM(INDEX(Zeiterfassung!$K$6:$K$3665,$K413),21))</f>
        <v/>
      </c>
      <c r="B413" s="184">
        <f>IF($K413="","",INDEX(Zeiterfassung!$K$6:$K$3665,$K413))</f>
        <v/>
      </c>
      <c r="C413" s="185">
        <f>IF($K413="","",INDEX(Zeiterfassung!$K$6:$K$3665,$K413))</f>
        <v/>
      </c>
      <c r="D413" s="186">
        <f>IF($K413="","",INDEX(Zeiterfassung!$D$6:$D$3665,$K413))</f>
        <v/>
      </c>
      <c r="E413" s="186">
        <f>IF($K413="","",INDEX(Zeiterfassung!$E$6:$E$3665,$K413))</f>
        <v/>
      </c>
      <c r="F413" s="187">
        <f>IF($K413="","",INDEX(Zeiterfassung!$F$6:$F$3665,$K413))</f>
        <v/>
      </c>
      <c r="G413" s="187">
        <f>IF($K413="","",INDEX(Zeiterfassung!$G$6:$G$3665,$K413))</f>
        <v/>
      </c>
      <c r="H413" s="188">
        <f>IF($K413="","",INDEX(Zeiterfassung!$H$6:$H$3665,$K413))</f>
        <v/>
      </c>
      <c r="I413" s="335">
        <f>IF(B413=B412,"",IF($K413="","",INDEX(Zeiterfassung!$I$6:$I$3665,MATCH(INDEX(Zeiterfassung!$K$6:$K$3665,$K413),Zeiterfassung!$K$6:$K$3665,0))))</f>
        <v/>
      </c>
      <c r="J413" s="335">
        <f>IF(B413=B412,"",IF($K413="","",INDEX(Zeiterfassung!$J$6:$J$3665,MATCH(INDEX(Zeiterfassung!$K$6:$K$3665,$K413),Zeiterfassung!$K$6:$K$3665,0))))</f>
        <v/>
      </c>
      <c r="K413">
        <f>IFERROR(AGGREGATE(15,6,(ROW(Zeiterfassung!$D$6:$D$3665)-ROW(Zeiterfassung!$D$6)+1)/(Zeiterfassung!$D$6:$D$3665&lt;&gt;""),408),"")</f>
        <v/>
      </c>
    </row>
    <row r="414" ht="20" customHeight="1">
      <c r="A414" s="183">
        <f>IF($K414="","",WEEKNUM(INDEX(Zeiterfassung!$K$6:$K$3665,$K414),21))</f>
        <v/>
      </c>
      <c r="B414" s="184">
        <f>IF($K414="","",INDEX(Zeiterfassung!$K$6:$K$3665,$K414))</f>
        <v/>
      </c>
      <c r="C414" s="185">
        <f>IF($K414="","",INDEX(Zeiterfassung!$K$6:$K$3665,$K414))</f>
        <v/>
      </c>
      <c r="D414" s="186">
        <f>IF($K414="","",INDEX(Zeiterfassung!$D$6:$D$3665,$K414))</f>
        <v/>
      </c>
      <c r="E414" s="186">
        <f>IF($K414="","",INDEX(Zeiterfassung!$E$6:$E$3665,$K414))</f>
        <v/>
      </c>
      <c r="F414" s="187">
        <f>IF($K414="","",INDEX(Zeiterfassung!$F$6:$F$3665,$K414))</f>
        <v/>
      </c>
      <c r="G414" s="187">
        <f>IF($K414="","",INDEX(Zeiterfassung!$G$6:$G$3665,$K414))</f>
        <v/>
      </c>
      <c r="H414" s="188">
        <f>IF($K414="","",INDEX(Zeiterfassung!$H$6:$H$3665,$K414))</f>
        <v/>
      </c>
      <c r="I414" s="335">
        <f>IF(B414=B413,"",IF($K414="","",INDEX(Zeiterfassung!$I$6:$I$3665,MATCH(INDEX(Zeiterfassung!$K$6:$K$3665,$K414),Zeiterfassung!$K$6:$K$3665,0))))</f>
        <v/>
      </c>
      <c r="J414" s="335">
        <f>IF(B414=B413,"",IF($K414="","",INDEX(Zeiterfassung!$J$6:$J$3665,MATCH(INDEX(Zeiterfassung!$K$6:$K$3665,$K414),Zeiterfassung!$K$6:$K$3665,0))))</f>
        <v/>
      </c>
      <c r="K414">
        <f>IFERROR(AGGREGATE(15,6,(ROW(Zeiterfassung!$D$6:$D$3665)-ROW(Zeiterfassung!$D$6)+1)/(Zeiterfassung!$D$6:$D$3665&lt;&gt;""),409),"")</f>
        <v/>
      </c>
    </row>
    <row r="415" ht="20" customHeight="1">
      <c r="A415" s="183">
        <f>IF($K415="","",WEEKNUM(INDEX(Zeiterfassung!$K$6:$K$3665,$K415),21))</f>
        <v/>
      </c>
      <c r="B415" s="184">
        <f>IF($K415="","",INDEX(Zeiterfassung!$K$6:$K$3665,$K415))</f>
        <v/>
      </c>
      <c r="C415" s="185">
        <f>IF($K415="","",INDEX(Zeiterfassung!$K$6:$K$3665,$K415))</f>
        <v/>
      </c>
      <c r="D415" s="186">
        <f>IF($K415="","",INDEX(Zeiterfassung!$D$6:$D$3665,$K415))</f>
        <v/>
      </c>
      <c r="E415" s="186">
        <f>IF($K415="","",INDEX(Zeiterfassung!$E$6:$E$3665,$K415))</f>
        <v/>
      </c>
      <c r="F415" s="187">
        <f>IF($K415="","",INDEX(Zeiterfassung!$F$6:$F$3665,$K415))</f>
        <v/>
      </c>
      <c r="G415" s="187">
        <f>IF($K415="","",INDEX(Zeiterfassung!$G$6:$G$3665,$K415))</f>
        <v/>
      </c>
      <c r="H415" s="188">
        <f>IF($K415="","",INDEX(Zeiterfassung!$H$6:$H$3665,$K415))</f>
        <v/>
      </c>
      <c r="I415" s="335">
        <f>IF(B415=B414,"",IF($K415="","",INDEX(Zeiterfassung!$I$6:$I$3665,MATCH(INDEX(Zeiterfassung!$K$6:$K$3665,$K415),Zeiterfassung!$K$6:$K$3665,0))))</f>
        <v/>
      </c>
      <c r="J415" s="335">
        <f>IF(B415=B414,"",IF($K415="","",INDEX(Zeiterfassung!$J$6:$J$3665,MATCH(INDEX(Zeiterfassung!$K$6:$K$3665,$K415),Zeiterfassung!$K$6:$K$3665,0))))</f>
        <v/>
      </c>
      <c r="K415">
        <f>IFERROR(AGGREGATE(15,6,(ROW(Zeiterfassung!$D$6:$D$3665)-ROW(Zeiterfassung!$D$6)+1)/(Zeiterfassung!$D$6:$D$3665&lt;&gt;""),410),"")</f>
        <v/>
      </c>
    </row>
    <row r="416" ht="20" customHeight="1">
      <c r="A416" s="183">
        <f>IF($K416="","",WEEKNUM(INDEX(Zeiterfassung!$K$6:$K$3665,$K416),21))</f>
        <v/>
      </c>
      <c r="B416" s="184">
        <f>IF($K416="","",INDEX(Zeiterfassung!$K$6:$K$3665,$K416))</f>
        <v/>
      </c>
      <c r="C416" s="185">
        <f>IF($K416="","",INDEX(Zeiterfassung!$K$6:$K$3665,$K416))</f>
        <v/>
      </c>
      <c r="D416" s="186">
        <f>IF($K416="","",INDEX(Zeiterfassung!$D$6:$D$3665,$K416))</f>
        <v/>
      </c>
      <c r="E416" s="186">
        <f>IF($K416="","",INDEX(Zeiterfassung!$E$6:$E$3665,$K416))</f>
        <v/>
      </c>
      <c r="F416" s="187">
        <f>IF($K416="","",INDEX(Zeiterfassung!$F$6:$F$3665,$K416))</f>
        <v/>
      </c>
      <c r="G416" s="187">
        <f>IF($K416="","",INDEX(Zeiterfassung!$G$6:$G$3665,$K416))</f>
        <v/>
      </c>
      <c r="H416" s="188">
        <f>IF($K416="","",INDEX(Zeiterfassung!$H$6:$H$3665,$K416))</f>
        <v/>
      </c>
      <c r="I416" s="335">
        <f>IF(B416=B415,"",IF($K416="","",INDEX(Zeiterfassung!$I$6:$I$3665,MATCH(INDEX(Zeiterfassung!$K$6:$K$3665,$K416),Zeiterfassung!$K$6:$K$3665,0))))</f>
        <v/>
      </c>
      <c r="J416" s="335">
        <f>IF(B416=B415,"",IF($K416="","",INDEX(Zeiterfassung!$J$6:$J$3665,MATCH(INDEX(Zeiterfassung!$K$6:$K$3665,$K416),Zeiterfassung!$K$6:$K$3665,0))))</f>
        <v/>
      </c>
      <c r="K416">
        <f>IFERROR(AGGREGATE(15,6,(ROW(Zeiterfassung!$D$6:$D$3665)-ROW(Zeiterfassung!$D$6)+1)/(Zeiterfassung!$D$6:$D$3665&lt;&gt;""),411),"")</f>
        <v/>
      </c>
    </row>
    <row r="417" ht="20" customHeight="1">
      <c r="A417" s="183">
        <f>IF($K417="","",WEEKNUM(INDEX(Zeiterfassung!$K$6:$K$3665,$K417),21))</f>
        <v/>
      </c>
      <c r="B417" s="184">
        <f>IF($K417="","",INDEX(Zeiterfassung!$K$6:$K$3665,$K417))</f>
        <v/>
      </c>
      <c r="C417" s="185">
        <f>IF($K417="","",INDEX(Zeiterfassung!$K$6:$K$3665,$K417))</f>
        <v/>
      </c>
      <c r="D417" s="186">
        <f>IF($K417="","",INDEX(Zeiterfassung!$D$6:$D$3665,$K417))</f>
        <v/>
      </c>
      <c r="E417" s="186">
        <f>IF($K417="","",INDEX(Zeiterfassung!$E$6:$E$3665,$K417))</f>
        <v/>
      </c>
      <c r="F417" s="187">
        <f>IF($K417="","",INDEX(Zeiterfassung!$F$6:$F$3665,$K417))</f>
        <v/>
      </c>
      <c r="G417" s="187">
        <f>IF($K417="","",INDEX(Zeiterfassung!$G$6:$G$3665,$K417))</f>
        <v/>
      </c>
      <c r="H417" s="188">
        <f>IF($K417="","",INDEX(Zeiterfassung!$H$6:$H$3665,$K417))</f>
        <v/>
      </c>
      <c r="I417" s="335">
        <f>IF(B417=B416,"",IF($K417="","",INDEX(Zeiterfassung!$I$6:$I$3665,MATCH(INDEX(Zeiterfassung!$K$6:$K$3665,$K417),Zeiterfassung!$K$6:$K$3665,0))))</f>
        <v/>
      </c>
      <c r="J417" s="335">
        <f>IF(B417=B416,"",IF($K417="","",INDEX(Zeiterfassung!$J$6:$J$3665,MATCH(INDEX(Zeiterfassung!$K$6:$K$3665,$K417),Zeiterfassung!$K$6:$K$3665,0))))</f>
        <v/>
      </c>
      <c r="K417">
        <f>IFERROR(AGGREGATE(15,6,(ROW(Zeiterfassung!$D$6:$D$3665)-ROW(Zeiterfassung!$D$6)+1)/(Zeiterfassung!$D$6:$D$3665&lt;&gt;""),412),"")</f>
        <v/>
      </c>
    </row>
    <row r="418" ht="20" customHeight="1">
      <c r="A418" s="183">
        <f>IF($K418="","",WEEKNUM(INDEX(Zeiterfassung!$K$6:$K$3665,$K418),21))</f>
        <v/>
      </c>
      <c r="B418" s="184">
        <f>IF($K418="","",INDEX(Zeiterfassung!$K$6:$K$3665,$K418))</f>
        <v/>
      </c>
      <c r="C418" s="185">
        <f>IF($K418="","",INDEX(Zeiterfassung!$K$6:$K$3665,$K418))</f>
        <v/>
      </c>
      <c r="D418" s="186">
        <f>IF($K418="","",INDEX(Zeiterfassung!$D$6:$D$3665,$K418))</f>
        <v/>
      </c>
      <c r="E418" s="186">
        <f>IF($K418="","",INDEX(Zeiterfassung!$E$6:$E$3665,$K418))</f>
        <v/>
      </c>
      <c r="F418" s="187">
        <f>IF($K418="","",INDEX(Zeiterfassung!$F$6:$F$3665,$K418))</f>
        <v/>
      </c>
      <c r="G418" s="187">
        <f>IF($K418="","",INDEX(Zeiterfassung!$G$6:$G$3665,$K418))</f>
        <v/>
      </c>
      <c r="H418" s="188">
        <f>IF($K418="","",INDEX(Zeiterfassung!$H$6:$H$3665,$K418))</f>
        <v/>
      </c>
      <c r="I418" s="335">
        <f>IF(B418=B417,"",IF($K418="","",INDEX(Zeiterfassung!$I$6:$I$3665,MATCH(INDEX(Zeiterfassung!$K$6:$K$3665,$K418),Zeiterfassung!$K$6:$K$3665,0))))</f>
        <v/>
      </c>
      <c r="J418" s="335">
        <f>IF(B418=B417,"",IF($K418="","",INDEX(Zeiterfassung!$J$6:$J$3665,MATCH(INDEX(Zeiterfassung!$K$6:$K$3665,$K418),Zeiterfassung!$K$6:$K$3665,0))))</f>
        <v/>
      </c>
      <c r="K418">
        <f>IFERROR(AGGREGATE(15,6,(ROW(Zeiterfassung!$D$6:$D$3665)-ROW(Zeiterfassung!$D$6)+1)/(Zeiterfassung!$D$6:$D$3665&lt;&gt;""),413),"")</f>
        <v/>
      </c>
    </row>
    <row r="419" ht="20" customHeight="1">
      <c r="A419" s="183">
        <f>IF($K419="","",WEEKNUM(INDEX(Zeiterfassung!$K$6:$K$3665,$K419),21))</f>
        <v/>
      </c>
      <c r="B419" s="184">
        <f>IF($K419="","",INDEX(Zeiterfassung!$K$6:$K$3665,$K419))</f>
        <v/>
      </c>
      <c r="C419" s="185">
        <f>IF($K419="","",INDEX(Zeiterfassung!$K$6:$K$3665,$K419))</f>
        <v/>
      </c>
      <c r="D419" s="186">
        <f>IF($K419="","",INDEX(Zeiterfassung!$D$6:$D$3665,$K419))</f>
        <v/>
      </c>
      <c r="E419" s="186">
        <f>IF($K419="","",INDEX(Zeiterfassung!$E$6:$E$3665,$K419))</f>
        <v/>
      </c>
      <c r="F419" s="187">
        <f>IF($K419="","",INDEX(Zeiterfassung!$F$6:$F$3665,$K419))</f>
        <v/>
      </c>
      <c r="G419" s="187">
        <f>IF($K419="","",INDEX(Zeiterfassung!$G$6:$G$3665,$K419))</f>
        <v/>
      </c>
      <c r="H419" s="188">
        <f>IF($K419="","",INDEX(Zeiterfassung!$H$6:$H$3665,$K419))</f>
        <v/>
      </c>
      <c r="I419" s="335">
        <f>IF(B419=B418,"",IF($K419="","",INDEX(Zeiterfassung!$I$6:$I$3665,MATCH(INDEX(Zeiterfassung!$K$6:$K$3665,$K419),Zeiterfassung!$K$6:$K$3665,0))))</f>
        <v/>
      </c>
      <c r="J419" s="335">
        <f>IF(B419=B418,"",IF($K419="","",INDEX(Zeiterfassung!$J$6:$J$3665,MATCH(INDEX(Zeiterfassung!$K$6:$K$3665,$K419),Zeiterfassung!$K$6:$K$3665,0))))</f>
        <v/>
      </c>
      <c r="K419">
        <f>IFERROR(AGGREGATE(15,6,(ROW(Zeiterfassung!$D$6:$D$3665)-ROW(Zeiterfassung!$D$6)+1)/(Zeiterfassung!$D$6:$D$3665&lt;&gt;""),414),"")</f>
        <v/>
      </c>
    </row>
    <row r="420" ht="20" customHeight="1">
      <c r="A420" s="183">
        <f>IF($K420="","",WEEKNUM(INDEX(Zeiterfassung!$K$6:$K$3665,$K420),21))</f>
        <v/>
      </c>
      <c r="B420" s="184">
        <f>IF($K420="","",INDEX(Zeiterfassung!$K$6:$K$3665,$K420))</f>
        <v/>
      </c>
      <c r="C420" s="185">
        <f>IF($K420="","",INDEX(Zeiterfassung!$K$6:$K$3665,$K420))</f>
        <v/>
      </c>
      <c r="D420" s="186">
        <f>IF($K420="","",INDEX(Zeiterfassung!$D$6:$D$3665,$K420))</f>
        <v/>
      </c>
      <c r="E420" s="186">
        <f>IF($K420="","",INDEX(Zeiterfassung!$E$6:$E$3665,$K420))</f>
        <v/>
      </c>
      <c r="F420" s="187">
        <f>IF($K420="","",INDEX(Zeiterfassung!$F$6:$F$3665,$K420))</f>
        <v/>
      </c>
      <c r="G420" s="187">
        <f>IF($K420="","",INDEX(Zeiterfassung!$G$6:$G$3665,$K420))</f>
        <v/>
      </c>
      <c r="H420" s="188">
        <f>IF($K420="","",INDEX(Zeiterfassung!$H$6:$H$3665,$K420))</f>
        <v/>
      </c>
      <c r="I420" s="335">
        <f>IF(B420=B419,"",IF($K420="","",INDEX(Zeiterfassung!$I$6:$I$3665,MATCH(INDEX(Zeiterfassung!$K$6:$K$3665,$K420),Zeiterfassung!$K$6:$K$3665,0))))</f>
        <v/>
      </c>
      <c r="J420" s="335">
        <f>IF(B420=B419,"",IF($K420="","",INDEX(Zeiterfassung!$J$6:$J$3665,MATCH(INDEX(Zeiterfassung!$K$6:$K$3665,$K420),Zeiterfassung!$K$6:$K$3665,0))))</f>
        <v/>
      </c>
      <c r="K420">
        <f>IFERROR(AGGREGATE(15,6,(ROW(Zeiterfassung!$D$6:$D$3665)-ROW(Zeiterfassung!$D$6)+1)/(Zeiterfassung!$D$6:$D$3665&lt;&gt;""),415),"")</f>
        <v/>
      </c>
    </row>
    <row r="421" ht="20" customHeight="1">
      <c r="A421" s="183">
        <f>IF($K421="","",WEEKNUM(INDEX(Zeiterfassung!$K$6:$K$3665,$K421),21))</f>
        <v/>
      </c>
      <c r="B421" s="184">
        <f>IF($K421="","",INDEX(Zeiterfassung!$K$6:$K$3665,$K421))</f>
        <v/>
      </c>
      <c r="C421" s="185">
        <f>IF($K421="","",INDEX(Zeiterfassung!$K$6:$K$3665,$K421))</f>
        <v/>
      </c>
      <c r="D421" s="186">
        <f>IF($K421="","",INDEX(Zeiterfassung!$D$6:$D$3665,$K421))</f>
        <v/>
      </c>
      <c r="E421" s="186">
        <f>IF($K421="","",INDEX(Zeiterfassung!$E$6:$E$3665,$K421))</f>
        <v/>
      </c>
      <c r="F421" s="187">
        <f>IF($K421="","",INDEX(Zeiterfassung!$F$6:$F$3665,$K421))</f>
        <v/>
      </c>
      <c r="G421" s="187">
        <f>IF($K421="","",INDEX(Zeiterfassung!$G$6:$G$3665,$K421))</f>
        <v/>
      </c>
      <c r="H421" s="188">
        <f>IF($K421="","",INDEX(Zeiterfassung!$H$6:$H$3665,$K421))</f>
        <v/>
      </c>
      <c r="I421" s="335">
        <f>IF(B421=B420,"",IF($K421="","",INDEX(Zeiterfassung!$I$6:$I$3665,MATCH(INDEX(Zeiterfassung!$K$6:$K$3665,$K421),Zeiterfassung!$K$6:$K$3665,0))))</f>
        <v/>
      </c>
      <c r="J421" s="335">
        <f>IF(B421=B420,"",IF($K421="","",INDEX(Zeiterfassung!$J$6:$J$3665,MATCH(INDEX(Zeiterfassung!$K$6:$K$3665,$K421),Zeiterfassung!$K$6:$K$3665,0))))</f>
        <v/>
      </c>
      <c r="K421">
        <f>IFERROR(AGGREGATE(15,6,(ROW(Zeiterfassung!$D$6:$D$3665)-ROW(Zeiterfassung!$D$6)+1)/(Zeiterfassung!$D$6:$D$3665&lt;&gt;""),416),"")</f>
        <v/>
      </c>
    </row>
    <row r="422" ht="20" customHeight="1">
      <c r="A422" s="183">
        <f>IF($K422="","",WEEKNUM(INDEX(Zeiterfassung!$K$6:$K$3665,$K422),21))</f>
        <v/>
      </c>
      <c r="B422" s="184">
        <f>IF($K422="","",INDEX(Zeiterfassung!$K$6:$K$3665,$K422))</f>
        <v/>
      </c>
      <c r="C422" s="185">
        <f>IF($K422="","",INDEX(Zeiterfassung!$K$6:$K$3665,$K422))</f>
        <v/>
      </c>
      <c r="D422" s="186">
        <f>IF($K422="","",INDEX(Zeiterfassung!$D$6:$D$3665,$K422))</f>
        <v/>
      </c>
      <c r="E422" s="186">
        <f>IF($K422="","",INDEX(Zeiterfassung!$E$6:$E$3665,$K422))</f>
        <v/>
      </c>
      <c r="F422" s="187">
        <f>IF($K422="","",INDEX(Zeiterfassung!$F$6:$F$3665,$K422))</f>
        <v/>
      </c>
      <c r="G422" s="187">
        <f>IF($K422="","",INDEX(Zeiterfassung!$G$6:$G$3665,$K422))</f>
        <v/>
      </c>
      <c r="H422" s="188">
        <f>IF($K422="","",INDEX(Zeiterfassung!$H$6:$H$3665,$K422))</f>
        <v/>
      </c>
      <c r="I422" s="335">
        <f>IF(B422=B421,"",IF($K422="","",INDEX(Zeiterfassung!$I$6:$I$3665,MATCH(INDEX(Zeiterfassung!$K$6:$K$3665,$K422),Zeiterfassung!$K$6:$K$3665,0))))</f>
        <v/>
      </c>
      <c r="J422" s="335">
        <f>IF(B422=B421,"",IF($K422="","",INDEX(Zeiterfassung!$J$6:$J$3665,MATCH(INDEX(Zeiterfassung!$K$6:$K$3665,$K422),Zeiterfassung!$K$6:$K$3665,0))))</f>
        <v/>
      </c>
      <c r="K422">
        <f>IFERROR(AGGREGATE(15,6,(ROW(Zeiterfassung!$D$6:$D$3665)-ROW(Zeiterfassung!$D$6)+1)/(Zeiterfassung!$D$6:$D$3665&lt;&gt;""),417),"")</f>
        <v/>
      </c>
    </row>
    <row r="423" ht="20" customHeight="1">
      <c r="A423" s="183">
        <f>IF($K423="","",WEEKNUM(INDEX(Zeiterfassung!$K$6:$K$3665,$K423),21))</f>
        <v/>
      </c>
      <c r="B423" s="184">
        <f>IF($K423="","",INDEX(Zeiterfassung!$K$6:$K$3665,$K423))</f>
        <v/>
      </c>
      <c r="C423" s="185">
        <f>IF($K423="","",INDEX(Zeiterfassung!$K$6:$K$3665,$K423))</f>
        <v/>
      </c>
      <c r="D423" s="186">
        <f>IF($K423="","",INDEX(Zeiterfassung!$D$6:$D$3665,$K423))</f>
        <v/>
      </c>
      <c r="E423" s="186">
        <f>IF($K423="","",INDEX(Zeiterfassung!$E$6:$E$3665,$K423))</f>
        <v/>
      </c>
      <c r="F423" s="187">
        <f>IF($K423="","",INDEX(Zeiterfassung!$F$6:$F$3665,$K423))</f>
        <v/>
      </c>
      <c r="G423" s="187">
        <f>IF($K423="","",INDEX(Zeiterfassung!$G$6:$G$3665,$K423))</f>
        <v/>
      </c>
      <c r="H423" s="188">
        <f>IF($K423="","",INDEX(Zeiterfassung!$H$6:$H$3665,$K423))</f>
        <v/>
      </c>
      <c r="I423" s="335">
        <f>IF(B423=B422,"",IF($K423="","",INDEX(Zeiterfassung!$I$6:$I$3665,MATCH(INDEX(Zeiterfassung!$K$6:$K$3665,$K423),Zeiterfassung!$K$6:$K$3665,0))))</f>
        <v/>
      </c>
      <c r="J423" s="335">
        <f>IF(B423=B422,"",IF($K423="","",INDEX(Zeiterfassung!$J$6:$J$3665,MATCH(INDEX(Zeiterfassung!$K$6:$K$3665,$K423),Zeiterfassung!$K$6:$K$3665,0))))</f>
        <v/>
      </c>
      <c r="K423">
        <f>IFERROR(AGGREGATE(15,6,(ROW(Zeiterfassung!$D$6:$D$3665)-ROW(Zeiterfassung!$D$6)+1)/(Zeiterfassung!$D$6:$D$3665&lt;&gt;""),418),"")</f>
        <v/>
      </c>
    </row>
    <row r="424" ht="20" customHeight="1">
      <c r="A424" s="183">
        <f>IF($K424="","",WEEKNUM(INDEX(Zeiterfassung!$K$6:$K$3665,$K424),21))</f>
        <v/>
      </c>
      <c r="B424" s="184">
        <f>IF($K424="","",INDEX(Zeiterfassung!$K$6:$K$3665,$K424))</f>
        <v/>
      </c>
      <c r="C424" s="185">
        <f>IF($K424="","",INDEX(Zeiterfassung!$K$6:$K$3665,$K424))</f>
        <v/>
      </c>
      <c r="D424" s="186">
        <f>IF($K424="","",INDEX(Zeiterfassung!$D$6:$D$3665,$K424))</f>
        <v/>
      </c>
      <c r="E424" s="186">
        <f>IF($K424="","",INDEX(Zeiterfassung!$E$6:$E$3665,$K424))</f>
        <v/>
      </c>
      <c r="F424" s="187">
        <f>IF($K424="","",INDEX(Zeiterfassung!$F$6:$F$3665,$K424))</f>
        <v/>
      </c>
      <c r="G424" s="187">
        <f>IF($K424="","",INDEX(Zeiterfassung!$G$6:$G$3665,$K424))</f>
        <v/>
      </c>
      <c r="H424" s="188">
        <f>IF($K424="","",INDEX(Zeiterfassung!$H$6:$H$3665,$K424))</f>
        <v/>
      </c>
      <c r="I424" s="335">
        <f>IF(B424=B423,"",IF($K424="","",INDEX(Zeiterfassung!$I$6:$I$3665,MATCH(INDEX(Zeiterfassung!$K$6:$K$3665,$K424),Zeiterfassung!$K$6:$K$3665,0))))</f>
        <v/>
      </c>
      <c r="J424" s="335">
        <f>IF(B424=B423,"",IF($K424="","",INDEX(Zeiterfassung!$J$6:$J$3665,MATCH(INDEX(Zeiterfassung!$K$6:$K$3665,$K424),Zeiterfassung!$K$6:$K$3665,0))))</f>
        <v/>
      </c>
      <c r="K424">
        <f>IFERROR(AGGREGATE(15,6,(ROW(Zeiterfassung!$D$6:$D$3665)-ROW(Zeiterfassung!$D$6)+1)/(Zeiterfassung!$D$6:$D$3665&lt;&gt;""),419),"")</f>
        <v/>
      </c>
    </row>
    <row r="425" ht="20" customHeight="1">
      <c r="A425" s="183">
        <f>IF($K425="","",WEEKNUM(INDEX(Zeiterfassung!$K$6:$K$3665,$K425),21))</f>
        <v/>
      </c>
      <c r="B425" s="184">
        <f>IF($K425="","",INDEX(Zeiterfassung!$K$6:$K$3665,$K425))</f>
        <v/>
      </c>
      <c r="C425" s="185">
        <f>IF($K425="","",INDEX(Zeiterfassung!$K$6:$K$3665,$K425))</f>
        <v/>
      </c>
      <c r="D425" s="186">
        <f>IF($K425="","",INDEX(Zeiterfassung!$D$6:$D$3665,$K425))</f>
        <v/>
      </c>
      <c r="E425" s="186">
        <f>IF($K425="","",INDEX(Zeiterfassung!$E$6:$E$3665,$K425))</f>
        <v/>
      </c>
      <c r="F425" s="187">
        <f>IF($K425="","",INDEX(Zeiterfassung!$F$6:$F$3665,$K425))</f>
        <v/>
      </c>
      <c r="G425" s="187">
        <f>IF($K425="","",INDEX(Zeiterfassung!$G$6:$G$3665,$K425))</f>
        <v/>
      </c>
      <c r="H425" s="188">
        <f>IF($K425="","",INDEX(Zeiterfassung!$H$6:$H$3665,$K425))</f>
        <v/>
      </c>
      <c r="I425" s="335">
        <f>IF(B425=B424,"",IF($K425="","",INDEX(Zeiterfassung!$I$6:$I$3665,MATCH(INDEX(Zeiterfassung!$K$6:$K$3665,$K425),Zeiterfassung!$K$6:$K$3665,0))))</f>
        <v/>
      </c>
      <c r="J425" s="335">
        <f>IF(B425=B424,"",IF($K425="","",INDEX(Zeiterfassung!$J$6:$J$3665,MATCH(INDEX(Zeiterfassung!$K$6:$K$3665,$K425),Zeiterfassung!$K$6:$K$3665,0))))</f>
        <v/>
      </c>
      <c r="K425">
        <f>IFERROR(AGGREGATE(15,6,(ROW(Zeiterfassung!$D$6:$D$3665)-ROW(Zeiterfassung!$D$6)+1)/(Zeiterfassung!$D$6:$D$3665&lt;&gt;""),420),"")</f>
        <v/>
      </c>
    </row>
    <row r="426" ht="20" customHeight="1">
      <c r="A426" s="183">
        <f>IF($K426="","",WEEKNUM(INDEX(Zeiterfassung!$K$6:$K$3665,$K426),21))</f>
        <v/>
      </c>
      <c r="B426" s="184">
        <f>IF($K426="","",INDEX(Zeiterfassung!$K$6:$K$3665,$K426))</f>
        <v/>
      </c>
      <c r="C426" s="185">
        <f>IF($K426="","",INDEX(Zeiterfassung!$K$6:$K$3665,$K426))</f>
        <v/>
      </c>
      <c r="D426" s="186">
        <f>IF($K426="","",INDEX(Zeiterfassung!$D$6:$D$3665,$K426))</f>
        <v/>
      </c>
      <c r="E426" s="186">
        <f>IF($K426="","",INDEX(Zeiterfassung!$E$6:$E$3665,$K426))</f>
        <v/>
      </c>
      <c r="F426" s="187">
        <f>IF($K426="","",INDEX(Zeiterfassung!$F$6:$F$3665,$K426))</f>
        <v/>
      </c>
      <c r="G426" s="187">
        <f>IF($K426="","",INDEX(Zeiterfassung!$G$6:$G$3665,$K426))</f>
        <v/>
      </c>
      <c r="H426" s="188">
        <f>IF($K426="","",INDEX(Zeiterfassung!$H$6:$H$3665,$K426))</f>
        <v/>
      </c>
      <c r="I426" s="335">
        <f>IF(B426=B425,"",IF($K426="","",INDEX(Zeiterfassung!$I$6:$I$3665,MATCH(INDEX(Zeiterfassung!$K$6:$K$3665,$K426),Zeiterfassung!$K$6:$K$3665,0))))</f>
        <v/>
      </c>
      <c r="J426" s="335">
        <f>IF(B426=B425,"",IF($K426="","",INDEX(Zeiterfassung!$J$6:$J$3665,MATCH(INDEX(Zeiterfassung!$K$6:$K$3665,$K426),Zeiterfassung!$K$6:$K$3665,0))))</f>
        <v/>
      </c>
      <c r="K426">
        <f>IFERROR(AGGREGATE(15,6,(ROW(Zeiterfassung!$D$6:$D$3665)-ROW(Zeiterfassung!$D$6)+1)/(Zeiterfassung!$D$6:$D$3665&lt;&gt;""),421),"")</f>
        <v/>
      </c>
    </row>
    <row r="427" ht="20" customHeight="1">
      <c r="A427" s="183">
        <f>IF($K427="","",WEEKNUM(INDEX(Zeiterfassung!$K$6:$K$3665,$K427),21))</f>
        <v/>
      </c>
      <c r="B427" s="184">
        <f>IF($K427="","",INDEX(Zeiterfassung!$K$6:$K$3665,$K427))</f>
        <v/>
      </c>
      <c r="C427" s="185">
        <f>IF($K427="","",INDEX(Zeiterfassung!$K$6:$K$3665,$K427))</f>
        <v/>
      </c>
      <c r="D427" s="186">
        <f>IF($K427="","",INDEX(Zeiterfassung!$D$6:$D$3665,$K427))</f>
        <v/>
      </c>
      <c r="E427" s="186">
        <f>IF($K427="","",INDEX(Zeiterfassung!$E$6:$E$3665,$K427))</f>
        <v/>
      </c>
      <c r="F427" s="187">
        <f>IF($K427="","",INDEX(Zeiterfassung!$F$6:$F$3665,$K427))</f>
        <v/>
      </c>
      <c r="G427" s="187">
        <f>IF($K427="","",INDEX(Zeiterfassung!$G$6:$G$3665,$K427))</f>
        <v/>
      </c>
      <c r="H427" s="188">
        <f>IF($K427="","",INDEX(Zeiterfassung!$H$6:$H$3665,$K427))</f>
        <v/>
      </c>
      <c r="I427" s="335">
        <f>IF(B427=B426,"",IF($K427="","",INDEX(Zeiterfassung!$I$6:$I$3665,MATCH(INDEX(Zeiterfassung!$K$6:$K$3665,$K427),Zeiterfassung!$K$6:$K$3665,0))))</f>
        <v/>
      </c>
      <c r="J427" s="335">
        <f>IF(B427=B426,"",IF($K427="","",INDEX(Zeiterfassung!$J$6:$J$3665,MATCH(INDEX(Zeiterfassung!$K$6:$K$3665,$K427),Zeiterfassung!$K$6:$K$3665,0))))</f>
        <v/>
      </c>
      <c r="K427">
        <f>IFERROR(AGGREGATE(15,6,(ROW(Zeiterfassung!$D$6:$D$3665)-ROW(Zeiterfassung!$D$6)+1)/(Zeiterfassung!$D$6:$D$3665&lt;&gt;""),422),"")</f>
        <v/>
      </c>
    </row>
    <row r="428" ht="20" customHeight="1">
      <c r="A428" s="183">
        <f>IF($K428="","",WEEKNUM(INDEX(Zeiterfassung!$K$6:$K$3665,$K428),21))</f>
        <v/>
      </c>
      <c r="B428" s="184">
        <f>IF($K428="","",INDEX(Zeiterfassung!$K$6:$K$3665,$K428))</f>
        <v/>
      </c>
      <c r="C428" s="185">
        <f>IF($K428="","",INDEX(Zeiterfassung!$K$6:$K$3665,$K428))</f>
        <v/>
      </c>
      <c r="D428" s="186">
        <f>IF($K428="","",INDEX(Zeiterfassung!$D$6:$D$3665,$K428))</f>
        <v/>
      </c>
      <c r="E428" s="186">
        <f>IF($K428="","",INDEX(Zeiterfassung!$E$6:$E$3665,$K428))</f>
        <v/>
      </c>
      <c r="F428" s="187">
        <f>IF($K428="","",INDEX(Zeiterfassung!$F$6:$F$3665,$K428))</f>
        <v/>
      </c>
      <c r="G428" s="187">
        <f>IF($K428="","",INDEX(Zeiterfassung!$G$6:$G$3665,$K428))</f>
        <v/>
      </c>
      <c r="H428" s="188">
        <f>IF($K428="","",INDEX(Zeiterfassung!$H$6:$H$3665,$K428))</f>
        <v/>
      </c>
      <c r="I428" s="335">
        <f>IF(B428=B427,"",IF($K428="","",INDEX(Zeiterfassung!$I$6:$I$3665,MATCH(INDEX(Zeiterfassung!$K$6:$K$3665,$K428),Zeiterfassung!$K$6:$K$3665,0))))</f>
        <v/>
      </c>
      <c r="J428" s="335">
        <f>IF(B428=B427,"",IF($K428="","",INDEX(Zeiterfassung!$J$6:$J$3665,MATCH(INDEX(Zeiterfassung!$K$6:$K$3665,$K428),Zeiterfassung!$K$6:$K$3665,0))))</f>
        <v/>
      </c>
      <c r="K428">
        <f>IFERROR(AGGREGATE(15,6,(ROW(Zeiterfassung!$D$6:$D$3665)-ROW(Zeiterfassung!$D$6)+1)/(Zeiterfassung!$D$6:$D$3665&lt;&gt;""),423),"")</f>
        <v/>
      </c>
    </row>
    <row r="429" ht="20" customHeight="1">
      <c r="A429" s="183">
        <f>IF($K429="","",WEEKNUM(INDEX(Zeiterfassung!$K$6:$K$3665,$K429),21))</f>
        <v/>
      </c>
      <c r="B429" s="184">
        <f>IF($K429="","",INDEX(Zeiterfassung!$K$6:$K$3665,$K429))</f>
        <v/>
      </c>
      <c r="C429" s="185">
        <f>IF($K429="","",INDEX(Zeiterfassung!$K$6:$K$3665,$K429))</f>
        <v/>
      </c>
      <c r="D429" s="186">
        <f>IF($K429="","",INDEX(Zeiterfassung!$D$6:$D$3665,$K429))</f>
        <v/>
      </c>
      <c r="E429" s="186">
        <f>IF($K429="","",INDEX(Zeiterfassung!$E$6:$E$3665,$K429))</f>
        <v/>
      </c>
      <c r="F429" s="187">
        <f>IF($K429="","",INDEX(Zeiterfassung!$F$6:$F$3665,$K429))</f>
        <v/>
      </c>
      <c r="G429" s="187">
        <f>IF($K429="","",INDEX(Zeiterfassung!$G$6:$G$3665,$K429))</f>
        <v/>
      </c>
      <c r="H429" s="188">
        <f>IF($K429="","",INDEX(Zeiterfassung!$H$6:$H$3665,$K429))</f>
        <v/>
      </c>
      <c r="I429" s="335">
        <f>IF(B429=B428,"",IF($K429="","",INDEX(Zeiterfassung!$I$6:$I$3665,MATCH(INDEX(Zeiterfassung!$K$6:$K$3665,$K429),Zeiterfassung!$K$6:$K$3665,0))))</f>
        <v/>
      </c>
      <c r="J429" s="335">
        <f>IF(B429=B428,"",IF($K429="","",INDEX(Zeiterfassung!$J$6:$J$3665,MATCH(INDEX(Zeiterfassung!$K$6:$K$3665,$K429),Zeiterfassung!$K$6:$K$3665,0))))</f>
        <v/>
      </c>
      <c r="K429">
        <f>IFERROR(AGGREGATE(15,6,(ROW(Zeiterfassung!$D$6:$D$3665)-ROW(Zeiterfassung!$D$6)+1)/(Zeiterfassung!$D$6:$D$3665&lt;&gt;""),424),"")</f>
        <v/>
      </c>
    </row>
    <row r="430" ht="20" customHeight="1">
      <c r="A430" s="183">
        <f>IF($K430="","",WEEKNUM(INDEX(Zeiterfassung!$K$6:$K$3665,$K430),21))</f>
        <v/>
      </c>
      <c r="B430" s="184">
        <f>IF($K430="","",INDEX(Zeiterfassung!$K$6:$K$3665,$K430))</f>
        <v/>
      </c>
      <c r="C430" s="185">
        <f>IF($K430="","",INDEX(Zeiterfassung!$K$6:$K$3665,$K430))</f>
        <v/>
      </c>
      <c r="D430" s="186">
        <f>IF($K430="","",INDEX(Zeiterfassung!$D$6:$D$3665,$K430))</f>
        <v/>
      </c>
      <c r="E430" s="186">
        <f>IF($K430="","",INDEX(Zeiterfassung!$E$6:$E$3665,$K430))</f>
        <v/>
      </c>
      <c r="F430" s="187">
        <f>IF($K430="","",INDEX(Zeiterfassung!$F$6:$F$3665,$K430))</f>
        <v/>
      </c>
      <c r="G430" s="187">
        <f>IF($K430="","",INDEX(Zeiterfassung!$G$6:$G$3665,$K430))</f>
        <v/>
      </c>
      <c r="H430" s="188">
        <f>IF($K430="","",INDEX(Zeiterfassung!$H$6:$H$3665,$K430))</f>
        <v/>
      </c>
      <c r="I430" s="335">
        <f>IF(B430=B429,"",IF($K430="","",INDEX(Zeiterfassung!$I$6:$I$3665,MATCH(INDEX(Zeiterfassung!$K$6:$K$3665,$K430),Zeiterfassung!$K$6:$K$3665,0))))</f>
        <v/>
      </c>
      <c r="J430" s="335">
        <f>IF(B430=B429,"",IF($K430="","",INDEX(Zeiterfassung!$J$6:$J$3665,MATCH(INDEX(Zeiterfassung!$K$6:$K$3665,$K430),Zeiterfassung!$K$6:$K$3665,0))))</f>
        <v/>
      </c>
      <c r="K430">
        <f>IFERROR(AGGREGATE(15,6,(ROW(Zeiterfassung!$D$6:$D$3665)-ROW(Zeiterfassung!$D$6)+1)/(Zeiterfassung!$D$6:$D$3665&lt;&gt;""),425),"")</f>
        <v/>
      </c>
    </row>
    <row r="431" ht="20" customHeight="1">
      <c r="A431" s="183">
        <f>IF($K431="","",WEEKNUM(INDEX(Zeiterfassung!$K$6:$K$3665,$K431),21))</f>
        <v/>
      </c>
      <c r="B431" s="184">
        <f>IF($K431="","",INDEX(Zeiterfassung!$K$6:$K$3665,$K431))</f>
        <v/>
      </c>
      <c r="C431" s="185">
        <f>IF($K431="","",INDEX(Zeiterfassung!$K$6:$K$3665,$K431))</f>
        <v/>
      </c>
      <c r="D431" s="186">
        <f>IF($K431="","",INDEX(Zeiterfassung!$D$6:$D$3665,$K431))</f>
        <v/>
      </c>
      <c r="E431" s="186">
        <f>IF($K431="","",INDEX(Zeiterfassung!$E$6:$E$3665,$K431))</f>
        <v/>
      </c>
      <c r="F431" s="187">
        <f>IF($K431="","",INDEX(Zeiterfassung!$F$6:$F$3665,$K431))</f>
        <v/>
      </c>
      <c r="G431" s="187">
        <f>IF($K431="","",INDEX(Zeiterfassung!$G$6:$G$3665,$K431))</f>
        <v/>
      </c>
      <c r="H431" s="188">
        <f>IF($K431="","",INDEX(Zeiterfassung!$H$6:$H$3665,$K431))</f>
        <v/>
      </c>
      <c r="I431" s="335">
        <f>IF(B431=B430,"",IF($K431="","",INDEX(Zeiterfassung!$I$6:$I$3665,MATCH(INDEX(Zeiterfassung!$K$6:$K$3665,$K431),Zeiterfassung!$K$6:$K$3665,0))))</f>
        <v/>
      </c>
      <c r="J431" s="335">
        <f>IF(B431=B430,"",IF($K431="","",INDEX(Zeiterfassung!$J$6:$J$3665,MATCH(INDEX(Zeiterfassung!$K$6:$K$3665,$K431),Zeiterfassung!$K$6:$K$3665,0))))</f>
        <v/>
      </c>
      <c r="K431">
        <f>IFERROR(AGGREGATE(15,6,(ROW(Zeiterfassung!$D$6:$D$3665)-ROW(Zeiterfassung!$D$6)+1)/(Zeiterfassung!$D$6:$D$3665&lt;&gt;""),426),"")</f>
        <v/>
      </c>
    </row>
    <row r="432" ht="20" customHeight="1">
      <c r="A432" s="183">
        <f>IF($K432="","",WEEKNUM(INDEX(Zeiterfassung!$K$6:$K$3665,$K432),21))</f>
        <v/>
      </c>
      <c r="B432" s="184">
        <f>IF($K432="","",INDEX(Zeiterfassung!$K$6:$K$3665,$K432))</f>
        <v/>
      </c>
      <c r="C432" s="185">
        <f>IF($K432="","",INDEX(Zeiterfassung!$K$6:$K$3665,$K432))</f>
        <v/>
      </c>
      <c r="D432" s="186">
        <f>IF($K432="","",INDEX(Zeiterfassung!$D$6:$D$3665,$K432))</f>
        <v/>
      </c>
      <c r="E432" s="186">
        <f>IF($K432="","",INDEX(Zeiterfassung!$E$6:$E$3665,$K432))</f>
        <v/>
      </c>
      <c r="F432" s="187">
        <f>IF($K432="","",INDEX(Zeiterfassung!$F$6:$F$3665,$K432))</f>
        <v/>
      </c>
      <c r="G432" s="187">
        <f>IF($K432="","",INDEX(Zeiterfassung!$G$6:$G$3665,$K432))</f>
        <v/>
      </c>
      <c r="H432" s="188">
        <f>IF($K432="","",INDEX(Zeiterfassung!$H$6:$H$3665,$K432))</f>
        <v/>
      </c>
      <c r="I432" s="335">
        <f>IF(B432=B431,"",IF($K432="","",INDEX(Zeiterfassung!$I$6:$I$3665,MATCH(INDEX(Zeiterfassung!$K$6:$K$3665,$K432),Zeiterfassung!$K$6:$K$3665,0))))</f>
        <v/>
      </c>
      <c r="J432" s="335">
        <f>IF(B432=B431,"",IF($K432="","",INDEX(Zeiterfassung!$J$6:$J$3665,MATCH(INDEX(Zeiterfassung!$K$6:$K$3665,$K432),Zeiterfassung!$K$6:$K$3665,0))))</f>
        <v/>
      </c>
      <c r="K432">
        <f>IFERROR(AGGREGATE(15,6,(ROW(Zeiterfassung!$D$6:$D$3665)-ROW(Zeiterfassung!$D$6)+1)/(Zeiterfassung!$D$6:$D$3665&lt;&gt;""),427),"")</f>
        <v/>
      </c>
    </row>
    <row r="433" ht="20" customHeight="1">
      <c r="A433" s="183">
        <f>IF($K433="","",WEEKNUM(INDEX(Zeiterfassung!$K$6:$K$3665,$K433),21))</f>
        <v/>
      </c>
      <c r="B433" s="184">
        <f>IF($K433="","",INDEX(Zeiterfassung!$K$6:$K$3665,$K433))</f>
        <v/>
      </c>
      <c r="C433" s="185">
        <f>IF($K433="","",INDEX(Zeiterfassung!$K$6:$K$3665,$K433))</f>
        <v/>
      </c>
      <c r="D433" s="186">
        <f>IF($K433="","",INDEX(Zeiterfassung!$D$6:$D$3665,$K433))</f>
        <v/>
      </c>
      <c r="E433" s="186">
        <f>IF($K433="","",INDEX(Zeiterfassung!$E$6:$E$3665,$K433))</f>
        <v/>
      </c>
      <c r="F433" s="187">
        <f>IF($K433="","",INDEX(Zeiterfassung!$F$6:$F$3665,$K433))</f>
        <v/>
      </c>
      <c r="G433" s="187">
        <f>IF($K433="","",INDEX(Zeiterfassung!$G$6:$G$3665,$K433))</f>
        <v/>
      </c>
      <c r="H433" s="188">
        <f>IF($K433="","",INDEX(Zeiterfassung!$H$6:$H$3665,$K433))</f>
        <v/>
      </c>
      <c r="I433" s="335">
        <f>IF(B433=B432,"",IF($K433="","",INDEX(Zeiterfassung!$I$6:$I$3665,MATCH(INDEX(Zeiterfassung!$K$6:$K$3665,$K433),Zeiterfassung!$K$6:$K$3665,0))))</f>
        <v/>
      </c>
      <c r="J433" s="335">
        <f>IF(B433=B432,"",IF($K433="","",INDEX(Zeiterfassung!$J$6:$J$3665,MATCH(INDEX(Zeiterfassung!$K$6:$K$3665,$K433),Zeiterfassung!$K$6:$K$3665,0))))</f>
        <v/>
      </c>
      <c r="K433">
        <f>IFERROR(AGGREGATE(15,6,(ROW(Zeiterfassung!$D$6:$D$3665)-ROW(Zeiterfassung!$D$6)+1)/(Zeiterfassung!$D$6:$D$3665&lt;&gt;""),428),"")</f>
        <v/>
      </c>
    </row>
    <row r="434" ht="20" customHeight="1">
      <c r="A434" s="183">
        <f>IF($K434="","",WEEKNUM(INDEX(Zeiterfassung!$K$6:$K$3665,$K434),21))</f>
        <v/>
      </c>
      <c r="B434" s="184">
        <f>IF($K434="","",INDEX(Zeiterfassung!$K$6:$K$3665,$K434))</f>
        <v/>
      </c>
      <c r="C434" s="185">
        <f>IF($K434="","",INDEX(Zeiterfassung!$K$6:$K$3665,$K434))</f>
        <v/>
      </c>
      <c r="D434" s="186">
        <f>IF($K434="","",INDEX(Zeiterfassung!$D$6:$D$3665,$K434))</f>
        <v/>
      </c>
      <c r="E434" s="186">
        <f>IF($K434="","",INDEX(Zeiterfassung!$E$6:$E$3665,$K434))</f>
        <v/>
      </c>
      <c r="F434" s="187">
        <f>IF($K434="","",INDEX(Zeiterfassung!$F$6:$F$3665,$K434))</f>
        <v/>
      </c>
      <c r="G434" s="187">
        <f>IF($K434="","",INDEX(Zeiterfassung!$G$6:$G$3665,$K434))</f>
        <v/>
      </c>
      <c r="H434" s="188">
        <f>IF($K434="","",INDEX(Zeiterfassung!$H$6:$H$3665,$K434))</f>
        <v/>
      </c>
      <c r="I434" s="335">
        <f>IF(B434=B433,"",IF($K434="","",INDEX(Zeiterfassung!$I$6:$I$3665,MATCH(INDEX(Zeiterfassung!$K$6:$K$3665,$K434),Zeiterfassung!$K$6:$K$3665,0))))</f>
        <v/>
      </c>
      <c r="J434" s="335">
        <f>IF(B434=B433,"",IF($K434="","",INDEX(Zeiterfassung!$J$6:$J$3665,MATCH(INDEX(Zeiterfassung!$K$6:$K$3665,$K434),Zeiterfassung!$K$6:$K$3665,0))))</f>
        <v/>
      </c>
      <c r="K434">
        <f>IFERROR(AGGREGATE(15,6,(ROW(Zeiterfassung!$D$6:$D$3665)-ROW(Zeiterfassung!$D$6)+1)/(Zeiterfassung!$D$6:$D$3665&lt;&gt;""),429),"")</f>
        <v/>
      </c>
    </row>
    <row r="435" ht="20" customHeight="1">
      <c r="A435" s="183">
        <f>IF($K435="","",WEEKNUM(INDEX(Zeiterfassung!$K$6:$K$3665,$K435),21))</f>
        <v/>
      </c>
      <c r="B435" s="184">
        <f>IF($K435="","",INDEX(Zeiterfassung!$K$6:$K$3665,$K435))</f>
        <v/>
      </c>
      <c r="C435" s="185">
        <f>IF($K435="","",INDEX(Zeiterfassung!$K$6:$K$3665,$K435))</f>
        <v/>
      </c>
      <c r="D435" s="186">
        <f>IF($K435="","",INDEX(Zeiterfassung!$D$6:$D$3665,$K435))</f>
        <v/>
      </c>
      <c r="E435" s="186">
        <f>IF($K435="","",INDEX(Zeiterfassung!$E$6:$E$3665,$K435))</f>
        <v/>
      </c>
      <c r="F435" s="187">
        <f>IF($K435="","",INDEX(Zeiterfassung!$F$6:$F$3665,$K435))</f>
        <v/>
      </c>
      <c r="G435" s="187">
        <f>IF($K435="","",INDEX(Zeiterfassung!$G$6:$G$3665,$K435))</f>
        <v/>
      </c>
      <c r="H435" s="188">
        <f>IF($K435="","",INDEX(Zeiterfassung!$H$6:$H$3665,$K435))</f>
        <v/>
      </c>
      <c r="I435" s="335">
        <f>IF(B435=B434,"",IF($K435="","",INDEX(Zeiterfassung!$I$6:$I$3665,MATCH(INDEX(Zeiterfassung!$K$6:$K$3665,$K435),Zeiterfassung!$K$6:$K$3665,0))))</f>
        <v/>
      </c>
      <c r="J435" s="335">
        <f>IF(B435=B434,"",IF($K435="","",INDEX(Zeiterfassung!$J$6:$J$3665,MATCH(INDEX(Zeiterfassung!$K$6:$K$3665,$K435),Zeiterfassung!$K$6:$K$3665,0))))</f>
        <v/>
      </c>
      <c r="K435">
        <f>IFERROR(AGGREGATE(15,6,(ROW(Zeiterfassung!$D$6:$D$3665)-ROW(Zeiterfassung!$D$6)+1)/(Zeiterfassung!$D$6:$D$3665&lt;&gt;""),430),"")</f>
        <v/>
      </c>
    </row>
    <row r="436" ht="20" customHeight="1">
      <c r="A436" s="183">
        <f>IF($K436="","",WEEKNUM(INDEX(Zeiterfassung!$K$6:$K$3665,$K436),21))</f>
        <v/>
      </c>
      <c r="B436" s="184">
        <f>IF($K436="","",INDEX(Zeiterfassung!$K$6:$K$3665,$K436))</f>
        <v/>
      </c>
      <c r="C436" s="185">
        <f>IF($K436="","",INDEX(Zeiterfassung!$K$6:$K$3665,$K436))</f>
        <v/>
      </c>
      <c r="D436" s="186">
        <f>IF($K436="","",INDEX(Zeiterfassung!$D$6:$D$3665,$K436))</f>
        <v/>
      </c>
      <c r="E436" s="186">
        <f>IF($K436="","",INDEX(Zeiterfassung!$E$6:$E$3665,$K436))</f>
        <v/>
      </c>
      <c r="F436" s="187">
        <f>IF($K436="","",INDEX(Zeiterfassung!$F$6:$F$3665,$K436))</f>
        <v/>
      </c>
      <c r="G436" s="187">
        <f>IF($K436="","",INDEX(Zeiterfassung!$G$6:$G$3665,$K436))</f>
        <v/>
      </c>
      <c r="H436" s="188">
        <f>IF($K436="","",INDEX(Zeiterfassung!$H$6:$H$3665,$K436))</f>
        <v/>
      </c>
      <c r="I436" s="335">
        <f>IF(B436=B435,"",IF($K436="","",INDEX(Zeiterfassung!$I$6:$I$3665,MATCH(INDEX(Zeiterfassung!$K$6:$K$3665,$K436),Zeiterfassung!$K$6:$K$3665,0))))</f>
        <v/>
      </c>
      <c r="J436" s="335">
        <f>IF(B436=B435,"",IF($K436="","",INDEX(Zeiterfassung!$J$6:$J$3665,MATCH(INDEX(Zeiterfassung!$K$6:$K$3665,$K436),Zeiterfassung!$K$6:$K$3665,0))))</f>
        <v/>
      </c>
      <c r="K436">
        <f>IFERROR(AGGREGATE(15,6,(ROW(Zeiterfassung!$D$6:$D$3665)-ROW(Zeiterfassung!$D$6)+1)/(Zeiterfassung!$D$6:$D$3665&lt;&gt;""),431),"")</f>
        <v/>
      </c>
    </row>
    <row r="437" ht="20" customHeight="1">
      <c r="A437" s="183">
        <f>IF($K437="","",WEEKNUM(INDEX(Zeiterfassung!$K$6:$K$3665,$K437),21))</f>
        <v/>
      </c>
      <c r="B437" s="184">
        <f>IF($K437="","",INDEX(Zeiterfassung!$K$6:$K$3665,$K437))</f>
        <v/>
      </c>
      <c r="C437" s="185">
        <f>IF($K437="","",INDEX(Zeiterfassung!$K$6:$K$3665,$K437))</f>
        <v/>
      </c>
      <c r="D437" s="186">
        <f>IF($K437="","",INDEX(Zeiterfassung!$D$6:$D$3665,$K437))</f>
        <v/>
      </c>
      <c r="E437" s="186">
        <f>IF($K437="","",INDEX(Zeiterfassung!$E$6:$E$3665,$K437))</f>
        <v/>
      </c>
      <c r="F437" s="187">
        <f>IF($K437="","",INDEX(Zeiterfassung!$F$6:$F$3665,$K437))</f>
        <v/>
      </c>
      <c r="G437" s="187">
        <f>IF($K437="","",INDEX(Zeiterfassung!$G$6:$G$3665,$K437))</f>
        <v/>
      </c>
      <c r="H437" s="188">
        <f>IF($K437="","",INDEX(Zeiterfassung!$H$6:$H$3665,$K437))</f>
        <v/>
      </c>
      <c r="I437" s="335">
        <f>IF(B437=B436,"",IF($K437="","",INDEX(Zeiterfassung!$I$6:$I$3665,MATCH(INDEX(Zeiterfassung!$K$6:$K$3665,$K437),Zeiterfassung!$K$6:$K$3665,0))))</f>
        <v/>
      </c>
      <c r="J437" s="335">
        <f>IF(B437=B436,"",IF($K437="","",INDEX(Zeiterfassung!$J$6:$J$3665,MATCH(INDEX(Zeiterfassung!$K$6:$K$3665,$K437),Zeiterfassung!$K$6:$K$3665,0))))</f>
        <v/>
      </c>
      <c r="K437">
        <f>IFERROR(AGGREGATE(15,6,(ROW(Zeiterfassung!$D$6:$D$3665)-ROW(Zeiterfassung!$D$6)+1)/(Zeiterfassung!$D$6:$D$3665&lt;&gt;""),432),"")</f>
        <v/>
      </c>
    </row>
    <row r="438" ht="20" customHeight="1">
      <c r="A438" s="183">
        <f>IF($K438="","",WEEKNUM(INDEX(Zeiterfassung!$K$6:$K$3665,$K438),21))</f>
        <v/>
      </c>
      <c r="B438" s="184">
        <f>IF($K438="","",INDEX(Zeiterfassung!$K$6:$K$3665,$K438))</f>
        <v/>
      </c>
      <c r="C438" s="185">
        <f>IF($K438="","",INDEX(Zeiterfassung!$K$6:$K$3665,$K438))</f>
        <v/>
      </c>
      <c r="D438" s="186">
        <f>IF($K438="","",INDEX(Zeiterfassung!$D$6:$D$3665,$K438))</f>
        <v/>
      </c>
      <c r="E438" s="186">
        <f>IF($K438="","",INDEX(Zeiterfassung!$E$6:$E$3665,$K438))</f>
        <v/>
      </c>
      <c r="F438" s="187">
        <f>IF($K438="","",INDEX(Zeiterfassung!$F$6:$F$3665,$K438))</f>
        <v/>
      </c>
      <c r="G438" s="187">
        <f>IF($K438="","",INDEX(Zeiterfassung!$G$6:$G$3665,$K438))</f>
        <v/>
      </c>
      <c r="H438" s="188">
        <f>IF($K438="","",INDEX(Zeiterfassung!$H$6:$H$3665,$K438))</f>
        <v/>
      </c>
      <c r="I438" s="335">
        <f>IF(B438=B437,"",IF($K438="","",INDEX(Zeiterfassung!$I$6:$I$3665,MATCH(INDEX(Zeiterfassung!$K$6:$K$3665,$K438),Zeiterfassung!$K$6:$K$3665,0))))</f>
        <v/>
      </c>
      <c r="J438" s="335">
        <f>IF(B438=B437,"",IF($K438="","",INDEX(Zeiterfassung!$J$6:$J$3665,MATCH(INDEX(Zeiterfassung!$K$6:$K$3665,$K438),Zeiterfassung!$K$6:$K$3665,0))))</f>
        <v/>
      </c>
      <c r="K438">
        <f>IFERROR(AGGREGATE(15,6,(ROW(Zeiterfassung!$D$6:$D$3665)-ROW(Zeiterfassung!$D$6)+1)/(Zeiterfassung!$D$6:$D$3665&lt;&gt;""),433),"")</f>
        <v/>
      </c>
    </row>
    <row r="439" ht="20" customHeight="1">
      <c r="A439" s="183">
        <f>IF($K439="","",WEEKNUM(INDEX(Zeiterfassung!$K$6:$K$3665,$K439),21))</f>
        <v/>
      </c>
      <c r="B439" s="184">
        <f>IF($K439="","",INDEX(Zeiterfassung!$K$6:$K$3665,$K439))</f>
        <v/>
      </c>
      <c r="C439" s="185">
        <f>IF($K439="","",INDEX(Zeiterfassung!$K$6:$K$3665,$K439))</f>
        <v/>
      </c>
      <c r="D439" s="186">
        <f>IF($K439="","",INDEX(Zeiterfassung!$D$6:$D$3665,$K439))</f>
        <v/>
      </c>
      <c r="E439" s="186">
        <f>IF($K439="","",INDEX(Zeiterfassung!$E$6:$E$3665,$K439))</f>
        <v/>
      </c>
      <c r="F439" s="187">
        <f>IF($K439="","",INDEX(Zeiterfassung!$F$6:$F$3665,$K439))</f>
        <v/>
      </c>
      <c r="G439" s="187">
        <f>IF($K439="","",INDEX(Zeiterfassung!$G$6:$G$3665,$K439))</f>
        <v/>
      </c>
      <c r="H439" s="188">
        <f>IF($K439="","",INDEX(Zeiterfassung!$H$6:$H$3665,$K439))</f>
        <v/>
      </c>
      <c r="I439" s="335">
        <f>IF(B439=B438,"",IF($K439="","",INDEX(Zeiterfassung!$I$6:$I$3665,MATCH(INDEX(Zeiterfassung!$K$6:$K$3665,$K439),Zeiterfassung!$K$6:$K$3665,0))))</f>
        <v/>
      </c>
      <c r="J439" s="335">
        <f>IF(B439=B438,"",IF($K439="","",INDEX(Zeiterfassung!$J$6:$J$3665,MATCH(INDEX(Zeiterfassung!$K$6:$K$3665,$K439),Zeiterfassung!$K$6:$K$3665,0))))</f>
        <v/>
      </c>
      <c r="K439">
        <f>IFERROR(AGGREGATE(15,6,(ROW(Zeiterfassung!$D$6:$D$3665)-ROW(Zeiterfassung!$D$6)+1)/(Zeiterfassung!$D$6:$D$3665&lt;&gt;""),434),"")</f>
        <v/>
      </c>
    </row>
    <row r="440" ht="20" customHeight="1">
      <c r="A440" s="183">
        <f>IF($K440="","",WEEKNUM(INDEX(Zeiterfassung!$K$6:$K$3665,$K440),21))</f>
        <v/>
      </c>
      <c r="B440" s="184">
        <f>IF($K440="","",INDEX(Zeiterfassung!$K$6:$K$3665,$K440))</f>
        <v/>
      </c>
      <c r="C440" s="185">
        <f>IF($K440="","",INDEX(Zeiterfassung!$K$6:$K$3665,$K440))</f>
        <v/>
      </c>
      <c r="D440" s="186">
        <f>IF($K440="","",INDEX(Zeiterfassung!$D$6:$D$3665,$K440))</f>
        <v/>
      </c>
      <c r="E440" s="186">
        <f>IF($K440="","",INDEX(Zeiterfassung!$E$6:$E$3665,$K440))</f>
        <v/>
      </c>
      <c r="F440" s="187">
        <f>IF($K440="","",INDEX(Zeiterfassung!$F$6:$F$3665,$K440))</f>
        <v/>
      </c>
      <c r="G440" s="187">
        <f>IF($K440="","",INDEX(Zeiterfassung!$G$6:$G$3665,$K440))</f>
        <v/>
      </c>
      <c r="H440" s="188">
        <f>IF($K440="","",INDEX(Zeiterfassung!$H$6:$H$3665,$K440))</f>
        <v/>
      </c>
      <c r="I440" s="335">
        <f>IF(B440=B439,"",IF($K440="","",INDEX(Zeiterfassung!$I$6:$I$3665,MATCH(INDEX(Zeiterfassung!$K$6:$K$3665,$K440),Zeiterfassung!$K$6:$K$3665,0))))</f>
        <v/>
      </c>
      <c r="J440" s="335">
        <f>IF(B440=B439,"",IF($K440="","",INDEX(Zeiterfassung!$J$6:$J$3665,MATCH(INDEX(Zeiterfassung!$K$6:$K$3665,$K440),Zeiterfassung!$K$6:$K$3665,0))))</f>
        <v/>
      </c>
      <c r="K440">
        <f>IFERROR(AGGREGATE(15,6,(ROW(Zeiterfassung!$D$6:$D$3665)-ROW(Zeiterfassung!$D$6)+1)/(Zeiterfassung!$D$6:$D$3665&lt;&gt;""),435),"")</f>
        <v/>
      </c>
    </row>
    <row r="441" ht="20" customHeight="1">
      <c r="A441" s="183">
        <f>IF($K441="","",WEEKNUM(INDEX(Zeiterfassung!$K$6:$K$3665,$K441),21))</f>
        <v/>
      </c>
      <c r="B441" s="184">
        <f>IF($K441="","",INDEX(Zeiterfassung!$K$6:$K$3665,$K441))</f>
        <v/>
      </c>
      <c r="C441" s="185">
        <f>IF($K441="","",INDEX(Zeiterfassung!$K$6:$K$3665,$K441))</f>
        <v/>
      </c>
      <c r="D441" s="186">
        <f>IF($K441="","",INDEX(Zeiterfassung!$D$6:$D$3665,$K441))</f>
        <v/>
      </c>
      <c r="E441" s="186">
        <f>IF($K441="","",INDEX(Zeiterfassung!$E$6:$E$3665,$K441))</f>
        <v/>
      </c>
      <c r="F441" s="187">
        <f>IF($K441="","",INDEX(Zeiterfassung!$F$6:$F$3665,$K441))</f>
        <v/>
      </c>
      <c r="G441" s="187">
        <f>IF($K441="","",INDEX(Zeiterfassung!$G$6:$G$3665,$K441))</f>
        <v/>
      </c>
      <c r="H441" s="188">
        <f>IF($K441="","",INDEX(Zeiterfassung!$H$6:$H$3665,$K441))</f>
        <v/>
      </c>
      <c r="I441" s="335">
        <f>IF(B441=B440,"",IF($K441="","",INDEX(Zeiterfassung!$I$6:$I$3665,MATCH(INDEX(Zeiterfassung!$K$6:$K$3665,$K441),Zeiterfassung!$K$6:$K$3665,0))))</f>
        <v/>
      </c>
      <c r="J441" s="335">
        <f>IF(B441=B440,"",IF($K441="","",INDEX(Zeiterfassung!$J$6:$J$3665,MATCH(INDEX(Zeiterfassung!$K$6:$K$3665,$K441),Zeiterfassung!$K$6:$K$3665,0))))</f>
        <v/>
      </c>
      <c r="K441">
        <f>IFERROR(AGGREGATE(15,6,(ROW(Zeiterfassung!$D$6:$D$3665)-ROW(Zeiterfassung!$D$6)+1)/(Zeiterfassung!$D$6:$D$3665&lt;&gt;""),436),"")</f>
        <v/>
      </c>
    </row>
    <row r="442" ht="20" customHeight="1">
      <c r="A442" s="183">
        <f>IF($K442="","",WEEKNUM(INDEX(Zeiterfassung!$K$6:$K$3665,$K442),21))</f>
        <v/>
      </c>
      <c r="B442" s="184">
        <f>IF($K442="","",INDEX(Zeiterfassung!$K$6:$K$3665,$K442))</f>
        <v/>
      </c>
      <c r="C442" s="185">
        <f>IF($K442="","",INDEX(Zeiterfassung!$K$6:$K$3665,$K442))</f>
        <v/>
      </c>
      <c r="D442" s="186">
        <f>IF($K442="","",INDEX(Zeiterfassung!$D$6:$D$3665,$K442))</f>
        <v/>
      </c>
      <c r="E442" s="186">
        <f>IF($K442="","",INDEX(Zeiterfassung!$E$6:$E$3665,$K442))</f>
        <v/>
      </c>
      <c r="F442" s="187">
        <f>IF($K442="","",INDEX(Zeiterfassung!$F$6:$F$3665,$K442))</f>
        <v/>
      </c>
      <c r="G442" s="187">
        <f>IF($K442="","",INDEX(Zeiterfassung!$G$6:$G$3665,$K442))</f>
        <v/>
      </c>
      <c r="H442" s="188">
        <f>IF($K442="","",INDEX(Zeiterfassung!$H$6:$H$3665,$K442))</f>
        <v/>
      </c>
      <c r="I442" s="335">
        <f>IF(B442=B441,"",IF($K442="","",INDEX(Zeiterfassung!$I$6:$I$3665,MATCH(INDEX(Zeiterfassung!$K$6:$K$3665,$K442),Zeiterfassung!$K$6:$K$3665,0))))</f>
        <v/>
      </c>
      <c r="J442" s="335">
        <f>IF(B442=B441,"",IF($K442="","",INDEX(Zeiterfassung!$J$6:$J$3665,MATCH(INDEX(Zeiterfassung!$K$6:$K$3665,$K442),Zeiterfassung!$K$6:$K$3665,0))))</f>
        <v/>
      </c>
      <c r="K442">
        <f>IFERROR(AGGREGATE(15,6,(ROW(Zeiterfassung!$D$6:$D$3665)-ROW(Zeiterfassung!$D$6)+1)/(Zeiterfassung!$D$6:$D$3665&lt;&gt;""),437),"")</f>
        <v/>
      </c>
    </row>
    <row r="443" ht="20" customHeight="1">
      <c r="A443" s="183">
        <f>IF($K443="","",WEEKNUM(INDEX(Zeiterfassung!$K$6:$K$3665,$K443),21))</f>
        <v/>
      </c>
      <c r="B443" s="184">
        <f>IF($K443="","",INDEX(Zeiterfassung!$K$6:$K$3665,$K443))</f>
        <v/>
      </c>
      <c r="C443" s="185">
        <f>IF($K443="","",INDEX(Zeiterfassung!$K$6:$K$3665,$K443))</f>
        <v/>
      </c>
      <c r="D443" s="186">
        <f>IF($K443="","",INDEX(Zeiterfassung!$D$6:$D$3665,$K443))</f>
        <v/>
      </c>
      <c r="E443" s="186">
        <f>IF($K443="","",INDEX(Zeiterfassung!$E$6:$E$3665,$K443))</f>
        <v/>
      </c>
      <c r="F443" s="187">
        <f>IF($K443="","",INDEX(Zeiterfassung!$F$6:$F$3665,$K443))</f>
        <v/>
      </c>
      <c r="G443" s="187">
        <f>IF($K443="","",INDEX(Zeiterfassung!$G$6:$G$3665,$K443))</f>
        <v/>
      </c>
      <c r="H443" s="188">
        <f>IF($K443="","",INDEX(Zeiterfassung!$H$6:$H$3665,$K443))</f>
        <v/>
      </c>
      <c r="I443" s="335">
        <f>IF(B443=B442,"",IF($K443="","",INDEX(Zeiterfassung!$I$6:$I$3665,MATCH(INDEX(Zeiterfassung!$K$6:$K$3665,$K443),Zeiterfassung!$K$6:$K$3665,0))))</f>
        <v/>
      </c>
      <c r="J443" s="335">
        <f>IF(B443=B442,"",IF($K443="","",INDEX(Zeiterfassung!$J$6:$J$3665,MATCH(INDEX(Zeiterfassung!$K$6:$K$3665,$K443),Zeiterfassung!$K$6:$K$3665,0))))</f>
        <v/>
      </c>
      <c r="K443">
        <f>IFERROR(AGGREGATE(15,6,(ROW(Zeiterfassung!$D$6:$D$3665)-ROW(Zeiterfassung!$D$6)+1)/(Zeiterfassung!$D$6:$D$3665&lt;&gt;""),438),"")</f>
        <v/>
      </c>
    </row>
    <row r="444" ht="20" customHeight="1">
      <c r="A444" s="183">
        <f>IF($K444="","",WEEKNUM(INDEX(Zeiterfassung!$K$6:$K$3665,$K444),21))</f>
        <v/>
      </c>
      <c r="B444" s="184">
        <f>IF($K444="","",INDEX(Zeiterfassung!$K$6:$K$3665,$K444))</f>
        <v/>
      </c>
      <c r="C444" s="185">
        <f>IF($K444="","",INDEX(Zeiterfassung!$K$6:$K$3665,$K444))</f>
        <v/>
      </c>
      <c r="D444" s="186">
        <f>IF($K444="","",INDEX(Zeiterfassung!$D$6:$D$3665,$K444))</f>
        <v/>
      </c>
      <c r="E444" s="186">
        <f>IF($K444="","",INDEX(Zeiterfassung!$E$6:$E$3665,$K444))</f>
        <v/>
      </c>
      <c r="F444" s="187">
        <f>IF($K444="","",INDEX(Zeiterfassung!$F$6:$F$3665,$K444))</f>
        <v/>
      </c>
      <c r="G444" s="187">
        <f>IF($K444="","",INDEX(Zeiterfassung!$G$6:$G$3665,$K444))</f>
        <v/>
      </c>
      <c r="H444" s="188">
        <f>IF($K444="","",INDEX(Zeiterfassung!$H$6:$H$3665,$K444))</f>
        <v/>
      </c>
      <c r="I444" s="335">
        <f>IF(B444=B443,"",IF($K444="","",INDEX(Zeiterfassung!$I$6:$I$3665,MATCH(INDEX(Zeiterfassung!$K$6:$K$3665,$K444),Zeiterfassung!$K$6:$K$3665,0))))</f>
        <v/>
      </c>
      <c r="J444" s="335">
        <f>IF(B444=B443,"",IF($K444="","",INDEX(Zeiterfassung!$J$6:$J$3665,MATCH(INDEX(Zeiterfassung!$K$6:$K$3665,$K444),Zeiterfassung!$K$6:$K$3665,0))))</f>
        <v/>
      </c>
      <c r="K444">
        <f>IFERROR(AGGREGATE(15,6,(ROW(Zeiterfassung!$D$6:$D$3665)-ROW(Zeiterfassung!$D$6)+1)/(Zeiterfassung!$D$6:$D$3665&lt;&gt;""),439),"")</f>
        <v/>
      </c>
    </row>
    <row r="445" ht="20" customHeight="1">
      <c r="A445" s="183">
        <f>IF($K445="","",WEEKNUM(INDEX(Zeiterfassung!$K$6:$K$3665,$K445),21))</f>
        <v/>
      </c>
      <c r="B445" s="184">
        <f>IF($K445="","",INDEX(Zeiterfassung!$K$6:$K$3665,$K445))</f>
        <v/>
      </c>
      <c r="C445" s="185">
        <f>IF($K445="","",INDEX(Zeiterfassung!$K$6:$K$3665,$K445))</f>
        <v/>
      </c>
      <c r="D445" s="186">
        <f>IF($K445="","",INDEX(Zeiterfassung!$D$6:$D$3665,$K445))</f>
        <v/>
      </c>
      <c r="E445" s="186">
        <f>IF($K445="","",INDEX(Zeiterfassung!$E$6:$E$3665,$K445))</f>
        <v/>
      </c>
      <c r="F445" s="187">
        <f>IF($K445="","",INDEX(Zeiterfassung!$F$6:$F$3665,$K445))</f>
        <v/>
      </c>
      <c r="G445" s="187">
        <f>IF($K445="","",INDEX(Zeiterfassung!$G$6:$G$3665,$K445))</f>
        <v/>
      </c>
      <c r="H445" s="188">
        <f>IF($K445="","",INDEX(Zeiterfassung!$H$6:$H$3665,$K445))</f>
        <v/>
      </c>
      <c r="I445" s="335">
        <f>IF(B445=B444,"",IF($K445="","",INDEX(Zeiterfassung!$I$6:$I$3665,MATCH(INDEX(Zeiterfassung!$K$6:$K$3665,$K445),Zeiterfassung!$K$6:$K$3665,0))))</f>
        <v/>
      </c>
      <c r="J445" s="335">
        <f>IF(B445=B444,"",IF($K445="","",INDEX(Zeiterfassung!$J$6:$J$3665,MATCH(INDEX(Zeiterfassung!$K$6:$K$3665,$K445),Zeiterfassung!$K$6:$K$3665,0))))</f>
        <v/>
      </c>
      <c r="K445">
        <f>IFERROR(AGGREGATE(15,6,(ROW(Zeiterfassung!$D$6:$D$3665)-ROW(Zeiterfassung!$D$6)+1)/(Zeiterfassung!$D$6:$D$3665&lt;&gt;""),440),"")</f>
        <v/>
      </c>
    </row>
    <row r="446" ht="20" customHeight="1">
      <c r="A446" s="183">
        <f>IF($K446="","",WEEKNUM(INDEX(Zeiterfassung!$K$6:$K$3665,$K446),21))</f>
        <v/>
      </c>
      <c r="B446" s="184">
        <f>IF($K446="","",INDEX(Zeiterfassung!$K$6:$K$3665,$K446))</f>
        <v/>
      </c>
      <c r="C446" s="185">
        <f>IF($K446="","",INDEX(Zeiterfassung!$K$6:$K$3665,$K446))</f>
        <v/>
      </c>
      <c r="D446" s="186">
        <f>IF($K446="","",INDEX(Zeiterfassung!$D$6:$D$3665,$K446))</f>
        <v/>
      </c>
      <c r="E446" s="186">
        <f>IF($K446="","",INDEX(Zeiterfassung!$E$6:$E$3665,$K446))</f>
        <v/>
      </c>
      <c r="F446" s="187">
        <f>IF($K446="","",INDEX(Zeiterfassung!$F$6:$F$3665,$K446))</f>
        <v/>
      </c>
      <c r="G446" s="187">
        <f>IF($K446="","",INDEX(Zeiterfassung!$G$6:$G$3665,$K446))</f>
        <v/>
      </c>
      <c r="H446" s="188">
        <f>IF($K446="","",INDEX(Zeiterfassung!$H$6:$H$3665,$K446))</f>
        <v/>
      </c>
      <c r="I446" s="335">
        <f>IF(B446=B445,"",IF($K446="","",INDEX(Zeiterfassung!$I$6:$I$3665,MATCH(INDEX(Zeiterfassung!$K$6:$K$3665,$K446),Zeiterfassung!$K$6:$K$3665,0))))</f>
        <v/>
      </c>
      <c r="J446" s="335">
        <f>IF(B446=B445,"",IF($K446="","",INDEX(Zeiterfassung!$J$6:$J$3665,MATCH(INDEX(Zeiterfassung!$K$6:$K$3665,$K446),Zeiterfassung!$K$6:$K$3665,0))))</f>
        <v/>
      </c>
      <c r="K446">
        <f>IFERROR(AGGREGATE(15,6,(ROW(Zeiterfassung!$D$6:$D$3665)-ROW(Zeiterfassung!$D$6)+1)/(Zeiterfassung!$D$6:$D$3665&lt;&gt;""),441),"")</f>
        <v/>
      </c>
    </row>
    <row r="447" ht="20" customHeight="1">
      <c r="A447" s="183">
        <f>IF($K447="","",WEEKNUM(INDEX(Zeiterfassung!$K$6:$K$3665,$K447),21))</f>
        <v/>
      </c>
      <c r="B447" s="184">
        <f>IF($K447="","",INDEX(Zeiterfassung!$K$6:$K$3665,$K447))</f>
        <v/>
      </c>
      <c r="C447" s="185">
        <f>IF($K447="","",INDEX(Zeiterfassung!$K$6:$K$3665,$K447))</f>
        <v/>
      </c>
      <c r="D447" s="186">
        <f>IF($K447="","",INDEX(Zeiterfassung!$D$6:$D$3665,$K447))</f>
        <v/>
      </c>
      <c r="E447" s="186">
        <f>IF($K447="","",INDEX(Zeiterfassung!$E$6:$E$3665,$K447))</f>
        <v/>
      </c>
      <c r="F447" s="187">
        <f>IF($K447="","",INDEX(Zeiterfassung!$F$6:$F$3665,$K447))</f>
        <v/>
      </c>
      <c r="G447" s="187">
        <f>IF($K447="","",INDEX(Zeiterfassung!$G$6:$G$3665,$K447))</f>
        <v/>
      </c>
      <c r="H447" s="188">
        <f>IF($K447="","",INDEX(Zeiterfassung!$H$6:$H$3665,$K447))</f>
        <v/>
      </c>
      <c r="I447" s="335">
        <f>IF(B447=B446,"",IF($K447="","",INDEX(Zeiterfassung!$I$6:$I$3665,MATCH(INDEX(Zeiterfassung!$K$6:$K$3665,$K447),Zeiterfassung!$K$6:$K$3665,0))))</f>
        <v/>
      </c>
      <c r="J447" s="335">
        <f>IF(B447=B446,"",IF($K447="","",INDEX(Zeiterfassung!$J$6:$J$3665,MATCH(INDEX(Zeiterfassung!$K$6:$K$3665,$K447),Zeiterfassung!$K$6:$K$3665,0))))</f>
        <v/>
      </c>
      <c r="K447">
        <f>IFERROR(AGGREGATE(15,6,(ROW(Zeiterfassung!$D$6:$D$3665)-ROW(Zeiterfassung!$D$6)+1)/(Zeiterfassung!$D$6:$D$3665&lt;&gt;""),442),"")</f>
        <v/>
      </c>
    </row>
    <row r="448" ht="20" customHeight="1">
      <c r="A448" s="183">
        <f>IF($K448="","",WEEKNUM(INDEX(Zeiterfassung!$K$6:$K$3665,$K448),21))</f>
        <v/>
      </c>
      <c r="B448" s="184">
        <f>IF($K448="","",INDEX(Zeiterfassung!$K$6:$K$3665,$K448))</f>
        <v/>
      </c>
      <c r="C448" s="185">
        <f>IF($K448="","",INDEX(Zeiterfassung!$K$6:$K$3665,$K448))</f>
        <v/>
      </c>
      <c r="D448" s="186">
        <f>IF($K448="","",INDEX(Zeiterfassung!$D$6:$D$3665,$K448))</f>
        <v/>
      </c>
      <c r="E448" s="186">
        <f>IF($K448="","",INDEX(Zeiterfassung!$E$6:$E$3665,$K448))</f>
        <v/>
      </c>
      <c r="F448" s="187">
        <f>IF($K448="","",INDEX(Zeiterfassung!$F$6:$F$3665,$K448))</f>
        <v/>
      </c>
      <c r="G448" s="187">
        <f>IF($K448="","",INDEX(Zeiterfassung!$G$6:$G$3665,$K448))</f>
        <v/>
      </c>
      <c r="H448" s="188">
        <f>IF($K448="","",INDEX(Zeiterfassung!$H$6:$H$3665,$K448))</f>
        <v/>
      </c>
      <c r="I448" s="335">
        <f>IF(B448=B447,"",IF($K448="","",INDEX(Zeiterfassung!$I$6:$I$3665,MATCH(INDEX(Zeiterfassung!$K$6:$K$3665,$K448),Zeiterfassung!$K$6:$K$3665,0))))</f>
        <v/>
      </c>
      <c r="J448" s="335">
        <f>IF(B448=B447,"",IF($K448="","",INDEX(Zeiterfassung!$J$6:$J$3665,MATCH(INDEX(Zeiterfassung!$K$6:$K$3665,$K448),Zeiterfassung!$K$6:$K$3665,0))))</f>
        <v/>
      </c>
      <c r="K448">
        <f>IFERROR(AGGREGATE(15,6,(ROW(Zeiterfassung!$D$6:$D$3665)-ROW(Zeiterfassung!$D$6)+1)/(Zeiterfassung!$D$6:$D$3665&lt;&gt;""),443),"")</f>
        <v/>
      </c>
    </row>
    <row r="449" ht="20" customHeight="1">
      <c r="A449" s="183">
        <f>IF($K449="","",WEEKNUM(INDEX(Zeiterfassung!$K$6:$K$3665,$K449),21))</f>
        <v/>
      </c>
      <c r="B449" s="184">
        <f>IF($K449="","",INDEX(Zeiterfassung!$K$6:$K$3665,$K449))</f>
        <v/>
      </c>
      <c r="C449" s="185">
        <f>IF($K449="","",INDEX(Zeiterfassung!$K$6:$K$3665,$K449))</f>
        <v/>
      </c>
      <c r="D449" s="186">
        <f>IF($K449="","",INDEX(Zeiterfassung!$D$6:$D$3665,$K449))</f>
        <v/>
      </c>
      <c r="E449" s="186">
        <f>IF($K449="","",INDEX(Zeiterfassung!$E$6:$E$3665,$K449))</f>
        <v/>
      </c>
      <c r="F449" s="187">
        <f>IF($K449="","",INDEX(Zeiterfassung!$F$6:$F$3665,$K449))</f>
        <v/>
      </c>
      <c r="G449" s="187">
        <f>IF($K449="","",INDEX(Zeiterfassung!$G$6:$G$3665,$K449))</f>
        <v/>
      </c>
      <c r="H449" s="188">
        <f>IF($K449="","",INDEX(Zeiterfassung!$H$6:$H$3665,$K449))</f>
        <v/>
      </c>
      <c r="I449" s="335">
        <f>IF(B449=B448,"",IF($K449="","",INDEX(Zeiterfassung!$I$6:$I$3665,MATCH(INDEX(Zeiterfassung!$K$6:$K$3665,$K449),Zeiterfassung!$K$6:$K$3665,0))))</f>
        <v/>
      </c>
      <c r="J449" s="335">
        <f>IF(B449=B448,"",IF($K449="","",INDEX(Zeiterfassung!$J$6:$J$3665,MATCH(INDEX(Zeiterfassung!$K$6:$K$3665,$K449),Zeiterfassung!$K$6:$K$3665,0))))</f>
        <v/>
      </c>
      <c r="K449">
        <f>IFERROR(AGGREGATE(15,6,(ROW(Zeiterfassung!$D$6:$D$3665)-ROW(Zeiterfassung!$D$6)+1)/(Zeiterfassung!$D$6:$D$3665&lt;&gt;""),444),"")</f>
        <v/>
      </c>
    </row>
    <row r="450" ht="20" customHeight="1">
      <c r="A450" s="183">
        <f>IF($K450="","",WEEKNUM(INDEX(Zeiterfassung!$K$6:$K$3665,$K450),21))</f>
        <v/>
      </c>
      <c r="B450" s="184">
        <f>IF($K450="","",INDEX(Zeiterfassung!$K$6:$K$3665,$K450))</f>
        <v/>
      </c>
      <c r="C450" s="185">
        <f>IF($K450="","",INDEX(Zeiterfassung!$K$6:$K$3665,$K450))</f>
        <v/>
      </c>
      <c r="D450" s="186">
        <f>IF($K450="","",INDEX(Zeiterfassung!$D$6:$D$3665,$K450))</f>
        <v/>
      </c>
      <c r="E450" s="186">
        <f>IF($K450="","",INDEX(Zeiterfassung!$E$6:$E$3665,$K450))</f>
        <v/>
      </c>
      <c r="F450" s="187">
        <f>IF($K450="","",INDEX(Zeiterfassung!$F$6:$F$3665,$K450))</f>
        <v/>
      </c>
      <c r="G450" s="187">
        <f>IF($K450="","",INDEX(Zeiterfassung!$G$6:$G$3665,$K450))</f>
        <v/>
      </c>
      <c r="H450" s="188">
        <f>IF($K450="","",INDEX(Zeiterfassung!$H$6:$H$3665,$K450))</f>
        <v/>
      </c>
      <c r="I450" s="335">
        <f>IF(B450=B449,"",IF($K450="","",INDEX(Zeiterfassung!$I$6:$I$3665,MATCH(INDEX(Zeiterfassung!$K$6:$K$3665,$K450),Zeiterfassung!$K$6:$K$3665,0))))</f>
        <v/>
      </c>
      <c r="J450" s="335">
        <f>IF(B450=B449,"",IF($K450="","",INDEX(Zeiterfassung!$J$6:$J$3665,MATCH(INDEX(Zeiterfassung!$K$6:$K$3665,$K450),Zeiterfassung!$K$6:$K$3665,0))))</f>
        <v/>
      </c>
      <c r="K450">
        <f>IFERROR(AGGREGATE(15,6,(ROW(Zeiterfassung!$D$6:$D$3665)-ROW(Zeiterfassung!$D$6)+1)/(Zeiterfassung!$D$6:$D$3665&lt;&gt;""),445),"")</f>
        <v/>
      </c>
    </row>
    <row r="451" ht="20" customHeight="1">
      <c r="A451" s="183">
        <f>IF($K451="","",WEEKNUM(INDEX(Zeiterfassung!$K$6:$K$3665,$K451),21))</f>
        <v/>
      </c>
      <c r="B451" s="184">
        <f>IF($K451="","",INDEX(Zeiterfassung!$K$6:$K$3665,$K451))</f>
        <v/>
      </c>
      <c r="C451" s="185">
        <f>IF($K451="","",INDEX(Zeiterfassung!$K$6:$K$3665,$K451))</f>
        <v/>
      </c>
      <c r="D451" s="186">
        <f>IF($K451="","",INDEX(Zeiterfassung!$D$6:$D$3665,$K451))</f>
        <v/>
      </c>
      <c r="E451" s="186">
        <f>IF($K451="","",INDEX(Zeiterfassung!$E$6:$E$3665,$K451))</f>
        <v/>
      </c>
      <c r="F451" s="187">
        <f>IF($K451="","",INDEX(Zeiterfassung!$F$6:$F$3665,$K451))</f>
        <v/>
      </c>
      <c r="G451" s="187">
        <f>IF($K451="","",INDEX(Zeiterfassung!$G$6:$G$3665,$K451))</f>
        <v/>
      </c>
      <c r="H451" s="188">
        <f>IF($K451="","",INDEX(Zeiterfassung!$H$6:$H$3665,$K451))</f>
        <v/>
      </c>
      <c r="I451" s="335">
        <f>IF(B451=B450,"",IF($K451="","",INDEX(Zeiterfassung!$I$6:$I$3665,MATCH(INDEX(Zeiterfassung!$K$6:$K$3665,$K451),Zeiterfassung!$K$6:$K$3665,0))))</f>
        <v/>
      </c>
      <c r="J451" s="335">
        <f>IF(B451=B450,"",IF($K451="","",INDEX(Zeiterfassung!$J$6:$J$3665,MATCH(INDEX(Zeiterfassung!$K$6:$K$3665,$K451),Zeiterfassung!$K$6:$K$3665,0))))</f>
        <v/>
      </c>
      <c r="K451">
        <f>IFERROR(AGGREGATE(15,6,(ROW(Zeiterfassung!$D$6:$D$3665)-ROW(Zeiterfassung!$D$6)+1)/(Zeiterfassung!$D$6:$D$3665&lt;&gt;""),446),"")</f>
        <v/>
      </c>
    </row>
    <row r="452" ht="20" customHeight="1">
      <c r="A452" s="183">
        <f>IF($K452="","",WEEKNUM(INDEX(Zeiterfassung!$K$6:$K$3665,$K452),21))</f>
        <v/>
      </c>
      <c r="B452" s="184">
        <f>IF($K452="","",INDEX(Zeiterfassung!$K$6:$K$3665,$K452))</f>
        <v/>
      </c>
      <c r="C452" s="185">
        <f>IF($K452="","",INDEX(Zeiterfassung!$K$6:$K$3665,$K452))</f>
        <v/>
      </c>
      <c r="D452" s="186">
        <f>IF($K452="","",INDEX(Zeiterfassung!$D$6:$D$3665,$K452))</f>
        <v/>
      </c>
      <c r="E452" s="186">
        <f>IF($K452="","",INDEX(Zeiterfassung!$E$6:$E$3665,$K452))</f>
        <v/>
      </c>
      <c r="F452" s="187">
        <f>IF($K452="","",INDEX(Zeiterfassung!$F$6:$F$3665,$K452))</f>
        <v/>
      </c>
      <c r="G452" s="187">
        <f>IF($K452="","",INDEX(Zeiterfassung!$G$6:$G$3665,$K452))</f>
        <v/>
      </c>
      <c r="H452" s="188">
        <f>IF($K452="","",INDEX(Zeiterfassung!$H$6:$H$3665,$K452))</f>
        <v/>
      </c>
      <c r="I452" s="335">
        <f>IF(B452=B451,"",IF($K452="","",INDEX(Zeiterfassung!$I$6:$I$3665,MATCH(INDEX(Zeiterfassung!$K$6:$K$3665,$K452),Zeiterfassung!$K$6:$K$3665,0))))</f>
        <v/>
      </c>
      <c r="J452" s="335">
        <f>IF(B452=B451,"",IF($K452="","",INDEX(Zeiterfassung!$J$6:$J$3665,MATCH(INDEX(Zeiterfassung!$K$6:$K$3665,$K452),Zeiterfassung!$K$6:$K$3665,0))))</f>
        <v/>
      </c>
      <c r="K452">
        <f>IFERROR(AGGREGATE(15,6,(ROW(Zeiterfassung!$D$6:$D$3665)-ROW(Zeiterfassung!$D$6)+1)/(Zeiterfassung!$D$6:$D$3665&lt;&gt;""),447),"")</f>
        <v/>
      </c>
    </row>
    <row r="453" ht="20" customHeight="1">
      <c r="A453" s="183">
        <f>IF($K453="","",WEEKNUM(INDEX(Zeiterfassung!$K$6:$K$3665,$K453),21))</f>
        <v/>
      </c>
      <c r="B453" s="184">
        <f>IF($K453="","",INDEX(Zeiterfassung!$K$6:$K$3665,$K453))</f>
        <v/>
      </c>
      <c r="C453" s="185">
        <f>IF($K453="","",INDEX(Zeiterfassung!$K$6:$K$3665,$K453))</f>
        <v/>
      </c>
      <c r="D453" s="186">
        <f>IF($K453="","",INDEX(Zeiterfassung!$D$6:$D$3665,$K453))</f>
        <v/>
      </c>
      <c r="E453" s="186">
        <f>IF($K453="","",INDEX(Zeiterfassung!$E$6:$E$3665,$K453))</f>
        <v/>
      </c>
      <c r="F453" s="187">
        <f>IF($K453="","",INDEX(Zeiterfassung!$F$6:$F$3665,$K453))</f>
        <v/>
      </c>
      <c r="G453" s="187">
        <f>IF($K453="","",INDEX(Zeiterfassung!$G$6:$G$3665,$K453))</f>
        <v/>
      </c>
      <c r="H453" s="188">
        <f>IF($K453="","",INDEX(Zeiterfassung!$H$6:$H$3665,$K453))</f>
        <v/>
      </c>
      <c r="I453" s="335">
        <f>IF(B453=B452,"",IF($K453="","",INDEX(Zeiterfassung!$I$6:$I$3665,MATCH(INDEX(Zeiterfassung!$K$6:$K$3665,$K453),Zeiterfassung!$K$6:$K$3665,0))))</f>
        <v/>
      </c>
      <c r="J453" s="335">
        <f>IF(B453=B452,"",IF($K453="","",INDEX(Zeiterfassung!$J$6:$J$3665,MATCH(INDEX(Zeiterfassung!$K$6:$K$3665,$K453),Zeiterfassung!$K$6:$K$3665,0))))</f>
        <v/>
      </c>
      <c r="K453">
        <f>IFERROR(AGGREGATE(15,6,(ROW(Zeiterfassung!$D$6:$D$3665)-ROW(Zeiterfassung!$D$6)+1)/(Zeiterfassung!$D$6:$D$3665&lt;&gt;""),448),"")</f>
        <v/>
      </c>
    </row>
    <row r="454" ht="20" customHeight="1">
      <c r="A454" s="183">
        <f>IF($K454="","",WEEKNUM(INDEX(Zeiterfassung!$K$6:$K$3665,$K454),21))</f>
        <v/>
      </c>
      <c r="B454" s="184">
        <f>IF($K454="","",INDEX(Zeiterfassung!$K$6:$K$3665,$K454))</f>
        <v/>
      </c>
      <c r="C454" s="185">
        <f>IF($K454="","",INDEX(Zeiterfassung!$K$6:$K$3665,$K454))</f>
        <v/>
      </c>
      <c r="D454" s="186">
        <f>IF($K454="","",INDEX(Zeiterfassung!$D$6:$D$3665,$K454))</f>
        <v/>
      </c>
      <c r="E454" s="186">
        <f>IF($K454="","",INDEX(Zeiterfassung!$E$6:$E$3665,$K454))</f>
        <v/>
      </c>
      <c r="F454" s="187">
        <f>IF($K454="","",INDEX(Zeiterfassung!$F$6:$F$3665,$K454))</f>
        <v/>
      </c>
      <c r="G454" s="187">
        <f>IF($K454="","",INDEX(Zeiterfassung!$G$6:$G$3665,$K454))</f>
        <v/>
      </c>
      <c r="H454" s="188">
        <f>IF($K454="","",INDEX(Zeiterfassung!$H$6:$H$3665,$K454))</f>
        <v/>
      </c>
      <c r="I454" s="335">
        <f>IF(B454=B453,"",IF($K454="","",INDEX(Zeiterfassung!$I$6:$I$3665,MATCH(INDEX(Zeiterfassung!$K$6:$K$3665,$K454),Zeiterfassung!$K$6:$K$3665,0))))</f>
        <v/>
      </c>
      <c r="J454" s="335">
        <f>IF(B454=B453,"",IF($K454="","",INDEX(Zeiterfassung!$J$6:$J$3665,MATCH(INDEX(Zeiterfassung!$K$6:$K$3665,$K454),Zeiterfassung!$K$6:$K$3665,0))))</f>
        <v/>
      </c>
      <c r="K454">
        <f>IFERROR(AGGREGATE(15,6,(ROW(Zeiterfassung!$D$6:$D$3665)-ROW(Zeiterfassung!$D$6)+1)/(Zeiterfassung!$D$6:$D$3665&lt;&gt;""),449),"")</f>
        <v/>
      </c>
    </row>
    <row r="455" ht="20" customHeight="1">
      <c r="A455" s="183">
        <f>IF($K455="","",WEEKNUM(INDEX(Zeiterfassung!$K$6:$K$3665,$K455),21))</f>
        <v/>
      </c>
      <c r="B455" s="184">
        <f>IF($K455="","",INDEX(Zeiterfassung!$K$6:$K$3665,$K455))</f>
        <v/>
      </c>
      <c r="C455" s="185">
        <f>IF($K455="","",INDEX(Zeiterfassung!$K$6:$K$3665,$K455))</f>
        <v/>
      </c>
      <c r="D455" s="186">
        <f>IF($K455="","",INDEX(Zeiterfassung!$D$6:$D$3665,$K455))</f>
        <v/>
      </c>
      <c r="E455" s="186">
        <f>IF($K455="","",INDEX(Zeiterfassung!$E$6:$E$3665,$K455))</f>
        <v/>
      </c>
      <c r="F455" s="187">
        <f>IF($K455="","",INDEX(Zeiterfassung!$F$6:$F$3665,$K455))</f>
        <v/>
      </c>
      <c r="G455" s="187">
        <f>IF($K455="","",INDEX(Zeiterfassung!$G$6:$G$3665,$K455))</f>
        <v/>
      </c>
      <c r="H455" s="188">
        <f>IF($K455="","",INDEX(Zeiterfassung!$H$6:$H$3665,$K455))</f>
        <v/>
      </c>
      <c r="I455" s="335">
        <f>IF(B455=B454,"",IF($K455="","",INDEX(Zeiterfassung!$I$6:$I$3665,MATCH(INDEX(Zeiterfassung!$K$6:$K$3665,$K455),Zeiterfassung!$K$6:$K$3665,0))))</f>
        <v/>
      </c>
      <c r="J455" s="335">
        <f>IF(B455=B454,"",IF($K455="","",INDEX(Zeiterfassung!$J$6:$J$3665,MATCH(INDEX(Zeiterfassung!$K$6:$K$3665,$K455),Zeiterfassung!$K$6:$K$3665,0))))</f>
        <v/>
      </c>
      <c r="K455">
        <f>IFERROR(AGGREGATE(15,6,(ROW(Zeiterfassung!$D$6:$D$3665)-ROW(Zeiterfassung!$D$6)+1)/(Zeiterfassung!$D$6:$D$3665&lt;&gt;""),450),"")</f>
        <v/>
      </c>
    </row>
    <row r="456" ht="20" customHeight="1">
      <c r="A456" s="183">
        <f>IF($K456="","",WEEKNUM(INDEX(Zeiterfassung!$K$6:$K$3665,$K456),21))</f>
        <v/>
      </c>
      <c r="B456" s="184">
        <f>IF($K456="","",INDEX(Zeiterfassung!$K$6:$K$3665,$K456))</f>
        <v/>
      </c>
      <c r="C456" s="185">
        <f>IF($K456="","",INDEX(Zeiterfassung!$K$6:$K$3665,$K456))</f>
        <v/>
      </c>
      <c r="D456" s="186">
        <f>IF($K456="","",INDEX(Zeiterfassung!$D$6:$D$3665,$K456))</f>
        <v/>
      </c>
      <c r="E456" s="186">
        <f>IF($K456="","",INDEX(Zeiterfassung!$E$6:$E$3665,$K456))</f>
        <v/>
      </c>
      <c r="F456" s="187">
        <f>IF($K456="","",INDEX(Zeiterfassung!$F$6:$F$3665,$K456))</f>
        <v/>
      </c>
      <c r="G456" s="187">
        <f>IF($K456="","",INDEX(Zeiterfassung!$G$6:$G$3665,$K456))</f>
        <v/>
      </c>
      <c r="H456" s="188">
        <f>IF($K456="","",INDEX(Zeiterfassung!$H$6:$H$3665,$K456))</f>
        <v/>
      </c>
      <c r="I456" s="335">
        <f>IF(B456=B455,"",IF($K456="","",INDEX(Zeiterfassung!$I$6:$I$3665,MATCH(INDEX(Zeiterfassung!$K$6:$K$3665,$K456),Zeiterfassung!$K$6:$K$3665,0))))</f>
        <v/>
      </c>
      <c r="J456" s="335">
        <f>IF(B456=B455,"",IF($K456="","",INDEX(Zeiterfassung!$J$6:$J$3665,MATCH(INDEX(Zeiterfassung!$K$6:$K$3665,$K456),Zeiterfassung!$K$6:$K$3665,0))))</f>
        <v/>
      </c>
      <c r="K456">
        <f>IFERROR(AGGREGATE(15,6,(ROW(Zeiterfassung!$D$6:$D$3665)-ROW(Zeiterfassung!$D$6)+1)/(Zeiterfassung!$D$6:$D$3665&lt;&gt;""),451),"")</f>
        <v/>
      </c>
    </row>
    <row r="457" ht="20" customHeight="1">
      <c r="A457" s="183">
        <f>IF($K457="","",WEEKNUM(INDEX(Zeiterfassung!$K$6:$K$3665,$K457),21))</f>
        <v/>
      </c>
      <c r="B457" s="184">
        <f>IF($K457="","",INDEX(Zeiterfassung!$K$6:$K$3665,$K457))</f>
        <v/>
      </c>
      <c r="C457" s="185">
        <f>IF($K457="","",INDEX(Zeiterfassung!$K$6:$K$3665,$K457))</f>
        <v/>
      </c>
      <c r="D457" s="186">
        <f>IF($K457="","",INDEX(Zeiterfassung!$D$6:$D$3665,$K457))</f>
        <v/>
      </c>
      <c r="E457" s="186">
        <f>IF($K457="","",INDEX(Zeiterfassung!$E$6:$E$3665,$K457))</f>
        <v/>
      </c>
      <c r="F457" s="187">
        <f>IF($K457="","",INDEX(Zeiterfassung!$F$6:$F$3665,$K457))</f>
        <v/>
      </c>
      <c r="G457" s="187">
        <f>IF($K457="","",INDEX(Zeiterfassung!$G$6:$G$3665,$K457))</f>
        <v/>
      </c>
      <c r="H457" s="188">
        <f>IF($K457="","",INDEX(Zeiterfassung!$H$6:$H$3665,$K457))</f>
        <v/>
      </c>
      <c r="I457" s="335">
        <f>IF(B457=B456,"",IF($K457="","",INDEX(Zeiterfassung!$I$6:$I$3665,MATCH(INDEX(Zeiterfassung!$K$6:$K$3665,$K457),Zeiterfassung!$K$6:$K$3665,0))))</f>
        <v/>
      </c>
      <c r="J457" s="335">
        <f>IF(B457=B456,"",IF($K457="","",INDEX(Zeiterfassung!$J$6:$J$3665,MATCH(INDEX(Zeiterfassung!$K$6:$K$3665,$K457),Zeiterfassung!$K$6:$K$3665,0))))</f>
        <v/>
      </c>
      <c r="K457">
        <f>IFERROR(AGGREGATE(15,6,(ROW(Zeiterfassung!$D$6:$D$3665)-ROW(Zeiterfassung!$D$6)+1)/(Zeiterfassung!$D$6:$D$3665&lt;&gt;""),452),"")</f>
        <v/>
      </c>
    </row>
    <row r="458" ht="20" customHeight="1">
      <c r="A458" s="183">
        <f>IF($K458="","",WEEKNUM(INDEX(Zeiterfassung!$K$6:$K$3665,$K458),21))</f>
        <v/>
      </c>
      <c r="B458" s="184">
        <f>IF($K458="","",INDEX(Zeiterfassung!$K$6:$K$3665,$K458))</f>
        <v/>
      </c>
      <c r="C458" s="185">
        <f>IF($K458="","",INDEX(Zeiterfassung!$K$6:$K$3665,$K458))</f>
        <v/>
      </c>
      <c r="D458" s="186">
        <f>IF($K458="","",INDEX(Zeiterfassung!$D$6:$D$3665,$K458))</f>
        <v/>
      </c>
      <c r="E458" s="186">
        <f>IF($K458="","",INDEX(Zeiterfassung!$E$6:$E$3665,$K458))</f>
        <v/>
      </c>
      <c r="F458" s="187">
        <f>IF($K458="","",INDEX(Zeiterfassung!$F$6:$F$3665,$K458))</f>
        <v/>
      </c>
      <c r="G458" s="187">
        <f>IF($K458="","",INDEX(Zeiterfassung!$G$6:$G$3665,$K458))</f>
        <v/>
      </c>
      <c r="H458" s="188">
        <f>IF($K458="","",INDEX(Zeiterfassung!$H$6:$H$3665,$K458))</f>
        <v/>
      </c>
      <c r="I458" s="335">
        <f>IF(B458=B457,"",IF($K458="","",INDEX(Zeiterfassung!$I$6:$I$3665,MATCH(INDEX(Zeiterfassung!$K$6:$K$3665,$K458),Zeiterfassung!$K$6:$K$3665,0))))</f>
        <v/>
      </c>
      <c r="J458" s="335">
        <f>IF(B458=B457,"",IF($K458="","",INDEX(Zeiterfassung!$J$6:$J$3665,MATCH(INDEX(Zeiterfassung!$K$6:$K$3665,$K458),Zeiterfassung!$K$6:$K$3665,0))))</f>
        <v/>
      </c>
      <c r="K458">
        <f>IFERROR(AGGREGATE(15,6,(ROW(Zeiterfassung!$D$6:$D$3665)-ROW(Zeiterfassung!$D$6)+1)/(Zeiterfassung!$D$6:$D$3665&lt;&gt;""),453),"")</f>
        <v/>
      </c>
    </row>
    <row r="459" ht="20" customHeight="1">
      <c r="A459" s="183">
        <f>IF($K459="","",WEEKNUM(INDEX(Zeiterfassung!$K$6:$K$3665,$K459),21))</f>
        <v/>
      </c>
      <c r="B459" s="184">
        <f>IF($K459="","",INDEX(Zeiterfassung!$K$6:$K$3665,$K459))</f>
        <v/>
      </c>
      <c r="C459" s="185">
        <f>IF($K459="","",INDEX(Zeiterfassung!$K$6:$K$3665,$K459))</f>
        <v/>
      </c>
      <c r="D459" s="186">
        <f>IF($K459="","",INDEX(Zeiterfassung!$D$6:$D$3665,$K459))</f>
        <v/>
      </c>
      <c r="E459" s="186">
        <f>IF($K459="","",INDEX(Zeiterfassung!$E$6:$E$3665,$K459))</f>
        <v/>
      </c>
      <c r="F459" s="187">
        <f>IF($K459="","",INDEX(Zeiterfassung!$F$6:$F$3665,$K459))</f>
        <v/>
      </c>
      <c r="G459" s="187">
        <f>IF($K459="","",INDEX(Zeiterfassung!$G$6:$G$3665,$K459))</f>
        <v/>
      </c>
      <c r="H459" s="188">
        <f>IF($K459="","",INDEX(Zeiterfassung!$H$6:$H$3665,$K459))</f>
        <v/>
      </c>
      <c r="I459" s="335">
        <f>IF(B459=B458,"",IF($K459="","",INDEX(Zeiterfassung!$I$6:$I$3665,MATCH(INDEX(Zeiterfassung!$K$6:$K$3665,$K459),Zeiterfassung!$K$6:$K$3665,0))))</f>
        <v/>
      </c>
      <c r="J459" s="335">
        <f>IF(B459=B458,"",IF($K459="","",INDEX(Zeiterfassung!$J$6:$J$3665,MATCH(INDEX(Zeiterfassung!$K$6:$K$3665,$K459),Zeiterfassung!$K$6:$K$3665,0))))</f>
        <v/>
      </c>
      <c r="K459">
        <f>IFERROR(AGGREGATE(15,6,(ROW(Zeiterfassung!$D$6:$D$3665)-ROW(Zeiterfassung!$D$6)+1)/(Zeiterfassung!$D$6:$D$3665&lt;&gt;""),454),"")</f>
        <v/>
      </c>
    </row>
    <row r="460" ht="20" customHeight="1">
      <c r="A460" s="183">
        <f>IF($K460="","",WEEKNUM(INDEX(Zeiterfassung!$K$6:$K$3665,$K460),21))</f>
        <v/>
      </c>
      <c r="B460" s="184">
        <f>IF($K460="","",INDEX(Zeiterfassung!$K$6:$K$3665,$K460))</f>
        <v/>
      </c>
      <c r="C460" s="185">
        <f>IF($K460="","",INDEX(Zeiterfassung!$K$6:$K$3665,$K460))</f>
        <v/>
      </c>
      <c r="D460" s="186">
        <f>IF($K460="","",INDEX(Zeiterfassung!$D$6:$D$3665,$K460))</f>
        <v/>
      </c>
      <c r="E460" s="186">
        <f>IF($K460="","",INDEX(Zeiterfassung!$E$6:$E$3665,$K460))</f>
        <v/>
      </c>
      <c r="F460" s="187">
        <f>IF($K460="","",INDEX(Zeiterfassung!$F$6:$F$3665,$K460))</f>
        <v/>
      </c>
      <c r="G460" s="187">
        <f>IF($K460="","",INDEX(Zeiterfassung!$G$6:$G$3665,$K460))</f>
        <v/>
      </c>
      <c r="H460" s="188">
        <f>IF($K460="","",INDEX(Zeiterfassung!$H$6:$H$3665,$K460))</f>
        <v/>
      </c>
      <c r="I460" s="335">
        <f>IF(B460=B459,"",IF($K460="","",INDEX(Zeiterfassung!$I$6:$I$3665,MATCH(INDEX(Zeiterfassung!$K$6:$K$3665,$K460),Zeiterfassung!$K$6:$K$3665,0))))</f>
        <v/>
      </c>
      <c r="J460" s="335">
        <f>IF(B460=B459,"",IF($K460="","",INDEX(Zeiterfassung!$J$6:$J$3665,MATCH(INDEX(Zeiterfassung!$K$6:$K$3665,$K460),Zeiterfassung!$K$6:$K$3665,0))))</f>
        <v/>
      </c>
      <c r="K460">
        <f>IFERROR(AGGREGATE(15,6,(ROW(Zeiterfassung!$D$6:$D$3665)-ROW(Zeiterfassung!$D$6)+1)/(Zeiterfassung!$D$6:$D$3665&lt;&gt;""),455),"")</f>
        <v/>
      </c>
    </row>
    <row r="461" ht="20" customHeight="1">
      <c r="A461" s="183">
        <f>IF($K461="","",WEEKNUM(INDEX(Zeiterfassung!$K$6:$K$3665,$K461),21))</f>
        <v/>
      </c>
      <c r="B461" s="184">
        <f>IF($K461="","",INDEX(Zeiterfassung!$K$6:$K$3665,$K461))</f>
        <v/>
      </c>
      <c r="C461" s="185">
        <f>IF($K461="","",INDEX(Zeiterfassung!$K$6:$K$3665,$K461))</f>
        <v/>
      </c>
      <c r="D461" s="186">
        <f>IF($K461="","",INDEX(Zeiterfassung!$D$6:$D$3665,$K461))</f>
        <v/>
      </c>
      <c r="E461" s="186">
        <f>IF($K461="","",INDEX(Zeiterfassung!$E$6:$E$3665,$K461))</f>
        <v/>
      </c>
      <c r="F461" s="187">
        <f>IF($K461="","",INDEX(Zeiterfassung!$F$6:$F$3665,$K461))</f>
        <v/>
      </c>
      <c r="G461" s="187">
        <f>IF($K461="","",INDEX(Zeiterfassung!$G$6:$G$3665,$K461))</f>
        <v/>
      </c>
      <c r="H461" s="188">
        <f>IF($K461="","",INDEX(Zeiterfassung!$H$6:$H$3665,$K461))</f>
        <v/>
      </c>
      <c r="I461" s="335">
        <f>IF(B461=B460,"",IF($K461="","",INDEX(Zeiterfassung!$I$6:$I$3665,MATCH(INDEX(Zeiterfassung!$K$6:$K$3665,$K461),Zeiterfassung!$K$6:$K$3665,0))))</f>
        <v/>
      </c>
      <c r="J461" s="335">
        <f>IF(B461=B460,"",IF($K461="","",INDEX(Zeiterfassung!$J$6:$J$3665,MATCH(INDEX(Zeiterfassung!$K$6:$K$3665,$K461),Zeiterfassung!$K$6:$K$3665,0))))</f>
        <v/>
      </c>
      <c r="K461">
        <f>IFERROR(AGGREGATE(15,6,(ROW(Zeiterfassung!$D$6:$D$3665)-ROW(Zeiterfassung!$D$6)+1)/(Zeiterfassung!$D$6:$D$3665&lt;&gt;""),456),"")</f>
        <v/>
      </c>
    </row>
    <row r="462" ht="20" customHeight="1">
      <c r="A462" s="183">
        <f>IF($K462="","",WEEKNUM(INDEX(Zeiterfassung!$K$6:$K$3665,$K462),21))</f>
        <v/>
      </c>
      <c r="B462" s="184">
        <f>IF($K462="","",INDEX(Zeiterfassung!$K$6:$K$3665,$K462))</f>
        <v/>
      </c>
      <c r="C462" s="185">
        <f>IF($K462="","",INDEX(Zeiterfassung!$K$6:$K$3665,$K462))</f>
        <v/>
      </c>
      <c r="D462" s="186">
        <f>IF($K462="","",INDEX(Zeiterfassung!$D$6:$D$3665,$K462))</f>
        <v/>
      </c>
      <c r="E462" s="186">
        <f>IF($K462="","",INDEX(Zeiterfassung!$E$6:$E$3665,$K462))</f>
        <v/>
      </c>
      <c r="F462" s="187">
        <f>IF($K462="","",INDEX(Zeiterfassung!$F$6:$F$3665,$K462))</f>
        <v/>
      </c>
      <c r="G462" s="187">
        <f>IF($K462="","",INDEX(Zeiterfassung!$G$6:$G$3665,$K462))</f>
        <v/>
      </c>
      <c r="H462" s="188">
        <f>IF($K462="","",INDEX(Zeiterfassung!$H$6:$H$3665,$K462))</f>
        <v/>
      </c>
      <c r="I462" s="335">
        <f>IF(B462=B461,"",IF($K462="","",INDEX(Zeiterfassung!$I$6:$I$3665,MATCH(INDEX(Zeiterfassung!$K$6:$K$3665,$K462),Zeiterfassung!$K$6:$K$3665,0))))</f>
        <v/>
      </c>
      <c r="J462" s="335">
        <f>IF(B462=B461,"",IF($K462="","",INDEX(Zeiterfassung!$J$6:$J$3665,MATCH(INDEX(Zeiterfassung!$K$6:$K$3665,$K462),Zeiterfassung!$K$6:$K$3665,0))))</f>
        <v/>
      </c>
      <c r="K462">
        <f>IFERROR(AGGREGATE(15,6,(ROW(Zeiterfassung!$D$6:$D$3665)-ROW(Zeiterfassung!$D$6)+1)/(Zeiterfassung!$D$6:$D$3665&lt;&gt;""),457),"")</f>
        <v/>
      </c>
    </row>
    <row r="463" ht="20" customHeight="1">
      <c r="A463" s="183">
        <f>IF($K463="","",WEEKNUM(INDEX(Zeiterfassung!$K$6:$K$3665,$K463),21))</f>
        <v/>
      </c>
      <c r="B463" s="184">
        <f>IF($K463="","",INDEX(Zeiterfassung!$K$6:$K$3665,$K463))</f>
        <v/>
      </c>
      <c r="C463" s="185">
        <f>IF($K463="","",INDEX(Zeiterfassung!$K$6:$K$3665,$K463))</f>
        <v/>
      </c>
      <c r="D463" s="186">
        <f>IF($K463="","",INDEX(Zeiterfassung!$D$6:$D$3665,$K463))</f>
        <v/>
      </c>
      <c r="E463" s="186">
        <f>IF($K463="","",INDEX(Zeiterfassung!$E$6:$E$3665,$K463))</f>
        <v/>
      </c>
      <c r="F463" s="187">
        <f>IF($K463="","",INDEX(Zeiterfassung!$F$6:$F$3665,$K463))</f>
        <v/>
      </c>
      <c r="G463" s="187">
        <f>IF($K463="","",INDEX(Zeiterfassung!$G$6:$G$3665,$K463))</f>
        <v/>
      </c>
      <c r="H463" s="188">
        <f>IF($K463="","",INDEX(Zeiterfassung!$H$6:$H$3665,$K463))</f>
        <v/>
      </c>
      <c r="I463" s="335">
        <f>IF(B463=B462,"",IF($K463="","",INDEX(Zeiterfassung!$I$6:$I$3665,MATCH(INDEX(Zeiterfassung!$K$6:$K$3665,$K463),Zeiterfassung!$K$6:$K$3665,0))))</f>
        <v/>
      </c>
      <c r="J463" s="335">
        <f>IF(B463=B462,"",IF($K463="","",INDEX(Zeiterfassung!$J$6:$J$3665,MATCH(INDEX(Zeiterfassung!$K$6:$K$3665,$K463),Zeiterfassung!$K$6:$K$3665,0))))</f>
        <v/>
      </c>
      <c r="K463">
        <f>IFERROR(AGGREGATE(15,6,(ROW(Zeiterfassung!$D$6:$D$3665)-ROW(Zeiterfassung!$D$6)+1)/(Zeiterfassung!$D$6:$D$3665&lt;&gt;""),458),"")</f>
        <v/>
      </c>
    </row>
    <row r="464" ht="20" customHeight="1">
      <c r="A464" s="183">
        <f>IF($K464="","",WEEKNUM(INDEX(Zeiterfassung!$K$6:$K$3665,$K464),21))</f>
        <v/>
      </c>
      <c r="B464" s="184">
        <f>IF($K464="","",INDEX(Zeiterfassung!$K$6:$K$3665,$K464))</f>
        <v/>
      </c>
      <c r="C464" s="185">
        <f>IF($K464="","",INDEX(Zeiterfassung!$K$6:$K$3665,$K464))</f>
        <v/>
      </c>
      <c r="D464" s="186">
        <f>IF($K464="","",INDEX(Zeiterfassung!$D$6:$D$3665,$K464))</f>
        <v/>
      </c>
      <c r="E464" s="186">
        <f>IF($K464="","",INDEX(Zeiterfassung!$E$6:$E$3665,$K464))</f>
        <v/>
      </c>
      <c r="F464" s="187">
        <f>IF($K464="","",INDEX(Zeiterfassung!$F$6:$F$3665,$K464))</f>
        <v/>
      </c>
      <c r="G464" s="187">
        <f>IF($K464="","",INDEX(Zeiterfassung!$G$6:$G$3665,$K464))</f>
        <v/>
      </c>
      <c r="H464" s="188">
        <f>IF($K464="","",INDEX(Zeiterfassung!$H$6:$H$3665,$K464))</f>
        <v/>
      </c>
      <c r="I464" s="335">
        <f>IF(B464=B463,"",IF($K464="","",INDEX(Zeiterfassung!$I$6:$I$3665,MATCH(INDEX(Zeiterfassung!$K$6:$K$3665,$K464),Zeiterfassung!$K$6:$K$3665,0))))</f>
        <v/>
      </c>
      <c r="J464" s="335">
        <f>IF(B464=B463,"",IF($K464="","",INDEX(Zeiterfassung!$J$6:$J$3665,MATCH(INDEX(Zeiterfassung!$K$6:$K$3665,$K464),Zeiterfassung!$K$6:$K$3665,0))))</f>
        <v/>
      </c>
      <c r="K464">
        <f>IFERROR(AGGREGATE(15,6,(ROW(Zeiterfassung!$D$6:$D$3665)-ROW(Zeiterfassung!$D$6)+1)/(Zeiterfassung!$D$6:$D$3665&lt;&gt;""),459),"")</f>
        <v/>
      </c>
    </row>
    <row r="465" ht="20" customHeight="1">
      <c r="A465" s="183">
        <f>IF($K465="","",WEEKNUM(INDEX(Zeiterfassung!$K$6:$K$3665,$K465),21))</f>
        <v/>
      </c>
      <c r="B465" s="184">
        <f>IF($K465="","",INDEX(Zeiterfassung!$K$6:$K$3665,$K465))</f>
        <v/>
      </c>
      <c r="C465" s="185">
        <f>IF($K465="","",INDEX(Zeiterfassung!$K$6:$K$3665,$K465))</f>
        <v/>
      </c>
      <c r="D465" s="186">
        <f>IF($K465="","",INDEX(Zeiterfassung!$D$6:$D$3665,$K465))</f>
        <v/>
      </c>
      <c r="E465" s="186">
        <f>IF($K465="","",INDEX(Zeiterfassung!$E$6:$E$3665,$K465))</f>
        <v/>
      </c>
      <c r="F465" s="187">
        <f>IF($K465="","",INDEX(Zeiterfassung!$F$6:$F$3665,$K465))</f>
        <v/>
      </c>
      <c r="G465" s="187">
        <f>IF($K465="","",INDEX(Zeiterfassung!$G$6:$G$3665,$K465))</f>
        <v/>
      </c>
      <c r="H465" s="188">
        <f>IF($K465="","",INDEX(Zeiterfassung!$H$6:$H$3665,$K465))</f>
        <v/>
      </c>
      <c r="I465" s="335">
        <f>IF(B465=B464,"",IF($K465="","",INDEX(Zeiterfassung!$I$6:$I$3665,MATCH(INDEX(Zeiterfassung!$K$6:$K$3665,$K465),Zeiterfassung!$K$6:$K$3665,0))))</f>
        <v/>
      </c>
      <c r="J465" s="335">
        <f>IF(B465=B464,"",IF($K465="","",INDEX(Zeiterfassung!$J$6:$J$3665,MATCH(INDEX(Zeiterfassung!$K$6:$K$3665,$K465),Zeiterfassung!$K$6:$K$3665,0))))</f>
        <v/>
      </c>
      <c r="K465">
        <f>IFERROR(AGGREGATE(15,6,(ROW(Zeiterfassung!$D$6:$D$3665)-ROW(Zeiterfassung!$D$6)+1)/(Zeiterfassung!$D$6:$D$3665&lt;&gt;""),460),"")</f>
        <v/>
      </c>
    </row>
    <row r="466" ht="20" customHeight="1">
      <c r="A466" s="183">
        <f>IF($K466="","",WEEKNUM(INDEX(Zeiterfassung!$K$6:$K$3665,$K466),21))</f>
        <v/>
      </c>
      <c r="B466" s="184">
        <f>IF($K466="","",INDEX(Zeiterfassung!$K$6:$K$3665,$K466))</f>
        <v/>
      </c>
      <c r="C466" s="185">
        <f>IF($K466="","",INDEX(Zeiterfassung!$K$6:$K$3665,$K466))</f>
        <v/>
      </c>
      <c r="D466" s="186">
        <f>IF($K466="","",INDEX(Zeiterfassung!$D$6:$D$3665,$K466))</f>
        <v/>
      </c>
      <c r="E466" s="186">
        <f>IF($K466="","",INDEX(Zeiterfassung!$E$6:$E$3665,$K466))</f>
        <v/>
      </c>
      <c r="F466" s="187">
        <f>IF($K466="","",INDEX(Zeiterfassung!$F$6:$F$3665,$K466))</f>
        <v/>
      </c>
      <c r="G466" s="187">
        <f>IF($K466="","",INDEX(Zeiterfassung!$G$6:$G$3665,$K466))</f>
        <v/>
      </c>
      <c r="H466" s="188">
        <f>IF($K466="","",INDEX(Zeiterfassung!$H$6:$H$3665,$K466))</f>
        <v/>
      </c>
      <c r="I466" s="335">
        <f>IF(B466=B465,"",IF($K466="","",INDEX(Zeiterfassung!$I$6:$I$3665,MATCH(INDEX(Zeiterfassung!$K$6:$K$3665,$K466),Zeiterfassung!$K$6:$K$3665,0))))</f>
        <v/>
      </c>
      <c r="J466" s="335">
        <f>IF(B466=B465,"",IF($K466="","",INDEX(Zeiterfassung!$J$6:$J$3665,MATCH(INDEX(Zeiterfassung!$K$6:$K$3665,$K466),Zeiterfassung!$K$6:$K$3665,0))))</f>
        <v/>
      </c>
      <c r="K466">
        <f>IFERROR(AGGREGATE(15,6,(ROW(Zeiterfassung!$D$6:$D$3665)-ROW(Zeiterfassung!$D$6)+1)/(Zeiterfassung!$D$6:$D$3665&lt;&gt;""),461),"")</f>
        <v/>
      </c>
    </row>
    <row r="467" ht="20" customHeight="1">
      <c r="A467" s="183">
        <f>IF($K467="","",WEEKNUM(INDEX(Zeiterfassung!$K$6:$K$3665,$K467),21))</f>
        <v/>
      </c>
      <c r="B467" s="184">
        <f>IF($K467="","",INDEX(Zeiterfassung!$K$6:$K$3665,$K467))</f>
        <v/>
      </c>
      <c r="C467" s="185">
        <f>IF($K467="","",INDEX(Zeiterfassung!$K$6:$K$3665,$K467))</f>
        <v/>
      </c>
      <c r="D467" s="186">
        <f>IF($K467="","",INDEX(Zeiterfassung!$D$6:$D$3665,$K467))</f>
        <v/>
      </c>
      <c r="E467" s="186">
        <f>IF($K467="","",INDEX(Zeiterfassung!$E$6:$E$3665,$K467))</f>
        <v/>
      </c>
      <c r="F467" s="187">
        <f>IF($K467="","",INDEX(Zeiterfassung!$F$6:$F$3665,$K467))</f>
        <v/>
      </c>
      <c r="G467" s="187">
        <f>IF($K467="","",INDEX(Zeiterfassung!$G$6:$G$3665,$K467))</f>
        <v/>
      </c>
      <c r="H467" s="188">
        <f>IF($K467="","",INDEX(Zeiterfassung!$H$6:$H$3665,$K467))</f>
        <v/>
      </c>
      <c r="I467" s="335">
        <f>IF(B467=B466,"",IF($K467="","",INDEX(Zeiterfassung!$I$6:$I$3665,MATCH(INDEX(Zeiterfassung!$K$6:$K$3665,$K467),Zeiterfassung!$K$6:$K$3665,0))))</f>
        <v/>
      </c>
      <c r="J467" s="335">
        <f>IF(B467=B466,"",IF($K467="","",INDEX(Zeiterfassung!$J$6:$J$3665,MATCH(INDEX(Zeiterfassung!$K$6:$K$3665,$K467),Zeiterfassung!$K$6:$K$3665,0))))</f>
        <v/>
      </c>
      <c r="K467">
        <f>IFERROR(AGGREGATE(15,6,(ROW(Zeiterfassung!$D$6:$D$3665)-ROW(Zeiterfassung!$D$6)+1)/(Zeiterfassung!$D$6:$D$3665&lt;&gt;""),462),"")</f>
        <v/>
      </c>
    </row>
    <row r="468" ht="20" customHeight="1">
      <c r="A468" s="183">
        <f>IF($K468="","",WEEKNUM(INDEX(Zeiterfassung!$K$6:$K$3665,$K468),21))</f>
        <v/>
      </c>
      <c r="B468" s="184">
        <f>IF($K468="","",INDEX(Zeiterfassung!$K$6:$K$3665,$K468))</f>
        <v/>
      </c>
      <c r="C468" s="185">
        <f>IF($K468="","",INDEX(Zeiterfassung!$K$6:$K$3665,$K468))</f>
        <v/>
      </c>
      <c r="D468" s="186">
        <f>IF($K468="","",INDEX(Zeiterfassung!$D$6:$D$3665,$K468))</f>
        <v/>
      </c>
      <c r="E468" s="186">
        <f>IF($K468="","",INDEX(Zeiterfassung!$E$6:$E$3665,$K468))</f>
        <v/>
      </c>
      <c r="F468" s="187">
        <f>IF($K468="","",INDEX(Zeiterfassung!$F$6:$F$3665,$K468))</f>
        <v/>
      </c>
      <c r="G468" s="187">
        <f>IF($K468="","",INDEX(Zeiterfassung!$G$6:$G$3665,$K468))</f>
        <v/>
      </c>
      <c r="H468" s="188">
        <f>IF($K468="","",INDEX(Zeiterfassung!$H$6:$H$3665,$K468))</f>
        <v/>
      </c>
      <c r="I468" s="335">
        <f>IF(B468=B467,"",IF($K468="","",INDEX(Zeiterfassung!$I$6:$I$3665,MATCH(INDEX(Zeiterfassung!$K$6:$K$3665,$K468),Zeiterfassung!$K$6:$K$3665,0))))</f>
        <v/>
      </c>
      <c r="J468" s="335">
        <f>IF(B468=B467,"",IF($K468="","",INDEX(Zeiterfassung!$J$6:$J$3665,MATCH(INDEX(Zeiterfassung!$K$6:$K$3665,$K468),Zeiterfassung!$K$6:$K$3665,0))))</f>
        <v/>
      </c>
      <c r="K468">
        <f>IFERROR(AGGREGATE(15,6,(ROW(Zeiterfassung!$D$6:$D$3665)-ROW(Zeiterfassung!$D$6)+1)/(Zeiterfassung!$D$6:$D$3665&lt;&gt;""),463),"")</f>
        <v/>
      </c>
    </row>
    <row r="469" ht="20" customHeight="1">
      <c r="A469" s="183">
        <f>IF($K469="","",WEEKNUM(INDEX(Zeiterfassung!$K$6:$K$3665,$K469),21))</f>
        <v/>
      </c>
      <c r="B469" s="184">
        <f>IF($K469="","",INDEX(Zeiterfassung!$K$6:$K$3665,$K469))</f>
        <v/>
      </c>
      <c r="C469" s="185">
        <f>IF($K469="","",INDEX(Zeiterfassung!$K$6:$K$3665,$K469))</f>
        <v/>
      </c>
      <c r="D469" s="186">
        <f>IF($K469="","",INDEX(Zeiterfassung!$D$6:$D$3665,$K469))</f>
        <v/>
      </c>
      <c r="E469" s="186">
        <f>IF($K469="","",INDEX(Zeiterfassung!$E$6:$E$3665,$K469))</f>
        <v/>
      </c>
      <c r="F469" s="187">
        <f>IF($K469="","",INDEX(Zeiterfassung!$F$6:$F$3665,$K469))</f>
        <v/>
      </c>
      <c r="G469" s="187">
        <f>IF($K469="","",INDEX(Zeiterfassung!$G$6:$G$3665,$K469))</f>
        <v/>
      </c>
      <c r="H469" s="188">
        <f>IF($K469="","",INDEX(Zeiterfassung!$H$6:$H$3665,$K469))</f>
        <v/>
      </c>
      <c r="I469" s="335">
        <f>IF(B469=B468,"",IF($K469="","",INDEX(Zeiterfassung!$I$6:$I$3665,MATCH(INDEX(Zeiterfassung!$K$6:$K$3665,$K469),Zeiterfassung!$K$6:$K$3665,0))))</f>
        <v/>
      </c>
      <c r="J469" s="335">
        <f>IF(B469=B468,"",IF($K469="","",INDEX(Zeiterfassung!$J$6:$J$3665,MATCH(INDEX(Zeiterfassung!$K$6:$K$3665,$K469),Zeiterfassung!$K$6:$K$3665,0))))</f>
        <v/>
      </c>
      <c r="K469">
        <f>IFERROR(AGGREGATE(15,6,(ROW(Zeiterfassung!$D$6:$D$3665)-ROW(Zeiterfassung!$D$6)+1)/(Zeiterfassung!$D$6:$D$3665&lt;&gt;""),464),"")</f>
        <v/>
      </c>
    </row>
    <row r="470" ht="20" customHeight="1">
      <c r="A470" s="183">
        <f>IF($K470="","",WEEKNUM(INDEX(Zeiterfassung!$K$6:$K$3665,$K470),21))</f>
        <v/>
      </c>
      <c r="B470" s="184">
        <f>IF($K470="","",INDEX(Zeiterfassung!$K$6:$K$3665,$K470))</f>
        <v/>
      </c>
      <c r="C470" s="185">
        <f>IF($K470="","",INDEX(Zeiterfassung!$K$6:$K$3665,$K470))</f>
        <v/>
      </c>
      <c r="D470" s="186">
        <f>IF($K470="","",INDEX(Zeiterfassung!$D$6:$D$3665,$K470))</f>
        <v/>
      </c>
      <c r="E470" s="186">
        <f>IF($K470="","",INDEX(Zeiterfassung!$E$6:$E$3665,$K470))</f>
        <v/>
      </c>
      <c r="F470" s="187">
        <f>IF($K470="","",INDEX(Zeiterfassung!$F$6:$F$3665,$K470))</f>
        <v/>
      </c>
      <c r="G470" s="187">
        <f>IF($K470="","",INDEX(Zeiterfassung!$G$6:$G$3665,$K470))</f>
        <v/>
      </c>
      <c r="H470" s="188">
        <f>IF($K470="","",INDEX(Zeiterfassung!$H$6:$H$3665,$K470))</f>
        <v/>
      </c>
      <c r="I470" s="335">
        <f>IF(B470=B469,"",IF($K470="","",INDEX(Zeiterfassung!$I$6:$I$3665,MATCH(INDEX(Zeiterfassung!$K$6:$K$3665,$K470),Zeiterfassung!$K$6:$K$3665,0))))</f>
        <v/>
      </c>
      <c r="J470" s="335">
        <f>IF(B470=B469,"",IF($K470="","",INDEX(Zeiterfassung!$J$6:$J$3665,MATCH(INDEX(Zeiterfassung!$K$6:$K$3665,$K470),Zeiterfassung!$K$6:$K$3665,0))))</f>
        <v/>
      </c>
      <c r="K470">
        <f>IFERROR(AGGREGATE(15,6,(ROW(Zeiterfassung!$D$6:$D$3665)-ROW(Zeiterfassung!$D$6)+1)/(Zeiterfassung!$D$6:$D$3665&lt;&gt;""),465),"")</f>
        <v/>
      </c>
    </row>
    <row r="471" ht="20" customHeight="1">
      <c r="A471" s="183">
        <f>IF($K471="","",WEEKNUM(INDEX(Zeiterfassung!$K$6:$K$3665,$K471),21))</f>
        <v/>
      </c>
      <c r="B471" s="184">
        <f>IF($K471="","",INDEX(Zeiterfassung!$K$6:$K$3665,$K471))</f>
        <v/>
      </c>
      <c r="C471" s="185">
        <f>IF($K471="","",INDEX(Zeiterfassung!$K$6:$K$3665,$K471))</f>
        <v/>
      </c>
      <c r="D471" s="186">
        <f>IF($K471="","",INDEX(Zeiterfassung!$D$6:$D$3665,$K471))</f>
        <v/>
      </c>
      <c r="E471" s="186">
        <f>IF($K471="","",INDEX(Zeiterfassung!$E$6:$E$3665,$K471))</f>
        <v/>
      </c>
      <c r="F471" s="187">
        <f>IF($K471="","",INDEX(Zeiterfassung!$F$6:$F$3665,$K471))</f>
        <v/>
      </c>
      <c r="G471" s="187">
        <f>IF($K471="","",INDEX(Zeiterfassung!$G$6:$G$3665,$K471))</f>
        <v/>
      </c>
      <c r="H471" s="188">
        <f>IF($K471="","",INDEX(Zeiterfassung!$H$6:$H$3665,$K471))</f>
        <v/>
      </c>
      <c r="I471" s="335">
        <f>IF(B471=B470,"",IF($K471="","",INDEX(Zeiterfassung!$I$6:$I$3665,MATCH(INDEX(Zeiterfassung!$K$6:$K$3665,$K471),Zeiterfassung!$K$6:$K$3665,0))))</f>
        <v/>
      </c>
      <c r="J471" s="335">
        <f>IF(B471=B470,"",IF($K471="","",INDEX(Zeiterfassung!$J$6:$J$3665,MATCH(INDEX(Zeiterfassung!$K$6:$K$3665,$K471),Zeiterfassung!$K$6:$K$3665,0))))</f>
        <v/>
      </c>
      <c r="K471">
        <f>IFERROR(AGGREGATE(15,6,(ROW(Zeiterfassung!$D$6:$D$3665)-ROW(Zeiterfassung!$D$6)+1)/(Zeiterfassung!$D$6:$D$3665&lt;&gt;""),466),"")</f>
        <v/>
      </c>
    </row>
    <row r="472" ht="20" customHeight="1">
      <c r="A472" s="183">
        <f>IF($K472="","",WEEKNUM(INDEX(Zeiterfassung!$K$6:$K$3665,$K472),21))</f>
        <v/>
      </c>
      <c r="B472" s="184">
        <f>IF($K472="","",INDEX(Zeiterfassung!$K$6:$K$3665,$K472))</f>
        <v/>
      </c>
      <c r="C472" s="185">
        <f>IF($K472="","",INDEX(Zeiterfassung!$K$6:$K$3665,$K472))</f>
        <v/>
      </c>
      <c r="D472" s="186">
        <f>IF($K472="","",INDEX(Zeiterfassung!$D$6:$D$3665,$K472))</f>
        <v/>
      </c>
      <c r="E472" s="186">
        <f>IF($K472="","",INDEX(Zeiterfassung!$E$6:$E$3665,$K472))</f>
        <v/>
      </c>
      <c r="F472" s="187">
        <f>IF($K472="","",INDEX(Zeiterfassung!$F$6:$F$3665,$K472))</f>
        <v/>
      </c>
      <c r="G472" s="187">
        <f>IF($K472="","",INDEX(Zeiterfassung!$G$6:$G$3665,$K472))</f>
        <v/>
      </c>
      <c r="H472" s="188">
        <f>IF($K472="","",INDEX(Zeiterfassung!$H$6:$H$3665,$K472))</f>
        <v/>
      </c>
      <c r="I472" s="335">
        <f>IF(B472=B471,"",IF($K472="","",INDEX(Zeiterfassung!$I$6:$I$3665,MATCH(INDEX(Zeiterfassung!$K$6:$K$3665,$K472),Zeiterfassung!$K$6:$K$3665,0))))</f>
        <v/>
      </c>
      <c r="J472" s="335">
        <f>IF(B472=B471,"",IF($K472="","",INDEX(Zeiterfassung!$J$6:$J$3665,MATCH(INDEX(Zeiterfassung!$K$6:$K$3665,$K472),Zeiterfassung!$K$6:$K$3665,0))))</f>
        <v/>
      </c>
      <c r="K472">
        <f>IFERROR(AGGREGATE(15,6,(ROW(Zeiterfassung!$D$6:$D$3665)-ROW(Zeiterfassung!$D$6)+1)/(Zeiterfassung!$D$6:$D$3665&lt;&gt;""),467),"")</f>
        <v/>
      </c>
    </row>
    <row r="473" ht="20" customHeight="1">
      <c r="A473" s="183">
        <f>IF($K473="","",WEEKNUM(INDEX(Zeiterfassung!$K$6:$K$3665,$K473),21))</f>
        <v/>
      </c>
      <c r="B473" s="184">
        <f>IF($K473="","",INDEX(Zeiterfassung!$K$6:$K$3665,$K473))</f>
        <v/>
      </c>
      <c r="C473" s="185">
        <f>IF($K473="","",INDEX(Zeiterfassung!$K$6:$K$3665,$K473))</f>
        <v/>
      </c>
      <c r="D473" s="186">
        <f>IF($K473="","",INDEX(Zeiterfassung!$D$6:$D$3665,$K473))</f>
        <v/>
      </c>
      <c r="E473" s="186">
        <f>IF($K473="","",INDEX(Zeiterfassung!$E$6:$E$3665,$K473))</f>
        <v/>
      </c>
      <c r="F473" s="187">
        <f>IF($K473="","",INDEX(Zeiterfassung!$F$6:$F$3665,$K473))</f>
        <v/>
      </c>
      <c r="G473" s="187">
        <f>IF($K473="","",INDEX(Zeiterfassung!$G$6:$G$3665,$K473))</f>
        <v/>
      </c>
      <c r="H473" s="188">
        <f>IF($K473="","",INDEX(Zeiterfassung!$H$6:$H$3665,$K473))</f>
        <v/>
      </c>
      <c r="I473" s="335">
        <f>IF(B473=B472,"",IF($K473="","",INDEX(Zeiterfassung!$I$6:$I$3665,MATCH(INDEX(Zeiterfassung!$K$6:$K$3665,$K473),Zeiterfassung!$K$6:$K$3665,0))))</f>
        <v/>
      </c>
      <c r="J473" s="335">
        <f>IF(B473=B472,"",IF($K473="","",INDEX(Zeiterfassung!$J$6:$J$3665,MATCH(INDEX(Zeiterfassung!$K$6:$K$3665,$K473),Zeiterfassung!$K$6:$K$3665,0))))</f>
        <v/>
      </c>
      <c r="K473">
        <f>IFERROR(AGGREGATE(15,6,(ROW(Zeiterfassung!$D$6:$D$3665)-ROW(Zeiterfassung!$D$6)+1)/(Zeiterfassung!$D$6:$D$3665&lt;&gt;""),468),"")</f>
        <v/>
      </c>
    </row>
    <row r="474" ht="20" customHeight="1">
      <c r="A474" s="183">
        <f>IF($K474="","",WEEKNUM(INDEX(Zeiterfassung!$K$6:$K$3665,$K474),21))</f>
        <v/>
      </c>
      <c r="B474" s="184">
        <f>IF($K474="","",INDEX(Zeiterfassung!$K$6:$K$3665,$K474))</f>
        <v/>
      </c>
      <c r="C474" s="185">
        <f>IF($K474="","",INDEX(Zeiterfassung!$K$6:$K$3665,$K474))</f>
        <v/>
      </c>
      <c r="D474" s="186">
        <f>IF($K474="","",INDEX(Zeiterfassung!$D$6:$D$3665,$K474))</f>
        <v/>
      </c>
      <c r="E474" s="186">
        <f>IF($K474="","",INDEX(Zeiterfassung!$E$6:$E$3665,$K474))</f>
        <v/>
      </c>
      <c r="F474" s="187">
        <f>IF($K474="","",INDEX(Zeiterfassung!$F$6:$F$3665,$K474))</f>
        <v/>
      </c>
      <c r="G474" s="187">
        <f>IF($K474="","",INDEX(Zeiterfassung!$G$6:$G$3665,$K474))</f>
        <v/>
      </c>
      <c r="H474" s="188">
        <f>IF($K474="","",INDEX(Zeiterfassung!$H$6:$H$3665,$K474))</f>
        <v/>
      </c>
      <c r="I474" s="335">
        <f>IF(B474=B473,"",IF($K474="","",INDEX(Zeiterfassung!$I$6:$I$3665,MATCH(INDEX(Zeiterfassung!$K$6:$K$3665,$K474),Zeiterfassung!$K$6:$K$3665,0))))</f>
        <v/>
      </c>
      <c r="J474" s="335">
        <f>IF(B474=B473,"",IF($K474="","",INDEX(Zeiterfassung!$J$6:$J$3665,MATCH(INDEX(Zeiterfassung!$K$6:$K$3665,$K474),Zeiterfassung!$K$6:$K$3665,0))))</f>
        <v/>
      </c>
      <c r="K474">
        <f>IFERROR(AGGREGATE(15,6,(ROW(Zeiterfassung!$D$6:$D$3665)-ROW(Zeiterfassung!$D$6)+1)/(Zeiterfassung!$D$6:$D$3665&lt;&gt;""),469),"")</f>
        <v/>
      </c>
    </row>
    <row r="475" ht="20" customHeight="1">
      <c r="A475" s="183">
        <f>IF($K475="","",WEEKNUM(INDEX(Zeiterfassung!$K$6:$K$3665,$K475),21))</f>
        <v/>
      </c>
      <c r="B475" s="184">
        <f>IF($K475="","",INDEX(Zeiterfassung!$K$6:$K$3665,$K475))</f>
        <v/>
      </c>
      <c r="C475" s="185">
        <f>IF($K475="","",INDEX(Zeiterfassung!$K$6:$K$3665,$K475))</f>
        <v/>
      </c>
      <c r="D475" s="186">
        <f>IF($K475="","",INDEX(Zeiterfassung!$D$6:$D$3665,$K475))</f>
        <v/>
      </c>
      <c r="E475" s="186">
        <f>IF($K475="","",INDEX(Zeiterfassung!$E$6:$E$3665,$K475))</f>
        <v/>
      </c>
      <c r="F475" s="187">
        <f>IF($K475="","",INDEX(Zeiterfassung!$F$6:$F$3665,$K475))</f>
        <v/>
      </c>
      <c r="G475" s="187">
        <f>IF($K475="","",INDEX(Zeiterfassung!$G$6:$G$3665,$K475))</f>
        <v/>
      </c>
      <c r="H475" s="188">
        <f>IF($K475="","",INDEX(Zeiterfassung!$H$6:$H$3665,$K475))</f>
        <v/>
      </c>
      <c r="I475" s="335">
        <f>IF(B475=B474,"",IF($K475="","",INDEX(Zeiterfassung!$I$6:$I$3665,MATCH(INDEX(Zeiterfassung!$K$6:$K$3665,$K475),Zeiterfassung!$K$6:$K$3665,0))))</f>
        <v/>
      </c>
      <c r="J475" s="335">
        <f>IF(B475=B474,"",IF($K475="","",INDEX(Zeiterfassung!$J$6:$J$3665,MATCH(INDEX(Zeiterfassung!$K$6:$K$3665,$K475),Zeiterfassung!$K$6:$K$3665,0))))</f>
        <v/>
      </c>
      <c r="K475">
        <f>IFERROR(AGGREGATE(15,6,(ROW(Zeiterfassung!$D$6:$D$3665)-ROW(Zeiterfassung!$D$6)+1)/(Zeiterfassung!$D$6:$D$3665&lt;&gt;""),470),"")</f>
        <v/>
      </c>
    </row>
    <row r="476" ht="20" customHeight="1">
      <c r="A476" s="183">
        <f>IF($K476="","",WEEKNUM(INDEX(Zeiterfassung!$K$6:$K$3665,$K476),21))</f>
        <v/>
      </c>
      <c r="B476" s="184">
        <f>IF($K476="","",INDEX(Zeiterfassung!$K$6:$K$3665,$K476))</f>
        <v/>
      </c>
      <c r="C476" s="185">
        <f>IF($K476="","",INDEX(Zeiterfassung!$K$6:$K$3665,$K476))</f>
        <v/>
      </c>
      <c r="D476" s="186">
        <f>IF($K476="","",INDEX(Zeiterfassung!$D$6:$D$3665,$K476))</f>
        <v/>
      </c>
      <c r="E476" s="186">
        <f>IF($K476="","",INDEX(Zeiterfassung!$E$6:$E$3665,$K476))</f>
        <v/>
      </c>
      <c r="F476" s="187">
        <f>IF($K476="","",INDEX(Zeiterfassung!$F$6:$F$3665,$K476))</f>
        <v/>
      </c>
      <c r="G476" s="187">
        <f>IF($K476="","",INDEX(Zeiterfassung!$G$6:$G$3665,$K476))</f>
        <v/>
      </c>
      <c r="H476" s="188">
        <f>IF($K476="","",INDEX(Zeiterfassung!$H$6:$H$3665,$K476))</f>
        <v/>
      </c>
      <c r="I476" s="335">
        <f>IF(B476=B475,"",IF($K476="","",INDEX(Zeiterfassung!$I$6:$I$3665,MATCH(INDEX(Zeiterfassung!$K$6:$K$3665,$K476),Zeiterfassung!$K$6:$K$3665,0))))</f>
        <v/>
      </c>
      <c r="J476" s="335">
        <f>IF(B476=B475,"",IF($K476="","",INDEX(Zeiterfassung!$J$6:$J$3665,MATCH(INDEX(Zeiterfassung!$K$6:$K$3665,$K476),Zeiterfassung!$K$6:$K$3665,0))))</f>
        <v/>
      </c>
      <c r="K476">
        <f>IFERROR(AGGREGATE(15,6,(ROW(Zeiterfassung!$D$6:$D$3665)-ROW(Zeiterfassung!$D$6)+1)/(Zeiterfassung!$D$6:$D$3665&lt;&gt;""),471),"")</f>
        <v/>
      </c>
    </row>
    <row r="477" ht="20" customHeight="1">
      <c r="A477" s="183">
        <f>IF($K477="","",WEEKNUM(INDEX(Zeiterfassung!$K$6:$K$3665,$K477),21))</f>
        <v/>
      </c>
      <c r="B477" s="184">
        <f>IF($K477="","",INDEX(Zeiterfassung!$K$6:$K$3665,$K477))</f>
        <v/>
      </c>
      <c r="C477" s="185">
        <f>IF($K477="","",INDEX(Zeiterfassung!$K$6:$K$3665,$K477))</f>
        <v/>
      </c>
      <c r="D477" s="186">
        <f>IF($K477="","",INDEX(Zeiterfassung!$D$6:$D$3665,$K477))</f>
        <v/>
      </c>
      <c r="E477" s="186">
        <f>IF($K477="","",INDEX(Zeiterfassung!$E$6:$E$3665,$K477))</f>
        <v/>
      </c>
      <c r="F477" s="187">
        <f>IF($K477="","",INDEX(Zeiterfassung!$F$6:$F$3665,$K477))</f>
        <v/>
      </c>
      <c r="G477" s="187">
        <f>IF($K477="","",INDEX(Zeiterfassung!$G$6:$G$3665,$K477))</f>
        <v/>
      </c>
      <c r="H477" s="188">
        <f>IF($K477="","",INDEX(Zeiterfassung!$H$6:$H$3665,$K477))</f>
        <v/>
      </c>
      <c r="I477" s="335">
        <f>IF(B477=B476,"",IF($K477="","",INDEX(Zeiterfassung!$I$6:$I$3665,MATCH(INDEX(Zeiterfassung!$K$6:$K$3665,$K477),Zeiterfassung!$K$6:$K$3665,0))))</f>
        <v/>
      </c>
      <c r="J477" s="335">
        <f>IF(B477=B476,"",IF($K477="","",INDEX(Zeiterfassung!$J$6:$J$3665,MATCH(INDEX(Zeiterfassung!$K$6:$K$3665,$K477),Zeiterfassung!$K$6:$K$3665,0))))</f>
        <v/>
      </c>
      <c r="K477">
        <f>IFERROR(AGGREGATE(15,6,(ROW(Zeiterfassung!$D$6:$D$3665)-ROW(Zeiterfassung!$D$6)+1)/(Zeiterfassung!$D$6:$D$3665&lt;&gt;""),472),"")</f>
        <v/>
      </c>
    </row>
    <row r="478" ht="20" customHeight="1">
      <c r="A478" s="183">
        <f>IF($K478="","",WEEKNUM(INDEX(Zeiterfassung!$K$6:$K$3665,$K478),21))</f>
        <v/>
      </c>
      <c r="B478" s="184">
        <f>IF($K478="","",INDEX(Zeiterfassung!$K$6:$K$3665,$K478))</f>
        <v/>
      </c>
      <c r="C478" s="185">
        <f>IF($K478="","",INDEX(Zeiterfassung!$K$6:$K$3665,$K478))</f>
        <v/>
      </c>
      <c r="D478" s="186">
        <f>IF($K478="","",INDEX(Zeiterfassung!$D$6:$D$3665,$K478))</f>
        <v/>
      </c>
      <c r="E478" s="186">
        <f>IF($K478="","",INDEX(Zeiterfassung!$E$6:$E$3665,$K478))</f>
        <v/>
      </c>
      <c r="F478" s="187">
        <f>IF($K478="","",INDEX(Zeiterfassung!$F$6:$F$3665,$K478))</f>
        <v/>
      </c>
      <c r="G478" s="187">
        <f>IF($K478="","",INDEX(Zeiterfassung!$G$6:$G$3665,$K478))</f>
        <v/>
      </c>
      <c r="H478" s="188">
        <f>IF($K478="","",INDEX(Zeiterfassung!$H$6:$H$3665,$K478))</f>
        <v/>
      </c>
      <c r="I478" s="335">
        <f>IF(B478=B477,"",IF($K478="","",INDEX(Zeiterfassung!$I$6:$I$3665,MATCH(INDEX(Zeiterfassung!$K$6:$K$3665,$K478),Zeiterfassung!$K$6:$K$3665,0))))</f>
        <v/>
      </c>
      <c r="J478" s="335">
        <f>IF(B478=B477,"",IF($K478="","",INDEX(Zeiterfassung!$J$6:$J$3665,MATCH(INDEX(Zeiterfassung!$K$6:$K$3665,$K478),Zeiterfassung!$K$6:$K$3665,0))))</f>
        <v/>
      </c>
      <c r="K478">
        <f>IFERROR(AGGREGATE(15,6,(ROW(Zeiterfassung!$D$6:$D$3665)-ROW(Zeiterfassung!$D$6)+1)/(Zeiterfassung!$D$6:$D$3665&lt;&gt;""),473),"")</f>
        <v/>
      </c>
    </row>
    <row r="479" ht="20" customHeight="1">
      <c r="A479" s="183">
        <f>IF($K479="","",WEEKNUM(INDEX(Zeiterfassung!$K$6:$K$3665,$K479),21))</f>
        <v/>
      </c>
      <c r="B479" s="184">
        <f>IF($K479="","",INDEX(Zeiterfassung!$K$6:$K$3665,$K479))</f>
        <v/>
      </c>
      <c r="C479" s="185">
        <f>IF($K479="","",INDEX(Zeiterfassung!$K$6:$K$3665,$K479))</f>
        <v/>
      </c>
      <c r="D479" s="186">
        <f>IF($K479="","",INDEX(Zeiterfassung!$D$6:$D$3665,$K479))</f>
        <v/>
      </c>
      <c r="E479" s="186">
        <f>IF($K479="","",INDEX(Zeiterfassung!$E$6:$E$3665,$K479))</f>
        <v/>
      </c>
      <c r="F479" s="187">
        <f>IF($K479="","",INDEX(Zeiterfassung!$F$6:$F$3665,$K479))</f>
        <v/>
      </c>
      <c r="G479" s="187">
        <f>IF($K479="","",INDEX(Zeiterfassung!$G$6:$G$3665,$K479))</f>
        <v/>
      </c>
      <c r="H479" s="188">
        <f>IF($K479="","",INDEX(Zeiterfassung!$H$6:$H$3665,$K479))</f>
        <v/>
      </c>
      <c r="I479" s="335">
        <f>IF(B479=B478,"",IF($K479="","",INDEX(Zeiterfassung!$I$6:$I$3665,MATCH(INDEX(Zeiterfassung!$K$6:$K$3665,$K479),Zeiterfassung!$K$6:$K$3665,0))))</f>
        <v/>
      </c>
      <c r="J479" s="335">
        <f>IF(B479=B478,"",IF($K479="","",INDEX(Zeiterfassung!$J$6:$J$3665,MATCH(INDEX(Zeiterfassung!$K$6:$K$3665,$K479),Zeiterfassung!$K$6:$K$3665,0))))</f>
        <v/>
      </c>
      <c r="K479">
        <f>IFERROR(AGGREGATE(15,6,(ROW(Zeiterfassung!$D$6:$D$3665)-ROW(Zeiterfassung!$D$6)+1)/(Zeiterfassung!$D$6:$D$3665&lt;&gt;""),474),"")</f>
        <v/>
      </c>
    </row>
    <row r="480" ht="20" customHeight="1">
      <c r="A480" s="183">
        <f>IF($K480="","",WEEKNUM(INDEX(Zeiterfassung!$K$6:$K$3665,$K480),21))</f>
        <v/>
      </c>
      <c r="B480" s="184">
        <f>IF($K480="","",INDEX(Zeiterfassung!$K$6:$K$3665,$K480))</f>
        <v/>
      </c>
      <c r="C480" s="185">
        <f>IF($K480="","",INDEX(Zeiterfassung!$K$6:$K$3665,$K480))</f>
        <v/>
      </c>
      <c r="D480" s="186">
        <f>IF($K480="","",INDEX(Zeiterfassung!$D$6:$D$3665,$K480))</f>
        <v/>
      </c>
      <c r="E480" s="186">
        <f>IF($K480="","",INDEX(Zeiterfassung!$E$6:$E$3665,$K480))</f>
        <v/>
      </c>
      <c r="F480" s="187">
        <f>IF($K480="","",INDEX(Zeiterfassung!$F$6:$F$3665,$K480))</f>
        <v/>
      </c>
      <c r="G480" s="187">
        <f>IF($K480="","",INDEX(Zeiterfassung!$G$6:$G$3665,$K480))</f>
        <v/>
      </c>
      <c r="H480" s="188">
        <f>IF($K480="","",INDEX(Zeiterfassung!$H$6:$H$3665,$K480))</f>
        <v/>
      </c>
      <c r="I480" s="335">
        <f>IF(B480=B479,"",IF($K480="","",INDEX(Zeiterfassung!$I$6:$I$3665,MATCH(INDEX(Zeiterfassung!$K$6:$K$3665,$K480),Zeiterfassung!$K$6:$K$3665,0))))</f>
        <v/>
      </c>
      <c r="J480" s="335">
        <f>IF(B480=B479,"",IF($K480="","",INDEX(Zeiterfassung!$J$6:$J$3665,MATCH(INDEX(Zeiterfassung!$K$6:$K$3665,$K480),Zeiterfassung!$K$6:$K$3665,0))))</f>
        <v/>
      </c>
      <c r="K480">
        <f>IFERROR(AGGREGATE(15,6,(ROW(Zeiterfassung!$D$6:$D$3665)-ROW(Zeiterfassung!$D$6)+1)/(Zeiterfassung!$D$6:$D$3665&lt;&gt;""),475),"")</f>
        <v/>
      </c>
    </row>
    <row r="481" ht="20" customHeight="1">
      <c r="A481" s="183">
        <f>IF($K481="","",WEEKNUM(INDEX(Zeiterfassung!$K$6:$K$3665,$K481),21))</f>
        <v/>
      </c>
      <c r="B481" s="184">
        <f>IF($K481="","",INDEX(Zeiterfassung!$K$6:$K$3665,$K481))</f>
        <v/>
      </c>
      <c r="C481" s="185">
        <f>IF($K481="","",INDEX(Zeiterfassung!$K$6:$K$3665,$K481))</f>
        <v/>
      </c>
      <c r="D481" s="186">
        <f>IF($K481="","",INDEX(Zeiterfassung!$D$6:$D$3665,$K481))</f>
        <v/>
      </c>
      <c r="E481" s="186">
        <f>IF($K481="","",INDEX(Zeiterfassung!$E$6:$E$3665,$K481))</f>
        <v/>
      </c>
      <c r="F481" s="187">
        <f>IF($K481="","",INDEX(Zeiterfassung!$F$6:$F$3665,$K481))</f>
        <v/>
      </c>
      <c r="G481" s="187">
        <f>IF($K481="","",INDEX(Zeiterfassung!$G$6:$G$3665,$K481))</f>
        <v/>
      </c>
      <c r="H481" s="188">
        <f>IF($K481="","",INDEX(Zeiterfassung!$H$6:$H$3665,$K481))</f>
        <v/>
      </c>
      <c r="I481" s="335">
        <f>IF(B481=B480,"",IF($K481="","",INDEX(Zeiterfassung!$I$6:$I$3665,MATCH(INDEX(Zeiterfassung!$K$6:$K$3665,$K481),Zeiterfassung!$K$6:$K$3665,0))))</f>
        <v/>
      </c>
      <c r="J481" s="335">
        <f>IF(B481=B480,"",IF($K481="","",INDEX(Zeiterfassung!$J$6:$J$3665,MATCH(INDEX(Zeiterfassung!$K$6:$K$3665,$K481),Zeiterfassung!$K$6:$K$3665,0))))</f>
        <v/>
      </c>
      <c r="K481">
        <f>IFERROR(AGGREGATE(15,6,(ROW(Zeiterfassung!$D$6:$D$3665)-ROW(Zeiterfassung!$D$6)+1)/(Zeiterfassung!$D$6:$D$3665&lt;&gt;""),476),"")</f>
        <v/>
      </c>
    </row>
    <row r="482" ht="20" customHeight="1">
      <c r="A482" s="183">
        <f>IF($K482="","",WEEKNUM(INDEX(Zeiterfassung!$K$6:$K$3665,$K482),21))</f>
        <v/>
      </c>
      <c r="B482" s="184">
        <f>IF($K482="","",INDEX(Zeiterfassung!$K$6:$K$3665,$K482))</f>
        <v/>
      </c>
      <c r="C482" s="185">
        <f>IF($K482="","",INDEX(Zeiterfassung!$K$6:$K$3665,$K482))</f>
        <v/>
      </c>
      <c r="D482" s="186">
        <f>IF($K482="","",INDEX(Zeiterfassung!$D$6:$D$3665,$K482))</f>
        <v/>
      </c>
      <c r="E482" s="186">
        <f>IF($K482="","",INDEX(Zeiterfassung!$E$6:$E$3665,$K482))</f>
        <v/>
      </c>
      <c r="F482" s="187">
        <f>IF($K482="","",INDEX(Zeiterfassung!$F$6:$F$3665,$K482))</f>
        <v/>
      </c>
      <c r="G482" s="187">
        <f>IF($K482="","",INDEX(Zeiterfassung!$G$6:$G$3665,$K482))</f>
        <v/>
      </c>
      <c r="H482" s="188">
        <f>IF($K482="","",INDEX(Zeiterfassung!$H$6:$H$3665,$K482))</f>
        <v/>
      </c>
      <c r="I482" s="335">
        <f>IF(B482=B481,"",IF($K482="","",INDEX(Zeiterfassung!$I$6:$I$3665,MATCH(INDEX(Zeiterfassung!$K$6:$K$3665,$K482),Zeiterfassung!$K$6:$K$3665,0))))</f>
        <v/>
      </c>
      <c r="J482" s="335">
        <f>IF(B482=B481,"",IF($K482="","",INDEX(Zeiterfassung!$J$6:$J$3665,MATCH(INDEX(Zeiterfassung!$K$6:$K$3665,$K482),Zeiterfassung!$K$6:$K$3665,0))))</f>
        <v/>
      </c>
      <c r="K482">
        <f>IFERROR(AGGREGATE(15,6,(ROW(Zeiterfassung!$D$6:$D$3665)-ROW(Zeiterfassung!$D$6)+1)/(Zeiterfassung!$D$6:$D$3665&lt;&gt;""),477),"")</f>
        <v/>
      </c>
    </row>
    <row r="483" ht="20" customHeight="1">
      <c r="A483" s="183">
        <f>IF($K483="","",WEEKNUM(INDEX(Zeiterfassung!$K$6:$K$3665,$K483),21))</f>
        <v/>
      </c>
      <c r="B483" s="184">
        <f>IF($K483="","",INDEX(Zeiterfassung!$K$6:$K$3665,$K483))</f>
        <v/>
      </c>
      <c r="C483" s="185">
        <f>IF($K483="","",INDEX(Zeiterfassung!$K$6:$K$3665,$K483))</f>
        <v/>
      </c>
      <c r="D483" s="186">
        <f>IF($K483="","",INDEX(Zeiterfassung!$D$6:$D$3665,$K483))</f>
        <v/>
      </c>
      <c r="E483" s="186">
        <f>IF($K483="","",INDEX(Zeiterfassung!$E$6:$E$3665,$K483))</f>
        <v/>
      </c>
      <c r="F483" s="187">
        <f>IF($K483="","",INDEX(Zeiterfassung!$F$6:$F$3665,$K483))</f>
        <v/>
      </c>
      <c r="G483" s="187">
        <f>IF($K483="","",INDEX(Zeiterfassung!$G$6:$G$3665,$K483))</f>
        <v/>
      </c>
      <c r="H483" s="188">
        <f>IF($K483="","",INDEX(Zeiterfassung!$H$6:$H$3665,$K483))</f>
        <v/>
      </c>
      <c r="I483" s="335">
        <f>IF(B483=B482,"",IF($K483="","",INDEX(Zeiterfassung!$I$6:$I$3665,MATCH(INDEX(Zeiterfassung!$K$6:$K$3665,$K483),Zeiterfassung!$K$6:$K$3665,0))))</f>
        <v/>
      </c>
      <c r="J483" s="335">
        <f>IF(B483=B482,"",IF($K483="","",INDEX(Zeiterfassung!$J$6:$J$3665,MATCH(INDEX(Zeiterfassung!$K$6:$K$3665,$K483),Zeiterfassung!$K$6:$K$3665,0))))</f>
        <v/>
      </c>
      <c r="K483">
        <f>IFERROR(AGGREGATE(15,6,(ROW(Zeiterfassung!$D$6:$D$3665)-ROW(Zeiterfassung!$D$6)+1)/(Zeiterfassung!$D$6:$D$3665&lt;&gt;""),478),"")</f>
        <v/>
      </c>
    </row>
    <row r="484" ht="20" customHeight="1">
      <c r="A484" s="183">
        <f>IF($K484="","",WEEKNUM(INDEX(Zeiterfassung!$K$6:$K$3665,$K484),21))</f>
        <v/>
      </c>
      <c r="B484" s="184">
        <f>IF($K484="","",INDEX(Zeiterfassung!$K$6:$K$3665,$K484))</f>
        <v/>
      </c>
      <c r="C484" s="185">
        <f>IF($K484="","",INDEX(Zeiterfassung!$K$6:$K$3665,$K484))</f>
        <v/>
      </c>
      <c r="D484" s="186">
        <f>IF($K484="","",INDEX(Zeiterfassung!$D$6:$D$3665,$K484))</f>
        <v/>
      </c>
      <c r="E484" s="186">
        <f>IF($K484="","",INDEX(Zeiterfassung!$E$6:$E$3665,$K484))</f>
        <v/>
      </c>
      <c r="F484" s="187">
        <f>IF($K484="","",INDEX(Zeiterfassung!$F$6:$F$3665,$K484))</f>
        <v/>
      </c>
      <c r="G484" s="187">
        <f>IF($K484="","",INDEX(Zeiterfassung!$G$6:$G$3665,$K484))</f>
        <v/>
      </c>
      <c r="H484" s="188">
        <f>IF($K484="","",INDEX(Zeiterfassung!$H$6:$H$3665,$K484))</f>
        <v/>
      </c>
      <c r="I484" s="335">
        <f>IF(B484=B483,"",IF($K484="","",INDEX(Zeiterfassung!$I$6:$I$3665,MATCH(INDEX(Zeiterfassung!$K$6:$K$3665,$K484),Zeiterfassung!$K$6:$K$3665,0))))</f>
        <v/>
      </c>
      <c r="J484" s="335">
        <f>IF(B484=B483,"",IF($K484="","",INDEX(Zeiterfassung!$J$6:$J$3665,MATCH(INDEX(Zeiterfassung!$K$6:$K$3665,$K484),Zeiterfassung!$K$6:$K$3665,0))))</f>
        <v/>
      </c>
      <c r="K484">
        <f>IFERROR(AGGREGATE(15,6,(ROW(Zeiterfassung!$D$6:$D$3665)-ROW(Zeiterfassung!$D$6)+1)/(Zeiterfassung!$D$6:$D$3665&lt;&gt;""),479),"")</f>
        <v/>
      </c>
    </row>
    <row r="485" ht="20" customHeight="1">
      <c r="A485" s="183">
        <f>IF($K485="","",WEEKNUM(INDEX(Zeiterfassung!$K$6:$K$3665,$K485),21))</f>
        <v/>
      </c>
      <c r="B485" s="184">
        <f>IF($K485="","",INDEX(Zeiterfassung!$K$6:$K$3665,$K485))</f>
        <v/>
      </c>
      <c r="C485" s="185">
        <f>IF($K485="","",INDEX(Zeiterfassung!$K$6:$K$3665,$K485))</f>
        <v/>
      </c>
      <c r="D485" s="186">
        <f>IF($K485="","",INDEX(Zeiterfassung!$D$6:$D$3665,$K485))</f>
        <v/>
      </c>
      <c r="E485" s="186">
        <f>IF($K485="","",INDEX(Zeiterfassung!$E$6:$E$3665,$K485))</f>
        <v/>
      </c>
      <c r="F485" s="187">
        <f>IF($K485="","",INDEX(Zeiterfassung!$F$6:$F$3665,$K485))</f>
        <v/>
      </c>
      <c r="G485" s="187">
        <f>IF($K485="","",INDEX(Zeiterfassung!$G$6:$G$3665,$K485))</f>
        <v/>
      </c>
      <c r="H485" s="188">
        <f>IF($K485="","",INDEX(Zeiterfassung!$H$6:$H$3665,$K485))</f>
        <v/>
      </c>
      <c r="I485" s="335">
        <f>IF(B485=B484,"",IF($K485="","",INDEX(Zeiterfassung!$I$6:$I$3665,MATCH(INDEX(Zeiterfassung!$K$6:$K$3665,$K485),Zeiterfassung!$K$6:$K$3665,0))))</f>
        <v/>
      </c>
      <c r="J485" s="335">
        <f>IF(B485=B484,"",IF($K485="","",INDEX(Zeiterfassung!$J$6:$J$3665,MATCH(INDEX(Zeiterfassung!$K$6:$K$3665,$K485),Zeiterfassung!$K$6:$K$3665,0))))</f>
        <v/>
      </c>
      <c r="K485">
        <f>IFERROR(AGGREGATE(15,6,(ROW(Zeiterfassung!$D$6:$D$3665)-ROW(Zeiterfassung!$D$6)+1)/(Zeiterfassung!$D$6:$D$3665&lt;&gt;""),480),"")</f>
        <v/>
      </c>
    </row>
    <row r="486" ht="20" customHeight="1">
      <c r="A486" s="183">
        <f>IF($K486="","",WEEKNUM(INDEX(Zeiterfassung!$K$6:$K$3665,$K486),21))</f>
        <v/>
      </c>
      <c r="B486" s="184">
        <f>IF($K486="","",INDEX(Zeiterfassung!$K$6:$K$3665,$K486))</f>
        <v/>
      </c>
      <c r="C486" s="185">
        <f>IF($K486="","",INDEX(Zeiterfassung!$K$6:$K$3665,$K486))</f>
        <v/>
      </c>
      <c r="D486" s="186">
        <f>IF($K486="","",INDEX(Zeiterfassung!$D$6:$D$3665,$K486))</f>
        <v/>
      </c>
      <c r="E486" s="186">
        <f>IF($K486="","",INDEX(Zeiterfassung!$E$6:$E$3665,$K486))</f>
        <v/>
      </c>
      <c r="F486" s="187">
        <f>IF($K486="","",INDEX(Zeiterfassung!$F$6:$F$3665,$K486))</f>
        <v/>
      </c>
      <c r="G486" s="187">
        <f>IF($K486="","",INDEX(Zeiterfassung!$G$6:$G$3665,$K486))</f>
        <v/>
      </c>
      <c r="H486" s="188">
        <f>IF($K486="","",INDEX(Zeiterfassung!$H$6:$H$3665,$K486))</f>
        <v/>
      </c>
      <c r="I486" s="335">
        <f>IF(B486=B485,"",IF($K486="","",INDEX(Zeiterfassung!$I$6:$I$3665,MATCH(INDEX(Zeiterfassung!$K$6:$K$3665,$K486),Zeiterfassung!$K$6:$K$3665,0))))</f>
        <v/>
      </c>
      <c r="J486" s="335">
        <f>IF(B486=B485,"",IF($K486="","",INDEX(Zeiterfassung!$J$6:$J$3665,MATCH(INDEX(Zeiterfassung!$K$6:$K$3665,$K486),Zeiterfassung!$K$6:$K$3665,0))))</f>
        <v/>
      </c>
      <c r="K486">
        <f>IFERROR(AGGREGATE(15,6,(ROW(Zeiterfassung!$D$6:$D$3665)-ROW(Zeiterfassung!$D$6)+1)/(Zeiterfassung!$D$6:$D$3665&lt;&gt;""),481),"")</f>
        <v/>
      </c>
    </row>
    <row r="487" ht="20" customHeight="1">
      <c r="A487" s="183">
        <f>IF($K487="","",WEEKNUM(INDEX(Zeiterfassung!$K$6:$K$3665,$K487),21))</f>
        <v/>
      </c>
      <c r="B487" s="184">
        <f>IF($K487="","",INDEX(Zeiterfassung!$K$6:$K$3665,$K487))</f>
        <v/>
      </c>
      <c r="C487" s="185">
        <f>IF($K487="","",INDEX(Zeiterfassung!$K$6:$K$3665,$K487))</f>
        <v/>
      </c>
      <c r="D487" s="186">
        <f>IF($K487="","",INDEX(Zeiterfassung!$D$6:$D$3665,$K487))</f>
        <v/>
      </c>
      <c r="E487" s="186">
        <f>IF($K487="","",INDEX(Zeiterfassung!$E$6:$E$3665,$K487))</f>
        <v/>
      </c>
      <c r="F487" s="187">
        <f>IF($K487="","",INDEX(Zeiterfassung!$F$6:$F$3665,$K487))</f>
        <v/>
      </c>
      <c r="G487" s="187">
        <f>IF($K487="","",INDEX(Zeiterfassung!$G$6:$G$3665,$K487))</f>
        <v/>
      </c>
      <c r="H487" s="188">
        <f>IF($K487="","",INDEX(Zeiterfassung!$H$6:$H$3665,$K487))</f>
        <v/>
      </c>
      <c r="I487" s="335">
        <f>IF(B487=B486,"",IF($K487="","",INDEX(Zeiterfassung!$I$6:$I$3665,MATCH(INDEX(Zeiterfassung!$K$6:$K$3665,$K487),Zeiterfassung!$K$6:$K$3665,0))))</f>
        <v/>
      </c>
      <c r="J487" s="335">
        <f>IF(B487=B486,"",IF($K487="","",INDEX(Zeiterfassung!$J$6:$J$3665,MATCH(INDEX(Zeiterfassung!$K$6:$K$3665,$K487),Zeiterfassung!$K$6:$K$3665,0))))</f>
        <v/>
      </c>
      <c r="K487">
        <f>IFERROR(AGGREGATE(15,6,(ROW(Zeiterfassung!$D$6:$D$3665)-ROW(Zeiterfassung!$D$6)+1)/(Zeiterfassung!$D$6:$D$3665&lt;&gt;""),482),"")</f>
        <v/>
      </c>
    </row>
    <row r="488" ht="20" customHeight="1">
      <c r="A488" s="183">
        <f>IF($K488="","",WEEKNUM(INDEX(Zeiterfassung!$K$6:$K$3665,$K488),21))</f>
        <v/>
      </c>
      <c r="B488" s="184">
        <f>IF($K488="","",INDEX(Zeiterfassung!$K$6:$K$3665,$K488))</f>
        <v/>
      </c>
      <c r="C488" s="185">
        <f>IF($K488="","",INDEX(Zeiterfassung!$K$6:$K$3665,$K488))</f>
        <v/>
      </c>
      <c r="D488" s="186">
        <f>IF($K488="","",INDEX(Zeiterfassung!$D$6:$D$3665,$K488))</f>
        <v/>
      </c>
      <c r="E488" s="186">
        <f>IF($K488="","",INDEX(Zeiterfassung!$E$6:$E$3665,$K488))</f>
        <v/>
      </c>
      <c r="F488" s="187">
        <f>IF($K488="","",INDEX(Zeiterfassung!$F$6:$F$3665,$K488))</f>
        <v/>
      </c>
      <c r="G488" s="187">
        <f>IF($K488="","",INDEX(Zeiterfassung!$G$6:$G$3665,$K488))</f>
        <v/>
      </c>
      <c r="H488" s="188">
        <f>IF($K488="","",INDEX(Zeiterfassung!$H$6:$H$3665,$K488))</f>
        <v/>
      </c>
      <c r="I488" s="335">
        <f>IF(B488=B487,"",IF($K488="","",INDEX(Zeiterfassung!$I$6:$I$3665,MATCH(INDEX(Zeiterfassung!$K$6:$K$3665,$K488),Zeiterfassung!$K$6:$K$3665,0))))</f>
        <v/>
      </c>
      <c r="J488" s="335">
        <f>IF(B488=B487,"",IF($K488="","",INDEX(Zeiterfassung!$J$6:$J$3665,MATCH(INDEX(Zeiterfassung!$K$6:$K$3665,$K488),Zeiterfassung!$K$6:$K$3665,0))))</f>
        <v/>
      </c>
      <c r="K488">
        <f>IFERROR(AGGREGATE(15,6,(ROW(Zeiterfassung!$D$6:$D$3665)-ROW(Zeiterfassung!$D$6)+1)/(Zeiterfassung!$D$6:$D$3665&lt;&gt;""),483),"")</f>
        <v/>
      </c>
    </row>
    <row r="489" ht="20" customHeight="1">
      <c r="A489" s="183">
        <f>IF($K489="","",WEEKNUM(INDEX(Zeiterfassung!$K$6:$K$3665,$K489),21))</f>
        <v/>
      </c>
      <c r="B489" s="184">
        <f>IF($K489="","",INDEX(Zeiterfassung!$K$6:$K$3665,$K489))</f>
        <v/>
      </c>
      <c r="C489" s="185">
        <f>IF($K489="","",INDEX(Zeiterfassung!$K$6:$K$3665,$K489))</f>
        <v/>
      </c>
      <c r="D489" s="186">
        <f>IF($K489="","",INDEX(Zeiterfassung!$D$6:$D$3665,$K489))</f>
        <v/>
      </c>
      <c r="E489" s="186">
        <f>IF($K489="","",INDEX(Zeiterfassung!$E$6:$E$3665,$K489))</f>
        <v/>
      </c>
      <c r="F489" s="187">
        <f>IF($K489="","",INDEX(Zeiterfassung!$F$6:$F$3665,$K489))</f>
        <v/>
      </c>
      <c r="G489" s="187">
        <f>IF($K489="","",INDEX(Zeiterfassung!$G$6:$G$3665,$K489))</f>
        <v/>
      </c>
      <c r="H489" s="188">
        <f>IF($K489="","",INDEX(Zeiterfassung!$H$6:$H$3665,$K489))</f>
        <v/>
      </c>
      <c r="I489" s="335">
        <f>IF(B489=B488,"",IF($K489="","",INDEX(Zeiterfassung!$I$6:$I$3665,MATCH(INDEX(Zeiterfassung!$K$6:$K$3665,$K489),Zeiterfassung!$K$6:$K$3665,0))))</f>
        <v/>
      </c>
      <c r="J489" s="335">
        <f>IF(B489=B488,"",IF($K489="","",INDEX(Zeiterfassung!$J$6:$J$3665,MATCH(INDEX(Zeiterfassung!$K$6:$K$3665,$K489),Zeiterfassung!$K$6:$K$3665,0))))</f>
        <v/>
      </c>
      <c r="K489">
        <f>IFERROR(AGGREGATE(15,6,(ROW(Zeiterfassung!$D$6:$D$3665)-ROW(Zeiterfassung!$D$6)+1)/(Zeiterfassung!$D$6:$D$3665&lt;&gt;""),484),"")</f>
        <v/>
      </c>
    </row>
    <row r="490" ht="20" customHeight="1">
      <c r="A490" s="183">
        <f>IF($K490="","",WEEKNUM(INDEX(Zeiterfassung!$K$6:$K$3665,$K490),21))</f>
        <v/>
      </c>
      <c r="B490" s="184">
        <f>IF($K490="","",INDEX(Zeiterfassung!$K$6:$K$3665,$K490))</f>
        <v/>
      </c>
      <c r="C490" s="185">
        <f>IF($K490="","",INDEX(Zeiterfassung!$K$6:$K$3665,$K490))</f>
        <v/>
      </c>
      <c r="D490" s="186">
        <f>IF($K490="","",INDEX(Zeiterfassung!$D$6:$D$3665,$K490))</f>
        <v/>
      </c>
      <c r="E490" s="186">
        <f>IF($K490="","",INDEX(Zeiterfassung!$E$6:$E$3665,$K490))</f>
        <v/>
      </c>
      <c r="F490" s="187">
        <f>IF($K490="","",INDEX(Zeiterfassung!$F$6:$F$3665,$K490))</f>
        <v/>
      </c>
      <c r="G490" s="187">
        <f>IF($K490="","",INDEX(Zeiterfassung!$G$6:$G$3665,$K490))</f>
        <v/>
      </c>
      <c r="H490" s="188">
        <f>IF($K490="","",INDEX(Zeiterfassung!$H$6:$H$3665,$K490))</f>
        <v/>
      </c>
      <c r="I490" s="335">
        <f>IF(B490=B489,"",IF($K490="","",INDEX(Zeiterfassung!$I$6:$I$3665,MATCH(INDEX(Zeiterfassung!$K$6:$K$3665,$K490),Zeiterfassung!$K$6:$K$3665,0))))</f>
        <v/>
      </c>
      <c r="J490" s="335">
        <f>IF(B490=B489,"",IF($K490="","",INDEX(Zeiterfassung!$J$6:$J$3665,MATCH(INDEX(Zeiterfassung!$K$6:$K$3665,$K490),Zeiterfassung!$K$6:$K$3665,0))))</f>
        <v/>
      </c>
      <c r="K490">
        <f>IFERROR(AGGREGATE(15,6,(ROW(Zeiterfassung!$D$6:$D$3665)-ROW(Zeiterfassung!$D$6)+1)/(Zeiterfassung!$D$6:$D$3665&lt;&gt;""),485),"")</f>
        <v/>
      </c>
    </row>
    <row r="491" ht="20" customHeight="1">
      <c r="A491" s="183">
        <f>IF($K491="","",WEEKNUM(INDEX(Zeiterfassung!$K$6:$K$3665,$K491),21))</f>
        <v/>
      </c>
      <c r="B491" s="184">
        <f>IF($K491="","",INDEX(Zeiterfassung!$K$6:$K$3665,$K491))</f>
        <v/>
      </c>
      <c r="C491" s="185">
        <f>IF($K491="","",INDEX(Zeiterfassung!$K$6:$K$3665,$K491))</f>
        <v/>
      </c>
      <c r="D491" s="186">
        <f>IF($K491="","",INDEX(Zeiterfassung!$D$6:$D$3665,$K491))</f>
        <v/>
      </c>
      <c r="E491" s="186">
        <f>IF($K491="","",INDEX(Zeiterfassung!$E$6:$E$3665,$K491))</f>
        <v/>
      </c>
      <c r="F491" s="187">
        <f>IF($K491="","",INDEX(Zeiterfassung!$F$6:$F$3665,$K491))</f>
        <v/>
      </c>
      <c r="G491" s="187">
        <f>IF($K491="","",INDEX(Zeiterfassung!$G$6:$G$3665,$K491))</f>
        <v/>
      </c>
      <c r="H491" s="188">
        <f>IF($K491="","",INDEX(Zeiterfassung!$H$6:$H$3665,$K491))</f>
        <v/>
      </c>
      <c r="I491" s="335">
        <f>IF(B491=B490,"",IF($K491="","",INDEX(Zeiterfassung!$I$6:$I$3665,MATCH(INDEX(Zeiterfassung!$K$6:$K$3665,$K491),Zeiterfassung!$K$6:$K$3665,0))))</f>
        <v/>
      </c>
      <c r="J491" s="335">
        <f>IF(B491=B490,"",IF($K491="","",INDEX(Zeiterfassung!$J$6:$J$3665,MATCH(INDEX(Zeiterfassung!$K$6:$K$3665,$K491),Zeiterfassung!$K$6:$K$3665,0))))</f>
        <v/>
      </c>
      <c r="K491">
        <f>IFERROR(AGGREGATE(15,6,(ROW(Zeiterfassung!$D$6:$D$3665)-ROW(Zeiterfassung!$D$6)+1)/(Zeiterfassung!$D$6:$D$3665&lt;&gt;""),486),"")</f>
        <v/>
      </c>
    </row>
    <row r="492" ht="20" customHeight="1">
      <c r="A492" s="183">
        <f>IF($K492="","",WEEKNUM(INDEX(Zeiterfassung!$K$6:$K$3665,$K492),21))</f>
        <v/>
      </c>
      <c r="B492" s="184">
        <f>IF($K492="","",INDEX(Zeiterfassung!$K$6:$K$3665,$K492))</f>
        <v/>
      </c>
      <c r="C492" s="185">
        <f>IF($K492="","",INDEX(Zeiterfassung!$K$6:$K$3665,$K492))</f>
        <v/>
      </c>
      <c r="D492" s="186">
        <f>IF($K492="","",INDEX(Zeiterfassung!$D$6:$D$3665,$K492))</f>
        <v/>
      </c>
      <c r="E492" s="186">
        <f>IF($K492="","",INDEX(Zeiterfassung!$E$6:$E$3665,$K492))</f>
        <v/>
      </c>
      <c r="F492" s="187">
        <f>IF($K492="","",INDEX(Zeiterfassung!$F$6:$F$3665,$K492))</f>
        <v/>
      </c>
      <c r="G492" s="187">
        <f>IF($K492="","",INDEX(Zeiterfassung!$G$6:$G$3665,$K492))</f>
        <v/>
      </c>
      <c r="H492" s="188">
        <f>IF($K492="","",INDEX(Zeiterfassung!$H$6:$H$3665,$K492))</f>
        <v/>
      </c>
      <c r="I492" s="335">
        <f>IF(B492=B491,"",IF($K492="","",INDEX(Zeiterfassung!$I$6:$I$3665,MATCH(INDEX(Zeiterfassung!$K$6:$K$3665,$K492),Zeiterfassung!$K$6:$K$3665,0))))</f>
        <v/>
      </c>
      <c r="J492" s="335">
        <f>IF(B492=B491,"",IF($K492="","",INDEX(Zeiterfassung!$J$6:$J$3665,MATCH(INDEX(Zeiterfassung!$K$6:$K$3665,$K492),Zeiterfassung!$K$6:$K$3665,0))))</f>
        <v/>
      </c>
      <c r="K492">
        <f>IFERROR(AGGREGATE(15,6,(ROW(Zeiterfassung!$D$6:$D$3665)-ROW(Zeiterfassung!$D$6)+1)/(Zeiterfassung!$D$6:$D$3665&lt;&gt;""),487),"")</f>
        <v/>
      </c>
    </row>
    <row r="493" ht="20" customHeight="1">
      <c r="A493" s="183">
        <f>IF($K493="","",WEEKNUM(INDEX(Zeiterfassung!$K$6:$K$3665,$K493),21))</f>
        <v/>
      </c>
      <c r="B493" s="184">
        <f>IF($K493="","",INDEX(Zeiterfassung!$K$6:$K$3665,$K493))</f>
        <v/>
      </c>
      <c r="C493" s="185">
        <f>IF($K493="","",INDEX(Zeiterfassung!$K$6:$K$3665,$K493))</f>
        <v/>
      </c>
      <c r="D493" s="186">
        <f>IF($K493="","",INDEX(Zeiterfassung!$D$6:$D$3665,$K493))</f>
        <v/>
      </c>
      <c r="E493" s="186">
        <f>IF($K493="","",INDEX(Zeiterfassung!$E$6:$E$3665,$K493))</f>
        <v/>
      </c>
      <c r="F493" s="187">
        <f>IF($K493="","",INDEX(Zeiterfassung!$F$6:$F$3665,$K493))</f>
        <v/>
      </c>
      <c r="G493" s="187">
        <f>IF($K493="","",INDEX(Zeiterfassung!$G$6:$G$3665,$K493))</f>
        <v/>
      </c>
      <c r="H493" s="188">
        <f>IF($K493="","",INDEX(Zeiterfassung!$H$6:$H$3665,$K493))</f>
        <v/>
      </c>
      <c r="I493" s="335">
        <f>IF(B493=B492,"",IF($K493="","",INDEX(Zeiterfassung!$I$6:$I$3665,MATCH(INDEX(Zeiterfassung!$K$6:$K$3665,$K493),Zeiterfassung!$K$6:$K$3665,0))))</f>
        <v/>
      </c>
      <c r="J493" s="335">
        <f>IF(B493=B492,"",IF($K493="","",INDEX(Zeiterfassung!$J$6:$J$3665,MATCH(INDEX(Zeiterfassung!$K$6:$K$3665,$K493),Zeiterfassung!$K$6:$K$3665,0))))</f>
        <v/>
      </c>
      <c r="K493">
        <f>IFERROR(AGGREGATE(15,6,(ROW(Zeiterfassung!$D$6:$D$3665)-ROW(Zeiterfassung!$D$6)+1)/(Zeiterfassung!$D$6:$D$3665&lt;&gt;""),488),"")</f>
        <v/>
      </c>
    </row>
    <row r="494" ht="20" customHeight="1">
      <c r="A494" s="183">
        <f>IF($K494="","",WEEKNUM(INDEX(Zeiterfassung!$K$6:$K$3665,$K494),21))</f>
        <v/>
      </c>
      <c r="B494" s="184">
        <f>IF($K494="","",INDEX(Zeiterfassung!$K$6:$K$3665,$K494))</f>
        <v/>
      </c>
      <c r="C494" s="185">
        <f>IF($K494="","",INDEX(Zeiterfassung!$K$6:$K$3665,$K494))</f>
        <v/>
      </c>
      <c r="D494" s="186">
        <f>IF($K494="","",INDEX(Zeiterfassung!$D$6:$D$3665,$K494))</f>
        <v/>
      </c>
      <c r="E494" s="186">
        <f>IF($K494="","",INDEX(Zeiterfassung!$E$6:$E$3665,$K494))</f>
        <v/>
      </c>
      <c r="F494" s="187">
        <f>IF($K494="","",INDEX(Zeiterfassung!$F$6:$F$3665,$K494))</f>
        <v/>
      </c>
      <c r="G494" s="187">
        <f>IF($K494="","",INDEX(Zeiterfassung!$G$6:$G$3665,$K494))</f>
        <v/>
      </c>
      <c r="H494" s="188">
        <f>IF($K494="","",INDEX(Zeiterfassung!$H$6:$H$3665,$K494))</f>
        <v/>
      </c>
      <c r="I494" s="335">
        <f>IF(B494=B493,"",IF($K494="","",INDEX(Zeiterfassung!$I$6:$I$3665,MATCH(INDEX(Zeiterfassung!$K$6:$K$3665,$K494),Zeiterfassung!$K$6:$K$3665,0))))</f>
        <v/>
      </c>
      <c r="J494" s="335">
        <f>IF(B494=B493,"",IF($K494="","",INDEX(Zeiterfassung!$J$6:$J$3665,MATCH(INDEX(Zeiterfassung!$K$6:$K$3665,$K494),Zeiterfassung!$K$6:$K$3665,0))))</f>
        <v/>
      </c>
      <c r="K494">
        <f>IFERROR(AGGREGATE(15,6,(ROW(Zeiterfassung!$D$6:$D$3665)-ROW(Zeiterfassung!$D$6)+1)/(Zeiterfassung!$D$6:$D$3665&lt;&gt;""),489),"")</f>
        <v/>
      </c>
    </row>
    <row r="495" ht="20" customHeight="1">
      <c r="A495" s="183">
        <f>IF($K495="","",WEEKNUM(INDEX(Zeiterfassung!$K$6:$K$3665,$K495),21))</f>
        <v/>
      </c>
      <c r="B495" s="184">
        <f>IF($K495="","",INDEX(Zeiterfassung!$K$6:$K$3665,$K495))</f>
        <v/>
      </c>
      <c r="C495" s="185">
        <f>IF($K495="","",INDEX(Zeiterfassung!$K$6:$K$3665,$K495))</f>
        <v/>
      </c>
      <c r="D495" s="186">
        <f>IF($K495="","",INDEX(Zeiterfassung!$D$6:$D$3665,$K495))</f>
        <v/>
      </c>
      <c r="E495" s="186">
        <f>IF($K495="","",INDEX(Zeiterfassung!$E$6:$E$3665,$K495))</f>
        <v/>
      </c>
      <c r="F495" s="187">
        <f>IF($K495="","",INDEX(Zeiterfassung!$F$6:$F$3665,$K495))</f>
        <v/>
      </c>
      <c r="G495" s="187">
        <f>IF($K495="","",INDEX(Zeiterfassung!$G$6:$G$3665,$K495))</f>
        <v/>
      </c>
      <c r="H495" s="188">
        <f>IF($K495="","",INDEX(Zeiterfassung!$H$6:$H$3665,$K495))</f>
        <v/>
      </c>
      <c r="I495" s="335">
        <f>IF(B495=B494,"",IF($K495="","",INDEX(Zeiterfassung!$I$6:$I$3665,MATCH(INDEX(Zeiterfassung!$K$6:$K$3665,$K495),Zeiterfassung!$K$6:$K$3665,0))))</f>
        <v/>
      </c>
      <c r="J495" s="335">
        <f>IF(B495=B494,"",IF($K495="","",INDEX(Zeiterfassung!$J$6:$J$3665,MATCH(INDEX(Zeiterfassung!$K$6:$K$3665,$K495),Zeiterfassung!$K$6:$K$3665,0))))</f>
        <v/>
      </c>
      <c r="K495">
        <f>IFERROR(AGGREGATE(15,6,(ROW(Zeiterfassung!$D$6:$D$3665)-ROW(Zeiterfassung!$D$6)+1)/(Zeiterfassung!$D$6:$D$3665&lt;&gt;""),490),"")</f>
        <v/>
      </c>
    </row>
    <row r="496" ht="20" customHeight="1">
      <c r="A496" s="183">
        <f>IF($K496="","",WEEKNUM(INDEX(Zeiterfassung!$K$6:$K$3665,$K496),21))</f>
        <v/>
      </c>
      <c r="B496" s="184">
        <f>IF($K496="","",INDEX(Zeiterfassung!$K$6:$K$3665,$K496))</f>
        <v/>
      </c>
      <c r="C496" s="185">
        <f>IF($K496="","",INDEX(Zeiterfassung!$K$6:$K$3665,$K496))</f>
        <v/>
      </c>
      <c r="D496" s="186">
        <f>IF($K496="","",INDEX(Zeiterfassung!$D$6:$D$3665,$K496))</f>
        <v/>
      </c>
      <c r="E496" s="186">
        <f>IF($K496="","",INDEX(Zeiterfassung!$E$6:$E$3665,$K496))</f>
        <v/>
      </c>
      <c r="F496" s="187">
        <f>IF($K496="","",INDEX(Zeiterfassung!$F$6:$F$3665,$K496))</f>
        <v/>
      </c>
      <c r="G496" s="187">
        <f>IF($K496="","",INDEX(Zeiterfassung!$G$6:$G$3665,$K496))</f>
        <v/>
      </c>
      <c r="H496" s="188">
        <f>IF($K496="","",INDEX(Zeiterfassung!$H$6:$H$3665,$K496))</f>
        <v/>
      </c>
      <c r="I496" s="335">
        <f>IF(B496=B495,"",IF($K496="","",INDEX(Zeiterfassung!$I$6:$I$3665,MATCH(INDEX(Zeiterfassung!$K$6:$K$3665,$K496),Zeiterfassung!$K$6:$K$3665,0))))</f>
        <v/>
      </c>
      <c r="J496" s="335">
        <f>IF(B496=B495,"",IF($K496="","",INDEX(Zeiterfassung!$J$6:$J$3665,MATCH(INDEX(Zeiterfassung!$K$6:$K$3665,$K496),Zeiterfassung!$K$6:$K$3665,0))))</f>
        <v/>
      </c>
      <c r="K496">
        <f>IFERROR(AGGREGATE(15,6,(ROW(Zeiterfassung!$D$6:$D$3665)-ROW(Zeiterfassung!$D$6)+1)/(Zeiterfassung!$D$6:$D$3665&lt;&gt;""),491),"")</f>
        <v/>
      </c>
    </row>
    <row r="497" ht="20" customHeight="1">
      <c r="A497" s="183">
        <f>IF($K497="","",WEEKNUM(INDEX(Zeiterfassung!$K$6:$K$3665,$K497),21))</f>
        <v/>
      </c>
      <c r="B497" s="184">
        <f>IF($K497="","",INDEX(Zeiterfassung!$K$6:$K$3665,$K497))</f>
        <v/>
      </c>
      <c r="C497" s="185">
        <f>IF($K497="","",INDEX(Zeiterfassung!$K$6:$K$3665,$K497))</f>
        <v/>
      </c>
      <c r="D497" s="186">
        <f>IF($K497="","",INDEX(Zeiterfassung!$D$6:$D$3665,$K497))</f>
        <v/>
      </c>
      <c r="E497" s="186">
        <f>IF($K497="","",INDEX(Zeiterfassung!$E$6:$E$3665,$K497))</f>
        <v/>
      </c>
      <c r="F497" s="187">
        <f>IF($K497="","",INDEX(Zeiterfassung!$F$6:$F$3665,$K497))</f>
        <v/>
      </c>
      <c r="G497" s="187">
        <f>IF($K497="","",INDEX(Zeiterfassung!$G$6:$G$3665,$K497))</f>
        <v/>
      </c>
      <c r="H497" s="188">
        <f>IF($K497="","",INDEX(Zeiterfassung!$H$6:$H$3665,$K497))</f>
        <v/>
      </c>
      <c r="I497" s="335">
        <f>IF(B497=B496,"",IF($K497="","",INDEX(Zeiterfassung!$I$6:$I$3665,MATCH(INDEX(Zeiterfassung!$K$6:$K$3665,$K497),Zeiterfassung!$K$6:$K$3665,0))))</f>
        <v/>
      </c>
      <c r="J497" s="335">
        <f>IF(B497=B496,"",IF($K497="","",INDEX(Zeiterfassung!$J$6:$J$3665,MATCH(INDEX(Zeiterfassung!$K$6:$K$3665,$K497),Zeiterfassung!$K$6:$K$3665,0))))</f>
        <v/>
      </c>
      <c r="K497">
        <f>IFERROR(AGGREGATE(15,6,(ROW(Zeiterfassung!$D$6:$D$3665)-ROW(Zeiterfassung!$D$6)+1)/(Zeiterfassung!$D$6:$D$3665&lt;&gt;""),492),"")</f>
        <v/>
      </c>
    </row>
    <row r="498" ht="20" customHeight="1">
      <c r="A498" s="183">
        <f>IF($K498="","",WEEKNUM(INDEX(Zeiterfassung!$K$6:$K$3665,$K498),21))</f>
        <v/>
      </c>
      <c r="B498" s="184">
        <f>IF($K498="","",INDEX(Zeiterfassung!$K$6:$K$3665,$K498))</f>
        <v/>
      </c>
      <c r="C498" s="185">
        <f>IF($K498="","",INDEX(Zeiterfassung!$K$6:$K$3665,$K498))</f>
        <v/>
      </c>
      <c r="D498" s="186">
        <f>IF($K498="","",INDEX(Zeiterfassung!$D$6:$D$3665,$K498))</f>
        <v/>
      </c>
      <c r="E498" s="186">
        <f>IF($K498="","",INDEX(Zeiterfassung!$E$6:$E$3665,$K498))</f>
        <v/>
      </c>
      <c r="F498" s="187">
        <f>IF($K498="","",INDEX(Zeiterfassung!$F$6:$F$3665,$K498))</f>
        <v/>
      </c>
      <c r="G498" s="187">
        <f>IF($K498="","",INDEX(Zeiterfassung!$G$6:$G$3665,$K498))</f>
        <v/>
      </c>
      <c r="H498" s="188">
        <f>IF($K498="","",INDEX(Zeiterfassung!$H$6:$H$3665,$K498))</f>
        <v/>
      </c>
      <c r="I498" s="335">
        <f>IF(B498=B497,"",IF($K498="","",INDEX(Zeiterfassung!$I$6:$I$3665,MATCH(INDEX(Zeiterfassung!$K$6:$K$3665,$K498),Zeiterfassung!$K$6:$K$3665,0))))</f>
        <v/>
      </c>
      <c r="J498" s="335">
        <f>IF(B498=B497,"",IF($K498="","",INDEX(Zeiterfassung!$J$6:$J$3665,MATCH(INDEX(Zeiterfassung!$K$6:$K$3665,$K498),Zeiterfassung!$K$6:$K$3665,0))))</f>
        <v/>
      </c>
      <c r="K498">
        <f>IFERROR(AGGREGATE(15,6,(ROW(Zeiterfassung!$D$6:$D$3665)-ROW(Zeiterfassung!$D$6)+1)/(Zeiterfassung!$D$6:$D$3665&lt;&gt;""),493),"")</f>
        <v/>
      </c>
    </row>
    <row r="499" ht="20" customHeight="1">
      <c r="A499" s="183">
        <f>IF($K499="","",WEEKNUM(INDEX(Zeiterfassung!$K$6:$K$3665,$K499),21))</f>
        <v/>
      </c>
      <c r="B499" s="184">
        <f>IF($K499="","",INDEX(Zeiterfassung!$K$6:$K$3665,$K499))</f>
        <v/>
      </c>
      <c r="C499" s="185">
        <f>IF($K499="","",INDEX(Zeiterfassung!$K$6:$K$3665,$K499))</f>
        <v/>
      </c>
      <c r="D499" s="186">
        <f>IF($K499="","",INDEX(Zeiterfassung!$D$6:$D$3665,$K499))</f>
        <v/>
      </c>
      <c r="E499" s="186">
        <f>IF($K499="","",INDEX(Zeiterfassung!$E$6:$E$3665,$K499))</f>
        <v/>
      </c>
      <c r="F499" s="187">
        <f>IF($K499="","",INDEX(Zeiterfassung!$F$6:$F$3665,$K499))</f>
        <v/>
      </c>
      <c r="G499" s="187">
        <f>IF($K499="","",INDEX(Zeiterfassung!$G$6:$G$3665,$K499))</f>
        <v/>
      </c>
      <c r="H499" s="188">
        <f>IF($K499="","",INDEX(Zeiterfassung!$H$6:$H$3665,$K499))</f>
        <v/>
      </c>
      <c r="I499" s="335">
        <f>IF(B499=B498,"",IF($K499="","",INDEX(Zeiterfassung!$I$6:$I$3665,MATCH(INDEX(Zeiterfassung!$K$6:$K$3665,$K499),Zeiterfassung!$K$6:$K$3665,0))))</f>
        <v/>
      </c>
      <c r="J499" s="335">
        <f>IF(B499=B498,"",IF($K499="","",INDEX(Zeiterfassung!$J$6:$J$3665,MATCH(INDEX(Zeiterfassung!$K$6:$K$3665,$K499),Zeiterfassung!$K$6:$K$3665,0))))</f>
        <v/>
      </c>
      <c r="K499">
        <f>IFERROR(AGGREGATE(15,6,(ROW(Zeiterfassung!$D$6:$D$3665)-ROW(Zeiterfassung!$D$6)+1)/(Zeiterfassung!$D$6:$D$3665&lt;&gt;""),494),"")</f>
        <v/>
      </c>
    </row>
    <row r="500" ht="20" customHeight="1">
      <c r="A500" s="183">
        <f>IF($K500="","",WEEKNUM(INDEX(Zeiterfassung!$K$6:$K$3665,$K500),21))</f>
        <v/>
      </c>
      <c r="B500" s="184">
        <f>IF($K500="","",INDEX(Zeiterfassung!$K$6:$K$3665,$K500))</f>
        <v/>
      </c>
      <c r="C500" s="185">
        <f>IF($K500="","",INDEX(Zeiterfassung!$K$6:$K$3665,$K500))</f>
        <v/>
      </c>
      <c r="D500" s="186">
        <f>IF($K500="","",INDEX(Zeiterfassung!$D$6:$D$3665,$K500))</f>
        <v/>
      </c>
      <c r="E500" s="186">
        <f>IF($K500="","",INDEX(Zeiterfassung!$E$6:$E$3665,$K500))</f>
        <v/>
      </c>
      <c r="F500" s="187">
        <f>IF($K500="","",INDEX(Zeiterfassung!$F$6:$F$3665,$K500))</f>
        <v/>
      </c>
      <c r="G500" s="187">
        <f>IF($K500="","",INDEX(Zeiterfassung!$G$6:$G$3665,$K500))</f>
        <v/>
      </c>
      <c r="H500" s="188">
        <f>IF($K500="","",INDEX(Zeiterfassung!$H$6:$H$3665,$K500))</f>
        <v/>
      </c>
      <c r="I500" s="335">
        <f>IF(B500=B499,"",IF($K500="","",INDEX(Zeiterfassung!$I$6:$I$3665,MATCH(INDEX(Zeiterfassung!$K$6:$K$3665,$K500),Zeiterfassung!$K$6:$K$3665,0))))</f>
        <v/>
      </c>
      <c r="J500" s="335">
        <f>IF(B500=B499,"",IF($K500="","",INDEX(Zeiterfassung!$J$6:$J$3665,MATCH(INDEX(Zeiterfassung!$K$6:$K$3665,$K500),Zeiterfassung!$K$6:$K$3665,0))))</f>
        <v/>
      </c>
      <c r="K500">
        <f>IFERROR(AGGREGATE(15,6,(ROW(Zeiterfassung!$D$6:$D$3665)-ROW(Zeiterfassung!$D$6)+1)/(Zeiterfassung!$D$6:$D$3665&lt;&gt;""),495),"")</f>
        <v/>
      </c>
    </row>
    <row r="501" ht="20" customHeight="1">
      <c r="A501" s="183">
        <f>IF($K501="","",WEEKNUM(INDEX(Zeiterfassung!$K$6:$K$3665,$K501),21))</f>
        <v/>
      </c>
      <c r="B501" s="184">
        <f>IF($K501="","",INDEX(Zeiterfassung!$K$6:$K$3665,$K501))</f>
        <v/>
      </c>
      <c r="C501" s="185">
        <f>IF($K501="","",INDEX(Zeiterfassung!$K$6:$K$3665,$K501))</f>
        <v/>
      </c>
      <c r="D501" s="186">
        <f>IF($K501="","",INDEX(Zeiterfassung!$D$6:$D$3665,$K501))</f>
        <v/>
      </c>
      <c r="E501" s="186">
        <f>IF($K501="","",INDEX(Zeiterfassung!$E$6:$E$3665,$K501))</f>
        <v/>
      </c>
      <c r="F501" s="187">
        <f>IF($K501="","",INDEX(Zeiterfassung!$F$6:$F$3665,$K501))</f>
        <v/>
      </c>
      <c r="G501" s="187">
        <f>IF($K501="","",INDEX(Zeiterfassung!$G$6:$G$3665,$K501))</f>
        <v/>
      </c>
      <c r="H501" s="188">
        <f>IF($K501="","",INDEX(Zeiterfassung!$H$6:$H$3665,$K501))</f>
        <v/>
      </c>
      <c r="I501" s="335">
        <f>IF(B501=B500,"",IF($K501="","",INDEX(Zeiterfassung!$I$6:$I$3665,MATCH(INDEX(Zeiterfassung!$K$6:$K$3665,$K501),Zeiterfassung!$K$6:$K$3665,0))))</f>
        <v/>
      </c>
      <c r="J501" s="335">
        <f>IF(B501=B500,"",IF($K501="","",INDEX(Zeiterfassung!$J$6:$J$3665,MATCH(INDEX(Zeiterfassung!$K$6:$K$3665,$K501),Zeiterfassung!$K$6:$K$3665,0))))</f>
        <v/>
      </c>
      <c r="K501">
        <f>IFERROR(AGGREGATE(15,6,(ROW(Zeiterfassung!$D$6:$D$3665)-ROW(Zeiterfassung!$D$6)+1)/(Zeiterfassung!$D$6:$D$3665&lt;&gt;""),496),"")</f>
        <v/>
      </c>
    </row>
    <row r="502" ht="20" customHeight="1">
      <c r="A502" s="183">
        <f>IF($K502="","",WEEKNUM(INDEX(Zeiterfassung!$K$6:$K$3665,$K502),21))</f>
        <v/>
      </c>
      <c r="B502" s="184">
        <f>IF($K502="","",INDEX(Zeiterfassung!$K$6:$K$3665,$K502))</f>
        <v/>
      </c>
      <c r="C502" s="185">
        <f>IF($K502="","",INDEX(Zeiterfassung!$K$6:$K$3665,$K502))</f>
        <v/>
      </c>
      <c r="D502" s="186">
        <f>IF($K502="","",INDEX(Zeiterfassung!$D$6:$D$3665,$K502))</f>
        <v/>
      </c>
      <c r="E502" s="186">
        <f>IF($K502="","",INDEX(Zeiterfassung!$E$6:$E$3665,$K502))</f>
        <v/>
      </c>
      <c r="F502" s="187">
        <f>IF($K502="","",INDEX(Zeiterfassung!$F$6:$F$3665,$K502))</f>
        <v/>
      </c>
      <c r="G502" s="187">
        <f>IF($K502="","",INDEX(Zeiterfassung!$G$6:$G$3665,$K502))</f>
        <v/>
      </c>
      <c r="H502" s="188">
        <f>IF($K502="","",INDEX(Zeiterfassung!$H$6:$H$3665,$K502))</f>
        <v/>
      </c>
      <c r="I502" s="335">
        <f>IF(B502=B501,"",IF($K502="","",INDEX(Zeiterfassung!$I$6:$I$3665,MATCH(INDEX(Zeiterfassung!$K$6:$K$3665,$K502),Zeiterfassung!$K$6:$K$3665,0))))</f>
        <v/>
      </c>
      <c r="J502" s="335">
        <f>IF(B502=B501,"",IF($K502="","",INDEX(Zeiterfassung!$J$6:$J$3665,MATCH(INDEX(Zeiterfassung!$K$6:$K$3665,$K502),Zeiterfassung!$K$6:$K$3665,0))))</f>
        <v/>
      </c>
      <c r="K502">
        <f>IFERROR(AGGREGATE(15,6,(ROW(Zeiterfassung!$D$6:$D$3665)-ROW(Zeiterfassung!$D$6)+1)/(Zeiterfassung!$D$6:$D$3665&lt;&gt;""),497),"")</f>
        <v/>
      </c>
    </row>
    <row r="503" ht="20" customHeight="1">
      <c r="A503" s="183">
        <f>IF($K503="","",WEEKNUM(INDEX(Zeiterfassung!$K$6:$K$3665,$K503),21))</f>
        <v/>
      </c>
      <c r="B503" s="184">
        <f>IF($K503="","",INDEX(Zeiterfassung!$K$6:$K$3665,$K503))</f>
        <v/>
      </c>
      <c r="C503" s="185">
        <f>IF($K503="","",INDEX(Zeiterfassung!$K$6:$K$3665,$K503))</f>
        <v/>
      </c>
      <c r="D503" s="186">
        <f>IF($K503="","",INDEX(Zeiterfassung!$D$6:$D$3665,$K503))</f>
        <v/>
      </c>
      <c r="E503" s="186">
        <f>IF($K503="","",INDEX(Zeiterfassung!$E$6:$E$3665,$K503))</f>
        <v/>
      </c>
      <c r="F503" s="187">
        <f>IF($K503="","",INDEX(Zeiterfassung!$F$6:$F$3665,$K503))</f>
        <v/>
      </c>
      <c r="G503" s="187">
        <f>IF($K503="","",INDEX(Zeiterfassung!$G$6:$G$3665,$K503))</f>
        <v/>
      </c>
      <c r="H503" s="188">
        <f>IF($K503="","",INDEX(Zeiterfassung!$H$6:$H$3665,$K503))</f>
        <v/>
      </c>
      <c r="I503" s="335">
        <f>IF(B503=B502,"",IF($K503="","",INDEX(Zeiterfassung!$I$6:$I$3665,MATCH(INDEX(Zeiterfassung!$K$6:$K$3665,$K503),Zeiterfassung!$K$6:$K$3665,0))))</f>
        <v/>
      </c>
      <c r="J503" s="335">
        <f>IF(B503=B502,"",IF($K503="","",INDEX(Zeiterfassung!$J$6:$J$3665,MATCH(INDEX(Zeiterfassung!$K$6:$K$3665,$K503),Zeiterfassung!$K$6:$K$3665,0))))</f>
        <v/>
      </c>
      <c r="K503">
        <f>IFERROR(AGGREGATE(15,6,(ROW(Zeiterfassung!$D$6:$D$3665)-ROW(Zeiterfassung!$D$6)+1)/(Zeiterfassung!$D$6:$D$3665&lt;&gt;""),498),"")</f>
        <v/>
      </c>
    </row>
    <row r="504" ht="20" customHeight="1">
      <c r="A504" s="183">
        <f>IF($K504="","",WEEKNUM(INDEX(Zeiterfassung!$K$6:$K$3665,$K504),21))</f>
        <v/>
      </c>
      <c r="B504" s="184">
        <f>IF($K504="","",INDEX(Zeiterfassung!$K$6:$K$3665,$K504))</f>
        <v/>
      </c>
      <c r="C504" s="185">
        <f>IF($K504="","",INDEX(Zeiterfassung!$K$6:$K$3665,$K504))</f>
        <v/>
      </c>
      <c r="D504" s="186">
        <f>IF($K504="","",INDEX(Zeiterfassung!$D$6:$D$3665,$K504))</f>
        <v/>
      </c>
      <c r="E504" s="186">
        <f>IF($K504="","",INDEX(Zeiterfassung!$E$6:$E$3665,$K504))</f>
        <v/>
      </c>
      <c r="F504" s="187">
        <f>IF($K504="","",INDEX(Zeiterfassung!$F$6:$F$3665,$K504))</f>
        <v/>
      </c>
      <c r="G504" s="187">
        <f>IF($K504="","",INDEX(Zeiterfassung!$G$6:$G$3665,$K504))</f>
        <v/>
      </c>
      <c r="H504" s="188">
        <f>IF($K504="","",INDEX(Zeiterfassung!$H$6:$H$3665,$K504))</f>
        <v/>
      </c>
      <c r="I504" s="335">
        <f>IF(B504=B503,"",IF($K504="","",INDEX(Zeiterfassung!$I$6:$I$3665,MATCH(INDEX(Zeiterfassung!$K$6:$K$3665,$K504),Zeiterfassung!$K$6:$K$3665,0))))</f>
        <v/>
      </c>
      <c r="J504" s="335">
        <f>IF(B504=B503,"",IF($K504="","",INDEX(Zeiterfassung!$J$6:$J$3665,MATCH(INDEX(Zeiterfassung!$K$6:$K$3665,$K504),Zeiterfassung!$K$6:$K$3665,0))))</f>
        <v/>
      </c>
      <c r="K504">
        <f>IFERROR(AGGREGATE(15,6,(ROW(Zeiterfassung!$D$6:$D$3665)-ROW(Zeiterfassung!$D$6)+1)/(Zeiterfassung!$D$6:$D$3665&lt;&gt;""),499),"")</f>
        <v/>
      </c>
    </row>
    <row r="505" ht="20" customHeight="1">
      <c r="A505" s="183">
        <f>IF($K505="","",WEEKNUM(INDEX(Zeiterfassung!$K$6:$K$3665,$K505),21))</f>
        <v/>
      </c>
      <c r="B505" s="184">
        <f>IF($K505="","",INDEX(Zeiterfassung!$K$6:$K$3665,$K505))</f>
        <v/>
      </c>
      <c r="C505" s="185">
        <f>IF($K505="","",INDEX(Zeiterfassung!$K$6:$K$3665,$K505))</f>
        <v/>
      </c>
      <c r="D505" s="186">
        <f>IF($K505="","",INDEX(Zeiterfassung!$D$6:$D$3665,$K505))</f>
        <v/>
      </c>
      <c r="E505" s="186">
        <f>IF($K505="","",INDEX(Zeiterfassung!$E$6:$E$3665,$K505))</f>
        <v/>
      </c>
      <c r="F505" s="187">
        <f>IF($K505="","",INDEX(Zeiterfassung!$F$6:$F$3665,$K505))</f>
        <v/>
      </c>
      <c r="G505" s="187">
        <f>IF($K505="","",INDEX(Zeiterfassung!$G$6:$G$3665,$K505))</f>
        <v/>
      </c>
      <c r="H505" s="188">
        <f>IF($K505="","",INDEX(Zeiterfassung!$H$6:$H$3665,$K505))</f>
        <v/>
      </c>
      <c r="I505" s="335">
        <f>IF(B505=B504,"",IF($K505="","",INDEX(Zeiterfassung!$I$6:$I$3665,MATCH(INDEX(Zeiterfassung!$K$6:$K$3665,$K505),Zeiterfassung!$K$6:$K$3665,0))))</f>
        <v/>
      </c>
      <c r="J505" s="335">
        <f>IF(B505=B504,"",IF($K505="","",INDEX(Zeiterfassung!$J$6:$J$3665,MATCH(INDEX(Zeiterfassung!$K$6:$K$3665,$K505),Zeiterfassung!$K$6:$K$3665,0))))</f>
        <v/>
      </c>
      <c r="K505">
        <f>IFERROR(AGGREGATE(15,6,(ROW(Zeiterfassung!$D$6:$D$3665)-ROW(Zeiterfassung!$D$6)+1)/(Zeiterfassung!$D$6:$D$3665&lt;&gt;""),500),"")</f>
        <v/>
      </c>
    </row>
    <row r="506" ht="20" customHeight="1">
      <c r="A506" s="183">
        <f>IF($K506="","",WEEKNUM(INDEX(Zeiterfassung!$K$6:$K$3665,$K506),21))</f>
        <v/>
      </c>
      <c r="B506" s="184">
        <f>IF($K506="","",INDEX(Zeiterfassung!$K$6:$K$3665,$K506))</f>
        <v/>
      </c>
      <c r="C506" s="185">
        <f>IF($K506="","",INDEX(Zeiterfassung!$K$6:$K$3665,$K506))</f>
        <v/>
      </c>
      <c r="D506" s="186">
        <f>IF($K506="","",INDEX(Zeiterfassung!$D$6:$D$3665,$K506))</f>
        <v/>
      </c>
      <c r="E506" s="186">
        <f>IF($K506="","",INDEX(Zeiterfassung!$E$6:$E$3665,$K506))</f>
        <v/>
      </c>
      <c r="F506" s="187">
        <f>IF($K506="","",INDEX(Zeiterfassung!$F$6:$F$3665,$K506))</f>
        <v/>
      </c>
      <c r="G506" s="187">
        <f>IF($K506="","",INDEX(Zeiterfassung!$G$6:$G$3665,$K506))</f>
        <v/>
      </c>
      <c r="H506" s="188">
        <f>IF($K506="","",INDEX(Zeiterfassung!$H$6:$H$3665,$K506))</f>
        <v/>
      </c>
      <c r="I506" s="335">
        <f>IF(B506=B505,"",IF($K506="","",INDEX(Zeiterfassung!$I$6:$I$3665,MATCH(INDEX(Zeiterfassung!$K$6:$K$3665,$K506),Zeiterfassung!$K$6:$K$3665,0))))</f>
        <v/>
      </c>
      <c r="J506" s="335">
        <f>IF(B506=B505,"",IF($K506="","",INDEX(Zeiterfassung!$J$6:$J$3665,MATCH(INDEX(Zeiterfassung!$K$6:$K$3665,$K506),Zeiterfassung!$K$6:$K$3665,0))))</f>
        <v/>
      </c>
      <c r="K506">
        <f>IFERROR(AGGREGATE(15,6,(ROW(Zeiterfassung!$D$6:$D$3665)-ROW(Zeiterfassung!$D$6)+1)/(Zeiterfassung!$D$6:$D$3665&lt;&gt;""),501),"")</f>
        <v/>
      </c>
    </row>
    <row r="507" ht="20" customHeight="1">
      <c r="A507" s="183">
        <f>IF($K507="","",WEEKNUM(INDEX(Zeiterfassung!$K$6:$K$3665,$K507),21))</f>
        <v/>
      </c>
      <c r="B507" s="184">
        <f>IF($K507="","",INDEX(Zeiterfassung!$K$6:$K$3665,$K507))</f>
        <v/>
      </c>
      <c r="C507" s="185">
        <f>IF($K507="","",INDEX(Zeiterfassung!$K$6:$K$3665,$K507))</f>
        <v/>
      </c>
      <c r="D507" s="186">
        <f>IF($K507="","",INDEX(Zeiterfassung!$D$6:$D$3665,$K507))</f>
        <v/>
      </c>
      <c r="E507" s="186">
        <f>IF($K507="","",INDEX(Zeiterfassung!$E$6:$E$3665,$K507))</f>
        <v/>
      </c>
      <c r="F507" s="187">
        <f>IF($K507="","",INDEX(Zeiterfassung!$F$6:$F$3665,$K507))</f>
        <v/>
      </c>
      <c r="G507" s="187">
        <f>IF($K507="","",INDEX(Zeiterfassung!$G$6:$G$3665,$K507))</f>
        <v/>
      </c>
      <c r="H507" s="188">
        <f>IF($K507="","",INDEX(Zeiterfassung!$H$6:$H$3665,$K507))</f>
        <v/>
      </c>
      <c r="I507" s="335">
        <f>IF(B507=B506,"",IF($K507="","",INDEX(Zeiterfassung!$I$6:$I$3665,MATCH(INDEX(Zeiterfassung!$K$6:$K$3665,$K507),Zeiterfassung!$K$6:$K$3665,0))))</f>
        <v/>
      </c>
      <c r="J507" s="335">
        <f>IF(B507=B506,"",IF($K507="","",INDEX(Zeiterfassung!$J$6:$J$3665,MATCH(INDEX(Zeiterfassung!$K$6:$K$3665,$K507),Zeiterfassung!$K$6:$K$3665,0))))</f>
        <v/>
      </c>
      <c r="K507">
        <f>IFERROR(AGGREGATE(15,6,(ROW(Zeiterfassung!$D$6:$D$3665)-ROW(Zeiterfassung!$D$6)+1)/(Zeiterfassung!$D$6:$D$3665&lt;&gt;""),502),"")</f>
        <v/>
      </c>
    </row>
    <row r="508" ht="20" customHeight="1">
      <c r="A508" s="183">
        <f>IF($K508="","",WEEKNUM(INDEX(Zeiterfassung!$K$6:$K$3665,$K508),21))</f>
        <v/>
      </c>
      <c r="B508" s="184">
        <f>IF($K508="","",INDEX(Zeiterfassung!$K$6:$K$3665,$K508))</f>
        <v/>
      </c>
      <c r="C508" s="185">
        <f>IF($K508="","",INDEX(Zeiterfassung!$K$6:$K$3665,$K508))</f>
        <v/>
      </c>
      <c r="D508" s="186">
        <f>IF($K508="","",INDEX(Zeiterfassung!$D$6:$D$3665,$K508))</f>
        <v/>
      </c>
      <c r="E508" s="186">
        <f>IF($K508="","",INDEX(Zeiterfassung!$E$6:$E$3665,$K508))</f>
        <v/>
      </c>
      <c r="F508" s="187">
        <f>IF($K508="","",INDEX(Zeiterfassung!$F$6:$F$3665,$K508))</f>
        <v/>
      </c>
      <c r="G508" s="187">
        <f>IF($K508="","",INDEX(Zeiterfassung!$G$6:$G$3665,$K508))</f>
        <v/>
      </c>
      <c r="H508" s="188">
        <f>IF($K508="","",INDEX(Zeiterfassung!$H$6:$H$3665,$K508))</f>
        <v/>
      </c>
      <c r="I508" s="335">
        <f>IF(B508=B507,"",IF($K508="","",INDEX(Zeiterfassung!$I$6:$I$3665,MATCH(INDEX(Zeiterfassung!$K$6:$K$3665,$K508),Zeiterfassung!$K$6:$K$3665,0))))</f>
        <v/>
      </c>
      <c r="J508" s="335">
        <f>IF(B508=B507,"",IF($K508="","",INDEX(Zeiterfassung!$J$6:$J$3665,MATCH(INDEX(Zeiterfassung!$K$6:$K$3665,$K508),Zeiterfassung!$K$6:$K$3665,0))))</f>
        <v/>
      </c>
      <c r="K508">
        <f>IFERROR(AGGREGATE(15,6,(ROW(Zeiterfassung!$D$6:$D$3665)-ROW(Zeiterfassung!$D$6)+1)/(Zeiterfassung!$D$6:$D$3665&lt;&gt;""),503),"")</f>
        <v/>
      </c>
    </row>
    <row r="509" ht="20" customHeight="1">
      <c r="A509" s="183">
        <f>IF($K509="","",WEEKNUM(INDEX(Zeiterfassung!$K$6:$K$3665,$K509),21))</f>
        <v/>
      </c>
      <c r="B509" s="184">
        <f>IF($K509="","",INDEX(Zeiterfassung!$K$6:$K$3665,$K509))</f>
        <v/>
      </c>
      <c r="C509" s="185">
        <f>IF($K509="","",INDEX(Zeiterfassung!$K$6:$K$3665,$K509))</f>
        <v/>
      </c>
      <c r="D509" s="186">
        <f>IF($K509="","",INDEX(Zeiterfassung!$D$6:$D$3665,$K509))</f>
        <v/>
      </c>
      <c r="E509" s="186">
        <f>IF($K509="","",INDEX(Zeiterfassung!$E$6:$E$3665,$K509))</f>
        <v/>
      </c>
      <c r="F509" s="187">
        <f>IF($K509="","",INDEX(Zeiterfassung!$F$6:$F$3665,$K509))</f>
        <v/>
      </c>
      <c r="G509" s="187">
        <f>IF($K509="","",INDEX(Zeiterfassung!$G$6:$G$3665,$K509))</f>
        <v/>
      </c>
      <c r="H509" s="188">
        <f>IF($K509="","",INDEX(Zeiterfassung!$H$6:$H$3665,$K509))</f>
        <v/>
      </c>
      <c r="I509" s="335">
        <f>IF(B509=B508,"",IF($K509="","",INDEX(Zeiterfassung!$I$6:$I$3665,MATCH(INDEX(Zeiterfassung!$K$6:$K$3665,$K509),Zeiterfassung!$K$6:$K$3665,0))))</f>
        <v/>
      </c>
      <c r="J509" s="335">
        <f>IF(B509=B508,"",IF($K509="","",INDEX(Zeiterfassung!$J$6:$J$3665,MATCH(INDEX(Zeiterfassung!$K$6:$K$3665,$K509),Zeiterfassung!$K$6:$K$3665,0))))</f>
        <v/>
      </c>
      <c r="K509">
        <f>IFERROR(AGGREGATE(15,6,(ROW(Zeiterfassung!$D$6:$D$3665)-ROW(Zeiterfassung!$D$6)+1)/(Zeiterfassung!$D$6:$D$3665&lt;&gt;""),504),"")</f>
        <v/>
      </c>
    </row>
    <row r="510" ht="20" customHeight="1">
      <c r="A510" s="183">
        <f>IF($K510="","",WEEKNUM(INDEX(Zeiterfassung!$K$6:$K$3665,$K510),21))</f>
        <v/>
      </c>
      <c r="B510" s="184">
        <f>IF($K510="","",INDEX(Zeiterfassung!$K$6:$K$3665,$K510))</f>
        <v/>
      </c>
      <c r="C510" s="185">
        <f>IF($K510="","",INDEX(Zeiterfassung!$K$6:$K$3665,$K510))</f>
        <v/>
      </c>
      <c r="D510" s="186">
        <f>IF($K510="","",INDEX(Zeiterfassung!$D$6:$D$3665,$K510))</f>
        <v/>
      </c>
      <c r="E510" s="186">
        <f>IF($K510="","",INDEX(Zeiterfassung!$E$6:$E$3665,$K510))</f>
        <v/>
      </c>
      <c r="F510" s="187">
        <f>IF($K510="","",INDEX(Zeiterfassung!$F$6:$F$3665,$K510))</f>
        <v/>
      </c>
      <c r="G510" s="187">
        <f>IF($K510="","",INDEX(Zeiterfassung!$G$6:$G$3665,$K510))</f>
        <v/>
      </c>
      <c r="H510" s="188">
        <f>IF($K510="","",INDEX(Zeiterfassung!$H$6:$H$3665,$K510))</f>
        <v/>
      </c>
      <c r="I510" s="335">
        <f>IF(B510=B509,"",IF($K510="","",INDEX(Zeiterfassung!$I$6:$I$3665,MATCH(INDEX(Zeiterfassung!$K$6:$K$3665,$K510),Zeiterfassung!$K$6:$K$3665,0))))</f>
        <v/>
      </c>
      <c r="J510" s="335">
        <f>IF(B510=B509,"",IF($K510="","",INDEX(Zeiterfassung!$J$6:$J$3665,MATCH(INDEX(Zeiterfassung!$K$6:$K$3665,$K510),Zeiterfassung!$K$6:$K$3665,0))))</f>
        <v/>
      </c>
      <c r="K510">
        <f>IFERROR(AGGREGATE(15,6,(ROW(Zeiterfassung!$D$6:$D$3665)-ROW(Zeiterfassung!$D$6)+1)/(Zeiterfassung!$D$6:$D$3665&lt;&gt;""),505),"")</f>
        <v/>
      </c>
    </row>
    <row r="511" ht="20" customHeight="1">
      <c r="A511" s="183">
        <f>IF($K511="","",WEEKNUM(INDEX(Zeiterfassung!$K$6:$K$3665,$K511),21))</f>
        <v/>
      </c>
      <c r="B511" s="184">
        <f>IF($K511="","",INDEX(Zeiterfassung!$K$6:$K$3665,$K511))</f>
        <v/>
      </c>
      <c r="C511" s="185">
        <f>IF($K511="","",INDEX(Zeiterfassung!$K$6:$K$3665,$K511))</f>
        <v/>
      </c>
      <c r="D511" s="186">
        <f>IF($K511="","",INDEX(Zeiterfassung!$D$6:$D$3665,$K511))</f>
        <v/>
      </c>
      <c r="E511" s="186">
        <f>IF($K511="","",INDEX(Zeiterfassung!$E$6:$E$3665,$K511))</f>
        <v/>
      </c>
      <c r="F511" s="187">
        <f>IF($K511="","",INDEX(Zeiterfassung!$F$6:$F$3665,$K511))</f>
        <v/>
      </c>
      <c r="G511" s="187">
        <f>IF($K511="","",INDEX(Zeiterfassung!$G$6:$G$3665,$K511))</f>
        <v/>
      </c>
      <c r="H511" s="188">
        <f>IF($K511="","",INDEX(Zeiterfassung!$H$6:$H$3665,$K511))</f>
        <v/>
      </c>
      <c r="I511" s="335">
        <f>IF(B511=B510,"",IF($K511="","",INDEX(Zeiterfassung!$I$6:$I$3665,MATCH(INDEX(Zeiterfassung!$K$6:$K$3665,$K511),Zeiterfassung!$K$6:$K$3665,0))))</f>
        <v/>
      </c>
      <c r="J511" s="335">
        <f>IF(B511=B510,"",IF($K511="","",INDEX(Zeiterfassung!$J$6:$J$3665,MATCH(INDEX(Zeiterfassung!$K$6:$K$3665,$K511),Zeiterfassung!$K$6:$K$3665,0))))</f>
        <v/>
      </c>
      <c r="K511">
        <f>IFERROR(AGGREGATE(15,6,(ROW(Zeiterfassung!$D$6:$D$3665)-ROW(Zeiterfassung!$D$6)+1)/(Zeiterfassung!$D$6:$D$3665&lt;&gt;""),506),"")</f>
        <v/>
      </c>
    </row>
    <row r="512" ht="20" customHeight="1">
      <c r="A512" s="183">
        <f>IF($K512="","",WEEKNUM(INDEX(Zeiterfassung!$K$6:$K$3665,$K512),21))</f>
        <v/>
      </c>
      <c r="B512" s="184">
        <f>IF($K512="","",INDEX(Zeiterfassung!$K$6:$K$3665,$K512))</f>
        <v/>
      </c>
      <c r="C512" s="185">
        <f>IF($K512="","",INDEX(Zeiterfassung!$K$6:$K$3665,$K512))</f>
        <v/>
      </c>
      <c r="D512" s="186">
        <f>IF($K512="","",INDEX(Zeiterfassung!$D$6:$D$3665,$K512))</f>
        <v/>
      </c>
      <c r="E512" s="186">
        <f>IF($K512="","",INDEX(Zeiterfassung!$E$6:$E$3665,$K512))</f>
        <v/>
      </c>
      <c r="F512" s="187">
        <f>IF($K512="","",INDEX(Zeiterfassung!$F$6:$F$3665,$K512))</f>
        <v/>
      </c>
      <c r="G512" s="187">
        <f>IF($K512="","",INDEX(Zeiterfassung!$G$6:$G$3665,$K512))</f>
        <v/>
      </c>
      <c r="H512" s="188">
        <f>IF($K512="","",INDEX(Zeiterfassung!$H$6:$H$3665,$K512))</f>
        <v/>
      </c>
      <c r="I512" s="335">
        <f>IF(B512=B511,"",IF($K512="","",INDEX(Zeiterfassung!$I$6:$I$3665,MATCH(INDEX(Zeiterfassung!$K$6:$K$3665,$K512),Zeiterfassung!$K$6:$K$3665,0))))</f>
        <v/>
      </c>
      <c r="J512" s="335">
        <f>IF(B512=B511,"",IF($K512="","",INDEX(Zeiterfassung!$J$6:$J$3665,MATCH(INDEX(Zeiterfassung!$K$6:$K$3665,$K512),Zeiterfassung!$K$6:$K$3665,0))))</f>
        <v/>
      </c>
      <c r="K512">
        <f>IFERROR(AGGREGATE(15,6,(ROW(Zeiterfassung!$D$6:$D$3665)-ROW(Zeiterfassung!$D$6)+1)/(Zeiterfassung!$D$6:$D$3665&lt;&gt;""),507),"")</f>
        <v/>
      </c>
    </row>
    <row r="513" ht="20" customHeight="1">
      <c r="A513" s="183">
        <f>IF($K513="","",WEEKNUM(INDEX(Zeiterfassung!$K$6:$K$3665,$K513),21))</f>
        <v/>
      </c>
      <c r="B513" s="184">
        <f>IF($K513="","",INDEX(Zeiterfassung!$K$6:$K$3665,$K513))</f>
        <v/>
      </c>
      <c r="C513" s="185">
        <f>IF($K513="","",INDEX(Zeiterfassung!$K$6:$K$3665,$K513))</f>
        <v/>
      </c>
      <c r="D513" s="186">
        <f>IF($K513="","",INDEX(Zeiterfassung!$D$6:$D$3665,$K513))</f>
        <v/>
      </c>
      <c r="E513" s="186">
        <f>IF($K513="","",INDEX(Zeiterfassung!$E$6:$E$3665,$K513))</f>
        <v/>
      </c>
      <c r="F513" s="187">
        <f>IF($K513="","",INDEX(Zeiterfassung!$F$6:$F$3665,$K513))</f>
        <v/>
      </c>
      <c r="G513" s="187">
        <f>IF($K513="","",INDEX(Zeiterfassung!$G$6:$G$3665,$K513))</f>
        <v/>
      </c>
      <c r="H513" s="188">
        <f>IF($K513="","",INDEX(Zeiterfassung!$H$6:$H$3665,$K513))</f>
        <v/>
      </c>
      <c r="I513" s="335">
        <f>IF(B513=B512,"",IF($K513="","",INDEX(Zeiterfassung!$I$6:$I$3665,MATCH(INDEX(Zeiterfassung!$K$6:$K$3665,$K513),Zeiterfassung!$K$6:$K$3665,0))))</f>
        <v/>
      </c>
      <c r="J513" s="335">
        <f>IF(B513=B512,"",IF($K513="","",INDEX(Zeiterfassung!$J$6:$J$3665,MATCH(INDEX(Zeiterfassung!$K$6:$K$3665,$K513),Zeiterfassung!$K$6:$K$3665,0))))</f>
        <v/>
      </c>
      <c r="K513">
        <f>IFERROR(AGGREGATE(15,6,(ROW(Zeiterfassung!$D$6:$D$3665)-ROW(Zeiterfassung!$D$6)+1)/(Zeiterfassung!$D$6:$D$3665&lt;&gt;""),508),"")</f>
        <v/>
      </c>
    </row>
    <row r="514" ht="20" customHeight="1">
      <c r="A514" s="183">
        <f>IF($K514="","",WEEKNUM(INDEX(Zeiterfassung!$K$6:$K$3665,$K514),21))</f>
        <v/>
      </c>
      <c r="B514" s="184">
        <f>IF($K514="","",INDEX(Zeiterfassung!$K$6:$K$3665,$K514))</f>
        <v/>
      </c>
      <c r="C514" s="185">
        <f>IF($K514="","",INDEX(Zeiterfassung!$K$6:$K$3665,$K514))</f>
        <v/>
      </c>
      <c r="D514" s="186">
        <f>IF($K514="","",INDEX(Zeiterfassung!$D$6:$D$3665,$K514))</f>
        <v/>
      </c>
      <c r="E514" s="186">
        <f>IF($K514="","",INDEX(Zeiterfassung!$E$6:$E$3665,$K514))</f>
        <v/>
      </c>
      <c r="F514" s="187">
        <f>IF($K514="","",INDEX(Zeiterfassung!$F$6:$F$3665,$K514))</f>
        <v/>
      </c>
      <c r="G514" s="187">
        <f>IF($K514="","",INDEX(Zeiterfassung!$G$6:$G$3665,$K514))</f>
        <v/>
      </c>
      <c r="H514" s="188">
        <f>IF($K514="","",INDEX(Zeiterfassung!$H$6:$H$3665,$K514))</f>
        <v/>
      </c>
      <c r="I514" s="335">
        <f>IF(B514=B513,"",IF($K514="","",INDEX(Zeiterfassung!$I$6:$I$3665,MATCH(INDEX(Zeiterfassung!$K$6:$K$3665,$K514),Zeiterfassung!$K$6:$K$3665,0))))</f>
        <v/>
      </c>
      <c r="J514" s="335">
        <f>IF(B514=B513,"",IF($K514="","",INDEX(Zeiterfassung!$J$6:$J$3665,MATCH(INDEX(Zeiterfassung!$K$6:$K$3665,$K514),Zeiterfassung!$K$6:$K$3665,0))))</f>
        <v/>
      </c>
      <c r="K514">
        <f>IFERROR(AGGREGATE(15,6,(ROW(Zeiterfassung!$D$6:$D$3665)-ROW(Zeiterfassung!$D$6)+1)/(Zeiterfassung!$D$6:$D$3665&lt;&gt;""),509),"")</f>
        <v/>
      </c>
    </row>
    <row r="515" ht="20" customHeight="1">
      <c r="A515" s="183">
        <f>IF($K515="","",WEEKNUM(INDEX(Zeiterfassung!$K$6:$K$3665,$K515),21))</f>
        <v/>
      </c>
      <c r="B515" s="184">
        <f>IF($K515="","",INDEX(Zeiterfassung!$K$6:$K$3665,$K515))</f>
        <v/>
      </c>
      <c r="C515" s="185">
        <f>IF($K515="","",INDEX(Zeiterfassung!$K$6:$K$3665,$K515))</f>
        <v/>
      </c>
      <c r="D515" s="186">
        <f>IF($K515="","",INDEX(Zeiterfassung!$D$6:$D$3665,$K515))</f>
        <v/>
      </c>
      <c r="E515" s="186">
        <f>IF($K515="","",INDEX(Zeiterfassung!$E$6:$E$3665,$K515))</f>
        <v/>
      </c>
      <c r="F515" s="187">
        <f>IF($K515="","",INDEX(Zeiterfassung!$F$6:$F$3665,$K515))</f>
        <v/>
      </c>
      <c r="G515" s="187">
        <f>IF($K515="","",INDEX(Zeiterfassung!$G$6:$G$3665,$K515))</f>
        <v/>
      </c>
      <c r="H515" s="188">
        <f>IF($K515="","",INDEX(Zeiterfassung!$H$6:$H$3665,$K515))</f>
        <v/>
      </c>
      <c r="I515" s="335">
        <f>IF(B515=B514,"",IF($K515="","",INDEX(Zeiterfassung!$I$6:$I$3665,MATCH(INDEX(Zeiterfassung!$K$6:$K$3665,$K515),Zeiterfassung!$K$6:$K$3665,0))))</f>
        <v/>
      </c>
      <c r="J515" s="335">
        <f>IF(B515=B514,"",IF($K515="","",INDEX(Zeiterfassung!$J$6:$J$3665,MATCH(INDEX(Zeiterfassung!$K$6:$K$3665,$K515),Zeiterfassung!$K$6:$K$3665,0))))</f>
        <v/>
      </c>
      <c r="K515">
        <f>IFERROR(AGGREGATE(15,6,(ROW(Zeiterfassung!$D$6:$D$3665)-ROW(Zeiterfassung!$D$6)+1)/(Zeiterfassung!$D$6:$D$3665&lt;&gt;""),510),"")</f>
        <v/>
      </c>
    </row>
    <row r="516" ht="20" customHeight="1">
      <c r="A516" s="183">
        <f>IF($K516="","",WEEKNUM(INDEX(Zeiterfassung!$K$6:$K$3665,$K516),21))</f>
        <v/>
      </c>
      <c r="B516" s="184">
        <f>IF($K516="","",INDEX(Zeiterfassung!$K$6:$K$3665,$K516))</f>
        <v/>
      </c>
      <c r="C516" s="185">
        <f>IF($K516="","",INDEX(Zeiterfassung!$K$6:$K$3665,$K516))</f>
        <v/>
      </c>
      <c r="D516" s="186">
        <f>IF($K516="","",INDEX(Zeiterfassung!$D$6:$D$3665,$K516))</f>
        <v/>
      </c>
      <c r="E516" s="186">
        <f>IF($K516="","",INDEX(Zeiterfassung!$E$6:$E$3665,$K516))</f>
        <v/>
      </c>
      <c r="F516" s="187">
        <f>IF($K516="","",INDEX(Zeiterfassung!$F$6:$F$3665,$K516))</f>
        <v/>
      </c>
      <c r="G516" s="187">
        <f>IF($K516="","",INDEX(Zeiterfassung!$G$6:$G$3665,$K516))</f>
        <v/>
      </c>
      <c r="H516" s="188">
        <f>IF($K516="","",INDEX(Zeiterfassung!$H$6:$H$3665,$K516))</f>
        <v/>
      </c>
      <c r="I516" s="335">
        <f>IF(B516=B515,"",IF($K516="","",INDEX(Zeiterfassung!$I$6:$I$3665,MATCH(INDEX(Zeiterfassung!$K$6:$K$3665,$K516),Zeiterfassung!$K$6:$K$3665,0))))</f>
        <v/>
      </c>
      <c r="J516" s="335">
        <f>IF(B516=B515,"",IF($K516="","",INDEX(Zeiterfassung!$J$6:$J$3665,MATCH(INDEX(Zeiterfassung!$K$6:$K$3665,$K516),Zeiterfassung!$K$6:$K$3665,0))))</f>
        <v/>
      </c>
      <c r="K516">
        <f>IFERROR(AGGREGATE(15,6,(ROW(Zeiterfassung!$D$6:$D$3665)-ROW(Zeiterfassung!$D$6)+1)/(Zeiterfassung!$D$6:$D$3665&lt;&gt;""),511),"")</f>
        <v/>
      </c>
    </row>
    <row r="517" ht="20" customHeight="1">
      <c r="A517" s="183">
        <f>IF($K517="","",WEEKNUM(INDEX(Zeiterfassung!$K$6:$K$3665,$K517),21))</f>
        <v/>
      </c>
      <c r="B517" s="184">
        <f>IF($K517="","",INDEX(Zeiterfassung!$K$6:$K$3665,$K517))</f>
        <v/>
      </c>
      <c r="C517" s="185">
        <f>IF($K517="","",INDEX(Zeiterfassung!$K$6:$K$3665,$K517))</f>
        <v/>
      </c>
      <c r="D517" s="186">
        <f>IF($K517="","",INDEX(Zeiterfassung!$D$6:$D$3665,$K517))</f>
        <v/>
      </c>
      <c r="E517" s="186">
        <f>IF($K517="","",INDEX(Zeiterfassung!$E$6:$E$3665,$K517))</f>
        <v/>
      </c>
      <c r="F517" s="187">
        <f>IF($K517="","",INDEX(Zeiterfassung!$F$6:$F$3665,$K517))</f>
        <v/>
      </c>
      <c r="G517" s="187">
        <f>IF($K517="","",INDEX(Zeiterfassung!$G$6:$G$3665,$K517))</f>
        <v/>
      </c>
      <c r="H517" s="188">
        <f>IF($K517="","",INDEX(Zeiterfassung!$H$6:$H$3665,$K517))</f>
        <v/>
      </c>
      <c r="I517" s="335">
        <f>IF(B517=B516,"",IF($K517="","",INDEX(Zeiterfassung!$I$6:$I$3665,MATCH(INDEX(Zeiterfassung!$K$6:$K$3665,$K517),Zeiterfassung!$K$6:$K$3665,0))))</f>
        <v/>
      </c>
      <c r="J517" s="335">
        <f>IF(B517=B516,"",IF($K517="","",INDEX(Zeiterfassung!$J$6:$J$3665,MATCH(INDEX(Zeiterfassung!$K$6:$K$3665,$K517),Zeiterfassung!$K$6:$K$3665,0))))</f>
        <v/>
      </c>
      <c r="K517">
        <f>IFERROR(AGGREGATE(15,6,(ROW(Zeiterfassung!$D$6:$D$3665)-ROW(Zeiterfassung!$D$6)+1)/(Zeiterfassung!$D$6:$D$3665&lt;&gt;""),512),"")</f>
        <v/>
      </c>
    </row>
    <row r="518" ht="20" customHeight="1">
      <c r="A518" s="183">
        <f>IF($K518="","",WEEKNUM(INDEX(Zeiterfassung!$K$6:$K$3665,$K518),21))</f>
        <v/>
      </c>
      <c r="B518" s="184">
        <f>IF($K518="","",INDEX(Zeiterfassung!$K$6:$K$3665,$K518))</f>
        <v/>
      </c>
      <c r="C518" s="185">
        <f>IF($K518="","",INDEX(Zeiterfassung!$K$6:$K$3665,$K518))</f>
        <v/>
      </c>
      <c r="D518" s="186">
        <f>IF($K518="","",INDEX(Zeiterfassung!$D$6:$D$3665,$K518))</f>
        <v/>
      </c>
      <c r="E518" s="186">
        <f>IF($K518="","",INDEX(Zeiterfassung!$E$6:$E$3665,$K518))</f>
        <v/>
      </c>
      <c r="F518" s="187">
        <f>IF($K518="","",INDEX(Zeiterfassung!$F$6:$F$3665,$K518))</f>
        <v/>
      </c>
      <c r="G518" s="187">
        <f>IF($K518="","",INDEX(Zeiterfassung!$G$6:$G$3665,$K518))</f>
        <v/>
      </c>
      <c r="H518" s="188">
        <f>IF($K518="","",INDEX(Zeiterfassung!$H$6:$H$3665,$K518))</f>
        <v/>
      </c>
      <c r="I518" s="335">
        <f>IF(B518=B517,"",IF($K518="","",INDEX(Zeiterfassung!$I$6:$I$3665,MATCH(INDEX(Zeiterfassung!$K$6:$K$3665,$K518),Zeiterfassung!$K$6:$K$3665,0))))</f>
        <v/>
      </c>
      <c r="J518" s="335">
        <f>IF(B518=B517,"",IF($K518="","",INDEX(Zeiterfassung!$J$6:$J$3665,MATCH(INDEX(Zeiterfassung!$K$6:$K$3665,$K518),Zeiterfassung!$K$6:$K$3665,0))))</f>
        <v/>
      </c>
      <c r="K518">
        <f>IFERROR(AGGREGATE(15,6,(ROW(Zeiterfassung!$D$6:$D$3665)-ROW(Zeiterfassung!$D$6)+1)/(Zeiterfassung!$D$6:$D$3665&lt;&gt;""),513),"")</f>
        <v/>
      </c>
    </row>
    <row r="519" ht="20" customHeight="1">
      <c r="A519" s="183">
        <f>IF($K519="","",WEEKNUM(INDEX(Zeiterfassung!$K$6:$K$3665,$K519),21))</f>
        <v/>
      </c>
      <c r="B519" s="184">
        <f>IF($K519="","",INDEX(Zeiterfassung!$K$6:$K$3665,$K519))</f>
        <v/>
      </c>
      <c r="C519" s="185">
        <f>IF($K519="","",INDEX(Zeiterfassung!$K$6:$K$3665,$K519))</f>
        <v/>
      </c>
      <c r="D519" s="186">
        <f>IF($K519="","",INDEX(Zeiterfassung!$D$6:$D$3665,$K519))</f>
        <v/>
      </c>
      <c r="E519" s="186">
        <f>IF($K519="","",INDEX(Zeiterfassung!$E$6:$E$3665,$K519))</f>
        <v/>
      </c>
      <c r="F519" s="187">
        <f>IF($K519="","",INDEX(Zeiterfassung!$F$6:$F$3665,$K519))</f>
        <v/>
      </c>
      <c r="G519" s="187">
        <f>IF($K519="","",INDEX(Zeiterfassung!$G$6:$G$3665,$K519))</f>
        <v/>
      </c>
      <c r="H519" s="188">
        <f>IF($K519="","",INDEX(Zeiterfassung!$H$6:$H$3665,$K519))</f>
        <v/>
      </c>
      <c r="I519" s="335">
        <f>IF(B519=B518,"",IF($K519="","",INDEX(Zeiterfassung!$I$6:$I$3665,MATCH(INDEX(Zeiterfassung!$K$6:$K$3665,$K519),Zeiterfassung!$K$6:$K$3665,0))))</f>
        <v/>
      </c>
      <c r="J519" s="335">
        <f>IF(B519=B518,"",IF($K519="","",INDEX(Zeiterfassung!$J$6:$J$3665,MATCH(INDEX(Zeiterfassung!$K$6:$K$3665,$K519),Zeiterfassung!$K$6:$K$3665,0))))</f>
        <v/>
      </c>
      <c r="K519">
        <f>IFERROR(AGGREGATE(15,6,(ROW(Zeiterfassung!$D$6:$D$3665)-ROW(Zeiterfassung!$D$6)+1)/(Zeiterfassung!$D$6:$D$3665&lt;&gt;""),514),"")</f>
        <v/>
      </c>
    </row>
    <row r="520" ht="20" customHeight="1">
      <c r="A520" s="183">
        <f>IF($K520="","",WEEKNUM(INDEX(Zeiterfassung!$K$6:$K$3665,$K520),21))</f>
        <v/>
      </c>
      <c r="B520" s="184">
        <f>IF($K520="","",INDEX(Zeiterfassung!$K$6:$K$3665,$K520))</f>
        <v/>
      </c>
      <c r="C520" s="185">
        <f>IF($K520="","",INDEX(Zeiterfassung!$K$6:$K$3665,$K520))</f>
        <v/>
      </c>
      <c r="D520" s="186">
        <f>IF($K520="","",INDEX(Zeiterfassung!$D$6:$D$3665,$K520))</f>
        <v/>
      </c>
      <c r="E520" s="186">
        <f>IF($K520="","",INDEX(Zeiterfassung!$E$6:$E$3665,$K520))</f>
        <v/>
      </c>
      <c r="F520" s="187">
        <f>IF($K520="","",INDEX(Zeiterfassung!$F$6:$F$3665,$K520))</f>
        <v/>
      </c>
      <c r="G520" s="187">
        <f>IF($K520="","",INDEX(Zeiterfassung!$G$6:$G$3665,$K520))</f>
        <v/>
      </c>
      <c r="H520" s="188">
        <f>IF($K520="","",INDEX(Zeiterfassung!$H$6:$H$3665,$K520))</f>
        <v/>
      </c>
      <c r="I520" s="335">
        <f>IF(B520=B519,"",IF($K520="","",INDEX(Zeiterfassung!$I$6:$I$3665,MATCH(INDEX(Zeiterfassung!$K$6:$K$3665,$K520),Zeiterfassung!$K$6:$K$3665,0))))</f>
        <v/>
      </c>
      <c r="J520" s="335">
        <f>IF(B520=B519,"",IF($K520="","",INDEX(Zeiterfassung!$J$6:$J$3665,MATCH(INDEX(Zeiterfassung!$K$6:$K$3665,$K520),Zeiterfassung!$K$6:$K$3665,0))))</f>
        <v/>
      </c>
      <c r="K520">
        <f>IFERROR(AGGREGATE(15,6,(ROW(Zeiterfassung!$D$6:$D$3665)-ROW(Zeiterfassung!$D$6)+1)/(Zeiterfassung!$D$6:$D$3665&lt;&gt;""),515),"")</f>
        <v/>
      </c>
    </row>
    <row r="521" ht="20" customHeight="1">
      <c r="A521" s="183">
        <f>IF($K521="","",WEEKNUM(INDEX(Zeiterfassung!$K$6:$K$3665,$K521),21))</f>
        <v/>
      </c>
      <c r="B521" s="184">
        <f>IF($K521="","",INDEX(Zeiterfassung!$K$6:$K$3665,$K521))</f>
        <v/>
      </c>
      <c r="C521" s="185">
        <f>IF($K521="","",INDEX(Zeiterfassung!$K$6:$K$3665,$K521))</f>
        <v/>
      </c>
      <c r="D521" s="186">
        <f>IF($K521="","",INDEX(Zeiterfassung!$D$6:$D$3665,$K521))</f>
        <v/>
      </c>
      <c r="E521" s="186">
        <f>IF($K521="","",INDEX(Zeiterfassung!$E$6:$E$3665,$K521))</f>
        <v/>
      </c>
      <c r="F521" s="187">
        <f>IF($K521="","",INDEX(Zeiterfassung!$F$6:$F$3665,$K521))</f>
        <v/>
      </c>
      <c r="G521" s="187">
        <f>IF($K521="","",INDEX(Zeiterfassung!$G$6:$G$3665,$K521))</f>
        <v/>
      </c>
      <c r="H521" s="188">
        <f>IF($K521="","",INDEX(Zeiterfassung!$H$6:$H$3665,$K521))</f>
        <v/>
      </c>
      <c r="I521" s="335">
        <f>IF(B521=B520,"",IF($K521="","",INDEX(Zeiterfassung!$I$6:$I$3665,MATCH(INDEX(Zeiterfassung!$K$6:$K$3665,$K521),Zeiterfassung!$K$6:$K$3665,0))))</f>
        <v/>
      </c>
      <c r="J521" s="335">
        <f>IF(B521=B520,"",IF($K521="","",INDEX(Zeiterfassung!$J$6:$J$3665,MATCH(INDEX(Zeiterfassung!$K$6:$K$3665,$K521),Zeiterfassung!$K$6:$K$3665,0))))</f>
        <v/>
      </c>
      <c r="K521">
        <f>IFERROR(AGGREGATE(15,6,(ROW(Zeiterfassung!$D$6:$D$3665)-ROW(Zeiterfassung!$D$6)+1)/(Zeiterfassung!$D$6:$D$3665&lt;&gt;""),516),"")</f>
        <v/>
      </c>
    </row>
    <row r="522" ht="20" customHeight="1">
      <c r="A522" s="183">
        <f>IF($K522="","",WEEKNUM(INDEX(Zeiterfassung!$K$6:$K$3665,$K522),21))</f>
        <v/>
      </c>
      <c r="B522" s="184">
        <f>IF($K522="","",INDEX(Zeiterfassung!$K$6:$K$3665,$K522))</f>
        <v/>
      </c>
      <c r="C522" s="185">
        <f>IF($K522="","",INDEX(Zeiterfassung!$K$6:$K$3665,$K522))</f>
        <v/>
      </c>
      <c r="D522" s="186">
        <f>IF($K522="","",INDEX(Zeiterfassung!$D$6:$D$3665,$K522))</f>
        <v/>
      </c>
      <c r="E522" s="186">
        <f>IF($K522="","",INDEX(Zeiterfassung!$E$6:$E$3665,$K522))</f>
        <v/>
      </c>
      <c r="F522" s="187">
        <f>IF($K522="","",INDEX(Zeiterfassung!$F$6:$F$3665,$K522))</f>
        <v/>
      </c>
      <c r="G522" s="187">
        <f>IF($K522="","",INDEX(Zeiterfassung!$G$6:$G$3665,$K522))</f>
        <v/>
      </c>
      <c r="H522" s="188">
        <f>IF($K522="","",INDEX(Zeiterfassung!$H$6:$H$3665,$K522))</f>
        <v/>
      </c>
      <c r="I522" s="335">
        <f>IF(B522=B521,"",IF($K522="","",INDEX(Zeiterfassung!$I$6:$I$3665,MATCH(INDEX(Zeiterfassung!$K$6:$K$3665,$K522),Zeiterfassung!$K$6:$K$3665,0))))</f>
        <v/>
      </c>
      <c r="J522" s="335">
        <f>IF(B522=B521,"",IF($K522="","",INDEX(Zeiterfassung!$J$6:$J$3665,MATCH(INDEX(Zeiterfassung!$K$6:$K$3665,$K522),Zeiterfassung!$K$6:$K$3665,0))))</f>
        <v/>
      </c>
      <c r="K522">
        <f>IFERROR(AGGREGATE(15,6,(ROW(Zeiterfassung!$D$6:$D$3665)-ROW(Zeiterfassung!$D$6)+1)/(Zeiterfassung!$D$6:$D$3665&lt;&gt;""),517),"")</f>
        <v/>
      </c>
    </row>
    <row r="523" ht="20" customHeight="1">
      <c r="A523" s="183">
        <f>IF($K523="","",WEEKNUM(INDEX(Zeiterfassung!$K$6:$K$3665,$K523),21))</f>
        <v/>
      </c>
      <c r="B523" s="184">
        <f>IF($K523="","",INDEX(Zeiterfassung!$K$6:$K$3665,$K523))</f>
        <v/>
      </c>
      <c r="C523" s="185">
        <f>IF($K523="","",INDEX(Zeiterfassung!$K$6:$K$3665,$K523))</f>
        <v/>
      </c>
      <c r="D523" s="186">
        <f>IF($K523="","",INDEX(Zeiterfassung!$D$6:$D$3665,$K523))</f>
        <v/>
      </c>
      <c r="E523" s="186">
        <f>IF($K523="","",INDEX(Zeiterfassung!$E$6:$E$3665,$K523))</f>
        <v/>
      </c>
      <c r="F523" s="187">
        <f>IF($K523="","",INDEX(Zeiterfassung!$F$6:$F$3665,$K523))</f>
        <v/>
      </c>
      <c r="G523" s="187">
        <f>IF($K523="","",INDEX(Zeiterfassung!$G$6:$G$3665,$K523))</f>
        <v/>
      </c>
      <c r="H523" s="188">
        <f>IF($K523="","",INDEX(Zeiterfassung!$H$6:$H$3665,$K523))</f>
        <v/>
      </c>
      <c r="I523" s="335">
        <f>IF(B523=B522,"",IF($K523="","",INDEX(Zeiterfassung!$I$6:$I$3665,MATCH(INDEX(Zeiterfassung!$K$6:$K$3665,$K523),Zeiterfassung!$K$6:$K$3665,0))))</f>
        <v/>
      </c>
      <c r="J523" s="335">
        <f>IF(B523=B522,"",IF($K523="","",INDEX(Zeiterfassung!$J$6:$J$3665,MATCH(INDEX(Zeiterfassung!$K$6:$K$3665,$K523),Zeiterfassung!$K$6:$K$3665,0))))</f>
        <v/>
      </c>
      <c r="K523">
        <f>IFERROR(AGGREGATE(15,6,(ROW(Zeiterfassung!$D$6:$D$3665)-ROW(Zeiterfassung!$D$6)+1)/(Zeiterfassung!$D$6:$D$3665&lt;&gt;""),518),"")</f>
        <v/>
      </c>
    </row>
    <row r="524" ht="20" customHeight="1">
      <c r="A524" s="183">
        <f>IF($K524="","",WEEKNUM(INDEX(Zeiterfassung!$K$6:$K$3665,$K524),21))</f>
        <v/>
      </c>
      <c r="B524" s="184">
        <f>IF($K524="","",INDEX(Zeiterfassung!$K$6:$K$3665,$K524))</f>
        <v/>
      </c>
      <c r="C524" s="185">
        <f>IF($K524="","",INDEX(Zeiterfassung!$K$6:$K$3665,$K524))</f>
        <v/>
      </c>
      <c r="D524" s="186">
        <f>IF($K524="","",INDEX(Zeiterfassung!$D$6:$D$3665,$K524))</f>
        <v/>
      </c>
      <c r="E524" s="186">
        <f>IF($K524="","",INDEX(Zeiterfassung!$E$6:$E$3665,$K524))</f>
        <v/>
      </c>
      <c r="F524" s="187">
        <f>IF($K524="","",INDEX(Zeiterfassung!$F$6:$F$3665,$K524))</f>
        <v/>
      </c>
      <c r="G524" s="187">
        <f>IF($K524="","",INDEX(Zeiterfassung!$G$6:$G$3665,$K524))</f>
        <v/>
      </c>
      <c r="H524" s="188">
        <f>IF($K524="","",INDEX(Zeiterfassung!$H$6:$H$3665,$K524))</f>
        <v/>
      </c>
      <c r="I524" s="335">
        <f>IF(B524=B523,"",IF($K524="","",INDEX(Zeiterfassung!$I$6:$I$3665,MATCH(INDEX(Zeiterfassung!$K$6:$K$3665,$K524),Zeiterfassung!$K$6:$K$3665,0))))</f>
        <v/>
      </c>
      <c r="J524" s="335">
        <f>IF(B524=B523,"",IF($K524="","",INDEX(Zeiterfassung!$J$6:$J$3665,MATCH(INDEX(Zeiterfassung!$K$6:$K$3665,$K524),Zeiterfassung!$K$6:$K$3665,0))))</f>
        <v/>
      </c>
      <c r="K524">
        <f>IFERROR(AGGREGATE(15,6,(ROW(Zeiterfassung!$D$6:$D$3665)-ROW(Zeiterfassung!$D$6)+1)/(Zeiterfassung!$D$6:$D$3665&lt;&gt;""),519),"")</f>
        <v/>
      </c>
    </row>
    <row r="525" ht="20" customHeight="1">
      <c r="A525" s="183">
        <f>IF($K525="","",WEEKNUM(INDEX(Zeiterfassung!$K$6:$K$3665,$K525),21))</f>
        <v/>
      </c>
      <c r="B525" s="184">
        <f>IF($K525="","",INDEX(Zeiterfassung!$K$6:$K$3665,$K525))</f>
        <v/>
      </c>
      <c r="C525" s="185">
        <f>IF($K525="","",INDEX(Zeiterfassung!$K$6:$K$3665,$K525))</f>
        <v/>
      </c>
      <c r="D525" s="186">
        <f>IF($K525="","",INDEX(Zeiterfassung!$D$6:$D$3665,$K525))</f>
        <v/>
      </c>
      <c r="E525" s="186">
        <f>IF($K525="","",INDEX(Zeiterfassung!$E$6:$E$3665,$K525))</f>
        <v/>
      </c>
      <c r="F525" s="187">
        <f>IF($K525="","",INDEX(Zeiterfassung!$F$6:$F$3665,$K525))</f>
        <v/>
      </c>
      <c r="G525" s="187">
        <f>IF($K525="","",INDEX(Zeiterfassung!$G$6:$G$3665,$K525))</f>
        <v/>
      </c>
      <c r="H525" s="188">
        <f>IF($K525="","",INDEX(Zeiterfassung!$H$6:$H$3665,$K525))</f>
        <v/>
      </c>
      <c r="I525" s="335">
        <f>IF(B525=B524,"",IF($K525="","",INDEX(Zeiterfassung!$I$6:$I$3665,MATCH(INDEX(Zeiterfassung!$K$6:$K$3665,$K525),Zeiterfassung!$K$6:$K$3665,0))))</f>
        <v/>
      </c>
      <c r="J525" s="335">
        <f>IF(B525=B524,"",IF($K525="","",INDEX(Zeiterfassung!$J$6:$J$3665,MATCH(INDEX(Zeiterfassung!$K$6:$K$3665,$K525),Zeiterfassung!$K$6:$K$3665,0))))</f>
        <v/>
      </c>
      <c r="K525">
        <f>IFERROR(AGGREGATE(15,6,(ROW(Zeiterfassung!$D$6:$D$3665)-ROW(Zeiterfassung!$D$6)+1)/(Zeiterfassung!$D$6:$D$3665&lt;&gt;""),520),"")</f>
        <v/>
      </c>
    </row>
    <row r="526" ht="20" customHeight="1">
      <c r="A526" s="183">
        <f>IF($K526="","",WEEKNUM(INDEX(Zeiterfassung!$K$6:$K$3665,$K526),21))</f>
        <v/>
      </c>
      <c r="B526" s="184">
        <f>IF($K526="","",INDEX(Zeiterfassung!$K$6:$K$3665,$K526))</f>
        <v/>
      </c>
      <c r="C526" s="185">
        <f>IF($K526="","",INDEX(Zeiterfassung!$K$6:$K$3665,$K526))</f>
        <v/>
      </c>
      <c r="D526" s="186">
        <f>IF($K526="","",INDEX(Zeiterfassung!$D$6:$D$3665,$K526))</f>
        <v/>
      </c>
      <c r="E526" s="186">
        <f>IF($K526="","",INDEX(Zeiterfassung!$E$6:$E$3665,$K526))</f>
        <v/>
      </c>
      <c r="F526" s="187">
        <f>IF($K526="","",INDEX(Zeiterfassung!$F$6:$F$3665,$K526))</f>
        <v/>
      </c>
      <c r="G526" s="187">
        <f>IF($K526="","",INDEX(Zeiterfassung!$G$6:$G$3665,$K526))</f>
        <v/>
      </c>
      <c r="H526" s="188">
        <f>IF($K526="","",INDEX(Zeiterfassung!$H$6:$H$3665,$K526))</f>
        <v/>
      </c>
      <c r="I526" s="335">
        <f>IF(B526=B525,"",IF($K526="","",INDEX(Zeiterfassung!$I$6:$I$3665,MATCH(INDEX(Zeiterfassung!$K$6:$K$3665,$K526),Zeiterfassung!$K$6:$K$3665,0))))</f>
        <v/>
      </c>
      <c r="J526" s="335">
        <f>IF(B526=B525,"",IF($K526="","",INDEX(Zeiterfassung!$J$6:$J$3665,MATCH(INDEX(Zeiterfassung!$K$6:$K$3665,$K526),Zeiterfassung!$K$6:$K$3665,0))))</f>
        <v/>
      </c>
      <c r="K526">
        <f>IFERROR(AGGREGATE(15,6,(ROW(Zeiterfassung!$D$6:$D$3665)-ROW(Zeiterfassung!$D$6)+1)/(Zeiterfassung!$D$6:$D$3665&lt;&gt;""),521),"")</f>
        <v/>
      </c>
    </row>
    <row r="527" ht="20" customHeight="1">
      <c r="A527" s="183">
        <f>IF($K527="","",WEEKNUM(INDEX(Zeiterfassung!$K$6:$K$3665,$K527),21))</f>
        <v/>
      </c>
      <c r="B527" s="184">
        <f>IF($K527="","",INDEX(Zeiterfassung!$K$6:$K$3665,$K527))</f>
        <v/>
      </c>
      <c r="C527" s="185">
        <f>IF($K527="","",INDEX(Zeiterfassung!$K$6:$K$3665,$K527))</f>
        <v/>
      </c>
      <c r="D527" s="186">
        <f>IF($K527="","",INDEX(Zeiterfassung!$D$6:$D$3665,$K527))</f>
        <v/>
      </c>
      <c r="E527" s="186">
        <f>IF($K527="","",INDEX(Zeiterfassung!$E$6:$E$3665,$K527))</f>
        <v/>
      </c>
      <c r="F527" s="187">
        <f>IF($K527="","",INDEX(Zeiterfassung!$F$6:$F$3665,$K527))</f>
        <v/>
      </c>
      <c r="G527" s="187">
        <f>IF($K527="","",INDEX(Zeiterfassung!$G$6:$G$3665,$K527))</f>
        <v/>
      </c>
      <c r="H527" s="188">
        <f>IF($K527="","",INDEX(Zeiterfassung!$H$6:$H$3665,$K527))</f>
        <v/>
      </c>
      <c r="I527" s="335">
        <f>IF(B527=B526,"",IF($K527="","",INDEX(Zeiterfassung!$I$6:$I$3665,MATCH(INDEX(Zeiterfassung!$K$6:$K$3665,$K527),Zeiterfassung!$K$6:$K$3665,0))))</f>
        <v/>
      </c>
      <c r="J527" s="335">
        <f>IF(B527=B526,"",IF($K527="","",INDEX(Zeiterfassung!$J$6:$J$3665,MATCH(INDEX(Zeiterfassung!$K$6:$K$3665,$K527),Zeiterfassung!$K$6:$K$3665,0))))</f>
        <v/>
      </c>
      <c r="K527">
        <f>IFERROR(AGGREGATE(15,6,(ROW(Zeiterfassung!$D$6:$D$3665)-ROW(Zeiterfassung!$D$6)+1)/(Zeiterfassung!$D$6:$D$3665&lt;&gt;""),522),"")</f>
        <v/>
      </c>
    </row>
    <row r="528" ht="20" customHeight="1">
      <c r="A528" s="183">
        <f>IF($K528="","",WEEKNUM(INDEX(Zeiterfassung!$K$6:$K$3665,$K528),21))</f>
        <v/>
      </c>
      <c r="B528" s="184">
        <f>IF($K528="","",INDEX(Zeiterfassung!$K$6:$K$3665,$K528))</f>
        <v/>
      </c>
      <c r="C528" s="185">
        <f>IF($K528="","",INDEX(Zeiterfassung!$K$6:$K$3665,$K528))</f>
        <v/>
      </c>
      <c r="D528" s="186">
        <f>IF($K528="","",INDEX(Zeiterfassung!$D$6:$D$3665,$K528))</f>
        <v/>
      </c>
      <c r="E528" s="186">
        <f>IF($K528="","",INDEX(Zeiterfassung!$E$6:$E$3665,$K528))</f>
        <v/>
      </c>
      <c r="F528" s="187">
        <f>IF($K528="","",INDEX(Zeiterfassung!$F$6:$F$3665,$K528))</f>
        <v/>
      </c>
      <c r="G528" s="187">
        <f>IF($K528="","",INDEX(Zeiterfassung!$G$6:$G$3665,$K528))</f>
        <v/>
      </c>
      <c r="H528" s="188">
        <f>IF($K528="","",INDEX(Zeiterfassung!$H$6:$H$3665,$K528))</f>
        <v/>
      </c>
      <c r="I528" s="335">
        <f>IF(B528=B527,"",IF($K528="","",INDEX(Zeiterfassung!$I$6:$I$3665,MATCH(INDEX(Zeiterfassung!$K$6:$K$3665,$K528),Zeiterfassung!$K$6:$K$3665,0))))</f>
        <v/>
      </c>
      <c r="J528" s="335">
        <f>IF(B528=B527,"",IF($K528="","",INDEX(Zeiterfassung!$J$6:$J$3665,MATCH(INDEX(Zeiterfassung!$K$6:$K$3665,$K528),Zeiterfassung!$K$6:$K$3665,0))))</f>
        <v/>
      </c>
      <c r="K528">
        <f>IFERROR(AGGREGATE(15,6,(ROW(Zeiterfassung!$D$6:$D$3665)-ROW(Zeiterfassung!$D$6)+1)/(Zeiterfassung!$D$6:$D$3665&lt;&gt;""),523),"")</f>
        <v/>
      </c>
    </row>
    <row r="529" ht="20" customHeight="1">
      <c r="A529" s="183">
        <f>IF($K529="","",WEEKNUM(INDEX(Zeiterfassung!$K$6:$K$3665,$K529),21))</f>
        <v/>
      </c>
      <c r="B529" s="184">
        <f>IF($K529="","",INDEX(Zeiterfassung!$K$6:$K$3665,$K529))</f>
        <v/>
      </c>
      <c r="C529" s="185">
        <f>IF($K529="","",INDEX(Zeiterfassung!$K$6:$K$3665,$K529))</f>
        <v/>
      </c>
      <c r="D529" s="186">
        <f>IF($K529="","",INDEX(Zeiterfassung!$D$6:$D$3665,$K529))</f>
        <v/>
      </c>
      <c r="E529" s="186">
        <f>IF($K529="","",INDEX(Zeiterfassung!$E$6:$E$3665,$K529))</f>
        <v/>
      </c>
      <c r="F529" s="187">
        <f>IF($K529="","",INDEX(Zeiterfassung!$F$6:$F$3665,$K529))</f>
        <v/>
      </c>
      <c r="G529" s="187">
        <f>IF($K529="","",INDEX(Zeiterfassung!$G$6:$G$3665,$K529))</f>
        <v/>
      </c>
      <c r="H529" s="188">
        <f>IF($K529="","",INDEX(Zeiterfassung!$H$6:$H$3665,$K529))</f>
        <v/>
      </c>
      <c r="I529" s="335">
        <f>IF(B529=B528,"",IF($K529="","",INDEX(Zeiterfassung!$I$6:$I$3665,MATCH(INDEX(Zeiterfassung!$K$6:$K$3665,$K529),Zeiterfassung!$K$6:$K$3665,0))))</f>
        <v/>
      </c>
      <c r="J529" s="335">
        <f>IF(B529=B528,"",IF($K529="","",INDEX(Zeiterfassung!$J$6:$J$3665,MATCH(INDEX(Zeiterfassung!$K$6:$K$3665,$K529),Zeiterfassung!$K$6:$K$3665,0))))</f>
        <v/>
      </c>
      <c r="K529">
        <f>IFERROR(AGGREGATE(15,6,(ROW(Zeiterfassung!$D$6:$D$3665)-ROW(Zeiterfassung!$D$6)+1)/(Zeiterfassung!$D$6:$D$3665&lt;&gt;""),524),"")</f>
        <v/>
      </c>
    </row>
    <row r="530" ht="20" customHeight="1">
      <c r="A530" s="183">
        <f>IF($K530="","",WEEKNUM(INDEX(Zeiterfassung!$K$6:$K$3665,$K530),21))</f>
        <v/>
      </c>
      <c r="B530" s="184">
        <f>IF($K530="","",INDEX(Zeiterfassung!$K$6:$K$3665,$K530))</f>
        <v/>
      </c>
      <c r="C530" s="185">
        <f>IF($K530="","",INDEX(Zeiterfassung!$K$6:$K$3665,$K530))</f>
        <v/>
      </c>
      <c r="D530" s="186">
        <f>IF($K530="","",INDEX(Zeiterfassung!$D$6:$D$3665,$K530))</f>
        <v/>
      </c>
      <c r="E530" s="186">
        <f>IF($K530="","",INDEX(Zeiterfassung!$E$6:$E$3665,$K530))</f>
        <v/>
      </c>
      <c r="F530" s="187">
        <f>IF($K530="","",INDEX(Zeiterfassung!$F$6:$F$3665,$K530))</f>
        <v/>
      </c>
      <c r="G530" s="187">
        <f>IF($K530="","",INDEX(Zeiterfassung!$G$6:$G$3665,$K530))</f>
        <v/>
      </c>
      <c r="H530" s="188">
        <f>IF($K530="","",INDEX(Zeiterfassung!$H$6:$H$3665,$K530))</f>
        <v/>
      </c>
      <c r="I530" s="335">
        <f>IF(B530=B529,"",IF($K530="","",INDEX(Zeiterfassung!$I$6:$I$3665,MATCH(INDEX(Zeiterfassung!$K$6:$K$3665,$K530),Zeiterfassung!$K$6:$K$3665,0))))</f>
        <v/>
      </c>
      <c r="J530" s="335">
        <f>IF(B530=B529,"",IF($K530="","",INDEX(Zeiterfassung!$J$6:$J$3665,MATCH(INDEX(Zeiterfassung!$K$6:$K$3665,$K530),Zeiterfassung!$K$6:$K$3665,0))))</f>
        <v/>
      </c>
      <c r="K530">
        <f>IFERROR(AGGREGATE(15,6,(ROW(Zeiterfassung!$D$6:$D$3665)-ROW(Zeiterfassung!$D$6)+1)/(Zeiterfassung!$D$6:$D$3665&lt;&gt;""),525),"")</f>
        <v/>
      </c>
    </row>
    <row r="531" ht="20" customHeight="1">
      <c r="A531" s="183">
        <f>IF($K531="","",WEEKNUM(INDEX(Zeiterfassung!$K$6:$K$3665,$K531),21))</f>
        <v/>
      </c>
      <c r="B531" s="184">
        <f>IF($K531="","",INDEX(Zeiterfassung!$K$6:$K$3665,$K531))</f>
        <v/>
      </c>
      <c r="C531" s="185">
        <f>IF($K531="","",INDEX(Zeiterfassung!$K$6:$K$3665,$K531))</f>
        <v/>
      </c>
      <c r="D531" s="186">
        <f>IF($K531="","",INDEX(Zeiterfassung!$D$6:$D$3665,$K531))</f>
        <v/>
      </c>
      <c r="E531" s="186">
        <f>IF($K531="","",INDEX(Zeiterfassung!$E$6:$E$3665,$K531))</f>
        <v/>
      </c>
      <c r="F531" s="187">
        <f>IF($K531="","",INDEX(Zeiterfassung!$F$6:$F$3665,$K531))</f>
        <v/>
      </c>
      <c r="G531" s="187">
        <f>IF($K531="","",INDEX(Zeiterfassung!$G$6:$G$3665,$K531))</f>
        <v/>
      </c>
      <c r="H531" s="188">
        <f>IF($K531="","",INDEX(Zeiterfassung!$H$6:$H$3665,$K531))</f>
        <v/>
      </c>
      <c r="I531" s="335">
        <f>IF(B531=B530,"",IF($K531="","",INDEX(Zeiterfassung!$I$6:$I$3665,MATCH(INDEX(Zeiterfassung!$K$6:$K$3665,$K531),Zeiterfassung!$K$6:$K$3665,0))))</f>
        <v/>
      </c>
      <c r="J531" s="335">
        <f>IF(B531=B530,"",IF($K531="","",INDEX(Zeiterfassung!$J$6:$J$3665,MATCH(INDEX(Zeiterfassung!$K$6:$K$3665,$K531),Zeiterfassung!$K$6:$K$3665,0))))</f>
        <v/>
      </c>
      <c r="K531">
        <f>IFERROR(AGGREGATE(15,6,(ROW(Zeiterfassung!$D$6:$D$3665)-ROW(Zeiterfassung!$D$6)+1)/(Zeiterfassung!$D$6:$D$3665&lt;&gt;""),526),"")</f>
        <v/>
      </c>
    </row>
    <row r="532" ht="20" customHeight="1">
      <c r="A532" s="183">
        <f>IF($K532="","",WEEKNUM(INDEX(Zeiterfassung!$K$6:$K$3665,$K532),21))</f>
        <v/>
      </c>
      <c r="B532" s="184">
        <f>IF($K532="","",INDEX(Zeiterfassung!$K$6:$K$3665,$K532))</f>
        <v/>
      </c>
      <c r="C532" s="185">
        <f>IF($K532="","",INDEX(Zeiterfassung!$K$6:$K$3665,$K532))</f>
        <v/>
      </c>
      <c r="D532" s="186">
        <f>IF($K532="","",INDEX(Zeiterfassung!$D$6:$D$3665,$K532))</f>
        <v/>
      </c>
      <c r="E532" s="186">
        <f>IF($K532="","",INDEX(Zeiterfassung!$E$6:$E$3665,$K532))</f>
        <v/>
      </c>
      <c r="F532" s="187">
        <f>IF($K532="","",INDEX(Zeiterfassung!$F$6:$F$3665,$K532))</f>
        <v/>
      </c>
      <c r="G532" s="187">
        <f>IF($K532="","",INDEX(Zeiterfassung!$G$6:$G$3665,$K532))</f>
        <v/>
      </c>
      <c r="H532" s="188">
        <f>IF($K532="","",INDEX(Zeiterfassung!$H$6:$H$3665,$K532))</f>
        <v/>
      </c>
      <c r="I532" s="335">
        <f>IF(B532=B531,"",IF($K532="","",INDEX(Zeiterfassung!$I$6:$I$3665,MATCH(INDEX(Zeiterfassung!$K$6:$K$3665,$K532),Zeiterfassung!$K$6:$K$3665,0))))</f>
        <v/>
      </c>
      <c r="J532" s="335">
        <f>IF(B532=B531,"",IF($K532="","",INDEX(Zeiterfassung!$J$6:$J$3665,MATCH(INDEX(Zeiterfassung!$K$6:$K$3665,$K532),Zeiterfassung!$K$6:$K$3665,0))))</f>
        <v/>
      </c>
      <c r="K532">
        <f>IFERROR(AGGREGATE(15,6,(ROW(Zeiterfassung!$D$6:$D$3665)-ROW(Zeiterfassung!$D$6)+1)/(Zeiterfassung!$D$6:$D$3665&lt;&gt;""),527),"")</f>
        <v/>
      </c>
    </row>
    <row r="533" ht="20" customHeight="1">
      <c r="A533" s="183">
        <f>IF($K533="","",WEEKNUM(INDEX(Zeiterfassung!$K$6:$K$3665,$K533),21))</f>
        <v/>
      </c>
      <c r="B533" s="184">
        <f>IF($K533="","",INDEX(Zeiterfassung!$K$6:$K$3665,$K533))</f>
        <v/>
      </c>
      <c r="C533" s="185">
        <f>IF($K533="","",INDEX(Zeiterfassung!$K$6:$K$3665,$K533))</f>
        <v/>
      </c>
      <c r="D533" s="186">
        <f>IF($K533="","",INDEX(Zeiterfassung!$D$6:$D$3665,$K533))</f>
        <v/>
      </c>
      <c r="E533" s="186">
        <f>IF($K533="","",INDEX(Zeiterfassung!$E$6:$E$3665,$K533))</f>
        <v/>
      </c>
      <c r="F533" s="187">
        <f>IF($K533="","",INDEX(Zeiterfassung!$F$6:$F$3665,$K533))</f>
        <v/>
      </c>
      <c r="G533" s="187">
        <f>IF($K533="","",INDEX(Zeiterfassung!$G$6:$G$3665,$K533))</f>
        <v/>
      </c>
      <c r="H533" s="188">
        <f>IF($K533="","",INDEX(Zeiterfassung!$H$6:$H$3665,$K533))</f>
        <v/>
      </c>
      <c r="I533" s="335">
        <f>IF(B533=B532,"",IF($K533="","",INDEX(Zeiterfassung!$I$6:$I$3665,MATCH(INDEX(Zeiterfassung!$K$6:$K$3665,$K533),Zeiterfassung!$K$6:$K$3665,0))))</f>
        <v/>
      </c>
      <c r="J533" s="335">
        <f>IF(B533=B532,"",IF($K533="","",INDEX(Zeiterfassung!$J$6:$J$3665,MATCH(INDEX(Zeiterfassung!$K$6:$K$3665,$K533),Zeiterfassung!$K$6:$K$3665,0))))</f>
        <v/>
      </c>
      <c r="K533">
        <f>IFERROR(AGGREGATE(15,6,(ROW(Zeiterfassung!$D$6:$D$3665)-ROW(Zeiterfassung!$D$6)+1)/(Zeiterfassung!$D$6:$D$3665&lt;&gt;""),528),"")</f>
        <v/>
      </c>
    </row>
    <row r="534" ht="20" customHeight="1">
      <c r="A534" s="183">
        <f>IF($K534="","",WEEKNUM(INDEX(Zeiterfassung!$K$6:$K$3665,$K534),21))</f>
        <v/>
      </c>
      <c r="B534" s="184">
        <f>IF($K534="","",INDEX(Zeiterfassung!$K$6:$K$3665,$K534))</f>
        <v/>
      </c>
      <c r="C534" s="185">
        <f>IF($K534="","",INDEX(Zeiterfassung!$K$6:$K$3665,$K534))</f>
        <v/>
      </c>
      <c r="D534" s="186">
        <f>IF($K534="","",INDEX(Zeiterfassung!$D$6:$D$3665,$K534))</f>
        <v/>
      </c>
      <c r="E534" s="186">
        <f>IF($K534="","",INDEX(Zeiterfassung!$E$6:$E$3665,$K534))</f>
        <v/>
      </c>
      <c r="F534" s="187">
        <f>IF($K534="","",INDEX(Zeiterfassung!$F$6:$F$3665,$K534))</f>
        <v/>
      </c>
      <c r="G534" s="187">
        <f>IF($K534="","",INDEX(Zeiterfassung!$G$6:$G$3665,$K534))</f>
        <v/>
      </c>
      <c r="H534" s="188">
        <f>IF($K534="","",INDEX(Zeiterfassung!$H$6:$H$3665,$K534))</f>
        <v/>
      </c>
      <c r="I534" s="335">
        <f>IF(B534=B533,"",IF($K534="","",INDEX(Zeiterfassung!$I$6:$I$3665,MATCH(INDEX(Zeiterfassung!$K$6:$K$3665,$K534),Zeiterfassung!$K$6:$K$3665,0))))</f>
        <v/>
      </c>
      <c r="J534" s="335">
        <f>IF(B534=B533,"",IF($K534="","",INDEX(Zeiterfassung!$J$6:$J$3665,MATCH(INDEX(Zeiterfassung!$K$6:$K$3665,$K534),Zeiterfassung!$K$6:$K$3665,0))))</f>
        <v/>
      </c>
      <c r="K534">
        <f>IFERROR(AGGREGATE(15,6,(ROW(Zeiterfassung!$D$6:$D$3665)-ROW(Zeiterfassung!$D$6)+1)/(Zeiterfassung!$D$6:$D$3665&lt;&gt;""),529),"")</f>
        <v/>
      </c>
    </row>
    <row r="535" ht="20" customHeight="1">
      <c r="A535" s="183">
        <f>IF($K535="","",WEEKNUM(INDEX(Zeiterfassung!$K$6:$K$3665,$K535),21))</f>
        <v/>
      </c>
      <c r="B535" s="184">
        <f>IF($K535="","",INDEX(Zeiterfassung!$K$6:$K$3665,$K535))</f>
        <v/>
      </c>
      <c r="C535" s="185">
        <f>IF($K535="","",INDEX(Zeiterfassung!$K$6:$K$3665,$K535))</f>
        <v/>
      </c>
      <c r="D535" s="186">
        <f>IF($K535="","",INDEX(Zeiterfassung!$D$6:$D$3665,$K535))</f>
        <v/>
      </c>
      <c r="E535" s="186">
        <f>IF($K535="","",INDEX(Zeiterfassung!$E$6:$E$3665,$K535))</f>
        <v/>
      </c>
      <c r="F535" s="187">
        <f>IF($K535="","",INDEX(Zeiterfassung!$F$6:$F$3665,$K535))</f>
        <v/>
      </c>
      <c r="G535" s="187">
        <f>IF($K535="","",INDEX(Zeiterfassung!$G$6:$G$3665,$K535))</f>
        <v/>
      </c>
      <c r="H535" s="188">
        <f>IF($K535="","",INDEX(Zeiterfassung!$H$6:$H$3665,$K535))</f>
        <v/>
      </c>
      <c r="I535" s="335">
        <f>IF(B535=B534,"",IF($K535="","",INDEX(Zeiterfassung!$I$6:$I$3665,MATCH(INDEX(Zeiterfassung!$K$6:$K$3665,$K535),Zeiterfassung!$K$6:$K$3665,0))))</f>
        <v/>
      </c>
      <c r="J535" s="335">
        <f>IF(B535=B534,"",IF($K535="","",INDEX(Zeiterfassung!$J$6:$J$3665,MATCH(INDEX(Zeiterfassung!$K$6:$K$3665,$K535),Zeiterfassung!$K$6:$K$3665,0))))</f>
        <v/>
      </c>
      <c r="K535">
        <f>IFERROR(AGGREGATE(15,6,(ROW(Zeiterfassung!$D$6:$D$3665)-ROW(Zeiterfassung!$D$6)+1)/(Zeiterfassung!$D$6:$D$3665&lt;&gt;""),530),"")</f>
        <v/>
      </c>
    </row>
    <row r="536" ht="20" customHeight="1">
      <c r="A536" s="183">
        <f>IF($K536="","",WEEKNUM(INDEX(Zeiterfassung!$K$6:$K$3665,$K536),21))</f>
        <v/>
      </c>
      <c r="B536" s="184">
        <f>IF($K536="","",INDEX(Zeiterfassung!$K$6:$K$3665,$K536))</f>
        <v/>
      </c>
      <c r="C536" s="185">
        <f>IF($K536="","",INDEX(Zeiterfassung!$K$6:$K$3665,$K536))</f>
        <v/>
      </c>
      <c r="D536" s="186">
        <f>IF($K536="","",INDEX(Zeiterfassung!$D$6:$D$3665,$K536))</f>
        <v/>
      </c>
      <c r="E536" s="186">
        <f>IF($K536="","",INDEX(Zeiterfassung!$E$6:$E$3665,$K536))</f>
        <v/>
      </c>
      <c r="F536" s="187">
        <f>IF($K536="","",INDEX(Zeiterfassung!$F$6:$F$3665,$K536))</f>
        <v/>
      </c>
      <c r="G536" s="187">
        <f>IF($K536="","",INDEX(Zeiterfassung!$G$6:$G$3665,$K536))</f>
        <v/>
      </c>
      <c r="H536" s="188">
        <f>IF($K536="","",INDEX(Zeiterfassung!$H$6:$H$3665,$K536))</f>
        <v/>
      </c>
      <c r="I536" s="335">
        <f>IF(B536=B535,"",IF($K536="","",INDEX(Zeiterfassung!$I$6:$I$3665,MATCH(INDEX(Zeiterfassung!$K$6:$K$3665,$K536),Zeiterfassung!$K$6:$K$3665,0))))</f>
        <v/>
      </c>
      <c r="J536" s="335">
        <f>IF(B536=B535,"",IF($K536="","",INDEX(Zeiterfassung!$J$6:$J$3665,MATCH(INDEX(Zeiterfassung!$K$6:$K$3665,$K536),Zeiterfassung!$K$6:$K$3665,0))))</f>
        <v/>
      </c>
      <c r="K536">
        <f>IFERROR(AGGREGATE(15,6,(ROW(Zeiterfassung!$D$6:$D$3665)-ROW(Zeiterfassung!$D$6)+1)/(Zeiterfassung!$D$6:$D$3665&lt;&gt;""),531),"")</f>
        <v/>
      </c>
    </row>
    <row r="537" ht="20" customHeight="1">
      <c r="A537" s="183">
        <f>IF($K537="","",WEEKNUM(INDEX(Zeiterfassung!$K$6:$K$3665,$K537),21))</f>
        <v/>
      </c>
      <c r="B537" s="184">
        <f>IF($K537="","",INDEX(Zeiterfassung!$K$6:$K$3665,$K537))</f>
        <v/>
      </c>
      <c r="C537" s="185">
        <f>IF($K537="","",INDEX(Zeiterfassung!$K$6:$K$3665,$K537))</f>
        <v/>
      </c>
      <c r="D537" s="186">
        <f>IF($K537="","",INDEX(Zeiterfassung!$D$6:$D$3665,$K537))</f>
        <v/>
      </c>
      <c r="E537" s="186">
        <f>IF($K537="","",INDEX(Zeiterfassung!$E$6:$E$3665,$K537))</f>
        <v/>
      </c>
      <c r="F537" s="187">
        <f>IF($K537="","",INDEX(Zeiterfassung!$F$6:$F$3665,$K537))</f>
        <v/>
      </c>
      <c r="G537" s="187">
        <f>IF($K537="","",INDEX(Zeiterfassung!$G$6:$G$3665,$K537))</f>
        <v/>
      </c>
      <c r="H537" s="188">
        <f>IF($K537="","",INDEX(Zeiterfassung!$H$6:$H$3665,$K537))</f>
        <v/>
      </c>
      <c r="I537" s="335">
        <f>IF(B537=B536,"",IF($K537="","",INDEX(Zeiterfassung!$I$6:$I$3665,MATCH(INDEX(Zeiterfassung!$K$6:$K$3665,$K537),Zeiterfassung!$K$6:$K$3665,0))))</f>
        <v/>
      </c>
      <c r="J537" s="335">
        <f>IF(B537=B536,"",IF($K537="","",INDEX(Zeiterfassung!$J$6:$J$3665,MATCH(INDEX(Zeiterfassung!$K$6:$K$3665,$K537),Zeiterfassung!$K$6:$K$3665,0))))</f>
        <v/>
      </c>
      <c r="K537">
        <f>IFERROR(AGGREGATE(15,6,(ROW(Zeiterfassung!$D$6:$D$3665)-ROW(Zeiterfassung!$D$6)+1)/(Zeiterfassung!$D$6:$D$3665&lt;&gt;""),532),"")</f>
        <v/>
      </c>
    </row>
    <row r="538" ht="20" customHeight="1">
      <c r="A538" s="183">
        <f>IF($K538="","",WEEKNUM(INDEX(Zeiterfassung!$K$6:$K$3665,$K538),21))</f>
        <v/>
      </c>
      <c r="B538" s="184">
        <f>IF($K538="","",INDEX(Zeiterfassung!$K$6:$K$3665,$K538))</f>
        <v/>
      </c>
      <c r="C538" s="185">
        <f>IF($K538="","",INDEX(Zeiterfassung!$K$6:$K$3665,$K538))</f>
        <v/>
      </c>
      <c r="D538" s="186">
        <f>IF($K538="","",INDEX(Zeiterfassung!$D$6:$D$3665,$K538))</f>
        <v/>
      </c>
      <c r="E538" s="186">
        <f>IF($K538="","",INDEX(Zeiterfassung!$E$6:$E$3665,$K538))</f>
        <v/>
      </c>
      <c r="F538" s="187">
        <f>IF($K538="","",INDEX(Zeiterfassung!$F$6:$F$3665,$K538))</f>
        <v/>
      </c>
      <c r="G538" s="187">
        <f>IF($K538="","",INDEX(Zeiterfassung!$G$6:$G$3665,$K538))</f>
        <v/>
      </c>
      <c r="H538" s="188">
        <f>IF($K538="","",INDEX(Zeiterfassung!$H$6:$H$3665,$K538))</f>
        <v/>
      </c>
      <c r="I538" s="335">
        <f>IF(B538=B537,"",IF($K538="","",INDEX(Zeiterfassung!$I$6:$I$3665,MATCH(INDEX(Zeiterfassung!$K$6:$K$3665,$K538),Zeiterfassung!$K$6:$K$3665,0))))</f>
        <v/>
      </c>
      <c r="J538" s="335">
        <f>IF(B538=B537,"",IF($K538="","",INDEX(Zeiterfassung!$J$6:$J$3665,MATCH(INDEX(Zeiterfassung!$K$6:$K$3665,$K538),Zeiterfassung!$K$6:$K$3665,0))))</f>
        <v/>
      </c>
      <c r="K538">
        <f>IFERROR(AGGREGATE(15,6,(ROW(Zeiterfassung!$D$6:$D$3665)-ROW(Zeiterfassung!$D$6)+1)/(Zeiterfassung!$D$6:$D$3665&lt;&gt;""),533),"")</f>
        <v/>
      </c>
    </row>
    <row r="539" ht="20" customHeight="1">
      <c r="A539" s="183">
        <f>IF($K539="","",WEEKNUM(INDEX(Zeiterfassung!$K$6:$K$3665,$K539),21))</f>
        <v/>
      </c>
      <c r="B539" s="184">
        <f>IF($K539="","",INDEX(Zeiterfassung!$K$6:$K$3665,$K539))</f>
        <v/>
      </c>
      <c r="C539" s="185">
        <f>IF($K539="","",INDEX(Zeiterfassung!$K$6:$K$3665,$K539))</f>
        <v/>
      </c>
      <c r="D539" s="186">
        <f>IF($K539="","",INDEX(Zeiterfassung!$D$6:$D$3665,$K539))</f>
        <v/>
      </c>
      <c r="E539" s="186">
        <f>IF($K539="","",INDEX(Zeiterfassung!$E$6:$E$3665,$K539))</f>
        <v/>
      </c>
      <c r="F539" s="187">
        <f>IF($K539="","",INDEX(Zeiterfassung!$F$6:$F$3665,$K539))</f>
        <v/>
      </c>
      <c r="G539" s="187">
        <f>IF($K539="","",INDEX(Zeiterfassung!$G$6:$G$3665,$K539))</f>
        <v/>
      </c>
      <c r="H539" s="188">
        <f>IF($K539="","",INDEX(Zeiterfassung!$H$6:$H$3665,$K539))</f>
        <v/>
      </c>
      <c r="I539" s="335">
        <f>IF(B539=B538,"",IF($K539="","",INDEX(Zeiterfassung!$I$6:$I$3665,MATCH(INDEX(Zeiterfassung!$K$6:$K$3665,$K539),Zeiterfassung!$K$6:$K$3665,0))))</f>
        <v/>
      </c>
      <c r="J539" s="335">
        <f>IF(B539=B538,"",IF($K539="","",INDEX(Zeiterfassung!$J$6:$J$3665,MATCH(INDEX(Zeiterfassung!$K$6:$K$3665,$K539),Zeiterfassung!$K$6:$K$3665,0))))</f>
        <v/>
      </c>
      <c r="K539">
        <f>IFERROR(AGGREGATE(15,6,(ROW(Zeiterfassung!$D$6:$D$3665)-ROW(Zeiterfassung!$D$6)+1)/(Zeiterfassung!$D$6:$D$3665&lt;&gt;""),534),"")</f>
        <v/>
      </c>
    </row>
    <row r="540" ht="20" customHeight="1">
      <c r="A540" s="183">
        <f>IF($K540="","",WEEKNUM(INDEX(Zeiterfassung!$K$6:$K$3665,$K540),21))</f>
        <v/>
      </c>
      <c r="B540" s="184">
        <f>IF($K540="","",INDEX(Zeiterfassung!$K$6:$K$3665,$K540))</f>
        <v/>
      </c>
      <c r="C540" s="185">
        <f>IF($K540="","",INDEX(Zeiterfassung!$K$6:$K$3665,$K540))</f>
        <v/>
      </c>
      <c r="D540" s="186">
        <f>IF($K540="","",INDEX(Zeiterfassung!$D$6:$D$3665,$K540))</f>
        <v/>
      </c>
      <c r="E540" s="186">
        <f>IF($K540="","",INDEX(Zeiterfassung!$E$6:$E$3665,$K540))</f>
        <v/>
      </c>
      <c r="F540" s="187">
        <f>IF($K540="","",INDEX(Zeiterfassung!$F$6:$F$3665,$K540))</f>
        <v/>
      </c>
      <c r="G540" s="187">
        <f>IF($K540="","",INDEX(Zeiterfassung!$G$6:$G$3665,$K540))</f>
        <v/>
      </c>
      <c r="H540" s="188">
        <f>IF($K540="","",INDEX(Zeiterfassung!$H$6:$H$3665,$K540))</f>
        <v/>
      </c>
      <c r="I540" s="335">
        <f>IF(B540=B539,"",IF($K540="","",INDEX(Zeiterfassung!$I$6:$I$3665,MATCH(INDEX(Zeiterfassung!$K$6:$K$3665,$K540),Zeiterfassung!$K$6:$K$3665,0))))</f>
        <v/>
      </c>
      <c r="J540" s="335">
        <f>IF(B540=B539,"",IF($K540="","",INDEX(Zeiterfassung!$J$6:$J$3665,MATCH(INDEX(Zeiterfassung!$K$6:$K$3665,$K540),Zeiterfassung!$K$6:$K$3665,0))))</f>
        <v/>
      </c>
      <c r="K540">
        <f>IFERROR(AGGREGATE(15,6,(ROW(Zeiterfassung!$D$6:$D$3665)-ROW(Zeiterfassung!$D$6)+1)/(Zeiterfassung!$D$6:$D$3665&lt;&gt;""),535),"")</f>
        <v/>
      </c>
    </row>
    <row r="541" ht="20" customHeight="1">
      <c r="A541" s="183">
        <f>IF($K541="","",WEEKNUM(INDEX(Zeiterfassung!$K$6:$K$3665,$K541),21))</f>
        <v/>
      </c>
      <c r="B541" s="184">
        <f>IF($K541="","",INDEX(Zeiterfassung!$K$6:$K$3665,$K541))</f>
        <v/>
      </c>
      <c r="C541" s="185">
        <f>IF($K541="","",INDEX(Zeiterfassung!$K$6:$K$3665,$K541))</f>
        <v/>
      </c>
      <c r="D541" s="186">
        <f>IF($K541="","",INDEX(Zeiterfassung!$D$6:$D$3665,$K541))</f>
        <v/>
      </c>
      <c r="E541" s="186">
        <f>IF($K541="","",INDEX(Zeiterfassung!$E$6:$E$3665,$K541))</f>
        <v/>
      </c>
      <c r="F541" s="187">
        <f>IF($K541="","",INDEX(Zeiterfassung!$F$6:$F$3665,$K541))</f>
        <v/>
      </c>
      <c r="G541" s="187">
        <f>IF($K541="","",INDEX(Zeiterfassung!$G$6:$G$3665,$K541))</f>
        <v/>
      </c>
      <c r="H541" s="188">
        <f>IF($K541="","",INDEX(Zeiterfassung!$H$6:$H$3665,$K541))</f>
        <v/>
      </c>
      <c r="I541" s="335">
        <f>IF(B541=B540,"",IF($K541="","",INDEX(Zeiterfassung!$I$6:$I$3665,MATCH(INDEX(Zeiterfassung!$K$6:$K$3665,$K541),Zeiterfassung!$K$6:$K$3665,0))))</f>
        <v/>
      </c>
      <c r="J541" s="335">
        <f>IF(B541=B540,"",IF($K541="","",INDEX(Zeiterfassung!$J$6:$J$3665,MATCH(INDEX(Zeiterfassung!$K$6:$K$3665,$K541),Zeiterfassung!$K$6:$K$3665,0))))</f>
        <v/>
      </c>
      <c r="K541">
        <f>IFERROR(AGGREGATE(15,6,(ROW(Zeiterfassung!$D$6:$D$3665)-ROW(Zeiterfassung!$D$6)+1)/(Zeiterfassung!$D$6:$D$3665&lt;&gt;""),536),"")</f>
        <v/>
      </c>
    </row>
    <row r="542" ht="20" customHeight="1">
      <c r="A542" s="183">
        <f>IF($K542="","",WEEKNUM(INDEX(Zeiterfassung!$K$6:$K$3665,$K542),21))</f>
        <v/>
      </c>
      <c r="B542" s="184">
        <f>IF($K542="","",INDEX(Zeiterfassung!$K$6:$K$3665,$K542))</f>
        <v/>
      </c>
      <c r="C542" s="185">
        <f>IF($K542="","",INDEX(Zeiterfassung!$K$6:$K$3665,$K542))</f>
        <v/>
      </c>
      <c r="D542" s="186">
        <f>IF($K542="","",INDEX(Zeiterfassung!$D$6:$D$3665,$K542))</f>
        <v/>
      </c>
      <c r="E542" s="186">
        <f>IF($K542="","",INDEX(Zeiterfassung!$E$6:$E$3665,$K542))</f>
        <v/>
      </c>
      <c r="F542" s="187">
        <f>IF($K542="","",INDEX(Zeiterfassung!$F$6:$F$3665,$K542))</f>
        <v/>
      </c>
      <c r="G542" s="187">
        <f>IF($K542="","",INDEX(Zeiterfassung!$G$6:$G$3665,$K542))</f>
        <v/>
      </c>
      <c r="H542" s="188">
        <f>IF($K542="","",INDEX(Zeiterfassung!$H$6:$H$3665,$K542))</f>
        <v/>
      </c>
      <c r="I542" s="335">
        <f>IF(B542=B541,"",IF($K542="","",INDEX(Zeiterfassung!$I$6:$I$3665,MATCH(INDEX(Zeiterfassung!$K$6:$K$3665,$K542),Zeiterfassung!$K$6:$K$3665,0))))</f>
        <v/>
      </c>
      <c r="J542" s="335">
        <f>IF(B542=B541,"",IF($K542="","",INDEX(Zeiterfassung!$J$6:$J$3665,MATCH(INDEX(Zeiterfassung!$K$6:$K$3665,$K542),Zeiterfassung!$K$6:$K$3665,0))))</f>
        <v/>
      </c>
      <c r="K542">
        <f>IFERROR(AGGREGATE(15,6,(ROW(Zeiterfassung!$D$6:$D$3665)-ROW(Zeiterfassung!$D$6)+1)/(Zeiterfassung!$D$6:$D$3665&lt;&gt;""),537),"")</f>
        <v/>
      </c>
    </row>
    <row r="543" ht="20" customHeight="1">
      <c r="A543" s="183">
        <f>IF($K543="","",WEEKNUM(INDEX(Zeiterfassung!$K$6:$K$3665,$K543),21))</f>
        <v/>
      </c>
      <c r="B543" s="184">
        <f>IF($K543="","",INDEX(Zeiterfassung!$K$6:$K$3665,$K543))</f>
        <v/>
      </c>
      <c r="C543" s="185">
        <f>IF($K543="","",INDEX(Zeiterfassung!$K$6:$K$3665,$K543))</f>
        <v/>
      </c>
      <c r="D543" s="186">
        <f>IF($K543="","",INDEX(Zeiterfassung!$D$6:$D$3665,$K543))</f>
        <v/>
      </c>
      <c r="E543" s="186">
        <f>IF($K543="","",INDEX(Zeiterfassung!$E$6:$E$3665,$K543))</f>
        <v/>
      </c>
      <c r="F543" s="187">
        <f>IF($K543="","",INDEX(Zeiterfassung!$F$6:$F$3665,$K543))</f>
        <v/>
      </c>
      <c r="G543" s="187">
        <f>IF($K543="","",INDEX(Zeiterfassung!$G$6:$G$3665,$K543))</f>
        <v/>
      </c>
      <c r="H543" s="188">
        <f>IF($K543="","",INDEX(Zeiterfassung!$H$6:$H$3665,$K543))</f>
        <v/>
      </c>
      <c r="I543" s="335">
        <f>IF(B543=B542,"",IF($K543="","",INDEX(Zeiterfassung!$I$6:$I$3665,MATCH(INDEX(Zeiterfassung!$K$6:$K$3665,$K543),Zeiterfassung!$K$6:$K$3665,0))))</f>
        <v/>
      </c>
      <c r="J543" s="335">
        <f>IF(B543=B542,"",IF($K543="","",INDEX(Zeiterfassung!$J$6:$J$3665,MATCH(INDEX(Zeiterfassung!$K$6:$K$3665,$K543),Zeiterfassung!$K$6:$K$3665,0))))</f>
        <v/>
      </c>
      <c r="K543">
        <f>IFERROR(AGGREGATE(15,6,(ROW(Zeiterfassung!$D$6:$D$3665)-ROW(Zeiterfassung!$D$6)+1)/(Zeiterfassung!$D$6:$D$3665&lt;&gt;""),538),"")</f>
        <v/>
      </c>
    </row>
    <row r="544" ht="20" customHeight="1">
      <c r="A544" s="183">
        <f>IF($K544="","",WEEKNUM(INDEX(Zeiterfassung!$K$6:$K$3665,$K544),21))</f>
        <v/>
      </c>
      <c r="B544" s="184">
        <f>IF($K544="","",INDEX(Zeiterfassung!$K$6:$K$3665,$K544))</f>
        <v/>
      </c>
      <c r="C544" s="185">
        <f>IF($K544="","",INDEX(Zeiterfassung!$K$6:$K$3665,$K544))</f>
        <v/>
      </c>
      <c r="D544" s="186">
        <f>IF($K544="","",INDEX(Zeiterfassung!$D$6:$D$3665,$K544))</f>
        <v/>
      </c>
      <c r="E544" s="186">
        <f>IF($K544="","",INDEX(Zeiterfassung!$E$6:$E$3665,$K544))</f>
        <v/>
      </c>
      <c r="F544" s="187">
        <f>IF($K544="","",INDEX(Zeiterfassung!$F$6:$F$3665,$K544))</f>
        <v/>
      </c>
      <c r="G544" s="187">
        <f>IF($K544="","",INDEX(Zeiterfassung!$G$6:$G$3665,$K544))</f>
        <v/>
      </c>
      <c r="H544" s="188">
        <f>IF($K544="","",INDEX(Zeiterfassung!$H$6:$H$3665,$K544))</f>
        <v/>
      </c>
      <c r="I544" s="335">
        <f>IF(B544=B543,"",IF($K544="","",INDEX(Zeiterfassung!$I$6:$I$3665,MATCH(INDEX(Zeiterfassung!$K$6:$K$3665,$K544),Zeiterfassung!$K$6:$K$3665,0))))</f>
        <v/>
      </c>
      <c r="J544" s="335">
        <f>IF(B544=B543,"",IF($K544="","",INDEX(Zeiterfassung!$J$6:$J$3665,MATCH(INDEX(Zeiterfassung!$K$6:$K$3665,$K544),Zeiterfassung!$K$6:$K$3665,0))))</f>
        <v/>
      </c>
      <c r="K544">
        <f>IFERROR(AGGREGATE(15,6,(ROW(Zeiterfassung!$D$6:$D$3665)-ROW(Zeiterfassung!$D$6)+1)/(Zeiterfassung!$D$6:$D$3665&lt;&gt;""),539),"")</f>
        <v/>
      </c>
    </row>
    <row r="545" ht="20" customHeight="1">
      <c r="A545" s="183">
        <f>IF($K545="","",WEEKNUM(INDEX(Zeiterfassung!$K$6:$K$3665,$K545),21))</f>
        <v/>
      </c>
      <c r="B545" s="184">
        <f>IF($K545="","",INDEX(Zeiterfassung!$K$6:$K$3665,$K545))</f>
        <v/>
      </c>
      <c r="C545" s="185">
        <f>IF($K545="","",INDEX(Zeiterfassung!$K$6:$K$3665,$K545))</f>
        <v/>
      </c>
      <c r="D545" s="186">
        <f>IF($K545="","",INDEX(Zeiterfassung!$D$6:$D$3665,$K545))</f>
        <v/>
      </c>
      <c r="E545" s="186">
        <f>IF($K545="","",INDEX(Zeiterfassung!$E$6:$E$3665,$K545))</f>
        <v/>
      </c>
      <c r="F545" s="187">
        <f>IF($K545="","",INDEX(Zeiterfassung!$F$6:$F$3665,$K545))</f>
        <v/>
      </c>
      <c r="G545" s="187">
        <f>IF($K545="","",INDEX(Zeiterfassung!$G$6:$G$3665,$K545))</f>
        <v/>
      </c>
      <c r="H545" s="188">
        <f>IF($K545="","",INDEX(Zeiterfassung!$H$6:$H$3665,$K545))</f>
        <v/>
      </c>
      <c r="I545" s="335">
        <f>IF(B545=B544,"",IF($K545="","",INDEX(Zeiterfassung!$I$6:$I$3665,MATCH(INDEX(Zeiterfassung!$K$6:$K$3665,$K545),Zeiterfassung!$K$6:$K$3665,0))))</f>
        <v/>
      </c>
      <c r="J545" s="335">
        <f>IF(B545=B544,"",IF($K545="","",INDEX(Zeiterfassung!$J$6:$J$3665,MATCH(INDEX(Zeiterfassung!$K$6:$K$3665,$K545),Zeiterfassung!$K$6:$K$3665,0))))</f>
        <v/>
      </c>
      <c r="K545">
        <f>IFERROR(AGGREGATE(15,6,(ROW(Zeiterfassung!$D$6:$D$3665)-ROW(Zeiterfassung!$D$6)+1)/(Zeiterfassung!$D$6:$D$3665&lt;&gt;""),540),"")</f>
        <v/>
      </c>
    </row>
    <row r="546" ht="20" customHeight="1">
      <c r="A546" s="183">
        <f>IF($K546="","",WEEKNUM(INDEX(Zeiterfassung!$K$6:$K$3665,$K546),21))</f>
        <v/>
      </c>
      <c r="B546" s="184">
        <f>IF($K546="","",INDEX(Zeiterfassung!$K$6:$K$3665,$K546))</f>
        <v/>
      </c>
      <c r="C546" s="185">
        <f>IF($K546="","",INDEX(Zeiterfassung!$K$6:$K$3665,$K546))</f>
        <v/>
      </c>
      <c r="D546" s="186">
        <f>IF($K546="","",INDEX(Zeiterfassung!$D$6:$D$3665,$K546))</f>
        <v/>
      </c>
      <c r="E546" s="186">
        <f>IF($K546="","",INDEX(Zeiterfassung!$E$6:$E$3665,$K546))</f>
        <v/>
      </c>
      <c r="F546" s="187">
        <f>IF($K546="","",INDEX(Zeiterfassung!$F$6:$F$3665,$K546))</f>
        <v/>
      </c>
      <c r="G546" s="187">
        <f>IF($K546="","",INDEX(Zeiterfassung!$G$6:$G$3665,$K546))</f>
        <v/>
      </c>
      <c r="H546" s="188">
        <f>IF($K546="","",INDEX(Zeiterfassung!$H$6:$H$3665,$K546))</f>
        <v/>
      </c>
      <c r="I546" s="335">
        <f>IF(B546=B545,"",IF($K546="","",INDEX(Zeiterfassung!$I$6:$I$3665,MATCH(INDEX(Zeiterfassung!$K$6:$K$3665,$K546),Zeiterfassung!$K$6:$K$3665,0))))</f>
        <v/>
      </c>
      <c r="J546" s="335">
        <f>IF(B546=B545,"",IF($K546="","",INDEX(Zeiterfassung!$J$6:$J$3665,MATCH(INDEX(Zeiterfassung!$K$6:$K$3665,$K546),Zeiterfassung!$K$6:$K$3665,0))))</f>
        <v/>
      </c>
      <c r="K546">
        <f>IFERROR(AGGREGATE(15,6,(ROW(Zeiterfassung!$D$6:$D$3665)-ROW(Zeiterfassung!$D$6)+1)/(Zeiterfassung!$D$6:$D$3665&lt;&gt;""),541),"")</f>
        <v/>
      </c>
    </row>
    <row r="547" ht="20" customHeight="1">
      <c r="A547" s="183">
        <f>IF($K547="","",WEEKNUM(INDEX(Zeiterfassung!$K$6:$K$3665,$K547),21))</f>
        <v/>
      </c>
      <c r="B547" s="184">
        <f>IF($K547="","",INDEX(Zeiterfassung!$K$6:$K$3665,$K547))</f>
        <v/>
      </c>
      <c r="C547" s="185">
        <f>IF($K547="","",INDEX(Zeiterfassung!$K$6:$K$3665,$K547))</f>
        <v/>
      </c>
      <c r="D547" s="186">
        <f>IF($K547="","",INDEX(Zeiterfassung!$D$6:$D$3665,$K547))</f>
        <v/>
      </c>
      <c r="E547" s="186">
        <f>IF($K547="","",INDEX(Zeiterfassung!$E$6:$E$3665,$K547))</f>
        <v/>
      </c>
      <c r="F547" s="187">
        <f>IF($K547="","",INDEX(Zeiterfassung!$F$6:$F$3665,$K547))</f>
        <v/>
      </c>
      <c r="G547" s="187">
        <f>IF($K547="","",INDEX(Zeiterfassung!$G$6:$G$3665,$K547))</f>
        <v/>
      </c>
      <c r="H547" s="188">
        <f>IF($K547="","",INDEX(Zeiterfassung!$H$6:$H$3665,$K547))</f>
        <v/>
      </c>
      <c r="I547" s="335">
        <f>IF(B547=B546,"",IF($K547="","",INDEX(Zeiterfassung!$I$6:$I$3665,MATCH(INDEX(Zeiterfassung!$K$6:$K$3665,$K547),Zeiterfassung!$K$6:$K$3665,0))))</f>
        <v/>
      </c>
      <c r="J547" s="335">
        <f>IF(B547=B546,"",IF($K547="","",INDEX(Zeiterfassung!$J$6:$J$3665,MATCH(INDEX(Zeiterfassung!$K$6:$K$3665,$K547),Zeiterfassung!$K$6:$K$3665,0))))</f>
        <v/>
      </c>
      <c r="K547">
        <f>IFERROR(AGGREGATE(15,6,(ROW(Zeiterfassung!$D$6:$D$3665)-ROW(Zeiterfassung!$D$6)+1)/(Zeiterfassung!$D$6:$D$3665&lt;&gt;""),542),"")</f>
        <v/>
      </c>
    </row>
    <row r="548" ht="20" customHeight="1">
      <c r="A548" s="183">
        <f>IF($K548="","",WEEKNUM(INDEX(Zeiterfassung!$K$6:$K$3665,$K548),21))</f>
        <v/>
      </c>
      <c r="B548" s="184">
        <f>IF($K548="","",INDEX(Zeiterfassung!$K$6:$K$3665,$K548))</f>
        <v/>
      </c>
      <c r="C548" s="185">
        <f>IF($K548="","",INDEX(Zeiterfassung!$K$6:$K$3665,$K548))</f>
        <v/>
      </c>
      <c r="D548" s="186">
        <f>IF($K548="","",INDEX(Zeiterfassung!$D$6:$D$3665,$K548))</f>
        <v/>
      </c>
      <c r="E548" s="186">
        <f>IF($K548="","",INDEX(Zeiterfassung!$E$6:$E$3665,$K548))</f>
        <v/>
      </c>
      <c r="F548" s="187">
        <f>IF($K548="","",INDEX(Zeiterfassung!$F$6:$F$3665,$K548))</f>
        <v/>
      </c>
      <c r="G548" s="187">
        <f>IF($K548="","",INDEX(Zeiterfassung!$G$6:$G$3665,$K548))</f>
        <v/>
      </c>
      <c r="H548" s="188">
        <f>IF($K548="","",INDEX(Zeiterfassung!$H$6:$H$3665,$K548))</f>
        <v/>
      </c>
      <c r="I548" s="335">
        <f>IF(B548=B547,"",IF($K548="","",INDEX(Zeiterfassung!$I$6:$I$3665,MATCH(INDEX(Zeiterfassung!$K$6:$K$3665,$K548),Zeiterfassung!$K$6:$K$3665,0))))</f>
        <v/>
      </c>
      <c r="J548" s="335">
        <f>IF(B548=B547,"",IF($K548="","",INDEX(Zeiterfassung!$J$6:$J$3665,MATCH(INDEX(Zeiterfassung!$K$6:$K$3665,$K548),Zeiterfassung!$K$6:$K$3665,0))))</f>
        <v/>
      </c>
      <c r="K548">
        <f>IFERROR(AGGREGATE(15,6,(ROW(Zeiterfassung!$D$6:$D$3665)-ROW(Zeiterfassung!$D$6)+1)/(Zeiterfassung!$D$6:$D$3665&lt;&gt;""),543),"")</f>
        <v/>
      </c>
    </row>
    <row r="549" ht="20" customHeight="1">
      <c r="A549" s="183">
        <f>IF($K549="","",WEEKNUM(INDEX(Zeiterfassung!$K$6:$K$3665,$K549),21))</f>
        <v/>
      </c>
      <c r="B549" s="184">
        <f>IF($K549="","",INDEX(Zeiterfassung!$K$6:$K$3665,$K549))</f>
        <v/>
      </c>
      <c r="C549" s="185">
        <f>IF($K549="","",INDEX(Zeiterfassung!$K$6:$K$3665,$K549))</f>
        <v/>
      </c>
      <c r="D549" s="186">
        <f>IF($K549="","",INDEX(Zeiterfassung!$D$6:$D$3665,$K549))</f>
        <v/>
      </c>
      <c r="E549" s="186">
        <f>IF($K549="","",INDEX(Zeiterfassung!$E$6:$E$3665,$K549))</f>
        <v/>
      </c>
      <c r="F549" s="187">
        <f>IF($K549="","",INDEX(Zeiterfassung!$F$6:$F$3665,$K549))</f>
        <v/>
      </c>
      <c r="G549" s="187">
        <f>IF($K549="","",INDEX(Zeiterfassung!$G$6:$G$3665,$K549))</f>
        <v/>
      </c>
      <c r="H549" s="188">
        <f>IF($K549="","",INDEX(Zeiterfassung!$H$6:$H$3665,$K549))</f>
        <v/>
      </c>
      <c r="I549" s="335">
        <f>IF(B549=B548,"",IF($K549="","",INDEX(Zeiterfassung!$I$6:$I$3665,MATCH(INDEX(Zeiterfassung!$K$6:$K$3665,$K549),Zeiterfassung!$K$6:$K$3665,0))))</f>
        <v/>
      </c>
      <c r="J549" s="335">
        <f>IF(B549=B548,"",IF($K549="","",INDEX(Zeiterfassung!$J$6:$J$3665,MATCH(INDEX(Zeiterfassung!$K$6:$K$3665,$K549),Zeiterfassung!$K$6:$K$3665,0))))</f>
        <v/>
      </c>
      <c r="K549">
        <f>IFERROR(AGGREGATE(15,6,(ROW(Zeiterfassung!$D$6:$D$3665)-ROW(Zeiterfassung!$D$6)+1)/(Zeiterfassung!$D$6:$D$3665&lt;&gt;""),544),"")</f>
        <v/>
      </c>
    </row>
    <row r="550" ht="20" customHeight="1">
      <c r="A550" s="183">
        <f>IF($K550="","",WEEKNUM(INDEX(Zeiterfassung!$K$6:$K$3665,$K550),21))</f>
        <v/>
      </c>
      <c r="B550" s="184">
        <f>IF($K550="","",INDEX(Zeiterfassung!$K$6:$K$3665,$K550))</f>
        <v/>
      </c>
      <c r="C550" s="185">
        <f>IF($K550="","",INDEX(Zeiterfassung!$K$6:$K$3665,$K550))</f>
        <v/>
      </c>
      <c r="D550" s="186">
        <f>IF($K550="","",INDEX(Zeiterfassung!$D$6:$D$3665,$K550))</f>
        <v/>
      </c>
      <c r="E550" s="186">
        <f>IF($K550="","",INDEX(Zeiterfassung!$E$6:$E$3665,$K550))</f>
        <v/>
      </c>
      <c r="F550" s="187">
        <f>IF($K550="","",INDEX(Zeiterfassung!$F$6:$F$3665,$K550))</f>
        <v/>
      </c>
      <c r="G550" s="187">
        <f>IF($K550="","",INDEX(Zeiterfassung!$G$6:$G$3665,$K550))</f>
        <v/>
      </c>
      <c r="H550" s="188">
        <f>IF($K550="","",INDEX(Zeiterfassung!$H$6:$H$3665,$K550))</f>
        <v/>
      </c>
      <c r="I550" s="335">
        <f>IF(B550=B549,"",IF($K550="","",INDEX(Zeiterfassung!$I$6:$I$3665,MATCH(INDEX(Zeiterfassung!$K$6:$K$3665,$K550),Zeiterfassung!$K$6:$K$3665,0))))</f>
        <v/>
      </c>
      <c r="J550" s="335">
        <f>IF(B550=B549,"",IF($K550="","",INDEX(Zeiterfassung!$J$6:$J$3665,MATCH(INDEX(Zeiterfassung!$K$6:$K$3665,$K550),Zeiterfassung!$K$6:$K$3665,0))))</f>
        <v/>
      </c>
      <c r="K550">
        <f>IFERROR(AGGREGATE(15,6,(ROW(Zeiterfassung!$D$6:$D$3665)-ROW(Zeiterfassung!$D$6)+1)/(Zeiterfassung!$D$6:$D$3665&lt;&gt;""),545),"")</f>
        <v/>
      </c>
    </row>
    <row r="551" ht="20" customHeight="1">
      <c r="A551" s="183">
        <f>IF($K551="","",WEEKNUM(INDEX(Zeiterfassung!$K$6:$K$3665,$K551),21))</f>
        <v/>
      </c>
      <c r="B551" s="184">
        <f>IF($K551="","",INDEX(Zeiterfassung!$K$6:$K$3665,$K551))</f>
        <v/>
      </c>
      <c r="C551" s="185">
        <f>IF($K551="","",INDEX(Zeiterfassung!$K$6:$K$3665,$K551))</f>
        <v/>
      </c>
      <c r="D551" s="186">
        <f>IF($K551="","",INDEX(Zeiterfassung!$D$6:$D$3665,$K551))</f>
        <v/>
      </c>
      <c r="E551" s="186">
        <f>IF($K551="","",INDEX(Zeiterfassung!$E$6:$E$3665,$K551))</f>
        <v/>
      </c>
      <c r="F551" s="187">
        <f>IF($K551="","",INDEX(Zeiterfassung!$F$6:$F$3665,$K551))</f>
        <v/>
      </c>
      <c r="G551" s="187">
        <f>IF($K551="","",INDEX(Zeiterfassung!$G$6:$G$3665,$K551))</f>
        <v/>
      </c>
      <c r="H551" s="188">
        <f>IF($K551="","",INDEX(Zeiterfassung!$H$6:$H$3665,$K551))</f>
        <v/>
      </c>
      <c r="I551" s="335">
        <f>IF(B551=B550,"",IF($K551="","",INDEX(Zeiterfassung!$I$6:$I$3665,MATCH(INDEX(Zeiterfassung!$K$6:$K$3665,$K551),Zeiterfassung!$K$6:$K$3665,0))))</f>
        <v/>
      </c>
      <c r="J551" s="335">
        <f>IF(B551=B550,"",IF($K551="","",INDEX(Zeiterfassung!$J$6:$J$3665,MATCH(INDEX(Zeiterfassung!$K$6:$K$3665,$K551),Zeiterfassung!$K$6:$K$3665,0))))</f>
        <v/>
      </c>
      <c r="K551">
        <f>IFERROR(AGGREGATE(15,6,(ROW(Zeiterfassung!$D$6:$D$3665)-ROW(Zeiterfassung!$D$6)+1)/(Zeiterfassung!$D$6:$D$3665&lt;&gt;""),546),"")</f>
        <v/>
      </c>
    </row>
    <row r="552" ht="20" customHeight="1">
      <c r="A552" s="183">
        <f>IF($K552="","",WEEKNUM(INDEX(Zeiterfassung!$K$6:$K$3665,$K552),21))</f>
        <v/>
      </c>
      <c r="B552" s="184">
        <f>IF($K552="","",INDEX(Zeiterfassung!$K$6:$K$3665,$K552))</f>
        <v/>
      </c>
      <c r="C552" s="185">
        <f>IF($K552="","",INDEX(Zeiterfassung!$K$6:$K$3665,$K552))</f>
        <v/>
      </c>
      <c r="D552" s="186">
        <f>IF($K552="","",INDEX(Zeiterfassung!$D$6:$D$3665,$K552))</f>
        <v/>
      </c>
      <c r="E552" s="186">
        <f>IF($K552="","",INDEX(Zeiterfassung!$E$6:$E$3665,$K552))</f>
        <v/>
      </c>
      <c r="F552" s="187">
        <f>IF($K552="","",INDEX(Zeiterfassung!$F$6:$F$3665,$K552))</f>
        <v/>
      </c>
      <c r="G552" s="187">
        <f>IF($K552="","",INDEX(Zeiterfassung!$G$6:$G$3665,$K552))</f>
        <v/>
      </c>
      <c r="H552" s="188">
        <f>IF($K552="","",INDEX(Zeiterfassung!$H$6:$H$3665,$K552))</f>
        <v/>
      </c>
      <c r="I552" s="335">
        <f>IF(B552=B551,"",IF($K552="","",INDEX(Zeiterfassung!$I$6:$I$3665,MATCH(INDEX(Zeiterfassung!$K$6:$K$3665,$K552),Zeiterfassung!$K$6:$K$3665,0))))</f>
        <v/>
      </c>
      <c r="J552" s="335">
        <f>IF(B552=B551,"",IF($K552="","",INDEX(Zeiterfassung!$J$6:$J$3665,MATCH(INDEX(Zeiterfassung!$K$6:$K$3665,$K552),Zeiterfassung!$K$6:$K$3665,0))))</f>
        <v/>
      </c>
      <c r="K552">
        <f>IFERROR(AGGREGATE(15,6,(ROW(Zeiterfassung!$D$6:$D$3665)-ROW(Zeiterfassung!$D$6)+1)/(Zeiterfassung!$D$6:$D$3665&lt;&gt;""),547),"")</f>
        <v/>
      </c>
    </row>
    <row r="553" ht="20" customHeight="1">
      <c r="A553" s="183">
        <f>IF($K553="","",WEEKNUM(INDEX(Zeiterfassung!$K$6:$K$3665,$K553),21))</f>
        <v/>
      </c>
      <c r="B553" s="184">
        <f>IF($K553="","",INDEX(Zeiterfassung!$K$6:$K$3665,$K553))</f>
        <v/>
      </c>
      <c r="C553" s="185">
        <f>IF($K553="","",INDEX(Zeiterfassung!$K$6:$K$3665,$K553))</f>
        <v/>
      </c>
      <c r="D553" s="186">
        <f>IF($K553="","",INDEX(Zeiterfassung!$D$6:$D$3665,$K553))</f>
        <v/>
      </c>
      <c r="E553" s="186">
        <f>IF($K553="","",INDEX(Zeiterfassung!$E$6:$E$3665,$K553))</f>
        <v/>
      </c>
      <c r="F553" s="187">
        <f>IF($K553="","",INDEX(Zeiterfassung!$F$6:$F$3665,$K553))</f>
        <v/>
      </c>
      <c r="G553" s="187">
        <f>IF($K553="","",INDEX(Zeiterfassung!$G$6:$G$3665,$K553))</f>
        <v/>
      </c>
      <c r="H553" s="188">
        <f>IF($K553="","",INDEX(Zeiterfassung!$H$6:$H$3665,$K553))</f>
        <v/>
      </c>
      <c r="I553" s="335">
        <f>IF(B553=B552,"",IF($K553="","",INDEX(Zeiterfassung!$I$6:$I$3665,MATCH(INDEX(Zeiterfassung!$K$6:$K$3665,$K553),Zeiterfassung!$K$6:$K$3665,0))))</f>
        <v/>
      </c>
      <c r="J553" s="335">
        <f>IF(B553=B552,"",IF($K553="","",INDEX(Zeiterfassung!$J$6:$J$3665,MATCH(INDEX(Zeiterfassung!$K$6:$K$3665,$K553),Zeiterfassung!$K$6:$K$3665,0))))</f>
        <v/>
      </c>
      <c r="K553">
        <f>IFERROR(AGGREGATE(15,6,(ROW(Zeiterfassung!$D$6:$D$3665)-ROW(Zeiterfassung!$D$6)+1)/(Zeiterfassung!$D$6:$D$3665&lt;&gt;""),548),"")</f>
        <v/>
      </c>
    </row>
    <row r="554" ht="20" customHeight="1">
      <c r="A554" s="183">
        <f>IF($K554="","",WEEKNUM(INDEX(Zeiterfassung!$K$6:$K$3665,$K554),21))</f>
        <v/>
      </c>
      <c r="B554" s="184">
        <f>IF($K554="","",INDEX(Zeiterfassung!$K$6:$K$3665,$K554))</f>
        <v/>
      </c>
      <c r="C554" s="185">
        <f>IF($K554="","",INDEX(Zeiterfassung!$K$6:$K$3665,$K554))</f>
        <v/>
      </c>
      <c r="D554" s="186">
        <f>IF($K554="","",INDEX(Zeiterfassung!$D$6:$D$3665,$K554))</f>
        <v/>
      </c>
      <c r="E554" s="186">
        <f>IF($K554="","",INDEX(Zeiterfassung!$E$6:$E$3665,$K554))</f>
        <v/>
      </c>
      <c r="F554" s="187">
        <f>IF($K554="","",INDEX(Zeiterfassung!$F$6:$F$3665,$K554))</f>
        <v/>
      </c>
      <c r="G554" s="187">
        <f>IF($K554="","",INDEX(Zeiterfassung!$G$6:$G$3665,$K554))</f>
        <v/>
      </c>
      <c r="H554" s="188">
        <f>IF($K554="","",INDEX(Zeiterfassung!$H$6:$H$3665,$K554))</f>
        <v/>
      </c>
      <c r="I554" s="335">
        <f>IF(B554=B553,"",IF($K554="","",INDEX(Zeiterfassung!$I$6:$I$3665,MATCH(INDEX(Zeiterfassung!$K$6:$K$3665,$K554),Zeiterfassung!$K$6:$K$3665,0))))</f>
        <v/>
      </c>
      <c r="J554" s="335">
        <f>IF(B554=B553,"",IF($K554="","",INDEX(Zeiterfassung!$J$6:$J$3665,MATCH(INDEX(Zeiterfassung!$K$6:$K$3665,$K554),Zeiterfassung!$K$6:$K$3665,0))))</f>
        <v/>
      </c>
      <c r="K554">
        <f>IFERROR(AGGREGATE(15,6,(ROW(Zeiterfassung!$D$6:$D$3665)-ROW(Zeiterfassung!$D$6)+1)/(Zeiterfassung!$D$6:$D$3665&lt;&gt;""),549),"")</f>
        <v/>
      </c>
    </row>
    <row r="555" ht="20" customHeight="1">
      <c r="A555" s="183">
        <f>IF($K555="","",WEEKNUM(INDEX(Zeiterfassung!$K$6:$K$3665,$K555),21))</f>
        <v/>
      </c>
      <c r="B555" s="184">
        <f>IF($K555="","",INDEX(Zeiterfassung!$K$6:$K$3665,$K555))</f>
        <v/>
      </c>
      <c r="C555" s="185">
        <f>IF($K555="","",INDEX(Zeiterfassung!$K$6:$K$3665,$K555))</f>
        <v/>
      </c>
      <c r="D555" s="186">
        <f>IF($K555="","",INDEX(Zeiterfassung!$D$6:$D$3665,$K555))</f>
        <v/>
      </c>
      <c r="E555" s="186">
        <f>IF($K555="","",INDEX(Zeiterfassung!$E$6:$E$3665,$K555))</f>
        <v/>
      </c>
      <c r="F555" s="187">
        <f>IF($K555="","",INDEX(Zeiterfassung!$F$6:$F$3665,$K555))</f>
        <v/>
      </c>
      <c r="G555" s="187">
        <f>IF($K555="","",INDEX(Zeiterfassung!$G$6:$G$3665,$K555))</f>
        <v/>
      </c>
      <c r="H555" s="188">
        <f>IF($K555="","",INDEX(Zeiterfassung!$H$6:$H$3665,$K555))</f>
        <v/>
      </c>
      <c r="I555" s="335">
        <f>IF(B555=B554,"",IF($K555="","",INDEX(Zeiterfassung!$I$6:$I$3665,MATCH(INDEX(Zeiterfassung!$K$6:$K$3665,$K555),Zeiterfassung!$K$6:$K$3665,0))))</f>
        <v/>
      </c>
      <c r="J555" s="335">
        <f>IF(B555=B554,"",IF($K555="","",INDEX(Zeiterfassung!$J$6:$J$3665,MATCH(INDEX(Zeiterfassung!$K$6:$K$3665,$K555),Zeiterfassung!$K$6:$K$3665,0))))</f>
        <v/>
      </c>
      <c r="K555">
        <f>IFERROR(AGGREGATE(15,6,(ROW(Zeiterfassung!$D$6:$D$3665)-ROW(Zeiterfassung!$D$6)+1)/(Zeiterfassung!$D$6:$D$3665&lt;&gt;""),550),"")</f>
        <v/>
      </c>
    </row>
    <row r="556" ht="20" customHeight="1">
      <c r="A556" s="183">
        <f>IF($K556="","",WEEKNUM(INDEX(Zeiterfassung!$K$6:$K$3665,$K556),21))</f>
        <v/>
      </c>
      <c r="B556" s="184">
        <f>IF($K556="","",INDEX(Zeiterfassung!$K$6:$K$3665,$K556))</f>
        <v/>
      </c>
      <c r="C556" s="185">
        <f>IF($K556="","",INDEX(Zeiterfassung!$K$6:$K$3665,$K556))</f>
        <v/>
      </c>
      <c r="D556" s="186">
        <f>IF($K556="","",INDEX(Zeiterfassung!$D$6:$D$3665,$K556))</f>
        <v/>
      </c>
      <c r="E556" s="186">
        <f>IF($K556="","",INDEX(Zeiterfassung!$E$6:$E$3665,$K556))</f>
        <v/>
      </c>
      <c r="F556" s="187">
        <f>IF($K556="","",INDEX(Zeiterfassung!$F$6:$F$3665,$K556))</f>
        <v/>
      </c>
      <c r="G556" s="187">
        <f>IF($K556="","",INDEX(Zeiterfassung!$G$6:$G$3665,$K556))</f>
        <v/>
      </c>
      <c r="H556" s="188">
        <f>IF($K556="","",INDEX(Zeiterfassung!$H$6:$H$3665,$K556))</f>
        <v/>
      </c>
      <c r="I556" s="335">
        <f>IF(B556=B555,"",IF($K556="","",INDEX(Zeiterfassung!$I$6:$I$3665,MATCH(INDEX(Zeiterfassung!$K$6:$K$3665,$K556),Zeiterfassung!$K$6:$K$3665,0))))</f>
        <v/>
      </c>
      <c r="J556" s="335">
        <f>IF(B556=B555,"",IF($K556="","",INDEX(Zeiterfassung!$J$6:$J$3665,MATCH(INDEX(Zeiterfassung!$K$6:$K$3665,$K556),Zeiterfassung!$K$6:$K$3665,0))))</f>
        <v/>
      </c>
      <c r="K556">
        <f>IFERROR(AGGREGATE(15,6,(ROW(Zeiterfassung!$D$6:$D$3665)-ROW(Zeiterfassung!$D$6)+1)/(Zeiterfassung!$D$6:$D$3665&lt;&gt;""),551),"")</f>
        <v/>
      </c>
    </row>
    <row r="557" ht="20" customHeight="1">
      <c r="A557" s="183">
        <f>IF($K557="","",WEEKNUM(INDEX(Zeiterfassung!$K$6:$K$3665,$K557),21))</f>
        <v/>
      </c>
      <c r="B557" s="184">
        <f>IF($K557="","",INDEX(Zeiterfassung!$K$6:$K$3665,$K557))</f>
        <v/>
      </c>
      <c r="C557" s="185">
        <f>IF($K557="","",INDEX(Zeiterfassung!$K$6:$K$3665,$K557))</f>
        <v/>
      </c>
      <c r="D557" s="186">
        <f>IF($K557="","",INDEX(Zeiterfassung!$D$6:$D$3665,$K557))</f>
        <v/>
      </c>
      <c r="E557" s="186">
        <f>IF($K557="","",INDEX(Zeiterfassung!$E$6:$E$3665,$K557))</f>
        <v/>
      </c>
      <c r="F557" s="187">
        <f>IF($K557="","",INDEX(Zeiterfassung!$F$6:$F$3665,$K557))</f>
        <v/>
      </c>
      <c r="G557" s="187">
        <f>IF($K557="","",INDEX(Zeiterfassung!$G$6:$G$3665,$K557))</f>
        <v/>
      </c>
      <c r="H557" s="188">
        <f>IF($K557="","",INDEX(Zeiterfassung!$H$6:$H$3665,$K557))</f>
        <v/>
      </c>
      <c r="I557" s="335">
        <f>IF(B557=B556,"",IF($K557="","",INDEX(Zeiterfassung!$I$6:$I$3665,MATCH(INDEX(Zeiterfassung!$K$6:$K$3665,$K557),Zeiterfassung!$K$6:$K$3665,0))))</f>
        <v/>
      </c>
      <c r="J557" s="335">
        <f>IF(B557=B556,"",IF($K557="","",INDEX(Zeiterfassung!$J$6:$J$3665,MATCH(INDEX(Zeiterfassung!$K$6:$K$3665,$K557),Zeiterfassung!$K$6:$K$3665,0))))</f>
        <v/>
      </c>
      <c r="K557">
        <f>IFERROR(AGGREGATE(15,6,(ROW(Zeiterfassung!$D$6:$D$3665)-ROW(Zeiterfassung!$D$6)+1)/(Zeiterfassung!$D$6:$D$3665&lt;&gt;""),552),"")</f>
        <v/>
      </c>
    </row>
    <row r="558" ht="20" customHeight="1">
      <c r="A558" s="183">
        <f>IF($K558="","",WEEKNUM(INDEX(Zeiterfassung!$K$6:$K$3665,$K558),21))</f>
        <v/>
      </c>
      <c r="B558" s="184">
        <f>IF($K558="","",INDEX(Zeiterfassung!$K$6:$K$3665,$K558))</f>
        <v/>
      </c>
      <c r="C558" s="185">
        <f>IF($K558="","",INDEX(Zeiterfassung!$K$6:$K$3665,$K558))</f>
        <v/>
      </c>
      <c r="D558" s="186">
        <f>IF($K558="","",INDEX(Zeiterfassung!$D$6:$D$3665,$K558))</f>
        <v/>
      </c>
      <c r="E558" s="186">
        <f>IF($K558="","",INDEX(Zeiterfassung!$E$6:$E$3665,$K558))</f>
        <v/>
      </c>
      <c r="F558" s="187">
        <f>IF($K558="","",INDEX(Zeiterfassung!$F$6:$F$3665,$K558))</f>
        <v/>
      </c>
      <c r="G558" s="187">
        <f>IF($K558="","",INDEX(Zeiterfassung!$G$6:$G$3665,$K558))</f>
        <v/>
      </c>
      <c r="H558" s="188">
        <f>IF($K558="","",INDEX(Zeiterfassung!$H$6:$H$3665,$K558))</f>
        <v/>
      </c>
      <c r="I558" s="335">
        <f>IF(B558=B557,"",IF($K558="","",INDEX(Zeiterfassung!$I$6:$I$3665,MATCH(INDEX(Zeiterfassung!$K$6:$K$3665,$K558),Zeiterfassung!$K$6:$K$3665,0))))</f>
        <v/>
      </c>
      <c r="J558" s="335">
        <f>IF(B558=B557,"",IF($K558="","",INDEX(Zeiterfassung!$J$6:$J$3665,MATCH(INDEX(Zeiterfassung!$K$6:$K$3665,$K558),Zeiterfassung!$K$6:$K$3665,0))))</f>
        <v/>
      </c>
      <c r="K558">
        <f>IFERROR(AGGREGATE(15,6,(ROW(Zeiterfassung!$D$6:$D$3665)-ROW(Zeiterfassung!$D$6)+1)/(Zeiterfassung!$D$6:$D$3665&lt;&gt;""),553),"")</f>
        <v/>
      </c>
    </row>
    <row r="559" ht="20" customHeight="1">
      <c r="A559" s="183">
        <f>IF($K559="","",WEEKNUM(INDEX(Zeiterfassung!$K$6:$K$3665,$K559),21))</f>
        <v/>
      </c>
      <c r="B559" s="184">
        <f>IF($K559="","",INDEX(Zeiterfassung!$K$6:$K$3665,$K559))</f>
        <v/>
      </c>
      <c r="C559" s="185">
        <f>IF($K559="","",INDEX(Zeiterfassung!$K$6:$K$3665,$K559))</f>
        <v/>
      </c>
      <c r="D559" s="186">
        <f>IF($K559="","",INDEX(Zeiterfassung!$D$6:$D$3665,$K559))</f>
        <v/>
      </c>
      <c r="E559" s="186">
        <f>IF($K559="","",INDEX(Zeiterfassung!$E$6:$E$3665,$K559))</f>
        <v/>
      </c>
      <c r="F559" s="187">
        <f>IF($K559="","",INDEX(Zeiterfassung!$F$6:$F$3665,$K559))</f>
        <v/>
      </c>
      <c r="G559" s="187">
        <f>IF($K559="","",INDEX(Zeiterfassung!$G$6:$G$3665,$K559))</f>
        <v/>
      </c>
      <c r="H559" s="188">
        <f>IF($K559="","",INDEX(Zeiterfassung!$H$6:$H$3665,$K559))</f>
        <v/>
      </c>
      <c r="I559" s="335">
        <f>IF(B559=B558,"",IF($K559="","",INDEX(Zeiterfassung!$I$6:$I$3665,MATCH(INDEX(Zeiterfassung!$K$6:$K$3665,$K559),Zeiterfassung!$K$6:$K$3665,0))))</f>
        <v/>
      </c>
      <c r="J559" s="335">
        <f>IF(B559=B558,"",IF($K559="","",INDEX(Zeiterfassung!$J$6:$J$3665,MATCH(INDEX(Zeiterfassung!$K$6:$K$3665,$K559),Zeiterfassung!$K$6:$K$3665,0))))</f>
        <v/>
      </c>
      <c r="K559">
        <f>IFERROR(AGGREGATE(15,6,(ROW(Zeiterfassung!$D$6:$D$3665)-ROW(Zeiterfassung!$D$6)+1)/(Zeiterfassung!$D$6:$D$3665&lt;&gt;""),554),"")</f>
        <v/>
      </c>
    </row>
    <row r="560" ht="20" customHeight="1">
      <c r="A560" s="183">
        <f>IF($K560="","",WEEKNUM(INDEX(Zeiterfassung!$K$6:$K$3665,$K560),21))</f>
        <v/>
      </c>
      <c r="B560" s="184">
        <f>IF($K560="","",INDEX(Zeiterfassung!$K$6:$K$3665,$K560))</f>
        <v/>
      </c>
      <c r="C560" s="185">
        <f>IF($K560="","",INDEX(Zeiterfassung!$K$6:$K$3665,$K560))</f>
        <v/>
      </c>
      <c r="D560" s="186">
        <f>IF($K560="","",INDEX(Zeiterfassung!$D$6:$D$3665,$K560))</f>
        <v/>
      </c>
      <c r="E560" s="186">
        <f>IF($K560="","",INDEX(Zeiterfassung!$E$6:$E$3665,$K560))</f>
        <v/>
      </c>
      <c r="F560" s="187">
        <f>IF($K560="","",INDEX(Zeiterfassung!$F$6:$F$3665,$K560))</f>
        <v/>
      </c>
      <c r="G560" s="187">
        <f>IF($K560="","",INDEX(Zeiterfassung!$G$6:$G$3665,$K560))</f>
        <v/>
      </c>
      <c r="H560" s="188">
        <f>IF($K560="","",INDEX(Zeiterfassung!$H$6:$H$3665,$K560))</f>
        <v/>
      </c>
      <c r="I560" s="335">
        <f>IF(B560=B559,"",IF($K560="","",INDEX(Zeiterfassung!$I$6:$I$3665,MATCH(INDEX(Zeiterfassung!$K$6:$K$3665,$K560),Zeiterfassung!$K$6:$K$3665,0))))</f>
        <v/>
      </c>
      <c r="J560" s="335">
        <f>IF(B560=B559,"",IF($K560="","",INDEX(Zeiterfassung!$J$6:$J$3665,MATCH(INDEX(Zeiterfassung!$K$6:$K$3665,$K560),Zeiterfassung!$K$6:$K$3665,0))))</f>
        <v/>
      </c>
      <c r="K560">
        <f>IFERROR(AGGREGATE(15,6,(ROW(Zeiterfassung!$D$6:$D$3665)-ROW(Zeiterfassung!$D$6)+1)/(Zeiterfassung!$D$6:$D$3665&lt;&gt;""),555),"")</f>
        <v/>
      </c>
    </row>
    <row r="561" ht="20" customHeight="1">
      <c r="A561" s="183">
        <f>IF($K561="","",WEEKNUM(INDEX(Zeiterfassung!$K$6:$K$3665,$K561),21))</f>
        <v/>
      </c>
      <c r="B561" s="184">
        <f>IF($K561="","",INDEX(Zeiterfassung!$K$6:$K$3665,$K561))</f>
        <v/>
      </c>
      <c r="C561" s="185">
        <f>IF($K561="","",INDEX(Zeiterfassung!$K$6:$K$3665,$K561))</f>
        <v/>
      </c>
      <c r="D561" s="186">
        <f>IF($K561="","",INDEX(Zeiterfassung!$D$6:$D$3665,$K561))</f>
        <v/>
      </c>
      <c r="E561" s="186">
        <f>IF($K561="","",INDEX(Zeiterfassung!$E$6:$E$3665,$K561))</f>
        <v/>
      </c>
      <c r="F561" s="187">
        <f>IF($K561="","",INDEX(Zeiterfassung!$F$6:$F$3665,$K561))</f>
        <v/>
      </c>
      <c r="G561" s="187">
        <f>IF($K561="","",INDEX(Zeiterfassung!$G$6:$G$3665,$K561))</f>
        <v/>
      </c>
      <c r="H561" s="188">
        <f>IF($K561="","",INDEX(Zeiterfassung!$H$6:$H$3665,$K561))</f>
        <v/>
      </c>
      <c r="I561" s="335">
        <f>IF(B561=B560,"",IF($K561="","",INDEX(Zeiterfassung!$I$6:$I$3665,MATCH(INDEX(Zeiterfassung!$K$6:$K$3665,$K561),Zeiterfassung!$K$6:$K$3665,0))))</f>
        <v/>
      </c>
      <c r="J561" s="335">
        <f>IF(B561=B560,"",IF($K561="","",INDEX(Zeiterfassung!$J$6:$J$3665,MATCH(INDEX(Zeiterfassung!$K$6:$K$3665,$K561),Zeiterfassung!$K$6:$K$3665,0))))</f>
        <v/>
      </c>
      <c r="K561">
        <f>IFERROR(AGGREGATE(15,6,(ROW(Zeiterfassung!$D$6:$D$3665)-ROW(Zeiterfassung!$D$6)+1)/(Zeiterfassung!$D$6:$D$3665&lt;&gt;""),556),"")</f>
        <v/>
      </c>
    </row>
    <row r="562" ht="20" customHeight="1">
      <c r="A562" s="183">
        <f>IF($K562="","",WEEKNUM(INDEX(Zeiterfassung!$K$6:$K$3665,$K562),21))</f>
        <v/>
      </c>
      <c r="B562" s="184">
        <f>IF($K562="","",INDEX(Zeiterfassung!$K$6:$K$3665,$K562))</f>
        <v/>
      </c>
      <c r="C562" s="185">
        <f>IF($K562="","",INDEX(Zeiterfassung!$K$6:$K$3665,$K562))</f>
        <v/>
      </c>
      <c r="D562" s="186">
        <f>IF($K562="","",INDEX(Zeiterfassung!$D$6:$D$3665,$K562))</f>
        <v/>
      </c>
      <c r="E562" s="186">
        <f>IF($K562="","",INDEX(Zeiterfassung!$E$6:$E$3665,$K562))</f>
        <v/>
      </c>
      <c r="F562" s="187">
        <f>IF($K562="","",INDEX(Zeiterfassung!$F$6:$F$3665,$K562))</f>
        <v/>
      </c>
      <c r="G562" s="187">
        <f>IF($K562="","",INDEX(Zeiterfassung!$G$6:$G$3665,$K562))</f>
        <v/>
      </c>
      <c r="H562" s="188">
        <f>IF($K562="","",INDEX(Zeiterfassung!$H$6:$H$3665,$K562))</f>
        <v/>
      </c>
      <c r="I562" s="335">
        <f>IF(B562=B561,"",IF($K562="","",INDEX(Zeiterfassung!$I$6:$I$3665,MATCH(INDEX(Zeiterfassung!$K$6:$K$3665,$K562),Zeiterfassung!$K$6:$K$3665,0))))</f>
        <v/>
      </c>
      <c r="J562" s="335">
        <f>IF(B562=B561,"",IF($K562="","",INDEX(Zeiterfassung!$J$6:$J$3665,MATCH(INDEX(Zeiterfassung!$K$6:$K$3665,$K562),Zeiterfassung!$K$6:$K$3665,0))))</f>
        <v/>
      </c>
      <c r="K562">
        <f>IFERROR(AGGREGATE(15,6,(ROW(Zeiterfassung!$D$6:$D$3665)-ROW(Zeiterfassung!$D$6)+1)/(Zeiterfassung!$D$6:$D$3665&lt;&gt;""),557),"")</f>
        <v/>
      </c>
    </row>
    <row r="563" ht="20" customHeight="1">
      <c r="A563" s="183">
        <f>IF($K563="","",WEEKNUM(INDEX(Zeiterfassung!$K$6:$K$3665,$K563),21))</f>
        <v/>
      </c>
      <c r="B563" s="184">
        <f>IF($K563="","",INDEX(Zeiterfassung!$K$6:$K$3665,$K563))</f>
        <v/>
      </c>
      <c r="C563" s="185">
        <f>IF($K563="","",INDEX(Zeiterfassung!$K$6:$K$3665,$K563))</f>
        <v/>
      </c>
      <c r="D563" s="186">
        <f>IF($K563="","",INDEX(Zeiterfassung!$D$6:$D$3665,$K563))</f>
        <v/>
      </c>
      <c r="E563" s="186">
        <f>IF($K563="","",INDEX(Zeiterfassung!$E$6:$E$3665,$K563))</f>
        <v/>
      </c>
      <c r="F563" s="187">
        <f>IF($K563="","",INDEX(Zeiterfassung!$F$6:$F$3665,$K563))</f>
        <v/>
      </c>
      <c r="G563" s="187">
        <f>IF($K563="","",INDEX(Zeiterfassung!$G$6:$G$3665,$K563))</f>
        <v/>
      </c>
      <c r="H563" s="188">
        <f>IF($K563="","",INDEX(Zeiterfassung!$H$6:$H$3665,$K563))</f>
        <v/>
      </c>
      <c r="I563" s="335">
        <f>IF(B563=B562,"",IF($K563="","",INDEX(Zeiterfassung!$I$6:$I$3665,MATCH(INDEX(Zeiterfassung!$K$6:$K$3665,$K563),Zeiterfassung!$K$6:$K$3665,0))))</f>
        <v/>
      </c>
      <c r="J563" s="335">
        <f>IF(B563=B562,"",IF($K563="","",INDEX(Zeiterfassung!$J$6:$J$3665,MATCH(INDEX(Zeiterfassung!$K$6:$K$3665,$K563),Zeiterfassung!$K$6:$K$3665,0))))</f>
        <v/>
      </c>
      <c r="K563">
        <f>IFERROR(AGGREGATE(15,6,(ROW(Zeiterfassung!$D$6:$D$3665)-ROW(Zeiterfassung!$D$6)+1)/(Zeiterfassung!$D$6:$D$3665&lt;&gt;""),558),"")</f>
        <v/>
      </c>
    </row>
    <row r="564" ht="20" customHeight="1">
      <c r="A564" s="183">
        <f>IF($K564="","",WEEKNUM(INDEX(Zeiterfassung!$K$6:$K$3665,$K564),21))</f>
        <v/>
      </c>
      <c r="B564" s="184">
        <f>IF($K564="","",INDEX(Zeiterfassung!$K$6:$K$3665,$K564))</f>
        <v/>
      </c>
      <c r="C564" s="185">
        <f>IF($K564="","",INDEX(Zeiterfassung!$K$6:$K$3665,$K564))</f>
        <v/>
      </c>
      <c r="D564" s="186">
        <f>IF($K564="","",INDEX(Zeiterfassung!$D$6:$D$3665,$K564))</f>
        <v/>
      </c>
      <c r="E564" s="186">
        <f>IF($K564="","",INDEX(Zeiterfassung!$E$6:$E$3665,$K564))</f>
        <v/>
      </c>
      <c r="F564" s="187">
        <f>IF($K564="","",INDEX(Zeiterfassung!$F$6:$F$3665,$K564))</f>
        <v/>
      </c>
      <c r="G564" s="187">
        <f>IF($K564="","",INDEX(Zeiterfassung!$G$6:$G$3665,$K564))</f>
        <v/>
      </c>
      <c r="H564" s="188">
        <f>IF($K564="","",INDEX(Zeiterfassung!$H$6:$H$3665,$K564))</f>
        <v/>
      </c>
      <c r="I564" s="335">
        <f>IF(B564=B563,"",IF($K564="","",INDEX(Zeiterfassung!$I$6:$I$3665,MATCH(INDEX(Zeiterfassung!$K$6:$K$3665,$K564),Zeiterfassung!$K$6:$K$3665,0))))</f>
        <v/>
      </c>
      <c r="J564" s="335">
        <f>IF(B564=B563,"",IF($K564="","",INDEX(Zeiterfassung!$J$6:$J$3665,MATCH(INDEX(Zeiterfassung!$K$6:$K$3665,$K564),Zeiterfassung!$K$6:$K$3665,0))))</f>
        <v/>
      </c>
      <c r="K564">
        <f>IFERROR(AGGREGATE(15,6,(ROW(Zeiterfassung!$D$6:$D$3665)-ROW(Zeiterfassung!$D$6)+1)/(Zeiterfassung!$D$6:$D$3665&lt;&gt;""),559),"")</f>
        <v/>
      </c>
    </row>
    <row r="565" ht="20" customHeight="1">
      <c r="A565" s="183">
        <f>IF($K565="","",WEEKNUM(INDEX(Zeiterfassung!$K$6:$K$3665,$K565),21))</f>
        <v/>
      </c>
      <c r="B565" s="184">
        <f>IF($K565="","",INDEX(Zeiterfassung!$K$6:$K$3665,$K565))</f>
        <v/>
      </c>
      <c r="C565" s="185">
        <f>IF($K565="","",INDEX(Zeiterfassung!$K$6:$K$3665,$K565))</f>
        <v/>
      </c>
      <c r="D565" s="186">
        <f>IF($K565="","",INDEX(Zeiterfassung!$D$6:$D$3665,$K565))</f>
        <v/>
      </c>
      <c r="E565" s="186">
        <f>IF($K565="","",INDEX(Zeiterfassung!$E$6:$E$3665,$K565))</f>
        <v/>
      </c>
      <c r="F565" s="187">
        <f>IF($K565="","",INDEX(Zeiterfassung!$F$6:$F$3665,$K565))</f>
        <v/>
      </c>
      <c r="G565" s="187">
        <f>IF($K565="","",INDEX(Zeiterfassung!$G$6:$G$3665,$K565))</f>
        <v/>
      </c>
      <c r="H565" s="188">
        <f>IF($K565="","",INDEX(Zeiterfassung!$H$6:$H$3665,$K565))</f>
        <v/>
      </c>
      <c r="I565" s="335">
        <f>IF(B565=B564,"",IF($K565="","",INDEX(Zeiterfassung!$I$6:$I$3665,MATCH(INDEX(Zeiterfassung!$K$6:$K$3665,$K565),Zeiterfassung!$K$6:$K$3665,0))))</f>
        <v/>
      </c>
      <c r="J565" s="335">
        <f>IF(B565=B564,"",IF($K565="","",INDEX(Zeiterfassung!$J$6:$J$3665,MATCH(INDEX(Zeiterfassung!$K$6:$K$3665,$K565),Zeiterfassung!$K$6:$K$3665,0))))</f>
        <v/>
      </c>
      <c r="K565">
        <f>IFERROR(AGGREGATE(15,6,(ROW(Zeiterfassung!$D$6:$D$3665)-ROW(Zeiterfassung!$D$6)+1)/(Zeiterfassung!$D$6:$D$3665&lt;&gt;""),560),"")</f>
        <v/>
      </c>
    </row>
    <row r="566" ht="20" customHeight="1">
      <c r="A566" s="183">
        <f>IF($K566="","",WEEKNUM(INDEX(Zeiterfassung!$K$6:$K$3665,$K566),21))</f>
        <v/>
      </c>
      <c r="B566" s="184">
        <f>IF($K566="","",INDEX(Zeiterfassung!$K$6:$K$3665,$K566))</f>
        <v/>
      </c>
      <c r="C566" s="185">
        <f>IF($K566="","",INDEX(Zeiterfassung!$K$6:$K$3665,$K566))</f>
        <v/>
      </c>
      <c r="D566" s="186">
        <f>IF($K566="","",INDEX(Zeiterfassung!$D$6:$D$3665,$K566))</f>
        <v/>
      </c>
      <c r="E566" s="186">
        <f>IF($K566="","",INDEX(Zeiterfassung!$E$6:$E$3665,$K566))</f>
        <v/>
      </c>
      <c r="F566" s="187">
        <f>IF($K566="","",INDEX(Zeiterfassung!$F$6:$F$3665,$K566))</f>
        <v/>
      </c>
      <c r="G566" s="187">
        <f>IF($K566="","",INDEX(Zeiterfassung!$G$6:$G$3665,$K566))</f>
        <v/>
      </c>
      <c r="H566" s="188">
        <f>IF($K566="","",INDEX(Zeiterfassung!$H$6:$H$3665,$K566))</f>
        <v/>
      </c>
      <c r="I566" s="335">
        <f>IF(B566=B565,"",IF($K566="","",INDEX(Zeiterfassung!$I$6:$I$3665,MATCH(INDEX(Zeiterfassung!$K$6:$K$3665,$K566),Zeiterfassung!$K$6:$K$3665,0))))</f>
        <v/>
      </c>
      <c r="J566" s="335">
        <f>IF(B566=B565,"",IF($K566="","",INDEX(Zeiterfassung!$J$6:$J$3665,MATCH(INDEX(Zeiterfassung!$K$6:$K$3665,$K566),Zeiterfassung!$K$6:$K$3665,0))))</f>
        <v/>
      </c>
      <c r="K566">
        <f>IFERROR(AGGREGATE(15,6,(ROW(Zeiterfassung!$D$6:$D$3665)-ROW(Zeiterfassung!$D$6)+1)/(Zeiterfassung!$D$6:$D$3665&lt;&gt;""),561),"")</f>
        <v/>
      </c>
    </row>
    <row r="567" ht="20" customHeight="1">
      <c r="A567" s="183">
        <f>IF($K567="","",WEEKNUM(INDEX(Zeiterfassung!$K$6:$K$3665,$K567),21))</f>
        <v/>
      </c>
      <c r="B567" s="184">
        <f>IF($K567="","",INDEX(Zeiterfassung!$K$6:$K$3665,$K567))</f>
        <v/>
      </c>
      <c r="C567" s="185">
        <f>IF($K567="","",INDEX(Zeiterfassung!$K$6:$K$3665,$K567))</f>
        <v/>
      </c>
      <c r="D567" s="186">
        <f>IF($K567="","",INDEX(Zeiterfassung!$D$6:$D$3665,$K567))</f>
        <v/>
      </c>
      <c r="E567" s="186">
        <f>IF($K567="","",INDEX(Zeiterfassung!$E$6:$E$3665,$K567))</f>
        <v/>
      </c>
      <c r="F567" s="187">
        <f>IF($K567="","",INDEX(Zeiterfassung!$F$6:$F$3665,$K567))</f>
        <v/>
      </c>
      <c r="G567" s="187">
        <f>IF($K567="","",INDEX(Zeiterfassung!$G$6:$G$3665,$K567))</f>
        <v/>
      </c>
      <c r="H567" s="188">
        <f>IF($K567="","",INDEX(Zeiterfassung!$H$6:$H$3665,$K567))</f>
        <v/>
      </c>
      <c r="I567" s="335">
        <f>IF(B567=B566,"",IF($K567="","",INDEX(Zeiterfassung!$I$6:$I$3665,MATCH(INDEX(Zeiterfassung!$K$6:$K$3665,$K567),Zeiterfassung!$K$6:$K$3665,0))))</f>
        <v/>
      </c>
      <c r="J567" s="335">
        <f>IF(B567=B566,"",IF($K567="","",INDEX(Zeiterfassung!$J$6:$J$3665,MATCH(INDEX(Zeiterfassung!$K$6:$K$3665,$K567),Zeiterfassung!$K$6:$K$3665,0))))</f>
        <v/>
      </c>
      <c r="K567">
        <f>IFERROR(AGGREGATE(15,6,(ROW(Zeiterfassung!$D$6:$D$3665)-ROW(Zeiterfassung!$D$6)+1)/(Zeiterfassung!$D$6:$D$3665&lt;&gt;""),562),"")</f>
        <v/>
      </c>
    </row>
    <row r="568" ht="20" customHeight="1">
      <c r="A568" s="183">
        <f>IF($K568="","",WEEKNUM(INDEX(Zeiterfassung!$K$6:$K$3665,$K568),21))</f>
        <v/>
      </c>
      <c r="B568" s="184">
        <f>IF($K568="","",INDEX(Zeiterfassung!$K$6:$K$3665,$K568))</f>
        <v/>
      </c>
      <c r="C568" s="185">
        <f>IF($K568="","",INDEX(Zeiterfassung!$K$6:$K$3665,$K568))</f>
        <v/>
      </c>
      <c r="D568" s="186">
        <f>IF($K568="","",INDEX(Zeiterfassung!$D$6:$D$3665,$K568))</f>
        <v/>
      </c>
      <c r="E568" s="186">
        <f>IF($K568="","",INDEX(Zeiterfassung!$E$6:$E$3665,$K568))</f>
        <v/>
      </c>
      <c r="F568" s="187">
        <f>IF($K568="","",INDEX(Zeiterfassung!$F$6:$F$3665,$K568))</f>
        <v/>
      </c>
      <c r="G568" s="187">
        <f>IF($K568="","",INDEX(Zeiterfassung!$G$6:$G$3665,$K568))</f>
        <v/>
      </c>
      <c r="H568" s="188">
        <f>IF($K568="","",INDEX(Zeiterfassung!$H$6:$H$3665,$K568))</f>
        <v/>
      </c>
      <c r="I568" s="335">
        <f>IF(B568=B567,"",IF($K568="","",INDEX(Zeiterfassung!$I$6:$I$3665,MATCH(INDEX(Zeiterfassung!$K$6:$K$3665,$K568),Zeiterfassung!$K$6:$K$3665,0))))</f>
        <v/>
      </c>
      <c r="J568" s="335">
        <f>IF(B568=B567,"",IF($K568="","",INDEX(Zeiterfassung!$J$6:$J$3665,MATCH(INDEX(Zeiterfassung!$K$6:$K$3665,$K568),Zeiterfassung!$K$6:$K$3665,0))))</f>
        <v/>
      </c>
      <c r="K568">
        <f>IFERROR(AGGREGATE(15,6,(ROW(Zeiterfassung!$D$6:$D$3665)-ROW(Zeiterfassung!$D$6)+1)/(Zeiterfassung!$D$6:$D$3665&lt;&gt;""),563),"")</f>
        <v/>
      </c>
    </row>
    <row r="569" ht="20" customHeight="1">
      <c r="A569" s="183">
        <f>IF($K569="","",WEEKNUM(INDEX(Zeiterfassung!$K$6:$K$3665,$K569),21))</f>
        <v/>
      </c>
      <c r="B569" s="184">
        <f>IF($K569="","",INDEX(Zeiterfassung!$K$6:$K$3665,$K569))</f>
        <v/>
      </c>
      <c r="C569" s="185">
        <f>IF($K569="","",INDEX(Zeiterfassung!$K$6:$K$3665,$K569))</f>
        <v/>
      </c>
      <c r="D569" s="186">
        <f>IF($K569="","",INDEX(Zeiterfassung!$D$6:$D$3665,$K569))</f>
        <v/>
      </c>
      <c r="E569" s="186">
        <f>IF($K569="","",INDEX(Zeiterfassung!$E$6:$E$3665,$K569))</f>
        <v/>
      </c>
      <c r="F569" s="187">
        <f>IF($K569="","",INDEX(Zeiterfassung!$F$6:$F$3665,$K569))</f>
        <v/>
      </c>
      <c r="G569" s="187">
        <f>IF($K569="","",INDEX(Zeiterfassung!$G$6:$G$3665,$K569))</f>
        <v/>
      </c>
      <c r="H569" s="188">
        <f>IF($K569="","",INDEX(Zeiterfassung!$H$6:$H$3665,$K569))</f>
        <v/>
      </c>
      <c r="I569" s="335">
        <f>IF(B569=B568,"",IF($K569="","",INDEX(Zeiterfassung!$I$6:$I$3665,MATCH(INDEX(Zeiterfassung!$K$6:$K$3665,$K569),Zeiterfassung!$K$6:$K$3665,0))))</f>
        <v/>
      </c>
      <c r="J569" s="335">
        <f>IF(B569=B568,"",IF($K569="","",INDEX(Zeiterfassung!$J$6:$J$3665,MATCH(INDEX(Zeiterfassung!$K$6:$K$3665,$K569),Zeiterfassung!$K$6:$K$3665,0))))</f>
        <v/>
      </c>
      <c r="K569">
        <f>IFERROR(AGGREGATE(15,6,(ROW(Zeiterfassung!$D$6:$D$3665)-ROW(Zeiterfassung!$D$6)+1)/(Zeiterfassung!$D$6:$D$3665&lt;&gt;""),564),"")</f>
        <v/>
      </c>
    </row>
    <row r="570" ht="20" customHeight="1">
      <c r="A570" s="183">
        <f>IF($K570="","",WEEKNUM(INDEX(Zeiterfassung!$K$6:$K$3665,$K570),21))</f>
        <v/>
      </c>
      <c r="B570" s="184">
        <f>IF($K570="","",INDEX(Zeiterfassung!$K$6:$K$3665,$K570))</f>
        <v/>
      </c>
      <c r="C570" s="185">
        <f>IF($K570="","",INDEX(Zeiterfassung!$K$6:$K$3665,$K570))</f>
        <v/>
      </c>
      <c r="D570" s="186">
        <f>IF($K570="","",INDEX(Zeiterfassung!$D$6:$D$3665,$K570))</f>
        <v/>
      </c>
      <c r="E570" s="186">
        <f>IF($K570="","",INDEX(Zeiterfassung!$E$6:$E$3665,$K570))</f>
        <v/>
      </c>
      <c r="F570" s="187">
        <f>IF($K570="","",INDEX(Zeiterfassung!$F$6:$F$3665,$K570))</f>
        <v/>
      </c>
      <c r="G570" s="187">
        <f>IF($K570="","",INDEX(Zeiterfassung!$G$6:$G$3665,$K570))</f>
        <v/>
      </c>
      <c r="H570" s="188">
        <f>IF($K570="","",INDEX(Zeiterfassung!$H$6:$H$3665,$K570))</f>
        <v/>
      </c>
      <c r="I570" s="335">
        <f>IF(B570=B569,"",IF($K570="","",INDEX(Zeiterfassung!$I$6:$I$3665,MATCH(INDEX(Zeiterfassung!$K$6:$K$3665,$K570),Zeiterfassung!$K$6:$K$3665,0))))</f>
        <v/>
      </c>
      <c r="J570" s="335">
        <f>IF(B570=B569,"",IF($K570="","",INDEX(Zeiterfassung!$J$6:$J$3665,MATCH(INDEX(Zeiterfassung!$K$6:$K$3665,$K570),Zeiterfassung!$K$6:$K$3665,0))))</f>
        <v/>
      </c>
      <c r="K570">
        <f>IFERROR(AGGREGATE(15,6,(ROW(Zeiterfassung!$D$6:$D$3665)-ROW(Zeiterfassung!$D$6)+1)/(Zeiterfassung!$D$6:$D$3665&lt;&gt;""),565),"")</f>
        <v/>
      </c>
    </row>
    <row r="571" ht="20" customHeight="1">
      <c r="A571" s="183">
        <f>IF($K571="","",WEEKNUM(INDEX(Zeiterfassung!$K$6:$K$3665,$K571),21))</f>
        <v/>
      </c>
      <c r="B571" s="184">
        <f>IF($K571="","",INDEX(Zeiterfassung!$K$6:$K$3665,$K571))</f>
        <v/>
      </c>
      <c r="C571" s="185">
        <f>IF($K571="","",INDEX(Zeiterfassung!$K$6:$K$3665,$K571))</f>
        <v/>
      </c>
      <c r="D571" s="186">
        <f>IF($K571="","",INDEX(Zeiterfassung!$D$6:$D$3665,$K571))</f>
        <v/>
      </c>
      <c r="E571" s="186">
        <f>IF($K571="","",INDEX(Zeiterfassung!$E$6:$E$3665,$K571))</f>
        <v/>
      </c>
      <c r="F571" s="187">
        <f>IF($K571="","",INDEX(Zeiterfassung!$F$6:$F$3665,$K571))</f>
        <v/>
      </c>
      <c r="G571" s="187">
        <f>IF($K571="","",INDEX(Zeiterfassung!$G$6:$G$3665,$K571))</f>
        <v/>
      </c>
      <c r="H571" s="188">
        <f>IF($K571="","",INDEX(Zeiterfassung!$H$6:$H$3665,$K571))</f>
        <v/>
      </c>
      <c r="I571" s="335">
        <f>IF(B571=B570,"",IF($K571="","",INDEX(Zeiterfassung!$I$6:$I$3665,MATCH(INDEX(Zeiterfassung!$K$6:$K$3665,$K571),Zeiterfassung!$K$6:$K$3665,0))))</f>
        <v/>
      </c>
      <c r="J571" s="335">
        <f>IF(B571=B570,"",IF($K571="","",INDEX(Zeiterfassung!$J$6:$J$3665,MATCH(INDEX(Zeiterfassung!$K$6:$K$3665,$K571),Zeiterfassung!$K$6:$K$3665,0))))</f>
        <v/>
      </c>
      <c r="K571">
        <f>IFERROR(AGGREGATE(15,6,(ROW(Zeiterfassung!$D$6:$D$3665)-ROW(Zeiterfassung!$D$6)+1)/(Zeiterfassung!$D$6:$D$3665&lt;&gt;""),566),"")</f>
        <v/>
      </c>
    </row>
    <row r="572" ht="20" customHeight="1">
      <c r="A572" s="183">
        <f>IF($K572="","",WEEKNUM(INDEX(Zeiterfassung!$K$6:$K$3665,$K572),21))</f>
        <v/>
      </c>
      <c r="B572" s="184">
        <f>IF($K572="","",INDEX(Zeiterfassung!$K$6:$K$3665,$K572))</f>
        <v/>
      </c>
      <c r="C572" s="185">
        <f>IF($K572="","",INDEX(Zeiterfassung!$K$6:$K$3665,$K572))</f>
        <v/>
      </c>
      <c r="D572" s="186">
        <f>IF($K572="","",INDEX(Zeiterfassung!$D$6:$D$3665,$K572))</f>
        <v/>
      </c>
      <c r="E572" s="186">
        <f>IF($K572="","",INDEX(Zeiterfassung!$E$6:$E$3665,$K572))</f>
        <v/>
      </c>
      <c r="F572" s="187">
        <f>IF($K572="","",INDEX(Zeiterfassung!$F$6:$F$3665,$K572))</f>
        <v/>
      </c>
      <c r="G572" s="187">
        <f>IF($K572="","",INDEX(Zeiterfassung!$G$6:$G$3665,$K572))</f>
        <v/>
      </c>
      <c r="H572" s="188">
        <f>IF($K572="","",INDEX(Zeiterfassung!$H$6:$H$3665,$K572))</f>
        <v/>
      </c>
      <c r="I572" s="335">
        <f>IF(B572=B571,"",IF($K572="","",INDEX(Zeiterfassung!$I$6:$I$3665,MATCH(INDEX(Zeiterfassung!$K$6:$K$3665,$K572),Zeiterfassung!$K$6:$K$3665,0))))</f>
        <v/>
      </c>
      <c r="J572" s="335">
        <f>IF(B572=B571,"",IF($K572="","",INDEX(Zeiterfassung!$J$6:$J$3665,MATCH(INDEX(Zeiterfassung!$K$6:$K$3665,$K572),Zeiterfassung!$K$6:$K$3665,0))))</f>
        <v/>
      </c>
      <c r="K572">
        <f>IFERROR(AGGREGATE(15,6,(ROW(Zeiterfassung!$D$6:$D$3665)-ROW(Zeiterfassung!$D$6)+1)/(Zeiterfassung!$D$6:$D$3665&lt;&gt;""),567),"")</f>
        <v/>
      </c>
    </row>
    <row r="573" ht="20" customHeight="1">
      <c r="A573" s="183">
        <f>IF($K573="","",WEEKNUM(INDEX(Zeiterfassung!$K$6:$K$3665,$K573),21))</f>
        <v/>
      </c>
      <c r="B573" s="184">
        <f>IF($K573="","",INDEX(Zeiterfassung!$K$6:$K$3665,$K573))</f>
        <v/>
      </c>
      <c r="C573" s="185">
        <f>IF($K573="","",INDEX(Zeiterfassung!$K$6:$K$3665,$K573))</f>
        <v/>
      </c>
      <c r="D573" s="186">
        <f>IF($K573="","",INDEX(Zeiterfassung!$D$6:$D$3665,$K573))</f>
        <v/>
      </c>
      <c r="E573" s="186">
        <f>IF($K573="","",INDEX(Zeiterfassung!$E$6:$E$3665,$K573))</f>
        <v/>
      </c>
      <c r="F573" s="187">
        <f>IF($K573="","",INDEX(Zeiterfassung!$F$6:$F$3665,$K573))</f>
        <v/>
      </c>
      <c r="G573" s="187">
        <f>IF($K573="","",INDEX(Zeiterfassung!$G$6:$G$3665,$K573))</f>
        <v/>
      </c>
      <c r="H573" s="188">
        <f>IF($K573="","",INDEX(Zeiterfassung!$H$6:$H$3665,$K573))</f>
        <v/>
      </c>
      <c r="I573" s="335">
        <f>IF(B573=B572,"",IF($K573="","",INDEX(Zeiterfassung!$I$6:$I$3665,MATCH(INDEX(Zeiterfassung!$K$6:$K$3665,$K573),Zeiterfassung!$K$6:$K$3665,0))))</f>
        <v/>
      </c>
      <c r="J573" s="335">
        <f>IF(B573=B572,"",IF($K573="","",INDEX(Zeiterfassung!$J$6:$J$3665,MATCH(INDEX(Zeiterfassung!$K$6:$K$3665,$K573),Zeiterfassung!$K$6:$K$3665,0))))</f>
        <v/>
      </c>
      <c r="K573">
        <f>IFERROR(AGGREGATE(15,6,(ROW(Zeiterfassung!$D$6:$D$3665)-ROW(Zeiterfassung!$D$6)+1)/(Zeiterfassung!$D$6:$D$3665&lt;&gt;""),568),"")</f>
        <v/>
      </c>
    </row>
    <row r="574" ht="20" customHeight="1">
      <c r="A574" s="183">
        <f>IF($K574="","",WEEKNUM(INDEX(Zeiterfassung!$K$6:$K$3665,$K574),21))</f>
        <v/>
      </c>
      <c r="B574" s="184">
        <f>IF($K574="","",INDEX(Zeiterfassung!$K$6:$K$3665,$K574))</f>
        <v/>
      </c>
      <c r="C574" s="185">
        <f>IF($K574="","",INDEX(Zeiterfassung!$K$6:$K$3665,$K574))</f>
        <v/>
      </c>
      <c r="D574" s="186">
        <f>IF($K574="","",INDEX(Zeiterfassung!$D$6:$D$3665,$K574))</f>
        <v/>
      </c>
      <c r="E574" s="186">
        <f>IF($K574="","",INDEX(Zeiterfassung!$E$6:$E$3665,$K574))</f>
        <v/>
      </c>
      <c r="F574" s="187">
        <f>IF($K574="","",INDEX(Zeiterfassung!$F$6:$F$3665,$K574))</f>
        <v/>
      </c>
      <c r="G574" s="187">
        <f>IF($K574="","",INDEX(Zeiterfassung!$G$6:$G$3665,$K574))</f>
        <v/>
      </c>
      <c r="H574" s="188">
        <f>IF($K574="","",INDEX(Zeiterfassung!$H$6:$H$3665,$K574))</f>
        <v/>
      </c>
      <c r="I574" s="335">
        <f>IF(B574=B573,"",IF($K574="","",INDEX(Zeiterfassung!$I$6:$I$3665,MATCH(INDEX(Zeiterfassung!$K$6:$K$3665,$K574),Zeiterfassung!$K$6:$K$3665,0))))</f>
        <v/>
      </c>
      <c r="J574" s="335">
        <f>IF(B574=B573,"",IF($K574="","",INDEX(Zeiterfassung!$J$6:$J$3665,MATCH(INDEX(Zeiterfassung!$K$6:$K$3665,$K574),Zeiterfassung!$K$6:$K$3665,0))))</f>
        <v/>
      </c>
      <c r="K574">
        <f>IFERROR(AGGREGATE(15,6,(ROW(Zeiterfassung!$D$6:$D$3665)-ROW(Zeiterfassung!$D$6)+1)/(Zeiterfassung!$D$6:$D$3665&lt;&gt;""),569),"")</f>
        <v/>
      </c>
    </row>
    <row r="575" ht="20" customHeight="1">
      <c r="A575" s="183">
        <f>IF($K575="","",WEEKNUM(INDEX(Zeiterfassung!$K$6:$K$3665,$K575),21))</f>
        <v/>
      </c>
      <c r="B575" s="184">
        <f>IF($K575="","",INDEX(Zeiterfassung!$K$6:$K$3665,$K575))</f>
        <v/>
      </c>
      <c r="C575" s="185">
        <f>IF($K575="","",INDEX(Zeiterfassung!$K$6:$K$3665,$K575))</f>
        <v/>
      </c>
      <c r="D575" s="186">
        <f>IF($K575="","",INDEX(Zeiterfassung!$D$6:$D$3665,$K575))</f>
        <v/>
      </c>
      <c r="E575" s="186">
        <f>IF($K575="","",INDEX(Zeiterfassung!$E$6:$E$3665,$K575))</f>
        <v/>
      </c>
      <c r="F575" s="187">
        <f>IF($K575="","",INDEX(Zeiterfassung!$F$6:$F$3665,$K575))</f>
        <v/>
      </c>
      <c r="G575" s="187">
        <f>IF($K575="","",INDEX(Zeiterfassung!$G$6:$G$3665,$K575))</f>
        <v/>
      </c>
      <c r="H575" s="188">
        <f>IF($K575="","",INDEX(Zeiterfassung!$H$6:$H$3665,$K575))</f>
        <v/>
      </c>
      <c r="I575" s="335">
        <f>IF(B575=B574,"",IF($K575="","",INDEX(Zeiterfassung!$I$6:$I$3665,MATCH(INDEX(Zeiterfassung!$K$6:$K$3665,$K575),Zeiterfassung!$K$6:$K$3665,0))))</f>
        <v/>
      </c>
      <c r="J575" s="335">
        <f>IF(B575=B574,"",IF($K575="","",INDEX(Zeiterfassung!$J$6:$J$3665,MATCH(INDEX(Zeiterfassung!$K$6:$K$3665,$K575),Zeiterfassung!$K$6:$K$3665,0))))</f>
        <v/>
      </c>
      <c r="K575">
        <f>IFERROR(AGGREGATE(15,6,(ROW(Zeiterfassung!$D$6:$D$3665)-ROW(Zeiterfassung!$D$6)+1)/(Zeiterfassung!$D$6:$D$3665&lt;&gt;""),570),"")</f>
        <v/>
      </c>
    </row>
    <row r="576" ht="20" customHeight="1">
      <c r="A576" s="183">
        <f>IF($K576="","",WEEKNUM(INDEX(Zeiterfassung!$K$6:$K$3665,$K576),21))</f>
        <v/>
      </c>
      <c r="B576" s="184">
        <f>IF($K576="","",INDEX(Zeiterfassung!$K$6:$K$3665,$K576))</f>
        <v/>
      </c>
      <c r="C576" s="185">
        <f>IF($K576="","",INDEX(Zeiterfassung!$K$6:$K$3665,$K576))</f>
        <v/>
      </c>
      <c r="D576" s="186">
        <f>IF($K576="","",INDEX(Zeiterfassung!$D$6:$D$3665,$K576))</f>
        <v/>
      </c>
      <c r="E576" s="186">
        <f>IF($K576="","",INDEX(Zeiterfassung!$E$6:$E$3665,$K576))</f>
        <v/>
      </c>
      <c r="F576" s="187">
        <f>IF($K576="","",INDEX(Zeiterfassung!$F$6:$F$3665,$K576))</f>
        <v/>
      </c>
      <c r="G576" s="187">
        <f>IF($K576="","",INDEX(Zeiterfassung!$G$6:$G$3665,$K576))</f>
        <v/>
      </c>
      <c r="H576" s="188">
        <f>IF($K576="","",INDEX(Zeiterfassung!$H$6:$H$3665,$K576))</f>
        <v/>
      </c>
      <c r="I576" s="335">
        <f>IF(B576=B575,"",IF($K576="","",INDEX(Zeiterfassung!$I$6:$I$3665,MATCH(INDEX(Zeiterfassung!$K$6:$K$3665,$K576),Zeiterfassung!$K$6:$K$3665,0))))</f>
        <v/>
      </c>
      <c r="J576" s="335">
        <f>IF(B576=B575,"",IF($K576="","",INDEX(Zeiterfassung!$J$6:$J$3665,MATCH(INDEX(Zeiterfassung!$K$6:$K$3665,$K576),Zeiterfassung!$K$6:$K$3665,0))))</f>
        <v/>
      </c>
      <c r="K576">
        <f>IFERROR(AGGREGATE(15,6,(ROW(Zeiterfassung!$D$6:$D$3665)-ROW(Zeiterfassung!$D$6)+1)/(Zeiterfassung!$D$6:$D$3665&lt;&gt;""),571),"")</f>
        <v/>
      </c>
    </row>
    <row r="577" ht="20" customHeight="1">
      <c r="A577" s="183">
        <f>IF($K577="","",WEEKNUM(INDEX(Zeiterfassung!$K$6:$K$3665,$K577),21))</f>
        <v/>
      </c>
      <c r="B577" s="184">
        <f>IF($K577="","",INDEX(Zeiterfassung!$K$6:$K$3665,$K577))</f>
        <v/>
      </c>
      <c r="C577" s="185">
        <f>IF($K577="","",INDEX(Zeiterfassung!$K$6:$K$3665,$K577))</f>
        <v/>
      </c>
      <c r="D577" s="186">
        <f>IF($K577="","",INDEX(Zeiterfassung!$D$6:$D$3665,$K577))</f>
        <v/>
      </c>
      <c r="E577" s="186">
        <f>IF($K577="","",INDEX(Zeiterfassung!$E$6:$E$3665,$K577))</f>
        <v/>
      </c>
      <c r="F577" s="187">
        <f>IF($K577="","",INDEX(Zeiterfassung!$F$6:$F$3665,$K577))</f>
        <v/>
      </c>
      <c r="G577" s="187">
        <f>IF($K577="","",INDEX(Zeiterfassung!$G$6:$G$3665,$K577))</f>
        <v/>
      </c>
      <c r="H577" s="188">
        <f>IF($K577="","",INDEX(Zeiterfassung!$H$6:$H$3665,$K577))</f>
        <v/>
      </c>
      <c r="I577" s="335">
        <f>IF(B577=B576,"",IF($K577="","",INDEX(Zeiterfassung!$I$6:$I$3665,MATCH(INDEX(Zeiterfassung!$K$6:$K$3665,$K577),Zeiterfassung!$K$6:$K$3665,0))))</f>
        <v/>
      </c>
      <c r="J577" s="335">
        <f>IF(B577=B576,"",IF($K577="","",INDEX(Zeiterfassung!$J$6:$J$3665,MATCH(INDEX(Zeiterfassung!$K$6:$K$3665,$K577),Zeiterfassung!$K$6:$K$3665,0))))</f>
        <v/>
      </c>
      <c r="K577">
        <f>IFERROR(AGGREGATE(15,6,(ROW(Zeiterfassung!$D$6:$D$3665)-ROW(Zeiterfassung!$D$6)+1)/(Zeiterfassung!$D$6:$D$3665&lt;&gt;""),572),"")</f>
        <v/>
      </c>
    </row>
    <row r="578" ht="20" customHeight="1">
      <c r="A578" s="183">
        <f>IF($K578="","",WEEKNUM(INDEX(Zeiterfassung!$K$6:$K$3665,$K578),21))</f>
        <v/>
      </c>
      <c r="B578" s="184">
        <f>IF($K578="","",INDEX(Zeiterfassung!$K$6:$K$3665,$K578))</f>
        <v/>
      </c>
      <c r="C578" s="185">
        <f>IF($K578="","",INDEX(Zeiterfassung!$K$6:$K$3665,$K578))</f>
        <v/>
      </c>
      <c r="D578" s="186">
        <f>IF($K578="","",INDEX(Zeiterfassung!$D$6:$D$3665,$K578))</f>
        <v/>
      </c>
      <c r="E578" s="186">
        <f>IF($K578="","",INDEX(Zeiterfassung!$E$6:$E$3665,$K578))</f>
        <v/>
      </c>
      <c r="F578" s="187">
        <f>IF($K578="","",INDEX(Zeiterfassung!$F$6:$F$3665,$K578))</f>
        <v/>
      </c>
      <c r="G578" s="187">
        <f>IF($K578="","",INDEX(Zeiterfassung!$G$6:$G$3665,$K578))</f>
        <v/>
      </c>
      <c r="H578" s="188">
        <f>IF($K578="","",INDEX(Zeiterfassung!$H$6:$H$3665,$K578))</f>
        <v/>
      </c>
      <c r="I578" s="335">
        <f>IF(B578=B577,"",IF($K578="","",INDEX(Zeiterfassung!$I$6:$I$3665,MATCH(INDEX(Zeiterfassung!$K$6:$K$3665,$K578),Zeiterfassung!$K$6:$K$3665,0))))</f>
        <v/>
      </c>
      <c r="J578" s="335">
        <f>IF(B578=B577,"",IF($K578="","",INDEX(Zeiterfassung!$J$6:$J$3665,MATCH(INDEX(Zeiterfassung!$K$6:$K$3665,$K578),Zeiterfassung!$K$6:$K$3665,0))))</f>
        <v/>
      </c>
      <c r="K578">
        <f>IFERROR(AGGREGATE(15,6,(ROW(Zeiterfassung!$D$6:$D$3665)-ROW(Zeiterfassung!$D$6)+1)/(Zeiterfassung!$D$6:$D$3665&lt;&gt;""),573),"")</f>
        <v/>
      </c>
    </row>
    <row r="579" ht="20" customHeight="1">
      <c r="A579" s="183">
        <f>IF($K579="","",WEEKNUM(INDEX(Zeiterfassung!$K$6:$K$3665,$K579),21))</f>
        <v/>
      </c>
      <c r="B579" s="184">
        <f>IF($K579="","",INDEX(Zeiterfassung!$K$6:$K$3665,$K579))</f>
        <v/>
      </c>
      <c r="C579" s="185">
        <f>IF($K579="","",INDEX(Zeiterfassung!$K$6:$K$3665,$K579))</f>
        <v/>
      </c>
      <c r="D579" s="186">
        <f>IF($K579="","",INDEX(Zeiterfassung!$D$6:$D$3665,$K579))</f>
        <v/>
      </c>
      <c r="E579" s="186">
        <f>IF($K579="","",INDEX(Zeiterfassung!$E$6:$E$3665,$K579))</f>
        <v/>
      </c>
      <c r="F579" s="187">
        <f>IF($K579="","",INDEX(Zeiterfassung!$F$6:$F$3665,$K579))</f>
        <v/>
      </c>
      <c r="G579" s="187">
        <f>IF($K579="","",INDEX(Zeiterfassung!$G$6:$G$3665,$K579))</f>
        <v/>
      </c>
      <c r="H579" s="188">
        <f>IF($K579="","",INDEX(Zeiterfassung!$H$6:$H$3665,$K579))</f>
        <v/>
      </c>
      <c r="I579" s="335">
        <f>IF(B579=B578,"",IF($K579="","",INDEX(Zeiterfassung!$I$6:$I$3665,MATCH(INDEX(Zeiterfassung!$K$6:$K$3665,$K579),Zeiterfassung!$K$6:$K$3665,0))))</f>
        <v/>
      </c>
      <c r="J579" s="335">
        <f>IF(B579=B578,"",IF($K579="","",INDEX(Zeiterfassung!$J$6:$J$3665,MATCH(INDEX(Zeiterfassung!$K$6:$K$3665,$K579),Zeiterfassung!$K$6:$K$3665,0))))</f>
        <v/>
      </c>
      <c r="K579">
        <f>IFERROR(AGGREGATE(15,6,(ROW(Zeiterfassung!$D$6:$D$3665)-ROW(Zeiterfassung!$D$6)+1)/(Zeiterfassung!$D$6:$D$3665&lt;&gt;""),574),"")</f>
        <v/>
      </c>
    </row>
    <row r="580" ht="20" customHeight="1">
      <c r="A580" s="183">
        <f>IF($K580="","",WEEKNUM(INDEX(Zeiterfassung!$K$6:$K$3665,$K580),21))</f>
        <v/>
      </c>
      <c r="B580" s="184">
        <f>IF($K580="","",INDEX(Zeiterfassung!$K$6:$K$3665,$K580))</f>
        <v/>
      </c>
      <c r="C580" s="185">
        <f>IF($K580="","",INDEX(Zeiterfassung!$K$6:$K$3665,$K580))</f>
        <v/>
      </c>
      <c r="D580" s="186">
        <f>IF($K580="","",INDEX(Zeiterfassung!$D$6:$D$3665,$K580))</f>
        <v/>
      </c>
      <c r="E580" s="186">
        <f>IF($K580="","",INDEX(Zeiterfassung!$E$6:$E$3665,$K580))</f>
        <v/>
      </c>
      <c r="F580" s="187">
        <f>IF($K580="","",INDEX(Zeiterfassung!$F$6:$F$3665,$K580))</f>
        <v/>
      </c>
      <c r="G580" s="187">
        <f>IF($K580="","",INDEX(Zeiterfassung!$G$6:$G$3665,$K580))</f>
        <v/>
      </c>
      <c r="H580" s="188">
        <f>IF($K580="","",INDEX(Zeiterfassung!$H$6:$H$3665,$K580))</f>
        <v/>
      </c>
      <c r="I580" s="335">
        <f>IF(B580=B579,"",IF($K580="","",INDEX(Zeiterfassung!$I$6:$I$3665,MATCH(INDEX(Zeiterfassung!$K$6:$K$3665,$K580),Zeiterfassung!$K$6:$K$3665,0))))</f>
        <v/>
      </c>
      <c r="J580" s="335">
        <f>IF(B580=B579,"",IF($K580="","",INDEX(Zeiterfassung!$J$6:$J$3665,MATCH(INDEX(Zeiterfassung!$K$6:$K$3665,$K580),Zeiterfassung!$K$6:$K$3665,0))))</f>
        <v/>
      </c>
      <c r="K580">
        <f>IFERROR(AGGREGATE(15,6,(ROW(Zeiterfassung!$D$6:$D$3665)-ROW(Zeiterfassung!$D$6)+1)/(Zeiterfassung!$D$6:$D$3665&lt;&gt;""),575),"")</f>
        <v/>
      </c>
    </row>
    <row r="581" ht="20" customHeight="1">
      <c r="A581" s="183">
        <f>IF($K581="","",WEEKNUM(INDEX(Zeiterfassung!$K$6:$K$3665,$K581),21))</f>
        <v/>
      </c>
      <c r="B581" s="184">
        <f>IF($K581="","",INDEX(Zeiterfassung!$K$6:$K$3665,$K581))</f>
        <v/>
      </c>
      <c r="C581" s="185">
        <f>IF($K581="","",INDEX(Zeiterfassung!$K$6:$K$3665,$K581))</f>
        <v/>
      </c>
      <c r="D581" s="186">
        <f>IF($K581="","",INDEX(Zeiterfassung!$D$6:$D$3665,$K581))</f>
        <v/>
      </c>
      <c r="E581" s="186">
        <f>IF($K581="","",INDEX(Zeiterfassung!$E$6:$E$3665,$K581))</f>
        <v/>
      </c>
      <c r="F581" s="187">
        <f>IF($K581="","",INDEX(Zeiterfassung!$F$6:$F$3665,$K581))</f>
        <v/>
      </c>
      <c r="G581" s="187">
        <f>IF($K581="","",INDEX(Zeiterfassung!$G$6:$G$3665,$K581))</f>
        <v/>
      </c>
      <c r="H581" s="188">
        <f>IF($K581="","",INDEX(Zeiterfassung!$H$6:$H$3665,$K581))</f>
        <v/>
      </c>
      <c r="I581" s="335">
        <f>IF(B581=B580,"",IF($K581="","",INDEX(Zeiterfassung!$I$6:$I$3665,MATCH(INDEX(Zeiterfassung!$K$6:$K$3665,$K581),Zeiterfassung!$K$6:$K$3665,0))))</f>
        <v/>
      </c>
      <c r="J581" s="335">
        <f>IF(B581=B580,"",IF($K581="","",INDEX(Zeiterfassung!$J$6:$J$3665,MATCH(INDEX(Zeiterfassung!$K$6:$K$3665,$K581),Zeiterfassung!$K$6:$K$3665,0))))</f>
        <v/>
      </c>
      <c r="K581">
        <f>IFERROR(AGGREGATE(15,6,(ROW(Zeiterfassung!$D$6:$D$3665)-ROW(Zeiterfassung!$D$6)+1)/(Zeiterfassung!$D$6:$D$3665&lt;&gt;""),576),"")</f>
        <v/>
      </c>
    </row>
    <row r="582" ht="20" customHeight="1">
      <c r="A582" s="183">
        <f>IF($K582="","",WEEKNUM(INDEX(Zeiterfassung!$K$6:$K$3665,$K582),21))</f>
        <v/>
      </c>
      <c r="B582" s="184">
        <f>IF($K582="","",INDEX(Zeiterfassung!$K$6:$K$3665,$K582))</f>
        <v/>
      </c>
      <c r="C582" s="185">
        <f>IF($K582="","",INDEX(Zeiterfassung!$K$6:$K$3665,$K582))</f>
        <v/>
      </c>
      <c r="D582" s="186">
        <f>IF($K582="","",INDEX(Zeiterfassung!$D$6:$D$3665,$K582))</f>
        <v/>
      </c>
      <c r="E582" s="186">
        <f>IF($K582="","",INDEX(Zeiterfassung!$E$6:$E$3665,$K582))</f>
        <v/>
      </c>
      <c r="F582" s="187">
        <f>IF($K582="","",INDEX(Zeiterfassung!$F$6:$F$3665,$K582))</f>
        <v/>
      </c>
      <c r="G582" s="187">
        <f>IF($K582="","",INDEX(Zeiterfassung!$G$6:$G$3665,$K582))</f>
        <v/>
      </c>
      <c r="H582" s="188">
        <f>IF($K582="","",INDEX(Zeiterfassung!$H$6:$H$3665,$K582))</f>
        <v/>
      </c>
      <c r="I582" s="335">
        <f>IF(B582=B581,"",IF($K582="","",INDEX(Zeiterfassung!$I$6:$I$3665,MATCH(INDEX(Zeiterfassung!$K$6:$K$3665,$K582),Zeiterfassung!$K$6:$K$3665,0))))</f>
        <v/>
      </c>
      <c r="J582" s="335">
        <f>IF(B582=B581,"",IF($K582="","",INDEX(Zeiterfassung!$J$6:$J$3665,MATCH(INDEX(Zeiterfassung!$K$6:$K$3665,$K582),Zeiterfassung!$K$6:$K$3665,0))))</f>
        <v/>
      </c>
      <c r="K582">
        <f>IFERROR(AGGREGATE(15,6,(ROW(Zeiterfassung!$D$6:$D$3665)-ROW(Zeiterfassung!$D$6)+1)/(Zeiterfassung!$D$6:$D$3665&lt;&gt;""),577),"")</f>
        <v/>
      </c>
    </row>
    <row r="583" ht="20" customHeight="1">
      <c r="A583" s="183">
        <f>IF($K583="","",WEEKNUM(INDEX(Zeiterfassung!$K$6:$K$3665,$K583),21))</f>
        <v/>
      </c>
      <c r="B583" s="184">
        <f>IF($K583="","",INDEX(Zeiterfassung!$K$6:$K$3665,$K583))</f>
        <v/>
      </c>
      <c r="C583" s="185">
        <f>IF($K583="","",INDEX(Zeiterfassung!$K$6:$K$3665,$K583))</f>
        <v/>
      </c>
      <c r="D583" s="186">
        <f>IF($K583="","",INDEX(Zeiterfassung!$D$6:$D$3665,$K583))</f>
        <v/>
      </c>
      <c r="E583" s="186">
        <f>IF($K583="","",INDEX(Zeiterfassung!$E$6:$E$3665,$K583))</f>
        <v/>
      </c>
      <c r="F583" s="187">
        <f>IF($K583="","",INDEX(Zeiterfassung!$F$6:$F$3665,$K583))</f>
        <v/>
      </c>
      <c r="G583" s="187">
        <f>IF($K583="","",INDEX(Zeiterfassung!$G$6:$G$3665,$K583))</f>
        <v/>
      </c>
      <c r="H583" s="188">
        <f>IF($K583="","",INDEX(Zeiterfassung!$H$6:$H$3665,$K583))</f>
        <v/>
      </c>
      <c r="I583" s="335">
        <f>IF(B583=B582,"",IF($K583="","",INDEX(Zeiterfassung!$I$6:$I$3665,MATCH(INDEX(Zeiterfassung!$K$6:$K$3665,$K583),Zeiterfassung!$K$6:$K$3665,0))))</f>
        <v/>
      </c>
      <c r="J583" s="335">
        <f>IF(B583=B582,"",IF($K583="","",INDEX(Zeiterfassung!$J$6:$J$3665,MATCH(INDEX(Zeiterfassung!$K$6:$K$3665,$K583),Zeiterfassung!$K$6:$K$3665,0))))</f>
        <v/>
      </c>
      <c r="K583">
        <f>IFERROR(AGGREGATE(15,6,(ROW(Zeiterfassung!$D$6:$D$3665)-ROW(Zeiterfassung!$D$6)+1)/(Zeiterfassung!$D$6:$D$3665&lt;&gt;""),578),"")</f>
        <v/>
      </c>
    </row>
    <row r="584" ht="20" customHeight="1">
      <c r="A584" s="183">
        <f>IF($K584="","",WEEKNUM(INDEX(Zeiterfassung!$K$6:$K$3665,$K584),21))</f>
        <v/>
      </c>
      <c r="B584" s="184">
        <f>IF($K584="","",INDEX(Zeiterfassung!$K$6:$K$3665,$K584))</f>
        <v/>
      </c>
      <c r="C584" s="185">
        <f>IF($K584="","",INDEX(Zeiterfassung!$K$6:$K$3665,$K584))</f>
        <v/>
      </c>
      <c r="D584" s="186">
        <f>IF($K584="","",INDEX(Zeiterfassung!$D$6:$D$3665,$K584))</f>
        <v/>
      </c>
      <c r="E584" s="186">
        <f>IF($K584="","",INDEX(Zeiterfassung!$E$6:$E$3665,$K584))</f>
        <v/>
      </c>
      <c r="F584" s="187">
        <f>IF($K584="","",INDEX(Zeiterfassung!$F$6:$F$3665,$K584))</f>
        <v/>
      </c>
      <c r="G584" s="187">
        <f>IF($K584="","",INDEX(Zeiterfassung!$G$6:$G$3665,$K584))</f>
        <v/>
      </c>
      <c r="H584" s="188">
        <f>IF($K584="","",INDEX(Zeiterfassung!$H$6:$H$3665,$K584))</f>
        <v/>
      </c>
      <c r="I584" s="335">
        <f>IF(B584=B583,"",IF($K584="","",INDEX(Zeiterfassung!$I$6:$I$3665,MATCH(INDEX(Zeiterfassung!$K$6:$K$3665,$K584),Zeiterfassung!$K$6:$K$3665,0))))</f>
        <v/>
      </c>
      <c r="J584" s="335">
        <f>IF(B584=B583,"",IF($K584="","",INDEX(Zeiterfassung!$J$6:$J$3665,MATCH(INDEX(Zeiterfassung!$K$6:$K$3665,$K584),Zeiterfassung!$K$6:$K$3665,0))))</f>
        <v/>
      </c>
      <c r="K584">
        <f>IFERROR(AGGREGATE(15,6,(ROW(Zeiterfassung!$D$6:$D$3665)-ROW(Zeiterfassung!$D$6)+1)/(Zeiterfassung!$D$6:$D$3665&lt;&gt;""),579),"")</f>
        <v/>
      </c>
    </row>
    <row r="585" ht="20" customHeight="1">
      <c r="A585" s="183">
        <f>IF($K585="","",WEEKNUM(INDEX(Zeiterfassung!$K$6:$K$3665,$K585),21))</f>
        <v/>
      </c>
      <c r="B585" s="184">
        <f>IF($K585="","",INDEX(Zeiterfassung!$K$6:$K$3665,$K585))</f>
        <v/>
      </c>
      <c r="C585" s="185">
        <f>IF($K585="","",INDEX(Zeiterfassung!$K$6:$K$3665,$K585))</f>
        <v/>
      </c>
      <c r="D585" s="186">
        <f>IF($K585="","",INDEX(Zeiterfassung!$D$6:$D$3665,$K585))</f>
        <v/>
      </c>
      <c r="E585" s="186">
        <f>IF($K585="","",INDEX(Zeiterfassung!$E$6:$E$3665,$K585))</f>
        <v/>
      </c>
      <c r="F585" s="187">
        <f>IF($K585="","",INDEX(Zeiterfassung!$F$6:$F$3665,$K585))</f>
        <v/>
      </c>
      <c r="G585" s="187">
        <f>IF($K585="","",INDEX(Zeiterfassung!$G$6:$G$3665,$K585))</f>
        <v/>
      </c>
      <c r="H585" s="188">
        <f>IF($K585="","",INDEX(Zeiterfassung!$H$6:$H$3665,$K585))</f>
        <v/>
      </c>
      <c r="I585" s="335">
        <f>IF(B585=B584,"",IF($K585="","",INDEX(Zeiterfassung!$I$6:$I$3665,MATCH(INDEX(Zeiterfassung!$K$6:$K$3665,$K585),Zeiterfassung!$K$6:$K$3665,0))))</f>
        <v/>
      </c>
      <c r="J585" s="335">
        <f>IF(B585=B584,"",IF($K585="","",INDEX(Zeiterfassung!$J$6:$J$3665,MATCH(INDEX(Zeiterfassung!$K$6:$K$3665,$K585),Zeiterfassung!$K$6:$K$3665,0))))</f>
        <v/>
      </c>
      <c r="K585">
        <f>IFERROR(AGGREGATE(15,6,(ROW(Zeiterfassung!$D$6:$D$3665)-ROW(Zeiterfassung!$D$6)+1)/(Zeiterfassung!$D$6:$D$3665&lt;&gt;""),580),"")</f>
        <v/>
      </c>
    </row>
    <row r="586" ht="20" customHeight="1">
      <c r="A586" s="183">
        <f>IF($K586="","",WEEKNUM(INDEX(Zeiterfassung!$K$6:$K$3665,$K586),21))</f>
        <v/>
      </c>
      <c r="B586" s="184">
        <f>IF($K586="","",INDEX(Zeiterfassung!$K$6:$K$3665,$K586))</f>
        <v/>
      </c>
      <c r="C586" s="185">
        <f>IF($K586="","",INDEX(Zeiterfassung!$K$6:$K$3665,$K586))</f>
        <v/>
      </c>
      <c r="D586" s="186">
        <f>IF($K586="","",INDEX(Zeiterfassung!$D$6:$D$3665,$K586))</f>
        <v/>
      </c>
      <c r="E586" s="186">
        <f>IF($K586="","",INDEX(Zeiterfassung!$E$6:$E$3665,$K586))</f>
        <v/>
      </c>
      <c r="F586" s="187">
        <f>IF($K586="","",INDEX(Zeiterfassung!$F$6:$F$3665,$K586))</f>
        <v/>
      </c>
      <c r="G586" s="187">
        <f>IF($K586="","",INDEX(Zeiterfassung!$G$6:$G$3665,$K586))</f>
        <v/>
      </c>
      <c r="H586" s="188">
        <f>IF($K586="","",INDEX(Zeiterfassung!$H$6:$H$3665,$K586))</f>
        <v/>
      </c>
      <c r="I586" s="335">
        <f>IF(B586=B585,"",IF($K586="","",INDEX(Zeiterfassung!$I$6:$I$3665,MATCH(INDEX(Zeiterfassung!$K$6:$K$3665,$K586),Zeiterfassung!$K$6:$K$3665,0))))</f>
        <v/>
      </c>
      <c r="J586" s="335">
        <f>IF(B586=B585,"",IF($K586="","",INDEX(Zeiterfassung!$J$6:$J$3665,MATCH(INDEX(Zeiterfassung!$K$6:$K$3665,$K586),Zeiterfassung!$K$6:$K$3665,0))))</f>
        <v/>
      </c>
      <c r="K586">
        <f>IFERROR(AGGREGATE(15,6,(ROW(Zeiterfassung!$D$6:$D$3665)-ROW(Zeiterfassung!$D$6)+1)/(Zeiterfassung!$D$6:$D$3665&lt;&gt;""),581),"")</f>
        <v/>
      </c>
    </row>
    <row r="587" ht="20" customHeight="1">
      <c r="A587" s="183">
        <f>IF($K587="","",WEEKNUM(INDEX(Zeiterfassung!$K$6:$K$3665,$K587),21))</f>
        <v/>
      </c>
      <c r="B587" s="184">
        <f>IF($K587="","",INDEX(Zeiterfassung!$K$6:$K$3665,$K587))</f>
        <v/>
      </c>
      <c r="C587" s="185">
        <f>IF($K587="","",INDEX(Zeiterfassung!$K$6:$K$3665,$K587))</f>
        <v/>
      </c>
      <c r="D587" s="186">
        <f>IF($K587="","",INDEX(Zeiterfassung!$D$6:$D$3665,$K587))</f>
        <v/>
      </c>
      <c r="E587" s="186">
        <f>IF($K587="","",INDEX(Zeiterfassung!$E$6:$E$3665,$K587))</f>
        <v/>
      </c>
      <c r="F587" s="187">
        <f>IF($K587="","",INDEX(Zeiterfassung!$F$6:$F$3665,$K587))</f>
        <v/>
      </c>
      <c r="G587" s="187">
        <f>IF($K587="","",INDEX(Zeiterfassung!$G$6:$G$3665,$K587))</f>
        <v/>
      </c>
      <c r="H587" s="188">
        <f>IF($K587="","",INDEX(Zeiterfassung!$H$6:$H$3665,$K587))</f>
        <v/>
      </c>
      <c r="I587" s="335">
        <f>IF(B587=B586,"",IF($K587="","",INDEX(Zeiterfassung!$I$6:$I$3665,MATCH(INDEX(Zeiterfassung!$K$6:$K$3665,$K587),Zeiterfassung!$K$6:$K$3665,0))))</f>
        <v/>
      </c>
      <c r="J587" s="335">
        <f>IF(B587=B586,"",IF($K587="","",INDEX(Zeiterfassung!$J$6:$J$3665,MATCH(INDEX(Zeiterfassung!$K$6:$K$3665,$K587),Zeiterfassung!$K$6:$K$3665,0))))</f>
        <v/>
      </c>
      <c r="K587">
        <f>IFERROR(AGGREGATE(15,6,(ROW(Zeiterfassung!$D$6:$D$3665)-ROW(Zeiterfassung!$D$6)+1)/(Zeiterfassung!$D$6:$D$3665&lt;&gt;""),582),"")</f>
        <v/>
      </c>
    </row>
    <row r="588" ht="20" customHeight="1">
      <c r="A588" s="183">
        <f>IF($K588="","",WEEKNUM(INDEX(Zeiterfassung!$K$6:$K$3665,$K588),21))</f>
        <v/>
      </c>
      <c r="B588" s="184">
        <f>IF($K588="","",INDEX(Zeiterfassung!$K$6:$K$3665,$K588))</f>
        <v/>
      </c>
      <c r="C588" s="185">
        <f>IF($K588="","",INDEX(Zeiterfassung!$K$6:$K$3665,$K588))</f>
        <v/>
      </c>
      <c r="D588" s="186">
        <f>IF($K588="","",INDEX(Zeiterfassung!$D$6:$D$3665,$K588))</f>
        <v/>
      </c>
      <c r="E588" s="186">
        <f>IF($K588="","",INDEX(Zeiterfassung!$E$6:$E$3665,$K588))</f>
        <v/>
      </c>
      <c r="F588" s="187">
        <f>IF($K588="","",INDEX(Zeiterfassung!$F$6:$F$3665,$K588))</f>
        <v/>
      </c>
      <c r="G588" s="187">
        <f>IF($K588="","",INDEX(Zeiterfassung!$G$6:$G$3665,$K588))</f>
        <v/>
      </c>
      <c r="H588" s="188">
        <f>IF($K588="","",INDEX(Zeiterfassung!$H$6:$H$3665,$K588))</f>
        <v/>
      </c>
      <c r="I588" s="335">
        <f>IF(B588=B587,"",IF($K588="","",INDEX(Zeiterfassung!$I$6:$I$3665,MATCH(INDEX(Zeiterfassung!$K$6:$K$3665,$K588),Zeiterfassung!$K$6:$K$3665,0))))</f>
        <v/>
      </c>
      <c r="J588" s="335">
        <f>IF(B588=B587,"",IF($K588="","",INDEX(Zeiterfassung!$J$6:$J$3665,MATCH(INDEX(Zeiterfassung!$K$6:$K$3665,$K588),Zeiterfassung!$K$6:$K$3665,0))))</f>
        <v/>
      </c>
      <c r="K588">
        <f>IFERROR(AGGREGATE(15,6,(ROW(Zeiterfassung!$D$6:$D$3665)-ROW(Zeiterfassung!$D$6)+1)/(Zeiterfassung!$D$6:$D$3665&lt;&gt;""),583),"")</f>
        <v/>
      </c>
    </row>
    <row r="589" ht="20" customHeight="1">
      <c r="A589" s="183">
        <f>IF($K589="","",WEEKNUM(INDEX(Zeiterfassung!$K$6:$K$3665,$K589),21))</f>
        <v/>
      </c>
      <c r="B589" s="184">
        <f>IF($K589="","",INDEX(Zeiterfassung!$K$6:$K$3665,$K589))</f>
        <v/>
      </c>
      <c r="C589" s="185">
        <f>IF($K589="","",INDEX(Zeiterfassung!$K$6:$K$3665,$K589))</f>
        <v/>
      </c>
      <c r="D589" s="186">
        <f>IF($K589="","",INDEX(Zeiterfassung!$D$6:$D$3665,$K589))</f>
        <v/>
      </c>
      <c r="E589" s="186">
        <f>IF($K589="","",INDEX(Zeiterfassung!$E$6:$E$3665,$K589))</f>
        <v/>
      </c>
      <c r="F589" s="187">
        <f>IF($K589="","",INDEX(Zeiterfassung!$F$6:$F$3665,$K589))</f>
        <v/>
      </c>
      <c r="G589" s="187">
        <f>IF($K589="","",INDEX(Zeiterfassung!$G$6:$G$3665,$K589))</f>
        <v/>
      </c>
      <c r="H589" s="188">
        <f>IF($K589="","",INDEX(Zeiterfassung!$H$6:$H$3665,$K589))</f>
        <v/>
      </c>
      <c r="I589" s="335">
        <f>IF(B589=B588,"",IF($K589="","",INDEX(Zeiterfassung!$I$6:$I$3665,MATCH(INDEX(Zeiterfassung!$K$6:$K$3665,$K589),Zeiterfassung!$K$6:$K$3665,0))))</f>
        <v/>
      </c>
      <c r="J589" s="335">
        <f>IF(B589=B588,"",IF($K589="","",INDEX(Zeiterfassung!$J$6:$J$3665,MATCH(INDEX(Zeiterfassung!$K$6:$K$3665,$K589),Zeiterfassung!$K$6:$K$3665,0))))</f>
        <v/>
      </c>
      <c r="K589">
        <f>IFERROR(AGGREGATE(15,6,(ROW(Zeiterfassung!$D$6:$D$3665)-ROW(Zeiterfassung!$D$6)+1)/(Zeiterfassung!$D$6:$D$3665&lt;&gt;""),584),"")</f>
        <v/>
      </c>
    </row>
    <row r="590" ht="20" customHeight="1">
      <c r="A590" s="183">
        <f>IF($K590="","",WEEKNUM(INDEX(Zeiterfassung!$K$6:$K$3665,$K590),21))</f>
        <v/>
      </c>
      <c r="B590" s="184">
        <f>IF($K590="","",INDEX(Zeiterfassung!$K$6:$K$3665,$K590))</f>
        <v/>
      </c>
      <c r="C590" s="185">
        <f>IF($K590="","",INDEX(Zeiterfassung!$K$6:$K$3665,$K590))</f>
        <v/>
      </c>
      <c r="D590" s="186">
        <f>IF($K590="","",INDEX(Zeiterfassung!$D$6:$D$3665,$K590))</f>
        <v/>
      </c>
      <c r="E590" s="186">
        <f>IF($K590="","",INDEX(Zeiterfassung!$E$6:$E$3665,$K590))</f>
        <v/>
      </c>
      <c r="F590" s="187">
        <f>IF($K590="","",INDEX(Zeiterfassung!$F$6:$F$3665,$K590))</f>
        <v/>
      </c>
      <c r="G590" s="187">
        <f>IF($K590="","",INDEX(Zeiterfassung!$G$6:$G$3665,$K590))</f>
        <v/>
      </c>
      <c r="H590" s="188">
        <f>IF($K590="","",INDEX(Zeiterfassung!$H$6:$H$3665,$K590))</f>
        <v/>
      </c>
      <c r="I590" s="335">
        <f>IF(B590=B589,"",IF($K590="","",INDEX(Zeiterfassung!$I$6:$I$3665,MATCH(INDEX(Zeiterfassung!$K$6:$K$3665,$K590),Zeiterfassung!$K$6:$K$3665,0))))</f>
        <v/>
      </c>
      <c r="J590" s="335">
        <f>IF(B590=B589,"",IF($K590="","",INDEX(Zeiterfassung!$J$6:$J$3665,MATCH(INDEX(Zeiterfassung!$K$6:$K$3665,$K590),Zeiterfassung!$K$6:$K$3665,0))))</f>
        <v/>
      </c>
      <c r="K590">
        <f>IFERROR(AGGREGATE(15,6,(ROW(Zeiterfassung!$D$6:$D$3665)-ROW(Zeiterfassung!$D$6)+1)/(Zeiterfassung!$D$6:$D$3665&lt;&gt;""),585),"")</f>
        <v/>
      </c>
    </row>
    <row r="591" ht="20" customHeight="1">
      <c r="A591" s="183">
        <f>IF($K591="","",WEEKNUM(INDEX(Zeiterfassung!$K$6:$K$3665,$K591),21))</f>
        <v/>
      </c>
      <c r="B591" s="184">
        <f>IF($K591="","",INDEX(Zeiterfassung!$K$6:$K$3665,$K591))</f>
        <v/>
      </c>
      <c r="C591" s="185">
        <f>IF($K591="","",INDEX(Zeiterfassung!$K$6:$K$3665,$K591))</f>
        <v/>
      </c>
      <c r="D591" s="186">
        <f>IF($K591="","",INDEX(Zeiterfassung!$D$6:$D$3665,$K591))</f>
        <v/>
      </c>
      <c r="E591" s="186">
        <f>IF($K591="","",INDEX(Zeiterfassung!$E$6:$E$3665,$K591))</f>
        <v/>
      </c>
      <c r="F591" s="187">
        <f>IF($K591="","",INDEX(Zeiterfassung!$F$6:$F$3665,$K591))</f>
        <v/>
      </c>
      <c r="G591" s="187">
        <f>IF($K591="","",INDEX(Zeiterfassung!$G$6:$G$3665,$K591))</f>
        <v/>
      </c>
      <c r="H591" s="188">
        <f>IF($K591="","",INDEX(Zeiterfassung!$H$6:$H$3665,$K591))</f>
        <v/>
      </c>
      <c r="I591" s="335">
        <f>IF(B591=B590,"",IF($K591="","",INDEX(Zeiterfassung!$I$6:$I$3665,MATCH(INDEX(Zeiterfassung!$K$6:$K$3665,$K591),Zeiterfassung!$K$6:$K$3665,0))))</f>
        <v/>
      </c>
      <c r="J591" s="335">
        <f>IF(B591=B590,"",IF($K591="","",INDEX(Zeiterfassung!$J$6:$J$3665,MATCH(INDEX(Zeiterfassung!$K$6:$K$3665,$K591),Zeiterfassung!$K$6:$K$3665,0))))</f>
        <v/>
      </c>
      <c r="K591">
        <f>IFERROR(AGGREGATE(15,6,(ROW(Zeiterfassung!$D$6:$D$3665)-ROW(Zeiterfassung!$D$6)+1)/(Zeiterfassung!$D$6:$D$3665&lt;&gt;""),586),"")</f>
        <v/>
      </c>
    </row>
    <row r="592" ht="20" customHeight="1">
      <c r="A592" s="183">
        <f>IF($K592="","",WEEKNUM(INDEX(Zeiterfassung!$K$6:$K$3665,$K592),21))</f>
        <v/>
      </c>
      <c r="B592" s="184">
        <f>IF($K592="","",INDEX(Zeiterfassung!$K$6:$K$3665,$K592))</f>
        <v/>
      </c>
      <c r="C592" s="185">
        <f>IF($K592="","",INDEX(Zeiterfassung!$K$6:$K$3665,$K592))</f>
        <v/>
      </c>
      <c r="D592" s="186">
        <f>IF($K592="","",INDEX(Zeiterfassung!$D$6:$D$3665,$K592))</f>
        <v/>
      </c>
      <c r="E592" s="186">
        <f>IF($K592="","",INDEX(Zeiterfassung!$E$6:$E$3665,$K592))</f>
        <v/>
      </c>
      <c r="F592" s="187">
        <f>IF($K592="","",INDEX(Zeiterfassung!$F$6:$F$3665,$K592))</f>
        <v/>
      </c>
      <c r="G592" s="187">
        <f>IF($K592="","",INDEX(Zeiterfassung!$G$6:$G$3665,$K592))</f>
        <v/>
      </c>
      <c r="H592" s="188">
        <f>IF($K592="","",INDEX(Zeiterfassung!$H$6:$H$3665,$K592))</f>
        <v/>
      </c>
      <c r="I592" s="335">
        <f>IF(B592=B591,"",IF($K592="","",INDEX(Zeiterfassung!$I$6:$I$3665,MATCH(INDEX(Zeiterfassung!$K$6:$K$3665,$K592),Zeiterfassung!$K$6:$K$3665,0))))</f>
        <v/>
      </c>
      <c r="J592" s="335">
        <f>IF(B592=B591,"",IF($K592="","",INDEX(Zeiterfassung!$J$6:$J$3665,MATCH(INDEX(Zeiterfassung!$K$6:$K$3665,$K592),Zeiterfassung!$K$6:$K$3665,0))))</f>
        <v/>
      </c>
      <c r="K592">
        <f>IFERROR(AGGREGATE(15,6,(ROW(Zeiterfassung!$D$6:$D$3665)-ROW(Zeiterfassung!$D$6)+1)/(Zeiterfassung!$D$6:$D$3665&lt;&gt;""),587),"")</f>
        <v/>
      </c>
    </row>
    <row r="593" ht="20" customHeight="1">
      <c r="A593" s="183">
        <f>IF($K593="","",WEEKNUM(INDEX(Zeiterfassung!$K$6:$K$3665,$K593),21))</f>
        <v/>
      </c>
      <c r="B593" s="184">
        <f>IF($K593="","",INDEX(Zeiterfassung!$K$6:$K$3665,$K593))</f>
        <v/>
      </c>
      <c r="C593" s="185">
        <f>IF($K593="","",INDEX(Zeiterfassung!$K$6:$K$3665,$K593))</f>
        <v/>
      </c>
      <c r="D593" s="186">
        <f>IF($K593="","",INDEX(Zeiterfassung!$D$6:$D$3665,$K593))</f>
        <v/>
      </c>
      <c r="E593" s="186">
        <f>IF($K593="","",INDEX(Zeiterfassung!$E$6:$E$3665,$K593))</f>
        <v/>
      </c>
      <c r="F593" s="187">
        <f>IF($K593="","",INDEX(Zeiterfassung!$F$6:$F$3665,$K593))</f>
        <v/>
      </c>
      <c r="G593" s="187">
        <f>IF($K593="","",INDEX(Zeiterfassung!$G$6:$G$3665,$K593))</f>
        <v/>
      </c>
      <c r="H593" s="188">
        <f>IF($K593="","",INDEX(Zeiterfassung!$H$6:$H$3665,$K593))</f>
        <v/>
      </c>
      <c r="I593" s="335">
        <f>IF(B593=B592,"",IF($K593="","",INDEX(Zeiterfassung!$I$6:$I$3665,MATCH(INDEX(Zeiterfassung!$K$6:$K$3665,$K593),Zeiterfassung!$K$6:$K$3665,0))))</f>
        <v/>
      </c>
      <c r="J593" s="335">
        <f>IF(B593=B592,"",IF($K593="","",INDEX(Zeiterfassung!$J$6:$J$3665,MATCH(INDEX(Zeiterfassung!$K$6:$K$3665,$K593),Zeiterfassung!$K$6:$K$3665,0))))</f>
        <v/>
      </c>
      <c r="K593">
        <f>IFERROR(AGGREGATE(15,6,(ROW(Zeiterfassung!$D$6:$D$3665)-ROW(Zeiterfassung!$D$6)+1)/(Zeiterfassung!$D$6:$D$3665&lt;&gt;""),588),"")</f>
        <v/>
      </c>
    </row>
    <row r="594" ht="20" customHeight="1">
      <c r="A594" s="183">
        <f>IF($K594="","",WEEKNUM(INDEX(Zeiterfassung!$K$6:$K$3665,$K594),21))</f>
        <v/>
      </c>
      <c r="B594" s="184">
        <f>IF($K594="","",INDEX(Zeiterfassung!$K$6:$K$3665,$K594))</f>
        <v/>
      </c>
      <c r="C594" s="185">
        <f>IF($K594="","",INDEX(Zeiterfassung!$K$6:$K$3665,$K594))</f>
        <v/>
      </c>
      <c r="D594" s="186">
        <f>IF($K594="","",INDEX(Zeiterfassung!$D$6:$D$3665,$K594))</f>
        <v/>
      </c>
      <c r="E594" s="186">
        <f>IF($K594="","",INDEX(Zeiterfassung!$E$6:$E$3665,$K594))</f>
        <v/>
      </c>
      <c r="F594" s="187">
        <f>IF($K594="","",INDEX(Zeiterfassung!$F$6:$F$3665,$K594))</f>
        <v/>
      </c>
      <c r="G594" s="187">
        <f>IF($K594="","",INDEX(Zeiterfassung!$G$6:$G$3665,$K594))</f>
        <v/>
      </c>
      <c r="H594" s="188">
        <f>IF($K594="","",INDEX(Zeiterfassung!$H$6:$H$3665,$K594))</f>
        <v/>
      </c>
      <c r="I594" s="335">
        <f>IF(B594=B593,"",IF($K594="","",INDEX(Zeiterfassung!$I$6:$I$3665,MATCH(INDEX(Zeiterfassung!$K$6:$K$3665,$K594),Zeiterfassung!$K$6:$K$3665,0))))</f>
        <v/>
      </c>
      <c r="J594" s="335">
        <f>IF(B594=B593,"",IF($K594="","",INDEX(Zeiterfassung!$J$6:$J$3665,MATCH(INDEX(Zeiterfassung!$K$6:$K$3665,$K594),Zeiterfassung!$K$6:$K$3665,0))))</f>
        <v/>
      </c>
      <c r="K594">
        <f>IFERROR(AGGREGATE(15,6,(ROW(Zeiterfassung!$D$6:$D$3665)-ROW(Zeiterfassung!$D$6)+1)/(Zeiterfassung!$D$6:$D$3665&lt;&gt;""),589),"")</f>
        <v/>
      </c>
    </row>
    <row r="595" ht="20" customHeight="1">
      <c r="A595" s="183">
        <f>IF($K595="","",WEEKNUM(INDEX(Zeiterfassung!$K$6:$K$3665,$K595),21))</f>
        <v/>
      </c>
      <c r="B595" s="184">
        <f>IF($K595="","",INDEX(Zeiterfassung!$K$6:$K$3665,$K595))</f>
        <v/>
      </c>
      <c r="C595" s="185">
        <f>IF($K595="","",INDEX(Zeiterfassung!$K$6:$K$3665,$K595))</f>
        <v/>
      </c>
      <c r="D595" s="186">
        <f>IF($K595="","",INDEX(Zeiterfassung!$D$6:$D$3665,$K595))</f>
        <v/>
      </c>
      <c r="E595" s="186">
        <f>IF($K595="","",INDEX(Zeiterfassung!$E$6:$E$3665,$K595))</f>
        <v/>
      </c>
      <c r="F595" s="187">
        <f>IF($K595="","",INDEX(Zeiterfassung!$F$6:$F$3665,$K595))</f>
        <v/>
      </c>
      <c r="G595" s="187">
        <f>IF($K595="","",INDEX(Zeiterfassung!$G$6:$G$3665,$K595))</f>
        <v/>
      </c>
      <c r="H595" s="188">
        <f>IF($K595="","",INDEX(Zeiterfassung!$H$6:$H$3665,$K595))</f>
        <v/>
      </c>
      <c r="I595" s="335">
        <f>IF(B595=B594,"",IF($K595="","",INDEX(Zeiterfassung!$I$6:$I$3665,MATCH(INDEX(Zeiterfassung!$K$6:$K$3665,$K595),Zeiterfassung!$K$6:$K$3665,0))))</f>
        <v/>
      </c>
      <c r="J595" s="335">
        <f>IF(B595=B594,"",IF($K595="","",INDEX(Zeiterfassung!$J$6:$J$3665,MATCH(INDEX(Zeiterfassung!$K$6:$K$3665,$K595),Zeiterfassung!$K$6:$K$3665,0))))</f>
        <v/>
      </c>
      <c r="K595">
        <f>IFERROR(AGGREGATE(15,6,(ROW(Zeiterfassung!$D$6:$D$3665)-ROW(Zeiterfassung!$D$6)+1)/(Zeiterfassung!$D$6:$D$3665&lt;&gt;""),590),"")</f>
        <v/>
      </c>
    </row>
    <row r="596" ht="20" customHeight="1">
      <c r="A596" s="183">
        <f>IF($K596="","",WEEKNUM(INDEX(Zeiterfassung!$K$6:$K$3665,$K596),21))</f>
        <v/>
      </c>
      <c r="B596" s="184">
        <f>IF($K596="","",INDEX(Zeiterfassung!$K$6:$K$3665,$K596))</f>
        <v/>
      </c>
      <c r="C596" s="185">
        <f>IF($K596="","",INDEX(Zeiterfassung!$K$6:$K$3665,$K596))</f>
        <v/>
      </c>
      <c r="D596" s="186">
        <f>IF($K596="","",INDEX(Zeiterfassung!$D$6:$D$3665,$K596))</f>
        <v/>
      </c>
      <c r="E596" s="186">
        <f>IF($K596="","",INDEX(Zeiterfassung!$E$6:$E$3665,$K596))</f>
        <v/>
      </c>
      <c r="F596" s="187">
        <f>IF($K596="","",INDEX(Zeiterfassung!$F$6:$F$3665,$K596))</f>
        <v/>
      </c>
      <c r="G596" s="187">
        <f>IF($K596="","",INDEX(Zeiterfassung!$G$6:$G$3665,$K596))</f>
        <v/>
      </c>
      <c r="H596" s="188">
        <f>IF($K596="","",INDEX(Zeiterfassung!$H$6:$H$3665,$K596))</f>
        <v/>
      </c>
      <c r="I596" s="335">
        <f>IF(B596=B595,"",IF($K596="","",INDEX(Zeiterfassung!$I$6:$I$3665,MATCH(INDEX(Zeiterfassung!$K$6:$K$3665,$K596),Zeiterfassung!$K$6:$K$3665,0))))</f>
        <v/>
      </c>
      <c r="J596" s="335">
        <f>IF(B596=B595,"",IF($K596="","",INDEX(Zeiterfassung!$J$6:$J$3665,MATCH(INDEX(Zeiterfassung!$K$6:$K$3665,$K596),Zeiterfassung!$K$6:$K$3665,0))))</f>
        <v/>
      </c>
      <c r="K596">
        <f>IFERROR(AGGREGATE(15,6,(ROW(Zeiterfassung!$D$6:$D$3665)-ROW(Zeiterfassung!$D$6)+1)/(Zeiterfassung!$D$6:$D$3665&lt;&gt;""),591),"")</f>
        <v/>
      </c>
    </row>
    <row r="597" ht="20" customHeight="1">
      <c r="A597" s="183">
        <f>IF($K597="","",WEEKNUM(INDEX(Zeiterfassung!$K$6:$K$3665,$K597),21))</f>
        <v/>
      </c>
      <c r="B597" s="184">
        <f>IF($K597="","",INDEX(Zeiterfassung!$K$6:$K$3665,$K597))</f>
        <v/>
      </c>
      <c r="C597" s="185">
        <f>IF($K597="","",INDEX(Zeiterfassung!$K$6:$K$3665,$K597))</f>
        <v/>
      </c>
      <c r="D597" s="186">
        <f>IF($K597="","",INDEX(Zeiterfassung!$D$6:$D$3665,$K597))</f>
        <v/>
      </c>
      <c r="E597" s="186">
        <f>IF($K597="","",INDEX(Zeiterfassung!$E$6:$E$3665,$K597))</f>
        <v/>
      </c>
      <c r="F597" s="187">
        <f>IF($K597="","",INDEX(Zeiterfassung!$F$6:$F$3665,$K597))</f>
        <v/>
      </c>
      <c r="G597" s="187">
        <f>IF($K597="","",INDEX(Zeiterfassung!$G$6:$G$3665,$K597))</f>
        <v/>
      </c>
      <c r="H597" s="188">
        <f>IF($K597="","",INDEX(Zeiterfassung!$H$6:$H$3665,$K597))</f>
        <v/>
      </c>
      <c r="I597" s="335">
        <f>IF(B597=B596,"",IF($K597="","",INDEX(Zeiterfassung!$I$6:$I$3665,MATCH(INDEX(Zeiterfassung!$K$6:$K$3665,$K597),Zeiterfassung!$K$6:$K$3665,0))))</f>
        <v/>
      </c>
      <c r="J597" s="335">
        <f>IF(B597=B596,"",IF($K597="","",INDEX(Zeiterfassung!$J$6:$J$3665,MATCH(INDEX(Zeiterfassung!$K$6:$K$3665,$K597),Zeiterfassung!$K$6:$K$3665,0))))</f>
        <v/>
      </c>
      <c r="K597">
        <f>IFERROR(AGGREGATE(15,6,(ROW(Zeiterfassung!$D$6:$D$3665)-ROW(Zeiterfassung!$D$6)+1)/(Zeiterfassung!$D$6:$D$3665&lt;&gt;""),592),"")</f>
        <v/>
      </c>
    </row>
    <row r="598" ht="20" customHeight="1">
      <c r="A598" s="183">
        <f>IF($K598="","",WEEKNUM(INDEX(Zeiterfassung!$K$6:$K$3665,$K598),21))</f>
        <v/>
      </c>
      <c r="B598" s="184">
        <f>IF($K598="","",INDEX(Zeiterfassung!$K$6:$K$3665,$K598))</f>
        <v/>
      </c>
      <c r="C598" s="185">
        <f>IF($K598="","",INDEX(Zeiterfassung!$K$6:$K$3665,$K598))</f>
        <v/>
      </c>
      <c r="D598" s="186">
        <f>IF($K598="","",INDEX(Zeiterfassung!$D$6:$D$3665,$K598))</f>
        <v/>
      </c>
      <c r="E598" s="186">
        <f>IF($K598="","",INDEX(Zeiterfassung!$E$6:$E$3665,$K598))</f>
        <v/>
      </c>
      <c r="F598" s="187">
        <f>IF($K598="","",INDEX(Zeiterfassung!$F$6:$F$3665,$K598))</f>
        <v/>
      </c>
      <c r="G598" s="187">
        <f>IF($K598="","",INDEX(Zeiterfassung!$G$6:$G$3665,$K598))</f>
        <v/>
      </c>
      <c r="H598" s="188">
        <f>IF($K598="","",INDEX(Zeiterfassung!$H$6:$H$3665,$K598))</f>
        <v/>
      </c>
      <c r="I598" s="335">
        <f>IF(B598=B597,"",IF($K598="","",INDEX(Zeiterfassung!$I$6:$I$3665,MATCH(INDEX(Zeiterfassung!$K$6:$K$3665,$K598),Zeiterfassung!$K$6:$K$3665,0))))</f>
        <v/>
      </c>
      <c r="J598" s="335">
        <f>IF(B598=B597,"",IF($K598="","",INDEX(Zeiterfassung!$J$6:$J$3665,MATCH(INDEX(Zeiterfassung!$K$6:$K$3665,$K598),Zeiterfassung!$K$6:$K$3665,0))))</f>
        <v/>
      </c>
      <c r="K598">
        <f>IFERROR(AGGREGATE(15,6,(ROW(Zeiterfassung!$D$6:$D$3665)-ROW(Zeiterfassung!$D$6)+1)/(Zeiterfassung!$D$6:$D$3665&lt;&gt;""),593),"")</f>
        <v/>
      </c>
    </row>
    <row r="599" ht="20" customHeight="1">
      <c r="A599" s="183">
        <f>IF($K599="","",WEEKNUM(INDEX(Zeiterfassung!$K$6:$K$3665,$K599),21))</f>
        <v/>
      </c>
      <c r="B599" s="184">
        <f>IF($K599="","",INDEX(Zeiterfassung!$K$6:$K$3665,$K599))</f>
        <v/>
      </c>
      <c r="C599" s="185">
        <f>IF($K599="","",INDEX(Zeiterfassung!$K$6:$K$3665,$K599))</f>
        <v/>
      </c>
      <c r="D599" s="186">
        <f>IF($K599="","",INDEX(Zeiterfassung!$D$6:$D$3665,$K599))</f>
        <v/>
      </c>
      <c r="E599" s="186">
        <f>IF($K599="","",INDEX(Zeiterfassung!$E$6:$E$3665,$K599))</f>
        <v/>
      </c>
      <c r="F599" s="187">
        <f>IF($K599="","",INDEX(Zeiterfassung!$F$6:$F$3665,$K599))</f>
        <v/>
      </c>
      <c r="G599" s="187">
        <f>IF($K599="","",INDEX(Zeiterfassung!$G$6:$G$3665,$K599))</f>
        <v/>
      </c>
      <c r="H599" s="188">
        <f>IF($K599="","",INDEX(Zeiterfassung!$H$6:$H$3665,$K599))</f>
        <v/>
      </c>
      <c r="I599" s="335">
        <f>IF(B599=B598,"",IF($K599="","",INDEX(Zeiterfassung!$I$6:$I$3665,MATCH(INDEX(Zeiterfassung!$K$6:$K$3665,$K599),Zeiterfassung!$K$6:$K$3665,0))))</f>
        <v/>
      </c>
      <c r="J599" s="335">
        <f>IF(B599=B598,"",IF($K599="","",INDEX(Zeiterfassung!$J$6:$J$3665,MATCH(INDEX(Zeiterfassung!$K$6:$K$3665,$K599),Zeiterfassung!$K$6:$K$3665,0))))</f>
        <v/>
      </c>
      <c r="K599">
        <f>IFERROR(AGGREGATE(15,6,(ROW(Zeiterfassung!$D$6:$D$3665)-ROW(Zeiterfassung!$D$6)+1)/(Zeiterfassung!$D$6:$D$3665&lt;&gt;""),594),"")</f>
        <v/>
      </c>
    </row>
    <row r="600" ht="20" customHeight="1">
      <c r="A600" s="183">
        <f>IF($K600="","",WEEKNUM(INDEX(Zeiterfassung!$K$6:$K$3665,$K600),21))</f>
        <v/>
      </c>
      <c r="B600" s="184">
        <f>IF($K600="","",INDEX(Zeiterfassung!$K$6:$K$3665,$K600))</f>
        <v/>
      </c>
      <c r="C600" s="185">
        <f>IF($K600="","",INDEX(Zeiterfassung!$K$6:$K$3665,$K600))</f>
        <v/>
      </c>
      <c r="D600" s="186">
        <f>IF($K600="","",INDEX(Zeiterfassung!$D$6:$D$3665,$K600))</f>
        <v/>
      </c>
      <c r="E600" s="186">
        <f>IF($K600="","",INDEX(Zeiterfassung!$E$6:$E$3665,$K600))</f>
        <v/>
      </c>
      <c r="F600" s="187">
        <f>IF($K600="","",INDEX(Zeiterfassung!$F$6:$F$3665,$K600))</f>
        <v/>
      </c>
      <c r="G600" s="187">
        <f>IF($K600="","",INDEX(Zeiterfassung!$G$6:$G$3665,$K600))</f>
        <v/>
      </c>
      <c r="H600" s="188">
        <f>IF($K600="","",INDEX(Zeiterfassung!$H$6:$H$3665,$K600))</f>
        <v/>
      </c>
      <c r="I600" s="335">
        <f>IF(B600=B599,"",IF($K600="","",INDEX(Zeiterfassung!$I$6:$I$3665,MATCH(INDEX(Zeiterfassung!$K$6:$K$3665,$K600),Zeiterfassung!$K$6:$K$3665,0))))</f>
        <v/>
      </c>
      <c r="J600" s="335">
        <f>IF(B600=B599,"",IF($K600="","",INDEX(Zeiterfassung!$J$6:$J$3665,MATCH(INDEX(Zeiterfassung!$K$6:$K$3665,$K600),Zeiterfassung!$K$6:$K$3665,0))))</f>
        <v/>
      </c>
      <c r="K600">
        <f>IFERROR(AGGREGATE(15,6,(ROW(Zeiterfassung!$D$6:$D$3665)-ROW(Zeiterfassung!$D$6)+1)/(Zeiterfassung!$D$6:$D$3665&lt;&gt;""),595),"")</f>
        <v/>
      </c>
    </row>
    <row r="601" ht="20" customHeight="1">
      <c r="A601" s="183">
        <f>IF($K601="","",WEEKNUM(INDEX(Zeiterfassung!$K$6:$K$3665,$K601),21))</f>
        <v/>
      </c>
      <c r="B601" s="184">
        <f>IF($K601="","",INDEX(Zeiterfassung!$K$6:$K$3665,$K601))</f>
        <v/>
      </c>
      <c r="C601" s="185">
        <f>IF($K601="","",INDEX(Zeiterfassung!$K$6:$K$3665,$K601))</f>
        <v/>
      </c>
      <c r="D601" s="186">
        <f>IF($K601="","",INDEX(Zeiterfassung!$D$6:$D$3665,$K601))</f>
        <v/>
      </c>
      <c r="E601" s="186">
        <f>IF($K601="","",INDEX(Zeiterfassung!$E$6:$E$3665,$K601))</f>
        <v/>
      </c>
      <c r="F601" s="187">
        <f>IF($K601="","",INDEX(Zeiterfassung!$F$6:$F$3665,$K601))</f>
        <v/>
      </c>
      <c r="G601" s="187">
        <f>IF($K601="","",INDEX(Zeiterfassung!$G$6:$G$3665,$K601))</f>
        <v/>
      </c>
      <c r="H601" s="188">
        <f>IF($K601="","",INDEX(Zeiterfassung!$H$6:$H$3665,$K601))</f>
        <v/>
      </c>
      <c r="I601" s="335">
        <f>IF(B601=B600,"",IF($K601="","",INDEX(Zeiterfassung!$I$6:$I$3665,MATCH(INDEX(Zeiterfassung!$K$6:$K$3665,$K601),Zeiterfassung!$K$6:$K$3665,0))))</f>
        <v/>
      </c>
      <c r="J601" s="335">
        <f>IF(B601=B600,"",IF($K601="","",INDEX(Zeiterfassung!$J$6:$J$3665,MATCH(INDEX(Zeiterfassung!$K$6:$K$3665,$K601),Zeiterfassung!$K$6:$K$3665,0))))</f>
        <v/>
      </c>
      <c r="K601">
        <f>IFERROR(AGGREGATE(15,6,(ROW(Zeiterfassung!$D$6:$D$3665)-ROW(Zeiterfassung!$D$6)+1)/(Zeiterfassung!$D$6:$D$3665&lt;&gt;""),596),"")</f>
        <v/>
      </c>
    </row>
    <row r="602" ht="20" customHeight="1">
      <c r="A602" s="183">
        <f>IF($K602="","",WEEKNUM(INDEX(Zeiterfassung!$K$6:$K$3665,$K602),21))</f>
        <v/>
      </c>
      <c r="B602" s="184">
        <f>IF($K602="","",INDEX(Zeiterfassung!$K$6:$K$3665,$K602))</f>
        <v/>
      </c>
      <c r="C602" s="185">
        <f>IF($K602="","",INDEX(Zeiterfassung!$K$6:$K$3665,$K602))</f>
        <v/>
      </c>
      <c r="D602" s="186">
        <f>IF($K602="","",INDEX(Zeiterfassung!$D$6:$D$3665,$K602))</f>
        <v/>
      </c>
      <c r="E602" s="186">
        <f>IF($K602="","",INDEX(Zeiterfassung!$E$6:$E$3665,$K602))</f>
        <v/>
      </c>
      <c r="F602" s="187">
        <f>IF($K602="","",INDEX(Zeiterfassung!$F$6:$F$3665,$K602))</f>
        <v/>
      </c>
      <c r="G602" s="187">
        <f>IF($K602="","",INDEX(Zeiterfassung!$G$6:$G$3665,$K602))</f>
        <v/>
      </c>
      <c r="H602" s="188">
        <f>IF($K602="","",INDEX(Zeiterfassung!$H$6:$H$3665,$K602))</f>
        <v/>
      </c>
      <c r="I602" s="335">
        <f>IF(B602=B601,"",IF($K602="","",INDEX(Zeiterfassung!$I$6:$I$3665,MATCH(INDEX(Zeiterfassung!$K$6:$K$3665,$K602),Zeiterfassung!$K$6:$K$3665,0))))</f>
        <v/>
      </c>
      <c r="J602" s="335">
        <f>IF(B602=B601,"",IF($K602="","",INDEX(Zeiterfassung!$J$6:$J$3665,MATCH(INDEX(Zeiterfassung!$K$6:$K$3665,$K602),Zeiterfassung!$K$6:$K$3665,0))))</f>
        <v/>
      </c>
      <c r="K602">
        <f>IFERROR(AGGREGATE(15,6,(ROW(Zeiterfassung!$D$6:$D$3665)-ROW(Zeiterfassung!$D$6)+1)/(Zeiterfassung!$D$6:$D$3665&lt;&gt;""),597),"")</f>
        <v/>
      </c>
    </row>
    <row r="603" ht="20" customHeight="1">
      <c r="A603" s="183">
        <f>IF($K603="","",WEEKNUM(INDEX(Zeiterfassung!$K$6:$K$3665,$K603),21))</f>
        <v/>
      </c>
      <c r="B603" s="184">
        <f>IF($K603="","",INDEX(Zeiterfassung!$K$6:$K$3665,$K603))</f>
        <v/>
      </c>
      <c r="C603" s="185">
        <f>IF($K603="","",INDEX(Zeiterfassung!$K$6:$K$3665,$K603))</f>
        <v/>
      </c>
      <c r="D603" s="186">
        <f>IF($K603="","",INDEX(Zeiterfassung!$D$6:$D$3665,$K603))</f>
        <v/>
      </c>
      <c r="E603" s="186">
        <f>IF($K603="","",INDEX(Zeiterfassung!$E$6:$E$3665,$K603))</f>
        <v/>
      </c>
      <c r="F603" s="187">
        <f>IF($K603="","",INDEX(Zeiterfassung!$F$6:$F$3665,$K603))</f>
        <v/>
      </c>
      <c r="G603" s="187">
        <f>IF($K603="","",INDEX(Zeiterfassung!$G$6:$G$3665,$K603))</f>
        <v/>
      </c>
      <c r="H603" s="188">
        <f>IF($K603="","",INDEX(Zeiterfassung!$H$6:$H$3665,$K603))</f>
        <v/>
      </c>
      <c r="I603" s="335">
        <f>IF(B603=B602,"",IF($K603="","",INDEX(Zeiterfassung!$I$6:$I$3665,MATCH(INDEX(Zeiterfassung!$K$6:$K$3665,$K603),Zeiterfassung!$K$6:$K$3665,0))))</f>
        <v/>
      </c>
      <c r="J603" s="335">
        <f>IF(B603=B602,"",IF($K603="","",INDEX(Zeiterfassung!$J$6:$J$3665,MATCH(INDEX(Zeiterfassung!$K$6:$K$3665,$K603),Zeiterfassung!$K$6:$K$3665,0))))</f>
        <v/>
      </c>
      <c r="K603">
        <f>IFERROR(AGGREGATE(15,6,(ROW(Zeiterfassung!$D$6:$D$3665)-ROW(Zeiterfassung!$D$6)+1)/(Zeiterfassung!$D$6:$D$3665&lt;&gt;""),598),"")</f>
        <v/>
      </c>
    </row>
    <row r="604" ht="20" customHeight="1">
      <c r="A604" s="183">
        <f>IF($K604="","",WEEKNUM(INDEX(Zeiterfassung!$K$6:$K$3665,$K604),21))</f>
        <v/>
      </c>
      <c r="B604" s="184">
        <f>IF($K604="","",INDEX(Zeiterfassung!$K$6:$K$3665,$K604))</f>
        <v/>
      </c>
      <c r="C604" s="185">
        <f>IF($K604="","",INDEX(Zeiterfassung!$K$6:$K$3665,$K604))</f>
        <v/>
      </c>
      <c r="D604" s="186">
        <f>IF($K604="","",INDEX(Zeiterfassung!$D$6:$D$3665,$K604))</f>
        <v/>
      </c>
      <c r="E604" s="186">
        <f>IF($K604="","",INDEX(Zeiterfassung!$E$6:$E$3665,$K604))</f>
        <v/>
      </c>
      <c r="F604" s="187">
        <f>IF($K604="","",INDEX(Zeiterfassung!$F$6:$F$3665,$K604))</f>
        <v/>
      </c>
      <c r="G604" s="187">
        <f>IF($K604="","",INDEX(Zeiterfassung!$G$6:$G$3665,$K604))</f>
        <v/>
      </c>
      <c r="H604" s="188">
        <f>IF($K604="","",INDEX(Zeiterfassung!$H$6:$H$3665,$K604))</f>
        <v/>
      </c>
      <c r="I604" s="335">
        <f>IF(B604=B603,"",IF($K604="","",INDEX(Zeiterfassung!$I$6:$I$3665,MATCH(INDEX(Zeiterfassung!$K$6:$K$3665,$K604),Zeiterfassung!$K$6:$K$3665,0))))</f>
        <v/>
      </c>
      <c r="J604" s="335">
        <f>IF(B604=B603,"",IF($K604="","",INDEX(Zeiterfassung!$J$6:$J$3665,MATCH(INDEX(Zeiterfassung!$K$6:$K$3665,$K604),Zeiterfassung!$K$6:$K$3665,0))))</f>
        <v/>
      </c>
      <c r="K604">
        <f>IFERROR(AGGREGATE(15,6,(ROW(Zeiterfassung!$D$6:$D$3665)-ROW(Zeiterfassung!$D$6)+1)/(Zeiterfassung!$D$6:$D$3665&lt;&gt;""),599),"")</f>
        <v/>
      </c>
    </row>
    <row r="605" ht="20" customHeight="1">
      <c r="A605" s="183">
        <f>IF($K605="","",WEEKNUM(INDEX(Zeiterfassung!$K$6:$K$3665,$K605),21))</f>
        <v/>
      </c>
      <c r="B605" s="184">
        <f>IF($K605="","",INDEX(Zeiterfassung!$K$6:$K$3665,$K605))</f>
        <v/>
      </c>
      <c r="C605" s="185">
        <f>IF($K605="","",INDEX(Zeiterfassung!$K$6:$K$3665,$K605))</f>
        <v/>
      </c>
      <c r="D605" s="186">
        <f>IF($K605="","",INDEX(Zeiterfassung!$D$6:$D$3665,$K605))</f>
        <v/>
      </c>
      <c r="E605" s="186">
        <f>IF($K605="","",INDEX(Zeiterfassung!$E$6:$E$3665,$K605))</f>
        <v/>
      </c>
      <c r="F605" s="187">
        <f>IF($K605="","",INDEX(Zeiterfassung!$F$6:$F$3665,$K605))</f>
        <v/>
      </c>
      <c r="G605" s="187">
        <f>IF($K605="","",INDEX(Zeiterfassung!$G$6:$G$3665,$K605))</f>
        <v/>
      </c>
      <c r="H605" s="188">
        <f>IF($K605="","",INDEX(Zeiterfassung!$H$6:$H$3665,$K605))</f>
        <v/>
      </c>
      <c r="I605" s="335">
        <f>IF(B605=B604,"",IF($K605="","",INDEX(Zeiterfassung!$I$6:$I$3665,MATCH(INDEX(Zeiterfassung!$K$6:$K$3665,$K605),Zeiterfassung!$K$6:$K$3665,0))))</f>
        <v/>
      </c>
      <c r="J605" s="335">
        <f>IF(B605=B604,"",IF($K605="","",INDEX(Zeiterfassung!$J$6:$J$3665,MATCH(INDEX(Zeiterfassung!$K$6:$K$3665,$K605),Zeiterfassung!$K$6:$K$3665,0))))</f>
        <v/>
      </c>
      <c r="K605">
        <f>IFERROR(AGGREGATE(15,6,(ROW(Zeiterfassung!$D$6:$D$3665)-ROW(Zeiterfassung!$D$6)+1)/(Zeiterfassung!$D$6:$D$3665&lt;&gt;""),600),"")</f>
        <v/>
      </c>
    </row>
    <row r="606" ht="20" customHeight="1">
      <c r="A606" s="183">
        <f>IF($K606="","",WEEKNUM(INDEX(Zeiterfassung!$K$6:$K$3665,$K606),21))</f>
        <v/>
      </c>
      <c r="B606" s="184">
        <f>IF($K606="","",INDEX(Zeiterfassung!$K$6:$K$3665,$K606))</f>
        <v/>
      </c>
      <c r="C606" s="185">
        <f>IF($K606="","",INDEX(Zeiterfassung!$K$6:$K$3665,$K606))</f>
        <v/>
      </c>
      <c r="D606" s="186">
        <f>IF($K606="","",INDEX(Zeiterfassung!$D$6:$D$3665,$K606))</f>
        <v/>
      </c>
      <c r="E606" s="186">
        <f>IF($K606="","",INDEX(Zeiterfassung!$E$6:$E$3665,$K606))</f>
        <v/>
      </c>
      <c r="F606" s="187">
        <f>IF($K606="","",INDEX(Zeiterfassung!$F$6:$F$3665,$K606))</f>
        <v/>
      </c>
      <c r="G606" s="187">
        <f>IF($K606="","",INDEX(Zeiterfassung!$G$6:$G$3665,$K606))</f>
        <v/>
      </c>
      <c r="H606" s="188">
        <f>IF($K606="","",INDEX(Zeiterfassung!$H$6:$H$3665,$K606))</f>
        <v/>
      </c>
      <c r="I606" s="335">
        <f>IF(B606=B605,"",IF($K606="","",INDEX(Zeiterfassung!$I$6:$I$3665,MATCH(INDEX(Zeiterfassung!$K$6:$K$3665,$K606),Zeiterfassung!$K$6:$K$3665,0))))</f>
        <v/>
      </c>
      <c r="J606" s="335">
        <f>IF(B606=B605,"",IF($K606="","",INDEX(Zeiterfassung!$J$6:$J$3665,MATCH(INDEX(Zeiterfassung!$K$6:$K$3665,$K606),Zeiterfassung!$K$6:$K$3665,0))))</f>
        <v/>
      </c>
      <c r="K606">
        <f>IFERROR(AGGREGATE(15,6,(ROW(Zeiterfassung!$D$6:$D$3665)-ROW(Zeiterfassung!$D$6)+1)/(Zeiterfassung!$D$6:$D$3665&lt;&gt;""),601),"")</f>
        <v/>
      </c>
    </row>
    <row r="607" ht="20" customHeight="1">
      <c r="A607" s="183">
        <f>IF($K607="","",WEEKNUM(INDEX(Zeiterfassung!$K$6:$K$3665,$K607),21))</f>
        <v/>
      </c>
      <c r="B607" s="184">
        <f>IF($K607="","",INDEX(Zeiterfassung!$K$6:$K$3665,$K607))</f>
        <v/>
      </c>
      <c r="C607" s="185">
        <f>IF($K607="","",INDEX(Zeiterfassung!$K$6:$K$3665,$K607))</f>
        <v/>
      </c>
      <c r="D607" s="186">
        <f>IF($K607="","",INDEX(Zeiterfassung!$D$6:$D$3665,$K607))</f>
        <v/>
      </c>
      <c r="E607" s="186">
        <f>IF($K607="","",INDEX(Zeiterfassung!$E$6:$E$3665,$K607))</f>
        <v/>
      </c>
      <c r="F607" s="187">
        <f>IF($K607="","",INDEX(Zeiterfassung!$F$6:$F$3665,$K607))</f>
        <v/>
      </c>
      <c r="G607" s="187">
        <f>IF($K607="","",INDEX(Zeiterfassung!$G$6:$G$3665,$K607))</f>
        <v/>
      </c>
      <c r="H607" s="188">
        <f>IF($K607="","",INDEX(Zeiterfassung!$H$6:$H$3665,$K607))</f>
        <v/>
      </c>
      <c r="I607" s="335">
        <f>IF(B607=B606,"",IF($K607="","",INDEX(Zeiterfassung!$I$6:$I$3665,MATCH(INDEX(Zeiterfassung!$K$6:$K$3665,$K607),Zeiterfassung!$K$6:$K$3665,0))))</f>
        <v/>
      </c>
      <c r="J607" s="335">
        <f>IF(B607=B606,"",IF($K607="","",INDEX(Zeiterfassung!$J$6:$J$3665,MATCH(INDEX(Zeiterfassung!$K$6:$K$3665,$K607),Zeiterfassung!$K$6:$K$3665,0))))</f>
        <v/>
      </c>
      <c r="K607">
        <f>IFERROR(AGGREGATE(15,6,(ROW(Zeiterfassung!$D$6:$D$3665)-ROW(Zeiterfassung!$D$6)+1)/(Zeiterfassung!$D$6:$D$3665&lt;&gt;""),602),"")</f>
        <v/>
      </c>
    </row>
    <row r="608" ht="20" customHeight="1">
      <c r="A608" s="183">
        <f>IF($K608="","",WEEKNUM(INDEX(Zeiterfassung!$K$6:$K$3665,$K608),21))</f>
        <v/>
      </c>
      <c r="B608" s="184">
        <f>IF($K608="","",INDEX(Zeiterfassung!$K$6:$K$3665,$K608))</f>
        <v/>
      </c>
      <c r="C608" s="185">
        <f>IF($K608="","",INDEX(Zeiterfassung!$K$6:$K$3665,$K608))</f>
        <v/>
      </c>
      <c r="D608" s="186">
        <f>IF($K608="","",INDEX(Zeiterfassung!$D$6:$D$3665,$K608))</f>
        <v/>
      </c>
      <c r="E608" s="186">
        <f>IF($K608="","",INDEX(Zeiterfassung!$E$6:$E$3665,$K608))</f>
        <v/>
      </c>
      <c r="F608" s="187">
        <f>IF($K608="","",INDEX(Zeiterfassung!$F$6:$F$3665,$K608))</f>
        <v/>
      </c>
      <c r="G608" s="187">
        <f>IF($K608="","",INDEX(Zeiterfassung!$G$6:$G$3665,$K608))</f>
        <v/>
      </c>
      <c r="H608" s="188">
        <f>IF($K608="","",INDEX(Zeiterfassung!$H$6:$H$3665,$K608))</f>
        <v/>
      </c>
      <c r="I608" s="335">
        <f>IF(B608=B607,"",IF($K608="","",INDEX(Zeiterfassung!$I$6:$I$3665,MATCH(INDEX(Zeiterfassung!$K$6:$K$3665,$K608),Zeiterfassung!$K$6:$K$3665,0))))</f>
        <v/>
      </c>
      <c r="J608" s="335">
        <f>IF(B608=B607,"",IF($K608="","",INDEX(Zeiterfassung!$J$6:$J$3665,MATCH(INDEX(Zeiterfassung!$K$6:$K$3665,$K608),Zeiterfassung!$K$6:$K$3665,0))))</f>
        <v/>
      </c>
      <c r="K608">
        <f>IFERROR(AGGREGATE(15,6,(ROW(Zeiterfassung!$D$6:$D$3665)-ROW(Zeiterfassung!$D$6)+1)/(Zeiterfassung!$D$6:$D$3665&lt;&gt;""),603),"")</f>
        <v/>
      </c>
    </row>
    <row r="609" ht="20" customHeight="1">
      <c r="A609" s="183">
        <f>IF($K609="","",WEEKNUM(INDEX(Zeiterfassung!$K$6:$K$3665,$K609),21))</f>
        <v/>
      </c>
      <c r="B609" s="184">
        <f>IF($K609="","",INDEX(Zeiterfassung!$K$6:$K$3665,$K609))</f>
        <v/>
      </c>
      <c r="C609" s="185">
        <f>IF($K609="","",INDEX(Zeiterfassung!$K$6:$K$3665,$K609))</f>
        <v/>
      </c>
      <c r="D609" s="186">
        <f>IF($K609="","",INDEX(Zeiterfassung!$D$6:$D$3665,$K609))</f>
        <v/>
      </c>
      <c r="E609" s="186">
        <f>IF($K609="","",INDEX(Zeiterfassung!$E$6:$E$3665,$K609))</f>
        <v/>
      </c>
      <c r="F609" s="187">
        <f>IF($K609="","",INDEX(Zeiterfassung!$F$6:$F$3665,$K609))</f>
        <v/>
      </c>
      <c r="G609" s="187">
        <f>IF($K609="","",INDEX(Zeiterfassung!$G$6:$G$3665,$K609))</f>
        <v/>
      </c>
      <c r="H609" s="188">
        <f>IF($K609="","",INDEX(Zeiterfassung!$H$6:$H$3665,$K609))</f>
        <v/>
      </c>
      <c r="I609" s="335">
        <f>IF(B609=B608,"",IF($K609="","",INDEX(Zeiterfassung!$I$6:$I$3665,MATCH(INDEX(Zeiterfassung!$K$6:$K$3665,$K609),Zeiterfassung!$K$6:$K$3665,0))))</f>
        <v/>
      </c>
      <c r="J609" s="335">
        <f>IF(B609=B608,"",IF($K609="","",INDEX(Zeiterfassung!$J$6:$J$3665,MATCH(INDEX(Zeiterfassung!$K$6:$K$3665,$K609),Zeiterfassung!$K$6:$K$3665,0))))</f>
        <v/>
      </c>
      <c r="K609">
        <f>IFERROR(AGGREGATE(15,6,(ROW(Zeiterfassung!$D$6:$D$3665)-ROW(Zeiterfassung!$D$6)+1)/(Zeiterfassung!$D$6:$D$3665&lt;&gt;""),604),"")</f>
        <v/>
      </c>
    </row>
    <row r="610" ht="20" customHeight="1">
      <c r="A610" s="183">
        <f>IF($K610="","",WEEKNUM(INDEX(Zeiterfassung!$K$6:$K$3665,$K610),21))</f>
        <v/>
      </c>
      <c r="B610" s="184">
        <f>IF($K610="","",INDEX(Zeiterfassung!$K$6:$K$3665,$K610))</f>
        <v/>
      </c>
      <c r="C610" s="185">
        <f>IF($K610="","",INDEX(Zeiterfassung!$K$6:$K$3665,$K610))</f>
        <v/>
      </c>
      <c r="D610" s="186">
        <f>IF($K610="","",INDEX(Zeiterfassung!$D$6:$D$3665,$K610))</f>
        <v/>
      </c>
      <c r="E610" s="186">
        <f>IF($K610="","",INDEX(Zeiterfassung!$E$6:$E$3665,$K610))</f>
        <v/>
      </c>
      <c r="F610" s="187">
        <f>IF($K610="","",INDEX(Zeiterfassung!$F$6:$F$3665,$K610))</f>
        <v/>
      </c>
      <c r="G610" s="187">
        <f>IF($K610="","",INDEX(Zeiterfassung!$G$6:$G$3665,$K610))</f>
        <v/>
      </c>
      <c r="H610" s="188">
        <f>IF($K610="","",INDEX(Zeiterfassung!$H$6:$H$3665,$K610))</f>
        <v/>
      </c>
      <c r="I610" s="335">
        <f>IF(B610=B609,"",IF($K610="","",INDEX(Zeiterfassung!$I$6:$I$3665,MATCH(INDEX(Zeiterfassung!$K$6:$K$3665,$K610),Zeiterfassung!$K$6:$K$3665,0))))</f>
        <v/>
      </c>
      <c r="J610" s="335">
        <f>IF(B610=B609,"",IF($K610="","",INDEX(Zeiterfassung!$J$6:$J$3665,MATCH(INDEX(Zeiterfassung!$K$6:$K$3665,$K610),Zeiterfassung!$K$6:$K$3665,0))))</f>
        <v/>
      </c>
      <c r="K610">
        <f>IFERROR(AGGREGATE(15,6,(ROW(Zeiterfassung!$D$6:$D$3665)-ROW(Zeiterfassung!$D$6)+1)/(Zeiterfassung!$D$6:$D$3665&lt;&gt;""),605),"")</f>
        <v/>
      </c>
    </row>
    <row r="611" ht="20" customHeight="1">
      <c r="A611" s="183">
        <f>IF($K611="","",WEEKNUM(INDEX(Zeiterfassung!$K$6:$K$3665,$K611),21))</f>
        <v/>
      </c>
      <c r="B611" s="184">
        <f>IF($K611="","",INDEX(Zeiterfassung!$K$6:$K$3665,$K611))</f>
        <v/>
      </c>
      <c r="C611" s="185">
        <f>IF($K611="","",INDEX(Zeiterfassung!$K$6:$K$3665,$K611))</f>
        <v/>
      </c>
      <c r="D611" s="186">
        <f>IF($K611="","",INDEX(Zeiterfassung!$D$6:$D$3665,$K611))</f>
        <v/>
      </c>
      <c r="E611" s="186">
        <f>IF($K611="","",INDEX(Zeiterfassung!$E$6:$E$3665,$K611))</f>
        <v/>
      </c>
      <c r="F611" s="187">
        <f>IF($K611="","",INDEX(Zeiterfassung!$F$6:$F$3665,$K611))</f>
        <v/>
      </c>
      <c r="G611" s="187">
        <f>IF($K611="","",INDEX(Zeiterfassung!$G$6:$G$3665,$K611))</f>
        <v/>
      </c>
      <c r="H611" s="188">
        <f>IF($K611="","",INDEX(Zeiterfassung!$H$6:$H$3665,$K611))</f>
        <v/>
      </c>
      <c r="I611" s="335">
        <f>IF(B611=B610,"",IF($K611="","",INDEX(Zeiterfassung!$I$6:$I$3665,MATCH(INDEX(Zeiterfassung!$K$6:$K$3665,$K611),Zeiterfassung!$K$6:$K$3665,0))))</f>
        <v/>
      </c>
      <c r="J611" s="335">
        <f>IF(B611=B610,"",IF($K611="","",INDEX(Zeiterfassung!$J$6:$J$3665,MATCH(INDEX(Zeiterfassung!$K$6:$K$3665,$K611),Zeiterfassung!$K$6:$K$3665,0))))</f>
        <v/>
      </c>
      <c r="K611">
        <f>IFERROR(AGGREGATE(15,6,(ROW(Zeiterfassung!$D$6:$D$3665)-ROW(Zeiterfassung!$D$6)+1)/(Zeiterfassung!$D$6:$D$3665&lt;&gt;""),606),"")</f>
        <v/>
      </c>
    </row>
    <row r="612" ht="20" customHeight="1">
      <c r="A612" s="183">
        <f>IF($K612="","",WEEKNUM(INDEX(Zeiterfassung!$K$6:$K$3665,$K612),21))</f>
        <v/>
      </c>
      <c r="B612" s="184">
        <f>IF($K612="","",INDEX(Zeiterfassung!$K$6:$K$3665,$K612))</f>
        <v/>
      </c>
      <c r="C612" s="185">
        <f>IF($K612="","",INDEX(Zeiterfassung!$K$6:$K$3665,$K612))</f>
        <v/>
      </c>
      <c r="D612" s="186">
        <f>IF($K612="","",INDEX(Zeiterfassung!$D$6:$D$3665,$K612))</f>
        <v/>
      </c>
      <c r="E612" s="186">
        <f>IF($K612="","",INDEX(Zeiterfassung!$E$6:$E$3665,$K612))</f>
        <v/>
      </c>
      <c r="F612" s="187">
        <f>IF($K612="","",INDEX(Zeiterfassung!$F$6:$F$3665,$K612))</f>
        <v/>
      </c>
      <c r="G612" s="187">
        <f>IF($K612="","",INDEX(Zeiterfassung!$G$6:$G$3665,$K612))</f>
        <v/>
      </c>
      <c r="H612" s="188">
        <f>IF($K612="","",INDEX(Zeiterfassung!$H$6:$H$3665,$K612))</f>
        <v/>
      </c>
      <c r="I612" s="335">
        <f>IF(B612=B611,"",IF($K612="","",INDEX(Zeiterfassung!$I$6:$I$3665,MATCH(INDEX(Zeiterfassung!$K$6:$K$3665,$K612),Zeiterfassung!$K$6:$K$3665,0))))</f>
        <v/>
      </c>
      <c r="J612" s="335">
        <f>IF(B612=B611,"",IF($K612="","",INDEX(Zeiterfassung!$J$6:$J$3665,MATCH(INDEX(Zeiterfassung!$K$6:$K$3665,$K612),Zeiterfassung!$K$6:$K$3665,0))))</f>
        <v/>
      </c>
      <c r="K612">
        <f>IFERROR(AGGREGATE(15,6,(ROW(Zeiterfassung!$D$6:$D$3665)-ROW(Zeiterfassung!$D$6)+1)/(Zeiterfassung!$D$6:$D$3665&lt;&gt;""),607),"")</f>
        <v/>
      </c>
    </row>
    <row r="613" ht="20" customHeight="1">
      <c r="A613" s="183">
        <f>IF($K613="","",WEEKNUM(INDEX(Zeiterfassung!$K$6:$K$3665,$K613),21))</f>
        <v/>
      </c>
      <c r="B613" s="184">
        <f>IF($K613="","",INDEX(Zeiterfassung!$K$6:$K$3665,$K613))</f>
        <v/>
      </c>
      <c r="C613" s="185">
        <f>IF($K613="","",INDEX(Zeiterfassung!$K$6:$K$3665,$K613))</f>
        <v/>
      </c>
      <c r="D613" s="186">
        <f>IF($K613="","",INDEX(Zeiterfassung!$D$6:$D$3665,$K613))</f>
        <v/>
      </c>
      <c r="E613" s="186">
        <f>IF($K613="","",INDEX(Zeiterfassung!$E$6:$E$3665,$K613))</f>
        <v/>
      </c>
      <c r="F613" s="187">
        <f>IF($K613="","",INDEX(Zeiterfassung!$F$6:$F$3665,$K613))</f>
        <v/>
      </c>
      <c r="G613" s="187">
        <f>IF($K613="","",INDEX(Zeiterfassung!$G$6:$G$3665,$K613))</f>
        <v/>
      </c>
      <c r="H613" s="188">
        <f>IF($K613="","",INDEX(Zeiterfassung!$H$6:$H$3665,$K613))</f>
        <v/>
      </c>
      <c r="I613" s="335">
        <f>IF(B613=B612,"",IF($K613="","",INDEX(Zeiterfassung!$I$6:$I$3665,MATCH(INDEX(Zeiterfassung!$K$6:$K$3665,$K613),Zeiterfassung!$K$6:$K$3665,0))))</f>
        <v/>
      </c>
      <c r="J613" s="335">
        <f>IF(B613=B612,"",IF($K613="","",INDEX(Zeiterfassung!$J$6:$J$3665,MATCH(INDEX(Zeiterfassung!$K$6:$K$3665,$K613),Zeiterfassung!$K$6:$K$3665,0))))</f>
        <v/>
      </c>
      <c r="K613">
        <f>IFERROR(AGGREGATE(15,6,(ROW(Zeiterfassung!$D$6:$D$3665)-ROW(Zeiterfassung!$D$6)+1)/(Zeiterfassung!$D$6:$D$3665&lt;&gt;""),608),"")</f>
        <v/>
      </c>
    </row>
    <row r="614" ht="20" customHeight="1">
      <c r="A614" s="183">
        <f>IF($K614="","",WEEKNUM(INDEX(Zeiterfassung!$K$6:$K$3665,$K614),21))</f>
        <v/>
      </c>
      <c r="B614" s="184">
        <f>IF($K614="","",INDEX(Zeiterfassung!$K$6:$K$3665,$K614))</f>
        <v/>
      </c>
      <c r="C614" s="185">
        <f>IF($K614="","",INDEX(Zeiterfassung!$K$6:$K$3665,$K614))</f>
        <v/>
      </c>
      <c r="D614" s="186">
        <f>IF($K614="","",INDEX(Zeiterfassung!$D$6:$D$3665,$K614))</f>
        <v/>
      </c>
      <c r="E614" s="186">
        <f>IF($K614="","",INDEX(Zeiterfassung!$E$6:$E$3665,$K614))</f>
        <v/>
      </c>
      <c r="F614" s="187">
        <f>IF($K614="","",INDEX(Zeiterfassung!$F$6:$F$3665,$K614))</f>
        <v/>
      </c>
      <c r="G614" s="187">
        <f>IF($K614="","",INDEX(Zeiterfassung!$G$6:$G$3665,$K614))</f>
        <v/>
      </c>
      <c r="H614" s="188">
        <f>IF($K614="","",INDEX(Zeiterfassung!$H$6:$H$3665,$K614))</f>
        <v/>
      </c>
      <c r="I614" s="335">
        <f>IF(B614=B613,"",IF($K614="","",INDEX(Zeiterfassung!$I$6:$I$3665,MATCH(INDEX(Zeiterfassung!$K$6:$K$3665,$K614),Zeiterfassung!$K$6:$K$3665,0))))</f>
        <v/>
      </c>
      <c r="J614" s="335">
        <f>IF(B614=B613,"",IF($K614="","",INDEX(Zeiterfassung!$J$6:$J$3665,MATCH(INDEX(Zeiterfassung!$K$6:$K$3665,$K614),Zeiterfassung!$K$6:$K$3665,0))))</f>
        <v/>
      </c>
      <c r="K614">
        <f>IFERROR(AGGREGATE(15,6,(ROW(Zeiterfassung!$D$6:$D$3665)-ROW(Zeiterfassung!$D$6)+1)/(Zeiterfassung!$D$6:$D$3665&lt;&gt;""),609),"")</f>
        <v/>
      </c>
    </row>
    <row r="615" ht="20" customHeight="1">
      <c r="A615" s="183">
        <f>IF($K615="","",WEEKNUM(INDEX(Zeiterfassung!$K$6:$K$3665,$K615),21))</f>
        <v/>
      </c>
      <c r="B615" s="184">
        <f>IF($K615="","",INDEX(Zeiterfassung!$K$6:$K$3665,$K615))</f>
        <v/>
      </c>
      <c r="C615" s="185">
        <f>IF($K615="","",INDEX(Zeiterfassung!$K$6:$K$3665,$K615))</f>
        <v/>
      </c>
      <c r="D615" s="186">
        <f>IF($K615="","",INDEX(Zeiterfassung!$D$6:$D$3665,$K615))</f>
        <v/>
      </c>
      <c r="E615" s="186">
        <f>IF($K615="","",INDEX(Zeiterfassung!$E$6:$E$3665,$K615))</f>
        <v/>
      </c>
      <c r="F615" s="187">
        <f>IF($K615="","",INDEX(Zeiterfassung!$F$6:$F$3665,$K615))</f>
        <v/>
      </c>
      <c r="G615" s="187">
        <f>IF($K615="","",INDEX(Zeiterfassung!$G$6:$G$3665,$K615))</f>
        <v/>
      </c>
      <c r="H615" s="188">
        <f>IF($K615="","",INDEX(Zeiterfassung!$H$6:$H$3665,$K615))</f>
        <v/>
      </c>
      <c r="I615" s="335">
        <f>IF(B615=B614,"",IF($K615="","",INDEX(Zeiterfassung!$I$6:$I$3665,MATCH(INDEX(Zeiterfassung!$K$6:$K$3665,$K615),Zeiterfassung!$K$6:$K$3665,0))))</f>
        <v/>
      </c>
      <c r="J615" s="335">
        <f>IF(B615=B614,"",IF($K615="","",INDEX(Zeiterfassung!$J$6:$J$3665,MATCH(INDEX(Zeiterfassung!$K$6:$K$3665,$K615),Zeiterfassung!$K$6:$K$3665,0))))</f>
        <v/>
      </c>
      <c r="K615">
        <f>IFERROR(AGGREGATE(15,6,(ROW(Zeiterfassung!$D$6:$D$3665)-ROW(Zeiterfassung!$D$6)+1)/(Zeiterfassung!$D$6:$D$3665&lt;&gt;""),610),"")</f>
        <v/>
      </c>
    </row>
    <row r="616" ht="20" customHeight="1">
      <c r="A616" s="183">
        <f>IF($K616="","",WEEKNUM(INDEX(Zeiterfassung!$K$6:$K$3665,$K616),21))</f>
        <v/>
      </c>
      <c r="B616" s="184">
        <f>IF($K616="","",INDEX(Zeiterfassung!$K$6:$K$3665,$K616))</f>
        <v/>
      </c>
      <c r="C616" s="185">
        <f>IF($K616="","",INDEX(Zeiterfassung!$K$6:$K$3665,$K616))</f>
        <v/>
      </c>
      <c r="D616" s="186">
        <f>IF($K616="","",INDEX(Zeiterfassung!$D$6:$D$3665,$K616))</f>
        <v/>
      </c>
      <c r="E616" s="186">
        <f>IF($K616="","",INDEX(Zeiterfassung!$E$6:$E$3665,$K616))</f>
        <v/>
      </c>
      <c r="F616" s="187">
        <f>IF($K616="","",INDEX(Zeiterfassung!$F$6:$F$3665,$K616))</f>
        <v/>
      </c>
      <c r="G616" s="187">
        <f>IF($K616="","",INDEX(Zeiterfassung!$G$6:$G$3665,$K616))</f>
        <v/>
      </c>
      <c r="H616" s="188">
        <f>IF($K616="","",INDEX(Zeiterfassung!$H$6:$H$3665,$K616))</f>
        <v/>
      </c>
      <c r="I616" s="335">
        <f>IF(B616=B615,"",IF($K616="","",INDEX(Zeiterfassung!$I$6:$I$3665,MATCH(INDEX(Zeiterfassung!$K$6:$K$3665,$K616),Zeiterfassung!$K$6:$K$3665,0))))</f>
        <v/>
      </c>
      <c r="J616" s="335">
        <f>IF(B616=B615,"",IF($K616="","",INDEX(Zeiterfassung!$J$6:$J$3665,MATCH(INDEX(Zeiterfassung!$K$6:$K$3665,$K616),Zeiterfassung!$K$6:$K$3665,0))))</f>
        <v/>
      </c>
      <c r="K616">
        <f>IFERROR(AGGREGATE(15,6,(ROW(Zeiterfassung!$D$6:$D$3665)-ROW(Zeiterfassung!$D$6)+1)/(Zeiterfassung!$D$6:$D$3665&lt;&gt;""),611),"")</f>
        <v/>
      </c>
    </row>
    <row r="617" ht="20" customHeight="1">
      <c r="A617" s="183">
        <f>IF($K617="","",WEEKNUM(INDEX(Zeiterfassung!$K$6:$K$3665,$K617),21))</f>
        <v/>
      </c>
      <c r="B617" s="184">
        <f>IF($K617="","",INDEX(Zeiterfassung!$K$6:$K$3665,$K617))</f>
        <v/>
      </c>
      <c r="C617" s="185">
        <f>IF($K617="","",INDEX(Zeiterfassung!$K$6:$K$3665,$K617))</f>
        <v/>
      </c>
      <c r="D617" s="186">
        <f>IF($K617="","",INDEX(Zeiterfassung!$D$6:$D$3665,$K617))</f>
        <v/>
      </c>
      <c r="E617" s="186">
        <f>IF($K617="","",INDEX(Zeiterfassung!$E$6:$E$3665,$K617))</f>
        <v/>
      </c>
      <c r="F617" s="187">
        <f>IF($K617="","",INDEX(Zeiterfassung!$F$6:$F$3665,$K617))</f>
        <v/>
      </c>
      <c r="G617" s="187">
        <f>IF($K617="","",INDEX(Zeiterfassung!$G$6:$G$3665,$K617))</f>
        <v/>
      </c>
      <c r="H617" s="188">
        <f>IF($K617="","",INDEX(Zeiterfassung!$H$6:$H$3665,$K617))</f>
        <v/>
      </c>
      <c r="I617" s="335">
        <f>IF(B617=B616,"",IF($K617="","",INDEX(Zeiterfassung!$I$6:$I$3665,MATCH(INDEX(Zeiterfassung!$K$6:$K$3665,$K617),Zeiterfassung!$K$6:$K$3665,0))))</f>
        <v/>
      </c>
      <c r="J617" s="335">
        <f>IF(B617=B616,"",IF($K617="","",INDEX(Zeiterfassung!$J$6:$J$3665,MATCH(INDEX(Zeiterfassung!$K$6:$K$3665,$K617),Zeiterfassung!$K$6:$K$3665,0))))</f>
        <v/>
      </c>
      <c r="K617">
        <f>IFERROR(AGGREGATE(15,6,(ROW(Zeiterfassung!$D$6:$D$3665)-ROW(Zeiterfassung!$D$6)+1)/(Zeiterfassung!$D$6:$D$3665&lt;&gt;""),612),"")</f>
        <v/>
      </c>
    </row>
    <row r="618" ht="20" customHeight="1">
      <c r="A618" s="183">
        <f>IF($K618="","",WEEKNUM(INDEX(Zeiterfassung!$K$6:$K$3665,$K618),21))</f>
        <v/>
      </c>
      <c r="B618" s="184">
        <f>IF($K618="","",INDEX(Zeiterfassung!$K$6:$K$3665,$K618))</f>
        <v/>
      </c>
      <c r="C618" s="185">
        <f>IF($K618="","",INDEX(Zeiterfassung!$K$6:$K$3665,$K618))</f>
        <v/>
      </c>
      <c r="D618" s="186">
        <f>IF($K618="","",INDEX(Zeiterfassung!$D$6:$D$3665,$K618))</f>
        <v/>
      </c>
      <c r="E618" s="186">
        <f>IF($K618="","",INDEX(Zeiterfassung!$E$6:$E$3665,$K618))</f>
        <v/>
      </c>
      <c r="F618" s="187">
        <f>IF($K618="","",INDEX(Zeiterfassung!$F$6:$F$3665,$K618))</f>
        <v/>
      </c>
      <c r="G618" s="187">
        <f>IF($K618="","",INDEX(Zeiterfassung!$G$6:$G$3665,$K618))</f>
        <v/>
      </c>
      <c r="H618" s="188">
        <f>IF($K618="","",INDEX(Zeiterfassung!$H$6:$H$3665,$K618))</f>
        <v/>
      </c>
      <c r="I618" s="335">
        <f>IF(B618=B617,"",IF($K618="","",INDEX(Zeiterfassung!$I$6:$I$3665,MATCH(INDEX(Zeiterfassung!$K$6:$K$3665,$K618),Zeiterfassung!$K$6:$K$3665,0))))</f>
        <v/>
      </c>
      <c r="J618" s="335">
        <f>IF(B618=B617,"",IF($K618="","",INDEX(Zeiterfassung!$J$6:$J$3665,MATCH(INDEX(Zeiterfassung!$K$6:$K$3665,$K618),Zeiterfassung!$K$6:$K$3665,0))))</f>
        <v/>
      </c>
      <c r="K618">
        <f>IFERROR(AGGREGATE(15,6,(ROW(Zeiterfassung!$D$6:$D$3665)-ROW(Zeiterfassung!$D$6)+1)/(Zeiterfassung!$D$6:$D$3665&lt;&gt;""),613),"")</f>
        <v/>
      </c>
    </row>
    <row r="619" ht="20" customHeight="1">
      <c r="A619" s="183">
        <f>IF($K619="","",WEEKNUM(INDEX(Zeiterfassung!$K$6:$K$3665,$K619),21))</f>
        <v/>
      </c>
      <c r="B619" s="184">
        <f>IF($K619="","",INDEX(Zeiterfassung!$K$6:$K$3665,$K619))</f>
        <v/>
      </c>
      <c r="C619" s="185">
        <f>IF($K619="","",INDEX(Zeiterfassung!$K$6:$K$3665,$K619))</f>
        <v/>
      </c>
      <c r="D619" s="186">
        <f>IF($K619="","",INDEX(Zeiterfassung!$D$6:$D$3665,$K619))</f>
        <v/>
      </c>
      <c r="E619" s="186">
        <f>IF($K619="","",INDEX(Zeiterfassung!$E$6:$E$3665,$K619))</f>
        <v/>
      </c>
      <c r="F619" s="187">
        <f>IF($K619="","",INDEX(Zeiterfassung!$F$6:$F$3665,$K619))</f>
        <v/>
      </c>
      <c r="G619" s="187">
        <f>IF($K619="","",INDEX(Zeiterfassung!$G$6:$G$3665,$K619))</f>
        <v/>
      </c>
      <c r="H619" s="188">
        <f>IF($K619="","",INDEX(Zeiterfassung!$H$6:$H$3665,$K619))</f>
        <v/>
      </c>
      <c r="I619" s="335">
        <f>IF(B619=B618,"",IF($K619="","",INDEX(Zeiterfassung!$I$6:$I$3665,MATCH(INDEX(Zeiterfassung!$K$6:$K$3665,$K619),Zeiterfassung!$K$6:$K$3665,0))))</f>
        <v/>
      </c>
      <c r="J619" s="335">
        <f>IF(B619=B618,"",IF($K619="","",INDEX(Zeiterfassung!$J$6:$J$3665,MATCH(INDEX(Zeiterfassung!$K$6:$K$3665,$K619),Zeiterfassung!$K$6:$K$3665,0))))</f>
        <v/>
      </c>
      <c r="K619">
        <f>IFERROR(AGGREGATE(15,6,(ROW(Zeiterfassung!$D$6:$D$3665)-ROW(Zeiterfassung!$D$6)+1)/(Zeiterfassung!$D$6:$D$3665&lt;&gt;""),614),"")</f>
        <v/>
      </c>
    </row>
    <row r="620" ht="20" customHeight="1">
      <c r="A620" s="183">
        <f>IF($K620="","",WEEKNUM(INDEX(Zeiterfassung!$K$6:$K$3665,$K620),21))</f>
        <v/>
      </c>
      <c r="B620" s="184">
        <f>IF($K620="","",INDEX(Zeiterfassung!$K$6:$K$3665,$K620))</f>
        <v/>
      </c>
      <c r="C620" s="185">
        <f>IF($K620="","",INDEX(Zeiterfassung!$K$6:$K$3665,$K620))</f>
        <v/>
      </c>
      <c r="D620" s="186">
        <f>IF($K620="","",INDEX(Zeiterfassung!$D$6:$D$3665,$K620))</f>
        <v/>
      </c>
      <c r="E620" s="186">
        <f>IF($K620="","",INDEX(Zeiterfassung!$E$6:$E$3665,$K620))</f>
        <v/>
      </c>
      <c r="F620" s="187">
        <f>IF($K620="","",INDEX(Zeiterfassung!$F$6:$F$3665,$K620))</f>
        <v/>
      </c>
      <c r="G620" s="187">
        <f>IF($K620="","",INDEX(Zeiterfassung!$G$6:$G$3665,$K620))</f>
        <v/>
      </c>
      <c r="H620" s="188">
        <f>IF($K620="","",INDEX(Zeiterfassung!$H$6:$H$3665,$K620))</f>
        <v/>
      </c>
      <c r="I620" s="335">
        <f>IF(B620=B619,"",IF($K620="","",INDEX(Zeiterfassung!$I$6:$I$3665,MATCH(INDEX(Zeiterfassung!$K$6:$K$3665,$K620),Zeiterfassung!$K$6:$K$3665,0))))</f>
        <v/>
      </c>
      <c r="J620" s="335">
        <f>IF(B620=B619,"",IF($K620="","",INDEX(Zeiterfassung!$J$6:$J$3665,MATCH(INDEX(Zeiterfassung!$K$6:$K$3665,$K620),Zeiterfassung!$K$6:$K$3665,0))))</f>
        <v/>
      </c>
      <c r="K620">
        <f>IFERROR(AGGREGATE(15,6,(ROW(Zeiterfassung!$D$6:$D$3665)-ROW(Zeiterfassung!$D$6)+1)/(Zeiterfassung!$D$6:$D$3665&lt;&gt;""),615),"")</f>
        <v/>
      </c>
    </row>
    <row r="621" ht="20" customHeight="1">
      <c r="A621" s="183">
        <f>IF($K621="","",WEEKNUM(INDEX(Zeiterfassung!$K$6:$K$3665,$K621),21))</f>
        <v/>
      </c>
      <c r="B621" s="184">
        <f>IF($K621="","",INDEX(Zeiterfassung!$K$6:$K$3665,$K621))</f>
        <v/>
      </c>
      <c r="C621" s="185">
        <f>IF($K621="","",INDEX(Zeiterfassung!$K$6:$K$3665,$K621))</f>
        <v/>
      </c>
      <c r="D621" s="186">
        <f>IF($K621="","",INDEX(Zeiterfassung!$D$6:$D$3665,$K621))</f>
        <v/>
      </c>
      <c r="E621" s="186">
        <f>IF($K621="","",INDEX(Zeiterfassung!$E$6:$E$3665,$K621))</f>
        <v/>
      </c>
      <c r="F621" s="187">
        <f>IF($K621="","",INDEX(Zeiterfassung!$F$6:$F$3665,$K621))</f>
        <v/>
      </c>
      <c r="G621" s="187">
        <f>IF($K621="","",INDEX(Zeiterfassung!$G$6:$G$3665,$K621))</f>
        <v/>
      </c>
      <c r="H621" s="188">
        <f>IF($K621="","",INDEX(Zeiterfassung!$H$6:$H$3665,$K621))</f>
        <v/>
      </c>
      <c r="I621" s="335">
        <f>IF(B621=B620,"",IF($K621="","",INDEX(Zeiterfassung!$I$6:$I$3665,MATCH(INDEX(Zeiterfassung!$K$6:$K$3665,$K621),Zeiterfassung!$K$6:$K$3665,0))))</f>
        <v/>
      </c>
      <c r="J621" s="335">
        <f>IF(B621=B620,"",IF($K621="","",INDEX(Zeiterfassung!$J$6:$J$3665,MATCH(INDEX(Zeiterfassung!$K$6:$K$3665,$K621),Zeiterfassung!$K$6:$K$3665,0))))</f>
        <v/>
      </c>
      <c r="K621">
        <f>IFERROR(AGGREGATE(15,6,(ROW(Zeiterfassung!$D$6:$D$3665)-ROW(Zeiterfassung!$D$6)+1)/(Zeiterfassung!$D$6:$D$3665&lt;&gt;""),616),"")</f>
        <v/>
      </c>
    </row>
    <row r="622" ht="20" customHeight="1">
      <c r="A622" s="183">
        <f>IF($K622="","",WEEKNUM(INDEX(Zeiterfassung!$K$6:$K$3665,$K622),21))</f>
        <v/>
      </c>
      <c r="B622" s="184">
        <f>IF($K622="","",INDEX(Zeiterfassung!$K$6:$K$3665,$K622))</f>
        <v/>
      </c>
      <c r="C622" s="185">
        <f>IF($K622="","",INDEX(Zeiterfassung!$K$6:$K$3665,$K622))</f>
        <v/>
      </c>
      <c r="D622" s="186">
        <f>IF($K622="","",INDEX(Zeiterfassung!$D$6:$D$3665,$K622))</f>
        <v/>
      </c>
      <c r="E622" s="186">
        <f>IF($K622="","",INDEX(Zeiterfassung!$E$6:$E$3665,$K622))</f>
        <v/>
      </c>
      <c r="F622" s="187">
        <f>IF($K622="","",INDEX(Zeiterfassung!$F$6:$F$3665,$K622))</f>
        <v/>
      </c>
      <c r="G622" s="187">
        <f>IF($K622="","",INDEX(Zeiterfassung!$G$6:$G$3665,$K622))</f>
        <v/>
      </c>
      <c r="H622" s="188">
        <f>IF($K622="","",INDEX(Zeiterfassung!$H$6:$H$3665,$K622))</f>
        <v/>
      </c>
      <c r="I622" s="335">
        <f>IF(B622=B621,"",IF($K622="","",INDEX(Zeiterfassung!$I$6:$I$3665,MATCH(INDEX(Zeiterfassung!$K$6:$K$3665,$K622),Zeiterfassung!$K$6:$K$3665,0))))</f>
        <v/>
      </c>
      <c r="J622" s="335">
        <f>IF(B622=B621,"",IF($K622="","",INDEX(Zeiterfassung!$J$6:$J$3665,MATCH(INDEX(Zeiterfassung!$K$6:$K$3665,$K622),Zeiterfassung!$K$6:$K$3665,0))))</f>
        <v/>
      </c>
      <c r="K622">
        <f>IFERROR(AGGREGATE(15,6,(ROW(Zeiterfassung!$D$6:$D$3665)-ROW(Zeiterfassung!$D$6)+1)/(Zeiterfassung!$D$6:$D$3665&lt;&gt;""),617),"")</f>
        <v/>
      </c>
    </row>
    <row r="623" ht="20" customHeight="1">
      <c r="A623" s="183">
        <f>IF($K623="","",WEEKNUM(INDEX(Zeiterfassung!$K$6:$K$3665,$K623),21))</f>
        <v/>
      </c>
      <c r="B623" s="184">
        <f>IF($K623="","",INDEX(Zeiterfassung!$K$6:$K$3665,$K623))</f>
        <v/>
      </c>
      <c r="C623" s="185">
        <f>IF($K623="","",INDEX(Zeiterfassung!$K$6:$K$3665,$K623))</f>
        <v/>
      </c>
      <c r="D623" s="186">
        <f>IF($K623="","",INDEX(Zeiterfassung!$D$6:$D$3665,$K623))</f>
        <v/>
      </c>
      <c r="E623" s="186">
        <f>IF($K623="","",INDEX(Zeiterfassung!$E$6:$E$3665,$K623))</f>
        <v/>
      </c>
      <c r="F623" s="187">
        <f>IF($K623="","",INDEX(Zeiterfassung!$F$6:$F$3665,$K623))</f>
        <v/>
      </c>
      <c r="G623" s="187">
        <f>IF($K623="","",INDEX(Zeiterfassung!$G$6:$G$3665,$K623))</f>
        <v/>
      </c>
      <c r="H623" s="188">
        <f>IF($K623="","",INDEX(Zeiterfassung!$H$6:$H$3665,$K623))</f>
        <v/>
      </c>
      <c r="I623" s="335">
        <f>IF(B623=B622,"",IF($K623="","",INDEX(Zeiterfassung!$I$6:$I$3665,MATCH(INDEX(Zeiterfassung!$K$6:$K$3665,$K623),Zeiterfassung!$K$6:$K$3665,0))))</f>
        <v/>
      </c>
      <c r="J623" s="335">
        <f>IF(B623=B622,"",IF($K623="","",INDEX(Zeiterfassung!$J$6:$J$3665,MATCH(INDEX(Zeiterfassung!$K$6:$K$3665,$K623),Zeiterfassung!$K$6:$K$3665,0))))</f>
        <v/>
      </c>
      <c r="K623">
        <f>IFERROR(AGGREGATE(15,6,(ROW(Zeiterfassung!$D$6:$D$3665)-ROW(Zeiterfassung!$D$6)+1)/(Zeiterfassung!$D$6:$D$3665&lt;&gt;""),618),"")</f>
        <v/>
      </c>
    </row>
    <row r="624" ht="20" customHeight="1">
      <c r="A624" s="183">
        <f>IF($K624="","",WEEKNUM(INDEX(Zeiterfassung!$K$6:$K$3665,$K624),21))</f>
        <v/>
      </c>
      <c r="B624" s="184">
        <f>IF($K624="","",INDEX(Zeiterfassung!$K$6:$K$3665,$K624))</f>
        <v/>
      </c>
      <c r="C624" s="185">
        <f>IF($K624="","",INDEX(Zeiterfassung!$K$6:$K$3665,$K624))</f>
        <v/>
      </c>
      <c r="D624" s="186">
        <f>IF($K624="","",INDEX(Zeiterfassung!$D$6:$D$3665,$K624))</f>
        <v/>
      </c>
      <c r="E624" s="186">
        <f>IF($K624="","",INDEX(Zeiterfassung!$E$6:$E$3665,$K624))</f>
        <v/>
      </c>
      <c r="F624" s="187">
        <f>IF($K624="","",INDEX(Zeiterfassung!$F$6:$F$3665,$K624))</f>
        <v/>
      </c>
      <c r="G624" s="187">
        <f>IF($K624="","",INDEX(Zeiterfassung!$G$6:$G$3665,$K624))</f>
        <v/>
      </c>
      <c r="H624" s="188">
        <f>IF($K624="","",INDEX(Zeiterfassung!$H$6:$H$3665,$K624))</f>
        <v/>
      </c>
      <c r="I624" s="335">
        <f>IF(B624=B623,"",IF($K624="","",INDEX(Zeiterfassung!$I$6:$I$3665,MATCH(INDEX(Zeiterfassung!$K$6:$K$3665,$K624),Zeiterfassung!$K$6:$K$3665,0))))</f>
        <v/>
      </c>
      <c r="J624" s="335">
        <f>IF(B624=B623,"",IF($K624="","",INDEX(Zeiterfassung!$J$6:$J$3665,MATCH(INDEX(Zeiterfassung!$K$6:$K$3665,$K624),Zeiterfassung!$K$6:$K$3665,0))))</f>
        <v/>
      </c>
      <c r="K624">
        <f>IFERROR(AGGREGATE(15,6,(ROW(Zeiterfassung!$D$6:$D$3665)-ROW(Zeiterfassung!$D$6)+1)/(Zeiterfassung!$D$6:$D$3665&lt;&gt;""),619),"")</f>
        <v/>
      </c>
    </row>
    <row r="625" ht="20" customHeight="1">
      <c r="A625" s="183">
        <f>IF($K625="","",WEEKNUM(INDEX(Zeiterfassung!$K$6:$K$3665,$K625),21))</f>
        <v/>
      </c>
      <c r="B625" s="184">
        <f>IF($K625="","",INDEX(Zeiterfassung!$K$6:$K$3665,$K625))</f>
        <v/>
      </c>
      <c r="C625" s="185">
        <f>IF($K625="","",INDEX(Zeiterfassung!$K$6:$K$3665,$K625))</f>
        <v/>
      </c>
      <c r="D625" s="186">
        <f>IF($K625="","",INDEX(Zeiterfassung!$D$6:$D$3665,$K625))</f>
        <v/>
      </c>
      <c r="E625" s="186">
        <f>IF($K625="","",INDEX(Zeiterfassung!$E$6:$E$3665,$K625))</f>
        <v/>
      </c>
      <c r="F625" s="187">
        <f>IF($K625="","",INDEX(Zeiterfassung!$F$6:$F$3665,$K625))</f>
        <v/>
      </c>
      <c r="G625" s="187">
        <f>IF($K625="","",INDEX(Zeiterfassung!$G$6:$G$3665,$K625))</f>
        <v/>
      </c>
      <c r="H625" s="188">
        <f>IF($K625="","",INDEX(Zeiterfassung!$H$6:$H$3665,$K625))</f>
        <v/>
      </c>
      <c r="I625" s="335">
        <f>IF(B625=B624,"",IF($K625="","",INDEX(Zeiterfassung!$I$6:$I$3665,MATCH(INDEX(Zeiterfassung!$K$6:$K$3665,$K625),Zeiterfassung!$K$6:$K$3665,0))))</f>
        <v/>
      </c>
      <c r="J625" s="335">
        <f>IF(B625=B624,"",IF($K625="","",INDEX(Zeiterfassung!$J$6:$J$3665,MATCH(INDEX(Zeiterfassung!$K$6:$K$3665,$K625),Zeiterfassung!$K$6:$K$3665,0))))</f>
        <v/>
      </c>
      <c r="K625">
        <f>IFERROR(AGGREGATE(15,6,(ROW(Zeiterfassung!$D$6:$D$3665)-ROW(Zeiterfassung!$D$6)+1)/(Zeiterfassung!$D$6:$D$3665&lt;&gt;""),620),"")</f>
        <v/>
      </c>
    </row>
    <row r="626" ht="20" customHeight="1">
      <c r="A626" s="183">
        <f>IF($K626="","",WEEKNUM(INDEX(Zeiterfassung!$K$6:$K$3665,$K626),21))</f>
        <v/>
      </c>
      <c r="B626" s="184">
        <f>IF($K626="","",INDEX(Zeiterfassung!$K$6:$K$3665,$K626))</f>
        <v/>
      </c>
      <c r="C626" s="185">
        <f>IF($K626="","",INDEX(Zeiterfassung!$K$6:$K$3665,$K626))</f>
        <v/>
      </c>
      <c r="D626" s="186">
        <f>IF($K626="","",INDEX(Zeiterfassung!$D$6:$D$3665,$K626))</f>
        <v/>
      </c>
      <c r="E626" s="186">
        <f>IF($K626="","",INDEX(Zeiterfassung!$E$6:$E$3665,$K626))</f>
        <v/>
      </c>
      <c r="F626" s="187">
        <f>IF($K626="","",INDEX(Zeiterfassung!$F$6:$F$3665,$K626))</f>
        <v/>
      </c>
      <c r="G626" s="187">
        <f>IF($K626="","",INDEX(Zeiterfassung!$G$6:$G$3665,$K626))</f>
        <v/>
      </c>
      <c r="H626" s="188">
        <f>IF($K626="","",INDEX(Zeiterfassung!$H$6:$H$3665,$K626))</f>
        <v/>
      </c>
      <c r="I626" s="335">
        <f>IF(B626=B625,"",IF($K626="","",INDEX(Zeiterfassung!$I$6:$I$3665,MATCH(INDEX(Zeiterfassung!$K$6:$K$3665,$K626),Zeiterfassung!$K$6:$K$3665,0))))</f>
        <v/>
      </c>
      <c r="J626" s="335">
        <f>IF(B626=B625,"",IF($K626="","",INDEX(Zeiterfassung!$J$6:$J$3665,MATCH(INDEX(Zeiterfassung!$K$6:$K$3665,$K626),Zeiterfassung!$K$6:$K$3665,0))))</f>
        <v/>
      </c>
      <c r="K626">
        <f>IFERROR(AGGREGATE(15,6,(ROW(Zeiterfassung!$D$6:$D$3665)-ROW(Zeiterfassung!$D$6)+1)/(Zeiterfassung!$D$6:$D$3665&lt;&gt;""),621),"")</f>
        <v/>
      </c>
    </row>
    <row r="627" ht="20" customHeight="1">
      <c r="A627" s="183">
        <f>IF($K627="","",WEEKNUM(INDEX(Zeiterfassung!$K$6:$K$3665,$K627),21))</f>
        <v/>
      </c>
      <c r="B627" s="184">
        <f>IF($K627="","",INDEX(Zeiterfassung!$K$6:$K$3665,$K627))</f>
        <v/>
      </c>
      <c r="C627" s="185">
        <f>IF($K627="","",INDEX(Zeiterfassung!$K$6:$K$3665,$K627))</f>
        <v/>
      </c>
      <c r="D627" s="186">
        <f>IF($K627="","",INDEX(Zeiterfassung!$D$6:$D$3665,$K627))</f>
        <v/>
      </c>
      <c r="E627" s="186">
        <f>IF($K627="","",INDEX(Zeiterfassung!$E$6:$E$3665,$K627))</f>
        <v/>
      </c>
      <c r="F627" s="187">
        <f>IF($K627="","",INDEX(Zeiterfassung!$F$6:$F$3665,$K627))</f>
        <v/>
      </c>
      <c r="G627" s="187">
        <f>IF($K627="","",INDEX(Zeiterfassung!$G$6:$G$3665,$K627))</f>
        <v/>
      </c>
      <c r="H627" s="188">
        <f>IF($K627="","",INDEX(Zeiterfassung!$H$6:$H$3665,$K627))</f>
        <v/>
      </c>
      <c r="I627" s="335">
        <f>IF(B627=B626,"",IF($K627="","",INDEX(Zeiterfassung!$I$6:$I$3665,MATCH(INDEX(Zeiterfassung!$K$6:$K$3665,$K627),Zeiterfassung!$K$6:$K$3665,0))))</f>
        <v/>
      </c>
      <c r="J627" s="335">
        <f>IF(B627=B626,"",IF($K627="","",INDEX(Zeiterfassung!$J$6:$J$3665,MATCH(INDEX(Zeiterfassung!$K$6:$K$3665,$K627),Zeiterfassung!$K$6:$K$3665,0))))</f>
        <v/>
      </c>
      <c r="K627">
        <f>IFERROR(AGGREGATE(15,6,(ROW(Zeiterfassung!$D$6:$D$3665)-ROW(Zeiterfassung!$D$6)+1)/(Zeiterfassung!$D$6:$D$3665&lt;&gt;""),622),"")</f>
        <v/>
      </c>
    </row>
    <row r="628" ht="20" customHeight="1">
      <c r="A628" s="183">
        <f>IF($K628="","",WEEKNUM(INDEX(Zeiterfassung!$K$6:$K$3665,$K628),21))</f>
        <v/>
      </c>
      <c r="B628" s="184">
        <f>IF($K628="","",INDEX(Zeiterfassung!$K$6:$K$3665,$K628))</f>
        <v/>
      </c>
      <c r="C628" s="185">
        <f>IF($K628="","",INDEX(Zeiterfassung!$K$6:$K$3665,$K628))</f>
        <v/>
      </c>
      <c r="D628" s="186">
        <f>IF($K628="","",INDEX(Zeiterfassung!$D$6:$D$3665,$K628))</f>
        <v/>
      </c>
      <c r="E628" s="186">
        <f>IF($K628="","",INDEX(Zeiterfassung!$E$6:$E$3665,$K628))</f>
        <v/>
      </c>
      <c r="F628" s="187">
        <f>IF($K628="","",INDEX(Zeiterfassung!$F$6:$F$3665,$K628))</f>
        <v/>
      </c>
      <c r="G628" s="187">
        <f>IF($K628="","",INDEX(Zeiterfassung!$G$6:$G$3665,$K628))</f>
        <v/>
      </c>
      <c r="H628" s="188">
        <f>IF($K628="","",INDEX(Zeiterfassung!$H$6:$H$3665,$K628))</f>
        <v/>
      </c>
      <c r="I628" s="335">
        <f>IF(B628=B627,"",IF($K628="","",INDEX(Zeiterfassung!$I$6:$I$3665,MATCH(INDEX(Zeiterfassung!$K$6:$K$3665,$K628),Zeiterfassung!$K$6:$K$3665,0))))</f>
        <v/>
      </c>
      <c r="J628" s="335">
        <f>IF(B628=B627,"",IF($K628="","",INDEX(Zeiterfassung!$J$6:$J$3665,MATCH(INDEX(Zeiterfassung!$K$6:$K$3665,$K628),Zeiterfassung!$K$6:$K$3665,0))))</f>
        <v/>
      </c>
      <c r="K628">
        <f>IFERROR(AGGREGATE(15,6,(ROW(Zeiterfassung!$D$6:$D$3665)-ROW(Zeiterfassung!$D$6)+1)/(Zeiterfassung!$D$6:$D$3665&lt;&gt;""),623),"")</f>
        <v/>
      </c>
    </row>
    <row r="629" ht="20" customHeight="1">
      <c r="A629" s="183">
        <f>IF($K629="","",WEEKNUM(INDEX(Zeiterfassung!$K$6:$K$3665,$K629),21))</f>
        <v/>
      </c>
      <c r="B629" s="184">
        <f>IF($K629="","",INDEX(Zeiterfassung!$K$6:$K$3665,$K629))</f>
        <v/>
      </c>
      <c r="C629" s="185">
        <f>IF($K629="","",INDEX(Zeiterfassung!$K$6:$K$3665,$K629))</f>
        <v/>
      </c>
      <c r="D629" s="186">
        <f>IF($K629="","",INDEX(Zeiterfassung!$D$6:$D$3665,$K629))</f>
        <v/>
      </c>
      <c r="E629" s="186">
        <f>IF($K629="","",INDEX(Zeiterfassung!$E$6:$E$3665,$K629))</f>
        <v/>
      </c>
      <c r="F629" s="187">
        <f>IF($K629="","",INDEX(Zeiterfassung!$F$6:$F$3665,$K629))</f>
        <v/>
      </c>
      <c r="G629" s="187">
        <f>IF($K629="","",INDEX(Zeiterfassung!$G$6:$G$3665,$K629))</f>
        <v/>
      </c>
      <c r="H629" s="188">
        <f>IF($K629="","",INDEX(Zeiterfassung!$H$6:$H$3665,$K629))</f>
        <v/>
      </c>
      <c r="I629" s="335">
        <f>IF(B629=B628,"",IF($K629="","",INDEX(Zeiterfassung!$I$6:$I$3665,MATCH(INDEX(Zeiterfassung!$K$6:$K$3665,$K629),Zeiterfassung!$K$6:$K$3665,0))))</f>
        <v/>
      </c>
      <c r="J629" s="335">
        <f>IF(B629=B628,"",IF($K629="","",INDEX(Zeiterfassung!$J$6:$J$3665,MATCH(INDEX(Zeiterfassung!$K$6:$K$3665,$K629),Zeiterfassung!$K$6:$K$3665,0))))</f>
        <v/>
      </c>
      <c r="K629">
        <f>IFERROR(AGGREGATE(15,6,(ROW(Zeiterfassung!$D$6:$D$3665)-ROW(Zeiterfassung!$D$6)+1)/(Zeiterfassung!$D$6:$D$3665&lt;&gt;""),624),"")</f>
        <v/>
      </c>
    </row>
    <row r="630" ht="20" customHeight="1">
      <c r="A630" s="183">
        <f>IF($K630="","",WEEKNUM(INDEX(Zeiterfassung!$K$6:$K$3665,$K630),21))</f>
        <v/>
      </c>
      <c r="B630" s="184">
        <f>IF($K630="","",INDEX(Zeiterfassung!$K$6:$K$3665,$K630))</f>
        <v/>
      </c>
      <c r="C630" s="185">
        <f>IF($K630="","",INDEX(Zeiterfassung!$K$6:$K$3665,$K630))</f>
        <v/>
      </c>
      <c r="D630" s="186">
        <f>IF($K630="","",INDEX(Zeiterfassung!$D$6:$D$3665,$K630))</f>
        <v/>
      </c>
      <c r="E630" s="186">
        <f>IF($K630="","",INDEX(Zeiterfassung!$E$6:$E$3665,$K630))</f>
        <v/>
      </c>
      <c r="F630" s="187">
        <f>IF($K630="","",INDEX(Zeiterfassung!$F$6:$F$3665,$K630))</f>
        <v/>
      </c>
      <c r="G630" s="187">
        <f>IF($K630="","",INDEX(Zeiterfassung!$G$6:$G$3665,$K630))</f>
        <v/>
      </c>
      <c r="H630" s="188">
        <f>IF($K630="","",INDEX(Zeiterfassung!$H$6:$H$3665,$K630))</f>
        <v/>
      </c>
      <c r="I630" s="335">
        <f>IF(B630=B629,"",IF($K630="","",INDEX(Zeiterfassung!$I$6:$I$3665,MATCH(INDEX(Zeiterfassung!$K$6:$K$3665,$K630),Zeiterfassung!$K$6:$K$3665,0))))</f>
        <v/>
      </c>
      <c r="J630" s="335">
        <f>IF(B630=B629,"",IF($K630="","",INDEX(Zeiterfassung!$J$6:$J$3665,MATCH(INDEX(Zeiterfassung!$K$6:$K$3665,$K630),Zeiterfassung!$K$6:$K$3665,0))))</f>
        <v/>
      </c>
      <c r="K630">
        <f>IFERROR(AGGREGATE(15,6,(ROW(Zeiterfassung!$D$6:$D$3665)-ROW(Zeiterfassung!$D$6)+1)/(Zeiterfassung!$D$6:$D$3665&lt;&gt;""),625),"")</f>
        <v/>
      </c>
    </row>
    <row r="631" ht="20" customHeight="1">
      <c r="A631" s="183">
        <f>IF($K631="","",WEEKNUM(INDEX(Zeiterfassung!$K$6:$K$3665,$K631),21))</f>
        <v/>
      </c>
      <c r="B631" s="184">
        <f>IF($K631="","",INDEX(Zeiterfassung!$K$6:$K$3665,$K631))</f>
        <v/>
      </c>
      <c r="C631" s="185">
        <f>IF($K631="","",INDEX(Zeiterfassung!$K$6:$K$3665,$K631))</f>
        <v/>
      </c>
      <c r="D631" s="186">
        <f>IF($K631="","",INDEX(Zeiterfassung!$D$6:$D$3665,$K631))</f>
        <v/>
      </c>
      <c r="E631" s="186">
        <f>IF($K631="","",INDEX(Zeiterfassung!$E$6:$E$3665,$K631))</f>
        <v/>
      </c>
      <c r="F631" s="187">
        <f>IF($K631="","",INDEX(Zeiterfassung!$F$6:$F$3665,$K631))</f>
        <v/>
      </c>
      <c r="G631" s="187">
        <f>IF($K631="","",INDEX(Zeiterfassung!$G$6:$G$3665,$K631))</f>
        <v/>
      </c>
      <c r="H631" s="188">
        <f>IF($K631="","",INDEX(Zeiterfassung!$H$6:$H$3665,$K631))</f>
        <v/>
      </c>
      <c r="I631" s="335">
        <f>IF(B631=B630,"",IF($K631="","",INDEX(Zeiterfassung!$I$6:$I$3665,MATCH(INDEX(Zeiterfassung!$K$6:$K$3665,$K631),Zeiterfassung!$K$6:$K$3665,0))))</f>
        <v/>
      </c>
      <c r="J631" s="335">
        <f>IF(B631=B630,"",IF($K631="","",INDEX(Zeiterfassung!$J$6:$J$3665,MATCH(INDEX(Zeiterfassung!$K$6:$K$3665,$K631),Zeiterfassung!$K$6:$K$3665,0))))</f>
        <v/>
      </c>
      <c r="K631">
        <f>IFERROR(AGGREGATE(15,6,(ROW(Zeiterfassung!$D$6:$D$3665)-ROW(Zeiterfassung!$D$6)+1)/(Zeiterfassung!$D$6:$D$3665&lt;&gt;""),626),"")</f>
        <v/>
      </c>
    </row>
    <row r="632" ht="20" customHeight="1">
      <c r="A632" s="183">
        <f>IF($K632="","",WEEKNUM(INDEX(Zeiterfassung!$K$6:$K$3665,$K632),21))</f>
        <v/>
      </c>
      <c r="B632" s="184">
        <f>IF($K632="","",INDEX(Zeiterfassung!$K$6:$K$3665,$K632))</f>
        <v/>
      </c>
      <c r="C632" s="185">
        <f>IF($K632="","",INDEX(Zeiterfassung!$K$6:$K$3665,$K632))</f>
        <v/>
      </c>
      <c r="D632" s="186">
        <f>IF($K632="","",INDEX(Zeiterfassung!$D$6:$D$3665,$K632))</f>
        <v/>
      </c>
      <c r="E632" s="186">
        <f>IF($K632="","",INDEX(Zeiterfassung!$E$6:$E$3665,$K632))</f>
        <v/>
      </c>
      <c r="F632" s="187">
        <f>IF($K632="","",INDEX(Zeiterfassung!$F$6:$F$3665,$K632))</f>
        <v/>
      </c>
      <c r="G632" s="187">
        <f>IF($K632="","",INDEX(Zeiterfassung!$G$6:$G$3665,$K632))</f>
        <v/>
      </c>
      <c r="H632" s="188">
        <f>IF($K632="","",INDEX(Zeiterfassung!$H$6:$H$3665,$K632))</f>
        <v/>
      </c>
      <c r="I632" s="335">
        <f>IF(B632=B631,"",IF($K632="","",INDEX(Zeiterfassung!$I$6:$I$3665,MATCH(INDEX(Zeiterfassung!$K$6:$K$3665,$K632),Zeiterfassung!$K$6:$K$3665,0))))</f>
        <v/>
      </c>
      <c r="J632" s="335">
        <f>IF(B632=B631,"",IF($K632="","",INDEX(Zeiterfassung!$J$6:$J$3665,MATCH(INDEX(Zeiterfassung!$K$6:$K$3665,$K632),Zeiterfassung!$K$6:$K$3665,0))))</f>
        <v/>
      </c>
      <c r="K632">
        <f>IFERROR(AGGREGATE(15,6,(ROW(Zeiterfassung!$D$6:$D$3665)-ROW(Zeiterfassung!$D$6)+1)/(Zeiterfassung!$D$6:$D$3665&lt;&gt;""),627),"")</f>
        <v/>
      </c>
    </row>
    <row r="633" ht="20" customHeight="1">
      <c r="A633" s="183">
        <f>IF($K633="","",WEEKNUM(INDEX(Zeiterfassung!$K$6:$K$3665,$K633),21))</f>
        <v/>
      </c>
      <c r="B633" s="184">
        <f>IF($K633="","",INDEX(Zeiterfassung!$K$6:$K$3665,$K633))</f>
        <v/>
      </c>
      <c r="C633" s="185">
        <f>IF($K633="","",INDEX(Zeiterfassung!$K$6:$K$3665,$K633))</f>
        <v/>
      </c>
      <c r="D633" s="186">
        <f>IF($K633="","",INDEX(Zeiterfassung!$D$6:$D$3665,$K633))</f>
        <v/>
      </c>
      <c r="E633" s="186">
        <f>IF($K633="","",INDEX(Zeiterfassung!$E$6:$E$3665,$K633))</f>
        <v/>
      </c>
      <c r="F633" s="187">
        <f>IF($K633="","",INDEX(Zeiterfassung!$F$6:$F$3665,$K633))</f>
        <v/>
      </c>
      <c r="G633" s="187">
        <f>IF($K633="","",INDEX(Zeiterfassung!$G$6:$G$3665,$K633))</f>
        <v/>
      </c>
      <c r="H633" s="188">
        <f>IF($K633="","",INDEX(Zeiterfassung!$H$6:$H$3665,$K633))</f>
        <v/>
      </c>
      <c r="I633" s="335">
        <f>IF(B633=B632,"",IF($K633="","",INDEX(Zeiterfassung!$I$6:$I$3665,MATCH(INDEX(Zeiterfassung!$K$6:$K$3665,$K633),Zeiterfassung!$K$6:$K$3665,0))))</f>
        <v/>
      </c>
      <c r="J633" s="335">
        <f>IF(B633=B632,"",IF($K633="","",INDEX(Zeiterfassung!$J$6:$J$3665,MATCH(INDEX(Zeiterfassung!$K$6:$K$3665,$K633),Zeiterfassung!$K$6:$K$3665,0))))</f>
        <v/>
      </c>
      <c r="K633">
        <f>IFERROR(AGGREGATE(15,6,(ROW(Zeiterfassung!$D$6:$D$3665)-ROW(Zeiterfassung!$D$6)+1)/(Zeiterfassung!$D$6:$D$3665&lt;&gt;""),628),"")</f>
        <v/>
      </c>
    </row>
    <row r="634" ht="20" customHeight="1">
      <c r="A634" s="183">
        <f>IF($K634="","",WEEKNUM(INDEX(Zeiterfassung!$K$6:$K$3665,$K634),21))</f>
        <v/>
      </c>
      <c r="B634" s="184">
        <f>IF($K634="","",INDEX(Zeiterfassung!$K$6:$K$3665,$K634))</f>
        <v/>
      </c>
      <c r="C634" s="185">
        <f>IF($K634="","",INDEX(Zeiterfassung!$K$6:$K$3665,$K634))</f>
        <v/>
      </c>
      <c r="D634" s="186">
        <f>IF($K634="","",INDEX(Zeiterfassung!$D$6:$D$3665,$K634))</f>
        <v/>
      </c>
      <c r="E634" s="186">
        <f>IF($K634="","",INDEX(Zeiterfassung!$E$6:$E$3665,$K634))</f>
        <v/>
      </c>
      <c r="F634" s="187">
        <f>IF($K634="","",INDEX(Zeiterfassung!$F$6:$F$3665,$K634))</f>
        <v/>
      </c>
      <c r="G634" s="187">
        <f>IF($K634="","",INDEX(Zeiterfassung!$G$6:$G$3665,$K634))</f>
        <v/>
      </c>
      <c r="H634" s="188">
        <f>IF($K634="","",INDEX(Zeiterfassung!$H$6:$H$3665,$K634))</f>
        <v/>
      </c>
      <c r="I634" s="335">
        <f>IF(B634=B633,"",IF($K634="","",INDEX(Zeiterfassung!$I$6:$I$3665,MATCH(INDEX(Zeiterfassung!$K$6:$K$3665,$K634),Zeiterfassung!$K$6:$K$3665,0))))</f>
        <v/>
      </c>
      <c r="J634" s="335">
        <f>IF(B634=B633,"",IF($K634="","",INDEX(Zeiterfassung!$J$6:$J$3665,MATCH(INDEX(Zeiterfassung!$K$6:$K$3665,$K634),Zeiterfassung!$K$6:$K$3665,0))))</f>
        <v/>
      </c>
      <c r="K634">
        <f>IFERROR(AGGREGATE(15,6,(ROW(Zeiterfassung!$D$6:$D$3665)-ROW(Zeiterfassung!$D$6)+1)/(Zeiterfassung!$D$6:$D$3665&lt;&gt;""),629),"")</f>
        <v/>
      </c>
    </row>
    <row r="635" ht="20" customHeight="1">
      <c r="A635" s="183">
        <f>IF($K635="","",WEEKNUM(INDEX(Zeiterfassung!$K$6:$K$3665,$K635),21))</f>
        <v/>
      </c>
      <c r="B635" s="184">
        <f>IF($K635="","",INDEX(Zeiterfassung!$K$6:$K$3665,$K635))</f>
        <v/>
      </c>
      <c r="C635" s="185">
        <f>IF($K635="","",INDEX(Zeiterfassung!$K$6:$K$3665,$K635))</f>
        <v/>
      </c>
      <c r="D635" s="186">
        <f>IF($K635="","",INDEX(Zeiterfassung!$D$6:$D$3665,$K635))</f>
        <v/>
      </c>
      <c r="E635" s="186">
        <f>IF($K635="","",INDEX(Zeiterfassung!$E$6:$E$3665,$K635))</f>
        <v/>
      </c>
      <c r="F635" s="187">
        <f>IF($K635="","",INDEX(Zeiterfassung!$F$6:$F$3665,$K635))</f>
        <v/>
      </c>
      <c r="G635" s="187">
        <f>IF($K635="","",INDEX(Zeiterfassung!$G$6:$G$3665,$K635))</f>
        <v/>
      </c>
      <c r="H635" s="188">
        <f>IF($K635="","",INDEX(Zeiterfassung!$H$6:$H$3665,$K635))</f>
        <v/>
      </c>
      <c r="I635" s="335">
        <f>IF(B635=B634,"",IF($K635="","",INDEX(Zeiterfassung!$I$6:$I$3665,MATCH(INDEX(Zeiterfassung!$K$6:$K$3665,$K635),Zeiterfassung!$K$6:$K$3665,0))))</f>
        <v/>
      </c>
      <c r="J635" s="335">
        <f>IF(B635=B634,"",IF($K635="","",INDEX(Zeiterfassung!$J$6:$J$3665,MATCH(INDEX(Zeiterfassung!$K$6:$K$3665,$K635),Zeiterfassung!$K$6:$K$3665,0))))</f>
        <v/>
      </c>
      <c r="K635">
        <f>IFERROR(AGGREGATE(15,6,(ROW(Zeiterfassung!$D$6:$D$3665)-ROW(Zeiterfassung!$D$6)+1)/(Zeiterfassung!$D$6:$D$3665&lt;&gt;""),630),"")</f>
        <v/>
      </c>
    </row>
    <row r="636" ht="20" customHeight="1">
      <c r="A636" s="183">
        <f>IF($K636="","",WEEKNUM(INDEX(Zeiterfassung!$K$6:$K$3665,$K636),21))</f>
        <v/>
      </c>
      <c r="B636" s="184">
        <f>IF($K636="","",INDEX(Zeiterfassung!$K$6:$K$3665,$K636))</f>
        <v/>
      </c>
      <c r="C636" s="185">
        <f>IF($K636="","",INDEX(Zeiterfassung!$K$6:$K$3665,$K636))</f>
        <v/>
      </c>
      <c r="D636" s="186">
        <f>IF($K636="","",INDEX(Zeiterfassung!$D$6:$D$3665,$K636))</f>
        <v/>
      </c>
      <c r="E636" s="186">
        <f>IF($K636="","",INDEX(Zeiterfassung!$E$6:$E$3665,$K636))</f>
        <v/>
      </c>
      <c r="F636" s="187">
        <f>IF($K636="","",INDEX(Zeiterfassung!$F$6:$F$3665,$K636))</f>
        <v/>
      </c>
      <c r="G636" s="187">
        <f>IF($K636="","",INDEX(Zeiterfassung!$G$6:$G$3665,$K636))</f>
        <v/>
      </c>
      <c r="H636" s="188">
        <f>IF($K636="","",INDEX(Zeiterfassung!$H$6:$H$3665,$K636))</f>
        <v/>
      </c>
      <c r="I636" s="335">
        <f>IF(B636=B635,"",IF($K636="","",INDEX(Zeiterfassung!$I$6:$I$3665,MATCH(INDEX(Zeiterfassung!$K$6:$K$3665,$K636),Zeiterfassung!$K$6:$K$3665,0))))</f>
        <v/>
      </c>
      <c r="J636" s="335">
        <f>IF(B636=B635,"",IF($K636="","",INDEX(Zeiterfassung!$J$6:$J$3665,MATCH(INDEX(Zeiterfassung!$K$6:$K$3665,$K636),Zeiterfassung!$K$6:$K$3665,0))))</f>
        <v/>
      </c>
      <c r="K636">
        <f>IFERROR(AGGREGATE(15,6,(ROW(Zeiterfassung!$D$6:$D$3665)-ROW(Zeiterfassung!$D$6)+1)/(Zeiterfassung!$D$6:$D$3665&lt;&gt;""),631),"")</f>
        <v/>
      </c>
    </row>
    <row r="637" ht="20" customHeight="1">
      <c r="A637" s="183">
        <f>IF($K637="","",WEEKNUM(INDEX(Zeiterfassung!$K$6:$K$3665,$K637),21))</f>
        <v/>
      </c>
      <c r="B637" s="184">
        <f>IF($K637="","",INDEX(Zeiterfassung!$K$6:$K$3665,$K637))</f>
        <v/>
      </c>
      <c r="C637" s="185">
        <f>IF($K637="","",INDEX(Zeiterfassung!$K$6:$K$3665,$K637))</f>
        <v/>
      </c>
      <c r="D637" s="186">
        <f>IF($K637="","",INDEX(Zeiterfassung!$D$6:$D$3665,$K637))</f>
        <v/>
      </c>
      <c r="E637" s="186">
        <f>IF($K637="","",INDEX(Zeiterfassung!$E$6:$E$3665,$K637))</f>
        <v/>
      </c>
      <c r="F637" s="187">
        <f>IF($K637="","",INDEX(Zeiterfassung!$F$6:$F$3665,$K637))</f>
        <v/>
      </c>
      <c r="G637" s="187">
        <f>IF($K637="","",INDEX(Zeiterfassung!$G$6:$G$3665,$K637))</f>
        <v/>
      </c>
      <c r="H637" s="188">
        <f>IF($K637="","",INDEX(Zeiterfassung!$H$6:$H$3665,$K637))</f>
        <v/>
      </c>
      <c r="I637" s="335">
        <f>IF(B637=B636,"",IF($K637="","",INDEX(Zeiterfassung!$I$6:$I$3665,MATCH(INDEX(Zeiterfassung!$K$6:$K$3665,$K637),Zeiterfassung!$K$6:$K$3665,0))))</f>
        <v/>
      </c>
      <c r="J637" s="335">
        <f>IF(B637=B636,"",IF($K637="","",INDEX(Zeiterfassung!$J$6:$J$3665,MATCH(INDEX(Zeiterfassung!$K$6:$K$3665,$K637),Zeiterfassung!$K$6:$K$3665,0))))</f>
        <v/>
      </c>
      <c r="K637">
        <f>IFERROR(AGGREGATE(15,6,(ROW(Zeiterfassung!$D$6:$D$3665)-ROW(Zeiterfassung!$D$6)+1)/(Zeiterfassung!$D$6:$D$3665&lt;&gt;""),632),"")</f>
        <v/>
      </c>
    </row>
    <row r="638" ht="20" customHeight="1">
      <c r="A638" s="183">
        <f>IF($K638="","",WEEKNUM(INDEX(Zeiterfassung!$K$6:$K$3665,$K638),21))</f>
        <v/>
      </c>
      <c r="B638" s="184">
        <f>IF($K638="","",INDEX(Zeiterfassung!$K$6:$K$3665,$K638))</f>
        <v/>
      </c>
      <c r="C638" s="185">
        <f>IF($K638="","",INDEX(Zeiterfassung!$K$6:$K$3665,$K638))</f>
        <v/>
      </c>
      <c r="D638" s="186">
        <f>IF($K638="","",INDEX(Zeiterfassung!$D$6:$D$3665,$K638))</f>
        <v/>
      </c>
      <c r="E638" s="186">
        <f>IF($K638="","",INDEX(Zeiterfassung!$E$6:$E$3665,$K638))</f>
        <v/>
      </c>
      <c r="F638" s="187">
        <f>IF($K638="","",INDEX(Zeiterfassung!$F$6:$F$3665,$K638))</f>
        <v/>
      </c>
      <c r="G638" s="187">
        <f>IF($K638="","",INDEX(Zeiterfassung!$G$6:$G$3665,$K638))</f>
        <v/>
      </c>
      <c r="H638" s="188">
        <f>IF($K638="","",INDEX(Zeiterfassung!$H$6:$H$3665,$K638))</f>
        <v/>
      </c>
      <c r="I638" s="335">
        <f>IF(B638=B637,"",IF($K638="","",INDEX(Zeiterfassung!$I$6:$I$3665,MATCH(INDEX(Zeiterfassung!$K$6:$K$3665,$K638),Zeiterfassung!$K$6:$K$3665,0))))</f>
        <v/>
      </c>
      <c r="J638" s="335">
        <f>IF(B638=B637,"",IF($K638="","",INDEX(Zeiterfassung!$J$6:$J$3665,MATCH(INDEX(Zeiterfassung!$K$6:$K$3665,$K638),Zeiterfassung!$K$6:$K$3665,0))))</f>
        <v/>
      </c>
      <c r="K638">
        <f>IFERROR(AGGREGATE(15,6,(ROW(Zeiterfassung!$D$6:$D$3665)-ROW(Zeiterfassung!$D$6)+1)/(Zeiterfassung!$D$6:$D$3665&lt;&gt;""),633),"")</f>
        <v/>
      </c>
    </row>
    <row r="639" ht="20" customHeight="1">
      <c r="A639" s="183">
        <f>IF($K639="","",WEEKNUM(INDEX(Zeiterfassung!$K$6:$K$3665,$K639),21))</f>
        <v/>
      </c>
      <c r="B639" s="184">
        <f>IF($K639="","",INDEX(Zeiterfassung!$K$6:$K$3665,$K639))</f>
        <v/>
      </c>
      <c r="C639" s="185">
        <f>IF($K639="","",INDEX(Zeiterfassung!$K$6:$K$3665,$K639))</f>
        <v/>
      </c>
      <c r="D639" s="186">
        <f>IF($K639="","",INDEX(Zeiterfassung!$D$6:$D$3665,$K639))</f>
        <v/>
      </c>
      <c r="E639" s="186">
        <f>IF($K639="","",INDEX(Zeiterfassung!$E$6:$E$3665,$K639))</f>
        <v/>
      </c>
      <c r="F639" s="187">
        <f>IF($K639="","",INDEX(Zeiterfassung!$F$6:$F$3665,$K639))</f>
        <v/>
      </c>
      <c r="G639" s="187">
        <f>IF($K639="","",INDEX(Zeiterfassung!$G$6:$G$3665,$K639))</f>
        <v/>
      </c>
      <c r="H639" s="188">
        <f>IF($K639="","",INDEX(Zeiterfassung!$H$6:$H$3665,$K639))</f>
        <v/>
      </c>
      <c r="I639" s="335">
        <f>IF(B639=B638,"",IF($K639="","",INDEX(Zeiterfassung!$I$6:$I$3665,MATCH(INDEX(Zeiterfassung!$K$6:$K$3665,$K639),Zeiterfassung!$K$6:$K$3665,0))))</f>
        <v/>
      </c>
      <c r="J639" s="335">
        <f>IF(B639=B638,"",IF($K639="","",INDEX(Zeiterfassung!$J$6:$J$3665,MATCH(INDEX(Zeiterfassung!$K$6:$K$3665,$K639),Zeiterfassung!$K$6:$K$3665,0))))</f>
        <v/>
      </c>
      <c r="K639">
        <f>IFERROR(AGGREGATE(15,6,(ROW(Zeiterfassung!$D$6:$D$3665)-ROW(Zeiterfassung!$D$6)+1)/(Zeiterfassung!$D$6:$D$3665&lt;&gt;""),634),"")</f>
        <v/>
      </c>
    </row>
    <row r="640" ht="20" customHeight="1">
      <c r="A640" s="183">
        <f>IF($K640="","",WEEKNUM(INDEX(Zeiterfassung!$K$6:$K$3665,$K640),21))</f>
        <v/>
      </c>
      <c r="B640" s="184">
        <f>IF($K640="","",INDEX(Zeiterfassung!$K$6:$K$3665,$K640))</f>
        <v/>
      </c>
      <c r="C640" s="185">
        <f>IF($K640="","",INDEX(Zeiterfassung!$K$6:$K$3665,$K640))</f>
        <v/>
      </c>
      <c r="D640" s="186">
        <f>IF($K640="","",INDEX(Zeiterfassung!$D$6:$D$3665,$K640))</f>
        <v/>
      </c>
      <c r="E640" s="186">
        <f>IF($K640="","",INDEX(Zeiterfassung!$E$6:$E$3665,$K640))</f>
        <v/>
      </c>
      <c r="F640" s="187">
        <f>IF($K640="","",INDEX(Zeiterfassung!$F$6:$F$3665,$K640))</f>
        <v/>
      </c>
      <c r="G640" s="187">
        <f>IF($K640="","",INDEX(Zeiterfassung!$G$6:$G$3665,$K640))</f>
        <v/>
      </c>
      <c r="H640" s="188">
        <f>IF($K640="","",INDEX(Zeiterfassung!$H$6:$H$3665,$K640))</f>
        <v/>
      </c>
      <c r="I640" s="335">
        <f>IF(B640=B639,"",IF($K640="","",INDEX(Zeiterfassung!$I$6:$I$3665,MATCH(INDEX(Zeiterfassung!$K$6:$K$3665,$K640),Zeiterfassung!$K$6:$K$3665,0))))</f>
        <v/>
      </c>
      <c r="J640" s="335">
        <f>IF(B640=B639,"",IF($K640="","",INDEX(Zeiterfassung!$J$6:$J$3665,MATCH(INDEX(Zeiterfassung!$K$6:$K$3665,$K640),Zeiterfassung!$K$6:$K$3665,0))))</f>
        <v/>
      </c>
      <c r="K640">
        <f>IFERROR(AGGREGATE(15,6,(ROW(Zeiterfassung!$D$6:$D$3665)-ROW(Zeiterfassung!$D$6)+1)/(Zeiterfassung!$D$6:$D$3665&lt;&gt;""),635),"")</f>
        <v/>
      </c>
    </row>
    <row r="641" ht="20" customHeight="1">
      <c r="A641" s="183">
        <f>IF($K641="","",WEEKNUM(INDEX(Zeiterfassung!$K$6:$K$3665,$K641),21))</f>
        <v/>
      </c>
      <c r="B641" s="184">
        <f>IF($K641="","",INDEX(Zeiterfassung!$K$6:$K$3665,$K641))</f>
        <v/>
      </c>
      <c r="C641" s="185">
        <f>IF($K641="","",INDEX(Zeiterfassung!$K$6:$K$3665,$K641))</f>
        <v/>
      </c>
      <c r="D641" s="186">
        <f>IF($K641="","",INDEX(Zeiterfassung!$D$6:$D$3665,$K641))</f>
        <v/>
      </c>
      <c r="E641" s="186">
        <f>IF($K641="","",INDEX(Zeiterfassung!$E$6:$E$3665,$K641))</f>
        <v/>
      </c>
      <c r="F641" s="187">
        <f>IF($K641="","",INDEX(Zeiterfassung!$F$6:$F$3665,$K641))</f>
        <v/>
      </c>
      <c r="G641" s="187">
        <f>IF($K641="","",INDEX(Zeiterfassung!$G$6:$G$3665,$K641))</f>
        <v/>
      </c>
      <c r="H641" s="188">
        <f>IF($K641="","",INDEX(Zeiterfassung!$H$6:$H$3665,$K641))</f>
        <v/>
      </c>
      <c r="I641" s="335">
        <f>IF(B641=B640,"",IF($K641="","",INDEX(Zeiterfassung!$I$6:$I$3665,MATCH(INDEX(Zeiterfassung!$K$6:$K$3665,$K641),Zeiterfassung!$K$6:$K$3665,0))))</f>
        <v/>
      </c>
      <c r="J641" s="335">
        <f>IF(B641=B640,"",IF($K641="","",INDEX(Zeiterfassung!$J$6:$J$3665,MATCH(INDEX(Zeiterfassung!$K$6:$K$3665,$K641),Zeiterfassung!$K$6:$K$3665,0))))</f>
        <v/>
      </c>
      <c r="K641">
        <f>IFERROR(AGGREGATE(15,6,(ROW(Zeiterfassung!$D$6:$D$3665)-ROW(Zeiterfassung!$D$6)+1)/(Zeiterfassung!$D$6:$D$3665&lt;&gt;""),636),"")</f>
        <v/>
      </c>
    </row>
    <row r="642" ht="20" customHeight="1">
      <c r="A642" s="183">
        <f>IF($K642="","",WEEKNUM(INDEX(Zeiterfassung!$K$6:$K$3665,$K642),21))</f>
        <v/>
      </c>
      <c r="B642" s="184">
        <f>IF($K642="","",INDEX(Zeiterfassung!$K$6:$K$3665,$K642))</f>
        <v/>
      </c>
      <c r="C642" s="185">
        <f>IF($K642="","",INDEX(Zeiterfassung!$K$6:$K$3665,$K642))</f>
        <v/>
      </c>
      <c r="D642" s="186">
        <f>IF($K642="","",INDEX(Zeiterfassung!$D$6:$D$3665,$K642))</f>
        <v/>
      </c>
      <c r="E642" s="186">
        <f>IF($K642="","",INDEX(Zeiterfassung!$E$6:$E$3665,$K642))</f>
        <v/>
      </c>
      <c r="F642" s="187">
        <f>IF($K642="","",INDEX(Zeiterfassung!$F$6:$F$3665,$K642))</f>
        <v/>
      </c>
      <c r="G642" s="187">
        <f>IF($K642="","",INDEX(Zeiterfassung!$G$6:$G$3665,$K642))</f>
        <v/>
      </c>
      <c r="H642" s="188">
        <f>IF($K642="","",INDEX(Zeiterfassung!$H$6:$H$3665,$K642))</f>
        <v/>
      </c>
      <c r="I642" s="335">
        <f>IF(B642=B641,"",IF($K642="","",INDEX(Zeiterfassung!$I$6:$I$3665,MATCH(INDEX(Zeiterfassung!$K$6:$K$3665,$K642),Zeiterfassung!$K$6:$K$3665,0))))</f>
        <v/>
      </c>
      <c r="J642" s="335">
        <f>IF(B642=B641,"",IF($K642="","",INDEX(Zeiterfassung!$J$6:$J$3665,MATCH(INDEX(Zeiterfassung!$K$6:$K$3665,$K642),Zeiterfassung!$K$6:$K$3665,0))))</f>
        <v/>
      </c>
      <c r="K642">
        <f>IFERROR(AGGREGATE(15,6,(ROW(Zeiterfassung!$D$6:$D$3665)-ROW(Zeiterfassung!$D$6)+1)/(Zeiterfassung!$D$6:$D$3665&lt;&gt;""),637),"")</f>
        <v/>
      </c>
    </row>
    <row r="643" ht="20" customHeight="1">
      <c r="A643" s="183">
        <f>IF($K643="","",WEEKNUM(INDEX(Zeiterfassung!$K$6:$K$3665,$K643),21))</f>
        <v/>
      </c>
      <c r="B643" s="184">
        <f>IF($K643="","",INDEX(Zeiterfassung!$K$6:$K$3665,$K643))</f>
        <v/>
      </c>
      <c r="C643" s="185">
        <f>IF($K643="","",INDEX(Zeiterfassung!$K$6:$K$3665,$K643))</f>
        <v/>
      </c>
      <c r="D643" s="186">
        <f>IF($K643="","",INDEX(Zeiterfassung!$D$6:$D$3665,$K643))</f>
        <v/>
      </c>
      <c r="E643" s="186">
        <f>IF($K643="","",INDEX(Zeiterfassung!$E$6:$E$3665,$K643))</f>
        <v/>
      </c>
      <c r="F643" s="187">
        <f>IF($K643="","",INDEX(Zeiterfassung!$F$6:$F$3665,$K643))</f>
        <v/>
      </c>
      <c r="G643" s="187">
        <f>IF($K643="","",INDEX(Zeiterfassung!$G$6:$G$3665,$K643))</f>
        <v/>
      </c>
      <c r="H643" s="188">
        <f>IF($K643="","",INDEX(Zeiterfassung!$H$6:$H$3665,$K643))</f>
        <v/>
      </c>
      <c r="I643" s="335">
        <f>IF(B643=B642,"",IF($K643="","",INDEX(Zeiterfassung!$I$6:$I$3665,MATCH(INDEX(Zeiterfassung!$K$6:$K$3665,$K643),Zeiterfassung!$K$6:$K$3665,0))))</f>
        <v/>
      </c>
      <c r="J643" s="335">
        <f>IF(B643=B642,"",IF($K643="","",INDEX(Zeiterfassung!$J$6:$J$3665,MATCH(INDEX(Zeiterfassung!$K$6:$K$3665,$K643),Zeiterfassung!$K$6:$K$3665,0))))</f>
        <v/>
      </c>
      <c r="K643">
        <f>IFERROR(AGGREGATE(15,6,(ROW(Zeiterfassung!$D$6:$D$3665)-ROW(Zeiterfassung!$D$6)+1)/(Zeiterfassung!$D$6:$D$3665&lt;&gt;""),638),"")</f>
        <v/>
      </c>
    </row>
    <row r="644" ht="20" customHeight="1">
      <c r="A644" s="183">
        <f>IF($K644="","",WEEKNUM(INDEX(Zeiterfassung!$K$6:$K$3665,$K644),21))</f>
        <v/>
      </c>
      <c r="B644" s="184">
        <f>IF($K644="","",INDEX(Zeiterfassung!$K$6:$K$3665,$K644))</f>
        <v/>
      </c>
      <c r="C644" s="185">
        <f>IF($K644="","",INDEX(Zeiterfassung!$K$6:$K$3665,$K644))</f>
        <v/>
      </c>
      <c r="D644" s="186">
        <f>IF($K644="","",INDEX(Zeiterfassung!$D$6:$D$3665,$K644))</f>
        <v/>
      </c>
      <c r="E644" s="186">
        <f>IF($K644="","",INDEX(Zeiterfassung!$E$6:$E$3665,$K644))</f>
        <v/>
      </c>
      <c r="F644" s="187">
        <f>IF($K644="","",INDEX(Zeiterfassung!$F$6:$F$3665,$K644))</f>
        <v/>
      </c>
      <c r="G644" s="187">
        <f>IF($K644="","",INDEX(Zeiterfassung!$G$6:$G$3665,$K644))</f>
        <v/>
      </c>
      <c r="H644" s="188">
        <f>IF($K644="","",INDEX(Zeiterfassung!$H$6:$H$3665,$K644))</f>
        <v/>
      </c>
      <c r="I644" s="335">
        <f>IF(B644=B643,"",IF($K644="","",INDEX(Zeiterfassung!$I$6:$I$3665,MATCH(INDEX(Zeiterfassung!$K$6:$K$3665,$K644),Zeiterfassung!$K$6:$K$3665,0))))</f>
        <v/>
      </c>
      <c r="J644" s="335">
        <f>IF(B644=B643,"",IF($K644="","",INDEX(Zeiterfassung!$J$6:$J$3665,MATCH(INDEX(Zeiterfassung!$K$6:$K$3665,$K644),Zeiterfassung!$K$6:$K$3665,0))))</f>
        <v/>
      </c>
      <c r="K644">
        <f>IFERROR(AGGREGATE(15,6,(ROW(Zeiterfassung!$D$6:$D$3665)-ROW(Zeiterfassung!$D$6)+1)/(Zeiterfassung!$D$6:$D$3665&lt;&gt;""),639),"")</f>
        <v/>
      </c>
    </row>
    <row r="645" ht="20" customHeight="1">
      <c r="A645" s="183">
        <f>IF($K645="","",WEEKNUM(INDEX(Zeiterfassung!$K$6:$K$3665,$K645),21))</f>
        <v/>
      </c>
      <c r="B645" s="184">
        <f>IF($K645="","",INDEX(Zeiterfassung!$K$6:$K$3665,$K645))</f>
        <v/>
      </c>
      <c r="C645" s="185">
        <f>IF($K645="","",INDEX(Zeiterfassung!$K$6:$K$3665,$K645))</f>
        <v/>
      </c>
      <c r="D645" s="186">
        <f>IF($K645="","",INDEX(Zeiterfassung!$D$6:$D$3665,$K645))</f>
        <v/>
      </c>
      <c r="E645" s="186">
        <f>IF($K645="","",INDEX(Zeiterfassung!$E$6:$E$3665,$K645))</f>
        <v/>
      </c>
      <c r="F645" s="187">
        <f>IF($K645="","",INDEX(Zeiterfassung!$F$6:$F$3665,$K645))</f>
        <v/>
      </c>
      <c r="G645" s="187">
        <f>IF($K645="","",INDEX(Zeiterfassung!$G$6:$G$3665,$K645))</f>
        <v/>
      </c>
      <c r="H645" s="188">
        <f>IF($K645="","",INDEX(Zeiterfassung!$H$6:$H$3665,$K645))</f>
        <v/>
      </c>
      <c r="I645" s="335">
        <f>IF(B645=B644,"",IF($K645="","",INDEX(Zeiterfassung!$I$6:$I$3665,MATCH(INDEX(Zeiterfassung!$K$6:$K$3665,$K645),Zeiterfassung!$K$6:$K$3665,0))))</f>
        <v/>
      </c>
      <c r="J645" s="335">
        <f>IF(B645=B644,"",IF($K645="","",INDEX(Zeiterfassung!$J$6:$J$3665,MATCH(INDEX(Zeiterfassung!$K$6:$K$3665,$K645),Zeiterfassung!$K$6:$K$3665,0))))</f>
        <v/>
      </c>
      <c r="K645">
        <f>IFERROR(AGGREGATE(15,6,(ROW(Zeiterfassung!$D$6:$D$3665)-ROW(Zeiterfassung!$D$6)+1)/(Zeiterfassung!$D$6:$D$3665&lt;&gt;""),640),"")</f>
        <v/>
      </c>
    </row>
    <row r="646" ht="20" customHeight="1">
      <c r="A646" s="183">
        <f>IF($K646="","",WEEKNUM(INDEX(Zeiterfassung!$K$6:$K$3665,$K646),21))</f>
        <v/>
      </c>
      <c r="B646" s="184">
        <f>IF($K646="","",INDEX(Zeiterfassung!$K$6:$K$3665,$K646))</f>
        <v/>
      </c>
      <c r="C646" s="185">
        <f>IF($K646="","",INDEX(Zeiterfassung!$K$6:$K$3665,$K646))</f>
        <v/>
      </c>
      <c r="D646" s="186">
        <f>IF($K646="","",INDEX(Zeiterfassung!$D$6:$D$3665,$K646))</f>
        <v/>
      </c>
      <c r="E646" s="186">
        <f>IF($K646="","",INDEX(Zeiterfassung!$E$6:$E$3665,$K646))</f>
        <v/>
      </c>
      <c r="F646" s="187">
        <f>IF($K646="","",INDEX(Zeiterfassung!$F$6:$F$3665,$K646))</f>
        <v/>
      </c>
      <c r="G646" s="187">
        <f>IF($K646="","",INDEX(Zeiterfassung!$G$6:$G$3665,$K646))</f>
        <v/>
      </c>
      <c r="H646" s="188">
        <f>IF($K646="","",INDEX(Zeiterfassung!$H$6:$H$3665,$K646))</f>
        <v/>
      </c>
      <c r="I646" s="335">
        <f>IF(B646=B645,"",IF($K646="","",INDEX(Zeiterfassung!$I$6:$I$3665,MATCH(INDEX(Zeiterfassung!$K$6:$K$3665,$K646),Zeiterfassung!$K$6:$K$3665,0))))</f>
        <v/>
      </c>
      <c r="J646" s="335">
        <f>IF(B646=B645,"",IF($K646="","",INDEX(Zeiterfassung!$J$6:$J$3665,MATCH(INDEX(Zeiterfassung!$K$6:$K$3665,$K646),Zeiterfassung!$K$6:$K$3665,0))))</f>
        <v/>
      </c>
      <c r="K646">
        <f>IFERROR(AGGREGATE(15,6,(ROW(Zeiterfassung!$D$6:$D$3665)-ROW(Zeiterfassung!$D$6)+1)/(Zeiterfassung!$D$6:$D$3665&lt;&gt;""),641),"")</f>
        <v/>
      </c>
    </row>
    <row r="647" ht="20" customHeight="1">
      <c r="A647" s="183">
        <f>IF($K647="","",WEEKNUM(INDEX(Zeiterfassung!$K$6:$K$3665,$K647),21))</f>
        <v/>
      </c>
      <c r="B647" s="184">
        <f>IF($K647="","",INDEX(Zeiterfassung!$K$6:$K$3665,$K647))</f>
        <v/>
      </c>
      <c r="C647" s="185">
        <f>IF($K647="","",INDEX(Zeiterfassung!$K$6:$K$3665,$K647))</f>
        <v/>
      </c>
      <c r="D647" s="186">
        <f>IF($K647="","",INDEX(Zeiterfassung!$D$6:$D$3665,$K647))</f>
        <v/>
      </c>
      <c r="E647" s="186">
        <f>IF($K647="","",INDEX(Zeiterfassung!$E$6:$E$3665,$K647))</f>
        <v/>
      </c>
      <c r="F647" s="187">
        <f>IF($K647="","",INDEX(Zeiterfassung!$F$6:$F$3665,$K647))</f>
        <v/>
      </c>
      <c r="G647" s="187">
        <f>IF($K647="","",INDEX(Zeiterfassung!$G$6:$G$3665,$K647))</f>
        <v/>
      </c>
      <c r="H647" s="188">
        <f>IF($K647="","",INDEX(Zeiterfassung!$H$6:$H$3665,$K647))</f>
        <v/>
      </c>
      <c r="I647" s="335">
        <f>IF(B647=B646,"",IF($K647="","",INDEX(Zeiterfassung!$I$6:$I$3665,MATCH(INDEX(Zeiterfassung!$K$6:$K$3665,$K647),Zeiterfassung!$K$6:$K$3665,0))))</f>
        <v/>
      </c>
      <c r="J647" s="335">
        <f>IF(B647=B646,"",IF($K647="","",INDEX(Zeiterfassung!$J$6:$J$3665,MATCH(INDEX(Zeiterfassung!$K$6:$K$3665,$K647),Zeiterfassung!$K$6:$K$3665,0))))</f>
        <v/>
      </c>
      <c r="K647">
        <f>IFERROR(AGGREGATE(15,6,(ROW(Zeiterfassung!$D$6:$D$3665)-ROW(Zeiterfassung!$D$6)+1)/(Zeiterfassung!$D$6:$D$3665&lt;&gt;""),642),"")</f>
        <v/>
      </c>
    </row>
    <row r="648" ht="20" customHeight="1">
      <c r="A648" s="183">
        <f>IF($K648="","",WEEKNUM(INDEX(Zeiterfassung!$K$6:$K$3665,$K648),21))</f>
        <v/>
      </c>
      <c r="B648" s="184">
        <f>IF($K648="","",INDEX(Zeiterfassung!$K$6:$K$3665,$K648))</f>
        <v/>
      </c>
      <c r="C648" s="185">
        <f>IF($K648="","",INDEX(Zeiterfassung!$K$6:$K$3665,$K648))</f>
        <v/>
      </c>
      <c r="D648" s="186">
        <f>IF($K648="","",INDEX(Zeiterfassung!$D$6:$D$3665,$K648))</f>
        <v/>
      </c>
      <c r="E648" s="186">
        <f>IF($K648="","",INDEX(Zeiterfassung!$E$6:$E$3665,$K648))</f>
        <v/>
      </c>
      <c r="F648" s="187">
        <f>IF($K648="","",INDEX(Zeiterfassung!$F$6:$F$3665,$K648))</f>
        <v/>
      </c>
      <c r="G648" s="187">
        <f>IF($K648="","",INDEX(Zeiterfassung!$G$6:$G$3665,$K648))</f>
        <v/>
      </c>
      <c r="H648" s="188">
        <f>IF($K648="","",INDEX(Zeiterfassung!$H$6:$H$3665,$K648))</f>
        <v/>
      </c>
      <c r="I648" s="335">
        <f>IF(B648=B647,"",IF($K648="","",INDEX(Zeiterfassung!$I$6:$I$3665,MATCH(INDEX(Zeiterfassung!$K$6:$K$3665,$K648),Zeiterfassung!$K$6:$K$3665,0))))</f>
        <v/>
      </c>
      <c r="J648" s="335">
        <f>IF(B648=B647,"",IF($K648="","",INDEX(Zeiterfassung!$J$6:$J$3665,MATCH(INDEX(Zeiterfassung!$K$6:$K$3665,$K648),Zeiterfassung!$K$6:$K$3665,0))))</f>
        <v/>
      </c>
      <c r="K648">
        <f>IFERROR(AGGREGATE(15,6,(ROW(Zeiterfassung!$D$6:$D$3665)-ROW(Zeiterfassung!$D$6)+1)/(Zeiterfassung!$D$6:$D$3665&lt;&gt;""),643),"")</f>
        <v/>
      </c>
    </row>
    <row r="649" ht="20" customHeight="1">
      <c r="A649" s="183">
        <f>IF($K649="","",WEEKNUM(INDEX(Zeiterfassung!$K$6:$K$3665,$K649),21))</f>
        <v/>
      </c>
      <c r="B649" s="184">
        <f>IF($K649="","",INDEX(Zeiterfassung!$K$6:$K$3665,$K649))</f>
        <v/>
      </c>
      <c r="C649" s="185">
        <f>IF($K649="","",INDEX(Zeiterfassung!$K$6:$K$3665,$K649))</f>
        <v/>
      </c>
      <c r="D649" s="186">
        <f>IF($K649="","",INDEX(Zeiterfassung!$D$6:$D$3665,$K649))</f>
        <v/>
      </c>
      <c r="E649" s="186">
        <f>IF($K649="","",INDEX(Zeiterfassung!$E$6:$E$3665,$K649))</f>
        <v/>
      </c>
      <c r="F649" s="187">
        <f>IF($K649="","",INDEX(Zeiterfassung!$F$6:$F$3665,$K649))</f>
        <v/>
      </c>
      <c r="G649" s="187">
        <f>IF($K649="","",INDEX(Zeiterfassung!$G$6:$G$3665,$K649))</f>
        <v/>
      </c>
      <c r="H649" s="188">
        <f>IF($K649="","",INDEX(Zeiterfassung!$H$6:$H$3665,$K649))</f>
        <v/>
      </c>
      <c r="I649" s="335">
        <f>IF(B649=B648,"",IF($K649="","",INDEX(Zeiterfassung!$I$6:$I$3665,MATCH(INDEX(Zeiterfassung!$K$6:$K$3665,$K649),Zeiterfassung!$K$6:$K$3665,0))))</f>
        <v/>
      </c>
      <c r="J649" s="335">
        <f>IF(B649=B648,"",IF($K649="","",INDEX(Zeiterfassung!$J$6:$J$3665,MATCH(INDEX(Zeiterfassung!$K$6:$K$3665,$K649),Zeiterfassung!$K$6:$K$3665,0))))</f>
        <v/>
      </c>
      <c r="K649">
        <f>IFERROR(AGGREGATE(15,6,(ROW(Zeiterfassung!$D$6:$D$3665)-ROW(Zeiterfassung!$D$6)+1)/(Zeiterfassung!$D$6:$D$3665&lt;&gt;""),644),"")</f>
        <v/>
      </c>
    </row>
    <row r="650" ht="20" customHeight="1">
      <c r="A650" s="183">
        <f>IF($K650="","",WEEKNUM(INDEX(Zeiterfassung!$K$6:$K$3665,$K650),21))</f>
        <v/>
      </c>
      <c r="B650" s="184">
        <f>IF($K650="","",INDEX(Zeiterfassung!$K$6:$K$3665,$K650))</f>
        <v/>
      </c>
      <c r="C650" s="185">
        <f>IF($K650="","",INDEX(Zeiterfassung!$K$6:$K$3665,$K650))</f>
        <v/>
      </c>
      <c r="D650" s="186">
        <f>IF($K650="","",INDEX(Zeiterfassung!$D$6:$D$3665,$K650))</f>
        <v/>
      </c>
      <c r="E650" s="186">
        <f>IF($K650="","",INDEX(Zeiterfassung!$E$6:$E$3665,$K650))</f>
        <v/>
      </c>
      <c r="F650" s="187">
        <f>IF($K650="","",INDEX(Zeiterfassung!$F$6:$F$3665,$K650))</f>
        <v/>
      </c>
      <c r="G650" s="187">
        <f>IF($K650="","",INDEX(Zeiterfassung!$G$6:$G$3665,$K650))</f>
        <v/>
      </c>
      <c r="H650" s="188">
        <f>IF($K650="","",INDEX(Zeiterfassung!$H$6:$H$3665,$K650))</f>
        <v/>
      </c>
      <c r="I650" s="335">
        <f>IF(B650=B649,"",IF($K650="","",INDEX(Zeiterfassung!$I$6:$I$3665,MATCH(INDEX(Zeiterfassung!$K$6:$K$3665,$K650),Zeiterfassung!$K$6:$K$3665,0))))</f>
        <v/>
      </c>
      <c r="J650" s="335">
        <f>IF(B650=B649,"",IF($K650="","",INDEX(Zeiterfassung!$J$6:$J$3665,MATCH(INDEX(Zeiterfassung!$K$6:$K$3665,$K650),Zeiterfassung!$K$6:$K$3665,0))))</f>
        <v/>
      </c>
      <c r="K650">
        <f>IFERROR(AGGREGATE(15,6,(ROW(Zeiterfassung!$D$6:$D$3665)-ROW(Zeiterfassung!$D$6)+1)/(Zeiterfassung!$D$6:$D$3665&lt;&gt;""),645),"")</f>
        <v/>
      </c>
    </row>
    <row r="651" ht="20" customHeight="1">
      <c r="A651" s="183">
        <f>IF($K651="","",WEEKNUM(INDEX(Zeiterfassung!$K$6:$K$3665,$K651),21))</f>
        <v/>
      </c>
      <c r="B651" s="184">
        <f>IF($K651="","",INDEX(Zeiterfassung!$K$6:$K$3665,$K651))</f>
        <v/>
      </c>
      <c r="C651" s="185">
        <f>IF($K651="","",INDEX(Zeiterfassung!$K$6:$K$3665,$K651))</f>
        <v/>
      </c>
      <c r="D651" s="186">
        <f>IF($K651="","",INDEX(Zeiterfassung!$D$6:$D$3665,$K651))</f>
        <v/>
      </c>
      <c r="E651" s="186">
        <f>IF($K651="","",INDEX(Zeiterfassung!$E$6:$E$3665,$K651))</f>
        <v/>
      </c>
      <c r="F651" s="187">
        <f>IF($K651="","",INDEX(Zeiterfassung!$F$6:$F$3665,$K651))</f>
        <v/>
      </c>
      <c r="G651" s="187">
        <f>IF($K651="","",INDEX(Zeiterfassung!$G$6:$G$3665,$K651))</f>
        <v/>
      </c>
      <c r="H651" s="188">
        <f>IF($K651="","",INDEX(Zeiterfassung!$H$6:$H$3665,$K651))</f>
        <v/>
      </c>
      <c r="I651" s="335">
        <f>IF(B651=B650,"",IF($K651="","",INDEX(Zeiterfassung!$I$6:$I$3665,MATCH(INDEX(Zeiterfassung!$K$6:$K$3665,$K651),Zeiterfassung!$K$6:$K$3665,0))))</f>
        <v/>
      </c>
      <c r="J651" s="335">
        <f>IF(B651=B650,"",IF($K651="","",INDEX(Zeiterfassung!$J$6:$J$3665,MATCH(INDEX(Zeiterfassung!$K$6:$K$3665,$K651),Zeiterfassung!$K$6:$K$3665,0))))</f>
        <v/>
      </c>
      <c r="K651">
        <f>IFERROR(AGGREGATE(15,6,(ROW(Zeiterfassung!$D$6:$D$3665)-ROW(Zeiterfassung!$D$6)+1)/(Zeiterfassung!$D$6:$D$3665&lt;&gt;""),646),"")</f>
        <v/>
      </c>
    </row>
    <row r="652" ht="20" customHeight="1">
      <c r="A652" s="183">
        <f>IF($K652="","",WEEKNUM(INDEX(Zeiterfassung!$K$6:$K$3665,$K652),21))</f>
        <v/>
      </c>
      <c r="B652" s="184">
        <f>IF($K652="","",INDEX(Zeiterfassung!$K$6:$K$3665,$K652))</f>
        <v/>
      </c>
      <c r="C652" s="185">
        <f>IF($K652="","",INDEX(Zeiterfassung!$K$6:$K$3665,$K652))</f>
        <v/>
      </c>
      <c r="D652" s="186">
        <f>IF($K652="","",INDEX(Zeiterfassung!$D$6:$D$3665,$K652))</f>
        <v/>
      </c>
      <c r="E652" s="186">
        <f>IF($K652="","",INDEX(Zeiterfassung!$E$6:$E$3665,$K652))</f>
        <v/>
      </c>
      <c r="F652" s="187">
        <f>IF($K652="","",INDEX(Zeiterfassung!$F$6:$F$3665,$K652))</f>
        <v/>
      </c>
      <c r="G652" s="187">
        <f>IF($K652="","",INDEX(Zeiterfassung!$G$6:$G$3665,$K652))</f>
        <v/>
      </c>
      <c r="H652" s="188">
        <f>IF($K652="","",INDEX(Zeiterfassung!$H$6:$H$3665,$K652))</f>
        <v/>
      </c>
      <c r="I652" s="335">
        <f>IF(B652=B651,"",IF($K652="","",INDEX(Zeiterfassung!$I$6:$I$3665,MATCH(INDEX(Zeiterfassung!$K$6:$K$3665,$K652),Zeiterfassung!$K$6:$K$3665,0))))</f>
        <v/>
      </c>
      <c r="J652" s="335">
        <f>IF(B652=B651,"",IF($K652="","",INDEX(Zeiterfassung!$J$6:$J$3665,MATCH(INDEX(Zeiterfassung!$K$6:$K$3665,$K652),Zeiterfassung!$K$6:$K$3665,0))))</f>
        <v/>
      </c>
      <c r="K652">
        <f>IFERROR(AGGREGATE(15,6,(ROW(Zeiterfassung!$D$6:$D$3665)-ROW(Zeiterfassung!$D$6)+1)/(Zeiterfassung!$D$6:$D$3665&lt;&gt;""),647),"")</f>
        <v/>
      </c>
    </row>
    <row r="653" ht="20" customHeight="1">
      <c r="A653" s="183">
        <f>IF($K653="","",WEEKNUM(INDEX(Zeiterfassung!$K$6:$K$3665,$K653),21))</f>
        <v/>
      </c>
      <c r="B653" s="184">
        <f>IF($K653="","",INDEX(Zeiterfassung!$K$6:$K$3665,$K653))</f>
        <v/>
      </c>
      <c r="C653" s="185">
        <f>IF($K653="","",INDEX(Zeiterfassung!$K$6:$K$3665,$K653))</f>
        <v/>
      </c>
      <c r="D653" s="186">
        <f>IF($K653="","",INDEX(Zeiterfassung!$D$6:$D$3665,$K653))</f>
        <v/>
      </c>
      <c r="E653" s="186">
        <f>IF($K653="","",INDEX(Zeiterfassung!$E$6:$E$3665,$K653))</f>
        <v/>
      </c>
      <c r="F653" s="187">
        <f>IF($K653="","",INDEX(Zeiterfassung!$F$6:$F$3665,$K653))</f>
        <v/>
      </c>
      <c r="G653" s="187">
        <f>IF($K653="","",INDEX(Zeiterfassung!$G$6:$G$3665,$K653))</f>
        <v/>
      </c>
      <c r="H653" s="188">
        <f>IF($K653="","",INDEX(Zeiterfassung!$H$6:$H$3665,$K653))</f>
        <v/>
      </c>
      <c r="I653" s="335">
        <f>IF(B653=B652,"",IF($K653="","",INDEX(Zeiterfassung!$I$6:$I$3665,MATCH(INDEX(Zeiterfassung!$K$6:$K$3665,$K653),Zeiterfassung!$K$6:$K$3665,0))))</f>
        <v/>
      </c>
      <c r="J653" s="335">
        <f>IF(B653=B652,"",IF($K653="","",INDEX(Zeiterfassung!$J$6:$J$3665,MATCH(INDEX(Zeiterfassung!$K$6:$K$3665,$K653),Zeiterfassung!$K$6:$K$3665,0))))</f>
        <v/>
      </c>
      <c r="K653">
        <f>IFERROR(AGGREGATE(15,6,(ROW(Zeiterfassung!$D$6:$D$3665)-ROW(Zeiterfassung!$D$6)+1)/(Zeiterfassung!$D$6:$D$3665&lt;&gt;""),648),"")</f>
        <v/>
      </c>
    </row>
    <row r="654" ht="20" customHeight="1">
      <c r="A654" s="183">
        <f>IF($K654="","",WEEKNUM(INDEX(Zeiterfassung!$K$6:$K$3665,$K654),21))</f>
        <v/>
      </c>
      <c r="B654" s="184">
        <f>IF($K654="","",INDEX(Zeiterfassung!$K$6:$K$3665,$K654))</f>
        <v/>
      </c>
      <c r="C654" s="185">
        <f>IF($K654="","",INDEX(Zeiterfassung!$K$6:$K$3665,$K654))</f>
        <v/>
      </c>
      <c r="D654" s="186">
        <f>IF($K654="","",INDEX(Zeiterfassung!$D$6:$D$3665,$K654))</f>
        <v/>
      </c>
      <c r="E654" s="186">
        <f>IF($K654="","",INDEX(Zeiterfassung!$E$6:$E$3665,$K654))</f>
        <v/>
      </c>
      <c r="F654" s="187">
        <f>IF($K654="","",INDEX(Zeiterfassung!$F$6:$F$3665,$K654))</f>
        <v/>
      </c>
      <c r="G654" s="187">
        <f>IF($K654="","",INDEX(Zeiterfassung!$G$6:$G$3665,$K654))</f>
        <v/>
      </c>
      <c r="H654" s="188">
        <f>IF($K654="","",INDEX(Zeiterfassung!$H$6:$H$3665,$K654))</f>
        <v/>
      </c>
      <c r="I654" s="335">
        <f>IF(B654=B653,"",IF($K654="","",INDEX(Zeiterfassung!$I$6:$I$3665,MATCH(INDEX(Zeiterfassung!$K$6:$K$3665,$K654),Zeiterfassung!$K$6:$K$3665,0))))</f>
        <v/>
      </c>
      <c r="J654" s="335">
        <f>IF(B654=B653,"",IF($K654="","",INDEX(Zeiterfassung!$J$6:$J$3665,MATCH(INDEX(Zeiterfassung!$K$6:$K$3665,$K654),Zeiterfassung!$K$6:$K$3665,0))))</f>
        <v/>
      </c>
      <c r="K654">
        <f>IFERROR(AGGREGATE(15,6,(ROW(Zeiterfassung!$D$6:$D$3665)-ROW(Zeiterfassung!$D$6)+1)/(Zeiterfassung!$D$6:$D$3665&lt;&gt;""),649),"")</f>
        <v/>
      </c>
    </row>
    <row r="655" ht="20" customHeight="1">
      <c r="A655" s="183">
        <f>IF($K655="","",WEEKNUM(INDEX(Zeiterfassung!$K$6:$K$3665,$K655),21))</f>
        <v/>
      </c>
      <c r="B655" s="184">
        <f>IF($K655="","",INDEX(Zeiterfassung!$K$6:$K$3665,$K655))</f>
        <v/>
      </c>
      <c r="C655" s="185">
        <f>IF($K655="","",INDEX(Zeiterfassung!$K$6:$K$3665,$K655))</f>
        <v/>
      </c>
      <c r="D655" s="186">
        <f>IF($K655="","",INDEX(Zeiterfassung!$D$6:$D$3665,$K655))</f>
        <v/>
      </c>
      <c r="E655" s="186">
        <f>IF($K655="","",INDEX(Zeiterfassung!$E$6:$E$3665,$K655))</f>
        <v/>
      </c>
      <c r="F655" s="187">
        <f>IF($K655="","",INDEX(Zeiterfassung!$F$6:$F$3665,$K655))</f>
        <v/>
      </c>
      <c r="G655" s="187">
        <f>IF($K655="","",INDEX(Zeiterfassung!$G$6:$G$3665,$K655))</f>
        <v/>
      </c>
      <c r="H655" s="188">
        <f>IF($K655="","",INDEX(Zeiterfassung!$H$6:$H$3665,$K655))</f>
        <v/>
      </c>
      <c r="I655" s="335">
        <f>IF(B655=B654,"",IF($K655="","",INDEX(Zeiterfassung!$I$6:$I$3665,MATCH(INDEX(Zeiterfassung!$K$6:$K$3665,$K655),Zeiterfassung!$K$6:$K$3665,0))))</f>
        <v/>
      </c>
      <c r="J655" s="335">
        <f>IF(B655=B654,"",IF($K655="","",INDEX(Zeiterfassung!$J$6:$J$3665,MATCH(INDEX(Zeiterfassung!$K$6:$K$3665,$K655),Zeiterfassung!$K$6:$K$3665,0))))</f>
        <v/>
      </c>
      <c r="K655">
        <f>IFERROR(AGGREGATE(15,6,(ROW(Zeiterfassung!$D$6:$D$3665)-ROW(Zeiterfassung!$D$6)+1)/(Zeiterfassung!$D$6:$D$3665&lt;&gt;""),650),"")</f>
        <v/>
      </c>
    </row>
    <row r="656" ht="20" customHeight="1">
      <c r="A656" s="183">
        <f>IF($K656="","",WEEKNUM(INDEX(Zeiterfassung!$K$6:$K$3665,$K656),21))</f>
        <v/>
      </c>
      <c r="B656" s="184">
        <f>IF($K656="","",INDEX(Zeiterfassung!$K$6:$K$3665,$K656))</f>
        <v/>
      </c>
      <c r="C656" s="185">
        <f>IF($K656="","",INDEX(Zeiterfassung!$K$6:$K$3665,$K656))</f>
        <v/>
      </c>
      <c r="D656" s="186">
        <f>IF($K656="","",INDEX(Zeiterfassung!$D$6:$D$3665,$K656))</f>
        <v/>
      </c>
      <c r="E656" s="186">
        <f>IF($K656="","",INDEX(Zeiterfassung!$E$6:$E$3665,$K656))</f>
        <v/>
      </c>
      <c r="F656" s="187">
        <f>IF($K656="","",INDEX(Zeiterfassung!$F$6:$F$3665,$K656))</f>
        <v/>
      </c>
      <c r="G656" s="187">
        <f>IF($K656="","",INDEX(Zeiterfassung!$G$6:$G$3665,$K656))</f>
        <v/>
      </c>
      <c r="H656" s="188">
        <f>IF($K656="","",INDEX(Zeiterfassung!$H$6:$H$3665,$K656))</f>
        <v/>
      </c>
      <c r="I656" s="335">
        <f>IF(B656=B655,"",IF($K656="","",INDEX(Zeiterfassung!$I$6:$I$3665,MATCH(INDEX(Zeiterfassung!$K$6:$K$3665,$K656),Zeiterfassung!$K$6:$K$3665,0))))</f>
        <v/>
      </c>
      <c r="J656" s="335">
        <f>IF(B656=B655,"",IF($K656="","",INDEX(Zeiterfassung!$J$6:$J$3665,MATCH(INDEX(Zeiterfassung!$K$6:$K$3665,$K656),Zeiterfassung!$K$6:$K$3665,0))))</f>
        <v/>
      </c>
      <c r="K656">
        <f>IFERROR(AGGREGATE(15,6,(ROW(Zeiterfassung!$D$6:$D$3665)-ROW(Zeiterfassung!$D$6)+1)/(Zeiterfassung!$D$6:$D$3665&lt;&gt;""),651),"")</f>
        <v/>
      </c>
    </row>
    <row r="657" ht="20" customHeight="1">
      <c r="A657" s="183">
        <f>IF($K657="","",WEEKNUM(INDEX(Zeiterfassung!$K$6:$K$3665,$K657),21))</f>
        <v/>
      </c>
      <c r="B657" s="184">
        <f>IF($K657="","",INDEX(Zeiterfassung!$K$6:$K$3665,$K657))</f>
        <v/>
      </c>
      <c r="C657" s="185">
        <f>IF($K657="","",INDEX(Zeiterfassung!$K$6:$K$3665,$K657))</f>
        <v/>
      </c>
      <c r="D657" s="186">
        <f>IF($K657="","",INDEX(Zeiterfassung!$D$6:$D$3665,$K657))</f>
        <v/>
      </c>
      <c r="E657" s="186">
        <f>IF($K657="","",INDEX(Zeiterfassung!$E$6:$E$3665,$K657))</f>
        <v/>
      </c>
      <c r="F657" s="187">
        <f>IF($K657="","",INDEX(Zeiterfassung!$F$6:$F$3665,$K657))</f>
        <v/>
      </c>
      <c r="G657" s="187">
        <f>IF($K657="","",INDEX(Zeiterfassung!$G$6:$G$3665,$K657))</f>
        <v/>
      </c>
      <c r="H657" s="188">
        <f>IF($K657="","",INDEX(Zeiterfassung!$H$6:$H$3665,$K657))</f>
        <v/>
      </c>
      <c r="I657" s="335">
        <f>IF(B657=B656,"",IF($K657="","",INDEX(Zeiterfassung!$I$6:$I$3665,MATCH(INDEX(Zeiterfassung!$K$6:$K$3665,$K657),Zeiterfassung!$K$6:$K$3665,0))))</f>
        <v/>
      </c>
      <c r="J657" s="335">
        <f>IF(B657=B656,"",IF($K657="","",INDEX(Zeiterfassung!$J$6:$J$3665,MATCH(INDEX(Zeiterfassung!$K$6:$K$3665,$K657),Zeiterfassung!$K$6:$K$3665,0))))</f>
        <v/>
      </c>
      <c r="K657">
        <f>IFERROR(AGGREGATE(15,6,(ROW(Zeiterfassung!$D$6:$D$3665)-ROW(Zeiterfassung!$D$6)+1)/(Zeiterfassung!$D$6:$D$3665&lt;&gt;""),652),"")</f>
        <v/>
      </c>
    </row>
    <row r="658" ht="20" customHeight="1">
      <c r="A658" s="183">
        <f>IF($K658="","",WEEKNUM(INDEX(Zeiterfassung!$K$6:$K$3665,$K658),21))</f>
        <v/>
      </c>
      <c r="B658" s="184">
        <f>IF($K658="","",INDEX(Zeiterfassung!$K$6:$K$3665,$K658))</f>
        <v/>
      </c>
      <c r="C658" s="185">
        <f>IF($K658="","",INDEX(Zeiterfassung!$K$6:$K$3665,$K658))</f>
        <v/>
      </c>
      <c r="D658" s="186">
        <f>IF($K658="","",INDEX(Zeiterfassung!$D$6:$D$3665,$K658))</f>
        <v/>
      </c>
      <c r="E658" s="186">
        <f>IF($K658="","",INDEX(Zeiterfassung!$E$6:$E$3665,$K658))</f>
        <v/>
      </c>
      <c r="F658" s="187">
        <f>IF($K658="","",INDEX(Zeiterfassung!$F$6:$F$3665,$K658))</f>
        <v/>
      </c>
      <c r="G658" s="187">
        <f>IF($K658="","",INDEX(Zeiterfassung!$G$6:$G$3665,$K658))</f>
        <v/>
      </c>
      <c r="H658" s="188">
        <f>IF($K658="","",INDEX(Zeiterfassung!$H$6:$H$3665,$K658))</f>
        <v/>
      </c>
      <c r="I658" s="335">
        <f>IF(B658=B657,"",IF($K658="","",INDEX(Zeiterfassung!$I$6:$I$3665,MATCH(INDEX(Zeiterfassung!$K$6:$K$3665,$K658),Zeiterfassung!$K$6:$K$3665,0))))</f>
        <v/>
      </c>
      <c r="J658" s="335">
        <f>IF(B658=B657,"",IF($K658="","",INDEX(Zeiterfassung!$J$6:$J$3665,MATCH(INDEX(Zeiterfassung!$K$6:$K$3665,$K658),Zeiterfassung!$K$6:$K$3665,0))))</f>
        <v/>
      </c>
      <c r="K658">
        <f>IFERROR(AGGREGATE(15,6,(ROW(Zeiterfassung!$D$6:$D$3665)-ROW(Zeiterfassung!$D$6)+1)/(Zeiterfassung!$D$6:$D$3665&lt;&gt;""),653),"")</f>
        <v/>
      </c>
    </row>
    <row r="659" ht="20" customHeight="1">
      <c r="A659" s="183">
        <f>IF($K659="","",WEEKNUM(INDEX(Zeiterfassung!$K$6:$K$3665,$K659),21))</f>
        <v/>
      </c>
      <c r="B659" s="184">
        <f>IF($K659="","",INDEX(Zeiterfassung!$K$6:$K$3665,$K659))</f>
        <v/>
      </c>
      <c r="C659" s="185">
        <f>IF($K659="","",INDEX(Zeiterfassung!$K$6:$K$3665,$K659))</f>
        <v/>
      </c>
      <c r="D659" s="186">
        <f>IF($K659="","",INDEX(Zeiterfassung!$D$6:$D$3665,$K659))</f>
        <v/>
      </c>
      <c r="E659" s="186">
        <f>IF($K659="","",INDEX(Zeiterfassung!$E$6:$E$3665,$K659))</f>
        <v/>
      </c>
      <c r="F659" s="187">
        <f>IF($K659="","",INDEX(Zeiterfassung!$F$6:$F$3665,$K659))</f>
        <v/>
      </c>
      <c r="G659" s="187">
        <f>IF($K659="","",INDEX(Zeiterfassung!$G$6:$G$3665,$K659))</f>
        <v/>
      </c>
      <c r="H659" s="188">
        <f>IF($K659="","",INDEX(Zeiterfassung!$H$6:$H$3665,$K659))</f>
        <v/>
      </c>
      <c r="I659" s="335">
        <f>IF(B659=B658,"",IF($K659="","",INDEX(Zeiterfassung!$I$6:$I$3665,MATCH(INDEX(Zeiterfassung!$K$6:$K$3665,$K659),Zeiterfassung!$K$6:$K$3665,0))))</f>
        <v/>
      </c>
      <c r="J659" s="335">
        <f>IF(B659=B658,"",IF($K659="","",INDEX(Zeiterfassung!$J$6:$J$3665,MATCH(INDEX(Zeiterfassung!$K$6:$K$3665,$K659),Zeiterfassung!$K$6:$K$3665,0))))</f>
        <v/>
      </c>
      <c r="K659">
        <f>IFERROR(AGGREGATE(15,6,(ROW(Zeiterfassung!$D$6:$D$3665)-ROW(Zeiterfassung!$D$6)+1)/(Zeiterfassung!$D$6:$D$3665&lt;&gt;""),654),"")</f>
        <v/>
      </c>
    </row>
    <row r="660" ht="20" customHeight="1">
      <c r="A660" s="183">
        <f>IF($K660="","",WEEKNUM(INDEX(Zeiterfassung!$K$6:$K$3665,$K660),21))</f>
        <v/>
      </c>
      <c r="B660" s="184">
        <f>IF($K660="","",INDEX(Zeiterfassung!$K$6:$K$3665,$K660))</f>
        <v/>
      </c>
      <c r="C660" s="185">
        <f>IF($K660="","",INDEX(Zeiterfassung!$K$6:$K$3665,$K660))</f>
        <v/>
      </c>
      <c r="D660" s="186">
        <f>IF($K660="","",INDEX(Zeiterfassung!$D$6:$D$3665,$K660))</f>
        <v/>
      </c>
      <c r="E660" s="186">
        <f>IF($K660="","",INDEX(Zeiterfassung!$E$6:$E$3665,$K660))</f>
        <v/>
      </c>
      <c r="F660" s="187">
        <f>IF($K660="","",INDEX(Zeiterfassung!$F$6:$F$3665,$K660))</f>
        <v/>
      </c>
      <c r="G660" s="187">
        <f>IF($K660="","",INDEX(Zeiterfassung!$G$6:$G$3665,$K660))</f>
        <v/>
      </c>
      <c r="H660" s="188">
        <f>IF($K660="","",INDEX(Zeiterfassung!$H$6:$H$3665,$K660))</f>
        <v/>
      </c>
      <c r="I660" s="335">
        <f>IF(B660=B659,"",IF($K660="","",INDEX(Zeiterfassung!$I$6:$I$3665,MATCH(INDEX(Zeiterfassung!$K$6:$K$3665,$K660),Zeiterfassung!$K$6:$K$3665,0))))</f>
        <v/>
      </c>
      <c r="J660" s="335">
        <f>IF(B660=B659,"",IF($K660="","",INDEX(Zeiterfassung!$J$6:$J$3665,MATCH(INDEX(Zeiterfassung!$K$6:$K$3665,$K660),Zeiterfassung!$K$6:$K$3665,0))))</f>
        <v/>
      </c>
      <c r="K660">
        <f>IFERROR(AGGREGATE(15,6,(ROW(Zeiterfassung!$D$6:$D$3665)-ROW(Zeiterfassung!$D$6)+1)/(Zeiterfassung!$D$6:$D$3665&lt;&gt;""),655),"")</f>
        <v/>
      </c>
    </row>
    <row r="661" ht="20" customHeight="1">
      <c r="A661" s="183">
        <f>IF($K661="","",WEEKNUM(INDEX(Zeiterfassung!$K$6:$K$3665,$K661),21))</f>
        <v/>
      </c>
      <c r="B661" s="184">
        <f>IF($K661="","",INDEX(Zeiterfassung!$K$6:$K$3665,$K661))</f>
        <v/>
      </c>
      <c r="C661" s="185">
        <f>IF($K661="","",INDEX(Zeiterfassung!$K$6:$K$3665,$K661))</f>
        <v/>
      </c>
      <c r="D661" s="186">
        <f>IF($K661="","",INDEX(Zeiterfassung!$D$6:$D$3665,$K661))</f>
        <v/>
      </c>
      <c r="E661" s="186">
        <f>IF($K661="","",INDEX(Zeiterfassung!$E$6:$E$3665,$K661))</f>
        <v/>
      </c>
      <c r="F661" s="187">
        <f>IF($K661="","",INDEX(Zeiterfassung!$F$6:$F$3665,$K661))</f>
        <v/>
      </c>
      <c r="G661" s="187">
        <f>IF($K661="","",INDEX(Zeiterfassung!$G$6:$G$3665,$K661))</f>
        <v/>
      </c>
      <c r="H661" s="188">
        <f>IF($K661="","",INDEX(Zeiterfassung!$H$6:$H$3665,$K661))</f>
        <v/>
      </c>
      <c r="I661" s="335">
        <f>IF(B661=B660,"",IF($K661="","",INDEX(Zeiterfassung!$I$6:$I$3665,MATCH(INDEX(Zeiterfassung!$K$6:$K$3665,$K661),Zeiterfassung!$K$6:$K$3665,0))))</f>
        <v/>
      </c>
      <c r="J661" s="335">
        <f>IF(B661=B660,"",IF($K661="","",INDEX(Zeiterfassung!$J$6:$J$3665,MATCH(INDEX(Zeiterfassung!$K$6:$K$3665,$K661),Zeiterfassung!$K$6:$K$3665,0))))</f>
        <v/>
      </c>
      <c r="K661">
        <f>IFERROR(AGGREGATE(15,6,(ROW(Zeiterfassung!$D$6:$D$3665)-ROW(Zeiterfassung!$D$6)+1)/(Zeiterfassung!$D$6:$D$3665&lt;&gt;""),656),"")</f>
        <v/>
      </c>
    </row>
    <row r="662" ht="20" customHeight="1">
      <c r="A662" s="183">
        <f>IF($K662="","",WEEKNUM(INDEX(Zeiterfassung!$K$6:$K$3665,$K662),21))</f>
        <v/>
      </c>
      <c r="B662" s="184">
        <f>IF($K662="","",INDEX(Zeiterfassung!$K$6:$K$3665,$K662))</f>
        <v/>
      </c>
      <c r="C662" s="185">
        <f>IF($K662="","",INDEX(Zeiterfassung!$K$6:$K$3665,$K662))</f>
        <v/>
      </c>
      <c r="D662" s="186">
        <f>IF($K662="","",INDEX(Zeiterfassung!$D$6:$D$3665,$K662))</f>
        <v/>
      </c>
      <c r="E662" s="186">
        <f>IF($K662="","",INDEX(Zeiterfassung!$E$6:$E$3665,$K662))</f>
        <v/>
      </c>
      <c r="F662" s="187">
        <f>IF($K662="","",INDEX(Zeiterfassung!$F$6:$F$3665,$K662))</f>
        <v/>
      </c>
      <c r="G662" s="187">
        <f>IF($K662="","",INDEX(Zeiterfassung!$G$6:$G$3665,$K662))</f>
        <v/>
      </c>
      <c r="H662" s="188">
        <f>IF($K662="","",INDEX(Zeiterfassung!$H$6:$H$3665,$K662))</f>
        <v/>
      </c>
      <c r="I662" s="335">
        <f>IF(B662=B661,"",IF($K662="","",INDEX(Zeiterfassung!$I$6:$I$3665,MATCH(INDEX(Zeiterfassung!$K$6:$K$3665,$K662),Zeiterfassung!$K$6:$K$3665,0))))</f>
        <v/>
      </c>
      <c r="J662" s="335">
        <f>IF(B662=B661,"",IF($K662="","",INDEX(Zeiterfassung!$J$6:$J$3665,MATCH(INDEX(Zeiterfassung!$K$6:$K$3665,$K662),Zeiterfassung!$K$6:$K$3665,0))))</f>
        <v/>
      </c>
      <c r="K662">
        <f>IFERROR(AGGREGATE(15,6,(ROW(Zeiterfassung!$D$6:$D$3665)-ROW(Zeiterfassung!$D$6)+1)/(Zeiterfassung!$D$6:$D$3665&lt;&gt;""),657),"")</f>
        <v/>
      </c>
    </row>
    <row r="663" ht="20" customHeight="1">
      <c r="A663" s="183">
        <f>IF($K663="","",WEEKNUM(INDEX(Zeiterfassung!$K$6:$K$3665,$K663),21))</f>
        <v/>
      </c>
      <c r="B663" s="184">
        <f>IF($K663="","",INDEX(Zeiterfassung!$K$6:$K$3665,$K663))</f>
        <v/>
      </c>
      <c r="C663" s="185">
        <f>IF($K663="","",INDEX(Zeiterfassung!$K$6:$K$3665,$K663))</f>
        <v/>
      </c>
      <c r="D663" s="186">
        <f>IF($K663="","",INDEX(Zeiterfassung!$D$6:$D$3665,$K663))</f>
        <v/>
      </c>
      <c r="E663" s="186">
        <f>IF($K663="","",INDEX(Zeiterfassung!$E$6:$E$3665,$K663))</f>
        <v/>
      </c>
      <c r="F663" s="187">
        <f>IF($K663="","",INDEX(Zeiterfassung!$F$6:$F$3665,$K663))</f>
        <v/>
      </c>
      <c r="G663" s="187">
        <f>IF($K663="","",INDEX(Zeiterfassung!$G$6:$G$3665,$K663))</f>
        <v/>
      </c>
      <c r="H663" s="188">
        <f>IF($K663="","",INDEX(Zeiterfassung!$H$6:$H$3665,$K663))</f>
        <v/>
      </c>
      <c r="I663" s="335">
        <f>IF(B663=B662,"",IF($K663="","",INDEX(Zeiterfassung!$I$6:$I$3665,MATCH(INDEX(Zeiterfassung!$K$6:$K$3665,$K663),Zeiterfassung!$K$6:$K$3665,0))))</f>
        <v/>
      </c>
      <c r="J663" s="335">
        <f>IF(B663=B662,"",IF($K663="","",INDEX(Zeiterfassung!$J$6:$J$3665,MATCH(INDEX(Zeiterfassung!$K$6:$K$3665,$K663),Zeiterfassung!$K$6:$K$3665,0))))</f>
        <v/>
      </c>
      <c r="K663">
        <f>IFERROR(AGGREGATE(15,6,(ROW(Zeiterfassung!$D$6:$D$3665)-ROW(Zeiterfassung!$D$6)+1)/(Zeiterfassung!$D$6:$D$3665&lt;&gt;""),658),"")</f>
        <v/>
      </c>
    </row>
    <row r="664" ht="20" customHeight="1">
      <c r="A664" s="183">
        <f>IF($K664="","",WEEKNUM(INDEX(Zeiterfassung!$K$6:$K$3665,$K664),21))</f>
        <v/>
      </c>
      <c r="B664" s="184">
        <f>IF($K664="","",INDEX(Zeiterfassung!$K$6:$K$3665,$K664))</f>
        <v/>
      </c>
      <c r="C664" s="185">
        <f>IF($K664="","",INDEX(Zeiterfassung!$K$6:$K$3665,$K664))</f>
        <v/>
      </c>
      <c r="D664" s="186">
        <f>IF($K664="","",INDEX(Zeiterfassung!$D$6:$D$3665,$K664))</f>
        <v/>
      </c>
      <c r="E664" s="186">
        <f>IF($K664="","",INDEX(Zeiterfassung!$E$6:$E$3665,$K664))</f>
        <v/>
      </c>
      <c r="F664" s="187">
        <f>IF($K664="","",INDEX(Zeiterfassung!$F$6:$F$3665,$K664))</f>
        <v/>
      </c>
      <c r="G664" s="187">
        <f>IF($K664="","",INDEX(Zeiterfassung!$G$6:$G$3665,$K664))</f>
        <v/>
      </c>
      <c r="H664" s="188">
        <f>IF($K664="","",INDEX(Zeiterfassung!$H$6:$H$3665,$K664))</f>
        <v/>
      </c>
      <c r="I664" s="335">
        <f>IF(B664=B663,"",IF($K664="","",INDEX(Zeiterfassung!$I$6:$I$3665,MATCH(INDEX(Zeiterfassung!$K$6:$K$3665,$K664),Zeiterfassung!$K$6:$K$3665,0))))</f>
        <v/>
      </c>
      <c r="J664" s="335">
        <f>IF(B664=B663,"",IF($K664="","",INDEX(Zeiterfassung!$J$6:$J$3665,MATCH(INDEX(Zeiterfassung!$K$6:$K$3665,$K664),Zeiterfassung!$K$6:$K$3665,0))))</f>
        <v/>
      </c>
      <c r="K664">
        <f>IFERROR(AGGREGATE(15,6,(ROW(Zeiterfassung!$D$6:$D$3665)-ROW(Zeiterfassung!$D$6)+1)/(Zeiterfassung!$D$6:$D$3665&lt;&gt;""),659),"")</f>
        <v/>
      </c>
    </row>
    <row r="665" ht="20" customHeight="1">
      <c r="A665" s="183">
        <f>IF($K665="","",WEEKNUM(INDEX(Zeiterfassung!$K$6:$K$3665,$K665),21))</f>
        <v/>
      </c>
      <c r="B665" s="184">
        <f>IF($K665="","",INDEX(Zeiterfassung!$K$6:$K$3665,$K665))</f>
        <v/>
      </c>
      <c r="C665" s="185">
        <f>IF($K665="","",INDEX(Zeiterfassung!$K$6:$K$3665,$K665))</f>
        <v/>
      </c>
      <c r="D665" s="186">
        <f>IF($K665="","",INDEX(Zeiterfassung!$D$6:$D$3665,$K665))</f>
        <v/>
      </c>
      <c r="E665" s="186">
        <f>IF($K665="","",INDEX(Zeiterfassung!$E$6:$E$3665,$K665))</f>
        <v/>
      </c>
      <c r="F665" s="187">
        <f>IF($K665="","",INDEX(Zeiterfassung!$F$6:$F$3665,$K665))</f>
        <v/>
      </c>
      <c r="G665" s="187">
        <f>IF($K665="","",INDEX(Zeiterfassung!$G$6:$G$3665,$K665))</f>
        <v/>
      </c>
      <c r="H665" s="188">
        <f>IF($K665="","",INDEX(Zeiterfassung!$H$6:$H$3665,$K665))</f>
        <v/>
      </c>
      <c r="I665" s="335">
        <f>IF(B665=B664,"",IF($K665="","",INDEX(Zeiterfassung!$I$6:$I$3665,MATCH(INDEX(Zeiterfassung!$K$6:$K$3665,$K665),Zeiterfassung!$K$6:$K$3665,0))))</f>
        <v/>
      </c>
      <c r="J665" s="335">
        <f>IF(B665=B664,"",IF($K665="","",INDEX(Zeiterfassung!$J$6:$J$3665,MATCH(INDEX(Zeiterfassung!$K$6:$K$3665,$K665),Zeiterfassung!$K$6:$K$3665,0))))</f>
        <v/>
      </c>
      <c r="K665">
        <f>IFERROR(AGGREGATE(15,6,(ROW(Zeiterfassung!$D$6:$D$3665)-ROW(Zeiterfassung!$D$6)+1)/(Zeiterfassung!$D$6:$D$3665&lt;&gt;""),660),"")</f>
        <v/>
      </c>
    </row>
    <row r="666" ht="20" customHeight="1">
      <c r="A666" s="183">
        <f>IF($K666="","",WEEKNUM(INDEX(Zeiterfassung!$K$6:$K$3665,$K666),21))</f>
        <v/>
      </c>
      <c r="B666" s="184">
        <f>IF($K666="","",INDEX(Zeiterfassung!$K$6:$K$3665,$K666))</f>
        <v/>
      </c>
      <c r="C666" s="185">
        <f>IF($K666="","",INDEX(Zeiterfassung!$K$6:$K$3665,$K666))</f>
        <v/>
      </c>
      <c r="D666" s="186">
        <f>IF($K666="","",INDEX(Zeiterfassung!$D$6:$D$3665,$K666))</f>
        <v/>
      </c>
      <c r="E666" s="186">
        <f>IF($K666="","",INDEX(Zeiterfassung!$E$6:$E$3665,$K666))</f>
        <v/>
      </c>
      <c r="F666" s="187">
        <f>IF($K666="","",INDEX(Zeiterfassung!$F$6:$F$3665,$K666))</f>
        <v/>
      </c>
      <c r="G666" s="187">
        <f>IF($K666="","",INDEX(Zeiterfassung!$G$6:$G$3665,$K666))</f>
        <v/>
      </c>
      <c r="H666" s="188">
        <f>IF($K666="","",INDEX(Zeiterfassung!$H$6:$H$3665,$K666))</f>
        <v/>
      </c>
      <c r="I666" s="335">
        <f>IF(B666=B665,"",IF($K666="","",INDEX(Zeiterfassung!$I$6:$I$3665,MATCH(INDEX(Zeiterfassung!$K$6:$K$3665,$K666),Zeiterfassung!$K$6:$K$3665,0))))</f>
        <v/>
      </c>
      <c r="J666" s="335">
        <f>IF(B666=B665,"",IF($K666="","",INDEX(Zeiterfassung!$J$6:$J$3665,MATCH(INDEX(Zeiterfassung!$K$6:$K$3665,$K666),Zeiterfassung!$K$6:$K$3665,0))))</f>
        <v/>
      </c>
      <c r="K666">
        <f>IFERROR(AGGREGATE(15,6,(ROW(Zeiterfassung!$D$6:$D$3665)-ROW(Zeiterfassung!$D$6)+1)/(Zeiterfassung!$D$6:$D$3665&lt;&gt;""),661),"")</f>
        <v/>
      </c>
    </row>
    <row r="667" ht="20" customHeight="1">
      <c r="A667" s="183">
        <f>IF($K667="","",WEEKNUM(INDEX(Zeiterfassung!$K$6:$K$3665,$K667),21))</f>
        <v/>
      </c>
      <c r="B667" s="184">
        <f>IF($K667="","",INDEX(Zeiterfassung!$K$6:$K$3665,$K667))</f>
        <v/>
      </c>
      <c r="C667" s="185">
        <f>IF($K667="","",INDEX(Zeiterfassung!$K$6:$K$3665,$K667))</f>
        <v/>
      </c>
      <c r="D667" s="186">
        <f>IF($K667="","",INDEX(Zeiterfassung!$D$6:$D$3665,$K667))</f>
        <v/>
      </c>
      <c r="E667" s="186">
        <f>IF($K667="","",INDEX(Zeiterfassung!$E$6:$E$3665,$K667))</f>
        <v/>
      </c>
      <c r="F667" s="187">
        <f>IF($K667="","",INDEX(Zeiterfassung!$F$6:$F$3665,$K667))</f>
        <v/>
      </c>
      <c r="G667" s="187">
        <f>IF($K667="","",INDEX(Zeiterfassung!$G$6:$G$3665,$K667))</f>
        <v/>
      </c>
      <c r="H667" s="188">
        <f>IF($K667="","",INDEX(Zeiterfassung!$H$6:$H$3665,$K667))</f>
        <v/>
      </c>
      <c r="I667" s="335">
        <f>IF(B667=B666,"",IF($K667="","",INDEX(Zeiterfassung!$I$6:$I$3665,MATCH(INDEX(Zeiterfassung!$K$6:$K$3665,$K667),Zeiterfassung!$K$6:$K$3665,0))))</f>
        <v/>
      </c>
      <c r="J667" s="335">
        <f>IF(B667=B666,"",IF($K667="","",INDEX(Zeiterfassung!$J$6:$J$3665,MATCH(INDEX(Zeiterfassung!$K$6:$K$3665,$K667),Zeiterfassung!$K$6:$K$3665,0))))</f>
        <v/>
      </c>
      <c r="K667">
        <f>IFERROR(AGGREGATE(15,6,(ROW(Zeiterfassung!$D$6:$D$3665)-ROW(Zeiterfassung!$D$6)+1)/(Zeiterfassung!$D$6:$D$3665&lt;&gt;""),662),"")</f>
        <v/>
      </c>
    </row>
    <row r="668" ht="20" customHeight="1">
      <c r="A668" s="183">
        <f>IF($K668="","",WEEKNUM(INDEX(Zeiterfassung!$K$6:$K$3665,$K668),21))</f>
        <v/>
      </c>
      <c r="B668" s="184">
        <f>IF($K668="","",INDEX(Zeiterfassung!$K$6:$K$3665,$K668))</f>
        <v/>
      </c>
      <c r="C668" s="185">
        <f>IF($K668="","",INDEX(Zeiterfassung!$K$6:$K$3665,$K668))</f>
        <v/>
      </c>
      <c r="D668" s="186">
        <f>IF($K668="","",INDEX(Zeiterfassung!$D$6:$D$3665,$K668))</f>
        <v/>
      </c>
      <c r="E668" s="186">
        <f>IF($K668="","",INDEX(Zeiterfassung!$E$6:$E$3665,$K668))</f>
        <v/>
      </c>
      <c r="F668" s="187">
        <f>IF($K668="","",INDEX(Zeiterfassung!$F$6:$F$3665,$K668))</f>
        <v/>
      </c>
      <c r="G668" s="187">
        <f>IF($K668="","",INDEX(Zeiterfassung!$G$6:$G$3665,$K668))</f>
        <v/>
      </c>
      <c r="H668" s="188">
        <f>IF($K668="","",INDEX(Zeiterfassung!$H$6:$H$3665,$K668))</f>
        <v/>
      </c>
      <c r="I668" s="335">
        <f>IF(B668=B667,"",IF($K668="","",INDEX(Zeiterfassung!$I$6:$I$3665,MATCH(INDEX(Zeiterfassung!$K$6:$K$3665,$K668),Zeiterfassung!$K$6:$K$3665,0))))</f>
        <v/>
      </c>
      <c r="J668" s="335">
        <f>IF(B668=B667,"",IF($K668="","",INDEX(Zeiterfassung!$J$6:$J$3665,MATCH(INDEX(Zeiterfassung!$K$6:$K$3665,$K668),Zeiterfassung!$K$6:$K$3665,0))))</f>
        <v/>
      </c>
      <c r="K668">
        <f>IFERROR(AGGREGATE(15,6,(ROW(Zeiterfassung!$D$6:$D$3665)-ROW(Zeiterfassung!$D$6)+1)/(Zeiterfassung!$D$6:$D$3665&lt;&gt;""),663),"")</f>
        <v/>
      </c>
    </row>
    <row r="669" ht="20" customHeight="1">
      <c r="A669" s="183">
        <f>IF($K669="","",WEEKNUM(INDEX(Zeiterfassung!$K$6:$K$3665,$K669),21))</f>
        <v/>
      </c>
      <c r="B669" s="184">
        <f>IF($K669="","",INDEX(Zeiterfassung!$K$6:$K$3665,$K669))</f>
        <v/>
      </c>
      <c r="C669" s="185">
        <f>IF($K669="","",INDEX(Zeiterfassung!$K$6:$K$3665,$K669))</f>
        <v/>
      </c>
      <c r="D669" s="186">
        <f>IF($K669="","",INDEX(Zeiterfassung!$D$6:$D$3665,$K669))</f>
        <v/>
      </c>
      <c r="E669" s="186">
        <f>IF($K669="","",INDEX(Zeiterfassung!$E$6:$E$3665,$K669))</f>
        <v/>
      </c>
      <c r="F669" s="187">
        <f>IF($K669="","",INDEX(Zeiterfassung!$F$6:$F$3665,$K669))</f>
        <v/>
      </c>
      <c r="G669" s="187">
        <f>IF($K669="","",INDEX(Zeiterfassung!$G$6:$G$3665,$K669))</f>
        <v/>
      </c>
      <c r="H669" s="188">
        <f>IF($K669="","",INDEX(Zeiterfassung!$H$6:$H$3665,$K669))</f>
        <v/>
      </c>
      <c r="I669" s="335">
        <f>IF(B669=B668,"",IF($K669="","",INDEX(Zeiterfassung!$I$6:$I$3665,MATCH(INDEX(Zeiterfassung!$K$6:$K$3665,$K669),Zeiterfassung!$K$6:$K$3665,0))))</f>
        <v/>
      </c>
      <c r="J669" s="335">
        <f>IF(B669=B668,"",IF($K669="","",INDEX(Zeiterfassung!$J$6:$J$3665,MATCH(INDEX(Zeiterfassung!$K$6:$K$3665,$K669),Zeiterfassung!$K$6:$K$3665,0))))</f>
        <v/>
      </c>
      <c r="K669">
        <f>IFERROR(AGGREGATE(15,6,(ROW(Zeiterfassung!$D$6:$D$3665)-ROW(Zeiterfassung!$D$6)+1)/(Zeiterfassung!$D$6:$D$3665&lt;&gt;""),664),"")</f>
        <v/>
      </c>
    </row>
    <row r="670" ht="20" customHeight="1">
      <c r="A670" s="183">
        <f>IF($K670="","",WEEKNUM(INDEX(Zeiterfassung!$K$6:$K$3665,$K670),21))</f>
        <v/>
      </c>
      <c r="B670" s="184">
        <f>IF($K670="","",INDEX(Zeiterfassung!$K$6:$K$3665,$K670))</f>
        <v/>
      </c>
      <c r="C670" s="185">
        <f>IF($K670="","",INDEX(Zeiterfassung!$K$6:$K$3665,$K670))</f>
        <v/>
      </c>
      <c r="D670" s="186">
        <f>IF($K670="","",INDEX(Zeiterfassung!$D$6:$D$3665,$K670))</f>
        <v/>
      </c>
      <c r="E670" s="186">
        <f>IF($K670="","",INDEX(Zeiterfassung!$E$6:$E$3665,$K670))</f>
        <v/>
      </c>
      <c r="F670" s="187">
        <f>IF($K670="","",INDEX(Zeiterfassung!$F$6:$F$3665,$K670))</f>
        <v/>
      </c>
      <c r="G670" s="187">
        <f>IF($K670="","",INDEX(Zeiterfassung!$G$6:$G$3665,$K670))</f>
        <v/>
      </c>
      <c r="H670" s="188">
        <f>IF($K670="","",INDEX(Zeiterfassung!$H$6:$H$3665,$K670))</f>
        <v/>
      </c>
      <c r="I670" s="335">
        <f>IF(B670=B669,"",IF($K670="","",INDEX(Zeiterfassung!$I$6:$I$3665,MATCH(INDEX(Zeiterfassung!$K$6:$K$3665,$K670),Zeiterfassung!$K$6:$K$3665,0))))</f>
        <v/>
      </c>
      <c r="J670" s="335">
        <f>IF(B670=B669,"",IF($K670="","",INDEX(Zeiterfassung!$J$6:$J$3665,MATCH(INDEX(Zeiterfassung!$K$6:$K$3665,$K670),Zeiterfassung!$K$6:$K$3665,0))))</f>
        <v/>
      </c>
      <c r="K670">
        <f>IFERROR(AGGREGATE(15,6,(ROW(Zeiterfassung!$D$6:$D$3665)-ROW(Zeiterfassung!$D$6)+1)/(Zeiterfassung!$D$6:$D$3665&lt;&gt;""),665),"")</f>
        <v/>
      </c>
    </row>
    <row r="671" ht="20" customHeight="1">
      <c r="A671" s="183">
        <f>IF($K671="","",WEEKNUM(INDEX(Zeiterfassung!$K$6:$K$3665,$K671),21))</f>
        <v/>
      </c>
      <c r="B671" s="184">
        <f>IF($K671="","",INDEX(Zeiterfassung!$K$6:$K$3665,$K671))</f>
        <v/>
      </c>
      <c r="C671" s="185">
        <f>IF($K671="","",INDEX(Zeiterfassung!$K$6:$K$3665,$K671))</f>
        <v/>
      </c>
      <c r="D671" s="186">
        <f>IF($K671="","",INDEX(Zeiterfassung!$D$6:$D$3665,$K671))</f>
        <v/>
      </c>
      <c r="E671" s="186">
        <f>IF($K671="","",INDEX(Zeiterfassung!$E$6:$E$3665,$K671))</f>
        <v/>
      </c>
      <c r="F671" s="187">
        <f>IF($K671="","",INDEX(Zeiterfassung!$F$6:$F$3665,$K671))</f>
        <v/>
      </c>
      <c r="G671" s="187">
        <f>IF($K671="","",INDEX(Zeiterfassung!$G$6:$G$3665,$K671))</f>
        <v/>
      </c>
      <c r="H671" s="188">
        <f>IF($K671="","",INDEX(Zeiterfassung!$H$6:$H$3665,$K671))</f>
        <v/>
      </c>
      <c r="I671" s="335">
        <f>IF(B671=B670,"",IF($K671="","",INDEX(Zeiterfassung!$I$6:$I$3665,MATCH(INDEX(Zeiterfassung!$K$6:$K$3665,$K671),Zeiterfassung!$K$6:$K$3665,0))))</f>
        <v/>
      </c>
      <c r="J671" s="335">
        <f>IF(B671=B670,"",IF($K671="","",INDEX(Zeiterfassung!$J$6:$J$3665,MATCH(INDEX(Zeiterfassung!$K$6:$K$3665,$K671),Zeiterfassung!$K$6:$K$3665,0))))</f>
        <v/>
      </c>
      <c r="K671">
        <f>IFERROR(AGGREGATE(15,6,(ROW(Zeiterfassung!$D$6:$D$3665)-ROW(Zeiterfassung!$D$6)+1)/(Zeiterfassung!$D$6:$D$3665&lt;&gt;""),666),"")</f>
        <v/>
      </c>
    </row>
    <row r="672" ht="20" customHeight="1">
      <c r="A672" s="183">
        <f>IF($K672="","",WEEKNUM(INDEX(Zeiterfassung!$K$6:$K$3665,$K672),21))</f>
        <v/>
      </c>
      <c r="B672" s="184">
        <f>IF($K672="","",INDEX(Zeiterfassung!$K$6:$K$3665,$K672))</f>
        <v/>
      </c>
      <c r="C672" s="185">
        <f>IF($K672="","",INDEX(Zeiterfassung!$K$6:$K$3665,$K672))</f>
        <v/>
      </c>
      <c r="D672" s="186">
        <f>IF($K672="","",INDEX(Zeiterfassung!$D$6:$D$3665,$K672))</f>
        <v/>
      </c>
      <c r="E672" s="186">
        <f>IF($K672="","",INDEX(Zeiterfassung!$E$6:$E$3665,$K672))</f>
        <v/>
      </c>
      <c r="F672" s="187">
        <f>IF($K672="","",INDEX(Zeiterfassung!$F$6:$F$3665,$K672))</f>
        <v/>
      </c>
      <c r="G672" s="187">
        <f>IF($K672="","",INDEX(Zeiterfassung!$G$6:$G$3665,$K672))</f>
        <v/>
      </c>
      <c r="H672" s="188">
        <f>IF($K672="","",INDEX(Zeiterfassung!$H$6:$H$3665,$K672))</f>
        <v/>
      </c>
      <c r="I672" s="335">
        <f>IF(B672=B671,"",IF($K672="","",INDEX(Zeiterfassung!$I$6:$I$3665,MATCH(INDEX(Zeiterfassung!$K$6:$K$3665,$K672),Zeiterfassung!$K$6:$K$3665,0))))</f>
        <v/>
      </c>
      <c r="J672" s="335">
        <f>IF(B672=B671,"",IF($K672="","",INDEX(Zeiterfassung!$J$6:$J$3665,MATCH(INDEX(Zeiterfassung!$K$6:$K$3665,$K672),Zeiterfassung!$K$6:$K$3665,0))))</f>
        <v/>
      </c>
      <c r="K672">
        <f>IFERROR(AGGREGATE(15,6,(ROW(Zeiterfassung!$D$6:$D$3665)-ROW(Zeiterfassung!$D$6)+1)/(Zeiterfassung!$D$6:$D$3665&lt;&gt;""),667),"")</f>
        <v/>
      </c>
    </row>
    <row r="673" ht="20" customHeight="1">
      <c r="A673" s="183">
        <f>IF($K673="","",WEEKNUM(INDEX(Zeiterfassung!$K$6:$K$3665,$K673),21))</f>
        <v/>
      </c>
      <c r="B673" s="184">
        <f>IF($K673="","",INDEX(Zeiterfassung!$K$6:$K$3665,$K673))</f>
        <v/>
      </c>
      <c r="C673" s="185">
        <f>IF($K673="","",INDEX(Zeiterfassung!$K$6:$K$3665,$K673))</f>
        <v/>
      </c>
      <c r="D673" s="186">
        <f>IF($K673="","",INDEX(Zeiterfassung!$D$6:$D$3665,$K673))</f>
        <v/>
      </c>
      <c r="E673" s="186">
        <f>IF($K673="","",INDEX(Zeiterfassung!$E$6:$E$3665,$K673))</f>
        <v/>
      </c>
      <c r="F673" s="187">
        <f>IF($K673="","",INDEX(Zeiterfassung!$F$6:$F$3665,$K673))</f>
        <v/>
      </c>
      <c r="G673" s="187">
        <f>IF($K673="","",INDEX(Zeiterfassung!$G$6:$G$3665,$K673))</f>
        <v/>
      </c>
      <c r="H673" s="188">
        <f>IF($K673="","",INDEX(Zeiterfassung!$H$6:$H$3665,$K673))</f>
        <v/>
      </c>
      <c r="I673" s="335">
        <f>IF(B673=B672,"",IF($K673="","",INDEX(Zeiterfassung!$I$6:$I$3665,MATCH(INDEX(Zeiterfassung!$K$6:$K$3665,$K673),Zeiterfassung!$K$6:$K$3665,0))))</f>
        <v/>
      </c>
      <c r="J673" s="335">
        <f>IF(B673=B672,"",IF($K673="","",INDEX(Zeiterfassung!$J$6:$J$3665,MATCH(INDEX(Zeiterfassung!$K$6:$K$3665,$K673),Zeiterfassung!$K$6:$K$3665,0))))</f>
        <v/>
      </c>
      <c r="K673">
        <f>IFERROR(AGGREGATE(15,6,(ROW(Zeiterfassung!$D$6:$D$3665)-ROW(Zeiterfassung!$D$6)+1)/(Zeiterfassung!$D$6:$D$3665&lt;&gt;""),668),"")</f>
        <v/>
      </c>
    </row>
    <row r="674" ht="20" customHeight="1">
      <c r="A674" s="183">
        <f>IF($K674="","",WEEKNUM(INDEX(Zeiterfassung!$K$6:$K$3665,$K674),21))</f>
        <v/>
      </c>
      <c r="B674" s="184">
        <f>IF($K674="","",INDEX(Zeiterfassung!$K$6:$K$3665,$K674))</f>
        <v/>
      </c>
      <c r="C674" s="185">
        <f>IF($K674="","",INDEX(Zeiterfassung!$K$6:$K$3665,$K674))</f>
        <v/>
      </c>
      <c r="D674" s="186">
        <f>IF($K674="","",INDEX(Zeiterfassung!$D$6:$D$3665,$K674))</f>
        <v/>
      </c>
      <c r="E674" s="186">
        <f>IF($K674="","",INDEX(Zeiterfassung!$E$6:$E$3665,$K674))</f>
        <v/>
      </c>
      <c r="F674" s="187">
        <f>IF($K674="","",INDEX(Zeiterfassung!$F$6:$F$3665,$K674))</f>
        <v/>
      </c>
      <c r="G674" s="187">
        <f>IF($K674="","",INDEX(Zeiterfassung!$G$6:$G$3665,$K674))</f>
        <v/>
      </c>
      <c r="H674" s="188">
        <f>IF($K674="","",INDEX(Zeiterfassung!$H$6:$H$3665,$K674))</f>
        <v/>
      </c>
      <c r="I674" s="335">
        <f>IF(B674=B673,"",IF($K674="","",INDEX(Zeiterfassung!$I$6:$I$3665,MATCH(INDEX(Zeiterfassung!$K$6:$K$3665,$K674),Zeiterfassung!$K$6:$K$3665,0))))</f>
        <v/>
      </c>
      <c r="J674" s="335">
        <f>IF(B674=B673,"",IF($K674="","",INDEX(Zeiterfassung!$J$6:$J$3665,MATCH(INDEX(Zeiterfassung!$K$6:$K$3665,$K674),Zeiterfassung!$K$6:$K$3665,0))))</f>
        <v/>
      </c>
      <c r="K674">
        <f>IFERROR(AGGREGATE(15,6,(ROW(Zeiterfassung!$D$6:$D$3665)-ROW(Zeiterfassung!$D$6)+1)/(Zeiterfassung!$D$6:$D$3665&lt;&gt;""),669),"")</f>
        <v/>
      </c>
    </row>
    <row r="675" ht="20" customHeight="1">
      <c r="A675" s="183">
        <f>IF($K675="","",WEEKNUM(INDEX(Zeiterfassung!$K$6:$K$3665,$K675),21))</f>
        <v/>
      </c>
      <c r="B675" s="184">
        <f>IF($K675="","",INDEX(Zeiterfassung!$K$6:$K$3665,$K675))</f>
        <v/>
      </c>
      <c r="C675" s="185">
        <f>IF($K675="","",INDEX(Zeiterfassung!$K$6:$K$3665,$K675))</f>
        <v/>
      </c>
      <c r="D675" s="186">
        <f>IF($K675="","",INDEX(Zeiterfassung!$D$6:$D$3665,$K675))</f>
        <v/>
      </c>
      <c r="E675" s="186">
        <f>IF($K675="","",INDEX(Zeiterfassung!$E$6:$E$3665,$K675))</f>
        <v/>
      </c>
      <c r="F675" s="187">
        <f>IF($K675="","",INDEX(Zeiterfassung!$F$6:$F$3665,$K675))</f>
        <v/>
      </c>
      <c r="G675" s="187">
        <f>IF($K675="","",INDEX(Zeiterfassung!$G$6:$G$3665,$K675))</f>
        <v/>
      </c>
      <c r="H675" s="188">
        <f>IF($K675="","",INDEX(Zeiterfassung!$H$6:$H$3665,$K675))</f>
        <v/>
      </c>
      <c r="I675" s="335">
        <f>IF(B675=B674,"",IF($K675="","",INDEX(Zeiterfassung!$I$6:$I$3665,MATCH(INDEX(Zeiterfassung!$K$6:$K$3665,$K675),Zeiterfassung!$K$6:$K$3665,0))))</f>
        <v/>
      </c>
      <c r="J675" s="335">
        <f>IF(B675=B674,"",IF($K675="","",INDEX(Zeiterfassung!$J$6:$J$3665,MATCH(INDEX(Zeiterfassung!$K$6:$K$3665,$K675),Zeiterfassung!$K$6:$K$3665,0))))</f>
        <v/>
      </c>
      <c r="K675">
        <f>IFERROR(AGGREGATE(15,6,(ROW(Zeiterfassung!$D$6:$D$3665)-ROW(Zeiterfassung!$D$6)+1)/(Zeiterfassung!$D$6:$D$3665&lt;&gt;""),670),"")</f>
        <v/>
      </c>
    </row>
    <row r="676" ht="20" customHeight="1">
      <c r="A676" s="183">
        <f>IF($K676="","",WEEKNUM(INDEX(Zeiterfassung!$K$6:$K$3665,$K676),21))</f>
        <v/>
      </c>
      <c r="B676" s="184">
        <f>IF($K676="","",INDEX(Zeiterfassung!$K$6:$K$3665,$K676))</f>
        <v/>
      </c>
      <c r="C676" s="185">
        <f>IF($K676="","",INDEX(Zeiterfassung!$K$6:$K$3665,$K676))</f>
        <v/>
      </c>
      <c r="D676" s="186">
        <f>IF($K676="","",INDEX(Zeiterfassung!$D$6:$D$3665,$K676))</f>
        <v/>
      </c>
      <c r="E676" s="186">
        <f>IF($K676="","",INDEX(Zeiterfassung!$E$6:$E$3665,$K676))</f>
        <v/>
      </c>
      <c r="F676" s="187">
        <f>IF($K676="","",INDEX(Zeiterfassung!$F$6:$F$3665,$K676))</f>
        <v/>
      </c>
      <c r="G676" s="187">
        <f>IF($K676="","",INDEX(Zeiterfassung!$G$6:$G$3665,$K676))</f>
        <v/>
      </c>
      <c r="H676" s="188">
        <f>IF($K676="","",INDEX(Zeiterfassung!$H$6:$H$3665,$K676))</f>
        <v/>
      </c>
      <c r="I676" s="335">
        <f>IF(B676=B675,"",IF($K676="","",INDEX(Zeiterfassung!$I$6:$I$3665,MATCH(INDEX(Zeiterfassung!$K$6:$K$3665,$K676),Zeiterfassung!$K$6:$K$3665,0))))</f>
        <v/>
      </c>
      <c r="J676" s="335">
        <f>IF(B676=B675,"",IF($K676="","",INDEX(Zeiterfassung!$J$6:$J$3665,MATCH(INDEX(Zeiterfassung!$K$6:$K$3665,$K676),Zeiterfassung!$K$6:$K$3665,0))))</f>
        <v/>
      </c>
      <c r="K676">
        <f>IFERROR(AGGREGATE(15,6,(ROW(Zeiterfassung!$D$6:$D$3665)-ROW(Zeiterfassung!$D$6)+1)/(Zeiterfassung!$D$6:$D$3665&lt;&gt;""),671),"")</f>
        <v/>
      </c>
    </row>
    <row r="677" ht="20" customHeight="1">
      <c r="A677" s="183">
        <f>IF($K677="","",WEEKNUM(INDEX(Zeiterfassung!$K$6:$K$3665,$K677),21))</f>
        <v/>
      </c>
      <c r="B677" s="184">
        <f>IF($K677="","",INDEX(Zeiterfassung!$K$6:$K$3665,$K677))</f>
        <v/>
      </c>
      <c r="C677" s="185">
        <f>IF($K677="","",INDEX(Zeiterfassung!$K$6:$K$3665,$K677))</f>
        <v/>
      </c>
      <c r="D677" s="186">
        <f>IF($K677="","",INDEX(Zeiterfassung!$D$6:$D$3665,$K677))</f>
        <v/>
      </c>
      <c r="E677" s="186">
        <f>IF($K677="","",INDEX(Zeiterfassung!$E$6:$E$3665,$K677))</f>
        <v/>
      </c>
      <c r="F677" s="187">
        <f>IF($K677="","",INDEX(Zeiterfassung!$F$6:$F$3665,$K677))</f>
        <v/>
      </c>
      <c r="G677" s="187">
        <f>IF($K677="","",INDEX(Zeiterfassung!$G$6:$G$3665,$K677))</f>
        <v/>
      </c>
      <c r="H677" s="188">
        <f>IF($K677="","",INDEX(Zeiterfassung!$H$6:$H$3665,$K677))</f>
        <v/>
      </c>
      <c r="I677" s="335">
        <f>IF(B677=B676,"",IF($K677="","",INDEX(Zeiterfassung!$I$6:$I$3665,MATCH(INDEX(Zeiterfassung!$K$6:$K$3665,$K677),Zeiterfassung!$K$6:$K$3665,0))))</f>
        <v/>
      </c>
      <c r="J677" s="335">
        <f>IF(B677=B676,"",IF($K677="","",INDEX(Zeiterfassung!$J$6:$J$3665,MATCH(INDEX(Zeiterfassung!$K$6:$K$3665,$K677),Zeiterfassung!$K$6:$K$3665,0))))</f>
        <v/>
      </c>
      <c r="K677">
        <f>IFERROR(AGGREGATE(15,6,(ROW(Zeiterfassung!$D$6:$D$3665)-ROW(Zeiterfassung!$D$6)+1)/(Zeiterfassung!$D$6:$D$3665&lt;&gt;""),672),"")</f>
        <v/>
      </c>
    </row>
    <row r="678" ht="20" customHeight="1">
      <c r="A678" s="183">
        <f>IF($K678="","",WEEKNUM(INDEX(Zeiterfassung!$K$6:$K$3665,$K678),21))</f>
        <v/>
      </c>
      <c r="B678" s="184">
        <f>IF($K678="","",INDEX(Zeiterfassung!$K$6:$K$3665,$K678))</f>
        <v/>
      </c>
      <c r="C678" s="185">
        <f>IF($K678="","",INDEX(Zeiterfassung!$K$6:$K$3665,$K678))</f>
        <v/>
      </c>
      <c r="D678" s="186">
        <f>IF($K678="","",INDEX(Zeiterfassung!$D$6:$D$3665,$K678))</f>
        <v/>
      </c>
      <c r="E678" s="186">
        <f>IF($K678="","",INDEX(Zeiterfassung!$E$6:$E$3665,$K678))</f>
        <v/>
      </c>
      <c r="F678" s="187">
        <f>IF($K678="","",INDEX(Zeiterfassung!$F$6:$F$3665,$K678))</f>
        <v/>
      </c>
      <c r="G678" s="187">
        <f>IF($K678="","",INDEX(Zeiterfassung!$G$6:$G$3665,$K678))</f>
        <v/>
      </c>
      <c r="H678" s="188">
        <f>IF($K678="","",INDEX(Zeiterfassung!$H$6:$H$3665,$K678))</f>
        <v/>
      </c>
      <c r="I678" s="335">
        <f>IF(B678=B677,"",IF($K678="","",INDEX(Zeiterfassung!$I$6:$I$3665,MATCH(INDEX(Zeiterfassung!$K$6:$K$3665,$K678),Zeiterfassung!$K$6:$K$3665,0))))</f>
        <v/>
      </c>
      <c r="J678" s="335">
        <f>IF(B678=B677,"",IF($K678="","",INDEX(Zeiterfassung!$J$6:$J$3665,MATCH(INDEX(Zeiterfassung!$K$6:$K$3665,$K678),Zeiterfassung!$K$6:$K$3665,0))))</f>
        <v/>
      </c>
      <c r="K678">
        <f>IFERROR(AGGREGATE(15,6,(ROW(Zeiterfassung!$D$6:$D$3665)-ROW(Zeiterfassung!$D$6)+1)/(Zeiterfassung!$D$6:$D$3665&lt;&gt;""),673),"")</f>
        <v/>
      </c>
    </row>
    <row r="679" ht="20" customHeight="1">
      <c r="A679" s="183">
        <f>IF($K679="","",WEEKNUM(INDEX(Zeiterfassung!$K$6:$K$3665,$K679),21))</f>
        <v/>
      </c>
      <c r="B679" s="184">
        <f>IF($K679="","",INDEX(Zeiterfassung!$K$6:$K$3665,$K679))</f>
        <v/>
      </c>
      <c r="C679" s="185">
        <f>IF($K679="","",INDEX(Zeiterfassung!$K$6:$K$3665,$K679))</f>
        <v/>
      </c>
      <c r="D679" s="186">
        <f>IF($K679="","",INDEX(Zeiterfassung!$D$6:$D$3665,$K679))</f>
        <v/>
      </c>
      <c r="E679" s="186">
        <f>IF($K679="","",INDEX(Zeiterfassung!$E$6:$E$3665,$K679))</f>
        <v/>
      </c>
      <c r="F679" s="187">
        <f>IF($K679="","",INDEX(Zeiterfassung!$F$6:$F$3665,$K679))</f>
        <v/>
      </c>
      <c r="G679" s="187">
        <f>IF($K679="","",INDEX(Zeiterfassung!$G$6:$G$3665,$K679))</f>
        <v/>
      </c>
      <c r="H679" s="188">
        <f>IF($K679="","",INDEX(Zeiterfassung!$H$6:$H$3665,$K679))</f>
        <v/>
      </c>
      <c r="I679" s="335">
        <f>IF(B679=B678,"",IF($K679="","",INDEX(Zeiterfassung!$I$6:$I$3665,MATCH(INDEX(Zeiterfassung!$K$6:$K$3665,$K679),Zeiterfassung!$K$6:$K$3665,0))))</f>
        <v/>
      </c>
      <c r="J679" s="335">
        <f>IF(B679=B678,"",IF($K679="","",INDEX(Zeiterfassung!$J$6:$J$3665,MATCH(INDEX(Zeiterfassung!$K$6:$K$3665,$K679),Zeiterfassung!$K$6:$K$3665,0))))</f>
        <v/>
      </c>
      <c r="K679">
        <f>IFERROR(AGGREGATE(15,6,(ROW(Zeiterfassung!$D$6:$D$3665)-ROW(Zeiterfassung!$D$6)+1)/(Zeiterfassung!$D$6:$D$3665&lt;&gt;""),674),"")</f>
        <v/>
      </c>
    </row>
    <row r="680" ht="20" customHeight="1">
      <c r="A680" s="183">
        <f>IF($K680="","",WEEKNUM(INDEX(Zeiterfassung!$K$6:$K$3665,$K680),21))</f>
        <v/>
      </c>
      <c r="B680" s="184">
        <f>IF($K680="","",INDEX(Zeiterfassung!$K$6:$K$3665,$K680))</f>
        <v/>
      </c>
      <c r="C680" s="185">
        <f>IF($K680="","",INDEX(Zeiterfassung!$K$6:$K$3665,$K680))</f>
        <v/>
      </c>
      <c r="D680" s="186">
        <f>IF($K680="","",INDEX(Zeiterfassung!$D$6:$D$3665,$K680))</f>
        <v/>
      </c>
      <c r="E680" s="186">
        <f>IF($K680="","",INDEX(Zeiterfassung!$E$6:$E$3665,$K680))</f>
        <v/>
      </c>
      <c r="F680" s="187">
        <f>IF($K680="","",INDEX(Zeiterfassung!$F$6:$F$3665,$K680))</f>
        <v/>
      </c>
      <c r="G680" s="187">
        <f>IF($K680="","",INDEX(Zeiterfassung!$G$6:$G$3665,$K680))</f>
        <v/>
      </c>
      <c r="H680" s="188">
        <f>IF($K680="","",INDEX(Zeiterfassung!$H$6:$H$3665,$K680))</f>
        <v/>
      </c>
      <c r="I680" s="335">
        <f>IF(B680=B679,"",IF($K680="","",INDEX(Zeiterfassung!$I$6:$I$3665,MATCH(INDEX(Zeiterfassung!$K$6:$K$3665,$K680),Zeiterfassung!$K$6:$K$3665,0))))</f>
        <v/>
      </c>
      <c r="J680" s="335">
        <f>IF(B680=B679,"",IF($K680="","",INDEX(Zeiterfassung!$J$6:$J$3665,MATCH(INDEX(Zeiterfassung!$K$6:$K$3665,$K680),Zeiterfassung!$K$6:$K$3665,0))))</f>
        <v/>
      </c>
      <c r="K680">
        <f>IFERROR(AGGREGATE(15,6,(ROW(Zeiterfassung!$D$6:$D$3665)-ROW(Zeiterfassung!$D$6)+1)/(Zeiterfassung!$D$6:$D$3665&lt;&gt;""),675),"")</f>
        <v/>
      </c>
    </row>
    <row r="681" ht="20" customHeight="1">
      <c r="A681" s="183">
        <f>IF($K681="","",WEEKNUM(INDEX(Zeiterfassung!$K$6:$K$3665,$K681),21))</f>
        <v/>
      </c>
      <c r="B681" s="184">
        <f>IF($K681="","",INDEX(Zeiterfassung!$K$6:$K$3665,$K681))</f>
        <v/>
      </c>
      <c r="C681" s="185">
        <f>IF($K681="","",INDEX(Zeiterfassung!$K$6:$K$3665,$K681))</f>
        <v/>
      </c>
      <c r="D681" s="186">
        <f>IF($K681="","",INDEX(Zeiterfassung!$D$6:$D$3665,$K681))</f>
        <v/>
      </c>
      <c r="E681" s="186">
        <f>IF($K681="","",INDEX(Zeiterfassung!$E$6:$E$3665,$K681))</f>
        <v/>
      </c>
      <c r="F681" s="187">
        <f>IF($K681="","",INDEX(Zeiterfassung!$F$6:$F$3665,$K681))</f>
        <v/>
      </c>
      <c r="G681" s="187">
        <f>IF($K681="","",INDEX(Zeiterfassung!$G$6:$G$3665,$K681))</f>
        <v/>
      </c>
      <c r="H681" s="188">
        <f>IF($K681="","",INDEX(Zeiterfassung!$H$6:$H$3665,$K681))</f>
        <v/>
      </c>
      <c r="I681" s="335">
        <f>IF(B681=B680,"",IF($K681="","",INDEX(Zeiterfassung!$I$6:$I$3665,MATCH(INDEX(Zeiterfassung!$K$6:$K$3665,$K681),Zeiterfassung!$K$6:$K$3665,0))))</f>
        <v/>
      </c>
      <c r="J681" s="335">
        <f>IF(B681=B680,"",IF($K681="","",INDEX(Zeiterfassung!$J$6:$J$3665,MATCH(INDEX(Zeiterfassung!$K$6:$K$3665,$K681),Zeiterfassung!$K$6:$K$3665,0))))</f>
        <v/>
      </c>
      <c r="K681">
        <f>IFERROR(AGGREGATE(15,6,(ROW(Zeiterfassung!$D$6:$D$3665)-ROW(Zeiterfassung!$D$6)+1)/(Zeiterfassung!$D$6:$D$3665&lt;&gt;""),676),"")</f>
        <v/>
      </c>
    </row>
    <row r="682" ht="20" customHeight="1">
      <c r="A682" s="183">
        <f>IF($K682="","",WEEKNUM(INDEX(Zeiterfassung!$K$6:$K$3665,$K682),21))</f>
        <v/>
      </c>
      <c r="B682" s="184">
        <f>IF($K682="","",INDEX(Zeiterfassung!$K$6:$K$3665,$K682))</f>
        <v/>
      </c>
      <c r="C682" s="185">
        <f>IF($K682="","",INDEX(Zeiterfassung!$K$6:$K$3665,$K682))</f>
        <v/>
      </c>
      <c r="D682" s="186">
        <f>IF($K682="","",INDEX(Zeiterfassung!$D$6:$D$3665,$K682))</f>
        <v/>
      </c>
      <c r="E682" s="186">
        <f>IF($K682="","",INDEX(Zeiterfassung!$E$6:$E$3665,$K682))</f>
        <v/>
      </c>
      <c r="F682" s="187">
        <f>IF($K682="","",INDEX(Zeiterfassung!$F$6:$F$3665,$K682))</f>
        <v/>
      </c>
      <c r="G682" s="187">
        <f>IF($K682="","",INDEX(Zeiterfassung!$G$6:$G$3665,$K682))</f>
        <v/>
      </c>
      <c r="H682" s="188">
        <f>IF($K682="","",INDEX(Zeiterfassung!$H$6:$H$3665,$K682))</f>
        <v/>
      </c>
      <c r="I682" s="335">
        <f>IF(B682=B681,"",IF($K682="","",INDEX(Zeiterfassung!$I$6:$I$3665,MATCH(INDEX(Zeiterfassung!$K$6:$K$3665,$K682),Zeiterfassung!$K$6:$K$3665,0))))</f>
        <v/>
      </c>
      <c r="J682" s="335">
        <f>IF(B682=B681,"",IF($K682="","",INDEX(Zeiterfassung!$J$6:$J$3665,MATCH(INDEX(Zeiterfassung!$K$6:$K$3665,$K682),Zeiterfassung!$K$6:$K$3665,0))))</f>
        <v/>
      </c>
      <c r="K682">
        <f>IFERROR(AGGREGATE(15,6,(ROW(Zeiterfassung!$D$6:$D$3665)-ROW(Zeiterfassung!$D$6)+1)/(Zeiterfassung!$D$6:$D$3665&lt;&gt;""),677),"")</f>
        <v/>
      </c>
    </row>
    <row r="683" ht="20" customHeight="1">
      <c r="A683" s="183">
        <f>IF($K683="","",WEEKNUM(INDEX(Zeiterfassung!$K$6:$K$3665,$K683),21))</f>
        <v/>
      </c>
      <c r="B683" s="184">
        <f>IF($K683="","",INDEX(Zeiterfassung!$K$6:$K$3665,$K683))</f>
        <v/>
      </c>
      <c r="C683" s="185">
        <f>IF($K683="","",INDEX(Zeiterfassung!$K$6:$K$3665,$K683))</f>
        <v/>
      </c>
      <c r="D683" s="186">
        <f>IF($K683="","",INDEX(Zeiterfassung!$D$6:$D$3665,$K683))</f>
        <v/>
      </c>
      <c r="E683" s="186">
        <f>IF($K683="","",INDEX(Zeiterfassung!$E$6:$E$3665,$K683))</f>
        <v/>
      </c>
      <c r="F683" s="187">
        <f>IF($K683="","",INDEX(Zeiterfassung!$F$6:$F$3665,$K683))</f>
        <v/>
      </c>
      <c r="G683" s="187">
        <f>IF($K683="","",INDEX(Zeiterfassung!$G$6:$G$3665,$K683))</f>
        <v/>
      </c>
      <c r="H683" s="188">
        <f>IF($K683="","",INDEX(Zeiterfassung!$H$6:$H$3665,$K683))</f>
        <v/>
      </c>
      <c r="I683" s="335">
        <f>IF(B683=B682,"",IF($K683="","",INDEX(Zeiterfassung!$I$6:$I$3665,MATCH(INDEX(Zeiterfassung!$K$6:$K$3665,$K683),Zeiterfassung!$K$6:$K$3665,0))))</f>
        <v/>
      </c>
      <c r="J683" s="335">
        <f>IF(B683=B682,"",IF($K683="","",INDEX(Zeiterfassung!$J$6:$J$3665,MATCH(INDEX(Zeiterfassung!$K$6:$K$3665,$K683),Zeiterfassung!$K$6:$K$3665,0))))</f>
        <v/>
      </c>
      <c r="K683">
        <f>IFERROR(AGGREGATE(15,6,(ROW(Zeiterfassung!$D$6:$D$3665)-ROW(Zeiterfassung!$D$6)+1)/(Zeiterfassung!$D$6:$D$3665&lt;&gt;""),678),"")</f>
        <v/>
      </c>
    </row>
    <row r="684" ht="20" customHeight="1">
      <c r="A684" s="183">
        <f>IF($K684="","",WEEKNUM(INDEX(Zeiterfassung!$K$6:$K$3665,$K684),21))</f>
        <v/>
      </c>
      <c r="B684" s="184">
        <f>IF($K684="","",INDEX(Zeiterfassung!$K$6:$K$3665,$K684))</f>
        <v/>
      </c>
      <c r="C684" s="185">
        <f>IF($K684="","",INDEX(Zeiterfassung!$K$6:$K$3665,$K684))</f>
        <v/>
      </c>
      <c r="D684" s="186">
        <f>IF($K684="","",INDEX(Zeiterfassung!$D$6:$D$3665,$K684))</f>
        <v/>
      </c>
      <c r="E684" s="186">
        <f>IF($K684="","",INDEX(Zeiterfassung!$E$6:$E$3665,$K684))</f>
        <v/>
      </c>
      <c r="F684" s="187">
        <f>IF($K684="","",INDEX(Zeiterfassung!$F$6:$F$3665,$K684))</f>
        <v/>
      </c>
      <c r="G684" s="187">
        <f>IF($K684="","",INDEX(Zeiterfassung!$G$6:$G$3665,$K684))</f>
        <v/>
      </c>
      <c r="H684" s="188">
        <f>IF($K684="","",INDEX(Zeiterfassung!$H$6:$H$3665,$K684))</f>
        <v/>
      </c>
      <c r="I684" s="335">
        <f>IF(B684=B683,"",IF($K684="","",INDEX(Zeiterfassung!$I$6:$I$3665,MATCH(INDEX(Zeiterfassung!$K$6:$K$3665,$K684),Zeiterfassung!$K$6:$K$3665,0))))</f>
        <v/>
      </c>
      <c r="J684" s="335">
        <f>IF(B684=B683,"",IF($K684="","",INDEX(Zeiterfassung!$J$6:$J$3665,MATCH(INDEX(Zeiterfassung!$K$6:$K$3665,$K684),Zeiterfassung!$K$6:$K$3665,0))))</f>
        <v/>
      </c>
      <c r="K684">
        <f>IFERROR(AGGREGATE(15,6,(ROW(Zeiterfassung!$D$6:$D$3665)-ROW(Zeiterfassung!$D$6)+1)/(Zeiterfassung!$D$6:$D$3665&lt;&gt;""),679),"")</f>
        <v/>
      </c>
    </row>
    <row r="685" ht="20" customHeight="1">
      <c r="A685" s="183">
        <f>IF($K685="","",WEEKNUM(INDEX(Zeiterfassung!$K$6:$K$3665,$K685),21))</f>
        <v/>
      </c>
      <c r="B685" s="184">
        <f>IF($K685="","",INDEX(Zeiterfassung!$K$6:$K$3665,$K685))</f>
        <v/>
      </c>
      <c r="C685" s="185">
        <f>IF($K685="","",INDEX(Zeiterfassung!$K$6:$K$3665,$K685))</f>
        <v/>
      </c>
      <c r="D685" s="186">
        <f>IF($K685="","",INDEX(Zeiterfassung!$D$6:$D$3665,$K685))</f>
        <v/>
      </c>
      <c r="E685" s="186">
        <f>IF($K685="","",INDEX(Zeiterfassung!$E$6:$E$3665,$K685))</f>
        <v/>
      </c>
      <c r="F685" s="187">
        <f>IF($K685="","",INDEX(Zeiterfassung!$F$6:$F$3665,$K685))</f>
        <v/>
      </c>
      <c r="G685" s="187">
        <f>IF($K685="","",INDEX(Zeiterfassung!$G$6:$G$3665,$K685))</f>
        <v/>
      </c>
      <c r="H685" s="188">
        <f>IF($K685="","",INDEX(Zeiterfassung!$H$6:$H$3665,$K685))</f>
        <v/>
      </c>
      <c r="I685" s="335">
        <f>IF(B685=B684,"",IF($K685="","",INDEX(Zeiterfassung!$I$6:$I$3665,MATCH(INDEX(Zeiterfassung!$K$6:$K$3665,$K685),Zeiterfassung!$K$6:$K$3665,0))))</f>
        <v/>
      </c>
      <c r="J685" s="335">
        <f>IF(B685=B684,"",IF($K685="","",INDEX(Zeiterfassung!$J$6:$J$3665,MATCH(INDEX(Zeiterfassung!$K$6:$K$3665,$K685),Zeiterfassung!$K$6:$K$3665,0))))</f>
        <v/>
      </c>
      <c r="K685">
        <f>IFERROR(AGGREGATE(15,6,(ROW(Zeiterfassung!$D$6:$D$3665)-ROW(Zeiterfassung!$D$6)+1)/(Zeiterfassung!$D$6:$D$3665&lt;&gt;""),680),"")</f>
        <v/>
      </c>
    </row>
    <row r="686" ht="20" customHeight="1">
      <c r="A686" s="183">
        <f>IF($K686="","",WEEKNUM(INDEX(Zeiterfassung!$K$6:$K$3665,$K686),21))</f>
        <v/>
      </c>
      <c r="B686" s="184">
        <f>IF($K686="","",INDEX(Zeiterfassung!$K$6:$K$3665,$K686))</f>
        <v/>
      </c>
      <c r="C686" s="185">
        <f>IF($K686="","",INDEX(Zeiterfassung!$K$6:$K$3665,$K686))</f>
        <v/>
      </c>
      <c r="D686" s="186">
        <f>IF($K686="","",INDEX(Zeiterfassung!$D$6:$D$3665,$K686))</f>
        <v/>
      </c>
      <c r="E686" s="186">
        <f>IF($K686="","",INDEX(Zeiterfassung!$E$6:$E$3665,$K686))</f>
        <v/>
      </c>
      <c r="F686" s="187">
        <f>IF($K686="","",INDEX(Zeiterfassung!$F$6:$F$3665,$K686))</f>
        <v/>
      </c>
      <c r="G686" s="187">
        <f>IF($K686="","",INDEX(Zeiterfassung!$G$6:$G$3665,$K686))</f>
        <v/>
      </c>
      <c r="H686" s="188">
        <f>IF($K686="","",INDEX(Zeiterfassung!$H$6:$H$3665,$K686))</f>
        <v/>
      </c>
      <c r="I686" s="335">
        <f>IF(B686=B685,"",IF($K686="","",INDEX(Zeiterfassung!$I$6:$I$3665,MATCH(INDEX(Zeiterfassung!$K$6:$K$3665,$K686),Zeiterfassung!$K$6:$K$3665,0))))</f>
        <v/>
      </c>
      <c r="J686" s="335">
        <f>IF(B686=B685,"",IF($K686="","",INDEX(Zeiterfassung!$J$6:$J$3665,MATCH(INDEX(Zeiterfassung!$K$6:$K$3665,$K686),Zeiterfassung!$K$6:$K$3665,0))))</f>
        <v/>
      </c>
      <c r="K686">
        <f>IFERROR(AGGREGATE(15,6,(ROW(Zeiterfassung!$D$6:$D$3665)-ROW(Zeiterfassung!$D$6)+1)/(Zeiterfassung!$D$6:$D$3665&lt;&gt;""),681),"")</f>
        <v/>
      </c>
    </row>
    <row r="687" ht="20" customHeight="1">
      <c r="A687" s="183">
        <f>IF($K687="","",WEEKNUM(INDEX(Zeiterfassung!$K$6:$K$3665,$K687),21))</f>
        <v/>
      </c>
      <c r="B687" s="184">
        <f>IF($K687="","",INDEX(Zeiterfassung!$K$6:$K$3665,$K687))</f>
        <v/>
      </c>
      <c r="C687" s="185">
        <f>IF($K687="","",INDEX(Zeiterfassung!$K$6:$K$3665,$K687))</f>
        <v/>
      </c>
      <c r="D687" s="186">
        <f>IF($K687="","",INDEX(Zeiterfassung!$D$6:$D$3665,$K687))</f>
        <v/>
      </c>
      <c r="E687" s="186">
        <f>IF($K687="","",INDEX(Zeiterfassung!$E$6:$E$3665,$K687))</f>
        <v/>
      </c>
      <c r="F687" s="187">
        <f>IF($K687="","",INDEX(Zeiterfassung!$F$6:$F$3665,$K687))</f>
        <v/>
      </c>
      <c r="G687" s="187">
        <f>IF($K687="","",INDEX(Zeiterfassung!$G$6:$G$3665,$K687))</f>
        <v/>
      </c>
      <c r="H687" s="188">
        <f>IF($K687="","",INDEX(Zeiterfassung!$H$6:$H$3665,$K687))</f>
        <v/>
      </c>
      <c r="I687" s="335">
        <f>IF(B687=B686,"",IF($K687="","",INDEX(Zeiterfassung!$I$6:$I$3665,MATCH(INDEX(Zeiterfassung!$K$6:$K$3665,$K687),Zeiterfassung!$K$6:$K$3665,0))))</f>
        <v/>
      </c>
      <c r="J687" s="335">
        <f>IF(B687=B686,"",IF($K687="","",INDEX(Zeiterfassung!$J$6:$J$3665,MATCH(INDEX(Zeiterfassung!$K$6:$K$3665,$K687),Zeiterfassung!$K$6:$K$3665,0))))</f>
        <v/>
      </c>
      <c r="K687">
        <f>IFERROR(AGGREGATE(15,6,(ROW(Zeiterfassung!$D$6:$D$3665)-ROW(Zeiterfassung!$D$6)+1)/(Zeiterfassung!$D$6:$D$3665&lt;&gt;""),682),"")</f>
        <v/>
      </c>
    </row>
    <row r="688" ht="20" customHeight="1">
      <c r="A688" s="183">
        <f>IF($K688="","",WEEKNUM(INDEX(Zeiterfassung!$K$6:$K$3665,$K688),21))</f>
        <v/>
      </c>
      <c r="B688" s="184">
        <f>IF($K688="","",INDEX(Zeiterfassung!$K$6:$K$3665,$K688))</f>
        <v/>
      </c>
      <c r="C688" s="185">
        <f>IF($K688="","",INDEX(Zeiterfassung!$K$6:$K$3665,$K688))</f>
        <v/>
      </c>
      <c r="D688" s="186">
        <f>IF($K688="","",INDEX(Zeiterfassung!$D$6:$D$3665,$K688))</f>
        <v/>
      </c>
      <c r="E688" s="186">
        <f>IF($K688="","",INDEX(Zeiterfassung!$E$6:$E$3665,$K688))</f>
        <v/>
      </c>
      <c r="F688" s="187">
        <f>IF($K688="","",INDEX(Zeiterfassung!$F$6:$F$3665,$K688))</f>
        <v/>
      </c>
      <c r="G688" s="187">
        <f>IF($K688="","",INDEX(Zeiterfassung!$G$6:$G$3665,$K688))</f>
        <v/>
      </c>
      <c r="H688" s="188">
        <f>IF($K688="","",INDEX(Zeiterfassung!$H$6:$H$3665,$K688))</f>
        <v/>
      </c>
      <c r="I688" s="335">
        <f>IF(B688=B687,"",IF($K688="","",INDEX(Zeiterfassung!$I$6:$I$3665,MATCH(INDEX(Zeiterfassung!$K$6:$K$3665,$K688),Zeiterfassung!$K$6:$K$3665,0))))</f>
        <v/>
      </c>
      <c r="J688" s="335">
        <f>IF(B688=B687,"",IF($K688="","",INDEX(Zeiterfassung!$J$6:$J$3665,MATCH(INDEX(Zeiterfassung!$K$6:$K$3665,$K688),Zeiterfassung!$K$6:$K$3665,0))))</f>
        <v/>
      </c>
      <c r="K688">
        <f>IFERROR(AGGREGATE(15,6,(ROW(Zeiterfassung!$D$6:$D$3665)-ROW(Zeiterfassung!$D$6)+1)/(Zeiterfassung!$D$6:$D$3665&lt;&gt;""),683),"")</f>
        <v/>
      </c>
    </row>
    <row r="689" ht="20" customHeight="1">
      <c r="A689" s="183">
        <f>IF($K689="","",WEEKNUM(INDEX(Zeiterfassung!$K$6:$K$3665,$K689),21))</f>
        <v/>
      </c>
      <c r="B689" s="184">
        <f>IF($K689="","",INDEX(Zeiterfassung!$K$6:$K$3665,$K689))</f>
        <v/>
      </c>
      <c r="C689" s="185">
        <f>IF($K689="","",INDEX(Zeiterfassung!$K$6:$K$3665,$K689))</f>
        <v/>
      </c>
      <c r="D689" s="186">
        <f>IF($K689="","",INDEX(Zeiterfassung!$D$6:$D$3665,$K689))</f>
        <v/>
      </c>
      <c r="E689" s="186">
        <f>IF($K689="","",INDEX(Zeiterfassung!$E$6:$E$3665,$K689))</f>
        <v/>
      </c>
      <c r="F689" s="187">
        <f>IF($K689="","",INDEX(Zeiterfassung!$F$6:$F$3665,$K689))</f>
        <v/>
      </c>
      <c r="G689" s="187">
        <f>IF($K689="","",INDEX(Zeiterfassung!$G$6:$G$3665,$K689))</f>
        <v/>
      </c>
      <c r="H689" s="188">
        <f>IF($K689="","",INDEX(Zeiterfassung!$H$6:$H$3665,$K689))</f>
        <v/>
      </c>
      <c r="I689" s="335">
        <f>IF(B689=B688,"",IF($K689="","",INDEX(Zeiterfassung!$I$6:$I$3665,MATCH(INDEX(Zeiterfassung!$K$6:$K$3665,$K689),Zeiterfassung!$K$6:$K$3665,0))))</f>
        <v/>
      </c>
      <c r="J689" s="335">
        <f>IF(B689=B688,"",IF($K689="","",INDEX(Zeiterfassung!$J$6:$J$3665,MATCH(INDEX(Zeiterfassung!$K$6:$K$3665,$K689),Zeiterfassung!$K$6:$K$3665,0))))</f>
        <v/>
      </c>
      <c r="K689">
        <f>IFERROR(AGGREGATE(15,6,(ROW(Zeiterfassung!$D$6:$D$3665)-ROW(Zeiterfassung!$D$6)+1)/(Zeiterfassung!$D$6:$D$3665&lt;&gt;""),684),"")</f>
        <v/>
      </c>
    </row>
    <row r="690" ht="20" customHeight="1">
      <c r="A690" s="183">
        <f>IF($K690="","",WEEKNUM(INDEX(Zeiterfassung!$K$6:$K$3665,$K690),21))</f>
        <v/>
      </c>
      <c r="B690" s="184">
        <f>IF($K690="","",INDEX(Zeiterfassung!$K$6:$K$3665,$K690))</f>
        <v/>
      </c>
      <c r="C690" s="185">
        <f>IF($K690="","",INDEX(Zeiterfassung!$K$6:$K$3665,$K690))</f>
        <v/>
      </c>
      <c r="D690" s="186">
        <f>IF($K690="","",INDEX(Zeiterfassung!$D$6:$D$3665,$K690))</f>
        <v/>
      </c>
      <c r="E690" s="186">
        <f>IF($K690="","",INDEX(Zeiterfassung!$E$6:$E$3665,$K690))</f>
        <v/>
      </c>
      <c r="F690" s="187">
        <f>IF($K690="","",INDEX(Zeiterfassung!$F$6:$F$3665,$K690))</f>
        <v/>
      </c>
      <c r="G690" s="187">
        <f>IF($K690="","",INDEX(Zeiterfassung!$G$6:$G$3665,$K690))</f>
        <v/>
      </c>
      <c r="H690" s="188">
        <f>IF($K690="","",INDEX(Zeiterfassung!$H$6:$H$3665,$K690))</f>
        <v/>
      </c>
      <c r="I690" s="335">
        <f>IF(B690=B689,"",IF($K690="","",INDEX(Zeiterfassung!$I$6:$I$3665,MATCH(INDEX(Zeiterfassung!$K$6:$K$3665,$K690),Zeiterfassung!$K$6:$K$3665,0))))</f>
        <v/>
      </c>
      <c r="J690" s="335">
        <f>IF(B690=B689,"",IF($K690="","",INDEX(Zeiterfassung!$J$6:$J$3665,MATCH(INDEX(Zeiterfassung!$K$6:$K$3665,$K690),Zeiterfassung!$K$6:$K$3665,0))))</f>
        <v/>
      </c>
      <c r="K690">
        <f>IFERROR(AGGREGATE(15,6,(ROW(Zeiterfassung!$D$6:$D$3665)-ROW(Zeiterfassung!$D$6)+1)/(Zeiterfassung!$D$6:$D$3665&lt;&gt;""),685),"")</f>
        <v/>
      </c>
    </row>
    <row r="691" ht="20" customHeight="1">
      <c r="A691" s="183">
        <f>IF($K691="","",WEEKNUM(INDEX(Zeiterfassung!$K$6:$K$3665,$K691),21))</f>
        <v/>
      </c>
      <c r="B691" s="184">
        <f>IF($K691="","",INDEX(Zeiterfassung!$K$6:$K$3665,$K691))</f>
        <v/>
      </c>
      <c r="C691" s="185">
        <f>IF($K691="","",INDEX(Zeiterfassung!$K$6:$K$3665,$K691))</f>
        <v/>
      </c>
      <c r="D691" s="186">
        <f>IF($K691="","",INDEX(Zeiterfassung!$D$6:$D$3665,$K691))</f>
        <v/>
      </c>
      <c r="E691" s="186">
        <f>IF($K691="","",INDEX(Zeiterfassung!$E$6:$E$3665,$K691))</f>
        <v/>
      </c>
      <c r="F691" s="187">
        <f>IF($K691="","",INDEX(Zeiterfassung!$F$6:$F$3665,$K691))</f>
        <v/>
      </c>
      <c r="G691" s="187">
        <f>IF($K691="","",INDEX(Zeiterfassung!$G$6:$G$3665,$K691))</f>
        <v/>
      </c>
      <c r="H691" s="188">
        <f>IF($K691="","",INDEX(Zeiterfassung!$H$6:$H$3665,$K691))</f>
        <v/>
      </c>
      <c r="I691" s="335">
        <f>IF(B691=B690,"",IF($K691="","",INDEX(Zeiterfassung!$I$6:$I$3665,MATCH(INDEX(Zeiterfassung!$K$6:$K$3665,$K691),Zeiterfassung!$K$6:$K$3665,0))))</f>
        <v/>
      </c>
      <c r="J691" s="335">
        <f>IF(B691=B690,"",IF($K691="","",INDEX(Zeiterfassung!$J$6:$J$3665,MATCH(INDEX(Zeiterfassung!$K$6:$K$3665,$K691),Zeiterfassung!$K$6:$K$3665,0))))</f>
        <v/>
      </c>
      <c r="K691">
        <f>IFERROR(AGGREGATE(15,6,(ROW(Zeiterfassung!$D$6:$D$3665)-ROW(Zeiterfassung!$D$6)+1)/(Zeiterfassung!$D$6:$D$3665&lt;&gt;""),686),"")</f>
        <v/>
      </c>
    </row>
    <row r="692" ht="20" customHeight="1">
      <c r="A692" s="183">
        <f>IF($K692="","",WEEKNUM(INDEX(Zeiterfassung!$K$6:$K$3665,$K692),21))</f>
        <v/>
      </c>
      <c r="B692" s="184">
        <f>IF($K692="","",INDEX(Zeiterfassung!$K$6:$K$3665,$K692))</f>
        <v/>
      </c>
      <c r="C692" s="185">
        <f>IF($K692="","",INDEX(Zeiterfassung!$K$6:$K$3665,$K692))</f>
        <v/>
      </c>
      <c r="D692" s="186">
        <f>IF($K692="","",INDEX(Zeiterfassung!$D$6:$D$3665,$K692))</f>
        <v/>
      </c>
      <c r="E692" s="186">
        <f>IF($K692="","",INDEX(Zeiterfassung!$E$6:$E$3665,$K692))</f>
        <v/>
      </c>
      <c r="F692" s="187">
        <f>IF($K692="","",INDEX(Zeiterfassung!$F$6:$F$3665,$K692))</f>
        <v/>
      </c>
      <c r="G692" s="187">
        <f>IF($K692="","",INDEX(Zeiterfassung!$G$6:$G$3665,$K692))</f>
        <v/>
      </c>
      <c r="H692" s="188">
        <f>IF($K692="","",INDEX(Zeiterfassung!$H$6:$H$3665,$K692))</f>
        <v/>
      </c>
      <c r="I692" s="335">
        <f>IF(B692=B691,"",IF($K692="","",INDEX(Zeiterfassung!$I$6:$I$3665,MATCH(INDEX(Zeiterfassung!$K$6:$K$3665,$K692),Zeiterfassung!$K$6:$K$3665,0))))</f>
        <v/>
      </c>
      <c r="J692" s="335">
        <f>IF(B692=B691,"",IF($K692="","",INDEX(Zeiterfassung!$J$6:$J$3665,MATCH(INDEX(Zeiterfassung!$K$6:$K$3665,$K692),Zeiterfassung!$K$6:$K$3665,0))))</f>
        <v/>
      </c>
      <c r="K692">
        <f>IFERROR(AGGREGATE(15,6,(ROW(Zeiterfassung!$D$6:$D$3665)-ROW(Zeiterfassung!$D$6)+1)/(Zeiterfassung!$D$6:$D$3665&lt;&gt;""),687),"")</f>
        <v/>
      </c>
    </row>
    <row r="693" ht="20" customHeight="1">
      <c r="A693" s="183">
        <f>IF($K693="","",WEEKNUM(INDEX(Zeiterfassung!$K$6:$K$3665,$K693),21))</f>
        <v/>
      </c>
      <c r="B693" s="184">
        <f>IF($K693="","",INDEX(Zeiterfassung!$K$6:$K$3665,$K693))</f>
        <v/>
      </c>
      <c r="C693" s="185">
        <f>IF($K693="","",INDEX(Zeiterfassung!$K$6:$K$3665,$K693))</f>
        <v/>
      </c>
      <c r="D693" s="186">
        <f>IF($K693="","",INDEX(Zeiterfassung!$D$6:$D$3665,$K693))</f>
        <v/>
      </c>
      <c r="E693" s="186">
        <f>IF($K693="","",INDEX(Zeiterfassung!$E$6:$E$3665,$K693))</f>
        <v/>
      </c>
      <c r="F693" s="187">
        <f>IF($K693="","",INDEX(Zeiterfassung!$F$6:$F$3665,$K693))</f>
        <v/>
      </c>
      <c r="G693" s="187">
        <f>IF($K693="","",INDEX(Zeiterfassung!$G$6:$G$3665,$K693))</f>
        <v/>
      </c>
      <c r="H693" s="188">
        <f>IF($K693="","",INDEX(Zeiterfassung!$H$6:$H$3665,$K693))</f>
        <v/>
      </c>
      <c r="I693" s="335">
        <f>IF(B693=B692,"",IF($K693="","",INDEX(Zeiterfassung!$I$6:$I$3665,MATCH(INDEX(Zeiterfassung!$K$6:$K$3665,$K693),Zeiterfassung!$K$6:$K$3665,0))))</f>
        <v/>
      </c>
      <c r="J693" s="335">
        <f>IF(B693=B692,"",IF($K693="","",INDEX(Zeiterfassung!$J$6:$J$3665,MATCH(INDEX(Zeiterfassung!$K$6:$K$3665,$K693),Zeiterfassung!$K$6:$K$3665,0))))</f>
        <v/>
      </c>
      <c r="K693">
        <f>IFERROR(AGGREGATE(15,6,(ROW(Zeiterfassung!$D$6:$D$3665)-ROW(Zeiterfassung!$D$6)+1)/(Zeiterfassung!$D$6:$D$3665&lt;&gt;""),688),"")</f>
        <v/>
      </c>
    </row>
    <row r="694" ht="20" customHeight="1">
      <c r="A694" s="183">
        <f>IF($K694="","",WEEKNUM(INDEX(Zeiterfassung!$K$6:$K$3665,$K694),21))</f>
        <v/>
      </c>
      <c r="B694" s="184">
        <f>IF($K694="","",INDEX(Zeiterfassung!$K$6:$K$3665,$K694))</f>
        <v/>
      </c>
      <c r="C694" s="185">
        <f>IF($K694="","",INDEX(Zeiterfassung!$K$6:$K$3665,$K694))</f>
        <v/>
      </c>
      <c r="D694" s="186">
        <f>IF($K694="","",INDEX(Zeiterfassung!$D$6:$D$3665,$K694))</f>
        <v/>
      </c>
      <c r="E694" s="186">
        <f>IF($K694="","",INDEX(Zeiterfassung!$E$6:$E$3665,$K694))</f>
        <v/>
      </c>
      <c r="F694" s="187">
        <f>IF($K694="","",INDEX(Zeiterfassung!$F$6:$F$3665,$K694))</f>
        <v/>
      </c>
      <c r="G694" s="187">
        <f>IF($K694="","",INDEX(Zeiterfassung!$G$6:$G$3665,$K694))</f>
        <v/>
      </c>
      <c r="H694" s="188">
        <f>IF($K694="","",INDEX(Zeiterfassung!$H$6:$H$3665,$K694))</f>
        <v/>
      </c>
      <c r="I694" s="335">
        <f>IF(B694=B693,"",IF($K694="","",INDEX(Zeiterfassung!$I$6:$I$3665,MATCH(INDEX(Zeiterfassung!$K$6:$K$3665,$K694),Zeiterfassung!$K$6:$K$3665,0))))</f>
        <v/>
      </c>
      <c r="J694" s="335">
        <f>IF(B694=B693,"",IF($K694="","",INDEX(Zeiterfassung!$J$6:$J$3665,MATCH(INDEX(Zeiterfassung!$K$6:$K$3665,$K694),Zeiterfassung!$K$6:$K$3665,0))))</f>
        <v/>
      </c>
      <c r="K694">
        <f>IFERROR(AGGREGATE(15,6,(ROW(Zeiterfassung!$D$6:$D$3665)-ROW(Zeiterfassung!$D$6)+1)/(Zeiterfassung!$D$6:$D$3665&lt;&gt;""),689),"")</f>
        <v/>
      </c>
    </row>
    <row r="695" ht="20" customHeight="1">
      <c r="A695" s="183">
        <f>IF($K695="","",WEEKNUM(INDEX(Zeiterfassung!$K$6:$K$3665,$K695),21))</f>
        <v/>
      </c>
      <c r="B695" s="184">
        <f>IF($K695="","",INDEX(Zeiterfassung!$K$6:$K$3665,$K695))</f>
        <v/>
      </c>
      <c r="C695" s="185">
        <f>IF($K695="","",INDEX(Zeiterfassung!$K$6:$K$3665,$K695))</f>
        <v/>
      </c>
      <c r="D695" s="186">
        <f>IF($K695="","",INDEX(Zeiterfassung!$D$6:$D$3665,$K695))</f>
        <v/>
      </c>
      <c r="E695" s="186">
        <f>IF($K695="","",INDEX(Zeiterfassung!$E$6:$E$3665,$K695))</f>
        <v/>
      </c>
      <c r="F695" s="187">
        <f>IF($K695="","",INDEX(Zeiterfassung!$F$6:$F$3665,$K695))</f>
        <v/>
      </c>
      <c r="G695" s="187">
        <f>IF($K695="","",INDEX(Zeiterfassung!$G$6:$G$3665,$K695))</f>
        <v/>
      </c>
      <c r="H695" s="188">
        <f>IF($K695="","",INDEX(Zeiterfassung!$H$6:$H$3665,$K695))</f>
        <v/>
      </c>
      <c r="I695" s="335">
        <f>IF(B695=B694,"",IF($K695="","",INDEX(Zeiterfassung!$I$6:$I$3665,MATCH(INDEX(Zeiterfassung!$K$6:$K$3665,$K695),Zeiterfassung!$K$6:$K$3665,0))))</f>
        <v/>
      </c>
      <c r="J695" s="335">
        <f>IF(B695=B694,"",IF($K695="","",INDEX(Zeiterfassung!$J$6:$J$3665,MATCH(INDEX(Zeiterfassung!$K$6:$K$3665,$K695),Zeiterfassung!$K$6:$K$3665,0))))</f>
        <v/>
      </c>
      <c r="K695">
        <f>IFERROR(AGGREGATE(15,6,(ROW(Zeiterfassung!$D$6:$D$3665)-ROW(Zeiterfassung!$D$6)+1)/(Zeiterfassung!$D$6:$D$3665&lt;&gt;""),690),"")</f>
        <v/>
      </c>
    </row>
    <row r="696" ht="20" customHeight="1">
      <c r="A696" s="183">
        <f>IF($K696="","",WEEKNUM(INDEX(Zeiterfassung!$K$6:$K$3665,$K696),21))</f>
        <v/>
      </c>
      <c r="B696" s="184">
        <f>IF($K696="","",INDEX(Zeiterfassung!$K$6:$K$3665,$K696))</f>
        <v/>
      </c>
      <c r="C696" s="185">
        <f>IF($K696="","",INDEX(Zeiterfassung!$K$6:$K$3665,$K696))</f>
        <v/>
      </c>
      <c r="D696" s="186">
        <f>IF($K696="","",INDEX(Zeiterfassung!$D$6:$D$3665,$K696))</f>
        <v/>
      </c>
      <c r="E696" s="186">
        <f>IF($K696="","",INDEX(Zeiterfassung!$E$6:$E$3665,$K696))</f>
        <v/>
      </c>
      <c r="F696" s="187">
        <f>IF($K696="","",INDEX(Zeiterfassung!$F$6:$F$3665,$K696))</f>
        <v/>
      </c>
      <c r="G696" s="187">
        <f>IF($K696="","",INDEX(Zeiterfassung!$G$6:$G$3665,$K696))</f>
        <v/>
      </c>
      <c r="H696" s="188">
        <f>IF($K696="","",INDEX(Zeiterfassung!$H$6:$H$3665,$K696))</f>
        <v/>
      </c>
      <c r="I696" s="335">
        <f>IF(B696=B695,"",IF($K696="","",INDEX(Zeiterfassung!$I$6:$I$3665,MATCH(INDEX(Zeiterfassung!$K$6:$K$3665,$K696),Zeiterfassung!$K$6:$K$3665,0))))</f>
        <v/>
      </c>
      <c r="J696" s="335">
        <f>IF(B696=B695,"",IF($K696="","",INDEX(Zeiterfassung!$J$6:$J$3665,MATCH(INDEX(Zeiterfassung!$K$6:$K$3665,$K696),Zeiterfassung!$K$6:$K$3665,0))))</f>
        <v/>
      </c>
      <c r="K696">
        <f>IFERROR(AGGREGATE(15,6,(ROW(Zeiterfassung!$D$6:$D$3665)-ROW(Zeiterfassung!$D$6)+1)/(Zeiterfassung!$D$6:$D$3665&lt;&gt;""),691),"")</f>
        <v/>
      </c>
    </row>
    <row r="697" ht="20" customHeight="1">
      <c r="A697" s="183">
        <f>IF($K697="","",WEEKNUM(INDEX(Zeiterfassung!$K$6:$K$3665,$K697),21))</f>
        <v/>
      </c>
      <c r="B697" s="184">
        <f>IF($K697="","",INDEX(Zeiterfassung!$K$6:$K$3665,$K697))</f>
        <v/>
      </c>
      <c r="C697" s="185">
        <f>IF($K697="","",INDEX(Zeiterfassung!$K$6:$K$3665,$K697))</f>
        <v/>
      </c>
      <c r="D697" s="186">
        <f>IF($K697="","",INDEX(Zeiterfassung!$D$6:$D$3665,$K697))</f>
        <v/>
      </c>
      <c r="E697" s="186">
        <f>IF($K697="","",INDEX(Zeiterfassung!$E$6:$E$3665,$K697))</f>
        <v/>
      </c>
      <c r="F697" s="187">
        <f>IF($K697="","",INDEX(Zeiterfassung!$F$6:$F$3665,$K697))</f>
        <v/>
      </c>
      <c r="G697" s="187">
        <f>IF($K697="","",INDEX(Zeiterfassung!$G$6:$G$3665,$K697))</f>
        <v/>
      </c>
      <c r="H697" s="188">
        <f>IF($K697="","",INDEX(Zeiterfassung!$H$6:$H$3665,$K697))</f>
        <v/>
      </c>
      <c r="I697" s="335">
        <f>IF(B697=B696,"",IF($K697="","",INDEX(Zeiterfassung!$I$6:$I$3665,MATCH(INDEX(Zeiterfassung!$K$6:$K$3665,$K697),Zeiterfassung!$K$6:$K$3665,0))))</f>
        <v/>
      </c>
      <c r="J697" s="335">
        <f>IF(B697=B696,"",IF($K697="","",INDEX(Zeiterfassung!$J$6:$J$3665,MATCH(INDEX(Zeiterfassung!$K$6:$K$3665,$K697),Zeiterfassung!$K$6:$K$3665,0))))</f>
        <v/>
      </c>
      <c r="K697">
        <f>IFERROR(AGGREGATE(15,6,(ROW(Zeiterfassung!$D$6:$D$3665)-ROW(Zeiterfassung!$D$6)+1)/(Zeiterfassung!$D$6:$D$3665&lt;&gt;""),692),"")</f>
        <v/>
      </c>
    </row>
    <row r="698" ht="20" customHeight="1">
      <c r="A698" s="183">
        <f>IF($K698="","",WEEKNUM(INDEX(Zeiterfassung!$K$6:$K$3665,$K698),21))</f>
        <v/>
      </c>
      <c r="B698" s="184">
        <f>IF($K698="","",INDEX(Zeiterfassung!$K$6:$K$3665,$K698))</f>
        <v/>
      </c>
      <c r="C698" s="185">
        <f>IF($K698="","",INDEX(Zeiterfassung!$K$6:$K$3665,$K698))</f>
        <v/>
      </c>
      <c r="D698" s="186">
        <f>IF($K698="","",INDEX(Zeiterfassung!$D$6:$D$3665,$K698))</f>
        <v/>
      </c>
      <c r="E698" s="186">
        <f>IF($K698="","",INDEX(Zeiterfassung!$E$6:$E$3665,$K698))</f>
        <v/>
      </c>
      <c r="F698" s="187">
        <f>IF($K698="","",INDEX(Zeiterfassung!$F$6:$F$3665,$K698))</f>
        <v/>
      </c>
      <c r="G698" s="187">
        <f>IF($K698="","",INDEX(Zeiterfassung!$G$6:$G$3665,$K698))</f>
        <v/>
      </c>
      <c r="H698" s="188">
        <f>IF($K698="","",INDEX(Zeiterfassung!$H$6:$H$3665,$K698))</f>
        <v/>
      </c>
      <c r="I698" s="335">
        <f>IF(B698=B697,"",IF($K698="","",INDEX(Zeiterfassung!$I$6:$I$3665,MATCH(INDEX(Zeiterfassung!$K$6:$K$3665,$K698),Zeiterfassung!$K$6:$K$3665,0))))</f>
        <v/>
      </c>
      <c r="J698" s="335">
        <f>IF(B698=B697,"",IF($K698="","",INDEX(Zeiterfassung!$J$6:$J$3665,MATCH(INDEX(Zeiterfassung!$K$6:$K$3665,$K698),Zeiterfassung!$K$6:$K$3665,0))))</f>
        <v/>
      </c>
      <c r="K698">
        <f>IFERROR(AGGREGATE(15,6,(ROW(Zeiterfassung!$D$6:$D$3665)-ROW(Zeiterfassung!$D$6)+1)/(Zeiterfassung!$D$6:$D$3665&lt;&gt;""),693),"")</f>
        <v/>
      </c>
    </row>
    <row r="699" ht="20" customHeight="1">
      <c r="A699" s="183">
        <f>IF($K699="","",WEEKNUM(INDEX(Zeiterfassung!$K$6:$K$3665,$K699),21))</f>
        <v/>
      </c>
      <c r="B699" s="184">
        <f>IF($K699="","",INDEX(Zeiterfassung!$K$6:$K$3665,$K699))</f>
        <v/>
      </c>
      <c r="C699" s="185">
        <f>IF($K699="","",INDEX(Zeiterfassung!$K$6:$K$3665,$K699))</f>
        <v/>
      </c>
      <c r="D699" s="186">
        <f>IF($K699="","",INDEX(Zeiterfassung!$D$6:$D$3665,$K699))</f>
        <v/>
      </c>
      <c r="E699" s="186">
        <f>IF($K699="","",INDEX(Zeiterfassung!$E$6:$E$3665,$K699))</f>
        <v/>
      </c>
      <c r="F699" s="187">
        <f>IF($K699="","",INDEX(Zeiterfassung!$F$6:$F$3665,$K699))</f>
        <v/>
      </c>
      <c r="G699" s="187">
        <f>IF($K699="","",INDEX(Zeiterfassung!$G$6:$G$3665,$K699))</f>
        <v/>
      </c>
      <c r="H699" s="188">
        <f>IF($K699="","",INDEX(Zeiterfassung!$H$6:$H$3665,$K699))</f>
        <v/>
      </c>
      <c r="I699" s="335">
        <f>IF(B699=B698,"",IF($K699="","",INDEX(Zeiterfassung!$I$6:$I$3665,MATCH(INDEX(Zeiterfassung!$K$6:$K$3665,$K699),Zeiterfassung!$K$6:$K$3665,0))))</f>
        <v/>
      </c>
      <c r="J699" s="335">
        <f>IF(B699=B698,"",IF($K699="","",INDEX(Zeiterfassung!$J$6:$J$3665,MATCH(INDEX(Zeiterfassung!$K$6:$K$3665,$K699),Zeiterfassung!$K$6:$K$3665,0))))</f>
        <v/>
      </c>
      <c r="K699">
        <f>IFERROR(AGGREGATE(15,6,(ROW(Zeiterfassung!$D$6:$D$3665)-ROW(Zeiterfassung!$D$6)+1)/(Zeiterfassung!$D$6:$D$3665&lt;&gt;""),694),"")</f>
        <v/>
      </c>
    </row>
    <row r="700" ht="20" customHeight="1">
      <c r="A700" s="183">
        <f>IF($K700="","",WEEKNUM(INDEX(Zeiterfassung!$K$6:$K$3665,$K700),21))</f>
        <v/>
      </c>
      <c r="B700" s="184">
        <f>IF($K700="","",INDEX(Zeiterfassung!$K$6:$K$3665,$K700))</f>
        <v/>
      </c>
      <c r="C700" s="185">
        <f>IF($K700="","",INDEX(Zeiterfassung!$K$6:$K$3665,$K700))</f>
        <v/>
      </c>
      <c r="D700" s="186">
        <f>IF($K700="","",INDEX(Zeiterfassung!$D$6:$D$3665,$K700))</f>
        <v/>
      </c>
      <c r="E700" s="186">
        <f>IF($K700="","",INDEX(Zeiterfassung!$E$6:$E$3665,$K700))</f>
        <v/>
      </c>
      <c r="F700" s="187">
        <f>IF($K700="","",INDEX(Zeiterfassung!$F$6:$F$3665,$K700))</f>
        <v/>
      </c>
      <c r="G700" s="187">
        <f>IF($K700="","",INDEX(Zeiterfassung!$G$6:$G$3665,$K700))</f>
        <v/>
      </c>
      <c r="H700" s="188">
        <f>IF($K700="","",INDEX(Zeiterfassung!$H$6:$H$3665,$K700))</f>
        <v/>
      </c>
      <c r="I700" s="335">
        <f>IF(B700=B699,"",IF($K700="","",INDEX(Zeiterfassung!$I$6:$I$3665,MATCH(INDEX(Zeiterfassung!$K$6:$K$3665,$K700),Zeiterfassung!$K$6:$K$3665,0))))</f>
        <v/>
      </c>
      <c r="J700" s="335">
        <f>IF(B700=B699,"",IF($K700="","",INDEX(Zeiterfassung!$J$6:$J$3665,MATCH(INDEX(Zeiterfassung!$K$6:$K$3665,$K700),Zeiterfassung!$K$6:$K$3665,0))))</f>
        <v/>
      </c>
      <c r="K700">
        <f>IFERROR(AGGREGATE(15,6,(ROW(Zeiterfassung!$D$6:$D$3665)-ROW(Zeiterfassung!$D$6)+1)/(Zeiterfassung!$D$6:$D$3665&lt;&gt;""),695),"")</f>
        <v/>
      </c>
    </row>
    <row r="701" ht="20" customHeight="1">
      <c r="A701" s="183">
        <f>IF($K701="","",WEEKNUM(INDEX(Zeiterfassung!$K$6:$K$3665,$K701),21))</f>
        <v/>
      </c>
      <c r="B701" s="184">
        <f>IF($K701="","",INDEX(Zeiterfassung!$K$6:$K$3665,$K701))</f>
        <v/>
      </c>
      <c r="C701" s="185">
        <f>IF($K701="","",INDEX(Zeiterfassung!$K$6:$K$3665,$K701))</f>
        <v/>
      </c>
      <c r="D701" s="186">
        <f>IF($K701="","",INDEX(Zeiterfassung!$D$6:$D$3665,$K701))</f>
        <v/>
      </c>
      <c r="E701" s="186">
        <f>IF($K701="","",INDEX(Zeiterfassung!$E$6:$E$3665,$K701))</f>
        <v/>
      </c>
      <c r="F701" s="187">
        <f>IF($K701="","",INDEX(Zeiterfassung!$F$6:$F$3665,$K701))</f>
        <v/>
      </c>
      <c r="G701" s="187">
        <f>IF($K701="","",INDEX(Zeiterfassung!$G$6:$G$3665,$K701))</f>
        <v/>
      </c>
      <c r="H701" s="188">
        <f>IF($K701="","",INDEX(Zeiterfassung!$H$6:$H$3665,$K701))</f>
        <v/>
      </c>
      <c r="I701" s="335">
        <f>IF(B701=B700,"",IF($K701="","",INDEX(Zeiterfassung!$I$6:$I$3665,MATCH(INDEX(Zeiterfassung!$K$6:$K$3665,$K701),Zeiterfassung!$K$6:$K$3665,0))))</f>
        <v/>
      </c>
      <c r="J701" s="335">
        <f>IF(B701=B700,"",IF($K701="","",INDEX(Zeiterfassung!$J$6:$J$3665,MATCH(INDEX(Zeiterfassung!$K$6:$K$3665,$K701),Zeiterfassung!$K$6:$K$3665,0))))</f>
        <v/>
      </c>
      <c r="K701">
        <f>IFERROR(AGGREGATE(15,6,(ROW(Zeiterfassung!$D$6:$D$3665)-ROW(Zeiterfassung!$D$6)+1)/(Zeiterfassung!$D$6:$D$3665&lt;&gt;""),696),"")</f>
        <v/>
      </c>
    </row>
    <row r="702" ht="20" customHeight="1">
      <c r="A702" s="183">
        <f>IF($K702="","",WEEKNUM(INDEX(Zeiterfassung!$K$6:$K$3665,$K702),21))</f>
        <v/>
      </c>
      <c r="B702" s="184">
        <f>IF($K702="","",INDEX(Zeiterfassung!$K$6:$K$3665,$K702))</f>
        <v/>
      </c>
      <c r="C702" s="185">
        <f>IF($K702="","",INDEX(Zeiterfassung!$K$6:$K$3665,$K702))</f>
        <v/>
      </c>
      <c r="D702" s="186">
        <f>IF($K702="","",INDEX(Zeiterfassung!$D$6:$D$3665,$K702))</f>
        <v/>
      </c>
      <c r="E702" s="186">
        <f>IF($K702="","",INDEX(Zeiterfassung!$E$6:$E$3665,$K702))</f>
        <v/>
      </c>
      <c r="F702" s="187">
        <f>IF($K702="","",INDEX(Zeiterfassung!$F$6:$F$3665,$K702))</f>
        <v/>
      </c>
      <c r="G702" s="187">
        <f>IF($K702="","",INDEX(Zeiterfassung!$G$6:$G$3665,$K702))</f>
        <v/>
      </c>
      <c r="H702" s="188">
        <f>IF($K702="","",INDEX(Zeiterfassung!$H$6:$H$3665,$K702))</f>
        <v/>
      </c>
      <c r="I702" s="335">
        <f>IF(B702=B701,"",IF($K702="","",INDEX(Zeiterfassung!$I$6:$I$3665,MATCH(INDEX(Zeiterfassung!$K$6:$K$3665,$K702),Zeiterfassung!$K$6:$K$3665,0))))</f>
        <v/>
      </c>
      <c r="J702" s="335">
        <f>IF(B702=B701,"",IF($K702="","",INDEX(Zeiterfassung!$J$6:$J$3665,MATCH(INDEX(Zeiterfassung!$K$6:$K$3665,$K702),Zeiterfassung!$K$6:$K$3665,0))))</f>
        <v/>
      </c>
      <c r="K702">
        <f>IFERROR(AGGREGATE(15,6,(ROW(Zeiterfassung!$D$6:$D$3665)-ROW(Zeiterfassung!$D$6)+1)/(Zeiterfassung!$D$6:$D$3665&lt;&gt;""),697),"")</f>
        <v/>
      </c>
    </row>
    <row r="703" ht="20" customHeight="1">
      <c r="A703" s="183">
        <f>IF($K703="","",WEEKNUM(INDEX(Zeiterfassung!$K$6:$K$3665,$K703),21))</f>
        <v/>
      </c>
      <c r="B703" s="184">
        <f>IF($K703="","",INDEX(Zeiterfassung!$K$6:$K$3665,$K703))</f>
        <v/>
      </c>
      <c r="C703" s="185">
        <f>IF($K703="","",INDEX(Zeiterfassung!$K$6:$K$3665,$K703))</f>
        <v/>
      </c>
      <c r="D703" s="186">
        <f>IF($K703="","",INDEX(Zeiterfassung!$D$6:$D$3665,$K703))</f>
        <v/>
      </c>
      <c r="E703" s="186">
        <f>IF($K703="","",INDEX(Zeiterfassung!$E$6:$E$3665,$K703))</f>
        <v/>
      </c>
      <c r="F703" s="187">
        <f>IF($K703="","",INDEX(Zeiterfassung!$F$6:$F$3665,$K703))</f>
        <v/>
      </c>
      <c r="G703" s="187">
        <f>IF($K703="","",INDEX(Zeiterfassung!$G$6:$G$3665,$K703))</f>
        <v/>
      </c>
      <c r="H703" s="188">
        <f>IF($K703="","",INDEX(Zeiterfassung!$H$6:$H$3665,$K703))</f>
        <v/>
      </c>
      <c r="I703" s="335">
        <f>IF(B703=B702,"",IF($K703="","",INDEX(Zeiterfassung!$I$6:$I$3665,MATCH(INDEX(Zeiterfassung!$K$6:$K$3665,$K703),Zeiterfassung!$K$6:$K$3665,0))))</f>
        <v/>
      </c>
      <c r="J703" s="335">
        <f>IF(B703=B702,"",IF($K703="","",INDEX(Zeiterfassung!$J$6:$J$3665,MATCH(INDEX(Zeiterfassung!$K$6:$K$3665,$K703),Zeiterfassung!$K$6:$K$3665,0))))</f>
        <v/>
      </c>
      <c r="K703">
        <f>IFERROR(AGGREGATE(15,6,(ROW(Zeiterfassung!$D$6:$D$3665)-ROW(Zeiterfassung!$D$6)+1)/(Zeiterfassung!$D$6:$D$3665&lt;&gt;""),698),"")</f>
        <v/>
      </c>
    </row>
    <row r="704" ht="20" customHeight="1">
      <c r="A704" s="183">
        <f>IF($K704="","",WEEKNUM(INDEX(Zeiterfassung!$K$6:$K$3665,$K704),21))</f>
        <v/>
      </c>
      <c r="B704" s="184">
        <f>IF($K704="","",INDEX(Zeiterfassung!$K$6:$K$3665,$K704))</f>
        <v/>
      </c>
      <c r="C704" s="185">
        <f>IF($K704="","",INDEX(Zeiterfassung!$K$6:$K$3665,$K704))</f>
        <v/>
      </c>
      <c r="D704" s="186">
        <f>IF($K704="","",INDEX(Zeiterfassung!$D$6:$D$3665,$K704))</f>
        <v/>
      </c>
      <c r="E704" s="186">
        <f>IF($K704="","",INDEX(Zeiterfassung!$E$6:$E$3665,$K704))</f>
        <v/>
      </c>
      <c r="F704" s="187">
        <f>IF($K704="","",INDEX(Zeiterfassung!$F$6:$F$3665,$K704))</f>
        <v/>
      </c>
      <c r="G704" s="187">
        <f>IF($K704="","",INDEX(Zeiterfassung!$G$6:$G$3665,$K704))</f>
        <v/>
      </c>
      <c r="H704" s="188">
        <f>IF($K704="","",INDEX(Zeiterfassung!$H$6:$H$3665,$K704))</f>
        <v/>
      </c>
      <c r="I704" s="335">
        <f>IF(B704=B703,"",IF($K704="","",INDEX(Zeiterfassung!$I$6:$I$3665,MATCH(INDEX(Zeiterfassung!$K$6:$K$3665,$K704),Zeiterfassung!$K$6:$K$3665,0))))</f>
        <v/>
      </c>
      <c r="J704" s="335">
        <f>IF(B704=B703,"",IF($K704="","",INDEX(Zeiterfassung!$J$6:$J$3665,MATCH(INDEX(Zeiterfassung!$K$6:$K$3665,$K704),Zeiterfassung!$K$6:$K$3665,0))))</f>
        <v/>
      </c>
      <c r="K704">
        <f>IFERROR(AGGREGATE(15,6,(ROW(Zeiterfassung!$D$6:$D$3665)-ROW(Zeiterfassung!$D$6)+1)/(Zeiterfassung!$D$6:$D$3665&lt;&gt;""),699),"")</f>
        <v/>
      </c>
    </row>
    <row r="705" ht="20" customHeight="1">
      <c r="A705" s="183">
        <f>IF($K705="","",WEEKNUM(INDEX(Zeiterfassung!$K$6:$K$3665,$K705),21))</f>
        <v/>
      </c>
      <c r="B705" s="184">
        <f>IF($K705="","",INDEX(Zeiterfassung!$K$6:$K$3665,$K705))</f>
        <v/>
      </c>
      <c r="C705" s="185">
        <f>IF($K705="","",INDEX(Zeiterfassung!$K$6:$K$3665,$K705))</f>
        <v/>
      </c>
      <c r="D705" s="186">
        <f>IF($K705="","",INDEX(Zeiterfassung!$D$6:$D$3665,$K705))</f>
        <v/>
      </c>
      <c r="E705" s="186">
        <f>IF($K705="","",INDEX(Zeiterfassung!$E$6:$E$3665,$K705))</f>
        <v/>
      </c>
      <c r="F705" s="187">
        <f>IF($K705="","",INDEX(Zeiterfassung!$F$6:$F$3665,$K705))</f>
        <v/>
      </c>
      <c r="G705" s="187">
        <f>IF($K705="","",INDEX(Zeiterfassung!$G$6:$G$3665,$K705))</f>
        <v/>
      </c>
      <c r="H705" s="188">
        <f>IF($K705="","",INDEX(Zeiterfassung!$H$6:$H$3665,$K705))</f>
        <v/>
      </c>
      <c r="I705" s="335">
        <f>IF(B705=B704,"",IF($K705="","",INDEX(Zeiterfassung!$I$6:$I$3665,MATCH(INDEX(Zeiterfassung!$K$6:$K$3665,$K705),Zeiterfassung!$K$6:$K$3665,0))))</f>
        <v/>
      </c>
      <c r="J705" s="335">
        <f>IF(B705=B704,"",IF($K705="","",INDEX(Zeiterfassung!$J$6:$J$3665,MATCH(INDEX(Zeiterfassung!$K$6:$K$3665,$K705),Zeiterfassung!$K$6:$K$3665,0))))</f>
        <v/>
      </c>
      <c r="K705">
        <f>IFERROR(AGGREGATE(15,6,(ROW(Zeiterfassung!$D$6:$D$3665)-ROW(Zeiterfassung!$D$6)+1)/(Zeiterfassung!$D$6:$D$3665&lt;&gt;""),700),"")</f>
        <v/>
      </c>
    </row>
    <row r="706" ht="20" customHeight="1">
      <c r="A706" s="183">
        <f>IF($K706="","",WEEKNUM(INDEX(Zeiterfassung!$K$6:$K$3665,$K706),21))</f>
        <v/>
      </c>
      <c r="B706" s="184">
        <f>IF($K706="","",INDEX(Zeiterfassung!$K$6:$K$3665,$K706))</f>
        <v/>
      </c>
      <c r="C706" s="185">
        <f>IF($K706="","",INDEX(Zeiterfassung!$K$6:$K$3665,$K706))</f>
        <v/>
      </c>
      <c r="D706" s="186">
        <f>IF($K706="","",INDEX(Zeiterfassung!$D$6:$D$3665,$K706))</f>
        <v/>
      </c>
      <c r="E706" s="186">
        <f>IF($K706="","",INDEX(Zeiterfassung!$E$6:$E$3665,$K706))</f>
        <v/>
      </c>
      <c r="F706" s="187">
        <f>IF($K706="","",INDEX(Zeiterfassung!$F$6:$F$3665,$K706))</f>
        <v/>
      </c>
      <c r="G706" s="187">
        <f>IF($K706="","",INDEX(Zeiterfassung!$G$6:$G$3665,$K706))</f>
        <v/>
      </c>
      <c r="H706" s="188">
        <f>IF($K706="","",INDEX(Zeiterfassung!$H$6:$H$3665,$K706))</f>
        <v/>
      </c>
      <c r="I706" s="335">
        <f>IF(B706=B705,"",IF($K706="","",INDEX(Zeiterfassung!$I$6:$I$3665,MATCH(INDEX(Zeiterfassung!$K$6:$K$3665,$K706),Zeiterfassung!$K$6:$K$3665,0))))</f>
        <v/>
      </c>
      <c r="J706" s="335">
        <f>IF(B706=B705,"",IF($K706="","",INDEX(Zeiterfassung!$J$6:$J$3665,MATCH(INDEX(Zeiterfassung!$K$6:$K$3665,$K706),Zeiterfassung!$K$6:$K$3665,0))))</f>
        <v/>
      </c>
      <c r="K706">
        <f>IFERROR(AGGREGATE(15,6,(ROW(Zeiterfassung!$D$6:$D$3665)-ROW(Zeiterfassung!$D$6)+1)/(Zeiterfassung!$D$6:$D$3665&lt;&gt;""),701),"")</f>
        <v/>
      </c>
    </row>
    <row r="707" ht="20" customHeight="1">
      <c r="A707" s="183">
        <f>IF($K707="","",WEEKNUM(INDEX(Zeiterfassung!$K$6:$K$3665,$K707),21))</f>
        <v/>
      </c>
      <c r="B707" s="184">
        <f>IF($K707="","",INDEX(Zeiterfassung!$K$6:$K$3665,$K707))</f>
        <v/>
      </c>
      <c r="C707" s="185">
        <f>IF($K707="","",INDEX(Zeiterfassung!$K$6:$K$3665,$K707))</f>
        <v/>
      </c>
      <c r="D707" s="186">
        <f>IF($K707="","",INDEX(Zeiterfassung!$D$6:$D$3665,$K707))</f>
        <v/>
      </c>
      <c r="E707" s="186">
        <f>IF($K707="","",INDEX(Zeiterfassung!$E$6:$E$3665,$K707))</f>
        <v/>
      </c>
      <c r="F707" s="187">
        <f>IF($K707="","",INDEX(Zeiterfassung!$F$6:$F$3665,$K707))</f>
        <v/>
      </c>
      <c r="G707" s="187">
        <f>IF($K707="","",INDEX(Zeiterfassung!$G$6:$G$3665,$K707))</f>
        <v/>
      </c>
      <c r="H707" s="188">
        <f>IF($K707="","",INDEX(Zeiterfassung!$H$6:$H$3665,$K707))</f>
        <v/>
      </c>
      <c r="I707" s="335">
        <f>IF(B707=B706,"",IF($K707="","",INDEX(Zeiterfassung!$I$6:$I$3665,MATCH(INDEX(Zeiterfassung!$K$6:$K$3665,$K707),Zeiterfassung!$K$6:$K$3665,0))))</f>
        <v/>
      </c>
      <c r="J707" s="335">
        <f>IF(B707=B706,"",IF($K707="","",INDEX(Zeiterfassung!$J$6:$J$3665,MATCH(INDEX(Zeiterfassung!$K$6:$K$3665,$K707),Zeiterfassung!$K$6:$K$3665,0))))</f>
        <v/>
      </c>
      <c r="K707">
        <f>IFERROR(AGGREGATE(15,6,(ROW(Zeiterfassung!$D$6:$D$3665)-ROW(Zeiterfassung!$D$6)+1)/(Zeiterfassung!$D$6:$D$3665&lt;&gt;""),702),"")</f>
        <v/>
      </c>
    </row>
    <row r="708" ht="20" customHeight="1">
      <c r="A708" s="183">
        <f>IF($K708="","",WEEKNUM(INDEX(Zeiterfassung!$K$6:$K$3665,$K708),21))</f>
        <v/>
      </c>
      <c r="B708" s="184">
        <f>IF($K708="","",INDEX(Zeiterfassung!$K$6:$K$3665,$K708))</f>
        <v/>
      </c>
      <c r="C708" s="185">
        <f>IF($K708="","",INDEX(Zeiterfassung!$K$6:$K$3665,$K708))</f>
        <v/>
      </c>
      <c r="D708" s="186">
        <f>IF($K708="","",INDEX(Zeiterfassung!$D$6:$D$3665,$K708))</f>
        <v/>
      </c>
      <c r="E708" s="186">
        <f>IF($K708="","",INDEX(Zeiterfassung!$E$6:$E$3665,$K708))</f>
        <v/>
      </c>
      <c r="F708" s="187">
        <f>IF($K708="","",INDEX(Zeiterfassung!$F$6:$F$3665,$K708))</f>
        <v/>
      </c>
      <c r="G708" s="187">
        <f>IF($K708="","",INDEX(Zeiterfassung!$G$6:$G$3665,$K708))</f>
        <v/>
      </c>
      <c r="H708" s="188">
        <f>IF($K708="","",INDEX(Zeiterfassung!$H$6:$H$3665,$K708))</f>
        <v/>
      </c>
      <c r="I708" s="335">
        <f>IF(B708=B707,"",IF($K708="","",INDEX(Zeiterfassung!$I$6:$I$3665,MATCH(INDEX(Zeiterfassung!$K$6:$K$3665,$K708),Zeiterfassung!$K$6:$K$3665,0))))</f>
        <v/>
      </c>
      <c r="J708" s="335">
        <f>IF(B708=B707,"",IF($K708="","",INDEX(Zeiterfassung!$J$6:$J$3665,MATCH(INDEX(Zeiterfassung!$K$6:$K$3665,$K708),Zeiterfassung!$K$6:$K$3665,0))))</f>
        <v/>
      </c>
      <c r="K708">
        <f>IFERROR(AGGREGATE(15,6,(ROW(Zeiterfassung!$D$6:$D$3665)-ROW(Zeiterfassung!$D$6)+1)/(Zeiterfassung!$D$6:$D$3665&lt;&gt;""),703),"")</f>
        <v/>
      </c>
    </row>
    <row r="709" ht="20" customHeight="1">
      <c r="A709" s="183">
        <f>IF($K709="","",WEEKNUM(INDEX(Zeiterfassung!$K$6:$K$3665,$K709),21))</f>
        <v/>
      </c>
      <c r="B709" s="184">
        <f>IF($K709="","",INDEX(Zeiterfassung!$K$6:$K$3665,$K709))</f>
        <v/>
      </c>
      <c r="C709" s="185">
        <f>IF($K709="","",INDEX(Zeiterfassung!$K$6:$K$3665,$K709))</f>
        <v/>
      </c>
      <c r="D709" s="186">
        <f>IF($K709="","",INDEX(Zeiterfassung!$D$6:$D$3665,$K709))</f>
        <v/>
      </c>
      <c r="E709" s="186">
        <f>IF($K709="","",INDEX(Zeiterfassung!$E$6:$E$3665,$K709))</f>
        <v/>
      </c>
      <c r="F709" s="187">
        <f>IF($K709="","",INDEX(Zeiterfassung!$F$6:$F$3665,$K709))</f>
        <v/>
      </c>
      <c r="G709" s="187">
        <f>IF($K709="","",INDEX(Zeiterfassung!$G$6:$G$3665,$K709))</f>
        <v/>
      </c>
      <c r="H709" s="188">
        <f>IF($K709="","",INDEX(Zeiterfassung!$H$6:$H$3665,$K709))</f>
        <v/>
      </c>
      <c r="I709" s="335">
        <f>IF(B709=B708,"",IF($K709="","",INDEX(Zeiterfassung!$I$6:$I$3665,MATCH(INDEX(Zeiterfassung!$K$6:$K$3665,$K709),Zeiterfassung!$K$6:$K$3665,0))))</f>
        <v/>
      </c>
      <c r="J709" s="335">
        <f>IF(B709=B708,"",IF($K709="","",INDEX(Zeiterfassung!$J$6:$J$3665,MATCH(INDEX(Zeiterfassung!$K$6:$K$3665,$K709),Zeiterfassung!$K$6:$K$3665,0))))</f>
        <v/>
      </c>
      <c r="K709">
        <f>IFERROR(AGGREGATE(15,6,(ROW(Zeiterfassung!$D$6:$D$3665)-ROW(Zeiterfassung!$D$6)+1)/(Zeiterfassung!$D$6:$D$3665&lt;&gt;""),704),"")</f>
        <v/>
      </c>
    </row>
    <row r="710" ht="20" customHeight="1">
      <c r="A710" s="183">
        <f>IF($K710="","",WEEKNUM(INDEX(Zeiterfassung!$K$6:$K$3665,$K710),21))</f>
        <v/>
      </c>
      <c r="B710" s="184">
        <f>IF($K710="","",INDEX(Zeiterfassung!$K$6:$K$3665,$K710))</f>
        <v/>
      </c>
      <c r="C710" s="185">
        <f>IF($K710="","",INDEX(Zeiterfassung!$K$6:$K$3665,$K710))</f>
        <v/>
      </c>
      <c r="D710" s="186">
        <f>IF($K710="","",INDEX(Zeiterfassung!$D$6:$D$3665,$K710))</f>
        <v/>
      </c>
      <c r="E710" s="186">
        <f>IF($K710="","",INDEX(Zeiterfassung!$E$6:$E$3665,$K710))</f>
        <v/>
      </c>
      <c r="F710" s="187">
        <f>IF($K710="","",INDEX(Zeiterfassung!$F$6:$F$3665,$K710))</f>
        <v/>
      </c>
      <c r="G710" s="187">
        <f>IF($K710="","",INDEX(Zeiterfassung!$G$6:$G$3665,$K710))</f>
        <v/>
      </c>
      <c r="H710" s="188">
        <f>IF($K710="","",INDEX(Zeiterfassung!$H$6:$H$3665,$K710))</f>
        <v/>
      </c>
      <c r="I710" s="335">
        <f>IF(B710=B709,"",IF($K710="","",INDEX(Zeiterfassung!$I$6:$I$3665,MATCH(INDEX(Zeiterfassung!$K$6:$K$3665,$K710),Zeiterfassung!$K$6:$K$3665,0))))</f>
        <v/>
      </c>
      <c r="J710" s="335">
        <f>IF(B710=B709,"",IF($K710="","",INDEX(Zeiterfassung!$J$6:$J$3665,MATCH(INDEX(Zeiterfassung!$K$6:$K$3665,$K710),Zeiterfassung!$K$6:$K$3665,0))))</f>
        <v/>
      </c>
      <c r="K710">
        <f>IFERROR(AGGREGATE(15,6,(ROW(Zeiterfassung!$D$6:$D$3665)-ROW(Zeiterfassung!$D$6)+1)/(Zeiterfassung!$D$6:$D$3665&lt;&gt;""),705),"")</f>
        <v/>
      </c>
    </row>
    <row r="711" ht="20" customHeight="1">
      <c r="A711" s="183">
        <f>IF($K711="","",WEEKNUM(INDEX(Zeiterfassung!$K$6:$K$3665,$K711),21))</f>
        <v/>
      </c>
      <c r="B711" s="184">
        <f>IF($K711="","",INDEX(Zeiterfassung!$K$6:$K$3665,$K711))</f>
        <v/>
      </c>
      <c r="C711" s="185">
        <f>IF($K711="","",INDEX(Zeiterfassung!$K$6:$K$3665,$K711))</f>
        <v/>
      </c>
      <c r="D711" s="186">
        <f>IF($K711="","",INDEX(Zeiterfassung!$D$6:$D$3665,$K711))</f>
        <v/>
      </c>
      <c r="E711" s="186">
        <f>IF($K711="","",INDEX(Zeiterfassung!$E$6:$E$3665,$K711))</f>
        <v/>
      </c>
      <c r="F711" s="187">
        <f>IF($K711="","",INDEX(Zeiterfassung!$F$6:$F$3665,$K711))</f>
        <v/>
      </c>
      <c r="G711" s="187">
        <f>IF($K711="","",INDEX(Zeiterfassung!$G$6:$G$3665,$K711))</f>
        <v/>
      </c>
      <c r="H711" s="188">
        <f>IF($K711="","",INDEX(Zeiterfassung!$H$6:$H$3665,$K711))</f>
        <v/>
      </c>
      <c r="I711" s="335">
        <f>IF(B711=B710,"",IF($K711="","",INDEX(Zeiterfassung!$I$6:$I$3665,MATCH(INDEX(Zeiterfassung!$K$6:$K$3665,$K711),Zeiterfassung!$K$6:$K$3665,0))))</f>
        <v/>
      </c>
      <c r="J711" s="335">
        <f>IF(B711=B710,"",IF($K711="","",INDEX(Zeiterfassung!$J$6:$J$3665,MATCH(INDEX(Zeiterfassung!$K$6:$K$3665,$K711),Zeiterfassung!$K$6:$K$3665,0))))</f>
        <v/>
      </c>
      <c r="K711">
        <f>IFERROR(AGGREGATE(15,6,(ROW(Zeiterfassung!$D$6:$D$3665)-ROW(Zeiterfassung!$D$6)+1)/(Zeiterfassung!$D$6:$D$3665&lt;&gt;""),706),"")</f>
        <v/>
      </c>
    </row>
    <row r="712" ht="20" customHeight="1">
      <c r="A712" s="183">
        <f>IF($K712="","",WEEKNUM(INDEX(Zeiterfassung!$K$6:$K$3665,$K712),21))</f>
        <v/>
      </c>
      <c r="B712" s="184">
        <f>IF($K712="","",INDEX(Zeiterfassung!$K$6:$K$3665,$K712))</f>
        <v/>
      </c>
      <c r="C712" s="185">
        <f>IF($K712="","",INDEX(Zeiterfassung!$K$6:$K$3665,$K712))</f>
        <v/>
      </c>
      <c r="D712" s="186">
        <f>IF($K712="","",INDEX(Zeiterfassung!$D$6:$D$3665,$K712))</f>
        <v/>
      </c>
      <c r="E712" s="186">
        <f>IF($K712="","",INDEX(Zeiterfassung!$E$6:$E$3665,$K712))</f>
        <v/>
      </c>
      <c r="F712" s="187">
        <f>IF($K712="","",INDEX(Zeiterfassung!$F$6:$F$3665,$K712))</f>
        <v/>
      </c>
      <c r="G712" s="187">
        <f>IF($K712="","",INDEX(Zeiterfassung!$G$6:$G$3665,$K712))</f>
        <v/>
      </c>
      <c r="H712" s="188">
        <f>IF($K712="","",INDEX(Zeiterfassung!$H$6:$H$3665,$K712))</f>
        <v/>
      </c>
      <c r="I712" s="335">
        <f>IF(B712=B711,"",IF($K712="","",INDEX(Zeiterfassung!$I$6:$I$3665,MATCH(INDEX(Zeiterfassung!$K$6:$K$3665,$K712),Zeiterfassung!$K$6:$K$3665,0))))</f>
        <v/>
      </c>
      <c r="J712" s="335">
        <f>IF(B712=B711,"",IF($K712="","",INDEX(Zeiterfassung!$J$6:$J$3665,MATCH(INDEX(Zeiterfassung!$K$6:$K$3665,$K712),Zeiterfassung!$K$6:$K$3665,0))))</f>
        <v/>
      </c>
      <c r="K712">
        <f>IFERROR(AGGREGATE(15,6,(ROW(Zeiterfassung!$D$6:$D$3665)-ROW(Zeiterfassung!$D$6)+1)/(Zeiterfassung!$D$6:$D$3665&lt;&gt;""),707),"")</f>
        <v/>
      </c>
    </row>
    <row r="713" ht="20" customHeight="1">
      <c r="A713" s="183">
        <f>IF($K713="","",WEEKNUM(INDEX(Zeiterfassung!$K$6:$K$3665,$K713),21))</f>
        <v/>
      </c>
      <c r="B713" s="184">
        <f>IF($K713="","",INDEX(Zeiterfassung!$K$6:$K$3665,$K713))</f>
        <v/>
      </c>
      <c r="C713" s="185">
        <f>IF($K713="","",INDEX(Zeiterfassung!$K$6:$K$3665,$K713))</f>
        <v/>
      </c>
      <c r="D713" s="186">
        <f>IF($K713="","",INDEX(Zeiterfassung!$D$6:$D$3665,$K713))</f>
        <v/>
      </c>
      <c r="E713" s="186">
        <f>IF($K713="","",INDEX(Zeiterfassung!$E$6:$E$3665,$K713))</f>
        <v/>
      </c>
      <c r="F713" s="187">
        <f>IF($K713="","",INDEX(Zeiterfassung!$F$6:$F$3665,$K713))</f>
        <v/>
      </c>
      <c r="G713" s="187">
        <f>IF($K713="","",INDEX(Zeiterfassung!$G$6:$G$3665,$K713))</f>
        <v/>
      </c>
      <c r="H713" s="188">
        <f>IF($K713="","",INDEX(Zeiterfassung!$H$6:$H$3665,$K713))</f>
        <v/>
      </c>
      <c r="I713" s="335">
        <f>IF(B713=B712,"",IF($K713="","",INDEX(Zeiterfassung!$I$6:$I$3665,MATCH(INDEX(Zeiterfassung!$K$6:$K$3665,$K713),Zeiterfassung!$K$6:$K$3665,0))))</f>
        <v/>
      </c>
      <c r="J713" s="335">
        <f>IF(B713=B712,"",IF($K713="","",INDEX(Zeiterfassung!$J$6:$J$3665,MATCH(INDEX(Zeiterfassung!$K$6:$K$3665,$K713),Zeiterfassung!$K$6:$K$3665,0))))</f>
        <v/>
      </c>
      <c r="K713">
        <f>IFERROR(AGGREGATE(15,6,(ROW(Zeiterfassung!$D$6:$D$3665)-ROW(Zeiterfassung!$D$6)+1)/(Zeiterfassung!$D$6:$D$3665&lt;&gt;""),708),"")</f>
        <v/>
      </c>
    </row>
    <row r="714" ht="20" customHeight="1">
      <c r="A714" s="183">
        <f>IF($K714="","",WEEKNUM(INDEX(Zeiterfassung!$K$6:$K$3665,$K714),21))</f>
        <v/>
      </c>
      <c r="B714" s="184">
        <f>IF($K714="","",INDEX(Zeiterfassung!$K$6:$K$3665,$K714))</f>
        <v/>
      </c>
      <c r="C714" s="185">
        <f>IF($K714="","",INDEX(Zeiterfassung!$K$6:$K$3665,$K714))</f>
        <v/>
      </c>
      <c r="D714" s="186">
        <f>IF($K714="","",INDEX(Zeiterfassung!$D$6:$D$3665,$K714))</f>
        <v/>
      </c>
      <c r="E714" s="186">
        <f>IF($K714="","",INDEX(Zeiterfassung!$E$6:$E$3665,$K714))</f>
        <v/>
      </c>
      <c r="F714" s="187">
        <f>IF($K714="","",INDEX(Zeiterfassung!$F$6:$F$3665,$K714))</f>
        <v/>
      </c>
      <c r="G714" s="187">
        <f>IF($K714="","",INDEX(Zeiterfassung!$G$6:$G$3665,$K714))</f>
        <v/>
      </c>
      <c r="H714" s="188">
        <f>IF($K714="","",INDEX(Zeiterfassung!$H$6:$H$3665,$K714))</f>
        <v/>
      </c>
      <c r="I714" s="335">
        <f>IF(B714=B713,"",IF($K714="","",INDEX(Zeiterfassung!$I$6:$I$3665,MATCH(INDEX(Zeiterfassung!$K$6:$K$3665,$K714),Zeiterfassung!$K$6:$K$3665,0))))</f>
        <v/>
      </c>
      <c r="J714" s="335">
        <f>IF(B714=B713,"",IF($K714="","",INDEX(Zeiterfassung!$J$6:$J$3665,MATCH(INDEX(Zeiterfassung!$K$6:$K$3665,$K714),Zeiterfassung!$K$6:$K$3665,0))))</f>
        <v/>
      </c>
      <c r="K714">
        <f>IFERROR(AGGREGATE(15,6,(ROW(Zeiterfassung!$D$6:$D$3665)-ROW(Zeiterfassung!$D$6)+1)/(Zeiterfassung!$D$6:$D$3665&lt;&gt;""),709),"")</f>
        <v/>
      </c>
    </row>
    <row r="715" ht="20" customHeight="1">
      <c r="A715" s="183">
        <f>IF($K715="","",WEEKNUM(INDEX(Zeiterfassung!$K$6:$K$3665,$K715),21))</f>
        <v/>
      </c>
      <c r="B715" s="184">
        <f>IF($K715="","",INDEX(Zeiterfassung!$K$6:$K$3665,$K715))</f>
        <v/>
      </c>
      <c r="C715" s="185">
        <f>IF($K715="","",INDEX(Zeiterfassung!$K$6:$K$3665,$K715))</f>
        <v/>
      </c>
      <c r="D715" s="186">
        <f>IF($K715="","",INDEX(Zeiterfassung!$D$6:$D$3665,$K715))</f>
        <v/>
      </c>
      <c r="E715" s="186">
        <f>IF($K715="","",INDEX(Zeiterfassung!$E$6:$E$3665,$K715))</f>
        <v/>
      </c>
      <c r="F715" s="187">
        <f>IF($K715="","",INDEX(Zeiterfassung!$F$6:$F$3665,$K715))</f>
        <v/>
      </c>
      <c r="G715" s="187">
        <f>IF($K715="","",INDEX(Zeiterfassung!$G$6:$G$3665,$K715))</f>
        <v/>
      </c>
      <c r="H715" s="188">
        <f>IF($K715="","",INDEX(Zeiterfassung!$H$6:$H$3665,$K715))</f>
        <v/>
      </c>
      <c r="I715" s="335">
        <f>IF(B715=B714,"",IF($K715="","",INDEX(Zeiterfassung!$I$6:$I$3665,MATCH(INDEX(Zeiterfassung!$K$6:$K$3665,$K715),Zeiterfassung!$K$6:$K$3665,0))))</f>
        <v/>
      </c>
      <c r="J715" s="335">
        <f>IF(B715=B714,"",IF($K715="","",INDEX(Zeiterfassung!$J$6:$J$3665,MATCH(INDEX(Zeiterfassung!$K$6:$K$3665,$K715),Zeiterfassung!$K$6:$K$3665,0))))</f>
        <v/>
      </c>
      <c r="K715">
        <f>IFERROR(AGGREGATE(15,6,(ROW(Zeiterfassung!$D$6:$D$3665)-ROW(Zeiterfassung!$D$6)+1)/(Zeiterfassung!$D$6:$D$3665&lt;&gt;""),710),"")</f>
        <v/>
      </c>
    </row>
    <row r="716" ht="20" customHeight="1">
      <c r="A716" s="183">
        <f>IF($K716="","",WEEKNUM(INDEX(Zeiterfassung!$K$6:$K$3665,$K716),21))</f>
        <v/>
      </c>
      <c r="B716" s="184">
        <f>IF($K716="","",INDEX(Zeiterfassung!$K$6:$K$3665,$K716))</f>
        <v/>
      </c>
      <c r="C716" s="185">
        <f>IF($K716="","",INDEX(Zeiterfassung!$K$6:$K$3665,$K716))</f>
        <v/>
      </c>
      <c r="D716" s="186">
        <f>IF($K716="","",INDEX(Zeiterfassung!$D$6:$D$3665,$K716))</f>
        <v/>
      </c>
      <c r="E716" s="186">
        <f>IF($K716="","",INDEX(Zeiterfassung!$E$6:$E$3665,$K716))</f>
        <v/>
      </c>
      <c r="F716" s="187">
        <f>IF($K716="","",INDEX(Zeiterfassung!$F$6:$F$3665,$K716))</f>
        <v/>
      </c>
      <c r="G716" s="187">
        <f>IF($K716="","",INDEX(Zeiterfassung!$G$6:$G$3665,$K716))</f>
        <v/>
      </c>
      <c r="H716" s="188">
        <f>IF($K716="","",INDEX(Zeiterfassung!$H$6:$H$3665,$K716))</f>
        <v/>
      </c>
      <c r="I716" s="335">
        <f>IF(B716=B715,"",IF($K716="","",INDEX(Zeiterfassung!$I$6:$I$3665,MATCH(INDEX(Zeiterfassung!$K$6:$K$3665,$K716),Zeiterfassung!$K$6:$K$3665,0))))</f>
        <v/>
      </c>
      <c r="J716" s="335">
        <f>IF(B716=B715,"",IF($K716="","",INDEX(Zeiterfassung!$J$6:$J$3665,MATCH(INDEX(Zeiterfassung!$K$6:$K$3665,$K716),Zeiterfassung!$K$6:$K$3665,0))))</f>
        <v/>
      </c>
      <c r="K716">
        <f>IFERROR(AGGREGATE(15,6,(ROW(Zeiterfassung!$D$6:$D$3665)-ROW(Zeiterfassung!$D$6)+1)/(Zeiterfassung!$D$6:$D$3665&lt;&gt;""),711),"")</f>
        <v/>
      </c>
    </row>
    <row r="717" ht="20" customHeight="1">
      <c r="A717" s="183">
        <f>IF($K717="","",WEEKNUM(INDEX(Zeiterfassung!$K$6:$K$3665,$K717),21))</f>
        <v/>
      </c>
      <c r="B717" s="184">
        <f>IF($K717="","",INDEX(Zeiterfassung!$K$6:$K$3665,$K717))</f>
        <v/>
      </c>
      <c r="C717" s="185">
        <f>IF($K717="","",INDEX(Zeiterfassung!$K$6:$K$3665,$K717))</f>
        <v/>
      </c>
      <c r="D717" s="186">
        <f>IF($K717="","",INDEX(Zeiterfassung!$D$6:$D$3665,$K717))</f>
        <v/>
      </c>
      <c r="E717" s="186">
        <f>IF($K717="","",INDEX(Zeiterfassung!$E$6:$E$3665,$K717))</f>
        <v/>
      </c>
      <c r="F717" s="187">
        <f>IF($K717="","",INDEX(Zeiterfassung!$F$6:$F$3665,$K717))</f>
        <v/>
      </c>
      <c r="G717" s="187">
        <f>IF($K717="","",INDEX(Zeiterfassung!$G$6:$G$3665,$K717))</f>
        <v/>
      </c>
      <c r="H717" s="188">
        <f>IF($K717="","",INDEX(Zeiterfassung!$H$6:$H$3665,$K717))</f>
        <v/>
      </c>
      <c r="I717" s="335">
        <f>IF(B717=B716,"",IF($K717="","",INDEX(Zeiterfassung!$I$6:$I$3665,MATCH(INDEX(Zeiterfassung!$K$6:$K$3665,$K717),Zeiterfassung!$K$6:$K$3665,0))))</f>
        <v/>
      </c>
      <c r="J717" s="335">
        <f>IF(B717=B716,"",IF($K717="","",INDEX(Zeiterfassung!$J$6:$J$3665,MATCH(INDEX(Zeiterfassung!$K$6:$K$3665,$K717),Zeiterfassung!$K$6:$K$3665,0))))</f>
        <v/>
      </c>
      <c r="K717">
        <f>IFERROR(AGGREGATE(15,6,(ROW(Zeiterfassung!$D$6:$D$3665)-ROW(Zeiterfassung!$D$6)+1)/(Zeiterfassung!$D$6:$D$3665&lt;&gt;""),712),"")</f>
        <v/>
      </c>
    </row>
    <row r="718" ht="20" customHeight="1">
      <c r="A718" s="183">
        <f>IF($K718="","",WEEKNUM(INDEX(Zeiterfassung!$K$6:$K$3665,$K718),21))</f>
        <v/>
      </c>
      <c r="B718" s="184">
        <f>IF($K718="","",INDEX(Zeiterfassung!$K$6:$K$3665,$K718))</f>
        <v/>
      </c>
      <c r="C718" s="185">
        <f>IF($K718="","",INDEX(Zeiterfassung!$K$6:$K$3665,$K718))</f>
        <v/>
      </c>
      <c r="D718" s="186">
        <f>IF($K718="","",INDEX(Zeiterfassung!$D$6:$D$3665,$K718))</f>
        <v/>
      </c>
      <c r="E718" s="186">
        <f>IF($K718="","",INDEX(Zeiterfassung!$E$6:$E$3665,$K718))</f>
        <v/>
      </c>
      <c r="F718" s="187">
        <f>IF($K718="","",INDEX(Zeiterfassung!$F$6:$F$3665,$K718))</f>
        <v/>
      </c>
      <c r="G718" s="187">
        <f>IF($K718="","",INDEX(Zeiterfassung!$G$6:$G$3665,$K718))</f>
        <v/>
      </c>
      <c r="H718" s="188">
        <f>IF($K718="","",INDEX(Zeiterfassung!$H$6:$H$3665,$K718))</f>
        <v/>
      </c>
      <c r="I718" s="335">
        <f>IF(B718=B717,"",IF($K718="","",INDEX(Zeiterfassung!$I$6:$I$3665,MATCH(INDEX(Zeiterfassung!$K$6:$K$3665,$K718),Zeiterfassung!$K$6:$K$3665,0))))</f>
        <v/>
      </c>
      <c r="J718" s="335">
        <f>IF(B718=B717,"",IF($K718="","",INDEX(Zeiterfassung!$J$6:$J$3665,MATCH(INDEX(Zeiterfassung!$K$6:$K$3665,$K718),Zeiterfassung!$K$6:$K$3665,0))))</f>
        <v/>
      </c>
      <c r="K718">
        <f>IFERROR(AGGREGATE(15,6,(ROW(Zeiterfassung!$D$6:$D$3665)-ROW(Zeiterfassung!$D$6)+1)/(Zeiterfassung!$D$6:$D$3665&lt;&gt;""),713),"")</f>
        <v/>
      </c>
    </row>
    <row r="719" ht="20" customHeight="1">
      <c r="A719" s="183">
        <f>IF($K719="","",WEEKNUM(INDEX(Zeiterfassung!$K$6:$K$3665,$K719),21))</f>
        <v/>
      </c>
      <c r="B719" s="184">
        <f>IF($K719="","",INDEX(Zeiterfassung!$K$6:$K$3665,$K719))</f>
        <v/>
      </c>
      <c r="C719" s="185">
        <f>IF($K719="","",INDEX(Zeiterfassung!$K$6:$K$3665,$K719))</f>
        <v/>
      </c>
      <c r="D719" s="186">
        <f>IF($K719="","",INDEX(Zeiterfassung!$D$6:$D$3665,$K719))</f>
        <v/>
      </c>
      <c r="E719" s="186">
        <f>IF($K719="","",INDEX(Zeiterfassung!$E$6:$E$3665,$K719))</f>
        <v/>
      </c>
      <c r="F719" s="187">
        <f>IF($K719="","",INDEX(Zeiterfassung!$F$6:$F$3665,$K719))</f>
        <v/>
      </c>
      <c r="G719" s="187">
        <f>IF($K719="","",INDEX(Zeiterfassung!$G$6:$G$3665,$K719))</f>
        <v/>
      </c>
      <c r="H719" s="188">
        <f>IF($K719="","",INDEX(Zeiterfassung!$H$6:$H$3665,$K719))</f>
        <v/>
      </c>
      <c r="I719" s="335">
        <f>IF(B719=B718,"",IF($K719="","",INDEX(Zeiterfassung!$I$6:$I$3665,MATCH(INDEX(Zeiterfassung!$K$6:$K$3665,$K719),Zeiterfassung!$K$6:$K$3665,0))))</f>
        <v/>
      </c>
      <c r="J719" s="335">
        <f>IF(B719=B718,"",IF($K719="","",INDEX(Zeiterfassung!$J$6:$J$3665,MATCH(INDEX(Zeiterfassung!$K$6:$K$3665,$K719),Zeiterfassung!$K$6:$K$3665,0))))</f>
        <v/>
      </c>
      <c r="K719">
        <f>IFERROR(AGGREGATE(15,6,(ROW(Zeiterfassung!$D$6:$D$3665)-ROW(Zeiterfassung!$D$6)+1)/(Zeiterfassung!$D$6:$D$3665&lt;&gt;""),714),"")</f>
        <v/>
      </c>
    </row>
    <row r="720" ht="20" customHeight="1">
      <c r="A720" s="183">
        <f>IF($K720="","",WEEKNUM(INDEX(Zeiterfassung!$K$6:$K$3665,$K720),21))</f>
        <v/>
      </c>
      <c r="B720" s="184">
        <f>IF($K720="","",INDEX(Zeiterfassung!$K$6:$K$3665,$K720))</f>
        <v/>
      </c>
      <c r="C720" s="185">
        <f>IF($K720="","",INDEX(Zeiterfassung!$K$6:$K$3665,$K720))</f>
        <v/>
      </c>
      <c r="D720" s="186">
        <f>IF($K720="","",INDEX(Zeiterfassung!$D$6:$D$3665,$K720))</f>
        <v/>
      </c>
      <c r="E720" s="186">
        <f>IF($K720="","",INDEX(Zeiterfassung!$E$6:$E$3665,$K720))</f>
        <v/>
      </c>
      <c r="F720" s="187">
        <f>IF($K720="","",INDEX(Zeiterfassung!$F$6:$F$3665,$K720))</f>
        <v/>
      </c>
      <c r="G720" s="187">
        <f>IF($K720="","",INDEX(Zeiterfassung!$G$6:$G$3665,$K720))</f>
        <v/>
      </c>
      <c r="H720" s="188">
        <f>IF($K720="","",INDEX(Zeiterfassung!$H$6:$H$3665,$K720))</f>
        <v/>
      </c>
      <c r="I720" s="335">
        <f>IF(B720=B719,"",IF($K720="","",INDEX(Zeiterfassung!$I$6:$I$3665,MATCH(INDEX(Zeiterfassung!$K$6:$K$3665,$K720),Zeiterfassung!$K$6:$K$3665,0))))</f>
        <v/>
      </c>
      <c r="J720" s="335">
        <f>IF(B720=B719,"",IF($K720="","",INDEX(Zeiterfassung!$J$6:$J$3665,MATCH(INDEX(Zeiterfassung!$K$6:$K$3665,$K720),Zeiterfassung!$K$6:$K$3665,0))))</f>
        <v/>
      </c>
      <c r="K720">
        <f>IFERROR(AGGREGATE(15,6,(ROW(Zeiterfassung!$D$6:$D$3665)-ROW(Zeiterfassung!$D$6)+1)/(Zeiterfassung!$D$6:$D$3665&lt;&gt;""),715),"")</f>
        <v/>
      </c>
    </row>
    <row r="721" ht="20" customHeight="1">
      <c r="A721" s="183">
        <f>IF($K721="","",WEEKNUM(INDEX(Zeiterfassung!$K$6:$K$3665,$K721),21))</f>
        <v/>
      </c>
      <c r="B721" s="184">
        <f>IF($K721="","",INDEX(Zeiterfassung!$K$6:$K$3665,$K721))</f>
        <v/>
      </c>
      <c r="C721" s="185">
        <f>IF($K721="","",INDEX(Zeiterfassung!$K$6:$K$3665,$K721))</f>
        <v/>
      </c>
      <c r="D721" s="186">
        <f>IF($K721="","",INDEX(Zeiterfassung!$D$6:$D$3665,$K721))</f>
        <v/>
      </c>
      <c r="E721" s="186">
        <f>IF($K721="","",INDEX(Zeiterfassung!$E$6:$E$3665,$K721))</f>
        <v/>
      </c>
      <c r="F721" s="187">
        <f>IF($K721="","",INDEX(Zeiterfassung!$F$6:$F$3665,$K721))</f>
        <v/>
      </c>
      <c r="G721" s="187">
        <f>IF($K721="","",INDEX(Zeiterfassung!$G$6:$G$3665,$K721))</f>
        <v/>
      </c>
      <c r="H721" s="188">
        <f>IF($K721="","",INDEX(Zeiterfassung!$H$6:$H$3665,$K721))</f>
        <v/>
      </c>
      <c r="I721" s="335">
        <f>IF(B721=B720,"",IF($K721="","",INDEX(Zeiterfassung!$I$6:$I$3665,MATCH(INDEX(Zeiterfassung!$K$6:$K$3665,$K721),Zeiterfassung!$K$6:$K$3665,0))))</f>
        <v/>
      </c>
      <c r="J721" s="335">
        <f>IF(B721=B720,"",IF($K721="","",INDEX(Zeiterfassung!$J$6:$J$3665,MATCH(INDEX(Zeiterfassung!$K$6:$K$3665,$K721),Zeiterfassung!$K$6:$K$3665,0))))</f>
        <v/>
      </c>
      <c r="K721">
        <f>IFERROR(AGGREGATE(15,6,(ROW(Zeiterfassung!$D$6:$D$3665)-ROW(Zeiterfassung!$D$6)+1)/(Zeiterfassung!$D$6:$D$3665&lt;&gt;""),716),"")</f>
        <v/>
      </c>
    </row>
    <row r="722" ht="20" customHeight="1">
      <c r="A722" s="183">
        <f>IF($K722="","",WEEKNUM(INDEX(Zeiterfassung!$K$6:$K$3665,$K722),21))</f>
        <v/>
      </c>
      <c r="B722" s="184">
        <f>IF($K722="","",INDEX(Zeiterfassung!$K$6:$K$3665,$K722))</f>
        <v/>
      </c>
      <c r="C722" s="185">
        <f>IF($K722="","",INDEX(Zeiterfassung!$K$6:$K$3665,$K722))</f>
        <v/>
      </c>
      <c r="D722" s="186">
        <f>IF($K722="","",INDEX(Zeiterfassung!$D$6:$D$3665,$K722))</f>
        <v/>
      </c>
      <c r="E722" s="186">
        <f>IF($K722="","",INDEX(Zeiterfassung!$E$6:$E$3665,$K722))</f>
        <v/>
      </c>
      <c r="F722" s="187">
        <f>IF($K722="","",INDEX(Zeiterfassung!$F$6:$F$3665,$K722))</f>
        <v/>
      </c>
      <c r="G722" s="187">
        <f>IF($K722="","",INDEX(Zeiterfassung!$G$6:$G$3665,$K722))</f>
        <v/>
      </c>
      <c r="H722" s="188">
        <f>IF($K722="","",INDEX(Zeiterfassung!$H$6:$H$3665,$K722))</f>
        <v/>
      </c>
      <c r="I722" s="335">
        <f>IF(B722=B721,"",IF($K722="","",INDEX(Zeiterfassung!$I$6:$I$3665,MATCH(INDEX(Zeiterfassung!$K$6:$K$3665,$K722),Zeiterfassung!$K$6:$K$3665,0))))</f>
        <v/>
      </c>
      <c r="J722" s="335">
        <f>IF(B722=B721,"",IF($K722="","",INDEX(Zeiterfassung!$J$6:$J$3665,MATCH(INDEX(Zeiterfassung!$K$6:$K$3665,$K722),Zeiterfassung!$K$6:$K$3665,0))))</f>
        <v/>
      </c>
      <c r="K722">
        <f>IFERROR(AGGREGATE(15,6,(ROW(Zeiterfassung!$D$6:$D$3665)-ROW(Zeiterfassung!$D$6)+1)/(Zeiterfassung!$D$6:$D$3665&lt;&gt;""),717),"")</f>
        <v/>
      </c>
    </row>
    <row r="723" ht="20" customHeight="1">
      <c r="A723" s="183">
        <f>IF($K723="","",WEEKNUM(INDEX(Zeiterfassung!$K$6:$K$3665,$K723),21))</f>
        <v/>
      </c>
      <c r="B723" s="184">
        <f>IF($K723="","",INDEX(Zeiterfassung!$K$6:$K$3665,$K723))</f>
        <v/>
      </c>
      <c r="C723" s="185">
        <f>IF($K723="","",INDEX(Zeiterfassung!$K$6:$K$3665,$K723))</f>
        <v/>
      </c>
      <c r="D723" s="186">
        <f>IF($K723="","",INDEX(Zeiterfassung!$D$6:$D$3665,$K723))</f>
        <v/>
      </c>
      <c r="E723" s="186">
        <f>IF($K723="","",INDEX(Zeiterfassung!$E$6:$E$3665,$K723))</f>
        <v/>
      </c>
      <c r="F723" s="187">
        <f>IF($K723="","",INDEX(Zeiterfassung!$F$6:$F$3665,$K723))</f>
        <v/>
      </c>
      <c r="G723" s="187">
        <f>IF($K723="","",INDEX(Zeiterfassung!$G$6:$G$3665,$K723))</f>
        <v/>
      </c>
      <c r="H723" s="188">
        <f>IF($K723="","",INDEX(Zeiterfassung!$H$6:$H$3665,$K723))</f>
        <v/>
      </c>
      <c r="I723" s="335">
        <f>IF(B723=B722,"",IF($K723="","",INDEX(Zeiterfassung!$I$6:$I$3665,MATCH(INDEX(Zeiterfassung!$K$6:$K$3665,$K723),Zeiterfassung!$K$6:$K$3665,0))))</f>
        <v/>
      </c>
      <c r="J723" s="335">
        <f>IF(B723=B722,"",IF($K723="","",INDEX(Zeiterfassung!$J$6:$J$3665,MATCH(INDEX(Zeiterfassung!$K$6:$K$3665,$K723),Zeiterfassung!$K$6:$K$3665,0))))</f>
        <v/>
      </c>
      <c r="K723">
        <f>IFERROR(AGGREGATE(15,6,(ROW(Zeiterfassung!$D$6:$D$3665)-ROW(Zeiterfassung!$D$6)+1)/(Zeiterfassung!$D$6:$D$3665&lt;&gt;""),718),"")</f>
        <v/>
      </c>
    </row>
    <row r="724" ht="20" customHeight="1">
      <c r="A724" s="183">
        <f>IF($K724="","",WEEKNUM(INDEX(Zeiterfassung!$K$6:$K$3665,$K724),21))</f>
        <v/>
      </c>
      <c r="B724" s="184">
        <f>IF($K724="","",INDEX(Zeiterfassung!$K$6:$K$3665,$K724))</f>
        <v/>
      </c>
      <c r="C724" s="185">
        <f>IF($K724="","",INDEX(Zeiterfassung!$K$6:$K$3665,$K724))</f>
        <v/>
      </c>
      <c r="D724" s="186">
        <f>IF($K724="","",INDEX(Zeiterfassung!$D$6:$D$3665,$K724))</f>
        <v/>
      </c>
      <c r="E724" s="186">
        <f>IF($K724="","",INDEX(Zeiterfassung!$E$6:$E$3665,$K724))</f>
        <v/>
      </c>
      <c r="F724" s="187">
        <f>IF($K724="","",INDEX(Zeiterfassung!$F$6:$F$3665,$K724))</f>
        <v/>
      </c>
      <c r="G724" s="187">
        <f>IF($K724="","",INDEX(Zeiterfassung!$G$6:$G$3665,$K724))</f>
        <v/>
      </c>
      <c r="H724" s="188">
        <f>IF($K724="","",INDEX(Zeiterfassung!$H$6:$H$3665,$K724))</f>
        <v/>
      </c>
      <c r="I724" s="335">
        <f>IF(B724=B723,"",IF($K724="","",INDEX(Zeiterfassung!$I$6:$I$3665,MATCH(INDEX(Zeiterfassung!$K$6:$K$3665,$K724),Zeiterfassung!$K$6:$K$3665,0))))</f>
        <v/>
      </c>
      <c r="J724" s="335">
        <f>IF(B724=B723,"",IF($K724="","",INDEX(Zeiterfassung!$J$6:$J$3665,MATCH(INDEX(Zeiterfassung!$K$6:$K$3665,$K724),Zeiterfassung!$K$6:$K$3665,0))))</f>
        <v/>
      </c>
      <c r="K724">
        <f>IFERROR(AGGREGATE(15,6,(ROW(Zeiterfassung!$D$6:$D$3665)-ROW(Zeiterfassung!$D$6)+1)/(Zeiterfassung!$D$6:$D$3665&lt;&gt;""),719),"")</f>
        <v/>
      </c>
    </row>
    <row r="725" ht="20" customHeight="1">
      <c r="A725" s="183">
        <f>IF($K725="","",WEEKNUM(INDEX(Zeiterfassung!$K$6:$K$3665,$K725),21))</f>
        <v/>
      </c>
      <c r="B725" s="184">
        <f>IF($K725="","",INDEX(Zeiterfassung!$K$6:$K$3665,$K725))</f>
        <v/>
      </c>
      <c r="C725" s="185">
        <f>IF($K725="","",INDEX(Zeiterfassung!$K$6:$K$3665,$K725))</f>
        <v/>
      </c>
      <c r="D725" s="186">
        <f>IF($K725="","",INDEX(Zeiterfassung!$D$6:$D$3665,$K725))</f>
        <v/>
      </c>
      <c r="E725" s="186">
        <f>IF($K725="","",INDEX(Zeiterfassung!$E$6:$E$3665,$K725))</f>
        <v/>
      </c>
      <c r="F725" s="187">
        <f>IF($K725="","",INDEX(Zeiterfassung!$F$6:$F$3665,$K725))</f>
        <v/>
      </c>
      <c r="G725" s="187">
        <f>IF($K725="","",INDEX(Zeiterfassung!$G$6:$G$3665,$K725))</f>
        <v/>
      </c>
      <c r="H725" s="188">
        <f>IF($K725="","",INDEX(Zeiterfassung!$H$6:$H$3665,$K725))</f>
        <v/>
      </c>
      <c r="I725" s="335">
        <f>IF(B725=B724,"",IF($K725="","",INDEX(Zeiterfassung!$I$6:$I$3665,MATCH(INDEX(Zeiterfassung!$K$6:$K$3665,$K725),Zeiterfassung!$K$6:$K$3665,0))))</f>
        <v/>
      </c>
      <c r="J725" s="335">
        <f>IF(B725=B724,"",IF($K725="","",INDEX(Zeiterfassung!$J$6:$J$3665,MATCH(INDEX(Zeiterfassung!$K$6:$K$3665,$K725),Zeiterfassung!$K$6:$K$3665,0))))</f>
        <v/>
      </c>
      <c r="K725">
        <f>IFERROR(AGGREGATE(15,6,(ROW(Zeiterfassung!$D$6:$D$3665)-ROW(Zeiterfassung!$D$6)+1)/(Zeiterfassung!$D$6:$D$3665&lt;&gt;""),720),"")</f>
        <v/>
      </c>
    </row>
    <row r="726" ht="20" customHeight="1">
      <c r="A726" s="183">
        <f>IF($K726="","",WEEKNUM(INDEX(Zeiterfassung!$K$6:$K$3665,$K726),21))</f>
        <v/>
      </c>
      <c r="B726" s="184">
        <f>IF($K726="","",INDEX(Zeiterfassung!$K$6:$K$3665,$K726))</f>
        <v/>
      </c>
      <c r="C726" s="185">
        <f>IF($K726="","",INDEX(Zeiterfassung!$K$6:$K$3665,$K726))</f>
        <v/>
      </c>
      <c r="D726" s="186">
        <f>IF($K726="","",INDEX(Zeiterfassung!$D$6:$D$3665,$K726))</f>
        <v/>
      </c>
      <c r="E726" s="186">
        <f>IF($K726="","",INDEX(Zeiterfassung!$E$6:$E$3665,$K726))</f>
        <v/>
      </c>
      <c r="F726" s="187">
        <f>IF($K726="","",INDEX(Zeiterfassung!$F$6:$F$3665,$K726))</f>
        <v/>
      </c>
      <c r="G726" s="187">
        <f>IF($K726="","",INDEX(Zeiterfassung!$G$6:$G$3665,$K726))</f>
        <v/>
      </c>
      <c r="H726" s="188">
        <f>IF($K726="","",INDEX(Zeiterfassung!$H$6:$H$3665,$K726))</f>
        <v/>
      </c>
      <c r="I726" s="335">
        <f>IF(B726=B725,"",IF($K726="","",INDEX(Zeiterfassung!$I$6:$I$3665,MATCH(INDEX(Zeiterfassung!$K$6:$K$3665,$K726),Zeiterfassung!$K$6:$K$3665,0))))</f>
        <v/>
      </c>
      <c r="J726" s="335">
        <f>IF(B726=B725,"",IF($K726="","",INDEX(Zeiterfassung!$J$6:$J$3665,MATCH(INDEX(Zeiterfassung!$K$6:$K$3665,$K726),Zeiterfassung!$K$6:$K$3665,0))))</f>
        <v/>
      </c>
      <c r="K726">
        <f>IFERROR(AGGREGATE(15,6,(ROW(Zeiterfassung!$D$6:$D$3665)-ROW(Zeiterfassung!$D$6)+1)/(Zeiterfassung!$D$6:$D$3665&lt;&gt;""),721),"")</f>
        <v/>
      </c>
    </row>
    <row r="727" ht="20" customHeight="1">
      <c r="A727" s="183">
        <f>IF($K727="","",WEEKNUM(INDEX(Zeiterfassung!$K$6:$K$3665,$K727),21))</f>
        <v/>
      </c>
      <c r="B727" s="184">
        <f>IF($K727="","",INDEX(Zeiterfassung!$K$6:$K$3665,$K727))</f>
        <v/>
      </c>
      <c r="C727" s="185">
        <f>IF($K727="","",INDEX(Zeiterfassung!$K$6:$K$3665,$K727))</f>
        <v/>
      </c>
      <c r="D727" s="186">
        <f>IF($K727="","",INDEX(Zeiterfassung!$D$6:$D$3665,$K727))</f>
        <v/>
      </c>
      <c r="E727" s="186">
        <f>IF($K727="","",INDEX(Zeiterfassung!$E$6:$E$3665,$K727))</f>
        <v/>
      </c>
      <c r="F727" s="187">
        <f>IF($K727="","",INDEX(Zeiterfassung!$F$6:$F$3665,$K727))</f>
        <v/>
      </c>
      <c r="G727" s="187">
        <f>IF($K727="","",INDEX(Zeiterfassung!$G$6:$G$3665,$K727))</f>
        <v/>
      </c>
      <c r="H727" s="188">
        <f>IF($K727="","",INDEX(Zeiterfassung!$H$6:$H$3665,$K727))</f>
        <v/>
      </c>
      <c r="I727" s="335">
        <f>IF(B727=B726,"",IF($K727="","",INDEX(Zeiterfassung!$I$6:$I$3665,MATCH(INDEX(Zeiterfassung!$K$6:$K$3665,$K727),Zeiterfassung!$K$6:$K$3665,0))))</f>
        <v/>
      </c>
      <c r="J727" s="335">
        <f>IF(B727=B726,"",IF($K727="","",INDEX(Zeiterfassung!$J$6:$J$3665,MATCH(INDEX(Zeiterfassung!$K$6:$K$3665,$K727),Zeiterfassung!$K$6:$K$3665,0))))</f>
        <v/>
      </c>
      <c r="K727">
        <f>IFERROR(AGGREGATE(15,6,(ROW(Zeiterfassung!$D$6:$D$3665)-ROW(Zeiterfassung!$D$6)+1)/(Zeiterfassung!$D$6:$D$3665&lt;&gt;""),722),"")</f>
        <v/>
      </c>
    </row>
    <row r="728" ht="20" customHeight="1">
      <c r="A728" s="183">
        <f>IF($K728="","",WEEKNUM(INDEX(Zeiterfassung!$K$6:$K$3665,$K728),21))</f>
        <v/>
      </c>
      <c r="B728" s="184">
        <f>IF($K728="","",INDEX(Zeiterfassung!$K$6:$K$3665,$K728))</f>
        <v/>
      </c>
      <c r="C728" s="185">
        <f>IF($K728="","",INDEX(Zeiterfassung!$K$6:$K$3665,$K728))</f>
        <v/>
      </c>
      <c r="D728" s="186">
        <f>IF($K728="","",INDEX(Zeiterfassung!$D$6:$D$3665,$K728))</f>
        <v/>
      </c>
      <c r="E728" s="186">
        <f>IF($K728="","",INDEX(Zeiterfassung!$E$6:$E$3665,$K728))</f>
        <v/>
      </c>
      <c r="F728" s="187">
        <f>IF($K728="","",INDEX(Zeiterfassung!$F$6:$F$3665,$K728))</f>
        <v/>
      </c>
      <c r="G728" s="187">
        <f>IF($K728="","",INDEX(Zeiterfassung!$G$6:$G$3665,$K728))</f>
        <v/>
      </c>
      <c r="H728" s="188">
        <f>IF($K728="","",INDEX(Zeiterfassung!$H$6:$H$3665,$K728))</f>
        <v/>
      </c>
      <c r="I728" s="335">
        <f>IF(B728=B727,"",IF($K728="","",INDEX(Zeiterfassung!$I$6:$I$3665,MATCH(INDEX(Zeiterfassung!$K$6:$K$3665,$K728),Zeiterfassung!$K$6:$K$3665,0))))</f>
        <v/>
      </c>
      <c r="J728" s="335">
        <f>IF(B728=B727,"",IF($K728="","",INDEX(Zeiterfassung!$J$6:$J$3665,MATCH(INDEX(Zeiterfassung!$K$6:$K$3665,$K728),Zeiterfassung!$K$6:$K$3665,0))))</f>
        <v/>
      </c>
      <c r="K728">
        <f>IFERROR(AGGREGATE(15,6,(ROW(Zeiterfassung!$D$6:$D$3665)-ROW(Zeiterfassung!$D$6)+1)/(Zeiterfassung!$D$6:$D$3665&lt;&gt;""),723),"")</f>
        <v/>
      </c>
    </row>
    <row r="729" ht="20" customHeight="1">
      <c r="A729" s="183">
        <f>IF($K729="","",WEEKNUM(INDEX(Zeiterfassung!$K$6:$K$3665,$K729),21))</f>
        <v/>
      </c>
      <c r="B729" s="184">
        <f>IF($K729="","",INDEX(Zeiterfassung!$K$6:$K$3665,$K729))</f>
        <v/>
      </c>
      <c r="C729" s="185">
        <f>IF($K729="","",INDEX(Zeiterfassung!$K$6:$K$3665,$K729))</f>
        <v/>
      </c>
      <c r="D729" s="186">
        <f>IF($K729="","",INDEX(Zeiterfassung!$D$6:$D$3665,$K729))</f>
        <v/>
      </c>
      <c r="E729" s="186">
        <f>IF($K729="","",INDEX(Zeiterfassung!$E$6:$E$3665,$K729))</f>
        <v/>
      </c>
      <c r="F729" s="187">
        <f>IF($K729="","",INDEX(Zeiterfassung!$F$6:$F$3665,$K729))</f>
        <v/>
      </c>
      <c r="G729" s="187">
        <f>IF($K729="","",INDEX(Zeiterfassung!$G$6:$G$3665,$K729))</f>
        <v/>
      </c>
      <c r="H729" s="188">
        <f>IF($K729="","",INDEX(Zeiterfassung!$H$6:$H$3665,$K729))</f>
        <v/>
      </c>
      <c r="I729" s="335">
        <f>IF(B729=B728,"",IF($K729="","",INDEX(Zeiterfassung!$I$6:$I$3665,MATCH(INDEX(Zeiterfassung!$K$6:$K$3665,$K729),Zeiterfassung!$K$6:$K$3665,0))))</f>
        <v/>
      </c>
      <c r="J729" s="335">
        <f>IF(B729=B728,"",IF($K729="","",INDEX(Zeiterfassung!$J$6:$J$3665,MATCH(INDEX(Zeiterfassung!$K$6:$K$3665,$K729),Zeiterfassung!$K$6:$K$3665,0))))</f>
        <v/>
      </c>
      <c r="K729">
        <f>IFERROR(AGGREGATE(15,6,(ROW(Zeiterfassung!$D$6:$D$3665)-ROW(Zeiterfassung!$D$6)+1)/(Zeiterfassung!$D$6:$D$3665&lt;&gt;""),724),"")</f>
        <v/>
      </c>
    </row>
    <row r="730" ht="20" customHeight="1">
      <c r="A730" s="183">
        <f>IF($K730="","",WEEKNUM(INDEX(Zeiterfassung!$K$6:$K$3665,$K730),21))</f>
        <v/>
      </c>
      <c r="B730" s="184">
        <f>IF($K730="","",INDEX(Zeiterfassung!$K$6:$K$3665,$K730))</f>
        <v/>
      </c>
      <c r="C730" s="185">
        <f>IF($K730="","",INDEX(Zeiterfassung!$K$6:$K$3665,$K730))</f>
        <v/>
      </c>
      <c r="D730" s="186">
        <f>IF($K730="","",INDEX(Zeiterfassung!$D$6:$D$3665,$K730))</f>
        <v/>
      </c>
      <c r="E730" s="186">
        <f>IF($K730="","",INDEX(Zeiterfassung!$E$6:$E$3665,$K730))</f>
        <v/>
      </c>
      <c r="F730" s="187">
        <f>IF($K730="","",INDEX(Zeiterfassung!$F$6:$F$3665,$K730))</f>
        <v/>
      </c>
      <c r="G730" s="187">
        <f>IF($K730="","",INDEX(Zeiterfassung!$G$6:$G$3665,$K730))</f>
        <v/>
      </c>
      <c r="H730" s="188">
        <f>IF($K730="","",INDEX(Zeiterfassung!$H$6:$H$3665,$K730))</f>
        <v/>
      </c>
      <c r="I730" s="335">
        <f>IF(B730=B729,"",IF($K730="","",INDEX(Zeiterfassung!$I$6:$I$3665,MATCH(INDEX(Zeiterfassung!$K$6:$K$3665,$K730),Zeiterfassung!$K$6:$K$3665,0))))</f>
        <v/>
      </c>
      <c r="J730" s="335">
        <f>IF(B730=B729,"",IF($K730="","",INDEX(Zeiterfassung!$J$6:$J$3665,MATCH(INDEX(Zeiterfassung!$K$6:$K$3665,$K730),Zeiterfassung!$K$6:$K$3665,0))))</f>
        <v/>
      </c>
      <c r="K730">
        <f>IFERROR(AGGREGATE(15,6,(ROW(Zeiterfassung!$D$6:$D$3665)-ROW(Zeiterfassung!$D$6)+1)/(Zeiterfassung!$D$6:$D$3665&lt;&gt;""),725),"")</f>
        <v/>
      </c>
    </row>
    <row r="731" ht="20" customHeight="1">
      <c r="A731" s="183">
        <f>IF($K731="","",WEEKNUM(INDEX(Zeiterfassung!$K$6:$K$3665,$K731),21))</f>
        <v/>
      </c>
      <c r="B731" s="184">
        <f>IF($K731="","",INDEX(Zeiterfassung!$K$6:$K$3665,$K731))</f>
        <v/>
      </c>
      <c r="C731" s="185">
        <f>IF($K731="","",INDEX(Zeiterfassung!$K$6:$K$3665,$K731))</f>
        <v/>
      </c>
      <c r="D731" s="186">
        <f>IF($K731="","",INDEX(Zeiterfassung!$D$6:$D$3665,$K731))</f>
        <v/>
      </c>
      <c r="E731" s="186">
        <f>IF($K731="","",INDEX(Zeiterfassung!$E$6:$E$3665,$K731))</f>
        <v/>
      </c>
      <c r="F731" s="187">
        <f>IF($K731="","",INDEX(Zeiterfassung!$F$6:$F$3665,$K731))</f>
        <v/>
      </c>
      <c r="G731" s="187">
        <f>IF($K731="","",INDEX(Zeiterfassung!$G$6:$G$3665,$K731))</f>
        <v/>
      </c>
      <c r="H731" s="188">
        <f>IF($K731="","",INDEX(Zeiterfassung!$H$6:$H$3665,$K731))</f>
        <v/>
      </c>
      <c r="I731" s="335">
        <f>IF(B731=B730,"",IF($K731="","",INDEX(Zeiterfassung!$I$6:$I$3665,MATCH(INDEX(Zeiterfassung!$K$6:$K$3665,$K731),Zeiterfassung!$K$6:$K$3665,0))))</f>
        <v/>
      </c>
      <c r="J731" s="335">
        <f>IF(B731=B730,"",IF($K731="","",INDEX(Zeiterfassung!$J$6:$J$3665,MATCH(INDEX(Zeiterfassung!$K$6:$K$3665,$K731),Zeiterfassung!$K$6:$K$3665,0))))</f>
        <v/>
      </c>
      <c r="K731">
        <f>IFERROR(AGGREGATE(15,6,(ROW(Zeiterfassung!$D$6:$D$3665)-ROW(Zeiterfassung!$D$6)+1)/(Zeiterfassung!$D$6:$D$3665&lt;&gt;""),726),"")</f>
        <v/>
      </c>
    </row>
    <row r="732" ht="20" customHeight="1">
      <c r="A732" s="183">
        <f>IF($K732="","",WEEKNUM(INDEX(Zeiterfassung!$K$6:$K$3665,$K732),21))</f>
        <v/>
      </c>
      <c r="B732" s="184">
        <f>IF($K732="","",INDEX(Zeiterfassung!$K$6:$K$3665,$K732))</f>
        <v/>
      </c>
      <c r="C732" s="185">
        <f>IF($K732="","",INDEX(Zeiterfassung!$K$6:$K$3665,$K732))</f>
        <v/>
      </c>
      <c r="D732" s="186">
        <f>IF($K732="","",INDEX(Zeiterfassung!$D$6:$D$3665,$K732))</f>
        <v/>
      </c>
      <c r="E732" s="186">
        <f>IF($K732="","",INDEX(Zeiterfassung!$E$6:$E$3665,$K732))</f>
        <v/>
      </c>
      <c r="F732" s="187">
        <f>IF($K732="","",INDEX(Zeiterfassung!$F$6:$F$3665,$K732))</f>
        <v/>
      </c>
      <c r="G732" s="187">
        <f>IF($K732="","",INDEX(Zeiterfassung!$G$6:$G$3665,$K732))</f>
        <v/>
      </c>
      <c r="H732" s="188">
        <f>IF($K732="","",INDEX(Zeiterfassung!$H$6:$H$3665,$K732))</f>
        <v/>
      </c>
      <c r="I732" s="335">
        <f>IF(B732=B731,"",IF($K732="","",INDEX(Zeiterfassung!$I$6:$I$3665,MATCH(INDEX(Zeiterfassung!$K$6:$K$3665,$K732),Zeiterfassung!$K$6:$K$3665,0))))</f>
        <v/>
      </c>
      <c r="J732" s="335">
        <f>IF(B732=B731,"",IF($K732="","",INDEX(Zeiterfassung!$J$6:$J$3665,MATCH(INDEX(Zeiterfassung!$K$6:$K$3665,$K732),Zeiterfassung!$K$6:$K$3665,0))))</f>
        <v/>
      </c>
      <c r="K732">
        <f>IFERROR(AGGREGATE(15,6,(ROW(Zeiterfassung!$D$6:$D$3665)-ROW(Zeiterfassung!$D$6)+1)/(Zeiterfassung!$D$6:$D$3665&lt;&gt;""),727),"")</f>
        <v/>
      </c>
    </row>
    <row r="733" ht="20" customHeight="1">
      <c r="A733" s="183">
        <f>IF($K733="","",WEEKNUM(INDEX(Zeiterfassung!$K$6:$K$3665,$K733),21))</f>
        <v/>
      </c>
      <c r="B733" s="184">
        <f>IF($K733="","",INDEX(Zeiterfassung!$K$6:$K$3665,$K733))</f>
        <v/>
      </c>
      <c r="C733" s="185">
        <f>IF($K733="","",INDEX(Zeiterfassung!$K$6:$K$3665,$K733))</f>
        <v/>
      </c>
      <c r="D733" s="186">
        <f>IF($K733="","",INDEX(Zeiterfassung!$D$6:$D$3665,$K733))</f>
        <v/>
      </c>
      <c r="E733" s="186">
        <f>IF($K733="","",INDEX(Zeiterfassung!$E$6:$E$3665,$K733))</f>
        <v/>
      </c>
      <c r="F733" s="187">
        <f>IF($K733="","",INDEX(Zeiterfassung!$F$6:$F$3665,$K733))</f>
        <v/>
      </c>
      <c r="G733" s="187">
        <f>IF($K733="","",INDEX(Zeiterfassung!$G$6:$G$3665,$K733))</f>
        <v/>
      </c>
      <c r="H733" s="188">
        <f>IF($K733="","",INDEX(Zeiterfassung!$H$6:$H$3665,$K733))</f>
        <v/>
      </c>
      <c r="I733" s="335">
        <f>IF(B733=B732,"",IF($K733="","",INDEX(Zeiterfassung!$I$6:$I$3665,MATCH(INDEX(Zeiterfassung!$K$6:$K$3665,$K733),Zeiterfassung!$K$6:$K$3665,0))))</f>
        <v/>
      </c>
      <c r="J733" s="335">
        <f>IF(B733=B732,"",IF($K733="","",INDEX(Zeiterfassung!$J$6:$J$3665,MATCH(INDEX(Zeiterfassung!$K$6:$K$3665,$K733),Zeiterfassung!$K$6:$K$3665,0))))</f>
        <v/>
      </c>
      <c r="K733">
        <f>IFERROR(AGGREGATE(15,6,(ROW(Zeiterfassung!$D$6:$D$3665)-ROW(Zeiterfassung!$D$6)+1)/(Zeiterfassung!$D$6:$D$3665&lt;&gt;""),728),"")</f>
        <v/>
      </c>
    </row>
    <row r="734" ht="20" customHeight="1">
      <c r="A734" s="183">
        <f>IF($K734="","",WEEKNUM(INDEX(Zeiterfassung!$K$6:$K$3665,$K734),21))</f>
        <v/>
      </c>
      <c r="B734" s="184">
        <f>IF($K734="","",INDEX(Zeiterfassung!$K$6:$K$3665,$K734))</f>
        <v/>
      </c>
      <c r="C734" s="185">
        <f>IF($K734="","",INDEX(Zeiterfassung!$K$6:$K$3665,$K734))</f>
        <v/>
      </c>
      <c r="D734" s="186">
        <f>IF($K734="","",INDEX(Zeiterfassung!$D$6:$D$3665,$K734))</f>
        <v/>
      </c>
      <c r="E734" s="186">
        <f>IF($K734="","",INDEX(Zeiterfassung!$E$6:$E$3665,$K734))</f>
        <v/>
      </c>
      <c r="F734" s="187">
        <f>IF($K734="","",INDEX(Zeiterfassung!$F$6:$F$3665,$K734))</f>
        <v/>
      </c>
      <c r="G734" s="187">
        <f>IF($K734="","",INDEX(Zeiterfassung!$G$6:$G$3665,$K734))</f>
        <v/>
      </c>
      <c r="H734" s="188">
        <f>IF($K734="","",INDEX(Zeiterfassung!$H$6:$H$3665,$K734))</f>
        <v/>
      </c>
      <c r="I734" s="335">
        <f>IF(B734=B733,"",IF($K734="","",INDEX(Zeiterfassung!$I$6:$I$3665,MATCH(INDEX(Zeiterfassung!$K$6:$K$3665,$K734),Zeiterfassung!$K$6:$K$3665,0))))</f>
        <v/>
      </c>
      <c r="J734" s="335">
        <f>IF(B734=B733,"",IF($K734="","",INDEX(Zeiterfassung!$J$6:$J$3665,MATCH(INDEX(Zeiterfassung!$K$6:$K$3665,$K734),Zeiterfassung!$K$6:$K$3665,0))))</f>
        <v/>
      </c>
      <c r="K734">
        <f>IFERROR(AGGREGATE(15,6,(ROW(Zeiterfassung!$D$6:$D$3665)-ROW(Zeiterfassung!$D$6)+1)/(Zeiterfassung!$D$6:$D$3665&lt;&gt;""),729),"")</f>
        <v/>
      </c>
    </row>
    <row r="735" ht="20" customHeight="1">
      <c r="A735" s="183">
        <f>IF($K735="","",WEEKNUM(INDEX(Zeiterfassung!$K$6:$K$3665,$K735),21))</f>
        <v/>
      </c>
      <c r="B735" s="184">
        <f>IF($K735="","",INDEX(Zeiterfassung!$K$6:$K$3665,$K735))</f>
        <v/>
      </c>
      <c r="C735" s="185">
        <f>IF($K735="","",INDEX(Zeiterfassung!$K$6:$K$3665,$K735))</f>
        <v/>
      </c>
      <c r="D735" s="186">
        <f>IF($K735="","",INDEX(Zeiterfassung!$D$6:$D$3665,$K735))</f>
        <v/>
      </c>
      <c r="E735" s="186">
        <f>IF($K735="","",INDEX(Zeiterfassung!$E$6:$E$3665,$K735))</f>
        <v/>
      </c>
      <c r="F735" s="187">
        <f>IF($K735="","",INDEX(Zeiterfassung!$F$6:$F$3665,$K735))</f>
        <v/>
      </c>
      <c r="G735" s="187">
        <f>IF($K735="","",INDEX(Zeiterfassung!$G$6:$G$3665,$K735))</f>
        <v/>
      </c>
      <c r="H735" s="188">
        <f>IF($K735="","",INDEX(Zeiterfassung!$H$6:$H$3665,$K735))</f>
        <v/>
      </c>
      <c r="I735" s="335">
        <f>IF(B735=B734,"",IF($K735="","",INDEX(Zeiterfassung!$I$6:$I$3665,MATCH(INDEX(Zeiterfassung!$K$6:$K$3665,$K735),Zeiterfassung!$K$6:$K$3665,0))))</f>
        <v/>
      </c>
      <c r="J735" s="335">
        <f>IF(B735=B734,"",IF($K735="","",INDEX(Zeiterfassung!$J$6:$J$3665,MATCH(INDEX(Zeiterfassung!$K$6:$K$3665,$K735),Zeiterfassung!$K$6:$K$3665,0))))</f>
        <v/>
      </c>
      <c r="K735">
        <f>IFERROR(AGGREGATE(15,6,(ROW(Zeiterfassung!$D$6:$D$3665)-ROW(Zeiterfassung!$D$6)+1)/(Zeiterfassung!$D$6:$D$3665&lt;&gt;""),730),"")</f>
        <v/>
      </c>
    </row>
    <row r="736" ht="20" customHeight="1">
      <c r="A736" s="183">
        <f>IF($K736="","",WEEKNUM(INDEX(Zeiterfassung!$K$6:$K$3665,$K736),21))</f>
        <v/>
      </c>
      <c r="B736" s="184">
        <f>IF($K736="","",INDEX(Zeiterfassung!$K$6:$K$3665,$K736))</f>
        <v/>
      </c>
      <c r="C736" s="185">
        <f>IF($K736="","",INDEX(Zeiterfassung!$K$6:$K$3665,$K736))</f>
        <v/>
      </c>
      <c r="D736" s="186">
        <f>IF($K736="","",INDEX(Zeiterfassung!$D$6:$D$3665,$K736))</f>
        <v/>
      </c>
      <c r="E736" s="186">
        <f>IF($K736="","",INDEX(Zeiterfassung!$E$6:$E$3665,$K736))</f>
        <v/>
      </c>
      <c r="F736" s="187">
        <f>IF($K736="","",INDEX(Zeiterfassung!$F$6:$F$3665,$K736))</f>
        <v/>
      </c>
      <c r="G736" s="187">
        <f>IF($K736="","",INDEX(Zeiterfassung!$G$6:$G$3665,$K736))</f>
        <v/>
      </c>
      <c r="H736" s="188">
        <f>IF($K736="","",INDEX(Zeiterfassung!$H$6:$H$3665,$K736))</f>
        <v/>
      </c>
      <c r="I736" s="335">
        <f>IF(B736=B735,"",IF($K736="","",INDEX(Zeiterfassung!$I$6:$I$3665,MATCH(INDEX(Zeiterfassung!$K$6:$K$3665,$K736),Zeiterfassung!$K$6:$K$3665,0))))</f>
        <v/>
      </c>
      <c r="J736" s="335">
        <f>IF(B736=B735,"",IF($K736="","",INDEX(Zeiterfassung!$J$6:$J$3665,MATCH(INDEX(Zeiterfassung!$K$6:$K$3665,$K736),Zeiterfassung!$K$6:$K$3665,0))))</f>
        <v/>
      </c>
      <c r="K736">
        <f>IFERROR(AGGREGATE(15,6,(ROW(Zeiterfassung!$D$6:$D$3665)-ROW(Zeiterfassung!$D$6)+1)/(Zeiterfassung!$D$6:$D$3665&lt;&gt;""),731),"")</f>
        <v/>
      </c>
    </row>
    <row r="737" ht="20" customHeight="1">
      <c r="A737" s="183">
        <f>IF($K737="","",WEEKNUM(INDEX(Zeiterfassung!$K$6:$K$3665,$K737),21))</f>
        <v/>
      </c>
      <c r="B737" s="184">
        <f>IF($K737="","",INDEX(Zeiterfassung!$K$6:$K$3665,$K737))</f>
        <v/>
      </c>
      <c r="C737" s="185">
        <f>IF($K737="","",INDEX(Zeiterfassung!$K$6:$K$3665,$K737))</f>
        <v/>
      </c>
      <c r="D737" s="186">
        <f>IF($K737="","",INDEX(Zeiterfassung!$D$6:$D$3665,$K737))</f>
        <v/>
      </c>
      <c r="E737" s="186">
        <f>IF($K737="","",INDEX(Zeiterfassung!$E$6:$E$3665,$K737))</f>
        <v/>
      </c>
      <c r="F737" s="187">
        <f>IF($K737="","",INDEX(Zeiterfassung!$F$6:$F$3665,$K737))</f>
        <v/>
      </c>
      <c r="G737" s="187">
        <f>IF($K737="","",INDEX(Zeiterfassung!$G$6:$G$3665,$K737))</f>
        <v/>
      </c>
      <c r="H737" s="188">
        <f>IF($K737="","",INDEX(Zeiterfassung!$H$6:$H$3665,$K737))</f>
        <v/>
      </c>
      <c r="I737" s="335">
        <f>IF(B737=B736,"",IF($K737="","",INDEX(Zeiterfassung!$I$6:$I$3665,MATCH(INDEX(Zeiterfassung!$K$6:$K$3665,$K737),Zeiterfassung!$K$6:$K$3665,0))))</f>
        <v/>
      </c>
      <c r="J737" s="335">
        <f>IF(B737=B736,"",IF($K737="","",INDEX(Zeiterfassung!$J$6:$J$3665,MATCH(INDEX(Zeiterfassung!$K$6:$K$3665,$K737),Zeiterfassung!$K$6:$K$3665,0))))</f>
        <v/>
      </c>
      <c r="K737">
        <f>IFERROR(AGGREGATE(15,6,(ROW(Zeiterfassung!$D$6:$D$3665)-ROW(Zeiterfassung!$D$6)+1)/(Zeiterfassung!$D$6:$D$3665&lt;&gt;""),732),"")</f>
        <v/>
      </c>
    </row>
    <row r="738" ht="20" customHeight="1">
      <c r="A738" s="183">
        <f>IF($K738="","",WEEKNUM(INDEX(Zeiterfassung!$K$6:$K$3665,$K738),21))</f>
        <v/>
      </c>
      <c r="B738" s="184">
        <f>IF($K738="","",INDEX(Zeiterfassung!$K$6:$K$3665,$K738))</f>
        <v/>
      </c>
      <c r="C738" s="185">
        <f>IF($K738="","",INDEX(Zeiterfassung!$K$6:$K$3665,$K738))</f>
        <v/>
      </c>
      <c r="D738" s="186">
        <f>IF($K738="","",INDEX(Zeiterfassung!$D$6:$D$3665,$K738))</f>
        <v/>
      </c>
      <c r="E738" s="186">
        <f>IF($K738="","",INDEX(Zeiterfassung!$E$6:$E$3665,$K738))</f>
        <v/>
      </c>
      <c r="F738" s="187">
        <f>IF($K738="","",INDEX(Zeiterfassung!$F$6:$F$3665,$K738))</f>
        <v/>
      </c>
      <c r="G738" s="187">
        <f>IF($K738="","",INDEX(Zeiterfassung!$G$6:$G$3665,$K738))</f>
        <v/>
      </c>
      <c r="H738" s="188">
        <f>IF($K738="","",INDEX(Zeiterfassung!$H$6:$H$3665,$K738))</f>
        <v/>
      </c>
      <c r="I738" s="335">
        <f>IF(B738=B737,"",IF($K738="","",INDEX(Zeiterfassung!$I$6:$I$3665,MATCH(INDEX(Zeiterfassung!$K$6:$K$3665,$K738),Zeiterfassung!$K$6:$K$3665,0))))</f>
        <v/>
      </c>
      <c r="J738" s="335">
        <f>IF(B738=B737,"",IF($K738="","",INDEX(Zeiterfassung!$J$6:$J$3665,MATCH(INDEX(Zeiterfassung!$K$6:$K$3665,$K738),Zeiterfassung!$K$6:$K$3665,0))))</f>
        <v/>
      </c>
      <c r="K738">
        <f>IFERROR(AGGREGATE(15,6,(ROW(Zeiterfassung!$D$6:$D$3665)-ROW(Zeiterfassung!$D$6)+1)/(Zeiterfassung!$D$6:$D$3665&lt;&gt;""),733),"")</f>
        <v/>
      </c>
    </row>
    <row r="739" ht="20" customHeight="1">
      <c r="A739" s="183">
        <f>IF($K739="","",WEEKNUM(INDEX(Zeiterfassung!$K$6:$K$3665,$K739),21))</f>
        <v/>
      </c>
      <c r="B739" s="184">
        <f>IF($K739="","",INDEX(Zeiterfassung!$K$6:$K$3665,$K739))</f>
        <v/>
      </c>
      <c r="C739" s="185">
        <f>IF($K739="","",INDEX(Zeiterfassung!$K$6:$K$3665,$K739))</f>
        <v/>
      </c>
      <c r="D739" s="186">
        <f>IF($K739="","",INDEX(Zeiterfassung!$D$6:$D$3665,$K739))</f>
        <v/>
      </c>
      <c r="E739" s="186">
        <f>IF($K739="","",INDEX(Zeiterfassung!$E$6:$E$3665,$K739))</f>
        <v/>
      </c>
      <c r="F739" s="187">
        <f>IF($K739="","",INDEX(Zeiterfassung!$F$6:$F$3665,$K739))</f>
        <v/>
      </c>
      <c r="G739" s="187">
        <f>IF($K739="","",INDEX(Zeiterfassung!$G$6:$G$3665,$K739))</f>
        <v/>
      </c>
      <c r="H739" s="188">
        <f>IF($K739="","",INDEX(Zeiterfassung!$H$6:$H$3665,$K739))</f>
        <v/>
      </c>
      <c r="I739" s="335">
        <f>IF(B739=B738,"",IF($K739="","",INDEX(Zeiterfassung!$I$6:$I$3665,MATCH(INDEX(Zeiterfassung!$K$6:$K$3665,$K739),Zeiterfassung!$K$6:$K$3665,0))))</f>
        <v/>
      </c>
      <c r="J739" s="335">
        <f>IF(B739=B738,"",IF($K739="","",INDEX(Zeiterfassung!$J$6:$J$3665,MATCH(INDEX(Zeiterfassung!$K$6:$K$3665,$K739),Zeiterfassung!$K$6:$K$3665,0))))</f>
        <v/>
      </c>
      <c r="K739">
        <f>IFERROR(AGGREGATE(15,6,(ROW(Zeiterfassung!$D$6:$D$3665)-ROW(Zeiterfassung!$D$6)+1)/(Zeiterfassung!$D$6:$D$3665&lt;&gt;""),734),"")</f>
        <v/>
      </c>
    </row>
    <row r="740" ht="20" customHeight="1">
      <c r="A740" s="183">
        <f>IF($K740="","",WEEKNUM(INDEX(Zeiterfassung!$K$6:$K$3665,$K740),21))</f>
        <v/>
      </c>
      <c r="B740" s="184">
        <f>IF($K740="","",INDEX(Zeiterfassung!$K$6:$K$3665,$K740))</f>
        <v/>
      </c>
      <c r="C740" s="185">
        <f>IF($K740="","",INDEX(Zeiterfassung!$K$6:$K$3665,$K740))</f>
        <v/>
      </c>
      <c r="D740" s="186">
        <f>IF($K740="","",INDEX(Zeiterfassung!$D$6:$D$3665,$K740))</f>
        <v/>
      </c>
      <c r="E740" s="186">
        <f>IF($K740="","",INDEX(Zeiterfassung!$E$6:$E$3665,$K740))</f>
        <v/>
      </c>
      <c r="F740" s="187">
        <f>IF($K740="","",INDEX(Zeiterfassung!$F$6:$F$3665,$K740))</f>
        <v/>
      </c>
      <c r="G740" s="187">
        <f>IF($K740="","",INDEX(Zeiterfassung!$G$6:$G$3665,$K740))</f>
        <v/>
      </c>
      <c r="H740" s="188">
        <f>IF($K740="","",INDEX(Zeiterfassung!$H$6:$H$3665,$K740))</f>
        <v/>
      </c>
      <c r="I740" s="335">
        <f>IF(B740=B739,"",IF($K740="","",INDEX(Zeiterfassung!$I$6:$I$3665,MATCH(INDEX(Zeiterfassung!$K$6:$K$3665,$K740),Zeiterfassung!$K$6:$K$3665,0))))</f>
        <v/>
      </c>
      <c r="J740" s="335">
        <f>IF(B740=B739,"",IF($K740="","",INDEX(Zeiterfassung!$J$6:$J$3665,MATCH(INDEX(Zeiterfassung!$K$6:$K$3665,$K740),Zeiterfassung!$K$6:$K$3665,0))))</f>
        <v/>
      </c>
      <c r="K740">
        <f>IFERROR(AGGREGATE(15,6,(ROW(Zeiterfassung!$D$6:$D$3665)-ROW(Zeiterfassung!$D$6)+1)/(Zeiterfassung!$D$6:$D$3665&lt;&gt;""),735),"")</f>
        <v/>
      </c>
    </row>
    <row r="741" ht="20" customHeight="1">
      <c r="A741" s="183">
        <f>IF($K741="","",WEEKNUM(INDEX(Zeiterfassung!$K$6:$K$3665,$K741),21))</f>
        <v/>
      </c>
      <c r="B741" s="184">
        <f>IF($K741="","",INDEX(Zeiterfassung!$K$6:$K$3665,$K741))</f>
        <v/>
      </c>
      <c r="C741" s="185">
        <f>IF($K741="","",INDEX(Zeiterfassung!$K$6:$K$3665,$K741))</f>
        <v/>
      </c>
      <c r="D741" s="186">
        <f>IF($K741="","",INDEX(Zeiterfassung!$D$6:$D$3665,$K741))</f>
        <v/>
      </c>
      <c r="E741" s="186">
        <f>IF($K741="","",INDEX(Zeiterfassung!$E$6:$E$3665,$K741))</f>
        <v/>
      </c>
      <c r="F741" s="187">
        <f>IF($K741="","",INDEX(Zeiterfassung!$F$6:$F$3665,$K741))</f>
        <v/>
      </c>
      <c r="G741" s="187">
        <f>IF($K741="","",INDEX(Zeiterfassung!$G$6:$G$3665,$K741))</f>
        <v/>
      </c>
      <c r="H741" s="188">
        <f>IF($K741="","",INDEX(Zeiterfassung!$H$6:$H$3665,$K741))</f>
        <v/>
      </c>
      <c r="I741" s="335">
        <f>IF(B741=B740,"",IF($K741="","",INDEX(Zeiterfassung!$I$6:$I$3665,MATCH(INDEX(Zeiterfassung!$K$6:$K$3665,$K741),Zeiterfassung!$K$6:$K$3665,0))))</f>
        <v/>
      </c>
      <c r="J741" s="335">
        <f>IF(B741=B740,"",IF($K741="","",INDEX(Zeiterfassung!$J$6:$J$3665,MATCH(INDEX(Zeiterfassung!$K$6:$K$3665,$K741),Zeiterfassung!$K$6:$K$3665,0))))</f>
        <v/>
      </c>
      <c r="K741">
        <f>IFERROR(AGGREGATE(15,6,(ROW(Zeiterfassung!$D$6:$D$3665)-ROW(Zeiterfassung!$D$6)+1)/(Zeiterfassung!$D$6:$D$3665&lt;&gt;""),736),"")</f>
        <v/>
      </c>
    </row>
    <row r="742" ht="20" customHeight="1">
      <c r="A742" s="183">
        <f>IF($K742="","",WEEKNUM(INDEX(Zeiterfassung!$K$6:$K$3665,$K742),21))</f>
        <v/>
      </c>
      <c r="B742" s="184">
        <f>IF($K742="","",INDEX(Zeiterfassung!$K$6:$K$3665,$K742))</f>
        <v/>
      </c>
      <c r="C742" s="185">
        <f>IF($K742="","",INDEX(Zeiterfassung!$K$6:$K$3665,$K742))</f>
        <v/>
      </c>
      <c r="D742" s="186">
        <f>IF($K742="","",INDEX(Zeiterfassung!$D$6:$D$3665,$K742))</f>
        <v/>
      </c>
      <c r="E742" s="186">
        <f>IF($K742="","",INDEX(Zeiterfassung!$E$6:$E$3665,$K742))</f>
        <v/>
      </c>
      <c r="F742" s="187">
        <f>IF($K742="","",INDEX(Zeiterfassung!$F$6:$F$3665,$K742))</f>
        <v/>
      </c>
      <c r="G742" s="187">
        <f>IF($K742="","",INDEX(Zeiterfassung!$G$6:$G$3665,$K742))</f>
        <v/>
      </c>
      <c r="H742" s="188">
        <f>IF($K742="","",INDEX(Zeiterfassung!$H$6:$H$3665,$K742))</f>
        <v/>
      </c>
      <c r="I742" s="335">
        <f>IF(B742=B741,"",IF($K742="","",INDEX(Zeiterfassung!$I$6:$I$3665,MATCH(INDEX(Zeiterfassung!$K$6:$K$3665,$K742),Zeiterfassung!$K$6:$K$3665,0))))</f>
        <v/>
      </c>
      <c r="J742" s="335">
        <f>IF(B742=B741,"",IF($K742="","",INDEX(Zeiterfassung!$J$6:$J$3665,MATCH(INDEX(Zeiterfassung!$K$6:$K$3665,$K742),Zeiterfassung!$K$6:$K$3665,0))))</f>
        <v/>
      </c>
      <c r="K742">
        <f>IFERROR(AGGREGATE(15,6,(ROW(Zeiterfassung!$D$6:$D$3665)-ROW(Zeiterfassung!$D$6)+1)/(Zeiterfassung!$D$6:$D$3665&lt;&gt;""),737),"")</f>
        <v/>
      </c>
    </row>
    <row r="743" ht="20" customHeight="1">
      <c r="A743" s="183">
        <f>IF($K743="","",WEEKNUM(INDEX(Zeiterfassung!$K$6:$K$3665,$K743),21))</f>
        <v/>
      </c>
      <c r="B743" s="184">
        <f>IF($K743="","",INDEX(Zeiterfassung!$K$6:$K$3665,$K743))</f>
        <v/>
      </c>
      <c r="C743" s="185">
        <f>IF($K743="","",INDEX(Zeiterfassung!$K$6:$K$3665,$K743))</f>
        <v/>
      </c>
      <c r="D743" s="186">
        <f>IF($K743="","",INDEX(Zeiterfassung!$D$6:$D$3665,$K743))</f>
        <v/>
      </c>
      <c r="E743" s="186">
        <f>IF($K743="","",INDEX(Zeiterfassung!$E$6:$E$3665,$K743))</f>
        <v/>
      </c>
      <c r="F743" s="187">
        <f>IF($K743="","",INDEX(Zeiterfassung!$F$6:$F$3665,$K743))</f>
        <v/>
      </c>
      <c r="G743" s="187">
        <f>IF($K743="","",INDEX(Zeiterfassung!$G$6:$G$3665,$K743))</f>
        <v/>
      </c>
      <c r="H743" s="188">
        <f>IF($K743="","",INDEX(Zeiterfassung!$H$6:$H$3665,$K743))</f>
        <v/>
      </c>
      <c r="I743" s="335">
        <f>IF(B743=B742,"",IF($K743="","",INDEX(Zeiterfassung!$I$6:$I$3665,MATCH(INDEX(Zeiterfassung!$K$6:$K$3665,$K743),Zeiterfassung!$K$6:$K$3665,0))))</f>
        <v/>
      </c>
      <c r="J743" s="335">
        <f>IF(B743=B742,"",IF($K743="","",INDEX(Zeiterfassung!$J$6:$J$3665,MATCH(INDEX(Zeiterfassung!$K$6:$K$3665,$K743),Zeiterfassung!$K$6:$K$3665,0))))</f>
        <v/>
      </c>
      <c r="K743">
        <f>IFERROR(AGGREGATE(15,6,(ROW(Zeiterfassung!$D$6:$D$3665)-ROW(Zeiterfassung!$D$6)+1)/(Zeiterfassung!$D$6:$D$3665&lt;&gt;""),738),"")</f>
        <v/>
      </c>
    </row>
    <row r="744" ht="20" customHeight="1">
      <c r="A744" s="183">
        <f>IF($K744="","",WEEKNUM(INDEX(Zeiterfassung!$K$6:$K$3665,$K744),21))</f>
        <v/>
      </c>
      <c r="B744" s="184">
        <f>IF($K744="","",INDEX(Zeiterfassung!$K$6:$K$3665,$K744))</f>
        <v/>
      </c>
      <c r="C744" s="185">
        <f>IF($K744="","",INDEX(Zeiterfassung!$K$6:$K$3665,$K744))</f>
        <v/>
      </c>
      <c r="D744" s="186">
        <f>IF($K744="","",INDEX(Zeiterfassung!$D$6:$D$3665,$K744))</f>
        <v/>
      </c>
      <c r="E744" s="186">
        <f>IF($K744="","",INDEX(Zeiterfassung!$E$6:$E$3665,$K744))</f>
        <v/>
      </c>
      <c r="F744" s="187">
        <f>IF($K744="","",INDEX(Zeiterfassung!$F$6:$F$3665,$K744))</f>
        <v/>
      </c>
      <c r="G744" s="187">
        <f>IF($K744="","",INDEX(Zeiterfassung!$G$6:$G$3665,$K744))</f>
        <v/>
      </c>
      <c r="H744" s="188">
        <f>IF($K744="","",INDEX(Zeiterfassung!$H$6:$H$3665,$K744))</f>
        <v/>
      </c>
      <c r="I744" s="335">
        <f>IF(B744=B743,"",IF($K744="","",INDEX(Zeiterfassung!$I$6:$I$3665,MATCH(INDEX(Zeiterfassung!$K$6:$K$3665,$K744),Zeiterfassung!$K$6:$K$3665,0))))</f>
        <v/>
      </c>
      <c r="J744" s="335">
        <f>IF(B744=B743,"",IF($K744="","",INDEX(Zeiterfassung!$J$6:$J$3665,MATCH(INDEX(Zeiterfassung!$K$6:$K$3665,$K744),Zeiterfassung!$K$6:$K$3665,0))))</f>
        <v/>
      </c>
      <c r="K744">
        <f>IFERROR(AGGREGATE(15,6,(ROW(Zeiterfassung!$D$6:$D$3665)-ROW(Zeiterfassung!$D$6)+1)/(Zeiterfassung!$D$6:$D$3665&lt;&gt;""),739),"")</f>
        <v/>
      </c>
    </row>
    <row r="745" ht="20" customHeight="1">
      <c r="A745" s="183">
        <f>IF($K745="","",WEEKNUM(INDEX(Zeiterfassung!$K$6:$K$3665,$K745),21))</f>
        <v/>
      </c>
      <c r="B745" s="184">
        <f>IF($K745="","",INDEX(Zeiterfassung!$K$6:$K$3665,$K745))</f>
        <v/>
      </c>
      <c r="C745" s="185">
        <f>IF($K745="","",INDEX(Zeiterfassung!$K$6:$K$3665,$K745))</f>
        <v/>
      </c>
      <c r="D745" s="186">
        <f>IF($K745="","",INDEX(Zeiterfassung!$D$6:$D$3665,$K745))</f>
        <v/>
      </c>
      <c r="E745" s="186">
        <f>IF($K745="","",INDEX(Zeiterfassung!$E$6:$E$3665,$K745))</f>
        <v/>
      </c>
      <c r="F745" s="187">
        <f>IF($K745="","",INDEX(Zeiterfassung!$F$6:$F$3665,$K745))</f>
        <v/>
      </c>
      <c r="G745" s="187">
        <f>IF($K745="","",INDEX(Zeiterfassung!$G$6:$G$3665,$K745))</f>
        <v/>
      </c>
      <c r="H745" s="188">
        <f>IF($K745="","",INDEX(Zeiterfassung!$H$6:$H$3665,$K745))</f>
        <v/>
      </c>
      <c r="I745" s="335">
        <f>IF(B745=B744,"",IF($K745="","",INDEX(Zeiterfassung!$I$6:$I$3665,MATCH(INDEX(Zeiterfassung!$K$6:$K$3665,$K745),Zeiterfassung!$K$6:$K$3665,0))))</f>
        <v/>
      </c>
      <c r="J745" s="335">
        <f>IF(B745=B744,"",IF($K745="","",INDEX(Zeiterfassung!$J$6:$J$3665,MATCH(INDEX(Zeiterfassung!$K$6:$K$3665,$K745),Zeiterfassung!$K$6:$K$3665,0))))</f>
        <v/>
      </c>
      <c r="K745">
        <f>IFERROR(AGGREGATE(15,6,(ROW(Zeiterfassung!$D$6:$D$3665)-ROW(Zeiterfassung!$D$6)+1)/(Zeiterfassung!$D$6:$D$3665&lt;&gt;""),740),"")</f>
        <v/>
      </c>
    </row>
    <row r="746" ht="20" customHeight="1">
      <c r="A746" s="183">
        <f>IF($K746="","",WEEKNUM(INDEX(Zeiterfassung!$K$6:$K$3665,$K746),21))</f>
        <v/>
      </c>
      <c r="B746" s="184">
        <f>IF($K746="","",INDEX(Zeiterfassung!$K$6:$K$3665,$K746))</f>
        <v/>
      </c>
      <c r="C746" s="185">
        <f>IF($K746="","",INDEX(Zeiterfassung!$K$6:$K$3665,$K746))</f>
        <v/>
      </c>
      <c r="D746" s="186">
        <f>IF($K746="","",INDEX(Zeiterfassung!$D$6:$D$3665,$K746))</f>
        <v/>
      </c>
      <c r="E746" s="186">
        <f>IF($K746="","",INDEX(Zeiterfassung!$E$6:$E$3665,$K746))</f>
        <v/>
      </c>
      <c r="F746" s="187">
        <f>IF($K746="","",INDEX(Zeiterfassung!$F$6:$F$3665,$K746))</f>
        <v/>
      </c>
      <c r="G746" s="187">
        <f>IF($K746="","",INDEX(Zeiterfassung!$G$6:$G$3665,$K746))</f>
        <v/>
      </c>
      <c r="H746" s="188">
        <f>IF($K746="","",INDEX(Zeiterfassung!$H$6:$H$3665,$K746))</f>
        <v/>
      </c>
      <c r="I746" s="335">
        <f>IF(B746=B745,"",IF($K746="","",INDEX(Zeiterfassung!$I$6:$I$3665,MATCH(INDEX(Zeiterfassung!$K$6:$K$3665,$K746),Zeiterfassung!$K$6:$K$3665,0))))</f>
        <v/>
      </c>
      <c r="J746" s="335">
        <f>IF(B746=B745,"",IF($K746="","",INDEX(Zeiterfassung!$J$6:$J$3665,MATCH(INDEX(Zeiterfassung!$K$6:$K$3665,$K746),Zeiterfassung!$K$6:$K$3665,0))))</f>
        <v/>
      </c>
      <c r="K746">
        <f>IFERROR(AGGREGATE(15,6,(ROW(Zeiterfassung!$D$6:$D$3665)-ROW(Zeiterfassung!$D$6)+1)/(Zeiterfassung!$D$6:$D$3665&lt;&gt;""),741),"")</f>
        <v/>
      </c>
    </row>
    <row r="747" ht="20" customHeight="1">
      <c r="A747" s="183">
        <f>IF($K747="","",WEEKNUM(INDEX(Zeiterfassung!$K$6:$K$3665,$K747),21))</f>
        <v/>
      </c>
      <c r="B747" s="184">
        <f>IF($K747="","",INDEX(Zeiterfassung!$K$6:$K$3665,$K747))</f>
        <v/>
      </c>
      <c r="C747" s="185">
        <f>IF($K747="","",INDEX(Zeiterfassung!$K$6:$K$3665,$K747))</f>
        <v/>
      </c>
      <c r="D747" s="186">
        <f>IF($K747="","",INDEX(Zeiterfassung!$D$6:$D$3665,$K747))</f>
        <v/>
      </c>
      <c r="E747" s="186">
        <f>IF($K747="","",INDEX(Zeiterfassung!$E$6:$E$3665,$K747))</f>
        <v/>
      </c>
      <c r="F747" s="187">
        <f>IF($K747="","",INDEX(Zeiterfassung!$F$6:$F$3665,$K747))</f>
        <v/>
      </c>
      <c r="G747" s="187">
        <f>IF($K747="","",INDEX(Zeiterfassung!$G$6:$G$3665,$K747))</f>
        <v/>
      </c>
      <c r="H747" s="188">
        <f>IF($K747="","",INDEX(Zeiterfassung!$H$6:$H$3665,$K747))</f>
        <v/>
      </c>
      <c r="I747" s="335">
        <f>IF(B747=B746,"",IF($K747="","",INDEX(Zeiterfassung!$I$6:$I$3665,MATCH(INDEX(Zeiterfassung!$K$6:$K$3665,$K747),Zeiterfassung!$K$6:$K$3665,0))))</f>
        <v/>
      </c>
      <c r="J747" s="335">
        <f>IF(B747=B746,"",IF($K747="","",INDEX(Zeiterfassung!$J$6:$J$3665,MATCH(INDEX(Zeiterfassung!$K$6:$K$3665,$K747),Zeiterfassung!$K$6:$K$3665,0))))</f>
        <v/>
      </c>
      <c r="K747">
        <f>IFERROR(AGGREGATE(15,6,(ROW(Zeiterfassung!$D$6:$D$3665)-ROW(Zeiterfassung!$D$6)+1)/(Zeiterfassung!$D$6:$D$3665&lt;&gt;""),742),"")</f>
        <v/>
      </c>
    </row>
    <row r="748" ht="20" customHeight="1">
      <c r="A748" s="183">
        <f>IF($K748="","",WEEKNUM(INDEX(Zeiterfassung!$K$6:$K$3665,$K748),21))</f>
        <v/>
      </c>
      <c r="B748" s="184">
        <f>IF($K748="","",INDEX(Zeiterfassung!$K$6:$K$3665,$K748))</f>
        <v/>
      </c>
      <c r="C748" s="185">
        <f>IF($K748="","",INDEX(Zeiterfassung!$K$6:$K$3665,$K748))</f>
        <v/>
      </c>
      <c r="D748" s="186">
        <f>IF($K748="","",INDEX(Zeiterfassung!$D$6:$D$3665,$K748))</f>
        <v/>
      </c>
      <c r="E748" s="186">
        <f>IF($K748="","",INDEX(Zeiterfassung!$E$6:$E$3665,$K748))</f>
        <v/>
      </c>
      <c r="F748" s="187">
        <f>IF($K748="","",INDEX(Zeiterfassung!$F$6:$F$3665,$K748))</f>
        <v/>
      </c>
      <c r="G748" s="187">
        <f>IF($K748="","",INDEX(Zeiterfassung!$G$6:$G$3665,$K748))</f>
        <v/>
      </c>
      <c r="H748" s="188">
        <f>IF($K748="","",INDEX(Zeiterfassung!$H$6:$H$3665,$K748))</f>
        <v/>
      </c>
      <c r="I748" s="335">
        <f>IF(B748=B747,"",IF($K748="","",INDEX(Zeiterfassung!$I$6:$I$3665,MATCH(INDEX(Zeiterfassung!$K$6:$K$3665,$K748),Zeiterfassung!$K$6:$K$3665,0))))</f>
        <v/>
      </c>
      <c r="J748" s="335">
        <f>IF(B748=B747,"",IF($K748="","",INDEX(Zeiterfassung!$J$6:$J$3665,MATCH(INDEX(Zeiterfassung!$K$6:$K$3665,$K748),Zeiterfassung!$K$6:$K$3665,0))))</f>
        <v/>
      </c>
      <c r="K748">
        <f>IFERROR(AGGREGATE(15,6,(ROW(Zeiterfassung!$D$6:$D$3665)-ROW(Zeiterfassung!$D$6)+1)/(Zeiterfassung!$D$6:$D$3665&lt;&gt;""),743),"")</f>
        <v/>
      </c>
    </row>
    <row r="749" ht="20" customHeight="1">
      <c r="A749" s="183">
        <f>IF($K749="","",WEEKNUM(INDEX(Zeiterfassung!$K$6:$K$3665,$K749),21))</f>
        <v/>
      </c>
      <c r="B749" s="184">
        <f>IF($K749="","",INDEX(Zeiterfassung!$K$6:$K$3665,$K749))</f>
        <v/>
      </c>
      <c r="C749" s="185">
        <f>IF($K749="","",INDEX(Zeiterfassung!$K$6:$K$3665,$K749))</f>
        <v/>
      </c>
      <c r="D749" s="186">
        <f>IF($K749="","",INDEX(Zeiterfassung!$D$6:$D$3665,$K749))</f>
        <v/>
      </c>
      <c r="E749" s="186">
        <f>IF($K749="","",INDEX(Zeiterfassung!$E$6:$E$3665,$K749))</f>
        <v/>
      </c>
      <c r="F749" s="187">
        <f>IF($K749="","",INDEX(Zeiterfassung!$F$6:$F$3665,$K749))</f>
        <v/>
      </c>
      <c r="G749" s="187">
        <f>IF($K749="","",INDEX(Zeiterfassung!$G$6:$G$3665,$K749))</f>
        <v/>
      </c>
      <c r="H749" s="188">
        <f>IF($K749="","",INDEX(Zeiterfassung!$H$6:$H$3665,$K749))</f>
        <v/>
      </c>
      <c r="I749" s="335">
        <f>IF(B749=B748,"",IF($K749="","",INDEX(Zeiterfassung!$I$6:$I$3665,MATCH(INDEX(Zeiterfassung!$K$6:$K$3665,$K749),Zeiterfassung!$K$6:$K$3665,0))))</f>
        <v/>
      </c>
      <c r="J749" s="335">
        <f>IF(B749=B748,"",IF($K749="","",INDEX(Zeiterfassung!$J$6:$J$3665,MATCH(INDEX(Zeiterfassung!$K$6:$K$3665,$K749),Zeiterfassung!$K$6:$K$3665,0))))</f>
        <v/>
      </c>
      <c r="K749">
        <f>IFERROR(AGGREGATE(15,6,(ROW(Zeiterfassung!$D$6:$D$3665)-ROW(Zeiterfassung!$D$6)+1)/(Zeiterfassung!$D$6:$D$3665&lt;&gt;""),744),"")</f>
        <v/>
      </c>
    </row>
    <row r="750" ht="20" customHeight="1">
      <c r="A750" s="183">
        <f>IF($K750="","",WEEKNUM(INDEX(Zeiterfassung!$K$6:$K$3665,$K750),21))</f>
        <v/>
      </c>
      <c r="B750" s="184">
        <f>IF($K750="","",INDEX(Zeiterfassung!$K$6:$K$3665,$K750))</f>
        <v/>
      </c>
      <c r="C750" s="185">
        <f>IF($K750="","",INDEX(Zeiterfassung!$K$6:$K$3665,$K750))</f>
        <v/>
      </c>
      <c r="D750" s="186">
        <f>IF($K750="","",INDEX(Zeiterfassung!$D$6:$D$3665,$K750))</f>
        <v/>
      </c>
      <c r="E750" s="186">
        <f>IF($K750="","",INDEX(Zeiterfassung!$E$6:$E$3665,$K750))</f>
        <v/>
      </c>
      <c r="F750" s="187">
        <f>IF($K750="","",INDEX(Zeiterfassung!$F$6:$F$3665,$K750))</f>
        <v/>
      </c>
      <c r="G750" s="187">
        <f>IF($K750="","",INDEX(Zeiterfassung!$G$6:$G$3665,$K750))</f>
        <v/>
      </c>
      <c r="H750" s="188">
        <f>IF($K750="","",INDEX(Zeiterfassung!$H$6:$H$3665,$K750))</f>
        <v/>
      </c>
      <c r="I750" s="335">
        <f>IF(B750=B749,"",IF($K750="","",INDEX(Zeiterfassung!$I$6:$I$3665,MATCH(INDEX(Zeiterfassung!$K$6:$K$3665,$K750),Zeiterfassung!$K$6:$K$3665,0))))</f>
        <v/>
      </c>
      <c r="J750" s="335">
        <f>IF(B750=B749,"",IF($K750="","",INDEX(Zeiterfassung!$J$6:$J$3665,MATCH(INDEX(Zeiterfassung!$K$6:$K$3665,$K750),Zeiterfassung!$K$6:$K$3665,0))))</f>
        <v/>
      </c>
      <c r="K750">
        <f>IFERROR(AGGREGATE(15,6,(ROW(Zeiterfassung!$D$6:$D$3665)-ROW(Zeiterfassung!$D$6)+1)/(Zeiterfassung!$D$6:$D$3665&lt;&gt;""),745),"")</f>
        <v/>
      </c>
    </row>
    <row r="751" ht="20" customHeight="1">
      <c r="A751" s="183">
        <f>IF($K751="","",WEEKNUM(INDEX(Zeiterfassung!$K$6:$K$3665,$K751),21))</f>
        <v/>
      </c>
      <c r="B751" s="184">
        <f>IF($K751="","",INDEX(Zeiterfassung!$K$6:$K$3665,$K751))</f>
        <v/>
      </c>
      <c r="C751" s="185">
        <f>IF($K751="","",INDEX(Zeiterfassung!$K$6:$K$3665,$K751))</f>
        <v/>
      </c>
      <c r="D751" s="186">
        <f>IF($K751="","",INDEX(Zeiterfassung!$D$6:$D$3665,$K751))</f>
        <v/>
      </c>
      <c r="E751" s="186">
        <f>IF($K751="","",INDEX(Zeiterfassung!$E$6:$E$3665,$K751))</f>
        <v/>
      </c>
      <c r="F751" s="187">
        <f>IF($K751="","",INDEX(Zeiterfassung!$F$6:$F$3665,$K751))</f>
        <v/>
      </c>
      <c r="G751" s="187">
        <f>IF($K751="","",INDEX(Zeiterfassung!$G$6:$G$3665,$K751))</f>
        <v/>
      </c>
      <c r="H751" s="188">
        <f>IF($K751="","",INDEX(Zeiterfassung!$H$6:$H$3665,$K751))</f>
        <v/>
      </c>
      <c r="I751" s="335">
        <f>IF(B751=B750,"",IF($K751="","",INDEX(Zeiterfassung!$I$6:$I$3665,MATCH(INDEX(Zeiterfassung!$K$6:$K$3665,$K751),Zeiterfassung!$K$6:$K$3665,0))))</f>
        <v/>
      </c>
      <c r="J751" s="335">
        <f>IF(B751=B750,"",IF($K751="","",INDEX(Zeiterfassung!$J$6:$J$3665,MATCH(INDEX(Zeiterfassung!$K$6:$K$3665,$K751),Zeiterfassung!$K$6:$K$3665,0))))</f>
        <v/>
      </c>
      <c r="K751">
        <f>IFERROR(AGGREGATE(15,6,(ROW(Zeiterfassung!$D$6:$D$3665)-ROW(Zeiterfassung!$D$6)+1)/(Zeiterfassung!$D$6:$D$3665&lt;&gt;""),746),"")</f>
        <v/>
      </c>
    </row>
    <row r="752" ht="20" customHeight="1">
      <c r="A752" s="183">
        <f>IF($K752="","",WEEKNUM(INDEX(Zeiterfassung!$K$6:$K$3665,$K752),21))</f>
        <v/>
      </c>
      <c r="B752" s="184">
        <f>IF($K752="","",INDEX(Zeiterfassung!$K$6:$K$3665,$K752))</f>
        <v/>
      </c>
      <c r="C752" s="185">
        <f>IF($K752="","",INDEX(Zeiterfassung!$K$6:$K$3665,$K752))</f>
        <v/>
      </c>
      <c r="D752" s="186">
        <f>IF($K752="","",INDEX(Zeiterfassung!$D$6:$D$3665,$K752))</f>
        <v/>
      </c>
      <c r="E752" s="186">
        <f>IF($K752="","",INDEX(Zeiterfassung!$E$6:$E$3665,$K752))</f>
        <v/>
      </c>
      <c r="F752" s="187">
        <f>IF($K752="","",INDEX(Zeiterfassung!$F$6:$F$3665,$K752))</f>
        <v/>
      </c>
      <c r="G752" s="187">
        <f>IF($K752="","",INDEX(Zeiterfassung!$G$6:$G$3665,$K752))</f>
        <v/>
      </c>
      <c r="H752" s="188">
        <f>IF($K752="","",INDEX(Zeiterfassung!$H$6:$H$3665,$K752))</f>
        <v/>
      </c>
      <c r="I752" s="335">
        <f>IF(B752=B751,"",IF($K752="","",INDEX(Zeiterfassung!$I$6:$I$3665,MATCH(INDEX(Zeiterfassung!$K$6:$K$3665,$K752),Zeiterfassung!$K$6:$K$3665,0))))</f>
        <v/>
      </c>
      <c r="J752" s="335">
        <f>IF(B752=B751,"",IF($K752="","",INDEX(Zeiterfassung!$J$6:$J$3665,MATCH(INDEX(Zeiterfassung!$K$6:$K$3665,$K752),Zeiterfassung!$K$6:$K$3665,0))))</f>
        <v/>
      </c>
      <c r="K752">
        <f>IFERROR(AGGREGATE(15,6,(ROW(Zeiterfassung!$D$6:$D$3665)-ROW(Zeiterfassung!$D$6)+1)/(Zeiterfassung!$D$6:$D$3665&lt;&gt;""),747),"")</f>
        <v/>
      </c>
    </row>
    <row r="753" ht="20" customHeight="1">
      <c r="A753" s="183">
        <f>IF($K753="","",WEEKNUM(INDEX(Zeiterfassung!$K$6:$K$3665,$K753),21))</f>
        <v/>
      </c>
      <c r="B753" s="184">
        <f>IF($K753="","",INDEX(Zeiterfassung!$K$6:$K$3665,$K753))</f>
        <v/>
      </c>
      <c r="C753" s="185">
        <f>IF($K753="","",INDEX(Zeiterfassung!$K$6:$K$3665,$K753))</f>
        <v/>
      </c>
      <c r="D753" s="186">
        <f>IF($K753="","",INDEX(Zeiterfassung!$D$6:$D$3665,$K753))</f>
        <v/>
      </c>
      <c r="E753" s="186">
        <f>IF($K753="","",INDEX(Zeiterfassung!$E$6:$E$3665,$K753))</f>
        <v/>
      </c>
      <c r="F753" s="187">
        <f>IF($K753="","",INDEX(Zeiterfassung!$F$6:$F$3665,$K753))</f>
        <v/>
      </c>
      <c r="G753" s="187">
        <f>IF($K753="","",INDEX(Zeiterfassung!$G$6:$G$3665,$K753))</f>
        <v/>
      </c>
      <c r="H753" s="188">
        <f>IF($K753="","",INDEX(Zeiterfassung!$H$6:$H$3665,$K753))</f>
        <v/>
      </c>
      <c r="I753" s="335">
        <f>IF(B753=B752,"",IF($K753="","",INDEX(Zeiterfassung!$I$6:$I$3665,MATCH(INDEX(Zeiterfassung!$K$6:$K$3665,$K753),Zeiterfassung!$K$6:$K$3665,0))))</f>
        <v/>
      </c>
      <c r="J753" s="335">
        <f>IF(B753=B752,"",IF($K753="","",INDEX(Zeiterfassung!$J$6:$J$3665,MATCH(INDEX(Zeiterfassung!$K$6:$K$3665,$K753),Zeiterfassung!$K$6:$K$3665,0))))</f>
        <v/>
      </c>
      <c r="K753">
        <f>IFERROR(AGGREGATE(15,6,(ROW(Zeiterfassung!$D$6:$D$3665)-ROW(Zeiterfassung!$D$6)+1)/(Zeiterfassung!$D$6:$D$3665&lt;&gt;""),748),"")</f>
        <v/>
      </c>
    </row>
    <row r="754" ht="20" customHeight="1">
      <c r="A754" s="183">
        <f>IF($K754="","",WEEKNUM(INDEX(Zeiterfassung!$K$6:$K$3665,$K754),21))</f>
        <v/>
      </c>
      <c r="B754" s="184">
        <f>IF($K754="","",INDEX(Zeiterfassung!$K$6:$K$3665,$K754))</f>
        <v/>
      </c>
      <c r="C754" s="185">
        <f>IF($K754="","",INDEX(Zeiterfassung!$K$6:$K$3665,$K754))</f>
        <v/>
      </c>
      <c r="D754" s="186">
        <f>IF($K754="","",INDEX(Zeiterfassung!$D$6:$D$3665,$K754))</f>
        <v/>
      </c>
      <c r="E754" s="186">
        <f>IF($K754="","",INDEX(Zeiterfassung!$E$6:$E$3665,$K754))</f>
        <v/>
      </c>
      <c r="F754" s="187">
        <f>IF($K754="","",INDEX(Zeiterfassung!$F$6:$F$3665,$K754))</f>
        <v/>
      </c>
      <c r="G754" s="187">
        <f>IF($K754="","",INDEX(Zeiterfassung!$G$6:$G$3665,$K754))</f>
        <v/>
      </c>
      <c r="H754" s="188">
        <f>IF($K754="","",INDEX(Zeiterfassung!$H$6:$H$3665,$K754))</f>
        <v/>
      </c>
      <c r="I754" s="335">
        <f>IF(B754=B753,"",IF($K754="","",INDEX(Zeiterfassung!$I$6:$I$3665,MATCH(INDEX(Zeiterfassung!$K$6:$K$3665,$K754),Zeiterfassung!$K$6:$K$3665,0))))</f>
        <v/>
      </c>
      <c r="J754" s="335">
        <f>IF(B754=B753,"",IF($K754="","",INDEX(Zeiterfassung!$J$6:$J$3665,MATCH(INDEX(Zeiterfassung!$K$6:$K$3665,$K754),Zeiterfassung!$K$6:$K$3665,0))))</f>
        <v/>
      </c>
      <c r="K754">
        <f>IFERROR(AGGREGATE(15,6,(ROW(Zeiterfassung!$D$6:$D$3665)-ROW(Zeiterfassung!$D$6)+1)/(Zeiterfassung!$D$6:$D$3665&lt;&gt;""),749),"")</f>
        <v/>
      </c>
    </row>
    <row r="755" ht="20" customHeight="1">
      <c r="A755" s="183">
        <f>IF($K755="","",WEEKNUM(INDEX(Zeiterfassung!$K$6:$K$3665,$K755),21))</f>
        <v/>
      </c>
      <c r="B755" s="184">
        <f>IF($K755="","",INDEX(Zeiterfassung!$K$6:$K$3665,$K755))</f>
        <v/>
      </c>
      <c r="C755" s="185">
        <f>IF($K755="","",INDEX(Zeiterfassung!$K$6:$K$3665,$K755))</f>
        <v/>
      </c>
      <c r="D755" s="186">
        <f>IF($K755="","",INDEX(Zeiterfassung!$D$6:$D$3665,$K755))</f>
        <v/>
      </c>
      <c r="E755" s="186">
        <f>IF($K755="","",INDEX(Zeiterfassung!$E$6:$E$3665,$K755))</f>
        <v/>
      </c>
      <c r="F755" s="187">
        <f>IF($K755="","",INDEX(Zeiterfassung!$F$6:$F$3665,$K755))</f>
        <v/>
      </c>
      <c r="G755" s="187">
        <f>IF($K755="","",INDEX(Zeiterfassung!$G$6:$G$3665,$K755))</f>
        <v/>
      </c>
      <c r="H755" s="188">
        <f>IF($K755="","",INDEX(Zeiterfassung!$H$6:$H$3665,$K755))</f>
        <v/>
      </c>
      <c r="I755" s="335">
        <f>IF(B755=B754,"",IF($K755="","",INDEX(Zeiterfassung!$I$6:$I$3665,MATCH(INDEX(Zeiterfassung!$K$6:$K$3665,$K755),Zeiterfassung!$K$6:$K$3665,0))))</f>
        <v/>
      </c>
      <c r="J755" s="335">
        <f>IF(B755=B754,"",IF($K755="","",INDEX(Zeiterfassung!$J$6:$J$3665,MATCH(INDEX(Zeiterfassung!$K$6:$K$3665,$K755),Zeiterfassung!$K$6:$K$3665,0))))</f>
        <v/>
      </c>
      <c r="K755">
        <f>IFERROR(AGGREGATE(15,6,(ROW(Zeiterfassung!$D$6:$D$3665)-ROW(Zeiterfassung!$D$6)+1)/(Zeiterfassung!$D$6:$D$3665&lt;&gt;""),750),"")</f>
        <v/>
      </c>
    </row>
    <row r="756" ht="20" customHeight="1">
      <c r="A756" s="183">
        <f>IF($K756="","",WEEKNUM(INDEX(Zeiterfassung!$K$6:$K$3665,$K756),21))</f>
        <v/>
      </c>
      <c r="B756" s="184">
        <f>IF($K756="","",INDEX(Zeiterfassung!$K$6:$K$3665,$K756))</f>
        <v/>
      </c>
      <c r="C756" s="185">
        <f>IF($K756="","",INDEX(Zeiterfassung!$K$6:$K$3665,$K756))</f>
        <v/>
      </c>
      <c r="D756" s="186">
        <f>IF($K756="","",INDEX(Zeiterfassung!$D$6:$D$3665,$K756))</f>
        <v/>
      </c>
      <c r="E756" s="186">
        <f>IF($K756="","",INDEX(Zeiterfassung!$E$6:$E$3665,$K756))</f>
        <v/>
      </c>
      <c r="F756" s="187">
        <f>IF($K756="","",INDEX(Zeiterfassung!$F$6:$F$3665,$K756))</f>
        <v/>
      </c>
      <c r="G756" s="187">
        <f>IF($K756="","",INDEX(Zeiterfassung!$G$6:$G$3665,$K756))</f>
        <v/>
      </c>
      <c r="H756" s="188">
        <f>IF($K756="","",INDEX(Zeiterfassung!$H$6:$H$3665,$K756))</f>
        <v/>
      </c>
      <c r="I756" s="335">
        <f>IF(B756=B755,"",IF($K756="","",INDEX(Zeiterfassung!$I$6:$I$3665,MATCH(INDEX(Zeiterfassung!$K$6:$K$3665,$K756),Zeiterfassung!$K$6:$K$3665,0))))</f>
        <v/>
      </c>
      <c r="J756" s="335">
        <f>IF(B756=B755,"",IF($K756="","",INDEX(Zeiterfassung!$J$6:$J$3665,MATCH(INDEX(Zeiterfassung!$K$6:$K$3665,$K756),Zeiterfassung!$K$6:$K$3665,0))))</f>
        <v/>
      </c>
      <c r="K756">
        <f>IFERROR(AGGREGATE(15,6,(ROW(Zeiterfassung!$D$6:$D$3665)-ROW(Zeiterfassung!$D$6)+1)/(Zeiterfassung!$D$6:$D$3665&lt;&gt;""),751),"")</f>
        <v/>
      </c>
    </row>
    <row r="757" ht="20" customHeight="1">
      <c r="A757" s="183">
        <f>IF($K757="","",WEEKNUM(INDEX(Zeiterfassung!$K$6:$K$3665,$K757),21))</f>
        <v/>
      </c>
      <c r="B757" s="184">
        <f>IF($K757="","",INDEX(Zeiterfassung!$K$6:$K$3665,$K757))</f>
        <v/>
      </c>
      <c r="C757" s="185">
        <f>IF($K757="","",INDEX(Zeiterfassung!$K$6:$K$3665,$K757))</f>
        <v/>
      </c>
      <c r="D757" s="186">
        <f>IF($K757="","",INDEX(Zeiterfassung!$D$6:$D$3665,$K757))</f>
        <v/>
      </c>
      <c r="E757" s="186">
        <f>IF($K757="","",INDEX(Zeiterfassung!$E$6:$E$3665,$K757))</f>
        <v/>
      </c>
      <c r="F757" s="187">
        <f>IF($K757="","",INDEX(Zeiterfassung!$F$6:$F$3665,$K757))</f>
        <v/>
      </c>
      <c r="G757" s="187">
        <f>IF($K757="","",INDEX(Zeiterfassung!$G$6:$G$3665,$K757))</f>
        <v/>
      </c>
      <c r="H757" s="188">
        <f>IF($K757="","",INDEX(Zeiterfassung!$H$6:$H$3665,$K757))</f>
        <v/>
      </c>
      <c r="I757" s="335">
        <f>IF(B757=B756,"",IF($K757="","",INDEX(Zeiterfassung!$I$6:$I$3665,MATCH(INDEX(Zeiterfassung!$K$6:$K$3665,$K757),Zeiterfassung!$K$6:$K$3665,0))))</f>
        <v/>
      </c>
      <c r="J757" s="335">
        <f>IF(B757=B756,"",IF($K757="","",INDEX(Zeiterfassung!$J$6:$J$3665,MATCH(INDEX(Zeiterfassung!$K$6:$K$3665,$K757),Zeiterfassung!$K$6:$K$3665,0))))</f>
        <v/>
      </c>
      <c r="K757">
        <f>IFERROR(AGGREGATE(15,6,(ROW(Zeiterfassung!$D$6:$D$3665)-ROW(Zeiterfassung!$D$6)+1)/(Zeiterfassung!$D$6:$D$3665&lt;&gt;""),752),"")</f>
        <v/>
      </c>
    </row>
    <row r="758" ht="20" customHeight="1">
      <c r="A758" s="183">
        <f>IF($K758="","",WEEKNUM(INDEX(Zeiterfassung!$K$6:$K$3665,$K758),21))</f>
        <v/>
      </c>
      <c r="B758" s="184">
        <f>IF($K758="","",INDEX(Zeiterfassung!$K$6:$K$3665,$K758))</f>
        <v/>
      </c>
      <c r="C758" s="185">
        <f>IF($K758="","",INDEX(Zeiterfassung!$K$6:$K$3665,$K758))</f>
        <v/>
      </c>
      <c r="D758" s="186">
        <f>IF($K758="","",INDEX(Zeiterfassung!$D$6:$D$3665,$K758))</f>
        <v/>
      </c>
      <c r="E758" s="186">
        <f>IF($K758="","",INDEX(Zeiterfassung!$E$6:$E$3665,$K758))</f>
        <v/>
      </c>
      <c r="F758" s="187">
        <f>IF($K758="","",INDEX(Zeiterfassung!$F$6:$F$3665,$K758))</f>
        <v/>
      </c>
      <c r="G758" s="187">
        <f>IF($K758="","",INDEX(Zeiterfassung!$G$6:$G$3665,$K758))</f>
        <v/>
      </c>
      <c r="H758" s="188">
        <f>IF($K758="","",INDEX(Zeiterfassung!$H$6:$H$3665,$K758))</f>
        <v/>
      </c>
      <c r="I758" s="335">
        <f>IF(B758=B757,"",IF($K758="","",INDEX(Zeiterfassung!$I$6:$I$3665,MATCH(INDEX(Zeiterfassung!$K$6:$K$3665,$K758),Zeiterfassung!$K$6:$K$3665,0))))</f>
        <v/>
      </c>
      <c r="J758" s="335">
        <f>IF(B758=B757,"",IF($K758="","",INDEX(Zeiterfassung!$J$6:$J$3665,MATCH(INDEX(Zeiterfassung!$K$6:$K$3665,$K758),Zeiterfassung!$K$6:$K$3665,0))))</f>
        <v/>
      </c>
      <c r="K758">
        <f>IFERROR(AGGREGATE(15,6,(ROW(Zeiterfassung!$D$6:$D$3665)-ROW(Zeiterfassung!$D$6)+1)/(Zeiterfassung!$D$6:$D$3665&lt;&gt;""),753),"")</f>
        <v/>
      </c>
    </row>
    <row r="759" ht="20" customHeight="1">
      <c r="A759" s="183">
        <f>IF($K759="","",WEEKNUM(INDEX(Zeiterfassung!$K$6:$K$3665,$K759),21))</f>
        <v/>
      </c>
      <c r="B759" s="184">
        <f>IF($K759="","",INDEX(Zeiterfassung!$K$6:$K$3665,$K759))</f>
        <v/>
      </c>
      <c r="C759" s="185">
        <f>IF($K759="","",INDEX(Zeiterfassung!$K$6:$K$3665,$K759))</f>
        <v/>
      </c>
      <c r="D759" s="186">
        <f>IF($K759="","",INDEX(Zeiterfassung!$D$6:$D$3665,$K759))</f>
        <v/>
      </c>
      <c r="E759" s="186">
        <f>IF($K759="","",INDEX(Zeiterfassung!$E$6:$E$3665,$K759))</f>
        <v/>
      </c>
      <c r="F759" s="187">
        <f>IF($K759="","",INDEX(Zeiterfassung!$F$6:$F$3665,$K759))</f>
        <v/>
      </c>
      <c r="G759" s="187">
        <f>IF($K759="","",INDEX(Zeiterfassung!$G$6:$G$3665,$K759))</f>
        <v/>
      </c>
      <c r="H759" s="188">
        <f>IF($K759="","",INDEX(Zeiterfassung!$H$6:$H$3665,$K759))</f>
        <v/>
      </c>
      <c r="I759" s="335">
        <f>IF(B759=B758,"",IF($K759="","",INDEX(Zeiterfassung!$I$6:$I$3665,MATCH(INDEX(Zeiterfassung!$K$6:$K$3665,$K759),Zeiterfassung!$K$6:$K$3665,0))))</f>
        <v/>
      </c>
      <c r="J759" s="335">
        <f>IF(B759=B758,"",IF($K759="","",INDEX(Zeiterfassung!$J$6:$J$3665,MATCH(INDEX(Zeiterfassung!$K$6:$K$3665,$K759),Zeiterfassung!$K$6:$K$3665,0))))</f>
        <v/>
      </c>
      <c r="K759">
        <f>IFERROR(AGGREGATE(15,6,(ROW(Zeiterfassung!$D$6:$D$3665)-ROW(Zeiterfassung!$D$6)+1)/(Zeiterfassung!$D$6:$D$3665&lt;&gt;""),754),"")</f>
        <v/>
      </c>
    </row>
    <row r="760" ht="20" customHeight="1">
      <c r="A760" s="183">
        <f>IF($K760="","",WEEKNUM(INDEX(Zeiterfassung!$K$6:$K$3665,$K760),21))</f>
        <v/>
      </c>
      <c r="B760" s="184">
        <f>IF($K760="","",INDEX(Zeiterfassung!$K$6:$K$3665,$K760))</f>
        <v/>
      </c>
      <c r="C760" s="185">
        <f>IF($K760="","",INDEX(Zeiterfassung!$K$6:$K$3665,$K760))</f>
        <v/>
      </c>
      <c r="D760" s="186">
        <f>IF($K760="","",INDEX(Zeiterfassung!$D$6:$D$3665,$K760))</f>
        <v/>
      </c>
      <c r="E760" s="186">
        <f>IF($K760="","",INDEX(Zeiterfassung!$E$6:$E$3665,$K760))</f>
        <v/>
      </c>
      <c r="F760" s="187">
        <f>IF($K760="","",INDEX(Zeiterfassung!$F$6:$F$3665,$K760))</f>
        <v/>
      </c>
      <c r="G760" s="187">
        <f>IF($K760="","",INDEX(Zeiterfassung!$G$6:$G$3665,$K760))</f>
        <v/>
      </c>
      <c r="H760" s="188">
        <f>IF($K760="","",INDEX(Zeiterfassung!$H$6:$H$3665,$K760))</f>
        <v/>
      </c>
      <c r="I760" s="335">
        <f>IF(B760=B759,"",IF($K760="","",INDEX(Zeiterfassung!$I$6:$I$3665,MATCH(INDEX(Zeiterfassung!$K$6:$K$3665,$K760),Zeiterfassung!$K$6:$K$3665,0))))</f>
        <v/>
      </c>
      <c r="J760" s="335">
        <f>IF(B760=B759,"",IF($K760="","",INDEX(Zeiterfassung!$J$6:$J$3665,MATCH(INDEX(Zeiterfassung!$K$6:$K$3665,$K760),Zeiterfassung!$K$6:$K$3665,0))))</f>
        <v/>
      </c>
      <c r="K760">
        <f>IFERROR(AGGREGATE(15,6,(ROW(Zeiterfassung!$D$6:$D$3665)-ROW(Zeiterfassung!$D$6)+1)/(Zeiterfassung!$D$6:$D$3665&lt;&gt;""),755),"")</f>
        <v/>
      </c>
    </row>
    <row r="761" ht="20" customHeight="1">
      <c r="A761" s="183">
        <f>IF($K761="","",WEEKNUM(INDEX(Zeiterfassung!$K$6:$K$3665,$K761),21))</f>
        <v/>
      </c>
      <c r="B761" s="184">
        <f>IF($K761="","",INDEX(Zeiterfassung!$K$6:$K$3665,$K761))</f>
        <v/>
      </c>
      <c r="C761" s="185">
        <f>IF($K761="","",INDEX(Zeiterfassung!$K$6:$K$3665,$K761))</f>
        <v/>
      </c>
      <c r="D761" s="186">
        <f>IF($K761="","",INDEX(Zeiterfassung!$D$6:$D$3665,$K761))</f>
        <v/>
      </c>
      <c r="E761" s="186">
        <f>IF($K761="","",INDEX(Zeiterfassung!$E$6:$E$3665,$K761))</f>
        <v/>
      </c>
      <c r="F761" s="187">
        <f>IF($K761="","",INDEX(Zeiterfassung!$F$6:$F$3665,$K761))</f>
        <v/>
      </c>
      <c r="G761" s="187">
        <f>IF($K761="","",INDEX(Zeiterfassung!$G$6:$G$3665,$K761))</f>
        <v/>
      </c>
      <c r="H761" s="188">
        <f>IF($K761="","",INDEX(Zeiterfassung!$H$6:$H$3665,$K761))</f>
        <v/>
      </c>
      <c r="I761" s="335">
        <f>IF(B761=B760,"",IF($K761="","",INDEX(Zeiterfassung!$I$6:$I$3665,MATCH(INDEX(Zeiterfassung!$K$6:$K$3665,$K761),Zeiterfassung!$K$6:$K$3665,0))))</f>
        <v/>
      </c>
      <c r="J761" s="335">
        <f>IF(B761=B760,"",IF($K761="","",INDEX(Zeiterfassung!$J$6:$J$3665,MATCH(INDEX(Zeiterfassung!$K$6:$K$3665,$K761),Zeiterfassung!$K$6:$K$3665,0))))</f>
        <v/>
      </c>
      <c r="K761">
        <f>IFERROR(AGGREGATE(15,6,(ROW(Zeiterfassung!$D$6:$D$3665)-ROW(Zeiterfassung!$D$6)+1)/(Zeiterfassung!$D$6:$D$3665&lt;&gt;""),756),"")</f>
        <v/>
      </c>
    </row>
    <row r="762" ht="20" customHeight="1">
      <c r="A762" s="183">
        <f>IF($K762="","",WEEKNUM(INDEX(Zeiterfassung!$K$6:$K$3665,$K762),21))</f>
        <v/>
      </c>
      <c r="B762" s="184">
        <f>IF($K762="","",INDEX(Zeiterfassung!$K$6:$K$3665,$K762))</f>
        <v/>
      </c>
      <c r="C762" s="185">
        <f>IF($K762="","",INDEX(Zeiterfassung!$K$6:$K$3665,$K762))</f>
        <v/>
      </c>
      <c r="D762" s="186">
        <f>IF($K762="","",INDEX(Zeiterfassung!$D$6:$D$3665,$K762))</f>
        <v/>
      </c>
      <c r="E762" s="186">
        <f>IF($K762="","",INDEX(Zeiterfassung!$E$6:$E$3665,$K762))</f>
        <v/>
      </c>
      <c r="F762" s="187">
        <f>IF($K762="","",INDEX(Zeiterfassung!$F$6:$F$3665,$K762))</f>
        <v/>
      </c>
      <c r="G762" s="187">
        <f>IF($K762="","",INDEX(Zeiterfassung!$G$6:$G$3665,$K762))</f>
        <v/>
      </c>
      <c r="H762" s="188">
        <f>IF($K762="","",INDEX(Zeiterfassung!$H$6:$H$3665,$K762))</f>
        <v/>
      </c>
      <c r="I762" s="335">
        <f>IF(B762=B761,"",IF($K762="","",INDEX(Zeiterfassung!$I$6:$I$3665,MATCH(INDEX(Zeiterfassung!$K$6:$K$3665,$K762),Zeiterfassung!$K$6:$K$3665,0))))</f>
        <v/>
      </c>
      <c r="J762" s="335">
        <f>IF(B762=B761,"",IF($K762="","",INDEX(Zeiterfassung!$J$6:$J$3665,MATCH(INDEX(Zeiterfassung!$K$6:$K$3665,$K762),Zeiterfassung!$K$6:$K$3665,0))))</f>
        <v/>
      </c>
      <c r="K762">
        <f>IFERROR(AGGREGATE(15,6,(ROW(Zeiterfassung!$D$6:$D$3665)-ROW(Zeiterfassung!$D$6)+1)/(Zeiterfassung!$D$6:$D$3665&lt;&gt;""),757),"")</f>
        <v/>
      </c>
    </row>
    <row r="763" ht="20" customHeight="1">
      <c r="A763" s="183">
        <f>IF($K763="","",WEEKNUM(INDEX(Zeiterfassung!$K$6:$K$3665,$K763),21))</f>
        <v/>
      </c>
      <c r="B763" s="184">
        <f>IF($K763="","",INDEX(Zeiterfassung!$K$6:$K$3665,$K763))</f>
        <v/>
      </c>
      <c r="C763" s="185">
        <f>IF($K763="","",INDEX(Zeiterfassung!$K$6:$K$3665,$K763))</f>
        <v/>
      </c>
      <c r="D763" s="186">
        <f>IF($K763="","",INDEX(Zeiterfassung!$D$6:$D$3665,$K763))</f>
        <v/>
      </c>
      <c r="E763" s="186">
        <f>IF($K763="","",INDEX(Zeiterfassung!$E$6:$E$3665,$K763))</f>
        <v/>
      </c>
      <c r="F763" s="187">
        <f>IF($K763="","",INDEX(Zeiterfassung!$F$6:$F$3665,$K763))</f>
        <v/>
      </c>
      <c r="G763" s="187">
        <f>IF($K763="","",INDEX(Zeiterfassung!$G$6:$G$3665,$K763))</f>
        <v/>
      </c>
      <c r="H763" s="188">
        <f>IF($K763="","",INDEX(Zeiterfassung!$H$6:$H$3665,$K763))</f>
        <v/>
      </c>
      <c r="I763" s="335">
        <f>IF(B763=B762,"",IF($K763="","",INDEX(Zeiterfassung!$I$6:$I$3665,MATCH(INDEX(Zeiterfassung!$K$6:$K$3665,$K763),Zeiterfassung!$K$6:$K$3665,0))))</f>
        <v/>
      </c>
      <c r="J763" s="335">
        <f>IF(B763=B762,"",IF($K763="","",INDEX(Zeiterfassung!$J$6:$J$3665,MATCH(INDEX(Zeiterfassung!$K$6:$K$3665,$K763),Zeiterfassung!$K$6:$K$3665,0))))</f>
        <v/>
      </c>
      <c r="K763">
        <f>IFERROR(AGGREGATE(15,6,(ROW(Zeiterfassung!$D$6:$D$3665)-ROW(Zeiterfassung!$D$6)+1)/(Zeiterfassung!$D$6:$D$3665&lt;&gt;""),758),"")</f>
        <v/>
      </c>
    </row>
    <row r="764" ht="20" customHeight="1">
      <c r="A764" s="183">
        <f>IF($K764="","",WEEKNUM(INDEX(Zeiterfassung!$K$6:$K$3665,$K764),21))</f>
        <v/>
      </c>
      <c r="B764" s="184">
        <f>IF($K764="","",INDEX(Zeiterfassung!$K$6:$K$3665,$K764))</f>
        <v/>
      </c>
      <c r="C764" s="185">
        <f>IF($K764="","",INDEX(Zeiterfassung!$K$6:$K$3665,$K764))</f>
        <v/>
      </c>
      <c r="D764" s="186">
        <f>IF($K764="","",INDEX(Zeiterfassung!$D$6:$D$3665,$K764))</f>
        <v/>
      </c>
      <c r="E764" s="186">
        <f>IF($K764="","",INDEX(Zeiterfassung!$E$6:$E$3665,$K764))</f>
        <v/>
      </c>
      <c r="F764" s="187">
        <f>IF($K764="","",INDEX(Zeiterfassung!$F$6:$F$3665,$K764))</f>
        <v/>
      </c>
      <c r="G764" s="187">
        <f>IF($K764="","",INDEX(Zeiterfassung!$G$6:$G$3665,$K764))</f>
        <v/>
      </c>
      <c r="H764" s="188">
        <f>IF($K764="","",INDEX(Zeiterfassung!$H$6:$H$3665,$K764))</f>
        <v/>
      </c>
      <c r="I764" s="335">
        <f>IF(B764=B763,"",IF($K764="","",INDEX(Zeiterfassung!$I$6:$I$3665,MATCH(INDEX(Zeiterfassung!$K$6:$K$3665,$K764),Zeiterfassung!$K$6:$K$3665,0))))</f>
        <v/>
      </c>
      <c r="J764" s="335">
        <f>IF(B764=B763,"",IF($K764="","",INDEX(Zeiterfassung!$J$6:$J$3665,MATCH(INDEX(Zeiterfassung!$K$6:$K$3665,$K764),Zeiterfassung!$K$6:$K$3665,0))))</f>
        <v/>
      </c>
      <c r="K764">
        <f>IFERROR(AGGREGATE(15,6,(ROW(Zeiterfassung!$D$6:$D$3665)-ROW(Zeiterfassung!$D$6)+1)/(Zeiterfassung!$D$6:$D$3665&lt;&gt;""),759),"")</f>
        <v/>
      </c>
    </row>
    <row r="765" ht="20" customHeight="1">
      <c r="A765" s="183">
        <f>IF($K765="","",WEEKNUM(INDEX(Zeiterfassung!$K$6:$K$3665,$K765),21))</f>
        <v/>
      </c>
      <c r="B765" s="184">
        <f>IF($K765="","",INDEX(Zeiterfassung!$K$6:$K$3665,$K765))</f>
        <v/>
      </c>
      <c r="C765" s="185">
        <f>IF($K765="","",INDEX(Zeiterfassung!$K$6:$K$3665,$K765))</f>
        <v/>
      </c>
      <c r="D765" s="186">
        <f>IF($K765="","",INDEX(Zeiterfassung!$D$6:$D$3665,$K765))</f>
        <v/>
      </c>
      <c r="E765" s="186">
        <f>IF($K765="","",INDEX(Zeiterfassung!$E$6:$E$3665,$K765))</f>
        <v/>
      </c>
      <c r="F765" s="187">
        <f>IF($K765="","",INDEX(Zeiterfassung!$F$6:$F$3665,$K765))</f>
        <v/>
      </c>
      <c r="G765" s="187">
        <f>IF($K765="","",INDEX(Zeiterfassung!$G$6:$G$3665,$K765))</f>
        <v/>
      </c>
      <c r="H765" s="188">
        <f>IF($K765="","",INDEX(Zeiterfassung!$H$6:$H$3665,$K765))</f>
        <v/>
      </c>
      <c r="I765" s="335">
        <f>IF(B765=B764,"",IF($K765="","",INDEX(Zeiterfassung!$I$6:$I$3665,MATCH(INDEX(Zeiterfassung!$K$6:$K$3665,$K765),Zeiterfassung!$K$6:$K$3665,0))))</f>
        <v/>
      </c>
      <c r="J765" s="335">
        <f>IF(B765=B764,"",IF($K765="","",INDEX(Zeiterfassung!$J$6:$J$3665,MATCH(INDEX(Zeiterfassung!$K$6:$K$3665,$K765),Zeiterfassung!$K$6:$K$3665,0))))</f>
        <v/>
      </c>
      <c r="K765">
        <f>IFERROR(AGGREGATE(15,6,(ROW(Zeiterfassung!$D$6:$D$3665)-ROW(Zeiterfassung!$D$6)+1)/(Zeiterfassung!$D$6:$D$3665&lt;&gt;""),760),"")</f>
        <v/>
      </c>
    </row>
    <row r="766" ht="20" customHeight="1">
      <c r="A766" s="183">
        <f>IF($K766="","",WEEKNUM(INDEX(Zeiterfassung!$K$6:$K$3665,$K766),21))</f>
        <v/>
      </c>
      <c r="B766" s="184">
        <f>IF($K766="","",INDEX(Zeiterfassung!$K$6:$K$3665,$K766))</f>
        <v/>
      </c>
      <c r="C766" s="185">
        <f>IF($K766="","",INDEX(Zeiterfassung!$K$6:$K$3665,$K766))</f>
        <v/>
      </c>
      <c r="D766" s="186">
        <f>IF($K766="","",INDEX(Zeiterfassung!$D$6:$D$3665,$K766))</f>
        <v/>
      </c>
      <c r="E766" s="186">
        <f>IF($K766="","",INDEX(Zeiterfassung!$E$6:$E$3665,$K766))</f>
        <v/>
      </c>
      <c r="F766" s="187">
        <f>IF($K766="","",INDEX(Zeiterfassung!$F$6:$F$3665,$K766))</f>
        <v/>
      </c>
      <c r="G766" s="187">
        <f>IF($K766="","",INDEX(Zeiterfassung!$G$6:$G$3665,$K766))</f>
        <v/>
      </c>
      <c r="H766" s="188">
        <f>IF($K766="","",INDEX(Zeiterfassung!$H$6:$H$3665,$K766))</f>
        <v/>
      </c>
      <c r="I766" s="335">
        <f>IF(B766=B765,"",IF($K766="","",INDEX(Zeiterfassung!$I$6:$I$3665,MATCH(INDEX(Zeiterfassung!$K$6:$K$3665,$K766),Zeiterfassung!$K$6:$K$3665,0))))</f>
        <v/>
      </c>
      <c r="J766" s="335">
        <f>IF(B766=B765,"",IF($K766="","",INDEX(Zeiterfassung!$J$6:$J$3665,MATCH(INDEX(Zeiterfassung!$K$6:$K$3665,$K766),Zeiterfassung!$K$6:$K$3665,0))))</f>
        <v/>
      </c>
      <c r="K766">
        <f>IFERROR(AGGREGATE(15,6,(ROW(Zeiterfassung!$D$6:$D$3665)-ROW(Zeiterfassung!$D$6)+1)/(Zeiterfassung!$D$6:$D$3665&lt;&gt;""),761),"")</f>
        <v/>
      </c>
    </row>
    <row r="767" ht="20" customHeight="1">
      <c r="A767" s="183">
        <f>IF($K767="","",WEEKNUM(INDEX(Zeiterfassung!$K$6:$K$3665,$K767),21))</f>
        <v/>
      </c>
      <c r="B767" s="184">
        <f>IF($K767="","",INDEX(Zeiterfassung!$K$6:$K$3665,$K767))</f>
        <v/>
      </c>
      <c r="C767" s="185">
        <f>IF($K767="","",INDEX(Zeiterfassung!$K$6:$K$3665,$K767))</f>
        <v/>
      </c>
      <c r="D767" s="186">
        <f>IF($K767="","",INDEX(Zeiterfassung!$D$6:$D$3665,$K767))</f>
        <v/>
      </c>
      <c r="E767" s="186">
        <f>IF($K767="","",INDEX(Zeiterfassung!$E$6:$E$3665,$K767))</f>
        <v/>
      </c>
      <c r="F767" s="187">
        <f>IF($K767="","",INDEX(Zeiterfassung!$F$6:$F$3665,$K767))</f>
        <v/>
      </c>
      <c r="G767" s="187">
        <f>IF($K767="","",INDEX(Zeiterfassung!$G$6:$G$3665,$K767))</f>
        <v/>
      </c>
      <c r="H767" s="188">
        <f>IF($K767="","",INDEX(Zeiterfassung!$H$6:$H$3665,$K767))</f>
        <v/>
      </c>
      <c r="I767" s="335">
        <f>IF(B767=B766,"",IF($K767="","",INDEX(Zeiterfassung!$I$6:$I$3665,MATCH(INDEX(Zeiterfassung!$K$6:$K$3665,$K767),Zeiterfassung!$K$6:$K$3665,0))))</f>
        <v/>
      </c>
      <c r="J767" s="335">
        <f>IF(B767=B766,"",IF($K767="","",INDEX(Zeiterfassung!$J$6:$J$3665,MATCH(INDEX(Zeiterfassung!$K$6:$K$3665,$K767),Zeiterfassung!$K$6:$K$3665,0))))</f>
        <v/>
      </c>
      <c r="K767">
        <f>IFERROR(AGGREGATE(15,6,(ROW(Zeiterfassung!$D$6:$D$3665)-ROW(Zeiterfassung!$D$6)+1)/(Zeiterfassung!$D$6:$D$3665&lt;&gt;""),762),"")</f>
        <v/>
      </c>
    </row>
    <row r="768" ht="20" customHeight="1">
      <c r="A768" s="183">
        <f>IF($K768="","",WEEKNUM(INDEX(Zeiterfassung!$K$6:$K$3665,$K768),21))</f>
        <v/>
      </c>
      <c r="B768" s="184">
        <f>IF($K768="","",INDEX(Zeiterfassung!$K$6:$K$3665,$K768))</f>
        <v/>
      </c>
      <c r="C768" s="185">
        <f>IF($K768="","",INDEX(Zeiterfassung!$K$6:$K$3665,$K768))</f>
        <v/>
      </c>
      <c r="D768" s="186">
        <f>IF($K768="","",INDEX(Zeiterfassung!$D$6:$D$3665,$K768))</f>
        <v/>
      </c>
      <c r="E768" s="186">
        <f>IF($K768="","",INDEX(Zeiterfassung!$E$6:$E$3665,$K768))</f>
        <v/>
      </c>
      <c r="F768" s="187">
        <f>IF($K768="","",INDEX(Zeiterfassung!$F$6:$F$3665,$K768))</f>
        <v/>
      </c>
      <c r="G768" s="187">
        <f>IF($K768="","",INDEX(Zeiterfassung!$G$6:$G$3665,$K768))</f>
        <v/>
      </c>
      <c r="H768" s="188">
        <f>IF($K768="","",INDEX(Zeiterfassung!$H$6:$H$3665,$K768))</f>
        <v/>
      </c>
      <c r="I768" s="335">
        <f>IF(B768=B767,"",IF($K768="","",INDEX(Zeiterfassung!$I$6:$I$3665,MATCH(INDEX(Zeiterfassung!$K$6:$K$3665,$K768),Zeiterfassung!$K$6:$K$3665,0))))</f>
        <v/>
      </c>
      <c r="J768" s="335">
        <f>IF(B768=B767,"",IF($K768="","",INDEX(Zeiterfassung!$J$6:$J$3665,MATCH(INDEX(Zeiterfassung!$K$6:$K$3665,$K768),Zeiterfassung!$K$6:$K$3665,0))))</f>
        <v/>
      </c>
      <c r="K768">
        <f>IFERROR(AGGREGATE(15,6,(ROW(Zeiterfassung!$D$6:$D$3665)-ROW(Zeiterfassung!$D$6)+1)/(Zeiterfassung!$D$6:$D$3665&lt;&gt;""),763),"")</f>
        <v/>
      </c>
    </row>
    <row r="769" ht="20" customHeight="1">
      <c r="A769" s="183">
        <f>IF($K769="","",WEEKNUM(INDEX(Zeiterfassung!$K$6:$K$3665,$K769),21))</f>
        <v/>
      </c>
      <c r="B769" s="184">
        <f>IF($K769="","",INDEX(Zeiterfassung!$K$6:$K$3665,$K769))</f>
        <v/>
      </c>
      <c r="C769" s="185">
        <f>IF($K769="","",INDEX(Zeiterfassung!$K$6:$K$3665,$K769))</f>
        <v/>
      </c>
      <c r="D769" s="186">
        <f>IF($K769="","",INDEX(Zeiterfassung!$D$6:$D$3665,$K769))</f>
        <v/>
      </c>
      <c r="E769" s="186">
        <f>IF($K769="","",INDEX(Zeiterfassung!$E$6:$E$3665,$K769))</f>
        <v/>
      </c>
      <c r="F769" s="187">
        <f>IF($K769="","",INDEX(Zeiterfassung!$F$6:$F$3665,$K769))</f>
        <v/>
      </c>
      <c r="G769" s="187">
        <f>IF($K769="","",INDEX(Zeiterfassung!$G$6:$G$3665,$K769))</f>
        <v/>
      </c>
      <c r="H769" s="188">
        <f>IF($K769="","",INDEX(Zeiterfassung!$H$6:$H$3665,$K769))</f>
        <v/>
      </c>
      <c r="I769" s="335">
        <f>IF(B769=B768,"",IF($K769="","",INDEX(Zeiterfassung!$I$6:$I$3665,MATCH(INDEX(Zeiterfassung!$K$6:$K$3665,$K769),Zeiterfassung!$K$6:$K$3665,0))))</f>
        <v/>
      </c>
      <c r="J769" s="335">
        <f>IF(B769=B768,"",IF($K769="","",INDEX(Zeiterfassung!$J$6:$J$3665,MATCH(INDEX(Zeiterfassung!$K$6:$K$3665,$K769),Zeiterfassung!$K$6:$K$3665,0))))</f>
        <v/>
      </c>
      <c r="K769">
        <f>IFERROR(AGGREGATE(15,6,(ROW(Zeiterfassung!$D$6:$D$3665)-ROW(Zeiterfassung!$D$6)+1)/(Zeiterfassung!$D$6:$D$3665&lt;&gt;""),764),"")</f>
        <v/>
      </c>
    </row>
    <row r="770" ht="20" customHeight="1">
      <c r="A770" s="183">
        <f>IF($K770="","",WEEKNUM(INDEX(Zeiterfassung!$K$6:$K$3665,$K770),21))</f>
        <v/>
      </c>
      <c r="B770" s="184">
        <f>IF($K770="","",INDEX(Zeiterfassung!$K$6:$K$3665,$K770))</f>
        <v/>
      </c>
      <c r="C770" s="185">
        <f>IF($K770="","",INDEX(Zeiterfassung!$K$6:$K$3665,$K770))</f>
        <v/>
      </c>
      <c r="D770" s="186">
        <f>IF($K770="","",INDEX(Zeiterfassung!$D$6:$D$3665,$K770))</f>
        <v/>
      </c>
      <c r="E770" s="186">
        <f>IF($K770="","",INDEX(Zeiterfassung!$E$6:$E$3665,$K770))</f>
        <v/>
      </c>
      <c r="F770" s="187">
        <f>IF($K770="","",INDEX(Zeiterfassung!$F$6:$F$3665,$K770))</f>
        <v/>
      </c>
      <c r="G770" s="187">
        <f>IF($K770="","",INDEX(Zeiterfassung!$G$6:$G$3665,$K770))</f>
        <v/>
      </c>
      <c r="H770" s="188">
        <f>IF($K770="","",INDEX(Zeiterfassung!$H$6:$H$3665,$K770))</f>
        <v/>
      </c>
      <c r="I770" s="335">
        <f>IF(B770=B769,"",IF($K770="","",INDEX(Zeiterfassung!$I$6:$I$3665,MATCH(INDEX(Zeiterfassung!$K$6:$K$3665,$K770),Zeiterfassung!$K$6:$K$3665,0))))</f>
        <v/>
      </c>
      <c r="J770" s="335">
        <f>IF(B770=B769,"",IF($K770="","",INDEX(Zeiterfassung!$J$6:$J$3665,MATCH(INDEX(Zeiterfassung!$K$6:$K$3665,$K770),Zeiterfassung!$K$6:$K$3665,0))))</f>
        <v/>
      </c>
      <c r="K770">
        <f>IFERROR(AGGREGATE(15,6,(ROW(Zeiterfassung!$D$6:$D$3665)-ROW(Zeiterfassung!$D$6)+1)/(Zeiterfassung!$D$6:$D$3665&lt;&gt;""),765),"")</f>
        <v/>
      </c>
    </row>
    <row r="771" ht="20" customHeight="1">
      <c r="A771" s="183">
        <f>IF($K771="","",WEEKNUM(INDEX(Zeiterfassung!$K$6:$K$3665,$K771),21))</f>
        <v/>
      </c>
      <c r="B771" s="184">
        <f>IF($K771="","",INDEX(Zeiterfassung!$K$6:$K$3665,$K771))</f>
        <v/>
      </c>
      <c r="C771" s="185">
        <f>IF($K771="","",INDEX(Zeiterfassung!$K$6:$K$3665,$K771))</f>
        <v/>
      </c>
      <c r="D771" s="186">
        <f>IF($K771="","",INDEX(Zeiterfassung!$D$6:$D$3665,$K771))</f>
        <v/>
      </c>
      <c r="E771" s="186">
        <f>IF($K771="","",INDEX(Zeiterfassung!$E$6:$E$3665,$K771))</f>
        <v/>
      </c>
      <c r="F771" s="187">
        <f>IF($K771="","",INDEX(Zeiterfassung!$F$6:$F$3665,$K771))</f>
        <v/>
      </c>
      <c r="G771" s="187">
        <f>IF($K771="","",INDEX(Zeiterfassung!$G$6:$G$3665,$K771))</f>
        <v/>
      </c>
      <c r="H771" s="188">
        <f>IF($K771="","",INDEX(Zeiterfassung!$H$6:$H$3665,$K771))</f>
        <v/>
      </c>
      <c r="I771" s="335">
        <f>IF(B771=B770,"",IF($K771="","",INDEX(Zeiterfassung!$I$6:$I$3665,MATCH(INDEX(Zeiterfassung!$K$6:$K$3665,$K771),Zeiterfassung!$K$6:$K$3665,0))))</f>
        <v/>
      </c>
      <c r="J771" s="335">
        <f>IF(B771=B770,"",IF($K771="","",INDEX(Zeiterfassung!$J$6:$J$3665,MATCH(INDEX(Zeiterfassung!$K$6:$K$3665,$K771),Zeiterfassung!$K$6:$K$3665,0))))</f>
        <v/>
      </c>
      <c r="K771">
        <f>IFERROR(AGGREGATE(15,6,(ROW(Zeiterfassung!$D$6:$D$3665)-ROW(Zeiterfassung!$D$6)+1)/(Zeiterfassung!$D$6:$D$3665&lt;&gt;""),766),"")</f>
        <v/>
      </c>
    </row>
    <row r="772" ht="20" customHeight="1">
      <c r="A772" s="183">
        <f>IF($K772="","",WEEKNUM(INDEX(Zeiterfassung!$K$6:$K$3665,$K772),21))</f>
        <v/>
      </c>
      <c r="B772" s="184">
        <f>IF($K772="","",INDEX(Zeiterfassung!$K$6:$K$3665,$K772))</f>
        <v/>
      </c>
      <c r="C772" s="185">
        <f>IF($K772="","",INDEX(Zeiterfassung!$K$6:$K$3665,$K772))</f>
        <v/>
      </c>
      <c r="D772" s="186">
        <f>IF($K772="","",INDEX(Zeiterfassung!$D$6:$D$3665,$K772))</f>
        <v/>
      </c>
      <c r="E772" s="186">
        <f>IF($K772="","",INDEX(Zeiterfassung!$E$6:$E$3665,$K772))</f>
        <v/>
      </c>
      <c r="F772" s="187">
        <f>IF($K772="","",INDEX(Zeiterfassung!$F$6:$F$3665,$K772))</f>
        <v/>
      </c>
      <c r="G772" s="187">
        <f>IF($K772="","",INDEX(Zeiterfassung!$G$6:$G$3665,$K772))</f>
        <v/>
      </c>
      <c r="H772" s="188">
        <f>IF($K772="","",INDEX(Zeiterfassung!$H$6:$H$3665,$K772))</f>
        <v/>
      </c>
      <c r="I772" s="335">
        <f>IF(B772=B771,"",IF($K772="","",INDEX(Zeiterfassung!$I$6:$I$3665,MATCH(INDEX(Zeiterfassung!$K$6:$K$3665,$K772),Zeiterfassung!$K$6:$K$3665,0))))</f>
        <v/>
      </c>
      <c r="J772" s="335">
        <f>IF(B772=B771,"",IF($K772="","",INDEX(Zeiterfassung!$J$6:$J$3665,MATCH(INDEX(Zeiterfassung!$K$6:$K$3665,$K772),Zeiterfassung!$K$6:$K$3665,0))))</f>
        <v/>
      </c>
      <c r="K772">
        <f>IFERROR(AGGREGATE(15,6,(ROW(Zeiterfassung!$D$6:$D$3665)-ROW(Zeiterfassung!$D$6)+1)/(Zeiterfassung!$D$6:$D$3665&lt;&gt;""),767),"")</f>
        <v/>
      </c>
    </row>
    <row r="773" ht="20" customHeight="1">
      <c r="A773" s="183">
        <f>IF($K773="","",WEEKNUM(INDEX(Zeiterfassung!$K$6:$K$3665,$K773),21))</f>
        <v/>
      </c>
      <c r="B773" s="184">
        <f>IF($K773="","",INDEX(Zeiterfassung!$K$6:$K$3665,$K773))</f>
        <v/>
      </c>
      <c r="C773" s="185">
        <f>IF($K773="","",INDEX(Zeiterfassung!$K$6:$K$3665,$K773))</f>
        <v/>
      </c>
      <c r="D773" s="186">
        <f>IF($K773="","",INDEX(Zeiterfassung!$D$6:$D$3665,$K773))</f>
        <v/>
      </c>
      <c r="E773" s="186">
        <f>IF($K773="","",INDEX(Zeiterfassung!$E$6:$E$3665,$K773))</f>
        <v/>
      </c>
      <c r="F773" s="187">
        <f>IF($K773="","",INDEX(Zeiterfassung!$F$6:$F$3665,$K773))</f>
        <v/>
      </c>
      <c r="G773" s="187">
        <f>IF($K773="","",INDEX(Zeiterfassung!$G$6:$G$3665,$K773))</f>
        <v/>
      </c>
      <c r="H773" s="188">
        <f>IF($K773="","",INDEX(Zeiterfassung!$H$6:$H$3665,$K773))</f>
        <v/>
      </c>
      <c r="I773" s="335">
        <f>IF(B773=B772,"",IF($K773="","",INDEX(Zeiterfassung!$I$6:$I$3665,MATCH(INDEX(Zeiterfassung!$K$6:$K$3665,$K773),Zeiterfassung!$K$6:$K$3665,0))))</f>
        <v/>
      </c>
      <c r="J773" s="335">
        <f>IF(B773=B772,"",IF($K773="","",INDEX(Zeiterfassung!$J$6:$J$3665,MATCH(INDEX(Zeiterfassung!$K$6:$K$3665,$K773),Zeiterfassung!$K$6:$K$3665,0))))</f>
        <v/>
      </c>
      <c r="K773">
        <f>IFERROR(AGGREGATE(15,6,(ROW(Zeiterfassung!$D$6:$D$3665)-ROW(Zeiterfassung!$D$6)+1)/(Zeiterfassung!$D$6:$D$3665&lt;&gt;""),768),"")</f>
        <v/>
      </c>
    </row>
    <row r="774" ht="20" customHeight="1">
      <c r="A774" s="183">
        <f>IF($K774="","",WEEKNUM(INDEX(Zeiterfassung!$K$6:$K$3665,$K774),21))</f>
        <v/>
      </c>
      <c r="B774" s="184">
        <f>IF($K774="","",INDEX(Zeiterfassung!$K$6:$K$3665,$K774))</f>
        <v/>
      </c>
      <c r="C774" s="185">
        <f>IF($K774="","",INDEX(Zeiterfassung!$K$6:$K$3665,$K774))</f>
        <v/>
      </c>
      <c r="D774" s="186">
        <f>IF($K774="","",INDEX(Zeiterfassung!$D$6:$D$3665,$K774))</f>
        <v/>
      </c>
      <c r="E774" s="186">
        <f>IF($K774="","",INDEX(Zeiterfassung!$E$6:$E$3665,$K774))</f>
        <v/>
      </c>
      <c r="F774" s="187">
        <f>IF($K774="","",INDEX(Zeiterfassung!$F$6:$F$3665,$K774))</f>
        <v/>
      </c>
      <c r="G774" s="187">
        <f>IF($K774="","",INDEX(Zeiterfassung!$G$6:$G$3665,$K774))</f>
        <v/>
      </c>
      <c r="H774" s="188">
        <f>IF($K774="","",INDEX(Zeiterfassung!$H$6:$H$3665,$K774))</f>
        <v/>
      </c>
      <c r="I774" s="335">
        <f>IF(B774=B773,"",IF($K774="","",INDEX(Zeiterfassung!$I$6:$I$3665,MATCH(INDEX(Zeiterfassung!$K$6:$K$3665,$K774),Zeiterfassung!$K$6:$K$3665,0))))</f>
        <v/>
      </c>
      <c r="J774" s="335">
        <f>IF(B774=B773,"",IF($K774="","",INDEX(Zeiterfassung!$J$6:$J$3665,MATCH(INDEX(Zeiterfassung!$K$6:$K$3665,$K774),Zeiterfassung!$K$6:$K$3665,0))))</f>
        <v/>
      </c>
      <c r="K774">
        <f>IFERROR(AGGREGATE(15,6,(ROW(Zeiterfassung!$D$6:$D$3665)-ROW(Zeiterfassung!$D$6)+1)/(Zeiterfassung!$D$6:$D$3665&lt;&gt;""),769),"")</f>
        <v/>
      </c>
    </row>
    <row r="775" ht="20" customHeight="1">
      <c r="A775" s="183">
        <f>IF($K775="","",WEEKNUM(INDEX(Zeiterfassung!$K$6:$K$3665,$K775),21))</f>
        <v/>
      </c>
      <c r="B775" s="184">
        <f>IF($K775="","",INDEX(Zeiterfassung!$K$6:$K$3665,$K775))</f>
        <v/>
      </c>
      <c r="C775" s="185">
        <f>IF($K775="","",INDEX(Zeiterfassung!$K$6:$K$3665,$K775))</f>
        <v/>
      </c>
      <c r="D775" s="186">
        <f>IF($K775="","",INDEX(Zeiterfassung!$D$6:$D$3665,$K775))</f>
        <v/>
      </c>
      <c r="E775" s="186">
        <f>IF($K775="","",INDEX(Zeiterfassung!$E$6:$E$3665,$K775))</f>
        <v/>
      </c>
      <c r="F775" s="187">
        <f>IF($K775="","",INDEX(Zeiterfassung!$F$6:$F$3665,$K775))</f>
        <v/>
      </c>
      <c r="G775" s="187">
        <f>IF($K775="","",INDEX(Zeiterfassung!$G$6:$G$3665,$K775))</f>
        <v/>
      </c>
      <c r="H775" s="188">
        <f>IF($K775="","",INDEX(Zeiterfassung!$H$6:$H$3665,$K775))</f>
        <v/>
      </c>
      <c r="I775" s="335">
        <f>IF(B775=B774,"",IF($K775="","",INDEX(Zeiterfassung!$I$6:$I$3665,MATCH(INDEX(Zeiterfassung!$K$6:$K$3665,$K775),Zeiterfassung!$K$6:$K$3665,0))))</f>
        <v/>
      </c>
      <c r="J775" s="335">
        <f>IF(B775=B774,"",IF($K775="","",INDEX(Zeiterfassung!$J$6:$J$3665,MATCH(INDEX(Zeiterfassung!$K$6:$K$3665,$K775),Zeiterfassung!$K$6:$K$3665,0))))</f>
        <v/>
      </c>
      <c r="K775">
        <f>IFERROR(AGGREGATE(15,6,(ROW(Zeiterfassung!$D$6:$D$3665)-ROW(Zeiterfassung!$D$6)+1)/(Zeiterfassung!$D$6:$D$3665&lt;&gt;""),770),"")</f>
        <v/>
      </c>
    </row>
    <row r="776" ht="20" customHeight="1">
      <c r="A776" s="183">
        <f>IF($K776="","",WEEKNUM(INDEX(Zeiterfassung!$K$6:$K$3665,$K776),21))</f>
        <v/>
      </c>
      <c r="B776" s="184">
        <f>IF($K776="","",INDEX(Zeiterfassung!$K$6:$K$3665,$K776))</f>
        <v/>
      </c>
      <c r="C776" s="185">
        <f>IF($K776="","",INDEX(Zeiterfassung!$K$6:$K$3665,$K776))</f>
        <v/>
      </c>
      <c r="D776" s="186">
        <f>IF($K776="","",INDEX(Zeiterfassung!$D$6:$D$3665,$K776))</f>
        <v/>
      </c>
      <c r="E776" s="186">
        <f>IF($K776="","",INDEX(Zeiterfassung!$E$6:$E$3665,$K776))</f>
        <v/>
      </c>
      <c r="F776" s="187">
        <f>IF($K776="","",INDEX(Zeiterfassung!$F$6:$F$3665,$K776))</f>
        <v/>
      </c>
      <c r="G776" s="187">
        <f>IF($K776="","",INDEX(Zeiterfassung!$G$6:$G$3665,$K776))</f>
        <v/>
      </c>
      <c r="H776" s="188">
        <f>IF($K776="","",INDEX(Zeiterfassung!$H$6:$H$3665,$K776))</f>
        <v/>
      </c>
      <c r="I776" s="335">
        <f>IF(B776=B775,"",IF($K776="","",INDEX(Zeiterfassung!$I$6:$I$3665,MATCH(INDEX(Zeiterfassung!$K$6:$K$3665,$K776),Zeiterfassung!$K$6:$K$3665,0))))</f>
        <v/>
      </c>
      <c r="J776" s="335">
        <f>IF(B776=B775,"",IF($K776="","",INDEX(Zeiterfassung!$J$6:$J$3665,MATCH(INDEX(Zeiterfassung!$K$6:$K$3665,$K776),Zeiterfassung!$K$6:$K$3665,0))))</f>
        <v/>
      </c>
      <c r="K776">
        <f>IFERROR(AGGREGATE(15,6,(ROW(Zeiterfassung!$D$6:$D$3665)-ROW(Zeiterfassung!$D$6)+1)/(Zeiterfassung!$D$6:$D$3665&lt;&gt;""),771),"")</f>
        <v/>
      </c>
    </row>
    <row r="777" ht="20" customHeight="1">
      <c r="A777" s="183">
        <f>IF($K777="","",WEEKNUM(INDEX(Zeiterfassung!$K$6:$K$3665,$K777),21))</f>
        <v/>
      </c>
      <c r="B777" s="184">
        <f>IF($K777="","",INDEX(Zeiterfassung!$K$6:$K$3665,$K777))</f>
        <v/>
      </c>
      <c r="C777" s="185">
        <f>IF($K777="","",INDEX(Zeiterfassung!$K$6:$K$3665,$K777))</f>
        <v/>
      </c>
      <c r="D777" s="186">
        <f>IF($K777="","",INDEX(Zeiterfassung!$D$6:$D$3665,$K777))</f>
        <v/>
      </c>
      <c r="E777" s="186">
        <f>IF($K777="","",INDEX(Zeiterfassung!$E$6:$E$3665,$K777))</f>
        <v/>
      </c>
      <c r="F777" s="187">
        <f>IF($K777="","",INDEX(Zeiterfassung!$F$6:$F$3665,$K777))</f>
        <v/>
      </c>
      <c r="G777" s="187">
        <f>IF($K777="","",INDEX(Zeiterfassung!$G$6:$G$3665,$K777))</f>
        <v/>
      </c>
      <c r="H777" s="188">
        <f>IF($K777="","",INDEX(Zeiterfassung!$H$6:$H$3665,$K777))</f>
        <v/>
      </c>
      <c r="I777" s="335">
        <f>IF(B777=B776,"",IF($K777="","",INDEX(Zeiterfassung!$I$6:$I$3665,MATCH(INDEX(Zeiterfassung!$K$6:$K$3665,$K777),Zeiterfassung!$K$6:$K$3665,0))))</f>
        <v/>
      </c>
      <c r="J777" s="335">
        <f>IF(B777=B776,"",IF($K777="","",INDEX(Zeiterfassung!$J$6:$J$3665,MATCH(INDEX(Zeiterfassung!$K$6:$K$3665,$K777),Zeiterfassung!$K$6:$K$3665,0))))</f>
        <v/>
      </c>
      <c r="K777">
        <f>IFERROR(AGGREGATE(15,6,(ROW(Zeiterfassung!$D$6:$D$3665)-ROW(Zeiterfassung!$D$6)+1)/(Zeiterfassung!$D$6:$D$3665&lt;&gt;""),772),"")</f>
        <v/>
      </c>
    </row>
    <row r="778" ht="20" customHeight="1">
      <c r="A778" s="183">
        <f>IF($K778="","",WEEKNUM(INDEX(Zeiterfassung!$K$6:$K$3665,$K778),21))</f>
        <v/>
      </c>
      <c r="B778" s="184">
        <f>IF($K778="","",INDEX(Zeiterfassung!$K$6:$K$3665,$K778))</f>
        <v/>
      </c>
      <c r="C778" s="185">
        <f>IF($K778="","",INDEX(Zeiterfassung!$K$6:$K$3665,$K778))</f>
        <v/>
      </c>
      <c r="D778" s="186">
        <f>IF($K778="","",INDEX(Zeiterfassung!$D$6:$D$3665,$K778))</f>
        <v/>
      </c>
      <c r="E778" s="186">
        <f>IF($K778="","",INDEX(Zeiterfassung!$E$6:$E$3665,$K778))</f>
        <v/>
      </c>
      <c r="F778" s="187">
        <f>IF($K778="","",INDEX(Zeiterfassung!$F$6:$F$3665,$K778))</f>
        <v/>
      </c>
      <c r="G778" s="187">
        <f>IF($K778="","",INDEX(Zeiterfassung!$G$6:$G$3665,$K778))</f>
        <v/>
      </c>
      <c r="H778" s="188">
        <f>IF($K778="","",INDEX(Zeiterfassung!$H$6:$H$3665,$K778))</f>
        <v/>
      </c>
      <c r="I778" s="335">
        <f>IF(B778=B777,"",IF($K778="","",INDEX(Zeiterfassung!$I$6:$I$3665,MATCH(INDEX(Zeiterfassung!$K$6:$K$3665,$K778),Zeiterfassung!$K$6:$K$3665,0))))</f>
        <v/>
      </c>
      <c r="J778" s="335">
        <f>IF(B778=B777,"",IF($K778="","",INDEX(Zeiterfassung!$J$6:$J$3665,MATCH(INDEX(Zeiterfassung!$K$6:$K$3665,$K778),Zeiterfassung!$K$6:$K$3665,0))))</f>
        <v/>
      </c>
      <c r="K778">
        <f>IFERROR(AGGREGATE(15,6,(ROW(Zeiterfassung!$D$6:$D$3665)-ROW(Zeiterfassung!$D$6)+1)/(Zeiterfassung!$D$6:$D$3665&lt;&gt;""),773),"")</f>
        <v/>
      </c>
    </row>
    <row r="779" ht="20" customHeight="1">
      <c r="A779" s="183">
        <f>IF($K779="","",WEEKNUM(INDEX(Zeiterfassung!$K$6:$K$3665,$K779),21))</f>
        <v/>
      </c>
      <c r="B779" s="184">
        <f>IF($K779="","",INDEX(Zeiterfassung!$K$6:$K$3665,$K779))</f>
        <v/>
      </c>
      <c r="C779" s="185">
        <f>IF($K779="","",INDEX(Zeiterfassung!$K$6:$K$3665,$K779))</f>
        <v/>
      </c>
      <c r="D779" s="186">
        <f>IF($K779="","",INDEX(Zeiterfassung!$D$6:$D$3665,$K779))</f>
        <v/>
      </c>
      <c r="E779" s="186">
        <f>IF($K779="","",INDEX(Zeiterfassung!$E$6:$E$3665,$K779))</f>
        <v/>
      </c>
      <c r="F779" s="187">
        <f>IF($K779="","",INDEX(Zeiterfassung!$F$6:$F$3665,$K779))</f>
        <v/>
      </c>
      <c r="G779" s="187">
        <f>IF($K779="","",INDEX(Zeiterfassung!$G$6:$G$3665,$K779))</f>
        <v/>
      </c>
      <c r="H779" s="188">
        <f>IF($K779="","",INDEX(Zeiterfassung!$H$6:$H$3665,$K779))</f>
        <v/>
      </c>
      <c r="I779" s="335">
        <f>IF(B779=B778,"",IF($K779="","",INDEX(Zeiterfassung!$I$6:$I$3665,MATCH(INDEX(Zeiterfassung!$K$6:$K$3665,$K779),Zeiterfassung!$K$6:$K$3665,0))))</f>
        <v/>
      </c>
      <c r="J779" s="335">
        <f>IF(B779=B778,"",IF($K779="","",INDEX(Zeiterfassung!$J$6:$J$3665,MATCH(INDEX(Zeiterfassung!$K$6:$K$3665,$K779),Zeiterfassung!$K$6:$K$3665,0))))</f>
        <v/>
      </c>
      <c r="K779">
        <f>IFERROR(AGGREGATE(15,6,(ROW(Zeiterfassung!$D$6:$D$3665)-ROW(Zeiterfassung!$D$6)+1)/(Zeiterfassung!$D$6:$D$3665&lt;&gt;""),774),"")</f>
        <v/>
      </c>
    </row>
    <row r="780" ht="20" customHeight="1">
      <c r="A780" s="183">
        <f>IF($K780="","",WEEKNUM(INDEX(Zeiterfassung!$K$6:$K$3665,$K780),21))</f>
        <v/>
      </c>
      <c r="B780" s="184">
        <f>IF($K780="","",INDEX(Zeiterfassung!$K$6:$K$3665,$K780))</f>
        <v/>
      </c>
      <c r="C780" s="185">
        <f>IF($K780="","",INDEX(Zeiterfassung!$K$6:$K$3665,$K780))</f>
        <v/>
      </c>
      <c r="D780" s="186">
        <f>IF($K780="","",INDEX(Zeiterfassung!$D$6:$D$3665,$K780))</f>
        <v/>
      </c>
      <c r="E780" s="186">
        <f>IF($K780="","",INDEX(Zeiterfassung!$E$6:$E$3665,$K780))</f>
        <v/>
      </c>
      <c r="F780" s="187">
        <f>IF($K780="","",INDEX(Zeiterfassung!$F$6:$F$3665,$K780))</f>
        <v/>
      </c>
      <c r="G780" s="187">
        <f>IF($K780="","",INDEX(Zeiterfassung!$G$6:$G$3665,$K780))</f>
        <v/>
      </c>
      <c r="H780" s="188">
        <f>IF($K780="","",INDEX(Zeiterfassung!$H$6:$H$3665,$K780))</f>
        <v/>
      </c>
      <c r="I780" s="335">
        <f>IF(B780=B779,"",IF($K780="","",INDEX(Zeiterfassung!$I$6:$I$3665,MATCH(INDEX(Zeiterfassung!$K$6:$K$3665,$K780),Zeiterfassung!$K$6:$K$3665,0))))</f>
        <v/>
      </c>
      <c r="J780" s="335">
        <f>IF(B780=B779,"",IF($K780="","",INDEX(Zeiterfassung!$J$6:$J$3665,MATCH(INDEX(Zeiterfassung!$K$6:$K$3665,$K780),Zeiterfassung!$K$6:$K$3665,0))))</f>
        <v/>
      </c>
      <c r="K780">
        <f>IFERROR(AGGREGATE(15,6,(ROW(Zeiterfassung!$D$6:$D$3665)-ROW(Zeiterfassung!$D$6)+1)/(Zeiterfassung!$D$6:$D$3665&lt;&gt;""),775),"")</f>
        <v/>
      </c>
    </row>
    <row r="781" ht="20" customHeight="1">
      <c r="A781" s="183">
        <f>IF($K781="","",WEEKNUM(INDEX(Zeiterfassung!$K$6:$K$3665,$K781),21))</f>
        <v/>
      </c>
      <c r="B781" s="184">
        <f>IF($K781="","",INDEX(Zeiterfassung!$K$6:$K$3665,$K781))</f>
        <v/>
      </c>
      <c r="C781" s="185">
        <f>IF($K781="","",INDEX(Zeiterfassung!$K$6:$K$3665,$K781))</f>
        <v/>
      </c>
      <c r="D781" s="186">
        <f>IF($K781="","",INDEX(Zeiterfassung!$D$6:$D$3665,$K781))</f>
        <v/>
      </c>
      <c r="E781" s="186">
        <f>IF($K781="","",INDEX(Zeiterfassung!$E$6:$E$3665,$K781))</f>
        <v/>
      </c>
      <c r="F781" s="187">
        <f>IF($K781="","",INDEX(Zeiterfassung!$F$6:$F$3665,$K781))</f>
        <v/>
      </c>
      <c r="G781" s="187">
        <f>IF($K781="","",INDEX(Zeiterfassung!$G$6:$G$3665,$K781))</f>
        <v/>
      </c>
      <c r="H781" s="188">
        <f>IF($K781="","",INDEX(Zeiterfassung!$H$6:$H$3665,$K781))</f>
        <v/>
      </c>
      <c r="I781" s="335">
        <f>IF(B781=B780,"",IF($K781="","",INDEX(Zeiterfassung!$I$6:$I$3665,MATCH(INDEX(Zeiterfassung!$K$6:$K$3665,$K781),Zeiterfassung!$K$6:$K$3665,0))))</f>
        <v/>
      </c>
      <c r="J781" s="335">
        <f>IF(B781=B780,"",IF($K781="","",INDEX(Zeiterfassung!$J$6:$J$3665,MATCH(INDEX(Zeiterfassung!$K$6:$K$3665,$K781),Zeiterfassung!$K$6:$K$3665,0))))</f>
        <v/>
      </c>
      <c r="K781">
        <f>IFERROR(AGGREGATE(15,6,(ROW(Zeiterfassung!$D$6:$D$3665)-ROW(Zeiterfassung!$D$6)+1)/(Zeiterfassung!$D$6:$D$3665&lt;&gt;""),776),"")</f>
        <v/>
      </c>
    </row>
    <row r="782" ht="20" customHeight="1">
      <c r="A782" s="183">
        <f>IF($K782="","",WEEKNUM(INDEX(Zeiterfassung!$K$6:$K$3665,$K782),21))</f>
        <v/>
      </c>
      <c r="B782" s="184">
        <f>IF($K782="","",INDEX(Zeiterfassung!$K$6:$K$3665,$K782))</f>
        <v/>
      </c>
      <c r="C782" s="185">
        <f>IF($K782="","",INDEX(Zeiterfassung!$K$6:$K$3665,$K782))</f>
        <v/>
      </c>
      <c r="D782" s="186">
        <f>IF($K782="","",INDEX(Zeiterfassung!$D$6:$D$3665,$K782))</f>
        <v/>
      </c>
      <c r="E782" s="186">
        <f>IF($K782="","",INDEX(Zeiterfassung!$E$6:$E$3665,$K782))</f>
        <v/>
      </c>
      <c r="F782" s="187">
        <f>IF($K782="","",INDEX(Zeiterfassung!$F$6:$F$3665,$K782))</f>
        <v/>
      </c>
      <c r="G782" s="187">
        <f>IF($K782="","",INDEX(Zeiterfassung!$G$6:$G$3665,$K782))</f>
        <v/>
      </c>
      <c r="H782" s="188">
        <f>IF($K782="","",INDEX(Zeiterfassung!$H$6:$H$3665,$K782))</f>
        <v/>
      </c>
      <c r="I782" s="335">
        <f>IF(B782=B781,"",IF($K782="","",INDEX(Zeiterfassung!$I$6:$I$3665,MATCH(INDEX(Zeiterfassung!$K$6:$K$3665,$K782),Zeiterfassung!$K$6:$K$3665,0))))</f>
        <v/>
      </c>
      <c r="J782" s="335">
        <f>IF(B782=B781,"",IF($K782="","",INDEX(Zeiterfassung!$J$6:$J$3665,MATCH(INDEX(Zeiterfassung!$K$6:$K$3665,$K782),Zeiterfassung!$K$6:$K$3665,0))))</f>
        <v/>
      </c>
      <c r="K782">
        <f>IFERROR(AGGREGATE(15,6,(ROW(Zeiterfassung!$D$6:$D$3665)-ROW(Zeiterfassung!$D$6)+1)/(Zeiterfassung!$D$6:$D$3665&lt;&gt;""),777),"")</f>
        <v/>
      </c>
    </row>
    <row r="783" ht="20" customHeight="1">
      <c r="A783" s="183">
        <f>IF($K783="","",WEEKNUM(INDEX(Zeiterfassung!$K$6:$K$3665,$K783),21))</f>
        <v/>
      </c>
      <c r="B783" s="184">
        <f>IF($K783="","",INDEX(Zeiterfassung!$K$6:$K$3665,$K783))</f>
        <v/>
      </c>
      <c r="C783" s="185">
        <f>IF($K783="","",INDEX(Zeiterfassung!$K$6:$K$3665,$K783))</f>
        <v/>
      </c>
      <c r="D783" s="186">
        <f>IF($K783="","",INDEX(Zeiterfassung!$D$6:$D$3665,$K783))</f>
        <v/>
      </c>
      <c r="E783" s="186">
        <f>IF($K783="","",INDEX(Zeiterfassung!$E$6:$E$3665,$K783))</f>
        <v/>
      </c>
      <c r="F783" s="187">
        <f>IF($K783="","",INDEX(Zeiterfassung!$F$6:$F$3665,$K783))</f>
        <v/>
      </c>
      <c r="G783" s="187">
        <f>IF($K783="","",INDEX(Zeiterfassung!$G$6:$G$3665,$K783))</f>
        <v/>
      </c>
      <c r="H783" s="188">
        <f>IF($K783="","",INDEX(Zeiterfassung!$H$6:$H$3665,$K783))</f>
        <v/>
      </c>
      <c r="I783" s="335">
        <f>IF(B783=B782,"",IF($K783="","",INDEX(Zeiterfassung!$I$6:$I$3665,MATCH(INDEX(Zeiterfassung!$K$6:$K$3665,$K783),Zeiterfassung!$K$6:$K$3665,0))))</f>
        <v/>
      </c>
      <c r="J783" s="335">
        <f>IF(B783=B782,"",IF($K783="","",INDEX(Zeiterfassung!$J$6:$J$3665,MATCH(INDEX(Zeiterfassung!$K$6:$K$3665,$K783),Zeiterfassung!$K$6:$K$3665,0))))</f>
        <v/>
      </c>
      <c r="K783">
        <f>IFERROR(AGGREGATE(15,6,(ROW(Zeiterfassung!$D$6:$D$3665)-ROW(Zeiterfassung!$D$6)+1)/(Zeiterfassung!$D$6:$D$3665&lt;&gt;""),778),"")</f>
        <v/>
      </c>
    </row>
    <row r="784" ht="20" customHeight="1">
      <c r="A784" s="183">
        <f>IF($K784="","",WEEKNUM(INDEX(Zeiterfassung!$K$6:$K$3665,$K784),21))</f>
        <v/>
      </c>
      <c r="B784" s="184">
        <f>IF($K784="","",INDEX(Zeiterfassung!$K$6:$K$3665,$K784))</f>
        <v/>
      </c>
      <c r="C784" s="185">
        <f>IF($K784="","",INDEX(Zeiterfassung!$K$6:$K$3665,$K784))</f>
        <v/>
      </c>
      <c r="D784" s="186">
        <f>IF($K784="","",INDEX(Zeiterfassung!$D$6:$D$3665,$K784))</f>
        <v/>
      </c>
      <c r="E784" s="186">
        <f>IF($K784="","",INDEX(Zeiterfassung!$E$6:$E$3665,$K784))</f>
        <v/>
      </c>
      <c r="F784" s="187">
        <f>IF($K784="","",INDEX(Zeiterfassung!$F$6:$F$3665,$K784))</f>
        <v/>
      </c>
      <c r="G784" s="187">
        <f>IF($K784="","",INDEX(Zeiterfassung!$G$6:$G$3665,$K784))</f>
        <v/>
      </c>
      <c r="H784" s="188">
        <f>IF($K784="","",INDEX(Zeiterfassung!$H$6:$H$3665,$K784))</f>
        <v/>
      </c>
      <c r="I784" s="335">
        <f>IF(B784=B783,"",IF($K784="","",INDEX(Zeiterfassung!$I$6:$I$3665,MATCH(INDEX(Zeiterfassung!$K$6:$K$3665,$K784),Zeiterfassung!$K$6:$K$3665,0))))</f>
        <v/>
      </c>
      <c r="J784" s="335">
        <f>IF(B784=B783,"",IF($K784="","",INDEX(Zeiterfassung!$J$6:$J$3665,MATCH(INDEX(Zeiterfassung!$K$6:$K$3665,$K784),Zeiterfassung!$K$6:$K$3665,0))))</f>
        <v/>
      </c>
      <c r="K784">
        <f>IFERROR(AGGREGATE(15,6,(ROW(Zeiterfassung!$D$6:$D$3665)-ROW(Zeiterfassung!$D$6)+1)/(Zeiterfassung!$D$6:$D$3665&lt;&gt;""),779),"")</f>
        <v/>
      </c>
    </row>
    <row r="785" ht="20" customHeight="1">
      <c r="A785" s="183">
        <f>IF($K785="","",WEEKNUM(INDEX(Zeiterfassung!$K$6:$K$3665,$K785),21))</f>
        <v/>
      </c>
      <c r="B785" s="184">
        <f>IF($K785="","",INDEX(Zeiterfassung!$K$6:$K$3665,$K785))</f>
        <v/>
      </c>
      <c r="C785" s="185">
        <f>IF($K785="","",INDEX(Zeiterfassung!$K$6:$K$3665,$K785))</f>
        <v/>
      </c>
      <c r="D785" s="186">
        <f>IF($K785="","",INDEX(Zeiterfassung!$D$6:$D$3665,$K785))</f>
        <v/>
      </c>
      <c r="E785" s="186">
        <f>IF($K785="","",INDEX(Zeiterfassung!$E$6:$E$3665,$K785))</f>
        <v/>
      </c>
      <c r="F785" s="187">
        <f>IF($K785="","",INDEX(Zeiterfassung!$F$6:$F$3665,$K785))</f>
        <v/>
      </c>
      <c r="G785" s="187">
        <f>IF($K785="","",INDEX(Zeiterfassung!$G$6:$G$3665,$K785))</f>
        <v/>
      </c>
      <c r="H785" s="188">
        <f>IF($K785="","",INDEX(Zeiterfassung!$H$6:$H$3665,$K785))</f>
        <v/>
      </c>
      <c r="I785" s="335">
        <f>IF(B785=B784,"",IF($K785="","",INDEX(Zeiterfassung!$I$6:$I$3665,MATCH(INDEX(Zeiterfassung!$K$6:$K$3665,$K785),Zeiterfassung!$K$6:$K$3665,0))))</f>
        <v/>
      </c>
      <c r="J785" s="335">
        <f>IF(B785=B784,"",IF($K785="","",INDEX(Zeiterfassung!$J$6:$J$3665,MATCH(INDEX(Zeiterfassung!$K$6:$K$3665,$K785),Zeiterfassung!$K$6:$K$3665,0))))</f>
        <v/>
      </c>
      <c r="K785">
        <f>IFERROR(AGGREGATE(15,6,(ROW(Zeiterfassung!$D$6:$D$3665)-ROW(Zeiterfassung!$D$6)+1)/(Zeiterfassung!$D$6:$D$3665&lt;&gt;""),780),"")</f>
        <v/>
      </c>
    </row>
    <row r="786" ht="20" customHeight="1">
      <c r="A786" s="183">
        <f>IF($K786="","",WEEKNUM(INDEX(Zeiterfassung!$K$6:$K$3665,$K786),21))</f>
        <v/>
      </c>
      <c r="B786" s="184">
        <f>IF($K786="","",INDEX(Zeiterfassung!$K$6:$K$3665,$K786))</f>
        <v/>
      </c>
      <c r="C786" s="185">
        <f>IF($K786="","",INDEX(Zeiterfassung!$K$6:$K$3665,$K786))</f>
        <v/>
      </c>
      <c r="D786" s="186">
        <f>IF($K786="","",INDEX(Zeiterfassung!$D$6:$D$3665,$K786))</f>
        <v/>
      </c>
      <c r="E786" s="186">
        <f>IF($K786="","",INDEX(Zeiterfassung!$E$6:$E$3665,$K786))</f>
        <v/>
      </c>
      <c r="F786" s="187">
        <f>IF($K786="","",INDEX(Zeiterfassung!$F$6:$F$3665,$K786))</f>
        <v/>
      </c>
      <c r="G786" s="187">
        <f>IF($K786="","",INDEX(Zeiterfassung!$G$6:$G$3665,$K786))</f>
        <v/>
      </c>
      <c r="H786" s="188">
        <f>IF($K786="","",INDEX(Zeiterfassung!$H$6:$H$3665,$K786))</f>
        <v/>
      </c>
      <c r="I786" s="335">
        <f>IF(B786=B785,"",IF($K786="","",INDEX(Zeiterfassung!$I$6:$I$3665,MATCH(INDEX(Zeiterfassung!$K$6:$K$3665,$K786),Zeiterfassung!$K$6:$K$3665,0))))</f>
        <v/>
      </c>
      <c r="J786" s="335">
        <f>IF(B786=B785,"",IF($K786="","",INDEX(Zeiterfassung!$J$6:$J$3665,MATCH(INDEX(Zeiterfassung!$K$6:$K$3665,$K786),Zeiterfassung!$K$6:$K$3665,0))))</f>
        <v/>
      </c>
      <c r="K786">
        <f>IFERROR(AGGREGATE(15,6,(ROW(Zeiterfassung!$D$6:$D$3665)-ROW(Zeiterfassung!$D$6)+1)/(Zeiterfassung!$D$6:$D$3665&lt;&gt;""),781),"")</f>
        <v/>
      </c>
    </row>
    <row r="787" ht="20" customHeight="1">
      <c r="A787" s="183">
        <f>IF($K787="","",WEEKNUM(INDEX(Zeiterfassung!$K$6:$K$3665,$K787),21))</f>
        <v/>
      </c>
      <c r="B787" s="184">
        <f>IF($K787="","",INDEX(Zeiterfassung!$K$6:$K$3665,$K787))</f>
        <v/>
      </c>
      <c r="C787" s="185">
        <f>IF($K787="","",INDEX(Zeiterfassung!$K$6:$K$3665,$K787))</f>
        <v/>
      </c>
      <c r="D787" s="186">
        <f>IF($K787="","",INDEX(Zeiterfassung!$D$6:$D$3665,$K787))</f>
        <v/>
      </c>
      <c r="E787" s="186">
        <f>IF($K787="","",INDEX(Zeiterfassung!$E$6:$E$3665,$K787))</f>
        <v/>
      </c>
      <c r="F787" s="187">
        <f>IF($K787="","",INDEX(Zeiterfassung!$F$6:$F$3665,$K787))</f>
        <v/>
      </c>
      <c r="G787" s="187">
        <f>IF($K787="","",INDEX(Zeiterfassung!$G$6:$G$3665,$K787))</f>
        <v/>
      </c>
      <c r="H787" s="188">
        <f>IF($K787="","",INDEX(Zeiterfassung!$H$6:$H$3665,$K787))</f>
        <v/>
      </c>
      <c r="I787" s="335">
        <f>IF(B787=B786,"",IF($K787="","",INDEX(Zeiterfassung!$I$6:$I$3665,MATCH(INDEX(Zeiterfassung!$K$6:$K$3665,$K787),Zeiterfassung!$K$6:$K$3665,0))))</f>
        <v/>
      </c>
      <c r="J787" s="335">
        <f>IF(B787=B786,"",IF($K787="","",INDEX(Zeiterfassung!$J$6:$J$3665,MATCH(INDEX(Zeiterfassung!$K$6:$K$3665,$K787),Zeiterfassung!$K$6:$K$3665,0))))</f>
        <v/>
      </c>
      <c r="K787">
        <f>IFERROR(AGGREGATE(15,6,(ROW(Zeiterfassung!$D$6:$D$3665)-ROW(Zeiterfassung!$D$6)+1)/(Zeiterfassung!$D$6:$D$3665&lt;&gt;""),782),"")</f>
        <v/>
      </c>
    </row>
    <row r="788" ht="20" customHeight="1">
      <c r="A788" s="183">
        <f>IF($K788="","",WEEKNUM(INDEX(Zeiterfassung!$K$6:$K$3665,$K788),21))</f>
        <v/>
      </c>
      <c r="B788" s="184">
        <f>IF($K788="","",INDEX(Zeiterfassung!$K$6:$K$3665,$K788))</f>
        <v/>
      </c>
      <c r="C788" s="185">
        <f>IF($K788="","",INDEX(Zeiterfassung!$K$6:$K$3665,$K788))</f>
        <v/>
      </c>
      <c r="D788" s="186">
        <f>IF($K788="","",INDEX(Zeiterfassung!$D$6:$D$3665,$K788))</f>
        <v/>
      </c>
      <c r="E788" s="186">
        <f>IF($K788="","",INDEX(Zeiterfassung!$E$6:$E$3665,$K788))</f>
        <v/>
      </c>
      <c r="F788" s="187">
        <f>IF($K788="","",INDEX(Zeiterfassung!$F$6:$F$3665,$K788))</f>
        <v/>
      </c>
      <c r="G788" s="187">
        <f>IF($K788="","",INDEX(Zeiterfassung!$G$6:$G$3665,$K788))</f>
        <v/>
      </c>
      <c r="H788" s="188">
        <f>IF($K788="","",INDEX(Zeiterfassung!$H$6:$H$3665,$K788))</f>
        <v/>
      </c>
      <c r="I788" s="335">
        <f>IF(B788=B787,"",IF($K788="","",INDEX(Zeiterfassung!$I$6:$I$3665,MATCH(INDEX(Zeiterfassung!$K$6:$K$3665,$K788),Zeiterfassung!$K$6:$K$3665,0))))</f>
        <v/>
      </c>
      <c r="J788" s="335">
        <f>IF(B788=B787,"",IF($K788="","",INDEX(Zeiterfassung!$J$6:$J$3665,MATCH(INDEX(Zeiterfassung!$K$6:$K$3665,$K788),Zeiterfassung!$K$6:$K$3665,0))))</f>
        <v/>
      </c>
      <c r="K788">
        <f>IFERROR(AGGREGATE(15,6,(ROW(Zeiterfassung!$D$6:$D$3665)-ROW(Zeiterfassung!$D$6)+1)/(Zeiterfassung!$D$6:$D$3665&lt;&gt;""),783),"")</f>
        <v/>
      </c>
    </row>
    <row r="789" ht="20" customHeight="1">
      <c r="A789" s="183">
        <f>IF($K789="","",WEEKNUM(INDEX(Zeiterfassung!$K$6:$K$3665,$K789),21))</f>
        <v/>
      </c>
      <c r="B789" s="184">
        <f>IF($K789="","",INDEX(Zeiterfassung!$K$6:$K$3665,$K789))</f>
        <v/>
      </c>
      <c r="C789" s="185">
        <f>IF($K789="","",INDEX(Zeiterfassung!$K$6:$K$3665,$K789))</f>
        <v/>
      </c>
      <c r="D789" s="186">
        <f>IF($K789="","",INDEX(Zeiterfassung!$D$6:$D$3665,$K789))</f>
        <v/>
      </c>
      <c r="E789" s="186">
        <f>IF($K789="","",INDEX(Zeiterfassung!$E$6:$E$3665,$K789))</f>
        <v/>
      </c>
      <c r="F789" s="187">
        <f>IF($K789="","",INDEX(Zeiterfassung!$F$6:$F$3665,$K789))</f>
        <v/>
      </c>
      <c r="G789" s="187">
        <f>IF($K789="","",INDEX(Zeiterfassung!$G$6:$G$3665,$K789))</f>
        <v/>
      </c>
      <c r="H789" s="188">
        <f>IF($K789="","",INDEX(Zeiterfassung!$H$6:$H$3665,$K789))</f>
        <v/>
      </c>
      <c r="I789" s="335">
        <f>IF(B789=B788,"",IF($K789="","",INDEX(Zeiterfassung!$I$6:$I$3665,MATCH(INDEX(Zeiterfassung!$K$6:$K$3665,$K789),Zeiterfassung!$K$6:$K$3665,0))))</f>
        <v/>
      </c>
      <c r="J789" s="335">
        <f>IF(B789=B788,"",IF($K789="","",INDEX(Zeiterfassung!$J$6:$J$3665,MATCH(INDEX(Zeiterfassung!$K$6:$K$3665,$K789),Zeiterfassung!$K$6:$K$3665,0))))</f>
        <v/>
      </c>
      <c r="K789">
        <f>IFERROR(AGGREGATE(15,6,(ROW(Zeiterfassung!$D$6:$D$3665)-ROW(Zeiterfassung!$D$6)+1)/(Zeiterfassung!$D$6:$D$3665&lt;&gt;""),784),"")</f>
        <v/>
      </c>
    </row>
    <row r="790" ht="20" customHeight="1">
      <c r="A790" s="183">
        <f>IF($K790="","",WEEKNUM(INDEX(Zeiterfassung!$K$6:$K$3665,$K790),21))</f>
        <v/>
      </c>
      <c r="B790" s="184">
        <f>IF($K790="","",INDEX(Zeiterfassung!$K$6:$K$3665,$K790))</f>
        <v/>
      </c>
      <c r="C790" s="185">
        <f>IF($K790="","",INDEX(Zeiterfassung!$K$6:$K$3665,$K790))</f>
        <v/>
      </c>
      <c r="D790" s="186">
        <f>IF($K790="","",INDEX(Zeiterfassung!$D$6:$D$3665,$K790))</f>
        <v/>
      </c>
      <c r="E790" s="186">
        <f>IF($K790="","",INDEX(Zeiterfassung!$E$6:$E$3665,$K790))</f>
        <v/>
      </c>
      <c r="F790" s="187">
        <f>IF($K790="","",INDEX(Zeiterfassung!$F$6:$F$3665,$K790))</f>
        <v/>
      </c>
      <c r="G790" s="187">
        <f>IF($K790="","",INDEX(Zeiterfassung!$G$6:$G$3665,$K790))</f>
        <v/>
      </c>
      <c r="H790" s="188">
        <f>IF($K790="","",INDEX(Zeiterfassung!$H$6:$H$3665,$K790))</f>
        <v/>
      </c>
      <c r="I790" s="335">
        <f>IF(B790=B789,"",IF($K790="","",INDEX(Zeiterfassung!$I$6:$I$3665,MATCH(INDEX(Zeiterfassung!$K$6:$K$3665,$K790),Zeiterfassung!$K$6:$K$3665,0))))</f>
        <v/>
      </c>
      <c r="J790" s="335">
        <f>IF(B790=B789,"",IF($K790="","",INDEX(Zeiterfassung!$J$6:$J$3665,MATCH(INDEX(Zeiterfassung!$K$6:$K$3665,$K790),Zeiterfassung!$K$6:$K$3665,0))))</f>
        <v/>
      </c>
      <c r="K790">
        <f>IFERROR(AGGREGATE(15,6,(ROW(Zeiterfassung!$D$6:$D$3665)-ROW(Zeiterfassung!$D$6)+1)/(Zeiterfassung!$D$6:$D$3665&lt;&gt;""),785),"")</f>
        <v/>
      </c>
    </row>
    <row r="791" ht="20" customHeight="1">
      <c r="A791" s="183">
        <f>IF($K791="","",WEEKNUM(INDEX(Zeiterfassung!$K$6:$K$3665,$K791),21))</f>
        <v/>
      </c>
      <c r="B791" s="184">
        <f>IF($K791="","",INDEX(Zeiterfassung!$K$6:$K$3665,$K791))</f>
        <v/>
      </c>
      <c r="C791" s="185">
        <f>IF($K791="","",INDEX(Zeiterfassung!$K$6:$K$3665,$K791))</f>
        <v/>
      </c>
      <c r="D791" s="186">
        <f>IF($K791="","",INDEX(Zeiterfassung!$D$6:$D$3665,$K791))</f>
        <v/>
      </c>
      <c r="E791" s="186">
        <f>IF($K791="","",INDEX(Zeiterfassung!$E$6:$E$3665,$K791))</f>
        <v/>
      </c>
      <c r="F791" s="187">
        <f>IF($K791="","",INDEX(Zeiterfassung!$F$6:$F$3665,$K791))</f>
        <v/>
      </c>
      <c r="G791" s="187">
        <f>IF($K791="","",INDEX(Zeiterfassung!$G$6:$G$3665,$K791))</f>
        <v/>
      </c>
      <c r="H791" s="188">
        <f>IF($K791="","",INDEX(Zeiterfassung!$H$6:$H$3665,$K791))</f>
        <v/>
      </c>
      <c r="I791" s="335">
        <f>IF(B791=B790,"",IF($K791="","",INDEX(Zeiterfassung!$I$6:$I$3665,MATCH(INDEX(Zeiterfassung!$K$6:$K$3665,$K791),Zeiterfassung!$K$6:$K$3665,0))))</f>
        <v/>
      </c>
      <c r="J791" s="335">
        <f>IF(B791=B790,"",IF($K791="","",INDEX(Zeiterfassung!$J$6:$J$3665,MATCH(INDEX(Zeiterfassung!$K$6:$K$3665,$K791),Zeiterfassung!$K$6:$K$3665,0))))</f>
        <v/>
      </c>
      <c r="K791">
        <f>IFERROR(AGGREGATE(15,6,(ROW(Zeiterfassung!$D$6:$D$3665)-ROW(Zeiterfassung!$D$6)+1)/(Zeiterfassung!$D$6:$D$3665&lt;&gt;""),786),"")</f>
        <v/>
      </c>
    </row>
    <row r="792" ht="20" customHeight="1">
      <c r="A792" s="183">
        <f>IF($K792="","",WEEKNUM(INDEX(Zeiterfassung!$K$6:$K$3665,$K792),21))</f>
        <v/>
      </c>
      <c r="B792" s="184">
        <f>IF($K792="","",INDEX(Zeiterfassung!$K$6:$K$3665,$K792))</f>
        <v/>
      </c>
      <c r="C792" s="185">
        <f>IF($K792="","",INDEX(Zeiterfassung!$K$6:$K$3665,$K792))</f>
        <v/>
      </c>
      <c r="D792" s="186">
        <f>IF($K792="","",INDEX(Zeiterfassung!$D$6:$D$3665,$K792))</f>
        <v/>
      </c>
      <c r="E792" s="186">
        <f>IF($K792="","",INDEX(Zeiterfassung!$E$6:$E$3665,$K792))</f>
        <v/>
      </c>
      <c r="F792" s="187">
        <f>IF($K792="","",INDEX(Zeiterfassung!$F$6:$F$3665,$K792))</f>
        <v/>
      </c>
      <c r="G792" s="187">
        <f>IF($K792="","",INDEX(Zeiterfassung!$G$6:$G$3665,$K792))</f>
        <v/>
      </c>
      <c r="H792" s="188">
        <f>IF($K792="","",INDEX(Zeiterfassung!$H$6:$H$3665,$K792))</f>
        <v/>
      </c>
      <c r="I792" s="335">
        <f>IF(B792=B791,"",IF($K792="","",INDEX(Zeiterfassung!$I$6:$I$3665,MATCH(INDEX(Zeiterfassung!$K$6:$K$3665,$K792),Zeiterfassung!$K$6:$K$3665,0))))</f>
        <v/>
      </c>
      <c r="J792" s="335">
        <f>IF(B792=B791,"",IF($K792="","",INDEX(Zeiterfassung!$J$6:$J$3665,MATCH(INDEX(Zeiterfassung!$K$6:$K$3665,$K792),Zeiterfassung!$K$6:$K$3665,0))))</f>
        <v/>
      </c>
      <c r="K792">
        <f>IFERROR(AGGREGATE(15,6,(ROW(Zeiterfassung!$D$6:$D$3665)-ROW(Zeiterfassung!$D$6)+1)/(Zeiterfassung!$D$6:$D$3665&lt;&gt;""),787),"")</f>
        <v/>
      </c>
    </row>
    <row r="793" ht="20" customHeight="1">
      <c r="A793" s="183">
        <f>IF($K793="","",WEEKNUM(INDEX(Zeiterfassung!$K$6:$K$3665,$K793),21))</f>
        <v/>
      </c>
      <c r="B793" s="184">
        <f>IF($K793="","",INDEX(Zeiterfassung!$K$6:$K$3665,$K793))</f>
        <v/>
      </c>
      <c r="C793" s="185">
        <f>IF($K793="","",INDEX(Zeiterfassung!$K$6:$K$3665,$K793))</f>
        <v/>
      </c>
      <c r="D793" s="186">
        <f>IF($K793="","",INDEX(Zeiterfassung!$D$6:$D$3665,$K793))</f>
        <v/>
      </c>
      <c r="E793" s="186">
        <f>IF($K793="","",INDEX(Zeiterfassung!$E$6:$E$3665,$K793))</f>
        <v/>
      </c>
      <c r="F793" s="187">
        <f>IF($K793="","",INDEX(Zeiterfassung!$F$6:$F$3665,$K793))</f>
        <v/>
      </c>
      <c r="G793" s="187">
        <f>IF($K793="","",INDEX(Zeiterfassung!$G$6:$G$3665,$K793))</f>
        <v/>
      </c>
      <c r="H793" s="188">
        <f>IF($K793="","",INDEX(Zeiterfassung!$H$6:$H$3665,$K793))</f>
        <v/>
      </c>
      <c r="I793" s="335">
        <f>IF(B793=B792,"",IF($K793="","",INDEX(Zeiterfassung!$I$6:$I$3665,MATCH(INDEX(Zeiterfassung!$K$6:$K$3665,$K793),Zeiterfassung!$K$6:$K$3665,0))))</f>
        <v/>
      </c>
      <c r="J793" s="335">
        <f>IF(B793=B792,"",IF($K793="","",INDEX(Zeiterfassung!$J$6:$J$3665,MATCH(INDEX(Zeiterfassung!$K$6:$K$3665,$K793),Zeiterfassung!$K$6:$K$3665,0))))</f>
        <v/>
      </c>
      <c r="K793">
        <f>IFERROR(AGGREGATE(15,6,(ROW(Zeiterfassung!$D$6:$D$3665)-ROW(Zeiterfassung!$D$6)+1)/(Zeiterfassung!$D$6:$D$3665&lt;&gt;""),788),"")</f>
        <v/>
      </c>
    </row>
    <row r="794" ht="20" customHeight="1">
      <c r="A794" s="183">
        <f>IF($K794="","",WEEKNUM(INDEX(Zeiterfassung!$K$6:$K$3665,$K794),21))</f>
        <v/>
      </c>
      <c r="B794" s="184">
        <f>IF($K794="","",INDEX(Zeiterfassung!$K$6:$K$3665,$K794))</f>
        <v/>
      </c>
      <c r="C794" s="185">
        <f>IF($K794="","",INDEX(Zeiterfassung!$K$6:$K$3665,$K794))</f>
        <v/>
      </c>
      <c r="D794" s="186">
        <f>IF($K794="","",INDEX(Zeiterfassung!$D$6:$D$3665,$K794))</f>
        <v/>
      </c>
      <c r="E794" s="186">
        <f>IF($K794="","",INDEX(Zeiterfassung!$E$6:$E$3665,$K794))</f>
        <v/>
      </c>
      <c r="F794" s="187">
        <f>IF($K794="","",INDEX(Zeiterfassung!$F$6:$F$3665,$K794))</f>
        <v/>
      </c>
      <c r="G794" s="187">
        <f>IF($K794="","",INDEX(Zeiterfassung!$G$6:$G$3665,$K794))</f>
        <v/>
      </c>
      <c r="H794" s="188">
        <f>IF($K794="","",INDEX(Zeiterfassung!$H$6:$H$3665,$K794))</f>
        <v/>
      </c>
      <c r="I794" s="335">
        <f>IF(B794=B793,"",IF($K794="","",INDEX(Zeiterfassung!$I$6:$I$3665,MATCH(INDEX(Zeiterfassung!$K$6:$K$3665,$K794),Zeiterfassung!$K$6:$K$3665,0))))</f>
        <v/>
      </c>
      <c r="J794" s="335">
        <f>IF(B794=B793,"",IF($K794="","",INDEX(Zeiterfassung!$J$6:$J$3665,MATCH(INDEX(Zeiterfassung!$K$6:$K$3665,$K794),Zeiterfassung!$K$6:$K$3665,0))))</f>
        <v/>
      </c>
      <c r="K794">
        <f>IFERROR(AGGREGATE(15,6,(ROW(Zeiterfassung!$D$6:$D$3665)-ROW(Zeiterfassung!$D$6)+1)/(Zeiterfassung!$D$6:$D$3665&lt;&gt;""),789),"")</f>
        <v/>
      </c>
    </row>
    <row r="795" ht="20" customHeight="1">
      <c r="A795" s="183">
        <f>IF($K795="","",WEEKNUM(INDEX(Zeiterfassung!$K$6:$K$3665,$K795),21))</f>
        <v/>
      </c>
      <c r="B795" s="184">
        <f>IF($K795="","",INDEX(Zeiterfassung!$K$6:$K$3665,$K795))</f>
        <v/>
      </c>
      <c r="C795" s="185">
        <f>IF($K795="","",INDEX(Zeiterfassung!$K$6:$K$3665,$K795))</f>
        <v/>
      </c>
      <c r="D795" s="186">
        <f>IF($K795="","",INDEX(Zeiterfassung!$D$6:$D$3665,$K795))</f>
        <v/>
      </c>
      <c r="E795" s="186">
        <f>IF($K795="","",INDEX(Zeiterfassung!$E$6:$E$3665,$K795))</f>
        <v/>
      </c>
      <c r="F795" s="187">
        <f>IF($K795="","",INDEX(Zeiterfassung!$F$6:$F$3665,$K795))</f>
        <v/>
      </c>
      <c r="G795" s="187">
        <f>IF($K795="","",INDEX(Zeiterfassung!$G$6:$G$3665,$K795))</f>
        <v/>
      </c>
      <c r="H795" s="188">
        <f>IF($K795="","",INDEX(Zeiterfassung!$H$6:$H$3665,$K795))</f>
        <v/>
      </c>
      <c r="I795" s="335">
        <f>IF(B795=B794,"",IF($K795="","",INDEX(Zeiterfassung!$I$6:$I$3665,MATCH(INDEX(Zeiterfassung!$K$6:$K$3665,$K795),Zeiterfassung!$K$6:$K$3665,0))))</f>
        <v/>
      </c>
      <c r="J795" s="335">
        <f>IF(B795=B794,"",IF($K795="","",INDEX(Zeiterfassung!$J$6:$J$3665,MATCH(INDEX(Zeiterfassung!$K$6:$K$3665,$K795),Zeiterfassung!$K$6:$K$3665,0))))</f>
        <v/>
      </c>
      <c r="K795">
        <f>IFERROR(AGGREGATE(15,6,(ROW(Zeiterfassung!$D$6:$D$3665)-ROW(Zeiterfassung!$D$6)+1)/(Zeiterfassung!$D$6:$D$3665&lt;&gt;""),790),"")</f>
        <v/>
      </c>
    </row>
    <row r="796" ht="20" customHeight="1">
      <c r="A796" s="183">
        <f>IF($K796="","",WEEKNUM(INDEX(Zeiterfassung!$K$6:$K$3665,$K796),21))</f>
        <v/>
      </c>
      <c r="B796" s="184">
        <f>IF($K796="","",INDEX(Zeiterfassung!$K$6:$K$3665,$K796))</f>
        <v/>
      </c>
      <c r="C796" s="185">
        <f>IF($K796="","",INDEX(Zeiterfassung!$K$6:$K$3665,$K796))</f>
        <v/>
      </c>
      <c r="D796" s="186">
        <f>IF($K796="","",INDEX(Zeiterfassung!$D$6:$D$3665,$K796))</f>
        <v/>
      </c>
      <c r="E796" s="186">
        <f>IF($K796="","",INDEX(Zeiterfassung!$E$6:$E$3665,$K796))</f>
        <v/>
      </c>
      <c r="F796" s="187">
        <f>IF($K796="","",INDEX(Zeiterfassung!$F$6:$F$3665,$K796))</f>
        <v/>
      </c>
      <c r="G796" s="187">
        <f>IF($K796="","",INDEX(Zeiterfassung!$G$6:$G$3665,$K796))</f>
        <v/>
      </c>
      <c r="H796" s="188">
        <f>IF($K796="","",INDEX(Zeiterfassung!$H$6:$H$3665,$K796))</f>
        <v/>
      </c>
      <c r="I796" s="335">
        <f>IF(B796=B795,"",IF($K796="","",INDEX(Zeiterfassung!$I$6:$I$3665,MATCH(INDEX(Zeiterfassung!$K$6:$K$3665,$K796),Zeiterfassung!$K$6:$K$3665,0))))</f>
        <v/>
      </c>
      <c r="J796" s="335">
        <f>IF(B796=B795,"",IF($K796="","",INDEX(Zeiterfassung!$J$6:$J$3665,MATCH(INDEX(Zeiterfassung!$K$6:$K$3665,$K796),Zeiterfassung!$K$6:$K$3665,0))))</f>
        <v/>
      </c>
      <c r="K796">
        <f>IFERROR(AGGREGATE(15,6,(ROW(Zeiterfassung!$D$6:$D$3665)-ROW(Zeiterfassung!$D$6)+1)/(Zeiterfassung!$D$6:$D$3665&lt;&gt;""),791),"")</f>
        <v/>
      </c>
    </row>
    <row r="797" ht="20" customHeight="1">
      <c r="A797" s="183">
        <f>IF($K797="","",WEEKNUM(INDEX(Zeiterfassung!$K$6:$K$3665,$K797),21))</f>
        <v/>
      </c>
      <c r="B797" s="184">
        <f>IF($K797="","",INDEX(Zeiterfassung!$K$6:$K$3665,$K797))</f>
        <v/>
      </c>
      <c r="C797" s="185">
        <f>IF($K797="","",INDEX(Zeiterfassung!$K$6:$K$3665,$K797))</f>
        <v/>
      </c>
      <c r="D797" s="186">
        <f>IF($K797="","",INDEX(Zeiterfassung!$D$6:$D$3665,$K797))</f>
        <v/>
      </c>
      <c r="E797" s="186">
        <f>IF($K797="","",INDEX(Zeiterfassung!$E$6:$E$3665,$K797))</f>
        <v/>
      </c>
      <c r="F797" s="187">
        <f>IF($K797="","",INDEX(Zeiterfassung!$F$6:$F$3665,$K797))</f>
        <v/>
      </c>
      <c r="G797" s="187">
        <f>IF($K797="","",INDEX(Zeiterfassung!$G$6:$G$3665,$K797))</f>
        <v/>
      </c>
      <c r="H797" s="188">
        <f>IF($K797="","",INDEX(Zeiterfassung!$H$6:$H$3665,$K797))</f>
        <v/>
      </c>
      <c r="I797" s="335">
        <f>IF(B797=B796,"",IF($K797="","",INDEX(Zeiterfassung!$I$6:$I$3665,MATCH(INDEX(Zeiterfassung!$K$6:$K$3665,$K797),Zeiterfassung!$K$6:$K$3665,0))))</f>
        <v/>
      </c>
      <c r="J797" s="335">
        <f>IF(B797=B796,"",IF($K797="","",INDEX(Zeiterfassung!$J$6:$J$3665,MATCH(INDEX(Zeiterfassung!$K$6:$K$3665,$K797),Zeiterfassung!$K$6:$K$3665,0))))</f>
        <v/>
      </c>
      <c r="K797">
        <f>IFERROR(AGGREGATE(15,6,(ROW(Zeiterfassung!$D$6:$D$3665)-ROW(Zeiterfassung!$D$6)+1)/(Zeiterfassung!$D$6:$D$3665&lt;&gt;""),792),"")</f>
        <v/>
      </c>
    </row>
    <row r="798" ht="20" customHeight="1">
      <c r="A798" s="183">
        <f>IF($K798="","",WEEKNUM(INDEX(Zeiterfassung!$K$6:$K$3665,$K798),21))</f>
        <v/>
      </c>
      <c r="B798" s="184">
        <f>IF($K798="","",INDEX(Zeiterfassung!$K$6:$K$3665,$K798))</f>
        <v/>
      </c>
      <c r="C798" s="185">
        <f>IF($K798="","",INDEX(Zeiterfassung!$K$6:$K$3665,$K798))</f>
        <v/>
      </c>
      <c r="D798" s="186">
        <f>IF($K798="","",INDEX(Zeiterfassung!$D$6:$D$3665,$K798))</f>
        <v/>
      </c>
      <c r="E798" s="186">
        <f>IF($K798="","",INDEX(Zeiterfassung!$E$6:$E$3665,$K798))</f>
        <v/>
      </c>
      <c r="F798" s="187">
        <f>IF($K798="","",INDEX(Zeiterfassung!$F$6:$F$3665,$K798))</f>
        <v/>
      </c>
      <c r="G798" s="187">
        <f>IF($K798="","",INDEX(Zeiterfassung!$G$6:$G$3665,$K798))</f>
        <v/>
      </c>
      <c r="H798" s="188">
        <f>IF($K798="","",INDEX(Zeiterfassung!$H$6:$H$3665,$K798))</f>
        <v/>
      </c>
      <c r="I798" s="335">
        <f>IF(B798=B797,"",IF($K798="","",INDEX(Zeiterfassung!$I$6:$I$3665,MATCH(INDEX(Zeiterfassung!$K$6:$K$3665,$K798),Zeiterfassung!$K$6:$K$3665,0))))</f>
        <v/>
      </c>
      <c r="J798" s="335">
        <f>IF(B798=B797,"",IF($K798="","",INDEX(Zeiterfassung!$J$6:$J$3665,MATCH(INDEX(Zeiterfassung!$K$6:$K$3665,$K798),Zeiterfassung!$K$6:$K$3665,0))))</f>
        <v/>
      </c>
      <c r="K798">
        <f>IFERROR(AGGREGATE(15,6,(ROW(Zeiterfassung!$D$6:$D$3665)-ROW(Zeiterfassung!$D$6)+1)/(Zeiterfassung!$D$6:$D$3665&lt;&gt;""),793),"")</f>
        <v/>
      </c>
    </row>
    <row r="799" ht="20" customHeight="1">
      <c r="A799" s="183">
        <f>IF($K799="","",WEEKNUM(INDEX(Zeiterfassung!$K$6:$K$3665,$K799),21))</f>
        <v/>
      </c>
      <c r="B799" s="184">
        <f>IF($K799="","",INDEX(Zeiterfassung!$K$6:$K$3665,$K799))</f>
        <v/>
      </c>
      <c r="C799" s="185">
        <f>IF($K799="","",INDEX(Zeiterfassung!$K$6:$K$3665,$K799))</f>
        <v/>
      </c>
      <c r="D799" s="186">
        <f>IF($K799="","",INDEX(Zeiterfassung!$D$6:$D$3665,$K799))</f>
        <v/>
      </c>
      <c r="E799" s="186">
        <f>IF($K799="","",INDEX(Zeiterfassung!$E$6:$E$3665,$K799))</f>
        <v/>
      </c>
      <c r="F799" s="187">
        <f>IF($K799="","",INDEX(Zeiterfassung!$F$6:$F$3665,$K799))</f>
        <v/>
      </c>
      <c r="G799" s="187">
        <f>IF($K799="","",INDEX(Zeiterfassung!$G$6:$G$3665,$K799))</f>
        <v/>
      </c>
      <c r="H799" s="188">
        <f>IF($K799="","",INDEX(Zeiterfassung!$H$6:$H$3665,$K799))</f>
        <v/>
      </c>
      <c r="I799" s="335">
        <f>IF(B799=B798,"",IF($K799="","",INDEX(Zeiterfassung!$I$6:$I$3665,MATCH(INDEX(Zeiterfassung!$K$6:$K$3665,$K799),Zeiterfassung!$K$6:$K$3665,0))))</f>
        <v/>
      </c>
      <c r="J799" s="335">
        <f>IF(B799=B798,"",IF($K799="","",INDEX(Zeiterfassung!$J$6:$J$3665,MATCH(INDEX(Zeiterfassung!$K$6:$K$3665,$K799),Zeiterfassung!$K$6:$K$3665,0))))</f>
        <v/>
      </c>
      <c r="K799">
        <f>IFERROR(AGGREGATE(15,6,(ROW(Zeiterfassung!$D$6:$D$3665)-ROW(Zeiterfassung!$D$6)+1)/(Zeiterfassung!$D$6:$D$3665&lt;&gt;""),794),"")</f>
        <v/>
      </c>
    </row>
    <row r="800" ht="20" customHeight="1">
      <c r="A800" s="183">
        <f>IF($K800="","",WEEKNUM(INDEX(Zeiterfassung!$K$6:$K$3665,$K800),21))</f>
        <v/>
      </c>
      <c r="B800" s="184">
        <f>IF($K800="","",INDEX(Zeiterfassung!$K$6:$K$3665,$K800))</f>
        <v/>
      </c>
      <c r="C800" s="185">
        <f>IF($K800="","",INDEX(Zeiterfassung!$K$6:$K$3665,$K800))</f>
        <v/>
      </c>
      <c r="D800" s="186">
        <f>IF($K800="","",INDEX(Zeiterfassung!$D$6:$D$3665,$K800))</f>
        <v/>
      </c>
      <c r="E800" s="186">
        <f>IF($K800="","",INDEX(Zeiterfassung!$E$6:$E$3665,$K800))</f>
        <v/>
      </c>
      <c r="F800" s="187">
        <f>IF($K800="","",INDEX(Zeiterfassung!$F$6:$F$3665,$K800))</f>
        <v/>
      </c>
      <c r="G800" s="187">
        <f>IF($K800="","",INDEX(Zeiterfassung!$G$6:$G$3665,$K800))</f>
        <v/>
      </c>
      <c r="H800" s="188">
        <f>IF($K800="","",INDEX(Zeiterfassung!$H$6:$H$3665,$K800))</f>
        <v/>
      </c>
      <c r="I800" s="335">
        <f>IF(B800=B799,"",IF($K800="","",INDEX(Zeiterfassung!$I$6:$I$3665,MATCH(INDEX(Zeiterfassung!$K$6:$K$3665,$K800),Zeiterfassung!$K$6:$K$3665,0))))</f>
        <v/>
      </c>
      <c r="J800" s="335">
        <f>IF(B800=B799,"",IF($K800="","",INDEX(Zeiterfassung!$J$6:$J$3665,MATCH(INDEX(Zeiterfassung!$K$6:$K$3665,$K800),Zeiterfassung!$K$6:$K$3665,0))))</f>
        <v/>
      </c>
      <c r="K800">
        <f>IFERROR(AGGREGATE(15,6,(ROW(Zeiterfassung!$D$6:$D$3665)-ROW(Zeiterfassung!$D$6)+1)/(Zeiterfassung!$D$6:$D$3665&lt;&gt;""),795),"")</f>
        <v/>
      </c>
    </row>
    <row r="801" ht="20" customHeight="1">
      <c r="A801" s="183">
        <f>IF($K801="","",WEEKNUM(INDEX(Zeiterfassung!$K$6:$K$3665,$K801),21))</f>
        <v/>
      </c>
      <c r="B801" s="184">
        <f>IF($K801="","",INDEX(Zeiterfassung!$K$6:$K$3665,$K801))</f>
        <v/>
      </c>
      <c r="C801" s="185">
        <f>IF($K801="","",INDEX(Zeiterfassung!$K$6:$K$3665,$K801))</f>
        <v/>
      </c>
      <c r="D801" s="186">
        <f>IF($K801="","",INDEX(Zeiterfassung!$D$6:$D$3665,$K801))</f>
        <v/>
      </c>
      <c r="E801" s="186">
        <f>IF($K801="","",INDEX(Zeiterfassung!$E$6:$E$3665,$K801))</f>
        <v/>
      </c>
      <c r="F801" s="187">
        <f>IF($K801="","",INDEX(Zeiterfassung!$F$6:$F$3665,$K801))</f>
        <v/>
      </c>
      <c r="G801" s="187">
        <f>IF($K801="","",INDEX(Zeiterfassung!$G$6:$G$3665,$K801))</f>
        <v/>
      </c>
      <c r="H801" s="188">
        <f>IF($K801="","",INDEX(Zeiterfassung!$H$6:$H$3665,$K801))</f>
        <v/>
      </c>
      <c r="I801" s="335">
        <f>IF(B801=B800,"",IF($K801="","",INDEX(Zeiterfassung!$I$6:$I$3665,MATCH(INDEX(Zeiterfassung!$K$6:$K$3665,$K801),Zeiterfassung!$K$6:$K$3665,0))))</f>
        <v/>
      </c>
      <c r="J801" s="335">
        <f>IF(B801=B800,"",IF($K801="","",INDEX(Zeiterfassung!$J$6:$J$3665,MATCH(INDEX(Zeiterfassung!$K$6:$K$3665,$K801),Zeiterfassung!$K$6:$K$3665,0))))</f>
        <v/>
      </c>
      <c r="K801">
        <f>IFERROR(AGGREGATE(15,6,(ROW(Zeiterfassung!$D$6:$D$3665)-ROW(Zeiterfassung!$D$6)+1)/(Zeiterfassung!$D$6:$D$3665&lt;&gt;""),796),"")</f>
        <v/>
      </c>
    </row>
    <row r="802" ht="20" customHeight="1">
      <c r="A802" s="183">
        <f>IF($K802="","",WEEKNUM(INDEX(Zeiterfassung!$K$6:$K$3665,$K802),21))</f>
        <v/>
      </c>
      <c r="B802" s="184">
        <f>IF($K802="","",INDEX(Zeiterfassung!$K$6:$K$3665,$K802))</f>
        <v/>
      </c>
      <c r="C802" s="185">
        <f>IF($K802="","",INDEX(Zeiterfassung!$K$6:$K$3665,$K802))</f>
        <v/>
      </c>
      <c r="D802" s="186">
        <f>IF($K802="","",INDEX(Zeiterfassung!$D$6:$D$3665,$K802))</f>
        <v/>
      </c>
      <c r="E802" s="186">
        <f>IF($K802="","",INDEX(Zeiterfassung!$E$6:$E$3665,$K802))</f>
        <v/>
      </c>
      <c r="F802" s="187">
        <f>IF($K802="","",INDEX(Zeiterfassung!$F$6:$F$3665,$K802))</f>
        <v/>
      </c>
      <c r="G802" s="187">
        <f>IF($K802="","",INDEX(Zeiterfassung!$G$6:$G$3665,$K802))</f>
        <v/>
      </c>
      <c r="H802" s="188">
        <f>IF($K802="","",INDEX(Zeiterfassung!$H$6:$H$3665,$K802))</f>
        <v/>
      </c>
      <c r="I802" s="335">
        <f>IF(B802=B801,"",IF($K802="","",INDEX(Zeiterfassung!$I$6:$I$3665,MATCH(INDEX(Zeiterfassung!$K$6:$K$3665,$K802),Zeiterfassung!$K$6:$K$3665,0))))</f>
        <v/>
      </c>
      <c r="J802" s="335">
        <f>IF(B802=B801,"",IF($K802="","",INDEX(Zeiterfassung!$J$6:$J$3665,MATCH(INDEX(Zeiterfassung!$K$6:$K$3665,$K802),Zeiterfassung!$K$6:$K$3665,0))))</f>
        <v/>
      </c>
      <c r="K802">
        <f>IFERROR(AGGREGATE(15,6,(ROW(Zeiterfassung!$D$6:$D$3665)-ROW(Zeiterfassung!$D$6)+1)/(Zeiterfassung!$D$6:$D$3665&lt;&gt;""),797),"")</f>
        <v/>
      </c>
    </row>
    <row r="803" ht="20" customHeight="1">
      <c r="A803" s="183">
        <f>IF($K803="","",WEEKNUM(INDEX(Zeiterfassung!$K$6:$K$3665,$K803),21))</f>
        <v/>
      </c>
      <c r="B803" s="184">
        <f>IF($K803="","",INDEX(Zeiterfassung!$K$6:$K$3665,$K803))</f>
        <v/>
      </c>
      <c r="C803" s="185">
        <f>IF($K803="","",INDEX(Zeiterfassung!$K$6:$K$3665,$K803))</f>
        <v/>
      </c>
      <c r="D803" s="186">
        <f>IF($K803="","",INDEX(Zeiterfassung!$D$6:$D$3665,$K803))</f>
        <v/>
      </c>
      <c r="E803" s="186">
        <f>IF($K803="","",INDEX(Zeiterfassung!$E$6:$E$3665,$K803))</f>
        <v/>
      </c>
      <c r="F803" s="187">
        <f>IF($K803="","",INDEX(Zeiterfassung!$F$6:$F$3665,$K803))</f>
        <v/>
      </c>
      <c r="G803" s="187">
        <f>IF($K803="","",INDEX(Zeiterfassung!$G$6:$G$3665,$K803))</f>
        <v/>
      </c>
      <c r="H803" s="188">
        <f>IF($K803="","",INDEX(Zeiterfassung!$H$6:$H$3665,$K803))</f>
        <v/>
      </c>
      <c r="I803" s="335">
        <f>IF(B803=B802,"",IF($K803="","",INDEX(Zeiterfassung!$I$6:$I$3665,MATCH(INDEX(Zeiterfassung!$K$6:$K$3665,$K803),Zeiterfassung!$K$6:$K$3665,0))))</f>
        <v/>
      </c>
      <c r="J803" s="335">
        <f>IF(B803=B802,"",IF($K803="","",INDEX(Zeiterfassung!$J$6:$J$3665,MATCH(INDEX(Zeiterfassung!$K$6:$K$3665,$K803),Zeiterfassung!$K$6:$K$3665,0))))</f>
        <v/>
      </c>
      <c r="K803">
        <f>IFERROR(AGGREGATE(15,6,(ROW(Zeiterfassung!$D$6:$D$3665)-ROW(Zeiterfassung!$D$6)+1)/(Zeiterfassung!$D$6:$D$3665&lt;&gt;""),798),"")</f>
        <v/>
      </c>
    </row>
    <row r="804" ht="20" customHeight="1">
      <c r="A804" s="183">
        <f>IF($K804="","",WEEKNUM(INDEX(Zeiterfassung!$K$6:$K$3665,$K804),21))</f>
        <v/>
      </c>
      <c r="B804" s="184">
        <f>IF($K804="","",INDEX(Zeiterfassung!$K$6:$K$3665,$K804))</f>
        <v/>
      </c>
      <c r="C804" s="185">
        <f>IF($K804="","",INDEX(Zeiterfassung!$K$6:$K$3665,$K804))</f>
        <v/>
      </c>
      <c r="D804" s="186">
        <f>IF($K804="","",INDEX(Zeiterfassung!$D$6:$D$3665,$K804))</f>
        <v/>
      </c>
      <c r="E804" s="186">
        <f>IF($K804="","",INDEX(Zeiterfassung!$E$6:$E$3665,$K804))</f>
        <v/>
      </c>
      <c r="F804" s="187">
        <f>IF($K804="","",INDEX(Zeiterfassung!$F$6:$F$3665,$K804))</f>
        <v/>
      </c>
      <c r="G804" s="187">
        <f>IF($K804="","",INDEX(Zeiterfassung!$G$6:$G$3665,$K804))</f>
        <v/>
      </c>
      <c r="H804" s="188">
        <f>IF($K804="","",INDEX(Zeiterfassung!$H$6:$H$3665,$K804))</f>
        <v/>
      </c>
      <c r="I804" s="335">
        <f>IF(B804=B803,"",IF($K804="","",INDEX(Zeiterfassung!$I$6:$I$3665,MATCH(INDEX(Zeiterfassung!$K$6:$K$3665,$K804),Zeiterfassung!$K$6:$K$3665,0))))</f>
        <v/>
      </c>
      <c r="J804" s="335">
        <f>IF(B804=B803,"",IF($K804="","",INDEX(Zeiterfassung!$J$6:$J$3665,MATCH(INDEX(Zeiterfassung!$K$6:$K$3665,$K804),Zeiterfassung!$K$6:$K$3665,0))))</f>
        <v/>
      </c>
      <c r="K804">
        <f>IFERROR(AGGREGATE(15,6,(ROW(Zeiterfassung!$D$6:$D$3665)-ROW(Zeiterfassung!$D$6)+1)/(Zeiterfassung!$D$6:$D$3665&lt;&gt;""),799),"")</f>
        <v/>
      </c>
    </row>
    <row r="805" ht="20" customHeight="1">
      <c r="A805" s="183">
        <f>IF($K805="","",WEEKNUM(INDEX(Zeiterfassung!$K$6:$K$3665,$K805),21))</f>
        <v/>
      </c>
      <c r="B805" s="184">
        <f>IF($K805="","",INDEX(Zeiterfassung!$K$6:$K$3665,$K805))</f>
        <v/>
      </c>
      <c r="C805" s="185">
        <f>IF($K805="","",INDEX(Zeiterfassung!$K$6:$K$3665,$K805))</f>
        <v/>
      </c>
      <c r="D805" s="186">
        <f>IF($K805="","",INDEX(Zeiterfassung!$D$6:$D$3665,$K805))</f>
        <v/>
      </c>
      <c r="E805" s="186">
        <f>IF($K805="","",INDEX(Zeiterfassung!$E$6:$E$3665,$K805))</f>
        <v/>
      </c>
      <c r="F805" s="187">
        <f>IF($K805="","",INDEX(Zeiterfassung!$F$6:$F$3665,$K805))</f>
        <v/>
      </c>
      <c r="G805" s="187">
        <f>IF($K805="","",INDEX(Zeiterfassung!$G$6:$G$3665,$K805))</f>
        <v/>
      </c>
      <c r="H805" s="188">
        <f>IF($K805="","",INDEX(Zeiterfassung!$H$6:$H$3665,$K805))</f>
        <v/>
      </c>
      <c r="I805" s="335">
        <f>IF(B805=B804,"",IF($K805="","",INDEX(Zeiterfassung!$I$6:$I$3665,MATCH(INDEX(Zeiterfassung!$K$6:$K$3665,$K805),Zeiterfassung!$K$6:$K$3665,0))))</f>
        <v/>
      </c>
      <c r="J805" s="335">
        <f>IF(B805=B804,"",IF($K805="","",INDEX(Zeiterfassung!$J$6:$J$3665,MATCH(INDEX(Zeiterfassung!$K$6:$K$3665,$K805),Zeiterfassung!$K$6:$K$3665,0))))</f>
        <v/>
      </c>
      <c r="K805">
        <f>IFERROR(AGGREGATE(15,6,(ROW(Zeiterfassung!$D$6:$D$3665)-ROW(Zeiterfassung!$D$6)+1)/(Zeiterfassung!$D$6:$D$3665&lt;&gt;""),800),"")</f>
        <v/>
      </c>
    </row>
    <row r="806" ht="20" customHeight="1">
      <c r="A806" s="183">
        <f>IF($K806="","",WEEKNUM(INDEX(Zeiterfassung!$K$6:$K$3665,$K806),21))</f>
        <v/>
      </c>
      <c r="B806" s="184">
        <f>IF($K806="","",INDEX(Zeiterfassung!$K$6:$K$3665,$K806))</f>
        <v/>
      </c>
      <c r="C806" s="185">
        <f>IF($K806="","",INDEX(Zeiterfassung!$K$6:$K$3665,$K806))</f>
        <v/>
      </c>
      <c r="D806" s="186">
        <f>IF($K806="","",INDEX(Zeiterfassung!$D$6:$D$3665,$K806))</f>
        <v/>
      </c>
      <c r="E806" s="186">
        <f>IF($K806="","",INDEX(Zeiterfassung!$E$6:$E$3665,$K806))</f>
        <v/>
      </c>
      <c r="F806" s="187">
        <f>IF($K806="","",INDEX(Zeiterfassung!$F$6:$F$3665,$K806))</f>
        <v/>
      </c>
      <c r="G806" s="187">
        <f>IF($K806="","",INDEX(Zeiterfassung!$G$6:$G$3665,$K806))</f>
        <v/>
      </c>
      <c r="H806" s="188">
        <f>IF($K806="","",INDEX(Zeiterfassung!$H$6:$H$3665,$K806))</f>
        <v/>
      </c>
      <c r="I806" s="335">
        <f>IF(B806=B805,"",IF($K806="","",INDEX(Zeiterfassung!$I$6:$I$3665,MATCH(INDEX(Zeiterfassung!$K$6:$K$3665,$K806),Zeiterfassung!$K$6:$K$3665,0))))</f>
        <v/>
      </c>
      <c r="J806" s="335">
        <f>IF(B806=B805,"",IF($K806="","",INDEX(Zeiterfassung!$J$6:$J$3665,MATCH(INDEX(Zeiterfassung!$K$6:$K$3665,$K806),Zeiterfassung!$K$6:$K$3665,0))))</f>
        <v/>
      </c>
      <c r="K806">
        <f>IFERROR(AGGREGATE(15,6,(ROW(Zeiterfassung!$D$6:$D$3665)-ROW(Zeiterfassung!$D$6)+1)/(Zeiterfassung!$D$6:$D$3665&lt;&gt;""),801),"")</f>
        <v/>
      </c>
    </row>
    <row r="807" ht="20" customHeight="1">
      <c r="A807" s="183">
        <f>IF($K807="","",WEEKNUM(INDEX(Zeiterfassung!$K$6:$K$3665,$K807),21))</f>
        <v/>
      </c>
      <c r="B807" s="184">
        <f>IF($K807="","",INDEX(Zeiterfassung!$K$6:$K$3665,$K807))</f>
        <v/>
      </c>
      <c r="C807" s="185">
        <f>IF($K807="","",INDEX(Zeiterfassung!$K$6:$K$3665,$K807))</f>
        <v/>
      </c>
      <c r="D807" s="186">
        <f>IF($K807="","",INDEX(Zeiterfassung!$D$6:$D$3665,$K807))</f>
        <v/>
      </c>
      <c r="E807" s="186">
        <f>IF($K807="","",INDEX(Zeiterfassung!$E$6:$E$3665,$K807))</f>
        <v/>
      </c>
      <c r="F807" s="187">
        <f>IF($K807="","",INDEX(Zeiterfassung!$F$6:$F$3665,$K807))</f>
        <v/>
      </c>
      <c r="G807" s="187">
        <f>IF($K807="","",INDEX(Zeiterfassung!$G$6:$G$3665,$K807))</f>
        <v/>
      </c>
      <c r="H807" s="188">
        <f>IF($K807="","",INDEX(Zeiterfassung!$H$6:$H$3665,$K807))</f>
        <v/>
      </c>
      <c r="I807" s="335">
        <f>IF(B807=B806,"",IF($K807="","",INDEX(Zeiterfassung!$I$6:$I$3665,MATCH(INDEX(Zeiterfassung!$K$6:$K$3665,$K807),Zeiterfassung!$K$6:$K$3665,0))))</f>
        <v/>
      </c>
      <c r="J807" s="335">
        <f>IF(B807=B806,"",IF($K807="","",INDEX(Zeiterfassung!$J$6:$J$3665,MATCH(INDEX(Zeiterfassung!$K$6:$K$3665,$K807),Zeiterfassung!$K$6:$K$3665,0))))</f>
        <v/>
      </c>
      <c r="K807">
        <f>IFERROR(AGGREGATE(15,6,(ROW(Zeiterfassung!$D$6:$D$3665)-ROW(Zeiterfassung!$D$6)+1)/(Zeiterfassung!$D$6:$D$3665&lt;&gt;""),802),"")</f>
        <v/>
      </c>
    </row>
    <row r="808" ht="20" customHeight="1">
      <c r="A808" s="183">
        <f>IF($K808="","",WEEKNUM(INDEX(Zeiterfassung!$K$6:$K$3665,$K808),21))</f>
        <v/>
      </c>
      <c r="B808" s="184">
        <f>IF($K808="","",INDEX(Zeiterfassung!$K$6:$K$3665,$K808))</f>
        <v/>
      </c>
      <c r="C808" s="185">
        <f>IF($K808="","",INDEX(Zeiterfassung!$K$6:$K$3665,$K808))</f>
        <v/>
      </c>
      <c r="D808" s="186">
        <f>IF($K808="","",INDEX(Zeiterfassung!$D$6:$D$3665,$K808))</f>
        <v/>
      </c>
      <c r="E808" s="186">
        <f>IF($K808="","",INDEX(Zeiterfassung!$E$6:$E$3665,$K808))</f>
        <v/>
      </c>
      <c r="F808" s="187">
        <f>IF($K808="","",INDEX(Zeiterfassung!$F$6:$F$3665,$K808))</f>
        <v/>
      </c>
      <c r="G808" s="187">
        <f>IF($K808="","",INDEX(Zeiterfassung!$G$6:$G$3665,$K808))</f>
        <v/>
      </c>
      <c r="H808" s="188">
        <f>IF($K808="","",INDEX(Zeiterfassung!$H$6:$H$3665,$K808))</f>
        <v/>
      </c>
      <c r="I808" s="335">
        <f>IF(B808=B807,"",IF($K808="","",INDEX(Zeiterfassung!$I$6:$I$3665,MATCH(INDEX(Zeiterfassung!$K$6:$K$3665,$K808),Zeiterfassung!$K$6:$K$3665,0))))</f>
        <v/>
      </c>
      <c r="J808" s="335">
        <f>IF(B808=B807,"",IF($K808="","",INDEX(Zeiterfassung!$J$6:$J$3665,MATCH(INDEX(Zeiterfassung!$K$6:$K$3665,$K808),Zeiterfassung!$K$6:$K$3665,0))))</f>
        <v/>
      </c>
      <c r="K808">
        <f>IFERROR(AGGREGATE(15,6,(ROW(Zeiterfassung!$D$6:$D$3665)-ROW(Zeiterfassung!$D$6)+1)/(Zeiterfassung!$D$6:$D$3665&lt;&gt;""),803),"")</f>
        <v/>
      </c>
    </row>
    <row r="809" ht="20" customHeight="1">
      <c r="A809" s="183">
        <f>IF($K809="","",WEEKNUM(INDEX(Zeiterfassung!$K$6:$K$3665,$K809),21))</f>
        <v/>
      </c>
      <c r="B809" s="184">
        <f>IF($K809="","",INDEX(Zeiterfassung!$K$6:$K$3665,$K809))</f>
        <v/>
      </c>
      <c r="C809" s="185">
        <f>IF($K809="","",INDEX(Zeiterfassung!$K$6:$K$3665,$K809))</f>
        <v/>
      </c>
      <c r="D809" s="186">
        <f>IF($K809="","",INDEX(Zeiterfassung!$D$6:$D$3665,$K809))</f>
        <v/>
      </c>
      <c r="E809" s="186">
        <f>IF($K809="","",INDEX(Zeiterfassung!$E$6:$E$3665,$K809))</f>
        <v/>
      </c>
      <c r="F809" s="187">
        <f>IF($K809="","",INDEX(Zeiterfassung!$F$6:$F$3665,$K809))</f>
        <v/>
      </c>
      <c r="G809" s="187">
        <f>IF($K809="","",INDEX(Zeiterfassung!$G$6:$G$3665,$K809))</f>
        <v/>
      </c>
      <c r="H809" s="188">
        <f>IF($K809="","",INDEX(Zeiterfassung!$H$6:$H$3665,$K809))</f>
        <v/>
      </c>
      <c r="I809" s="335">
        <f>IF(B809=B808,"",IF($K809="","",INDEX(Zeiterfassung!$I$6:$I$3665,MATCH(INDEX(Zeiterfassung!$K$6:$K$3665,$K809),Zeiterfassung!$K$6:$K$3665,0))))</f>
        <v/>
      </c>
      <c r="J809" s="335">
        <f>IF(B809=B808,"",IF($K809="","",INDEX(Zeiterfassung!$J$6:$J$3665,MATCH(INDEX(Zeiterfassung!$K$6:$K$3665,$K809),Zeiterfassung!$K$6:$K$3665,0))))</f>
        <v/>
      </c>
      <c r="K809">
        <f>IFERROR(AGGREGATE(15,6,(ROW(Zeiterfassung!$D$6:$D$3665)-ROW(Zeiterfassung!$D$6)+1)/(Zeiterfassung!$D$6:$D$3665&lt;&gt;""),804),"")</f>
        <v/>
      </c>
    </row>
    <row r="810" ht="20" customHeight="1">
      <c r="A810" s="183">
        <f>IF($K810="","",WEEKNUM(INDEX(Zeiterfassung!$K$6:$K$3665,$K810),21))</f>
        <v/>
      </c>
      <c r="B810" s="184">
        <f>IF($K810="","",INDEX(Zeiterfassung!$K$6:$K$3665,$K810))</f>
        <v/>
      </c>
      <c r="C810" s="185">
        <f>IF($K810="","",INDEX(Zeiterfassung!$K$6:$K$3665,$K810))</f>
        <v/>
      </c>
      <c r="D810" s="186">
        <f>IF($K810="","",INDEX(Zeiterfassung!$D$6:$D$3665,$K810))</f>
        <v/>
      </c>
      <c r="E810" s="186">
        <f>IF($K810="","",INDEX(Zeiterfassung!$E$6:$E$3665,$K810))</f>
        <v/>
      </c>
      <c r="F810" s="187">
        <f>IF($K810="","",INDEX(Zeiterfassung!$F$6:$F$3665,$K810))</f>
        <v/>
      </c>
      <c r="G810" s="187">
        <f>IF($K810="","",INDEX(Zeiterfassung!$G$6:$G$3665,$K810))</f>
        <v/>
      </c>
      <c r="H810" s="188">
        <f>IF($K810="","",INDEX(Zeiterfassung!$H$6:$H$3665,$K810))</f>
        <v/>
      </c>
      <c r="I810" s="335">
        <f>IF(B810=B809,"",IF($K810="","",INDEX(Zeiterfassung!$I$6:$I$3665,MATCH(INDEX(Zeiterfassung!$K$6:$K$3665,$K810),Zeiterfassung!$K$6:$K$3665,0))))</f>
        <v/>
      </c>
      <c r="J810" s="335">
        <f>IF(B810=B809,"",IF($K810="","",INDEX(Zeiterfassung!$J$6:$J$3665,MATCH(INDEX(Zeiterfassung!$K$6:$K$3665,$K810),Zeiterfassung!$K$6:$K$3665,0))))</f>
        <v/>
      </c>
      <c r="K810">
        <f>IFERROR(AGGREGATE(15,6,(ROW(Zeiterfassung!$D$6:$D$3665)-ROW(Zeiterfassung!$D$6)+1)/(Zeiterfassung!$D$6:$D$3665&lt;&gt;""),805),"")</f>
        <v/>
      </c>
    </row>
    <row r="811" ht="20" customHeight="1">
      <c r="A811" s="183">
        <f>IF($K811="","",WEEKNUM(INDEX(Zeiterfassung!$K$6:$K$3665,$K811),21))</f>
        <v/>
      </c>
      <c r="B811" s="184">
        <f>IF($K811="","",INDEX(Zeiterfassung!$K$6:$K$3665,$K811))</f>
        <v/>
      </c>
      <c r="C811" s="185">
        <f>IF($K811="","",INDEX(Zeiterfassung!$K$6:$K$3665,$K811))</f>
        <v/>
      </c>
      <c r="D811" s="186">
        <f>IF($K811="","",INDEX(Zeiterfassung!$D$6:$D$3665,$K811))</f>
        <v/>
      </c>
      <c r="E811" s="186">
        <f>IF($K811="","",INDEX(Zeiterfassung!$E$6:$E$3665,$K811))</f>
        <v/>
      </c>
      <c r="F811" s="187">
        <f>IF($K811="","",INDEX(Zeiterfassung!$F$6:$F$3665,$K811))</f>
        <v/>
      </c>
      <c r="G811" s="187">
        <f>IF($K811="","",INDEX(Zeiterfassung!$G$6:$G$3665,$K811))</f>
        <v/>
      </c>
      <c r="H811" s="188">
        <f>IF($K811="","",INDEX(Zeiterfassung!$H$6:$H$3665,$K811))</f>
        <v/>
      </c>
      <c r="I811" s="335">
        <f>IF(B811=B810,"",IF($K811="","",INDEX(Zeiterfassung!$I$6:$I$3665,MATCH(INDEX(Zeiterfassung!$K$6:$K$3665,$K811),Zeiterfassung!$K$6:$K$3665,0))))</f>
        <v/>
      </c>
      <c r="J811" s="335">
        <f>IF(B811=B810,"",IF($K811="","",INDEX(Zeiterfassung!$J$6:$J$3665,MATCH(INDEX(Zeiterfassung!$K$6:$K$3665,$K811),Zeiterfassung!$K$6:$K$3665,0))))</f>
        <v/>
      </c>
      <c r="K811">
        <f>IFERROR(AGGREGATE(15,6,(ROW(Zeiterfassung!$D$6:$D$3665)-ROW(Zeiterfassung!$D$6)+1)/(Zeiterfassung!$D$6:$D$3665&lt;&gt;""),806),"")</f>
        <v/>
      </c>
    </row>
    <row r="812" ht="20" customHeight="1">
      <c r="A812" s="183">
        <f>IF($K812="","",WEEKNUM(INDEX(Zeiterfassung!$K$6:$K$3665,$K812),21))</f>
        <v/>
      </c>
      <c r="B812" s="184">
        <f>IF($K812="","",INDEX(Zeiterfassung!$K$6:$K$3665,$K812))</f>
        <v/>
      </c>
      <c r="C812" s="185">
        <f>IF($K812="","",INDEX(Zeiterfassung!$K$6:$K$3665,$K812))</f>
        <v/>
      </c>
      <c r="D812" s="186">
        <f>IF($K812="","",INDEX(Zeiterfassung!$D$6:$D$3665,$K812))</f>
        <v/>
      </c>
      <c r="E812" s="186">
        <f>IF($K812="","",INDEX(Zeiterfassung!$E$6:$E$3665,$K812))</f>
        <v/>
      </c>
      <c r="F812" s="187">
        <f>IF($K812="","",INDEX(Zeiterfassung!$F$6:$F$3665,$K812))</f>
        <v/>
      </c>
      <c r="G812" s="187">
        <f>IF($K812="","",INDEX(Zeiterfassung!$G$6:$G$3665,$K812))</f>
        <v/>
      </c>
      <c r="H812" s="188">
        <f>IF($K812="","",INDEX(Zeiterfassung!$H$6:$H$3665,$K812))</f>
        <v/>
      </c>
      <c r="I812" s="335">
        <f>IF(B812=B811,"",IF($K812="","",INDEX(Zeiterfassung!$I$6:$I$3665,MATCH(INDEX(Zeiterfassung!$K$6:$K$3665,$K812),Zeiterfassung!$K$6:$K$3665,0))))</f>
        <v/>
      </c>
      <c r="J812" s="335">
        <f>IF(B812=B811,"",IF($K812="","",INDEX(Zeiterfassung!$J$6:$J$3665,MATCH(INDEX(Zeiterfassung!$K$6:$K$3665,$K812),Zeiterfassung!$K$6:$K$3665,0))))</f>
        <v/>
      </c>
      <c r="K812">
        <f>IFERROR(AGGREGATE(15,6,(ROW(Zeiterfassung!$D$6:$D$3665)-ROW(Zeiterfassung!$D$6)+1)/(Zeiterfassung!$D$6:$D$3665&lt;&gt;""),807),"")</f>
        <v/>
      </c>
    </row>
    <row r="813" ht="20" customHeight="1">
      <c r="A813" s="183">
        <f>IF($K813="","",WEEKNUM(INDEX(Zeiterfassung!$K$6:$K$3665,$K813),21))</f>
        <v/>
      </c>
      <c r="B813" s="184">
        <f>IF($K813="","",INDEX(Zeiterfassung!$K$6:$K$3665,$K813))</f>
        <v/>
      </c>
      <c r="C813" s="185">
        <f>IF($K813="","",INDEX(Zeiterfassung!$K$6:$K$3665,$K813))</f>
        <v/>
      </c>
      <c r="D813" s="186">
        <f>IF($K813="","",INDEX(Zeiterfassung!$D$6:$D$3665,$K813))</f>
        <v/>
      </c>
      <c r="E813" s="186">
        <f>IF($K813="","",INDEX(Zeiterfassung!$E$6:$E$3665,$K813))</f>
        <v/>
      </c>
      <c r="F813" s="187">
        <f>IF($K813="","",INDEX(Zeiterfassung!$F$6:$F$3665,$K813))</f>
        <v/>
      </c>
      <c r="G813" s="187">
        <f>IF($K813="","",INDEX(Zeiterfassung!$G$6:$G$3665,$K813))</f>
        <v/>
      </c>
      <c r="H813" s="188">
        <f>IF($K813="","",INDEX(Zeiterfassung!$H$6:$H$3665,$K813))</f>
        <v/>
      </c>
      <c r="I813" s="335">
        <f>IF(B813=B812,"",IF($K813="","",INDEX(Zeiterfassung!$I$6:$I$3665,MATCH(INDEX(Zeiterfassung!$K$6:$K$3665,$K813),Zeiterfassung!$K$6:$K$3665,0))))</f>
        <v/>
      </c>
      <c r="J813" s="335">
        <f>IF(B813=B812,"",IF($K813="","",INDEX(Zeiterfassung!$J$6:$J$3665,MATCH(INDEX(Zeiterfassung!$K$6:$K$3665,$K813),Zeiterfassung!$K$6:$K$3665,0))))</f>
        <v/>
      </c>
      <c r="K813">
        <f>IFERROR(AGGREGATE(15,6,(ROW(Zeiterfassung!$D$6:$D$3665)-ROW(Zeiterfassung!$D$6)+1)/(Zeiterfassung!$D$6:$D$3665&lt;&gt;""),808),"")</f>
        <v/>
      </c>
    </row>
    <row r="814" ht="20" customHeight="1">
      <c r="A814" s="183">
        <f>IF($K814="","",WEEKNUM(INDEX(Zeiterfassung!$K$6:$K$3665,$K814),21))</f>
        <v/>
      </c>
      <c r="B814" s="184">
        <f>IF($K814="","",INDEX(Zeiterfassung!$K$6:$K$3665,$K814))</f>
        <v/>
      </c>
      <c r="C814" s="185">
        <f>IF($K814="","",INDEX(Zeiterfassung!$K$6:$K$3665,$K814))</f>
        <v/>
      </c>
      <c r="D814" s="186">
        <f>IF($K814="","",INDEX(Zeiterfassung!$D$6:$D$3665,$K814))</f>
        <v/>
      </c>
      <c r="E814" s="186">
        <f>IF($K814="","",INDEX(Zeiterfassung!$E$6:$E$3665,$K814))</f>
        <v/>
      </c>
      <c r="F814" s="187">
        <f>IF($K814="","",INDEX(Zeiterfassung!$F$6:$F$3665,$K814))</f>
        <v/>
      </c>
      <c r="G814" s="187">
        <f>IF($K814="","",INDEX(Zeiterfassung!$G$6:$G$3665,$K814))</f>
        <v/>
      </c>
      <c r="H814" s="188">
        <f>IF($K814="","",INDEX(Zeiterfassung!$H$6:$H$3665,$K814))</f>
        <v/>
      </c>
      <c r="I814" s="335">
        <f>IF(B814=B813,"",IF($K814="","",INDEX(Zeiterfassung!$I$6:$I$3665,MATCH(INDEX(Zeiterfassung!$K$6:$K$3665,$K814),Zeiterfassung!$K$6:$K$3665,0))))</f>
        <v/>
      </c>
      <c r="J814" s="335">
        <f>IF(B814=B813,"",IF($K814="","",INDEX(Zeiterfassung!$J$6:$J$3665,MATCH(INDEX(Zeiterfassung!$K$6:$K$3665,$K814),Zeiterfassung!$K$6:$K$3665,0))))</f>
        <v/>
      </c>
      <c r="K814">
        <f>IFERROR(AGGREGATE(15,6,(ROW(Zeiterfassung!$D$6:$D$3665)-ROW(Zeiterfassung!$D$6)+1)/(Zeiterfassung!$D$6:$D$3665&lt;&gt;""),809),"")</f>
        <v/>
      </c>
    </row>
    <row r="815" ht="20" customHeight="1">
      <c r="A815" s="183">
        <f>IF($K815="","",WEEKNUM(INDEX(Zeiterfassung!$K$6:$K$3665,$K815),21))</f>
        <v/>
      </c>
      <c r="B815" s="184">
        <f>IF($K815="","",INDEX(Zeiterfassung!$K$6:$K$3665,$K815))</f>
        <v/>
      </c>
      <c r="C815" s="185">
        <f>IF($K815="","",INDEX(Zeiterfassung!$K$6:$K$3665,$K815))</f>
        <v/>
      </c>
      <c r="D815" s="186">
        <f>IF($K815="","",INDEX(Zeiterfassung!$D$6:$D$3665,$K815))</f>
        <v/>
      </c>
      <c r="E815" s="186">
        <f>IF($K815="","",INDEX(Zeiterfassung!$E$6:$E$3665,$K815))</f>
        <v/>
      </c>
      <c r="F815" s="187">
        <f>IF($K815="","",INDEX(Zeiterfassung!$F$6:$F$3665,$K815))</f>
        <v/>
      </c>
      <c r="G815" s="187">
        <f>IF($K815="","",INDEX(Zeiterfassung!$G$6:$G$3665,$K815))</f>
        <v/>
      </c>
      <c r="H815" s="188">
        <f>IF($K815="","",INDEX(Zeiterfassung!$H$6:$H$3665,$K815))</f>
        <v/>
      </c>
      <c r="I815" s="335">
        <f>IF(B815=B814,"",IF($K815="","",INDEX(Zeiterfassung!$I$6:$I$3665,MATCH(INDEX(Zeiterfassung!$K$6:$K$3665,$K815),Zeiterfassung!$K$6:$K$3665,0))))</f>
        <v/>
      </c>
      <c r="J815" s="335">
        <f>IF(B815=B814,"",IF($K815="","",INDEX(Zeiterfassung!$J$6:$J$3665,MATCH(INDEX(Zeiterfassung!$K$6:$K$3665,$K815),Zeiterfassung!$K$6:$K$3665,0))))</f>
        <v/>
      </c>
      <c r="K815">
        <f>IFERROR(AGGREGATE(15,6,(ROW(Zeiterfassung!$D$6:$D$3665)-ROW(Zeiterfassung!$D$6)+1)/(Zeiterfassung!$D$6:$D$3665&lt;&gt;""),810),"")</f>
        <v/>
      </c>
    </row>
    <row r="816" ht="20" customHeight="1">
      <c r="A816" s="183">
        <f>IF($K816="","",WEEKNUM(INDEX(Zeiterfassung!$K$6:$K$3665,$K816),21))</f>
        <v/>
      </c>
      <c r="B816" s="184">
        <f>IF($K816="","",INDEX(Zeiterfassung!$K$6:$K$3665,$K816))</f>
        <v/>
      </c>
      <c r="C816" s="185">
        <f>IF($K816="","",INDEX(Zeiterfassung!$K$6:$K$3665,$K816))</f>
        <v/>
      </c>
      <c r="D816" s="186">
        <f>IF($K816="","",INDEX(Zeiterfassung!$D$6:$D$3665,$K816))</f>
        <v/>
      </c>
      <c r="E816" s="186">
        <f>IF($K816="","",INDEX(Zeiterfassung!$E$6:$E$3665,$K816))</f>
        <v/>
      </c>
      <c r="F816" s="187">
        <f>IF($K816="","",INDEX(Zeiterfassung!$F$6:$F$3665,$K816))</f>
        <v/>
      </c>
      <c r="G816" s="187">
        <f>IF($K816="","",INDEX(Zeiterfassung!$G$6:$G$3665,$K816))</f>
        <v/>
      </c>
      <c r="H816" s="188">
        <f>IF($K816="","",INDEX(Zeiterfassung!$H$6:$H$3665,$K816))</f>
        <v/>
      </c>
      <c r="I816" s="335">
        <f>IF(B816=B815,"",IF($K816="","",INDEX(Zeiterfassung!$I$6:$I$3665,MATCH(INDEX(Zeiterfassung!$K$6:$K$3665,$K816),Zeiterfassung!$K$6:$K$3665,0))))</f>
        <v/>
      </c>
      <c r="J816" s="335">
        <f>IF(B816=B815,"",IF($K816="","",INDEX(Zeiterfassung!$J$6:$J$3665,MATCH(INDEX(Zeiterfassung!$K$6:$K$3665,$K816),Zeiterfassung!$K$6:$K$3665,0))))</f>
        <v/>
      </c>
      <c r="K816">
        <f>IFERROR(AGGREGATE(15,6,(ROW(Zeiterfassung!$D$6:$D$3665)-ROW(Zeiterfassung!$D$6)+1)/(Zeiterfassung!$D$6:$D$3665&lt;&gt;""),811),"")</f>
        <v/>
      </c>
    </row>
    <row r="817" ht="20" customHeight="1">
      <c r="A817" s="183">
        <f>IF($K817="","",WEEKNUM(INDEX(Zeiterfassung!$K$6:$K$3665,$K817),21))</f>
        <v/>
      </c>
      <c r="B817" s="184">
        <f>IF($K817="","",INDEX(Zeiterfassung!$K$6:$K$3665,$K817))</f>
        <v/>
      </c>
      <c r="C817" s="185">
        <f>IF($K817="","",INDEX(Zeiterfassung!$K$6:$K$3665,$K817))</f>
        <v/>
      </c>
      <c r="D817" s="186">
        <f>IF($K817="","",INDEX(Zeiterfassung!$D$6:$D$3665,$K817))</f>
        <v/>
      </c>
      <c r="E817" s="186">
        <f>IF($K817="","",INDEX(Zeiterfassung!$E$6:$E$3665,$K817))</f>
        <v/>
      </c>
      <c r="F817" s="187">
        <f>IF($K817="","",INDEX(Zeiterfassung!$F$6:$F$3665,$K817))</f>
        <v/>
      </c>
      <c r="G817" s="187">
        <f>IF($K817="","",INDEX(Zeiterfassung!$G$6:$G$3665,$K817))</f>
        <v/>
      </c>
      <c r="H817" s="188">
        <f>IF($K817="","",INDEX(Zeiterfassung!$H$6:$H$3665,$K817))</f>
        <v/>
      </c>
      <c r="I817" s="335">
        <f>IF(B817=B816,"",IF($K817="","",INDEX(Zeiterfassung!$I$6:$I$3665,MATCH(INDEX(Zeiterfassung!$K$6:$K$3665,$K817),Zeiterfassung!$K$6:$K$3665,0))))</f>
        <v/>
      </c>
      <c r="J817" s="335">
        <f>IF(B817=B816,"",IF($K817="","",INDEX(Zeiterfassung!$J$6:$J$3665,MATCH(INDEX(Zeiterfassung!$K$6:$K$3665,$K817),Zeiterfassung!$K$6:$K$3665,0))))</f>
        <v/>
      </c>
      <c r="K817">
        <f>IFERROR(AGGREGATE(15,6,(ROW(Zeiterfassung!$D$6:$D$3665)-ROW(Zeiterfassung!$D$6)+1)/(Zeiterfassung!$D$6:$D$3665&lt;&gt;""),812),"")</f>
        <v/>
      </c>
    </row>
    <row r="818" ht="20" customHeight="1">
      <c r="A818" s="183">
        <f>IF($K818="","",WEEKNUM(INDEX(Zeiterfassung!$K$6:$K$3665,$K818),21))</f>
        <v/>
      </c>
      <c r="B818" s="184">
        <f>IF($K818="","",INDEX(Zeiterfassung!$K$6:$K$3665,$K818))</f>
        <v/>
      </c>
      <c r="C818" s="185">
        <f>IF($K818="","",INDEX(Zeiterfassung!$K$6:$K$3665,$K818))</f>
        <v/>
      </c>
      <c r="D818" s="186">
        <f>IF($K818="","",INDEX(Zeiterfassung!$D$6:$D$3665,$K818))</f>
        <v/>
      </c>
      <c r="E818" s="186">
        <f>IF($K818="","",INDEX(Zeiterfassung!$E$6:$E$3665,$K818))</f>
        <v/>
      </c>
      <c r="F818" s="187">
        <f>IF($K818="","",INDEX(Zeiterfassung!$F$6:$F$3665,$K818))</f>
        <v/>
      </c>
      <c r="G818" s="187">
        <f>IF($K818="","",INDEX(Zeiterfassung!$G$6:$G$3665,$K818))</f>
        <v/>
      </c>
      <c r="H818" s="188">
        <f>IF($K818="","",INDEX(Zeiterfassung!$H$6:$H$3665,$K818))</f>
        <v/>
      </c>
      <c r="I818" s="335">
        <f>IF(B818=B817,"",IF($K818="","",INDEX(Zeiterfassung!$I$6:$I$3665,MATCH(INDEX(Zeiterfassung!$K$6:$K$3665,$K818),Zeiterfassung!$K$6:$K$3665,0))))</f>
        <v/>
      </c>
      <c r="J818" s="335">
        <f>IF(B818=B817,"",IF($K818="","",INDEX(Zeiterfassung!$J$6:$J$3665,MATCH(INDEX(Zeiterfassung!$K$6:$K$3665,$K818),Zeiterfassung!$K$6:$K$3665,0))))</f>
        <v/>
      </c>
      <c r="K818">
        <f>IFERROR(AGGREGATE(15,6,(ROW(Zeiterfassung!$D$6:$D$3665)-ROW(Zeiterfassung!$D$6)+1)/(Zeiterfassung!$D$6:$D$3665&lt;&gt;""),813),"")</f>
        <v/>
      </c>
    </row>
    <row r="819" ht="20" customHeight="1">
      <c r="A819" s="183">
        <f>IF($K819="","",WEEKNUM(INDEX(Zeiterfassung!$K$6:$K$3665,$K819),21))</f>
        <v/>
      </c>
      <c r="B819" s="184">
        <f>IF($K819="","",INDEX(Zeiterfassung!$K$6:$K$3665,$K819))</f>
        <v/>
      </c>
      <c r="C819" s="185">
        <f>IF($K819="","",INDEX(Zeiterfassung!$K$6:$K$3665,$K819))</f>
        <v/>
      </c>
      <c r="D819" s="186">
        <f>IF($K819="","",INDEX(Zeiterfassung!$D$6:$D$3665,$K819))</f>
        <v/>
      </c>
      <c r="E819" s="186">
        <f>IF($K819="","",INDEX(Zeiterfassung!$E$6:$E$3665,$K819))</f>
        <v/>
      </c>
      <c r="F819" s="187">
        <f>IF($K819="","",INDEX(Zeiterfassung!$F$6:$F$3665,$K819))</f>
        <v/>
      </c>
      <c r="G819" s="187">
        <f>IF($K819="","",INDEX(Zeiterfassung!$G$6:$G$3665,$K819))</f>
        <v/>
      </c>
      <c r="H819" s="188">
        <f>IF($K819="","",INDEX(Zeiterfassung!$H$6:$H$3665,$K819))</f>
        <v/>
      </c>
      <c r="I819" s="335">
        <f>IF(B819=B818,"",IF($K819="","",INDEX(Zeiterfassung!$I$6:$I$3665,MATCH(INDEX(Zeiterfassung!$K$6:$K$3665,$K819),Zeiterfassung!$K$6:$K$3665,0))))</f>
        <v/>
      </c>
      <c r="J819" s="335">
        <f>IF(B819=B818,"",IF($K819="","",INDEX(Zeiterfassung!$J$6:$J$3665,MATCH(INDEX(Zeiterfassung!$K$6:$K$3665,$K819),Zeiterfassung!$K$6:$K$3665,0))))</f>
        <v/>
      </c>
      <c r="K819">
        <f>IFERROR(AGGREGATE(15,6,(ROW(Zeiterfassung!$D$6:$D$3665)-ROW(Zeiterfassung!$D$6)+1)/(Zeiterfassung!$D$6:$D$3665&lt;&gt;""),814),"")</f>
        <v/>
      </c>
    </row>
    <row r="820" ht="20" customHeight="1">
      <c r="A820" s="183">
        <f>IF($K820="","",WEEKNUM(INDEX(Zeiterfassung!$K$6:$K$3665,$K820),21))</f>
        <v/>
      </c>
      <c r="B820" s="184">
        <f>IF($K820="","",INDEX(Zeiterfassung!$K$6:$K$3665,$K820))</f>
        <v/>
      </c>
      <c r="C820" s="185">
        <f>IF($K820="","",INDEX(Zeiterfassung!$K$6:$K$3665,$K820))</f>
        <v/>
      </c>
      <c r="D820" s="186">
        <f>IF($K820="","",INDEX(Zeiterfassung!$D$6:$D$3665,$K820))</f>
        <v/>
      </c>
      <c r="E820" s="186">
        <f>IF($K820="","",INDEX(Zeiterfassung!$E$6:$E$3665,$K820))</f>
        <v/>
      </c>
      <c r="F820" s="187">
        <f>IF($K820="","",INDEX(Zeiterfassung!$F$6:$F$3665,$K820))</f>
        <v/>
      </c>
      <c r="G820" s="187">
        <f>IF($K820="","",INDEX(Zeiterfassung!$G$6:$G$3665,$K820))</f>
        <v/>
      </c>
      <c r="H820" s="188">
        <f>IF($K820="","",INDEX(Zeiterfassung!$H$6:$H$3665,$K820))</f>
        <v/>
      </c>
      <c r="I820" s="335">
        <f>IF(B820=B819,"",IF($K820="","",INDEX(Zeiterfassung!$I$6:$I$3665,MATCH(INDEX(Zeiterfassung!$K$6:$K$3665,$K820),Zeiterfassung!$K$6:$K$3665,0))))</f>
        <v/>
      </c>
      <c r="J820" s="335">
        <f>IF(B820=B819,"",IF($K820="","",INDEX(Zeiterfassung!$J$6:$J$3665,MATCH(INDEX(Zeiterfassung!$K$6:$K$3665,$K820),Zeiterfassung!$K$6:$K$3665,0))))</f>
        <v/>
      </c>
      <c r="K820">
        <f>IFERROR(AGGREGATE(15,6,(ROW(Zeiterfassung!$D$6:$D$3665)-ROW(Zeiterfassung!$D$6)+1)/(Zeiterfassung!$D$6:$D$3665&lt;&gt;""),815),"")</f>
        <v/>
      </c>
    </row>
    <row r="821" ht="20" customHeight="1">
      <c r="A821" s="183">
        <f>IF($K821="","",WEEKNUM(INDEX(Zeiterfassung!$K$6:$K$3665,$K821),21))</f>
        <v/>
      </c>
      <c r="B821" s="184">
        <f>IF($K821="","",INDEX(Zeiterfassung!$K$6:$K$3665,$K821))</f>
        <v/>
      </c>
      <c r="C821" s="185">
        <f>IF($K821="","",INDEX(Zeiterfassung!$K$6:$K$3665,$K821))</f>
        <v/>
      </c>
      <c r="D821" s="186">
        <f>IF($K821="","",INDEX(Zeiterfassung!$D$6:$D$3665,$K821))</f>
        <v/>
      </c>
      <c r="E821" s="186">
        <f>IF($K821="","",INDEX(Zeiterfassung!$E$6:$E$3665,$K821))</f>
        <v/>
      </c>
      <c r="F821" s="187">
        <f>IF($K821="","",INDEX(Zeiterfassung!$F$6:$F$3665,$K821))</f>
        <v/>
      </c>
      <c r="G821" s="187">
        <f>IF($K821="","",INDEX(Zeiterfassung!$G$6:$G$3665,$K821))</f>
        <v/>
      </c>
      <c r="H821" s="188">
        <f>IF($K821="","",INDEX(Zeiterfassung!$H$6:$H$3665,$K821))</f>
        <v/>
      </c>
      <c r="I821" s="335">
        <f>IF(B821=B820,"",IF($K821="","",INDEX(Zeiterfassung!$I$6:$I$3665,MATCH(INDEX(Zeiterfassung!$K$6:$K$3665,$K821),Zeiterfassung!$K$6:$K$3665,0))))</f>
        <v/>
      </c>
      <c r="J821" s="335">
        <f>IF(B821=B820,"",IF($K821="","",INDEX(Zeiterfassung!$J$6:$J$3665,MATCH(INDEX(Zeiterfassung!$K$6:$K$3665,$K821),Zeiterfassung!$K$6:$K$3665,0))))</f>
        <v/>
      </c>
      <c r="K821">
        <f>IFERROR(AGGREGATE(15,6,(ROW(Zeiterfassung!$D$6:$D$3665)-ROW(Zeiterfassung!$D$6)+1)/(Zeiterfassung!$D$6:$D$3665&lt;&gt;""),816),"")</f>
        <v/>
      </c>
    </row>
    <row r="822" ht="20" customHeight="1">
      <c r="A822" s="183">
        <f>IF($K822="","",WEEKNUM(INDEX(Zeiterfassung!$K$6:$K$3665,$K822),21))</f>
        <v/>
      </c>
      <c r="B822" s="184">
        <f>IF($K822="","",INDEX(Zeiterfassung!$K$6:$K$3665,$K822))</f>
        <v/>
      </c>
      <c r="C822" s="185">
        <f>IF($K822="","",INDEX(Zeiterfassung!$K$6:$K$3665,$K822))</f>
        <v/>
      </c>
      <c r="D822" s="186">
        <f>IF($K822="","",INDEX(Zeiterfassung!$D$6:$D$3665,$K822))</f>
        <v/>
      </c>
      <c r="E822" s="186">
        <f>IF($K822="","",INDEX(Zeiterfassung!$E$6:$E$3665,$K822))</f>
        <v/>
      </c>
      <c r="F822" s="187">
        <f>IF($K822="","",INDEX(Zeiterfassung!$F$6:$F$3665,$K822))</f>
        <v/>
      </c>
      <c r="G822" s="187">
        <f>IF($K822="","",INDEX(Zeiterfassung!$G$6:$G$3665,$K822))</f>
        <v/>
      </c>
      <c r="H822" s="188">
        <f>IF($K822="","",INDEX(Zeiterfassung!$H$6:$H$3665,$K822))</f>
        <v/>
      </c>
      <c r="I822" s="335">
        <f>IF(B822=B821,"",IF($K822="","",INDEX(Zeiterfassung!$I$6:$I$3665,MATCH(INDEX(Zeiterfassung!$K$6:$K$3665,$K822),Zeiterfassung!$K$6:$K$3665,0))))</f>
        <v/>
      </c>
      <c r="J822" s="335">
        <f>IF(B822=B821,"",IF($K822="","",INDEX(Zeiterfassung!$J$6:$J$3665,MATCH(INDEX(Zeiterfassung!$K$6:$K$3665,$K822),Zeiterfassung!$K$6:$K$3665,0))))</f>
        <v/>
      </c>
      <c r="K822">
        <f>IFERROR(AGGREGATE(15,6,(ROW(Zeiterfassung!$D$6:$D$3665)-ROW(Zeiterfassung!$D$6)+1)/(Zeiterfassung!$D$6:$D$3665&lt;&gt;""),817),"")</f>
        <v/>
      </c>
    </row>
    <row r="823" ht="20" customHeight="1">
      <c r="A823" s="183">
        <f>IF($K823="","",WEEKNUM(INDEX(Zeiterfassung!$K$6:$K$3665,$K823),21))</f>
        <v/>
      </c>
      <c r="B823" s="184">
        <f>IF($K823="","",INDEX(Zeiterfassung!$K$6:$K$3665,$K823))</f>
        <v/>
      </c>
      <c r="C823" s="185">
        <f>IF($K823="","",INDEX(Zeiterfassung!$K$6:$K$3665,$K823))</f>
        <v/>
      </c>
      <c r="D823" s="186">
        <f>IF($K823="","",INDEX(Zeiterfassung!$D$6:$D$3665,$K823))</f>
        <v/>
      </c>
      <c r="E823" s="186">
        <f>IF($K823="","",INDEX(Zeiterfassung!$E$6:$E$3665,$K823))</f>
        <v/>
      </c>
      <c r="F823" s="187">
        <f>IF($K823="","",INDEX(Zeiterfassung!$F$6:$F$3665,$K823))</f>
        <v/>
      </c>
      <c r="G823" s="187">
        <f>IF($K823="","",INDEX(Zeiterfassung!$G$6:$G$3665,$K823))</f>
        <v/>
      </c>
      <c r="H823" s="188">
        <f>IF($K823="","",INDEX(Zeiterfassung!$H$6:$H$3665,$K823))</f>
        <v/>
      </c>
      <c r="I823" s="335">
        <f>IF(B823=B822,"",IF($K823="","",INDEX(Zeiterfassung!$I$6:$I$3665,MATCH(INDEX(Zeiterfassung!$K$6:$K$3665,$K823),Zeiterfassung!$K$6:$K$3665,0))))</f>
        <v/>
      </c>
      <c r="J823" s="335">
        <f>IF(B823=B822,"",IF($K823="","",INDEX(Zeiterfassung!$J$6:$J$3665,MATCH(INDEX(Zeiterfassung!$K$6:$K$3665,$K823),Zeiterfassung!$K$6:$K$3665,0))))</f>
        <v/>
      </c>
      <c r="K823">
        <f>IFERROR(AGGREGATE(15,6,(ROW(Zeiterfassung!$D$6:$D$3665)-ROW(Zeiterfassung!$D$6)+1)/(Zeiterfassung!$D$6:$D$3665&lt;&gt;""),818),"")</f>
        <v/>
      </c>
    </row>
    <row r="824" ht="20" customHeight="1">
      <c r="A824" s="183">
        <f>IF($K824="","",WEEKNUM(INDEX(Zeiterfassung!$K$6:$K$3665,$K824),21))</f>
        <v/>
      </c>
      <c r="B824" s="184">
        <f>IF($K824="","",INDEX(Zeiterfassung!$K$6:$K$3665,$K824))</f>
        <v/>
      </c>
      <c r="C824" s="185">
        <f>IF($K824="","",INDEX(Zeiterfassung!$K$6:$K$3665,$K824))</f>
        <v/>
      </c>
      <c r="D824" s="186">
        <f>IF($K824="","",INDEX(Zeiterfassung!$D$6:$D$3665,$K824))</f>
        <v/>
      </c>
      <c r="E824" s="186">
        <f>IF($K824="","",INDEX(Zeiterfassung!$E$6:$E$3665,$K824))</f>
        <v/>
      </c>
      <c r="F824" s="187">
        <f>IF($K824="","",INDEX(Zeiterfassung!$F$6:$F$3665,$K824))</f>
        <v/>
      </c>
      <c r="G824" s="187">
        <f>IF($K824="","",INDEX(Zeiterfassung!$G$6:$G$3665,$K824))</f>
        <v/>
      </c>
      <c r="H824" s="188">
        <f>IF($K824="","",INDEX(Zeiterfassung!$H$6:$H$3665,$K824))</f>
        <v/>
      </c>
      <c r="I824" s="335">
        <f>IF(B824=B823,"",IF($K824="","",INDEX(Zeiterfassung!$I$6:$I$3665,MATCH(INDEX(Zeiterfassung!$K$6:$K$3665,$K824),Zeiterfassung!$K$6:$K$3665,0))))</f>
        <v/>
      </c>
      <c r="J824" s="335">
        <f>IF(B824=B823,"",IF($K824="","",INDEX(Zeiterfassung!$J$6:$J$3665,MATCH(INDEX(Zeiterfassung!$K$6:$K$3665,$K824),Zeiterfassung!$K$6:$K$3665,0))))</f>
        <v/>
      </c>
      <c r="K824">
        <f>IFERROR(AGGREGATE(15,6,(ROW(Zeiterfassung!$D$6:$D$3665)-ROW(Zeiterfassung!$D$6)+1)/(Zeiterfassung!$D$6:$D$3665&lt;&gt;""),819),"")</f>
        <v/>
      </c>
    </row>
    <row r="825" ht="20" customHeight="1">
      <c r="A825" s="183">
        <f>IF($K825="","",WEEKNUM(INDEX(Zeiterfassung!$K$6:$K$3665,$K825),21))</f>
        <v/>
      </c>
      <c r="B825" s="184">
        <f>IF($K825="","",INDEX(Zeiterfassung!$K$6:$K$3665,$K825))</f>
        <v/>
      </c>
      <c r="C825" s="185">
        <f>IF($K825="","",INDEX(Zeiterfassung!$K$6:$K$3665,$K825))</f>
        <v/>
      </c>
      <c r="D825" s="186">
        <f>IF($K825="","",INDEX(Zeiterfassung!$D$6:$D$3665,$K825))</f>
        <v/>
      </c>
      <c r="E825" s="186">
        <f>IF($K825="","",INDEX(Zeiterfassung!$E$6:$E$3665,$K825))</f>
        <v/>
      </c>
      <c r="F825" s="187">
        <f>IF($K825="","",INDEX(Zeiterfassung!$F$6:$F$3665,$K825))</f>
        <v/>
      </c>
      <c r="G825" s="187">
        <f>IF($K825="","",INDEX(Zeiterfassung!$G$6:$G$3665,$K825))</f>
        <v/>
      </c>
      <c r="H825" s="188">
        <f>IF($K825="","",INDEX(Zeiterfassung!$H$6:$H$3665,$K825))</f>
        <v/>
      </c>
      <c r="I825" s="335">
        <f>IF(B825=B824,"",IF($K825="","",INDEX(Zeiterfassung!$I$6:$I$3665,MATCH(INDEX(Zeiterfassung!$K$6:$K$3665,$K825),Zeiterfassung!$K$6:$K$3665,0))))</f>
        <v/>
      </c>
      <c r="J825" s="335">
        <f>IF(B825=B824,"",IF($K825="","",INDEX(Zeiterfassung!$J$6:$J$3665,MATCH(INDEX(Zeiterfassung!$K$6:$K$3665,$K825),Zeiterfassung!$K$6:$K$3665,0))))</f>
        <v/>
      </c>
      <c r="K825">
        <f>IFERROR(AGGREGATE(15,6,(ROW(Zeiterfassung!$D$6:$D$3665)-ROW(Zeiterfassung!$D$6)+1)/(Zeiterfassung!$D$6:$D$3665&lt;&gt;""),820),"")</f>
        <v/>
      </c>
    </row>
    <row r="826" ht="20" customHeight="1">
      <c r="A826" s="183">
        <f>IF($K826="","",WEEKNUM(INDEX(Zeiterfassung!$K$6:$K$3665,$K826),21))</f>
        <v/>
      </c>
      <c r="B826" s="184">
        <f>IF($K826="","",INDEX(Zeiterfassung!$K$6:$K$3665,$K826))</f>
        <v/>
      </c>
      <c r="C826" s="185">
        <f>IF($K826="","",INDEX(Zeiterfassung!$K$6:$K$3665,$K826))</f>
        <v/>
      </c>
      <c r="D826" s="186">
        <f>IF($K826="","",INDEX(Zeiterfassung!$D$6:$D$3665,$K826))</f>
        <v/>
      </c>
      <c r="E826" s="186">
        <f>IF($K826="","",INDEX(Zeiterfassung!$E$6:$E$3665,$K826))</f>
        <v/>
      </c>
      <c r="F826" s="187">
        <f>IF($K826="","",INDEX(Zeiterfassung!$F$6:$F$3665,$K826))</f>
        <v/>
      </c>
      <c r="G826" s="187">
        <f>IF($K826="","",INDEX(Zeiterfassung!$G$6:$G$3665,$K826))</f>
        <v/>
      </c>
      <c r="H826" s="188">
        <f>IF($K826="","",INDEX(Zeiterfassung!$H$6:$H$3665,$K826))</f>
        <v/>
      </c>
      <c r="I826" s="335">
        <f>IF(B826=B825,"",IF($K826="","",INDEX(Zeiterfassung!$I$6:$I$3665,MATCH(INDEX(Zeiterfassung!$K$6:$K$3665,$K826),Zeiterfassung!$K$6:$K$3665,0))))</f>
        <v/>
      </c>
      <c r="J826" s="335">
        <f>IF(B826=B825,"",IF($K826="","",INDEX(Zeiterfassung!$J$6:$J$3665,MATCH(INDEX(Zeiterfassung!$K$6:$K$3665,$K826),Zeiterfassung!$K$6:$K$3665,0))))</f>
        <v/>
      </c>
      <c r="K826">
        <f>IFERROR(AGGREGATE(15,6,(ROW(Zeiterfassung!$D$6:$D$3665)-ROW(Zeiterfassung!$D$6)+1)/(Zeiterfassung!$D$6:$D$3665&lt;&gt;""),821),"")</f>
        <v/>
      </c>
    </row>
    <row r="827" ht="20" customHeight="1">
      <c r="A827" s="183">
        <f>IF($K827="","",WEEKNUM(INDEX(Zeiterfassung!$K$6:$K$3665,$K827),21))</f>
        <v/>
      </c>
      <c r="B827" s="184">
        <f>IF($K827="","",INDEX(Zeiterfassung!$K$6:$K$3665,$K827))</f>
        <v/>
      </c>
      <c r="C827" s="185">
        <f>IF($K827="","",INDEX(Zeiterfassung!$K$6:$K$3665,$K827))</f>
        <v/>
      </c>
      <c r="D827" s="186">
        <f>IF($K827="","",INDEX(Zeiterfassung!$D$6:$D$3665,$K827))</f>
        <v/>
      </c>
      <c r="E827" s="186">
        <f>IF($K827="","",INDEX(Zeiterfassung!$E$6:$E$3665,$K827))</f>
        <v/>
      </c>
      <c r="F827" s="187">
        <f>IF($K827="","",INDEX(Zeiterfassung!$F$6:$F$3665,$K827))</f>
        <v/>
      </c>
      <c r="G827" s="187">
        <f>IF($K827="","",INDEX(Zeiterfassung!$G$6:$G$3665,$K827))</f>
        <v/>
      </c>
      <c r="H827" s="188">
        <f>IF($K827="","",INDEX(Zeiterfassung!$H$6:$H$3665,$K827))</f>
        <v/>
      </c>
      <c r="I827" s="335">
        <f>IF(B827=B826,"",IF($K827="","",INDEX(Zeiterfassung!$I$6:$I$3665,MATCH(INDEX(Zeiterfassung!$K$6:$K$3665,$K827),Zeiterfassung!$K$6:$K$3665,0))))</f>
        <v/>
      </c>
      <c r="J827" s="335">
        <f>IF(B827=B826,"",IF($K827="","",INDEX(Zeiterfassung!$J$6:$J$3665,MATCH(INDEX(Zeiterfassung!$K$6:$K$3665,$K827),Zeiterfassung!$K$6:$K$3665,0))))</f>
        <v/>
      </c>
      <c r="K827">
        <f>IFERROR(AGGREGATE(15,6,(ROW(Zeiterfassung!$D$6:$D$3665)-ROW(Zeiterfassung!$D$6)+1)/(Zeiterfassung!$D$6:$D$3665&lt;&gt;""),822),"")</f>
        <v/>
      </c>
    </row>
    <row r="828" ht="20" customHeight="1">
      <c r="A828" s="183">
        <f>IF($K828="","",WEEKNUM(INDEX(Zeiterfassung!$K$6:$K$3665,$K828),21))</f>
        <v/>
      </c>
      <c r="B828" s="184">
        <f>IF($K828="","",INDEX(Zeiterfassung!$K$6:$K$3665,$K828))</f>
        <v/>
      </c>
      <c r="C828" s="185">
        <f>IF($K828="","",INDEX(Zeiterfassung!$K$6:$K$3665,$K828))</f>
        <v/>
      </c>
      <c r="D828" s="186">
        <f>IF($K828="","",INDEX(Zeiterfassung!$D$6:$D$3665,$K828))</f>
        <v/>
      </c>
      <c r="E828" s="186">
        <f>IF($K828="","",INDEX(Zeiterfassung!$E$6:$E$3665,$K828))</f>
        <v/>
      </c>
      <c r="F828" s="187">
        <f>IF($K828="","",INDEX(Zeiterfassung!$F$6:$F$3665,$K828))</f>
        <v/>
      </c>
      <c r="G828" s="187">
        <f>IF($K828="","",INDEX(Zeiterfassung!$G$6:$G$3665,$K828))</f>
        <v/>
      </c>
      <c r="H828" s="188">
        <f>IF($K828="","",INDEX(Zeiterfassung!$H$6:$H$3665,$K828))</f>
        <v/>
      </c>
      <c r="I828" s="335">
        <f>IF(B828=B827,"",IF($K828="","",INDEX(Zeiterfassung!$I$6:$I$3665,MATCH(INDEX(Zeiterfassung!$K$6:$K$3665,$K828),Zeiterfassung!$K$6:$K$3665,0))))</f>
        <v/>
      </c>
      <c r="J828" s="335">
        <f>IF(B828=B827,"",IF($K828="","",INDEX(Zeiterfassung!$J$6:$J$3665,MATCH(INDEX(Zeiterfassung!$K$6:$K$3665,$K828),Zeiterfassung!$K$6:$K$3665,0))))</f>
        <v/>
      </c>
      <c r="K828">
        <f>IFERROR(AGGREGATE(15,6,(ROW(Zeiterfassung!$D$6:$D$3665)-ROW(Zeiterfassung!$D$6)+1)/(Zeiterfassung!$D$6:$D$3665&lt;&gt;""),823),"")</f>
        <v/>
      </c>
    </row>
    <row r="829" ht="20" customHeight="1">
      <c r="A829" s="183">
        <f>IF($K829="","",WEEKNUM(INDEX(Zeiterfassung!$K$6:$K$3665,$K829),21))</f>
        <v/>
      </c>
      <c r="B829" s="184">
        <f>IF($K829="","",INDEX(Zeiterfassung!$K$6:$K$3665,$K829))</f>
        <v/>
      </c>
      <c r="C829" s="185">
        <f>IF($K829="","",INDEX(Zeiterfassung!$K$6:$K$3665,$K829))</f>
        <v/>
      </c>
      <c r="D829" s="186">
        <f>IF($K829="","",INDEX(Zeiterfassung!$D$6:$D$3665,$K829))</f>
        <v/>
      </c>
      <c r="E829" s="186">
        <f>IF($K829="","",INDEX(Zeiterfassung!$E$6:$E$3665,$K829))</f>
        <v/>
      </c>
      <c r="F829" s="187">
        <f>IF($K829="","",INDEX(Zeiterfassung!$F$6:$F$3665,$K829))</f>
        <v/>
      </c>
      <c r="G829" s="187">
        <f>IF($K829="","",INDEX(Zeiterfassung!$G$6:$G$3665,$K829))</f>
        <v/>
      </c>
      <c r="H829" s="188">
        <f>IF($K829="","",INDEX(Zeiterfassung!$H$6:$H$3665,$K829))</f>
        <v/>
      </c>
      <c r="I829" s="335">
        <f>IF(B829=B828,"",IF($K829="","",INDEX(Zeiterfassung!$I$6:$I$3665,MATCH(INDEX(Zeiterfassung!$K$6:$K$3665,$K829),Zeiterfassung!$K$6:$K$3665,0))))</f>
        <v/>
      </c>
      <c r="J829" s="335">
        <f>IF(B829=B828,"",IF($K829="","",INDEX(Zeiterfassung!$J$6:$J$3665,MATCH(INDEX(Zeiterfassung!$K$6:$K$3665,$K829),Zeiterfassung!$K$6:$K$3665,0))))</f>
        <v/>
      </c>
      <c r="K829">
        <f>IFERROR(AGGREGATE(15,6,(ROW(Zeiterfassung!$D$6:$D$3665)-ROW(Zeiterfassung!$D$6)+1)/(Zeiterfassung!$D$6:$D$3665&lt;&gt;""),824),"")</f>
        <v/>
      </c>
    </row>
    <row r="830" ht="20" customHeight="1">
      <c r="A830" s="183">
        <f>IF($K830="","",WEEKNUM(INDEX(Zeiterfassung!$K$6:$K$3665,$K830),21))</f>
        <v/>
      </c>
      <c r="B830" s="184">
        <f>IF($K830="","",INDEX(Zeiterfassung!$K$6:$K$3665,$K830))</f>
        <v/>
      </c>
      <c r="C830" s="185">
        <f>IF($K830="","",INDEX(Zeiterfassung!$K$6:$K$3665,$K830))</f>
        <v/>
      </c>
      <c r="D830" s="186">
        <f>IF($K830="","",INDEX(Zeiterfassung!$D$6:$D$3665,$K830))</f>
        <v/>
      </c>
      <c r="E830" s="186">
        <f>IF($K830="","",INDEX(Zeiterfassung!$E$6:$E$3665,$K830))</f>
        <v/>
      </c>
      <c r="F830" s="187">
        <f>IF($K830="","",INDEX(Zeiterfassung!$F$6:$F$3665,$K830))</f>
        <v/>
      </c>
      <c r="G830" s="187">
        <f>IF($K830="","",INDEX(Zeiterfassung!$G$6:$G$3665,$K830))</f>
        <v/>
      </c>
      <c r="H830" s="188">
        <f>IF($K830="","",INDEX(Zeiterfassung!$H$6:$H$3665,$K830))</f>
        <v/>
      </c>
      <c r="I830" s="335">
        <f>IF(B830=B829,"",IF($K830="","",INDEX(Zeiterfassung!$I$6:$I$3665,MATCH(INDEX(Zeiterfassung!$K$6:$K$3665,$K830),Zeiterfassung!$K$6:$K$3665,0))))</f>
        <v/>
      </c>
      <c r="J830" s="335">
        <f>IF(B830=B829,"",IF($K830="","",INDEX(Zeiterfassung!$J$6:$J$3665,MATCH(INDEX(Zeiterfassung!$K$6:$K$3665,$K830),Zeiterfassung!$K$6:$K$3665,0))))</f>
        <v/>
      </c>
      <c r="K830">
        <f>IFERROR(AGGREGATE(15,6,(ROW(Zeiterfassung!$D$6:$D$3665)-ROW(Zeiterfassung!$D$6)+1)/(Zeiterfassung!$D$6:$D$3665&lt;&gt;""),825),"")</f>
        <v/>
      </c>
    </row>
    <row r="831" ht="20" customHeight="1">
      <c r="A831" s="183">
        <f>IF($K831="","",WEEKNUM(INDEX(Zeiterfassung!$K$6:$K$3665,$K831),21))</f>
        <v/>
      </c>
      <c r="B831" s="184">
        <f>IF($K831="","",INDEX(Zeiterfassung!$K$6:$K$3665,$K831))</f>
        <v/>
      </c>
      <c r="C831" s="185">
        <f>IF($K831="","",INDEX(Zeiterfassung!$K$6:$K$3665,$K831))</f>
        <v/>
      </c>
      <c r="D831" s="186">
        <f>IF($K831="","",INDEX(Zeiterfassung!$D$6:$D$3665,$K831))</f>
        <v/>
      </c>
      <c r="E831" s="186">
        <f>IF($K831="","",INDEX(Zeiterfassung!$E$6:$E$3665,$K831))</f>
        <v/>
      </c>
      <c r="F831" s="187">
        <f>IF($K831="","",INDEX(Zeiterfassung!$F$6:$F$3665,$K831))</f>
        <v/>
      </c>
      <c r="G831" s="187">
        <f>IF($K831="","",INDEX(Zeiterfassung!$G$6:$G$3665,$K831))</f>
        <v/>
      </c>
      <c r="H831" s="188">
        <f>IF($K831="","",INDEX(Zeiterfassung!$H$6:$H$3665,$K831))</f>
        <v/>
      </c>
      <c r="I831" s="335">
        <f>IF(B831=B830,"",IF($K831="","",INDEX(Zeiterfassung!$I$6:$I$3665,MATCH(INDEX(Zeiterfassung!$K$6:$K$3665,$K831),Zeiterfassung!$K$6:$K$3665,0))))</f>
        <v/>
      </c>
      <c r="J831" s="335">
        <f>IF(B831=B830,"",IF($K831="","",INDEX(Zeiterfassung!$J$6:$J$3665,MATCH(INDEX(Zeiterfassung!$K$6:$K$3665,$K831),Zeiterfassung!$K$6:$K$3665,0))))</f>
        <v/>
      </c>
      <c r="K831">
        <f>IFERROR(AGGREGATE(15,6,(ROW(Zeiterfassung!$D$6:$D$3665)-ROW(Zeiterfassung!$D$6)+1)/(Zeiterfassung!$D$6:$D$3665&lt;&gt;""),826),"")</f>
        <v/>
      </c>
    </row>
    <row r="832" ht="20" customHeight="1">
      <c r="A832" s="183">
        <f>IF($K832="","",WEEKNUM(INDEX(Zeiterfassung!$K$6:$K$3665,$K832),21))</f>
        <v/>
      </c>
      <c r="B832" s="184">
        <f>IF($K832="","",INDEX(Zeiterfassung!$K$6:$K$3665,$K832))</f>
        <v/>
      </c>
      <c r="C832" s="185">
        <f>IF($K832="","",INDEX(Zeiterfassung!$K$6:$K$3665,$K832))</f>
        <v/>
      </c>
      <c r="D832" s="186">
        <f>IF($K832="","",INDEX(Zeiterfassung!$D$6:$D$3665,$K832))</f>
        <v/>
      </c>
      <c r="E832" s="186">
        <f>IF($K832="","",INDEX(Zeiterfassung!$E$6:$E$3665,$K832))</f>
        <v/>
      </c>
      <c r="F832" s="187">
        <f>IF($K832="","",INDEX(Zeiterfassung!$F$6:$F$3665,$K832))</f>
        <v/>
      </c>
      <c r="G832" s="187">
        <f>IF($K832="","",INDEX(Zeiterfassung!$G$6:$G$3665,$K832))</f>
        <v/>
      </c>
      <c r="H832" s="188">
        <f>IF($K832="","",INDEX(Zeiterfassung!$H$6:$H$3665,$K832))</f>
        <v/>
      </c>
      <c r="I832" s="335">
        <f>IF(B832=B831,"",IF($K832="","",INDEX(Zeiterfassung!$I$6:$I$3665,MATCH(INDEX(Zeiterfassung!$K$6:$K$3665,$K832),Zeiterfassung!$K$6:$K$3665,0))))</f>
        <v/>
      </c>
      <c r="J832" s="335">
        <f>IF(B832=B831,"",IF($K832="","",INDEX(Zeiterfassung!$J$6:$J$3665,MATCH(INDEX(Zeiterfassung!$K$6:$K$3665,$K832),Zeiterfassung!$K$6:$K$3665,0))))</f>
        <v/>
      </c>
      <c r="K832">
        <f>IFERROR(AGGREGATE(15,6,(ROW(Zeiterfassung!$D$6:$D$3665)-ROW(Zeiterfassung!$D$6)+1)/(Zeiterfassung!$D$6:$D$3665&lt;&gt;""),827),"")</f>
        <v/>
      </c>
    </row>
    <row r="833" ht="20" customHeight="1">
      <c r="A833" s="183">
        <f>IF($K833="","",WEEKNUM(INDEX(Zeiterfassung!$K$6:$K$3665,$K833),21))</f>
        <v/>
      </c>
      <c r="B833" s="184">
        <f>IF($K833="","",INDEX(Zeiterfassung!$K$6:$K$3665,$K833))</f>
        <v/>
      </c>
      <c r="C833" s="185">
        <f>IF($K833="","",INDEX(Zeiterfassung!$K$6:$K$3665,$K833))</f>
        <v/>
      </c>
      <c r="D833" s="186">
        <f>IF($K833="","",INDEX(Zeiterfassung!$D$6:$D$3665,$K833))</f>
        <v/>
      </c>
      <c r="E833" s="186">
        <f>IF($K833="","",INDEX(Zeiterfassung!$E$6:$E$3665,$K833))</f>
        <v/>
      </c>
      <c r="F833" s="187">
        <f>IF($K833="","",INDEX(Zeiterfassung!$F$6:$F$3665,$K833))</f>
        <v/>
      </c>
      <c r="G833" s="187">
        <f>IF($K833="","",INDEX(Zeiterfassung!$G$6:$G$3665,$K833))</f>
        <v/>
      </c>
      <c r="H833" s="188">
        <f>IF($K833="","",INDEX(Zeiterfassung!$H$6:$H$3665,$K833))</f>
        <v/>
      </c>
      <c r="I833" s="335">
        <f>IF(B833=B832,"",IF($K833="","",INDEX(Zeiterfassung!$I$6:$I$3665,MATCH(INDEX(Zeiterfassung!$K$6:$K$3665,$K833),Zeiterfassung!$K$6:$K$3665,0))))</f>
        <v/>
      </c>
      <c r="J833" s="335">
        <f>IF(B833=B832,"",IF($K833="","",INDEX(Zeiterfassung!$J$6:$J$3665,MATCH(INDEX(Zeiterfassung!$K$6:$K$3665,$K833),Zeiterfassung!$K$6:$K$3665,0))))</f>
        <v/>
      </c>
      <c r="K833">
        <f>IFERROR(AGGREGATE(15,6,(ROW(Zeiterfassung!$D$6:$D$3665)-ROW(Zeiterfassung!$D$6)+1)/(Zeiterfassung!$D$6:$D$3665&lt;&gt;""),828),"")</f>
        <v/>
      </c>
    </row>
    <row r="834" ht="20" customHeight="1">
      <c r="A834" s="183">
        <f>IF($K834="","",WEEKNUM(INDEX(Zeiterfassung!$K$6:$K$3665,$K834),21))</f>
        <v/>
      </c>
      <c r="B834" s="184">
        <f>IF($K834="","",INDEX(Zeiterfassung!$K$6:$K$3665,$K834))</f>
        <v/>
      </c>
      <c r="C834" s="185">
        <f>IF($K834="","",INDEX(Zeiterfassung!$K$6:$K$3665,$K834))</f>
        <v/>
      </c>
      <c r="D834" s="186">
        <f>IF($K834="","",INDEX(Zeiterfassung!$D$6:$D$3665,$K834))</f>
        <v/>
      </c>
      <c r="E834" s="186">
        <f>IF($K834="","",INDEX(Zeiterfassung!$E$6:$E$3665,$K834))</f>
        <v/>
      </c>
      <c r="F834" s="187">
        <f>IF($K834="","",INDEX(Zeiterfassung!$F$6:$F$3665,$K834))</f>
        <v/>
      </c>
      <c r="G834" s="187">
        <f>IF($K834="","",INDEX(Zeiterfassung!$G$6:$G$3665,$K834))</f>
        <v/>
      </c>
      <c r="H834" s="188">
        <f>IF($K834="","",INDEX(Zeiterfassung!$H$6:$H$3665,$K834))</f>
        <v/>
      </c>
      <c r="I834" s="335">
        <f>IF(B834=B833,"",IF($K834="","",INDEX(Zeiterfassung!$I$6:$I$3665,MATCH(INDEX(Zeiterfassung!$K$6:$K$3665,$K834),Zeiterfassung!$K$6:$K$3665,0))))</f>
        <v/>
      </c>
      <c r="J834" s="335">
        <f>IF(B834=B833,"",IF($K834="","",INDEX(Zeiterfassung!$J$6:$J$3665,MATCH(INDEX(Zeiterfassung!$K$6:$K$3665,$K834),Zeiterfassung!$K$6:$K$3665,0))))</f>
        <v/>
      </c>
      <c r="K834">
        <f>IFERROR(AGGREGATE(15,6,(ROW(Zeiterfassung!$D$6:$D$3665)-ROW(Zeiterfassung!$D$6)+1)/(Zeiterfassung!$D$6:$D$3665&lt;&gt;""),829),"")</f>
        <v/>
      </c>
    </row>
    <row r="835" ht="20" customHeight="1">
      <c r="A835" s="183">
        <f>IF($K835="","",WEEKNUM(INDEX(Zeiterfassung!$K$6:$K$3665,$K835),21))</f>
        <v/>
      </c>
      <c r="B835" s="184">
        <f>IF($K835="","",INDEX(Zeiterfassung!$K$6:$K$3665,$K835))</f>
        <v/>
      </c>
      <c r="C835" s="185">
        <f>IF($K835="","",INDEX(Zeiterfassung!$K$6:$K$3665,$K835))</f>
        <v/>
      </c>
      <c r="D835" s="186">
        <f>IF($K835="","",INDEX(Zeiterfassung!$D$6:$D$3665,$K835))</f>
        <v/>
      </c>
      <c r="E835" s="186">
        <f>IF($K835="","",INDEX(Zeiterfassung!$E$6:$E$3665,$K835))</f>
        <v/>
      </c>
      <c r="F835" s="187">
        <f>IF($K835="","",INDEX(Zeiterfassung!$F$6:$F$3665,$K835))</f>
        <v/>
      </c>
      <c r="G835" s="187">
        <f>IF($K835="","",INDEX(Zeiterfassung!$G$6:$G$3665,$K835))</f>
        <v/>
      </c>
      <c r="H835" s="188">
        <f>IF($K835="","",INDEX(Zeiterfassung!$H$6:$H$3665,$K835))</f>
        <v/>
      </c>
      <c r="I835" s="335">
        <f>IF(B835=B834,"",IF($K835="","",INDEX(Zeiterfassung!$I$6:$I$3665,MATCH(INDEX(Zeiterfassung!$K$6:$K$3665,$K835),Zeiterfassung!$K$6:$K$3665,0))))</f>
        <v/>
      </c>
      <c r="J835" s="335">
        <f>IF(B835=B834,"",IF($K835="","",INDEX(Zeiterfassung!$J$6:$J$3665,MATCH(INDEX(Zeiterfassung!$K$6:$K$3665,$K835),Zeiterfassung!$K$6:$K$3665,0))))</f>
        <v/>
      </c>
      <c r="K835">
        <f>IFERROR(AGGREGATE(15,6,(ROW(Zeiterfassung!$D$6:$D$3665)-ROW(Zeiterfassung!$D$6)+1)/(Zeiterfassung!$D$6:$D$3665&lt;&gt;""),830),"")</f>
        <v/>
      </c>
    </row>
    <row r="836" ht="20" customHeight="1">
      <c r="A836" s="183">
        <f>IF($K836="","",WEEKNUM(INDEX(Zeiterfassung!$K$6:$K$3665,$K836),21))</f>
        <v/>
      </c>
      <c r="B836" s="184">
        <f>IF($K836="","",INDEX(Zeiterfassung!$K$6:$K$3665,$K836))</f>
        <v/>
      </c>
      <c r="C836" s="185">
        <f>IF($K836="","",INDEX(Zeiterfassung!$K$6:$K$3665,$K836))</f>
        <v/>
      </c>
      <c r="D836" s="186">
        <f>IF($K836="","",INDEX(Zeiterfassung!$D$6:$D$3665,$K836))</f>
        <v/>
      </c>
      <c r="E836" s="186">
        <f>IF($K836="","",INDEX(Zeiterfassung!$E$6:$E$3665,$K836))</f>
        <v/>
      </c>
      <c r="F836" s="187">
        <f>IF($K836="","",INDEX(Zeiterfassung!$F$6:$F$3665,$K836))</f>
        <v/>
      </c>
      <c r="G836" s="187">
        <f>IF($K836="","",INDEX(Zeiterfassung!$G$6:$G$3665,$K836))</f>
        <v/>
      </c>
      <c r="H836" s="188">
        <f>IF($K836="","",INDEX(Zeiterfassung!$H$6:$H$3665,$K836))</f>
        <v/>
      </c>
      <c r="I836" s="335">
        <f>IF(B836=B835,"",IF($K836="","",INDEX(Zeiterfassung!$I$6:$I$3665,MATCH(INDEX(Zeiterfassung!$K$6:$K$3665,$K836),Zeiterfassung!$K$6:$K$3665,0))))</f>
        <v/>
      </c>
      <c r="J836" s="335">
        <f>IF(B836=B835,"",IF($K836="","",INDEX(Zeiterfassung!$J$6:$J$3665,MATCH(INDEX(Zeiterfassung!$K$6:$K$3665,$K836),Zeiterfassung!$K$6:$K$3665,0))))</f>
        <v/>
      </c>
      <c r="K836">
        <f>IFERROR(AGGREGATE(15,6,(ROW(Zeiterfassung!$D$6:$D$3665)-ROW(Zeiterfassung!$D$6)+1)/(Zeiterfassung!$D$6:$D$3665&lt;&gt;""),831),"")</f>
        <v/>
      </c>
    </row>
    <row r="837" ht="20" customHeight="1">
      <c r="A837" s="183">
        <f>IF($K837="","",WEEKNUM(INDEX(Zeiterfassung!$K$6:$K$3665,$K837),21))</f>
        <v/>
      </c>
      <c r="B837" s="184">
        <f>IF($K837="","",INDEX(Zeiterfassung!$K$6:$K$3665,$K837))</f>
        <v/>
      </c>
      <c r="C837" s="185">
        <f>IF($K837="","",INDEX(Zeiterfassung!$K$6:$K$3665,$K837))</f>
        <v/>
      </c>
      <c r="D837" s="186">
        <f>IF($K837="","",INDEX(Zeiterfassung!$D$6:$D$3665,$K837))</f>
        <v/>
      </c>
      <c r="E837" s="186">
        <f>IF($K837="","",INDEX(Zeiterfassung!$E$6:$E$3665,$K837))</f>
        <v/>
      </c>
      <c r="F837" s="187">
        <f>IF($K837="","",INDEX(Zeiterfassung!$F$6:$F$3665,$K837))</f>
        <v/>
      </c>
      <c r="G837" s="187">
        <f>IF($K837="","",INDEX(Zeiterfassung!$G$6:$G$3665,$K837))</f>
        <v/>
      </c>
      <c r="H837" s="188">
        <f>IF($K837="","",INDEX(Zeiterfassung!$H$6:$H$3665,$K837))</f>
        <v/>
      </c>
      <c r="I837" s="335">
        <f>IF(B837=B836,"",IF($K837="","",INDEX(Zeiterfassung!$I$6:$I$3665,MATCH(INDEX(Zeiterfassung!$K$6:$K$3665,$K837),Zeiterfassung!$K$6:$K$3665,0))))</f>
        <v/>
      </c>
      <c r="J837" s="335">
        <f>IF(B837=B836,"",IF($K837="","",INDEX(Zeiterfassung!$J$6:$J$3665,MATCH(INDEX(Zeiterfassung!$K$6:$K$3665,$K837),Zeiterfassung!$K$6:$K$3665,0))))</f>
        <v/>
      </c>
      <c r="K837">
        <f>IFERROR(AGGREGATE(15,6,(ROW(Zeiterfassung!$D$6:$D$3665)-ROW(Zeiterfassung!$D$6)+1)/(Zeiterfassung!$D$6:$D$3665&lt;&gt;""),832),"")</f>
        <v/>
      </c>
    </row>
    <row r="838" ht="20" customHeight="1">
      <c r="A838" s="183">
        <f>IF($K838="","",WEEKNUM(INDEX(Zeiterfassung!$K$6:$K$3665,$K838),21))</f>
        <v/>
      </c>
      <c r="B838" s="184">
        <f>IF($K838="","",INDEX(Zeiterfassung!$K$6:$K$3665,$K838))</f>
        <v/>
      </c>
      <c r="C838" s="185">
        <f>IF($K838="","",INDEX(Zeiterfassung!$K$6:$K$3665,$K838))</f>
        <v/>
      </c>
      <c r="D838" s="186">
        <f>IF($K838="","",INDEX(Zeiterfassung!$D$6:$D$3665,$K838))</f>
        <v/>
      </c>
      <c r="E838" s="186">
        <f>IF($K838="","",INDEX(Zeiterfassung!$E$6:$E$3665,$K838))</f>
        <v/>
      </c>
      <c r="F838" s="187">
        <f>IF($K838="","",INDEX(Zeiterfassung!$F$6:$F$3665,$K838))</f>
        <v/>
      </c>
      <c r="G838" s="187">
        <f>IF($K838="","",INDEX(Zeiterfassung!$G$6:$G$3665,$K838))</f>
        <v/>
      </c>
      <c r="H838" s="188">
        <f>IF($K838="","",INDEX(Zeiterfassung!$H$6:$H$3665,$K838))</f>
        <v/>
      </c>
      <c r="I838" s="335">
        <f>IF(B838=B837,"",IF($K838="","",INDEX(Zeiterfassung!$I$6:$I$3665,MATCH(INDEX(Zeiterfassung!$K$6:$K$3665,$K838),Zeiterfassung!$K$6:$K$3665,0))))</f>
        <v/>
      </c>
      <c r="J838" s="335">
        <f>IF(B838=B837,"",IF($K838="","",INDEX(Zeiterfassung!$J$6:$J$3665,MATCH(INDEX(Zeiterfassung!$K$6:$K$3665,$K838),Zeiterfassung!$K$6:$K$3665,0))))</f>
        <v/>
      </c>
      <c r="K838">
        <f>IFERROR(AGGREGATE(15,6,(ROW(Zeiterfassung!$D$6:$D$3665)-ROW(Zeiterfassung!$D$6)+1)/(Zeiterfassung!$D$6:$D$3665&lt;&gt;""),833),"")</f>
        <v/>
      </c>
    </row>
    <row r="839" ht="20" customHeight="1">
      <c r="A839" s="183">
        <f>IF($K839="","",WEEKNUM(INDEX(Zeiterfassung!$K$6:$K$3665,$K839),21))</f>
        <v/>
      </c>
      <c r="B839" s="184">
        <f>IF($K839="","",INDEX(Zeiterfassung!$K$6:$K$3665,$K839))</f>
        <v/>
      </c>
      <c r="C839" s="185">
        <f>IF($K839="","",INDEX(Zeiterfassung!$K$6:$K$3665,$K839))</f>
        <v/>
      </c>
      <c r="D839" s="186">
        <f>IF($K839="","",INDEX(Zeiterfassung!$D$6:$D$3665,$K839))</f>
        <v/>
      </c>
      <c r="E839" s="186">
        <f>IF($K839="","",INDEX(Zeiterfassung!$E$6:$E$3665,$K839))</f>
        <v/>
      </c>
      <c r="F839" s="187">
        <f>IF($K839="","",INDEX(Zeiterfassung!$F$6:$F$3665,$K839))</f>
        <v/>
      </c>
      <c r="G839" s="187">
        <f>IF($K839="","",INDEX(Zeiterfassung!$G$6:$G$3665,$K839))</f>
        <v/>
      </c>
      <c r="H839" s="188">
        <f>IF($K839="","",INDEX(Zeiterfassung!$H$6:$H$3665,$K839))</f>
        <v/>
      </c>
      <c r="I839" s="335">
        <f>IF(B839=B838,"",IF($K839="","",INDEX(Zeiterfassung!$I$6:$I$3665,MATCH(INDEX(Zeiterfassung!$K$6:$K$3665,$K839),Zeiterfassung!$K$6:$K$3665,0))))</f>
        <v/>
      </c>
      <c r="J839" s="335">
        <f>IF(B839=B838,"",IF($K839="","",INDEX(Zeiterfassung!$J$6:$J$3665,MATCH(INDEX(Zeiterfassung!$K$6:$K$3665,$K839),Zeiterfassung!$K$6:$K$3665,0))))</f>
        <v/>
      </c>
      <c r="K839">
        <f>IFERROR(AGGREGATE(15,6,(ROW(Zeiterfassung!$D$6:$D$3665)-ROW(Zeiterfassung!$D$6)+1)/(Zeiterfassung!$D$6:$D$3665&lt;&gt;""),834),"")</f>
        <v/>
      </c>
    </row>
    <row r="840" ht="20" customHeight="1">
      <c r="A840" s="183">
        <f>IF($K840="","",WEEKNUM(INDEX(Zeiterfassung!$K$6:$K$3665,$K840),21))</f>
        <v/>
      </c>
      <c r="B840" s="184">
        <f>IF($K840="","",INDEX(Zeiterfassung!$K$6:$K$3665,$K840))</f>
        <v/>
      </c>
      <c r="C840" s="185">
        <f>IF($K840="","",INDEX(Zeiterfassung!$K$6:$K$3665,$K840))</f>
        <v/>
      </c>
      <c r="D840" s="186">
        <f>IF($K840="","",INDEX(Zeiterfassung!$D$6:$D$3665,$K840))</f>
        <v/>
      </c>
      <c r="E840" s="186">
        <f>IF($K840="","",INDEX(Zeiterfassung!$E$6:$E$3665,$K840))</f>
        <v/>
      </c>
      <c r="F840" s="187">
        <f>IF($K840="","",INDEX(Zeiterfassung!$F$6:$F$3665,$K840))</f>
        <v/>
      </c>
      <c r="G840" s="187">
        <f>IF($K840="","",INDEX(Zeiterfassung!$G$6:$G$3665,$K840))</f>
        <v/>
      </c>
      <c r="H840" s="188">
        <f>IF($K840="","",INDEX(Zeiterfassung!$H$6:$H$3665,$K840))</f>
        <v/>
      </c>
      <c r="I840" s="335">
        <f>IF(B840=B839,"",IF($K840="","",INDEX(Zeiterfassung!$I$6:$I$3665,MATCH(INDEX(Zeiterfassung!$K$6:$K$3665,$K840),Zeiterfassung!$K$6:$K$3665,0))))</f>
        <v/>
      </c>
      <c r="J840" s="335">
        <f>IF(B840=B839,"",IF($K840="","",INDEX(Zeiterfassung!$J$6:$J$3665,MATCH(INDEX(Zeiterfassung!$K$6:$K$3665,$K840),Zeiterfassung!$K$6:$K$3665,0))))</f>
        <v/>
      </c>
      <c r="K840">
        <f>IFERROR(AGGREGATE(15,6,(ROW(Zeiterfassung!$D$6:$D$3665)-ROW(Zeiterfassung!$D$6)+1)/(Zeiterfassung!$D$6:$D$3665&lt;&gt;""),835),"")</f>
        <v/>
      </c>
    </row>
    <row r="841" ht="20" customHeight="1">
      <c r="A841" s="183">
        <f>IF($K841="","",WEEKNUM(INDEX(Zeiterfassung!$K$6:$K$3665,$K841),21))</f>
        <v/>
      </c>
      <c r="B841" s="184">
        <f>IF($K841="","",INDEX(Zeiterfassung!$K$6:$K$3665,$K841))</f>
        <v/>
      </c>
      <c r="C841" s="185">
        <f>IF($K841="","",INDEX(Zeiterfassung!$K$6:$K$3665,$K841))</f>
        <v/>
      </c>
      <c r="D841" s="186">
        <f>IF($K841="","",INDEX(Zeiterfassung!$D$6:$D$3665,$K841))</f>
        <v/>
      </c>
      <c r="E841" s="186">
        <f>IF($K841="","",INDEX(Zeiterfassung!$E$6:$E$3665,$K841))</f>
        <v/>
      </c>
      <c r="F841" s="187">
        <f>IF($K841="","",INDEX(Zeiterfassung!$F$6:$F$3665,$K841))</f>
        <v/>
      </c>
      <c r="G841" s="187">
        <f>IF($K841="","",INDEX(Zeiterfassung!$G$6:$G$3665,$K841))</f>
        <v/>
      </c>
      <c r="H841" s="188">
        <f>IF($K841="","",INDEX(Zeiterfassung!$H$6:$H$3665,$K841))</f>
        <v/>
      </c>
      <c r="I841" s="335">
        <f>IF(B841=B840,"",IF($K841="","",INDEX(Zeiterfassung!$I$6:$I$3665,MATCH(INDEX(Zeiterfassung!$K$6:$K$3665,$K841),Zeiterfassung!$K$6:$K$3665,0))))</f>
        <v/>
      </c>
      <c r="J841" s="335">
        <f>IF(B841=B840,"",IF($K841="","",INDEX(Zeiterfassung!$J$6:$J$3665,MATCH(INDEX(Zeiterfassung!$K$6:$K$3665,$K841),Zeiterfassung!$K$6:$K$3665,0))))</f>
        <v/>
      </c>
      <c r="K841">
        <f>IFERROR(AGGREGATE(15,6,(ROW(Zeiterfassung!$D$6:$D$3665)-ROW(Zeiterfassung!$D$6)+1)/(Zeiterfassung!$D$6:$D$3665&lt;&gt;""),836),"")</f>
        <v/>
      </c>
    </row>
    <row r="842" ht="20" customHeight="1">
      <c r="A842" s="183">
        <f>IF($K842="","",WEEKNUM(INDEX(Zeiterfassung!$K$6:$K$3665,$K842),21))</f>
        <v/>
      </c>
      <c r="B842" s="184">
        <f>IF($K842="","",INDEX(Zeiterfassung!$K$6:$K$3665,$K842))</f>
        <v/>
      </c>
      <c r="C842" s="185">
        <f>IF($K842="","",INDEX(Zeiterfassung!$K$6:$K$3665,$K842))</f>
        <v/>
      </c>
      <c r="D842" s="186">
        <f>IF($K842="","",INDEX(Zeiterfassung!$D$6:$D$3665,$K842))</f>
        <v/>
      </c>
      <c r="E842" s="186">
        <f>IF($K842="","",INDEX(Zeiterfassung!$E$6:$E$3665,$K842))</f>
        <v/>
      </c>
      <c r="F842" s="187">
        <f>IF($K842="","",INDEX(Zeiterfassung!$F$6:$F$3665,$K842))</f>
        <v/>
      </c>
      <c r="G842" s="187">
        <f>IF($K842="","",INDEX(Zeiterfassung!$G$6:$G$3665,$K842))</f>
        <v/>
      </c>
      <c r="H842" s="188">
        <f>IF($K842="","",INDEX(Zeiterfassung!$H$6:$H$3665,$K842))</f>
        <v/>
      </c>
      <c r="I842" s="335">
        <f>IF(B842=B841,"",IF($K842="","",INDEX(Zeiterfassung!$I$6:$I$3665,MATCH(INDEX(Zeiterfassung!$K$6:$K$3665,$K842),Zeiterfassung!$K$6:$K$3665,0))))</f>
        <v/>
      </c>
      <c r="J842" s="335">
        <f>IF(B842=B841,"",IF($K842="","",INDEX(Zeiterfassung!$J$6:$J$3665,MATCH(INDEX(Zeiterfassung!$K$6:$K$3665,$K842),Zeiterfassung!$K$6:$K$3665,0))))</f>
        <v/>
      </c>
      <c r="K842">
        <f>IFERROR(AGGREGATE(15,6,(ROW(Zeiterfassung!$D$6:$D$3665)-ROW(Zeiterfassung!$D$6)+1)/(Zeiterfassung!$D$6:$D$3665&lt;&gt;""),837),"")</f>
        <v/>
      </c>
    </row>
    <row r="843" ht="20" customHeight="1">
      <c r="A843" s="183">
        <f>IF($K843="","",WEEKNUM(INDEX(Zeiterfassung!$K$6:$K$3665,$K843),21))</f>
        <v/>
      </c>
      <c r="B843" s="184">
        <f>IF($K843="","",INDEX(Zeiterfassung!$K$6:$K$3665,$K843))</f>
        <v/>
      </c>
      <c r="C843" s="185">
        <f>IF($K843="","",INDEX(Zeiterfassung!$K$6:$K$3665,$K843))</f>
        <v/>
      </c>
      <c r="D843" s="186">
        <f>IF($K843="","",INDEX(Zeiterfassung!$D$6:$D$3665,$K843))</f>
        <v/>
      </c>
      <c r="E843" s="186">
        <f>IF($K843="","",INDEX(Zeiterfassung!$E$6:$E$3665,$K843))</f>
        <v/>
      </c>
      <c r="F843" s="187">
        <f>IF($K843="","",INDEX(Zeiterfassung!$F$6:$F$3665,$K843))</f>
        <v/>
      </c>
      <c r="G843" s="187">
        <f>IF($K843="","",INDEX(Zeiterfassung!$G$6:$G$3665,$K843))</f>
        <v/>
      </c>
      <c r="H843" s="188">
        <f>IF($K843="","",INDEX(Zeiterfassung!$H$6:$H$3665,$K843))</f>
        <v/>
      </c>
      <c r="I843" s="335">
        <f>IF(B843=B842,"",IF($K843="","",INDEX(Zeiterfassung!$I$6:$I$3665,MATCH(INDEX(Zeiterfassung!$K$6:$K$3665,$K843),Zeiterfassung!$K$6:$K$3665,0))))</f>
        <v/>
      </c>
      <c r="J843" s="335">
        <f>IF(B843=B842,"",IF($K843="","",INDEX(Zeiterfassung!$J$6:$J$3665,MATCH(INDEX(Zeiterfassung!$K$6:$K$3665,$K843),Zeiterfassung!$K$6:$K$3665,0))))</f>
        <v/>
      </c>
      <c r="K843">
        <f>IFERROR(AGGREGATE(15,6,(ROW(Zeiterfassung!$D$6:$D$3665)-ROW(Zeiterfassung!$D$6)+1)/(Zeiterfassung!$D$6:$D$3665&lt;&gt;""),838),"")</f>
        <v/>
      </c>
    </row>
    <row r="844" ht="20" customHeight="1">
      <c r="A844" s="183">
        <f>IF($K844="","",WEEKNUM(INDEX(Zeiterfassung!$K$6:$K$3665,$K844),21))</f>
        <v/>
      </c>
      <c r="B844" s="184">
        <f>IF($K844="","",INDEX(Zeiterfassung!$K$6:$K$3665,$K844))</f>
        <v/>
      </c>
      <c r="C844" s="185">
        <f>IF($K844="","",INDEX(Zeiterfassung!$K$6:$K$3665,$K844))</f>
        <v/>
      </c>
      <c r="D844" s="186">
        <f>IF($K844="","",INDEX(Zeiterfassung!$D$6:$D$3665,$K844))</f>
        <v/>
      </c>
      <c r="E844" s="186">
        <f>IF($K844="","",INDEX(Zeiterfassung!$E$6:$E$3665,$K844))</f>
        <v/>
      </c>
      <c r="F844" s="187">
        <f>IF($K844="","",INDEX(Zeiterfassung!$F$6:$F$3665,$K844))</f>
        <v/>
      </c>
      <c r="G844" s="187">
        <f>IF($K844="","",INDEX(Zeiterfassung!$G$6:$G$3665,$K844))</f>
        <v/>
      </c>
      <c r="H844" s="188">
        <f>IF($K844="","",INDEX(Zeiterfassung!$H$6:$H$3665,$K844))</f>
        <v/>
      </c>
      <c r="I844" s="335">
        <f>IF(B844=B843,"",IF($K844="","",INDEX(Zeiterfassung!$I$6:$I$3665,MATCH(INDEX(Zeiterfassung!$K$6:$K$3665,$K844),Zeiterfassung!$K$6:$K$3665,0))))</f>
        <v/>
      </c>
      <c r="J844" s="335">
        <f>IF(B844=B843,"",IF($K844="","",INDEX(Zeiterfassung!$J$6:$J$3665,MATCH(INDEX(Zeiterfassung!$K$6:$K$3665,$K844),Zeiterfassung!$K$6:$K$3665,0))))</f>
        <v/>
      </c>
      <c r="K844">
        <f>IFERROR(AGGREGATE(15,6,(ROW(Zeiterfassung!$D$6:$D$3665)-ROW(Zeiterfassung!$D$6)+1)/(Zeiterfassung!$D$6:$D$3665&lt;&gt;""),839),"")</f>
        <v/>
      </c>
    </row>
    <row r="845" ht="20" customHeight="1">
      <c r="A845" s="183">
        <f>IF($K845="","",WEEKNUM(INDEX(Zeiterfassung!$K$6:$K$3665,$K845),21))</f>
        <v/>
      </c>
      <c r="B845" s="184">
        <f>IF($K845="","",INDEX(Zeiterfassung!$K$6:$K$3665,$K845))</f>
        <v/>
      </c>
      <c r="C845" s="185">
        <f>IF($K845="","",INDEX(Zeiterfassung!$K$6:$K$3665,$K845))</f>
        <v/>
      </c>
      <c r="D845" s="186">
        <f>IF($K845="","",INDEX(Zeiterfassung!$D$6:$D$3665,$K845))</f>
        <v/>
      </c>
      <c r="E845" s="186">
        <f>IF($K845="","",INDEX(Zeiterfassung!$E$6:$E$3665,$K845))</f>
        <v/>
      </c>
      <c r="F845" s="187">
        <f>IF($K845="","",INDEX(Zeiterfassung!$F$6:$F$3665,$K845))</f>
        <v/>
      </c>
      <c r="G845" s="187">
        <f>IF($K845="","",INDEX(Zeiterfassung!$G$6:$G$3665,$K845))</f>
        <v/>
      </c>
      <c r="H845" s="188">
        <f>IF($K845="","",INDEX(Zeiterfassung!$H$6:$H$3665,$K845))</f>
        <v/>
      </c>
      <c r="I845" s="335">
        <f>IF(B845=B844,"",IF($K845="","",INDEX(Zeiterfassung!$I$6:$I$3665,MATCH(INDEX(Zeiterfassung!$K$6:$K$3665,$K845),Zeiterfassung!$K$6:$K$3665,0))))</f>
        <v/>
      </c>
      <c r="J845" s="335">
        <f>IF(B845=B844,"",IF($K845="","",INDEX(Zeiterfassung!$J$6:$J$3665,MATCH(INDEX(Zeiterfassung!$K$6:$K$3665,$K845),Zeiterfassung!$K$6:$K$3665,0))))</f>
        <v/>
      </c>
      <c r="K845">
        <f>IFERROR(AGGREGATE(15,6,(ROW(Zeiterfassung!$D$6:$D$3665)-ROW(Zeiterfassung!$D$6)+1)/(Zeiterfassung!$D$6:$D$3665&lt;&gt;""),840),"")</f>
        <v/>
      </c>
    </row>
    <row r="846" ht="20" customHeight="1">
      <c r="A846" s="183">
        <f>IF($K846="","",WEEKNUM(INDEX(Zeiterfassung!$K$6:$K$3665,$K846),21))</f>
        <v/>
      </c>
      <c r="B846" s="184">
        <f>IF($K846="","",INDEX(Zeiterfassung!$K$6:$K$3665,$K846))</f>
        <v/>
      </c>
      <c r="C846" s="185">
        <f>IF($K846="","",INDEX(Zeiterfassung!$K$6:$K$3665,$K846))</f>
        <v/>
      </c>
      <c r="D846" s="186">
        <f>IF($K846="","",INDEX(Zeiterfassung!$D$6:$D$3665,$K846))</f>
        <v/>
      </c>
      <c r="E846" s="186">
        <f>IF($K846="","",INDEX(Zeiterfassung!$E$6:$E$3665,$K846))</f>
        <v/>
      </c>
      <c r="F846" s="187">
        <f>IF($K846="","",INDEX(Zeiterfassung!$F$6:$F$3665,$K846))</f>
        <v/>
      </c>
      <c r="G846" s="187">
        <f>IF($K846="","",INDEX(Zeiterfassung!$G$6:$G$3665,$K846))</f>
        <v/>
      </c>
      <c r="H846" s="188">
        <f>IF($K846="","",INDEX(Zeiterfassung!$H$6:$H$3665,$K846))</f>
        <v/>
      </c>
      <c r="I846" s="335">
        <f>IF(B846=B845,"",IF($K846="","",INDEX(Zeiterfassung!$I$6:$I$3665,MATCH(INDEX(Zeiterfassung!$K$6:$K$3665,$K846),Zeiterfassung!$K$6:$K$3665,0))))</f>
        <v/>
      </c>
      <c r="J846" s="335">
        <f>IF(B846=B845,"",IF($K846="","",INDEX(Zeiterfassung!$J$6:$J$3665,MATCH(INDEX(Zeiterfassung!$K$6:$K$3665,$K846),Zeiterfassung!$K$6:$K$3665,0))))</f>
        <v/>
      </c>
      <c r="K846">
        <f>IFERROR(AGGREGATE(15,6,(ROW(Zeiterfassung!$D$6:$D$3665)-ROW(Zeiterfassung!$D$6)+1)/(Zeiterfassung!$D$6:$D$3665&lt;&gt;""),841),"")</f>
        <v/>
      </c>
    </row>
    <row r="847" ht="20" customHeight="1">
      <c r="A847" s="183">
        <f>IF($K847="","",WEEKNUM(INDEX(Zeiterfassung!$K$6:$K$3665,$K847),21))</f>
        <v/>
      </c>
      <c r="B847" s="184">
        <f>IF($K847="","",INDEX(Zeiterfassung!$K$6:$K$3665,$K847))</f>
        <v/>
      </c>
      <c r="C847" s="185">
        <f>IF($K847="","",INDEX(Zeiterfassung!$K$6:$K$3665,$K847))</f>
        <v/>
      </c>
      <c r="D847" s="186">
        <f>IF($K847="","",INDEX(Zeiterfassung!$D$6:$D$3665,$K847))</f>
        <v/>
      </c>
      <c r="E847" s="186">
        <f>IF($K847="","",INDEX(Zeiterfassung!$E$6:$E$3665,$K847))</f>
        <v/>
      </c>
      <c r="F847" s="187">
        <f>IF($K847="","",INDEX(Zeiterfassung!$F$6:$F$3665,$K847))</f>
        <v/>
      </c>
      <c r="G847" s="187">
        <f>IF($K847="","",INDEX(Zeiterfassung!$G$6:$G$3665,$K847))</f>
        <v/>
      </c>
      <c r="H847" s="188">
        <f>IF($K847="","",INDEX(Zeiterfassung!$H$6:$H$3665,$K847))</f>
        <v/>
      </c>
      <c r="I847" s="335">
        <f>IF(B847=B846,"",IF($K847="","",INDEX(Zeiterfassung!$I$6:$I$3665,MATCH(INDEX(Zeiterfassung!$K$6:$K$3665,$K847),Zeiterfassung!$K$6:$K$3665,0))))</f>
        <v/>
      </c>
      <c r="J847" s="335">
        <f>IF(B847=B846,"",IF($K847="","",INDEX(Zeiterfassung!$J$6:$J$3665,MATCH(INDEX(Zeiterfassung!$K$6:$K$3665,$K847),Zeiterfassung!$K$6:$K$3665,0))))</f>
        <v/>
      </c>
      <c r="K847">
        <f>IFERROR(AGGREGATE(15,6,(ROW(Zeiterfassung!$D$6:$D$3665)-ROW(Zeiterfassung!$D$6)+1)/(Zeiterfassung!$D$6:$D$3665&lt;&gt;""),842),"")</f>
        <v/>
      </c>
    </row>
    <row r="848" ht="20" customHeight="1">
      <c r="A848" s="183">
        <f>IF($K848="","",WEEKNUM(INDEX(Zeiterfassung!$K$6:$K$3665,$K848),21))</f>
        <v/>
      </c>
      <c r="B848" s="184">
        <f>IF($K848="","",INDEX(Zeiterfassung!$K$6:$K$3665,$K848))</f>
        <v/>
      </c>
      <c r="C848" s="185">
        <f>IF($K848="","",INDEX(Zeiterfassung!$K$6:$K$3665,$K848))</f>
        <v/>
      </c>
      <c r="D848" s="186">
        <f>IF($K848="","",INDEX(Zeiterfassung!$D$6:$D$3665,$K848))</f>
        <v/>
      </c>
      <c r="E848" s="186">
        <f>IF($K848="","",INDEX(Zeiterfassung!$E$6:$E$3665,$K848))</f>
        <v/>
      </c>
      <c r="F848" s="187">
        <f>IF($K848="","",INDEX(Zeiterfassung!$F$6:$F$3665,$K848))</f>
        <v/>
      </c>
      <c r="G848" s="187">
        <f>IF($K848="","",INDEX(Zeiterfassung!$G$6:$G$3665,$K848))</f>
        <v/>
      </c>
      <c r="H848" s="188">
        <f>IF($K848="","",INDEX(Zeiterfassung!$H$6:$H$3665,$K848))</f>
        <v/>
      </c>
      <c r="I848" s="335">
        <f>IF(B848=B847,"",IF($K848="","",INDEX(Zeiterfassung!$I$6:$I$3665,MATCH(INDEX(Zeiterfassung!$K$6:$K$3665,$K848),Zeiterfassung!$K$6:$K$3665,0))))</f>
        <v/>
      </c>
      <c r="J848" s="335">
        <f>IF(B848=B847,"",IF($K848="","",INDEX(Zeiterfassung!$J$6:$J$3665,MATCH(INDEX(Zeiterfassung!$K$6:$K$3665,$K848),Zeiterfassung!$K$6:$K$3665,0))))</f>
        <v/>
      </c>
      <c r="K848">
        <f>IFERROR(AGGREGATE(15,6,(ROW(Zeiterfassung!$D$6:$D$3665)-ROW(Zeiterfassung!$D$6)+1)/(Zeiterfassung!$D$6:$D$3665&lt;&gt;""),843),"")</f>
        <v/>
      </c>
    </row>
    <row r="849" ht="20" customHeight="1">
      <c r="A849" s="183">
        <f>IF($K849="","",WEEKNUM(INDEX(Zeiterfassung!$K$6:$K$3665,$K849),21))</f>
        <v/>
      </c>
      <c r="B849" s="184">
        <f>IF($K849="","",INDEX(Zeiterfassung!$K$6:$K$3665,$K849))</f>
        <v/>
      </c>
      <c r="C849" s="185">
        <f>IF($K849="","",INDEX(Zeiterfassung!$K$6:$K$3665,$K849))</f>
        <v/>
      </c>
      <c r="D849" s="186">
        <f>IF($K849="","",INDEX(Zeiterfassung!$D$6:$D$3665,$K849))</f>
        <v/>
      </c>
      <c r="E849" s="186">
        <f>IF($K849="","",INDEX(Zeiterfassung!$E$6:$E$3665,$K849))</f>
        <v/>
      </c>
      <c r="F849" s="187">
        <f>IF($K849="","",INDEX(Zeiterfassung!$F$6:$F$3665,$K849))</f>
        <v/>
      </c>
      <c r="G849" s="187">
        <f>IF($K849="","",INDEX(Zeiterfassung!$G$6:$G$3665,$K849))</f>
        <v/>
      </c>
      <c r="H849" s="188">
        <f>IF($K849="","",INDEX(Zeiterfassung!$H$6:$H$3665,$K849))</f>
        <v/>
      </c>
      <c r="I849" s="335">
        <f>IF(B849=B848,"",IF($K849="","",INDEX(Zeiterfassung!$I$6:$I$3665,MATCH(INDEX(Zeiterfassung!$K$6:$K$3665,$K849),Zeiterfassung!$K$6:$K$3665,0))))</f>
        <v/>
      </c>
      <c r="J849" s="335">
        <f>IF(B849=B848,"",IF($K849="","",INDEX(Zeiterfassung!$J$6:$J$3665,MATCH(INDEX(Zeiterfassung!$K$6:$K$3665,$K849),Zeiterfassung!$K$6:$K$3665,0))))</f>
        <v/>
      </c>
      <c r="K849">
        <f>IFERROR(AGGREGATE(15,6,(ROW(Zeiterfassung!$D$6:$D$3665)-ROW(Zeiterfassung!$D$6)+1)/(Zeiterfassung!$D$6:$D$3665&lt;&gt;""),844),"")</f>
        <v/>
      </c>
    </row>
    <row r="850" ht="20" customHeight="1">
      <c r="A850" s="183">
        <f>IF($K850="","",WEEKNUM(INDEX(Zeiterfassung!$K$6:$K$3665,$K850),21))</f>
        <v/>
      </c>
      <c r="B850" s="184">
        <f>IF($K850="","",INDEX(Zeiterfassung!$K$6:$K$3665,$K850))</f>
        <v/>
      </c>
      <c r="C850" s="185">
        <f>IF($K850="","",INDEX(Zeiterfassung!$K$6:$K$3665,$K850))</f>
        <v/>
      </c>
      <c r="D850" s="186">
        <f>IF($K850="","",INDEX(Zeiterfassung!$D$6:$D$3665,$K850))</f>
        <v/>
      </c>
      <c r="E850" s="186">
        <f>IF($K850="","",INDEX(Zeiterfassung!$E$6:$E$3665,$K850))</f>
        <v/>
      </c>
      <c r="F850" s="187">
        <f>IF($K850="","",INDEX(Zeiterfassung!$F$6:$F$3665,$K850))</f>
        <v/>
      </c>
      <c r="G850" s="187">
        <f>IF($K850="","",INDEX(Zeiterfassung!$G$6:$G$3665,$K850))</f>
        <v/>
      </c>
      <c r="H850" s="188">
        <f>IF($K850="","",INDEX(Zeiterfassung!$H$6:$H$3665,$K850))</f>
        <v/>
      </c>
      <c r="I850" s="335">
        <f>IF(B850=B849,"",IF($K850="","",INDEX(Zeiterfassung!$I$6:$I$3665,MATCH(INDEX(Zeiterfassung!$K$6:$K$3665,$K850),Zeiterfassung!$K$6:$K$3665,0))))</f>
        <v/>
      </c>
      <c r="J850" s="335">
        <f>IF(B850=B849,"",IF($K850="","",INDEX(Zeiterfassung!$J$6:$J$3665,MATCH(INDEX(Zeiterfassung!$K$6:$K$3665,$K850),Zeiterfassung!$K$6:$K$3665,0))))</f>
        <v/>
      </c>
      <c r="K850">
        <f>IFERROR(AGGREGATE(15,6,(ROW(Zeiterfassung!$D$6:$D$3665)-ROW(Zeiterfassung!$D$6)+1)/(Zeiterfassung!$D$6:$D$3665&lt;&gt;""),845),"")</f>
        <v/>
      </c>
    </row>
    <row r="851" ht="20" customHeight="1">
      <c r="A851" s="183">
        <f>IF($K851="","",WEEKNUM(INDEX(Zeiterfassung!$K$6:$K$3665,$K851),21))</f>
        <v/>
      </c>
      <c r="B851" s="184">
        <f>IF($K851="","",INDEX(Zeiterfassung!$K$6:$K$3665,$K851))</f>
        <v/>
      </c>
      <c r="C851" s="185">
        <f>IF($K851="","",INDEX(Zeiterfassung!$K$6:$K$3665,$K851))</f>
        <v/>
      </c>
      <c r="D851" s="186">
        <f>IF($K851="","",INDEX(Zeiterfassung!$D$6:$D$3665,$K851))</f>
        <v/>
      </c>
      <c r="E851" s="186">
        <f>IF($K851="","",INDEX(Zeiterfassung!$E$6:$E$3665,$K851))</f>
        <v/>
      </c>
      <c r="F851" s="187">
        <f>IF($K851="","",INDEX(Zeiterfassung!$F$6:$F$3665,$K851))</f>
        <v/>
      </c>
      <c r="G851" s="187">
        <f>IF($K851="","",INDEX(Zeiterfassung!$G$6:$G$3665,$K851))</f>
        <v/>
      </c>
      <c r="H851" s="188">
        <f>IF($K851="","",INDEX(Zeiterfassung!$H$6:$H$3665,$K851))</f>
        <v/>
      </c>
      <c r="I851" s="335">
        <f>IF(B851=B850,"",IF($K851="","",INDEX(Zeiterfassung!$I$6:$I$3665,MATCH(INDEX(Zeiterfassung!$K$6:$K$3665,$K851),Zeiterfassung!$K$6:$K$3665,0))))</f>
        <v/>
      </c>
      <c r="J851" s="335">
        <f>IF(B851=B850,"",IF($K851="","",INDEX(Zeiterfassung!$J$6:$J$3665,MATCH(INDEX(Zeiterfassung!$K$6:$K$3665,$K851),Zeiterfassung!$K$6:$K$3665,0))))</f>
        <v/>
      </c>
      <c r="K851">
        <f>IFERROR(AGGREGATE(15,6,(ROW(Zeiterfassung!$D$6:$D$3665)-ROW(Zeiterfassung!$D$6)+1)/(Zeiterfassung!$D$6:$D$3665&lt;&gt;""),846),"")</f>
        <v/>
      </c>
    </row>
    <row r="852" ht="20" customHeight="1">
      <c r="A852" s="183">
        <f>IF($K852="","",WEEKNUM(INDEX(Zeiterfassung!$K$6:$K$3665,$K852),21))</f>
        <v/>
      </c>
      <c r="B852" s="184">
        <f>IF($K852="","",INDEX(Zeiterfassung!$K$6:$K$3665,$K852))</f>
        <v/>
      </c>
      <c r="C852" s="185">
        <f>IF($K852="","",INDEX(Zeiterfassung!$K$6:$K$3665,$K852))</f>
        <v/>
      </c>
      <c r="D852" s="186">
        <f>IF($K852="","",INDEX(Zeiterfassung!$D$6:$D$3665,$K852))</f>
        <v/>
      </c>
      <c r="E852" s="186">
        <f>IF($K852="","",INDEX(Zeiterfassung!$E$6:$E$3665,$K852))</f>
        <v/>
      </c>
      <c r="F852" s="187">
        <f>IF($K852="","",INDEX(Zeiterfassung!$F$6:$F$3665,$K852))</f>
        <v/>
      </c>
      <c r="G852" s="187">
        <f>IF($K852="","",INDEX(Zeiterfassung!$G$6:$G$3665,$K852))</f>
        <v/>
      </c>
      <c r="H852" s="188">
        <f>IF($K852="","",INDEX(Zeiterfassung!$H$6:$H$3665,$K852))</f>
        <v/>
      </c>
      <c r="I852" s="335">
        <f>IF(B852=B851,"",IF($K852="","",INDEX(Zeiterfassung!$I$6:$I$3665,MATCH(INDEX(Zeiterfassung!$K$6:$K$3665,$K852),Zeiterfassung!$K$6:$K$3665,0))))</f>
        <v/>
      </c>
      <c r="J852" s="335">
        <f>IF(B852=B851,"",IF($K852="","",INDEX(Zeiterfassung!$J$6:$J$3665,MATCH(INDEX(Zeiterfassung!$K$6:$K$3665,$K852),Zeiterfassung!$K$6:$K$3665,0))))</f>
        <v/>
      </c>
      <c r="K852">
        <f>IFERROR(AGGREGATE(15,6,(ROW(Zeiterfassung!$D$6:$D$3665)-ROW(Zeiterfassung!$D$6)+1)/(Zeiterfassung!$D$6:$D$3665&lt;&gt;""),847),"")</f>
        <v/>
      </c>
    </row>
    <row r="853" ht="20" customHeight="1">
      <c r="A853" s="183">
        <f>IF($K853="","",WEEKNUM(INDEX(Zeiterfassung!$K$6:$K$3665,$K853),21))</f>
        <v/>
      </c>
      <c r="B853" s="184">
        <f>IF($K853="","",INDEX(Zeiterfassung!$K$6:$K$3665,$K853))</f>
        <v/>
      </c>
      <c r="C853" s="185">
        <f>IF($K853="","",INDEX(Zeiterfassung!$K$6:$K$3665,$K853))</f>
        <v/>
      </c>
      <c r="D853" s="186">
        <f>IF($K853="","",INDEX(Zeiterfassung!$D$6:$D$3665,$K853))</f>
        <v/>
      </c>
      <c r="E853" s="186">
        <f>IF($K853="","",INDEX(Zeiterfassung!$E$6:$E$3665,$K853))</f>
        <v/>
      </c>
      <c r="F853" s="187">
        <f>IF($K853="","",INDEX(Zeiterfassung!$F$6:$F$3665,$K853))</f>
        <v/>
      </c>
      <c r="G853" s="187">
        <f>IF($K853="","",INDEX(Zeiterfassung!$G$6:$G$3665,$K853))</f>
        <v/>
      </c>
      <c r="H853" s="188">
        <f>IF($K853="","",INDEX(Zeiterfassung!$H$6:$H$3665,$K853))</f>
        <v/>
      </c>
      <c r="I853" s="335">
        <f>IF(B853=B852,"",IF($K853="","",INDEX(Zeiterfassung!$I$6:$I$3665,MATCH(INDEX(Zeiterfassung!$K$6:$K$3665,$K853),Zeiterfassung!$K$6:$K$3665,0))))</f>
        <v/>
      </c>
      <c r="J853" s="335">
        <f>IF(B853=B852,"",IF($K853="","",INDEX(Zeiterfassung!$J$6:$J$3665,MATCH(INDEX(Zeiterfassung!$K$6:$K$3665,$K853),Zeiterfassung!$K$6:$K$3665,0))))</f>
        <v/>
      </c>
      <c r="K853">
        <f>IFERROR(AGGREGATE(15,6,(ROW(Zeiterfassung!$D$6:$D$3665)-ROW(Zeiterfassung!$D$6)+1)/(Zeiterfassung!$D$6:$D$3665&lt;&gt;""),848),"")</f>
        <v/>
      </c>
    </row>
    <row r="854" ht="20" customHeight="1">
      <c r="A854" s="183">
        <f>IF($K854="","",WEEKNUM(INDEX(Zeiterfassung!$K$6:$K$3665,$K854),21))</f>
        <v/>
      </c>
      <c r="B854" s="184">
        <f>IF($K854="","",INDEX(Zeiterfassung!$K$6:$K$3665,$K854))</f>
        <v/>
      </c>
      <c r="C854" s="185">
        <f>IF($K854="","",INDEX(Zeiterfassung!$K$6:$K$3665,$K854))</f>
        <v/>
      </c>
      <c r="D854" s="186">
        <f>IF($K854="","",INDEX(Zeiterfassung!$D$6:$D$3665,$K854))</f>
        <v/>
      </c>
      <c r="E854" s="186">
        <f>IF($K854="","",INDEX(Zeiterfassung!$E$6:$E$3665,$K854))</f>
        <v/>
      </c>
      <c r="F854" s="187">
        <f>IF($K854="","",INDEX(Zeiterfassung!$F$6:$F$3665,$K854))</f>
        <v/>
      </c>
      <c r="G854" s="187">
        <f>IF($K854="","",INDEX(Zeiterfassung!$G$6:$G$3665,$K854))</f>
        <v/>
      </c>
      <c r="H854" s="188">
        <f>IF($K854="","",INDEX(Zeiterfassung!$H$6:$H$3665,$K854))</f>
        <v/>
      </c>
      <c r="I854" s="335">
        <f>IF(B854=B853,"",IF($K854="","",INDEX(Zeiterfassung!$I$6:$I$3665,MATCH(INDEX(Zeiterfassung!$K$6:$K$3665,$K854),Zeiterfassung!$K$6:$K$3665,0))))</f>
        <v/>
      </c>
      <c r="J854" s="335">
        <f>IF(B854=B853,"",IF($K854="","",INDEX(Zeiterfassung!$J$6:$J$3665,MATCH(INDEX(Zeiterfassung!$K$6:$K$3665,$K854),Zeiterfassung!$K$6:$K$3665,0))))</f>
        <v/>
      </c>
      <c r="K854">
        <f>IFERROR(AGGREGATE(15,6,(ROW(Zeiterfassung!$D$6:$D$3665)-ROW(Zeiterfassung!$D$6)+1)/(Zeiterfassung!$D$6:$D$3665&lt;&gt;""),849),"")</f>
        <v/>
      </c>
    </row>
    <row r="855" ht="20" customHeight="1">
      <c r="A855" s="183">
        <f>IF($K855="","",WEEKNUM(INDEX(Zeiterfassung!$K$6:$K$3665,$K855),21))</f>
        <v/>
      </c>
      <c r="B855" s="184">
        <f>IF($K855="","",INDEX(Zeiterfassung!$K$6:$K$3665,$K855))</f>
        <v/>
      </c>
      <c r="C855" s="185">
        <f>IF($K855="","",INDEX(Zeiterfassung!$K$6:$K$3665,$K855))</f>
        <v/>
      </c>
      <c r="D855" s="186">
        <f>IF($K855="","",INDEX(Zeiterfassung!$D$6:$D$3665,$K855))</f>
        <v/>
      </c>
      <c r="E855" s="186">
        <f>IF($K855="","",INDEX(Zeiterfassung!$E$6:$E$3665,$K855))</f>
        <v/>
      </c>
      <c r="F855" s="187">
        <f>IF($K855="","",INDEX(Zeiterfassung!$F$6:$F$3665,$K855))</f>
        <v/>
      </c>
      <c r="G855" s="187">
        <f>IF($K855="","",INDEX(Zeiterfassung!$G$6:$G$3665,$K855))</f>
        <v/>
      </c>
      <c r="H855" s="188">
        <f>IF($K855="","",INDEX(Zeiterfassung!$H$6:$H$3665,$K855))</f>
        <v/>
      </c>
      <c r="I855" s="335">
        <f>IF(B855=B854,"",IF($K855="","",INDEX(Zeiterfassung!$I$6:$I$3665,MATCH(INDEX(Zeiterfassung!$K$6:$K$3665,$K855),Zeiterfassung!$K$6:$K$3665,0))))</f>
        <v/>
      </c>
      <c r="J855" s="335">
        <f>IF(B855=B854,"",IF($K855="","",INDEX(Zeiterfassung!$J$6:$J$3665,MATCH(INDEX(Zeiterfassung!$K$6:$K$3665,$K855),Zeiterfassung!$K$6:$K$3665,0))))</f>
        <v/>
      </c>
      <c r="K855">
        <f>IFERROR(AGGREGATE(15,6,(ROW(Zeiterfassung!$D$6:$D$3665)-ROW(Zeiterfassung!$D$6)+1)/(Zeiterfassung!$D$6:$D$3665&lt;&gt;""),850),"")</f>
        <v/>
      </c>
    </row>
    <row r="856" ht="20" customHeight="1">
      <c r="A856" s="183">
        <f>IF($K856="","",WEEKNUM(INDEX(Zeiterfassung!$K$6:$K$3665,$K856),21))</f>
        <v/>
      </c>
      <c r="B856" s="184">
        <f>IF($K856="","",INDEX(Zeiterfassung!$K$6:$K$3665,$K856))</f>
        <v/>
      </c>
      <c r="C856" s="185">
        <f>IF($K856="","",INDEX(Zeiterfassung!$K$6:$K$3665,$K856))</f>
        <v/>
      </c>
      <c r="D856" s="186">
        <f>IF($K856="","",INDEX(Zeiterfassung!$D$6:$D$3665,$K856))</f>
        <v/>
      </c>
      <c r="E856" s="186">
        <f>IF($K856="","",INDEX(Zeiterfassung!$E$6:$E$3665,$K856))</f>
        <v/>
      </c>
      <c r="F856" s="187">
        <f>IF($K856="","",INDEX(Zeiterfassung!$F$6:$F$3665,$K856))</f>
        <v/>
      </c>
      <c r="G856" s="187">
        <f>IF($K856="","",INDEX(Zeiterfassung!$G$6:$G$3665,$K856))</f>
        <v/>
      </c>
      <c r="H856" s="188">
        <f>IF($K856="","",INDEX(Zeiterfassung!$H$6:$H$3665,$K856))</f>
        <v/>
      </c>
      <c r="I856" s="335">
        <f>IF(B856=B855,"",IF($K856="","",INDEX(Zeiterfassung!$I$6:$I$3665,MATCH(INDEX(Zeiterfassung!$K$6:$K$3665,$K856),Zeiterfassung!$K$6:$K$3665,0))))</f>
        <v/>
      </c>
      <c r="J856" s="335">
        <f>IF(B856=B855,"",IF($K856="","",INDEX(Zeiterfassung!$J$6:$J$3665,MATCH(INDEX(Zeiterfassung!$K$6:$K$3665,$K856),Zeiterfassung!$K$6:$K$3665,0))))</f>
        <v/>
      </c>
      <c r="K856">
        <f>IFERROR(AGGREGATE(15,6,(ROW(Zeiterfassung!$D$6:$D$3665)-ROW(Zeiterfassung!$D$6)+1)/(Zeiterfassung!$D$6:$D$3665&lt;&gt;""),851),"")</f>
        <v/>
      </c>
    </row>
    <row r="857" ht="20" customHeight="1">
      <c r="A857" s="183">
        <f>IF($K857="","",WEEKNUM(INDEX(Zeiterfassung!$K$6:$K$3665,$K857),21))</f>
        <v/>
      </c>
      <c r="B857" s="184">
        <f>IF($K857="","",INDEX(Zeiterfassung!$K$6:$K$3665,$K857))</f>
        <v/>
      </c>
      <c r="C857" s="185">
        <f>IF($K857="","",INDEX(Zeiterfassung!$K$6:$K$3665,$K857))</f>
        <v/>
      </c>
      <c r="D857" s="186">
        <f>IF($K857="","",INDEX(Zeiterfassung!$D$6:$D$3665,$K857))</f>
        <v/>
      </c>
      <c r="E857" s="186">
        <f>IF($K857="","",INDEX(Zeiterfassung!$E$6:$E$3665,$K857))</f>
        <v/>
      </c>
      <c r="F857" s="187">
        <f>IF($K857="","",INDEX(Zeiterfassung!$F$6:$F$3665,$K857))</f>
        <v/>
      </c>
      <c r="G857" s="187">
        <f>IF($K857="","",INDEX(Zeiterfassung!$G$6:$G$3665,$K857))</f>
        <v/>
      </c>
      <c r="H857" s="188">
        <f>IF($K857="","",INDEX(Zeiterfassung!$H$6:$H$3665,$K857))</f>
        <v/>
      </c>
      <c r="I857" s="335">
        <f>IF(B857=B856,"",IF($K857="","",INDEX(Zeiterfassung!$I$6:$I$3665,MATCH(INDEX(Zeiterfassung!$K$6:$K$3665,$K857),Zeiterfassung!$K$6:$K$3665,0))))</f>
        <v/>
      </c>
      <c r="J857" s="335">
        <f>IF(B857=B856,"",IF($K857="","",INDEX(Zeiterfassung!$J$6:$J$3665,MATCH(INDEX(Zeiterfassung!$K$6:$K$3665,$K857),Zeiterfassung!$K$6:$K$3665,0))))</f>
        <v/>
      </c>
      <c r="K857">
        <f>IFERROR(AGGREGATE(15,6,(ROW(Zeiterfassung!$D$6:$D$3665)-ROW(Zeiterfassung!$D$6)+1)/(Zeiterfassung!$D$6:$D$3665&lt;&gt;""),852),"")</f>
        <v/>
      </c>
    </row>
    <row r="858" ht="20" customHeight="1">
      <c r="A858" s="183">
        <f>IF($K858="","",WEEKNUM(INDEX(Zeiterfassung!$K$6:$K$3665,$K858),21))</f>
        <v/>
      </c>
      <c r="B858" s="184">
        <f>IF($K858="","",INDEX(Zeiterfassung!$K$6:$K$3665,$K858))</f>
        <v/>
      </c>
      <c r="C858" s="185">
        <f>IF($K858="","",INDEX(Zeiterfassung!$K$6:$K$3665,$K858))</f>
        <v/>
      </c>
      <c r="D858" s="186">
        <f>IF($K858="","",INDEX(Zeiterfassung!$D$6:$D$3665,$K858))</f>
        <v/>
      </c>
      <c r="E858" s="186">
        <f>IF($K858="","",INDEX(Zeiterfassung!$E$6:$E$3665,$K858))</f>
        <v/>
      </c>
      <c r="F858" s="187">
        <f>IF($K858="","",INDEX(Zeiterfassung!$F$6:$F$3665,$K858))</f>
        <v/>
      </c>
      <c r="G858" s="187">
        <f>IF($K858="","",INDEX(Zeiterfassung!$G$6:$G$3665,$K858))</f>
        <v/>
      </c>
      <c r="H858" s="188">
        <f>IF($K858="","",INDEX(Zeiterfassung!$H$6:$H$3665,$K858))</f>
        <v/>
      </c>
      <c r="I858" s="335">
        <f>IF(B858=B857,"",IF($K858="","",INDEX(Zeiterfassung!$I$6:$I$3665,MATCH(INDEX(Zeiterfassung!$K$6:$K$3665,$K858),Zeiterfassung!$K$6:$K$3665,0))))</f>
        <v/>
      </c>
      <c r="J858" s="335">
        <f>IF(B858=B857,"",IF($K858="","",INDEX(Zeiterfassung!$J$6:$J$3665,MATCH(INDEX(Zeiterfassung!$K$6:$K$3665,$K858),Zeiterfassung!$K$6:$K$3665,0))))</f>
        <v/>
      </c>
      <c r="K858">
        <f>IFERROR(AGGREGATE(15,6,(ROW(Zeiterfassung!$D$6:$D$3665)-ROW(Zeiterfassung!$D$6)+1)/(Zeiterfassung!$D$6:$D$3665&lt;&gt;""),853),"")</f>
        <v/>
      </c>
    </row>
    <row r="859" ht="20" customHeight="1">
      <c r="A859" s="183">
        <f>IF($K859="","",WEEKNUM(INDEX(Zeiterfassung!$K$6:$K$3665,$K859),21))</f>
        <v/>
      </c>
      <c r="B859" s="184">
        <f>IF($K859="","",INDEX(Zeiterfassung!$K$6:$K$3665,$K859))</f>
        <v/>
      </c>
      <c r="C859" s="185">
        <f>IF($K859="","",INDEX(Zeiterfassung!$K$6:$K$3665,$K859))</f>
        <v/>
      </c>
      <c r="D859" s="186">
        <f>IF($K859="","",INDEX(Zeiterfassung!$D$6:$D$3665,$K859))</f>
        <v/>
      </c>
      <c r="E859" s="186">
        <f>IF($K859="","",INDEX(Zeiterfassung!$E$6:$E$3665,$K859))</f>
        <v/>
      </c>
      <c r="F859" s="187">
        <f>IF($K859="","",INDEX(Zeiterfassung!$F$6:$F$3665,$K859))</f>
        <v/>
      </c>
      <c r="G859" s="187">
        <f>IF($K859="","",INDEX(Zeiterfassung!$G$6:$G$3665,$K859))</f>
        <v/>
      </c>
      <c r="H859" s="188">
        <f>IF($K859="","",INDEX(Zeiterfassung!$H$6:$H$3665,$K859))</f>
        <v/>
      </c>
      <c r="I859" s="335">
        <f>IF(B859=B858,"",IF($K859="","",INDEX(Zeiterfassung!$I$6:$I$3665,MATCH(INDEX(Zeiterfassung!$K$6:$K$3665,$K859),Zeiterfassung!$K$6:$K$3665,0))))</f>
        <v/>
      </c>
      <c r="J859" s="335">
        <f>IF(B859=B858,"",IF($K859="","",INDEX(Zeiterfassung!$J$6:$J$3665,MATCH(INDEX(Zeiterfassung!$K$6:$K$3665,$K859),Zeiterfassung!$K$6:$K$3665,0))))</f>
        <v/>
      </c>
      <c r="K859">
        <f>IFERROR(AGGREGATE(15,6,(ROW(Zeiterfassung!$D$6:$D$3665)-ROW(Zeiterfassung!$D$6)+1)/(Zeiterfassung!$D$6:$D$3665&lt;&gt;""),854),"")</f>
        <v/>
      </c>
    </row>
    <row r="860" ht="20" customHeight="1">
      <c r="A860" s="183">
        <f>IF($K860="","",WEEKNUM(INDEX(Zeiterfassung!$K$6:$K$3665,$K860),21))</f>
        <v/>
      </c>
      <c r="B860" s="184">
        <f>IF($K860="","",INDEX(Zeiterfassung!$K$6:$K$3665,$K860))</f>
        <v/>
      </c>
      <c r="C860" s="185">
        <f>IF($K860="","",INDEX(Zeiterfassung!$K$6:$K$3665,$K860))</f>
        <v/>
      </c>
      <c r="D860" s="186">
        <f>IF($K860="","",INDEX(Zeiterfassung!$D$6:$D$3665,$K860))</f>
        <v/>
      </c>
      <c r="E860" s="186">
        <f>IF($K860="","",INDEX(Zeiterfassung!$E$6:$E$3665,$K860))</f>
        <v/>
      </c>
      <c r="F860" s="187">
        <f>IF($K860="","",INDEX(Zeiterfassung!$F$6:$F$3665,$K860))</f>
        <v/>
      </c>
      <c r="G860" s="187">
        <f>IF($K860="","",INDEX(Zeiterfassung!$G$6:$G$3665,$K860))</f>
        <v/>
      </c>
      <c r="H860" s="188">
        <f>IF($K860="","",INDEX(Zeiterfassung!$H$6:$H$3665,$K860))</f>
        <v/>
      </c>
      <c r="I860" s="335">
        <f>IF(B860=B859,"",IF($K860="","",INDEX(Zeiterfassung!$I$6:$I$3665,MATCH(INDEX(Zeiterfassung!$K$6:$K$3665,$K860),Zeiterfassung!$K$6:$K$3665,0))))</f>
        <v/>
      </c>
      <c r="J860" s="335">
        <f>IF(B860=B859,"",IF($K860="","",INDEX(Zeiterfassung!$J$6:$J$3665,MATCH(INDEX(Zeiterfassung!$K$6:$K$3665,$K860),Zeiterfassung!$K$6:$K$3665,0))))</f>
        <v/>
      </c>
      <c r="K860">
        <f>IFERROR(AGGREGATE(15,6,(ROW(Zeiterfassung!$D$6:$D$3665)-ROW(Zeiterfassung!$D$6)+1)/(Zeiterfassung!$D$6:$D$3665&lt;&gt;""),855),"")</f>
        <v/>
      </c>
    </row>
    <row r="861" ht="20" customHeight="1">
      <c r="A861" s="183">
        <f>IF($K861="","",WEEKNUM(INDEX(Zeiterfassung!$K$6:$K$3665,$K861),21))</f>
        <v/>
      </c>
      <c r="B861" s="184">
        <f>IF($K861="","",INDEX(Zeiterfassung!$K$6:$K$3665,$K861))</f>
        <v/>
      </c>
      <c r="C861" s="185">
        <f>IF($K861="","",INDEX(Zeiterfassung!$K$6:$K$3665,$K861))</f>
        <v/>
      </c>
      <c r="D861" s="186">
        <f>IF($K861="","",INDEX(Zeiterfassung!$D$6:$D$3665,$K861))</f>
        <v/>
      </c>
      <c r="E861" s="186">
        <f>IF($K861="","",INDEX(Zeiterfassung!$E$6:$E$3665,$K861))</f>
        <v/>
      </c>
      <c r="F861" s="187">
        <f>IF($K861="","",INDEX(Zeiterfassung!$F$6:$F$3665,$K861))</f>
        <v/>
      </c>
      <c r="G861" s="187">
        <f>IF($K861="","",INDEX(Zeiterfassung!$G$6:$G$3665,$K861))</f>
        <v/>
      </c>
      <c r="H861" s="188">
        <f>IF($K861="","",INDEX(Zeiterfassung!$H$6:$H$3665,$K861))</f>
        <v/>
      </c>
      <c r="I861" s="335">
        <f>IF(B861=B860,"",IF($K861="","",INDEX(Zeiterfassung!$I$6:$I$3665,MATCH(INDEX(Zeiterfassung!$K$6:$K$3665,$K861),Zeiterfassung!$K$6:$K$3665,0))))</f>
        <v/>
      </c>
      <c r="J861" s="335">
        <f>IF(B861=B860,"",IF($K861="","",INDEX(Zeiterfassung!$J$6:$J$3665,MATCH(INDEX(Zeiterfassung!$K$6:$K$3665,$K861),Zeiterfassung!$K$6:$K$3665,0))))</f>
        <v/>
      </c>
      <c r="K861">
        <f>IFERROR(AGGREGATE(15,6,(ROW(Zeiterfassung!$D$6:$D$3665)-ROW(Zeiterfassung!$D$6)+1)/(Zeiterfassung!$D$6:$D$3665&lt;&gt;""),856),"")</f>
        <v/>
      </c>
    </row>
    <row r="862" ht="20" customHeight="1">
      <c r="A862" s="183">
        <f>IF($K862="","",WEEKNUM(INDEX(Zeiterfassung!$K$6:$K$3665,$K862),21))</f>
        <v/>
      </c>
      <c r="B862" s="184">
        <f>IF($K862="","",INDEX(Zeiterfassung!$K$6:$K$3665,$K862))</f>
        <v/>
      </c>
      <c r="C862" s="185">
        <f>IF($K862="","",INDEX(Zeiterfassung!$K$6:$K$3665,$K862))</f>
        <v/>
      </c>
      <c r="D862" s="186">
        <f>IF($K862="","",INDEX(Zeiterfassung!$D$6:$D$3665,$K862))</f>
        <v/>
      </c>
      <c r="E862" s="186">
        <f>IF($K862="","",INDEX(Zeiterfassung!$E$6:$E$3665,$K862))</f>
        <v/>
      </c>
      <c r="F862" s="187">
        <f>IF($K862="","",INDEX(Zeiterfassung!$F$6:$F$3665,$K862))</f>
        <v/>
      </c>
      <c r="G862" s="187">
        <f>IF($K862="","",INDEX(Zeiterfassung!$G$6:$G$3665,$K862))</f>
        <v/>
      </c>
      <c r="H862" s="188">
        <f>IF($K862="","",INDEX(Zeiterfassung!$H$6:$H$3665,$K862))</f>
        <v/>
      </c>
      <c r="I862" s="335">
        <f>IF(B862=B861,"",IF($K862="","",INDEX(Zeiterfassung!$I$6:$I$3665,MATCH(INDEX(Zeiterfassung!$K$6:$K$3665,$K862),Zeiterfassung!$K$6:$K$3665,0))))</f>
        <v/>
      </c>
      <c r="J862" s="335">
        <f>IF(B862=B861,"",IF($K862="","",INDEX(Zeiterfassung!$J$6:$J$3665,MATCH(INDEX(Zeiterfassung!$K$6:$K$3665,$K862),Zeiterfassung!$K$6:$K$3665,0))))</f>
        <v/>
      </c>
      <c r="K862">
        <f>IFERROR(AGGREGATE(15,6,(ROW(Zeiterfassung!$D$6:$D$3665)-ROW(Zeiterfassung!$D$6)+1)/(Zeiterfassung!$D$6:$D$3665&lt;&gt;""),857),"")</f>
        <v/>
      </c>
    </row>
    <row r="863" ht="20" customHeight="1">
      <c r="A863" s="183">
        <f>IF($K863="","",WEEKNUM(INDEX(Zeiterfassung!$K$6:$K$3665,$K863),21))</f>
        <v/>
      </c>
      <c r="B863" s="184">
        <f>IF($K863="","",INDEX(Zeiterfassung!$K$6:$K$3665,$K863))</f>
        <v/>
      </c>
      <c r="C863" s="185">
        <f>IF($K863="","",INDEX(Zeiterfassung!$K$6:$K$3665,$K863))</f>
        <v/>
      </c>
      <c r="D863" s="186">
        <f>IF($K863="","",INDEX(Zeiterfassung!$D$6:$D$3665,$K863))</f>
        <v/>
      </c>
      <c r="E863" s="186">
        <f>IF($K863="","",INDEX(Zeiterfassung!$E$6:$E$3665,$K863))</f>
        <v/>
      </c>
      <c r="F863" s="187">
        <f>IF($K863="","",INDEX(Zeiterfassung!$F$6:$F$3665,$K863))</f>
        <v/>
      </c>
      <c r="G863" s="187">
        <f>IF($K863="","",INDEX(Zeiterfassung!$G$6:$G$3665,$K863))</f>
        <v/>
      </c>
      <c r="H863" s="188">
        <f>IF($K863="","",INDEX(Zeiterfassung!$H$6:$H$3665,$K863))</f>
        <v/>
      </c>
      <c r="I863" s="335">
        <f>IF(B863=B862,"",IF($K863="","",INDEX(Zeiterfassung!$I$6:$I$3665,MATCH(INDEX(Zeiterfassung!$K$6:$K$3665,$K863),Zeiterfassung!$K$6:$K$3665,0))))</f>
        <v/>
      </c>
      <c r="J863" s="335">
        <f>IF(B863=B862,"",IF($K863="","",INDEX(Zeiterfassung!$J$6:$J$3665,MATCH(INDEX(Zeiterfassung!$K$6:$K$3665,$K863),Zeiterfassung!$K$6:$K$3665,0))))</f>
        <v/>
      </c>
      <c r="K863">
        <f>IFERROR(AGGREGATE(15,6,(ROW(Zeiterfassung!$D$6:$D$3665)-ROW(Zeiterfassung!$D$6)+1)/(Zeiterfassung!$D$6:$D$3665&lt;&gt;""),858),"")</f>
        <v/>
      </c>
    </row>
    <row r="864" ht="20" customHeight="1">
      <c r="A864" s="183">
        <f>IF($K864="","",WEEKNUM(INDEX(Zeiterfassung!$K$6:$K$3665,$K864),21))</f>
        <v/>
      </c>
      <c r="B864" s="184">
        <f>IF($K864="","",INDEX(Zeiterfassung!$K$6:$K$3665,$K864))</f>
        <v/>
      </c>
      <c r="C864" s="185">
        <f>IF($K864="","",INDEX(Zeiterfassung!$K$6:$K$3665,$K864))</f>
        <v/>
      </c>
      <c r="D864" s="186">
        <f>IF($K864="","",INDEX(Zeiterfassung!$D$6:$D$3665,$K864))</f>
        <v/>
      </c>
      <c r="E864" s="186">
        <f>IF($K864="","",INDEX(Zeiterfassung!$E$6:$E$3665,$K864))</f>
        <v/>
      </c>
      <c r="F864" s="187">
        <f>IF($K864="","",INDEX(Zeiterfassung!$F$6:$F$3665,$K864))</f>
        <v/>
      </c>
      <c r="G864" s="187">
        <f>IF($K864="","",INDEX(Zeiterfassung!$G$6:$G$3665,$K864))</f>
        <v/>
      </c>
      <c r="H864" s="188">
        <f>IF($K864="","",INDEX(Zeiterfassung!$H$6:$H$3665,$K864))</f>
        <v/>
      </c>
      <c r="I864" s="335">
        <f>IF(B864=B863,"",IF($K864="","",INDEX(Zeiterfassung!$I$6:$I$3665,MATCH(INDEX(Zeiterfassung!$K$6:$K$3665,$K864),Zeiterfassung!$K$6:$K$3665,0))))</f>
        <v/>
      </c>
      <c r="J864" s="335">
        <f>IF(B864=B863,"",IF($K864="","",INDEX(Zeiterfassung!$J$6:$J$3665,MATCH(INDEX(Zeiterfassung!$K$6:$K$3665,$K864),Zeiterfassung!$K$6:$K$3665,0))))</f>
        <v/>
      </c>
      <c r="K864">
        <f>IFERROR(AGGREGATE(15,6,(ROW(Zeiterfassung!$D$6:$D$3665)-ROW(Zeiterfassung!$D$6)+1)/(Zeiterfassung!$D$6:$D$3665&lt;&gt;""),859),"")</f>
        <v/>
      </c>
    </row>
    <row r="865" ht="20" customHeight="1">
      <c r="A865" s="183">
        <f>IF($K865="","",WEEKNUM(INDEX(Zeiterfassung!$K$6:$K$3665,$K865),21))</f>
        <v/>
      </c>
      <c r="B865" s="184">
        <f>IF($K865="","",INDEX(Zeiterfassung!$K$6:$K$3665,$K865))</f>
        <v/>
      </c>
      <c r="C865" s="185">
        <f>IF($K865="","",INDEX(Zeiterfassung!$K$6:$K$3665,$K865))</f>
        <v/>
      </c>
      <c r="D865" s="186">
        <f>IF($K865="","",INDEX(Zeiterfassung!$D$6:$D$3665,$K865))</f>
        <v/>
      </c>
      <c r="E865" s="186">
        <f>IF($K865="","",INDEX(Zeiterfassung!$E$6:$E$3665,$K865))</f>
        <v/>
      </c>
      <c r="F865" s="187">
        <f>IF($K865="","",INDEX(Zeiterfassung!$F$6:$F$3665,$K865))</f>
        <v/>
      </c>
      <c r="G865" s="187">
        <f>IF($K865="","",INDEX(Zeiterfassung!$G$6:$G$3665,$K865))</f>
        <v/>
      </c>
      <c r="H865" s="188">
        <f>IF($K865="","",INDEX(Zeiterfassung!$H$6:$H$3665,$K865))</f>
        <v/>
      </c>
      <c r="I865" s="335">
        <f>IF(B865=B864,"",IF($K865="","",INDEX(Zeiterfassung!$I$6:$I$3665,MATCH(INDEX(Zeiterfassung!$K$6:$K$3665,$K865),Zeiterfassung!$K$6:$K$3665,0))))</f>
        <v/>
      </c>
      <c r="J865" s="335">
        <f>IF(B865=B864,"",IF($K865="","",INDEX(Zeiterfassung!$J$6:$J$3665,MATCH(INDEX(Zeiterfassung!$K$6:$K$3665,$K865),Zeiterfassung!$K$6:$K$3665,0))))</f>
        <v/>
      </c>
      <c r="K865">
        <f>IFERROR(AGGREGATE(15,6,(ROW(Zeiterfassung!$D$6:$D$3665)-ROW(Zeiterfassung!$D$6)+1)/(Zeiterfassung!$D$6:$D$3665&lt;&gt;""),860),"")</f>
        <v/>
      </c>
    </row>
    <row r="866" ht="20" customHeight="1">
      <c r="A866" s="183">
        <f>IF($K866="","",WEEKNUM(INDEX(Zeiterfassung!$K$6:$K$3665,$K866),21))</f>
        <v/>
      </c>
      <c r="B866" s="184">
        <f>IF($K866="","",INDEX(Zeiterfassung!$K$6:$K$3665,$K866))</f>
        <v/>
      </c>
      <c r="C866" s="185">
        <f>IF($K866="","",INDEX(Zeiterfassung!$K$6:$K$3665,$K866))</f>
        <v/>
      </c>
      <c r="D866" s="186">
        <f>IF($K866="","",INDEX(Zeiterfassung!$D$6:$D$3665,$K866))</f>
        <v/>
      </c>
      <c r="E866" s="186">
        <f>IF($K866="","",INDEX(Zeiterfassung!$E$6:$E$3665,$K866))</f>
        <v/>
      </c>
      <c r="F866" s="187">
        <f>IF($K866="","",INDEX(Zeiterfassung!$F$6:$F$3665,$K866))</f>
        <v/>
      </c>
      <c r="G866" s="187">
        <f>IF($K866="","",INDEX(Zeiterfassung!$G$6:$G$3665,$K866))</f>
        <v/>
      </c>
      <c r="H866" s="188">
        <f>IF($K866="","",INDEX(Zeiterfassung!$H$6:$H$3665,$K866))</f>
        <v/>
      </c>
      <c r="I866" s="335">
        <f>IF(B866=B865,"",IF($K866="","",INDEX(Zeiterfassung!$I$6:$I$3665,MATCH(INDEX(Zeiterfassung!$K$6:$K$3665,$K866),Zeiterfassung!$K$6:$K$3665,0))))</f>
        <v/>
      </c>
      <c r="J866" s="335">
        <f>IF(B866=B865,"",IF($K866="","",INDEX(Zeiterfassung!$J$6:$J$3665,MATCH(INDEX(Zeiterfassung!$K$6:$K$3665,$K866),Zeiterfassung!$K$6:$K$3665,0))))</f>
        <v/>
      </c>
      <c r="K866">
        <f>IFERROR(AGGREGATE(15,6,(ROW(Zeiterfassung!$D$6:$D$3665)-ROW(Zeiterfassung!$D$6)+1)/(Zeiterfassung!$D$6:$D$3665&lt;&gt;""),861),"")</f>
        <v/>
      </c>
    </row>
    <row r="867" ht="20" customHeight="1">
      <c r="A867" s="183">
        <f>IF($K867="","",WEEKNUM(INDEX(Zeiterfassung!$K$6:$K$3665,$K867),21))</f>
        <v/>
      </c>
      <c r="B867" s="184">
        <f>IF($K867="","",INDEX(Zeiterfassung!$K$6:$K$3665,$K867))</f>
        <v/>
      </c>
      <c r="C867" s="185">
        <f>IF($K867="","",INDEX(Zeiterfassung!$K$6:$K$3665,$K867))</f>
        <v/>
      </c>
      <c r="D867" s="186">
        <f>IF($K867="","",INDEX(Zeiterfassung!$D$6:$D$3665,$K867))</f>
        <v/>
      </c>
      <c r="E867" s="186">
        <f>IF($K867="","",INDEX(Zeiterfassung!$E$6:$E$3665,$K867))</f>
        <v/>
      </c>
      <c r="F867" s="187">
        <f>IF($K867="","",INDEX(Zeiterfassung!$F$6:$F$3665,$K867))</f>
        <v/>
      </c>
      <c r="G867" s="187">
        <f>IF($K867="","",INDEX(Zeiterfassung!$G$6:$G$3665,$K867))</f>
        <v/>
      </c>
      <c r="H867" s="188">
        <f>IF($K867="","",INDEX(Zeiterfassung!$H$6:$H$3665,$K867))</f>
        <v/>
      </c>
      <c r="I867" s="335">
        <f>IF(B867=B866,"",IF($K867="","",INDEX(Zeiterfassung!$I$6:$I$3665,MATCH(INDEX(Zeiterfassung!$K$6:$K$3665,$K867),Zeiterfassung!$K$6:$K$3665,0))))</f>
        <v/>
      </c>
      <c r="J867" s="335">
        <f>IF(B867=B866,"",IF($K867="","",INDEX(Zeiterfassung!$J$6:$J$3665,MATCH(INDEX(Zeiterfassung!$K$6:$K$3665,$K867),Zeiterfassung!$K$6:$K$3665,0))))</f>
        <v/>
      </c>
      <c r="K867">
        <f>IFERROR(AGGREGATE(15,6,(ROW(Zeiterfassung!$D$6:$D$3665)-ROW(Zeiterfassung!$D$6)+1)/(Zeiterfassung!$D$6:$D$3665&lt;&gt;""),862),"")</f>
        <v/>
      </c>
    </row>
    <row r="868" ht="20" customHeight="1">
      <c r="A868" s="183">
        <f>IF($K868="","",WEEKNUM(INDEX(Zeiterfassung!$K$6:$K$3665,$K868),21))</f>
        <v/>
      </c>
      <c r="B868" s="184">
        <f>IF($K868="","",INDEX(Zeiterfassung!$K$6:$K$3665,$K868))</f>
        <v/>
      </c>
      <c r="C868" s="185">
        <f>IF($K868="","",INDEX(Zeiterfassung!$K$6:$K$3665,$K868))</f>
        <v/>
      </c>
      <c r="D868" s="186">
        <f>IF($K868="","",INDEX(Zeiterfassung!$D$6:$D$3665,$K868))</f>
        <v/>
      </c>
      <c r="E868" s="186">
        <f>IF($K868="","",INDEX(Zeiterfassung!$E$6:$E$3665,$K868))</f>
        <v/>
      </c>
      <c r="F868" s="187">
        <f>IF($K868="","",INDEX(Zeiterfassung!$F$6:$F$3665,$K868))</f>
        <v/>
      </c>
      <c r="G868" s="187">
        <f>IF($K868="","",INDEX(Zeiterfassung!$G$6:$G$3665,$K868))</f>
        <v/>
      </c>
      <c r="H868" s="188">
        <f>IF($K868="","",INDEX(Zeiterfassung!$H$6:$H$3665,$K868))</f>
        <v/>
      </c>
      <c r="I868" s="335">
        <f>IF(B868=B867,"",IF($K868="","",INDEX(Zeiterfassung!$I$6:$I$3665,MATCH(INDEX(Zeiterfassung!$K$6:$K$3665,$K868),Zeiterfassung!$K$6:$K$3665,0))))</f>
        <v/>
      </c>
      <c r="J868" s="335">
        <f>IF(B868=B867,"",IF($K868="","",INDEX(Zeiterfassung!$J$6:$J$3665,MATCH(INDEX(Zeiterfassung!$K$6:$K$3665,$K868),Zeiterfassung!$K$6:$K$3665,0))))</f>
        <v/>
      </c>
      <c r="K868">
        <f>IFERROR(AGGREGATE(15,6,(ROW(Zeiterfassung!$D$6:$D$3665)-ROW(Zeiterfassung!$D$6)+1)/(Zeiterfassung!$D$6:$D$3665&lt;&gt;""),863),"")</f>
        <v/>
      </c>
    </row>
    <row r="869" ht="20" customHeight="1">
      <c r="A869" s="183">
        <f>IF($K869="","",WEEKNUM(INDEX(Zeiterfassung!$K$6:$K$3665,$K869),21))</f>
        <v/>
      </c>
      <c r="B869" s="184">
        <f>IF($K869="","",INDEX(Zeiterfassung!$K$6:$K$3665,$K869))</f>
        <v/>
      </c>
      <c r="C869" s="185">
        <f>IF($K869="","",INDEX(Zeiterfassung!$K$6:$K$3665,$K869))</f>
        <v/>
      </c>
      <c r="D869" s="186">
        <f>IF($K869="","",INDEX(Zeiterfassung!$D$6:$D$3665,$K869))</f>
        <v/>
      </c>
      <c r="E869" s="186">
        <f>IF($K869="","",INDEX(Zeiterfassung!$E$6:$E$3665,$K869))</f>
        <v/>
      </c>
      <c r="F869" s="187">
        <f>IF($K869="","",INDEX(Zeiterfassung!$F$6:$F$3665,$K869))</f>
        <v/>
      </c>
      <c r="G869" s="187">
        <f>IF($K869="","",INDEX(Zeiterfassung!$G$6:$G$3665,$K869))</f>
        <v/>
      </c>
      <c r="H869" s="188">
        <f>IF($K869="","",INDEX(Zeiterfassung!$H$6:$H$3665,$K869))</f>
        <v/>
      </c>
      <c r="I869" s="335">
        <f>IF(B869=B868,"",IF($K869="","",INDEX(Zeiterfassung!$I$6:$I$3665,MATCH(INDEX(Zeiterfassung!$K$6:$K$3665,$K869),Zeiterfassung!$K$6:$K$3665,0))))</f>
        <v/>
      </c>
      <c r="J869" s="335">
        <f>IF(B869=B868,"",IF($K869="","",INDEX(Zeiterfassung!$J$6:$J$3665,MATCH(INDEX(Zeiterfassung!$K$6:$K$3665,$K869),Zeiterfassung!$K$6:$K$3665,0))))</f>
        <v/>
      </c>
      <c r="K869">
        <f>IFERROR(AGGREGATE(15,6,(ROW(Zeiterfassung!$D$6:$D$3665)-ROW(Zeiterfassung!$D$6)+1)/(Zeiterfassung!$D$6:$D$3665&lt;&gt;""),864),"")</f>
        <v/>
      </c>
    </row>
    <row r="870" ht="20" customHeight="1">
      <c r="A870" s="183">
        <f>IF($K870="","",WEEKNUM(INDEX(Zeiterfassung!$K$6:$K$3665,$K870),21))</f>
        <v/>
      </c>
      <c r="B870" s="184">
        <f>IF($K870="","",INDEX(Zeiterfassung!$K$6:$K$3665,$K870))</f>
        <v/>
      </c>
      <c r="C870" s="185">
        <f>IF($K870="","",INDEX(Zeiterfassung!$K$6:$K$3665,$K870))</f>
        <v/>
      </c>
      <c r="D870" s="186">
        <f>IF($K870="","",INDEX(Zeiterfassung!$D$6:$D$3665,$K870))</f>
        <v/>
      </c>
      <c r="E870" s="186">
        <f>IF($K870="","",INDEX(Zeiterfassung!$E$6:$E$3665,$K870))</f>
        <v/>
      </c>
      <c r="F870" s="187">
        <f>IF($K870="","",INDEX(Zeiterfassung!$F$6:$F$3665,$K870))</f>
        <v/>
      </c>
      <c r="G870" s="187">
        <f>IF($K870="","",INDEX(Zeiterfassung!$G$6:$G$3665,$K870))</f>
        <v/>
      </c>
      <c r="H870" s="188">
        <f>IF($K870="","",INDEX(Zeiterfassung!$H$6:$H$3665,$K870))</f>
        <v/>
      </c>
      <c r="I870" s="335">
        <f>IF(B870=B869,"",IF($K870="","",INDEX(Zeiterfassung!$I$6:$I$3665,MATCH(INDEX(Zeiterfassung!$K$6:$K$3665,$K870),Zeiterfassung!$K$6:$K$3665,0))))</f>
        <v/>
      </c>
      <c r="J870" s="335">
        <f>IF(B870=B869,"",IF($K870="","",INDEX(Zeiterfassung!$J$6:$J$3665,MATCH(INDEX(Zeiterfassung!$K$6:$K$3665,$K870),Zeiterfassung!$K$6:$K$3665,0))))</f>
        <v/>
      </c>
      <c r="K870">
        <f>IFERROR(AGGREGATE(15,6,(ROW(Zeiterfassung!$D$6:$D$3665)-ROW(Zeiterfassung!$D$6)+1)/(Zeiterfassung!$D$6:$D$3665&lt;&gt;""),865),"")</f>
        <v/>
      </c>
    </row>
    <row r="871" ht="20" customHeight="1">
      <c r="A871" s="183">
        <f>IF($K871="","",WEEKNUM(INDEX(Zeiterfassung!$K$6:$K$3665,$K871),21))</f>
        <v/>
      </c>
      <c r="B871" s="184">
        <f>IF($K871="","",INDEX(Zeiterfassung!$K$6:$K$3665,$K871))</f>
        <v/>
      </c>
      <c r="C871" s="185">
        <f>IF($K871="","",INDEX(Zeiterfassung!$K$6:$K$3665,$K871))</f>
        <v/>
      </c>
      <c r="D871" s="186">
        <f>IF($K871="","",INDEX(Zeiterfassung!$D$6:$D$3665,$K871))</f>
        <v/>
      </c>
      <c r="E871" s="186">
        <f>IF($K871="","",INDEX(Zeiterfassung!$E$6:$E$3665,$K871))</f>
        <v/>
      </c>
      <c r="F871" s="187">
        <f>IF($K871="","",INDEX(Zeiterfassung!$F$6:$F$3665,$K871))</f>
        <v/>
      </c>
      <c r="G871" s="187">
        <f>IF($K871="","",INDEX(Zeiterfassung!$G$6:$G$3665,$K871))</f>
        <v/>
      </c>
      <c r="H871" s="188">
        <f>IF($K871="","",INDEX(Zeiterfassung!$H$6:$H$3665,$K871))</f>
        <v/>
      </c>
      <c r="I871" s="335">
        <f>IF(B871=B870,"",IF($K871="","",INDEX(Zeiterfassung!$I$6:$I$3665,MATCH(INDEX(Zeiterfassung!$K$6:$K$3665,$K871),Zeiterfassung!$K$6:$K$3665,0))))</f>
        <v/>
      </c>
      <c r="J871" s="335">
        <f>IF(B871=B870,"",IF($K871="","",INDEX(Zeiterfassung!$J$6:$J$3665,MATCH(INDEX(Zeiterfassung!$K$6:$K$3665,$K871),Zeiterfassung!$K$6:$K$3665,0))))</f>
        <v/>
      </c>
      <c r="K871">
        <f>IFERROR(AGGREGATE(15,6,(ROW(Zeiterfassung!$D$6:$D$3665)-ROW(Zeiterfassung!$D$6)+1)/(Zeiterfassung!$D$6:$D$3665&lt;&gt;""),866),"")</f>
        <v/>
      </c>
    </row>
    <row r="872" ht="20" customHeight="1">
      <c r="A872" s="183">
        <f>IF($K872="","",WEEKNUM(INDEX(Zeiterfassung!$K$6:$K$3665,$K872),21))</f>
        <v/>
      </c>
      <c r="B872" s="184">
        <f>IF($K872="","",INDEX(Zeiterfassung!$K$6:$K$3665,$K872))</f>
        <v/>
      </c>
      <c r="C872" s="185">
        <f>IF($K872="","",INDEX(Zeiterfassung!$K$6:$K$3665,$K872))</f>
        <v/>
      </c>
      <c r="D872" s="186">
        <f>IF($K872="","",INDEX(Zeiterfassung!$D$6:$D$3665,$K872))</f>
        <v/>
      </c>
      <c r="E872" s="186">
        <f>IF($K872="","",INDEX(Zeiterfassung!$E$6:$E$3665,$K872))</f>
        <v/>
      </c>
      <c r="F872" s="187">
        <f>IF($K872="","",INDEX(Zeiterfassung!$F$6:$F$3665,$K872))</f>
        <v/>
      </c>
      <c r="G872" s="187">
        <f>IF($K872="","",INDEX(Zeiterfassung!$G$6:$G$3665,$K872))</f>
        <v/>
      </c>
      <c r="H872" s="188">
        <f>IF($K872="","",INDEX(Zeiterfassung!$H$6:$H$3665,$K872))</f>
        <v/>
      </c>
      <c r="I872" s="335">
        <f>IF(B872=B871,"",IF($K872="","",INDEX(Zeiterfassung!$I$6:$I$3665,MATCH(INDEX(Zeiterfassung!$K$6:$K$3665,$K872),Zeiterfassung!$K$6:$K$3665,0))))</f>
        <v/>
      </c>
      <c r="J872" s="335">
        <f>IF(B872=B871,"",IF($K872="","",INDEX(Zeiterfassung!$J$6:$J$3665,MATCH(INDEX(Zeiterfassung!$K$6:$K$3665,$K872),Zeiterfassung!$K$6:$K$3665,0))))</f>
        <v/>
      </c>
      <c r="K872">
        <f>IFERROR(AGGREGATE(15,6,(ROW(Zeiterfassung!$D$6:$D$3665)-ROW(Zeiterfassung!$D$6)+1)/(Zeiterfassung!$D$6:$D$3665&lt;&gt;""),867),"")</f>
        <v/>
      </c>
    </row>
    <row r="873" ht="20" customHeight="1">
      <c r="A873" s="183">
        <f>IF($K873="","",WEEKNUM(INDEX(Zeiterfassung!$K$6:$K$3665,$K873),21))</f>
        <v/>
      </c>
      <c r="B873" s="184">
        <f>IF($K873="","",INDEX(Zeiterfassung!$K$6:$K$3665,$K873))</f>
        <v/>
      </c>
      <c r="C873" s="185">
        <f>IF($K873="","",INDEX(Zeiterfassung!$K$6:$K$3665,$K873))</f>
        <v/>
      </c>
      <c r="D873" s="186">
        <f>IF($K873="","",INDEX(Zeiterfassung!$D$6:$D$3665,$K873))</f>
        <v/>
      </c>
      <c r="E873" s="186">
        <f>IF($K873="","",INDEX(Zeiterfassung!$E$6:$E$3665,$K873))</f>
        <v/>
      </c>
      <c r="F873" s="187">
        <f>IF($K873="","",INDEX(Zeiterfassung!$F$6:$F$3665,$K873))</f>
        <v/>
      </c>
      <c r="G873" s="187">
        <f>IF($K873="","",INDEX(Zeiterfassung!$G$6:$G$3665,$K873))</f>
        <v/>
      </c>
      <c r="H873" s="188">
        <f>IF($K873="","",INDEX(Zeiterfassung!$H$6:$H$3665,$K873))</f>
        <v/>
      </c>
      <c r="I873" s="335">
        <f>IF(B873=B872,"",IF($K873="","",INDEX(Zeiterfassung!$I$6:$I$3665,MATCH(INDEX(Zeiterfassung!$K$6:$K$3665,$K873),Zeiterfassung!$K$6:$K$3665,0))))</f>
        <v/>
      </c>
      <c r="J873" s="335">
        <f>IF(B873=B872,"",IF($K873="","",INDEX(Zeiterfassung!$J$6:$J$3665,MATCH(INDEX(Zeiterfassung!$K$6:$K$3665,$K873),Zeiterfassung!$K$6:$K$3665,0))))</f>
        <v/>
      </c>
      <c r="K873">
        <f>IFERROR(AGGREGATE(15,6,(ROW(Zeiterfassung!$D$6:$D$3665)-ROW(Zeiterfassung!$D$6)+1)/(Zeiterfassung!$D$6:$D$3665&lt;&gt;""),868),"")</f>
        <v/>
      </c>
    </row>
    <row r="874" ht="20" customHeight="1">
      <c r="A874" s="183">
        <f>IF($K874="","",WEEKNUM(INDEX(Zeiterfassung!$K$6:$K$3665,$K874),21))</f>
        <v/>
      </c>
      <c r="B874" s="184">
        <f>IF($K874="","",INDEX(Zeiterfassung!$K$6:$K$3665,$K874))</f>
        <v/>
      </c>
      <c r="C874" s="185">
        <f>IF($K874="","",INDEX(Zeiterfassung!$K$6:$K$3665,$K874))</f>
        <v/>
      </c>
      <c r="D874" s="186">
        <f>IF($K874="","",INDEX(Zeiterfassung!$D$6:$D$3665,$K874))</f>
        <v/>
      </c>
      <c r="E874" s="186">
        <f>IF($K874="","",INDEX(Zeiterfassung!$E$6:$E$3665,$K874))</f>
        <v/>
      </c>
      <c r="F874" s="187">
        <f>IF($K874="","",INDEX(Zeiterfassung!$F$6:$F$3665,$K874))</f>
        <v/>
      </c>
      <c r="G874" s="187">
        <f>IF($K874="","",INDEX(Zeiterfassung!$G$6:$G$3665,$K874))</f>
        <v/>
      </c>
      <c r="H874" s="188">
        <f>IF($K874="","",INDEX(Zeiterfassung!$H$6:$H$3665,$K874))</f>
        <v/>
      </c>
      <c r="I874" s="335">
        <f>IF(B874=B873,"",IF($K874="","",INDEX(Zeiterfassung!$I$6:$I$3665,MATCH(INDEX(Zeiterfassung!$K$6:$K$3665,$K874),Zeiterfassung!$K$6:$K$3665,0))))</f>
        <v/>
      </c>
      <c r="J874" s="335">
        <f>IF(B874=B873,"",IF($K874="","",INDEX(Zeiterfassung!$J$6:$J$3665,MATCH(INDEX(Zeiterfassung!$K$6:$K$3665,$K874),Zeiterfassung!$K$6:$K$3665,0))))</f>
        <v/>
      </c>
      <c r="K874">
        <f>IFERROR(AGGREGATE(15,6,(ROW(Zeiterfassung!$D$6:$D$3665)-ROW(Zeiterfassung!$D$6)+1)/(Zeiterfassung!$D$6:$D$3665&lt;&gt;""),869),"")</f>
        <v/>
      </c>
    </row>
    <row r="875" ht="20" customHeight="1">
      <c r="A875" s="183">
        <f>IF($K875="","",WEEKNUM(INDEX(Zeiterfassung!$K$6:$K$3665,$K875),21))</f>
        <v/>
      </c>
      <c r="B875" s="184">
        <f>IF($K875="","",INDEX(Zeiterfassung!$K$6:$K$3665,$K875))</f>
        <v/>
      </c>
      <c r="C875" s="185">
        <f>IF($K875="","",INDEX(Zeiterfassung!$K$6:$K$3665,$K875))</f>
        <v/>
      </c>
      <c r="D875" s="186">
        <f>IF($K875="","",INDEX(Zeiterfassung!$D$6:$D$3665,$K875))</f>
        <v/>
      </c>
      <c r="E875" s="186">
        <f>IF($K875="","",INDEX(Zeiterfassung!$E$6:$E$3665,$K875))</f>
        <v/>
      </c>
      <c r="F875" s="187">
        <f>IF($K875="","",INDEX(Zeiterfassung!$F$6:$F$3665,$K875))</f>
        <v/>
      </c>
      <c r="G875" s="187">
        <f>IF($K875="","",INDEX(Zeiterfassung!$G$6:$G$3665,$K875))</f>
        <v/>
      </c>
      <c r="H875" s="188">
        <f>IF($K875="","",INDEX(Zeiterfassung!$H$6:$H$3665,$K875))</f>
        <v/>
      </c>
      <c r="I875" s="335">
        <f>IF(B875=B874,"",IF($K875="","",INDEX(Zeiterfassung!$I$6:$I$3665,MATCH(INDEX(Zeiterfassung!$K$6:$K$3665,$K875),Zeiterfassung!$K$6:$K$3665,0))))</f>
        <v/>
      </c>
      <c r="J875" s="335">
        <f>IF(B875=B874,"",IF($K875="","",INDEX(Zeiterfassung!$J$6:$J$3665,MATCH(INDEX(Zeiterfassung!$K$6:$K$3665,$K875),Zeiterfassung!$K$6:$K$3665,0))))</f>
        <v/>
      </c>
      <c r="K875">
        <f>IFERROR(AGGREGATE(15,6,(ROW(Zeiterfassung!$D$6:$D$3665)-ROW(Zeiterfassung!$D$6)+1)/(Zeiterfassung!$D$6:$D$3665&lt;&gt;""),870),"")</f>
        <v/>
      </c>
    </row>
    <row r="876" ht="20" customHeight="1">
      <c r="A876" s="183">
        <f>IF($K876="","",WEEKNUM(INDEX(Zeiterfassung!$K$6:$K$3665,$K876),21))</f>
        <v/>
      </c>
      <c r="B876" s="184">
        <f>IF($K876="","",INDEX(Zeiterfassung!$K$6:$K$3665,$K876))</f>
        <v/>
      </c>
      <c r="C876" s="185">
        <f>IF($K876="","",INDEX(Zeiterfassung!$K$6:$K$3665,$K876))</f>
        <v/>
      </c>
      <c r="D876" s="186">
        <f>IF($K876="","",INDEX(Zeiterfassung!$D$6:$D$3665,$K876))</f>
        <v/>
      </c>
      <c r="E876" s="186">
        <f>IF($K876="","",INDEX(Zeiterfassung!$E$6:$E$3665,$K876))</f>
        <v/>
      </c>
      <c r="F876" s="187">
        <f>IF($K876="","",INDEX(Zeiterfassung!$F$6:$F$3665,$K876))</f>
        <v/>
      </c>
      <c r="G876" s="187">
        <f>IF($K876="","",INDEX(Zeiterfassung!$G$6:$G$3665,$K876))</f>
        <v/>
      </c>
      <c r="H876" s="188">
        <f>IF($K876="","",INDEX(Zeiterfassung!$H$6:$H$3665,$K876))</f>
        <v/>
      </c>
      <c r="I876" s="335">
        <f>IF(B876=B875,"",IF($K876="","",INDEX(Zeiterfassung!$I$6:$I$3665,MATCH(INDEX(Zeiterfassung!$K$6:$K$3665,$K876),Zeiterfassung!$K$6:$K$3665,0))))</f>
        <v/>
      </c>
      <c r="J876" s="335">
        <f>IF(B876=B875,"",IF($K876="","",INDEX(Zeiterfassung!$J$6:$J$3665,MATCH(INDEX(Zeiterfassung!$K$6:$K$3665,$K876),Zeiterfassung!$K$6:$K$3665,0))))</f>
        <v/>
      </c>
      <c r="K876">
        <f>IFERROR(AGGREGATE(15,6,(ROW(Zeiterfassung!$D$6:$D$3665)-ROW(Zeiterfassung!$D$6)+1)/(Zeiterfassung!$D$6:$D$3665&lt;&gt;""),871),"")</f>
        <v/>
      </c>
    </row>
    <row r="877" ht="20" customHeight="1">
      <c r="A877" s="183">
        <f>IF($K877="","",WEEKNUM(INDEX(Zeiterfassung!$K$6:$K$3665,$K877),21))</f>
        <v/>
      </c>
      <c r="B877" s="184">
        <f>IF($K877="","",INDEX(Zeiterfassung!$K$6:$K$3665,$K877))</f>
        <v/>
      </c>
      <c r="C877" s="185">
        <f>IF($K877="","",INDEX(Zeiterfassung!$K$6:$K$3665,$K877))</f>
        <v/>
      </c>
      <c r="D877" s="186">
        <f>IF($K877="","",INDEX(Zeiterfassung!$D$6:$D$3665,$K877))</f>
        <v/>
      </c>
      <c r="E877" s="186">
        <f>IF($K877="","",INDEX(Zeiterfassung!$E$6:$E$3665,$K877))</f>
        <v/>
      </c>
      <c r="F877" s="187">
        <f>IF($K877="","",INDEX(Zeiterfassung!$F$6:$F$3665,$K877))</f>
        <v/>
      </c>
      <c r="G877" s="187">
        <f>IF($K877="","",INDEX(Zeiterfassung!$G$6:$G$3665,$K877))</f>
        <v/>
      </c>
      <c r="H877" s="188">
        <f>IF($K877="","",INDEX(Zeiterfassung!$H$6:$H$3665,$K877))</f>
        <v/>
      </c>
      <c r="I877" s="335">
        <f>IF(B877=B876,"",IF($K877="","",INDEX(Zeiterfassung!$I$6:$I$3665,MATCH(INDEX(Zeiterfassung!$K$6:$K$3665,$K877),Zeiterfassung!$K$6:$K$3665,0))))</f>
        <v/>
      </c>
      <c r="J877" s="335">
        <f>IF(B877=B876,"",IF($K877="","",INDEX(Zeiterfassung!$J$6:$J$3665,MATCH(INDEX(Zeiterfassung!$K$6:$K$3665,$K877),Zeiterfassung!$K$6:$K$3665,0))))</f>
        <v/>
      </c>
      <c r="K877">
        <f>IFERROR(AGGREGATE(15,6,(ROW(Zeiterfassung!$D$6:$D$3665)-ROW(Zeiterfassung!$D$6)+1)/(Zeiterfassung!$D$6:$D$3665&lt;&gt;""),872),"")</f>
        <v/>
      </c>
    </row>
    <row r="878" ht="20" customHeight="1">
      <c r="A878" s="183">
        <f>IF($K878="","",WEEKNUM(INDEX(Zeiterfassung!$K$6:$K$3665,$K878),21))</f>
        <v/>
      </c>
      <c r="B878" s="184">
        <f>IF($K878="","",INDEX(Zeiterfassung!$K$6:$K$3665,$K878))</f>
        <v/>
      </c>
      <c r="C878" s="185">
        <f>IF($K878="","",INDEX(Zeiterfassung!$K$6:$K$3665,$K878))</f>
        <v/>
      </c>
      <c r="D878" s="186">
        <f>IF($K878="","",INDEX(Zeiterfassung!$D$6:$D$3665,$K878))</f>
        <v/>
      </c>
      <c r="E878" s="186">
        <f>IF($K878="","",INDEX(Zeiterfassung!$E$6:$E$3665,$K878))</f>
        <v/>
      </c>
      <c r="F878" s="187">
        <f>IF($K878="","",INDEX(Zeiterfassung!$F$6:$F$3665,$K878))</f>
        <v/>
      </c>
      <c r="G878" s="187">
        <f>IF($K878="","",INDEX(Zeiterfassung!$G$6:$G$3665,$K878))</f>
        <v/>
      </c>
      <c r="H878" s="188">
        <f>IF($K878="","",INDEX(Zeiterfassung!$H$6:$H$3665,$K878))</f>
        <v/>
      </c>
      <c r="I878" s="335">
        <f>IF(B878=B877,"",IF($K878="","",INDEX(Zeiterfassung!$I$6:$I$3665,MATCH(INDEX(Zeiterfassung!$K$6:$K$3665,$K878),Zeiterfassung!$K$6:$K$3665,0))))</f>
        <v/>
      </c>
      <c r="J878" s="335">
        <f>IF(B878=B877,"",IF($K878="","",INDEX(Zeiterfassung!$J$6:$J$3665,MATCH(INDEX(Zeiterfassung!$K$6:$K$3665,$K878),Zeiterfassung!$K$6:$K$3665,0))))</f>
        <v/>
      </c>
      <c r="K878">
        <f>IFERROR(AGGREGATE(15,6,(ROW(Zeiterfassung!$D$6:$D$3665)-ROW(Zeiterfassung!$D$6)+1)/(Zeiterfassung!$D$6:$D$3665&lt;&gt;""),873),"")</f>
        <v/>
      </c>
    </row>
    <row r="879" ht="20" customHeight="1">
      <c r="A879" s="183">
        <f>IF($K879="","",WEEKNUM(INDEX(Zeiterfassung!$K$6:$K$3665,$K879),21))</f>
        <v/>
      </c>
      <c r="B879" s="184">
        <f>IF($K879="","",INDEX(Zeiterfassung!$K$6:$K$3665,$K879))</f>
        <v/>
      </c>
      <c r="C879" s="185">
        <f>IF($K879="","",INDEX(Zeiterfassung!$K$6:$K$3665,$K879))</f>
        <v/>
      </c>
      <c r="D879" s="186">
        <f>IF($K879="","",INDEX(Zeiterfassung!$D$6:$D$3665,$K879))</f>
        <v/>
      </c>
      <c r="E879" s="186">
        <f>IF($K879="","",INDEX(Zeiterfassung!$E$6:$E$3665,$K879))</f>
        <v/>
      </c>
      <c r="F879" s="187">
        <f>IF($K879="","",INDEX(Zeiterfassung!$F$6:$F$3665,$K879))</f>
        <v/>
      </c>
      <c r="G879" s="187">
        <f>IF($K879="","",INDEX(Zeiterfassung!$G$6:$G$3665,$K879))</f>
        <v/>
      </c>
      <c r="H879" s="188">
        <f>IF($K879="","",INDEX(Zeiterfassung!$H$6:$H$3665,$K879))</f>
        <v/>
      </c>
      <c r="I879" s="335">
        <f>IF(B879=B878,"",IF($K879="","",INDEX(Zeiterfassung!$I$6:$I$3665,MATCH(INDEX(Zeiterfassung!$K$6:$K$3665,$K879),Zeiterfassung!$K$6:$K$3665,0))))</f>
        <v/>
      </c>
      <c r="J879" s="335">
        <f>IF(B879=B878,"",IF($K879="","",INDEX(Zeiterfassung!$J$6:$J$3665,MATCH(INDEX(Zeiterfassung!$K$6:$K$3665,$K879),Zeiterfassung!$K$6:$K$3665,0))))</f>
        <v/>
      </c>
      <c r="K879">
        <f>IFERROR(AGGREGATE(15,6,(ROW(Zeiterfassung!$D$6:$D$3665)-ROW(Zeiterfassung!$D$6)+1)/(Zeiterfassung!$D$6:$D$3665&lt;&gt;""),874),"")</f>
        <v/>
      </c>
    </row>
    <row r="880" ht="20" customHeight="1">
      <c r="A880" s="183">
        <f>IF($K880="","",WEEKNUM(INDEX(Zeiterfassung!$K$6:$K$3665,$K880),21))</f>
        <v/>
      </c>
      <c r="B880" s="184">
        <f>IF($K880="","",INDEX(Zeiterfassung!$K$6:$K$3665,$K880))</f>
        <v/>
      </c>
      <c r="C880" s="185">
        <f>IF($K880="","",INDEX(Zeiterfassung!$K$6:$K$3665,$K880))</f>
        <v/>
      </c>
      <c r="D880" s="186">
        <f>IF($K880="","",INDEX(Zeiterfassung!$D$6:$D$3665,$K880))</f>
        <v/>
      </c>
      <c r="E880" s="186">
        <f>IF($K880="","",INDEX(Zeiterfassung!$E$6:$E$3665,$K880))</f>
        <v/>
      </c>
      <c r="F880" s="187">
        <f>IF($K880="","",INDEX(Zeiterfassung!$F$6:$F$3665,$K880))</f>
        <v/>
      </c>
      <c r="G880" s="187">
        <f>IF($K880="","",INDEX(Zeiterfassung!$G$6:$G$3665,$K880))</f>
        <v/>
      </c>
      <c r="H880" s="188">
        <f>IF($K880="","",INDEX(Zeiterfassung!$H$6:$H$3665,$K880))</f>
        <v/>
      </c>
      <c r="I880" s="335">
        <f>IF(B880=B879,"",IF($K880="","",INDEX(Zeiterfassung!$I$6:$I$3665,MATCH(INDEX(Zeiterfassung!$K$6:$K$3665,$K880),Zeiterfassung!$K$6:$K$3665,0))))</f>
        <v/>
      </c>
      <c r="J880" s="335">
        <f>IF(B880=B879,"",IF($K880="","",INDEX(Zeiterfassung!$J$6:$J$3665,MATCH(INDEX(Zeiterfassung!$K$6:$K$3665,$K880),Zeiterfassung!$K$6:$K$3665,0))))</f>
        <v/>
      </c>
      <c r="K880">
        <f>IFERROR(AGGREGATE(15,6,(ROW(Zeiterfassung!$D$6:$D$3665)-ROW(Zeiterfassung!$D$6)+1)/(Zeiterfassung!$D$6:$D$3665&lt;&gt;""),875),"")</f>
        <v/>
      </c>
    </row>
    <row r="881" ht="20" customHeight="1">
      <c r="A881" s="183">
        <f>IF($K881="","",WEEKNUM(INDEX(Zeiterfassung!$K$6:$K$3665,$K881),21))</f>
        <v/>
      </c>
      <c r="B881" s="184">
        <f>IF($K881="","",INDEX(Zeiterfassung!$K$6:$K$3665,$K881))</f>
        <v/>
      </c>
      <c r="C881" s="185">
        <f>IF($K881="","",INDEX(Zeiterfassung!$K$6:$K$3665,$K881))</f>
        <v/>
      </c>
      <c r="D881" s="186">
        <f>IF($K881="","",INDEX(Zeiterfassung!$D$6:$D$3665,$K881))</f>
        <v/>
      </c>
      <c r="E881" s="186">
        <f>IF($K881="","",INDEX(Zeiterfassung!$E$6:$E$3665,$K881))</f>
        <v/>
      </c>
      <c r="F881" s="187">
        <f>IF($K881="","",INDEX(Zeiterfassung!$F$6:$F$3665,$K881))</f>
        <v/>
      </c>
      <c r="G881" s="187">
        <f>IF($K881="","",INDEX(Zeiterfassung!$G$6:$G$3665,$K881))</f>
        <v/>
      </c>
      <c r="H881" s="188">
        <f>IF($K881="","",INDEX(Zeiterfassung!$H$6:$H$3665,$K881))</f>
        <v/>
      </c>
      <c r="I881" s="335">
        <f>IF(B881=B880,"",IF($K881="","",INDEX(Zeiterfassung!$I$6:$I$3665,MATCH(INDEX(Zeiterfassung!$K$6:$K$3665,$K881),Zeiterfassung!$K$6:$K$3665,0))))</f>
        <v/>
      </c>
      <c r="J881" s="335">
        <f>IF(B881=B880,"",IF($K881="","",INDEX(Zeiterfassung!$J$6:$J$3665,MATCH(INDEX(Zeiterfassung!$K$6:$K$3665,$K881),Zeiterfassung!$K$6:$K$3665,0))))</f>
        <v/>
      </c>
      <c r="K881">
        <f>IFERROR(AGGREGATE(15,6,(ROW(Zeiterfassung!$D$6:$D$3665)-ROW(Zeiterfassung!$D$6)+1)/(Zeiterfassung!$D$6:$D$3665&lt;&gt;""),876),"")</f>
        <v/>
      </c>
    </row>
    <row r="882" ht="20" customHeight="1">
      <c r="A882" s="183">
        <f>IF($K882="","",WEEKNUM(INDEX(Zeiterfassung!$K$6:$K$3665,$K882),21))</f>
        <v/>
      </c>
      <c r="B882" s="184">
        <f>IF($K882="","",INDEX(Zeiterfassung!$K$6:$K$3665,$K882))</f>
        <v/>
      </c>
      <c r="C882" s="185">
        <f>IF($K882="","",INDEX(Zeiterfassung!$K$6:$K$3665,$K882))</f>
        <v/>
      </c>
      <c r="D882" s="186">
        <f>IF($K882="","",INDEX(Zeiterfassung!$D$6:$D$3665,$K882))</f>
        <v/>
      </c>
      <c r="E882" s="186">
        <f>IF($K882="","",INDEX(Zeiterfassung!$E$6:$E$3665,$K882))</f>
        <v/>
      </c>
      <c r="F882" s="187">
        <f>IF($K882="","",INDEX(Zeiterfassung!$F$6:$F$3665,$K882))</f>
        <v/>
      </c>
      <c r="G882" s="187">
        <f>IF($K882="","",INDEX(Zeiterfassung!$G$6:$G$3665,$K882))</f>
        <v/>
      </c>
      <c r="H882" s="188">
        <f>IF($K882="","",INDEX(Zeiterfassung!$H$6:$H$3665,$K882))</f>
        <v/>
      </c>
      <c r="I882" s="335">
        <f>IF(B882=B881,"",IF($K882="","",INDEX(Zeiterfassung!$I$6:$I$3665,MATCH(INDEX(Zeiterfassung!$K$6:$K$3665,$K882),Zeiterfassung!$K$6:$K$3665,0))))</f>
        <v/>
      </c>
      <c r="J882" s="335">
        <f>IF(B882=B881,"",IF($K882="","",INDEX(Zeiterfassung!$J$6:$J$3665,MATCH(INDEX(Zeiterfassung!$K$6:$K$3665,$K882),Zeiterfassung!$K$6:$K$3665,0))))</f>
        <v/>
      </c>
      <c r="K882">
        <f>IFERROR(AGGREGATE(15,6,(ROW(Zeiterfassung!$D$6:$D$3665)-ROW(Zeiterfassung!$D$6)+1)/(Zeiterfassung!$D$6:$D$3665&lt;&gt;""),877),"")</f>
        <v/>
      </c>
    </row>
    <row r="883" ht="20" customHeight="1">
      <c r="A883" s="183">
        <f>IF($K883="","",WEEKNUM(INDEX(Zeiterfassung!$K$6:$K$3665,$K883),21))</f>
        <v/>
      </c>
      <c r="B883" s="184">
        <f>IF($K883="","",INDEX(Zeiterfassung!$K$6:$K$3665,$K883))</f>
        <v/>
      </c>
      <c r="C883" s="185">
        <f>IF($K883="","",INDEX(Zeiterfassung!$K$6:$K$3665,$K883))</f>
        <v/>
      </c>
      <c r="D883" s="186">
        <f>IF($K883="","",INDEX(Zeiterfassung!$D$6:$D$3665,$K883))</f>
        <v/>
      </c>
      <c r="E883" s="186">
        <f>IF($K883="","",INDEX(Zeiterfassung!$E$6:$E$3665,$K883))</f>
        <v/>
      </c>
      <c r="F883" s="187">
        <f>IF($K883="","",INDEX(Zeiterfassung!$F$6:$F$3665,$K883))</f>
        <v/>
      </c>
      <c r="G883" s="187">
        <f>IF($K883="","",INDEX(Zeiterfassung!$G$6:$G$3665,$K883))</f>
        <v/>
      </c>
      <c r="H883" s="188">
        <f>IF($K883="","",INDEX(Zeiterfassung!$H$6:$H$3665,$K883))</f>
        <v/>
      </c>
      <c r="I883" s="335">
        <f>IF(B883=B882,"",IF($K883="","",INDEX(Zeiterfassung!$I$6:$I$3665,MATCH(INDEX(Zeiterfassung!$K$6:$K$3665,$K883),Zeiterfassung!$K$6:$K$3665,0))))</f>
        <v/>
      </c>
      <c r="J883" s="335">
        <f>IF(B883=B882,"",IF($K883="","",INDEX(Zeiterfassung!$J$6:$J$3665,MATCH(INDEX(Zeiterfassung!$K$6:$K$3665,$K883),Zeiterfassung!$K$6:$K$3665,0))))</f>
        <v/>
      </c>
      <c r="K883">
        <f>IFERROR(AGGREGATE(15,6,(ROW(Zeiterfassung!$D$6:$D$3665)-ROW(Zeiterfassung!$D$6)+1)/(Zeiterfassung!$D$6:$D$3665&lt;&gt;""),878),"")</f>
        <v/>
      </c>
    </row>
    <row r="884" ht="20" customHeight="1">
      <c r="A884" s="183">
        <f>IF($K884="","",WEEKNUM(INDEX(Zeiterfassung!$K$6:$K$3665,$K884),21))</f>
        <v/>
      </c>
      <c r="B884" s="184">
        <f>IF($K884="","",INDEX(Zeiterfassung!$K$6:$K$3665,$K884))</f>
        <v/>
      </c>
      <c r="C884" s="185">
        <f>IF($K884="","",INDEX(Zeiterfassung!$K$6:$K$3665,$K884))</f>
        <v/>
      </c>
      <c r="D884" s="186">
        <f>IF($K884="","",INDEX(Zeiterfassung!$D$6:$D$3665,$K884))</f>
        <v/>
      </c>
      <c r="E884" s="186">
        <f>IF($K884="","",INDEX(Zeiterfassung!$E$6:$E$3665,$K884))</f>
        <v/>
      </c>
      <c r="F884" s="187">
        <f>IF($K884="","",INDEX(Zeiterfassung!$F$6:$F$3665,$K884))</f>
        <v/>
      </c>
      <c r="G884" s="187">
        <f>IF($K884="","",INDEX(Zeiterfassung!$G$6:$G$3665,$K884))</f>
        <v/>
      </c>
      <c r="H884" s="188">
        <f>IF($K884="","",INDEX(Zeiterfassung!$H$6:$H$3665,$K884))</f>
        <v/>
      </c>
      <c r="I884" s="335">
        <f>IF(B884=B883,"",IF($K884="","",INDEX(Zeiterfassung!$I$6:$I$3665,MATCH(INDEX(Zeiterfassung!$K$6:$K$3665,$K884),Zeiterfassung!$K$6:$K$3665,0))))</f>
        <v/>
      </c>
      <c r="J884" s="335">
        <f>IF(B884=B883,"",IF($K884="","",INDEX(Zeiterfassung!$J$6:$J$3665,MATCH(INDEX(Zeiterfassung!$K$6:$K$3665,$K884),Zeiterfassung!$K$6:$K$3665,0))))</f>
        <v/>
      </c>
      <c r="K884">
        <f>IFERROR(AGGREGATE(15,6,(ROW(Zeiterfassung!$D$6:$D$3665)-ROW(Zeiterfassung!$D$6)+1)/(Zeiterfassung!$D$6:$D$3665&lt;&gt;""),879),"")</f>
        <v/>
      </c>
    </row>
    <row r="885" ht="20" customHeight="1">
      <c r="A885" s="183">
        <f>IF($K885="","",WEEKNUM(INDEX(Zeiterfassung!$K$6:$K$3665,$K885),21))</f>
        <v/>
      </c>
      <c r="B885" s="184">
        <f>IF($K885="","",INDEX(Zeiterfassung!$K$6:$K$3665,$K885))</f>
        <v/>
      </c>
      <c r="C885" s="185">
        <f>IF($K885="","",INDEX(Zeiterfassung!$K$6:$K$3665,$K885))</f>
        <v/>
      </c>
      <c r="D885" s="186">
        <f>IF($K885="","",INDEX(Zeiterfassung!$D$6:$D$3665,$K885))</f>
        <v/>
      </c>
      <c r="E885" s="186">
        <f>IF($K885="","",INDEX(Zeiterfassung!$E$6:$E$3665,$K885))</f>
        <v/>
      </c>
      <c r="F885" s="187">
        <f>IF($K885="","",INDEX(Zeiterfassung!$F$6:$F$3665,$K885))</f>
        <v/>
      </c>
      <c r="G885" s="187">
        <f>IF($K885="","",INDEX(Zeiterfassung!$G$6:$G$3665,$K885))</f>
        <v/>
      </c>
      <c r="H885" s="188">
        <f>IF($K885="","",INDEX(Zeiterfassung!$H$6:$H$3665,$K885))</f>
        <v/>
      </c>
      <c r="I885" s="335">
        <f>IF(B885=B884,"",IF($K885="","",INDEX(Zeiterfassung!$I$6:$I$3665,MATCH(INDEX(Zeiterfassung!$K$6:$K$3665,$K885),Zeiterfassung!$K$6:$K$3665,0))))</f>
        <v/>
      </c>
      <c r="J885" s="335">
        <f>IF(B885=B884,"",IF($K885="","",INDEX(Zeiterfassung!$J$6:$J$3665,MATCH(INDEX(Zeiterfassung!$K$6:$K$3665,$K885),Zeiterfassung!$K$6:$K$3665,0))))</f>
        <v/>
      </c>
      <c r="K885">
        <f>IFERROR(AGGREGATE(15,6,(ROW(Zeiterfassung!$D$6:$D$3665)-ROW(Zeiterfassung!$D$6)+1)/(Zeiterfassung!$D$6:$D$3665&lt;&gt;""),880),"")</f>
        <v/>
      </c>
    </row>
    <row r="886" ht="20" customHeight="1">
      <c r="A886" s="183">
        <f>IF($K886="","",WEEKNUM(INDEX(Zeiterfassung!$K$6:$K$3665,$K886),21))</f>
        <v/>
      </c>
      <c r="B886" s="184">
        <f>IF($K886="","",INDEX(Zeiterfassung!$K$6:$K$3665,$K886))</f>
        <v/>
      </c>
      <c r="C886" s="185">
        <f>IF($K886="","",INDEX(Zeiterfassung!$K$6:$K$3665,$K886))</f>
        <v/>
      </c>
      <c r="D886" s="186">
        <f>IF($K886="","",INDEX(Zeiterfassung!$D$6:$D$3665,$K886))</f>
        <v/>
      </c>
      <c r="E886" s="186">
        <f>IF($K886="","",INDEX(Zeiterfassung!$E$6:$E$3665,$K886))</f>
        <v/>
      </c>
      <c r="F886" s="187">
        <f>IF($K886="","",INDEX(Zeiterfassung!$F$6:$F$3665,$K886))</f>
        <v/>
      </c>
      <c r="G886" s="187">
        <f>IF($K886="","",INDEX(Zeiterfassung!$G$6:$G$3665,$K886))</f>
        <v/>
      </c>
      <c r="H886" s="188">
        <f>IF($K886="","",INDEX(Zeiterfassung!$H$6:$H$3665,$K886))</f>
        <v/>
      </c>
      <c r="I886" s="335">
        <f>IF(B886=B885,"",IF($K886="","",INDEX(Zeiterfassung!$I$6:$I$3665,MATCH(INDEX(Zeiterfassung!$K$6:$K$3665,$K886),Zeiterfassung!$K$6:$K$3665,0))))</f>
        <v/>
      </c>
      <c r="J886" s="335">
        <f>IF(B886=B885,"",IF($K886="","",INDEX(Zeiterfassung!$J$6:$J$3665,MATCH(INDEX(Zeiterfassung!$K$6:$K$3665,$K886),Zeiterfassung!$K$6:$K$3665,0))))</f>
        <v/>
      </c>
      <c r="K886">
        <f>IFERROR(AGGREGATE(15,6,(ROW(Zeiterfassung!$D$6:$D$3665)-ROW(Zeiterfassung!$D$6)+1)/(Zeiterfassung!$D$6:$D$3665&lt;&gt;""),881),"")</f>
        <v/>
      </c>
    </row>
    <row r="887" ht="20" customHeight="1">
      <c r="A887" s="183">
        <f>IF($K887="","",WEEKNUM(INDEX(Zeiterfassung!$K$6:$K$3665,$K887),21))</f>
        <v/>
      </c>
      <c r="B887" s="184">
        <f>IF($K887="","",INDEX(Zeiterfassung!$K$6:$K$3665,$K887))</f>
        <v/>
      </c>
      <c r="C887" s="185">
        <f>IF($K887="","",INDEX(Zeiterfassung!$K$6:$K$3665,$K887))</f>
        <v/>
      </c>
      <c r="D887" s="186">
        <f>IF($K887="","",INDEX(Zeiterfassung!$D$6:$D$3665,$K887))</f>
        <v/>
      </c>
      <c r="E887" s="186">
        <f>IF($K887="","",INDEX(Zeiterfassung!$E$6:$E$3665,$K887))</f>
        <v/>
      </c>
      <c r="F887" s="187">
        <f>IF($K887="","",INDEX(Zeiterfassung!$F$6:$F$3665,$K887))</f>
        <v/>
      </c>
      <c r="G887" s="187">
        <f>IF($K887="","",INDEX(Zeiterfassung!$G$6:$G$3665,$K887))</f>
        <v/>
      </c>
      <c r="H887" s="188">
        <f>IF($K887="","",INDEX(Zeiterfassung!$H$6:$H$3665,$K887))</f>
        <v/>
      </c>
      <c r="I887" s="335">
        <f>IF(B887=B886,"",IF($K887="","",INDEX(Zeiterfassung!$I$6:$I$3665,MATCH(INDEX(Zeiterfassung!$K$6:$K$3665,$K887),Zeiterfassung!$K$6:$K$3665,0))))</f>
        <v/>
      </c>
      <c r="J887" s="335">
        <f>IF(B887=B886,"",IF($K887="","",INDEX(Zeiterfassung!$J$6:$J$3665,MATCH(INDEX(Zeiterfassung!$K$6:$K$3665,$K887),Zeiterfassung!$K$6:$K$3665,0))))</f>
        <v/>
      </c>
      <c r="K887">
        <f>IFERROR(AGGREGATE(15,6,(ROW(Zeiterfassung!$D$6:$D$3665)-ROW(Zeiterfassung!$D$6)+1)/(Zeiterfassung!$D$6:$D$3665&lt;&gt;""),882),"")</f>
        <v/>
      </c>
    </row>
    <row r="888" ht="20" customHeight="1">
      <c r="A888" s="183">
        <f>IF($K888="","",WEEKNUM(INDEX(Zeiterfassung!$K$6:$K$3665,$K888),21))</f>
        <v/>
      </c>
      <c r="B888" s="184">
        <f>IF($K888="","",INDEX(Zeiterfassung!$K$6:$K$3665,$K888))</f>
        <v/>
      </c>
      <c r="C888" s="185">
        <f>IF($K888="","",INDEX(Zeiterfassung!$K$6:$K$3665,$K888))</f>
        <v/>
      </c>
      <c r="D888" s="186">
        <f>IF($K888="","",INDEX(Zeiterfassung!$D$6:$D$3665,$K888))</f>
        <v/>
      </c>
      <c r="E888" s="186">
        <f>IF($K888="","",INDEX(Zeiterfassung!$E$6:$E$3665,$K888))</f>
        <v/>
      </c>
      <c r="F888" s="187">
        <f>IF($K888="","",INDEX(Zeiterfassung!$F$6:$F$3665,$K888))</f>
        <v/>
      </c>
      <c r="G888" s="187">
        <f>IF($K888="","",INDEX(Zeiterfassung!$G$6:$G$3665,$K888))</f>
        <v/>
      </c>
      <c r="H888" s="188">
        <f>IF($K888="","",INDEX(Zeiterfassung!$H$6:$H$3665,$K888))</f>
        <v/>
      </c>
      <c r="I888" s="335">
        <f>IF(B888=B887,"",IF($K888="","",INDEX(Zeiterfassung!$I$6:$I$3665,MATCH(INDEX(Zeiterfassung!$K$6:$K$3665,$K888),Zeiterfassung!$K$6:$K$3665,0))))</f>
        <v/>
      </c>
      <c r="J888" s="335">
        <f>IF(B888=B887,"",IF($K888="","",INDEX(Zeiterfassung!$J$6:$J$3665,MATCH(INDEX(Zeiterfassung!$K$6:$K$3665,$K888),Zeiterfassung!$K$6:$K$3665,0))))</f>
        <v/>
      </c>
      <c r="K888">
        <f>IFERROR(AGGREGATE(15,6,(ROW(Zeiterfassung!$D$6:$D$3665)-ROW(Zeiterfassung!$D$6)+1)/(Zeiterfassung!$D$6:$D$3665&lt;&gt;""),883),"")</f>
        <v/>
      </c>
    </row>
    <row r="889" ht="20" customHeight="1">
      <c r="A889" s="183">
        <f>IF($K889="","",WEEKNUM(INDEX(Zeiterfassung!$K$6:$K$3665,$K889),21))</f>
        <v/>
      </c>
      <c r="B889" s="184">
        <f>IF($K889="","",INDEX(Zeiterfassung!$K$6:$K$3665,$K889))</f>
        <v/>
      </c>
      <c r="C889" s="185">
        <f>IF($K889="","",INDEX(Zeiterfassung!$K$6:$K$3665,$K889))</f>
        <v/>
      </c>
      <c r="D889" s="186">
        <f>IF($K889="","",INDEX(Zeiterfassung!$D$6:$D$3665,$K889))</f>
        <v/>
      </c>
      <c r="E889" s="186">
        <f>IF($K889="","",INDEX(Zeiterfassung!$E$6:$E$3665,$K889))</f>
        <v/>
      </c>
      <c r="F889" s="187">
        <f>IF($K889="","",INDEX(Zeiterfassung!$F$6:$F$3665,$K889))</f>
        <v/>
      </c>
      <c r="G889" s="187">
        <f>IF($K889="","",INDEX(Zeiterfassung!$G$6:$G$3665,$K889))</f>
        <v/>
      </c>
      <c r="H889" s="188">
        <f>IF($K889="","",INDEX(Zeiterfassung!$H$6:$H$3665,$K889))</f>
        <v/>
      </c>
      <c r="I889" s="335">
        <f>IF(B889=B888,"",IF($K889="","",INDEX(Zeiterfassung!$I$6:$I$3665,MATCH(INDEX(Zeiterfassung!$K$6:$K$3665,$K889),Zeiterfassung!$K$6:$K$3665,0))))</f>
        <v/>
      </c>
      <c r="J889" s="335">
        <f>IF(B889=B888,"",IF($K889="","",INDEX(Zeiterfassung!$J$6:$J$3665,MATCH(INDEX(Zeiterfassung!$K$6:$K$3665,$K889),Zeiterfassung!$K$6:$K$3665,0))))</f>
        <v/>
      </c>
      <c r="K889">
        <f>IFERROR(AGGREGATE(15,6,(ROW(Zeiterfassung!$D$6:$D$3665)-ROW(Zeiterfassung!$D$6)+1)/(Zeiterfassung!$D$6:$D$3665&lt;&gt;""),884),"")</f>
        <v/>
      </c>
    </row>
    <row r="890" ht="20" customHeight="1">
      <c r="A890" s="183">
        <f>IF($K890="","",WEEKNUM(INDEX(Zeiterfassung!$K$6:$K$3665,$K890),21))</f>
        <v/>
      </c>
      <c r="B890" s="184">
        <f>IF($K890="","",INDEX(Zeiterfassung!$K$6:$K$3665,$K890))</f>
        <v/>
      </c>
      <c r="C890" s="185">
        <f>IF($K890="","",INDEX(Zeiterfassung!$K$6:$K$3665,$K890))</f>
        <v/>
      </c>
      <c r="D890" s="186">
        <f>IF($K890="","",INDEX(Zeiterfassung!$D$6:$D$3665,$K890))</f>
        <v/>
      </c>
      <c r="E890" s="186">
        <f>IF($K890="","",INDEX(Zeiterfassung!$E$6:$E$3665,$K890))</f>
        <v/>
      </c>
      <c r="F890" s="187">
        <f>IF($K890="","",INDEX(Zeiterfassung!$F$6:$F$3665,$K890))</f>
        <v/>
      </c>
      <c r="G890" s="187">
        <f>IF($K890="","",INDEX(Zeiterfassung!$G$6:$G$3665,$K890))</f>
        <v/>
      </c>
      <c r="H890" s="188">
        <f>IF($K890="","",INDEX(Zeiterfassung!$H$6:$H$3665,$K890))</f>
        <v/>
      </c>
      <c r="I890" s="335">
        <f>IF(B890=B889,"",IF($K890="","",INDEX(Zeiterfassung!$I$6:$I$3665,MATCH(INDEX(Zeiterfassung!$K$6:$K$3665,$K890),Zeiterfassung!$K$6:$K$3665,0))))</f>
        <v/>
      </c>
      <c r="J890" s="335">
        <f>IF(B890=B889,"",IF($K890="","",INDEX(Zeiterfassung!$J$6:$J$3665,MATCH(INDEX(Zeiterfassung!$K$6:$K$3665,$K890),Zeiterfassung!$K$6:$K$3665,0))))</f>
        <v/>
      </c>
      <c r="K890">
        <f>IFERROR(AGGREGATE(15,6,(ROW(Zeiterfassung!$D$6:$D$3665)-ROW(Zeiterfassung!$D$6)+1)/(Zeiterfassung!$D$6:$D$3665&lt;&gt;""),885),"")</f>
        <v/>
      </c>
    </row>
    <row r="891" ht="20" customHeight="1">
      <c r="A891" s="183">
        <f>IF($K891="","",WEEKNUM(INDEX(Zeiterfassung!$K$6:$K$3665,$K891),21))</f>
        <v/>
      </c>
      <c r="B891" s="184">
        <f>IF($K891="","",INDEX(Zeiterfassung!$K$6:$K$3665,$K891))</f>
        <v/>
      </c>
      <c r="C891" s="185">
        <f>IF($K891="","",INDEX(Zeiterfassung!$K$6:$K$3665,$K891))</f>
        <v/>
      </c>
      <c r="D891" s="186">
        <f>IF($K891="","",INDEX(Zeiterfassung!$D$6:$D$3665,$K891))</f>
        <v/>
      </c>
      <c r="E891" s="186">
        <f>IF($K891="","",INDEX(Zeiterfassung!$E$6:$E$3665,$K891))</f>
        <v/>
      </c>
      <c r="F891" s="187">
        <f>IF($K891="","",INDEX(Zeiterfassung!$F$6:$F$3665,$K891))</f>
        <v/>
      </c>
      <c r="G891" s="187">
        <f>IF($K891="","",INDEX(Zeiterfassung!$G$6:$G$3665,$K891))</f>
        <v/>
      </c>
      <c r="H891" s="188">
        <f>IF($K891="","",INDEX(Zeiterfassung!$H$6:$H$3665,$K891))</f>
        <v/>
      </c>
      <c r="I891" s="335">
        <f>IF(B891=B890,"",IF($K891="","",INDEX(Zeiterfassung!$I$6:$I$3665,MATCH(INDEX(Zeiterfassung!$K$6:$K$3665,$K891),Zeiterfassung!$K$6:$K$3665,0))))</f>
        <v/>
      </c>
      <c r="J891" s="335">
        <f>IF(B891=B890,"",IF($K891="","",INDEX(Zeiterfassung!$J$6:$J$3665,MATCH(INDEX(Zeiterfassung!$K$6:$K$3665,$K891),Zeiterfassung!$K$6:$K$3665,0))))</f>
        <v/>
      </c>
      <c r="K891">
        <f>IFERROR(AGGREGATE(15,6,(ROW(Zeiterfassung!$D$6:$D$3665)-ROW(Zeiterfassung!$D$6)+1)/(Zeiterfassung!$D$6:$D$3665&lt;&gt;""),886),"")</f>
        <v/>
      </c>
    </row>
    <row r="892" ht="20" customHeight="1">
      <c r="A892" s="183">
        <f>IF($K892="","",WEEKNUM(INDEX(Zeiterfassung!$K$6:$K$3665,$K892),21))</f>
        <v/>
      </c>
      <c r="B892" s="184">
        <f>IF($K892="","",INDEX(Zeiterfassung!$K$6:$K$3665,$K892))</f>
        <v/>
      </c>
      <c r="C892" s="185">
        <f>IF($K892="","",INDEX(Zeiterfassung!$K$6:$K$3665,$K892))</f>
        <v/>
      </c>
      <c r="D892" s="186">
        <f>IF($K892="","",INDEX(Zeiterfassung!$D$6:$D$3665,$K892))</f>
        <v/>
      </c>
      <c r="E892" s="186">
        <f>IF($K892="","",INDEX(Zeiterfassung!$E$6:$E$3665,$K892))</f>
        <v/>
      </c>
      <c r="F892" s="187">
        <f>IF($K892="","",INDEX(Zeiterfassung!$F$6:$F$3665,$K892))</f>
        <v/>
      </c>
      <c r="G892" s="187">
        <f>IF($K892="","",INDEX(Zeiterfassung!$G$6:$G$3665,$K892))</f>
        <v/>
      </c>
      <c r="H892" s="188">
        <f>IF($K892="","",INDEX(Zeiterfassung!$H$6:$H$3665,$K892))</f>
        <v/>
      </c>
      <c r="I892" s="335">
        <f>IF(B892=B891,"",IF($K892="","",INDEX(Zeiterfassung!$I$6:$I$3665,MATCH(INDEX(Zeiterfassung!$K$6:$K$3665,$K892),Zeiterfassung!$K$6:$K$3665,0))))</f>
        <v/>
      </c>
      <c r="J892" s="335">
        <f>IF(B892=B891,"",IF($K892="","",INDEX(Zeiterfassung!$J$6:$J$3665,MATCH(INDEX(Zeiterfassung!$K$6:$K$3665,$K892),Zeiterfassung!$K$6:$K$3665,0))))</f>
        <v/>
      </c>
      <c r="K892">
        <f>IFERROR(AGGREGATE(15,6,(ROW(Zeiterfassung!$D$6:$D$3665)-ROW(Zeiterfassung!$D$6)+1)/(Zeiterfassung!$D$6:$D$3665&lt;&gt;""),887),"")</f>
        <v/>
      </c>
    </row>
    <row r="893" ht="20" customHeight="1">
      <c r="A893" s="183">
        <f>IF($K893="","",WEEKNUM(INDEX(Zeiterfassung!$K$6:$K$3665,$K893),21))</f>
        <v/>
      </c>
      <c r="B893" s="184">
        <f>IF($K893="","",INDEX(Zeiterfassung!$K$6:$K$3665,$K893))</f>
        <v/>
      </c>
      <c r="C893" s="185">
        <f>IF($K893="","",INDEX(Zeiterfassung!$K$6:$K$3665,$K893))</f>
        <v/>
      </c>
      <c r="D893" s="186">
        <f>IF($K893="","",INDEX(Zeiterfassung!$D$6:$D$3665,$K893))</f>
        <v/>
      </c>
      <c r="E893" s="186">
        <f>IF($K893="","",INDEX(Zeiterfassung!$E$6:$E$3665,$K893))</f>
        <v/>
      </c>
      <c r="F893" s="187">
        <f>IF($K893="","",INDEX(Zeiterfassung!$F$6:$F$3665,$K893))</f>
        <v/>
      </c>
      <c r="G893" s="187">
        <f>IF($K893="","",INDEX(Zeiterfassung!$G$6:$G$3665,$K893))</f>
        <v/>
      </c>
      <c r="H893" s="188">
        <f>IF($K893="","",INDEX(Zeiterfassung!$H$6:$H$3665,$K893))</f>
        <v/>
      </c>
      <c r="I893" s="335">
        <f>IF(B893=B892,"",IF($K893="","",INDEX(Zeiterfassung!$I$6:$I$3665,MATCH(INDEX(Zeiterfassung!$K$6:$K$3665,$K893),Zeiterfassung!$K$6:$K$3665,0))))</f>
        <v/>
      </c>
      <c r="J893" s="335">
        <f>IF(B893=B892,"",IF($K893="","",INDEX(Zeiterfassung!$J$6:$J$3665,MATCH(INDEX(Zeiterfassung!$K$6:$K$3665,$K893),Zeiterfassung!$K$6:$K$3665,0))))</f>
        <v/>
      </c>
      <c r="K893">
        <f>IFERROR(AGGREGATE(15,6,(ROW(Zeiterfassung!$D$6:$D$3665)-ROW(Zeiterfassung!$D$6)+1)/(Zeiterfassung!$D$6:$D$3665&lt;&gt;""),888),"")</f>
        <v/>
      </c>
    </row>
    <row r="894" ht="20" customHeight="1">
      <c r="A894" s="183">
        <f>IF($K894="","",WEEKNUM(INDEX(Zeiterfassung!$K$6:$K$3665,$K894),21))</f>
        <v/>
      </c>
      <c r="B894" s="184">
        <f>IF($K894="","",INDEX(Zeiterfassung!$K$6:$K$3665,$K894))</f>
        <v/>
      </c>
      <c r="C894" s="185">
        <f>IF($K894="","",INDEX(Zeiterfassung!$K$6:$K$3665,$K894))</f>
        <v/>
      </c>
      <c r="D894" s="186">
        <f>IF($K894="","",INDEX(Zeiterfassung!$D$6:$D$3665,$K894))</f>
        <v/>
      </c>
      <c r="E894" s="186">
        <f>IF($K894="","",INDEX(Zeiterfassung!$E$6:$E$3665,$K894))</f>
        <v/>
      </c>
      <c r="F894" s="187">
        <f>IF($K894="","",INDEX(Zeiterfassung!$F$6:$F$3665,$K894))</f>
        <v/>
      </c>
      <c r="G894" s="187">
        <f>IF($K894="","",INDEX(Zeiterfassung!$G$6:$G$3665,$K894))</f>
        <v/>
      </c>
      <c r="H894" s="188">
        <f>IF($K894="","",INDEX(Zeiterfassung!$H$6:$H$3665,$K894))</f>
        <v/>
      </c>
      <c r="I894" s="335">
        <f>IF(B894=B893,"",IF($K894="","",INDEX(Zeiterfassung!$I$6:$I$3665,MATCH(INDEX(Zeiterfassung!$K$6:$K$3665,$K894),Zeiterfassung!$K$6:$K$3665,0))))</f>
        <v/>
      </c>
      <c r="J894" s="335">
        <f>IF(B894=B893,"",IF($K894="","",INDEX(Zeiterfassung!$J$6:$J$3665,MATCH(INDEX(Zeiterfassung!$K$6:$K$3665,$K894),Zeiterfassung!$K$6:$K$3665,0))))</f>
        <v/>
      </c>
      <c r="K894">
        <f>IFERROR(AGGREGATE(15,6,(ROW(Zeiterfassung!$D$6:$D$3665)-ROW(Zeiterfassung!$D$6)+1)/(Zeiterfassung!$D$6:$D$3665&lt;&gt;""),889),"")</f>
        <v/>
      </c>
    </row>
    <row r="895" ht="20" customHeight="1">
      <c r="A895" s="183">
        <f>IF($K895="","",WEEKNUM(INDEX(Zeiterfassung!$K$6:$K$3665,$K895),21))</f>
        <v/>
      </c>
      <c r="B895" s="184">
        <f>IF($K895="","",INDEX(Zeiterfassung!$K$6:$K$3665,$K895))</f>
        <v/>
      </c>
      <c r="C895" s="185">
        <f>IF($K895="","",INDEX(Zeiterfassung!$K$6:$K$3665,$K895))</f>
        <v/>
      </c>
      <c r="D895" s="186">
        <f>IF($K895="","",INDEX(Zeiterfassung!$D$6:$D$3665,$K895))</f>
        <v/>
      </c>
      <c r="E895" s="186">
        <f>IF($K895="","",INDEX(Zeiterfassung!$E$6:$E$3665,$K895))</f>
        <v/>
      </c>
      <c r="F895" s="187">
        <f>IF($K895="","",INDEX(Zeiterfassung!$F$6:$F$3665,$K895))</f>
        <v/>
      </c>
      <c r="G895" s="187">
        <f>IF($K895="","",INDEX(Zeiterfassung!$G$6:$G$3665,$K895))</f>
        <v/>
      </c>
      <c r="H895" s="188">
        <f>IF($K895="","",INDEX(Zeiterfassung!$H$6:$H$3665,$K895))</f>
        <v/>
      </c>
      <c r="I895" s="335">
        <f>IF(B895=B894,"",IF($K895="","",INDEX(Zeiterfassung!$I$6:$I$3665,MATCH(INDEX(Zeiterfassung!$K$6:$K$3665,$K895),Zeiterfassung!$K$6:$K$3665,0))))</f>
        <v/>
      </c>
      <c r="J895" s="335">
        <f>IF(B895=B894,"",IF($K895="","",INDEX(Zeiterfassung!$J$6:$J$3665,MATCH(INDEX(Zeiterfassung!$K$6:$K$3665,$K895),Zeiterfassung!$K$6:$K$3665,0))))</f>
        <v/>
      </c>
      <c r="K895">
        <f>IFERROR(AGGREGATE(15,6,(ROW(Zeiterfassung!$D$6:$D$3665)-ROW(Zeiterfassung!$D$6)+1)/(Zeiterfassung!$D$6:$D$3665&lt;&gt;""),890),"")</f>
        <v/>
      </c>
    </row>
    <row r="896" ht="20" customHeight="1">
      <c r="A896" s="183">
        <f>IF($K896="","",WEEKNUM(INDEX(Zeiterfassung!$K$6:$K$3665,$K896),21))</f>
        <v/>
      </c>
      <c r="B896" s="184">
        <f>IF($K896="","",INDEX(Zeiterfassung!$K$6:$K$3665,$K896))</f>
        <v/>
      </c>
      <c r="C896" s="185">
        <f>IF($K896="","",INDEX(Zeiterfassung!$K$6:$K$3665,$K896))</f>
        <v/>
      </c>
      <c r="D896" s="186">
        <f>IF($K896="","",INDEX(Zeiterfassung!$D$6:$D$3665,$K896))</f>
        <v/>
      </c>
      <c r="E896" s="186">
        <f>IF($K896="","",INDEX(Zeiterfassung!$E$6:$E$3665,$K896))</f>
        <v/>
      </c>
      <c r="F896" s="187">
        <f>IF($K896="","",INDEX(Zeiterfassung!$F$6:$F$3665,$K896))</f>
        <v/>
      </c>
      <c r="G896" s="187">
        <f>IF($K896="","",INDEX(Zeiterfassung!$G$6:$G$3665,$K896))</f>
        <v/>
      </c>
      <c r="H896" s="188">
        <f>IF($K896="","",INDEX(Zeiterfassung!$H$6:$H$3665,$K896))</f>
        <v/>
      </c>
      <c r="I896" s="335">
        <f>IF(B896=B895,"",IF($K896="","",INDEX(Zeiterfassung!$I$6:$I$3665,MATCH(INDEX(Zeiterfassung!$K$6:$K$3665,$K896),Zeiterfassung!$K$6:$K$3665,0))))</f>
        <v/>
      </c>
      <c r="J896" s="335">
        <f>IF(B896=B895,"",IF($K896="","",INDEX(Zeiterfassung!$J$6:$J$3665,MATCH(INDEX(Zeiterfassung!$K$6:$K$3665,$K896),Zeiterfassung!$K$6:$K$3665,0))))</f>
        <v/>
      </c>
      <c r="K896">
        <f>IFERROR(AGGREGATE(15,6,(ROW(Zeiterfassung!$D$6:$D$3665)-ROW(Zeiterfassung!$D$6)+1)/(Zeiterfassung!$D$6:$D$3665&lt;&gt;""),891),"")</f>
        <v/>
      </c>
    </row>
    <row r="897" ht="20" customHeight="1">
      <c r="A897" s="183">
        <f>IF($K897="","",WEEKNUM(INDEX(Zeiterfassung!$K$6:$K$3665,$K897),21))</f>
        <v/>
      </c>
      <c r="B897" s="184">
        <f>IF($K897="","",INDEX(Zeiterfassung!$K$6:$K$3665,$K897))</f>
        <v/>
      </c>
      <c r="C897" s="185">
        <f>IF($K897="","",INDEX(Zeiterfassung!$K$6:$K$3665,$K897))</f>
        <v/>
      </c>
      <c r="D897" s="186">
        <f>IF($K897="","",INDEX(Zeiterfassung!$D$6:$D$3665,$K897))</f>
        <v/>
      </c>
      <c r="E897" s="186">
        <f>IF($K897="","",INDEX(Zeiterfassung!$E$6:$E$3665,$K897))</f>
        <v/>
      </c>
      <c r="F897" s="187">
        <f>IF($K897="","",INDEX(Zeiterfassung!$F$6:$F$3665,$K897))</f>
        <v/>
      </c>
      <c r="G897" s="187">
        <f>IF($K897="","",INDEX(Zeiterfassung!$G$6:$G$3665,$K897))</f>
        <v/>
      </c>
      <c r="H897" s="188">
        <f>IF($K897="","",INDEX(Zeiterfassung!$H$6:$H$3665,$K897))</f>
        <v/>
      </c>
      <c r="I897" s="335">
        <f>IF(B897=B896,"",IF($K897="","",INDEX(Zeiterfassung!$I$6:$I$3665,MATCH(INDEX(Zeiterfassung!$K$6:$K$3665,$K897),Zeiterfassung!$K$6:$K$3665,0))))</f>
        <v/>
      </c>
      <c r="J897" s="335">
        <f>IF(B897=B896,"",IF($K897="","",INDEX(Zeiterfassung!$J$6:$J$3665,MATCH(INDEX(Zeiterfassung!$K$6:$K$3665,$K897),Zeiterfassung!$K$6:$K$3665,0))))</f>
        <v/>
      </c>
      <c r="K897">
        <f>IFERROR(AGGREGATE(15,6,(ROW(Zeiterfassung!$D$6:$D$3665)-ROW(Zeiterfassung!$D$6)+1)/(Zeiterfassung!$D$6:$D$3665&lt;&gt;""),892),"")</f>
        <v/>
      </c>
    </row>
    <row r="898" ht="20" customHeight="1">
      <c r="A898" s="183">
        <f>IF($K898="","",WEEKNUM(INDEX(Zeiterfassung!$K$6:$K$3665,$K898),21))</f>
        <v/>
      </c>
      <c r="B898" s="184">
        <f>IF($K898="","",INDEX(Zeiterfassung!$K$6:$K$3665,$K898))</f>
        <v/>
      </c>
      <c r="C898" s="185">
        <f>IF($K898="","",INDEX(Zeiterfassung!$K$6:$K$3665,$K898))</f>
        <v/>
      </c>
      <c r="D898" s="186">
        <f>IF($K898="","",INDEX(Zeiterfassung!$D$6:$D$3665,$K898))</f>
        <v/>
      </c>
      <c r="E898" s="186">
        <f>IF($K898="","",INDEX(Zeiterfassung!$E$6:$E$3665,$K898))</f>
        <v/>
      </c>
      <c r="F898" s="187">
        <f>IF($K898="","",INDEX(Zeiterfassung!$F$6:$F$3665,$K898))</f>
        <v/>
      </c>
      <c r="G898" s="187">
        <f>IF($K898="","",INDEX(Zeiterfassung!$G$6:$G$3665,$K898))</f>
        <v/>
      </c>
      <c r="H898" s="188">
        <f>IF($K898="","",INDEX(Zeiterfassung!$H$6:$H$3665,$K898))</f>
        <v/>
      </c>
      <c r="I898" s="335">
        <f>IF(B898=B897,"",IF($K898="","",INDEX(Zeiterfassung!$I$6:$I$3665,MATCH(INDEX(Zeiterfassung!$K$6:$K$3665,$K898),Zeiterfassung!$K$6:$K$3665,0))))</f>
        <v/>
      </c>
      <c r="J898" s="335">
        <f>IF(B898=B897,"",IF($K898="","",INDEX(Zeiterfassung!$J$6:$J$3665,MATCH(INDEX(Zeiterfassung!$K$6:$K$3665,$K898),Zeiterfassung!$K$6:$K$3665,0))))</f>
        <v/>
      </c>
      <c r="K898">
        <f>IFERROR(AGGREGATE(15,6,(ROW(Zeiterfassung!$D$6:$D$3665)-ROW(Zeiterfassung!$D$6)+1)/(Zeiterfassung!$D$6:$D$3665&lt;&gt;""),893),"")</f>
        <v/>
      </c>
    </row>
    <row r="899" ht="20" customHeight="1">
      <c r="A899" s="183">
        <f>IF($K899="","",WEEKNUM(INDEX(Zeiterfassung!$K$6:$K$3665,$K899),21))</f>
        <v/>
      </c>
      <c r="B899" s="184">
        <f>IF($K899="","",INDEX(Zeiterfassung!$K$6:$K$3665,$K899))</f>
        <v/>
      </c>
      <c r="C899" s="185">
        <f>IF($K899="","",INDEX(Zeiterfassung!$K$6:$K$3665,$K899))</f>
        <v/>
      </c>
      <c r="D899" s="186">
        <f>IF($K899="","",INDEX(Zeiterfassung!$D$6:$D$3665,$K899))</f>
        <v/>
      </c>
      <c r="E899" s="186">
        <f>IF($K899="","",INDEX(Zeiterfassung!$E$6:$E$3665,$K899))</f>
        <v/>
      </c>
      <c r="F899" s="187">
        <f>IF($K899="","",INDEX(Zeiterfassung!$F$6:$F$3665,$K899))</f>
        <v/>
      </c>
      <c r="G899" s="187">
        <f>IF($K899="","",INDEX(Zeiterfassung!$G$6:$G$3665,$K899))</f>
        <v/>
      </c>
      <c r="H899" s="188">
        <f>IF($K899="","",INDEX(Zeiterfassung!$H$6:$H$3665,$K899))</f>
        <v/>
      </c>
      <c r="I899" s="335">
        <f>IF(B899=B898,"",IF($K899="","",INDEX(Zeiterfassung!$I$6:$I$3665,MATCH(INDEX(Zeiterfassung!$K$6:$K$3665,$K899),Zeiterfassung!$K$6:$K$3665,0))))</f>
        <v/>
      </c>
      <c r="J899" s="335">
        <f>IF(B899=B898,"",IF($K899="","",INDEX(Zeiterfassung!$J$6:$J$3665,MATCH(INDEX(Zeiterfassung!$K$6:$K$3665,$K899),Zeiterfassung!$K$6:$K$3665,0))))</f>
        <v/>
      </c>
      <c r="K899">
        <f>IFERROR(AGGREGATE(15,6,(ROW(Zeiterfassung!$D$6:$D$3665)-ROW(Zeiterfassung!$D$6)+1)/(Zeiterfassung!$D$6:$D$3665&lt;&gt;""),894),"")</f>
        <v/>
      </c>
    </row>
    <row r="900" ht="20" customHeight="1">
      <c r="A900" s="183">
        <f>IF($K900="","",WEEKNUM(INDEX(Zeiterfassung!$K$6:$K$3665,$K900),21))</f>
        <v/>
      </c>
      <c r="B900" s="184">
        <f>IF($K900="","",INDEX(Zeiterfassung!$K$6:$K$3665,$K900))</f>
        <v/>
      </c>
      <c r="C900" s="185">
        <f>IF($K900="","",INDEX(Zeiterfassung!$K$6:$K$3665,$K900))</f>
        <v/>
      </c>
      <c r="D900" s="186">
        <f>IF($K900="","",INDEX(Zeiterfassung!$D$6:$D$3665,$K900))</f>
        <v/>
      </c>
      <c r="E900" s="186">
        <f>IF($K900="","",INDEX(Zeiterfassung!$E$6:$E$3665,$K900))</f>
        <v/>
      </c>
      <c r="F900" s="187">
        <f>IF($K900="","",INDEX(Zeiterfassung!$F$6:$F$3665,$K900))</f>
        <v/>
      </c>
      <c r="G900" s="187">
        <f>IF($K900="","",INDEX(Zeiterfassung!$G$6:$G$3665,$K900))</f>
        <v/>
      </c>
      <c r="H900" s="188">
        <f>IF($K900="","",INDEX(Zeiterfassung!$H$6:$H$3665,$K900))</f>
        <v/>
      </c>
      <c r="I900" s="335">
        <f>IF(B900=B899,"",IF($K900="","",INDEX(Zeiterfassung!$I$6:$I$3665,MATCH(INDEX(Zeiterfassung!$K$6:$K$3665,$K900),Zeiterfassung!$K$6:$K$3665,0))))</f>
        <v/>
      </c>
      <c r="J900" s="335">
        <f>IF(B900=B899,"",IF($K900="","",INDEX(Zeiterfassung!$J$6:$J$3665,MATCH(INDEX(Zeiterfassung!$K$6:$K$3665,$K900),Zeiterfassung!$K$6:$K$3665,0))))</f>
        <v/>
      </c>
      <c r="K900">
        <f>IFERROR(AGGREGATE(15,6,(ROW(Zeiterfassung!$D$6:$D$3665)-ROW(Zeiterfassung!$D$6)+1)/(Zeiterfassung!$D$6:$D$3665&lt;&gt;""),895),"")</f>
        <v/>
      </c>
    </row>
    <row r="901" ht="20" customHeight="1">
      <c r="A901" s="183">
        <f>IF($K901="","",WEEKNUM(INDEX(Zeiterfassung!$K$6:$K$3665,$K901),21))</f>
        <v/>
      </c>
      <c r="B901" s="184">
        <f>IF($K901="","",INDEX(Zeiterfassung!$K$6:$K$3665,$K901))</f>
        <v/>
      </c>
      <c r="C901" s="185">
        <f>IF($K901="","",INDEX(Zeiterfassung!$K$6:$K$3665,$K901))</f>
        <v/>
      </c>
      <c r="D901" s="186">
        <f>IF($K901="","",INDEX(Zeiterfassung!$D$6:$D$3665,$K901))</f>
        <v/>
      </c>
      <c r="E901" s="186">
        <f>IF($K901="","",INDEX(Zeiterfassung!$E$6:$E$3665,$K901))</f>
        <v/>
      </c>
      <c r="F901" s="187">
        <f>IF($K901="","",INDEX(Zeiterfassung!$F$6:$F$3665,$K901))</f>
        <v/>
      </c>
      <c r="G901" s="187">
        <f>IF($K901="","",INDEX(Zeiterfassung!$G$6:$G$3665,$K901))</f>
        <v/>
      </c>
      <c r="H901" s="188">
        <f>IF($K901="","",INDEX(Zeiterfassung!$H$6:$H$3665,$K901))</f>
        <v/>
      </c>
      <c r="I901" s="335">
        <f>IF(B901=B900,"",IF($K901="","",INDEX(Zeiterfassung!$I$6:$I$3665,MATCH(INDEX(Zeiterfassung!$K$6:$K$3665,$K901),Zeiterfassung!$K$6:$K$3665,0))))</f>
        <v/>
      </c>
      <c r="J901" s="335">
        <f>IF(B901=B900,"",IF($K901="","",INDEX(Zeiterfassung!$J$6:$J$3665,MATCH(INDEX(Zeiterfassung!$K$6:$K$3665,$K901),Zeiterfassung!$K$6:$K$3665,0))))</f>
        <v/>
      </c>
      <c r="K901">
        <f>IFERROR(AGGREGATE(15,6,(ROW(Zeiterfassung!$D$6:$D$3665)-ROW(Zeiterfassung!$D$6)+1)/(Zeiterfassung!$D$6:$D$3665&lt;&gt;""),896),"")</f>
        <v/>
      </c>
    </row>
    <row r="902" ht="20" customHeight="1">
      <c r="A902" s="183">
        <f>IF($K902="","",WEEKNUM(INDEX(Zeiterfassung!$K$6:$K$3665,$K902),21))</f>
        <v/>
      </c>
      <c r="B902" s="184">
        <f>IF($K902="","",INDEX(Zeiterfassung!$K$6:$K$3665,$K902))</f>
        <v/>
      </c>
      <c r="C902" s="185">
        <f>IF($K902="","",INDEX(Zeiterfassung!$K$6:$K$3665,$K902))</f>
        <v/>
      </c>
      <c r="D902" s="186">
        <f>IF($K902="","",INDEX(Zeiterfassung!$D$6:$D$3665,$K902))</f>
        <v/>
      </c>
      <c r="E902" s="186">
        <f>IF($K902="","",INDEX(Zeiterfassung!$E$6:$E$3665,$K902))</f>
        <v/>
      </c>
      <c r="F902" s="187">
        <f>IF($K902="","",INDEX(Zeiterfassung!$F$6:$F$3665,$K902))</f>
        <v/>
      </c>
      <c r="G902" s="187">
        <f>IF($K902="","",INDEX(Zeiterfassung!$G$6:$G$3665,$K902))</f>
        <v/>
      </c>
      <c r="H902" s="188">
        <f>IF($K902="","",INDEX(Zeiterfassung!$H$6:$H$3665,$K902))</f>
        <v/>
      </c>
      <c r="I902" s="335">
        <f>IF(B902=B901,"",IF($K902="","",INDEX(Zeiterfassung!$I$6:$I$3665,MATCH(INDEX(Zeiterfassung!$K$6:$K$3665,$K902),Zeiterfassung!$K$6:$K$3665,0))))</f>
        <v/>
      </c>
      <c r="J902" s="335">
        <f>IF(B902=B901,"",IF($K902="","",INDEX(Zeiterfassung!$J$6:$J$3665,MATCH(INDEX(Zeiterfassung!$K$6:$K$3665,$K902),Zeiterfassung!$K$6:$K$3665,0))))</f>
        <v/>
      </c>
      <c r="K902">
        <f>IFERROR(AGGREGATE(15,6,(ROW(Zeiterfassung!$D$6:$D$3665)-ROW(Zeiterfassung!$D$6)+1)/(Zeiterfassung!$D$6:$D$3665&lt;&gt;""),897),"")</f>
        <v/>
      </c>
    </row>
    <row r="903" ht="20" customHeight="1">
      <c r="A903" s="183">
        <f>IF($K903="","",WEEKNUM(INDEX(Zeiterfassung!$K$6:$K$3665,$K903),21))</f>
        <v/>
      </c>
      <c r="B903" s="184">
        <f>IF($K903="","",INDEX(Zeiterfassung!$K$6:$K$3665,$K903))</f>
        <v/>
      </c>
      <c r="C903" s="185">
        <f>IF($K903="","",INDEX(Zeiterfassung!$K$6:$K$3665,$K903))</f>
        <v/>
      </c>
      <c r="D903" s="186">
        <f>IF($K903="","",INDEX(Zeiterfassung!$D$6:$D$3665,$K903))</f>
        <v/>
      </c>
      <c r="E903" s="186">
        <f>IF($K903="","",INDEX(Zeiterfassung!$E$6:$E$3665,$K903))</f>
        <v/>
      </c>
      <c r="F903" s="187">
        <f>IF($K903="","",INDEX(Zeiterfassung!$F$6:$F$3665,$K903))</f>
        <v/>
      </c>
      <c r="G903" s="187">
        <f>IF($K903="","",INDEX(Zeiterfassung!$G$6:$G$3665,$K903))</f>
        <v/>
      </c>
      <c r="H903" s="188">
        <f>IF($K903="","",INDEX(Zeiterfassung!$H$6:$H$3665,$K903))</f>
        <v/>
      </c>
      <c r="I903" s="335">
        <f>IF(B903=B902,"",IF($K903="","",INDEX(Zeiterfassung!$I$6:$I$3665,MATCH(INDEX(Zeiterfassung!$K$6:$K$3665,$K903),Zeiterfassung!$K$6:$K$3665,0))))</f>
        <v/>
      </c>
      <c r="J903" s="335">
        <f>IF(B903=B902,"",IF($K903="","",INDEX(Zeiterfassung!$J$6:$J$3665,MATCH(INDEX(Zeiterfassung!$K$6:$K$3665,$K903),Zeiterfassung!$K$6:$K$3665,0))))</f>
        <v/>
      </c>
      <c r="K903">
        <f>IFERROR(AGGREGATE(15,6,(ROW(Zeiterfassung!$D$6:$D$3665)-ROW(Zeiterfassung!$D$6)+1)/(Zeiterfassung!$D$6:$D$3665&lt;&gt;""),898),"")</f>
        <v/>
      </c>
    </row>
    <row r="904" ht="20" customHeight="1">
      <c r="A904" s="183">
        <f>IF($K904="","",WEEKNUM(INDEX(Zeiterfassung!$K$6:$K$3665,$K904),21))</f>
        <v/>
      </c>
      <c r="B904" s="184">
        <f>IF($K904="","",INDEX(Zeiterfassung!$K$6:$K$3665,$K904))</f>
        <v/>
      </c>
      <c r="C904" s="185">
        <f>IF($K904="","",INDEX(Zeiterfassung!$K$6:$K$3665,$K904))</f>
        <v/>
      </c>
      <c r="D904" s="186">
        <f>IF($K904="","",INDEX(Zeiterfassung!$D$6:$D$3665,$K904))</f>
        <v/>
      </c>
      <c r="E904" s="186">
        <f>IF($K904="","",INDEX(Zeiterfassung!$E$6:$E$3665,$K904))</f>
        <v/>
      </c>
      <c r="F904" s="187">
        <f>IF($K904="","",INDEX(Zeiterfassung!$F$6:$F$3665,$K904))</f>
        <v/>
      </c>
      <c r="G904" s="187">
        <f>IF($K904="","",INDEX(Zeiterfassung!$G$6:$G$3665,$K904))</f>
        <v/>
      </c>
      <c r="H904" s="188">
        <f>IF($K904="","",INDEX(Zeiterfassung!$H$6:$H$3665,$K904))</f>
        <v/>
      </c>
      <c r="I904" s="335">
        <f>IF(B904=B903,"",IF($K904="","",INDEX(Zeiterfassung!$I$6:$I$3665,MATCH(INDEX(Zeiterfassung!$K$6:$K$3665,$K904),Zeiterfassung!$K$6:$K$3665,0))))</f>
        <v/>
      </c>
      <c r="J904" s="335">
        <f>IF(B904=B903,"",IF($K904="","",INDEX(Zeiterfassung!$J$6:$J$3665,MATCH(INDEX(Zeiterfassung!$K$6:$K$3665,$K904),Zeiterfassung!$K$6:$K$3665,0))))</f>
        <v/>
      </c>
      <c r="K904">
        <f>IFERROR(AGGREGATE(15,6,(ROW(Zeiterfassung!$D$6:$D$3665)-ROW(Zeiterfassung!$D$6)+1)/(Zeiterfassung!$D$6:$D$3665&lt;&gt;""),899),"")</f>
        <v/>
      </c>
    </row>
    <row r="905" ht="20" customHeight="1">
      <c r="A905" s="183">
        <f>IF($K905="","",WEEKNUM(INDEX(Zeiterfassung!$K$6:$K$3665,$K905),21))</f>
        <v/>
      </c>
      <c r="B905" s="184">
        <f>IF($K905="","",INDEX(Zeiterfassung!$K$6:$K$3665,$K905))</f>
        <v/>
      </c>
      <c r="C905" s="185">
        <f>IF($K905="","",INDEX(Zeiterfassung!$K$6:$K$3665,$K905))</f>
        <v/>
      </c>
      <c r="D905" s="186">
        <f>IF($K905="","",INDEX(Zeiterfassung!$D$6:$D$3665,$K905))</f>
        <v/>
      </c>
      <c r="E905" s="186">
        <f>IF($K905="","",INDEX(Zeiterfassung!$E$6:$E$3665,$K905))</f>
        <v/>
      </c>
      <c r="F905" s="187">
        <f>IF($K905="","",INDEX(Zeiterfassung!$F$6:$F$3665,$K905))</f>
        <v/>
      </c>
      <c r="G905" s="187">
        <f>IF($K905="","",INDEX(Zeiterfassung!$G$6:$G$3665,$K905))</f>
        <v/>
      </c>
      <c r="H905" s="188">
        <f>IF($K905="","",INDEX(Zeiterfassung!$H$6:$H$3665,$K905))</f>
        <v/>
      </c>
      <c r="I905" s="335">
        <f>IF(B905=B904,"",IF($K905="","",INDEX(Zeiterfassung!$I$6:$I$3665,MATCH(INDEX(Zeiterfassung!$K$6:$K$3665,$K905),Zeiterfassung!$K$6:$K$3665,0))))</f>
        <v/>
      </c>
      <c r="J905" s="335">
        <f>IF(B905=B904,"",IF($K905="","",INDEX(Zeiterfassung!$J$6:$J$3665,MATCH(INDEX(Zeiterfassung!$K$6:$K$3665,$K905),Zeiterfassung!$K$6:$K$3665,0))))</f>
        <v/>
      </c>
      <c r="K905">
        <f>IFERROR(AGGREGATE(15,6,(ROW(Zeiterfassung!$D$6:$D$3665)-ROW(Zeiterfassung!$D$6)+1)/(Zeiterfassung!$D$6:$D$3665&lt;&gt;""),900),"")</f>
        <v/>
      </c>
    </row>
    <row r="906" ht="20" customHeight="1">
      <c r="A906" s="183">
        <f>IF($K906="","",WEEKNUM(INDEX(Zeiterfassung!$K$6:$K$3665,$K906),21))</f>
        <v/>
      </c>
      <c r="B906" s="184">
        <f>IF($K906="","",INDEX(Zeiterfassung!$K$6:$K$3665,$K906))</f>
        <v/>
      </c>
      <c r="C906" s="185">
        <f>IF($K906="","",INDEX(Zeiterfassung!$K$6:$K$3665,$K906))</f>
        <v/>
      </c>
      <c r="D906" s="186">
        <f>IF($K906="","",INDEX(Zeiterfassung!$D$6:$D$3665,$K906))</f>
        <v/>
      </c>
      <c r="E906" s="186">
        <f>IF($K906="","",INDEX(Zeiterfassung!$E$6:$E$3665,$K906))</f>
        <v/>
      </c>
      <c r="F906" s="187">
        <f>IF($K906="","",INDEX(Zeiterfassung!$F$6:$F$3665,$K906))</f>
        <v/>
      </c>
      <c r="G906" s="187">
        <f>IF($K906="","",INDEX(Zeiterfassung!$G$6:$G$3665,$K906))</f>
        <v/>
      </c>
      <c r="H906" s="188">
        <f>IF($K906="","",INDEX(Zeiterfassung!$H$6:$H$3665,$K906))</f>
        <v/>
      </c>
      <c r="I906" s="335">
        <f>IF(B906=B905,"",IF($K906="","",INDEX(Zeiterfassung!$I$6:$I$3665,MATCH(INDEX(Zeiterfassung!$K$6:$K$3665,$K906),Zeiterfassung!$K$6:$K$3665,0))))</f>
        <v/>
      </c>
      <c r="J906" s="335">
        <f>IF(B906=B905,"",IF($K906="","",INDEX(Zeiterfassung!$J$6:$J$3665,MATCH(INDEX(Zeiterfassung!$K$6:$K$3665,$K906),Zeiterfassung!$K$6:$K$3665,0))))</f>
        <v/>
      </c>
      <c r="K906">
        <f>IFERROR(AGGREGATE(15,6,(ROW(Zeiterfassung!$D$6:$D$3665)-ROW(Zeiterfassung!$D$6)+1)/(Zeiterfassung!$D$6:$D$3665&lt;&gt;""),901),"")</f>
        <v/>
      </c>
    </row>
    <row r="907" ht="20" customHeight="1">
      <c r="A907" s="183">
        <f>IF($K907="","",WEEKNUM(INDEX(Zeiterfassung!$K$6:$K$3665,$K907),21))</f>
        <v/>
      </c>
      <c r="B907" s="184">
        <f>IF($K907="","",INDEX(Zeiterfassung!$K$6:$K$3665,$K907))</f>
        <v/>
      </c>
      <c r="C907" s="185">
        <f>IF($K907="","",INDEX(Zeiterfassung!$K$6:$K$3665,$K907))</f>
        <v/>
      </c>
      <c r="D907" s="186">
        <f>IF($K907="","",INDEX(Zeiterfassung!$D$6:$D$3665,$K907))</f>
        <v/>
      </c>
      <c r="E907" s="186">
        <f>IF($K907="","",INDEX(Zeiterfassung!$E$6:$E$3665,$K907))</f>
        <v/>
      </c>
      <c r="F907" s="187">
        <f>IF($K907="","",INDEX(Zeiterfassung!$F$6:$F$3665,$K907))</f>
        <v/>
      </c>
      <c r="G907" s="187">
        <f>IF($K907="","",INDEX(Zeiterfassung!$G$6:$G$3665,$K907))</f>
        <v/>
      </c>
      <c r="H907" s="188">
        <f>IF($K907="","",INDEX(Zeiterfassung!$H$6:$H$3665,$K907))</f>
        <v/>
      </c>
      <c r="I907" s="335">
        <f>IF(B907=B906,"",IF($K907="","",INDEX(Zeiterfassung!$I$6:$I$3665,MATCH(INDEX(Zeiterfassung!$K$6:$K$3665,$K907),Zeiterfassung!$K$6:$K$3665,0))))</f>
        <v/>
      </c>
      <c r="J907" s="335">
        <f>IF(B907=B906,"",IF($K907="","",INDEX(Zeiterfassung!$J$6:$J$3665,MATCH(INDEX(Zeiterfassung!$K$6:$K$3665,$K907),Zeiterfassung!$K$6:$K$3665,0))))</f>
        <v/>
      </c>
      <c r="K907">
        <f>IFERROR(AGGREGATE(15,6,(ROW(Zeiterfassung!$D$6:$D$3665)-ROW(Zeiterfassung!$D$6)+1)/(Zeiterfassung!$D$6:$D$3665&lt;&gt;""),902),"")</f>
        <v/>
      </c>
    </row>
    <row r="908" ht="20" customHeight="1">
      <c r="A908" s="183">
        <f>IF($K908="","",WEEKNUM(INDEX(Zeiterfassung!$K$6:$K$3665,$K908),21))</f>
        <v/>
      </c>
      <c r="B908" s="184">
        <f>IF($K908="","",INDEX(Zeiterfassung!$K$6:$K$3665,$K908))</f>
        <v/>
      </c>
      <c r="C908" s="185">
        <f>IF($K908="","",INDEX(Zeiterfassung!$K$6:$K$3665,$K908))</f>
        <v/>
      </c>
      <c r="D908" s="186">
        <f>IF($K908="","",INDEX(Zeiterfassung!$D$6:$D$3665,$K908))</f>
        <v/>
      </c>
      <c r="E908" s="186">
        <f>IF($K908="","",INDEX(Zeiterfassung!$E$6:$E$3665,$K908))</f>
        <v/>
      </c>
      <c r="F908" s="187">
        <f>IF($K908="","",INDEX(Zeiterfassung!$F$6:$F$3665,$K908))</f>
        <v/>
      </c>
      <c r="G908" s="187">
        <f>IF($K908="","",INDEX(Zeiterfassung!$G$6:$G$3665,$K908))</f>
        <v/>
      </c>
      <c r="H908" s="188">
        <f>IF($K908="","",INDEX(Zeiterfassung!$H$6:$H$3665,$K908))</f>
        <v/>
      </c>
      <c r="I908" s="335">
        <f>IF(B908=B907,"",IF($K908="","",INDEX(Zeiterfassung!$I$6:$I$3665,MATCH(INDEX(Zeiterfassung!$K$6:$K$3665,$K908),Zeiterfassung!$K$6:$K$3665,0))))</f>
        <v/>
      </c>
      <c r="J908" s="335">
        <f>IF(B908=B907,"",IF($K908="","",INDEX(Zeiterfassung!$J$6:$J$3665,MATCH(INDEX(Zeiterfassung!$K$6:$K$3665,$K908),Zeiterfassung!$K$6:$K$3665,0))))</f>
        <v/>
      </c>
      <c r="K908">
        <f>IFERROR(AGGREGATE(15,6,(ROW(Zeiterfassung!$D$6:$D$3665)-ROW(Zeiterfassung!$D$6)+1)/(Zeiterfassung!$D$6:$D$3665&lt;&gt;""),903),"")</f>
        <v/>
      </c>
    </row>
    <row r="909" ht="20" customHeight="1">
      <c r="A909" s="183">
        <f>IF($K909="","",WEEKNUM(INDEX(Zeiterfassung!$K$6:$K$3665,$K909),21))</f>
        <v/>
      </c>
      <c r="B909" s="184">
        <f>IF($K909="","",INDEX(Zeiterfassung!$K$6:$K$3665,$K909))</f>
        <v/>
      </c>
      <c r="C909" s="185">
        <f>IF($K909="","",INDEX(Zeiterfassung!$K$6:$K$3665,$K909))</f>
        <v/>
      </c>
      <c r="D909" s="186">
        <f>IF($K909="","",INDEX(Zeiterfassung!$D$6:$D$3665,$K909))</f>
        <v/>
      </c>
      <c r="E909" s="186">
        <f>IF($K909="","",INDEX(Zeiterfassung!$E$6:$E$3665,$K909))</f>
        <v/>
      </c>
      <c r="F909" s="187">
        <f>IF($K909="","",INDEX(Zeiterfassung!$F$6:$F$3665,$K909))</f>
        <v/>
      </c>
      <c r="G909" s="187">
        <f>IF($K909="","",INDEX(Zeiterfassung!$G$6:$G$3665,$K909))</f>
        <v/>
      </c>
      <c r="H909" s="188">
        <f>IF($K909="","",INDEX(Zeiterfassung!$H$6:$H$3665,$K909))</f>
        <v/>
      </c>
      <c r="I909" s="335">
        <f>IF(B909=B908,"",IF($K909="","",INDEX(Zeiterfassung!$I$6:$I$3665,MATCH(INDEX(Zeiterfassung!$K$6:$K$3665,$K909),Zeiterfassung!$K$6:$K$3665,0))))</f>
        <v/>
      </c>
      <c r="J909" s="335">
        <f>IF(B909=B908,"",IF($K909="","",INDEX(Zeiterfassung!$J$6:$J$3665,MATCH(INDEX(Zeiterfassung!$K$6:$K$3665,$K909),Zeiterfassung!$K$6:$K$3665,0))))</f>
        <v/>
      </c>
      <c r="K909">
        <f>IFERROR(AGGREGATE(15,6,(ROW(Zeiterfassung!$D$6:$D$3665)-ROW(Zeiterfassung!$D$6)+1)/(Zeiterfassung!$D$6:$D$3665&lt;&gt;""),904),"")</f>
        <v/>
      </c>
    </row>
    <row r="910" ht="20" customHeight="1">
      <c r="A910" s="183">
        <f>IF($K910="","",WEEKNUM(INDEX(Zeiterfassung!$K$6:$K$3665,$K910),21))</f>
        <v/>
      </c>
      <c r="B910" s="184">
        <f>IF($K910="","",INDEX(Zeiterfassung!$K$6:$K$3665,$K910))</f>
        <v/>
      </c>
      <c r="C910" s="185">
        <f>IF($K910="","",INDEX(Zeiterfassung!$K$6:$K$3665,$K910))</f>
        <v/>
      </c>
      <c r="D910" s="186">
        <f>IF($K910="","",INDEX(Zeiterfassung!$D$6:$D$3665,$K910))</f>
        <v/>
      </c>
      <c r="E910" s="186">
        <f>IF($K910="","",INDEX(Zeiterfassung!$E$6:$E$3665,$K910))</f>
        <v/>
      </c>
      <c r="F910" s="187">
        <f>IF($K910="","",INDEX(Zeiterfassung!$F$6:$F$3665,$K910))</f>
        <v/>
      </c>
      <c r="G910" s="187">
        <f>IF($K910="","",INDEX(Zeiterfassung!$G$6:$G$3665,$K910))</f>
        <v/>
      </c>
      <c r="H910" s="188">
        <f>IF($K910="","",INDEX(Zeiterfassung!$H$6:$H$3665,$K910))</f>
        <v/>
      </c>
      <c r="I910" s="335">
        <f>IF(B910=B909,"",IF($K910="","",INDEX(Zeiterfassung!$I$6:$I$3665,MATCH(INDEX(Zeiterfassung!$K$6:$K$3665,$K910),Zeiterfassung!$K$6:$K$3665,0))))</f>
        <v/>
      </c>
      <c r="J910" s="335">
        <f>IF(B910=B909,"",IF($K910="","",INDEX(Zeiterfassung!$J$6:$J$3665,MATCH(INDEX(Zeiterfassung!$K$6:$K$3665,$K910),Zeiterfassung!$K$6:$K$3665,0))))</f>
        <v/>
      </c>
      <c r="K910">
        <f>IFERROR(AGGREGATE(15,6,(ROW(Zeiterfassung!$D$6:$D$3665)-ROW(Zeiterfassung!$D$6)+1)/(Zeiterfassung!$D$6:$D$3665&lt;&gt;""),905),"")</f>
        <v/>
      </c>
    </row>
    <row r="911" ht="20" customHeight="1">
      <c r="A911" s="183">
        <f>IF($K911="","",WEEKNUM(INDEX(Zeiterfassung!$K$6:$K$3665,$K911),21))</f>
        <v/>
      </c>
      <c r="B911" s="184">
        <f>IF($K911="","",INDEX(Zeiterfassung!$K$6:$K$3665,$K911))</f>
        <v/>
      </c>
      <c r="C911" s="185">
        <f>IF($K911="","",INDEX(Zeiterfassung!$K$6:$K$3665,$K911))</f>
        <v/>
      </c>
      <c r="D911" s="186">
        <f>IF($K911="","",INDEX(Zeiterfassung!$D$6:$D$3665,$K911))</f>
        <v/>
      </c>
      <c r="E911" s="186">
        <f>IF($K911="","",INDEX(Zeiterfassung!$E$6:$E$3665,$K911))</f>
        <v/>
      </c>
      <c r="F911" s="187">
        <f>IF($K911="","",INDEX(Zeiterfassung!$F$6:$F$3665,$K911))</f>
        <v/>
      </c>
      <c r="G911" s="187">
        <f>IF($K911="","",INDEX(Zeiterfassung!$G$6:$G$3665,$K911))</f>
        <v/>
      </c>
      <c r="H911" s="188">
        <f>IF($K911="","",INDEX(Zeiterfassung!$H$6:$H$3665,$K911))</f>
        <v/>
      </c>
      <c r="I911" s="335">
        <f>IF(B911=B910,"",IF($K911="","",INDEX(Zeiterfassung!$I$6:$I$3665,MATCH(INDEX(Zeiterfassung!$K$6:$K$3665,$K911),Zeiterfassung!$K$6:$K$3665,0))))</f>
        <v/>
      </c>
      <c r="J911" s="335">
        <f>IF(B911=B910,"",IF($K911="","",INDEX(Zeiterfassung!$J$6:$J$3665,MATCH(INDEX(Zeiterfassung!$K$6:$K$3665,$K911),Zeiterfassung!$K$6:$K$3665,0))))</f>
        <v/>
      </c>
      <c r="K911">
        <f>IFERROR(AGGREGATE(15,6,(ROW(Zeiterfassung!$D$6:$D$3665)-ROW(Zeiterfassung!$D$6)+1)/(Zeiterfassung!$D$6:$D$3665&lt;&gt;""),906),"")</f>
        <v/>
      </c>
    </row>
    <row r="912" ht="20" customHeight="1">
      <c r="A912" s="183">
        <f>IF($K912="","",WEEKNUM(INDEX(Zeiterfassung!$K$6:$K$3665,$K912),21))</f>
        <v/>
      </c>
      <c r="B912" s="184">
        <f>IF($K912="","",INDEX(Zeiterfassung!$K$6:$K$3665,$K912))</f>
        <v/>
      </c>
      <c r="C912" s="185">
        <f>IF($K912="","",INDEX(Zeiterfassung!$K$6:$K$3665,$K912))</f>
        <v/>
      </c>
      <c r="D912" s="186">
        <f>IF($K912="","",INDEX(Zeiterfassung!$D$6:$D$3665,$K912))</f>
        <v/>
      </c>
      <c r="E912" s="186">
        <f>IF($K912="","",INDEX(Zeiterfassung!$E$6:$E$3665,$K912))</f>
        <v/>
      </c>
      <c r="F912" s="187">
        <f>IF($K912="","",INDEX(Zeiterfassung!$F$6:$F$3665,$K912))</f>
        <v/>
      </c>
      <c r="G912" s="187">
        <f>IF($K912="","",INDEX(Zeiterfassung!$G$6:$G$3665,$K912))</f>
        <v/>
      </c>
      <c r="H912" s="188">
        <f>IF($K912="","",INDEX(Zeiterfassung!$H$6:$H$3665,$K912))</f>
        <v/>
      </c>
      <c r="I912" s="335">
        <f>IF(B912=B911,"",IF($K912="","",INDEX(Zeiterfassung!$I$6:$I$3665,MATCH(INDEX(Zeiterfassung!$K$6:$K$3665,$K912),Zeiterfassung!$K$6:$K$3665,0))))</f>
        <v/>
      </c>
      <c r="J912" s="335">
        <f>IF(B912=B911,"",IF($K912="","",INDEX(Zeiterfassung!$J$6:$J$3665,MATCH(INDEX(Zeiterfassung!$K$6:$K$3665,$K912),Zeiterfassung!$K$6:$K$3665,0))))</f>
        <v/>
      </c>
      <c r="K912">
        <f>IFERROR(AGGREGATE(15,6,(ROW(Zeiterfassung!$D$6:$D$3665)-ROW(Zeiterfassung!$D$6)+1)/(Zeiterfassung!$D$6:$D$3665&lt;&gt;""),907),"")</f>
        <v/>
      </c>
    </row>
    <row r="913" ht="20" customHeight="1">
      <c r="A913" s="183">
        <f>IF($K913="","",WEEKNUM(INDEX(Zeiterfassung!$K$6:$K$3665,$K913),21))</f>
        <v/>
      </c>
      <c r="B913" s="184">
        <f>IF($K913="","",INDEX(Zeiterfassung!$K$6:$K$3665,$K913))</f>
        <v/>
      </c>
      <c r="C913" s="185">
        <f>IF($K913="","",INDEX(Zeiterfassung!$K$6:$K$3665,$K913))</f>
        <v/>
      </c>
      <c r="D913" s="186">
        <f>IF($K913="","",INDEX(Zeiterfassung!$D$6:$D$3665,$K913))</f>
        <v/>
      </c>
      <c r="E913" s="186">
        <f>IF($K913="","",INDEX(Zeiterfassung!$E$6:$E$3665,$K913))</f>
        <v/>
      </c>
      <c r="F913" s="187">
        <f>IF($K913="","",INDEX(Zeiterfassung!$F$6:$F$3665,$K913))</f>
        <v/>
      </c>
      <c r="G913" s="187">
        <f>IF($K913="","",INDEX(Zeiterfassung!$G$6:$G$3665,$K913))</f>
        <v/>
      </c>
      <c r="H913" s="188">
        <f>IF($K913="","",INDEX(Zeiterfassung!$H$6:$H$3665,$K913))</f>
        <v/>
      </c>
      <c r="I913" s="335">
        <f>IF(B913=B912,"",IF($K913="","",INDEX(Zeiterfassung!$I$6:$I$3665,MATCH(INDEX(Zeiterfassung!$K$6:$K$3665,$K913),Zeiterfassung!$K$6:$K$3665,0))))</f>
        <v/>
      </c>
      <c r="J913" s="335">
        <f>IF(B913=B912,"",IF($K913="","",INDEX(Zeiterfassung!$J$6:$J$3665,MATCH(INDEX(Zeiterfassung!$K$6:$K$3665,$K913),Zeiterfassung!$K$6:$K$3665,0))))</f>
        <v/>
      </c>
      <c r="K913">
        <f>IFERROR(AGGREGATE(15,6,(ROW(Zeiterfassung!$D$6:$D$3665)-ROW(Zeiterfassung!$D$6)+1)/(Zeiterfassung!$D$6:$D$3665&lt;&gt;""),908),"")</f>
        <v/>
      </c>
    </row>
    <row r="914" ht="20" customHeight="1">
      <c r="A914" s="183">
        <f>IF($K914="","",WEEKNUM(INDEX(Zeiterfassung!$K$6:$K$3665,$K914),21))</f>
        <v/>
      </c>
      <c r="B914" s="184">
        <f>IF($K914="","",INDEX(Zeiterfassung!$K$6:$K$3665,$K914))</f>
        <v/>
      </c>
      <c r="C914" s="185">
        <f>IF($K914="","",INDEX(Zeiterfassung!$K$6:$K$3665,$K914))</f>
        <v/>
      </c>
      <c r="D914" s="186">
        <f>IF($K914="","",INDEX(Zeiterfassung!$D$6:$D$3665,$K914))</f>
        <v/>
      </c>
      <c r="E914" s="186">
        <f>IF($K914="","",INDEX(Zeiterfassung!$E$6:$E$3665,$K914))</f>
        <v/>
      </c>
      <c r="F914" s="187">
        <f>IF($K914="","",INDEX(Zeiterfassung!$F$6:$F$3665,$K914))</f>
        <v/>
      </c>
      <c r="G914" s="187">
        <f>IF($K914="","",INDEX(Zeiterfassung!$G$6:$G$3665,$K914))</f>
        <v/>
      </c>
      <c r="H914" s="188">
        <f>IF($K914="","",INDEX(Zeiterfassung!$H$6:$H$3665,$K914))</f>
        <v/>
      </c>
      <c r="I914" s="335">
        <f>IF(B914=B913,"",IF($K914="","",INDEX(Zeiterfassung!$I$6:$I$3665,MATCH(INDEX(Zeiterfassung!$K$6:$K$3665,$K914),Zeiterfassung!$K$6:$K$3665,0))))</f>
        <v/>
      </c>
      <c r="J914" s="335">
        <f>IF(B914=B913,"",IF($K914="","",INDEX(Zeiterfassung!$J$6:$J$3665,MATCH(INDEX(Zeiterfassung!$K$6:$K$3665,$K914),Zeiterfassung!$K$6:$K$3665,0))))</f>
        <v/>
      </c>
      <c r="K914">
        <f>IFERROR(AGGREGATE(15,6,(ROW(Zeiterfassung!$D$6:$D$3665)-ROW(Zeiterfassung!$D$6)+1)/(Zeiterfassung!$D$6:$D$3665&lt;&gt;""),909),"")</f>
        <v/>
      </c>
    </row>
    <row r="915" ht="20" customHeight="1">
      <c r="A915" s="183">
        <f>IF($K915="","",WEEKNUM(INDEX(Zeiterfassung!$K$6:$K$3665,$K915),21))</f>
        <v/>
      </c>
      <c r="B915" s="184">
        <f>IF($K915="","",INDEX(Zeiterfassung!$K$6:$K$3665,$K915))</f>
        <v/>
      </c>
      <c r="C915" s="185">
        <f>IF($K915="","",INDEX(Zeiterfassung!$K$6:$K$3665,$K915))</f>
        <v/>
      </c>
      <c r="D915" s="186">
        <f>IF($K915="","",INDEX(Zeiterfassung!$D$6:$D$3665,$K915))</f>
        <v/>
      </c>
      <c r="E915" s="186">
        <f>IF($K915="","",INDEX(Zeiterfassung!$E$6:$E$3665,$K915))</f>
        <v/>
      </c>
      <c r="F915" s="187">
        <f>IF($K915="","",INDEX(Zeiterfassung!$F$6:$F$3665,$K915))</f>
        <v/>
      </c>
      <c r="G915" s="187">
        <f>IF($K915="","",INDEX(Zeiterfassung!$G$6:$G$3665,$K915))</f>
        <v/>
      </c>
      <c r="H915" s="188">
        <f>IF($K915="","",INDEX(Zeiterfassung!$H$6:$H$3665,$K915))</f>
        <v/>
      </c>
      <c r="I915" s="335">
        <f>IF(B915=B914,"",IF($K915="","",INDEX(Zeiterfassung!$I$6:$I$3665,MATCH(INDEX(Zeiterfassung!$K$6:$K$3665,$K915),Zeiterfassung!$K$6:$K$3665,0))))</f>
        <v/>
      </c>
      <c r="J915" s="335">
        <f>IF(B915=B914,"",IF($K915="","",INDEX(Zeiterfassung!$J$6:$J$3665,MATCH(INDEX(Zeiterfassung!$K$6:$K$3665,$K915),Zeiterfassung!$K$6:$K$3665,0))))</f>
        <v/>
      </c>
      <c r="K915">
        <f>IFERROR(AGGREGATE(15,6,(ROW(Zeiterfassung!$D$6:$D$3665)-ROW(Zeiterfassung!$D$6)+1)/(Zeiterfassung!$D$6:$D$3665&lt;&gt;""),910),"")</f>
        <v/>
      </c>
    </row>
    <row r="916" ht="20" customHeight="1">
      <c r="A916" s="183">
        <f>IF($K916="","",WEEKNUM(INDEX(Zeiterfassung!$K$6:$K$3665,$K916),21))</f>
        <v/>
      </c>
      <c r="B916" s="184">
        <f>IF($K916="","",INDEX(Zeiterfassung!$K$6:$K$3665,$K916))</f>
        <v/>
      </c>
      <c r="C916" s="185">
        <f>IF($K916="","",INDEX(Zeiterfassung!$K$6:$K$3665,$K916))</f>
        <v/>
      </c>
      <c r="D916" s="186">
        <f>IF($K916="","",INDEX(Zeiterfassung!$D$6:$D$3665,$K916))</f>
        <v/>
      </c>
      <c r="E916" s="186">
        <f>IF($K916="","",INDEX(Zeiterfassung!$E$6:$E$3665,$K916))</f>
        <v/>
      </c>
      <c r="F916" s="187">
        <f>IF($K916="","",INDEX(Zeiterfassung!$F$6:$F$3665,$K916))</f>
        <v/>
      </c>
      <c r="G916" s="187">
        <f>IF($K916="","",INDEX(Zeiterfassung!$G$6:$G$3665,$K916))</f>
        <v/>
      </c>
      <c r="H916" s="188">
        <f>IF($K916="","",INDEX(Zeiterfassung!$H$6:$H$3665,$K916))</f>
        <v/>
      </c>
      <c r="I916" s="335">
        <f>IF(B916=B915,"",IF($K916="","",INDEX(Zeiterfassung!$I$6:$I$3665,MATCH(INDEX(Zeiterfassung!$K$6:$K$3665,$K916),Zeiterfassung!$K$6:$K$3665,0))))</f>
        <v/>
      </c>
      <c r="J916" s="335">
        <f>IF(B916=B915,"",IF($K916="","",INDEX(Zeiterfassung!$J$6:$J$3665,MATCH(INDEX(Zeiterfassung!$K$6:$K$3665,$K916),Zeiterfassung!$K$6:$K$3665,0))))</f>
        <v/>
      </c>
      <c r="K916">
        <f>IFERROR(AGGREGATE(15,6,(ROW(Zeiterfassung!$D$6:$D$3665)-ROW(Zeiterfassung!$D$6)+1)/(Zeiterfassung!$D$6:$D$3665&lt;&gt;""),911),"")</f>
        <v/>
      </c>
    </row>
    <row r="917" ht="20" customHeight="1">
      <c r="A917" s="183">
        <f>IF($K917="","",WEEKNUM(INDEX(Zeiterfassung!$K$6:$K$3665,$K917),21))</f>
        <v/>
      </c>
      <c r="B917" s="184">
        <f>IF($K917="","",INDEX(Zeiterfassung!$K$6:$K$3665,$K917))</f>
        <v/>
      </c>
      <c r="C917" s="185">
        <f>IF($K917="","",INDEX(Zeiterfassung!$K$6:$K$3665,$K917))</f>
        <v/>
      </c>
      <c r="D917" s="186">
        <f>IF($K917="","",INDEX(Zeiterfassung!$D$6:$D$3665,$K917))</f>
        <v/>
      </c>
      <c r="E917" s="186">
        <f>IF($K917="","",INDEX(Zeiterfassung!$E$6:$E$3665,$K917))</f>
        <v/>
      </c>
      <c r="F917" s="187">
        <f>IF($K917="","",INDEX(Zeiterfassung!$F$6:$F$3665,$K917))</f>
        <v/>
      </c>
      <c r="G917" s="187">
        <f>IF($K917="","",INDEX(Zeiterfassung!$G$6:$G$3665,$K917))</f>
        <v/>
      </c>
      <c r="H917" s="188">
        <f>IF($K917="","",INDEX(Zeiterfassung!$H$6:$H$3665,$K917))</f>
        <v/>
      </c>
      <c r="I917" s="335">
        <f>IF(B917=B916,"",IF($K917="","",INDEX(Zeiterfassung!$I$6:$I$3665,MATCH(INDEX(Zeiterfassung!$K$6:$K$3665,$K917),Zeiterfassung!$K$6:$K$3665,0))))</f>
        <v/>
      </c>
      <c r="J917" s="335">
        <f>IF(B917=B916,"",IF($K917="","",INDEX(Zeiterfassung!$J$6:$J$3665,MATCH(INDEX(Zeiterfassung!$K$6:$K$3665,$K917),Zeiterfassung!$K$6:$K$3665,0))))</f>
        <v/>
      </c>
      <c r="K917">
        <f>IFERROR(AGGREGATE(15,6,(ROW(Zeiterfassung!$D$6:$D$3665)-ROW(Zeiterfassung!$D$6)+1)/(Zeiterfassung!$D$6:$D$3665&lt;&gt;""),912),"")</f>
        <v/>
      </c>
    </row>
    <row r="918" ht="20" customHeight="1">
      <c r="A918" s="183">
        <f>IF($K918="","",WEEKNUM(INDEX(Zeiterfassung!$K$6:$K$3665,$K918),21))</f>
        <v/>
      </c>
      <c r="B918" s="184">
        <f>IF($K918="","",INDEX(Zeiterfassung!$K$6:$K$3665,$K918))</f>
        <v/>
      </c>
      <c r="C918" s="185">
        <f>IF($K918="","",INDEX(Zeiterfassung!$K$6:$K$3665,$K918))</f>
        <v/>
      </c>
      <c r="D918" s="186">
        <f>IF($K918="","",INDEX(Zeiterfassung!$D$6:$D$3665,$K918))</f>
        <v/>
      </c>
      <c r="E918" s="186">
        <f>IF($K918="","",INDEX(Zeiterfassung!$E$6:$E$3665,$K918))</f>
        <v/>
      </c>
      <c r="F918" s="187">
        <f>IF($K918="","",INDEX(Zeiterfassung!$F$6:$F$3665,$K918))</f>
        <v/>
      </c>
      <c r="G918" s="187">
        <f>IF($K918="","",INDEX(Zeiterfassung!$G$6:$G$3665,$K918))</f>
        <v/>
      </c>
      <c r="H918" s="188">
        <f>IF($K918="","",INDEX(Zeiterfassung!$H$6:$H$3665,$K918))</f>
        <v/>
      </c>
      <c r="I918" s="335">
        <f>IF(B918=B917,"",IF($K918="","",INDEX(Zeiterfassung!$I$6:$I$3665,MATCH(INDEX(Zeiterfassung!$K$6:$K$3665,$K918),Zeiterfassung!$K$6:$K$3665,0))))</f>
        <v/>
      </c>
      <c r="J918" s="335">
        <f>IF(B918=B917,"",IF($K918="","",INDEX(Zeiterfassung!$J$6:$J$3665,MATCH(INDEX(Zeiterfassung!$K$6:$K$3665,$K918),Zeiterfassung!$K$6:$K$3665,0))))</f>
        <v/>
      </c>
      <c r="K918">
        <f>IFERROR(AGGREGATE(15,6,(ROW(Zeiterfassung!$D$6:$D$3665)-ROW(Zeiterfassung!$D$6)+1)/(Zeiterfassung!$D$6:$D$3665&lt;&gt;""),913),"")</f>
        <v/>
      </c>
    </row>
    <row r="919" ht="20" customHeight="1">
      <c r="A919" s="183">
        <f>IF($K919="","",WEEKNUM(INDEX(Zeiterfassung!$K$6:$K$3665,$K919),21))</f>
        <v/>
      </c>
      <c r="B919" s="184">
        <f>IF($K919="","",INDEX(Zeiterfassung!$K$6:$K$3665,$K919))</f>
        <v/>
      </c>
      <c r="C919" s="185">
        <f>IF($K919="","",INDEX(Zeiterfassung!$K$6:$K$3665,$K919))</f>
        <v/>
      </c>
      <c r="D919" s="186">
        <f>IF($K919="","",INDEX(Zeiterfassung!$D$6:$D$3665,$K919))</f>
        <v/>
      </c>
      <c r="E919" s="186">
        <f>IF($K919="","",INDEX(Zeiterfassung!$E$6:$E$3665,$K919))</f>
        <v/>
      </c>
      <c r="F919" s="187">
        <f>IF($K919="","",INDEX(Zeiterfassung!$F$6:$F$3665,$K919))</f>
        <v/>
      </c>
      <c r="G919" s="187">
        <f>IF($K919="","",INDEX(Zeiterfassung!$G$6:$G$3665,$K919))</f>
        <v/>
      </c>
      <c r="H919" s="188">
        <f>IF($K919="","",INDEX(Zeiterfassung!$H$6:$H$3665,$K919))</f>
        <v/>
      </c>
      <c r="I919" s="335">
        <f>IF(B919=B918,"",IF($K919="","",INDEX(Zeiterfassung!$I$6:$I$3665,MATCH(INDEX(Zeiterfassung!$K$6:$K$3665,$K919),Zeiterfassung!$K$6:$K$3665,0))))</f>
        <v/>
      </c>
      <c r="J919" s="335">
        <f>IF(B919=B918,"",IF($K919="","",INDEX(Zeiterfassung!$J$6:$J$3665,MATCH(INDEX(Zeiterfassung!$K$6:$K$3665,$K919),Zeiterfassung!$K$6:$K$3665,0))))</f>
        <v/>
      </c>
      <c r="K919">
        <f>IFERROR(AGGREGATE(15,6,(ROW(Zeiterfassung!$D$6:$D$3665)-ROW(Zeiterfassung!$D$6)+1)/(Zeiterfassung!$D$6:$D$3665&lt;&gt;""),914),"")</f>
        <v/>
      </c>
    </row>
    <row r="920" ht="20" customHeight="1">
      <c r="A920" s="183">
        <f>IF($K920="","",WEEKNUM(INDEX(Zeiterfassung!$K$6:$K$3665,$K920),21))</f>
        <v/>
      </c>
      <c r="B920" s="184">
        <f>IF($K920="","",INDEX(Zeiterfassung!$K$6:$K$3665,$K920))</f>
        <v/>
      </c>
      <c r="C920" s="185">
        <f>IF($K920="","",INDEX(Zeiterfassung!$K$6:$K$3665,$K920))</f>
        <v/>
      </c>
      <c r="D920" s="186">
        <f>IF($K920="","",INDEX(Zeiterfassung!$D$6:$D$3665,$K920))</f>
        <v/>
      </c>
      <c r="E920" s="186">
        <f>IF($K920="","",INDEX(Zeiterfassung!$E$6:$E$3665,$K920))</f>
        <v/>
      </c>
      <c r="F920" s="187">
        <f>IF($K920="","",INDEX(Zeiterfassung!$F$6:$F$3665,$K920))</f>
        <v/>
      </c>
      <c r="G920" s="187">
        <f>IF($K920="","",INDEX(Zeiterfassung!$G$6:$G$3665,$K920))</f>
        <v/>
      </c>
      <c r="H920" s="188">
        <f>IF($K920="","",INDEX(Zeiterfassung!$H$6:$H$3665,$K920))</f>
        <v/>
      </c>
      <c r="I920" s="335">
        <f>IF(B920=B919,"",IF($K920="","",INDEX(Zeiterfassung!$I$6:$I$3665,MATCH(INDEX(Zeiterfassung!$K$6:$K$3665,$K920),Zeiterfassung!$K$6:$K$3665,0))))</f>
        <v/>
      </c>
      <c r="J920" s="335">
        <f>IF(B920=B919,"",IF($K920="","",INDEX(Zeiterfassung!$J$6:$J$3665,MATCH(INDEX(Zeiterfassung!$K$6:$K$3665,$K920),Zeiterfassung!$K$6:$K$3665,0))))</f>
        <v/>
      </c>
      <c r="K920">
        <f>IFERROR(AGGREGATE(15,6,(ROW(Zeiterfassung!$D$6:$D$3665)-ROW(Zeiterfassung!$D$6)+1)/(Zeiterfassung!$D$6:$D$3665&lt;&gt;""),915),"")</f>
        <v/>
      </c>
    </row>
    <row r="921" ht="20" customHeight="1">
      <c r="A921" s="183">
        <f>IF($K921="","",WEEKNUM(INDEX(Zeiterfassung!$K$6:$K$3665,$K921),21))</f>
        <v/>
      </c>
      <c r="B921" s="184">
        <f>IF($K921="","",INDEX(Zeiterfassung!$K$6:$K$3665,$K921))</f>
        <v/>
      </c>
      <c r="C921" s="185">
        <f>IF($K921="","",INDEX(Zeiterfassung!$K$6:$K$3665,$K921))</f>
        <v/>
      </c>
      <c r="D921" s="186">
        <f>IF($K921="","",INDEX(Zeiterfassung!$D$6:$D$3665,$K921))</f>
        <v/>
      </c>
      <c r="E921" s="186">
        <f>IF($K921="","",INDEX(Zeiterfassung!$E$6:$E$3665,$K921))</f>
        <v/>
      </c>
      <c r="F921" s="187">
        <f>IF($K921="","",INDEX(Zeiterfassung!$F$6:$F$3665,$K921))</f>
        <v/>
      </c>
      <c r="G921" s="187">
        <f>IF($K921="","",INDEX(Zeiterfassung!$G$6:$G$3665,$K921))</f>
        <v/>
      </c>
      <c r="H921" s="188">
        <f>IF($K921="","",INDEX(Zeiterfassung!$H$6:$H$3665,$K921))</f>
        <v/>
      </c>
      <c r="I921" s="335">
        <f>IF(B921=B920,"",IF($K921="","",INDEX(Zeiterfassung!$I$6:$I$3665,MATCH(INDEX(Zeiterfassung!$K$6:$K$3665,$K921),Zeiterfassung!$K$6:$K$3665,0))))</f>
        <v/>
      </c>
      <c r="J921" s="335">
        <f>IF(B921=B920,"",IF($K921="","",INDEX(Zeiterfassung!$J$6:$J$3665,MATCH(INDEX(Zeiterfassung!$K$6:$K$3665,$K921),Zeiterfassung!$K$6:$K$3665,0))))</f>
        <v/>
      </c>
      <c r="K921">
        <f>IFERROR(AGGREGATE(15,6,(ROW(Zeiterfassung!$D$6:$D$3665)-ROW(Zeiterfassung!$D$6)+1)/(Zeiterfassung!$D$6:$D$3665&lt;&gt;""),916),"")</f>
        <v/>
      </c>
    </row>
    <row r="922" ht="20" customHeight="1">
      <c r="A922" s="183">
        <f>IF($K922="","",WEEKNUM(INDEX(Zeiterfassung!$K$6:$K$3665,$K922),21))</f>
        <v/>
      </c>
      <c r="B922" s="184">
        <f>IF($K922="","",INDEX(Zeiterfassung!$K$6:$K$3665,$K922))</f>
        <v/>
      </c>
      <c r="C922" s="185">
        <f>IF($K922="","",INDEX(Zeiterfassung!$K$6:$K$3665,$K922))</f>
        <v/>
      </c>
      <c r="D922" s="186">
        <f>IF($K922="","",INDEX(Zeiterfassung!$D$6:$D$3665,$K922))</f>
        <v/>
      </c>
      <c r="E922" s="186">
        <f>IF($K922="","",INDEX(Zeiterfassung!$E$6:$E$3665,$K922))</f>
        <v/>
      </c>
      <c r="F922" s="187">
        <f>IF($K922="","",INDEX(Zeiterfassung!$F$6:$F$3665,$K922))</f>
        <v/>
      </c>
      <c r="G922" s="187">
        <f>IF($K922="","",INDEX(Zeiterfassung!$G$6:$G$3665,$K922))</f>
        <v/>
      </c>
      <c r="H922" s="188">
        <f>IF($K922="","",INDEX(Zeiterfassung!$H$6:$H$3665,$K922))</f>
        <v/>
      </c>
      <c r="I922" s="335">
        <f>IF(B922=B921,"",IF($K922="","",INDEX(Zeiterfassung!$I$6:$I$3665,MATCH(INDEX(Zeiterfassung!$K$6:$K$3665,$K922),Zeiterfassung!$K$6:$K$3665,0))))</f>
        <v/>
      </c>
      <c r="J922" s="335">
        <f>IF(B922=B921,"",IF($K922="","",INDEX(Zeiterfassung!$J$6:$J$3665,MATCH(INDEX(Zeiterfassung!$K$6:$K$3665,$K922),Zeiterfassung!$K$6:$K$3665,0))))</f>
        <v/>
      </c>
      <c r="K922">
        <f>IFERROR(AGGREGATE(15,6,(ROW(Zeiterfassung!$D$6:$D$3665)-ROW(Zeiterfassung!$D$6)+1)/(Zeiterfassung!$D$6:$D$3665&lt;&gt;""),917),"")</f>
        <v/>
      </c>
    </row>
    <row r="923" ht="20" customHeight="1">
      <c r="A923" s="183">
        <f>IF($K923="","",WEEKNUM(INDEX(Zeiterfassung!$K$6:$K$3665,$K923),21))</f>
        <v/>
      </c>
      <c r="B923" s="184">
        <f>IF($K923="","",INDEX(Zeiterfassung!$K$6:$K$3665,$K923))</f>
        <v/>
      </c>
      <c r="C923" s="185">
        <f>IF($K923="","",INDEX(Zeiterfassung!$K$6:$K$3665,$K923))</f>
        <v/>
      </c>
      <c r="D923" s="186">
        <f>IF($K923="","",INDEX(Zeiterfassung!$D$6:$D$3665,$K923))</f>
        <v/>
      </c>
      <c r="E923" s="186">
        <f>IF($K923="","",INDEX(Zeiterfassung!$E$6:$E$3665,$K923))</f>
        <v/>
      </c>
      <c r="F923" s="187">
        <f>IF($K923="","",INDEX(Zeiterfassung!$F$6:$F$3665,$K923))</f>
        <v/>
      </c>
      <c r="G923" s="187">
        <f>IF($K923="","",INDEX(Zeiterfassung!$G$6:$G$3665,$K923))</f>
        <v/>
      </c>
      <c r="H923" s="188">
        <f>IF($K923="","",INDEX(Zeiterfassung!$H$6:$H$3665,$K923))</f>
        <v/>
      </c>
      <c r="I923" s="335">
        <f>IF(B923=B922,"",IF($K923="","",INDEX(Zeiterfassung!$I$6:$I$3665,MATCH(INDEX(Zeiterfassung!$K$6:$K$3665,$K923),Zeiterfassung!$K$6:$K$3665,0))))</f>
        <v/>
      </c>
      <c r="J923" s="335">
        <f>IF(B923=B922,"",IF($K923="","",INDEX(Zeiterfassung!$J$6:$J$3665,MATCH(INDEX(Zeiterfassung!$K$6:$K$3665,$K923),Zeiterfassung!$K$6:$K$3665,0))))</f>
        <v/>
      </c>
      <c r="K923">
        <f>IFERROR(AGGREGATE(15,6,(ROW(Zeiterfassung!$D$6:$D$3665)-ROW(Zeiterfassung!$D$6)+1)/(Zeiterfassung!$D$6:$D$3665&lt;&gt;""),918),"")</f>
        <v/>
      </c>
    </row>
    <row r="924" ht="20" customHeight="1">
      <c r="A924" s="183">
        <f>IF($K924="","",WEEKNUM(INDEX(Zeiterfassung!$K$6:$K$3665,$K924),21))</f>
        <v/>
      </c>
      <c r="B924" s="184">
        <f>IF($K924="","",INDEX(Zeiterfassung!$K$6:$K$3665,$K924))</f>
        <v/>
      </c>
      <c r="C924" s="185">
        <f>IF($K924="","",INDEX(Zeiterfassung!$K$6:$K$3665,$K924))</f>
        <v/>
      </c>
      <c r="D924" s="186">
        <f>IF($K924="","",INDEX(Zeiterfassung!$D$6:$D$3665,$K924))</f>
        <v/>
      </c>
      <c r="E924" s="186">
        <f>IF($K924="","",INDEX(Zeiterfassung!$E$6:$E$3665,$K924))</f>
        <v/>
      </c>
      <c r="F924" s="187">
        <f>IF($K924="","",INDEX(Zeiterfassung!$F$6:$F$3665,$K924))</f>
        <v/>
      </c>
      <c r="G924" s="187">
        <f>IF($K924="","",INDEX(Zeiterfassung!$G$6:$G$3665,$K924))</f>
        <v/>
      </c>
      <c r="H924" s="188">
        <f>IF($K924="","",INDEX(Zeiterfassung!$H$6:$H$3665,$K924))</f>
        <v/>
      </c>
      <c r="I924" s="335">
        <f>IF(B924=B923,"",IF($K924="","",INDEX(Zeiterfassung!$I$6:$I$3665,MATCH(INDEX(Zeiterfassung!$K$6:$K$3665,$K924),Zeiterfassung!$K$6:$K$3665,0))))</f>
        <v/>
      </c>
      <c r="J924" s="335">
        <f>IF(B924=B923,"",IF($K924="","",INDEX(Zeiterfassung!$J$6:$J$3665,MATCH(INDEX(Zeiterfassung!$K$6:$K$3665,$K924),Zeiterfassung!$K$6:$K$3665,0))))</f>
        <v/>
      </c>
      <c r="K924">
        <f>IFERROR(AGGREGATE(15,6,(ROW(Zeiterfassung!$D$6:$D$3665)-ROW(Zeiterfassung!$D$6)+1)/(Zeiterfassung!$D$6:$D$3665&lt;&gt;""),919),"")</f>
        <v/>
      </c>
    </row>
    <row r="925" ht="20" customHeight="1">
      <c r="A925" s="183">
        <f>IF($K925="","",WEEKNUM(INDEX(Zeiterfassung!$K$6:$K$3665,$K925),21))</f>
        <v/>
      </c>
      <c r="B925" s="184">
        <f>IF($K925="","",INDEX(Zeiterfassung!$K$6:$K$3665,$K925))</f>
        <v/>
      </c>
      <c r="C925" s="185">
        <f>IF($K925="","",INDEX(Zeiterfassung!$K$6:$K$3665,$K925))</f>
        <v/>
      </c>
      <c r="D925" s="186">
        <f>IF($K925="","",INDEX(Zeiterfassung!$D$6:$D$3665,$K925))</f>
        <v/>
      </c>
      <c r="E925" s="186">
        <f>IF($K925="","",INDEX(Zeiterfassung!$E$6:$E$3665,$K925))</f>
        <v/>
      </c>
      <c r="F925" s="187">
        <f>IF($K925="","",INDEX(Zeiterfassung!$F$6:$F$3665,$K925))</f>
        <v/>
      </c>
      <c r="G925" s="187">
        <f>IF($K925="","",INDEX(Zeiterfassung!$G$6:$G$3665,$K925))</f>
        <v/>
      </c>
      <c r="H925" s="188">
        <f>IF($K925="","",INDEX(Zeiterfassung!$H$6:$H$3665,$K925))</f>
        <v/>
      </c>
      <c r="I925" s="335">
        <f>IF(B925=B924,"",IF($K925="","",INDEX(Zeiterfassung!$I$6:$I$3665,MATCH(INDEX(Zeiterfassung!$K$6:$K$3665,$K925),Zeiterfassung!$K$6:$K$3665,0))))</f>
        <v/>
      </c>
      <c r="J925" s="335">
        <f>IF(B925=B924,"",IF($K925="","",INDEX(Zeiterfassung!$J$6:$J$3665,MATCH(INDEX(Zeiterfassung!$K$6:$K$3665,$K925),Zeiterfassung!$K$6:$K$3665,0))))</f>
        <v/>
      </c>
      <c r="K925">
        <f>IFERROR(AGGREGATE(15,6,(ROW(Zeiterfassung!$D$6:$D$3665)-ROW(Zeiterfassung!$D$6)+1)/(Zeiterfassung!$D$6:$D$3665&lt;&gt;""),920),"")</f>
        <v/>
      </c>
    </row>
    <row r="926" ht="20" customHeight="1">
      <c r="A926" s="183">
        <f>IF($K926="","",WEEKNUM(INDEX(Zeiterfassung!$K$6:$K$3665,$K926),21))</f>
        <v/>
      </c>
      <c r="B926" s="184">
        <f>IF($K926="","",INDEX(Zeiterfassung!$K$6:$K$3665,$K926))</f>
        <v/>
      </c>
      <c r="C926" s="185">
        <f>IF($K926="","",INDEX(Zeiterfassung!$K$6:$K$3665,$K926))</f>
        <v/>
      </c>
      <c r="D926" s="186">
        <f>IF($K926="","",INDEX(Zeiterfassung!$D$6:$D$3665,$K926))</f>
        <v/>
      </c>
      <c r="E926" s="186">
        <f>IF($K926="","",INDEX(Zeiterfassung!$E$6:$E$3665,$K926))</f>
        <v/>
      </c>
      <c r="F926" s="187">
        <f>IF($K926="","",INDEX(Zeiterfassung!$F$6:$F$3665,$K926))</f>
        <v/>
      </c>
      <c r="G926" s="187">
        <f>IF($K926="","",INDEX(Zeiterfassung!$G$6:$G$3665,$K926))</f>
        <v/>
      </c>
      <c r="H926" s="188">
        <f>IF($K926="","",INDEX(Zeiterfassung!$H$6:$H$3665,$K926))</f>
        <v/>
      </c>
      <c r="I926" s="335">
        <f>IF(B926=B925,"",IF($K926="","",INDEX(Zeiterfassung!$I$6:$I$3665,MATCH(INDEX(Zeiterfassung!$K$6:$K$3665,$K926),Zeiterfassung!$K$6:$K$3665,0))))</f>
        <v/>
      </c>
      <c r="J926" s="335">
        <f>IF(B926=B925,"",IF($K926="","",INDEX(Zeiterfassung!$J$6:$J$3665,MATCH(INDEX(Zeiterfassung!$K$6:$K$3665,$K926),Zeiterfassung!$K$6:$K$3665,0))))</f>
        <v/>
      </c>
      <c r="K926">
        <f>IFERROR(AGGREGATE(15,6,(ROW(Zeiterfassung!$D$6:$D$3665)-ROW(Zeiterfassung!$D$6)+1)/(Zeiterfassung!$D$6:$D$3665&lt;&gt;""),921),"")</f>
        <v/>
      </c>
    </row>
    <row r="927" ht="20" customHeight="1">
      <c r="A927" s="183">
        <f>IF($K927="","",WEEKNUM(INDEX(Zeiterfassung!$K$6:$K$3665,$K927),21))</f>
        <v/>
      </c>
      <c r="B927" s="184">
        <f>IF($K927="","",INDEX(Zeiterfassung!$K$6:$K$3665,$K927))</f>
        <v/>
      </c>
      <c r="C927" s="185">
        <f>IF($K927="","",INDEX(Zeiterfassung!$K$6:$K$3665,$K927))</f>
        <v/>
      </c>
      <c r="D927" s="186">
        <f>IF($K927="","",INDEX(Zeiterfassung!$D$6:$D$3665,$K927))</f>
        <v/>
      </c>
      <c r="E927" s="186">
        <f>IF($K927="","",INDEX(Zeiterfassung!$E$6:$E$3665,$K927))</f>
        <v/>
      </c>
      <c r="F927" s="187">
        <f>IF($K927="","",INDEX(Zeiterfassung!$F$6:$F$3665,$K927))</f>
        <v/>
      </c>
      <c r="G927" s="187">
        <f>IF($K927="","",INDEX(Zeiterfassung!$G$6:$G$3665,$K927))</f>
        <v/>
      </c>
      <c r="H927" s="188">
        <f>IF($K927="","",INDEX(Zeiterfassung!$H$6:$H$3665,$K927))</f>
        <v/>
      </c>
      <c r="I927" s="335">
        <f>IF(B927=B926,"",IF($K927="","",INDEX(Zeiterfassung!$I$6:$I$3665,MATCH(INDEX(Zeiterfassung!$K$6:$K$3665,$K927),Zeiterfassung!$K$6:$K$3665,0))))</f>
        <v/>
      </c>
      <c r="J927" s="335">
        <f>IF(B927=B926,"",IF($K927="","",INDEX(Zeiterfassung!$J$6:$J$3665,MATCH(INDEX(Zeiterfassung!$K$6:$K$3665,$K927),Zeiterfassung!$K$6:$K$3665,0))))</f>
        <v/>
      </c>
      <c r="K927">
        <f>IFERROR(AGGREGATE(15,6,(ROW(Zeiterfassung!$D$6:$D$3665)-ROW(Zeiterfassung!$D$6)+1)/(Zeiterfassung!$D$6:$D$3665&lt;&gt;""),922),"")</f>
        <v/>
      </c>
    </row>
    <row r="928" ht="20" customHeight="1">
      <c r="A928" s="183">
        <f>IF($K928="","",WEEKNUM(INDEX(Zeiterfassung!$K$6:$K$3665,$K928),21))</f>
        <v/>
      </c>
      <c r="B928" s="184">
        <f>IF($K928="","",INDEX(Zeiterfassung!$K$6:$K$3665,$K928))</f>
        <v/>
      </c>
      <c r="C928" s="185">
        <f>IF($K928="","",INDEX(Zeiterfassung!$K$6:$K$3665,$K928))</f>
        <v/>
      </c>
      <c r="D928" s="186">
        <f>IF($K928="","",INDEX(Zeiterfassung!$D$6:$D$3665,$K928))</f>
        <v/>
      </c>
      <c r="E928" s="186">
        <f>IF($K928="","",INDEX(Zeiterfassung!$E$6:$E$3665,$K928))</f>
        <v/>
      </c>
      <c r="F928" s="187">
        <f>IF($K928="","",INDEX(Zeiterfassung!$F$6:$F$3665,$K928))</f>
        <v/>
      </c>
      <c r="G928" s="187">
        <f>IF($K928="","",INDEX(Zeiterfassung!$G$6:$G$3665,$K928))</f>
        <v/>
      </c>
      <c r="H928" s="188">
        <f>IF($K928="","",INDEX(Zeiterfassung!$H$6:$H$3665,$K928))</f>
        <v/>
      </c>
      <c r="I928" s="335">
        <f>IF(B928=B927,"",IF($K928="","",INDEX(Zeiterfassung!$I$6:$I$3665,MATCH(INDEX(Zeiterfassung!$K$6:$K$3665,$K928),Zeiterfassung!$K$6:$K$3665,0))))</f>
        <v/>
      </c>
      <c r="J928" s="335">
        <f>IF(B928=B927,"",IF($K928="","",INDEX(Zeiterfassung!$J$6:$J$3665,MATCH(INDEX(Zeiterfassung!$K$6:$K$3665,$K928),Zeiterfassung!$K$6:$K$3665,0))))</f>
        <v/>
      </c>
      <c r="K928">
        <f>IFERROR(AGGREGATE(15,6,(ROW(Zeiterfassung!$D$6:$D$3665)-ROW(Zeiterfassung!$D$6)+1)/(Zeiterfassung!$D$6:$D$3665&lt;&gt;""),923),"")</f>
        <v/>
      </c>
    </row>
    <row r="929" ht="20" customHeight="1">
      <c r="A929" s="183">
        <f>IF($K929="","",WEEKNUM(INDEX(Zeiterfassung!$K$6:$K$3665,$K929),21))</f>
        <v/>
      </c>
      <c r="B929" s="184">
        <f>IF($K929="","",INDEX(Zeiterfassung!$K$6:$K$3665,$K929))</f>
        <v/>
      </c>
      <c r="C929" s="185">
        <f>IF($K929="","",INDEX(Zeiterfassung!$K$6:$K$3665,$K929))</f>
        <v/>
      </c>
      <c r="D929" s="186">
        <f>IF($K929="","",INDEX(Zeiterfassung!$D$6:$D$3665,$K929))</f>
        <v/>
      </c>
      <c r="E929" s="186">
        <f>IF($K929="","",INDEX(Zeiterfassung!$E$6:$E$3665,$K929))</f>
        <v/>
      </c>
      <c r="F929" s="187">
        <f>IF($K929="","",INDEX(Zeiterfassung!$F$6:$F$3665,$K929))</f>
        <v/>
      </c>
      <c r="G929" s="187">
        <f>IF($K929="","",INDEX(Zeiterfassung!$G$6:$G$3665,$K929))</f>
        <v/>
      </c>
      <c r="H929" s="188">
        <f>IF($K929="","",INDEX(Zeiterfassung!$H$6:$H$3665,$K929))</f>
        <v/>
      </c>
      <c r="I929" s="335">
        <f>IF(B929=B928,"",IF($K929="","",INDEX(Zeiterfassung!$I$6:$I$3665,MATCH(INDEX(Zeiterfassung!$K$6:$K$3665,$K929),Zeiterfassung!$K$6:$K$3665,0))))</f>
        <v/>
      </c>
      <c r="J929" s="335">
        <f>IF(B929=B928,"",IF($K929="","",INDEX(Zeiterfassung!$J$6:$J$3665,MATCH(INDEX(Zeiterfassung!$K$6:$K$3665,$K929),Zeiterfassung!$K$6:$K$3665,0))))</f>
        <v/>
      </c>
      <c r="K929">
        <f>IFERROR(AGGREGATE(15,6,(ROW(Zeiterfassung!$D$6:$D$3665)-ROW(Zeiterfassung!$D$6)+1)/(Zeiterfassung!$D$6:$D$3665&lt;&gt;""),924),"")</f>
        <v/>
      </c>
    </row>
    <row r="930" ht="20" customHeight="1">
      <c r="A930" s="183">
        <f>IF($K930="","",WEEKNUM(INDEX(Zeiterfassung!$K$6:$K$3665,$K930),21))</f>
        <v/>
      </c>
      <c r="B930" s="184">
        <f>IF($K930="","",INDEX(Zeiterfassung!$K$6:$K$3665,$K930))</f>
        <v/>
      </c>
      <c r="C930" s="185">
        <f>IF($K930="","",INDEX(Zeiterfassung!$K$6:$K$3665,$K930))</f>
        <v/>
      </c>
      <c r="D930" s="186">
        <f>IF($K930="","",INDEX(Zeiterfassung!$D$6:$D$3665,$K930))</f>
        <v/>
      </c>
      <c r="E930" s="186">
        <f>IF($K930="","",INDEX(Zeiterfassung!$E$6:$E$3665,$K930))</f>
        <v/>
      </c>
      <c r="F930" s="187">
        <f>IF($K930="","",INDEX(Zeiterfassung!$F$6:$F$3665,$K930))</f>
        <v/>
      </c>
      <c r="G930" s="187">
        <f>IF($K930="","",INDEX(Zeiterfassung!$G$6:$G$3665,$K930))</f>
        <v/>
      </c>
      <c r="H930" s="188">
        <f>IF($K930="","",INDEX(Zeiterfassung!$H$6:$H$3665,$K930))</f>
        <v/>
      </c>
      <c r="I930" s="335">
        <f>IF(B930=B929,"",IF($K930="","",INDEX(Zeiterfassung!$I$6:$I$3665,MATCH(INDEX(Zeiterfassung!$K$6:$K$3665,$K930),Zeiterfassung!$K$6:$K$3665,0))))</f>
        <v/>
      </c>
      <c r="J930" s="335">
        <f>IF(B930=B929,"",IF($K930="","",INDEX(Zeiterfassung!$J$6:$J$3665,MATCH(INDEX(Zeiterfassung!$K$6:$K$3665,$K930),Zeiterfassung!$K$6:$K$3665,0))))</f>
        <v/>
      </c>
      <c r="K930">
        <f>IFERROR(AGGREGATE(15,6,(ROW(Zeiterfassung!$D$6:$D$3665)-ROW(Zeiterfassung!$D$6)+1)/(Zeiterfassung!$D$6:$D$3665&lt;&gt;""),925),"")</f>
        <v/>
      </c>
    </row>
    <row r="931" ht="20" customHeight="1">
      <c r="A931" s="183">
        <f>IF($K931="","",WEEKNUM(INDEX(Zeiterfassung!$K$6:$K$3665,$K931),21))</f>
        <v/>
      </c>
      <c r="B931" s="184">
        <f>IF($K931="","",INDEX(Zeiterfassung!$K$6:$K$3665,$K931))</f>
        <v/>
      </c>
      <c r="C931" s="185">
        <f>IF($K931="","",INDEX(Zeiterfassung!$K$6:$K$3665,$K931))</f>
        <v/>
      </c>
      <c r="D931" s="186">
        <f>IF($K931="","",INDEX(Zeiterfassung!$D$6:$D$3665,$K931))</f>
        <v/>
      </c>
      <c r="E931" s="186">
        <f>IF($K931="","",INDEX(Zeiterfassung!$E$6:$E$3665,$K931))</f>
        <v/>
      </c>
      <c r="F931" s="187">
        <f>IF($K931="","",INDEX(Zeiterfassung!$F$6:$F$3665,$K931))</f>
        <v/>
      </c>
      <c r="G931" s="187">
        <f>IF($K931="","",INDEX(Zeiterfassung!$G$6:$G$3665,$K931))</f>
        <v/>
      </c>
      <c r="H931" s="188">
        <f>IF($K931="","",INDEX(Zeiterfassung!$H$6:$H$3665,$K931))</f>
        <v/>
      </c>
      <c r="I931" s="335">
        <f>IF(B931=B930,"",IF($K931="","",INDEX(Zeiterfassung!$I$6:$I$3665,MATCH(INDEX(Zeiterfassung!$K$6:$K$3665,$K931),Zeiterfassung!$K$6:$K$3665,0))))</f>
        <v/>
      </c>
      <c r="J931" s="335">
        <f>IF(B931=B930,"",IF($K931="","",INDEX(Zeiterfassung!$J$6:$J$3665,MATCH(INDEX(Zeiterfassung!$K$6:$K$3665,$K931),Zeiterfassung!$K$6:$K$3665,0))))</f>
        <v/>
      </c>
      <c r="K931">
        <f>IFERROR(AGGREGATE(15,6,(ROW(Zeiterfassung!$D$6:$D$3665)-ROW(Zeiterfassung!$D$6)+1)/(Zeiterfassung!$D$6:$D$3665&lt;&gt;""),926),"")</f>
        <v/>
      </c>
    </row>
    <row r="932" ht="20" customHeight="1">
      <c r="A932" s="183">
        <f>IF($K932="","",WEEKNUM(INDEX(Zeiterfassung!$K$6:$K$3665,$K932),21))</f>
        <v/>
      </c>
      <c r="B932" s="184">
        <f>IF($K932="","",INDEX(Zeiterfassung!$K$6:$K$3665,$K932))</f>
        <v/>
      </c>
      <c r="C932" s="185">
        <f>IF($K932="","",INDEX(Zeiterfassung!$K$6:$K$3665,$K932))</f>
        <v/>
      </c>
      <c r="D932" s="186">
        <f>IF($K932="","",INDEX(Zeiterfassung!$D$6:$D$3665,$K932))</f>
        <v/>
      </c>
      <c r="E932" s="186">
        <f>IF($K932="","",INDEX(Zeiterfassung!$E$6:$E$3665,$K932))</f>
        <v/>
      </c>
      <c r="F932" s="187">
        <f>IF($K932="","",INDEX(Zeiterfassung!$F$6:$F$3665,$K932))</f>
        <v/>
      </c>
      <c r="G932" s="187">
        <f>IF($K932="","",INDEX(Zeiterfassung!$G$6:$G$3665,$K932))</f>
        <v/>
      </c>
      <c r="H932" s="188">
        <f>IF($K932="","",INDEX(Zeiterfassung!$H$6:$H$3665,$K932))</f>
        <v/>
      </c>
      <c r="I932" s="335">
        <f>IF(B932=B931,"",IF($K932="","",INDEX(Zeiterfassung!$I$6:$I$3665,MATCH(INDEX(Zeiterfassung!$K$6:$K$3665,$K932),Zeiterfassung!$K$6:$K$3665,0))))</f>
        <v/>
      </c>
      <c r="J932" s="335">
        <f>IF(B932=B931,"",IF($K932="","",INDEX(Zeiterfassung!$J$6:$J$3665,MATCH(INDEX(Zeiterfassung!$K$6:$K$3665,$K932),Zeiterfassung!$K$6:$K$3665,0))))</f>
        <v/>
      </c>
      <c r="K932">
        <f>IFERROR(AGGREGATE(15,6,(ROW(Zeiterfassung!$D$6:$D$3665)-ROW(Zeiterfassung!$D$6)+1)/(Zeiterfassung!$D$6:$D$3665&lt;&gt;""),927),"")</f>
        <v/>
      </c>
    </row>
    <row r="933" ht="20" customHeight="1">
      <c r="A933" s="183">
        <f>IF($K933="","",WEEKNUM(INDEX(Zeiterfassung!$K$6:$K$3665,$K933),21))</f>
        <v/>
      </c>
      <c r="B933" s="184">
        <f>IF($K933="","",INDEX(Zeiterfassung!$K$6:$K$3665,$K933))</f>
        <v/>
      </c>
      <c r="C933" s="185">
        <f>IF($K933="","",INDEX(Zeiterfassung!$K$6:$K$3665,$K933))</f>
        <v/>
      </c>
      <c r="D933" s="186">
        <f>IF($K933="","",INDEX(Zeiterfassung!$D$6:$D$3665,$K933))</f>
        <v/>
      </c>
      <c r="E933" s="186">
        <f>IF($K933="","",INDEX(Zeiterfassung!$E$6:$E$3665,$K933))</f>
        <v/>
      </c>
      <c r="F933" s="187">
        <f>IF($K933="","",INDEX(Zeiterfassung!$F$6:$F$3665,$K933))</f>
        <v/>
      </c>
      <c r="G933" s="187">
        <f>IF($K933="","",INDEX(Zeiterfassung!$G$6:$G$3665,$K933))</f>
        <v/>
      </c>
      <c r="H933" s="188">
        <f>IF($K933="","",INDEX(Zeiterfassung!$H$6:$H$3665,$K933))</f>
        <v/>
      </c>
      <c r="I933" s="335">
        <f>IF(B933=B932,"",IF($K933="","",INDEX(Zeiterfassung!$I$6:$I$3665,MATCH(INDEX(Zeiterfassung!$K$6:$K$3665,$K933),Zeiterfassung!$K$6:$K$3665,0))))</f>
        <v/>
      </c>
      <c r="J933" s="335">
        <f>IF(B933=B932,"",IF($K933="","",INDEX(Zeiterfassung!$J$6:$J$3665,MATCH(INDEX(Zeiterfassung!$K$6:$K$3665,$K933),Zeiterfassung!$K$6:$K$3665,0))))</f>
        <v/>
      </c>
      <c r="K933">
        <f>IFERROR(AGGREGATE(15,6,(ROW(Zeiterfassung!$D$6:$D$3665)-ROW(Zeiterfassung!$D$6)+1)/(Zeiterfassung!$D$6:$D$3665&lt;&gt;""),928),"")</f>
        <v/>
      </c>
    </row>
    <row r="934" ht="20" customHeight="1">
      <c r="A934" s="183">
        <f>IF($K934="","",WEEKNUM(INDEX(Zeiterfassung!$K$6:$K$3665,$K934),21))</f>
        <v/>
      </c>
      <c r="B934" s="184">
        <f>IF($K934="","",INDEX(Zeiterfassung!$K$6:$K$3665,$K934))</f>
        <v/>
      </c>
      <c r="C934" s="185">
        <f>IF($K934="","",INDEX(Zeiterfassung!$K$6:$K$3665,$K934))</f>
        <v/>
      </c>
      <c r="D934" s="186">
        <f>IF($K934="","",INDEX(Zeiterfassung!$D$6:$D$3665,$K934))</f>
        <v/>
      </c>
      <c r="E934" s="186">
        <f>IF($K934="","",INDEX(Zeiterfassung!$E$6:$E$3665,$K934))</f>
        <v/>
      </c>
      <c r="F934" s="187">
        <f>IF($K934="","",INDEX(Zeiterfassung!$F$6:$F$3665,$K934))</f>
        <v/>
      </c>
      <c r="G934" s="187">
        <f>IF($K934="","",INDEX(Zeiterfassung!$G$6:$G$3665,$K934))</f>
        <v/>
      </c>
      <c r="H934" s="188">
        <f>IF($K934="","",INDEX(Zeiterfassung!$H$6:$H$3665,$K934))</f>
        <v/>
      </c>
      <c r="I934" s="335">
        <f>IF(B934=B933,"",IF($K934="","",INDEX(Zeiterfassung!$I$6:$I$3665,MATCH(INDEX(Zeiterfassung!$K$6:$K$3665,$K934),Zeiterfassung!$K$6:$K$3665,0))))</f>
        <v/>
      </c>
      <c r="J934" s="335">
        <f>IF(B934=B933,"",IF($K934="","",INDEX(Zeiterfassung!$J$6:$J$3665,MATCH(INDEX(Zeiterfassung!$K$6:$K$3665,$K934),Zeiterfassung!$K$6:$K$3665,0))))</f>
        <v/>
      </c>
      <c r="K934">
        <f>IFERROR(AGGREGATE(15,6,(ROW(Zeiterfassung!$D$6:$D$3665)-ROW(Zeiterfassung!$D$6)+1)/(Zeiterfassung!$D$6:$D$3665&lt;&gt;""),929),"")</f>
        <v/>
      </c>
    </row>
    <row r="935" ht="20" customHeight="1">
      <c r="A935" s="183">
        <f>IF($K935="","",WEEKNUM(INDEX(Zeiterfassung!$K$6:$K$3665,$K935),21))</f>
        <v/>
      </c>
      <c r="B935" s="184">
        <f>IF($K935="","",INDEX(Zeiterfassung!$K$6:$K$3665,$K935))</f>
        <v/>
      </c>
      <c r="C935" s="185">
        <f>IF($K935="","",INDEX(Zeiterfassung!$K$6:$K$3665,$K935))</f>
        <v/>
      </c>
      <c r="D935" s="186">
        <f>IF($K935="","",INDEX(Zeiterfassung!$D$6:$D$3665,$K935))</f>
        <v/>
      </c>
      <c r="E935" s="186">
        <f>IF($K935="","",INDEX(Zeiterfassung!$E$6:$E$3665,$K935))</f>
        <v/>
      </c>
      <c r="F935" s="187">
        <f>IF($K935="","",INDEX(Zeiterfassung!$F$6:$F$3665,$K935))</f>
        <v/>
      </c>
      <c r="G935" s="187">
        <f>IF($K935="","",INDEX(Zeiterfassung!$G$6:$G$3665,$K935))</f>
        <v/>
      </c>
      <c r="H935" s="188">
        <f>IF($K935="","",INDEX(Zeiterfassung!$H$6:$H$3665,$K935))</f>
        <v/>
      </c>
      <c r="I935" s="335">
        <f>IF(B935=B934,"",IF($K935="","",INDEX(Zeiterfassung!$I$6:$I$3665,MATCH(INDEX(Zeiterfassung!$K$6:$K$3665,$K935),Zeiterfassung!$K$6:$K$3665,0))))</f>
        <v/>
      </c>
      <c r="J935" s="335">
        <f>IF(B935=B934,"",IF($K935="","",INDEX(Zeiterfassung!$J$6:$J$3665,MATCH(INDEX(Zeiterfassung!$K$6:$K$3665,$K935),Zeiterfassung!$K$6:$K$3665,0))))</f>
        <v/>
      </c>
      <c r="K935">
        <f>IFERROR(AGGREGATE(15,6,(ROW(Zeiterfassung!$D$6:$D$3665)-ROW(Zeiterfassung!$D$6)+1)/(Zeiterfassung!$D$6:$D$3665&lt;&gt;""),930),"")</f>
        <v/>
      </c>
    </row>
    <row r="936" ht="20" customHeight="1">
      <c r="A936" s="183">
        <f>IF($K936="","",WEEKNUM(INDEX(Zeiterfassung!$K$6:$K$3665,$K936),21))</f>
        <v/>
      </c>
      <c r="B936" s="184">
        <f>IF($K936="","",INDEX(Zeiterfassung!$K$6:$K$3665,$K936))</f>
        <v/>
      </c>
      <c r="C936" s="185">
        <f>IF($K936="","",INDEX(Zeiterfassung!$K$6:$K$3665,$K936))</f>
        <v/>
      </c>
      <c r="D936" s="186">
        <f>IF($K936="","",INDEX(Zeiterfassung!$D$6:$D$3665,$K936))</f>
        <v/>
      </c>
      <c r="E936" s="186">
        <f>IF($K936="","",INDEX(Zeiterfassung!$E$6:$E$3665,$K936))</f>
        <v/>
      </c>
      <c r="F936" s="187">
        <f>IF($K936="","",INDEX(Zeiterfassung!$F$6:$F$3665,$K936))</f>
        <v/>
      </c>
      <c r="G936" s="187">
        <f>IF($K936="","",INDEX(Zeiterfassung!$G$6:$G$3665,$K936))</f>
        <v/>
      </c>
      <c r="H936" s="188">
        <f>IF($K936="","",INDEX(Zeiterfassung!$H$6:$H$3665,$K936))</f>
        <v/>
      </c>
      <c r="I936" s="335">
        <f>IF(B936=B935,"",IF($K936="","",INDEX(Zeiterfassung!$I$6:$I$3665,MATCH(INDEX(Zeiterfassung!$K$6:$K$3665,$K936),Zeiterfassung!$K$6:$K$3665,0))))</f>
        <v/>
      </c>
      <c r="J936" s="335">
        <f>IF(B936=B935,"",IF($K936="","",INDEX(Zeiterfassung!$J$6:$J$3665,MATCH(INDEX(Zeiterfassung!$K$6:$K$3665,$K936),Zeiterfassung!$K$6:$K$3665,0))))</f>
        <v/>
      </c>
      <c r="K936">
        <f>IFERROR(AGGREGATE(15,6,(ROW(Zeiterfassung!$D$6:$D$3665)-ROW(Zeiterfassung!$D$6)+1)/(Zeiterfassung!$D$6:$D$3665&lt;&gt;""),931),"")</f>
        <v/>
      </c>
    </row>
    <row r="937" ht="20" customHeight="1">
      <c r="A937" s="183">
        <f>IF($K937="","",WEEKNUM(INDEX(Zeiterfassung!$K$6:$K$3665,$K937),21))</f>
        <v/>
      </c>
      <c r="B937" s="184">
        <f>IF($K937="","",INDEX(Zeiterfassung!$K$6:$K$3665,$K937))</f>
        <v/>
      </c>
      <c r="C937" s="185">
        <f>IF($K937="","",INDEX(Zeiterfassung!$K$6:$K$3665,$K937))</f>
        <v/>
      </c>
      <c r="D937" s="186">
        <f>IF($K937="","",INDEX(Zeiterfassung!$D$6:$D$3665,$K937))</f>
        <v/>
      </c>
      <c r="E937" s="186">
        <f>IF($K937="","",INDEX(Zeiterfassung!$E$6:$E$3665,$K937))</f>
        <v/>
      </c>
      <c r="F937" s="187">
        <f>IF($K937="","",INDEX(Zeiterfassung!$F$6:$F$3665,$K937))</f>
        <v/>
      </c>
      <c r="G937" s="187">
        <f>IF($K937="","",INDEX(Zeiterfassung!$G$6:$G$3665,$K937))</f>
        <v/>
      </c>
      <c r="H937" s="188">
        <f>IF($K937="","",INDEX(Zeiterfassung!$H$6:$H$3665,$K937))</f>
        <v/>
      </c>
      <c r="I937" s="335">
        <f>IF(B937=B936,"",IF($K937="","",INDEX(Zeiterfassung!$I$6:$I$3665,MATCH(INDEX(Zeiterfassung!$K$6:$K$3665,$K937),Zeiterfassung!$K$6:$K$3665,0))))</f>
        <v/>
      </c>
      <c r="J937" s="335">
        <f>IF(B937=B936,"",IF($K937="","",INDEX(Zeiterfassung!$J$6:$J$3665,MATCH(INDEX(Zeiterfassung!$K$6:$K$3665,$K937),Zeiterfassung!$K$6:$K$3665,0))))</f>
        <v/>
      </c>
      <c r="K937">
        <f>IFERROR(AGGREGATE(15,6,(ROW(Zeiterfassung!$D$6:$D$3665)-ROW(Zeiterfassung!$D$6)+1)/(Zeiterfassung!$D$6:$D$3665&lt;&gt;""),932),"")</f>
        <v/>
      </c>
    </row>
    <row r="938" ht="20" customHeight="1">
      <c r="A938" s="183">
        <f>IF($K938="","",WEEKNUM(INDEX(Zeiterfassung!$K$6:$K$3665,$K938),21))</f>
        <v/>
      </c>
      <c r="B938" s="184">
        <f>IF($K938="","",INDEX(Zeiterfassung!$K$6:$K$3665,$K938))</f>
        <v/>
      </c>
      <c r="C938" s="185">
        <f>IF($K938="","",INDEX(Zeiterfassung!$K$6:$K$3665,$K938))</f>
        <v/>
      </c>
      <c r="D938" s="186">
        <f>IF($K938="","",INDEX(Zeiterfassung!$D$6:$D$3665,$K938))</f>
        <v/>
      </c>
      <c r="E938" s="186">
        <f>IF($K938="","",INDEX(Zeiterfassung!$E$6:$E$3665,$K938))</f>
        <v/>
      </c>
      <c r="F938" s="187">
        <f>IF($K938="","",INDEX(Zeiterfassung!$F$6:$F$3665,$K938))</f>
        <v/>
      </c>
      <c r="G938" s="187">
        <f>IF($K938="","",INDEX(Zeiterfassung!$G$6:$G$3665,$K938))</f>
        <v/>
      </c>
      <c r="H938" s="188">
        <f>IF($K938="","",INDEX(Zeiterfassung!$H$6:$H$3665,$K938))</f>
        <v/>
      </c>
      <c r="I938" s="335">
        <f>IF(B938=B937,"",IF($K938="","",INDEX(Zeiterfassung!$I$6:$I$3665,MATCH(INDEX(Zeiterfassung!$K$6:$K$3665,$K938),Zeiterfassung!$K$6:$K$3665,0))))</f>
        <v/>
      </c>
      <c r="J938" s="335">
        <f>IF(B938=B937,"",IF($K938="","",INDEX(Zeiterfassung!$J$6:$J$3665,MATCH(INDEX(Zeiterfassung!$K$6:$K$3665,$K938),Zeiterfassung!$K$6:$K$3665,0))))</f>
        <v/>
      </c>
      <c r="K938">
        <f>IFERROR(AGGREGATE(15,6,(ROW(Zeiterfassung!$D$6:$D$3665)-ROW(Zeiterfassung!$D$6)+1)/(Zeiterfassung!$D$6:$D$3665&lt;&gt;""),933),"")</f>
        <v/>
      </c>
    </row>
    <row r="939" ht="20" customHeight="1">
      <c r="A939" s="183">
        <f>IF($K939="","",WEEKNUM(INDEX(Zeiterfassung!$K$6:$K$3665,$K939),21))</f>
        <v/>
      </c>
      <c r="B939" s="184">
        <f>IF($K939="","",INDEX(Zeiterfassung!$K$6:$K$3665,$K939))</f>
        <v/>
      </c>
      <c r="C939" s="185">
        <f>IF($K939="","",INDEX(Zeiterfassung!$K$6:$K$3665,$K939))</f>
        <v/>
      </c>
      <c r="D939" s="186">
        <f>IF($K939="","",INDEX(Zeiterfassung!$D$6:$D$3665,$K939))</f>
        <v/>
      </c>
      <c r="E939" s="186">
        <f>IF($K939="","",INDEX(Zeiterfassung!$E$6:$E$3665,$K939))</f>
        <v/>
      </c>
      <c r="F939" s="187">
        <f>IF($K939="","",INDEX(Zeiterfassung!$F$6:$F$3665,$K939))</f>
        <v/>
      </c>
      <c r="G939" s="187">
        <f>IF($K939="","",INDEX(Zeiterfassung!$G$6:$G$3665,$K939))</f>
        <v/>
      </c>
      <c r="H939" s="188">
        <f>IF($K939="","",INDEX(Zeiterfassung!$H$6:$H$3665,$K939))</f>
        <v/>
      </c>
      <c r="I939" s="335">
        <f>IF(B939=B938,"",IF($K939="","",INDEX(Zeiterfassung!$I$6:$I$3665,MATCH(INDEX(Zeiterfassung!$K$6:$K$3665,$K939),Zeiterfassung!$K$6:$K$3665,0))))</f>
        <v/>
      </c>
      <c r="J939" s="335">
        <f>IF(B939=B938,"",IF($K939="","",INDEX(Zeiterfassung!$J$6:$J$3665,MATCH(INDEX(Zeiterfassung!$K$6:$K$3665,$K939),Zeiterfassung!$K$6:$K$3665,0))))</f>
        <v/>
      </c>
      <c r="K939">
        <f>IFERROR(AGGREGATE(15,6,(ROW(Zeiterfassung!$D$6:$D$3665)-ROW(Zeiterfassung!$D$6)+1)/(Zeiterfassung!$D$6:$D$3665&lt;&gt;""),934),"")</f>
        <v/>
      </c>
    </row>
    <row r="940" ht="20" customHeight="1">
      <c r="A940" s="183">
        <f>IF($K940="","",WEEKNUM(INDEX(Zeiterfassung!$K$6:$K$3665,$K940),21))</f>
        <v/>
      </c>
      <c r="B940" s="184">
        <f>IF($K940="","",INDEX(Zeiterfassung!$K$6:$K$3665,$K940))</f>
        <v/>
      </c>
      <c r="C940" s="185">
        <f>IF($K940="","",INDEX(Zeiterfassung!$K$6:$K$3665,$K940))</f>
        <v/>
      </c>
      <c r="D940" s="186">
        <f>IF($K940="","",INDEX(Zeiterfassung!$D$6:$D$3665,$K940))</f>
        <v/>
      </c>
      <c r="E940" s="186">
        <f>IF($K940="","",INDEX(Zeiterfassung!$E$6:$E$3665,$K940))</f>
        <v/>
      </c>
      <c r="F940" s="187">
        <f>IF($K940="","",INDEX(Zeiterfassung!$F$6:$F$3665,$K940))</f>
        <v/>
      </c>
      <c r="G940" s="187">
        <f>IF($K940="","",INDEX(Zeiterfassung!$G$6:$G$3665,$K940))</f>
        <v/>
      </c>
      <c r="H940" s="188">
        <f>IF($K940="","",INDEX(Zeiterfassung!$H$6:$H$3665,$K940))</f>
        <v/>
      </c>
      <c r="I940" s="335">
        <f>IF(B940=B939,"",IF($K940="","",INDEX(Zeiterfassung!$I$6:$I$3665,MATCH(INDEX(Zeiterfassung!$K$6:$K$3665,$K940),Zeiterfassung!$K$6:$K$3665,0))))</f>
        <v/>
      </c>
      <c r="J940" s="335">
        <f>IF(B940=B939,"",IF($K940="","",INDEX(Zeiterfassung!$J$6:$J$3665,MATCH(INDEX(Zeiterfassung!$K$6:$K$3665,$K940),Zeiterfassung!$K$6:$K$3665,0))))</f>
        <v/>
      </c>
      <c r="K940">
        <f>IFERROR(AGGREGATE(15,6,(ROW(Zeiterfassung!$D$6:$D$3665)-ROW(Zeiterfassung!$D$6)+1)/(Zeiterfassung!$D$6:$D$3665&lt;&gt;""),935),"")</f>
        <v/>
      </c>
    </row>
    <row r="941" ht="20" customHeight="1">
      <c r="A941" s="183">
        <f>IF($K941="","",WEEKNUM(INDEX(Zeiterfassung!$K$6:$K$3665,$K941),21))</f>
        <v/>
      </c>
      <c r="B941" s="184">
        <f>IF($K941="","",INDEX(Zeiterfassung!$K$6:$K$3665,$K941))</f>
        <v/>
      </c>
      <c r="C941" s="185">
        <f>IF($K941="","",INDEX(Zeiterfassung!$K$6:$K$3665,$K941))</f>
        <v/>
      </c>
      <c r="D941" s="186">
        <f>IF($K941="","",INDEX(Zeiterfassung!$D$6:$D$3665,$K941))</f>
        <v/>
      </c>
      <c r="E941" s="186">
        <f>IF($K941="","",INDEX(Zeiterfassung!$E$6:$E$3665,$K941))</f>
        <v/>
      </c>
      <c r="F941" s="187">
        <f>IF($K941="","",INDEX(Zeiterfassung!$F$6:$F$3665,$K941))</f>
        <v/>
      </c>
      <c r="G941" s="187">
        <f>IF($K941="","",INDEX(Zeiterfassung!$G$6:$G$3665,$K941))</f>
        <v/>
      </c>
      <c r="H941" s="188">
        <f>IF($K941="","",INDEX(Zeiterfassung!$H$6:$H$3665,$K941))</f>
        <v/>
      </c>
      <c r="I941" s="335">
        <f>IF(B941=B940,"",IF($K941="","",INDEX(Zeiterfassung!$I$6:$I$3665,MATCH(INDEX(Zeiterfassung!$K$6:$K$3665,$K941),Zeiterfassung!$K$6:$K$3665,0))))</f>
        <v/>
      </c>
      <c r="J941" s="335">
        <f>IF(B941=B940,"",IF($K941="","",INDEX(Zeiterfassung!$J$6:$J$3665,MATCH(INDEX(Zeiterfassung!$K$6:$K$3665,$K941),Zeiterfassung!$K$6:$K$3665,0))))</f>
        <v/>
      </c>
      <c r="K941">
        <f>IFERROR(AGGREGATE(15,6,(ROW(Zeiterfassung!$D$6:$D$3665)-ROW(Zeiterfassung!$D$6)+1)/(Zeiterfassung!$D$6:$D$3665&lt;&gt;""),936),"")</f>
        <v/>
      </c>
    </row>
    <row r="942" ht="20" customHeight="1">
      <c r="A942" s="183">
        <f>IF($K942="","",WEEKNUM(INDEX(Zeiterfassung!$K$6:$K$3665,$K942),21))</f>
        <v/>
      </c>
      <c r="B942" s="184">
        <f>IF($K942="","",INDEX(Zeiterfassung!$K$6:$K$3665,$K942))</f>
        <v/>
      </c>
      <c r="C942" s="185">
        <f>IF($K942="","",INDEX(Zeiterfassung!$K$6:$K$3665,$K942))</f>
        <v/>
      </c>
      <c r="D942" s="186">
        <f>IF($K942="","",INDEX(Zeiterfassung!$D$6:$D$3665,$K942))</f>
        <v/>
      </c>
      <c r="E942" s="186">
        <f>IF($K942="","",INDEX(Zeiterfassung!$E$6:$E$3665,$K942))</f>
        <v/>
      </c>
      <c r="F942" s="187">
        <f>IF($K942="","",INDEX(Zeiterfassung!$F$6:$F$3665,$K942))</f>
        <v/>
      </c>
      <c r="G942" s="187">
        <f>IF($K942="","",INDEX(Zeiterfassung!$G$6:$G$3665,$K942))</f>
        <v/>
      </c>
      <c r="H942" s="188">
        <f>IF($K942="","",INDEX(Zeiterfassung!$H$6:$H$3665,$K942))</f>
        <v/>
      </c>
      <c r="I942" s="335">
        <f>IF(B942=B941,"",IF($K942="","",INDEX(Zeiterfassung!$I$6:$I$3665,MATCH(INDEX(Zeiterfassung!$K$6:$K$3665,$K942),Zeiterfassung!$K$6:$K$3665,0))))</f>
        <v/>
      </c>
      <c r="J942" s="335">
        <f>IF(B942=B941,"",IF($K942="","",INDEX(Zeiterfassung!$J$6:$J$3665,MATCH(INDEX(Zeiterfassung!$K$6:$K$3665,$K942),Zeiterfassung!$K$6:$K$3665,0))))</f>
        <v/>
      </c>
      <c r="K942">
        <f>IFERROR(AGGREGATE(15,6,(ROW(Zeiterfassung!$D$6:$D$3665)-ROW(Zeiterfassung!$D$6)+1)/(Zeiterfassung!$D$6:$D$3665&lt;&gt;""),937),"")</f>
        <v/>
      </c>
    </row>
    <row r="943" ht="20" customHeight="1">
      <c r="A943" s="183">
        <f>IF($K943="","",WEEKNUM(INDEX(Zeiterfassung!$K$6:$K$3665,$K943),21))</f>
        <v/>
      </c>
      <c r="B943" s="184">
        <f>IF($K943="","",INDEX(Zeiterfassung!$K$6:$K$3665,$K943))</f>
        <v/>
      </c>
      <c r="C943" s="185">
        <f>IF($K943="","",INDEX(Zeiterfassung!$K$6:$K$3665,$K943))</f>
        <v/>
      </c>
      <c r="D943" s="186">
        <f>IF($K943="","",INDEX(Zeiterfassung!$D$6:$D$3665,$K943))</f>
        <v/>
      </c>
      <c r="E943" s="186">
        <f>IF($K943="","",INDEX(Zeiterfassung!$E$6:$E$3665,$K943))</f>
        <v/>
      </c>
      <c r="F943" s="187">
        <f>IF($K943="","",INDEX(Zeiterfassung!$F$6:$F$3665,$K943))</f>
        <v/>
      </c>
      <c r="G943" s="187">
        <f>IF($K943="","",INDEX(Zeiterfassung!$G$6:$G$3665,$K943))</f>
        <v/>
      </c>
      <c r="H943" s="188">
        <f>IF($K943="","",INDEX(Zeiterfassung!$H$6:$H$3665,$K943))</f>
        <v/>
      </c>
      <c r="I943" s="335">
        <f>IF(B943=B942,"",IF($K943="","",INDEX(Zeiterfassung!$I$6:$I$3665,MATCH(INDEX(Zeiterfassung!$K$6:$K$3665,$K943),Zeiterfassung!$K$6:$K$3665,0))))</f>
        <v/>
      </c>
      <c r="J943" s="335">
        <f>IF(B943=B942,"",IF($K943="","",INDEX(Zeiterfassung!$J$6:$J$3665,MATCH(INDEX(Zeiterfassung!$K$6:$K$3665,$K943),Zeiterfassung!$K$6:$K$3665,0))))</f>
        <v/>
      </c>
      <c r="K943">
        <f>IFERROR(AGGREGATE(15,6,(ROW(Zeiterfassung!$D$6:$D$3665)-ROW(Zeiterfassung!$D$6)+1)/(Zeiterfassung!$D$6:$D$3665&lt;&gt;""),938),"")</f>
        <v/>
      </c>
    </row>
    <row r="944" ht="20" customHeight="1">
      <c r="A944" s="183">
        <f>IF($K944="","",WEEKNUM(INDEX(Zeiterfassung!$K$6:$K$3665,$K944),21))</f>
        <v/>
      </c>
      <c r="B944" s="184">
        <f>IF($K944="","",INDEX(Zeiterfassung!$K$6:$K$3665,$K944))</f>
        <v/>
      </c>
      <c r="C944" s="185">
        <f>IF($K944="","",INDEX(Zeiterfassung!$K$6:$K$3665,$K944))</f>
        <v/>
      </c>
      <c r="D944" s="186">
        <f>IF($K944="","",INDEX(Zeiterfassung!$D$6:$D$3665,$K944))</f>
        <v/>
      </c>
      <c r="E944" s="186">
        <f>IF($K944="","",INDEX(Zeiterfassung!$E$6:$E$3665,$K944))</f>
        <v/>
      </c>
      <c r="F944" s="187">
        <f>IF($K944="","",INDEX(Zeiterfassung!$F$6:$F$3665,$K944))</f>
        <v/>
      </c>
      <c r="G944" s="187">
        <f>IF($K944="","",INDEX(Zeiterfassung!$G$6:$G$3665,$K944))</f>
        <v/>
      </c>
      <c r="H944" s="188">
        <f>IF($K944="","",INDEX(Zeiterfassung!$H$6:$H$3665,$K944))</f>
        <v/>
      </c>
      <c r="I944" s="335">
        <f>IF(B944=B943,"",IF($K944="","",INDEX(Zeiterfassung!$I$6:$I$3665,MATCH(INDEX(Zeiterfassung!$K$6:$K$3665,$K944),Zeiterfassung!$K$6:$K$3665,0))))</f>
        <v/>
      </c>
      <c r="J944" s="335">
        <f>IF(B944=B943,"",IF($K944="","",INDEX(Zeiterfassung!$J$6:$J$3665,MATCH(INDEX(Zeiterfassung!$K$6:$K$3665,$K944),Zeiterfassung!$K$6:$K$3665,0))))</f>
        <v/>
      </c>
      <c r="K944">
        <f>IFERROR(AGGREGATE(15,6,(ROW(Zeiterfassung!$D$6:$D$3665)-ROW(Zeiterfassung!$D$6)+1)/(Zeiterfassung!$D$6:$D$3665&lt;&gt;""),939),"")</f>
        <v/>
      </c>
    </row>
    <row r="945" ht="20" customHeight="1">
      <c r="A945" s="183">
        <f>IF($K945="","",WEEKNUM(INDEX(Zeiterfassung!$K$6:$K$3665,$K945),21))</f>
        <v/>
      </c>
      <c r="B945" s="184">
        <f>IF($K945="","",INDEX(Zeiterfassung!$K$6:$K$3665,$K945))</f>
        <v/>
      </c>
      <c r="C945" s="185">
        <f>IF($K945="","",INDEX(Zeiterfassung!$K$6:$K$3665,$K945))</f>
        <v/>
      </c>
      <c r="D945" s="186">
        <f>IF($K945="","",INDEX(Zeiterfassung!$D$6:$D$3665,$K945))</f>
        <v/>
      </c>
      <c r="E945" s="186">
        <f>IF($K945="","",INDEX(Zeiterfassung!$E$6:$E$3665,$K945))</f>
        <v/>
      </c>
      <c r="F945" s="187">
        <f>IF($K945="","",INDEX(Zeiterfassung!$F$6:$F$3665,$K945))</f>
        <v/>
      </c>
      <c r="G945" s="187">
        <f>IF($K945="","",INDEX(Zeiterfassung!$G$6:$G$3665,$K945))</f>
        <v/>
      </c>
      <c r="H945" s="188">
        <f>IF($K945="","",INDEX(Zeiterfassung!$H$6:$H$3665,$K945))</f>
        <v/>
      </c>
      <c r="I945" s="335">
        <f>IF(B945=B944,"",IF($K945="","",INDEX(Zeiterfassung!$I$6:$I$3665,MATCH(INDEX(Zeiterfassung!$K$6:$K$3665,$K945),Zeiterfassung!$K$6:$K$3665,0))))</f>
        <v/>
      </c>
      <c r="J945" s="335">
        <f>IF(B945=B944,"",IF($K945="","",INDEX(Zeiterfassung!$J$6:$J$3665,MATCH(INDEX(Zeiterfassung!$K$6:$K$3665,$K945),Zeiterfassung!$K$6:$K$3665,0))))</f>
        <v/>
      </c>
      <c r="K945">
        <f>IFERROR(AGGREGATE(15,6,(ROW(Zeiterfassung!$D$6:$D$3665)-ROW(Zeiterfassung!$D$6)+1)/(Zeiterfassung!$D$6:$D$3665&lt;&gt;""),940),"")</f>
        <v/>
      </c>
    </row>
    <row r="946" ht="20" customHeight="1">
      <c r="A946" s="183">
        <f>IF($K946="","",WEEKNUM(INDEX(Zeiterfassung!$K$6:$K$3665,$K946),21))</f>
        <v/>
      </c>
      <c r="B946" s="184">
        <f>IF($K946="","",INDEX(Zeiterfassung!$K$6:$K$3665,$K946))</f>
        <v/>
      </c>
      <c r="C946" s="185">
        <f>IF($K946="","",INDEX(Zeiterfassung!$K$6:$K$3665,$K946))</f>
        <v/>
      </c>
      <c r="D946" s="186">
        <f>IF($K946="","",INDEX(Zeiterfassung!$D$6:$D$3665,$K946))</f>
        <v/>
      </c>
      <c r="E946" s="186">
        <f>IF($K946="","",INDEX(Zeiterfassung!$E$6:$E$3665,$K946))</f>
        <v/>
      </c>
      <c r="F946" s="187">
        <f>IF($K946="","",INDEX(Zeiterfassung!$F$6:$F$3665,$K946))</f>
        <v/>
      </c>
      <c r="G946" s="187">
        <f>IF($K946="","",INDEX(Zeiterfassung!$G$6:$G$3665,$K946))</f>
        <v/>
      </c>
      <c r="H946" s="188">
        <f>IF($K946="","",INDEX(Zeiterfassung!$H$6:$H$3665,$K946))</f>
        <v/>
      </c>
      <c r="I946" s="335">
        <f>IF(B946=B945,"",IF($K946="","",INDEX(Zeiterfassung!$I$6:$I$3665,MATCH(INDEX(Zeiterfassung!$K$6:$K$3665,$K946),Zeiterfassung!$K$6:$K$3665,0))))</f>
        <v/>
      </c>
      <c r="J946" s="335">
        <f>IF(B946=B945,"",IF($K946="","",INDEX(Zeiterfassung!$J$6:$J$3665,MATCH(INDEX(Zeiterfassung!$K$6:$K$3665,$K946),Zeiterfassung!$K$6:$K$3665,0))))</f>
        <v/>
      </c>
      <c r="K946">
        <f>IFERROR(AGGREGATE(15,6,(ROW(Zeiterfassung!$D$6:$D$3665)-ROW(Zeiterfassung!$D$6)+1)/(Zeiterfassung!$D$6:$D$3665&lt;&gt;""),941),"")</f>
        <v/>
      </c>
    </row>
    <row r="947" ht="20" customHeight="1">
      <c r="A947" s="183">
        <f>IF($K947="","",WEEKNUM(INDEX(Zeiterfassung!$K$6:$K$3665,$K947),21))</f>
        <v/>
      </c>
      <c r="B947" s="184">
        <f>IF($K947="","",INDEX(Zeiterfassung!$K$6:$K$3665,$K947))</f>
        <v/>
      </c>
      <c r="C947" s="185">
        <f>IF($K947="","",INDEX(Zeiterfassung!$K$6:$K$3665,$K947))</f>
        <v/>
      </c>
      <c r="D947" s="186">
        <f>IF($K947="","",INDEX(Zeiterfassung!$D$6:$D$3665,$K947))</f>
        <v/>
      </c>
      <c r="E947" s="186">
        <f>IF($K947="","",INDEX(Zeiterfassung!$E$6:$E$3665,$K947))</f>
        <v/>
      </c>
      <c r="F947" s="187">
        <f>IF($K947="","",INDEX(Zeiterfassung!$F$6:$F$3665,$K947))</f>
        <v/>
      </c>
      <c r="G947" s="187">
        <f>IF($K947="","",INDEX(Zeiterfassung!$G$6:$G$3665,$K947))</f>
        <v/>
      </c>
      <c r="H947" s="188">
        <f>IF($K947="","",INDEX(Zeiterfassung!$H$6:$H$3665,$K947))</f>
        <v/>
      </c>
      <c r="I947" s="335">
        <f>IF(B947=B946,"",IF($K947="","",INDEX(Zeiterfassung!$I$6:$I$3665,MATCH(INDEX(Zeiterfassung!$K$6:$K$3665,$K947),Zeiterfassung!$K$6:$K$3665,0))))</f>
        <v/>
      </c>
      <c r="J947" s="335">
        <f>IF(B947=B946,"",IF($K947="","",INDEX(Zeiterfassung!$J$6:$J$3665,MATCH(INDEX(Zeiterfassung!$K$6:$K$3665,$K947),Zeiterfassung!$K$6:$K$3665,0))))</f>
        <v/>
      </c>
      <c r="K947">
        <f>IFERROR(AGGREGATE(15,6,(ROW(Zeiterfassung!$D$6:$D$3665)-ROW(Zeiterfassung!$D$6)+1)/(Zeiterfassung!$D$6:$D$3665&lt;&gt;""),942),"")</f>
        <v/>
      </c>
    </row>
    <row r="948" ht="20" customHeight="1">
      <c r="A948" s="183">
        <f>IF($K948="","",WEEKNUM(INDEX(Zeiterfassung!$K$6:$K$3665,$K948),21))</f>
        <v/>
      </c>
      <c r="B948" s="184">
        <f>IF($K948="","",INDEX(Zeiterfassung!$K$6:$K$3665,$K948))</f>
        <v/>
      </c>
      <c r="C948" s="185">
        <f>IF($K948="","",INDEX(Zeiterfassung!$K$6:$K$3665,$K948))</f>
        <v/>
      </c>
      <c r="D948" s="186">
        <f>IF($K948="","",INDEX(Zeiterfassung!$D$6:$D$3665,$K948))</f>
        <v/>
      </c>
      <c r="E948" s="186">
        <f>IF($K948="","",INDEX(Zeiterfassung!$E$6:$E$3665,$K948))</f>
        <v/>
      </c>
      <c r="F948" s="187">
        <f>IF($K948="","",INDEX(Zeiterfassung!$F$6:$F$3665,$K948))</f>
        <v/>
      </c>
      <c r="G948" s="187">
        <f>IF($K948="","",INDEX(Zeiterfassung!$G$6:$G$3665,$K948))</f>
        <v/>
      </c>
      <c r="H948" s="188">
        <f>IF($K948="","",INDEX(Zeiterfassung!$H$6:$H$3665,$K948))</f>
        <v/>
      </c>
      <c r="I948" s="335">
        <f>IF(B948=B947,"",IF($K948="","",INDEX(Zeiterfassung!$I$6:$I$3665,MATCH(INDEX(Zeiterfassung!$K$6:$K$3665,$K948),Zeiterfassung!$K$6:$K$3665,0))))</f>
        <v/>
      </c>
      <c r="J948" s="335">
        <f>IF(B948=B947,"",IF($K948="","",INDEX(Zeiterfassung!$J$6:$J$3665,MATCH(INDEX(Zeiterfassung!$K$6:$K$3665,$K948),Zeiterfassung!$K$6:$K$3665,0))))</f>
        <v/>
      </c>
      <c r="K948">
        <f>IFERROR(AGGREGATE(15,6,(ROW(Zeiterfassung!$D$6:$D$3665)-ROW(Zeiterfassung!$D$6)+1)/(Zeiterfassung!$D$6:$D$3665&lt;&gt;""),943),"")</f>
        <v/>
      </c>
    </row>
    <row r="949" ht="20" customHeight="1">
      <c r="A949" s="183">
        <f>IF($K949="","",WEEKNUM(INDEX(Zeiterfassung!$K$6:$K$3665,$K949),21))</f>
        <v/>
      </c>
      <c r="B949" s="184">
        <f>IF($K949="","",INDEX(Zeiterfassung!$K$6:$K$3665,$K949))</f>
        <v/>
      </c>
      <c r="C949" s="185">
        <f>IF($K949="","",INDEX(Zeiterfassung!$K$6:$K$3665,$K949))</f>
        <v/>
      </c>
      <c r="D949" s="186">
        <f>IF($K949="","",INDEX(Zeiterfassung!$D$6:$D$3665,$K949))</f>
        <v/>
      </c>
      <c r="E949" s="186">
        <f>IF($K949="","",INDEX(Zeiterfassung!$E$6:$E$3665,$K949))</f>
        <v/>
      </c>
      <c r="F949" s="187">
        <f>IF($K949="","",INDEX(Zeiterfassung!$F$6:$F$3665,$K949))</f>
        <v/>
      </c>
      <c r="G949" s="187">
        <f>IF($K949="","",INDEX(Zeiterfassung!$G$6:$G$3665,$K949))</f>
        <v/>
      </c>
      <c r="H949" s="188">
        <f>IF($K949="","",INDEX(Zeiterfassung!$H$6:$H$3665,$K949))</f>
        <v/>
      </c>
      <c r="I949" s="335">
        <f>IF(B949=B948,"",IF($K949="","",INDEX(Zeiterfassung!$I$6:$I$3665,MATCH(INDEX(Zeiterfassung!$K$6:$K$3665,$K949),Zeiterfassung!$K$6:$K$3665,0))))</f>
        <v/>
      </c>
      <c r="J949" s="335">
        <f>IF(B949=B948,"",IF($K949="","",INDEX(Zeiterfassung!$J$6:$J$3665,MATCH(INDEX(Zeiterfassung!$K$6:$K$3665,$K949),Zeiterfassung!$K$6:$K$3665,0))))</f>
        <v/>
      </c>
      <c r="K949">
        <f>IFERROR(AGGREGATE(15,6,(ROW(Zeiterfassung!$D$6:$D$3665)-ROW(Zeiterfassung!$D$6)+1)/(Zeiterfassung!$D$6:$D$3665&lt;&gt;""),944),"")</f>
        <v/>
      </c>
    </row>
    <row r="950" ht="20" customHeight="1">
      <c r="A950" s="183">
        <f>IF($K950="","",WEEKNUM(INDEX(Zeiterfassung!$K$6:$K$3665,$K950),21))</f>
        <v/>
      </c>
      <c r="B950" s="184">
        <f>IF($K950="","",INDEX(Zeiterfassung!$K$6:$K$3665,$K950))</f>
        <v/>
      </c>
      <c r="C950" s="185">
        <f>IF($K950="","",INDEX(Zeiterfassung!$K$6:$K$3665,$K950))</f>
        <v/>
      </c>
      <c r="D950" s="186">
        <f>IF($K950="","",INDEX(Zeiterfassung!$D$6:$D$3665,$K950))</f>
        <v/>
      </c>
      <c r="E950" s="186">
        <f>IF($K950="","",INDEX(Zeiterfassung!$E$6:$E$3665,$K950))</f>
        <v/>
      </c>
      <c r="F950" s="187">
        <f>IF($K950="","",INDEX(Zeiterfassung!$F$6:$F$3665,$K950))</f>
        <v/>
      </c>
      <c r="G950" s="187">
        <f>IF($K950="","",INDEX(Zeiterfassung!$G$6:$G$3665,$K950))</f>
        <v/>
      </c>
      <c r="H950" s="188">
        <f>IF($K950="","",INDEX(Zeiterfassung!$H$6:$H$3665,$K950))</f>
        <v/>
      </c>
      <c r="I950" s="335">
        <f>IF(B950=B949,"",IF($K950="","",INDEX(Zeiterfassung!$I$6:$I$3665,MATCH(INDEX(Zeiterfassung!$K$6:$K$3665,$K950),Zeiterfassung!$K$6:$K$3665,0))))</f>
        <v/>
      </c>
      <c r="J950" s="335">
        <f>IF(B950=B949,"",IF($K950="","",INDEX(Zeiterfassung!$J$6:$J$3665,MATCH(INDEX(Zeiterfassung!$K$6:$K$3665,$K950),Zeiterfassung!$K$6:$K$3665,0))))</f>
        <v/>
      </c>
      <c r="K950">
        <f>IFERROR(AGGREGATE(15,6,(ROW(Zeiterfassung!$D$6:$D$3665)-ROW(Zeiterfassung!$D$6)+1)/(Zeiterfassung!$D$6:$D$3665&lt;&gt;""),945),"")</f>
        <v/>
      </c>
    </row>
    <row r="951" ht="20" customHeight="1">
      <c r="A951" s="183">
        <f>IF($K951="","",WEEKNUM(INDEX(Zeiterfassung!$K$6:$K$3665,$K951),21))</f>
        <v/>
      </c>
      <c r="B951" s="184">
        <f>IF($K951="","",INDEX(Zeiterfassung!$K$6:$K$3665,$K951))</f>
        <v/>
      </c>
      <c r="C951" s="185">
        <f>IF($K951="","",INDEX(Zeiterfassung!$K$6:$K$3665,$K951))</f>
        <v/>
      </c>
      <c r="D951" s="186">
        <f>IF($K951="","",INDEX(Zeiterfassung!$D$6:$D$3665,$K951))</f>
        <v/>
      </c>
      <c r="E951" s="186">
        <f>IF($K951="","",INDEX(Zeiterfassung!$E$6:$E$3665,$K951))</f>
        <v/>
      </c>
      <c r="F951" s="187">
        <f>IF($K951="","",INDEX(Zeiterfassung!$F$6:$F$3665,$K951))</f>
        <v/>
      </c>
      <c r="G951" s="187">
        <f>IF($K951="","",INDEX(Zeiterfassung!$G$6:$G$3665,$K951))</f>
        <v/>
      </c>
      <c r="H951" s="188">
        <f>IF($K951="","",INDEX(Zeiterfassung!$H$6:$H$3665,$K951))</f>
        <v/>
      </c>
      <c r="I951" s="335">
        <f>IF(B951=B950,"",IF($K951="","",INDEX(Zeiterfassung!$I$6:$I$3665,MATCH(INDEX(Zeiterfassung!$K$6:$K$3665,$K951),Zeiterfassung!$K$6:$K$3665,0))))</f>
        <v/>
      </c>
      <c r="J951" s="335">
        <f>IF(B951=B950,"",IF($K951="","",INDEX(Zeiterfassung!$J$6:$J$3665,MATCH(INDEX(Zeiterfassung!$K$6:$K$3665,$K951),Zeiterfassung!$K$6:$K$3665,0))))</f>
        <v/>
      </c>
      <c r="K951">
        <f>IFERROR(AGGREGATE(15,6,(ROW(Zeiterfassung!$D$6:$D$3665)-ROW(Zeiterfassung!$D$6)+1)/(Zeiterfassung!$D$6:$D$3665&lt;&gt;""),946),"")</f>
        <v/>
      </c>
    </row>
    <row r="952" ht="20" customHeight="1">
      <c r="A952" s="183">
        <f>IF($K952="","",WEEKNUM(INDEX(Zeiterfassung!$K$6:$K$3665,$K952),21))</f>
        <v/>
      </c>
      <c r="B952" s="184">
        <f>IF($K952="","",INDEX(Zeiterfassung!$K$6:$K$3665,$K952))</f>
        <v/>
      </c>
      <c r="C952" s="185">
        <f>IF($K952="","",INDEX(Zeiterfassung!$K$6:$K$3665,$K952))</f>
        <v/>
      </c>
      <c r="D952" s="186">
        <f>IF($K952="","",INDEX(Zeiterfassung!$D$6:$D$3665,$K952))</f>
        <v/>
      </c>
      <c r="E952" s="186">
        <f>IF($K952="","",INDEX(Zeiterfassung!$E$6:$E$3665,$K952))</f>
        <v/>
      </c>
      <c r="F952" s="187">
        <f>IF($K952="","",INDEX(Zeiterfassung!$F$6:$F$3665,$K952))</f>
        <v/>
      </c>
      <c r="G952" s="187">
        <f>IF($K952="","",INDEX(Zeiterfassung!$G$6:$G$3665,$K952))</f>
        <v/>
      </c>
      <c r="H952" s="188">
        <f>IF($K952="","",INDEX(Zeiterfassung!$H$6:$H$3665,$K952))</f>
        <v/>
      </c>
      <c r="I952" s="335">
        <f>IF(B952=B951,"",IF($K952="","",INDEX(Zeiterfassung!$I$6:$I$3665,MATCH(INDEX(Zeiterfassung!$K$6:$K$3665,$K952),Zeiterfassung!$K$6:$K$3665,0))))</f>
        <v/>
      </c>
      <c r="J952" s="335">
        <f>IF(B952=B951,"",IF($K952="","",INDEX(Zeiterfassung!$J$6:$J$3665,MATCH(INDEX(Zeiterfassung!$K$6:$K$3665,$K952),Zeiterfassung!$K$6:$K$3665,0))))</f>
        <v/>
      </c>
      <c r="K952">
        <f>IFERROR(AGGREGATE(15,6,(ROW(Zeiterfassung!$D$6:$D$3665)-ROW(Zeiterfassung!$D$6)+1)/(Zeiterfassung!$D$6:$D$3665&lt;&gt;""),947),"")</f>
        <v/>
      </c>
    </row>
    <row r="953" ht="20" customHeight="1">
      <c r="A953" s="183">
        <f>IF($K953="","",WEEKNUM(INDEX(Zeiterfassung!$K$6:$K$3665,$K953),21))</f>
        <v/>
      </c>
      <c r="B953" s="184">
        <f>IF($K953="","",INDEX(Zeiterfassung!$K$6:$K$3665,$K953))</f>
        <v/>
      </c>
      <c r="C953" s="185">
        <f>IF($K953="","",INDEX(Zeiterfassung!$K$6:$K$3665,$K953))</f>
        <v/>
      </c>
      <c r="D953" s="186">
        <f>IF($K953="","",INDEX(Zeiterfassung!$D$6:$D$3665,$K953))</f>
        <v/>
      </c>
      <c r="E953" s="186">
        <f>IF($K953="","",INDEX(Zeiterfassung!$E$6:$E$3665,$K953))</f>
        <v/>
      </c>
      <c r="F953" s="187">
        <f>IF($K953="","",INDEX(Zeiterfassung!$F$6:$F$3665,$K953))</f>
        <v/>
      </c>
      <c r="G953" s="187">
        <f>IF($K953="","",INDEX(Zeiterfassung!$G$6:$G$3665,$K953))</f>
        <v/>
      </c>
      <c r="H953" s="188">
        <f>IF($K953="","",INDEX(Zeiterfassung!$H$6:$H$3665,$K953))</f>
        <v/>
      </c>
      <c r="I953" s="335">
        <f>IF(B953=B952,"",IF($K953="","",INDEX(Zeiterfassung!$I$6:$I$3665,MATCH(INDEX(Zeiterfassung!$K$6:$K$3665,$K953),Zeiterfassung!$K$6:$K$3665,0))))</f>
        <v/>
      </c>
      <c r="J953" s="335">
        <f>IF(B953=B952,"",IF($K953="","",INDEX(Zeiterfassung!$J$6:$J$3665,MATCH(INDEX(Zeiterfassung!$K$6:$K$3665,$K953),Zeiterfassung!$K$6:$K$3665,0))))</f>
        <v/>
      </c>
      <c r="K953">
        <f>IFERROR(AGGREGATE(15,6,(ROW(Zeiterfassung!$D$6:$D$3665)-ROW(Zeiterfassung!$D$6)+1)/(Zeiterfassung!$D$6:$D$3665&lt;&gt;""),948),"")</f>
        <v/>
      </c>
    </row>
    <row r="954" ht="20" customHeight="1">
      <c r="A954" s="183">
        <f>IF($K954="","",WEEKNUM(INDEX(Zeiterfassung!$K$6:$K$3665,$K954),21))</f>
        <v/>
      </c>
      <c r="B954" s="184">
        <f>IF($K954="","",INDEX(Zeiterfassung!$K$6:$K$3665,$K954))</f>
        <v/>
      </c>
      <c r="C954" s="185">
        <f>IF($K954="","",INDEX(Zeiterfassung!$K$6:$K$3665,$K954))</f>
        <v/>
      </c>
      <c r="D954" s="186">
        <f>IF($K954="","",INDEX(Zeiterfassung!$D$6:$D$3665,$K954))</f>
        <v/>
      </c>
      <c r="E954" s="186">
        <f>IF($K954="","",INDEX(Zeiterfassung!$E$6:$E$3665,$K954))</f>
        <v/>
      </c>
      <c r="F954" s="187">
        <f>IF($K954="","",INDEX(Zeiterfassung!$F$6:$F$3665,$K954))</f>
        <v/>
      </c>
      <c r="G954" s="187">
        <f>IF($K954="","",INDEX(Zeiterfassung!$G$6:$G$3665,$K954))</f>
        <v/>
      </c>
      <c r="H954" s="188">
        <f>IF($K954="","",INDEX(Zeiterfassung!$H$6:$H$3665,$K954))</f>
        <v/>
      </c>
      <c r="I954" s="335">
        <f>IF(B954=B953,"",IF($K954="","",INDEX(Zeiterfassung!$I$6:$I$3665,MATCH(INDEX(Zeiterfassung!$K$6:$K$3665,$K954),Zeiterfassung!$K$6:$K$3665,0))))</f>
        <v/>
      </c>
      <c r="J954" s="335">
        <f>IF(B954=B953,"",IF($K954="","",INDEX(Zeiterfassung!$J$6:$J$3665,MATCH(INDEX(Zeiterfassung!$K$6:$K$3665,$K954),Zeiterfassung!$K$6:$K$3665,0))))</f>
        <v/>
      </c>
      <c r="K954">
        <f>IFERROR(AGGREGATE(15,6,(ROW(Zeiterfassung!$D$6:$D$3665)-ROW(Zeiterfassung!$D$6)+1)/(Zeiterfassung!$D$6:$D$3665&lt;&gt;""),949),"")</f>
        <v/>
      </c>
    </row>
    <row r="955" ht="20" customHeight="1">
      <c r="A955" s="183">
        <f>IF($K955="","",WEEKNUM(INDEX(Zeiterfassung!$K$6:$K$3665,$K955),21))</f>
        <v/>
      </c>
      <c r="B955" s="184">
        <f>IF($K955="","",INDEX(Zeiterfassung!$K$6:$K$3665,$K955))</f>
        <v/>
      </c>
      <c r="C955" s="185">
        <f>IF($K955="","",INDEX(Zeiterfassung!$K$6:$K$3665,$K955))</f>
        <v/>
      </c>
      <c r="D955" s="186">
        <f>IF($K955="","",INDEX(Zeiterfassung!$D$6:$D$3665,$K955))</f>
        <v/>
      </c>
      <c r="E955" s="186">
        <f>IF($K955="","",INDEX(Zeiterfassung!$E$6:$E$3665,$K955))</f>
        <v/>
      </c>
      <c r="F955" s="187">
        <f>IF($K955="","",INDEX(Zeiterfassung!$F$6:$F$3665,$K955))</f>
        <v/>
      </c>
      <c r="G955" s="187">
        <f>IF($K955="","",INDEX(Zeiterfassung!$G$6:$G$3665,$K955))</f>
        <v/>
      </c>
      <c r="H955" s="188">
        <f>IF($K955="","",INDEX(Zeiterfassung!$H$6:$H$3665,$K955))</f>
        <v/>
      </c>
      <c r="I955" s="335">
        <f>IF(B955=B954,"",IF($K955="","",INDEX(Zeiterfassung!$I$6:$I$3665,MATCH(INDEX(Zeiterfassung!$K$6:$K$3665,$K955),Zeiterfassung!$K$6:$K$3665,0))))</f>
        <v/>
      </c>
      <c r="J955" s="335">
        <f>IF(B955=B954,"",IF($K955="","",INDEX(Zeiterfassung!$J$6:$J$3665,MATCH(INDEX(Zeiterfassung!$K$6:$K$3665,$K955),Zeiterfassung!$K$6:$K$3665,0))))</f>
        <v/>
      </c>
      <c r="K955">
        <f>IFERROR(AGGREGATE(15,6,(ROW(Zeiterfassung!$D$6:$D$3665)-ROW(Zeiterfassung!$D$6)+1)/(Zeiterfassung!$D$6:$D$3665&lt;&gt;""),950),"")</f>
        <v/>
      </c>
    </row>
    <row r="956" ht="20" customHeight="1">
      <c r="A956" s="183">
        <f>IF($K956="","",WEEKNUM(INDEX(Zeiterfassung!$K$6:$K$3665,$K956),21))</f>
        <v/>
      </c>
      <c r="B956" s="184">
        <f>IF($K956="","",INDEX(Zeiterfassung!$K$6:$K$3665,$K956))</f>
        <v/>
      </c>
      <c r="C956" s="185">
        <f>IF($K956="","",INDEX(Zeiterfassung!$K$6:$K$3665,$K956))</f>
        <v/>
      </c>
      <c r="D956" s="186">
        <f>IF($K956="","",INDEX(Zeiterfassung!$D$6:$D$3665,$K956))</f>
        <v/>
      </c>
      <c r="E956" s="186">
        <f>IF($K956="","",INDEX(Zeiterfassung!$E$6:$E$3665,$K956))</f>
        <v/>
      </c>
      <c r="F956" s="187">
        <f>IF($K956="","",INDEX(Zeiterfassung!$F$6:$F$3665,$K956))</f>
        <v/>
      </c>
      <c r="G956" s="187">
        <f>IF($K956="","",INDEX(Zeiterfassung!$G$6:$G$3665,$K956))</f>
        <v/>
      </c>
      <c r="H956" s="188">
        <f>IF($K956="","",INDEX(Zeiterfassung!$H$6:$H$3665,$K956))</f>
        <v/>
      </c>
      <c r="I956" s="335">
        <f>IF(B956=B955,"",IF($K956="","",INDEX(Zeiterfassung!$I$6:$I$3665,MATCH(INDEX(Zeiterfassung!$K$6:$K$3665,$K956),Zeiterfassung!$K$6:$K$3665,0))))</f>
        <v/>
      </c>
      <c r="J956" s="335">
        <f>IF(B956=B955,"",IF($K956="","",INDEX(Zeiterfassung!$J$6:$J$3665,MATCH(INDEX(Zeiterfassung!$K$6:$K$3665,$K956),Zeiterfassung!$K$6:$K$3665,0))))</f>
        <v/>
      </c>
      <c r="K956">
        <f>IFERROR(AGGREGATE(15,6,(ROW(Zeiterfassung!$D$6:$D$3665)-ROW(Zeiterfassung!$D$6)+1)/(Zeiterfassung!$D$6:$D$3665&lt;&gt;""),951),"")</f>
        <v/>
      </c>
    </row>
    <row r="957" ht="20" customHeight="1">
      <c r="A957" s="183">
        <f>IF($K957="","",WEEKNUM(INDEX(Zeiterfassung!$K$6:$K$3665,$K957),21))</f>
        <v/>
      </c>
      <c r="B957" s="184">
        <f>IF($K957="","",INDEX(Zeiterfassung!$K$6:$K$3665,$K957))</f>
        <v/>
      </c>
      <c r="C957" s="185">
        <f>IF($K957="","",INDEX(Zeiterfassung!$K$6:$K$3665,$K957))</f>
        <v/>
      </c>
      <c r="D957" s="186">
        <f>IF($K957="","",INDEX(Zeiterfassung!$D$6:$D$3665,$K957))</f>
        <v/>
      </c>
      <c r="E957" s="186">
        <f>IF($K957="","",INDEX(Zeiterfassung!$E$6:$E$3665,$K957))</f>
        <v/>
      </c>
      <c r="F957" s="187">
        <f>IF($K957="","",INDEX(Zeiterfassung!$F$6:$F$3665,$K957))</f>
        <v/>
      </c>
      <c r="G957" s="187">
        <f>IF($K957="","",INDEX(Zeiterfassung!$G$6:$G$3665,$K957))</f>
        <v/>
      </c>
      <c r="H957" s="188">
        <f>IF($K957="","",INDEX(Zeiterfassung!$H$6:$H$3665,$K957))</f>
        <v/>
      </c>
      <c r="I957" s="335">
        <f>IF(B957=B956,"",IF($K957="","",INDEX(Zeiterfassung!$I$6:$I$3665,MATCH(INDEX(Zeiterfassung!$K$6:$K$3665,$K957),Zeiterfassung!$K$6:$K$3665,0))))</f>
        <v/>
      </c>
      <c r="J957" s="335">
        <f>IF(B957=B956,"",IF($K957="","",INDEX(Zeiterfassung!$J$6:$J$3665,MATCH(INDEX(Zeiterfassung!$K$6:$K$3665,$K957),Zeiterfassung!$K$6:$K$3665,0))))</f>
        <v/>
      </c>
      <c r="K957">
        <f>IFERROR(AGGREGATE(15,6,(ROW(Zeiterfassung!$D$6:$D$3665)-ROW(Zeiterfassung!$D$6)+1)/(Zeiterfassung!$D$6:$D$3665&lt;&gt;""),952),"")</f>
        <v/>
      </c>
    </row>
    <row r="958" ht="20" customHeight="1">
      <c r="A958" s="183">
        <f>IF($K958="","",WEEKNUM(INDEX(Zeiterfassung!$K$6:$K$3665,$K958),21))</f>
        <v/>
      </c>
      <c r="B958" s="184">
        <f>IF($K958="","",INDEX(Zeiterfassung!$K$6:$K$3665,$K958))</f>
        <v/>
      </c>
      <c r="C958" s="185">
        <f>IF($K958="","",INDEX(Zeiterfassung!$K$6:$K$3665,$K958))</f>
        <v/>
      </c>
      <c r="D958" s="186">
        <f>IF($K958="","",INDEX(Zeiterfassung!$D$6:$D$3665,$K958))</f>
        <v/>
      </c>
      <c r="E958" s="186">
        <f>IF($K958="","",INDEX(Zeiterfassung!$E$6:$E$3665,$K958))</f>
        <v/>
      </c>
      <c r="F958" s="187">
        <f>IF($K958="","",INDEX(Zeiterfassung!$F$6:$F$3665,$K958))</f>
        <v/>
      </c>
      <c r="G958" s="187">
        <f>IF($K958="","",INDEX(Zeiterfassung!$G$6:$G$3665,$K958))</f>
        <v/>
      </c>
      <c r="H958" s="188">
        <f>IF($K958="","",INDEX(Zeiterfassung!$H$6:$H$3665,$K958))</f>
        <v/>
      </c>
      <c r="I958" s="335">
        <f>IF(B958=B957,"",IF($K958="","",INDEX(Zeiterfassung!$I$6:$I$3665,MATCH(INDEX(Zeiterfassung!$K$6:$K$3665,$K958),Zeiterfassung!$K$6:$K$3665,0))))</f>
        <v/>
      </c>
      <c r="J958" s="335">
        <f>IF(B958=B957,"",IF($K958="","",INDEX(Zeiterfassung!$J$6:$J$3665,MATCH(INDEX(Zeiterfassung!$K$6:$K$3665,$K958),Zeiterfassung!$K$6:$K$3665,0))))</f>
        <v/>
      </c>
      <c r="K958">
        <f>IFERROR(AGGREGATE(15,6,(ROW(Zeiterfassung!$D$6:$D$3665)-ROW(Zeiterfassung!$D$6)+1)/(Zeiterfassung!$D$6:$D$3665&lt;&gt;""),953),"")</f>
        <v/>
      </c>
    </row>
    <row r="959" ht="20" customHeight="1">
      <c r="A959" s="183">
        <f>IF($K959="","",WEEKNUM(INDEX(Zeiterfassung!$K$6:$K$3665,$K959),21))</f>
        <v/>
      </c>
      <c r="B959" s="184">
        <f>IF($K959="","",INDEX(Zeiterfassung!$K$6:$K$3665,$K959))</f>
        <v/>
      </c>
      <c r="C959" s="185">
        <f>IF($K959="","",INDEX(Zeiterfassung!$K$6:$K$3665,$K959))</f>
        <v/>
      </c>
      <c r="D959" s="186">
        <f>IF($K959="","",INDEX(Zeiterfassung!$D$6:$D$3665,$K959))</f>
        <v/>
      </c>
      <c r="E959" s="186">
        <f>IF($K959="","",INDEX(Zeiterfassung!$E$6:$E$3665,$K959))</f>
        <v/>
      </c>
      <c r="F959" s="187">
        <f>IF($K959="","",INDEX(Zeiterfassung!$F$6:$F$3665,$K959))</f>
        <v/>
      </c>
      <c r="G959" s="187">
        <f>IF($K959="","",INDEX(Zeiterfassung!$G$6:$G$3665,$K959))</f>
        <v/>
      </c>
      <c r="H959" s="188">
        <f>IF($K959="","",INDEX(Zeiterfassung!$H$6:$H$3665,$K959))</f>
        <v/>
      </c>
      <c r="I959" s="335">
        <f>IF(B959=B958,"",IF($K959="","",INDEX(Zeiterfassung!$I$6:$I$3665,MATCH(INDEX(Zeiterfassung!$K$6:$K$3665,$K959),Zeiterfassung!$K$6:$K$3665,0))))</f>
        <v/>
      </c>
      <c r="J959" s="335">
        <f>IF(B959=B958,"",IF($K959="","",INDEX(Zeiterfassung!$J$6:$J$3665,MATCH(INDEX(Zeiterfassung!$K$6:$K$3665,$K959),Zeiterfassung!$K$6:$K$3665,0))))</f>
        <v/>
      </c>
      <c r="K959">
        <f>IFERROR(AGGREGATE(15,6,(ROW(Zeiterfassung!$D$6:$D$3665)-ROW(Zeiterfassung!$D$6)+1)/(Zeiterfassung!$D$6:$D$3665&lt;&gt;""),954),"")</f>
        <v/>
      </c>
    </row>
    <row r="960" ht="20" customHeight="1">
      <c r="A960" s="183">
        <f>IF($K960="","",WEEKNUM(INDEX(Zeiterfassung!$K$6:$K$3665,$K960),21))</f>
        <v/>
      </c>
      <c r="B960" s="184">
        <f>IF($K960="","",INDEX(Zeiterfassung!$K$6:$K$3665,$K960))</f>
        <v/>
      </c>
      <c r="C960" s="185">
        <f>IF($K960="","",INDEX(Zeiterfassung!$K$6:$K$3665,$K960))</f>
        <v/>
      </c>
      <c r="D960" s="186">
        <f>IF($K960="","",INDEX(Zeiterfassung!$D$6:$D$3665,$K960))</f>
        <v/>
      </c>
      <c r="E960" s="186">
        <f>IF($K960="","",INDEX(Zeiterfassung!$E$6:$E$3665,$K960))</f>
        <v/>
      </c>
      <c r="F960" s="187">
        <f>IF($K960="","",INDEX(Zeiterfassung!$F$6:$F$3665,$K960))</f>
        <v/>
      </c>
      <c r="G960" s="187">
        <f>IF($K960="","",INDEX(Zeiterfassung!$G$6:$G$3665,$K960))</f>
        <v/>
      </c>
      <c r="H960" s="188">
        <f>IF($K960="","",INDEX(Zeiterfassung!$H$6:$H$3665,$K960))</f>
        <v/>
      </c>
      <c r="I960" s="335">
        <f>IF(B960=B959,"",IF($K960="","",INDEX(Zeiterfassung!$I$6:$I$3665,MATCH(INDEX(Zeiterfassung!$K$6:$K$3665,$K960),Zeiterfassung!$K$6:$K$3665,0))))</f>
        <v/>
      </c>
      <c r="J960" s="335">
        <f>IF(B960=B959,"",IF($K960="","",INDEX(Zeiterfassung!$J$6:$J$3665,MATCH(INDEX(Zeiterfassung!$K$6:$K$3665,$K960),Zeiterfassung!$K$6:$K$3665,0))))</f>
        <v/>
      </c>
      <c r="K960">
        <f>IFERROR(AGGREGATE(15,6,(ROW(Zeiterfassung!$D$6:$D$3665)-ROW(Zeiterfassung!$D$6)+1)/(Zeiterfassung!$D$6:$D$3665&lt;&gt;""),955),"")</f>
        <v/>
      </c>
    </row>
    <row r="961" ht="20" customHeight="1">
      <c r="A961" s="183">
        <f>IF($K961="","",WEEKNUM(INDEX(Zeiterfassung!$K$6:$K$3665,$K961),21))</f>
        <v/>
      </c>
      <c r="B961" s="184">
        <f>IF($K961="","",INDEX(Zeiterfassung!$K$6:$K$3665,$K961))</f>
        <v/>
      </c>
      <c r="C961" s="185">
        <f>IF($K961="","",INDEX(Zeiterfassung!$K$6:$K$3665,$K961))</f>
        <v/>
      </c>
      <c r="D961" s="186">
        <f>IF($K961="","",INDEX(Zeiterfassung!$D$6:$D$3665,$K961))</f>
        <v/>
      </c>
      <c r="E961" s="186">
        <f>IF($K961="","",INDEX(Zeiterfassung!$E$6:$E$3665,$K961))</f>
        <v/>
      </c>
      <c r="F961" s="187">
        <f>IF($K961="","",INDEX(Zeiterfassung!$F$6:$F$3665,$K961))</f>
        <v/>
      </c>
      <c r="G961" s="187">
        <f>IF($K961="","",INDEX(Zeiterfassung!$G$6:$G$3665,$K961))</f>
        <v/>
      </c>
      <c r="H961" s="188">
        <f>IF($K961="","",INDEX(Zeiterfassung!$H$6:$H$3665,$K961))</f>
        <v/>
      </c>
      <c r="I961" s="335">
        <f>IF(B961=B960,"",IF($K961="","",INDEX(Zeiterfassung!$I$6:$I$3665,MATCH(INDEX(Zeiterfassung!$K$6:$K$3665,$K961),Zeiterfassung!$K$6:$K$3665,0))))</f>
        <v/>
      </c>
      <c r="J961" s="335">
        <f>IF(B961=B960,"",IF($K961="","",INDEX(Zeiterfassung!$J$6:$J$3665,MATCH(INDEX(Zeiterfassung!$K$6:$K$3665,$K961),Zeiterfassung!$K$6:$K$3665,0))))</f>
        <v/>
      </c>
      <c r="K961">
        <f>IFERROR(AGGREGATE(15,6,(ROW(Zeiterfassung!$D$6:$D$3665)-ROW(Zeiterfassung!$D$6)+1)/(Zeiterfassung!$D$6:$D$3665&lt;&gt;""),956),"")</f>
        <v/>
      </c>
    </row>
    <row r="962" ht="20" customHeight="1">
      <c r="A962" s="183">
        <f>IF($K962="","",WEEKNUM(INDEX(Zeiterfassung!$K$6:$K$3665,$K962),21))</f>
        <v/>
      </c>
      <c r="B962" s="184">
        <f>IF($K962="","",INDEX(Zeiterfassung!$K$6:$K$3665,$K962))</f>
        <v/>
      </c>
      <c r="C962" s="185">
        <f>IF($K962="","",INDEX(Zeiterfassung!$K$6:$K$3665,$K962))</f>
        <v/>
      </c>
      <c r="D962" s="186">
        <f>IF($K962="","",INDEX(Zeiterfassung!$D$6:$D$3665,$K962))</f>
        <v/>
      </c>
      <c r="E962" s="186">
        <f>IF($K962="","",INDEX(Zeiterfassung!$E$6:$E$3665,$K962))</f>
        <v/>
      </c>
      <c r="F962" s="187">
        <f>IF($K962="","",INDEX(Zeiterfassung!$F$6:$F$3665,$K962))</f>
        <v/>
      </c>
      <c r="G962" s="187">
        <f>IF($K962="","",INDEX(Zeiterfassung!$G$6:$G$3665,$K962))</f>
        <v/>
      </c>
      <c r="H962" s="188">
        <f>IF($K962="","",INDEX(Zeiterfassung!$H$6:$H$3665,$K962))</f>
        <v/>
      </c>
      <c r="I962" s="335">
        <f>IF(B962=B961,"",IF($K962="","",INDEX(Zeiterfassung!$I$6:$I$3665,MATCH(INDEX(Zeiterfassung!$K$6:$K$3665,$K962),Zeiterfassung!$K$6:$K$3665,0))))</f>
        <v/>
      </c>
      <c r="J962" s="335">
        <f>IF(B962=B961,"",IF($K962="","",INDEX(Zeiterfassung!$J$6:$J$3665,MATCH(INDEX(Zeiterfassung!$K$6:$K$3665,$K962),Zeiterfassung!$K$6:$K$3665,0))))</f>
        <v/>
      </c>
      <c r="K962">
        <f>IFERROR(AGGREGATE(15,6,(ROW(Zeiterfassung!$D$6:$D$3665)-ROW(Zeiterfassung!$D$6)+1)/(Zeiterfassung!$D$6:$D$3665&lt;&gt;""),957),"")</f>
        <v/>
      </c>
    </row>
    <row r="963" ht="20" customHeight="1">
      <c r="A963" s="183">
        <f>IF($K963="","",WEEKNUM(INDEX(Zeiterfassung!$K$6:$K$3665,$K963),21))</f>
        <v/>
      </c>
      <c r="B963" s="184">
        <f>IF($K963="","",INDEX(Zeiterfassung!$K$6:$K$3665,$K963))</f>
        <v/>
      </c>
      <c r="C963" s="185">
        <f>IF($K963="","",INDEX(Zeiterfassung!$K$6:$K$3665,$K963))</f>
        <v/>
      </c>
      <c r="D963" s="186">
        <f>IF($K963="","",INDEX(Zeiterfassung!$D$6:$D$3665,$K963))</f>
        <v/>
      </c>
      <c r="E963" s="186">
        <f>IF($K963="","",INDEX(Zeiterfassung!$E$6:$E$3665,$K963))</f>
        <v/>
      </c>
      <c r="F963" s="187">
        <f>IF($K963="","",INDEX(Zeiterfassung!$F$6:$F$3665,$K963))</f>
        <v/>
      </c>
      <c r="G963" s="187">
        <f>IF($K963="","",INDEX(Zeiterfassung!$G$6:$G$3665,$K963))</f>
        <v/>
      </c>
      <c r="H963" s="188">
        <f>IF($K963="","",INDEX(Zeiterfassung!$H$6:$H$3665,$K963))</f>
        <v/>
      </c>
      <c r="I963" s="335">
        <f>IF(B963=B962,"",IF($K963="","",INDEX(Zeiterfassung!$I$6:$I$3665,MATCH(INDEX(Zeiterfassung!$K$6:$K$3665,$K963),Zeiterfassung!$K$6:$K$3665,0))))</f>
        <v/>
      </c>
      <c r="J963" s="335">
        <f>IF(B963=B962,"",IF($K963="","",INDEX(Zeiterfassung!$J$6:$J$3665,MATCH(INDEX(Zeiterfassung!$K$6:$K$3665,$K963),Zeiterfassung!$K$6:$K$3665,0))))</f>
        <v/>
      </c>
      <c r="K963">
        <f>IFERROR(AGGREGATE(15,6,(ROW(Zeiterfassung!$D$6:$D$3665)-ROW(Zeiterfassung!$D$6)+1)/(Zeiterfassung!$D$6:$D$3665&lt;&gt;""),958),"")</f>
        <v/>
      </c>
    </row>
    <row r="964" ht="20" customHeight="1">
      <c r="A964" s="183">
        <f>IF($K964="","",WEEKNUM(INDEX(Zeiterfassung!$K$6:$K$3665,$K964),21))</f>
        <v/>
      </c>
      <c r="B964" s="184">
        <f>IF($K964="","",INDEX(Zeiterfassung!$K$6:$K$3665,$K964))</f>
        <v/>
      </c>
      <c r="C964" s="185">
        <f>IF($K964="","",INDEX(Zeiterfassung!$K$6:$K$3665,$K964))</f>
        <v/>
      </c>
      <c r="D964" s="186">
        <f>IF($K964="","",INDEX(Zeiterfassung!$D$6:$D$3665,$K964))</f>
        <v/>
      </c>
      <c r="E964" s="186">
        <f>IF($K964="","",INDEX(Zeiterfassung!$E$6:$E$3665,$K964))</f>
        <v/>
      </c>
      <c r="F964" s="187">
        <f>IF($K964="","",INDEX(Zeiterfassung!$F$6:$F$3665,$K964))</f>
        <v/>
      </c>
      <c r="G964" s="187">
        <f>IF($K964="","",INDEX(Zeiterfassung!$G$6:$G$3665,$K964))</f>
        <v/>
      </c>
      <c r="H964" s="188">
        <f>IF($K964="","",INDEX(Zeiterfassung!$H$6:$H$3665,$K964))</f>
        <v/>
      </c>
      <c r="I964" s="335">
        <f>IF(B964=B963,"",IF($K964="","",INDEX(Zeiterfassung!$I$6:$I$3665,MATCH(INDEX(Zeiterfassung!$K$6:$K$3665,$K964),Zeiterfassung!$K$6:$K$3665,0))))</f>
        <v/>
      </c>
      <c r="J964" s="335">
        <f>IF(B964=B963,"",IF($K964="","",INDEX(Zeiterfassung!$J$6:$J$3665,MATCH(INDEX(Zeiterfassung!$K$6:$K$3665,$K964),Zeiterfassung!$K$6:$K$3665,0))))</f>
        <v/>
      </c>
      <c r="K964">
        <f>IFERROR(AGGREGATE(15,6,(ROW(Zeiterfassung!$D$6:$D$3665)-ROW(Zeiterfassung!$D$6)+1)/(Zeiterfassung!$D$6:$D$3665&lt;&gt;""),959),"")</f>
        <v/>
      </c>
    </row>
    <row r="965" ht="20" customHeight="1">
      <c r="A965" s="183">
        <f>IF($K965="","",WEEKNUM(INDEX(Zeiterfassung!$K$6:$K$3665,$K965),21))</f>
        <v/>
      </c>
      <c r="B965" s="184">
        <f>IF($K965="","",INDEX(Zeiterfassung!$K$6:$K$3665,$K965))</f>
        <v/>
      </c>
      <c r="C965" s="185">
        <f>IF($K965="","",INDEX(Zeiterfassung!$K$6:$K$3665,$K965))</f>
        <v/>
      </c>
      <c r="D965" s="186">
        <f>IF($K965="","",INDEX(Zeiterfassung!$D$6:$D$3665,$K965))</f>
        <v/>
      </c>
      <c r="E965" s="186">
        <f>IF($K965="","",INDEX(Zeiterfassung!$E$6:$E$3665,$K965))</f>
        <v/>
      </c>
      <c r="F965" s="187">
        <f>IF($K965="","",INDEX(Zeiterfassung!$F$6:$F$3665,$K965))</f>
        <v/>
      </c>
      <c r="G965" s="187">
        <f>IF($K965="","",INDEX(Zeiterfassung!$G$6:$G$3665,$K965))</f>
        <v/>
      </c>
      <c r="H965" s="188">
        <f>IF($K965="","",INDEX(Zeiterfassung!$H$6:$H$3665,$K965))</f>
        <v/>
      </c>
      <c r="I965" s="335">
        <f>IF(B965=B964,"",IF($K965="","",INDEX(Zeiterfassung!$I$6:$I$3665,MATCH(INDEX(Zeiterfassung!$K$6:$K$3665,$K965),Zeiterfassung!$K$6:$K$3665,0))))</f>
        <v/>
      </c>
      <c r="J965" s="335">
        <f>IF(B965=B964,"",IF($K965="","",INDEX(Zeiterfassung!$J$6:$J$3665,MATCH(INDEX(Zeiterfassung!$K$6:$K$3665,$K965),Zeiterfassung!$K$6:$K$3665,0))))</f>
        <v/>
      </c>
      <c r="K965">
        <f>IFERROR(AGGREGATE(15,6,(ROW(Zeiterfassung!$D$6:$D$3665)-ROW(Zeiterfassung!$D$6)+1)/(Zeiterfassung!$D$6:$D$3665&lt;&gt;""),960),"")</f>
        <v/>
      </c>
    </row>
    <row r="966" ht="20" customHeight="1">
      <c r="A966" s="183">
        <f>IF($K966="","",WEEKNUM(INDEX(Zeiterfassung!$K$6:$K$3665,$K966),21))</f>
        <v/>
      </c>
      <c r="B966" s="184">
        <f>IF($K966="","",INDEX(Zeiterfassung!$K$6:$K$3665,$K966))</f>
        <v/>
      </c>
      <c r="C966" s="185">
        <f>IF($K966="","",INDEX(Zeiterfassung!$K$6:$K$3665,$K966))</f>
        <v/>
      </c>
      <c r="D966" s="186">
        <f>IF($K966="","",INDEX(Zeiterfassung!$D$6:$D$3665,$K966))</f>
        <v/>
      </c>
      <c r="E966" s="186">
        <f>IF($K966="","",INDEX(Zeiterfassung!$E$6:$E$3665,$K966))</f>
        <v/>
      </c>
      <c r="F966" s="187">
        <f>IF($K966="","",INDEX(Zeiterfassung!$F$6:$F$3665,$K966))</f>
        <v/>
      </c>
      <c r="G966" s="187">
        <f>IF($K966="","",INDEX(Zeiterfassung!$G$6:$G$3665,$K966))</f>
        <v/>
      </c>
      <c r="H966" s="188">
        <f>IF($K966="","",INDEX(Zeiterfassung!$H$6:$H$3665,$K966))</f>
        <v/>
      </c>
      <c r="I966" s="335">
        <f>IF(B966=B965,"",IF($K966="","",INDEX(Zeiterfassung!$I$6:$I$3665,MATCH(INDEX(Zeiterfassung!$K$6:$K$3665,$K966),Zeiterfassung!$K$6:$K$3665,0))))</f>
        <v/>
      </c>
      <c r="J966" s="335">
        <f>IF(B966=B965,"",IF($K966="","",INDEX(Zeiterfassung!$J$6:$J$3665,MATCH(INDEX(Zeiterfassung!$K$6:$K$3665,$K966),Zeiterfassung!$K$6:$K$3665,0))))</f>
        <v/>
      </c>
      <c r="K966">
        <f>IFERROR(AGGREGATE(15,6,(ROW(Zeiterfassung!$D$6:$D$3665)-ROW(Zeiterfassung!$D$6)+1)/(Zeiterfassung!$D$6:$D$3665&lt;&gt;""),961),"")</f>
        <v/>
      </c>
    </row>
    <row r="967" ht="20" customHeight="1">
      <c r="A967" s="183">
        <f>IF($K967="","",WEEKNUM(INDEX(Zeiterfassung!$K$6:$K$3665,$K967),21))</f>
        <v/>
      </c>
      <c r="B967" s="184">
        <f>IF($K967="","",INDEX(Zeiterfassung!$K$6:$K$3665,$K967))</f>
        <v/>
      </c>
      <c r="C967" s="185">
        <f>IF($K967="","",INDEX(Zeiterfassung!$K$6:$K$3665,$K967))</f>
        <v/>
      </c>
      <c r="D967" s="186">
        <f>IF($K967="","",INDEX(Zeiterfassung!$D$6:$D$3665,$K967))</f>
        <v/>
      </c>
      <c r="E967" s="186">
        <f>IF($K967="","",INDEX(Zeiterfassung!$E$6:$E$3665,$K967))</f>
        <v/>
      </c>
      <c r="F967" s="187">
        <f>IF($K967="","",INDEX(Zeiterfassung!$F$6:$F$3665,$K967))</f>
        <v/>
      </c>
      <c r="G967" s="187">
        <f>IF($K967="","",INDEX(Zeiterfassung!$G$6:$G$3665,$K967))</f>
        <v/>
      </c>
      <c r="H967" s="188">
        <f>IF($K967="","",INDEX(Zeiterfassung!$H$6:$H$3665,$K967))</f>
        <v/>
      </c>
      <c r="I967" s="335">
        <f>IF(B967=B966,"",IF($K967="","",INDEX(Zeiterfassung!$I$6:$I$3665,MATCH(INDEX(Zeiterfassung!$K$6:$K$3665,$K967),Zeiterfassung!$K$6:$K$3665,0))))</f>
        <v/>
      </c>
      <c r="J967" s="335">
        <f>IF(B967=B966,"",IF($K967="","",INDEX(Zeiterfassung!$J$6:$J$3665,MATCH(INDEX(Zeiterfassung!$K$6:$K$3665,$K967),Zeiterfassung!$K$6:$K$3665,0))))</f>
        <v/>
      </c>
      <c r="K967">
        <f>IFERROR(AGGREGATE(15,6,(ROW(Zeiterfassung!$D$6:$D$3665)-ROW(Zeiterfassung!$D$6)+1)/(Zeiterfassung!$D$6:$D$3665&lt;&gt;""),962),"")</f>
        <v/>
      </c>
    </row>
    <row r="968" ht="20" customHeight="1">
      <c r="A968" s="183">
        <f>IF($K968="","",WEEKNUM(INDEX(Zeiterfassung!$K$6:$K$3665,$K968),21))</f>
        <v/>
      </c>
      <c r="B968" s="184">
        <f>IF($K968="","",INDEX(Zeiterfassung!$K$6:$K$3665,$K968))</f>
        <v/>
      </c>
      <c r="C968" s="185">
        <f>IF($K968="","",INDEX(Zeiterfassung!$K$6:$K$3665,$K968))</f>
        <v/>
      </c>
      <c r="D968" s="186">
        <f>IF($K968="","",INDEX(Zeiterfassung!$D$6:$D$3665,$K968))</f>
        <v/>
      </c>
      <c r="E968" s="186">
        <f>IF($K968="","",INDEX(Zeiterfassung!$E$6:$E$3665,$K968))</f>
        <v/>
      </c>
      <c r="F968" s="187">
        <f>IF($K968="","",INDEX(Zeiterfassung!$F$6:$F$3665,$K968))</f>
        <v/>
      </c>
      <c r="G968" s="187">
        <f>IF($K968="","",INDEX(Zeiterfassung!$G$6:$G$3665,$K968))</f>
        <v/>
      </c>
      <c r="H968" s="188">
        <f>IF($K968="","",INDEX(Zeiterfassung!$H$6:$H$3665,$K968))</f>
        <v/>
      </c>
      <c r="I968" s="335">
        <f>IF(B968=B967,"",IF($K968="","",INDEX(Zeiterfassung!$I$6:$I$3665,MATCH(INDEX(Zeiterfassung!$K$6:$K$3665,$K968),Zeiterfassung!$K$6:$K$3665,0))))</f>
        <v/>
      </c>
      <c r="J968" s="335">
        <f>IF(B968=B967,"",IF($K968="","",INDEX(Zeiterfassung!$J$6:$J$3665,MATCH(INDEX(Zeiterfassung!$K$6:$K$3665,$K968),Zeiterfassung!$K$6:$K$3665,0))))</f>
        <v/>
      </c>
      <c r="K968">
        <f>IFERROR(AGGREGATE(15,6,(ROW(Zeiterfassung!$D$6:$D$3665)-ROW(Zeiterfassung!$D$6)+1)/(Zeiterfassung!$D$6:$D$3665&lt;&gt;""),963),"")</f>
        <v/>
      </c>
    </row>
    <row r="969" ht="20" customHeight="1">
      <c r="A969" s="183">
        <f>IF($K969="","",WEEKNUM(INDEX(Zeiterfassung!$K$6:$K$3665,$K969),21))</f>
        <v/>
      </c>
      <c r="B969" s="184">
        <f>IF($K969="","",INDEX(Zeiterfassung!$K$6:$K$3665,$K969))</f>
        <v/>
      </c>
      <c r="C969" s="185">
        <f>IF($K969="","",INDEX(Zeiterfassung!$K$6:$K$3665,$K969))</f>
        <v/>
      </c>
      <c r="D969" s="186">
        <f>IF($K969="","",INDEX(Zeiterfassung!$D$6:$D$3665,$K969))</f>
        <v/>
      </c>
      <c r="E969" s="186">
        <f>IF($K969="","",INDEX(Zeiterfassung!$E$6:$E$3665,$K969))</f>
        <v/>
      </c>
      <c r="F969" s="187">
        <f>IF($K969="","",INDEX(Zeiterfassung!$F$6:$F$3665,$K969))</f>
        <v/>
      </c>
      <c r="G969" s="187">
        <f>IF($K969="","",INDEX(Zeiterfassung!$G$6:$G$3665,$K969))</f>
        <v/>
      </c>
      <c r="H969" s="188">
        <f>IF($K969="","",INDEX(Zeiterfassung!$H$6:$H$3665,$K969))</f>
        <v/>
      </c>
      <c r="I969" s="335">
        <f>IF(B969=B968,"",IF($K969="","",INDEX(Zeiterfassung!$I$6:$I$3665,MATCH(INDEX(Zeiterfassung!$K$6:$K$3665,$K969),Zeiterfassung!$K$6:$K$3665,0))))</f>
        <v/>
      </c>
      <c r="J969" s="335">
        <f>IF(B969=B968,"",IF($K969="","",INDEX(Zeiterfassung!$J$6:$J$3665,MATCH(INDEX(Zeiterfassung!$K$6:$K$3665,$K969),Zeiterfassung!$K$6:$K$3665,0))))</f>
        <v/>
      </c>
      <c r="K969">
        <f>IFERROR(AGGREGATE(15,6,(ROW(Zeiterfassung!$D$6:$D$3665)-ROW(Zeiterfassung!$D$6)+1)/(Zeiterfassung!$D$6:$D$3665&lt;&gt;""),964),"")</f>
        <v/>
      </c>
    </row>
    <row r="970" ht="20" customHeight="1">
      <c r="A970" s="183">
        <f>IF($K970="","",WEEKNUM(INDEX(Zeiterfassung!$K$6:$K$3665,$K970),21))</f>
        <v/>
      </c>
      <c r="B970" s="184">
        <f>IF($K970="","",INDEX(Zeiterfassung!$K$6:$K$3665,$K970))</f>
        <v/>
      </c>
      <c r="C970" s="185">
        <f>IF($K970="","",INDEX(Zeiterfassung!$K$6:$K$3665,$K970))</f>
        <v/>
      </c>
      <c r="D970" s="186">
        <f>IF($K970="","",INDEX(Zeiterfassung!$D$6:$D$3665,$K970))</f>
        <v/>
      </c>
      <c r="E970" s="186">
        <f>IF($K970="","",INDEX(Zeiterfassung!$E$6:$E$3665,$K970))</f>
        <v/>
      </c>
      <c r="F970" s="187">
        <f>IF($K970="","",INDEX(Zeiterfassung!$F$6:$F$3665,$K970))</f>
        <v/>
      </c>
      <c r="G970" s="187">
        <f>IF($K970="","",INDEX(Zeiterfassung!$G$6:$G$3665,$K970))</f>
        <v/>
      </c>
      <c r="H970" s="188">
        <f>IF($K970="","",INDEX(Zeiterfassung!$H$6:$H$3665,$K970))</f>
        <v/>
      </c>
      <c r="I970" s="335">
        <f>IF(B970=B969,"",IF($K970="","",INDEX(Zeiterfassung!$I$6:$I$3665,MATCH(INDEX(Zeiterfassung!$K$6:$K$3665,$K970),Zeiterfassung!$K$6:$K$3665,0))))</f>
        <v/>
      </c>
      <c r="J970" s="335">
        <f>IF(B970=B969,"",IF($K970="","",INDEX(Zeiterfassung!$J$6:$J$3665,MATCH(INDEX(Zeiterfassung!$K$6:$K$3665,$K970),Zeiterfassung!$K$6:$K$3665,0))))</f>
        <v/>
      </c>
      <c r="K970">
        <f>IFERROR(AGGREGATE(15,6,(ROW(Zeiterfassung!$D$6:$D$3665)-ROW(Zeiterfassung!$D$6)+1)/(Zeiterfassung!$D$6:$D$3665&lt;&gt;""),965),"")</f>
        <v/>
      </c>
    </row>
    <row r="971" ht="20" customHeight="1">
      <c r="A971" s="183">
        <f>IF($K971="","",WEEKNUM(INDEX(Zeiterfassung!$K$6:$K$3665,$K971),21))</f>
        <v/>
      </c>
      <c r="B971" s="184">
        <f>IF($K971="","",INDEX(Zeiterfassung!$K$6:$K$3665,$K971))</f>
        <v/>
      </c>
      <c r="C971" s="185">
        <f>IF($K971="","",INDEX(Zeiterfassung!$K$6:$K$3665,$K971))</f>
        <v/>
      </c>
      <c r="D971" s="186">
        <f>IF($K971="","",INDEX(Zeiterfassung!$D$6:$D$3665,$K971))</f>
        <v/>
      </c>
      <c r="E971" s="186">
        <f>IF($K971="","",INDEX(Zeiterfassung!$E$6:$E$3665,$K971))</f>
        <v/>
      </c>
      <c r="F971" s="187">
        <f>IF($K971="","",INDEX(Zeiterfassung!$F$6:$F$3665,$K971))</f>
        <v/>
      </c>
      <c r="G971" s="187">
        <f>IF($K971="","",INDEX(Zeiterfassung!$G$6:$G$3665,$K971))</f>
        <v/>
      </c>
      <c r="H971" s="188">
        <f>IF($K971="","",INDEX(Zeiterfassung!$H$6:$H$3665,$K971))</f>
        <v/>
      </c>
      <c r="I971" s="335">
        <f>IF(B971=B970,"",IF($K971="","",INDEX(Zeiterfassung!$I$6:$I$3665,MATCH(INDEX(Zeiterfassung!$K$6:$K$3665,$K971),Zeiterfassung!$K$6:$K$3665,0))))</f>
        <v/>
      </c>
      <c r="J971" s="335">
        <f>IF(B971=B970,"",IF($K971="","",INDEX(Zeiterfassung!$J$6:$J$3665,MATCH(INDEX(Zeiterfassung!$K$6:$K$3665,$K971),Zeiterfassung!$K$6:$K$3665,0))))</f>
        <v/>
      </c>
      <c r="K971">
        <f>IFERROR(AGGREGATE(15,6,(ROW(Zeiterfassung!$D$6:$D$3665)-ROW(Zeiterfassung!$D$6)+1)/(Zeiterfassung!$D$6:$D$3665&lt;&gt;""),966),"")</f>
        <v/>
      </c>
    </row>
    <row r="972" ht="20" customHeight="1">
      <c r="A972" s="183">
        <f>IF($K972="","",WEEKNUM(INDEX(Zeiterfassung!$K$6:$K$3665,$K972),21))</f>
        <v/>
      </c>
      <c r="B972" s="184">
        <f>IF($K972="","",INDEX(Zeiterfassung!$K$6:$K$3665,$K972))</f>
        <v/>
      </c>
      <c r="C972" s="185">
        <f>IF($K972="","",INDEX(Zeiterfassung!$K$6:$K$3665,$K972))</f>
        <v/>
      </c>
      <c r="D972" s="186">
        <f>IF($K972="","",INDEX(Zeiterfassung!$D$6:$D$3665,$K972))</f>
        <v/>
      </c>
      <c r="E972" s="186">
        <f>IF($K972="","",INDEX(Zeiterfassung!$E$6:$E$3665,$K972))</f>
        <v/>
      </c>
      <c r="F972" s="187">
        <f>IF($K972="","",INDEX(Zeiterfassung!$F$6:$F$3665,$K972))</f>
        <v/>
      </c>
      <c r="G972" s="187">
        <f>IF($K972="","",INDEX(Zeiterfassung!$G$6:$G$3665,$K972))</f>
        <v/>
      </c>
      <c r="H972" s="188">
        <f>IF($K972="","",INDEX(Zeiterfassung!$H$6:$H$3665,$K972))</f>
        <v/>
      </c>
      <c r="I972" s="335">
        <f>IF(B972=B971,"",IF($K972="","",INDEX(Zeiterfassung!$I$6:$I$3665,MATCH(INDEX(Zeiterfassung!$K$6:$K$3665,$K972),Zeiterfassung!$K$6:$K$3665,0))))</f>
        <v/>
      </c>
      <c r="J972" s="335">
        <f>IF(B972=B971,"",IF($K972="","",INDEX(Zeiterfassung!$J$6:$J$3665,MATCH(INDEX(Zeiterfassung!$K$6:$K$3665,$K972),Zeiterfassung!$K$6:$K$3665,0))))</f>
        <v/>
      </c>
      <c r="K972">
        <f>IFERROR(AGGREGATE(15,6,(ROW(Zeiterfassung!$D$6:$D$3665)-ROW(Zeiterfassung!$D$6)+1)/(Zeiterfassung!$D$6:$D$3665&lt;&gt;""),967),"")</f>
        <v/>
      </c>
    </row>
    <row r="973" ht="20" customHeight="1">
      <c r="A973" s="183">
        <f>IF($K973="","",WEEKNUM(INDEX(Zeiterfassung!$K$6:$K$3665,$K973),21))</f>
        <v/>
      </c>
      <c r="B973" s="184">
        <f>IF($K973="","",INDEX(Zeiterfassung!$K$6:$K$3665,$K973))</f>
        <v/>
      </c>
      <c r="C973" s="185">
        <f>IF($K973="","",INDEX(Zeiterfassung!$K$6:$K$3665,$K973))</f>
        <v/>
      </c>
      <c r="D973" s="186">
        <f>IF($K973="","",INDEX(Zeiterfassung!$D$6:$D$3665,$K973))</f>
        <v/>
      </c>
      <c r="E973" s="186">
        <f>IF($K973="","",INDEX(Zeiterfassung!$E$6:$E$3665,$K973))</f>
        <v/>
      </c>
      <c r="F973" s="187">
        <f>IF($K973="","",INDEX(Zeiterfassung!$F$6:$F$3665,$K973))</f>
        <v/>
      </c>
      <c r="G973" s="187">
        <f>IF($K973="","",INDEX(Zeiterfassung!$G$6:$G$3665,$K973))</f>
        <v/>
      </c>
      <c r="H973" s="188">
        <f>IF($K973="","",INDEX(Zeiterfassung!$H$6:$H$3665,$K973))</f>
        <v/>
      </c>
      <c r="I973" s="335">
        <f>IF(B973=B972,"",IF($K973="","",INDEX(Zeiterfassung!$I$6:$I$3665,MATCH(INDEX(Zeiterfassung!$K$6:$K$3665,$K973),Zeiterfassung!$K$6:$K$3665,0))))</f>
        <v/>
      </c>
      <c r="J973" s="335">
        <f>IF(B973=B972,"",IF($K973="","",INDEX(Zeiterfassung!$J$6:$J$3665,MATCH(INDEX(Zeiterfassung!$K$6:$K$3665,$K973),Zeiterfassung!$K$6:$K$3665,0))))</f>
        <v/>
      </c>
      <c r="K973">
        <f>IFERROR(AGGREGATE(15,6,(ROW(Zeiterfassung!$D$6:$D$3665)-ROW(Zeiterfassung!$D$6)+1)/(Zeiterfassung!$D$6:$D$3665&lt;&gt;""),968),"")</f>
        <v/>
      </c>
    </row>
    <row r="974" ht="20" customHeight="1">
      <c r="A974" s="183">
        <f>IF($K974="","",WEEKNUM(INDEX(Zeiterfassung!$K$6:$K$3665,$K974),21))</f>
        <v/>
      </c>
      <c r="B974" s="184">
        <f>IF($K974="","",INDEX(Zeiterfassung!$K$6:$K$3665,$K974))</f>
        <v/>
      </c>
      <c r="C974" s="185">
        <f>IF($K974="","",INDEX(Zeiterfassung!$K$6:$K$3665,$K974))</f>
        <v/>
      </c>
      <c r="D974" s="186">
        <f>IF($K974="","",INDEX(Zeiterfassung!$D$6:$D$3665,$K974))</f>
        <v/>
      </c>
      <c r="E974" s="186">
        <f>IF($K974="","",INDEX(Zeiterfassung!$E$6:$E$3665,$K974))</f>
        <v/>
      </c>
      <c r="F974" s="187">
        <f>IF($K974="","",INDEX(Zeiterfassung!$F$6:$F$3665,$K974))</f>
        <v/>
      </c>
      <c r="G974" s="187">
        <f>IF($K974="","",INDEX(Zeiterfassung!$G$6:$G$3665,$K974))</f>
        <v/>
      </c>
      <c r="H974" s="188">
        <f>IF($K974="","",INDEX(Zeiterfassung!$H$6:$H$3665,$K974))</f>
        <v/>
      </c>
      <c r="I974" s="335">
        <f>IF(B974=B973,"",IF($K974="","",INDEX(Zeiterfassung!$I$6:$I$3665,MATCH(INDEX(Zeiterfassung!$K$6:$K$3665,$K974),Zeiterfassung!$K$6:$K$3665,0))))</f>
        <v/>
      </c>
      <c r="J974" s="335">
        <f>IF(B974=B973,"",IF($K974="","",INDEX(Zeiterfassung!$J$6:$J$3665,MATCH(INDEX(Zeiterfassung!$K$6:$K$3665,$K974),Zeiterfassung!$K$6:$K$3665,0))))</f>
        <v/>
      </c>
      <c r="K974">
        <f>IFERROR(AGGREGATE(15,6,(ROW(Zeiterfassung!$D$6:$D$3665)-ROW(Zeiterfassung!$D$6)+1)/(Zeiterfassung!$D$6:$D$3665&lt;&gt;""),969),"")</f>
        <v/>
      </c>
    </row>
    <row r="975" ht="20" customHeight="1">
      <c r="A975" s="183">
        <f>IF($K975="","",WEEKNUM(INDEX(Zeiterfassung!$K$6:$K$3665,$K975),21))</f>
        <v/>
      </c>
      <c r="B975" s="184">
        <f>IF($K975="","",INDEX(Zeiterfassung!$K$6:$K$3665,$K975))</f>
        <v/>
      </c>
      <c r="C975" s="185">
        <f>IF($K975="","",INDEX(Zeiterfassung!$K$6:$K$3665,$K975))</f>
        <v/>
      </c>
      <c r="D975" s="186">
        <f>IF($K975="","",INDEX(Zeiterfassung!$D$6:$D$3665,$K975))</f>
        <v/>
      </c>
      <c r="E975" s="186">
        <f>IF($K975="","",INDEX(Zeiterfassung!$E$6:$E$3665,$K975))</f>
        <v/>
      </c>
      <c r="F975" s="187">
        <f>IF($K975="","",INDEX(Zeiterfassung!$F$6:$F$3665,$K975))</f>
        <v/>
      </c>
      <c r="G975" s="187">
        <f>IF($K975="","",INDEX(Zeiterfassung!$G$6:$G$3665,$K975))</f>
        <v/>
      </c>
      <c r="H975" s="188">
        <f>IF($K975="","",INDEX(Zeiterfassung!$H$6:$H$3665,$K975))</f>
        <v/>
      </c>
      <c r="I975" s="335">
        <f>IF(B975=B974,"",IF($K975="","",INDEX(Zeiterfassung!$I$6:$I$3665,MATCH(INDEX(Zeiterfassung!$K$6:$K$3665,$K975),Zeiterfassung!$K$6:$K$3665,0))))</f>
        <v/>
      </c>
      <c r="J975" s="335">
        <f>IF(B975=B974,"",IF($K975="","",INDEX(Zeiterfassung!$J$6:$J$3665,MATCH(INDEX(Zeiterfassung!$K$6:$K$3665,$K975),Zeiterfassung!$K$6:$K$3665,0))))</f>
        <v/>
      </c>
      <c r="K975">
        <f>IFERROR(AGGREGATE(15,6,(ROW(Zeiterfassung!$D$6:$D$3665)-ROW(Zeiterfassung!$D$6)+1)/(Zeiterfassung!$D$6:$D$3665&lt;&gt;""),970),"")</f>
        <v/>
      </c>
    </row>
    <row r="976" ht="20" customHeight="1">
      <c r="A976" s="183">
        <f>IF($K976="","",WEEKNUM(INDEX(Zeiterfassung!$K$6:$K$3665,$K976),21))</f>
        <v/>
      </c>
      <c r="B976" s="184">
        <f>IF($K976="","",INDEX(Zeiterfassung!$K$6:$K$3665,$K976))</f>
        <v/>
      </c>
      <c r="C976" s="185">
        <f>IF($K976="","",INDEX(Zeiterfassung!$K$6:$K$3665,$K976))</f>
        <v/>
      </c>
      <c r="D976" s="186">
        <f>IF($K976="","",INDEX(Zeiterfassung!$D$6:$D$3665,$K976))</f>
        <v/>
      </c>
      <c r="E976" s="186">
        <f>IF($K976="","",INDEX(Zeiterfassung!$E$6:$E$3665,$K976))</f>
        <v/>
      </c>
      <c r="F976" s="187">
        <f>IF($K976="","",INDEX(Zeiterfassung!$F$6:$F$3665,$K976))</f>
        <v/>
      </c>
      <c r="G976" s="187">
        <f>IF($K976="","",INDEX(Zeiterfassung!$G$6:$G$3665,$K976))</f>
        <v/>
      </c>
      <c r="H976" s="188">
        <f>IF($K976="","",INDEX(Zeiterfassung!$H$6:$H$3665,$K976))</f>
        <v/>
      </c>
      <c r="I976" s="335">
        <f>IF(B976=B975,"",IF($K976="","",INDEX(Zeiterfassung!$I$6:$I$3665,MATCH(INDEX(Zeiterfassung!$K$6:$K$3665,$K976),Zeiterfassung!$K$6:$K$3665,0))))</f>
        <v/>
      </c>
      <c r="J976" s="335">
        <f>IF(B976=B975,"",IF($K976="","",INDEX(Zeiterfassung!$J$6:$J$3665,MATCH(INDEX(Zeiterfassung!$K$6:$K$3665,$K976),Zeiterfassung!$K$6:$K$3665,0))))</f>
        <v/>
      </c>
      <c r="K976">
        <f>IFERROR(AGGREGATE(15,6,(ROW(Zeiterfassung!$D$6:$D$3665)-ROW(Zeiterfassung!$D$6)+1)/(Zeiterfassung!$D$6:$D$3665&lt;&gt;""),971),"")</f>
        <v/>
      </c>
    </row>
    <row r="977" ht="20" customHeight="1">
      <c r="A977" s="183">
        <f>IF($K977="","",WEEKNUM(INDEX(Zeiterfassung!$K$6:$K$3665,$K977),21))</f>
        <v/>
      </c>
      <c r="B977" s="184">
        <f>IF($K977="","",INDEX(Zeiterfassung!$K$6:$K$3665,$K977))</f>
        <v/>
      </c>
      <c r="C977" s="185">
        <f>IF($K977="","",INDEX(Zeiterfassung!$K$6:$K$3665,$K977))</f>
        <v/>
      </c>
      <c r="D977" s="186">
        <f>IF($K977="","",INDEX(Zeiterfassung!$D$6:$D$3665,$K977))</f>
        <v/>
      </c>
      <c r="E977" s="186">
        <f>IF($K977="","",INDEX(Zeiterfassung!$E$6:$E$3665,$K977))</f>
        <v/>
      </c>
      <c r="F977" s="187">
        <f>IF($K977="","",INDEX(Zeiterfassung!$F$6:$F$3665,$K977))</f>
        <v/>
      </c>
      <c r="G977" s="187">
        <f>IF($K977="","",INDEX(Zeiterfassung!$G$6:$G$3665,$K977))</f>
        <v/>
      </c>
      <c r="H977" s="188">
        <f>IF($K977="","",INDEX(Zeiterfassung!$H$6:$H$3665,$K977))</f>
        <v/>
      </c>
      <c r="I977" s="335">
        <f>IF(B977=B976,"",IF($K977="","",INDEX(Zeiterfassung!$I$6:$I$3665,MATCH(INDEX(Zeiterfassung!$K$6:$K$3665,$K977),Zeiterfassung!$K$6:$K$3665,0))))</f>
        <v/>
      </c>
      <c r="J977" s="335">
        <f>IF(B977=B976,"",IF($K977="","",INDEX(Zeiterfassung!$J$6:$J$3665,MATCH(INDEX(Zeiterfassung!$K$6:$K$3665,$K977),Zeiterfassung!$K$6:$K$3665,0))))</f>
        <v/>
      </c>
      <c r="K977">
        <f>IFERROR(AGGREGATE(15,6,(ROW(Zeiterfassung!$D$6:$D$3665)-ROW(Zeiterfassung!$D$6)+1)/(Zeiterfassung!$D$6:$D$3665&lt;&gt;""),972),"")</f>
        <v/>
      </c>
    </row>
    <row r="978" ht="20" customHeight="1">
      <c r="A978" s="183">
        <f>IF($K978="","",WEEKNUM(INDEX(Zeiterfassung!$K$6:$K$3665,$K978),21))</f>
        <v/>
      </c>
      <c r="B978" s="184">
        <f>IF($K978="","",INDEX(Zeiterfassung!$K$6:$K$3665,$K978))</f>
        <v/>
      </c>
      <c r="C978" s="185">
        <f>IF($K978="","",INDEX(Zeiterfassung!$K$6:$K$3665,$K978))</f>
        <v/>
      </c>
      <c r="D978" s="186">
        <f>IF($K978="","",INDEX(Zeiterfassung!$D$6:$D$3665,$K978))</f>
        <v/>
      </c>
      <c r="E978" s="186">
        <f>IF($K978="","",INDEX(Zeiterfassung!$E$6:$E$3665,$K978))</f>
        <v/>
      </c>
      <c r="F978" s="187">
        <f>IF($K978="","",INDEX(Zeiterfassung!$F$6:$F$3665,$K978))</f>
        <v/>
      </c>
      <c r="G978" s="187">
        <f>IF($K978="","",INDEX(Zeiterfassung!$G$6:$G$3665,$K978))</f>
        <v/>
      </c>
      <c r="H978" s="188">
        <f>IF($K978="","",INDEX(Zeiterfassung!$H$6:$H$3665,$K978))</f>
        <v/>
      </c>
      <c r="I978" s="335">
        <f>IF(B978=B977,"",IF($K978="","",INDEX(Zeiterfassung!$I$6:$I$3665,MATCH(INDEX(Zeiterfassung!$K$6:$K$3665,$K978),Zeiterfassung!$K$6:$K$3665,0))))</f>
        <v/>
      </c>
      <c r="J978" s="335">
        <f>IF(B978=B977,"",IF($K978="","",INDEX(Zeiterfassung!$J$6:$J$3665,MATCH(INDEX(Zeiterfassung!$K$6:$K$3665,$K978),Zeiterfassung!$K$6:$K$3665,0))))</f>
        <v/>
      </c>
      <c r="K978">
        <f>IFERROR(AGGREGATE(15,6,(ROW(Zeiterfassung!$D$6:$D$3665)-ROW(Zeiterfassung!$D$6)+1)/(Zeiterfassung!$D$6:$D$3665&lt;&gt;""),973),"")</f>
        <v/>
      </c>
    </row>
    <row r="979" ht="20" customHeight="1">
      <c r="A979" s="183">
        <f>IF($K979="","",WEEKNUM(INDEX(Zeiterfassung!$K$6:$K$3665,$K979),21))</f>
        <v/>
      </c>
      <c r="B979" s="184">
        <f>IF($K979="","",INDEX(Zeiterfassung!$K$6:$K$3665,$K979))</f>
        <v/>
      </c>
      <c r="C979" s="185">
        <f>IF($K979="","",INDEX(Zeiterfassung!$K$6:$K$3665,$K979))</f>
        <v/>
      </c>
      <c r="D979" s="186">
        <f>IF($K979="","",INDEX(Zeiterfassung!$D$6:$D$3665,$K979))</f>
        <v/>
      </c>
      <c r="E979" s="186">
        <f>IF($K979="","",INDEX(Zeiterfassung!$E$6:$E$3665,$K979))</f>
        <v/>
      </c>
      <c r="F979" s="187">
        <f>IF($K979="","",INDEX(Zeiterfassung!$F$6:$F$3665,$K979))</f>
        <v/>
      </c>
      <c r="G979" s="187">
        <f>IF($K979="","",INDEX(Zeiterfassung!$G$6:$G$3665,$K979))</f>
        <v/>
      </c>
      <c r="H979" s="188">
        <f>IF($K979="","",INDEX(Zeiterfassung!$H$6:$H$3665,$K979))</f>
        <v/>
      </c>
      <c r="I979" s="335">
        <f>IF(B979=B978,"",IF($K979="","",INDEX(Zeiterfassung!$I$6:$I$3665,MATCH(INDEX(Zeiterfassung!$K$6:$K$3665,$K979),Zeiterfassung!$K$6:$K$3665,0))))</f>
        <v/>
      </c>
      <c r="J979" s="335">
        <f>IF(B979=B978,"",IF($K979="","",INDEX(Zeiterfassung!$J$6:$J$3665,MATCH(INDEX(Zeiterfassung!$K$6:$K$3665,$K979),Zeiterfassung!$K$6:$K$3665,0))))</f>
        <v/>
      </c>
      <c r="K979">
        <f>IFERROR(AGGREGATE(15,6,(ROW(Zeiterfassung!$D$6:$D$3665)-ROW(Zeiterfassung!$D$6)+1)/(Zeiterfassung!$D$6:$D$3665&lt;&gt;""),974),"")</f>
        <v/>
      </c>
    </row>
    <row r="980" ht="20" customHeight="1">
      <c r="A980" s="183">
        <f>IF($K980="","",WEEKNUM(INDEX(Zeiterfassung!$K$6:$K$3665,$K980),21))</f>
        <v/>
      </c>
      <c r="B980" s="184">
        <f>IF($K980="","",INDEX(Zeiterfassung!$K$6:$K$3665,$K980))</f>
        <v/>
      </c>
      <c r="C980" s="185">
        <f>IF($K980="","",INDEX(Zeiterfassung!$K$6:$K$3665,$K980))</f>
        <v/>
      </c>
      <c r="D980" s="186">
        <f>IF($K980="","",INDEX(Zeiterfassung!$D$6:$D$3665,$K980))</f>
        <v/>
      </c>
      <c r="E980" s="186">
        <f>IF($K980="","",INDEX(Zeiterfassung!$E$6:$E$3665,$K980))</f>
        <v/>
      </c>
      <c r="F980" s="187">
        <f>IF($K980="","",INDEX(Zeiterfassung!$F$6:$F$3665,$K980))</f>
        <v/>
      </c>
      <c r="G980" s="187">
        <f>IF($K980="","",INDEX(Zeiterfassung!$G$6:$G$3665,$K980))</f>
        <v/>
      </c>
      <c r="H980" s="188">
        <f>IF($K980="","",INDEX(Zeiterfassung!$H$6:$H$3665,$K980))</f>
        <v/>
      </c>
      <c r="I980" s="335">
        <f>IF(B980=B979,"",IF($K980="","",INDEX(Zeiterfassung!$I$6:$I$3665,MATCH(INDEX(Zeiterfassung!$K$6:$K$3665,$K980),Zeiterfassung!$K$6:$K$3665,0))))</f>
        <v/>
      </c>
      <c r="J980" s="335">
        <f>IF(B980=B979,"",IF($K980="","",INDEX(Zeiterfassung!$J$6:$J$3665,MATCH(INDEX(Zeiterfassung!$K$6:$K$3665,$K980),Zeiterfassung!$K$6:$K$3665,0))))</f>
        <v/>
      </c>
      <c r="K980">
        <f>IFERROR(AGGREGATE(15,6,(ROW(Zeiterfassung!$D$6:$D$3665)-ROW(Zeiterfassung!$D$6)+1)/(Zeiterfassung!$D$6:$D$3665&lt;&gt;""),975),"")</f>
        <v/>
      </c>
    </row>
    <row r="981" ht="20" customHeight="1">
      <c r="A981" s="183">
        <f>IF($K981="","",WEEKNUM(INDEX(Zeiterfassung!$K$6:$K$3665,$K981),21))</f>
        <v/>
      </c>
      <c r="B981" s="184">
        <f>IF($K981="","",INDEX(Zeiterfassung!$K$6:$K$3665,$K981))</f>
        <v/>
      </c>
      <c r="C981" s="185">
        <f>IF($K981="","",INDEX(Zeiterfassung!$K$6:$K$3665,$K981))</f>
        <v/>
      </c>
      <c r="D981" s="186">
        <f>IF($K981="","",INDEX(Zeiterfassung!$D$6:$D$3665,$K981))</f>
        <v/>
      </c>
      <c r="E981" s="186">
        <f>IF($K981="","",INDEX(Zeiterfassung!$E$6:$E$3665,$K981))</f>
        <v/>
      </c>
      <c r="F981" s="187">
        <f>IF($K981="","",INDEX(Zeiterfassung!$F$6:$F$3665,$K981))</f>
        <v/>
      </c>
      <c r="G981" s="187">
        <f>IF($K981="","",INDEX(Zeiterfassung!$G$6:$G$3665,$K981))</f>
        <v/>
      </c>
      <c r="H981" s="188">
        <f>IF($K981="","",INDEX(Zeiterfassung!$H$6:$H$3665,$K981))</f>
        <v/>
      </c>
      <c r="I981" s="335">
        <f>IF(B981=B980,"",IF($K981="","",INDEX(Zeiterfassung!$I$6:$I$3665,MATCH(INDEX(Zeiterfassung!$K$6:$K$3665,$K981),Zeiterfassung!$K$6:$K$3665,0))))</f>
        <v/>
      </c>
      <c r="J981" s="335">
        <f>IF(B981=B980,"",IF($K981="","",INDEX(Zeiterfassung!$J$6:$J$3665,MATCH(INDEX(Zeiterfassung!$K$6:$K$3665,$K981),Zeiterfassung!$K$6:$K$3665,0))))</f>
        <v/>
      </c>
      <c r="K981">
        <f>IFERROR(AGGREGATE(15,6,(ROW(Zeiterfassung!$D$6:$D$3665)-ROW(Zeiterfassung!$D$6)+1)/(Zeiterfassung!$D$6:$D$3665&lt;&gt;""),976),"")</f>
        <v/>
      </c>
    </row>
    <row r="982" ht="20" customHeight="1">
      <c r="A982" s="183">
        <f>IF($K982="","",WEEKNUM(INDEX(Zeiterfassung!$K$6:$K$3665,$K982),21))</f>
        <v/>
      </c>
      <c r="B982" s="184">
        <f>IF($K982="","",INDEX(Zeiterfassung!$K$6:$K$3665,$K982))</f>
        <v/>
      </c>
      <c r="C982" s="185">
        <f>IF($K982="","",INDEX(Zeiterfassung!$K$6:$K$3665,$K982))</f>
        <v/>
      </c>
      <c r="D982" s="186">
        <f>IF($K982="","",INDEX(Zeiterfassung!$D$6:$D$3665,$K982))</f>
        <v/>
      </c>
      <c r="E982" s="186">
        <f>IF($K982="","",INDEX(Zeiterfassung!$E$6:$E$3665,$K982))</f>
        <v/>
      </c>
      <c r="F982" s="187">
        <f>IF($K982="","",INDEX(Zeiterfassung!$F$6:$F$3665,$K982))</f>
        <v/>
      </c>
      <c r="G982" s="187">
        <f>IF($K982="","",INDEX(Zeiterfassung!$G$6:$G$3665,$K982))</f>
        <v/>
      </c>
      <c r="H982" s="188">
        <f>IF($K982="","",INDEX(Zeiterfassung!$H$6:$H$3665,$K982))</f>
        <v/>
      </c>
      <c r="I982" s="335">
        <f>IF(B982=B981,"",IF($K982="","",INDEX(Zeiterfassung!$I$6:$I$3665,MATCH(INDEX(Zeiterfassung!$K$6:$K$3665,$K982),Zeiterfassung!$K$6:$K$3665,0))))</f>
        <v/>
      </c>
      <c r="J982" s="335">
        <f>IF(B982=B981,"",IF($K982="","",INDEX(Zeiterfassung!$J$6:$J$3665,MATCH(INDEX(Zeiterfassung!$K$6:$K$3665,$K982),Zeiterfassung!$K$6:$K$3665,0))))</f>
        <v/>
      </c>
      <c r="K982">
        <f>IFERROR(AGGREGATE(15,6,(ROW(Zeiterfassung!$D$6:$D$3665)-ROW(Zeiterfassung!$D$6)+1)/(Zeiterfassung!$D$6:$D$3665&lt;&gt;""),977),"")</f>
        <v/>
      </c>
    </row>
    <row r="983" ht="20" customHeight="1">
      <c r="A983" s="183">
        <f>IF($K983="","",WEEKNUM(INDEX(Zeiterfassung!$K$6:$K$3665,$K983),21))</f>
        <v/>
      </c>
      <c r="B983" s="184">
        <f>IF($K983="","",INDEX(Zeiterfassung!$K$6:$K$3665,$K983))</f>
        <v/>
      </c>
      <c r="C983" s="185">
        <f>IF($K983="","",INDEX(Zeiterfassung!$K$6:$K$3665,$K983))</f>
        <v/>
      </c>
      <c r="D983" s="186">
        <f>IF($K983="","",INDEX(Zeiterfassung!$D$6:$D$3665,$K983))</f>
        <v/>
      </c>
      <c r="E983" s="186">
        <f>IF($K983="","",INDEX(Zeiterfassung!$E$6:$E$3665,$K983))</f>
        <v/>
      </c>
      <c r="F983" s="187">
        <f>IF($K983="","",INDEX(Zeiterfassung!$F$6:$F$3665,$K983))</f>
        <v/>
      </c>
      <c r="G983" s="187">
        <f>IF($K983="","",INDEX(Zeiterfassung!$G$6:$G$3665,$K983))</f>
        <v/>
      </c>
      <c r="H983" s="188">
        <f>IF($K983="","",INDEX(Zeiterfassung!$H$6:$H$3665,$K983))</f>
        <v/>
      </c>
      <c r="I983" s="335">
        <f>IF(B983=B982,"",IF($K983="","",INDEX(Zeiterfassung!$I$6:$I$3665,MATCH(INDEX(Zeiterfassung!$K$6:$K$3665,$K983),Zeiterfassung!$K$6:$K$3665,0))))</f>
        <v/>
      </c>
      <c r="J983" s="335">
        <f>IF(B983=B982,"",IF($K983="","",INDEX(Zeiterfassung!$J$6:$J$3665,MATCH(INDEX(Zeiterfassung!$K$6:$K$3665,$K983),Zeiterfassung!$K$6:$K$3665,0))))</f>
        <v/>
      </c>
      <c r="K983">
        <f>IFERROR(AGGREGATE(15,6,(ROW(Zeiterfassung!$D$6:$D$3665)-ROW(Zeiterfassung!$D$6)+1)/(Zeiterfassung!$D$6:$D$3665&lt;&gt;""),978),"")</f>
        <v/>
      </c>
    </row>
    <row r="984" ht="20" customHeight="1">
      <c r="A984" s="183">
        <f>IF($K984="","",WEEKNUM(INDEX(Zeiterfassung!$K$6:$K$3665,$K984),21))</f>
        <v/>
      </c>
      <c r="B984" s="184">
        <f>IF($K984="","",INDEX(Zeiterfassung!$K$6:$K$3665,$K984))</f>
        <v/>
      </c>
      <c r="C984" s="185">
        <f>IF($K984="","",INDEX(Zeiterfassung!$K$6:$K$3665,$K984))</f>
        <v/>
      </c>
      <c r="D984" s="186">
        <f>IF($K984="","",INDEX(Zeiterfassung!$D$6:$D$3665,$K984))</f>
        <v/>
      </c>
      <c r="E984" s="186">
        <f>IF($K984="","",INDEX(Zeiterfassung!$E$6:$E$3665,$K984))</f>
        <v/>
      </c>
      <c r="F984" s="187">
        <f>IF($K984="","",INDEX(Zeiterfassung!$F$6:$F$3665,$K984))</f>
        <v/>
      </c>
      <c r="G984" s="187">
        <f>IF($K984="","",INDEX(Zeiterfassung!$G$6:$G$3665,$K984))</f>
        <v/>
      </c>
      <c r="H984" s="188">
        <f>IF($K984="","",INDEX(Zeiterfassung!$H$6:$H$3665,$K984))</f>
        <v/>
      </c>
      <c r="I984" s="335">
        <f>IF(B984=B983,"",IF($K984="","",INDEX(Zeiterfassung!$I$6:$I$3665,MATCH(INDEX(Zeiterfassung!$K$6:$K$3665,$K984),Zeiterfassung!$K$6:$K$3665,0))))</f>
        <v/>
      </c>
      <c r="J984" s="335">
        <f>IF(B984=B983,"",IF($K984="","",INDEX(Zeiterfassung!$J$6:$J$3665,MATCH(INDEX(Zeiterfassung!$K$6:$K$3665,$K984),Zeiterfassung!$K$6:$K$3665,0))))</f>
        <v/>
      </c>
      <c r="K984">
        <f>IFERROR(AGGREGATE(15,6,(ROW(Zeiterfassung!$D$6:$D$3665)-ROW(Zeiterfassung!$D$6)+1)/(Zeiterfassung!$D$6:$D$3665&lt;&gt;""),979),"")</f>
        <v/>
      </c>
    </row>
    <row r="985" ht="20" customHeight="1">
      <c r="A985" s="183">
        <f>IF($K985="","",WEEKNUM(INDEX(Zeiterfassung!$K$6:$K$3665,$K985),21))</f>
        <v/>
      </c>
      <c r="B985" s="184">
        <f>IF($K985="","",INDEX(Zeiterfassung!$K$6:$K$3665,$K985))</f>
        <v/>
      </c>
      <c r="C985" s="185">
        <f>IF($K985="","",INDEX(Zeiterfassung!$K$6:$K$3665,$K985))</f>
        <v/>
      </c>
      <c r="D985" s="186">
        <f>IF($K985="","",INDEX(Zeiterfassung!$D$6:$D$3665,$K985))</f>
        <v/>
      </c>
      <c r="E985" s="186">
        <f>IF($K985="","",INDEX(Zeiterfassung!$E$6:$E$3665,$K985))</f>
        <v/>
      </c>
      <c r="F985" s="187">
        <f>IF($K985="","",INDEX(Zeiterfassung!$F$6:$F$3665,$K985))</f>
        <v/>
      </c>
      <c r="G985" s="187">
        <f>IF($K985="","",INDEX(Zeiterfassung!$G$6:$G$3665,$K985))</f>
        <v/>
      </c>
      <c r="H985" s="188">
        <f>IF($K985="","",INDEX(Zeiterfassung!$H$6:$H$3665,$K985))</f>
        <v/>
      </c>
      <c r="I985" s="335">
        <f>IF(B985=B984,"",IF($K985="","",INDEX(Zeiterfassung!$I$6:$I$3665,MATCH(INDEX(Zeiterfassung!$K$6:$K$3665,$K985),Zeiterfassung!$K$6:$K$3665,0))))</f>
        <v/>
      </c>
      <c r="J985" s="335">
        <f>IF(B985=B984,"",IF($K985="","",INDEX(Zeiterfassung!$J$6:$J$3665,MATCH(INDEX(Zeiterfassung!$K$6:$K$3665,$K985),Zeiterfassung!$K$6:$K$3665,0))))</f>
        <v/>
      </c>
      <c r="K985">
        <f>IFERROR(AGGREGATE(15,6,(ROW(Zeiterfassung!$D$6:$D$3665)-ROW(Zeiterfassung!$D$6)+1)/(Zeiterfassung!$D$6:$D$3665&lt;&gt;""),980),"")</f>
        <v/>
      </c>
    </row>
    <row r="986" ht="20" customHeight="1">
      <c r="A986" s="183">
        <f>IF($K986="","",WEEKNUM(INDEX(Zeiterfassung!$K$6:$K$3665,$K986),21))</f>
        <v/>
      </c>
      <c r="B986" s="184">
        <f>IF($K986="","",INDEX(Zeiterfassung!$K$6:$K$3665,$K986))</f>
        <v/>
      </c>
      <c r="C986" s="185">
        <f>IF($K986="","",INDEX(Zeiterfassung!$K$6:$K$3665,$K986))</f>
        <v/>
      </c>
      <c r="D986" s="186">
        <f>IF($K986="","",INDEX(Zeiterfassung!$D$6:$D$3665,$K986))</f>
        <v/>
      </c>
      <c r="E986" s="186">
        <f>IF($K986="","",INDEX(Zeiterfassung!$E$6:$E$3665,$K986))</f>
        <v/>
      </c>
      <c r="F986" s="187">
        <f>IF($K986="","",INDEX(Zeiterfassung!$F$6:$F$3665,$K986))</f>
        <v/>
      </c>
      <c r="G986" s="187">
        <f>IF($K986="","",INDEX(Zeiterfassung!$G$6:$G$3665,$K986))</f>
        <v/>
      </c>
      <c r="H986" s="188">
        <f>IF($K986="","",INDEX(Zeiterfassung!$H$6:$H$3665,$K986))</f>
        <v/>
      </c>
      <c r="I986" s="335">
        <f>IF(B986=B985,"",IF($K986="","",INDEX(Zeiterfassung!$I$6:$I$3665,MATCH(INDEX(Zeiterfassung!$K$6:$K$3665,$K986),Zeiterfassung!$K$6:$K$3665,0))))</f>
        <v/>
      </c>
      <c r="J986" s="335">
        <f>IF(B986=B985,"",IF($K986="","",INDEX(Zeiterfassung!$J$6:$J$3665,MATCH(INDEX(Zeiterfassung!$K$6:$K$3665,$K986),Zeiterfassung!$K$6:$K$3665,0))))</f>
        <v/>
      </c>
      <c r="K986">
        <f>IFERROR(AGGREGATE(15,6,(ROW(Zeiterfassung!$D$6:$D$3665)-ROW(Zeiterfassung!$D$6)+1)/(Zeiterfassung!$D$6:$D$3665&lt;&gt;""),981),"")</f>
        <v/>
      </c>
    </row>
    <row r="987" ht="20" customHeight="1">
      <c r="A987" s="183">
        <f>IF($K987="","",WEEKNUM(INDEX(Zeiterfassung!$K$6:$K$3665,$K987),21))</f>
        <v/>
      </c>
      <c r="B987" s="184">
        <f>IF($K987="","",INDEX(Zeiterfassung!$K$6:$K$3665,$K987))</f>
        <v/>
      </c>
      <c r="C987" s="185">
        <f>IF($K987="","",INDEX(Zeiterfassung!$K$6:$K$3665,$K987))</f>
        <v/>
      </c>
      <c r="D987" s="186">
        <f>IF($K987="","",INDEX(Zeiterfassung!$D$6:$D$3665,$K987))</f>
        <v/>
      </c>
      <c r="E987" s="186">
        <f>IF($K987="","",INDEX(Zeiterfassung!$E$6:$E$3665,$K987))</f>
        <v/>
      </c>
      <c r="F987" s="187">
        <f>IF($K987="","",INDEX(Zeiterfassung!$F$6:$F$3665,$K987))</f>
        <v/>
      </c>
      <c r="G987" s="187">
        <f>IF($K987="","",INDEX(Zeiterfassung!$G$6:$G$3665,$K987))</f>
        <v/>
      </c>
      <c r="H987" s="188">
        <f>IF($K987="","",INDEX(Zeiterfassung!$H$6:$H$3665,$K987))</f>
        <v/>
      </c>
      <c r="I987" s="335">
        <f>IF(B987=B986,"",IF($K987="","",INDEX(Zeiterfassung!$I$6:$I$3665,MATCH(INDEX(Zeiterfassung!$K$6:$K$3665,$K987),Zeiterfassung!$K$6:$K$3665,0))))</f>
        <v/>
      </c>
      <c r="J987" s="335">
        <f>IF(B987=B986,"",IF($K987="","",INDEX(Zeiterfassung!$J$6:$J$3665,MATCH(INDEX(Zeiterfassung!$K$6:$K$3665,$K987),Zeiterfassung!$K$6:$K$3665,0))))</f>
        <v/>
      </c>
      <c r="K987">
        <f>IFERROR(AGGREGATE(15,6,(ROW(Zeiterfassung!$D$6:$D$3665)-ROW(Zeiterfassung!$D$6)+1)/(Zeiterfassung!$D$6:$D$3665&lt;&gt;""),982),"")</f>
        <v/>
      </c>
    </row>
    <row r="988" ht="20" customHeight="1">
      <c r="A988" s="183">
        <f>IF($K988="","",WEEKNUM(INDEX(Zeiterfassung!$K$6:$K$3665,$K988),21))</f>
        <v/>
      </c>
      <c r="B988" s="184">
        <f>IF($K988="","",INDEX(Zeiterfassung!$K$6:$K$3665,$K988))</f>
        <v/>
      </c>
      <c r="C988" s="185">
        <f>IF($K988="","",INDEX(Zeiterfassung!$K$6:$K$3665,$K988))</f>
        <v/>
      </c>
      <c r="D988" s="186">
        <f>IF($K988="","",INDEX(Zeiterfassung!$D$6:$D$3665,$K988))</f>
        <v/>
      </c>
      <c r="E988" s="186">
        <f>IF($K988="","",INDEX(Zeiterfassung!$E$6:$E$3665,$K988))</f>
        <v/>
      </c>
      <c r="F988" s="187">
        <f>IF($K988="","",INDEX(Zeiterfassung!$F$6:$F$3665,$K988))</f>
        <v/>
      </c>
      <c r="G988" s="187">
        <f>IF($K988="","",INDEX(Zeiterfassung!$G$6:$G$3665,$K988))</f>
        <v/>
      </c>
      <c r="H988" s="188">
        <f>IF($K988="","",INDEX(Zeiterfassung!$H$6:$H$3665,$K988))</f>
        <v/>
      </c>
      <c r="I988" s="335">
        <f>IF(B988=B987,"",IF($K988="","",INDEX(Zeiterfassung!$I$6:$I$3665,MATCH(INDEX(Zeiterfassung!$K$6:$K$3665,$K988),Zeiterfassung!$K$6:$K$3665,0))))</f>
        <v/>
      </c>
      <c r="J988" s="335">
        <f>IF(B988=B987,"",IF($K988="","",INDEX(Zeiterfassung!$J$6:$J$3665,MATCH(INDEX(Zeiterfassung!$K$6:$K$3665,$K988),Zeiterfassung!$K$6:$K$3665,0))))</f>
        <v/>
      </c>
      <c r="K988">
        <f>IFERROR(AGGREGATE(15,6,(ROW(Zeiterfassung!$D$6:$D$3665)-ROW(Zeiterfassung!$D$6)+1)/(Zeiterfassung!$D$6:$D$3665&lt;&gt;""),983),"")</f>
        <v/>
      </c>
    </row>
    <row r="989" ht="20" customHeight="1">
      <c r="A989" s="183">
        <f>IF($K989="","",WEEKNUM(INDEX(Zeiterfassung!$K$6:$K$3665,$K989),21))</f>
        <v/>
      </c>
      <c r="B989" s="184">
        <f>IF($K989="","",INDEX(Zeiterfassung!$K$6:$K$3665,$K989))</f>
        <v/>
      </c>
      <c r="C989" s="185">
        <f>IF($K989="","",INDEX(Zeiterfassung!$K$6:$K$3665,$K989))</f>
        <v/>
      </c>
      <c r="D989" s="186">
        <f>IF($K989="","",INDEX(Zeiterfassung!$D$6:$D$3665,$K989))</f>
        <v/>
      </c>
      <c r="E989" s="186">
        <f>IF($K989="","",INDEX(Zeiterfassung!$E$6:$E$3665,$K989))</f>
        <v/>
      </c>
      <c r="F989" s="187">
        <f>IF($K989="","",INDEX(Zeiterfassung!$F$6:$F$3665,$K989))</f>
        <v/>
      </c>
      <c r="G989" s="187">
        <f>IF($K989="","",INDEX(Zeiterfassung!$G$6:$G$3665,$K989))</f>
        <v/>
      </c>
      <c r="H989" s="188">
        <f>IF($K989="","",INDEX(Zeiterfassung!$H$6:$H$3665,$K989))</f>
        <v/>
      </c>
      <c r="I989" s="335">
        <f>IF(B989=B988,"",IF($K989="","",INDEX(Zeiterfassung!$I$6:$I$3665,MATCH(INDEX(Zeiterfassung!$K$6:$K$3665,$K989),Zeiterfassung!$K$6:$K$3665,0))))</f>
        <v/>
      </c>
      <c r="J989" s="335">
        <f>IF(B989=B988,"",IF($K989="","",INDEX(Zeiterfassung!$J$6:$J$3665,MATCH(INDEX(Zeiterfassung!$K$6:$K$3665,$K989),Zeiterfassung!$K$6:$K$3665,0))))</f>
        <v/>
      </c>
      <c r="K989">
        <f>IFERROR(AGGREGATE(15,6,(ROW(Zeiterfassung!$D$6:$D$3665)-ROW(Zeiterfassung!$D$6)+1)/(Zeiterfassung!$D$6:$D$3665&lt;&gt;""),984),"")</f>
        <v/>
      </c>
    </row>
    <row r="990" ht="20" customHeight="1">
      <c r="A990" s="183">
        <f>IF($K990="","",WEEKNUM(INDEX(Zeiterfassung!$K$6:$K$3665,$K990),21))</f>
        <v/>
      </c>
      <c r="B990" s="184">
        <f>IF($K990="","",INDEX(Zeiterfassung!$K$6:$K$3665,$K990))</f>
        <v/>
      </c>
      <c r="C990" s="185">
        <f>IF($K990="","",INDEX(Zeiterfassung!$K$6:$K$3665,$K990))</f>
        <v/>
      </c>
      <c r="D990" s="186">
        <f>IF($K990="","",INDEX(Zeiterfassung!$D$6:$D$3665,$K990))</f>
        <v/>
      </c>
      <c r="E990" s="186">
        <f>IF($K990="","",INDEX(Zeiterfassung!$E$6:$E$3665,$K990))</f>
        <v/>
      </c>
      <c r="F990" s="187">
        <f>IF($K990="","",INDEX(Zeiterfassung!$F$6:$F$3665,$K990))</f>
        <v/>
      </c>
      <c r="G990" s="187">
        <f>IF($K990="","",INDEX(Zeiterfassung!$G$6:$G$3665,$K990))</f>
        <v/>
      </c>
      <c r="H990" s="188">
        <f>IF($K990="","",INDEX(Zeiterfassung!$H$6:$H$3665,$K990))</f>
        <v/>
      </c>
      <c r="I990" s="335">
        <f>IF(B990=B989,"",IF($K990="","",INDEX(Zeiterfassung!$I$6:$I$3665,MATCH(INDEX(Zeiterfassung!$K$6:$K$3665,$K990),Zeiterfassung!$K$6:$K$3665,0))))</f>
        <v/>
      </c>
      <c r="J990" s="335">
        <f>IF(B990=B989,"",IF($K990="","",INDEX(Zeiterfassung!$J$6:$J$3665,MATCH(INDEX(Zeiterfassung!$K$6:$K$3665,$K990),Zeiterfassung!$K$6:$K$3665,0))))</f>
        <v/>
      </c>
      <c r="K990">
        <f>IFERROR(AGGREGATE(15,6,(ROW(Zeiterfassung!$D$6:$D$3665)-ROW(Zeiterfassung!$D$6)+1)/(Zeiterfassung!$D$6:$D$3665&lt;&gt;""),985),"")</f>
        <v/>
      </c>
    </row>
    <row r="991" ht="20" customHeight="1">
      <c r="A991" s="183">
        <f>IF($K991="","",WEEKNUM(INDEX(Zeiterfassung!$K$6:$K$3665,$K991),21))</f>
        <v/>
      </c>
      <c r="B991" s="184">
        <f>IF($K991="","",INDEX(Zeiterfassung!$K$6:$K$3665,$K991))</f>
        <v/>
      </c>
      <c r="C991" s="185">
        <f>IF($K991="","",INDEX(Zeiterfassung!$K$6:$K$3665,$K991))</f>
        <v/>
      </c>
      <c r="D991" s="186">
        <f>IF($K991="","",INDEX(Zeiterfassung!$D$6:$D$3665,$K991))</f>
        <v/>
      </c>
      <c r="E991" s="186">
        <f>IF($K991="","",INDEX(Zeiterfassung!$E$6:$E$3665,$K991))</f>
        <v/>
      </c>
      <c r="F991" s="187">
        <f>IF($K991="","",INDEX(Zeiterfassung!$F$6:$F$3665,$K991))</f>
        <v/>
      </c>
      <c r="G991" s="187">
        <f>IF($K991="","",INDEX(Zeiterfassung!$G$6:$G$3665,$K991))</f>
        <v/>
      </c>
      <c r="H991" s="188">
        <f>IF($K991="","",INDEX(Zeiterfassung!$H$6:$H$3665,$K991))</f>
        <v/>
      </c>
      <c r="I991" s="335">
        <f>IF(B991=B990,"",IF($K991="","",INDEX(Zeiterfassung!$I$6:$I$3665,MATCH(INDEX(Zeiterfassung!$K$6:$K$3665,$K991),Zeiterfassung!$K$6:$K$3665,0))))</f>
        <v/>
      </c>
      <c r="J991" s="335">
        <f>IF(B991=B990,"",IF($K991="","",INDEX(Zeiterfassung!$J$6:$J$3665,MATCH(INDEX(Zeiterfassung!$K$6:$K$3665,$K991),Zeiterfassung!$K$6:$K$3665,0))))</f>
        <v/>
      </c>
      <c r="K991">
        <f>IFERROR(AGGREGATE(15,6,(ROW(Zeiterfassung!$D$6:$D$3665)-ROW(Zeiterfassung!$D$6)+1)/(Zeiterfassung!$D$6:$D$3665&lt;&gt;""),986),"")</f>
        <v/>
      </c>
    </row>
    <row r="992" ht="20" customHeight="1">
      <c r="A992" s="183">
        <f>IF($K992="","",WEEKNUM(INDEX(Zeiterfassung!$K$6:$K$3665,$K992),21))</f>
        <v/>
      </c>
      <c r="B992" s="184">
        <f>IF($K992="","",INDEX(Zeiterfassung!$K$6:$K$3665,$K992))</f>
        <v/>
      </c>
      <c r="C992" s="185">
        <f>IF($K992="","",INDEX(Zeiterfassung!$K$6:$K$3665,$K992))</f>
        <v/>
      </c>
      <c r="D992" s="186">
        <f>IF($K992="","",INDEX(Zeiterfassung!$D$6:$D$3665,$K992))</f>
        <v/>
      </c>
      <c r="E992" s="186">
        <f>IF($K992="","",INDEX(Zeiterfassung!$E$6:$E$3665,$K992))</f>
        <v/>
      </c>
      <c r="F992" s="187">
        <f>IF($K992="","",INDEX(Zeiterfassung!$F$6:$F$3665,$K992))</f>
        <v/>
      </c>
      <c r="G992" s="187">
        <f>IF($K992="","",INDEX(Zeiterfassung!$G$6:$G$3665,$K992))</f>
        <v/>
      </c>
      <c r="H992" s="188">
        <f>IF($K992="","",INDEX(Zeiterfassung!$H$6:$H$3665,$K992))</f>
        <v/>
      </c>
      <c r="I992" s="335">
        <f>IF(B992=B991,"",IF($K992="","",INDEX(Zeiterfassung!$I$6:$I$3665,MATCH(INDEX(Zeiterfassung!$K$6:$K$3665,$K992),Zeiterfassung!$K$6:$K$3665,0))))</f>
        <v/>
      </c>
      <c r="J992" s="335">
        <f>IF(B992=B991,"",IF($K992="","",INDEX(Zeiterfassung!$J$6:$J$3665,MATCH(INDEX(Zeiterfassung!$K$6:$K$3665,$K992),Zeiterfassung!$K$6:$K$3665,0))))</f>
        <v/>
      </c>
      <c r="K992">
        <f>IFERROR(AGGREGATE(15,6,(ROW(Zeiterfassung!$D$6:$D$3665)-ROW(Zeiterfassung!$D$6)+1)/(Zeiterfassung!$D$6:$D$3665&lt;&gt;""),987),"")</f>
        <v/>
      </c>
    </row>
    <row r="993" ht="20" customHeight="1">
      <c r="A993" s="183">
        <f>IF($K993="","",WEEKNUM(INDEX(Zeiterfassung!$K$6:$K$3665,$K993),21))</f>
        <v/>
      </c>
      <c r="B993" s="184">
        <f>IF($K993="","",INDEX(Zeiterfassung!$K$6:$K$3665,$K993))</f>
        <v/>
      </c>
      <c r="C993" s="185">
        <f>IF($K993="","",INDEX(Zeiterfassung!$K$6:$K$3665,$K993))</f>
        <v/>
      </c>
      <c r="D993" s="186">
        <f>IF($K993="","",INDEX(Zeiterfassung!$D$6:$D$3665,$K993))</f>
        <v/>
      </c>
      <c r="E993" s="186">
        <f>IF($K993="","",INDEX(Zeiterfassung!$E$6:$E$3665,$K993))</f>
        <v/>
      </c>
      <c r="F993" s="187">
        <f>IF($K993="","",INDEX(Zeiterfassung!$F$6:$F$3665,$K993))</f>
        <v/>
      </c>
      <c r="G993" s="187">
        <f>IF($K993="","",INDEX(Zeiterfassung!$G$6:$G$3665,$K993))</f>
        <v/>
      </c>
      <c r="H993" s="188">
        <f>IF($K993="","",INDEX(Zeiterfassung!$H$6:$H$3665,$K993))</f>
        <v/>
      </c>
      <c r="I993" s="335">
        <f>IF(B993=B992,"",IF($K993="","",INDEX(Zeiterfassung!$I$6:$I$3665,MATCH(INDEX(Zeiterfassung!$K$6:$K$3665,$K993),Zeiterfassung!$K$6:$K$3665,0))))</f>
        <v/>
      </c>
      <c r="J993" s="335">
        <f>IF(B993=B992,"",IF($K993="","",INDEX(Zeiterfassung!$J$6:$J$3665,MATCH(INDEX(Zeiterfassung!$K$6:$K$3665,$K993),Zeiterfassung!$K$6:$K$3665,0))))</f>
        <v/>
      </c>
      <c r="K993">
        <f>IFERROR(AGGREGATE(15,6,(ROW(Zeiterfassung!$D$6:$D$3665)-ROW(Zeiterfassung!$D$6)+1)/(Zeiterfassung!$D$6:$D$3665&lt;&gt;""),988),"")</f>
        <v/>
      </c>
    </row>
    <row r="994" ht="20" customHeight="1">
      <c r="A994" s="183">
        <f>IF($K994="","",WEEKNUM(INDEX(Zeiterfassung!$K$6:$K$3665,$K994),21))</f>
        <v/>
      </c>
      <c r="B994" s="184">
        <f>IF($K994="","",INDEX(Zeiterfassung!$K$6:$K$3665,$K994))</f>
        <v/>
      </c>
      <c r="C994" s="185">
        <f>IF($K994="","",INDEX(Zeiterfassung!$K$6:$K$3665,$K994))</f>
        <v/>
      </c>
      <c r="D994" s="186">
        <f>IF($K994="","",INDEX(Zeiterfassung!$D$6:$D$3665,$K994))</f>
        <v/>
      </c>
      <c r="E994" s="186">
        <f>IF($K994="","",INDEX(Zeiterfassung!$E$6:$E$3665,$K994))</f>
        <v/>
      </c>
      <c r="F994" s="187">
        <f>IF($K994="","",INDEX(Zeiterfassung!$F$6:$F$3665,$K994))</f>
        <v/>
      </c>
      <c r="G994" s="187">
        <f>IF($K994="","",INDEX(Zeiterfassung!$G$6:$G$3665,$K994))</f>
        <v/>
      </c>
      <c r="H994" s="188">
        <f>IF($K994="","",INDEX(Zeiterfassung!$H$6:$H$3665,$K994))</f>
        <v/>
      </c>
      <c r="I994" s="335">
        <f>IF(B994=B993,"",IF($K994="","",INDEX(Zeiterfassung!$I$6:$I$3665,MATCH(INDEX(Zeiterfassung!$K$6:$K$3665,$K994),Zeiterfassung!$K$6:$K$3665,0))))</f>
        <v/>
      </c>
      <c r="J994" s="335">
        <f>IF(B994=B993,"",IF($K994="","",INDEX(Zeiterfassung!$J$6:$J$3665,MATCH(INDEX(Zeiterfassung!$K$6:$K$3665,$K994),Zeiterfassung!$K$6:$K$3665,0))))</f>
        <v/>
      </c>
      <c r="K994">
        <f>IFERROR(AGGREGATE(15,6,(ROW(Zeiterfassung!$D$6:$D$3665)-ROW(Zeiterfassung!$D$6)+1)/(Zeiterfassung!$D$6:$D$3665&lt;&gt;""),989),"")</f>
        <v/>
      </c>
    </row>
    <row r="995" ht="20" customHeight="1">
      <c r="A995" s="183">
        <f>IF($K995="","",WEEKNUM(INDEX(Zeiterfassung!$K$6:$K$3665,$K995),21))</f>
        <v/>
      </c>
      <c r="B995" s="184">
        <f>IF($K995="","",INDEX(Zeiterfassung!$K$6:$K$3665,$K995))</f>
        <v/>
      </c>
      <c r="C995" s="185">
        <f>IF($K995="","",INDEX(Zeiterfassung!$K$6:$K$3665,$K995))</f>
        <v/>
      </c>
      <c r="D995" s="186">
        <f>IF($K995="","",INDEX(Zeiterfassung!$D$6:$D$3665,$K995))</f>
        <v/>
      </c>
      <c r="E995" s="186">
        <f>IF($K995="","",INDEX(Zeiterfassung!$E$6:$E$3665,$K995))</f>
        <v/>
      </c>
      <c r="F995" s="187">
        <f>IF($K995="","",INDEX(Zeiterfassung!$F$6:$F$3665,$K995))</f>
        <v/>
      </c>
      <c r="G995" s="187">
        <f>IF($K995="","",INDEX(Zeiterfassung!$G$6:$G$3665,$K995))</f>
        <v/>
      </c>
      <c r="H995" s="188">
        <f>IF($K995="","",INDEX(Zeiterfassung!$H$6:$H$3665,$K995))</f>
        <v/>
      </c>
      <c r="I995" s="335">
        <f>IF(B995=B994,"",IF($K995="","",INDEX(Zeiterfassung!$I$6:$I$3665,MATCH(INDEX(Zeiterfassung!$K$6:$K$3665,$K995),Zeiterfassung!$K$6:$K$3665,0))))</f>
        <v/>
      </c>
      <c r="J995" s="335">
        <f>IF(B995=B994,"",IF($K995="","",INDEX(Zeiterfassung!$J$6:$J$3665,MATCH(INDEX(Zeiterfassung!$K$6:$K$3665,$K995),Zeiterfassung!$K$6:$K$3665,0))))</f>
        <v/>
      </c>
      <c r="K995">
        <f>IFERROR(AGGREGATE(15,6,(ROW(Zeiterfassung!$D$6:$D$3665)-ROW(Zeiterfassung!$D$6)+1)/(Zeiterfassung!$D$6:$D$3665&lt;&gt;""),990),"")</f>
        <v/>
      </c>
    </row>
    <row r="996" ht="20" customHeight="1">
      <c r="A996" s="183">
        <f>IF($K996="","",WEEKNUM(INDEX(Zeiterfassung!$K$6:$K$3665,$K996),21))</f>
        <v/>
      </c>
      <c r="B996" s="184">
        <f>IF($K996="","",INDEX(Zeiterfassung!$K$6:$K$3665,$K996))</f>
        <v/>
      </c>
      <c r="C996" s="185">
        <f>IF($K996="","",INDEX(Zeiterfassung!$K$6:$K$3665,$K996))</f>
        <v/>
      </c>
      <c r="D996" s="186">
        <f>IF($K996="","",INDEX(Zeiterfassung!$D$6:$D$3665,$K996))</f>
        <v/>
      </c>
      <c r="E996" s="186">
        <f>IF($K996="","",INDEX(Zeiterfassung!$E$6:$E$3665,$K996))</f>
        <v/>
      </c>
      <c r="F996" s="187">
        <f>IF($K996="","",INDEX(Zeiterfassung!$F$6:$F$3665,$K996))</f>
        <v/>
      </c>
      <c r="G996" s="187">
        <f>IF($K996="","",INDEX(Zeiterfassung!$G$6:$G$3665,$K996))</f>
        <v/>
      </c>
      <c r="H996" s="188">
        <f>IF($K996="","",INDEX(Zeiterfassung!$H$6:$H$3665,$K996))</f>
        <v/>
      </c>
      <c r="I996" s="335">
        <f>IF(B996=B995,"",IF($K996="","",INDEX(Zeiterfassung!$I$6:$I$3665,MATCH(INDEX(Zeiterfassung!$K$6:$K$3665,$K996),Zeiterfassung!$K$6:$K$3665,0))))</f>
        <v/>
      </c>
      <c r="J996" s="335">
        <f>IF(B996=B995,"",IF($K996="","",INDEX(Zeiterfassung!$J$6:$J$3665,MATCH(INDEX(Zeiterfassung!$K$6:$K$3665,$K996),Zeiterfassung!$K$6:$K$3665,0))))</f>
        <v/>
      </c>
      <c r="K996">
        <f>IFERROR(AGGREGATE(15,6,(ROW(Zeiterfassung!$D$6:$D$3665)-ROW(Zeiterfassung!$D$6)+1)/(Zeiterfassung!$D$6:$D$3665&lt;&gt;""),991),"")</f>
        <v/>
      </c>
    </row>
    <row r="997" ht="20" customHeight="1">
      <c r="A997" s="183">
        <f>IF($K997="","",WEEKNUM(INDEX(Zeiterfassung!$K$6:$K$3665,$K997),21))</f>
        <v/>
      </c>
      <c r="B997" s="184">
        <f>IF($K997="","",INDEX(Zeiterfassung!$K$6:$K$3665,$K997))</f>
        <v/>
      </c>
      <c r="C997" s="185">
        <f>IF($K997="","",INDEX(Zeiterfassung!$K$6:$K$3665,$K997))</f>
        <v/>
      </c>
      <c r="D997" s="186">
        <f>IF($K997="","",INDEX(Zeiterfassung!$D$6:$D$3665,$K997))</f>
        <v/>
      </c>
      <c r="E997" s="186">
        <f>IF($K997="","",INDEX(Zeiterfassung!$E$6:$E$3665,$K997))</f>
        <v/>
      </c>
      <c r="F997" s="187">
        <f>IF($K997="","",INDEX(Zeiterfassung!$F$6:$F$3665,$K997))</f>
        <v/>
      </c>
      <c r="G997" s="187">
        <f>IF($K997="","",INDEX(Zeiterfassung!$G$6:$G$3665,$K997))</f>
        <v/>
      </c>
      <c r="H997" s="188">
        <f>IF($K997="","",INDEX(Zeiterfassung!$H$6:$H$3665,$K997))</f>
        <v/>
      </c>
      <c r="I997" s="335">
        <f>IF(B997=B996,"",IF($K997="","",INDEX(Zeiterfassung!$I$6:$I$3665,MATCH(INDEX(Zeiterfassung!$K$6:$K$3665,$K997),Zeiterfassung!$K$6:$K$3665,0))))</f>
        <v/>
      </c>
      <c r="J997" s="335">
        <f>IF(B997=B996,"",IF($K997="","",INDEX(Zeiterfassung!$J$6:$J$3665,MATCH(INDEX(Zeiterfassung!$K$6:$K$3665,$K997),Zeiterfassung!$K$6:$K$3665,0))))</f>
        <v/>
      </c>
      <c r="K997">
        <f>IFERROR(AGGREGATE(15,6,(ROW(Zeiterfassung!$D$6:$D$3665)-ROW(Zeiterfassung!$D$6)+1)/(Zeiterfassung!$D$6:$D$3665&lt;&gt;""),992),"")</f>
        <v/>
      </c>
    </row>
    <row r="998" ht="20" customHeight="1">
      <c r="A998" s="183">
        <f>IF($K998="","",WEEKNUM(INDEX(Zeiterfassung!$K$6:$K$3665,$K998),21))</f>
        <v/>
      </c>
      <c r="B998" s="184">
        <f>IF($K998="","",INDEX(Zeiterfassung!$K$6:$K$3665,$K998))</f>
        <v/>
      </c>
      <c r="C998" s="185">
        <f>IF($K998="","",INDEX(Zeiterfassung!$K$6:$K$3665,$K998))</f>
        <v/>
      </c>
      <c r="D998" s="186">
        <f>IF($K998="","",INDEX(Zeiterfassung!$D$6:$D$3665,$K998))</f>
        <v/>
      </c>
      <c r="E998" s="186">
        <f>IF($K998="","",INDEX(Zeiterfassung!$E$6:$E$3665,$K998))</f>
        <v/>
      </c>
      <c r="F998" s="187">
        <f>IF($K998="","",INDEX(Zeiterfassung!$F$6:$F$3665,$K998))</f>
        <v/>
      </c>
      <c r="G998" s="187">
        <f>IF($K998="","",INDEX(Zeiterfassung!$G$6:$G$3665,$K998))</f>
        <v/>
      </c>
      <c r="H998" s="188">
        <f>IF($K998="","",INDEX(Zeiterfassung!$H$6:$H$3665,$K998))</f>
        <v/>
      </c>
      <c r="I998" s="335">
        <f>IF(B998=B997,"",IF($K998="","",INDEX(Zeiterfassung!$I$6:$I$3665,MATCH(INDEX(Zeiterfassung!$K$6:$K$3665,$K998),Zeiterfassung!$K$6:$K$3665,0))))</f>
        <v/>
      </c>
      <c r="J998" s="335">
        <f>IF(B998=B997,"",IF($K998="","",INDEX(Zeiterfassung!$J$6:$J$3665,MATCH(INDEX(Zeiterfassung!$K$6:$K$3665,$K998),Zeiterfassung!$K$6:$K$3665,0))))</f>
        <v/>
      </c>
      <c r="K998">
        <f>IFERROR(AGGREGATE(15,6,(ROW(Zeiterfassung!$D$6:$D$3665)-ROW(Zeiterfassung!$D$6)+1)/(Zeiterfassung!$D$6:$D$3665&lt;&gt;""),993),"")</f>
        <v/>
      </c>
    </row>
    <row r="999" ht="20" customHeight="1">
      <c r="A999" s="183">
        <f>IF($K999="","",WEEKNUM(INDEX(Zeiterfassung!$K$6:$K$3665,$K999),21))</f>
        <v/>
      </c>
      <c r="B999" s="184">
        <f>IF($K999="","",INDEX(Zeiterfassung!$K$6:$K$3665,$K999))</f>
        <v/>
      </c>
      <c r="C999" s="185">
        <f>IF($K999="","",INDEX(Zeiterfassung!$K$6:$K$3665,$K999))</f>
        <v/>
      </c>
      <c r="D999" s="186">
        <f>IF($K999="","",INDEX(Zeiterfassung!$D$6:$D$3665,$K999))</f>
        <v/>
      </c>
      <c r="E999" s="186">
        <f>IF($K999="","",INDEX(Zeiterfassung!$E$6:$E$3665,$K999))</f>
        <v/>
      </c>
      <c r="F999" s="187">
        <f>IF($K999="","",INDEX(Zeiterfassung!$F$6:$F$3665,$K999))</f>
        <v/>
      </c>
      <c r="G999" s="187">
        <f>IF($K999="","",INDEX(Zeiterfassung!$G$6:$G$3665,$K999))</f>
        <v/>
      </c>
      <c r="H999" s="188">
        <f>IF($K999="","",INDEX(Zeiterfassung!$H$6:$H$3665,$K999))</f>
        <v/>
      </c>
      <c r="I999" s="335">
        <f>IF(B999=B998,"",IF($K999="","",INDEX(Zeiterfassung!$I$6:$I$3665,MATCH(INDEX(Zeiterfassung!$K$6:$K$3665,$K999),Zeiterfassung!$K$6:$K$3665,0))))</f>
        <v/>
      </c>
      <c r="J999" s="335">
        <f>IF(B999=B998,"",IF($K999="","",INDEX(Zeiterfassung!$J$6:$J$3665,MATCH(INDEX(Zeiterfassung!$K$6:$K$3665,$K999),Zeiterfassung!$K$6:$K$3665,0))))</f>
        <v/>
      </c>
      <c r="K999">
        <f>IFERROR(AGGREGATE(15,6,(ROW(Zeiterfassung!$D$6:$D$3665)-ROW(Zeiterfassung!$D$6)+1)/(Zeiterfassung!$D$6:$D$3665&lt;&gt;""),994),"")</f>
        <v/>
      </c>
    </row>
    <row r="1000" ht="20" customHeight="1">
      <c r="A1000" s="183">
        <f>IF($K1000="","",WEEKNUM(INDEX(Zeiterfassung!$K$6:$K$3665,$K1000),21))</f>
        <v/>
      </c>
      <c r="B1000" s="184">
        <f>IF($K1000="","",INDEX(Zeiterfassung!$K$6:$K$3665,$K1000))</f>
        <v/>
      </c>
      <c r="C1000" s="185">
        <f>IF($K1000="","",INDEX(Zeiterfassung!$K$6:$K$3665,$K1000))</f>
        <v/>
      </c>
      <c r="D1000" s="186">
        <f>IF($K1000="","",INDEX(Zeiterfassung!$D$6:$D$3665,$K1000))</f>
        <v/>
      </c>
      <c r="E1000" s="186">
        <f>IF($K1000="","",INDEX(Zeiterfassung!$E$6:$E$3665,$K1000))</f>
        <v/>
      </c>
      <c r="F1000" s="187">
        <f>IF($K1000="","",INDEX(Zeiterfassung!$F$6:$F$3665,$K1000))</f>
        <v/>
      </c>
      <c r="G1000" s="187">
        <f>IF($K1000="","",INDEX(Zeiterfassung!$G$6:$G$3665,$K1000))</f>
        <v/>
      </c>
      <c r="H1000" s="188">
        <f>IF($K1000="","",INDEX(Zeiterfassung!$H$6:$H$3665,$K1000))</f>
        <v/>
      </c>
      <c r="I1000" s="335">
        <f>IF(B1000=B999,"",IF($K1000="","",INDEX(Zeiterfassung!$I$6:$I$3665,MATCH(INDEX(Zeiterfassung!$K$6:$K$3665,$K1000),Zeiterfassung!$K$6:$K$3665,0))))</f>
        <v/>
      </c>
      <c r="J1000" s="335">
        <f>IF(B1000=B999,"",IF($K1000="","",INDEX(Zeiterfassung!$J$6:$J$3665,MATCH(INDEX(Zeiterfassung!$K$6:$K$3665,$K1000),Zeiterfassung!$K$6:$K$3665,0))))</f>
        <v/>
      </c>
      <c r="K1000">
        <f>IFERROR(AGGREGATE(15,6,(ROW(Zeiterfassung!$D$6:$D$3665)-ROW(Zeiterfassung!$D$6)+1)/(Zeiterfassung!$D$6:$D$3665&lt;&gt;""),995),"")</f>
        <v/>
      </c>
    </row>
    <row r="1001" ht="20" customHeight="1">
      <c r="A1001" s="183">
        <f>IF($K1001="","",WEEKNUM(INDEX(Zeiterfassung!$K$6:$K$3665,$K1001),21))</f>
        <v/>
      </c>
      <c r="B1001" s="184">
        <f>IF($K1001="","",INDEX(Zeiterfassung!$K$6:$K$3665,$K1001))</f>
        <v/>
      </c>
      <c r="C1001" s="185">
        <f>IF($K1001="","",INDEX(Zeiterfassung!$K$6:$K$3665,$K1001))</f>
        <v/>
      </c>
      <c r="D1001" s="186">
        <f>IF($K1001="","",INDEX(Zeiterfassung!$D$6:$D$3665,$K1001))</f>
        <v/>
      </c>
      <c r="E1001" s="186">
        <f>IF($K1001="","",INDEX(Zeiterfassung!$E$6:$E$3665,$K1001))</f>
        <v/>
      </c>
      <c r="F1001" s="187">
        <f>IF($K1001="","",INDEX(Zeiterfassung!$F$6:$F$3665,$K1001))</f>
        <v/>
      </c>
      <c r="G1001" s="187">
        <f>IF($K1001="","",INDEX(Zeiterfassung!$G$6:$G$3665,$K1001))</f>
        <v/>
      </c>
      <c r="H1001" s="188">
        <f>IF($K1001="","",INDEX(Zeiterfassung!$H$6:$H$3665,$K1001))</f>
        <v/>
      </c>
      <c r="I1001" s="335">
        <f>IF(B1001=B1000,"",IF($K1001="","",INDEX(Zeiterfassung!$I$6:$I$3665,MATCH(INDEX(Zeiterfassung!$K$6:$K$3665,$K1001),Zeiterfassung!$K$6:$K$3665,0))))</f>
        <v/>
      </c>
      <c r="J1001" s="335">
        <f>IF(B1001=B1000,"",IF($K1001="","",INDEX(Zeiterfassung!$J$6:$J$3665,MATCH(INDEX(Zeiterfassung!$K$6:$K$3665,$K1001),Zeiterfassung!$K$6:$K$3665,0))))</f>
        <v/>
      </c>
      <c r="K1001">
        <f>IFERROR(AGGREGATE(15,6,(ROW(Zeiterfassung!$D$6:$D$3665)-ROW(Zeiterfassung!$D$6)+1)/(Zeiterfassung!$D$6:$D$3665&lt;&gt;""),996),"")</f>
        <v/>
      </c>
    </row>
    <row r="1002" ht="20" customHeight="1">
      <c r="A1002" s="183">
        <f>IF($K1002="","",WEEKNUM(INDEX(Zeiterfassung!$K$6:$K$3665,$K1002),21))</f>
        <v/>
      </c>
      <c r="B1002" s="184">
        <f>IF($K1002="","",INDEX(Zeiterfassung!$K$6:$K$3665,$K1002))</f>
        <v/>
      </c>
      <c r="C1002" s="185">
        <f>IF($K1002="","",INDEX(Zeiterfassung!$K$6:$K$3665,$K1002))</f>
        <v/>
      </c>
      <c r="D1002" s="186">
        <f>IF($K1002="","",INDEX(Zeiterfassung!$D$6:$D$3665,$K1002))</f>
        <v/>
      </c>
      <c r="E1002" s="186">
        <f>IF($K1002="","",INDEX(Zeiterfassung!$E$6:$E$3665,$K1002))</f>
        <v/>
      </c>
      <c r="F1002" s="187">
        <f>IF($K1002="","",INDEX(Zeiterfassung!$F$6:$F$3665,$K1002))</f>
        <v/>
      </c>
      <c r="G1002" s="187">
        <f>IF($K1002="","",INDEX(Zeiterfassung!$G$6:$G$3665,$K1002))</f>
        <v/>
      </c>
      <c r="H1002" s="188">
        <f>IF($K1002="","",INDEX(Zeiterfassung!$H$6:$H$3665,$K1002))</f>
        <v/>
      </c>
      <c r="I1002" s="335">
        <f>IF(B1002=B1001,"",IF($K1002="","",INDEX(Zeiterfassung!$I$6:$I$3665,MATCH(INDEX(Zeiterfassung!$K$6:$K$3665,$K1002),Zeiterfassung!$K$6:$K$3665,0))))</f>
        <v/>
      </c>
      <c r="J1002" s="335">
        <f>IF(B1002=B1001,"",IF($K1002="","",INDEX(Zeiterfassung!$J$6:$J$3665,MATCH(INDEX(Zeiterfassung!$K$6:$K$3665,$K1002),Zeiterfassung!$K$6:$K$3665,0))))</f>
        <v/>
      </c>
      <c r="K1002">
        <f>IFERROR(AGGREGATE(15,6,(ROW(Zeiterfassung!$D$6:$D$3665)-ROW(Zeiterfassung!$D$6)+1)/(Zeiterfassung!$D$6:$D$3665&lt;&gt;""),997),"")</f>
        <v/>
      </c>
    </row>
    <row r="1003" ht="20" customHeight="1">
      <c r="A1003" s="183">
        <f>IF($K1003="","",WEEKNUM(INDEX(Zeiterfassung!$K$6:$K$3665,$K1003),21))</f>
        <v/>
      </c>
      <c r="B1003" s="184">
        <f>IF($K1003="","",INDEX(Zeiterfassung!$K$6:$K$3665,$K1003))</f>
        <v/>
      </c>
      <c r="C1003" s="185">
        <f>IF($K1003="","",INDEX(Zeiterfassung!$K$6:$K$3665,$K1003))</f>
        <v/>
      </c>
      <c r="D1003" s="186">
        <f>IF($K1003="","",INDEX(Zeiterfassung!$D$6:$D$3665,$K1003))</f>
        <v/>
      </c>
      <c r="E1003" s="186">
        <f>IF($K1003="","",INDEX(Zeiterfassung!$E$6:$E$3665,$K1003))</f>
        <v/>
      </c>
      <c r="F1003" s="187">
        <f>IF($K1003="","",INDEX(Zeiterfassung!$F$6:$F$3665,$K1003))</f>
        <v/>
      </c>
      <c r="G1003" s="187">
        <f>IF($K1003="","",INDEX(Zeiterfassung!$G$6:$G$3665,$K1003))</f>
        <v/>
      </c>
      <c r="H1003" s="188">
        <f>IF($K1003="","",INDEX(Zeiterfassung!$H$6:$H$3665,$K1003))</f>
        <v/>
      </c>
      <c r="I1003" s="335">
        <f>IF(B1003=B1002,"",IF($K1003="","",INDEX(Zeiterfassung!$I$6:$I$3665,MATCH(INDEX(Zeiterfassung!$K$6:$K$3665,$K1003),Zeiterfassung!$K$6:$K$3665,0))))</f>
        <v/>
      </c>
      <c r="J1003" s="335">
        <f>IF(B1003=B1002,"",IF($K1003="","",INDEX(Zeiterfassung!$J$6:$J$3665,MATCH(INDEX(Zeiterfassung!$K$6:$K$3665,$K1003),Zeiterfassung!$K$6:$K$3665,0))))</f>
        <v/>
      </c>
      <c r="K1003">
        <f>IFERROR(AGGREGATE(15,6,(ROW(Zeiterfassung!$D$6:$D$3665)-ROW(Zeiterfassung!$D$6)+1)/(Zeiterfassung!$D$6:$D$3665&lt;&gt;""),998),"")</f>
        <v/>
      </c>
    </row>
    <row r="1004" ht="20" customHeight="1">
      <c r="A1004" s="183">
        <f>IF($K1004="","",WEEKNUM(INDEX(Zeiterfassung!$K$6:$K$3665,$K1004),21))</f>
        <v/>
      </c>
      <c r="B1004" s="184">
        <f>IF($K1004="","",INDEX(Zeiterfassung!$K$6:$K$3665,$K1004))</f>
        <v/>
      </c>
      <c r="C1004" s="185">
        <f>IF($K1004="","",INDEX(Zeiterfassung!$K$6:$K$3665,$K1004))</f>
        <v/>
      </c>
      <c r="D1004" s="186">
        <f>IF($K1004="","",INDEX(Zeiterfassung!$D$6:$D$3665,$K1004))</f>
        <v/>
      </c>
      <c r="E1004" s="186">
        <f>IF($K1004="","",INDEX(Zeiterfassung!$E$6:$E$3665,$K1004))</f>
        <v/>
      </c>
      <c r="F1004" s="187">
        <f>IF($K1004="","",INDEX(Zeiterfassung!$F$6:$F$3665,$K1004))</f>
        <v/>
      </c>
      <c r="G1004" s="187">
        <f>IF($K1004="","",INDEX(Zeiterfassung!$G$6:$G$3665,$K1004))</f>
        <v/>
      </c>
      <c r="H1004" s="188">
        <f>IF($K1004="","",INDEX(Zeiterfassung!$H$6:$H$3665,$K1004))</f>
        <v/>
      </c>
      <c r="I1004" s="335">
        <f>IF(B1004=B1003,"",IF($K1004="","",INDEX(Zeiterfassung!$I$6:$I$3665,MATCH(INDEX(Zeiterfassung!$K$6:$K$3665,$K1004),Zeiterfassung!$K$6:$K$3665,0))))</f>
        <v/>
      </c>
      <c r="J1004" s="335">
        <f>IF(B1004=B1003,"",IF($K1004="","",INDEX(Zeiterfassung!$J$6:$J$3665,MATCH(INDEX(Zeiterfassung!$K$6:$K$3665,$K1004),Zeiterfassung!$K$6:$K$3665,0))))</f>
        <v/>
      </c>
      <c r="K1004">
        <f>IFERROR(AGGREGATE(15,6,(ROW(Zeiterfassung!$D$6:$D$3665)-ROW(Zeiterfassung!$D$6)+1)/(Zeiterfassung!$D$6:$D$3665&lt;&gt;""),999),"")</f>
        <v/>
      </c>
    </row>
    <row r="1005" ht="20" customHeight="1">
      <c r="A1005" s="183">
        <f>IF($K1005="","",WEEKNUM(INDEX(Zeiterfassung!$K$6:$K$3665,$K1005),21))</f>
        <v/>
      </c>
      <c r="B1005" s="184">
        <f>IF($K1005="","",INDEX(Zeiterfassung!$K$6:$K$3665,$K1005))</f>
        <v/>
      </c>
      <c r="C1005" s="185">
        <f>IF($K1005="","",INDEX(Zeiterfassung!$K$6:$K$3665,$K1005))</f>
        <v/>
      </c>
      <c r="D1005" s="186">
        <f>IF($K1005="","",INDEX(Zeiterfassung!$D$6:$D$3665,$K1005))</f>
        <v/>
      </c>
      <c r="E1005" s="186">
        <f>IF($K1005="","",INDEX(Zeiterfassung!$E$6:$E$3665,$K1005))</f>
        <v/>
      </c>
      <c r="F1005" s="187">
        <f>IF($K1005="","",INDEX(Zeiterfassung!$F$6:$F$3665,$K1005))</f>
        <v/>
      </c>
      <c r="G1005" s="187">
        <f>IF($K1005="","",INDEX(Zeiterfassung!$G$6:$G$3665,$K1005))</f>
        <v/>
      </c>
      <c r="H1005" s="188">
        <f>IF($K1005="","",INDEX(Zeiterfassung!$H$6:$H$3665,$K1005))</f>
        <v/>
      </c>
      <c r="I1005" s="335">
        <f>IF(B1005=B1004,"",IF($K1005="","",INDEX(Zeiterfassung!$I$6:$I$3665,MATCH(INDEX(Zeiterfassung!$K$6:$K$3665,$K1005),Zeiterfassung!$K$6:$K$3665,0))))</f>
        <v/>
      </c>
      <c r="J1005" s="335">
        <f>IF(B1005=B1004,"",IF($K1005="","",INDEX(Zeiterfassung!$J$6:$J$3665,MATCH(INDEX(Zeiterfassung!$K$6:$K$3665,$K1005),Zeiterfassung!$K$6:$K$3665,0))))</f>
        <v/>
      </c>
      <c r="K1005">
        <f>IFERROR(AGGREGATE(15,6,(ROW(Zeiterfassung!$D$6:$D$3665)-ROW(Zeiterfassung!$D$6)+1)/(Zeiterfassung!$D$6:$D$3665&lt;&gt;""),1000),"")</f>
        <v/>
      </c>
    </row>
    <row r="1006" ht="20" customHeight="1">
      <c r="A1006" s="183">
        <f>IF($K1006="","",WEEKNUM(INDEX(Zeiterfassung!$K$6:$K$3665,$K1006),21))</f>
        <v/>
      </c>
      <c r="B1006" s="184">
        <f>IF($K1006="","",INDEX(Zeiterfassung!$K$6:$K$3665,$K1006))</f>
        <v/>
      </c>
      <c r="C1006" s="185">
        <f>IF($K1006="","",INDEX(Zeiterfassung!$K$6:$K$3665,$K1006))</f>
        <v/>
      </c>
      <c r="D1006" s="186">
        <f>IF($K1006="","",INDEX(Zeiterfassung!$D$6:$D$3665,$K1006))</f>
        <v/>
      </c>
      <c r="E1006" s="186">
        <f>IF($K1006="","",INDEX(Zeiterfassung!$E$6:$E$3665,$K1006))</f>
        <v/>
      </c>
      <c r="F1006" s="187">
        <f>IF($K1006="","",INDEX(Zeiterfassung!$F$6:$F$3665,$K1006))</f>
        <v/>
      </c>
      <c r="G1006" s="187">
        <f>IF($K1006="","",INDEX(Zeiterfassung!$G$6:$G$3665,$K1006))</f>
        <v/>
      </c>
      <c r="H1006" s="188">
        <f>IF($K1006="","",INDEX(Zeiterfassung!$H$6:$H$3665,$K1006))</f>
        <v/>
      </c>
      <c r="I1006" s="335">
        <f>IF(B1006=B1005,"",IF($K1006="","",INDEX(Zeiterfassung!$I$6:$I$3665,MATCH(INDEX(Zeiterfassung!$K$6:$K$3665,$K1006),Zeiterfassung!$K$6:$K$3665,0))))</f>
        <v/>
      </c>
      <c r="J1006" s="335">
        <f>IF(B1006=B1005,"",IF($K1006="","",INDEX(Zeiterfassung!$J$6:$J$3665,MATCH(INDEX(Zeiterfassung!$K$6:$K$3665,$K1006),Zeiterfassung!$K$6:$K$3665,0))))</f>
        <v/>
      </c>
      <c r="K1006">
        <f>IFERROR(AGGREGATE(15,6,(ROW(Zeiterfassung!$D$6:$D$3665)-ROW(Zeiterfassung!$D$6)+1)/(Zeiterfassung!$D$6:$D$3665&lt;&gt;""),1001),"")</f>
        <v/>
      </c>
    </row>
    <row r="1007" ht="20" customHeight="1">
      <c r="A1007" s="183">
        <f>IF($K1007="","",WEEKNUM(INDEX(Zeiterfassung!$K$6:$K$3665,$K1007),21))</f>
        <v/>
      </c>
      <c r="B1007" s="184">
        <f>IF($K1007="","",INDEX(Zeiterfassung!$K$6:$K$3665,$K1007))</f>
        <v/>
      </c>
      <c r="C1007" s="185">
        <f>IF($K1007="","",INDEX(Zeiterfassung!$K$6:$K$3665,$K1007))</f>
        <v/>
      </c>
      <c r="D1007" s="186">
        <f>IF($K1007="","",INDEX(Zeiterfassung!$D$6:$D$3665,$K1007))</f>
        <v/>
      </c>
      <c r="E1007" s="186">
        <f>IF($K1007="","",INDEX(Zeiterfassung!$E$6:$E$3665,$K1007))</f>
        <v/>
      </c>
      <c r="F1007" s="187">
        <f>IF($K1007="","",INDEX(Zeiterfassung!$F$6:$F$3665,$K1007))</f>
        <v/>
      </c>
      <c r="G1007" s="187">
        <f>IF($K1007="","",INDEX(Zeiterfassung!$G$6:$G$3665,$K1007))</f>
        <v/>
      </c>
      <c r="H1007" s="188">
        <f>IF($K1007="","",INDEX(Zeiterfassung!$H$6:$H$3665,$K1007))</f>
        <v/>
      </c>
      <c r="I1007" s="335">
        <f>IF(B1007=B1006,"",IF($K1007="","",INDEX(Zeiterfassung!$I$6:$I$3665,MATCH(INDEX(Zeiterfassung!$K$6:$K$3665,$K1007),Zeiterfassung!$K$6:$K$3665,0))))</f>
        <v/>
      </c>
      <c r="J1007" s="335">
        <f>IF(B1007=B1006,"",IF($K1007="","",INDEX(Zeiterfassung!$J$6:$J$3665,MATCH(INDEX(Zeiterfassung!$K$6:$K$3665,$K1007),Zeiterfassung!$K$6:$K$3665,0))))</f>
        <v/>
      </c>
      <c r="K1007">
        <f>IFERROR(AGGREGATE(15,6,(ROW(Zeiterfassung!$D$6:$D$3665)-ROW(Zeiterfassung!$D$6)+1)/(Zeiterfassung!$D$6:$D$3665&lt;&gt;""),1002),"")</f>
        <v/>
      </c>
    </row>
    <row r="1008" ht="20" customHeight="1">
      <c r="A1008" s="183">
        <f>IF($K1008="","",WEEKNUM(INDEX(Zeiterfassung!$K$6:$K$3665,$K1008),21))</f>
        <v/>
      </c>
      <c r="B1008" s="184">
        <f>IF($K1008="","",INDEX(Zeiterfassung!$K$6:$K$3665,$K1008))</f>
        <v/>
      </c>
      <c r="C1008" s="185">
        <f>IF($K1008="","",INDEX(Zeiterfassung!$K$6:$K$3665,$K1008))</f>
        <v/>
      </c>
      <c r="D1008" s="186">
        <f>IF($K1008="","",INDEX(Zeiterfassung!$D$6:$D$3665,$K1008))</f>
        <v/>
      </c>
      <c r="E1008" s="186">
        <f>IF($K1008="","",INDEX(Zeiterfassung!$E$6:$E$3665,$K1008))</f>
        <v/>
      </c>
      <c r="F1008" s="187">
        <f>IF($K1008="","",INDEX(Zeiterfassung!$F$6:$F$3665,$K1008))</f>
        <v/>
      </c>
      <c r="G1008" s="187">
        <f>IF($K1008="","",INDEX(Zeiterfassung!$G$6:$G$3665,$K1008))</f>
        <v/>
      </c>
      <c r="H1008" s="188">
        <f>IF($K1008="","",INDEX(Zeiterfassung!$H$6:$H$3665,$K1008))</f>
        <v/>
      </c>
      <c r="I1008" s="335">
        <f>IF(B1008=B1007,"",IF($K1008="","",INDEX(Zeiterfassung!$I$6:$I$3665,MATCH(INDEX(Zeiterfassung!$K$6:$K$3665,$K1008),Zeiterfassung!$K$6:$K$3665,0))))</f>
        <v/>
      </c>
      <c r="J1008" s="335">
        <f>IF(B1008=B1007,"",IF($K1008="","",INDEX(Zeiterfassung!$J$6:$J$3665,MATCH(INDEX(Zeiterfassung!$K$6:$K$3665,$K1008),Zeiterfassung!$K$6:$K$3665,0))))</f>
        <v/>
      </c>
      <c r="K1008">
        <f>IFERROR(AGGREGATE(15,6,(ROW(Zeiterfassung!$D$6:$D$3665)-ROW(Zeiterfassung!$D$6)+1)/(Zeiterfassung!$D$6:$D$3665&lt;&gt;""),1003),"")</f>
        <v/>
      </c>
    </row>
    <row r="1009" ht="20" customHeight="1">
      <c r="A1009" s="183">
        <f>IF($K1009="","",WEEKNUM(INDEX(Zeiterfassung!$K$6:$K$3665,$K1009),21))</f>
        <v/>
      </c>
      <c r="B1009" s="184">
        <f>IF($K1009="","",INDEX(Zeiterfassung!$K$6:$K$3665,$K1009))</f>
        <v/>
      </c>
      <c r="C1009" s="185">
        <f>IF($K1009="","",INDEX(Zeiterfassung!$K$6:$K$3665,$K1009))</f>
        <v/>
      </c>
      <c r="D1009" s="186">
        <f>IF($K1009="","",INDEX(Zeiterfassung!$D$6:$D$3665,$K1009))</f>
        <v/>
      </c>
      <c r="E1009" s="186">
        <f>IF($K1009="","",INDEX(Zeiterfassung!$E$6:$E$3665,$K1009))</f>
        <v/>
      </c>
      <c r="F1009" s="187">
        <f>IF($K1009="","",INDEX(Zeiterfassung!$F$6:$F$3665,$K1009))</f>
        <v/>
      </c>
      <c r="G1009" s="187">
        <f>IF($K1009="","",INDEX(Zeiterfassung!$G$6:$G$3665,$K1009))</f>
        <v/>
      </c>
      <c r="H1009" s="188">
        <f>IF($K1009="","",INDEX(Zeiterfassung!$H$6:$H$3665,$K1009))</f>
        <v/>
      </c>
      <c r="I1009" s="335">
        <f>IF(B1009=B1008,"",IF($K1009="","",INDEX(Zeiterfassung!$I$6:$I$3665,MATCH(INDEX(Zeiterfassung!$K$6:$K$3665,$K1009),Zeiterfassung!$K$6:$K$3665,0))))</f>
        <v/>
      </c>
      <c r="J1009" s="335">
        <f>IF(B1009=B1008,"",IF($K1009="","",INDEX(Zeiterfassung!$J$6:$J$3665,MATCH(INDEX(Zeiterfassung!$K$6:$K$3665,$K1009),Zeiterfassung!$K$6:$K$3665,0))))</f>
        <v/>
      </c>
      <c r="K1009">
        <f>IFERROR(AGGREGATE(15,6,(ROW(Zeiterfassung!$D$6:$D$3665)-ROW(Zeiterfassung!$D$6)+1)/(Zeiterfassung!$D$6:$D$3665&lt;&gt;""),1004),"")</f>
        <v/>
      </c>
    </row>
    <row r="1010" ht="20" customHeight="1">
      <c r="A1010" s="183">
        <f>IF($K1010="","",WEEKNUM(INDEX(Zeiterfassung!$K$6:$K$3665,$K1010),21))</f>
        <v/>
      </c>
      <c r="B1010" s="184">
        <f>IF($K1010="","",INDEX(Zeiterfassung!$K$6:$K$3665,$K1010))</f>
        <v/>
      </c>
      <c r="C1010" s="185">
        <f>IF($K1010="","",INDEX(Zeiterfassung!$K$6:$K$3665,$K1010))</f>
        <v/>
      </c>
      <c r="D1010" s="186">
        <f>IF($K1010="","",INDEX(Zeiterfassung!$D$6:$D$3665,$K1010))</f>
        <v/>
      </c>
      <c r="E1010" s="186">
        <f>IF($K1010="","",INDEX(Zeiterfassung!$E$6:$E$3665,$K1010))</f>
        <v/>
      </c>
      <c r="F1010" s="187">
        <f>IF($K1010="","",INDEX(Zeiterfassung!$F$6:$F$3665,$K1010))</f>
        <v/>
      </c>
      <c r="G1010" s="187">
        <f>IF($K1010="","",INDEX(Zeiterfassung!$G$6:$G$3665,$K1010))</f>
        <v/>
      </c>
      <c r="H1010" s="188">
        <f>IF($K1010="","",INDEX(Zeiterfassung!$H$6:$H$3665,$K1010))</f>
        <v/>
      </c>
      <c r="I1010" s="335">
        <f>IF(B1010=B1009,"",IF($K1010="","",INDEX(Zeiterfassung!$I$6:$I$3665,MATCH(INDEX(Zeiterfassung!$K$6:$K$3665,$K1010),Zeiterfassung!$K$6:$K$3665,0))))</f>
        <v/>
      </c>
      <c r="J1010" s="335">
        <f>IF(B1010=B1009,"",IF($K1010="","",INDEX(Zeiterfassung!$J$6:$J$3665,MATCH(INDEX(Zeiterfassung!$K$6:$K$3665,$K1010),Zeiterfassung!$K$6:$K$3665,0))))</f>
        <v/>
      </c>
      <c r="K1010">
        <f>IFERROR(AGGREGATE(15,6,(ROW(Zeiterfassung!$D$6:$D$3665)-ROW(Zeiterfassung!$D$6)+1)/(Zeiterfassung!$D$6:$D$3665&lt;&gt;""),1005),"")</f>
        <v/>
      </c>
    </row>
    <row r="1011" ht="20" customHeight="1">
      <c r="A1011" s="183">
        <f>IF($K1011="","",WEEKNUM(INDEX(Zeiterfassung!$K$6:$K$3665,$K1011),21))</f>
        <v/>
      </c>
      <c r="B1011" s="184">
        <f>IF($K1011="","",INDEX(Zeiterfassung!$K$6:$K$3665,$K1011))</f>
        <v/>
      </c>
      <c r="C1011" s="185">
        <f>IF($K1011="","",INDEX(Zeiterfassung!$K$6:$K$3665,$K1011))</f>
        <v/>
      </c>
      <c r="D1011" s="186">
        <f>IF($K1011="","",INDEX(Zeiterfassung!$D$6:$D$3665,$K1011))</f>
        <v/>
      </c>
      <c r="E1011" s="186">
        <f>IF($K1011="","",INDEX(Zeiterfassung!$E$6:$E$3665,$K1011))</f>
        <v/>
      </c>
      <c r="F1011" s="187">
        <f>IF($K1011="","",INDEX(Zeiterfassung!$F$6:$F$3665,$K1011))</f>
        <v/>
      </c>
      <c r="G1011" s="187">
        <f>IF($K1011="","",INDEX(Zeiterfassung!$G$6:$G$3665,$K1011))</f>
        <v/>
      </c>
      <c r="H1011" s="188">
        <f>IF($K1011="","",INDEX(Zeiterfassung!$H$6:$H$3665,$K1011))</f>
        <v/>
      </c>
      <c r="I1011" s="335">
        <f>IF(B1011=B1010,"",IF($K1011="","",INDEX(Zeiterfassung!$I$6:$I$3665,MATCH(INDEX(Zeiterfassung!$K$6:$K$3665,$K1011),Zeiterfassung!$K$6:$K$3665,0))))</f>
        <v/>
      </c>
      <c r="J1011" s="335">
        <f>IF(B1011=B1010,"",IF($K1011="","",INDEX(Zeiterfassung!$J$6:$J$3665,MATCH(INDEX(Zeiterfassung!$K$6:$K$3665,$K1011),Zeiterfassung!$K$6:$K$3665,0))))</f>
        <v/>
      </c>
      <c r="K1011">
        <f>IFERROR(AGGREGATE(15,6,(ROW(Zeiterfassung!$D$6:$D$3665)-ROW(Zeiterfassung!$D$6)+1)/(Zeiterfassung!$D$6:$D$3665&lt;&gt;""),1006),"")</f>
        <v/>
      </c>
    </row>
    <row r="1012" ht="20" customHeight="1">
      <c r="A1012" s="183">
        <f>IF($K1012="","",WEEKNUM(INDEX(Zeiterfassung!$K$6:$K$3665,$K1012),21))</f>
        <v/>
      </c>
      <c r="B1012" s="184">
        <f>IF($K1012="","",INDEX(Zeiterfassung!$K$6:$K$3665,$K1012))</f>
        <v/>
      </c>
      <c r="C1012" s="185">
        <f>IF($K1012="","",INDEX(Zeiterfassung!$K$6:$K$3665,$K1012))</f>
        <v/>
      </c>
      <c r="D1012" s="186">
        <f>IF($K1012="","",INDEX(Zeiterfassung!$D$6:$D$3665,$K1012))</f>
        <v/>
      </c>
      <c r="E1012" s="186">
        <f>IF($K1012="","",INDEX(Zeiterfassung!$E$6:$E$3665,$K1012))</f>
        <v/>
      </c>
      <c r="F1012" s="187">
        <f>IF($K1012="","",INDEX(Zeiterfassung!$F$6:$F$3665,$K1012))</f>
        <v/>
      </c>
      <c r="G1012" s="187">
        <f>IF($K1012="","",INDEX(Zeiterfassung!$G$6:$G$3665,$K1012))</f>
        <v/>
      </c>
      <c r="H1012" s="188">
        <f>IF($K1012="","",INDEX(Zeiterfassung!$H$6:$H$3665,$K1012))</f>
        <v/>
      </c>
      <c r="I1012" s="335">
        <f>IF(B1012=B1011,"",IF($K1012="","",INDEX(Zeiterfassung!$I$6:$I$3665,MATCH(INDEX(Zeiterfassung!$K$6:$K$3665,$K1012),Zeiterfassung!$K$6:$K$3665,0))))</f>
        <v/>
      </c>
      <c r="J1012" s="335">
        <f>IF(B1012=B1011,"",IF($K1012="","",INDEX(Zeiterfassung!$J$6:$J$3665,MATCH(INDEX(Zeiterfassung!$K$6:$K$3665,$K1012),Zeiterfassung!$K$6:$K$3665,0))))</f>
        <v/>
      </c>
      <c r="K1012">
        <f>IFERROR(AGGREGATE(15,6,(ROW(Zeiterfassung!$D$6:$D$3665)-ROW(Zeiterfassung!$D$6)+1)/(Zeiterfassung!$D$6:$D$3665&lt;&gt;""),1007),"")</f>
        <v/>
      </c>
    </row>
    <row r="1013" ht="20" customHeight="1">
      <c r="A1013" s="183">
        <f>IF($K1013="","",WEEKNUM(INDEX(Zeiterfassung!$K$6:$K$3665,$K1013),21))</f>
        <v/>
      </c>
      <c r="B1013" s="184">
        <f>IF($K1013="","",INDEX(Zeiterfassung!$K$6:$K$3665,$K1013))</f>
        <v/>
      </c>
      <c r="C1013" s="185">
        <f>IF($K1013="","",INDEX(Zeiterfassung!$K$6:$K$3665,$K1013))</f>
        <v/>
      </c>
      <c r="D1013" s="186">
        <f>IF($K1013="","",INDEX(Zeiterfassung!$D$6:$D$3665,$K1013))</f>
        <v/>
      </c>
      <c r="E1013" s="186">
        <f>IF($K1013="","",INDEX(Zeiterfassung!$E$6:$E$3665,$K1013))</f>
        <v/>
      </c>
      <c r="F1013" s="187">
        <f>IF($K1013="","",INDEX(Zeiterfassung!$F$6:$F$3665,$K1013))</f>
        <v/>
      </c>
      <c r="G1013" s="187">
        <f>IF($K1013="","",INDEX(Zeiterfassung!$G$6:$G$3665,$K1013))</f>
        <v/>
      </c>
      <c r="H1013" s="188">
        <f>IF($K1013="","",INDEX(Zeiterfassung!$H$6:$H$3665,$K1013))</f>
        <v/>
      </c>
      <c r="I1013" s="335">
        <f>IF(B1013=B1012,"",IF($K1013="","",INDEX(Zeiterfassung!$I$6:$I$3665,MATCH(INDEX(Zeiterfassung!$K$6:$K$3665,$K1013),Zeiterfassung!$K$6:$K$3665,0))))</f>
        <v/>
      </c>
      <c r="J1013" s="335">
        <f>IF(B1013=B1012,"",IF($K1013="","",INDEX(Zeiterfassung!$J$6:$J$3665,MATCH(INDEX(Zeiterfassung!$K$6:$K$3665,$K1013),Zeiterfassung!$K$6:$K$3665,0))))</f>
        <v/>
      </c>
      <c r="K1013">
        <f>IFERROR(AGGREGATE(15,6,(ROW(Zeiterfassung!$D$6:$D$3665)-ROW(Zeiterfassung!$D$6)+1)/(Zeiterfassung!$D$6:$D$3665&lt;&gt;""),1008),"")</f>
        <v/>
      </c>
    </row>
    <row r="1014" ht="20" customHeight="1">
      <c r="A1014" s="183">
        <f>IF($K1014="","",WEEKNUM(INDEX(Zeiterfassung!$K$6:$K$3665,$K1014),21))</f>
        <v/>
      </c>
      <c r="B1014" s="184">
        <f>IF($K1014="","",INDEX(Zeiterfassung!$K$6:$K$3665,$K1014))</f>
        <v/>
      </c>
      <c r="C1014" s="185">
        <f>IF($K1014="","",INDEX(Zeiterfassung!$K$6:$K$3665,$K1014))</f>
        <v/>
      </c>
      <c r="D1014" s="186">
        <f>IF($K1014="","",INDEX(Zeiterfassung!$D$6:$D$3665,$K1014))</f>
        <v/>
      </c>
      <c r="E1014" s="186">
        <f>IF($K1014="","",INDEX(Zeiterfassung!$E$6:$E$3665,$K1014))</f>
        <v/>
      </c>
      <c r="F1014" s="187">
        <f>IF($K1014="","",INDEX(Zeiterfassung!$F$6:$F$3665,$K1014))</f>
        <v/>
      </c>
      <c r="G1014" s="187">
        <f>IF($K1014="","",INDEX(Zeiterfassung!$G$6:$G$3665,$K1014))</f>
        <v/>
      </c>
      <c r="H1014" s="188">
        <f>IF($K1014="","",INDEX(Zeiterfassung!$H$6:$H$3665,$K1014))</f>
        <v/>
      </c>
      <c r="I1014" s="335">
        <f>IF(B1014=B1013,"",IF($K1014="","",INDEX(Zeiterfassung!$I$6:$I$3665,MATCH(INDEX(Zeiterfassung!$K$6:$K$3665,$K1014),Zeiterfassung!$K$6:$K$3665,0))))</f>
        <v/>
      </c>
      <c r="J1014" s="335">
        <f>IF(B1014=B1013,"",IF($K1014="","",INDEX(Zeiterfassung!$J$6:$J$3665,MATCH(INDEX(Zeiterfassung!$K$6:$K$3665,$K1014),Zeiterfassung!$K$6:$K$3665,0))))</f>
        <v/>
      </c>
      <c r="K1014">
        <f>IFERROR(AGGREGATE(15,6,(ROW(Zeiterfassung!$D$6:$D$3665)-ROW(Zeiterfassung!$D$6)+1)/(Zeiterfassung!$D$6:$D$3665&lt;&gt;""),1009),"")</f>
        <v/>
      </c>
    </row>
    <row r="1015" ht="20" customHeight="1">
      <c r="A1015" s="183">
        <f>IF($K1015="","",WEEKNUM(INDEX(Zeiterfassung!$K$6:$K$3665,$K1015),21))</f>
        <v/>
      </c>
      <c r="B1015" s="184">
        <f>IF($K1015="","",INDEX(Zeiterfassung!$K$6:$K$3665,$K1015))</f>
        <v/>
      </c>
      <c r="C1015" s="185">
        <f>IF($K1015="","",INDEX(Zeiterfassung!$K$6:$K$3665,$K1015))</f>
        <v/>
      </c>
      <c r="D1015" s="186">
        <f>IF($K1015="","",INDEX(Zeiterfassung!$D$6:$D$3665,$K1015))</f>
        <v/>
      </c>
      <c r="E1015" s="186">
        <f>IF($K1015="","",INDEX(Zeiterfassung!$E$6:$E$3665,$K1015))</f>
        <v/>
      </c>
      <c r="F1015" s="187">
        <f>IF($K1015="","",INDEX(Zeiterfassung!$F$6:$F$3665,$K1015))</f>
        <v/>
      </c>
      <c r="G1015" s="187">
        <f>IF($K1015="","",INDEX(Zeiterfassung!$G$6:$G$3665,$K1015))</f>
        <v/>
      </c>
      <c r="H1015" s="188">
        <f>IF($K1015="","",INDEX(Zeiterfassung!$H$6:$H$3665,$K1015))</f>
        <v/>
      </c>
      <c r="I1015" s="335">
        <f>IF(B1015=B1014,"",IF($K1015="","",INDEX(Zeiterfassung!$I$6:$I$3665,MATCH(INDEX(Zeiterfassung!$K$6:$K$3665,$K1015),Zeiterfassung!$K$6:$K$3665,0))))</f>
        <v/>
      </c>
      <c r="J1015" s="335">
        <f>IF(B1015=B1014,"",IF($K1015="","",INDEX(Zeiterfassung!$J$6:$J$3665,MATCH(INDEX(Zeiterfassung!$K$6:$K$3665,$K1015),Zeiterfassung!$K$6:$K$3665,0))))</f>
        <v/>
      </c>
      <c r="K1015">
        <f>IFERROR(AGGREGATE(15,6,(ROW(Zeiterfassung!$D$6:$D$3665)-ROW(Zeiterfassung!$D$6)+1)/(Zeiterfassung!$D$6:$D$3665&lt;&gt;""),1010),"")</f>
        <v/>
      </c>
    </row>
    <row r="1016" ht="20" customHeight="1">
      <c r="A1016" s="183">
        <f>IF($K1016="","",WEEKNUM(INDEX(Zeiterfassung!$K$6:$K$3665,$K1016),21))</f>
        <v/>
      </c>
      <c r="B1016" s="184">
        <f>IF($K1016="","",INDEX(Zeiterfassung!$K$6:$K$3665,$K1016))</f>
        <v/>
      </c>
      <c r="C1016" s="185">
        <f>IF($K1016="","",INDEX(Zeiterfassung!$K$6:$K$3665,$K1016))</f>
        <v/>
      </c>
      <c r="D1016" s="186">
        <f>IF($K1016="","",INDEX(Zeiterfassung!$D$6:$D$3665,$K1016))</f>
        <v/>
      </c>
      <c r="E1016" s="186">
        <f>IF($K1016="","",INDEX(Zeiterfassung!$E$6:$E$3665,$K1016))</f>
        <v/>
      </c>
      <c r="F1016" s="187">
        <f>IF($K1016="","",INDEX(Zeiterfassung!$F$6:$F$3665,$K1016))</f>
        <v/>
      </c>
      <c r="G1016" s="187">
        <f>IF($K1016="","",INDEX(Zeiterfassung!$G$6:$G$3665,$K1016))</f>
        <v/>
      </c>
      <c r="H1016" s="188">
        <f>IF($K1016="","",INDEX(Zeiterfassung!$H$6:$H$3665,$K1016))</f>
        <v/>
      </c>
      <c r="I1016" s="335">
        <f>IF(B1016=B1015,"",IF($K1016="","",INDEX(Zeiterfassung!$I$6:$I$3665,MATCH(INDEX(Zeiterfassung!$K$6:$K$3665,$K1016),Zeiterfassung!$K$6:$K$3665,0))))</f>
        <v/>
      </c>
      <c r="J1016" s="335">
        <f>IF(B1016=B1015,"",IF($K1016="","",INDEX(Zeiterfassung!$J$6:$J$3665,MATCH(INDEX(Zeiterfassung!$K$6:$K$3665,$K1016),Zeiterfassung!$K$6:$K$3665,0))))</f>
        <v/>
      </c>
      <c r="K1016">
        <f>IFERROR(AGGREGATE(15,6,(ROW(Zeiterfassung!$D$6:$D$3665)-ROW(Zeiterfassung!$D$6)+1)/(Zeiterfassung!$D$6:$D$3665&lt;&gt;""),1011),"")</f>
        <v/>
      </c>
    </row>
    <row r="1017" ht="20" customHeight="1">
      <c r="A1017" s="183">
        <f>IF($K1017="","",WEEKNUM(INDEX(Zeiterfassung!$K$6:$K$3665,$K1017),21))</f>
        <v/>
      </c>
      <c r="B1017" s="184">
        <f>IF($K1017="","",INDEX(Zeiterfassung!$K$6:$K$3665,$K1017))</f>
        <v/>
      </c>
      <c r="C1017" s="185">
        <f>IF($K1017="","",INDEX(Zeiterfassung!$K$6:$K$3665,$K1017))</f>
        <v/>
      </c>
      <c r="D1017" s="186">
        <f>IF($K1017="","",INDEX(Zeiterfassung!$D$6:$D$3665,$K1017))</f>
        <v/>
      </c>
      <c r="E1017" s="186">
        <f>IF($K1017="","",INDEX(Zeiterfassung!$E$6:$E$3665,$K1017))</f>
        <v/>
      </c>
      <c r="F1017" s="187">
        <f>IF($K1017="","",INDEX(Zeiterfassung!$F$6:$F$3665,$K1017))</f>
        <v/>
      </c>
      <c r="G1017" s="187">
        <f>IF($K1017="","",INDEX(Zeiterfassung!$G$6:$G$3665,$K1017))</f>
        <v/>
      </c>
      <c r="H1017" s="188">
        <f>IF($K1017="","",INDEX(Zeiterfassung!$H$6:$H$3665,$K1017))</f>
        <v/>
      </c>
      <c r="I1017" s="335">
        <f>IF(B1017=B1016,"",IF($K1017="","",INDEX(Zeiterfassung!$I$6:$I$3665,MATCH(INDEX(Zeiterfassung!$K$6:$K$3665,$K1017),Zeiterfassung!$K$6:$K$3665,0))))</f>
        <v/>
      </c>
      <c r="J1017" s="335">
        <f>IF(B1017=B1016,"",IF($K1017="","",INDEX(Zeiterfassung!$J$6:$J$3665,MATCH(INDEX(Zeiterfassung!$K$6:$K$3665,$K1017),Zeiterfassung!$K$6:$K$3665,0))))</f>
        <v/>
      </c>
      <c r="K1017">
        <f>IFERROR(AGGREGATE(15,6,(ROW(Zeiterfassung!$D$6:$D$3665)-ROW(Zeiterfassung!$D$6)+1)/(Zeiterfassung!$D$6:$D$3665&lt;&gt;""),1012),"")</f>
        <v/>
      </c>
    </row>
    <row r="1018" ht="20" customHeight="1">
      <c r="A1018" s="183">
        <f>IF($K1018="","",WEEKNUM(INDEX(Zeiterfassung!$K$6:$K$3665,$K1018),21))</f>
        <v/>
      </c>
      <c r="B1018" s="184">
        <f>IF($K1018="","",INDEX(Zeiterfassung!$K$6:$K$3665,$K1018))</f>
        <v/>
      </c>
      <c r="C1018" s="185">
        <f>IF($K1018="","",INDEX(Zeiterfassung!$K$6:$K$3665,$K1018))</f>
        <v/>
      </c>
      <c r="D1018" s="186">
        <f>IF($K1018="","",INDEX(Zeiterfassung!$D$6:$D$3665,$K1018))</f>
        <v/>
      </c>
      <c r="E1018" s="186">
        <f>IF($K1018="","",INDEX(Zeiterfassung!$E$6:$E$3665,$K1018))</f>
        <v/>
      </c>
      <c r="F1018" s="187">
        <f>IF($K1018="","",INDEX(Zeiterfassung!$F$6:$F$3665,$K1018))</f>
        <v/>
      </c>
      <c r="G1018" s="187">
        <f>IF($K1018="","",INDEX(Zeiterfassung!$G$6:$G$3665,$K1018))</f>
        <v/>
      </c>
      <c r="H1018" s="188">
        <f>IF($K1018="","",INDEX(Zeiterfassung!$H$6:$H$3665,$K1018))</f>
        <v/>
      </c>
      <c r="I1018" s="335">
        <f>IF(B1018=B1017,"",IF($K1018="","",INDEX(Zeiterfassung!$I$6:$I$3665,MATCH(INDEX(Zeiterfassung!$K$6:$K$3665,$K1018),Zeiterfassung!$K$6:$K$3665,0))))</f>
        <v/>
      </c>
      <c r="J1018" s="335">
        <f>IF(B1018=B1017,"",IF($K1018="","",INDEX(Zeiterfassung!$J$6:$J$3665,MATCH(INDEX(Zeiterfassung!$K$6:$K$3665,$K1018),Zeiterfassung!$K$6:$K$3665,0))))</f>
        <v/>
      </c>
      <c r="K1018">
        <f>IFERROR(AGGREGATE(15,6,(ROW(Zeiterfassung!$D$6:$D$3665)-ROW(Zeiterfassung!$D$6)+1)/(Zeiterfassung!$D$6:$D$3665&lt;&gt;""),1013),"")</f>
        <v/>
      </c>
    </row>
    <row r="1019" ht="20" customHeight="1">
      <c r="A1019" s="183">
        <f>IF($K1019="","",WEEKNUM(INDEX(Zeiterfassung!$K$6:$K$3665,$K1019),21))</f>
        <v/>
      </c>
      <c r="B1019" s="184">
        <f>IF($K1019="","",INDEX(Zeiterfassung!$K$6:$K$3665,$K1019))</f>
        <v/>
      </c>
      <c r="C1019" s="185">
        <f>IF($K1019="","",INDEX(Zeiterfassung!$K$6:$K$3665,$K1019))</f>
        <v/>
      </c>
      <c r="D1019" s="186">
        <f>IF($K1019="","",INDEX(Zeiterfassung!$D$6:$D$3665,$K1019))</f>
        <v/>
      </c>
      <c r="E1019" s="186">
        <f>IF($K1019="","",INDEX(Zeiterfassung!$E$6:$E$3665,$K1019))</f>
        <v/>
      </c>
      <c r="F1019" s="187">
        <f>IF($K1019="","",INDEX(Zeiterfassung!$F$6:$F$3665,$K1019))</f>
        <v/>
      </c>
      <c r="G1019" s="187">
        <f>IF($K1019="","",INDEX(Zeiterfassung!$G$6:$G$3665,$K1019))</f>
        <v/>
      </c>
      <c r="H1019" s="188">
        <f>IF($K1019="","",INDEX(Zeiterfassung!$H$6:$H$3665,$K1019))</f>
        <v/>
      </c>
      <c r="I1019" s="335">
        <f>IF(B1019=B1018,"",IF($K1019="","",INDEX(Zeiterfassung!$I$6:$I$3665,MATCH(INDEX(Zeiterfassung!$K$6:$K$3665,$K1019),Zeiterfassung!$K$6:$K$3665,0))))</f>
        <v/>
      </c>
      <c r="J1019" s="335">
        <f>IF(B1019=B1018,"",IF($K1019="","",INDEX(Zeiterfassung!$J$6:$J$3665,MATCH(INDEX(Zeiterfassung!$K$6:$K$3665,$K1019),Zeiterfassung!$K$6:$K$3665,0))))</f>
        <v/>
      </c>
      <c r="K1019">
        <f>IFERROR(AGGREGATE(15,6,(ROW(Zeiterfassung!$D$6:$D$3665)-ROW(Zeiterfassung!$D$6)+1)/(Zeiterfassung!$D$6:$D$3665&lt;&gt;""),1014),"")</f>
        <v/>
      </c>
    </row>
    <row r="1020" ht="20" customHeight="1">
      <c r="A1020" s="183">
        <f>IF($K1020="","",WEEKNUM(INDEX(Zeiterfassung!$K$6:$K$3665,$K1020),21))</f>
        <v/>
      </c>
      <c r="B1020" s="184">
        <f>IF($K1020="","",INDEX(Zeiterfassung!$K$6:$K$3665,$K1020))</f>
        <v/>
      </c>
      <c r="C1020" s="185">
        <f>IF($K1020="","",INDEX(Zeiterfassung!$K$6:$K$3665,$K1020))</f>
        <v/>
      </c>
      <c r="D1020" s="186">
        <f>IF($K1020="","",INDEX(Zeiterfassung!$D$6:$D$3665,$K1020))</f>
        <v/>
      </c>
      <c r="E1020" s="186">
        <f>IF($K1020="","",INDEX(Zeiterfassung!$E$6:$E$3665,$K1020))</f>
        <v/>
      </c>
      <c r="F1020" s="187">
        <f>IF($K1020="","",INDEX(Zeiterfassung!$F$6:$F$3665,$K1020))</f>
        <v/>
      </c>
      <c r="G1020" s="187">
        <f>IF($K1020="","",INDEX(Zeiterfassung!$G$6:$G$3665,$K1020))</f>
        <v/>
      </c>
      <c r="H1020" s="188">
        <f>IF($K1020="","",INDEX(Zeiterfassung!$H$6:$H$3665,$K1020))</f>
        <v/>
      </c>
      <c r="I1020" s="335">
        <f>IF(B1020=B1019,"",IF($K1020="","",INDEX(Zeiterfassung!$I$6:$I$3665,MATCH(INDEX(Zeiterfassung!$K$6:$K$3665,$K1020),Zeiterfassung!$K$6:$K$3665,0))))</f>
        <v/>
      </c>
      <c r="J1020" s="335">
        <f>IF(B1020=B1019,"",IF($K1020="","",INDEX(Zeiterfassung!$J$6:$J$3665,MATCH(INDEX(Zeiterfassung!$K$6:$K$3665,$K1020),Zeiterfassung!$K$6:$K$3665,0))))</f>
        <v/>
      </c>
      <c r="K1020">
        <f>IFERROR(AGGREGATE(15,6,(ROW(Zeiterfassung!$D$6:$D$3665)-ROW(Zeiterfassung!$D$6)+1)/(Zeiterfassung!$D$6:$D$3665&lt;&gt;""),1015),"")</f>
        <v/>
      </c>
    </row>
    <row r="1021" ht="20" customHeight="1">
      <c r="A1021" s="183">
        <f>IF($K1021="","",WEEKNUM(INDEX(Zeiterfassung!$K$6:$K$3665,$K1021),21))</f>
        <v/>
      </c>
      <c r="B1021" s="184">
        <f>IF($K1021="","",INDEX(Zeiterfassung!$K$6:$K$3665,$K1021))</f>
        <v/>
      </c>
      <c r="C1021" s="185">
        <f>IF($K1021="","",INDEX(Zeiterfassung!$K$6:$K$3665,$K1021))</f>
        <v/>
      </c>
      <c r="D1021" s="186">
        <f>IF($K1021="","",INDEX(Zeiterfassung!$D$6:$D$3665,$K1021))</f>
        <v/>
      </c>
      <c r="E1021" s="186">
        <f>IF($K1021="","",INDEX(Zeiterfassung!$E$6:$E$3665,$K1021))</f>
        <v/>
      </c>
      <c r="F1021" s="187">
        <f>IF($K1021="","",INDEX(Zeiterfassung!$F$6:$F$3665,$K1021))</f>
        <v/>
      </c>
      <c r="G1021" s="187">
        <f>IF($K1021="","",INDEX(Zeiterfassung!$G$6:$G$3665,$K1021))</f>
        <v/>
      </c>
      <c r="H1021" s="188">
        <f>IF($K1021="","",INDEX(Zeiterfassung!$H$6:$H$3665,$K1021))</f>
        <v/>
      </c>
      <c r="I1021" s="335">
        <f>IF(B1021=B1020,"",IF($K1021="","",INDEX(Zeiterfassung!$I$6:$I$3665,MATCH(INDEX(Zeiterfassung!$K$6:$K$3665,$K1021),Zeiterfassung!$K$6:$K$3665,0))))</f>
        <v/>
      </c>
      <c r="J1021" s="335">
        <f>IF(B1021=B1020,"",IF($K1021="","",INDEX(Zeiterfassung!$J$6:$J$3665,MATCH(INDEX(Zeiterfassung!$K$6:$K$3665,$K1021),Zeiterfassung!$K$6:$K$3665,0))))</f>
        <v/>
      </c>
      <c r="K1021">
        <f>IFERROR(AGGREGATE(15,6,(ROW(Zeiterfassung!$D$6:$D$3665)-ROW(Zeiterfassung!$D$6)+1)/(Zeiterfassung!$D$6:$D$3665&lt;&gt;""),1016),"")</f>
        <v/>
      </c>
    </row>
    <row r="1022" ht="20" customHeight="1">
      <c r="A1022" s="183">
        <f>IF($K1022="","",WEEKNUM(INDEX(Zeiterfassung!$K$6:$K$3665,$K1022),21))</f>
        <v/>
      </c>
      <c r="B1022" s="184">
        <f>IF($K1022="","",INDEX(Zeiterfassung!$K$6:$K$3665,$K1022))</f>
        <v/>
      </c>
      <c r="C1022" s="185">
        <f>IF($K1022="","",INDEX(Zeiterfassung!$K$6:$K$3665,$K1022))</f>
        <v/>
      </c>
      <c r="D1022" s="186">
        <f>IF($K1022="","",INDEX(Zeiterfassung!$D$6:$D$3665,$K1022))</f>
        <v/>
      </c>
      <c r="E1022" s="186">
        <f>IF($K1022="","",INDEX(Zeiterfassung!$E$6:$E$3665,$K1022))</f>
        <v/>
      </c>
      <c r="F1022" s="187">
        <f>IF($K1022="","",INDEX(Zeiterfassung!$F$6:$F$3665,$K1022))</f>
        <v/>
      </c>
      <c r="G1022" s="187">
        <f>IF($K1022="","",INDEX(Zeiterfassung!$G$6:$G$3665,$K1022))</f>
        <v/>
      </c>
      <c r="H1022" s="188">
        <f>IF($K1022="","",INDEX(Zeiterfassung!$H$6:$H$3665,$K1022))</f>
        <v/>
      </c>
      <c r="I1022" s="335">
        <f>IF(B1022=B1021,"",IF($K1022="","",INDEX(Zeiterfassung!$I$6:$I$3665,MATCH(INDEX(Zeiterfassung!$K$6:$K$3665,$K1022),Zeiterfassung!$K$6:$K$3665,0))))</f>
        <v/>
      </c>
      <c r="J1022" s="335">
        <f>IF(B1022=B1021,"",IF($K1022="","",INDEX(Zeiterfassung!$J$6:$J$3665,MATCH(INDEX(Zeiterfassung!$K$6:$K$3665,$K1022),Zeiterfassung!$K$6:$K$3665,0))))</f>
        <v/>
      </c>
      <c r="K1022">
        <f>IFERROR(AGGREGATE(15,6,(ROW(Zeiterfassung!$D$6:$D$3665)-ROW(Zeiterfassung!$D$6)+1)/(Zeiterfassung!$D$6:$D$3665&lt;&gt;""),1017),"")</f>
        <v/>
      </c>
    </row>
    <row r="1023" ht="20" customHeight="1">
      <c r="A1023" s="183">
        <f>IF($K1023="","",WEEKNUM(INDEX(Zeiterfassung!$K$6:$K$3665,$K1023),21))</f>
        <v/>
      </c>
      <c r="B1023" s="184">
        <f>IF($K1023="","",INDEX(Zeiterfassung!$K$6:$K$3665,$K1023))</f>
        <v/>
      </c>
      <c r="C1023" s="185">
        <f>IF($K1023="","",INDEX(Zeiterfassung!$K$6:$K$3665,$K1023))</f>
        <v/>
      </c>
      <c r="D1023" s="186">
        <f>IF($K1023="","",INDEX(Zeiterfassung!$D$6:$D$3665,$K1023))</f>
        <v/>
      </c>
      <c r="E1023" s="186">
        <f>IF($K1023="","",INDEX(Zeiterfassung!$E$6:$E$3665,$K1023))</f>
        <v/>
      </c>
      <c r="F1023" s="187">
        <f>IF($K1023="","",INDEX(Zeiterfassung!$F$6:$F$3665,$K1023))</f>
        <v/>
      </c>
      <c r="G1023" s="187">
        <f>IF($K1023="","",INDEX(Zeiterfassung!$G$6:$G$3665,$K1023))</f>
        <v/>
      </c>
      <c r="H1023" s="188">
        <f>IF($K1023="","",INDEX(Zeiterfassung!$H$6:$H$3665,$K1023))</f>
        <v/>
      </c>
      <c r="I1023" s="335">
        <f>IF(B1023=B1022,"",IF($K1023="","",INDEX(Zeiterfassung!$I$6:$I$3665,MATCH(INDEX(Zeiterfassung!$K$6:$K$3665,$K1023),Zeiterfassung!$K$6:$K$3665,0))))</f>
        <v/>
      </c>
      <c r="J1023" s="335">
        <f>IF(B1023=B1022,"",IF($K1023="","",INDEX(Zeiterfassung!$J$6:$J$3665,MATCH(INDEX(Zeiterfassung!$K$6:$K$3665,$K1023),Zeiterfassung!$K$6:$K$3665,0))))</f>
        <v/>
      </c>
      <c r="K1023">
        <f>IFERROR(AGGREGATE(15,6,(ROW(Zeiterfassung!$D$6:$D$3665)-ROW(Zeiterfassung!$D$6)+1)/(Zeiterfassung!$D$6:$D$3665&lt;&gt;""),1018),"")</f>
        <v/>
      </c>
    </row>
    <row r="1024" ht="20" customHeight="1">
      <c r="A1024" s="183">
        <f>IF($K1024="","",WEEKNUM(INDEX(Zeiterfassung!$K$6:$K$3665,$K1024),21))</f>
        <v/>
      </c>
      <c r="B1024" s="184">
        <f>IF($K1024="","",INDEX(Zeiterfassung!$K$6:$K$3665,$K1024))</f>
        <v/>
      </c>
      <c r="C1024" s="185">
        <f>IF($K1024="","",INDEX(Zeiterfassung!$K$6:$K$3665,$K1024))</f>
        <v/>
      </c>
      <c r="D1024" s="186">
        <f>IF($K1024="","",INDEX(Zeiterfassung!$D$6:$D$3665,$K1024))</f>
        <v/>
      </c>
      <c r="E1024" s="186">
        <f>IF($K1024="","",INDEX(Zeiterfassung!$E$6:$E$3665,$K1024))</f>
        <v/>
      </c>
      <c r="F1024" s="187">
        <f>IF($K1024="","",INDEX(Zeiterfassung!$F$6:$F$3665,$K1024))</f>
        <v/>
      </c>
      <c r="G1024" s="187">
        <f>IF($K1024="","",INDEX(Zeiterfassung!$G$6:$G$3665,$K1024))</f>
        <v/>
      </c>
      <c r="H1024" s="188">
        <f>IF($K1024="","",INDEX(Zeiterfassung!$H$6:$H$3665,$K1024))</f>
        <v/>
      </c>
      <c r="I1024" s="335">
        <f>IF(B1024=B1023,"",IF($K1024="","",INDEX(Zeiterfassung!$I$6:$I$3665,MATCH(INDEX(Zeiterfassung!$K$6:$K$3665,$K1024),Zeiterfassung!$K$6:$K$3665,0))))</f>
        <v/>
      </c>
      <c r="J1024" s="335">
        <f>IF(B1024=B1023,"",IF($K1024="","",INDEX(Zeiterfassung!$J$6:$J$3665,MATCH(INDEX(Zeiterfassung!$K$6:$K$3665,$K1024),Zeiterfassung!$K$6:$K$3665,0))))</f>
        <v/>
      </c>
      <c r="K1024">
        <f>IFERROR(AGGREGATE(15,6,(ROW(Zeiterfassung!$D$6:$D$3665)-ROW(Zeiterfassung!$D$6)+1)/(Zeiterfassung!$D$6:$D$3665&lt;&gt;""),1019),"")</f>
        <v/>
      </c>
    </row>
    <row r="1025" ht="20" customHeight="1">
      <c r="A1025" s="183">
        <f>IF($K1025="","",WEEKNUM(INDEX(Zeiterfassung!$K$6:$K$3665,$K1025),21))</f>
        <v/>
      </c>
      <c r="B1025" s="184">
        <f>IF($K1025="","",INDEX(Zeiterfassung!$K$6:$K$3665,$K1025))</f>
        <v/>
      </c>
      <c r="C1025" s="185">
        <f>IF($K1025="","",INDEX(Zeiterfassung!$K$6:$K$3665,$K1025))</f>
        <v/>
      </c>
      <c r="D1025" s="186">
        <f>IF($K1025="","",INDEX(Zeiterfassung!$D$6:$D$3665,$K1025))</f>
        <v/>
      </c>
      <c r="E1025" s="186">
        <f>IF($K1025="","",INDEX(Zeiterfassung!$E$6:$E$3665,$K1025))</f>
        <v/>
      </c>
      <c r="F1025" s="187">
        <f>IF($K1025="","",INDEX(Zeiterfassung!$F$6:$F$3665,$K1025))</f>
        <v/>
      </c>
      <c r="G1025" s="187">
        <f>IF($K1025="","",INDEX(Zeiterfassung!$G$6:$G$3665,$K1025))</f>
        <v/>
      </c>
      <c r="H1025" s="188">
        <f>IF($K1025="","",INDEX(Zeiterfassung!$H$6:$H$3665,$K1025))</f>
        <v/>
      </c>
      <c r="I1025" s="335">
        <f>IF(B1025=B1024,"",IF($K1025="","",INDEX(Zeiterfassung!$I$6:$I$3665,MATCH(INDEX(Zeiterfassung!$K$6:$K$3665,$K1025),Zeiterfassung!$K$6:$K$3665,0))))</f>
        <v/>
      </c>
      <c r="J1025" s="335">
        <f>IF(B1025=B1024,"",IF($K1025="","",INDEX(Zeiterfassung!$J$6:$J$3665,MATCH(INDEX(Zeiterfassung!$K$6:$K$3665,$K1025),Zeiterfassung!$K$6:$K$3665,0))))</f>
        <v/>
      </c>
      <c r="K1025">
        <f>IFERROR(AGGREGATE(15,6,(ROW(Zeiterfassung!$D$6:$D$3665)-ROW(Zeiterfassung!$D$6)+1)/(Zeiterfassung!$D$6:$D$3665&lt;&gt;""),1020),"")</f>
        <v/>
      </c>
    </row>
    <row r="1026" ht="20" customHeight="1">
      <c r="A1026" s="183">
        <f>IF($K1026="","",WEEKNUM(INDEX(Zeiterfassung!$K$6:$K$3665,$K1026),21))</f>
        <v/>
      </c>
      <c r="B1026" s="184">
        <f>IF($K1026="","",INDEX(Zeiterfassung!$K$6:$K$3665,$K1026))</f>
        <v/>
      </c>
      <c r="C1026" s="185">
        <f>IF($K1026="","",INDEX(Zeiterfassung!$K$6:$K$3665,$K1026))</f>
        <v/>
      </c>
      <c r="D1026" s="186">
        <f>IF($K1026="","",INDEX(Zeiterfassung!$D$6:$D$3665,$K1026))</f>
        <v/>
      </c>
      <c r="E1026" s="186">
        <f>IF($K1026="","",INDEX(Zeiterfassung!$E$6:$E$3665,$K1026))</f>
        <v/>
      </c>
      <c r="F1026" s="187">
        <f>IF($K1026="","",INDEX(Zeiterfassung!$F$6:$F$3665,$K1026))</f>
        <v/>
      </c>
      <c r="G1026" s="187">
        <f>IF($K1026="","",INDEX(Zeiterfassung!$G$6:$G$3665,$K1026))</f>
        <v/>
      </c>
      <c r="H1026" s="188">
        <f>IF($K1026="","",INDEX(Zeiterfassung!$H$6:$H$3665,$K1026))</f>
        <v/>
      </c>
      <c r="I1026" s="335">
        <f>IF(B1026=B1025,"",IF($K1026="","",INDEX(Zeiterfassung!$I$6:$I$3665,MATCH(INDEX(Zeiterfassung!$K$6:$K$3665,$K1026),Zeiterfassung!$K$6:$K$3665,0))))</f>
        <v/>
      </c>
      <c r="J1026" s="335">
        <f>IF(B1026=B1025,"",IF($K1026="","",INDEX(Zeiterfassung!$J$6:$J$3665,MATCH(INDEX(Zeiterfassung!$K$6:$K$3665,$K1026),Zeiterfassung!$K$6:$K$3665,0))))</f>
        <v/>
      </c>
      <c r="K1026">
        <f>IFERROR(AGGREGATE(15,6,(ROW(Zeiterfassung!$D$6:$D$3665)-ROW(Zeiterfassung!$D$6)+1)/(Zeiterfassung!$D$6:$D$3665&lt;&gt;""),1021),"")</f>
        <v/>
      </c>
    </row>
    <row r="1027" ht="20" customHeight="1">
      <c r="A1027" s="183">
        <f>IF($K1027="","",WEEKNUM(INDEX(Zeiterfassung!$K$6:$K$3665,$K1027),21))</f>
        <v/>
      </c>
      <c r="B1027" s="184">
        <f>IF($K1027="","",INDEX(Zeiterfassung!$K$6:$K$3665,$K1027))</f>
        <v/>
      </c>
      <c r="C1027" s="185">
        <f>IF($K1027="","",INDEX(Zeiterfassung!$K$6:$K$3665,$K1027))</f>
        <v/>
      </c>
      <c r="D1027" s="186">
        <f>IF($K1027="","",INDEX(Zeiterfassung!$D$6:$D$3665,$K1027))</f>
        <v/>
      </c>
      <c r="E1027" s="186">
        <f>IF($K1027="","",INDEX(Zeiterfassung!$E$6:$E$3665,$K1027))</f>
        <v/>
      </c>
      <c r="F1027" s="187">
        <f>IF($K1027="","",INDEX(Zeiterfassung!$F$6:$F$3665,$K1027))</f>
        <v/>
      </c>
      <c r="G1027" s="187">
        <f>IF($K1027="","",INDEX(Zeiterfassung!$G$6:$G$3665,$K1027))</f>
        <v/>
      </c>
      <c r="H1027" s="188">
        <f>IF($K1027="","",INDEX(Zeiterfassung!$H$6:$H$3665,$K1027))</f>
        <v/>
      </c>
      <c r="I1027" s="335">
        <f>IF(B1027=B1026,"",IF($K1027="","",INDEX(Zeiterfassung!$I$6:$I$3665,MATCH(INDEX(Zeiterfassung!$K$6:$K$3665,$K1027),Zeiterfassung!$K$6:$K$3665,0))))</f>
        <v/>
      </c>
      <c r="J1027" s="335">
        <f>IF(B1027=B1026,"",IF($K1027="","",INDEX(Zeiterfassung!$J$6:$J$3665,MATCH(INDEX(Zeiterfassung!$K$6:$K$3665,$K1027),Zeiterfassung!$K$6:$K$3665,0))))</f>
        <v/>
      </c>
      <c r="K1027">
        <f>IFERROR(AGGREGATE(15,6,(ROW(Zeiterfassung!$D$6:$D$3665)-ROW(Zeiterfassung!$D$6)+1)/(Zeiterfassung!$D$6:$D$3665&lt;&gt;""),1022),"")</f>
        <v/>
      </c>
    </row>
    <row r="1028" ht="20" customHeight="1">
      <c r="A1028" s="183">
        <f>IF($K1028="","",WEEKNUM(INDEX(Zeiterfassung!$K$6:$K$3665,$K1028),21))</f>
        <v/>
      </c>
      <c r="B1028" s="184">
        <f>IF($K1028="","",INDEX(Zeiterfassung!$K$6:$K$3665,$K1028))</f>
        <v/>
      </c>
      <c r="C1028" s="185">
        <f>IF($K1028="","",INDEX(Zeiterfassung!$K$6:$K$3665,$K1028))</f>
        <v/>
      </c>
      <c r="D1028" s="186">
        <f>IF($K1028="","",INDEX(Zeiterfassung!$D$6:$D$3665,$K1028))</f>
        <v/>
      </c>
      <c r="E1028" s="186">
        <f>IF($K1028="","",INDEX(Zeiterfassung!$E$6:$E$3665,$K1028))</f>
        <v/>
      </c>
      <c r="F1028" s="187">
        <f>IF($K1028="","",INDEX(Zeiterfassung!$F$6:$F$3665,$K1028))</f>
        <v/>
      </c>
      <c r="G1028" s="187">
        <f>IF($K1028="","",INDEX(Zeiterfassung!$G$6:$G$3665,$K1028))</f>
        <v/>
      </c>
      <c r="H1028" s="188">
        <f>IF($K1028="","",INDEX(Zeiterfassung!$H$6:$H$3665,$K1028))</f>
        <v/>
      </c>
      <c r="I1028" s="335">
        <f>IF(B1028=B1027,"",IF($K1028="","",INDEX(Zeiterfassung!$I$6:$I$3665,MATCH(INDEX(Zeiterfassung!$K$6:$K$3665,$K1028),Zeiterfassung!$K$6:$K$3665,0))))</f>
        <v/>
      </c>
      <c r="J1028" s="335">
        <f>IF(B1028=B1027,"",IF($K1028="","",INDEX(Zeiterfassung!$J$6:$J$3665,MATCH(INDEX(Zeiterfassung!$K$6:$K$3665,$K1028),Zeiterfassung!$K$6:$K$3665,0))))</f>
        <v/>
      </c>
      <c r="K1028">
        <f>IFERROR(AGGREGATE(15,6,(ROW(Zeiterfassung!$D$6:$D$3665)-ROW(Zeiterfassung!$D$6)+1)/(Zeiterfassung!$D$6:$D$3665&lt;&gt;""),1023),"")</f>
        <v/>
      </c>
    </row>
    <row r="1029" ht="20" customHeight="1">
      <c r="A1029" s="183">
        <f>IF($K1029="","",WEEKNUM(INDEX(Zeiterfassung!$K$6:$K$3665,$K1029),21))</f>
        <v/>
      </c>
      <c r="B1029" s="184">
        <f>IF($K1029="","",INDEX(Zeiterfassung!$K$6:$K$3665,$K1029))</f>
        <v/>
      </c>
      <c r="C1029" s="185">
        <f>IF($K1029="","",INDEX(Zeiterfassung!$K$6:$K$3665,$K1029))</f>
        <v/>
      </c>
      <c r="D1029" s="186">
        <f>IF($K1029="","",INDEX(Zeiterfassung!$D$6:$D$3665,$K1029))</f>
        <v/>
      </c>
      <c r="E1029" s="186">
        <f>IF($K1029="","",INDEX(Zeiterfassung!$E$6:$E$3665,$K1029))</f>
        <v/>
      </c>
      <c r="F1029" s="187">
        <f>IF($K1029="","",INDEX(Zeiterfassung!$F$6:$F$3665,$K1029))</f>
        <v/>
      </c>
      <c r="G1029" s="187">
        <f>IF($K1029="","",INDEX(Zeiterfassung!$G$6:$G$3665,$K1029))</f>
        <v/>
      </c>
      <c r="H1029" s="188">
        <f>IF($K1029="","",INDEX(Zeiterfassung!$H$6:$H$3665,$K1029))</f>
        <v/>
      </c>
      <c r="I1029" s="335">
        <f>IF(B1029=B1028,"",IF($K1029="","",INDEX(Zeiterfassung!$I$6:$I$3665,MATCH(INDEX(Zeiterfassung!$K$6:$K$3665,$K1029),Zeiterfassung!$K$6:$K$3665,0))))</f>
        <v/>
      </c>
      <c r="J1029" s="335">
        <f>IF(B1029=B1028,"",IF($K1029="","",INDEX(Zeiterfassung!$J$6:$J$3665,MATCH(INDEX(Zeiterfassung!$K$6:$K$3665,$K1029),Zeiterfassung!$K$6:$K$3665,0))))</f>
        <v/>
      </c>
      <c r="K1029">
        <f>IFERROR(AGGREGATE(15,6,(ROW(Zeiterfassung!$D$6:$D$3665)-ROW(Zeiterfassung!$D$6)+1)/(Zeiterfassung!$D$6:$D$3665&lt;&gt;""),1024),"")</f>
        <v/>
      </c>
    </row>
    <row r="1030" ht="20" customHeight="1">
      <c r="A1030" s="183">
        <f>IF($K1030="","",WEEKNUM(INDEX(Zeiterfassung!$K$6:$K$3665,$K1030),21))</f>
        <v/>
      </c>
      <c r="B1030" s="184">
        <f>IF($K1030="","",INDEX(Zeiterfassung!$K$6:$K$3665,$K1030))</f>
        <v/>
      </c>
      <c r="C1030" s="185">
        <f>IF($K1030="","",INDEX(Zeiterfassung!$K$6:$K$3665,$K1030))</f>
        <v/>
      </c>
      <c r="D1030" s="186">
        <f>IF($K1030="","",INDEX(Zeiterfassung!$D$6:$D$3665,$K1030))</f>
        <v/>
      </c>
      <c r="E1030" s="186">
        <f>IF($K1030="","",INDEX(Zeiterfassung!$E$6:$E$3665,$K1030))</f>
        <v/>
      </c>
      <c r="F1030" s="187">
        <f>IF($K1030="","",INDEX(Zeiterfassung!$F$6:$F$3665,$K1030))</f>
        <v/>
      </c>
      <c r="G1030" s="187">
        <f>IF($K1030="","",INDEX(Zeiterfassung!$G$6:$G$3665,$K1030))</f>
        <v/>
      </c>
      <c r="H1030" s="188">
        <f>IF($K1030="","",INDEX(Zeiterfassung!$H$6:$H$3665,$K1030))</f>
        <v/>
      </c>
      <c r="I1030" s="335">
        <f>IF(B1030=B1029,"",IF($K1030="","",INDEX(Zeiterfassung!$I$6:$I$3665,MATCH(INDEX(Zeiterfassung!$K$6:$K$3665,$K1030),Zeiterfassung!$K$6:$K$3665,0))))</f>
        <v/>
      </c>
      <c r="J1030" s="335">
        <f>IF(B1030=B1029,"",IF($K1030="","",INDEX(Zeiterfassung!$J$6:$J$3665,MATCH(INDEX(Zeiterfassung!$K$6:$K$3665,$K1030),Zeiterfassung!$K$6:$K$3665,0))))</f>
        <v/>
      </c>
      <c r="K1030">
        <f>IFERROR(AGGREGATE(15,6,(ROW(Zeiterfassung!$D$6:$D$3665)-ROW(Zeiterfassung!$D$6)+1)/(Zeiterfassung!$D$6:$D$3665&lt;&gt;""),1025),"")</f>
        <v/>
      </c>
    </row>
    <row r="1031" ht="20" customHeight="1">
      <c r="A1031" s="183">
        <f>IF($K1031="","",WEEKNUM(INDEX(Zeiterfassung!$K$6:$K$3665,$K1031),21))</f>
        <v/>
      </c>
      <c r="B1031" s="184">
        <f>IF($K1031="","",INDEX(Zeiterfassung!$K$6:$K$3665,$K1031))</f>
        <v/>
      </c>
      <c r="C1031" s="185">
        <f>IF($K1031="","",INDEX(Zeiterfassung!$K$6:$K$3665,$K1031))</f>
        <v/>
      </c>
      <c r="D1031" s="186">
        <f>IF($K1031="","",INDEX(Zeiterfassung!$D$6:$D$3665,$K1031))</f>
        <v/>
      </c>
      <c r="E1031" s="186">
        <f>IF($K1031="","",INDEX(Zeiterfassung!$E$6:$E$3665,$K1031))</f>
        <v/>
      </c>
      <c r="F1031" s="187">
        <f>IF($K1031="","",INDEX(Zeiterfassung!$F$6:$F$3665,$K1031))</f>
        <v/>
      </c>
      <c r="G1031" s="187">
        <f>IF($K1031="","",INDEX(Zeiterfassung!$G$6:$G$3665,$K1031))</f>
        <v/>
      </c>
      <c r="H1031" s="188">
        <f>IF($K1031="","",INDEX(Zeiterfassung!$H$6:$H$3665,$K1031))</f>
        <v/>
      </c>
      <c r="I1031" s="335">
        <f>IF(B1031=B1030,"",IF($K1031="","",INDEX(Zeiterfassung!$I$6:$I$3665,MATCH(INDEX(Zeiterfassung!$K$6:$K$3665,$K1031),Zeiterfassung!$K$6:$K$3665,0))))</f>
        <v/>
      </c>
      <c r="J1031" s="335">
        <f>IF(B1031=B1030,"",IF($K1031="","",INDEX(Zeiterfassung!$J$6:$J$3665,MATCH(INDEX(Zeiterfassung!$K$6:$K$3665,$K1031),Zeiterfassung!$K$6:$K$3665,0))))</f>
        <v/>
      </c>
      <c r="K1031">
        <f>IFERROR(AGGREGATE(15,6,(ROW(Zeiterfassung!$D$6:$D$3665)-ROW(Zeiterfassung!$D$6)+1)/(Zeiterfassung!$D$6:$D$3665&lt;&gt;""),1026),"")</f>
        <v/>
      </c>
    </row>
    <row r="1032" ht="20" customHeight="1">
      <c r="A1032" s="183">
        <f>IF($K1032="","",WEEKNUM(INDEX(Zeiterfassung!$K$6:$K$3665,$K1032),21))</f>
        <v/>
      </c>
      <c r="B1032" s="184">
        <f>IF($K1032="","",INDEX(Zeiterfassung!$K$6:$K$3665,$K1032))</f>
        <v/>
      </c>
      <c r="C1032" s="185">
        <f>IF($K1032="","",INDEX(Zeiterfassung!$K$6:$K$3665,$K1032))</f>
        <v/>
      </c>
      <c r="D1032" s="186">
        <f>IF($K1032="","",INDEX(Zeiterfassung!$D$6:$D$3665,$K1032))</f>
        <v/>
      </c>
      <c r="E1032" s="186">
        <f>IF($K1032="","",INDEX(Zeiterfassung!$E$6:$E$3665,$K1032))</f>
        <v/>
      </c>
      <c r="F1032" s="187">
        <f>IF($K1032="","",INDEX(Zeiterfassung!$F$6:$F$3665,$K1032))</f>
        <v/>
      </c>
      <c r="G1032" s="187">
        <f>IF($K1032="","",INDEX(Zeiterfassung!$G$6:$G$3665,$K1032))</f>
        <v/>
      </c>
      <c r="H1032" s="188">
        <f>IF($K1032="","",INDEX(Zeiterfassung!$H$6:$H$3665,$K1032))</f>
        <v/>
      </c>
      <c r="I1032" s="335">
        <f>IF(B1032=B1031,"",IF($K1032="","",INDEX(Zeiterfassung!$I$6:$I$3665,MATCH(INDEX(Zeiterfassung!$K$6:$K$3665,$K1032),Zeiterfassung!$K$6:$K$3665,0))))</f>
        <v/>
      </c>
      <c r="J1032" s="335">
        <f>IF(B1032=B1031,"",IF($K1032="","",INDEX(Zeiterfassung!$J$6:$J$3665,MATCH(INDEX(Zeiterfassung!$K$6:$K$3665,$K1032),Zeiterfassung!$K$6:$K$3665,0))))</f>
        <v/>
      </c>
      <c r="K1032">
        <f>IFERROR(AGGREGATE(15,6,(ROW(Zeiterfassung!$D$6:$D$3665)-ROW(Zeiterfassung!$D$6)+1)/(Zeiterfassung!$D$6:$D$3665&lt;&gt;""),1027),"")</f>
        <v/>
      </c>
    </row>
    <row r="1033" ht="20" customHeight="1">
      <c r="A1033" s="183">
        <f>IF($K1033="","",WEEKNUM(INDEX(Zeiterfassung!$K$6:$K$3665,$K1033),21))</f>
        <v/>
      </c>
      <c r="B1033" s="184">
        <f>IF($K1033="","",INDEX(Zeiterfassung!$K$6:$K$3665,$K1033))</f>
        <v/>
      </c>
      <c r="C1033" s="185">
        <f>IF($K1033="","",INDEX(Zeiterfassung!$K$6:$K$3665,$K1033))</f>
        <v/>
      </c>
      <c r="D1033" s="186">
        <f>IF($K1033="","",INDEX(Zeiterfassung!$D$6:$D$3665,$K1033))</f>
        <v/>
      </c>
      <c r="E1033" s="186">
        <f>IF($K1033="","",INDEX(Zeiterfassung!$E$6:$E$3665,$K1033))</f>
        <v/>
      </c>
      <c r="F1033" s="187">
        <f>IF($K1033="","",INDEX(Zeiterfassung!$F$6:$F$3665,$K1033))</f>
        <v/>
      </c>
      <c r="G1033" s="187">
        <f>IF($K1033="","",INDEX(Zeiterfassung!$G$6:$G$3665,$K1033))</f>
        <v/>
      </c>
      <c r="H1033" s="188">
        <f>IF($K1033="","",INDEX(Zeiterfassung!$H$6:$H$3665,$K1033))</f>
        <v/>
      </c>
      <c r="I1033" s="335">
        <f>IF(B1033=B1032,"",IF($K1033="","",INDEX(Zeiterfassung!$I$6:$I$3665,MATCH(INDEX(Zeiterfassung!$K$6:$K$3665,$K1033),Zeiterfassung!$K$6:$K$3665,0))))</f>
        <v/>
      </c>
      <c r="J1033" s="335">
        <f>IF(B1033=B1032,"",IF($K1033="","",INDEX(Zeiterfassung!$J$6:$J$3665,MATCH(INDEX(Zeiterfassung!$K$6:$K$3665,$K1033),Zeiterfassung!$K$6:$K$3665,0))))</f>
        <v/>
      </c>
      <c r="K1033">
        <f>IFERROR(AGGREGATE(15,6,(ROW(Zeiterfassung!$D$6:$D$3665)-ROW(Zeiterfassung!$D$6)+1)/(Zeiterfassung!$D$6:$D$3665&lt;&gt;""),1028),"")</f>
        <v/>
      </c>
    </row>
    <row r="1034" ht="20" customHeight="1">
      <c r="A1034" s="183">
        <f>IF($K1034="","",WEEKNUM(INDEX(Zeiterfassung!$K$6:$K$3665,$K1034),21))</f>
        <v/>
      </c>
      <c r="B1034" s="184">
        <f>IF($K1034="","",INDEX(Zeiterfassung!$K$6:$K$3665,$K1034))</f>
        <v/>
      </c>
      <c r="C1034" s="185">
        <f>IF($K1034="","",INDEX(Zeiterfassung!$K$6:$K$3665,$K1034))</f>
        <v/>
      </c>
      <c r="D1034" s="186">
        <f>IF($K1034="","",INDEX(Zeiterfassung!$D$6:$D$3665,$K1034))</f>
        <v/>
      </c>
      <c r="E1034" s="186">
        <f>IF($K1034="","",INDEX(Zeiterfassung!$E$6:$E$3665,$K1034))</f>
        <v/>
      </c>
      <c r="F1034" s="187">
        <f>IF($K1034="","",INDEX(Zeiterfassung!$F$6:$F$3665,$K1034))</f>
        <v/>
      </c>
      <c r="G1034" s="187">
        <f>IF($K1034="","",INDEX(Zeiterfassung!$G$6:$G$3665,$K1034))</f>
        <v/>
      </c>
      <c r="H1034" s="188">
        <f>IF($K1034="","",INDEX(Zeiterfassung!$H$6:$H$3665,$K1034))</f>
        <v/>
      </c>
      <c r="I1034" s="335">
        <f>IF(B1034=B1033,"",IF($K1034="","",INDEX(Zeiterfassung!$I$6:$I$3665,MATCH(INDEX(Zeiterfassung!$K$6:$K$3665,$K1034),Zeiterfassung!$K$6:$K$3665,0))))</f>
        <v/>
      </c>
      <c r="J1034" s="335">
        <f>IF(B1034=B1033,"",IF($K1034="","",INDEX(Zeiterfassung!$J$6:$J$3665,MATCH(INDEX(Zeiterfassung!$K$6:$K$3665,$K1034),Zeiterfassung!$K$6:$K$3665,0))))</f>
        <v/>
      </c>
      <c r="K1034">
        <f>IFERROR(AGGREGATE(15,6,(ROW(Zeiterfassung!$D$6:$D$3665)-ROW(Zeiterfassung!$D$6)+1)/(Zeiterfassung!$D$6:$D$3665&lt;&gt;""),1029),"")</f>
        <v/>
      </c>
    </row>
    <row r="1035" ht="20" customHeight="1">
      <c r="A1035" s="183">
        <f>IF($K1035="","",WEEKNUM(INDEX(Zeiterfassung!$K$6:$K$3665,$K1035),21))</f>
        <v/>
      </c>
      <c r="B1035" s="184">
        <f>IF($K1035="","",INDEX(Zeiterfassung!$K$6:$K$3665,$K1035))</f>
        <v/>
      </c>
      <c r="C1035" s="185">
        <f>IF($K1035="","",INDEX(Zeiterfassung!$K$6:$K$3665,$K1035))</f>
        <v/>
      </c>
      <c r="D1035" s="186">
        <f>IF($K1035="","",INDEX(Zeiterfassung!$D$6:$D$3665,$K1035))</f>
        <v/>
      </c>
      <c r="E1035" s="186">
        <f>IF($K1035="","",INDEX(Zeiterfassung!$E$6:$E$3665,$K1035))</f>
        <v/>
      </c>
      <c r="F1035" s="187">
        <f>IF($K1035="","",INDEX(Zeiterfassung!$F$6:$F$3665,$K1035))</f>
        <v/>
      </c>
      <c r="G1035" s="187">
        <f>IF($K1035="","",INDEX(Zeiterfassung!$G$6:$G$3665,$K1035))</f>
        <v/>
      </c>
      <c r="H1035" s="188">
        <f>IF($K1035="","",INDEX(Zeiterfassung!$H$6:$H$3665,$K1035))</f>
        <v/>
      </c>
      <c r="I1035" s="335">
        <f>IF(B1035=B1034,"",IF($K1035="","",INDEX(Zeiterfassung!$I$6:$I$3665,MATCH(INDEX(Zeiterfassung!$K$6:$K$3665,$K1035),Zeiterfassung!$K$6:$K$3665,0))))</f>
        <v/>
      </c>
      <c r="J1035" s="335">
        <f>IF(B1035=B1034,"",IF($K1035="","",INDEX(Zeiterfassung!$J$6:$J$3665,MATCH(INDEX(Zeiterfassung!$K$6:$K$3665,$K1035),Zeiterfassung!$K$6:$K$3665,0))))</f>
        <v/>
      </c>
      <c r="K1035">
        <f>IFERROR(AGGREGATE(15,6,(ROW(Zeiterfassung!$D$6:$D$3665)-ROW(Zeiterfassung!$D$6)+1)/(Zeiterfassung!$D$6:$D$3665&lt;&gt;""),1030),"")</f>
        <v/>
      </c>
    </row>
    <row r="1036" ht="20" customHeight="1">
      <c r="A1036" s="183">
        <f>IF($K1036="","",WEEKNUM(INDEX(Zeiterfassung!$K$6:$K$3665,$K1036),21))</f>
        <v/>
      </c>
      <c r="B1036" s="184">
        <f>IF($K1036="","",INDEX(Zeiterfassung!$K$6:$K$3665,$K1036))</f>
        <v/>
      </c>
      <c r="C1036" s="185">
        <f>IF($K1036="","",INDEX(Zeiterfassung!$K$6:$K$3665,$K1036))</f>
        <v/>
      </c>
      <c r="D1036" s="186">
        <f>IF($K1036="","",INDEX(Zeiterfassung!$D$6:$D$3665,$K1036))</f>
        <v/>
      </c>
      <c r="E1036" s="186">
        <f>IF($K1036="","",INDEX(Zeiterfassung!$E$6:$E$3665,$K1036))</f>
        <v/>
      </c>
      <c r="F1036" s="187">
        <f>IF($K1036="","",INDEX(Zeiterfassung!$F$6:$F$3665,$K1036))</f>
        <v/>
      </c>
      <c r="G1036" s="187">
        <f>IF($K1036="","",INDEX(Zeiterfassung!$G$6:$G$3665,$K1036))</f>
        <v/>
      </c>
      <c r="H1036" s="188">
        <f>IF($K1036="","",INDEX(Zeiterfassung!$H$6:$H$3665,$K1036))</f>
        <v/>
      </c>
      <c r="I1036" s="335">
        <f>IF(B1036=B1035,"",IF($K1036="","",INDEX(Zeiterfassung!$I$6:$I$3665,MATCH(INDEX(Zeiterfassung!$K$6:$K$3665,$K1036),Zeiterfassung!$K$6:$K$3665,0))))</f>
        <v/>
      </c>
      <c r="J1036" s="335">
        <f>IF(B1036=B1035,"",IF($K1036="","",INDEX(Zeiterfassung!$J$6:$J$3665,MATCH(INDEX(Zeiterfassung!$K$6:$K$3665,$K1036),Zeiterfassung!$K$6:$K$3665,0))))</f>
        <v/>
      </c>
      <c r="K1036">
        <f>IFERROR(AGGREGATE(15,6,(ROW(Zeiterfassung!$D$6:$D$3665)-ROW(Zeiterfassung!$D$6)+1)/(Zeiterfassung!$D$6:$D$3665&lt;&gt;""),1031),"")</f>
        <v/>
      </c>
    </row>
    <row r="1037" ht="20" customHeight="1">
      <c r="A1037" s="183">
        <f>IF($K1037="","",WEEKNUM(INDEX(Zeiterfassung!$K$6:$K$3665,$K1037),21))</f>
        <v/>
      </c>
      <c r="B1037" s="184">
        <f>IF($K1037="","",INDEX(Zeiterfassung!$K$6:$K$3665,$K1037))</f>
        <v/>
      </c>
      <c r="C1037" s="185">
        <f>IF($K1037="","",INDEX(Zeiterfassung!$K$6:$K$3665,$K1037))</f>
        <v/>
      </c>
      <c r="D1037" s="186">
        <f>IF($K1037="","",INDEX(Zeiterfassung!$D$6:$D$3665,$K1037))</f>
        <v/>
      </c>
      <c r="E1037" s="186">
        <f>IF($K1037="","",INDEX(Zeiterfassung!$E$6:$E$3665,$K1037))</f>
        <v/>
      </c>
      <c r="F1037" s="187">
        <f>IF($K1037="","",INDEX(Zeiterfassung!$F$6:$F$3665,$K1037))</f>
        <v/>
      </c>
      <c r="G1037" s="187">
        <f>IF($K1037="","",INDEX(Zeiterfassung!$G$6:$G$3665,$K1037))</f>
        <v/>
      </c>
      <c r="H1037" s="188">
        <f>IF($K1037="","",INDEX(Zeiterfassung!$H$6:$H$3665,$K1037))</f>
        <v/>
      </c>
      <c r="I1037" s="335">
        <f>IF(B1037=B1036,"",IF($K1037="","",INDEX(Zeiterfassung!$I$6:$I$3665,MATCH(INDEX(Zeiterfassung!$K$6:$K$3665,$K1037),Zeiterfassung!$K$6:$K$3665,0))))</f>
        <v/>
      </c>
      <c r="J1037" s="335">
        <f>IF(B1037=B1036,"",IF($K1037="","",INDEX(Zeiterfassung!$J$6:$J$3665,MATCH(INDEX(Zeiterfassung!$K$6:$K$3665,$K1037),Zeiterfassung!$K$6:$K$3665,0))))</f>
        <v/>
      </c>
      <c r="K1037">
        <f>IFERROR(AGGREGATE(15,6,(ROW(Zeiterfassung!$D$6:$D$3665)-ROW(Zeiterfassung!$D$6)+1)/(Zeiterfassung!$D$6:$D$3665&lt;&gt;""),1032),"")</f>
        <v/>
      </c>
    </row>
    <row r="1038" ht="20" customHeight="1">
      <c r="A1038" s="183">
        <f>IF($K1038="","",WEEKNUM(INDEX(Zeiterfassung!$K$6:$K$3665,$K1038),21))</f>
        <v/>
      </c>
      <c r="B1038" s="184">
        <f>IF($K1038="","",INDEX(Zeiterfassung!$K$6:$K$3665,$K1038))</f>
        <v/>
      </c>
      <c r="C1038" s="185">
        <f>IF($K1038="","",INDEX(Zeiterfassung!$K$6:$K$3665,$K1038))</f>
        <v/>
      </c>
      <c r="D1038" s="186">
        <f>IF($K1038="","",INDEX(Zeiterfassung!$D$6:$D$3665,$K1038))</f>
        <v/>
      </c>
      <c r="E1038" s="186">
        <f>IF($K1038="","",INDEX(Zeiterfassung!$E$6:$E$3665,$K1038))</f>
        <v/>
      </c>
      <c r="F1038" s="187">
        <f>IF($K1038="","",INDEX(Zeiterfassung!$F$6:$F$3665,$K1038))</f>
        <v/>
      </c>
      <c r="G1038" s="187">
        <f>IF($K1038="","",INDEX(Zeiterfassung!$G$6:$G$3665,$K1038))</f>
        <v/>
      </c>
      <c r="H1038" s="188">
        <f>IF($K1038="","",INDEX(Zeiterfassung!$H$6:$H$3665,$K1038))</f>
        <v/>
      </c>
      <c r="I1038" s="335">
        <f>IF(B1038=B1037,"",IF($K1038="","",INDEX(Zeiterfassung!$I$6:$I$3665,MATCH(INDEX(Zeiterfassung!$K$6:$K$3665,$K1038),Zeiterfassung!$K$6:$K$3665,0))))</f>
        <v/>
      </c>
      <c r="J1038" s="335">
        <f>IF(B1038=B1037,"",IF($K1038="","",INDEX(Zeiterfassung!$J$6:$J$3665,MATCH(INDEX(Zeiterfassung!$K$6:$K$3665,$K1038),Zeiterfassung!$K$6:$K$3665,0))))</f>
        <v/>
      </c>
      <c r="K1038">
        <f>IFERROR(AGGREGATE(15,6,(ROW(Zeiterfassung!$D$6:$D$3665)-ROW(Zeiterfassung!$D$6)+1)/(Zeiterfassung!$D$6:$D$3665&lt;&gt;""),1033),"")</f>
        <v/>
      </c>
    </row>
    <row r="1039" ht="20" customHeight="1">
      <c r="A1039" s="183">
        <f>IF($K1039="","",WEEKNUM(INDEX(Zeiterfassung!$K$6:$K$3665,$K1039),21))</f>
        <v/>
      </c>
      <c r="B1039" s="184">
        <f>IF($K1039="","",INDEX(Zeiterfassung!$K$6:$K$3665,$K1039))</f>
        <v/>
      </c>
      <c r="C1039" s="185">
        <f>IF($K1039="","",INDEX(Zeiterfassung!$K$6:$K$3665,$K1039))</f>
        <v/>
      </c>
      <c r="D1039" s="186">
        <f>IF($K1039="","",INDEX(Zeiterfassung!$D$6:$D$3665,$K1039))</f>
        <v/>
      </c>
      <c r="E1039" s="186">
        <f>IF($K1039="","",INDEX(Zeiterfassung!$E$6:$E$3665,$K1039))</f>
        <v/>
      </c>
      <c r="F1039" s="187">
        <f>IF($K1039="","",INDEX(Zeiterfassung!$F$6:$F$3665,$K1039))</f>
        <v/>
      </c>
      <c r="G1039" s="187">
        <f>IF($K1039="","",INDEX(Zeiterfassung!$G$6:$G$3665,$K1039))</f>
        <v/>
      </c>
      <c r="H1039" s="188">
        <f>IF($K1039="","",INDEX(Zeiterfassung!$H$6:$H$3665,$K1039))</f>
        <v/>
      </c>
      <c r="I1039" s="335">
        <f>IF(B1039=B1038,"",IF($K1039="","",INDEX(Zeiterfassung!$I$6:$I$3665,MATCH(INDEX(Zeiterfassung!$K$6:$K$3665,$K1039),Zeiterfassung!$K$6:$K$3665,0))))</f>
        <v/>
      </c>
      <c r="J1039" s="335">
        <f>IF(B1039=B1038,"",IF($K1039="","",INDEX(Zeiterfassung!$J$6:$J$3665,MATCH(INDEX(Zeiterfassung!$K$6:$K$3665,$K1039),Zeiterfassung!$K$6:$K$3665,0))))</f>
        <v/>
      </c>
      <c r="K1039">
        <f>IFERROR(AGGREGATE(15,6,(ROW(Zeiterfassung!$D$6:$D$3665)-ROW(Zeiterfassung!$D$6)+1)/(Zeiterfassung!$D$6:$D$3665&lt;&gt;""),1034),"")</f>
        <v/>
      </c>
    </row>
    <row r="1040" ht="20" customHeight="1">
      <c r="A1040" s="183">
        <f>IF($K1040="","",WEEKNUM(INDEX(Zeiterfassung!$K$6:$K$3665,$K1040),21))</f>
        <v/>
      </c>
      <c r="B1040" s="184">
        <f>IF($K1040="","",INDEX(Zeiterfassung!$K$6:$K$3665,$K1040))</f>
        <v/>
      </c>
      <c r="C1040" s="185">
        <f>IF($K1040="","",INDEX(Zeiterfassung!$K$6:$K$3665,$K1040))</f>
        <v/>
      </c>
      <c r="D1040" s="186">
        <f>IF($K1040="","",INDEX(Zeiterfassung!$D$6:$D$3665,$K1040))</f>
        <v/>
      </c>
      <c r="E1040" s="186">
        <f>IF($K1040="","",INDEX(Zeiterfassung!$E$6:$E$3665,$K1040))</f>
        <v/>
      </c>
      <c r="F1040" s="187">
        <f>IF($K1040="","",INDEX(Zeiterfassung!$F$6:$F$3665,$K1040))</f>
        <v/>
      </c>
      <c r="G1040" s="187">
        <f>IF($K1040="","",INDEX(Zeiterfassung!$G$6:$G$3665,$K1040))</f>
        <v/>
      </c>
      <c r="H1040" s="188">
        <f>IF($K1040="","",INDEX(Zeiterfassung!$H$6:$H$3665,$K1040))</f>
        <v/>
      </c>
      <c r="I1040" s="335">
        <f>IF(B1040=B1039,"",IF($K1040="","",INDEX(Zeiterfassung!$I$6:$I$3665,MATCH(INDEX(Zeiterfassung!$K$6:$K$3665,$K1040),Zeiterfassung!$K$6:$K$3665,0))))</f>
        <v/>
      </c>
      <c r="J1040" s="335">
        <f>IF(B1040=B1039,"",IF($K1040="","",INDEX(Zeiterfassung!$J$6:$J$3665,MATCH(INDEX(Zeiterfassung!$K$6:$K$3665,$K1040),Zeiterfassung!$K$6:$K$3665,0))))</f>
        <v/>
      </c>
      <c r="K1040">
        <f>IFERROR(AGGREGATE(15,6,(ROW(Zeiterfassung!$D$6:$D$3665)-ROW(Zeiterfassung!$D$6)+1)/(Zeiterfassung!$D$6:$D$3665&lt;&gt;""),1035),"")</f>
        <v/>
      </c>
    </row>
    <row r="1041" ht="20" customHeight="1">
      <c r="A1041" s="183">
        <f>IF($K1041="","",WEEKNUM(INDEX(Zeiterfassung!$K$6:$K$3665,$K1041),21))</f>
        <v/>
      </c>
      <c r="B1041" s="184">
        <f>IF($K1041="","",INDEX(Zeiterfassung!$K$6:$K$3665,$K1041))</f>
        <v/>
      </c>
      <c r="C1041" s="185">
        <f>IF($K1041="","",INDEX(Zeiterfassung!$K$6:$K$3665,$K1041))</f>
        <v/>
      </c>
      <c r="D1041" s="186">
        <f>IF($K1041="","",INDEX(Zeiterfassung!$D$6:$D$3665,$K1041))</f>
        <v/>
      </c>
      <c r="E1041" s="186">
        <f>IF($K1041="","",INDEX(Zeiterfassung!$E$6:$E$3665,$K1041))</f>
        <v/>
      </c>
      <c r="F1041" s="187">
        <f>IF($K1041="","",INDEX(Zeiterfassung!$F$6:$F$3665,$K1041))</f>
        <v/>
      </c>
      <c r="G1041" s="187">
        <f>IF($K1041="","",INDEX(Zeiterfassung!$G$6:$G$3665,$K1041))</f>
        <v/>
      </c>
      <c r="H1041" s="188">
        <f>IF($K1041="","",INDEX(Zeiterfassung!$H$6:$H$3665,$K1041))</f>
        <v/>
      </c>
      <c r="I1041" s="335">
        <f>IF(B1041=B1040,"",IF($K1041="","",INDEX(Zeiterfassung!$I$6:$I$3665,MATCH(INDEX(Zeiterfassung!$K$6:$K$3665,$K1041),Zeiterfassung!$K$6:$K$3665,0))))</f>
        <v/>
      </c>
      <c r="J1041" s="335">
        <f>IF(B1041=B1040,"",IF($K1041="","",INDEX(Zeiterfassung!$J$6:$J$3665,MATCH(INDEX(Zeiterfassung!$K$6:$K$3665,$K1041),Zeiterfassung!$K$6:$K$3665,0))))</f>
        <v/>
      </c>
      <c r="K1041">
        <f>IFERROR(AGGREGATE(15,6,(ROW(Zeiterfassung!$D$6:$D$3665)-ROW(Zeiterfassung!$D$6)+1)/(Zeiterfassung!$D$6:$D$3665&lt;&gt;""),1036),"")</f>
        <v/>
      </c>
    </row>
    <row r="1042" ht="20" customHeight="1">
      <c r="A1042" s="183">
        <f>IF($K1042="","",WEEKNUM(INDEX(Zeiterfassung!$K$6:$K$3665,$K1042),21))</f>
        <v/>
      </c>
      <c r="B1042" s="184">
        <f>IF($K1042="","",INDEX(Zeiterfassung!$K$6:$K$3665,$K1042))</f>
        <v/>
      </c>
      <c r="C1042" s="185">
        <f>IF($K1042="","",INDEX(Zeiterfassung!$K$6:$K$3665,$K1042))</f>
        <v/>
      </c>
      <c r="D1042" s="186">
        <f>IF($K1042="","",INDEX(Zeiterfassung!$D$6:$D$3665,$K1042))</f>
        <v/>
      </c>
      <c r="E1042" s="186">
        <f>IF($K1042="","",INDEX(Zeiterfassung!$E$6:$E$3665,$K1042))</f>
        <v/>
      </c>
      <c r="F1042" s="187">
        <f>IF($K1042="","",INDEX(Zeiterfassung!$F$6:$F$3665,$K1042))</f>
        <v/>
      </c>
      <c r="G1042" s="187">
        <f>IF($K1042="","",INDEX(Zeiterfassung!$G$6:$G$3665,$K1042))</f>
        <v/>
      </c>
      <c r="H1042" s="188">
        <f>IF($K1042="","",INDEX(Zeiterfassung!$H$6:$H$3665,$K1042))</f>
        <v/>
      </c>
      <c r="I1042" s="335">
        <f>IF(B1042=B1041,"",IF($K1042="","",INDEX(Zeiterfassung!$I$6:$I$3665,MATCH(INDEX(Zeiterfassung!$K$6:$K$3665,$K1042),Zeiterfassung!$K$6:$K$3665,0))))</f>
        <v/>
      </c>
      <c r="J1042" s="335">
        <f>IF(B1042=B1041,"",IF($K1042="","",INDEX(Zeiterfassung!$J$6:$J$3665,MATCH(INDEX(Zeiterfassung!$K$6:$K$3665,$K1042),Zeiterfassung!$K$6:$K$3665,0))))</f>
        <v/>
      </c>
      <c r="K1042">
        <f>IFERROR(AGGREGATE(15,6,(ROW(Zeiterfassung!$D$6:$D$3665)-ROW(Zeiterfassung!$D$6)+1)/(Zeiterfassung!$D$6:$D$3665&lt;&gt;""),1037),"")</f>
        <v/>
      </c>
    </row>
    <row r="1043" ht="20" customHeight="1">
      <c r="A1043" s="183">
        <f>IF($K1043="","",WEEKNUM(INDEX(Zeiterfassung!$K$6:$K$3665,$K1043),21))</f>
        <v/>
      </c>
      <c r="B1043" s="184">
        <f>IF($K1043="","",INDEX(Zeiterfassung!$K$6:$K$3665,$K1043))</f>
        <v/>
      </c>
      <c r="C1043" s="185">
        <f>IF($K1043="","",INDEX(Zeiterfassung!$K$6:$K$3665,$K1043))</f>
        <v/>
      </c>
      <c r="D1043" s="186">
        <f>IF($K1043="","",INDEX(Zeiterfassung!$D$6:$D$3665,$K1043))</f>
        <v/>
      </c>
      <c r="E1043" s="186">
        <f>IF($K1043="","",INDEX(Zeiterfassung!$E$6:$E$3665,$K1043))</f>
        <v/>
      </c>
      <c r="F1043" s="187">
        <f>IF($K1043="","",INDEX(Zeiterfassung!$F$6:$F$3665,$K1043))</f>
        <v/>
      </c>
      <c r="G1043" s="187">
        <f>IF($K1043="","",INDEX(Zeiterfassung!$G$6:$G$3665,$K1043))</f>
        <v/>
      </c>
      <c r="H1043" s="188">
        <f>IF($K1043="","",INDEX(Zeiterfassung!$H$6:$H$3665,$K1043))</f>
        <v/>
      </c>
      <c r="I1043" s="335">
        <f>IF(B1043=B1042,"",IF($K1043="","",INDEX(Zeiterfassung!$I$6:$I$3665,MATCH(INDEX(Zeiterfassung!$K$6:$K$3665,$K1043),Zeiterfassung!$K$6:$K$3665,0))))</f>
        <v/>
      </c>
      <c r="J1043" s="335">
        <f>IF(B1043=B1042,"",IF($K1043="","",INDEX(Zeiterfassung!$J$6:$J$3665,MATCH(INDEX(Zeiterfassung!$K$6:$K$3665,$K1043),Zeiterfassung!$K$6:$K$3665,0))))</f>
        <v/>
      </c>
      <c r="K1043">
        <f>IFERROR(AGGREGATE(15,6,(ROW(Zeiterfassung!$D$6:$D$3665)-ROW(Zeiterfassung!$D$6)+1)/(Zeiterfassung!$D$6:$D$3665&lt;&gt;""),1038),"")</f>
        <v/>
      </c>
    </row>
    <row r="1044" ht="20" customHeight="1">
      <c r="A1044" s="183">
        <f>IF($K1044="","",WEEKNUM(INDEX(Zeiterfassung!$K$6:$K$3665,$K1044),21))</f>
        <v/>
      </c>
      <c r="B1044" s="184">
        <f>IF($K1044="","",INDEX(Zeiterfassung!$K$6:$K$3665,$K1044))</f>
        <v/>
      </c>
      <c r="C1044" s="185">
        <f>IF($K1044="","",INDEX(Zeiterfassung!$K$6:$K$3665,$K1044))</f>
        <v/>
      </c>
      <c r="D1044" s="186">
        <f>IF($K1044="","",INDEX(Zeiterfassung!$D$6:$D$3665,$K1044))</f>
        <v/>
      </c>
      <c r="E1044" s="186">
        <f>IF($K1044="","",INDEX(Zeiterfassung!$E$6:$E$3665,$K1044))</f>
        <v/>
      </c>
      <c r="F1044" s="187">
        <f>IF($K1044="","",INDEX(Zeiterfassung!$F$6:$F$3665,$K1044))</f>
        <v/>
      </c>
      <c r="G1044" s="187">
        <f>IF($K1044="","",INDEX(Zeiterfassung!$G$6:$G$3665,$K1044))</f>
        <v/>
      </c>
      <c r="H1044" s="188">
        <f>IF($K1044="","",INDEX(Zeiterfassung!$H$6:$H$3665,$K1044))</f>
        <v/>
      </c>
      <c r="I1044" s="335">
        <f>IF(B1044=B1043,"",IF($K1044="","",INDEX(Zeiterfassung!$I$6:$I$3665,MATCH(INDEX(Zeiterfassung!$K$6:$K$3665,$K1044),Zeiterfassung!$K$6:$K$3665,0))))</f>
        <v/>
      </c>
      <c r="J1044" s="335">
        <f>IF(B1044=B1043,"",IF($K1044="","",INDEX(Zeiterfassung!$J$6:$J$3665,MATCH(INDEX(Zeiterfassung!$K$6:$K$3665,$K1044),Zeiterfassung!$K$6:$K$3665,0))))</f>
        <v/>
      </c>
      <c r="K1044">
        <f>IFERROR(AGGREGATE(15,6,(ROW(Zeiterfassung!$D$6:$D$3665)-ROW(Zeiterfassung!$D$6)+1)/(Zeiterfassung!$D$6:$D$3665&lt;&gt;""),1039),"")</f>
        <v/>
      </c>
    </row>
    <row r="1045" ht="20" customHeight="1">
      <c r="A1045" s="183">
        <f>IF($K1045="","",WEEKNUM(INDEX(Zeiterfassung!$K$6:$K$3665,$K1045),21))</f>
        <v/>
      </c>
      <c r="B1045" s="184">
        <f>IF($K1045="","",INDEX(Zeiterfassung!$K$6:$K$3665,$K1045))</f>
        <v/>
      </c>
      <c r="C1045" s="185">
        <f>IF($K1045="","",INDEX(Zeiterfassung!$K$6:$K$3665,$K1045))</f>
        <v/>
      </c>
      <c r="D1045" s="186">
        <f>IF($K1045="","",INDEX(Zeiterfassung!$D$6:$D$3665,$K1045))</f>
        <v/>
      </c>
      <c r="E1045" s="186">
        <f>IF($K1045="","",INDEX(Zeiterfassung!$E$6:$E$3665,$K1045))</f>
        <v/>
      </c>
      <c r="F1045" s="187">
        <f>IF($K1045="","",INDEX(Zeiterfassung!$F$6:$F$3665,$K1045))</f>
        <v/>
      </c>
      <c r="G1045" s="187">
        <f>IF($K1045="","",INDEX(Zeiterfassung!$G$6:$G$3665,$K1045))</f>
        <v/>
      </c>
      <c r="H1045" s="188">
        <f>IF($K1045="","",INDEX(Zeiterfassung!$H$6:$H$3665,$K1045))</f>
        <v/>
      </c>
      <c r="I1045" s="335">
        <f>IF(B1045=B1044,"",IF($K1045="","",INDEX(Zeiterfassung!$I$6:$I$3665,MATCH(INDEX(Zeiterfassung!$K$6:$K$3665,$K1045),Zeiterfassung!$K$6:$K$3665,0))))</f>
        <v/>
      </c>
      <c r="J1045" s="335">
        <f>IF(B1045=B1044,"",IF($K1045="","",INDEX(Zeiterfassung!$J$6:$J$3665,MATCH(INDEX(Zeiterfassung!$K$6:$K$3665,$K1045),Zeiterfassung!$K$6:$K$3665,0))))</f>
        <v/>
      </c>
      <c r="K1045">
        <f>IFERROR(AGGREGATE(15,6,(ROW(Zeiterfassung!$D$6:$D$3665)-ROW(Zeiterfassung!$D$6)+1)/(Zeiterfassung!$D$6:$D$3665&lt;&gt;""),1040),"")</f>
        <v/>
      </c>
    </row>
    <row r="1046" ht="20" customHeight="1">
      <c r="A1046" s="183">
        <f>IF($K1046="","",WEEKNUM(INDEX(Zeiterfassung!$K$6:$K$3665,$K1046),21))</f>
        <v/>
      </c>
      <c r="B1046" s="184">
        <f>IF($K1046="","",INDEX(Zeiterfassung!$K$6:$K$3665,$K1046))</f>
        <v/>
      </c>
      <c r="C1046" s="185">
        <f>IF($K1046="","",INDEX(Zeiterfassung!$K$6:$K$3665,$K1046))</f>
        <v/>
      </c>
      <c r="D1046" s="186">
        <f>IF($K1046="","",INDEX(Zeiterfassung!$D$6:$D$3665,$K1046))</f>
        <v/>
      </c>
      <c r="E1046" s="186">
        <f>IF($K1046="","",INDEX(Zeiterfassung!$E$6:$E$3665,$K1046))</f>
        <v/>
      </c>
      <c r="F1046" s="187">
        <f>IF($K1046="","",INDEX(Zeiterfassung!$F$6:$F$3665,$K1046))</f>
        <v/>
      </c>
      <c r="G1046" s="187">
        <f>IF($K1046="","",INDEX(Zeiterfassung!$G$6:$G$3665,$K1046))</f>
        <v/>
      </c>
      <c r="H1046" s="188">
        <f>IF($K1046="","",INDEX(Zeiterfassung!$H$6:$H$3665,$K1046))</f>
        <v/>
      </c>
      <c r="I1046" s="335">
        <f>IF(B1046=B1045,"",IF($K1046="","",INDEX(Zeiterfassung!$I$6:$I$3665,MATCH(INDEX(Zeiterfassung!$K$6:$K$3665,$K1046),Zeiterfassung!$K$6:$K$3665,0))))</f>
        <v/>
      </c>
      <c r="J1046" s="335">
        <f>IF(B1046=B1045,"",IF($K1046="","",INDEX(Zeiterfassung!$J$6:$J$3665,MATCH(INDEX(Zeiterfassung!$K$6:$K$3665,$K1046),Zeiterfassung!$K$6:$K$3665,0))))</f>
        <v/>
      </c>
      <c r="K1046">
        <f>IFERROR(AGGREGATE(15,6,(ROW(Zeiterfassung!$D$6:$D$3665)-ROW(Zeiterfassung!$D$6)+1)/(Zeiterfassung!$D$6:$D$3665&lt;&gt;""),1041),"")</f>
        <v/>
      </c>
    </row>
    <row r="1047" ht="20" customHeight="1">
      <c r="A1047" s="183">
        <f>IF($K1047="","",WEEKNUM(INDEX(Zeiterfassung!$K$6:$K$3665,$K1047),21))</f>
        <v/>
      </c>
      <c r="B1047" s="184">
        <f>IF($K1047="","",INDEX(Zeiterfassung!$K$6:$K$3665,$K1047))</f>
        <v/>
      </c>
      <c r="C1047" s="185">
        <f>IF($K1047="","",INDEX(Zeiterfassung!$K$6:$K$3665,$K1047))</f>
        <v/>
      </c>
      <c r="D1047" s="186">
        <f>IF($K1047="","",INDEX(Zeiterfassung!$D$6:$D$3665,$K1047))</f>
        <v/>
      </c>
      <c r="E1047" s="186">
        <f>IF($K1047="","",INDEX(Zeiterfassung!$E$6:$E$3665,$K1047))</f>
        <v/>
      </c>
      <c r="F1047" s="187">
        <f>IF($K1047="","",INDEX(Zeiterfassung!$F$6:$F$3665,$K1047))</f>
        <v/>
      </c>
      <c r="G1047" s="187">
        <f>IF($K1047="","",INDEX(Zeiterfassung!$G$6:$G$3665,$K1047))</f>
        <v/>
      </c>
      <c r="H1047" s="188">
        <f>IF($K1047="","",INDEX(Zeiterfassung!$H$6:$H$3665,$K1047))</f>
        <v/>
      </c>
      <c r="I1047" s="335">
        <f>IF(B1047=B1046,"",IF($K1047="","",INDEX(Zeiterfassung!$I$6:$I$3665,MATCH(INDEX(Zeiterfassung!$K$6:$K$3665,$K1047),Zeiterfassung!$K$6:$K$3665,0))))</f>
        <v/>
      </c>
      <c r="J1047" s="335">
        <f>IF(B1047=B1046,"",IF($K1047="","",INDEX(Zeiterfassung!$J$6:$J$3665,MATCH(INDEX(Zeiterfassung!$K$6:$K$3665,$K1047),Zeiterfassung!$K$6:$K$3665,0))))</f>
        <v/>
      </c>
      <c r="K1047">
        <f>IFERROR(AGGREGATE(15,6,(ROW(Zeiterfassung!$D$6:$D$3665)-ROW(Zeiterfassung!$D$6)+1)/(Zeiterfassung!$D$6:$D$3665&lt;&gt;""),1042),"")</f>
        <v/>
      </c>
    </row>
    <row r="1048" ht="20" customHeight="1">
      <c r="A1048" s="183">
        <f>IF($K1048="","",WEEKNUM(INDEX(Zeiterfassung!$K$6:$K$3665,$K1048),21))</f>
        <v/>
      </c>
      <c r="B1048" s="184">
        <f>IF($K1048="","",INDEX(Zeiterfassung!$K$6:$K$3665,$K1048))</f>
        <v/>
      </c>
      <c r="C1048" s="185">
        <f>IF($K1048="","",INDEX(Zeiterfassung!$K$6:$K$3665,$K1048))</f>
        <v/>
      </c>
      <c r="D1048" s="186">
        <f>IF($K1048="","",INDEX(Zeiterfassung!$D$6:$D$3665,$K1048))</f>
        <v/>
      </c>
      <c r="E1048" s="186">
        <f>IF($K1048="","",INDEX(Zeiterfassung!$E$6:$E$3665,$K1048))</f>
        <v/>
      </c>
      <c r="F1048" s="187">
        <f>IF($K1048="","",INDEX(Zeiterfassung!$F$6:$F$3665,$K1048))</f>
        <v/>
      </c>
      <c r="G1048" s="187">
        <f>IF($K1048="","",INDEX(Zeiterfassung!$G$6:$G$3665,$K1048))</f>
        <v/>
      </c>
      <c r="H1048" s="188">
        <f>IF($K1048="","",INDEX(Zeiterfassung!$H$6:$H$3665,$K1048))</f>
        <v/>
      </c>
      <c r="I1048" s="335">
        <f>IF(B1048=B1047,"",IF($K1048="","",INDEX(Zeiterfassung!$I$6:$I$3665,MATCH(INDEX(Zeiterfassung!$K$6:$K$3665,$K1048),Zeiterfassung!$K$6:$K$3665,0))))</f>
        <v/>
      </c>
      <c r="J1048" s="335">
        <f>IF(B1048=B1047,"",IF($K1048="","",INDEX(Zeiterfassung!$J$6:$J$3665,MATCH(INDEX(Zeiterfassung!$K$6:$K$3665,$K1048),Zeiterfassung!$K$6:$K$3665,0))))</f>
        <v/>
      </c>
      <c r="K1048">
        <f>IFERROR(AGGREGATE(15,6,(ROW(Zeiterfassung!$D$6:$D$3665)-ROW(Zeiterfassung!$D$6)+1)/(Zeiterfassung!$D$6:$D$3665&lt;&gt;""),1043),"")</f>
        <v/>
      </c>
    </row>
    <row r="1049" ht="20" customHeight="1">
      <c r="A1049" s="183">
        <f>IF($K1049="","",WEEKNUM(INDEX(Zeiterfassung!$K$6:$K$3665,$K1049),21))</f>
        <v/>
      </c>
      <c r="B1049" s="184">
        <f>IF($K1049="","",INDEX(Zeiterfassung!$K$6:$K$3665,$K1049))</f>
        <v/>
      </c>
      <c r="C1049" s="185">
        <f>IF($K1049="","",INDEX(Zeiterfassung!$K$6:$K$3665,$K1049))</f>
        <v/>
      </c>
      <c r="D1049" s="186">
        <f>IF($K1049="","",INDEX(Zeiterfassung!$D$6:$D$3665,$K1049))</f>
        <v/>
      </c>
      <c r="E1049" s="186">
        <f>IF($K1049="","",INDEX(Zeiterfassung!$E$6:$E$3665,$K1049))</f>
        <v/>
      </c>
      <c r="F1049" s="187">
        <f>IF($K1049="","",INDEX(Zeiterfassung!$F$6:$F$3665,$K1049))</f>
        <v/>
      </c>
      <c r="G1049" s="187">
        <f>IF($K1049="","",INDEX(Zeiterfassung!$G$6:$G$3665,$K1049))</f>
        <v/>
      </c>
      <c r="H1049" s="188">
        <f>IF($K1049="","",INDEX(Zeiterfassung!$H$6:$H$3665,$K1049))</f>
        <v/>
      </c>
      <c r="I1049" s="335">
        <f>IF(B1049=B1048,"",IF($K1049="","",INDEX(Zeiterfassung!$I$6:$I$3665,MATCH(INDEX(Zeiterfassung!$K$6:$K$3665,$K1049),Zeiterfassung!$K$6:$K$3665,0))))</f>
        <v/>
      </c>
      <c r="J1049" s="335">
        <f>IF(B1049=B1048,"",IF($K1049="","",INDEX(Zeiterfassung!$J$6:$J$3665,MATCH(INDEX(Zeiterfassung!$K$6:$K$3665,$K1049),Zeiterfassung!$K$6:$K$3665,0))))</f>
        <v/>
      </c>
      <c r="K1049">
        <f>IFERROR(AGGREGATE(15,6,(ROW(Zeiterfassung!$D$6:$D$3665)-ROW(Zeiterfassung!$D$6)+1)/(Zeiterfassung!$D$6:$D$3665&lt;&gt;""),1044),"")</f>
        <v/>
      </c>
    </row>
    <row r="1050" ht="20" customHeight="1">
      <c r="A1050" s="183">
        <f>IF($K1050="","",WEEKNUM(INDEX(Zeiterfassung!$K$6:$K$3665,$K1050),21))</f>
        <v/>
      </c>
      <c r="B1050" s="184">
        <f>IF($K1050="","",INDEX(Zeiterfassung!$K$6:$K$3665,$K1050))</f>
        <v/>
      </c>
      <c r="C1050" s="185">
        <f>IF($K1050="","",INDEX(Zeiterfassung!$K$6:$K$3665,$K1050))</f>
        <v/>
      </c>
      <c r="D1050" s="186">
        <f>IF($K1050="","",INDEX(Zeiterfassung!$D$6:$D$3665,$K1050))</f>
        <v/>
      </c>
      <c r="E1050" s="186">
        <f>IF($K1050="","",INDEX(Zeiterfassung!$E$6:$E$3665,$K1050))</f>
        <v/>
      </c>
      <c r="F1050" s="187">
        <f>IF($K1050="","",INDEX(Zeiterfassung!$F$6:$F$3665,$K1050))</f>
        <v/>
      </c>
      <c r="G1050" s="187">
        <f>IF($K1050="","",INDEX(Zeiterfassung!$G$6:$G$3665,$K1050))</f>
        <v/>
      </c>
      <c r="H1050" s="188">
        <f>IF($K1050="","",INDEX(Zeiterfassung!$H$6:$H$3665,$K1050))</f>
        <v/>
      </c>
      <c r="I1050" s="335">
        <f>IF(B1050=B1049,"",IF($K1050="","",INDEX(Zeiterfassung!$I$6:$I$3665,MATCH(INDEX(Zeiterfassung!$K$6:$K$3665,$K1050),Zeiterfassung!$K$6:$K$3665,0))))</f>
        <v/>
      </c>
      <c r="J1050" s="335">
        <f>IF(B1050=B1049,"",IF($K1050="","",INDEX(Zeiterfassung!$J$6:$J$3665,MATCH(INDEX(Zeiterfassung!$K$6:$K$3665,$K1050),Zeiterfassung!$K$6:$K$3665,0))))</f>
        <v/>
      </c>
      <c r="K1050">
        <f>IFERROR(AGGREGATE(15,6,(ROW(Zeiterfassung!$D$6:$D$3665)-ROW(Zeiterfassung!$D$6)+1)/(Zeiterfassung!$D$6:$D$3665&lt;&gt;""),1045),"")</f>
        <v/>
      </c>
    </row>
    <row r="1051" ht="20" customHeight="1">
      <c r="A1051" s="183">
        <f>IF($K1051="","",WEEKNUM(INDEX(Zeiterfassung!$K$6:$K$3665,$K1051),21))</f>
        <v/>
      </c>
      <c r="B1051" s="184">
        <f>IF($K1051="","",INDEX(Zeiterfassung!$K$6:$K$3665,$K1051))</f>
        <v/>
      </c>
      <c r="C1051" s="185">
        <f>IF($K1051="","",INDEX(Zeiterfassung!$K$6:$K$3665,$K1051))</f>
        <v/>
      </c>
      <c r="D1051" s="186">
        <f>IF($K1051="","",INDEX(Zeiterfassung!$D$6:$D$3665,$K1051))</f>
        <v/>
      </c>
      <c r="E1051" s="186">
        <f>IF($K1051="","",INDEX(Zeiterfassung!$E$6:$E$3665,$K1051))</f>
        <v/>
      </c>
      <c r="F1051" s="187">
        <f>IF($K1051="","",INDEX(Zeiterfassung!$F$6:$F$3665,$K1051))</f>
        <v/>
      </c>
      <c r="G1051" s="187">
        <f>IF($K1051="","",INDEX(Zeiterfassung!$G$6:$G$3665,$K1051))</f>
        <v/>
      </c>
      <c r="H1051" s="188">
        <f>IF($K1051="","",INDEX(Zeiterfassung!$H$6:$H$3665,$K1051))</f>
        <v/>
      </c>
      <c r="I1051" s="335">
        <f>IF(B1051=B1050,"",IF($K1051="","",INDEX(Zeiterfassung!$I$6:$I$3665,MATCH(INDEX(Zeiterfassung!$K$6:$K$3665,$K1051),Zeiterfassung!$K$6:$K$3665,0))))</f>
        <v/>
      </c>
      <c r="J1051" s="335">
        <f>IF(B1051=B1050,"",IF($K1051="","",INDEX(Zeiterfassung!$J$6:$J$3665,MATCH(INDEX(Zeiterfassung!$K$6:$K$3665,$K1051),Zeiterfassung!$K$6:$K$3665,0))))</f>
        <v/>
      </c>
      <c r="K1051">
        <f>IFERROR(AGGREGATE(15,6,(ROW(Zeiterfassung!$D$6:$D$3665)-ROW(Zeiterfassung!$D$6)+1)/(Zeiterfassung!$D$6:$D$3665&lt;&gt;""),1046),"")</f>
        <v/>
      </c>
    </row>
    <row r="1052" ht="20" customHeight="1">
      <c r="A1052" s="183">
        <f>IF($K1052="","",WEEKNUM(INDEX(Zeiterfassung!$K$6:$K$3665,$K1052),21))</f>
        <v/>
      </c>
      <c r="B1052" s="184">
        <f>IF($K1052="","",INDEX(Zeiterfassung!$K$6:$K$3665,$K1052))</f>
        <v/>
      </c>
      <c r="C1052" s="185">
        <f>IF($K1052="","",INDEX(Zeiterfassung!$K$6:$K$3665,$K1052))</f>
        <v/>
      </c>
      <c r="D1052" s="186">
        <f>IF($K1052="","",INDEX(Zeiterfassung!$D$6:$D$3665,$K1052))</f>
        <v/>
      </c>
      <c r="E1052" s="186">
        <f>IF($K1052="","",INDEX(Zeiterfassung!$E$6:$E$3665,$K1052))</f>
        <v/>
      </c>
      <c r="F1052" s="187">
        <f>IF($K1052="","",INDEX(Zeiterfassung!$F$6:$F$3665,$K1052))</f>
        <v/>
      </c>
      <c r="G1052" s="187">
        <f>IF($K1052="","",INDEX(Zeiterfassung!$G$6:$G$3665,$K1052))</f>
        <v/>
      </c>
      <c r="H1052" s="188">
        <f>IF($K1052="","",INDEX(Zeiterfassung!$H$6:$H$3665,$K1052))</f>
        <v/>
      </c>
      <c r="I1052" s="335">
        <f>IF(B1052=B1051,"",IF($K1052="","",INDEX(Zeiterfassung!$I$6:$I$3665,MATCH(INDEX(Zeiterfassung!$K$6:$K$3665,$K1052),Zeiterfassung!$K$6:$K$3665,0))))</f>
        <v/>
      </c>
      <c r="J1052" s="335">
        <f>IF(B1052=B1051,"",IF($K1052="","",INDEX(Zeiterfassung!$J$6:$J$3665,MATCH(INDEX(Zeiterfassung!$K$6:$K$3665,$K1052),Zeiterfassung!$K$6:$K$3665,0))))</f>
        <v/>
      </c>
      <c r="K1052">
        <f>IFERROR(AGGREGATE(15,6,(ROW(Zeiterfassung!$D$6:$D$3665)-ROW(Zeiterfassung!$D$6)+1)/(Zeiterfassung!$D$6:$D$3665&lt;&gt;""),1047),"")</f>
        <v/>
      </c>
    </row>
    <row r="1053" ht="20" customHeight="1">
      <c r="A1053" s="183">
        <f>IF($K1053="","",WEEKNUM(INDEX(Zeiterfassung!$K$6:$K$3665,$K1053),21))</f>
        <v/>
      </c>
      <c r="B1053" s="184">
        <f>IF($K1053="","",INDEX(Zeiterfassung!$K$6:$K$3665,$K1053))</f>
        <v/>
      </c>
      <c r="C1053" s="185">
        <f>IF($K1053="","",INDEX(Zeiterfassung!$K$6:$K$3665,$K1053))</f>
        <v/>
      </c>
      <c r="D1053" s="186">
        <f>IF($K1053="","",INDEX(Zeiterfassung!$D$6:$D$3665,$K1053))</f>
        <v/>
      </c>
      <c r="E1053" s="186">
        <f>IF($K1053="","",INDEX(Zeiterfassung!$E$6:$E$3665,$K1053))</f>
        <v/>
      </c>
      <c r="F1053" s="187">
        <f>IF($K1053="","",INDEX(Zeiterfassung!$F$6:$F$3665,$K1053))</f>
        <v/>
      </c>
      <c r="G1053" s="187">
        <f>IF($K1053="","",INDEX(Zeiterfassung!$G$6:$G$3665,$K1053))</f>
        <v/>
      </c>
      <c r="H1053" s="188">
        <f>IF($K1053="","",INDEX(Zeiterfassung!$H$6:$H$3665,$K1053))</f>
        <v/>
      </c>
      <c r="I1053" s="335">
        <f>IF(B1053=B1052,"",IF($K1053="","",INDEX(Zeiterfassung!$I$6:$I$3665,MATCH(INDEX(Zeiterfassung!$K$6:$K$3665,$K1053),Zeiterfassung!$K$6:$K$3665,0))))</f>
        <v/>
      </c>
      <c r="J1053" s="335">
        <f>IF(B1053=B1052,"",IF($K1053="","",INDEX(Zeiterfassung!$J$6:$J$3665,MATCH(INDEX(Zeiterfassung!$K$6:$K$3665,$K1053),Zeiterfassung!$K$6:$K$3665,0))))</f>
        <v/>
      </c>
      <c r="K1053">
        <f>IFERROR(AGGREGATE(15,6,(ROW(Zeiterfassung!$D$6:$D$3665)-ROW(Zeiterfassung!$D$6)+1)/(Zeiterfassung!$D$6:$D$3665&lt;&gt;""),1048),"")</f>
        <v/>
      </c>
    </row>
    <row r="1054" ht="20" customHeight="1">
      <c r="A1054" s="183">
        <f>IF($K1054="","",WEEKNUM(INDEX(Zeiterfassung!$K$6:$K$3665,$K1054),21))</f>
        <v/>
      </c>
      <c r="B1054" s="184">
        <f>IF($K1054="","",INDEX(Zeiterfassung!$K$6:$K$3665,$K1054))</f>
        <v/>
      </c>
      <c r="C1054" s="185">
        <f>IF($K1054="","",INDEX(Zeiterfassung!$K$6:$K$3665,$K1054))</f>
        <v/>
      </c>
      <c r="D1054" s="186">
        <f>IF($K1054="","",INDEX(Zeiterfassung!$D$6:$D$3665,$K1054))</f>
        <v/>
      </c>
      <c r="E1054" s="186">
        <f>IF($K1054="","",INDEX(Zeiterfassung!$E$6:$E$3665,$K1054))</f>
        <v/>
      </c>
      <c r="F1054" s="187">
        <f>IF($K1054="","",INDEX(Zeiterfassung!$F$6:$F$3665,$K1054))</f>
        <v/>
      </c>
      <c r="G1054" s="187">
        <f>IF($K1054="","",INDEX(Zeiterfassung!$G$6:$G$3665,$K1054))</f>
        <v/>
      </c>
      <c r="H1054" s="188">
        <f>IF($K1054="","",INDEX(Zeiterfassung!$H$6:$H$3665,$K1054))</f>
        <v/>
      </c>
      <c r="I1054" s="335">
        <f>IF(B1054=B1053,"",IF($K1054="","",INDEX(Zeiterfassung!$I$6:$I$3665,MATCH(INDEX(Zeiterfassung!$K$6:$K$3665,$K1054),Zeiterfassung!$K$6:$K$3665,0))))</f>
        <v/>
      </c>
      <c r="J1054" s="335">
        <f>IF(B1054=B1053,"",IF($K1054="","",INDEX(Zeiterfassung!$J$6:$J$3665,MATCH(INDEX(Zeiterfassung!$K$6:$K$3665,$K1054),Zeiterfassung!$K$6:$K$3665,0))))</f>
        <v/>
      </c>
      <c r="K1054">
        <f>IFERROR(AGGREGATE(15,6,(ROW(Zeiterfassung!$D$6:$D$3665)-ROW(Zeiterfassung!$D$6)+1)/(Zeiterfassung!$D$6:$D$3665&lt;&gt;""),1049),"")</f>
        <v/>
      </c>
    </row>
    <row r="1055" ht="20" customHeight="1">
      <c r="A1055" s="183">
        <f>IF($K1055="","",WEEKNUM(INDEX(Zeiterfassung!$K$6:$K$3665,$K1055),21))</f>
        <v/>
      </c>
      <c r="B1055" s="184">
        <f>IF($K1055="","",INDEX(Zeiterfassung!$K$6:$K$3665,$K1055))</f>
        <v/>
      </c>
      <c r="C1055" s="185">
        <f>IF($K1055="","",INDEX(Zeiterfassung!$K$6:$K$3665,$K1055))</f>
        <v/>
      </c>
      <c r="D1055" s="186">
        <f>IF($K1055="","",INDEX(Zeiterfassung!$D$6:$D$3665,$K1055))</f>
        <v/>
      </c>
      <c r="E1055" s="186">
        <f>IF($K1055="","",INDEX(Zeiterfassung!$E$6:$E$3665,$K1055))</f>
        <v/>
      </c>
      <c r="F1055" s="187">
        <f>IF($K1055="","",INDEX(Zeiterfassung!$F$6:$F$3665,$K1055))</f>
        <v/>
      </c>
      <c r="G1055" s="187">
        <f>IF($K1055="","",INDEX(Zeiterfassung!$G$6:$G$3665,$K1055))</f>
        <v/>
      </c>
      <c r="H1055" s="188">
        <f>IF($K1055="","",INDEX(Zeiterfassung!$H$6:$H$3665,$K1055))</f>
        <v/>
      </c>
      <c r="I1055" s="335">
        <f>IF(B1055=B1054,"",IF($K1055="","",INDEX(Zeiterfassung!$I$6:$I$3665,MATCH(INDEX(Zeiterfassung!$K$6:$K$3665,$K1055),Zeiterfassung!$K$6:$K$3665,0))))</f>
        <v/>
      </c>
      <c r="J1055" s="335">
        <f>IF(B1055=B1054,"",IF($K1055="","",INDEX(Zeiterfassung!$J$6:$J$3665,MATCH(INDEX(Zeiterfassung!$K$6:$K$3665,$K1055),Zeiterfassung!$K$6:$K$3665,0))))</f>
        <v/>
      </c>
      <c r="K1055">
        <f>IFERROR(AGGREGATE(15,6,(ROW(Zeiterfassung!$D$6:$D$3665)-ROW(Zeiterfassung!$D$6)+1)/(Zeiterfassung!$D$6:$D$3665&lt;&gt;""),1050),"")</f>
        <v/>
      </c>
    </row>
    <row r="1056" ht="20" customHeight="1">
      <c r="A1056" s="183">
        <f>IF($K1056="","",WEEKNUM(INDEX(Zeiterfassung!$K$6:$K$3665,$K1056),21))</f>
        <v/>
      </c>
      <c r="B1056" s="184">
        <f>IF($K1056="","",INDEX(Zeiterfassung!$K$6:$K$3665,$K1056))</f>
        <v/>
      </c>
      <c r="C1056" s="185">
        <f>IF($K1056="","",INDEX(Zeiterfassung!$K$6:$K$3665,$K1056))</f>
        <v/>
      </c>
      <c r="D1056" s="186">
        <f>IF($K1056="","",INDEX(Zeiterfassung!$D$6:$D$3665,$K1056))</f>
        <v/>
      </c>
      <c r="E1056" s="186">
        <f>IF($K1056="","",INDEX(Zeiterfassung!$E$6:$E$3665,$K1056))</f>
        <v/>
      </c>
      <c r="F1056" s="187">
        <f>IF($K1056="","",INDEX(Zeiterfassung!$F$6:$F$3665,$K1056))</f>
        <v/>
      </c>
      <c r="G1056" s="187">
        <f>IF($K1056="","",INDEX(Zeiterfassung!$G$6:$G$3665,$K1056))</f>
        <v/>
      </c>
      <c r="H1056" s="188">
        <f>IF($K1056="","",INDEX(Zeiterfassung!$H$6:$H$3665,$K1056))</f>
        <v/>
      </c>
      <c r="I1056" s="335">
        <f>IF(B1056=B1055,"",IF($K1056="","",INDEX(Zeiterfassung!$I$6:$I$3665,MATCH(INDEX(Zeiterfassung!$K$6:$K$3665,$K1056),Zeiterfassung!$K$6:$K$3665,0))))</f>
        <v/>
      </c>
      <c r="J1056" s="335">
        <f>IF(B1056=B1055,"",IF($K1056="","",INDEX(Zeiterfassung!$J$6:$J$3665,MATCH(INDEX(Zeiterfassung!$K$6:$K$3665,$K1056),Zeiterfassung!$K$6:$K$3665,0))))</f>
        <v/>
      </c>
      <c r="K1056">
        <f>IFERROR(AGGREGATE(15,6,(ROW(Zeiterfassung!$D$6:$D$3665)-ROW(Zeiterfassung!$D$6)+1)/(Zeiterfassung!$D$6:$D$3665&lt;&gt;""),1051),"")</f>
        <v/>
      </c>
    </row>
    <row r="1057" ht="20" customHeight="1">
      <c r="A1057" s="183">
        <f>IF($K1057="","",WEEKNUM(INDEX(Zeiterfassung!$K$6:$K$3665,$K1057),21))</f>
        <v/>
      </c>
      <c r="B1057" s="184">
        <f>IF($K1057="","",INDEX(Zeiterfassung!$K$6:$K$3665,$K1057))</f>
        <v/>
      </c>
      <c r="C1057" s="185">
        <f>IF($K1057="","",INDEX(Zeiterfassung!$K$6:$K$3665,$K1057))</f>
        <v/>
      </c>
      <c r="D1057" s="186">
        <f>IF($K1057="","",INDEX(Zeiterfassung!$D$6:$D$3665,$K1057))</f>
        <v/>
      </c>
      <c r="E1057" s="186">
        <f>IF($K1057="","",INDEX(Zeiterfassung!$E$6:$E$3665,$K1057))</f>
        <v/>
      </c>
      <c r="F1057" s="187">
        <f>IF($K1057="","",INDEX(Zeiterfassung!$F$6:$F$3665,$K1057))</f>
        <v/>
      </c>
      <c r="G1057" s="187">
        <f>IF($K1057="","",INDEX(Zeiterfassung!$G$6:$G$3665,$K1057))</f>
        <v/>
      </c>
      <c r="H1057" s="188">
        <f>IF($K1057="","",INDEX(Zeiterfassung!$H$6:$H$3665,$K1057))</f>
        <v/>
      </c>
      <c r="I1057" s="335">
        <f>IF(B1057=B1056,"",IF($K1057="","",INDEX(Zeiterfassung!$I$6:$I$3665,MATCH(INDEX(Zeiterfassung!$K$6:$K$3665,$K1057),Zeiterfassung!$K$6:$K$3665,0))))</f>
        <v/>
      </c>
      <c r="J1057" s="335">
        <f>IF(B1057=B1056,"",IF($K1057="","",INDEX(Zeiterfassung!$J$6:$J$3665,MATCH(INDEX(Zeiterfassung!$K$6:$K$3665,$K1057),Zeiterfassung!$K$6:$K$3665,0))))</f>
        <v/>
      </c>
      <c r="K1057">
        <f>IFERROR(AGGREGATE(15,6,(ROW(Zeiterfassung!$D$6:$D$3665)-ROW(Zeiterfassung!$D$6)+1)/(Zeiterfassung!$D$6:$D$3665&lt;&gt;""),1052),"")</f>
        <v/>
      </c>
    </row>
    <row r="1058" ht="20" customHeight="1">
      <c r="A1058" s="183">
        <f>IF($K1058="","",WEEKNUM(INDEX(Zeiterfassung!$K$6:$K$3665,$K1058),21))</f>
        <v/>
      </c>
      <c r="B1058" s="184">
        <f>IF($K1058="","",INDEX(Zeiterfassung!$K$6:$K$3665,$K1058))</f>
        <v/>
      </c>
      <c r="C1058" s="185">
        <f>IF($K1058="","",INDEX(Zeiterfassung!$K$6:$K$3665,$K1058))</f>
        <v/>
      </c>
      <c r="D1058" s="186">
        <f>IF($K1058="","",INDEX(Zeiterfassung!$D$6:$D$3665,$K1058))</f>
        <v/>
      </c>
      <c r="E1058" s="186">
        <f>IF($K1058="","",INDEX(Zeiterfassung!$E$6:$E$3665,$K1058))</f>
        <v/>
      </c>
      <c r="F1058" s="187">
        <f>IF($K1058="","",INDEX(Zeiterfassung!$F$6:$F$3665,$K1058))</f>
        <v/>
      </c>
      <c r="G1058" s="187">
        <f>IF($K1058="","",INDEX(Zeiterfassung!$G$6:$G$3665,$K1058))</f>
        <v/>
      </c>
      <c r="H1058" s="188">
        <f>IF($K1058="","",INDEX(Zeiterfassung!$H$6:$H$3665,$K1058))</f>
        <v/>
      </c>
      <c r="I1058" s="335">
        <f>IF(B1058=B1057,"",IF($K1058="","",INDEX(Zeiterfassung!$I$6:$I$3665,MATCH(INDEX(Zeiterfassung!$K$6:$K$3665,$K1058),Zeiterfassung!$K$6:$K$3665,0))))</f>
        <v/>
      </c>
      <c r="J1058" s="335">
        <f>IF(B1058=B1057,"",IF($K1058="","",INDEX(Zeiterfassung!$J$6:$J$3665,MATCH(INDEX(Zeiterfassung!$K$6:$K$3665,$K1058),Zeiterfassung!$K$6:$K$3665,0))))</f>
        <v/>
      </c>
      <c r="K1058">
        <f>IFERROR(AGGREGATE(15,6,(ROW(Zeiterfassung!$D$6:$D$3665)-ROW(Zeiterfassung!$D$6)+1)/(Zeiterfassung!$D$6:$D$3665&lt;&gt;""),1053),"")</f>
        <v/>
      </c>
    </row>
    <row r="1059" ht="20" customHeight="1">
      <c r="A1059" s="183">
        <f>IF($K1059="","",WEEKNUM(INDEX(Zeiterfassung!$K$6:$K$3665,$K1059),21))</f>
        <v/>
      </c>
      <c r="B1059" s="184">
        <f>IF($K1059="","",INDEX(Zeiterfassung!$K$6:$K$3665,$K1059))</f>
        <v/>
      </c>
      <c r="C1059" s="185">
        <f>IF($K1059="","",INDEX(Zeiterfassung!$K$6:$K$3665,$K1059))</f>
        <v/>
      </c>
      <c r="D1059" s="186">
        <f>IF($K1059="","",INDEX(Zeiterfassung!$D$6:$D$3665,$K1059))</f>
        <v/>
      </c>
      <c r="E1059" s="186">
        <f>IF($K1059="","",INDEX(Zeiterfassung!$E$6:$E$3665,$K1059))</f>
        <v/>
      </c>
      <c r="F1059" s="187">
        <f>IF($K1059="","",INDEX(Zeiterfassung!$F$6:$F$3665,$K1059))</f>
        <v/>
      </c>
      <c r="G1059" s="187">
        <f>IF($K1059="","",INDEX(Zeiterfassung!$G$6:$G$3665,$K1059))</f>
        <v/>
      </c>
      <c r="H1059" s="188">
        <f>IF($K1059="","",INDEX(Zeiterfassung!$H$6:$H$3665,$K1059))</f>
        <v/>
      </c>
      <c r="I1059" s="335">
        <f>IF(B1059=B1058,"",IF($K1059="","",INDEX(Zeiterfassung!$I$6:$I$3665,MATCH(INDEX(Zeiterfassung!$K$6:$K$3665,$K1059),Zeiterfassung!$K$6:$K$3665,0))))</f>
        <v/>
      </c>
      <c r="J1059" s="335">
        <f>IF(B1059=B1058,"",IF($K1059="","",INDEX(Zeiterfassung!$J$6:$J$3665,MATCH(INDEX(Zeiterfassung!$K$6:$K$3665,$K1059),Zeiterfassung!$K$6:$K$3665,0))))</f>
        <v/>
      </c>
      <c r="K1059">
        <f>IFERROR(AGGREGATE(15,6,(ROW(Zeiterfassung!$D$6:$D$3665)-ROW(Zeiterfassung!$D$6)+1)/(Zeiterfassung!$D$6:$D$3665&lt;&gt;""),1054),"")</f>
        <v/>
      </c>
    </row>
    <row r="1060" ht="20" customHeight="1">
      <c r="A1060" s="183">
        <f>IF($K1060="","",WEEKNUM(INDEX(Zeiterfassung!$K$6:$K$3665,$K1060),21))</f>
        <v/>
      </c>
      <c r="B1060" s="184">
        <f>IF($K1060="","",INDEX(Zeiterfassung!$K$6:$K$3665,$K1060))</f>
        <v/>
      </c>
      <c r="C1060" s="185">
        <f>IF($K1060="","",INDEX(Zeiterfassung!$K$6:$K$3665,$K1060))</f>
        <v/>
      </c>
      <c r="D1060" s="186">
        <f>IF($K1060="","",INDEX(Zeiterfassung!$D$6:$D$3665,$K1060))</f>
        <v/>
      </c>
      <c r="E1060" s="186">
        <f>IF($K1060="","",INDEX(Zeiterfassung!$E$6:$E$3665,$K1060))</f>
        <v/>
      </c>
      <c r="F1060" s="187">
        <f>IF($K1060="","",INDEX(Zeiterfassung!$F$6:$F$3665,$K1060))</f>
        <v/>
      </c>
      <c r="G1060" s="187">
        <f>IF($K1060="","",INDEX(Zeiterfassung!$G$6:$G$3665,$K1060))</f>
        <v/>
      </c>
      <c r="H1060" s="188">
        <f>IF($K1060="","",INDEX(Zeiterfassung!$H$6:$H$3665,$K1060))</f>
        <v/>
      </c>
      <c r="I1060" s="335">
        <f>IF(B1060=B1059,"",IF($K1060="","",INDEX(Zeiterfassung!$I$6:$I$3665,MATCH(INDEX(Zeiterfassung!$K$6:$K$3665,$K1060),Zeiterfassung!$K$6:$K$3665,0))))</f>
        <v/>
      </c>
      <c r="J1060" s="335">
        <f>IF(B1060=B1059,"",IF($K1060="","",INDEX(Zeiterfassung!$J$6:$J$3665,MATCH(INDEX(Zeiterfassung!$K$6:$K$3665,$K1060),Zeiterfassung!$K$6:$K$3665,0))))</f>
        <v/>
      </c>
      <c r="K1060">
        <f>IFERROR(AGGREGATE(15,6,(ROW(Zeiterfassung!$D$6:$D$3665)-ROW(Zeiterfassung!$D$6)+1)/(Zeiterfassung!$D$6:$D$3665&lt;&gt;""),1055),"")</f>
        <v/>
      </c>
    </row>
    <row r="1061" ht="20" customHeight="1">
      <c r="A1061" s="183">
        <f>IF($K1061="","",WEEKNUM(INDEX(Zeiterfassung!$K$6:$K$3665,$K1061),21))</f>
        <v/>
      </c>
      <c r="B1061" s="184">
        <f>IF($K1061="","",INDEX(Zeiterfassung!$K$6:$K$3665,$K1061))</f>
        <v/>
      </c>
      <c r="C1061" s="185">
        <f>IF($K1061="","",INDEX(Zeiterfassung!$K$6:$K$3665,$K1061))</f>
        <v/>
      </c>
      <c r="D1061" s="186">
        <f>IF($K1061="","",INDEX(Zeiterfassung!$D$6:$D$3665,$K1061))</f>
        <v/>
      </c>
      <c r="E1061" s="186">
        <f>IF($K1061="","",INDEX(Zeiterfassung!$E$6:$E$3665,$K1061))</f>
        <v/>
      </c>
      <c r="F1061" s="187">
        <f>IF($K1061="","",INDEX(Zeiterfassung!$F$6:$F$3665,$K1061))</f>
        <v/>
      </c>
      <c r="G1061" s="187">
        <f>IF($K1061="","",INDEX(Zeiterfassung!$G$6:$G$3665,$K1061))</f>
        <v/>
      </c>
      <c r="H1061" s="188">
        <f>IF($K1061="","",INDEX(Zeiterfassung!$H$6:$H$3665,$K1061))</f>
        <v/>
      </c>
      <c r="I1061" s="335">
        <f>IF(B1061=B1060,"",IF($K1061="","",INDEX(Zeiterfassung!$I$6:$I$3665,MATCH(INDEX(Zeiterfassung!$K$6:$K$3665,$K1061),Zeiterfassung!$K$6:$K$3665,0))))</f>
        <v/>
      </c>
      <c r="J1061" s="335">
        <f>IF(B1061=B1060,"",IF($K1061="","",INDEX(Zeiterfassung!$J$6:$J$3665,MATCH(INDEX(Zeiterfassung!$K$6:$K$3665,$K1061),Zeiterfassung!$K$6:$K$3665,0))))</f>
        <v/>
      </c>
      <c r="K1061">
        <f>IFERROR(AGGREGATE(15,6,(ROW(Zeiterfassung!$D$6:$D$3665)-ROW(Zeiterfassung!$D$6)+1)/(Zeiterfassung!$D$6:$D$3665&lt;&gt;""),1056),"")</f>
        <v/>
      </c>
    </row>
    <row r="1062" ht="20" customHeight="1">
      <c r="A1062" s="183">
        <f>IF($K1062="","",WEEKNUM(INDEX(Zeiterfassung!$K$6:$K$3665,$K1062),21))</f>
        <v/>
      </c>
      <c r="B1062" s="184">
        <f>IF($K1062="","",INDEX(Zeiterfassung!$K$6:$K$3665,$K1062))</f>
        <v/>
      </c>
      <c r="C1062" s="185">
        <f>IF($K1062="","",INDEX(Zeiterfassung!$K$6:$K$3665,$K1062))</f>
        <v/>
      </c>
      <c r="D1062" s="186">
        <f>IF($K1062="","",INDEX(Zeiterfassung!$D$6:$D$3665,$K1062))</f>
        <v/>
      </c>
      <c r="E1062" s="186">
        <f>IF($K1062="","",INDEX(Zeiterfassung!$E$6:$E$3665,$K1062))</f>
        <v/>
      </c>
      <c r="F1062" s="187">
        <f>IF($K1062="","",INDEX(Zeiterfassung!$F$6:$F$3665,$K1062))</f>
        <v/>
      </c>
      <c r="G1062" s="187">
        <f>IF($K1062="","",INDEX(Zeiterfassung!$G$6:$G$3665,$K1062))</f>
        <v/>
      </c>
      <c r="H1062" s="188">
        <f>IF($K1062="","",INDEX(Zeiterfassung!$H$6:$H$3665,$K1062))</f>
        <v/>
      </c>
      <c r="I1062" s="335">
        <f>IF(B1062=B1061,"",IF($K1062="","",INDEX(Zeiterfassung!$I$6:$I$3665,MATCH(INDEX(Zeiterfassung!$K$6:$K$3665,$K1062),Zeiterfassung!$K$6:$K$3665,0))))</f>
        <v/>
      </c>
      <c r="J1062" s="335">
        <f>IF(B1062=B1061,"",IF($K1062="","",INDEX(Zeiterfassung!$J$6:$J$3665,MATCH(INDEX(Zeiterfassung!$K$6:$K$3665,$K1062),Zeiterfassung!$K$6:$K$3665,0))))</f>
        <v/>
      </c>
      <c r="K1062">
        <f>IFERROR(AGGREGATE(15,6,(ROW(Zeiterfassung!$D$6:$D$3665)-ROW(Zeiterfassung!$D$6)+1)/(Zeiterfassung!$D$6:$D$3665&lt;&gt;""),1057),"")</f>
        <v/>
      </c>
    </row>
    <row r="1063" ht="20" customHeight="1">
      <c r="A1063" s="183">
        <f>IF($K1063="","",WEEKNUM(INDEX(Zeiterfassung!$K$6:$K$3665,$K1063),21))</f>
        <v/>
      </c>
      <c r="B1063" s="184">
        <f>IF($K1063="","",INDEX(Zeiterfassung!$K$6:$K$3665,$K1063))</f>
        <v/>
      </c>
      <c r="C1063" s="185">
        <f>IF($K1063="","",INDEX(Zeiterfassung!$K$6:$K$3665,$K1063))</f>
        <v/>
      </c>
      <c r="D1063" s="186">
        <f>IF($K1063="","",INDEX(Zeiterfassung!$D$6:$D$3665,$K1063))</f>
        <v/>
      </c>
      <c r="E1063" s="186">
        <f>IF($K1063="","",INDEX(Zeiterfassung!$E$6:$E$3665,$K1063))</f>
        <v/>
      </c>
      <c r="F1063" s="187">
        <f>IF($K1063="","",INDEX(Zeiterfassung!$F$6:$F$3665,$K1063))</f>
        <v/>
      </c>
      <c r="G1063" s="187">
        <f>IF($K1063="","",INDEX(Zeiterfassung!$G$6:$G$3665,$K1063))</f>
        <v/>
      </c>
      <c r="H1063" s="188">
        <f>IF($K1063="","",INDEX(Zeiterfassung!$H$6:$H$3665,$K1063))</f>
        <v/>
      </c>
      <c r="I1063" s="335">
        <f>IF(B1063=B1062,"",IF($K1063="","",INDEX(Zeiterfassung!$I$6:$I$3665,MATCH(INDEX(Zeiterfassung!$K$6:$K$3665,$K1063),Zeiterfassung!$K$6:$K$3665,0))))</f>
        <v/>
      </c>
      <c r="J1063" s="335">
        <f>IF(B1063=B1062,"",IF($K1063="","",INDEX(Zeiterfassung!$J$6:$J$3665,MATCH(INDEX(Zeiterfassung!$K$6:$K$3665,$K1063),Zeiterfassung!$K$6:$K$3665,0))))</f>
        <v/>
      </c>
      <c r="K1063">
        <f>IFERROR(AGGREGATE(15,6,(ROW(Zeiterfassung!$D$6:$D$3665)-ROW(Zeiterfassung!$D$6)+1)/(Zeiterfassung!$D$6:$D$3665&lt;&gt;""),1058),"")</f>
        <v/>
      </c>
    </row>
    <row r="1064" ht="20" customHeight="1">
      <c r="A1064" s="183">
        <f>IF($K1064="","",WEEKNUM(INDEX(Zeiterfassung!$K$6:$K$3665,$K1064),21))</f>
        <v/>
      </c>
      <c r="B1064" s="184">
        <f>IF($K1064="","",INDEX(Zeiterfassung!$K$6:$K$3665,$K1064))</f>
        <v/>
      </c>
      <c r="C1064" s="185">
        <f>IF($K1064="","",INDEX(Zeiterfassung!$K$6:$K$3665,$K1064))</f>
        <v/>
      </c>
      <c r="D1064" s="186">
        <f>IF($K1064="","",INDEX(Zeiterfassung!$D$6:$D$3665,$K1064))</f>
        <v/>
      </c>
      <c r="E1064" s="186">
        <f>IF($K1064="","",INDEX(Zeiterfassung!$E$6:$E$3665,$K1064))</f>
        <v/>
      </c>
      <c r="F1064" s="187">
        <f>IF($K1064="","",INDEX(Zeiterfassung!$F$6:$F$3665,$K1064))</f>
        <v/>
      </c>
      <c r="G1064" s="187">
        <f>IF($K1064="","",INDEX(Zeiterfassung!$G$6:$G$3665,$K1064))</f>
        <v/>
      </c>
      <c r="H1064" s="188">
        <f>IF($K1064="","",INDEX(Zeiterfassung!$H$6:$H$3665,$K1064))</f>
        <v/>
      </c>
      <c r="I1064" s="335">
        <f>IF(B1064=B1063,"",IF($K1064="","",INDEX(Zeiterfassung!$I$6:$I$3665,MATCH(INDEX(Zeiterfassung!$K$6:$K$3665,$K1064),Zeiterfassung!$K$6:$K$3665,0))))</f>
        <v/>
      </c>
      <c r="J1064" s="335">
        <f>IF(B1064=B1063,"",IF($K1064="","",INDEX(Zeiterfassung!$J$6:$J$3665,MATCH(INDEX(Zeiterfassung!$K$6:$K$3665,$K1064),Zeiterfassung!$K$6:$K$3665,0))))</f>
        <v/>
      </c>
      <c r="K1064">
        <f>IFERROR(AGGREGATE(15,6,(ROW(Zeiterfassung!$D$6:$D$3665)-ROW(Zeiterfassung!$D$6)+1)/(Zeiterfassung!$D$6:$D$3665&lt;&gt;""),1059),"")</f>
        <v/>
      </c>
    </row>
    <row r="1065" ht="20" customHeight="1">
      <c r="A1065" s="183">
        <f>IF($K1065="","",WEEKNUM(INDEX(Zeiterfassung!$K$6:$K$3665,$K1065),21))</f>
        <v/>
      </c>
      <c r="B1065" s="184">
        <f>IF($K1065="","",INDEX(Zeiterfassung!$K$6:$K$3665,$K1065))</f>
        <v/>
      </c>
      <c r="C1065" s="185">
        <f>IF($K1065="","",INDEX(Zeiterfassung!$K$6:$K$3665,$K1065))</f>
        <v/>
      </c>
      <c r="D1065" s="186">
        <f>IF($K1065="","",INDEX(Zeiterfassung!$D$6:$D$3665,$K1065))</f>
        <v/>
      </c>
      <c r="E1065" s="186">
        <f>IF($K1065="","",INDEX(Zeiterfassung!$E$6:$E$3665,$K1065))</f>
        <v/>
      </c>
      <c r="F1065" s="187">
        <f>IF($K1065="","",INDEX(Zeiterfassung!$F$6:$F$3665,$K1065))</f>
        <v/>
      </c>
      <c r="G1065" s="187">
        <f>IF($K1065="","",INDEX(Zeiterfassung!$G$6:$G$3665,$K1065))</f>
        <v/>
      </c>
      <c r="H1065" s="188">
        <f>IF($K1065="","",INDEX(Zeiterfassung!$H$6:$H$3665,$K1065))</f>
        <v/>
      </c>
      <c r="I1065" s="335">
        <f>IF(B1065=B1064,"",IF($K1065="","",INDEX(Zeiterfassung!$I$6:$I$3665,MATCH(INDEX(Zeiterfassung!$K$6:$K$3665,$K1065),Zeiterfassung!$K$6:$K$3665,0))))</f>
        <v/>
      </c>
      <c r="J1065" s="335">
        <f>IF(B1065=B1064,"",IF($K1065="","",INDEX(Zeiterfassung!$J$6:$J$3665,MATCH(INDEX(Zeiterfassung!$K$6:$K$3665,$K1065),Zeiterfassung!$K$6:$K$3665,0))))</f>
        <v/>
      </c>
      <c r="K1065">
        <f>IFERROR(AGGREGATE(15,6,(ROW(Zeiterfassung!$D$6:$D$3665)-ROW(Zeiterfassung!$D$6)+1)/(Zeiterfassung!$D$6:$D$3665&lt;&gt;""),1060),"")</f>
        <v/>
      </c>
    </row>
    <row r="1066" ht="20" customHeight="1">
      <c r="A1066" s="183">
        <f>IF($K1066="","",WEEKNUM(INDEX(Zeiterfassung!$K$6:$K$3665,$K1066),21))</f>
        <v/>
      </c>
      <c r="B1066" s="184">
        <f>IF($K1066="","",INDEX(Zeiterfassung!$K$6:$K$3665,$K1066))</f>
        <v/>
      </c>
      <c r="C1066" s="185">
        <f>IF($K1066="","",INDEX(Zeiterfassung!$K$6:$K$3665,$K1066))</f>
        <v/>
      </c>
      <c r="D1066" s="186">
        <f>IF($K1066="","",INDEX(Zeiterfassung!$D$6:$D$3665,$K1066))</f>
        <v/>
      </c>
      <c r="E1066" s="186">
        <f>IF($K1066="","",INDEX(Zeiterfassung!$E$6:$E$3665,$K1066))</f>
        <v/>
      </c>
      <c r="F1066" s="187">
        <f>IF($K1066="","",INDEX(Zeiterfassung!$F$6:$F$3665,$K1066))</f>
        <v/>
      </c>
      <c r="G1066" s="187">
        <f>IF($K1066="","",INDEX(Zeiterfassung!$G$6:$G$3665,$K1066))</f>
        <v/>
      </c>
      <c r="H1066" s="188">
        <f>IF($K1066="","",INDEX(Zeiterfassung!$H$6:$H$3665,$K1066))</f>
        <v/>
      </c>
      <c r="I1066" s="335">
        <f>IF(B1066=B1065,"",IF($K1066="","",INDEX(Zeiterfassung!$I$6:$I$3665,MATCH(INDEX(Zeiterfassung!$K$6:$K$3665,$K1066),Zeiterfassung!$K$6:$K$3665,0))))</f>
        <v/>
      </c>
      <c r="J1066" s="335">
        <f>IF(B1066=B1065,"",IF($K1066="","",INDEX(Zeiterfassung!$J$6:$J$3665,MATCH(INDEX(Zeiterfassung!$K$6:$K$3665,$K1066),Zeiterfassung!$K$6:$K$3665,0))))</f>
        <v/>
      </c>
      <c r="K1066">
        <f>IFERROR(AGGREGATE(15,6,(ROW(Zeiterfassung!$D$6:$D$3665)-ROW(Zeiterfassung!$D$6)+1)/(Zeiterfassung!$D$6:$D$3665&lt;&gt;""),1061),"")</f>
        <v/>
      </c>
    </row>
    <row r="1067" ht="20" customHeight="1">
      <c r="A1067" s="183">
        <f>IF($K1067="","",WEEKNUM(INDEX(Zeiterfassung!$K$6:$K$3665,$K1067),21))</f>
        <v/>
      </c>
      <c r="B1067" s="184">
        <f>IF($K1067="","",INDEX(Zeiterfassung!$K$6:$K$3665,$K1067))</f>
        <v/>
      </c>
      <c r="C1067" s="185">
        <f>IF($K1067="","",INDEX(Zeiterfassung!$K$6:$K$3665,$K1067))</f>
        <v/>
      </c>
      <c r="D1067" s="186">
        <f>IF($K1067="","",INDEX(Zeiterfassung!$D$6:$D$3665,$K1067))</f>
        <v/>
      </c>
      <c r="E1067" s="186">
        <f>IF($K1067="","",INDEX(Zeiterfassung!$E$6:$E$3665,$K1067))</f>
        <v/>
      </c>
      <c r="F1067" s="187">
        <f>IF($K1067="","",INDEX(Zeiterfassung!$F$6:$F$3665,$K1067))</f>
        <v/>
      </c>
      <c r="G1067" s="187">
        <f>IF($K1067="","",INDEX(Zeiterfassung!$G$6:$G$3665,$K1067))</f>
        <v/>
      </c>
      <c r="H1067" s="188">
        <f>IF($K1067="","",INDEX(Zeiterfassung!$H$6:$H$3665,$K1067))</f>
        <v/>
      </c>
      <c r="I1067" s="335">
        <f>IF(B1067=B1066,"",IF($K1067="","",INDEX(Zeiterfassung!$I$6:$I$3665,MATCH(INDEX(Zeiterfassung!$K$6:$K$3665,$K1067),Zeiterfassung!$K$6:$K$3665,0))))</f>
        <v/>
      </c>
      <c r="J1067" s="335">
        <f>IF(B1067=B1066,"",IF($K1067="","",INDEX(Zeiterfassung!$J$6:$J$3665,MATCH(INDEX(Zeiterfassung!$K$6:$K$3665,$K1067),Zeiterfassung!$K$6:$K$3665,0))))</f>
        <v/>
      </c>
      <c r="K1067">
        <f>IFERROR(AGGREGATE(15,6,(ROW(Zeiterfassung!$D$6:$D$3665)-ROW(Zeiterfassung!$D$6)+1)/(Zeiterfassung!$D$6:$D$3665&lt;&gt;""),1062),"")</f>
        <v/>
      </c>
    </row>
    <row r="1068" ht="20" customHeight="1">
      <c r="A1068" s="183">
        <f>IF($K1068="","",WEEKNUM(INDEX(Zeiterfassung!$K$6:$K$3665,$K1068),21))</f>
        <v/>
      </c>
      <c r="B1068" s="184">
        <f>IF($K1068="","",INDEX(Zeiterfassung!$K$6:$K$3665,$K1068))</f>
        <v/>
      </c>
      <c r="C1068" s="185">
        <f>IF($K1068="","",INDEX(Zeiterfassung!$K$6:$K$3665,$K1068))</f>
        <v/>
      </c>
      <c r="D1068" s="186">
        <f>IF($K1068="","",INDEX(Zeiterfassung!$D$6:$D$3665,$K1068))</f>
        <v/>
      </c>
      <c r="E1068" s="186">
        <f>IF($K1068="","",INDEX(Zeiterfassung!$E$6:$E$3665,$K1068))</f>
        <v/>
      </c>
      <c r="F1068" s="187">
        <f>IF($K1068="","",INDEX(Zeiterfassung!$F$6:$F$3665,$K1068))</f>
        <v/>
      </c>
      <c r="G1068" s="187">
        <f>IF($K1068="","",INDEX(Zeiterfassung!$G$6:$G$3665,$K1068))</f>
        <v/>
      </c>
      <c r="H1068" s="188">
        <f>IF($K1068="","",INDEX(Zeiterfassung!$H$6:$H$3665,$K1068))</f>
        <v/>
      </c>
      <c r="I1068" s="335">
        <f>IF(B1068=B1067,"",IF($K1068="","",INDEX(Zeiterfassung!$I$6:$I$3665,MATCH(INDEX(Zeiterfassung!$K$6:$K$3665,$K1068),Zeiterfassung!$K$6:$K$3665,0))))</f>
        <v/>
      </c>
      <c r="J1068" s="335">
        <f>IF(B1068=B1067,"",IF($K1068="","",INDEX(Zeiterfassung!$J$6:$J$3665,MATCH(INDEX(Zeiterfassung!$K$6:$K$3665,$K1068),Zeiterfassung!$K$6:$K$3665,0))))</f>
        <v/>
      </c>
      <c r="K1068">
        <f>IFERROR(AGGREGATE(15,6,(ROW(Zeiterfassung!$D$6:$D$3665)-ROW(Zeiterfassung!$D$6)+1)/(Zeiterfassung!$D$6:$D$3665&lt;&gt;""),1063),"")</f>
        <v/>
      </c>
    </row>
    <row r="1069" ht="20" customHeight="1">
      <c r="A1069" s="183">
        <f>IF($K1069="","",WEEKNUM(INDEX(Zeiterfassung!$K$6:$K$3665,$K1069),21))</f>
        <v/>
      </c>
      <c r="B1069" s="184">
        <f>IF($K1069="","",INDEX(Zeiterfassung!$K$6:$K$3665,$K1069))</f>
        <v/>
      </c>
      <c r="C1069" s="185">
        <f>IF($K1069="","",INDEX(Zeiterfassung!$K$6:$K$3665,$K1069))</f>
        <v/>
      </c>
      <c r="D1069" s="186">
        <f>IF($K1069="","",INDEX(Zeiterfassung!$D$6:$D$3665,$K1069))</f>
        <v/>
      </c>
      <c r="E1069" s="186">
        <f>IF($K1069="","",INDEX(Zeiterfassung!$E$6:$E$3665,$K1069))</f>
        <v/>
      </c>
      <c r="F1069" s="187">
        <f>IF($K1069="","",INDEX(Zeiterfassung!$F$6:$F$3665,$K1069))</f>
        <v/>
      </c>
      <c r="G1069" s="187">
        <f>IF($K1069="","",INDEX(Zeiterfassung!$G$6:$G$3665,$K1069))</f>
        <v/>
      </c>
      <c r="H1069" s="188">
        <f>IF($K1069="","",INDEX(Zeiterfassung!$H$6:$H$3665,$K1069))</f>
        <v/>
      </c>
      <c r="I1069" s="335">
        <f>IF(B1069=B1068,"",IF($K1069="","",INDEX(Zeiterfassung!$I$6:$I$3665,MATCH(INDEX(Zeiterfassung!$K$6:$K$3665,$K1069),Zeiterfassung!$K$6:$K$3665,0))))</f>
        <v/>
      </c>
      <c r="J1069" s="335">
        <f>IF(B1069=B1068,"",IF($K1069="","",INDEX(Zeiterfassung!$J$6:$J$3665,MATCH(INDEX(Zeiterfassung!$K$6:$K$3665,$K1069),Zeiterfassung!$K$6:$K$3665,0))))</f>
        <v/>
      </c>
      <c r="K1069">
        <f>IFERROR(AGGREGATE(15,6,(ROW(Zeiterfassung!$D$6:$D$3665)-ROW(Zeiterfassung!$D$6)+1)/(Zeiterfassung!$D$6:$D$3665&lt;&gt;""),1064),"")</f>
        <v/>
      </c>
    </row>
    <row r="1070" ht="20" customHeight="1">
      <c r="A1070" s="183">
        <f>IF($K1070="","",WEEKNUM(INDEX(Zeiterfassung!$K$6:$K$3665,$K1070),21))</f>
        <v/>
      </c>
      <c r="B1070" s="184">
        <f>IF($K1070="","",INDEX(Zeiterfassung!$K$6:$K$3665,$K1070))</f>
        <v/>
      </c>
      <c r="C1070" s="185">
        <f>IF($K1070="","",INDEX(Zeiterfassung!$K$6:$K$3665,$K1070))</f>
        <v/>
      </c>
      <c r="D1070" s="186">
        <f>IF($K1070="","",INDEX(Zeiterfassung!$D$6:$D$3665,$K1070))</f>
        <v/>
      </c>
      <c r="E1070" s="186">
        <f>IF($K1070="","",INDEX(Zeiterfassung!$E$6:$E$3665,$K1070))</f>
        <v/>
      </c>
      <c r="F1070" s="187">
        <f>IF($K1070="","",INDEX(Zeiterfassung!$F$6:$F$3665,$K1070))</f>
        <v/>
      </c>
      <c r="G1070" s="187">
        <f>IF($K1070="","",INDEX(Zeiterfassung!$G$6:$G$3665,$K1070))</f>
        <v/>
      </c>
      <c r="H1070" s="188">
        <f>IF($K1070="","",INDEX(Zeiterfassung!$H$6:$H$3665,$K1070))</f>
        <v/>
      </c>
      <c r="I1070" s="335">
        <f>IF(B1070=B1069,"",IF($K1070="","",INDEX(Zeiterfassung!$I$6:$I$3665,MATCH(INDEX(Zeiterfassung!$K$6:$K$3665,$K1070),Zeiterfassung!$K$6:$K$3665,0))))</f>
        <v/>
      </c>
      <c r="J1070" s="335">
        <f>IF(B1070=B1069,"",IF($K1070="","",INDEX(Zeiterfassung!$J$6:$J$3665,MATCH(INDEX(Zeiterfassung!$K$6:$K$3665,$K1070),Zeiterfassung!$K$6:$K$3665,0))))</f>
        <v/>
      </c>
      <c r="K1070">
        <f>IFERROR(AGGREGATE(15,6,(ROW(Zeiterfassung!$D$6:$D$3665)-ROW(Zeiterfassung!$D$6)+1)/(Zeiterfassung!$D$6:$D$3665&lt;&gt;""),1065),"")</f>
        <v/>
      </c>
    </row>
    <row r="1071" ht="20" customHeight="1">
      <c r="A1071" s="183">
        <f>IF($K1071="","",WEEKNUM(INDEX(Zeiterfassung!$K$6:$K$3665,$K1071),21))</f>
        <v/>
      </c>
      <c r="B1071" s="184">
        <f>IF($K1071="","",INDEX(Zeiterfassung!$K$6:$K$3665,$K1071))</f>
        <v/>
      </c>
      <c r="C1071" s="185">
        <f>IF($K1071="","",INDEX(Zeiterfassung!$K$6:$K$3665,$K1071))</f>
        <v/>
      </c>
      <c r="D1071" s="186">
        <f>IF($K1071="","",INDEX(Zeiterfassung!$D$6:$D$3665,$K1071))</f>
        <v/>
      </c>
      <c r="E1071" s="186">
        <f>IF($K1071="","",INDEX(Zeiterfassung!$E$6:$E$3665,$K1071))</f>
        <v/>
      </c>
      <c r="F1071" s="187">
        <f>IF($K1071="","",INDEX(Zeiterfassung!$F$6:$F$3665,$K1071))</f>
        <v/>
      </c>
      <c r="G1071" s="187">
        <f>IF($K1071="","",INDEX(Zeiterfassung!$G$6:$G$3665,$K1071))</f>
        <v/>
      </c>
      <c r="H1071" s="188">
        <f>IF($K1071="","",INDEX(Zeiterfassung!$H$6:$H$3665,$K1071))</f>
        <v/>
      </c>
      <c r="I1071" s="335">
        <f>IF(B1071=B1070,"",IF($K1071="","",INDEX(Zeiterfassung!$I$6:$I$3665,MATCH(INDEX(Zeiterfassung!$K$6:$K$3665,$K1071),Zeiterfassung!$K$6:$K$3665,0))))</f>
        <v/>
      </c>
      <c r="J1071" s="335">
        <f>IF(B1071=B1070,"",IF($K1071="","",INDEX(Zeiterfassung!$J$6:$J$3665,MATCH(INDEX(Zeiterfassung!$K$6:$K$3665,$K1071),Zeiterfassung!$K$6:$K$3665,0))))</f>
        <v/>
      </c>
      <c r="K1071">
        <f>IFERROR(AGGREGATE(15,6,(ROW(Zeiterfassung!$D$6:$D$3665)-ROW(Zeiterfassung!$D$6)+1)/(Zeiterfassung!$D$6:$D$3665&lt;&gt;""),1066),"")</f>
        <v/>
      </c>
    </row>
    <row r="1072" ht="20" customHeight="1">
      <c r="A1072" s="183">
        <f>IF($K1072="","",WEEKNUM(INDEX(Zeiterfassung!$K$6:$K$3665,$K1072),21))</f>
        <v/>
      </c>
      <c r="B1072" s="184">
        <f>IF($K1072="","",INDEX(Zeiterfassung!$K$6:$K$3665,$K1072))</f>
        <v/>
      </c>
      <c r="C1072" s="185">
        <f>IF($K1072="","",INDEX(Zeiterfassung!$K$6:$K$3665,$K1072))</f>
        <v/>
      </c>
      <c r="D1072" s="186">
        <f>IF($K1072="","",INDEX(Zeiterfassung!$D$6:$D$3665,$K1072))</f>
        <v/>
      </c>
      <c r="E1072" s="186">
        <f>IF($K1072="","",INDEX(Zeiterfassung!$E$6:$E$3665,$K1072))</f>
        <v/>
      </c>
      <c r="F1072" s="187">
        <f>IF($K1072="","",INDEX(Zeiterfassung!$F$6:$F$3665,$K1072))</f>
        <v/>
      </c>
      <c r="G1072" s="187">
        <f>IF($K1072="","",INDEX(Zeiterfassung!$G$6:$G$3665,$K1072))</f>
        <v/>
      </c>
      <c r="H1072" s="188">
        <f>IF($K1072="","",INDEX(Zeiterfassung!$H$6:$H$3665,$K1072))</f>
        <v/>
      </c>
      <c r="I1072" s="335">
        <f>IF(B1072=B1071,"",IF($K1072="","",INDEX(Zeiterfassung!$I$6:$I$3665,MATCH(INDEX(Zeiterfassung!$K$6:$K$3665,$K1072),Zeiterfassung!$K$6:$K$3665,0))))</f>
        <v/>
      </c>
      <c r="J1072" s="335">
        <f>IF(B1072=B1071,"",IF($K1072="","",INDEX(Zeiterfassung!$J$6:$J$3665,MATCH(INDEX(Zeiterfassung!$K$6:$K$3665,$K1072),Zeiterfassung!$K$6:$K$3665,0))))</f>
        <v/>
      </c>
      <c r="K1072">
        <f>IFERROR(AGGREGATE(15,6,(ROW(Zeiterfassung!$D$6:$D$3665)-ROW(Zeiterfassung!$D$6)+1)/(Zeiterfassung!$D$6:$D$3665&lt;&gt;""),1067),"")</f>
        <v/>
      </c>
    </row>
    <row r="1073" ht="20" customHeight="1">
      <c r="A1073" s="183">
        <f>IF($K1073="","",WEEKNUM(INDEX(Zeiterfassung!$K$6:$K$3665,$K1073),21))</f>
        <v/>
      </c>
      <c r="B1073" s="184">
        <f>IF($K1073="","",INDEX(Zeiterfassung!$K$6:$K$3665,$K1073))</f>
        <v/>
      </c>
      <c r="C1073" s="185">
        <f>IF($K1073="","",INDEX(Zeiterfassung!$K$6:$K$3665,$K1073))</f>
        <v/>
      </c>
      <c r="D1073" s="186">
        <f>IF($K1073="","",INDEX(Zeiterfassung!$D$6:$D$3665,$K1073))</f>
        <v/>
      </c>
      <c r="E1073" s="186">
        <f>IF($K1073="","",INDEX(Zeiterfassung!$E$6:$E$3665,$K1073))</f>
        <v/>
      </c>
      <c r="F1073" s="187">
        <f>IF($K1073="","",INDEX(Zeiterfassung!$F$6:$F$3665,$K1073))</f>
        <v/>
      </c>
      <c r="G1073" s="187">
        <f>IF($K1073="","",INDEX(Zeiterfassung!$G$6:$G$3665,$K1073))</f>
        <v/>
      </c>
      <c r="H1073" s="188">
        <f>IF($K1073="","",INDEX(Zeiterfassung!$H$6:$H$3665,$K1073))</f>
        <v/>
      </c>
      <c r="I1073" s="335">
        <f>IF(B1073=B1072,"",IF($K1073="","",INDEX(Zeiterfassung!$I$6:$I$3665,MATCH(INDEX(Zeiterfassung!$K$6:$K$3665,$K1073),Zeiterfassung!$K$6:$K$3665,0))))</f>
        <v/>
      </c>
      <c r="J1073" s="335">
        <f>IF(B1073=B1072,"",IF($K1073="","",INDEX(Zeiterfassung!$J$6:$J$3665,MATCH(INDEX(Zeiterfassung!$K$6:$K$3665,$K1073),Zeiterfassung!$K$6:$K$3665,0))))</f>
        <v/>
      </c>
      <c r="K1073">
        <f>IFERROR(AGGREGATE(15,6,(ROW(Zeiterfassung!$D$6:$D$3665)-ROW(Zeiterfassung!$D$6)+1)/(Zeiterfassung!$D$6:$D$3665&lt;&gt;""),1068),"")</f>
        <v/>
      </c>
    </row>
    <row r="1074" ht="20" customHeight="1">
      <c r="A1074" s="183">
        <f>IF($K1074="","",WEEKNUM(INDEX(Zeiterfassung!$K$6:$K$3665,$K1074),21))</f>
        <v/>
      </c>
      <c r="B1074" s="184">
        <f>IF($K1074="","",INDEX(Zeiterfassung!$K$6:$K$3665,$K1074))</f>
        <v/>
      </c>
      <c r="C1074" s="185">
        <f>IF($K1074="","",INDEX(Zeiterfassung!$K$6:$K$3665,$K1074))</f>
        <v/>
      </c>
      <c r="D1074" s="186">
        <f>IF($K1074="","",INDEX(Zeiterfassung!$D$6:$D$3665,$K1074))</f>
        <v/>
      </c>
      <c r="E1074" s="186">
        <f>IF($K1074="","",INDEX(Zeiterfassung!$E$6:$E$3665,$K1074))</f>
        <v/>
      </c>
      <c r="F1074" s="187">
        <f>IF($K1074="","",INDEX(Zeiterfassung!$F$6:$F$3665,$K1074))</f>
        <v/>
      </c>
      <c r="G1074" s="187">
        <f>IF($K1074="","",INDEX(Zeiterfassung!$G$6:$G$3665,$K1074))</f>
        <v/>
      </c>
      <c r="H1074" s="188">
        <f>IF($K1074="","",INDEX(Zeiterfassung!$H$6:$H$3665,$K1074))</f>
        <v/>
      </c>
      <c r="I1074" s="335">
        <f>IF(B1074=B1073,"",IF($K1074="","",INDEX(Zeiterfassung!$I$6:$I$3665,MATCH(INDEX(Zeiterfassung!$K$6:$K$3665,$K1074),Zeiterfassung!$K$6:$K$3665,0))))</f>
        <v/>
      </c>
      <c r="J1074" s="335">
        <f>IF(B1074=B1073,"",IF($K1074="","",INDEX(Zeiterfassung!$J$6:$J$3665,MATCH(INDEX(Zeiterfassung!$K$6:$K$3665,$K1074),Zeiterfassung!$K$6:$K$3665,0))))</f>
        <v/>
      </c>
      <c r="K1074">
        <f>IFERROR(AGGREGATE(15,6,(ROW(Zeiterfassung!$D$6:$D$3665)-ROW(Zeiterfassung!$D$6)+1)/(Zeiterfassung!$D$6:$D$3665&lt;&gt;""),1069),"")</f>
        <v/>
      </c>
    </row>
    <row r="1075" ht="20" customHeight="1">
      <c r="A1075" s="183">
        <f>IF($K1075="","",WEEKNUM(INDEX(Zeiterfassung!$K$6:$K$3665,$K1075),21))</f>
        <v/>
      </c>
      <c r="B1075" s="184">
        <f>IF($K1075="","",INDEX(Zeiterfassung!$K$6:$K$3665,$K1075))</f>
        <v/>
      </c>
      <c r="C1075" s="185">
        <f>IF($K1075="","",INDEX(Zeiterfassung!$K$6:$K$3665,$K1075))</f>
        <v/>
      </c>
      <c r="D1075" s="186">
        <f>IF($K1075="","",INDEX(Zeiterfassung!$D$6:$D$3665,$K1075))</f>
        <v/>
      </c>
      <c r="E1075" s="186">
        <f>IF($K1075="","",INDEX(Zeiterfassung!$E$6:$E$3665,$K1075))</f>
        <v/>
      </c>
      <c r="F1075" s="187">
        <f>IF($K1075="","",INDEX(Zeiterfassung!$F$6:$F$3665,$K1075))</f>
        <v/>
      </c>
      <c r="G1075" s="187">
        <f>IF($K1075="","",INDEX(Zeiterfassung!$G$6:$G$3665,$K1075))</f>
        <v/>
      </c>
      <c r="H1075" s="188">
        <f>IF($K1075="","",INDEX(Zeiterfassung!$H$6:$H$3665,$K1075))</f>
        <v/>
      </c>
      <c r="I1075" s="335">
        <f>IF(B1075=B1074,"",IF($K1075="","",INDEX(Zeiterfassung!$I$6:$I$3665,MATCH(INDEX(Zeiterfassung!$K$6:$K$3665,$K1075),Zeiterfassung!$K$6:$K$3665,0))))</f>
        <v/>
      </c>
      <c r="J1075" s="335">
        <f>IF(B1075=B1074,"",IF($K1075="","",INDEX(Zeiterfassung!$J$6:$J$3665,MATCH(INDEX(Zeiterfassung!$K$6:$K$3665,$K1075),Zeiterfassung!$K$6:$K$3665,0))))</f>
        <v/>
      </c>
      <c r="K1075">
        <f>IFERROR(AGGREGATE(15,6,(ROW(Zeiterfassung!$D$6:$D$3665)-ROW(Zeiterfassung!$D$6)+1)/(Zeiterfassung!$D$6:$D$3665&lt;&gt;""),1070),"")</f>
        <v/>
      </c>
    </row>
    <row r="1076" ht="20" customHeight="1">
      <c r="A1076" s="183">
        <f>IF($K1076="","",WEEKNUM(INDEX(Zeiterfassung!$K$6:$K$3665,$K1076),21))</f>
        <v/>
      </c>
      <c r="B1076" s="184">
        <f>IF($K1076="","",INDEX(Zeiterfassung!$K$6:$K$3665,$K1076))</f>
        <v/>
      </c>
      <c r="C1076" s="185">
        <f>IF($K1076="","",INDEX(Zeiterfassung!$K$6:$K$3665,$K1076))</f>
        <v/>
      </c>
      <c r="D1076" s="186">
        <f>IF($K1076="","",INDEX(Zeiterfassung!$D$6:$D$3665,$K1076))</f>
        <v/>
      </c>
      <c r="E1076" s="186">
        <f>IF($K1076="","",INDEX(Zeiterfassung!$E$6:$E$3665,$K1076))</f>
        <v/>
      </c>
      <c r="F1076" s="187">
        <f>IF($K1076="","",INDEX(Zeiterfassung!$F$6:$F$3665,$K1076))</f>
        <v/>
      </c>
      <c r="G1076" s="187">
        <f>IF($K1076="","",INDEX(Zeiterfassung!$G$6:$G$3665,$K1076))</f>
        <v/>
      </c>
      <c r="H1076" s="188">
        <f>IF($K1076="","",INDEX(Zeiterfassung!$H$6:$H$3665,$K1076))</f>
        <v/>
      </c>
      <c r="I1076" s="335">
        <f>IF(B1076=B1075,"",IF($K1076="","",INDEX(Zeiterfassung!$I$6:$I$3665,MATCH(INDEX(Zeiterfassung!$K$6:$K$3665,$K1076),Zeiterfassung!$K$6:$K$3665,0))))</f>
        <v/>
      </c>
      <c r="J1076" s="335">
        <f>IF(B1076=B1075,"",IF($K1076="","",INDEX(Zeiterfassung!$J$6:$J$3665,MATCH(INDEX(Zeiterfassung!$K$6:$K$3665,$K1076),Zeiterfassung!$K$6:$K$3665,0))))</f>
        <v/>
      </c>
      <c r="K1076">
        <f>IFERROR(AGGREGATE(15,6,(ROW(Zeiterfassung!$D$6:$D$3665)-ROW(Zeiterfassung!$D$6)+1)/(Zeiterfassung!$D$6:$D$3665&lt;&gt;""),1071),"")</f>
        <v/>
      </c>
    </row>
    <row r="1077" ht="20" customHeight="1">
      <c r="A1077" s="183">
        <f>IF($K1077="","",WEEKNUM(INDEX(Zeiterfassung!$K$6:$K$3665,$K1077),21))</f>
        <v/>
      </c>
      <c r="B1077" s="184">
        <f>IF($K1077="","",INDEX(Zeiterfassung!$K$6:$K$3665,$K1077))</f>
        <v/>
      </c>
      <c r="C1077" s="185">
        <f>IF($K1077="","",INDEX(Zeiterfassung!$K$6:$K$3665,$K1077))</f>
        <v/>
      </c>
      <c r="D1077" s="186">
        <f>IF($K1077="","",INDEX(Zeiterfassung!$D$6:$D$3665,$K1077))</f>
        <v/>
      </c>
      <c r="E1077" s="186">
        <f>IF($K1077="","",INDEX(Zeiterfassung!$E$6:$E$3665,$K1077))</f>
        <v/>
      </c>
      <c r="F1077" s="187">
        <f>IF($K1077="","",INDEX(Zeiterfassung!$F$6:$F$3665,$K1077))</f>
        <v/>
      </c>
      <c r="G1077" s="187">
        <f>IF($K1077="","",INDEX(Zeiterfassung!$G$6:$G$3665,$K1077))</f>
        <v/>
      </c>
      <c r="H1077" s="188">
        <f>IF($K1077="","",INDEX(Zeiterfassung!$H$6:$H$3665,$K1077))</f>
        <v/>
      </c>
      <c r="I1077" s="335">
        <f>IF(B1077=B1076,"",IF($K1077="","",INDEX(Zeiterfassung!$I$6:$I$3665,MATCH(INDEX(Zeiterfassung!$K$6:$K$3665,$K1077),Zeiterfassung!$K$6:$K$3665,0))))</f>
        <v/>
      </c>
      <c r="J1077" s="335">
        <f>IF(B1077=B1076,"",IF($K1077="","",INDEX(Zeiterfassung!$J$6:$J$3665,MATCH(INDEX(Zeiterfassung!$K$6:$K$3665,$K1077),Zeiterfassung!$K$6:$K$3665,0))))</f>
        <v/>
      </c>
      <c r="K1077">
        <f>IFERROR(AGGREGATE(15,6,(ROW(Zeiterfassung!$D$6:$D$3665)-ROW(Zeiterfassung!$D$6)+1)/(Zeiterfassung!$D$6:$D$3665&lt;&gt;""),1072),"")</f>
        <v/>
      </c>
    </row>
    <row r="1078" ht="20" customHeight="1">
      <c r="A1078" s="183">
        <f>IF($K1078="","",WEEKNUM(INDEX(Zeiterfassung!$K$6:$K$3665,$K1078),21))</f>
        <v/>
      </c>
      <c r="B1078" s="184">
        <f>IF($K1078="","",INDEX(Zeiterfassung!$K$6:$K$3665,$K1078))</f>
        <v/>
      </c>
      <c r="C1078" s="185">
        <f>IF($K1078="","",INDEX(Zeiterfassung!$K$6:$K$3665,$K1078))</f>
        <v/>
      </c>
      <c r="D1078" s="186">
        <f>IF($K1078="","",INDEX(Zeiterfassung!$D$6:$D$3665,$K1078))</f>
        <v/>
      </c>
      <c r="E1078" s="186">
        <f>IF($K1078="","",INDEX(Zeiterfassung!$E$6:$E$3665,$K1078))</f>
        <v/>
      </c>
      <c r="F1078" s="187">
        <f>IF($K1078="","",INDEX(Zeiterfassung!$F$6:$F$3665,$K1078))</f>
        <v/>
      </c>
      <c r="G1078" s="187">
        <f>IF($K1078="","",INDEX(Zeiterfassung!$G$6:$G$3665,$K1078))</f>
        <v/>
      </c>
      <c r="H1078" s="188">
        <f>IF($K1078="","",INDEX(Zeiterfassung!$H$6:$H$3665,$K1078))</f>
        <v/>
      </c>
      <c r="I1078" s="335">
        <f>IF(B1078=B1077,"",IF($K1078="","",INDEX(Zeiterfassung!$I$6:$I$3665,MATCH(INDEX(Zeiterfassung!$K$6:$K$3665,$K1078),Zeiterfassung!$K$6:$K$3665,0))))</f>
        <v/>
      </c>
      <c r="J1078" s="335">
        <f>IF(B1078=B1077,"",IF($K1078="","",INDEX(Zeiterfassung!$J$6:$J$3665,MATCH(INDEX(Zeiterfassung!$K$6:$K$3665,$K1078),Zeiterfassung!$K$6:$K$3665,0))))</f>
        <v/>
      </c>
      <c r="K1078">
        <f>IFERROR(AGGREGATE(15,6,(ROW(Zeiterfassung!$D$6:$D$3665)-ROW(Zeiterfassung!$D$6)+1)/(Zeiterfassung!$D$6:$D$3665&lt;&gt;""),1073),"")</f>
        <v/>
      </c>
    </row>
    <row r="1079" ht="20" customHeight="1">
      <c r="A1079" s="183">
        <f>IF($K1079="","",WEEKNUM(INDEX(Zeiterfassung!$K$6:$K$3665,$K1079),21))</f>
        <v/>
      </c>
      <c r="B1079" s="184">
        <f>IF($K1079="","",INDEX(Zeiterfassung!$K$6:$K$3665,$K1079))</f>
        <v/>
      </c>
      <c r="C1079" s="185">
        <f>IF($K1079="","",INDEX(Zeiterfassung!$K$6:$K$3665,$K1079))</f>
        <v/>
      </c>
      <c r="D1079" s="186">
        <f>IF($K1079="","",INDEX(Zeiterfassung!$D$6:$D$3665,$K1079))</f>
        <v/>
      </c>
      <c r="E1079" s="186">
        <f>IF($K1079="","",INDEX(Zeiterfassung!$E$6:$E$3665,$K1079))</f>
        <v/>
      </c>
      <c r="F1079" s="187">
        <f>IF($K1079="","",INDEX(Zeiterfassung!$F$6:$F$3665,$K1079))</f>
        <v/>
      </c>
      <c r="G1079" s="187">
        <f>IF($K1079="","",INDEX(Zeiterfassung!$G$6:$G$3665,$K1079))</f>
        <v/>
      </c>
      <c r="H1079" s="188">
        <f>IF($K1079="","",INDEX(Zeiterfassung!$H$6:$H$3665,$K1079))</f>
        <v/>
      </c>
      <c r="I1079" s="335">
        <f>IF(B1079=B1078,"",IF($K1079="","",INDEX(Zeiterfassung!$I$6:$I$3665,MATCH(INDEX(Zeiterfassung!$K$6:$K$3665,$K1079),Zeiterfassung!$K$6:$K$3665,0))))</f>
        <v/>
      </c>
      <c r="J1079" s="335">
        <f>IF(B1079=B1078,"",IF($K1079="","",INDEX(Zeiterfassung!$J$6:$J$3665,MATCH(INDEX(Zeiterfassung!$K$6:$K$3665,$K1079),Zeiterfassung!$K$6:$K$3665,0))))</f>
        <v/>
      </c>
      <c r="K1079">
        <f>IFERROR(AGGREGATE(15,6,(ROW(Zeiterfassung!$D$6:$D$3665)-ROW(Zeiterfassung!$D$6)+1)/(Zeiterfassung!$D$6:$D$3665&lt;&gt;""),1074),"")</f>
        <v/>
      </c>
    </row>
    <row r="1080" ht="20" customHeight="1">
      <c r="A1080" s="183">
        <f>IF($K1080="","",WEEKNUM(INDEX(Zeiterfassung!$K$6:$K$3665,$K1080),21))</f>
        <v/>
      </c>
      <c r="B1080" s="184">
        <f>IF($K1080="","",INDEX(Zeiterfassung!$K$6:$K$3665,$K1080))</f>
        <v/>
      </c>
      <c r="C1080" s="185">
        <f>IF($K1080="","",INDEX(Zeiterfassung!$K$6:$K$3665,$K1080))</f>
        <v/>
      </c>
      <c r="D1080" s="186">
        <f>IF($K1080="","",INDEX(Zeiterfassung!$D$6:$D$3665,$K1080))</f>
        <v/>
      </c>
      <c r="E1080" s="186">
        <f>IF($K1080="","",INDEX(Zeiterfassung!$E$6:$E$3665,$K1080))</f>
        <v/>
      </c>
      <c r="F1080" s="187">
        <f>IF($K1080="","",INDEX(Zeiterfassung!$F$6:$F$3665,$K1080))</f>
        <v/>
      </c>
      <c r="G1080" s="187">
        <f>IF($K1080="","",INDEX(Zeiterfassung!$G$6:$G$3665,$K1080))</f>
        <v/>
      </c>
      <c r="H1080" s="188">
        <f>IF($K1080="","",INDEX(Zeiterfassung!$H$6:$H$3665,$K1080))</f>
        <v/>
      </c>
      <c r="I1080" s="335">
        <f>IF(B1080=B1079,"",IF($K1080="","",INDEX(Zeiterfassung!$I$6:$I$3665,MATCH(INDEX(Zeiterfassung!$K$6:$K$3665,$K1080),Zeiterfassung!$K$6:$K$3665,0))))</f>
        <v/>
      </c>
      <c r="J1080" s="335">
        <f>IF(B1080=B1079,"",IF($K1080="","",INDEX(Zeiterfassung!$J$6:$J$3665,MATCH(INDEX(Zeiterfassung!$K$6:$K$3665,$K1080),Zeiterfassung!$K$6:$K$3665,0))))</f>
        <v/>
      </c>
      <c r="K1080">
        <f>IFERROR(AGGREGATE(15,6,(ROW(Zeiterfassung!$D$6:$D$3665)-ROW(Zeiterfassung!$D$6)+1)/(Zeiterfassung!$D$6:$D$3665&lt;&gt;""),1075),"")</f>
        <v/>
      </c>
    </row>
    <row r="1081" ht="20" customHeight="1">
      <c r="A1081" s="183">
        <f>IF($K1081="","",WEEKNUM(INDEX(Zeiterfassung!$K$6:$K$3665,$K1081),21))</f>
        <v/>
      </c>
      <c r="B1081" s="184">
        <f>IF($K1081="","",INDEX(Zeiterfassung!$K$6:$K$3665,$K1081))</f>
        <v/>
      </c>
      <c r="C1081" s="185">
        <f>IF($K1081="","",INDEX(Zeiterfassung!$K$6:$K$3665,$K1081))</f>
        <v/>
      </c>
      <c r="D1081" s="186">
        <f>IF($K1081="","",INDEX(Zeiterfassung!$D$6:$D$3665,$K1081))</f>
        <v/>
      </c>
      <c r="E1081" s="186">
        <f>IF($K1081="","",INDEX(Zeiterfassung!$E$6:$E$3665,$K1081))</f>
        <v/>
      </c>
      <c r="F1081" s="187">
        <f>IF($K1081="","",INDEX(Zeiterfassung!$F$6:$F$3665,$K1081))</f>
        <v/>
      </c>
      <c r="G1081" s="187">
        <f>IF($K1081="","",INDEX(Zeiterfassung!$G$6:$G$3665,$K1081))</f>
        <v/>
      </c>
      <c r="H1081" s="188">
        <f>IF($K1081="","",INDEX(Zeiterfassung!$H$6:$H$3665,$K1081))</f>
        <v/>
      </c>
      <c r="I1081" s="335">
        <f>IF(B1081=B1080,"",IF($K1081="","",INDEX(Zeiterfassung!$I$6:$I$3665,MATCH(INDEX(Zeiterfassung!$K$6:$K$3665,$K1081),Zeiterfassung!$K$6:$K$3665,0))))</f>
        <v/>
      </c>
      <c r="J1081" s="335">
        <f>IF(B1081=B1080,"",IF($K1081="","",INDEX(Zeiterfassung!$J$6:$J$3665,MATCH(INDEX(Zeiterfassung!$K$6:$K$3665,$K1081),Zeiterfassung!$K$6:$K$3665,0))))</f>
        <v/>
      </c>
      <c r="K1081">
        <f>IFERROR(AGGREGATE(15,6,(ROW(Zeiterfassung!$D$6:$D$3665)-ROW(Zeiterfassung!$D$6)+1)/(Zeiterfassung!$D$6:$D$3665&lt;&gt;""),1076),"")</f>
        <v/>
      </c>
    </row>
    <row r="1082" ht="20" customHeight="1">
      <c r="A1082" s="183">
        <f>IF($K1082="","",WEEKNUM(INDEX(Zeiterfassung!$K$6:$K$3665,$K1082),21))</f>
        <v/>
      </c>
      <c r="B1082" s="184">
        <f>IF($K1082="","",INDEX(Zeiterfassung!$K$6:$K$3665,$K1082))</f>
        <v/>
      </c>
      <c r="C1082" s="185">
        <f>IF($K1082="","",INDEX(Zeiterfassung!$K$6:$K$3665,$K1082))</f>
        <v/>
      </c>
      <c r="D1082" s="186">
        <f>IF($K1082="","",INDEX(Zeiterfassung!$D$6:$D$3665,$K1082))</f>
        <v/>
      </c>
      <c r="E1082" s="186">
        <f>IF($K1082="","",INDEX(Zeiterfassung!$E$6:$E$3665,$K1082))</f>
        <v/>
      </c>
      <c r="F1082" s="187">
        <f>IF($K1082="","",INDEX(Zeiterfassung!$F$6:$F$3665,$K1082))</f>
        <v/>
      </c>
      <c r="G1082" s="187">
        <f>IF($K1082="","",INDEX(Zeiterfassung!$G$6:$G$3665,$K1082))</f>
        <v/>
      </c>
      <c r="H1082" s="188">
        <f>IF($K1082="","",INDEX(Zeiterfassung!$H$6:$H$3665,$K1082))</f>
        <v/>
      </c>
      <c r="I1082" s="335">
        <f>IF(B1082=B1081,"",IF($K1082="","",INDEX(Zeiterfassung!$I$6:$I$3665,MATCH(INDEX(Zeiterfassung!$K$6:$K$3665,$K1082),Zeiterfassung!$K$6:$K$3665,0))))</f>
        <v/>
      </c>
      <c r="J1082" s="335">
        <f>IF(B1082=B1081,"",IF($K1082="","",INDEX(Zeiterfassung!$J$6:$J$3665,MATCH(INDEX(Zeiterfassung!$K$6:$K$3665,$K1082),Zeiterfassung!$K$6:$K$3665,0))))</f>
        <v/>
      </c>
      <c r="K1082">
        <f>IFERROR(AGGREGATE(15,6,(ROW(Zeiterfassung!$D$6:$D$3665)-ROW(Zeiterfassung!$D$6)+1)/(Zeiterfassung!$D$6:$D$3665&lt;&gt;""),1077),"")</f>
        <v/>
      </c>
    </row>
    <row r="1083" ht="20" customHeight="1">
      <c r="A1083" s="183">
        <f>IF($K1083="","",WEEKNUM(INDEX(Zeiterfassung!$K$6:$K$3665,$K1083),21))</f>
        <v/>
      </c>
      <c r="B1083" s="184">
        <f>IF($K1083="","",INDEX(Zeiterfassung!$K$6:$K$3665,$K1083))</f>
        <v/>
      </c>
      <c r="C1083" s="185">
        <f>IF($K1083="","",INDEX(Zeiterfassung!$K$6:$K$3665,$K1083))</f>
        <v/>
      </c>
      <c r="D1083" s="186">
        <f>IF($K1083="","",INDEX(Zeiterfassung!$D$6:$D$3665,$K1083))</f>
        <v/>
      </c>
      <c r="E1083" s="186">
        <f>IF($K1083="","",INDEX(Zeiterfassung!$E$6:$E$3665,$K1083))</f>
        <v/>
      </c>
      <c r="F1083" s="187">
        <f>IF($K1083="","",INDEX(Zeiterfassung!$F$6:$F$3665,$K1083))</f>
        <v/>
      </c>
      <c r="G1083" s="187">
        <f>IF($K1083="","",INDEX(Zeiterfassung!$G$6:$G$3665,$K1083))</f>
        <v/>
      </c>
      <c r="H1083" s="188">
        <f>IF($K1083="","",INDEX(Zeiterfassung!$H$6:$H$3665,$K1083))</f>
        <v/>
      </c>
      <c r="I1083" s="335">
        <f>IF(B1083=B1082,"",IF($K1083="","",INDEX(Zeiterfassung!$I$6:$I$3665,MATCH(INDEX(Zeiterfassung!$K$6:$K$3665,$K1083),Zeiterfassung!$K$6:$K$3665,0))))</f>
        <v/>
      </c>
      <c r="J1083" s="335">
        <f>IF(B1083=B1082,"",IF($K1083="","",INDEX(Zeiterfassung!$J$6:$J$3665,MATCH(INDEX(Zeiterfassung!$K$6:$K$3665,$K1083),Zeiterfassung!$K$6:$K$3665,0))))</f>
        <v/>
      </c>
      <c r="K1083">
        <f>IFERROR(AGGREGATE(15,6,(ROW(Zeiterfassung!$D$6:$D$3665)-ROW(Zeiterfassung!$D$6)+1)/(Zeiterfassung!$D$6:$D$3665&lt;&gt;""),1078),"")</f>
        <v/>
      </c>
    </row>
    <row r="1084" ht="20" customHeight="1">
      <c r="A1084" s="183">
        <f>IF($K1084="","",WEEKNUM(INDEX(Zeiterfassung!$K$6:$K$3665,$K1084),21))</f>
        <v/>
      </c>
      <c r="B1084" s="184">
        <f>IF($K1084="","",INDEX(Zeiterfassung!$K$6:$K$3665,$K1084))</f>
        <v/>
      </c>
      <c r="C1084" s="185">
        <f>IF($K1084="","",INDEX(Zeiterfassung!$K$6:$K$3665,$K1084))</f>
        <v/>
      </c>
      <c r="D1084" s="186">
        <f>IF($K1084="","",INDEX(Zeiterfassung!$D$6:$D$3665,$K1084))</f>
        <v/>
      </c>
      <c r="E1084" s="186">
        <f>IF($K1084="","",INDEX(Zeiterfassung!$E$6:$E$3665,$K1084))</f>
        <v/>
      </c>
      <c r="F1084" s="187">
        <f>IF($K1084="","",INDEX(Zeiterfassung!$F$6:$F$3665,$K1084))</f>
        <v/>
      </c>
      <c r="G1084" s="187">
        <f>IF($K1084="","",INDEX(Zeiterfassung!$G$6:$G$3665,$K1084))</f>
        <v/>
      </c>
      <c r="H1084" s="188">
        <f>IF($K1084="","",INDEX(Zeiterfassung!$H$6:$H$3665,$K1084))</f>
        <v/>
      </c>
      <c r="I1084" s="335">
        <f>IF(B1084=B1083,"",IF($K1084="","",INDEX(Zeiterfassung!$I$6:$I$3665,MATCH(INDEX(Zeiterfassung!$K$6:$K$3665,$K1084),Zeiterfassung!$K$6:$K$3665,0))))</f>
        <v/>
      </c>
      <c r="J1084" s="335">
        <f>IF(B1084=B1083,"",IF($K1084="","",INDEX(Zeiterfassung!$J$6:$J$3665,MATCH(INDEX(Zeiterfassung!$K$6:$K$3665,$K1084),Zeiterfassung!$K$6:$K$3665,0))))</f>
        <v/>
      </c>
      <c r="K1084">
        <f>IFERROR(AGGREGATE(15,6,(ROW(Zeiterfassung!$D$6:$D$3665)-ROW(Zeiterfassung!$D$6)+1)/(Zeiterfassung!$D$6:$D$3665&lt;&gt;""),1079),"")</f>
        <v/>
      </c>
    </row>
    <row r="1085" ht="20" customHeight="1">
      <c r="A1085" s="183">
        <f>IF($K1085="","",WEEKNUM(INDEX(Zeiterfassung!$K$6:$K$3665,$K1085),21))</f>
        <v/>
      </c>
      <c r="B1085" s="184">
        <f>IF($K1085="","",INDEX(Zeiterfassung!$K$6:$K$3665,$K1085))</f>
        <v/>
      </c>
      <c r="C1085" s="185">
        <f>IF($K1085="","",INDEX(Zeiterfassung!$K$6:$K$3665,$K1085))</f>
        <v/>
      </c>
      <c r="D1085" s="186">
        <f>IF($K1085="","",INDEX(Zeiterfassung!$D$6:$D$3665,$K1085))</f>
        <v/>
      </c>
      <c r="E1085" s="186">
        <f>IF($K1085="","",INDEX(Zeiterfassung!$E$6:$E$3665,$K1085))</f>
        <v/>
      </c>
      <c r="F1085" s="187">
        <f>IF($K1085="","",INDEX(Zeiterfassung!$F$6:$F$3665,$K1085))</f>
        <v/>
      </c>
      <c r="G1085" s="187">
        <f>IF($K1085="","",INDEX(Zeiterfassung!$G$6:$G$3665,$K1085))</f>
        <v/>
      </c>
      <c r="H1085" s="188">
        <f>IF($K1085="","",INDEX(Zeiterfassung!$H$6:$H$3665,$K1085))</f>
        <v/>
      </c>
      <c r="I1085" s="335">
        <f>IF(B1085=B1084,"",IF($K1085="","",INDEX(Zeiterfassung!$I$6:$I$3665,MATCH(INDEX(Zeiterfassung!$K$6:$K$3665,$K1085),Zeiterfassung!$K$6:$K$3665,0))))</f>
        <v/>
      </c>
      <c r="J1085" s="335">
        <f>IF(B1085=B1084,"",IF($K1085="","",INDEX(Zeiterfassung!$J$6:$J$3665,MATCH(INDEX(Zeiterfassung!$K$6:$K$3665,$K1085),Zeiterfassung!$K$6:$K$3665,0))))</f>
        <v/>
      </c>
      <c r="K1085">
        <f>IFERROR(AGGREGATE(15,6,(ROW(Zeiterfassung!$D$6:$D$3665)-ROW(Zeiterfassung!$D$6)+1)/(Zeiterfassung!$D$6:$D$3665&lt;&gt;""),1080),"")</f>
        <v/>
      </c>
    </row>
    <row r="1086" ht="20" customHeight="1">
      <c r="A1086" s="183">
        <f>IF($K1086="","",WEEKNUM(INDEX(Zeiterfassung!$K$6:$K$3665,$K1086),21))</f>
        <v/>
      </c>
      <c r="B1086" s="184">
        <f>IF($K1086="","",INDEX(Zeiterfassung!$K$6:$K$3665,$K1086))</f>
        <v/>
      </c>
      <c r="C1086" s="185">
        <f>IF($K1086="","",INDEX(Zeiterfassung!$K$6:$K$3665,$K1086))</f>
        <v/>
      </c>
      <c r="D1086" s="186">
        <f>IF($K1086="","",INDEX(Zeiterfassung!$D$6:$D$3665,$K1086))</f>
        <v/>
      </c>
      <c r="E1086" s="186">
        <f>IF($K1086="","",INDEX(Zeiterfassung!$E$6:$E$3665,$K1086))</f>
        <v/>
      </c>
      <c r="F1086" s="187">
        <f>IF($K1086="","",INDEX(Zeiterfassung!$F$6:$F$3665,$K1086))</f>
        <v/>
      </c>
      <c r="G1086" s="187">
        <f>IF($K1086="","",INDEX(Zeiterfassung!$G$6:$G$3665,$K1086))</f>
        <v/>
      </c>
      <c r="H1086" s="188">
        <f>IF($K1086="","",INDEX(Zeiterfassung!$H$6:$H$3665,$K1086))</f>
        <v/>
      </c>
      <c r="I1086" s="335">
        <f>IF(B1086=B1085,"",IF($K1086="","",INDEX(Zeiterfassung!$I$6:$I$3665,MATCH(INDEX(Zeiterfassung!$K$6:$K$3665,$K1086),Zeiterfassung!$K$6:$K$3665,0))))</f>
        <v/>
      </c>
      <c r="J1086" s="335">
        <f>IF(B1086=B1085,"",IF($K1086="","",INDEX(Zeiterfassung!$J$6:$J$3665,MATCH(INDEX(Zeiterfassung!$K$6:$K$3665,$K1086),Zeiterfassung!$K$6:$K$3665,0))))</f>
        <v/>
      </c>
      <c r="K1086">
        <f>IFERROR(AGGREGATE(15,6,(ROW(Zeiterfassung!$D$6:$D$3665)-ROW(Zeiterfassung!$D$6)+1)/(Zeiterfassung!$D$6:$D$3665&lt;&gt;""),1081),"")</f>
        <v/>
      </c>
    </row>
    <row r="1087" ht="20" customHeight="1">
      <c r="A1087" s="183">
        <f>IF($K1087="","",WEEKNUM(INDEX(Zeiterfassung!$K$6:$K$3665,$K1087),21))</f>
        <v/>
      </c>
      <c r="B1087" s="184">
        <f>IF($K1087="","",INDEX(Zeiterfassung!$K$6:$K$3665,$K1087))</f>
        <v/>
      </c>
      <c r="C1087" s="185">
        <f>IF($K1087="","",INDEX(Zeiterfassung!$K$6:$K$3665,$K1087))</f>
        <v/>
      </c>
      <c r="D1087" s="186">
        <f>IF($K1087="","",INDEX(Zeiterfassung!$D$6:$D$3665,$K1087))</f>
        <v/>
      </c>
      <c r="E1087" s="186">
        <f>IF($K1087="","",INDEX(Zeiterfassung!$E$6:$E$3665,$K1087))</f>
        <v/>
      </c>
      <c r="F1087" s="187">
        <f>IF($K1087="","",INDEX(Zeiterfassung!$F$6:$F$3665,$K1087))</f>
        <v/>
      </c>
      <c r="G1087" s="187">
        <f>IF($K1087="","",INDEX(Zeiterfassung!$G$6:$G$3665,$K1087))</f>
        <v/>
      </c>
      <c r="H1087" s="188">
        <f>IF($K1087="","",INDEX(Zeiterfassung!$H$6:$H$3665,$K1087))</f>
        <v/>
      </c>
      <c r="I1087" s="335">
        <f>IF(B1087=B1086,"",IF($K1087="","",INDEX(Zeiterfassung!$I$6:$I$3665,MATCH(INDEX(Zeiterfassung!$K$6:$K$3665,$K1087),Zeiterfassung!$K$6:$K$3665,0))))</f>
        <v/>
      </c>
      <c r="J1087" s="335">
        <f>IF(B1087=B1086,"",IF($K1087="","",INDEX(Zeiterfassung!$J$6:$J$3665,MATCH(INDEX(Zeiterfassung!$K$6:$K$3665,$K1087),Zeiterfassung!$K$6:$K$3665,0))))</f>
        <v/>
      </c>
      <c r="K1087">
        <f>IFERROR(AGGREGATE(15,6,(ROW(Zeiterfassung!$D$6:$D$3665)-ROW(Zeiterfassung!$D$6)+1)/(Zeiterfassung!$D$6:$D$3665&lt;&gt;""),1082),"")</f>
        <v/>
      </c>
    </row>
    <row r="1088" ht="20" customHeight="1">
      <c r="A1088" s="183">
        <f>IF($K1088="","",WEEKNUM(INDEX(Zeiterfassung!$K$6:$K$3665,$K1088),21))</f>
        <v/>
      </c>
      <c r="B1088" s="184">
        <f>IF($K1088="","",INDEX(Zeiterfassung!$K$6:$K$3665,$K1088))</f>
        <v/>
      </c>
      <c r="C1088" s="185">
        <f>IF($K1088="","",INDEX(Zeiterfassung!$K$6:$K$3665,$K1088))</f>
        <v/>
      </c>
      <c r="D1088" s="186">
        <f>IF($K1088="","",INDEX(Zeiterfassung!$D$6:$D$3665,$K1088))</f>
        <v/>
      </c>
      <c r="E1088" s="186">
        <f>IF($K1088="","",INDEX(Zeiterfassung!$E$6:$E$3665,$K1088))</f>
        <v/>
      </c>
      <c r="F1088" s="187">
        <f>IF($K1088="","",INDEX(Zeiterfassung!$F$6:$F$3665,$K1088))</f>
        <v/>
      </c>
      <c r="G1088" s="187">
        <f>IF($K1088="","",INDEX(Zeiterfassung!$G$6:$G$3665,$K1088))</f>
        <v/>
      </c>
      <c r="H1088" s="188">
        <f>IF($K1088="","",INDEX(Zeiterfassung!$H$6:$H$3665,$K1088))</f>
        <v/>
      </c>
      <c r="I1088" s="335">
        <f>IF(B1088=B1087,"",IF($K1088="","",INDEX(Zeiterfassung!$I$6:$I$3665,MATCH(INDEX(Zeiterfassung!$K$6:$K$3665,$K1088),Zeiterfassung!$K$6:$K$3665,0))))</f>
        <v/>
      </c>
      <c r="J1088" s="335">
        <f>IF(B1088=B1087,"",IF($K1088="","",INDEX(Zeiterfassung!$J$6:$J$3665,MATCH(INDEX(Zeiterfassung!$K$6:$K$3665,$K1088),Zeiterfassung!$K$6:$K$3665,0))))</f>
        <v/>
      </c>
      <c r="K1088">
        <f>IFERROR(AGGREGATE(15,6,(ROW(Zeiterfassung!$D$6:$D$3665)-ROW(Zeiterfassung!$D$6)+1)/(Zeiterfassung!$D$6:$D$3665&lt;&gt;""),1083),"")</f>
        <v/>
      </c>
    </row>
    <row r="1089" ht="20" customHeight="1">
      <c r="A1089" s="183">
        <f>IF($K1089="","",WEEKNUM(INDEX(Zeiterfassung!$K$6:$K$3665,$K1089),21))</f>
        <v/>
      </c>
      <c r="B1089" s="184">
        <f>IF($K1089="","",INDEX(Zeiterfassung!$K$6:$K$3665,$K1089))</f>
        <v/>
      </c>
      <c r="C1089" s="185">
        <f>IF($K1089="","",INDEX(Zeiterfassung!$K$6:$K$3665,$K1089))</f>
        <v/>
      </c>
      <c r="D1089" s="186">
        <f>IF($K1089="","",INDEX(Zeiterfassung!$D$6:$D$3665,$K1089))</f>
        <v/>
      </c>
      <c r="E1089" s="186">
        <f>IF($K1089="","",INDEX(Zeiterfassung!$E$6:$E$3665,$K1089))</f>
        <v/>
      </c>
      <c r="F1089" s="187">
        <f>IF($K1089="","",INDEX(Zeiterfassung!$F$6:$F$3665,$K1089))</f>
        <v/>
      </c>
      <c r="G1089" s="187">
        <f>IF($K1089="","",INDEX(Zeiterfassung!$G$6:$G$3665,$K1089))</f>
        <v/>
      </c>
      <c r="H1089" s="188">
        <f>IF($K1089="","",INDEX(Zeiterfassung!$H$6:$H$3665,$K1089))</f>
        <v/>
      </c>
      <c r="I1089" s="335">
        <f>IF(B1089=B1088,"",IF($K1089="","",INDEX(Zeiterfassung!$I$6:$I$3665,MATCH(INDEX(Zeiterfassung!$K$6:$K$3665,$K1089),Zeiterfassung!$K$6:$K$3665,0))))</f>
        <v/>
      </c>
      <c r="J1089" s="335">
        <f>IF(B1089=B1088,"",IF($K1089="","",INDEX(Zeiterfassung!$J$6:$J$3665,MATCH(INDEX(Zeiterfassung!$K$6:$K$3665,$K1089),Zeiterfassung!$K$6:$K$3665,0))))</f>
        <v/>
      </c>
      <c r="K1089">
        <f>IFERROR(AGGREGATE(15,6,(ROW(Zeiterfassung!$D$6:$D$3665)-ROW(Zeiterfassung!$D$6)+1)/(Zeiterfassung!$D$6:$D$3665&lt;&gt;""),1084),"")</f>
        <v/>
      </c>
    </row>
    <row r="1090" ht="20" customHeight="1">
      <c r="A1090" s="183">
        <f>IF($K1090="","",WEEKNUM(INDEX(Zeiterfassung!$K$6:$K$3665,$K1090),21))</f>
        <v/>
      </c>
      <c r="B1090" s="184">
        <f>IF($K1090="","",INDEX(Zeiterfassung!$K$6:$K$3665,$K1090))</f>
        <v/>
      </c>
      <c r="C1090" s="185">
        <f>IF($K1090="","",INDEX(Zeiterfassung!$K$6:$K$3665,$K1090))</f>
        <v/>
      </c>
      <c r="D1090" s="186">
        <f>IF($K1090="","",INDEX(Zeiterfassung!$D$6:$D$3665,$K1090))</f>
        <v/>
      </c>
      <c r="E1090" s="186">
        <f>IF($K1090="","",INDEX(Zeiterfassung!$E$6:$E$3665,$K1090))</f>
        <v/>
      </c>
      <c r="F1090" s="187">
        <f>IF($K1090="","",INDEX(Zeiterfassung!$F$6:$F$3665,$K1090))</f>
        <v/>
      </c>
      <c r="G1090" s="187">
        <f>IF($K1090="","",INDEX(Zeiterfassung!$G$6:$G$3665,$K1090))</f>
        <v/>
      </c>
      <c r="H1090" s="188">
        <f>IF($K1090="","",INDEX(Zeiterfassung!$H$6:$H$3665,$K1090))</f>
        <v/>
      </c>
      <c r="I1090" s="335">
        <f>IF(B1090=B1089,"",IF($K1090="","",INDEX(Zeiterfassung!$I$6:$I$3665,MATCH(INDEX(Zeiterfassung!$K$6:$K$3665,$K1090),Zeiterfassung!$K$6:$K$3665,0))))</f>
        <v/>
      </c>
      <c r="J1090" s="335">
        <f>IF(B1090=B1089,"",IF($K1090="","",INDEX(Zeiterfassung!$J$6:$J$3665,MATCH(INDEX(Zeiterfassung!$K$6:$K$3665,$K1090),Zeiterfassung!$K$6:$K$3665,0))))</f>
        <v/>
      </c>
      <c r="K1090">
        <f>IFERROR(AGGREGATE(15,6,(ROW(Zeiterfassung!$D$6:$D$3665)-ROW(Zeiterfassung!$D$6)+1)/(Zeiterfassung!$D$6:$D$3665&lt;&gt;""),1085),"")</f>
        <v/>
      </c>
    </row>
    <row r="1091" ht="20" customHeight="1">
      <c r="A1091" s="183">
        <f>IF($K1091="","",WEEKNUM(INDEX(Zeiterfassung!$K$6:$K$3665,$K1091),21))</f>
        <v/>
      </c>
      <c r="B1091" s="184">
        <f>IF($K1091="","",INDEX(Zeiterfassung!$K$6:$K$3665,$K1091))</f>
        <v/>
      </c>
      <c r="C1091" s="185">
        <f>IF($K1091="","",INDEX(Zeiterfassung!$K$6:$K$3665,$K1091))</f>
        <v/>
      </c>
      <c r="D1091" s="186">
        <f>IF($K1091="","",INDEX(Zeiterfassung!$D$6:$D$3665,$K1091))</f>
        <v/>
      </c>
      <c r="E1091" s="186">
        <f>IF($K1091="","",INDEX(Zeiterfassung!$E$6:$E$3665,$K1091))</f>
        <v/>
      </c>
      <c r="F1091" s="187">
        <f>IF($K1091="","",INDEX(Zeiterfassung!$F$6:$F$3665,$K1091))</f>
        <v/>
      </c>
      <c r="G1091" s="187">
        <f>IF($K1091="","",INDEX(Zeiterfassung!$G$6:$G$3665,$K1091))</f>
        <v/>
      </c>
      <c r="H1091" s="188">
        <f>IF($K1091="","",INDEX(Zeiterfassung!$H$6:$H$3665,$K1091))</f>
        <v/>
      </c>
      <c r="I1091" s="335">
        <f>IF(B1091=B1090,"",IF($K1091="","",INDEX(Zeiterfassung!$I$6:$I$3665,MATCH(INDEX(Zeiterfassung!$K$6:$K$3665,$K1091),Zeiterfassung!$K$6:$K$3665,0))))</f>
        <v/>
      </c>
      <c r="J1091" s="335">
        <f>IF(B1091=B1090,"",IF($K1091="","",INDEX(Zeiterfassung!$J$6:$J$3665,MATCH(INDEX(Zeiterfassung!$K$6:$K$3665,$K1091),Zeiterfassung!$K$6:$K$3665,0))))</f>
        <v/>
      </c>
      <c r="K1091">
        <f>IFERROR(AGGREGATE(15,6,(ROW(Zeiterfassung!$D$6:$D$3665)-ROW(Zeiterfassung!$D$6)+1)/(Zeiterfassung!$D$6:$D$3665&lt;&gt;""),1086),"")</f>
        <v/>
      </c>
    </row>
    <row r="1092" ht="20" customHeight="1">
      <c r="A1092" s="183">
        <f>IF($K1092="","",WEEKNUM(INDEX(Zeiterfassung!$K$6:$K$3665,$K1092),21))</f>
        <v/>
      </c>
      <c r="B1092" s="184">
        <f>IF($K1092="","",INDEX(Zeiterfassung!$K$6:$K$3665,$K1092))</f>
        <v/>
      </c>
      <c r="C1092" s="185">
        <f>IF($K1092="","",INDEX(Zeiterfassung!$K$6:$K$3665,$K1092))</f>
        <v/>
      </c>
      <c r="D1092" s="186">
        <f>IF($K1092="","",INDEX(Zeiterfassung!$D$6:$D$3665,$K1092))</f>
        <v/>
      </c>
      <c r="E1092" s="186">
        <f>IF($K1092="","",INDEX(Zeiterfassung!$E$6:$E$3665,$K1092))</f>
        <v/>
      </c>
      <c r="F1092" s="187">
        <f>IF($K1092="","",INDEX(Zeiterfassung!$F$6:$F$3665,$K1092))</f>
        <v/>
      </c>
      <c r="G1092" s="187">
        <f>IF($K1092="","",INDEX(Zeiterfassung!$G$6:$G$3665,$K1092))</f>
        <v/>
      </c>
      <c r="H1092" s="188">
        <f>IF($K1092="","",INDEX(Zeiterfassung!$H$6:$H$3665,$K1092))</f>
        <v/>
      </c>
      <c r="I1092" s="335">
        <f>IF(B1092=B1091,"",IF($K1092="","",INDEX(Zeiterfassung!$I$6:$I$3665,MATCH(INDEX(Zeiterfassung!$K$6:$K$3665,$K1092),Zeiterfassung!$K$6:$K$3665,0))))</f>
        <v/>
      </c>
      <c r="J1092" s="335">
        <f>IF(B1092=B1091,"",IF($K1092="","",INDEX(Zeiterfassung!$J$6:$J$3665,MATCH(INDEX(Zeiterfassung!$K$6:$K$3665,$K1092),Zeiterfassung!$K$6:$K$3665,0))))</f>
        <v/>
      </c>
      <c r="K1092">
        <f>IFERROR(AGGREGATE(15,6,(ROW(Zeiterfassung!$D$6:$D$3665)-ROW(Zeiterfassung!$D$6)+1)/(Zeiterfassung!$D$6:$D$3665&lt;&gt;""),1087),"")</f>
        <v/>
      </c>
    </row>
    <row r="1093" ht="20" customHeight="1">
      <c r="A1093" s="183">
        <f>IF($K1093="","",WEEKNUM(INDEX(Zeiterfassung!$K$6:$K$3665,$K1093),21))</f>
        <v/>
      </c>
      <c r="B1093" s="184">
        <f>IF($K1093="","",INDEX(Zeiterfassung!$K$6:$K$3665,$K1093))</f>
        <v/>
      </c>
      <c r="C1093" s="185">
        <f>IF($K1093="","",INDEX(Zeiterfassung!$K$6:$K$3665,$K1093))</f>
        <v/>
      </c>
      <c r="D1093" s="186">
        <f>IF($K1093="","",INDEX(Zeiterfassung!$D$6:$D$3665,$K1093))</f>
        <v/>
      </c>
      <c r="E1093" s="186">
        <f>IF($K1093="","",INDEX(Zeiterfassung!$E$6:$E$3665,$K1093))</f>
        <v/>
      </c>
      <c r="F1093" s="187">
        <f>IF($K1093="","",INDEX(Zeiterfassung!$F$6:$F$3665,$K1093))</f>
        <v/>
      </c>
      <c r="G1093" s="187">
        <f>IF($K1093="","",INDEX(Zeiterfassung!$G$6:$G$3665,$K1093))</f>
        <v/>
      </c>
      <c r="H1093" s="188">
        <f>IF($K1093="","",INDEX(Zeiterfassung!$H$6:$H$3665,$K1093))</f>
        <v/>
      </c>
      <c r="I1093" s="335">
        <f>IF(B1093=B1092,"",IF($K1093="","",INDEX(Zeiterfassung!$I$6:$I$3665,MATCH(INDEX(Zeiterfassung!$K$6:$K$3665,$K1093),Zeiterfassung!$K$6:$K$3665,0))))</f>
        <v/>
      </c>
      <c r="J1093" s="335">
        <f>IF(B1093=B1092,"",IF($K1093="","",INDEX(Zeiterfassung!$J$6:$J$3665,MATCH(INDEX(Zeiterfassung!$K$6:$K$3665,$K1093),Zeiterfassung!$K$6:$K$3665,0))))</f>
        <v/>
      </c>
      <c r="K1093">
        <f>IFERROR(AGGREGATE(15,6,(ROW(Zeiterfassung!$D$6:$D$3665)-ROW(Zeiterfassung!$D$6)+1)/(Zeiterfassung!$D$6:$D$3665&lt;&gt;""),1088),"")</f>
        <v/>
      </c>
    </row>
    <row r="1094" ht="20" customHeight="1">
      <c r="A1094" s="183">
        <f>IF($K1094="","",WEEKNUM(INDEX(Zeiterfassung!$K$6:$K$3665,$K1094),21))</f>
        <v/>
      </c>
      <c r="B1094" s="184">
        <f>IF($K1094="","",INDEX(Zeiterfassung!$K$6:$K$3665,$K1094))</f>
        <v/>
      </c>
      <c r="C1094" s="185">
        <f>IF($K1094="","",INDEX(Zeiterfassung!$K$6:$K$3665,$K1094))</f>
        <v/>
      </c>
      <c r="D1094" s="186">
        <f>IF($K1094="","",INDEX(Zeiterfassung!$D$6:$D$3665,$K1094))</f>
        <v/>
      </c>
      <c r="E1094" s="186">
        <f>IF($K1094="","",INDEX(Zeiterfassung!$E$6:$E$3665,$K1094))</f>
        <v/>
      </c>
      <c r="F1094" s="187">
        <f>IF($K1094="","",INDEX(Zeiterfassung!$F$6:$F$3665,$K1094))</f>
        <v/>
      </c>
      <c r="G1094" s="187">
        <f>IF($K1094="","",INDEX(Zeiterfassung!$G$6:$G$3665,$K1094))</f>
        <v/>
      </c>
      <c r="H1094" s="188">
        <f>IF($K1094="","",INDEX(Zeiterfassung!$H$6:$H$3665,$K1094))</f>
        <v/>
      </c>
      <c r="I1094" s="335">
        <f>IF(B1094=B1093,"",IF($K1094="","",INDEX(Zeiterfassung!$I$6:$I$3665,MATCH(INDEX(Zeiterfassung!$K$6:$K$3665,$K1094),Zeiterfassung!$K$6:$K$3665,0))))</f>
        <v/>
      </c>
      <c r="J1094" s="335">
        <f>IF(B1094=B1093,"",IF($K1094="","",INDEX(Zeiterfassung!$J$6:$J$3665,MATCH(INDEX(Zeiterfassung!$K$6:$K$3665,$K1094),Zeiterfassung!$K$6:$K$3665,0))))</f>
        <v/>
      </c>
      <c r="K1094">
        <f>IFERROR(AGGREGATE(15,6,(ROW(Zeiterfassung!$D$6:$D$3665)-ROW(Zeiterfassung!$D$6)+1)/(Zeiterfassung!$D$6:$D$3665&lt;&gt;""),1089),"")</f>
        <v/>
      </c>
    </row>
    <row r="1095" ht="20" customHeight="1">
      <c r="A1095" s="183">
        <f>IF($K1095="","",WEEKNUM(INDEX(Zeiterfassung!$K$6:$K$3665,$K1095),21))</f>
        <v/>
      </c>
      <c r="B1095" s="184">
        <f>IF($K1095="","",INDEX(Zeiterfassung!$K$6:$K$3665,$K1095))</f>
        <v/>
      </c>
      <c r="C1095" s="185">
        <f>IF($K1095="","",INDEX(Zeiterfassung!$K$6:$K$3665,$K1095))</f>
        <v/>
      </c>
      <c r="D1095" s="186">
        <f>IF($K1095="","",INDEX(Zeiterfassung!$D$6:$D$3665,$K1095))</f>
        <v/>
      </c>
      <c r="E1095" s="186">
        <f>IF($K1095="","",INDEX(Zeiterfassung!$E$6:$E$3665,$K1095))</f>
        <v/>
      </c>
      <c r="F1095" s="187">
        <f>IF($K1095="","",INDEX(Zeiterfassung!$F$6:$F$3665,$K1095))</f>
        <v/>
      </c>
      <c r="G1095" s="187">
        <f>IF($K1095="","",INDEX(Zeiterfassung!$G$6:$G$3665,$K1095))</f>
        <v/>
      </c>
      <c r="H1095" s="188">
        <f>IF($K1095="","",INDEX(Zeiterfassung!$H$6:$H$3665,$K1095))</f>
        <v/>
      </c>
      <c r="I1095" s="335">
        <f>IF(B1095=B1094,"",IF($K1095="","",INDEX(Zeiterfassung!$I$6:$I$3665,MATCH(INDEX(Zeiterfassung!$K$6:$K$3665,$K1095),Zeiterfassung!$K$6:$K$3665,0))))</f>
        <v/>
      </c>
      <c r="J1095" s="335">
        <f>IF(B1095=B1094,"",IF($K1095="","",INDEX(Zeiterfassung!$J$6:$J$3665,MATCH(INDEX(Zeiterfassung!$K$6:$K$3665,$K1095),Zeiterfassung!$K$6:$K$3665,0))))</f>
        <v/>
      </c>
      <c r="K1095">
        <f>IFERROR(AGGREGATE(15,6,(ROW(Zeiterfassung!$D$6:$D$3665)-ROW(Zeiterfassung!$D$6)+1)/(Zeiterfassung!$D$6:$D$3665&lt;&gt;""),1090),"")</f>
        <v/>
      </c>
    </row>
    <row r="1096" ht="20" customHeight="1">
      <c r="A1096" s="183">
        <f>IF($K1096="","",WEEKNUM(INDEX(Zeiterfassung!$K$6:$K$3665,$K1096),21))</f>
        <v/>
      </c>
      <c r="B1096" s="184">
        <f>IF($K1096="","",INDEX(Zeiterfassung!$K$6:$K$3665,$K1096))</f>
        <v/>
      </c>
      <c r="C1096" s="185">
        <f>IF($K1096="","",INDEX(Zeiterfassung!$K$6:$K$3665,$K1096))</f>
        <v/>
      </c>
      <c r="D1096" s="186">
        <f>IF($K1096="","",INDEX(Zeiterfassung!$D$6:$D$3665,$K1096))</f>
        <v/>
      </c>
      <c r="E1096" s="186">
        <f>IF($K1096="","",INDEX(Zeiterfassung!$E$6:$E$3665,$K1096))</f>
        <v/>
      </c>
      <c r="F1096" s="187">
        <f>IF($K1096="","",INDEX(Zeiterfassung!$F$6:$F$3665,$K1096))</f>
        <v/>
      </c>
      <c r="G1096" s="187">
        <f>IF($K1096="","",INDEX(Zeiterfassung!$G$6:$G$3665,$K1096))</f>
        <v/>
      </c>
      <c r="H1096" s="188">
        <f>IF($K1096="","",INDEX(Zeiterfassung!$H$6:$H$3665,$K1096))</f>
        <v/>
      </c>
      <c r="I1096" s="335">
        <f>IF(B1096=B1095,"",IF($K1096="","",INDEX(Zeiterfassung!$I$6:$I$3665,MATCH(INDEX(Zeiterfassung!$K$6:$K$3665,$K1096),Zeiterfassung!$K$6:$K$3665,0))))</f>
        <v/>
      </c>
      <c r="J1096" s="335">
        <f>IF(B1096=B1095,"",IF($K1096="","",INDEX(Zeiterfassung!$J$6:$J$3665,MATCH(INDEX(Zeiterfassung!$K$6:$K$3665,$K1096),Zeiterfassung!$K$6:$K$3665,0))))</f>
        <v/>
      </c>
      <c r="K1096">
        <f>IFERROR(AGGREGATE(15,6,(ROW(Zeiterfassung!$D$6:$D$3665)-ROW(Zeiterfassung!$D$6)+1)/(Zeiterfassung!$D$6:$D$3665&lt;&gt;""),1091),"")</f>
        <v/>
      </c>
    </row>
    <row r="1097" ht="20" customHeight="1">
      <c r="A1097" s="183">
        <f>IF($K1097="","",WEEKNUM(INDEX(Zeiterfassung!$K$6:$K$3665,$K1097),21))</f>
        <v/>
      </c>
      <c r="B1097" s="184">
        <f>IF($K1097="","",INDEX(Zeiterfassung!$K$6:$K$3665,$K1097))</f>
        <v/>
      </c>
      <c r="C1097" s="185">
        <f>IF($K1097="","",INDEX(Zeiterfassung!$K$6:$K$3665,$K1097))</f>
        <v/>
      </c>
      <c r="D1097" s="186">
        <f>IF($K1097="","",INDEX(Zeiterfassung!$D$6:$D$3665,$K1097))</f>
        <v/>
      </c>
      <c r="E1097" s="186">
        <f>IF($K1097="","",INDEX(Zeiterfassung!$E$6:$E$3665,$K1097))</f>
        <v/>
      </c>
      <c r="F1097" s="187">
        <f>IF($K1097="","",INDEX(Zeiterfassung!$F$6:$F$3665,$K1097))</f>
        <v/>
      </c>
      <c r="G1097" s="187">
        <f>IF($K1097="","",INDEX(Zeiterfassung!$G$6:$G$3665,$K1097))</f>
        <v/>
      </c>
      <c r="H1097" s="188">
        <f>IF($K1097="","",INDEX(Zeiterfassung!$H$6:$H$3665,$K1097))</f>
        <v/>
      </c>
      <c r="I1097" s="335">
        <f>IF(B1097=B1096,"",IF($K1097="","",INDEX(Zeiterfassung!$I$6:$I$3665,MATCH(INDEX(Zeiterfassung!$K$6:$K$3665,$K1097),Zeiterfassung!$K$6:$K$3665,0))))</f>
        <v/>
      </c>
      <c r="J1097" s="335">
        <f>IF(B1097=B1096,"",IF($K1097="","",INDEX(Zeiterfassung!$J$6:$J$3665,MATCH(INDEX(Zeiterfassung!$K$6:$K$3665,$K1097),Zeiterfassung!$K$6:$K$3665,0))))</f>
        <v/>
      </c>
      <c r="K1097">
        <f>IFERROR(AGGREGATE(15,6,(ROW(Zeiterfassung!$D$6:$D$3665)-ROW(Zeiterfassung!$D$6)+1)/(Zeiterfassung!$D$6:$D$3665&lt;&gt;""),1092),"")</f>
        <v/>
      </c>
    </row>
    <row r="1098" ht="20" customHeight="1">
      <c r="A1098" s="183">
        <f>IF($K1098="","",WEEKNUM(INDEX(Zeiterfassung!$K$6:$K$3665,$K1098),21))</f>
        <v/>
      </c>
      <c r="B1098" s="184">
        <f>IF($K1098="","",INDEX(Zeiterfassung!$K$6:$K$3665,$K1098))</f>
        <v/>
      </c>
      <c r="C1098" s="185">
        <f>IF($K1098="","",INDEX(Zeiterfassung!$K$6:$K$3665,$K1098))</f>
        <v/>
      </c>
      <c r="D1098" s="186">
        <f>IF($K1098="","",INDEX(Zeiterfassung!$D$6:$D$3665,$K1098))</f>
        <v/>
      </c>
      <c r="E1098" s="186">
        <f>IF($K1098="","",INDEX(Zeiterfassung!$E$6:$E$3665,$K1098))</f>
        <v/>
      </c>
      <c r="F1098" s="187">
        <f>IF($K1098="","",INDEX(Zeiterfassung!$F$6:$F$3665,$K1098))</f>
        <v/>
      </c>
      <c r="G1098" s="187">
        <f>IF($K1098="","",INDEX(Zeiterfassung!$G$6:$G$3665,$K1098))</f>
        <v/>
      </c>
      <c r="H1098" s="188">
        <f>IF($K1098="","",INDEX(Zeiterfassung!$H$6:$H$3665,$K1098))</f>
        <v/>
      </c>
      <c r="I1098" s="335">
        <f>IF(B1098=B1097,"",IF($K1098="","",INDEX(Zeiterfassung!$I$6:$I$3665,MATCH(INDEX(Zeiterfassung!$K$6:$K$3665,$K1098),Zeiterfassung!$K$6:$K$3665,0))))</f>
        <v/>
      </c>
      <c r="J1098" s="335">
        <f>IF(B1098=B1097,"",IF($K1098="","",INDEX(Zeiterfassung!$J$6:$J$3665,MATCH(INDEX(Zeiterfassung!$K$6:$K$3665,$K1098),Zeiterfassung!$K$6:$K$3665,0))))</f>
        <v/>
      </c>
      <c r="K1098">
        <f>IFERROR(AGGREGATE(15,6,(ROW(Zeiterfassung!$D$6:$D$3665)-ROW(Zeiterfassung!$D$6)+1)/(Zeiterfassung!$D$6:$D$3665&lt;&gt;""),1093),"")</f>
        <v/>
      </c>
    </row>
    <row r="1099" ht="20" customHeight="1">
      <c r="A1099" s="183">
        <f>IF($K1099="","",WEEKNUM(INDEX(Zeiterfassung!$K$6:$K$3665,$K1099),21))</f>
        <v/>
      </c>
      <c r="B1099" s="184">
        <f>IF($K1099="","",INDEX(Zeiterfassung!$K$6:$K$3665,$K1099))</f>
        <v/>
      </c>
      <c r="C1099" s="185">
        <f>IF($K1099="","",INDEX(Zeiterfassung!$K$6:$K$3665,$K1099))</f>
        <v/>
      </c>
      <c r="D1099" s="186">
        <f>IF($K1099="","",INDEX(Zeiterfassung!$D$6:$D$3665,$K1099))</f>
        <v/>
      </c>
      <c r="E1099" s="186">
        <f>IF($K1099="","",INDEX(Zeiterfassung!$E$6:$E$3665,$K1099))</f>
        <v/>
      </c>
      <c r="F1099" s="187">
        <f>IF($K1099="","",INDEX(Zeiterfassung!$F$6:$F$3665,$K1099))</f>
        <v/>
      </c>
      <c r="G1099" s="187">
        <f>IF($K1099="","",INDEX(Zeiterfassung!$G$6:$G$3665,$K1099))</f>
        <v/>
      </c>
      <c r="H1099" s="188">
        <f>IF($K1099="","",INDEX(Zeiterfassung!$H$6:$H$3665,$K1099))</f>
        <v/>
      </c>
      <c r="I1099" s="335">
        <f>IF(B1099=B1098,"",IF($K1099="","",INDEX(Zeiterfassung!$I$6:$I$3665,MATCH(INDEX(Zeiterfassung!$K$6:$K$3665,$K1099),Zeiterfassung!$K$6:$K$3665,0))))</f>
        <v/>
      </c>
      <c r="J1099" s="335">
        <f>IF(B1099=B1098,"",IF($K1099="","",INDEX(Zeiterfassung!$J$6:$J$3665,MATCH(INDEX(Zeiterfassung!$K$6:$K$3665,$K1099),Zeiterfassung!$K$6:$K$3665,0))))</f>
        <v/>
      </c>
      <c r="K1099">
        <f>IFERROR(AGGREGATE(15,6,(ROW(Zeiterfassung!$D$6:$D$3665)-ROW(Zeiterfassung!$D$6)+1)/(Zeiterfassung!$D$6:$D$3665&lt;&gt;""),1094),"")</f>
        <v/>
      </c>
    </row>
    <row r="1100" ht="20" customHeight="1">
      <c r="A1100" s="183">
        <f>IF($K1100="","",WEEKNUM(INDEX(Zeiterfassung!$K$6:$K$3665,$K1100),21))</f>
        <v/>
      </c>
      <c r="B1100" s="184">
        <f>IF($K1100="","",INDEX(Zeiterfassung!$K$6:$K$3665,$K1100))</f>
        <v/>
      </c>
      <c r="C1100" s="185">
        <f>IF($K1100="","",INDEX(Zeiterfassung!$K$6:$K$3665,$K1100))</f>
        <v/>
      </c>
      <c r="D1100" s="186">
        <f>IF($K1100="","",INDEX(Zeiterfassung!$D$6:$D$3665,$K1100))</f>
        <v/>
      </c>
      <c r="E1100" s="186">
        <f>IF($K1100="","",INDEX(Zeiterfassung!$E$6:$E$3665,$K1100))</f>
        <v/>
      </c>
      <c r="F1100" s="187">
        <f>IF($K1100="","",INDEX(Zeiterfassung!$F$6:$F$3665,$K1100))</f>
        <v/>
      </c>
      <c r="G1100" s="187">
        <f>IF($K1100="","",INDEX(Zeiterfassung!$G$6:$G$3665,$K1100))</f>
        <v/>
      </c>
      <c r="H1100" s="188">
        <f>IF($K1100="","",INDEX(Zeiterfassung!$H$6:$H$3665,$K1100))</f>
        <v/>
      </c>
      <c r="I1100" s="335">
        <f>IF(B1100=B1099,"",IF($K1100="","",INDEX(Zeiterfassung!$I$6:$I$3665,MATCH(INDEX(Zeiterfassung!$K$6:$K$3665,$K1100),Zeiterfassung!$K$6:$K$3665,0))))</f>
        <v/>
      </c>
      <c r="J1100" s="335">
        <f>IF(B1100=B1099,"",IF($K1100="","",INDEX(Zeiterfassung!$J$6:$J$3665,MATCH(INDEX(Zeiterfassung!$K$6:$K$3665,$K1100),Zeiterfassung!$K$6:$K$3665,0))))</f>
        <v/>
      </c>
      <c r="K1100">
        <f>IFERROR(AGGREGATE(15,6,(ROW(Zeiterfassung!$D$6:$D$3665)-ROW(Zeiterfassung!$D$6)+1)/(Zeiterfassung!$D$6:$D$3665&lt;&gt;""),1095),"")</f>
        <v/>
      </c>
    </row>
    <row r="1101" ht="20" customHeight="1">
      <c r="A1101" s="183">
        <f>IF($K1101="","",WEEKNUM(INDEX(Zeiterfassung!$K$6:$K$3665,$K1101),21))</f>
        <v/>
      </c>
      <c r="B1101" s="184">
        <f>IF($K1101="","",INDEX(Zeiterfassung!$K$6:$K$3665,$K1101))</f>
        <v/>
      </c>
      <c r="C1101" s="185">
        <f>IF($K1101="","",INDEX(Zeiterfassung!$K$6:$K$3665,$K1101))</f>
        <v/>
      </c>
      <c r="D1101" s="186">
        <f>IF($K1101="","",INDEX(Zeiterfassung!$D$6:$D$3665,$K1101))</f>
        <v/>
      </c>
      <c r="E1101" s="186">
        <f>IF($K1101="","",INDEX(Zeiterfassung!$E$6:$E$3665,$K1101))</f>
        <v/>
      </c>
      <c r="F1101" s="187">
        <f>IF($K1101="","",INDEX(Zeiterfassung!$F$6:$F$3665,$K1101))</f>
        <v/>
      </c>
      <c r="G1101" s="187">
        <f>IF($K1101="","",INDEX(Zeiterfassung!$G$6:$G$3665,$K1101))</f>
        <v/>
      </c>
      <c r="H1101" s="188">
        <f>IF($K1101="","",INDEX(Zeiterfassung!$H$6:$H$3665,$K1101))</f>
        <v/>
      </c>
      <c r="I1101" s="335">
        <f>IF(B1101=B1100,"",IF($K1101="","",INDEX(Zeiterfassung!$I$6:$I$3665,MATCH(INDEX(Zeiterfassung!$K$6:$K$3665,$K1101),Zeiterfassung!$K$6:$K$3665,0))))</f>
        <v/>
      </c>
      <c r="J1101" s="335">
        <f>IF(B1101=B1100,"",IF($K1101="","",INDEX(Zeiterfassung!$J$6:$J$3665,MATCH(INDEX(Zeiterfassung!$K$6:$K$3665,$K1101),Zeiterfassung!$K$6:$K$3665,0))))</f>
        <v/>
      </c>
      <c r="K1101">
        <f>IFERROR(AGGREGATE(15,6,(ROW(Zeiterfassung!$D$6:$D$3665)-ROW(Zeiterfassung!$D$6)+1)/(Zeiterfassung!$D$6:$D$3665&lt;&gt;""),1096),"")</f>
        <v/>
      </c>
    </row>
    <row r="1102" ht="20" customHeight="1">
      <c r="A1102" s="183">
        <f>IF($K1102="","",WEEKNUM(INDEX(Zeiterfassung!$K$6:$K$3665,$K1102),21))</f>
        <v/>
      </c>
      <c r="B1102" s="184">
        <f>IF($K1102="","",INDEX(Zeiterfassung!$K$6:$K$3665,$K1102))</f>
        <v/>
      </c>
      <c r="C1102" s="185">
        <f>IF($K1102="","",INDEX(Zeiterfassung!$K$6:$K$3665,$K1102))</f>
        <v/>
      </c>
      <c r="D1102" s="186">
        <f>IF($K1102="","",INDEX(Zeiterfassung!$D$6:$D$3665,$K1102))</f>
        <v/>
      </c>
      <c r="E1102" s="186">
        <f>IF($K1102="","",INDEX(Zeiterfassung!$E$6:$E$3665,$K1102))</f>
        <v/>
      </c>
      <c r="F1102" s="187">
        <f>IF($K1102="","",INDEX(Zeiterfassung!$F$6:$F$3665,$K1102))</f>
        <v/>
      </c>
      <c r="G1102" s="187">
        <f>IF($K1102="","",INDEX(Zeiterfassung!$G$6:$G$3665,$K1102))</f>
        <v/>
      </c>
      <c r="H1102" s="188">
        <f>IF($K1102="","",INDEX(Zeiterfassung!$H$6:$H$3665,$K1102))</f>
        <v/>
      </c>
      <c r="I1102" s="335">
        <f>IF(B1102=B1101,"",IF($K1102="","",INDEX(Zeiterfassung!$I$6:$I$3665,MATCH(INDEX(Zeiterfassung!$K$6:$K$3665,$K1102),Zeiterfassung!$K$6:$K$3665,0))))</f>
        <v/>
      </c>
      <c r="J1102" s="335">
        <f>IF(B1102=B1101,"",IF($K1102="","",INDEX(Zeiterfassung!$J$6:$J$3665,MATCH(INDEX(Zeiterfassung!$K$6:$K$3665,$K1102),Zeiterfassung!$K$6:$K$3665,0))))</f>
        <v/>
      </c>
      <c r="K1102">
        <f>IFERROR(AGGREGATE(15,6,(ROW(Zeiterfassung!$D$6:$D$3665)-ROW(Zeiterfassung!$D$6)+1)/(Zeiterfassung!$D$6:$D$3665&lt;&gt;""),1097),"")</f>
        <v/>
      </c>
    </row>
    <row r="1103" ht="20" customHeight="1">
      <c r="A1103" s="183">
        <f>IF($K1103="","",WEEKNUM(INDEX(Zeiterfassung!$K$6:$K$3665,$K1103),21))</f>
        <v/>
      </c>
      <c r="B1103" s="184">
        <f>IF($K1103="","",INDEX(Zeiterfassung!$K$6:$K$3665,$K1103))</f>
        <v/>
      </c>
      <c r="C1103" s="185">
        <f>IF($K1103="","",INDEX(Zeiterfassung!$K$6:$K$3665,$K1103))</f>
        <v/>
      </c>
      <c r="D1103" s="186">
        <f>IF($K1103="","",INDEX(Zeiterfassung!$D$6:$D$3665,$K1103))</f>
        <v/>
      </c>
      <c r="E1103" s="186">
        <f>IF($K1103="","",INDEX(Zeiterfassung!$E$6:$E$3665,$K1103))</f>
        <v/>
      </c>
      <c r="F1103" s="187">
        <f>IF($K1103="","",INDEX(Zeiterfassung!$F$6:$F$3665,$K1103))</f>
        <v/>
      </c>
      <c r="G1103" s="187">
        <f>IF($K1103="","",INDEX(Zeiterfassung!$G$6:$G$3665,$K1103))</f>
        <v/>
      </c>
      <c r="H1103" s="188">
        <f>IF($K1103="","",INDEX(Zeiterfassung!$H$6:$H$3665,$K1103))</f>
        <v/>
      </c>
      <c r="I1103" s="335">
        <f>IF(B1103=B1102,"",IF($K1103="","",INDEX(Zeiterfassung!$I$6:$I$3665,MATCH(INDEX(Zeiterfassung!$K$6:$K$3665,$K1103),Zeiterfassung!$K$6:$K$3665,0))))</f>
        <v/>
      </c>
      <c r="J1103" s="335">
        <f>IF(B1103=B1102,"",IF($K1103="","",INDEX(Zeiterfassung!$J$6:$J$3665,MATCH(INDEX(Zeiterfassung!$K$6:$K$3665,$K1103),Zeiterfassung!$K$6:$K$3665,0))))</f>
        <v/>
      </c>
      <c r="K1103">
        <f>IFERROR(AGGREGATE(15,6,(ROW(Zeiterfassung!$D$6:$D$3665)-ROW(Zeiterfassung!$D$6)+1)/(Zeiterfassung!$D$6:$D$3665&lt;&gt;""),1098),"")</f>
        <v/>
      </c>
    </row>
    <row r="1104" ht="20" customHeight="1">
      <c r="A1104" s="183">
        <f>IF($K1104="","",WEEKNUM(INDEX(Zeiterfassung!$K$6:$K$3665,$K1104),21))</f>
        <v/>
      </c>
      <c r="B1104" s="184">
        <f>IF($K1104="","",INDEX(Zeiterfassung!$K$6:$K$3665,$K1104))</f>
        <v/>
      </c>
      <c r="C1104" s="185">
        <f>IF($K1104="","",INDEX(Zeiterfassung!$K$6:$K$3665,$K1104))</f>
        <v/>
      </c>
      <c r="D1104" s="186">
        <f>IF($K1104="","",INDEX(Zeiterfassung!$D$6:$D$3665,$K1104))</f>
        <v/>
      </c>
      <c r="E1104" s="186">
        <f>IF($K1104="","",INDEX(Zeiterfassung!$E$6:$E$3665,$K1104))</f>
        <v/>
      </c>
      <c r="F1104" s="187">
        <f>IF($K1104="","",INDEX(Zeiterfassung!$F$6:$F$3665,$K1104))</f>
        <v/>
      </c>
      <c r="G1104" s="187">
        <f>IF($K1104="","",INDEX(Zeiterfassung!$G$6:$G$3665,$K1104))</f>
        <v/>
      </c>
      <c r="H1104" s="188">
        <f>IF($K1104="","",INDEX(Zeiterfassung!$H$6:$H$3665,$K1104))</f>
        <v/>
      </c>
      <c r="I1104" s="335">
        <f>IF(B1104=B1103,"",IF($K1104="","",INDEX(Zeiterfassung!$I$6:$I$3665,MATCH(INDEX(Zeiterfassung!$K$6:$K$3665,$K1104),Zeiterfassung!$K$6:$K$3665,0))))</f>
        <v/>
      </c>
      <c r="J1104" s="335">
        <f>IF(B1104=B1103,"",IF($K1104="","",INDEX(Zeiterfassung!$J$6:$J$3665,MATCH(INDEX(Zeiterfassung!$K$6:$K$3665,$K1104),Zeiterfassung!$K$6:$K$3665,0))))</f>
        <v/>
      </c>
      <c r="K1104">
        <f>IFERROR(AGGREGATE(15,6,(ROW(Zeiterfassung!$D$6:$D$3665)-ROW(Zeiterfassung!$D$6)+1)/(Zeiterfassung!$D$6:$D$3665&lt;&gt;""),1099),"")</f>
        <v/>
      </c>
    </row>
    <row r="1105" ht="20" customHeight="1">
      <c r="A1105" s="183">
        <f>IF($K1105="","",WEEKNUM(INDEX(Zeiterfassung!$K$6:$K$3665,$K1105),21))</f>
        <v/>
      </c>
      <c r="B1105" s="184">
        <f>IF($K1105="","",INDEX(Zeiterfassung!$K$6:$K$3665,$K1105))</f>
        <v/>
      </c>
      <c r="C1105" s="185">
        <f>IF($K1105="","",INDEX(Zeiterfassung!$K$6:$K$3665,$K1105))</f>
        <v/>
      </c>
      <c r="D1105" s="186">
        <f>IF($K1105="","",INDEX(Zeiterfassung!$D$6:$D$3665,$K1105))</f>
        <v/>
      </c>
      <c r="E1105" s="186">
        <f>IF($K1105="","",INDEX(Zeiterfassung!$E$6:$E$3665,$K1105))</f>
        <v/>
      </c>
      <c r="F1105" s="187">
        <f>IF($K1105="","",INDEX(Zeiterfassung!$F$6:$F$3665,$K1105))</f>
        <v/>
      </c>
      <c r="G1105" s="187">
        <f>IF($K1105="","",INDEX(Zeiterfassung!$G$6:$G$3665,$K1105))</f>
        <v/>
      </c>
      <c r="H1105" s="188">
        <f>IF($K1105="","",INDEX(Zeiterfassung!$H$6:$H$3665,$K1105))</f>
        <v/>
      </c>
      <c r="I1105" s="335">
        <f>IF(B1105=B1104,"",IF($K1105="","",INDEX(Zeiterfassung!$I$6:$I$3665,MATCH(INDEX(Zeiterfassung!$K$6:$K$3665,$K1105),Zeiterfassung!$K$6:$K$3665,0))))</f>
        <v/>
      </c>
      <c r="J1105" s="335">
        <f>IF(B1105=B1104,"",IF($K1105="","",INDEX(Zeiterfassung!$J$6:$J$3665,MATCH(INDEX(Zeiterfassung!$K$6:$K$3665,$K1105),Zeiterfassung!$K$6:$K$3665,0))))</f>
        <v/>
      </c>
      <c r="K1105">
        <f>IFERROR(AGGREGATE(15,6,(ROW(Zeiterfassung!$D$6:$D$3665)-ROW(Zeiterfassung!$D$6)+1)/(Zeiterfassung!$D$6:$D$3665&lt;&gt;""),1100),"")</f>
        <v/>
      </c>
    </row>
    <row r="1106" ht="20" customHeight="1">
      <c r="A1106" s="183">
        <f>IF($K1106="","",WEEKNUM(INDEX(Zeiterfassung!$K$6:$K$3665,$K1106),21))</f>
        <v/>
      </c>
      <c r="B1106" s="184">
        <f>IF($K1106="","",INDEX(Zeiterfassung!$K$6:$K$3665,$K1106))</f>
        <v/>
      </c>
      <c r="C1106" s="185">
        <f>IF($K1106="","",INDEX(Zeiterfassung!$K$6:$K$3665,$K1106))</f>
        <v/>
      </c>
      <c r="D1106" s="186">
        <f>IF($K1106="","",INDEX(Zeiterfassung!$D$6:$D$3665,$K1106))</f>
        <v/>
      </c>
      <c r="E1106" s="186">
        <f>IF($K1106="","",INDEX(Zeiterfassung!$E$6:$E$3665,$K1106))</f>
        <v/>
      </c>
      <c r="F1106" s="187">
        <f>IF($K1106="","",INDEX(Zeiterfassung!$F$6:$F$3665,$K1106))</f>
        <v/>
      </c>
      <c r="G1106" s="187">
        <f>IF($K1106="","",INDEX(Zeiterfassung!$G$6:$G$3665,$K1106))</f>
        <v/>
      </c>
      <c r="H1106" s="188">
        <f>IF($K1106="","",INDEX(Zeiterfassung!$H$6:$H$3665,$K1106))</f>
        <v/>
      </c>
      <c r="I1106" s="335">
        <f>IF(B1106=B1105,"",IF($K1106="","",INDEX(Zeiterfassung!$I$6:$I$3665,MATCH(INDEX(Zeiterfassung!$K$6:$K$3665,$K1106),Zeiterfassung!$K$6:$K$3665,0))))</f>
        <v/>
      </c>
      <c r="J1106" s="335">
        <f>IF(B1106=B1105,"",IF($K1106="","",INDEX(Zeiterfassung!$J$6:$J$3665,MATCH(INDEX(Zeiterfassung!$K$6:$K$3665,$K1106),Zeiterfassung!$K$6:$K$3665,0))))</f>
        <v/>
      </c>
      <c r="K1106">
        <f>IFERROR(AGGREGATE(15,6,(ROW(Zeiterfassung!$D$6:$D$3665)-ROW(Zeiterfassung!$D$6)+1)/(Zeiterfassung!$D$6:$D$3665&lt;&gt;""),1101),"")</f>
        <v/>
      </c>
    </row>
    <row r="1107" ht="20" customHeight="1">
      <c r="A1107" s="183">
        <f>IF($K1107="","",WEEKNUM(INDEX(Zeiterfassung!$K$6:$K$3665,$K1107),21))</f>
        <v/>
      </c>
      <c r="B1107" s="184">
        <f>IF($K1107="","",INDEX(Zeiterfassung!$K$6:$K$3665,$K1107))</f>
        <v/>
      </c>
      <c r="C1107" s="185">
        <f>IF($K1107="","",INDEX(Zeiterfassung!$K$6:$K$3665,$K1107))</f>
        <v/>
      </c>
      <c r="D1107" s="186">
        <f>IF($K1107="","",INDEX(Zeiterfassung!$D$6:$D$3665,$K1107))</f>
        <v/>
      </c>
      <c r="E1107" s="186">
        <f>IF($K1107="","",INDEX(Zeiterfassung!$E$6:$E$3665,$K1107))</f>
        <v/>
      </c>
      <c r="F1107" s="187">
        <f>IF($K1107="","",INDEX(Zeiterfassung!$F$6:$F$3665,$K1107))</f>
        <v/>
      </c>
      <c r="G1107" s="187">
        <f>IF($K1107="","",INDEX(Zeiterfassung!$G$6:$G$3665,$K1107))</f>
        <v/>
      </c>
      <c r="H1107" s="188">
        <f>IF($K1107="","",INDEX(Zeiterfassung!$H$6:$H$3665,$K1107))</f>
        <v/>
      </c>
      <c r="I1107" s="335">
        <f>IF(B1107=B1106,"",IF($K1107="","",INDEX(Zeiterfassung!$I$6:$I$3665,MATCH(INDEX(Zeiterfassung!$K$6:$K$3665,$K1107),Zeiterfassung!$K$6:$K$3665,0))))</f>
        <v/>
      </c>
      <c r="J1107" s="335">
        <f>IF(B1107=B1106,"",IF($K1107="","",INDEX(Zeiterfassung!$J$6:$J$3665,MATCH(INDEX(Zeiterfassung!$K$6:$K$3665,$K1107),Zeiterfassung!$K$6:$K$3665,0))))</f>
        <v/>
      </c>
      <c r="K1107">
        <f>IFERROR(AGGREGATE(15,6,(ROW(Zeiterfassung!$D$6:$D$3665)-ROW(Zeiterfassung!$D$6)+1)/(Zeiterfassung!$D$6:$D$3665&lt;&gt;""),1102),"")</f>
        <v/>
      </c>
    </row>
    <row r="1108" ht="20" customHeight="1">
      <c r="A1108" s="183">
        <f>IF($K1108="","",WEEKNUM(INDEX(Zeiterfassung!$K$6:$K$3665,$K1108),21))</f>
        <v/>
      </c>
      <c r="B1108" s="184">
        <f>IF($K1108="","",INDEX(Zeiterfassung!$K$6:$K$3665,$K1108))</f>
        <v/>
      </c>
      <c r="C1108" s="185">
        <f>IF($K1108="","",INDEX(Zeiterfassung!$K$6:$K$3665,$K1108))</f>
        <v/>
      </c>
      <c r="D1108" s="186">
        <f>IF($K1108="","",INDEX(Zeiterfassung!$D$6:$D$3665,$K1108))</f>
        <v/>
      </c>
      <c r="E1108" s="186">
        <f>IF($K1108="","",INDEX(Zeiterfassung!$E$6:$E$3665,$K1108))</f>
        <v/>
      </c>
      <c r="F1108" s="187">
        <f>IF($K1108="","",INDEX(Zeiterfassung!$F$6:$F$3665,$K1108))</f>
        <v/>
      </c>
      <c r="G1108" s="187">
        <f>IF($K1108="","",INDEX(Zeiterfassung!$G$6:$G$3665,$K1108))</f>
        <v/>
      </c>
      <c r="H1108" s="188">
        <f>IF($K1108="","",INDEX(Zeiterfassung!$H$6:$H$3665,$K1108))</f>
        <v/>
      </c>
      <c r="I1108" s="335">
        <f>IF(B1108=B1107,"",IF($K1108="","",INDEX(Zeiterfassung!$I$6:$I$3665,MATCH(INDEX(Zeiterfassung!$K$6:$K$3665,$K1108),Zeiterfassung!$K$6:$K$3665,0))))</f>
        <v/>
      </c>
      <c r="J1108" s="335">
        <f>IF(B1108=B1107,"",IF($K1108="","",INDEX(Zeiterfassung!$J$6:$J$3665,MATCH(INDEX(Zeiterfassung!$K$6:$K$3665,$K1108),Zeiterfassung!$K$6:$K$3665,0))))</f>
        <v/>
      </c>
      <c r="K1108">
        <f>IFERROR(AGGREGATE(15,6,(ROW(Zeiterfassung!$D$6:$D$3665)-ROW(Zeiterfassung!$D$6)+1)/(Zeiterfassung!$D$6:$D$3665&lt;&gt;""),1103),"")</f>
        <v/>
      </c>
    </row>
    <row r="1109" ht="20" customHeight="1">
      <c r="A1109" s="183">
        <f>IF($K1109="","",WEEKNUM(INDEX(Zeiterfassung!$K$6:$K$3665,$K1109),21))</f>
        <v/>
      </c>
      <c r="B1109" s="184">
        <f>IF($K1109="","",INDEX(Zeiterfassung!$K$6:$K$3665,$K1109))</f>
        <v/>
      </c>
      <c r="C1109" s="185">
        <f>IF($K1109="","",INDEX(Zeiterfassung!$K$6:$K$3665,$K1109))</f>
        <v/>
      </c>
      <c r="D1109" s="186">
        <f>IF($K1109="","",INDEX(Zeiterfassung!$D$6:$D$3665,$K1109))</f>
        <v/>
      </c>
      <c r="E1109" s="186">
        <f>IF($K1109="","",INDEX(Zeiterfassung!$E$6:$E$3665,$K1109))</f>
        <v/>
      </c>
      <c r="F1109" s="187">
        <f>IF($K1109="","",INDEX(Zeiterfassung!$F$6:$F$3665,$K1109))</f>
        <v/>
      </c>
      <c r="G1109" s="187">
        <f>IF($K1109="","",INDEX(Zeiterfassung!$G$6:$G$3665,$K1109))</f>
        <v/>
      </c>
      <c r="H1109" s="188">
        <f>IF($K1109="","",INDEX(Zeiterfassung!$H$6:$H$3665,$K1109))</f>
        <v/>
      </c>
      <c r="I1109" s="335">
        <f>IF(B1109=B1108,"",IF($K1109="","",INDEX(Zeiterfassung!$I$6:$I$3665,MATCH(INDEX(Zeiterfassung!$K$6:$K$3665,$K1109),Zeiterfassung!$K$6:$K$3665,0))))</f>
        <v/>
      </c>
      <c r="J1109" s="335">
        <f>IF(B1109=B1108,"",IF($K1109="","",INDEX(Zeiterfassung!$J$6:$J$3665,MATCH(INDEX(Zeiterfassung!$K$6:$K$3665,$K1109),Zeiterfassung!$K$6:$K$3665,0))))</f>
        <v/>
      </c>
      <c r="K1109">
        <f>IFERROR(AGGREGATE(15,6,(ROW(Zeiterfassung!$D$6:$D$3665)-ROW(Zeiterfassung!$D$6)+1)/(Zeiterfassung!$D$6:$D$3665&lt;&gt;""),1104),"")</f>
        <v/>
      </c>
    </row>
    <row r="1110" ht="20" customHeight="1">
      <c r="A1110" s="183">
        <f>IF($K1110="","",WEEKNUM(INDEX(Zeiterfassung!$K$6:$K$3665,$K1110),21))</f>
        <v/>
      </c>
      <c r="B1110" s="184">
        <f>IF($K1110="","",INDEX(Zeiterfassung!$K$6:$K$3665,$K1110))</f>
        <v/>
      </c>
      <c r="C1110" s="185">
        <f>IF($K1110="","",INDEX(Zeiterfassung!$K$6:$K$3665,$K1110))</f>
        <v/>
      </c>
      <c r="D1110" s="186">
        <f>IF($K1110="","",INDEX(Zeiterfassung!$D$6:$D$3665,$K1110))</f>
        <v/>
      </c>
      <c r="E1110" s="186">
        <f>IF($K1110="","",INDEX(Zeiterfassung!$E$6:$E$3665,$K1110))</f>
        <v/>
      </c>
      <c r="F1110" s="187">
        <f>IF($K1110="","",INDEX(Zeiterfassung!$F$6:$F$3665,$K1110))</f>
        <v/>
      </c>
      <c r="G1110" s="187">
        <f>IF($K1110="","",INDEX(Zeiterfassung!$G$6:$G$3665,$K1110))</f>
        <v/>
      </c>
      <c r="H1110" s="188">
        <f>IF($K1110="","",INDEX(Zeiterfassung!$H$6:$H$3665,$K1110))</f>
        <v/>
      </c>
      <c r="I1110" s="335">
        <f>IF(B1110=B1109,"",IF($K1110="","",INDEX(Zeiterfassung!$I$6:$I$3665,MATCH(INDEX(Zeiterfassung!$K$6:$K$3665,$K1110),Zeiterfassung!$K$6:$K$3665,0))))</f>
        <v/>
      </c>
      <c r="J1110" s="335">
        <f>IF(B1110=B1109,"",IF($K1110="","",INDEX(Zeiterfassung!$J$6:$J$3665,MATCH(INDEX(Zeiterfassung!$K$6:$K$3665,$K1110),Zeiterfassung!$K$6:$K$3665,0))))</f>
        <v/>
      </c>
      <c r="K1110">
        <f>IFERROR(AGGREGATE(15,6,(ROW(Zeiterfassung!$D$6:$D$3665)-ROW(Zeiterfassung!$D$6)+1)/(Zeiterfassung!$D$6:$D$3665&lt;&gt;""),1105),"")</f>
        <v/>
      </c>
    </row>
    <row r="1111" ht="20" customHeight="1">
      <c r="A1111" s="183">
        <f>IF($K1111="","",WEEKNUM(INDEX(Zeiterfassung!$K$6:$K$3665,$K1111),21))</f>
        <v/>
      </c>
      <c r="B1111" s="184">
        <f>IF($K1111="","",INDEX(Zeiterfassung!$K$6:$K$3665,$K1111))</f>
        <v/>
      </c>
      <c r="C1111" s="185">
        <f>IF($K1111="","",INDEX(Zeiterfassung!$K$6:$K$3665,$K1111))</f>
        <v/>
      </c>
      <c r="D1111" s="186">
        <f>IF($K1111="","",INDEX(Zeiterfassung!$D$6:$D$3665,$K1111))</f>
        <v/>
      </c>
      <c r="E1111" s="186">
        <f>IF($K1111="","",INDEX(Zeiterfassung!$E$6:$E$3665,$K1111))</f>
        <v/>
      </c>
      <c r="F1111" s="187">
        <f>IF($K1111="","",INDEX(Zeiterfassung!$F$6:$F$3665,$K1111))</f>
        <v/>
      </c>
      <c r="G1111" s="187">
        <f>IF($K1111="","",INDEX(Zeiterfassung!$G$6:$G$3665,$K1111))</f>
        <v/>
      </c>
      <c r="H1111" s="188">
        <f>IF($K1111="","",INDEX(Zeiterfassung!$H$6:$H$3665,$K1111))</f>
        <v/>
      </c>
      <c r="I1111" s="335">
        <f>IF(B1111=B1110,"",IF($K1111="","",INDEX(Zeiterfassung!$I$6:$I$3665,MATCH(INDEX(Zeiterfassung!$K$6:$K$3665,$K1111),Zeiterfassung!$K$6:$K$3665,0))))</f>
        <v/>
      </c>
      <c r="J1111" s="335">
        <f>IF(B1111=B1110,"",IF($K1111="","",INDEX(Zeiterfassung!$J$6:$J$3665,MATCH(INDEX(Zeiterfassung!$K$6:$K$3665,$K1111),Zeiterfassung!$K$6:$K$3665,0))))</f>
        <v/>
      </c>
      <c r="K1111">
        <f>IFERROR(AGGREGATE(15,6,(ROW(Zeiterfassung!$D$6:$D$3665)-ROW(Zeiterfassung!$D$6)+1)/(Zeiterfassung!$D$6:$D$3665&lt;&gt;""),1106),"")</f>
        <v/>
      </c>
    </row>
    <row r="1112" ht="20" customHeight="1">
      <c r="A1112" s="183">
        <f>IF($K1112="","",WEEKNUM(INDEX(Zeiterfassung!$K$6:$K$3665,$K1112),21))</f>
        <v/>
      </c>
      <c r="B1112" s="184">
        <f>IF($K1112="","",INDEX(Zeiterfassung!$K$6:$K$3665,$K1112))</f>
        <v/>
      </c>
      <c r="C1112" s="185">
        <f>IF($K1112="","",INDEX(Zeiterfassung!$K$6:$K$3665,$K1112))</f>
        <v/>
      </c>
      <c r="D1112" s="186">
        <f>IF($K1112="","",INDEX(Zeiterfassung!$D$6:$D$3665,$K1112))</f>
        <v/>
      </c>
      <c r="E1112" s="186">
        <f>IF($K1112="","",INDEX(Zeiterfassung!$E$6:$E$3665,$K1112))</f>
        <v/>
      </c>
      <c r="F1112" s="187">
        <f>IF($K1112="","",INDEX(Zeiterfassung!$F$6:$F$3665,$K1112))</f>
        <v/>
      </c>
      <c r="G1112" s="187">
        <f>IF($K1112="","",INDEX(Zeiterfassung!$G$6:$G$3665,$K1112))</f>
        <v/>
      </c>
      <c r="H1112" s="188">
        <f>IF($K1112="","",INDEX(Zeiterfassung!$H$6:$H$3665,$K1112))</f>
        <v/>
      </c>
      <c r="I1112" s="335">
        <f>IF(B1112=B1111,"",IF($K1112="","",INDEX(Zeiterfassung!$I$6:$I$3665,MATCH(INDEX(Zeiterfassung!$K$6:$K$3665,$K1112),Zeiterfassung!$K$6:$K$3665,0))))</f>
        <v/>
      </c>
      <c r="J1112" s="335">
        <f>IF(B1112=B1111,"",IF($K1112="","",INDEX(Zeiterfassung!$J$6:$J$3665,MATCH(INDEX(Zeiterfassung!$K$6:$K$3665,$K1112),Zeiterfassung!$K$6:$K$3665,0))))</f>
        <v/>
      </c>
      <c r="K1112">
        <f>IFERROR(AGGREGATE(15,6,(ROW(Zeiterfassung!$D$6:$D$3665)-ROW(Zeiterfassung!$D$6)+1)/(Zeiterfassung!$D$6:$D$3665&lt;&gt;""),1107),"")</f>
        <v/>
      </c>
    </row>
    <row r="1113" ht="20" customHeight="1">
      <c r="A1113" s="183">
        <f>IF($K1113="","",WEEKNUM(INDEX(Zeiterfassung!$K$6:$K$3665,$K1113),21))</f>
        <v/>
      </c>
      <c r="B1113" s="184">
        <f>IF($K1113="","",INDEX(Zeiterfassung!$K$6:$K$3665,$K1113))</f>
        <v/>
      </c>
      <c r="C1113" s="185">
        <f>IF($K1113="","",INDEX(Zeiterfassung!$K$6:$K$3665,$K1113))</f>
        <v/>
      </c>
      <c r="D1113" s="186">
        <f>IF($K1113="","",INDEX(Zeiterfassung!$D$6:$D$3665,$K1113))</f>
        <v/>
      </c>
      <c r="E1113" s="186">
        <f>IF($K1113="","",INDEX(Zeiterfassung!$E$6:$E$3665,$K1113))</f>
        <v/>
      </c>
      <c r="F1113" s="187">
        <f>IF($K1113="","",INDEX(Zeiterfassung!$F$6:$F$3665,$K1113))</f>
        <v/>
      </c>
      <c r="G1113" s="187">
        <f>IF($K1113="","",INDEX(Zeiterfassung!$G$6:$G$3665,$K1113))</f>
        <v/>
      </c>
      <c r="H1113" s="188">
        <f>IF($K1113="","",INDEX(Zeiterfassung!$H$6:$H$3665,$K1113))</f>
        <v/>
      </c>
      <c r="I1113" s="335">
        <f>IF(B1113=B1112,"",IF($K1113="","",INDEX(Zeiterfassung!$I$6:$I$3665,MATCH(INDEX(Zeiterfassung!$K$6:$K$3665,$K1113),Zeiterfassung!$K$6:$K$3665,0))))</f>
        <v/>
      </c>
      <c r="J1113" s="335">
        <f>IF(B1113=B1112,"",IF($K1113="","",INDEX(Zeiterfassung!$J$6:$J$3665,MATCH(INDEX(Zeiterfassung!$K$6:$K$3665,$K1113),Zeiterfassung!$K$6:$K$3665,0))))</f>
        <v/>
      </c>
      <c r="K1113">
        <f>IFERROR(AGGREGATE(15,6,(ROW(Zeiterfassung!$D$6:$D$3665)-ROW(Zeiterfassung!$D$6)+1)/(Zeiterfassung!$D$6:$D$3665&lt;&gt;""),1108),"")</f>
        <v/>
      </c>
    </row>
    <row r="1114" ht="20" customHeight="1">
      <c r="A1114" s="183">
        <f>IF($K1114="","",WEEKNUM(INDEX(Zeiterfassung!$K$6:$K$3665,$K1114),21))</f>
        <v/>
      </c>
      <c r="B1114" s="184">
        <f>IF($K1114="","",INDEX(Zeiterfassung!$K$6:$K$3665,$K1114))</f>
        <v/>
      </c>
      <c r="C1114" s="185">
        <f>IF($K1114="","",INDEX(Zeiterfassung!$K$6:$K$3665,$K1114))</f>
        <v/>
      </c>
      <c r="D1114" s="186">
        <f>IF($K1114="","",INDEX(Zeiterfassung!$D$6:$D$3665,$K1114))</f>
        <v/>
      </c>
      <c r="E1114" s="186">
        <f>IF($K1114="","",INDEX(Zeiterfassung!$E$6:$E$3665,$K1114))</f>
        <v/>
      </c>
      <c r="F1114" s="187">
        <f>IF($K1114="","",INDEX(Zeiterfassung!$F$6:$F$3665,$K1114))</f>
        <v/>
      </c>
      <c r="G1114" s="187">
        <f>IF($K1114="","",INDEX(Zeiterfassung!$G$6:$G$3665,$K1114))</f>
        <v/>
      </c>
      <c r="H1114" s="188">
        <f>IF($K1114="","",INDEX(Zeiterfassung!$H$6:$H$3665,$K1114))</f>
        <v/>
      </c>
      <c r="I1114" s="335">
        <f>IF(B1114=B1113,"",IF($K1114="","",INDEX(Zeiterfassung!$I$6:$I$3665,MATCH(INDEX(Zeiterfassung!$K$6:$K$3665,$K1114),Zeiterfassung!$K$6:$K$3665,0))))</f>
        <v/>
      </c>
      <c r="J1114" s="335">
        <f>IF(B1114=B1113,"",IF($K1114="","",INDEX(Zeiterfassung!$J$6:$J$3665,MATCH(INDEX(Zeiterfassung!$K$6:$K$3665,$K1114),Zeiterfassung!$K$6:$K$3665,0))))</f>
        <v/>
      </c>
      <c r="K1114">
        <f>IFERROR(AGGREGATE(15,6,(ROW(Zeiterfassung!$D$6:$D$3665)-ROW(Zeiterfassung!$D$6)+1)/(Zeiterfassung!$D$6:$D$3665&lt;&gt;""),1109),"")</f>
        <v/>
      </c>
    </row>
    <row r="1115" ht="20" customHeight="1">
      <c r="A1115" s="183">
        <f>IF($K1115="","",WEEKNUM(INDEX(Zeiterfassung!$K$6:$K$3665,$K1115),21))</f>
        <v/>
      </c>
      <c r="B1115" s="184">
        <f>IF($K1115="","",INDEX(Zeiterfassung!$K$6:$K$3665,$K1115))</f>
        <v/>
      </c>
      <c r="C1115" s="185">
        <f>IF($K1115="","",INDEX(Zeiterfassung!$K$6:$K$3665,$K1115))</f>
        <v/>
      </c>
      <c r="D1115" s="186">
        <f>IF($K1115="","",INDEX(Zeiterfassung!$D$6:$D$3665,$K1115))</f>
        <v/>
      </c>
      <c r="E1115" s="186">
        <f>IF($K1115="","",INDEX(Zeiterfassung!$E$6:$E$3665,$K1115))</f>
        <v/>
      </c>
      <c r="F1115" s="187">
        <f>IF($K1115="","",INDEX(Zeiterfassung!$F$6:$F$3665,$K1115))</f>
        <v/>
      </c>
      <c r="G1115" s="187">
        <f>IF($K1115="","",INDEX(Zeiterfassung!$G$6:$G$3665,$K1115))</f>
        <v/>
      </c>
      <c r="H1115" s="188">
        <f>IF($K1115="","",INDEX(Zeiterfassung!$H$6:$H$3665,$K1115))</f>
        <v/>
      </c>
      <c r="I1115" s="335">
        <f>IF(B1115=B1114,"",IF($K1115="","",INDEX(Zeiterfassung!$I$6:$I$3665,MATCH(INDEX(Zeiterfassung!$K$6:$K$3665,$K1115),Zeiterfassung!$K$6:$K$3665,0))))</f>
        <v/>
      </c>
      <c r="J1115" s="335">
        <f>IF(B1115=B1114,"",IF($K1115="","",INDEX(Zeiterfassung!$J$6:$J$3665,MATCH(INDEX(Zeiterfassung!$K$6:$K$3665,$K1115),Zeiterfassung!$K$6:$K$3665,0))))</f>
        <v/>
      </c>
      <c r="K1115">
        <f>IFERROR(AGGREGATE(15,6,(ROW(Zeiterfassung!$D$6:$D$3665)-ROW(Zeiterfassung!$D$6)+1)/(Zeiterfassung!$D$6:$D$3665&lt;&gt;""),1110),"")</f>
        <v/>
      </c>
    </row>
    <row r="1116" ht="20" customHeight="1">
      <c r="A1116" s="183">
        <f>IF($K1116="","",WEEKNUM(INDEX(Zeiterfassung!$K$6:$K$3665,$K1116),21))</f>
        <v/>
      </c>
      <c r="B1116" s="184">
        <f>IF($K1116="","",INDEX(Zeiterfassung!$K$6:$K$3665,$K1116))</f>
        <v/>
      </c>
      <c r="C1116" s="185">
        <f>IF($K1116="","",INDEX(Zeiterfassung!$K$6:$K$3665,$K1116))</f>
        <v/>
      </c>
      <c r="D1116" s="186">
        <f>IF($K1116="","",INDEX(Zeiterfassung!$D$6:$D$3665,$K1116))</f>
        <v/>
      </c>
      <c r="E1116" s="186">
        <f>IF($K1116="","",INDEX(Zeiterfassung!$E$6:$E$3665,$K1116))</f>
        <v/>
      </c>
      <c r="F1116" s="187">
        <f>IF($K1116="","",INDEX(Zeiterfassung!$F$6:$F$3665,$K1116))</f>
        <v/>
      </c>
      <c r="G1116" s="187">
        <f>IF($K1116="","",INDEX(Zeiterfassung!$G$6:$G$3665,$K1116))</f>
        <v/>
      </c>
      <c r="H1116" s="188">
        <f>IF($K1116="","",INDEX(Zeiterfassung!$H$6:$H$3665,$K1116))</f>
        <v/>
      </c>
      <c r="I1116" s="335">
        <f>IF(B1116=B1115,"",IF($K1116="","",INDEX(Zeiterfassung!$I$6:$I$3665,MATCH(INDEX(Zeiterfassung!$K$6:$K$3665,$K1116),Zeiterfassung!$K$6:$K$3665,0))))</f>
        <v/>
      </c>
      <c r="J1116" s="335">
        <f>IF(B1116=B1115,"",IF($K1116="","",INDEX(Zeiterfassung!$J$6:$J$3665,MATCH(INDEX(Zeiterfassung!$K$6:$K$3665,$K1116),Zeiterfassung!$K$6:$K$3665,0))))</f>
        <v/>
      </c>
      <c r="K1116">
        <f>IFERROR(AGGREGATE(15,6,(ROW(Zeiterfassung!$D$6:$D$3665)-ROW(Zeiterfassung!$D$6)+1)/(Zeiterfassung!$D$6:$D$3665&lt;&gt;""),1111),"")</f>
        <v/>
      </c>
    </row>
    <row r="1117" ht="20" customHeight="1">
      <c r="A1117" s="183">
        <f>IF($K1117="","",WEEKNUM(INDEX(Zeiterfassung!$K$6:$K$3665,$K1117),21))</f>
        <v/>
      </c>
      <c r="B1117" s="184">
        <f>IF($K1117="","",INDEX(Zeiterfassung!$K$6:$K$3665,$K1117))</f>
        <v/>
      </c>
      <c r="C1117" s="185">
        <f>IF($K1117="","",INDEX(Zeiterfassung!$K$6:$K$3665,$K1117))</f>
        <v/>
      </c>
      <c r="D1117" s="186">
        <f>IF($K1117="","",INDEX(Zeiterfassung!$D$6:$D$3665,$K1117))</f>
        <v/>
      </c>
      <c r="E1117" s="186">
        <f>IF($K1117="","",INDEX(Zeiterfassung!$E$6:$E$3665,$K1117))</f>
        <v/>
      </c>
      <c r="F1117" s="187">
        <f>IF($K1117="","",INDEX(Zeiterfassung!$F$6:$F$3665,$K1117))</f>
        <v/>
      </c>
      <c r="G1117" s="187">
        <f>IF($K1117="","",INDEX(Zeiterfassung!$G$6:$G$3665,$K1117))</f>
        <v/>
      </c>
      <c r="H1117" s="188">
        <f>IF($K1117="","",INDEX(Zeiterfassung!$H$6:$H$3665,$K1117))</f>
        <v/>
      </c>
      <c r="I1117" s="335">
        <f>IF(B1117=B1116,"",IF($K1117="","",INDEX(Zeiterfassung!$I$6:$I$3665,MATCH(INDEX(Zeiterfassung!$K$6:$K$3665,$K1117),Zeiterfassung!$K$6:$K$3665,0))))</f>
        <v/>
      </c>
      <c r="J1117" s="335">
        <f>IF(B1117=B1116,"",IF($K1117="","",INDEX(Zeiterfassung!$J$6:$J$3665,MATCH(INDEX(Zeiterfassung!$K$6:$K$3665,$K1117),Zeiterfassung!$K$6:$K$3665,0))))</f>
        <v/>
      </c>
      <c r="K1117">
        <f>IFERROR(AGGREGATE(15,6,(ROW(Zeiterfassung!$D$6:$D$3665)-ROW(Zeiterfassung!$D$6)+1)/(Zeiterfassung!$D$6:$D$3665&lt;&gt;""),1112),"")</f>
        <v/>
      </c>
    </row>
    <row r="1118" ht="20" customHeight="1">
      <c r="A1118" s="183">
        <f>IF($K1118="","",WEEKNUM(INDEX(Zeiterfassung!$K$6:$K$3665,$K1118),21))</f>
        <v/>
      </c>
      <c r="B1118" s="184">
        <f>IF($K1118="","",INDEX(Zeiterfassung!$K$6:$K$3665,$K1118))</f>
        <v/>
      </c>
      <c r="C1118" s="185">
        <f>IF($K1118="","",INDEX(Zeiterfassung!$K$6:$K$3665,$K1118))</f>
        <v/>
      </c>
      <c r="D1118" s="186">
        <f>IF($K1118="","",INDEX(Zeiterfassung!$D$6:$D$3665,$K1118))</f>
        <v/>
      </c>
      <c r="E1118" s="186">
        <f>IF($K1118="","",INDEX(Zeiterfassung!$E$6:$E$3665,$K1118))</f>
        <v/>
      </c>
      <c r="F1118" s="187">
        <f>IF($K1118="","",INDEX(Zeiterfassung!$F$6:$F$3665,$K1118))</f>
        <v/>
      </c>
      <c r="G1118" s="187">
        <f>IF($K1118="","",INDEX(Zeiterfassung!$G$6:$G$3665,$K1118))</f>
        <v/>
      </c>
      <c r="H1118" s="188">
        <f>IF($K1118="","",INDEX(Zeiterfassung!$H$6:$H$3665,$K1118))</f>
        <v/>
      </c>
      <c r="I1118" s="335">
        <f>IF(B1118=B1117,"",IF($K1118="","",INDEX(Zeiterfassung!$I$6:$I$3665,MATCH(INDEX(Zeiterfassung!$K$6:$K$3665,$K1118),Zeiterfassung!$K$6:$K$3665,0))))</f>
        <v/>
      </c>
      <c r="J1118" s="335">
        <f>IF(B1118=B1117,"",IF($K1118="","",INDEX(Zeiterfassung!$J$6:$J$3665,MATCH(INDEX(Zeiterfassung!$K$6:$K$3665,$K1118),Zeiterfassung!$K$6:$K$3665,0))))</f>
        <v/>
      </c>
      <c r="K1118">
        <f>IFERROR(AGGREGATE(15,6,(ROW(Zeiterfassung!$D$6:$D$3665)-ROW(Zeiterfassung!$D$6)+1)/(Zeiterfassung!$D$6:$D$3665&lt;&gt;""),1113),"")</f>
        <v/>
      </c>
    </row>
    <row r="1119" ht="20" customHeight="1">
      <c r="A1119" s="183">
        <f>IF($K1119="","",WEEKNUM(INDEX(Zeiterfassung!$K$6:$K$3665,$K1119),21))</f>
        <v/>
      </c>
      <c r="B1119" s="184">
        <f>IF($K1119="","",INDEX(Zeiterfassung!$K$6:$K$3665,$K1119))</f>
        <v/>
      </c>
      <c r="C1119" s="185">
        <f>IF($K1119="","",INDEX(Zeiterfassung!$K$6:$K$3665,$K1119))</f>
        <v/>
      </c>
      <c r="D1119" s="186">
        <f>IF($K1119="","",INDEX(Zeiterfassung!$D$6:$D$3665,$K1119))</f>
        <v/>
      </c>
      <c r="E1119" s="186">
        <f>IF($K1119="","",INDEX(Zeiterfassung!$E$6:$E$3665,$K1119))</f>
        <v/>
      </c>
      <c r="F1119" s="187">
        <f>IF($K1119="","",INDEX(Zeiterfassung!$F$6:$F$3665,$K1119))</f>
        <v/>
      </c>
      <c r="G1119" s="187">
        <f>IF($K1119="","",INDEX(Zeiterfassung!$G$6:$G$3665,$K1119))</f>
        <v/>
      </c>
      <c r="H1119" s="188">
        <f>IF($K1119="","",INDEX(Zeiterfassung!$H$6:$H$3665,$K1119))</f>
        <v/>
      </c>
      <c r="I1119" s="335">
        <f>IF(B1119=B1118,"",IF($K1119="","",INDEX(Zeiterfassung!$I$6:$I$3665,MATCH(INDEX(Zeiterfassung!$K$6:$K$3665,$K1119),Zeiterfassung!$K$6:$K$3665,0))))</f>
        <v/>
      </c>
      <c r="J1119" s="335">
        <f>IF(B1119=B1118,"",IF($K1119="","",INDEX(Zeiterfassung!$J$6:$J$3665,MATCH(INDEX(Zeiterfassung!$K$6:$K$3665,$K1119),Zeiterfassung!$K$6:$K$3665,0))))</f>
        <v/>
      </c>
      <c r="K1119">
        <f>IFERROR(AGGREGATE(15,6,(ROW(Zeiterfassung!$D$6:$D$3665)-ROW(Zeiterfassung!$D$6)+1)/(Zeiterfassung!$D$6:$D$3665&lt;&gt;""),1114),"")</f>
        <v/>
      </c>
    </row>
    <row r="1120" ht="20" customHeight="1">
      <c r="A1120" s="183">
        <f>IF($K1120="","",WEEKNUM(INDEX(Zeiterfassung!$K$6:$K$3665,$K1120),21))</f>
        <v/>
      </c>
      <c r="B1120" s="184">
        <f>IF($K1120="","",INDEX(Zeiterfassung!$K$6:$K$3665,$K1120))</f>
        <v/>
      </c>
      <c r="C1120" s="185">
        <f>IF($K1120="","",INDEX(Zeiterfassung!$K$6:$K$3665,$K1120))</f>
        <v/>
      </c>
      <c r="D1120" s="186">
        <f>IF($K1120="","",INDEX(Zeiterfassung!$D$6:$D$3665,$K1120))</f>
        <v/>
      </c>
      <c r="E1120" s="186">
        <f>IF($K1120="","",INDEX(Zeiterfassung!$E$6:$E$3665,$K1120))</f>
        <v/>
      </c>
      <c r="F1120" s="187">
        <f>IF($K1120="","",INDEX(Zeiterfassung!$F$6:$F$3665,$K1120))</f>
        <v/>
      </c>
      <c r="G1120" s="187">
        <f>IF($K1120="","",INDEX(Zeiterfassung!$G$6:$G$3665,$K1120))</f>
        <v/>
      </c>
      <c r="H1120" s="188">
        <f>IF($K1120="","",INDEX(Zeiterfassung!$H$6:$H$3665,$K1120))</f>
        <v/>
      </c>
      <c r="I1120" s="335">
        <f>IF(B1120=B1119,"",IF($K1120="","",INDEX(Zeiterfassung!$I$6:$I$3665,MATCH(INDEX(Zeiterfassung!$K$6:$K$3665,$K1120),Zeiterfassung!$K$6:$K$3665,0))))</f>
        <v/>
      </c>
      <c r="J1120" s="335">
        <f>IF(B1120=B1119,"",IF($K1120="","",INDEX(Zeiterfassung!$J$6:$J$3665,MATCH(INDEX(Zeiterfassung!$K$6:$K$3665,$K1120),Zeiterfassung!$K$6:$K$3665,0))))</f>
        <v/>
      </c>
      <c r="K1120">
        <f>IFERROR(AGGREGATE(15,6,(ROW(Zeiterfassung!$D$6:$D$3665)-ROW(Zeiterfassung!$D$6)+1)/(Zeiterfassung!$D$6:$D$3665&lt;&gt;""),1115),"")</f>
        <v/>
      </c>
    </row>
    <row r="1121" ht="20" customHeight="1">
      <c r="A1121" s="183">
        <f>IF($K1121="","",WEEKNUM(INDEX(Zeiterfassung!$K$6:$K$3665,$K1121),21))</f>
        <v/>
      </c>
      <c r="B1121" s="184">
        <f>IF($K1121="","",INDEX(Zeiterfassung!$K$6:$K$3665,$K1121))</f>
        <v/>
      </c>
      <c r="C1121" s="185">
        <f>IF($K1121="","",INDEX(Zeiterfassung!$K$6:$K$3665,$K1121))</f>
        <v/>
      </c>
      <c r="D1121" s="186">
        <f>IF($K1121="","",INDEX(Zeiterfassung!$D$6:$D$3665,$K1121))</f>
        <v/>
      </c>
      <c r="E1121" s="186">
        <f>IF($K1121="","",INDEX(Zeiterfassung!$E$6:$E$3665,$K1121))</f>
        <v/>
      </c>
      <c r="F1121" s="187">
        <f>IF($K1121="","",INDEX(Zeiterfassung!$F$6:$F$3665,$K1121))</f>
        <v/>
      </c>
      <c r="G1121" s="187">
        <f>IF($K1121="","",INDEX(Zeiterfassung!$G$6:$G$3665,$K1121))</f>
        <v/>
      </c>
      <c r="H1121" s="188">
        <f>IF($K1121="","",INDEX(Zeiterfassung!$H$6:$H$3665,$K1121))</f>
        <v/>
      </c>
      <c r="I1121" s="335">
        <f>IF(B1121=B1120,"",IF($K1121="","",INDEX(Zeiterfassung!$I$6:$I$3665,MATCH(INDEX(Zeiterfassung!$K$6:$K$3665,$K1121),Zeiterfassung!$K$6:$K$3665,0))))</f>
        <v/>
      </c>
      <c r="J1121" s="335">
        <f>IF(B1121=B1120,"",IF($K1121="","",INDEX(Zeiterfassung!$J$6:$J$3665,MATCH(INDEX(Zeiterfassung!$K$6:$K$3665,$K1121),Zeiterfassung!$K$6:$K$3665,0))))</f>
        <v/>
      </c>
      <c r="K1121">
        <f>IFERROR(AGGREGATE(15,6,(ROW(Zeiterfassung!$D$6:$D$3665)-ROW(Zeiterfassung!$D$6)+1)/(Zeiterfassung!$D$6:$D$3665&lt;&gt;""),1116),"")</f>
        <v/>
      </c>
    </row>
    <row r="1122" ht="20" customHeight="1">
      <c r="A1122" s="183">
        <f>IF($K1122="","",WEEKNUM(INDEX(Zeiterfassung!$K$6:$K$3665,$K1122),21))</f>
        <v/>
      </c>
      <c r="B1122" s="184">
        <f>IF($K1122="","",INDEX(Zeiterfassung!$K$6:$K$3665,$K1122))</f>
        <v/>
      </c>
      <c r="C1122" s="185">
        <f>IF($K1122="","",INDEX(Zeiterfassung!$K$6:$K$3665,$K1122))</f>
        <v/>
      </c>
      <c r="D1122" s="186">
        <f>IF($K1122="","",INDEX(Zeiterfassung!$D$6:$D$3665,$K1122))</f>
        <v/>
      </c>
      <c r="E1122" s="186">
        <f>IF($K1122="","",INDEX(Zeiterfassung!$E$6:$E$3665,$K1122))</f>
        <v/>
      </c>
      <c r="F1122" s="187">
        <f>IF($K1122="","",INDEX(Zeiterfassung!$F$6:$F$3665,$K1122))</f>
        <v/>
      </c>
      <c r="G1122" s="187">
        <f>IF($K1122="","",INDEX(Zeiterfassung!$G$6:$G$3665,$K1122))</f>
        <v/>
      </c>
      <c r="H1122" s="188">
        <f>IF($K1122="","",INDEX(Zeiterfassung!$H$6:$H$3665,$K1122))</f>
        <v/>
      </c>
      <c r="I1122" s="335">
        <f>IF(B1122=B1121,"",IF($K1122="","",INDEX(Zeiterfassung!$I$6:$I$3665,MATCH(INDEX(Zeiterfassung!$K$6:$K$3665,$K1122),Zeiterfassung!$K$6:$K$3665,0))))</f>
        <v/>
      </c>
      <c r="J1122" s="335">
        <f>IF(B1122=B1121,"",IF($K1122="","",INDEX(Zeiterfassung!$J$6:$J$3665,MATCH(INDEX(Zeiterfassung!$K$6:$K$3665,$K1122),Zeiterfassung!$K$6:$K$3665,0))))</f>
        <v/>
      </c>
      <c r="K1122">
        <f>IFERROR(AGGREGATE(15,6,(ROW(Zeiterfassung!$D$6:$D$3665)-ROW(Zeiterfassung!$D$6)+1)/(Zeiterfassung!$D$6:$D$3665&lt;&gt;""),1117),"")</f>
        <v/>
      </c>
    </row>
    <row r="1123" ht="20" customHeight="1">
      <c r="A1123" s="183">
        <f>IF($K1123="","",WEEKNUM(INDEX(Zeiterfassung!$K$6:$K$3665,$K1123),21))</f>
        <v/>
      </c>
      <c r="B1123" s="184">
        <f>IF($K1123="","",INDEX(Zeiterfassung!$K$6:$K$3665,$K1123))</f>
        <v/>
      </c>
      <c r="C1123" s="185">
        <f>IF($K1123="","",INDEX(Zeiterfassung!$K$6:$K$3665,$K1123))</f>
        <v/>
      </c>
      <c r="D1123" s="186">
        <f>IF($K1123="","",INDEX(Zeiterfassung!$D$6:$D$3665,$K1123))</f>
        <v/>
      </c>
      <c r="E1123" s="186">
        <f>IF($K1123="","",INDEX(Zeiterfassung!$E$6:$E$3665,$K1123))</f>
        <v/>
      </c>
      <c r="F1123" s="187">
        <f>IF($K1123="","",INDEX(Zeiterfassung!$F$6:$F$3665,$K1123))</f>
        <v/>
      </c>
      <c r="G1123" s="187">
        <f>IF($K1123="","",INDEX(Zeiterfassung!$G$6:$G$3665,$K1123))</f>
        <v/>
      </c>
      <c r="H1123" s="188">
        <f>IF($K1123="","",INDEX(Zeiterfassung!$H$6:$H$3665,$K1123))</f>
        <v/>
      </c>
      <c r="I1123" s="335">
        <f>IF(B1123=B1122,"",IF($K1123="","",INDEX(Zeiterfassung!$I$6:$I$3665,MATCH(INDEX(Zeiterfassung!$K$6:$K$3665,$K1123),Zeiterfassung!$K$6:$K$3665,0))))</f>
        <v/>
      </c>
      <c r="J1123" s="335">
        <f>IF(B1123=B1122,"",IF($K1123="","",INDEX(Zeiterfassung!$J$6:$J$3665,MATCH(INDEX(Zeiterfassung!$K$6:$K$3665,$K1123),Zeiterfassung!$K$6:$K$3665,0))))</f>
        <v/>
      </c>
      <c r="K1123">
        <f>IFERROR(AGGREGATE(15,6,(ROW(Zeiterfassung!$D$6:$D$3665)-ROW(Zeiterfassung!$D$6)+1)/(Zeiterfassung!$D$6:$D$3665&lt;&gt;""),1118),"")</f>
        <v/>
      </c>
    </row>
    <row r="1124" ht="20" customHeight="1">
      <c r="A1124" s="183">
        <f>IF($K1124="","",WEEKNUM(INDEX(Zeiterfassung!$K$6:$K$3665,$K1124),21))</f>
        <v/>
      </c>
      <c r="B1124" s="184">
        <f>IF($K1124="","",INDEX(Zeiterfassung!$K$6:$K$3665,$K1124))</f>
        <v/>
      </c>
      <c r="C1124" s="185">
        <f>IF($K1124="","",INDEX(Zeiterfassung!$K$6:$K$3665,$K1124))</f>
        <v/>
      </c>
      <c r="D1124" s="186">
        <f>IF($K1124="","",INDEX(Zeiterfassung!$D$6:$D$3665,$K1124))</f>
        <v/>
      </c>
      <c r="E1124" s="186">
        <f>IF($K1124="","",INDEX(Zeiterfassung!$E$6:$E$3665,$K1124))</f>
        <v/>
      </c>
      <c r="F1124" s="187">
        <f>IF($K1124="","",INDEX(Zeiterfassung!$F$6:$F$3665,$K1124))</f>
        <v/>
      </c>
      <c r="G1124" s="187">
        <f>IF($K1124="","",INDEX(Zeiterfassung!$G$6:$G$3665,$K1124))</f>
        <v/>
      </c>
      <c r="H1124" s="188">
        <f>IF($K1124="","",INDEX(Zeiterfassung!$H$6:$H$3665,$K1124))</f>
        <v/>
      </c>
      <c r="I1124" s="335">
        <f>IF(B1124=B1123,"",IF($K1124="","",INDEX(Zeiterfassung!$I$6:$I$3665,MATCH(INDEX(Zeiterfassung!$K$6:$K$3665,$K1124),Zeiterfassung!$K$6:$K$3665,0))))</f>
        <v/>
      </c>
      <c r="J1124" s="335">
        <f>IF(B1124=B1123,"",IF($K1124="","",INDEX(Zeiterfassung!$J$6:$J$3665,MATCH(INDEX(Zeiterfassung!$K$6:$K$3665,$K1124),Zeiterfassung!$K$6:$K$3665,0))))</f>
        <v/>
      </c>
      <c r="K1124">
        <f>IFERROR(AGGREGATE(15,6,(ROW(Zeiterfassung!$D$6:$D$3665)-ROW(Zeiterfassung!$D$6)+1)/(Zeiterfassung!$D$6:$D$3665&lt;&gt;""),1119),"")</f>
        <v/>
      </c>
    </row>
    <row r="1125" ht="20" customHeight="1">
      <c r="A1125" s="183">
        <f>IF($K1125="","",WEEKNUM(INDEX(Zeiterfassung!$K$6:$K$3665,$K1125),21))</f>
        <v/>
      </c>
      <c r="B1125" s="184">
        <f>IF($K1125="","",INDEX(Zeiterfassung!$K$6:$K$3665,$K1125))</f>
        <v/>
      </c>
      <c r="C1125" s="185">
        <f>IF($K1125="","",INDEX(Zeiterfassung!$K$6:$K$3665,$K1125))</f>
        <v/>
      </c>
      <c r="D1125" s="186">
        <f>IF($K1125="","",INDEX(Zeiterfassung!$D$6:$D$3665,$K1125))</f>
        <v/>
      </c>
      <c r="E1125" s="186">
        <f>IF($K1125="","",INDEX(Zeiterfassung!$E$6:$E$3665,$K1125))</f>
        <v/>
      </c>
      <c r="F1125" s="187">
        <f>IF($K1125="","",INDEX(Zeiterfassung!$F$6:$F$3665,$K1125))</f>
        <v/>
      </c>
      <c r="G1125" s="187">
        <f>IF($K1125="","",INDEX(Zeiterfassung!$G$6:$G$3665,$K1125))</f>
        <v/>
      </c>
      <c r="H1125" s="188">
        <f>IF($K1125="","",INDEX(Zeiterfassung!$H$6:$H$3665,$K1125))</f>
        <v/>
      </c>
      <c r="I1125" s="335">
        <f>IF(B1125=B1124,"",IF($K1125="","",INDEX(Zeiterfassung!$I$6:$I$3665,MATCH(INDEX(Zeiterfassung!$K$6:$K$3665,$K1125),Zeiterfassung!$K$6:$K$3665,0))))</f>
        <v/>
      </c>
      <c r="J1125" s="335">
        <f>IF(B1125=B1124,"",IF($K1125="","",INDEX(Zeiterfassung!$J$6:$J$3665,MATCH(INDEX(Zeiterfassung!$K$6:$K$3665,$K1125),Zeiterfassung!$K$6:$K$3665,0))))</f>
        <v/>
      </c>
      <c r="K1125">
        <f>IFERROR(AGGREGATE(15,6,(ROW(Zeiterfassung!$D$6:$D$3665)-ROW(Zeiterfassung!$D$6)+1)/(Zeiterfassung!$D$6:$D$3665&lt;&gt;""),1120),"")</f>
        <v/>
      </c>
    </row>
    <row r="1126" ht="20" customHeight="1">
      <c r="A1126" s="183">
        <f>IF($K1126="","",WEEKNUM(INDEX(Zeiterfassung!$K$6:$K$3665,$K1126),21))</f>
        <v/>
      </c>
      <c r="B1126" s="184">
        <f>IF($K1126="","",INDEX(Zeiterfassung!$K$6:$K$3665,$K1126))</f>
        <v/>
      </c>
      <c r="C1126" s="185">
        <f>IF($K1126="","",INDEX(Zeiterfassung!$K$6:$K$3665,$K1126))</f>
        <v/>
      </c>
      <c r="D1126" s="186">
        <f>IF($K1126="","",INDEX(Zeiterfassung!$D$6:$D$3665,$K1126))</f>
        <v/>
      </c>
      <c r="E1126" s="186">
        <f>IF($K1126="","",INDEX(Zeiterfassung!$E$6:$E$3665,$K1126))</f>
        <v/>
      </c>
      <c r="F1126" s="187">
        <f>IF($K1126="","",INDEX(Zeiterfassung!$F$6:$F$3665,$K1126))</f>
        <v/>
      </c>
      <c r="G1126" s="187">
        <f>IF($K1126="","",INDEX(Zeiterfassung!$G$6:$G$3665,$K1126))</f>
        <v/>
      </c>
      <c r="H1126" s="188">
        <f>IF($K1126="","",INDEX(Zeiterfassung!$H$6:$H$3665,$K1126))</f>
        <v/>
      </c>
      <c r="I1126" s="335">
        <f>IF(B1126=B1125,"",IF($K1126="","",INDEX(Zeiterfassung!$I$6:$I$3665,MATCH(INDEX(Zeiterfassung!$K$6:$K$3665,$K1126),Zeiterfassung!$K$6:$K$3665,0))))</f>
        <v/>
      </c>
      <c r="J1126" s="335">
        <f>IF(B1126=B1125,"",IF($K1126="","",INDEX(Zeiterfassung!$J$6:$J$3665,MATCH(INDEX(Zeiterfassung!$K$6:$K$3665,$K1126),Zeiterfassung!$K$6:$K$3665,0))))</f>
        <v/>
      </c>
      <c r="K1126">
        <f>IFERROR(AGGREGATE(15,6,(ROW(Zeiterfassung!$D$6:$D$3665)-ROW(Zeiterfassung!$D$6)+1)/(Zeiterfassung!$D$6:$D$3665&lt;&gt;""),1121),"")</f>
        <v/>
      </c>
    </row>
    <row r="1127" ht="20" customHeight="1">
      <c r="A1127" s="183">
        <f>IF($K1127="","",WEEKNUM(INDEX(Zeiterfassung!$K$6:$K$3665,$K1127),21))</f>
        <v/>
      </c>
      <c r="B1127" s="184">
        <f>IF($K1127="","",INDEX(Zeiterfassung!$K$6:$K$3665,$K1127))</f>
        <v/>
      </c>
      <c r="C1127" s="185">
        <f>IF($K1127="","",INDEX(Zeiterfassung!$K$6:$K$3665,$K1127))</f>
        <v/>
      </c>
      <c r="D1127" s="186">
        <f>IF($K1127="","",INDEX(Zeiterfassung!$D$6:$D$3665,$K1127))</f>
        <v/>
      </c>
      <c r="E1127" s="186">
        <f>IF($K1127="","",INDEX(Zeiterfassung!$E$6:$E$3665,$K1127))</f>
        <v/>
      </c>
      <c r="F1127" s="187">
        <f>IF($K1127="","",INDEX(Zeiterfassung!$F$6:$F$3665,$K1127))</f>
        <v/>
      </c>
      <c r="G1127" s="187">
        <f>IF($K1127="","",INDEX(Zeiterfassung!$G$6:$G$3665,$K1127))</f>
        <v/>
      </c>
      <c r="H1127" s="188">
        <f>IF($K1127="","",INDEX(Zeiterfassung!$H$6:$H$3665,$K1127))</f>
        <v/>
      </c>
      <c r="I1127" s="335">
        <f>IF(B1127=B1126,"",IF($K1127="","",INDEX(Zeiterfassung!$I$6:$I$3665,MATCH(INDEX(Zeiterfassung!$K$6:$K$3665,$K1127),Zeiterfassung!$K$6:$K$3665,0))))</f>
        <v/>
      </c>
      <c r="J1127" s="335">
        <f>IF(B1127=B1126,"",IF($K1127="","",INDEX(Zeiterfassung!$J$6:$J$3665,MATCH(INDEX(Zeiterfassung!$K$6:$K$3665,$K1127),Zeiterfassung!$K$6:$K$3665,0))))</f>
        <v/>
      </c>
      <c r="K1127">
        <f>IFERROR(AGGREGATE(15,6,(ROW(Zeiterfassung!$D$6:$D$3665)-ROW(Zeiterfassung!$D$6)+1)/(Zeiterfassung!$D$6:$D$3665&lt;&gt;""),1122),"")</f>
        <v/>
      </c>
    </row>
    <row r="1128" ht="20" customHeight="1">
      <c r="A1128" s="183">
        <f>IF($K1128="","",WEEKNUM(INDEX(Zeiterfassung!$K$6:$K$3665,$K1128),21))</f>
        <v/>
      </c>
      <c r="B1128" s="184">
        <f>IF($K1128="","",INDEX(Zeiterfassung!$K$6:$K$3665,$K1128))</f>
        <v/>
      </c>
      <c r="C1128" s="185">
        <f>IF($K1128="","",INDEX(Zeiterfassung!$K$6:$K$3665,$K1128))</f>
        <v/>
      </c>
      <c r="D1128" s="186">
        <f>IF($K1128="","",INDEX(Zeiterfassung!$D$6:$D$3665,$K1128))</f>
        <v/>
      </c>
      <c r="E1128" s="186">
        <f>IF($K1128="","",INDEX(Zeiterfassung!$E$6:$E$3665,$K1128))</f>
        <v/>
      </c>
      <c r="F1128" s="187">
        <f>IF($K1128="","",INDEX(Zeiterfassung!$F$6:$F$3665,$K1128))</f>
        <v/>
      </c>
      <c r="G1128" s="187">
        <f>IF($K1128="","",INDEX(Zeiterfassung!$G$6:$G$3665,$K1128))</f>
        <v/>
      </c>
      <c r="H1128" s="188">
        <f>IF($K1128="","",INDEX(Zeiterfassung!$H$6:$H$3665,$K1128))</f>
        <v/>
      </c>
      <c r="I1128" s="335">
        <f>IF(B1128=B1127,"",IF($K1128="","",INDEX(Zeiterfassung!$I$6:$I$3665,MATCH(INDEX(Zeiterfassung!$K$6:$K$3665,$K1128),Zeiterfassung!$K$6:$K$3665,0))))</f>
        <v/>
      </c>
      <c r="J1128" s="335">
        <f>IF(B1128=B1127,"",IF($K1128="","",INDEX(Zeiterfassung!$J$6:$J$3665,MATCH(INDEX(Zeiterfassung!$K$6:$K$3665,$K1128),Zeiterfassung!$K$6:$K$3665,0))))</f>
        <v/>
      </c>
      <c r="K1128">
        <f>IFERROR(AGGREGATE(15,6,(ROW(Zeiterfassung!$D$6:$D$3665)-ROW(Zeiterfassung!$D$6)+1)/(Zeiterfassung!$D$6:$D$3665&lt;&gt;""),1123),"")</f>
        <v/>
      </c>
    </row>
    <row r="1129" ht="20" customHeight="1">
      <c r="A1129" s="183">
        <f>IF($K1129="","",WEEKNUM(INDEX(Zeiterfassung!$K$6:$K$3665,$K1129),21))</f>
        <v/>
      </c>
      <c r="B1129" s="184">
        <f>IF($K1129="","",INDEX(Zeiterfassung!$K$6:$K$3665,$K1129))</f>
        <v/>
      </c>
      <c r="C1129" s="185">
        <f>IF($K1129="","",INDEX(Zeiterfassung!$K$6:$K$3665,$K1129))</f>
        <v/>
      </c>
      <c r="D1129" s="186">
        <f>IF($K1129="","",INDEX(Zeiterfassung!$D$6:$D$3665,$K1129))</f>
        <v/>
      </c>
      <c r="E1129" s="186">
        <f>IF($K1129="","",INDEX(Zeiterfassung!$E$6:$E$3665,$K1129))</f>
        <v/>
      </c>
      <c r="F1129" s="187">
        <f>IF($K1129="","",INDEX(Zeiterfassung!$F$6:$F$3665,$K1129))</f>
        <v/>
      </c>
      <c r="G1129" s="187">
        <f>IF($K1129="","",INDEX(Zeiterfassung!$G$6:$G$3665,$K1129))</f>
        <v/>
      </c>
      <c r="H1129" s="188">
        <f>IF($K1129="","",INDEX(Zeiterfassung!$H$6:$H$3665,$K1129))</f>
        <v/>
      </c>
      <c r="I1129" s="335">
        <f>IF(B1129=B1128,"",IF($K1129="","",INDEX(Zeiterfassung!$I$6:$I$3665,MATCH(INDEX(Zeiterfassung!$K$6:$K$3665,$K1129),Zeiterfassung!$K$6:$K$3665,0))))</f>
        <v/>
      </c>
      <c r="J1129" s="335">
        <f>IF(B1129=B1128,"",IF($K1129="","",INDEX(Zeiterfassung!$J$6:$J$3665,MATCH(INDEX(Zeiterfassung!$K$6:$K$3665,$K1129),Zeiterfassung!$K$6:$K$3665,0))))</f>
        <v/>
      </c>
      <c r="K1129">
        <f>IFERROR(AGGREGATE(15,6,(ROW(Zeiterfassung!$D$6:$D$3665)-ROW(Zeiterfassung!$D$6)+1)/(Zeiterfassung!$D$6:$D$3665&lt;&gt;""),1124),"")</f>
        <v/>
      </c>
    </row>
    <row r="1130" ht="20" customHeight="1">
      <c r="A1130" s="183">
        <f>IF($K1130="","",WEEKNUM(INDEX(Zeiterfassung!$K$6:$K$3665,$K1130),21))</f>
        <v/>
      </c>
      <c r="B1130" s="184">
        <f>IF($K1130="","",INDEX(Zeiterfassung!$K$6:$K$3665,$K1130))</f>
        <v/>
      </c>
      <c r="C1130" s="185">
        <f>IF($K1130="","",INDEX(Zeiterfassung!$K$6:$K$3665,$K1130))</f>
        <v/>
      </c>
      <c r="D1130" s="186">
        <f>IF($K1130="","",INDEX(Zeiterfassung!$D$6:$D$3665,$K1130))</f>
        <v/>
      </c>
      <c r="E1130" s="186">
        <f>IF($K1130="","",INDEX(Zeiterfassung!$E$6:$E$3665,$K1130))</f>
        <v/>
      </c>
      <c r="F1130" s="187">
        <f>IF($K1130="","",INDEX(Zeiterfassung!$F$6:$F$3665,$K1130))</f>
        <v/>
      </c>
      <c r="G1130" s="187">
        <f>IF($K1130="","",INDEX(Zeiterfassung!$G$6:$G$3665,$K1130))</f>
        <v/>
      </c>
      <c r="H1130" s="188">
        <f>IF($K1130="","",INDEX(Zeiterfassung!$H$6:$H$3665,$K1130))</f>
        <v/>
      </c>
      <c r="I1130" s="335">
        <f>IF(B1130=B1129,"",IF($K1130="","",INDEX(Zeiterfassung!$I$6:$I$3665,MATCH(INDEX(Zeiterfassung!$K$6:$K$3665,$K1130),Zeiterfassung!$K$6:$K$3665,0))))</f>
        <v/>
      </c>
      <c r="J1130" s="335">
        <f>IF(B1130=B1129,"",IF($K1130="","",INDEX(Zeiterfassung!$J$6:$J$3665,MATCH(INDEX(Zeiterfassung!$K$6:$K$3665,$K1130),Zeiterfassung!$K$6:$K$3665,0))))</f>
        <v/>
      </c>
      <c r="K1130">
        <f>IFERROR(AGGREGATE(15,6,(ROW(Zeiterfassung!$D$6:$D$3665)-ROW(Zeiterfassung!$D$6)+1)/(Zeiterfassung!$D$6:$D$3665&lt;&gt;""),1125),"")</f>
        <v/>
      </c>
    </row>
    <row r="1131" ht="20" customHeight="1">
      <c r="A1131" s="183">
        <f>IF($K1131="","",WEEKNUM(INDEX(Zeiterfassung!$K$6:$K$3665,$K1131),21))</f>
        <v/>
      </c>
      <c r="B1131" s="184">
        <f>IF($K1131="","",INDEX(Zeiterfassung!$K$6:$K$3665,$K1131))</f>
        <v/>
      </c>
      <c r="C1131" s="185">
        <f>IF($K1131="","",INDEX(Zeiterfassung!$K$6:$K$3665,$K1131))</f>
        <v/>
      </c>
      <c r="D1131" s="186">
        <f>IF($K1131="","",INDEX(Zeiterfassung!$D$6:$D$3665,$K1131))</f>
        <v/>
      </c>
      <c r="E1131" s="186">
        <f>IF($K1131="","",INDEX(Zeiterfassung!$E$6:$E$3665,$K1131))</f>
        <v/>
      </c>
      <c r="F1131" s="187">
        <f>IF($K1131="","",INDEX(Zeiterfassung!$F$6:$F$3665,$K1131))</f>
        <v/>
      </c>
      <c r="G1131" s="187">
        <f>IF($K1131="","",INDEX(Zeiterfassung!$G$6:$G$3665,$K1131))</f>
        <v/>
      </c>
      <c r="H1131" s="188">
        <f>IF($K1131="","",INDEX(Zeiterfassung!$H$6:$H$3665,$K1131))</f>
        <v/>
      </c>
      <c r="I1131" s="335">
        <f>IF(B1131=B1130,"",IF($K1131="","",INDEX(Zeiterfassung!$I$6:$I$3665,MATCH(INDEX(Zeiterfassung!$K$6:$K$3665,$K1131),Zeiterfassung!$K$6:$K$3665,0))))</f>
        <v/>
      </c>
      <c r="J1131" s="335">
        <f>IF(B1131=B1130,"",IF($K1131="","",INDEX(Zeiterfassung!$J$6:$J$3665,MATCH(INDEX(Zeiterfassung!$K$6:$K$3665,$K1131),Zeiterfassung!$K$6:$K$3665,0))))</f>
        <v/>
      </c>
      <c r="K1131">
        <f>IFERROR(AGGREGATE(15,6,(ROW(Zeiterfassung!$D$6:$D$3665)-ROW(Zeiterfassung!$D$6)+1)/(Zeiterfassung!$D$6:$D$3665&lt;&gt;""),1126),"")</f>
        <v/>
      </c>
    </row>
    <row r="1132" ht="20" customHeight="1">
      <c r="A1132" s="183">
        <f>IF($K1132="","",WEEKNUM(INDEX(Zeiterfassung!$K$6:$K$3665,$K1132),21))</f>
        <v/>
      </c>
      <c r="B1132" s="184">
        <f>IF($K1132="","",INDEX(Zeiterfassung!$K$6:$K$3665,$K1132))</f>
        <v/>
      </c>
      <c r="C1132" s="185">
        <f>IF($K1132="","",INDEX(Zeiterfassung!$K$6:$K$3665,$K1132))</f>
        <v/>
      </c>
      <c r="D1132" s="186">
        <f>IF($K1132="","",INDEX(Zeiterfassung!$D$6:$D$3665,$K1132))</f>
        <v/>
      </c>
      <c r="E1132" s="186">
        <f>IF($K1132="","",INDEX(Zeiterfassung!$E$6:$E$3665,$K1132))</f>
        <v/>
      </c>
      <c r="F1132" s="187">
        <f>IF($K1132="","",INDEX(Zeiterfassung!$F$6:$F$3665,$K1132))</f>
        <v/>
      </c>
      <c r="G1132" s="187">
        <f>IF($K1132="","",INDEX(Zeiterfassung!$G$6:$G$3665,$K1132))</f>
        <v/>
      </c>
      <c r="H1132" s="188">
        <f>IF($K1132="","",INDEX(Zeiterfassung!$H$6:$H$3665,$K1132))</f>
        <v/>
      </c>
      <c r="I1132" s="335">
        <f>IF(B1132=B1131,"",IF($K1132="","",INDEX(Zeiterfassung!$I$6:$I$3665,MATCH(INDEX(Zeiterfassung!$K$6:$K$3665,$K1132),Zeiterfassung!$K$6:$K$3665,0))))</f>
        <v/>
      </c>
      <c r="J1132" s="335">
        <f>IF(B1132=B1131,"",IF($K1132="","",INDEX(Zeiterfassung!$J$6:$J$3665,MATCH(INDEX(Zeiterfassung!$K$6:$K$3665,$K1132),Zeiterfassung!$K$6:$K$3665,0))))</f>
        <v/>
      </c>
      <c r="K1132">
        <f>IFERROR(AGGREGATE(15,6,(ROW(Zeiterfassung!$D$6:$D$3665)-ROW(Zeiterfassung!$D$6)+1)/(Zeiterfassung!$D$6:$D$3665&lt;&gt;""),1127),"")</f>
        <v/>
      </c>
    </row>
    <row r="1133" ht="20" customHeight="1">
      <c r="A1133" s="183">
        <f>IF($K1133="","",WEEKNUM(INDEX(Zeiterfassung!$K$6:$K$3665,$K1133),21))</f>
        <v/>
      </c>
      <c r="B1133" s="184">
        <f>IF($K1133="","",INDEX(Zeiterfassung!$K$6:$K$3665,$K1133))</f>
        <v/>
      </c>
      <c r="C1133" s="185">
        <f>IF($K1133="","",INDEX(Zeiterfassung!$K$6:$K$3665,$K1133))</f>
        <v/>
      </c>
      <c r="D1133" s="186">
        <f>IF($K1133="","",INDEX(Zeiterfassung!$D$6:$D$3665,$K1133))</f>
        <v/>
      </c>
      <c r="E1133" s="186">
        <f>IF($K1133="","",INDEX(Zeiterfassung!$E$6:$E$3665,$K1133))</f>
        <v/>
      </c>
      <c r="F1133" s="187">
        <f>IF($K1133="","",INDEX(Zeiterfassung!$F$6:$F$3665,$K1133))</f>
        <v/>
      </c>
      <c r="G1133" s="187">
        <f>IF($K1133="","",INDEX(Zeiterfassung!$G$6:$G$3665,$K1133))</f>
        <v/>
      </c>
      <c r="H1133" s="188">
        <f>IF($K1133="","",INDEX(Zeiterfassung!$H$6:$H$3665,$K1133))</f>
        <v/>
      </c>
      <c r="I1133" s="335">
        <f>IF(B1133=B1132,"",IF($K1133="","",INDEX(Zeiterfassung!$I$6:$I$3665,MATCH(INDEX(Zeiterfassung!$K$6:$K$3665,$K1133),Zeiterfassung!$K$6:$K$3665,0))))</f>
        <v/>
      </c>
      <c r="J1133" s="335">
        <f>IF(B1133=B1132,"",IF($K1133="","",INDEX(Zeiterfassung!$J$6:$J$3665,MATCH(INDEX(Zeiterfassung!$K$6:$K$3665,$K1133),Zeiterfassung!$K$6:$K$3665,0))))</f>
        <v/>
      </c>
      <c r="K1133">
        <f>IFERROR(AGGREGATE(15,6,(ROW(Zeiterfassung!$D$6:$D$3665)-ROW(Zeiterfassung!$D$6)+1)/(Zeiterfassung!$D$6:$D$3665&lt;&gt;""),1128),"")</f>
        <v/>
      </c>
    </row>
    <row r="1134" ht="20" customHeight="1">
      <c r="A1134" s="183">
        <f>IF($K1134="","",WEEKNUM(INDEX(Zeiterfassung!$K$6:$K$3665,$K1134),21))</f>
        <v/>
      </c>
      <c r="B1134" s="184">
        <f>IF($K1134="","",INDEX(Zeiterfassung!$K$6:$K$3665,$K1134))</f>
        <v/>
      </c>
      <c r="C1134" s="185">
        <f>IF($K1134="","",INDEX(Zeiterfassung!$K$6:$K$3665,$K1134))</f>
        <v/>
      </c>
      <c r="D1134" s="186">
        <f>IF($K1134="","",INDEX(Zeiterfassung!$D$6:$D$3665,$K1134))</f>
        <v/>
      </c>
      <c r="E1134" s="186">
        <f>IF($K1134="","",INDEX(Zeiterfassung!$E$6:$E$3665,$K1134))</f>
        <v/>
      </c>
      <c r="F1134" s="187">
        <f>IF($K1134="","",INDEX(Zeiterfassung!$F$6:$F$3665,$K1134))</f>
        <v/>
      </c>
      <c r="G1134" s="187">
        <f>IF($K1134="","",INDEX(Zeiterfassung!$G$6:$G$3665,$K1134))</f>
        <v/>
      </c>
      <c r="H1134" s="188">
        <f>IF($K1134="","",INDEX(Zeiterfassung!$H$6:$H$3665,$K1134))</f>
        <v/>
      </c>
      <c r="I1134" s="335">
        <f>IF(B1134=B1133,"",IF($K1134="","",INDEX(Zeiterfassung!$I$6:$I$3665,MATCH(INDEX(Zeiterfassung!$K$6:$K$3665,$K1134),Zeiterfassung!$K$6:$K$3665,0))))</f>
        <v/>
      </c>
      <c r="J1134" s="335">
        <f>IF(B1134=B1133,"",IF($K1134="","",INDEX(Zeiterfassung!$J$6:$J$3665,MATCH(INDEX(Zeiterfassung!$K$6:$K$3665,$K1134),Zeiterfassung!$K$6:$K$3665,0))))</f>
        <v/>
      </c>
      <c r="K1134">
        <f>IFERROR(AGGREGATE(15,6,(ROW(Zeiterfassung!$D$6:$D$3665)-ROW(Zeiterfassung!$D$6)+1)/(Zeiterfassung!$D$6:$D$3665&lt;&gt;""),1129),"")</f>
        <v/>
      </c>
    </row>
    <row r="1135" ht="20" customHeight="1">
      <c r="A1135" s="183">
        <f>IF($K1135="","",WEEKNUM(INDEX(Zeiterfassung!$K$6:$K$3665,$K1135),21))</f>
        <v/>
      </c>
      <c r="B1135" s="184">
        <f>IF($K1135="","",INDEX(Zeiterfassung!$K$6:$K$3665,$K1135))</f>
        <v/>
      </c>
      <c r="C1135" s="185">
        <f>IF($K1135="","",INDEX(Zeiterfassung!$K$6:$K$3665,$K1135))</f>
        <v/>
      </c>
      <c r="D1135" s="186">
        <f>IF($K1135="","",INDEX(Zeiterfassung!$D$6:$D$3665,$K1135))</f>
        <v/>
      </c>
      <c r="E1135" s="186">
        <f>IF($K1135="","",INDEX(Zeiterfassung!$E$6:$E$3665,$K1135))</f>
        <v/>
      </c>
      <c r="F1135" s="187">
        <f>IF($K1135="","",INDEX(Zeiterfassung!$F$6:$F$3665,$K1135))</f>
        <v/>
      </c>
      <c r="G1135" s="187">
        <f>IF($K1135="","",INDEX(Zeiterfassung!$G$6:$G$3665,$K1135))</f>
        <v/>
      </c>
      <c r="H1135" s="188">
        <f>IF($K1135="","",INDEX(Zeiterfassung!$H$6:$H$3665,$K1135))</f>
        <v/>
      </c>
      <c r="I1135" s="335">
        <f>IF(B1135=B1134,"",IF($K1135="","",INDEX(Zeiterfassung!$I$6:$I$3665,MATCH(INDEX(Zeiterfassung!$K$6:$K$3665,$K1135),Zeiterfassung!$K$6:$K$3665,0))))</f>
        <v/>
      </c>
      <c r="J1135" s="335">
        <f>IF(B1135=B1134,"",IF($K1135="","",INDEX(Zeiterfassung!$J$6:$J$3665,MATCH(INDEX(Zeiterfassung!$K$6:$K$3665,$K1135),Zeiterfassung!$K$6:$K$3665,0))))</f>
        <v/>
      </c>
      <c r="K1135">
        <f>IFERROR(AGGREGATE(15,6,(ROW(Zeiterfassung!$D$6:$D$3665)-ROW(Zeiterfassung!$D$6)+1)/(Zeiterfassung!$D$6:$D$3665&lt;&gt;""),1130),"")</f>
        <v/>
      </c>
    </row>
    <row r="1136" ht="20" customHeight="1">
      <c r="A1136" s="183">
        <f>IF($K1136="","",WEEKNUM(INDEX(Zeiterfassung!$K$6:$K$3665,$K1136),21))</f>
        <v/>
      </c>
      <c r="B1136" s="184">
        <f>IF($K1136="","",INDEX(Zeiterfassung!$K$6:$K$3665,$K1136))</f>
        <v/>
      </c>
      <c r="C1136" s="185">
        <f>IF($K1136="","",INDEX(Zeiterfassung!$K$6:$K$3665,$K1136))</f>
        <v/>
      </c>
      <c r="D1136" s="186">
        <f>IF($K1136="","",INDEX(Zeiterfassung!$D$6:$D$3665,$K1136))</f>
        <v/>
      </c>
      <c r="E1136" s="186">
        <f>IF($K1136="","",INDEX(Zeiterfassung!$E$6:$E$3665,$K1136))</f>
        <v/>
      </c>
      <c r="F1136" s="187">
        <f>IF($K1136="","",INDEX(Zeiterfassung!$F$6:$F$3665,$K1136))</f>
        <v/>
      </c>
      <c r="G1136" s="187">
        <f>IF($K1136="","",INDEX(Zeiterfassung!$G$6:$G$3665,$K1136))</f>
        <v/>
      </c>
      <c r="H1136" s="188">
        <f>IF($K1136="","",INDEX(Zeiterfassung!$H$6:$H$3665,$K1136))</f>
        <v/>
      </c>
      <c r="I1136" s="335">
        <f>IF(B1136=B1135,"",IF($K1136="","",INDEX(Zeiterfassung!$I$6:$I$3665,MATCH(INDEX(Zeiterfassung!$K$6:$K$3665,$K1136),Zeiterfassung!$K$6:$K$3665,0))))</f>
        <v/>
      </c>
      <c r="J1136" s="335">
        <f>IF(B1136=B1135,"",IF($K1136="","",INDEX(Zeiterfassung!$J$6:$J$3665,MATCH(INDEX(Zeiterfassung!$K$6:$K$3665,$K1136),Zeiterfassung!$K$6:$K$3665,0))))</f>
        <v/>
      </c>
      <c r="K1136">
        <f>IFERROR(AGGREGATE(15,6,(ROW(Zeiterfassung!$D$6:$D$3665)-ROW(Zeiterfassung!$D$6)+1)/(Zeiterfassung!$D$6:$D$3665&lt;&gt;""),1131),"")</f>
        <v/>
      </c>
    </row>
    <row r="1137" ht="20" customHeight="1">
      <c r="A1137" s="183">
        <f>IF($K1137="","",WEEKNUM(INDEX(Zeiterfassung!$K$6:$K$3665,$K1137),21))</f>
        <v/>
      </c>
      <c r="B1137" s="184">
        <f>IF($K1137="","",INDEX(Zeiterfassung!$K$6:$K$3665,$K1137))</f>
        <v/>
      </c>
      <c r="C1137" s="185">
        <f>IF($K1137="","",INDEX(Zeiterfassung!$K$6:$K$3665,$K1137))</f>
        <v/>
      </c>
      <c r="D1137" s="186">
        <f>IF($K1137="","",INDEX(Zeiterfassung!$D$6:$D$3665,$K1137))</f>
        <v/>
      </c>
      <c r="E1137" s="186">
        <f>IF($K1137="","",INDEX(Zeiterfassung!$E$6:$E$3665,$K1137))</f>
        <v/>
      </c>
      <c r="F1137" s="187">
        <f>IF($K1137="","",INDEX(Zeiterfassung!$F$6:$F$3665,$K1137))</f>
        <v/>
      </c>
      <c r="G1137" s="187">
        <f>IF($K1137="","",INDEX(Zeiterfassung!$G$6:$G$3665,$K1137))</f>
        <v/>
      </c>
      <c r="H1137" s="188">
        <f>IF($K1137="","",INDEX(Zeiterfassung!$H$6:$H$3665,$K1137))</f>
        <v/>
      </c>
      <c r="I1137" s="335">
        <f>IF(B1137=B1136,"",IF($K1137="","",INDEX(Zeiterfassung!$I$6:$I$3665,MATCH(INDEX(Zeiterfassung!$K$6:$K$3665,$K1137),Zeiterfassung!$K$6:$K$3665,0))))</f>
        <v/>
      </c>
      <c r="J1137" s="335">
        <f>IF(B1137=B1136,"",IF($K1137="","",INDEX(Zeiterfassung!$J$6:$J$3665,MATCH(INDEX(Zeiterfassung!$K$6:$K$3665,$K1137),Zeiterfassung!$K$6:$K$3665,0))))</f>
        <v/>
      </c>
      <c r="K1137">
        <f>IFERROR(AGGREGATE(15,6,(ROW(Zeiterfassung!$D$6:$D$3665)-ROW(Zeiterfassung!$D$6)+1)/(Zeiterfassung!$D$6:$D$3665&lt;&gt;""),1132),"")</f>
        <v/>
      </c>
    </row>
    <row r="1138" ht="20" customHeight="1">
      <c r="A1138" s="183">
        <f>IF($K1138="","",WEEKNUM(INDEX(Zeiterfassung!$K$6:$K$3665,$K1138),21))</f>
        <v/>
      </c>
      <c r="B1138" s="184">
        <f>IF($K1138="","",INDEX(Zeiterfassung!$K$6:$K$3665,$K1138))</f>
        <v/>
      </c>
      <c r="C1138" s="185">
        <f>IF($K1138="","",INDEX(Zeiterfassung!$K$6:$K$3665,$K1138))</f>
        <v/>
      </c>
      <c r="D1138" s="186">
        <f>IF($K1138="","",INDEX(Zeiterfassung!$D$6:$D$3665,$K1138))</f>
        <v/>
      </c>
      <c r="E1138" s="186">
        <f>IF($K1138="","",INDEX(Zeiterfassung!$E$6:$E$3665,$K1138))</f>
        <v/>
      </c>
      <c r="F1138" s="187">
        <f>IF($K1138="","",INDEX(Zeiterfassung!$F$6:$F$3665,$K1138))</f>
        <v/>
      </c>
      <c r="G1138" s="187">
        <f>IF($K1138="","",INDEX(Zeiterfassung!$G$6:$G$3665,$K1138))</f>
        <v/>
      </c>
      <c r="H1138" s="188">
        <f>IF($K1138="","",INDEX(Zeiterfassung!$H$6:$H$3665,$K1138))</f>
        <v/>
      </c>
      <c r="I1138" s="335">
        <f>IF(B1138=B1137,"",IF($K1138="","",INDEX(Zeiterfassung!$I$6:$I$3665,MATCH(INDEX(Zeiterfassung!$K$6:$K$3665,$K1138),Zeiterfassung!$K$6:$K$3665,0))))</f>
        <v/>
      </c>
      <c r="J1138" s="335">
        <f>IF(B1138=B1137,"",IF($K1138="","",INDEX(Zeiterfassung!$J$6:$J$3665,MATCH(INDEX(Zeiterfassung!$K$6:$K$3665,$K1138),Zeiterfassung!$K$6:$K$3665,0))))</f>
        <v/>
      </c>
      <c r="K1138">
        <f>IFERROR(AGGREGATE(15,6,(ROW(Zeiterfassung!$D$6:$D$3665)-ROW(Zeiterfassung!$D$6)+1)/(Zeiterfassung!$D$6:$D$3665&lt;&gt;""),1133),"")</f>
        <v/>
      </c>
    </row>
    <row r="1139" ht="20" customHeight="1">
      <c r="A1139" s="183">
        <f>IF($K1139="","",WEEKNUM(INDEX(Zeiterfassung!$K$6:$K$3665,$K1139),21))</f>
        <v/>
      </c>
      <c r="B1139" s="184">
        <f>IF($K1139="","",INDEX(Zeiterfassung!$K$6:$K$3665,$K1139))</f>
        <v/>
      </c>
      <c r="C1139" s="185">
        <f>IF($K1139="","",INDEX(Zeiterfassung!$K$6:$K$3665,$K1139))</f>
        <v/>
      </c>
      <c r="D1139" s="186">
        <f>IF($K1139="","",INDEX(Zeiterfassung!$D$6:$D$3665,$K1139))</f>
        <v/>
      </c>
      <c r="E1139" s="186">
        <f>IF($K1139="","",INDEX(Zeiterfassung!$E$6:$E$3665,$K1139))</f>
        <v/>
      </c>
      <c r="F1139" s="187">
        <f>IF($K1139="","",INDEX(Zeiterfassung!$F$6:$F$3665,$K1139))</f>
        <v/>
      </c>
      <c r="G1139" s="187">
        <f>IF($K1139="","",INDEX(Zeiterfassung!$G$6:$G$3665,$K1139))</f>
        <v/>
      </c>
      <c r="H1139" s="188">
        <f>IF($K1139="","",INDEX(Zeiterfassung!$H$6:$H$3665,$K1139))</f>
        <v/>
      </c>
      <c r="I1139" s="335">
        <f>IF(B1139=B1138,"",IF($K1139="","",INDEX(Zeiterfassung!$I$6:$I$3665,MATCH(INDEX(Zeiterfassung!$K$6:$K$3665,$K1139),Zeiterfassung!$K$6:$K$3665,0))))</f>
        <v/>
      </c>
      <c r="J1139" s="335">
        <f>IF(B1139=B1138,"",IF($K1139="","",INDEX(Zeiterfassung!$J$6:$J$3665,MATCH(INDEX(Zeiterfassung!$K$6:$K$3665,$K1139),Zeiterfassung!$K$6:$K$3665,0))))</f>
        <v/>
      </c>
      <c r="K1139">
        <f>IFERROR(AGGREGATE(15,6,(ROW(Zeiterfassung!$D$6:$D$3665)-ROW(Zeiterfassung!$D$6)+1)/(Zeiterfassung!$D$6:$D$3665&lt;&gt;""),1134),"")</f>
        <v/>
      </c>
    </row>
    <row r="1140" ht="20" customHeight="1">
      <c r="A1140" s="183">
        <f>IF($K1140="","",WEEKNUM(INDEX(Zeiterfassung!$K$6:$K$3665,$K1140),21))</f>
        <v/>
      </c>
      <c r="B1140" s="184">
        <f>IF($K1140="","",INDEX(Zeiterfassung!$K$6:$K$3665,$K1140))</f>
        <v/>
      </c>
      <c r="C1140" s="185">
        <f>IF($K1140="","",INDEX(Zeiterfassung!$K$6:$K$3665,$K1140))</f>
        <v/>
      </c>
      <c r="D1140" s="186">
        <f>IF($K1140="","",INDEX(Zeiterfassung!$D$6:$D$3665,$K1140))</f>
        <v/>
      </c>
      <c r="E1140" s="186">
        <f>IF($K1140="","",INDEX(Zeiterfassung!$E$6:$E$3665,$K1140))</f>
        <v/>
      </c>
      <c r="F1140" s="187">
        <f>IF($K1140="","",INDEX(Zeiterfassung!$F$6:$F$3665,$K1140))</f>
        <v/>
      </c>
      <c r="G1140" s="187">
        <f>IF($K1140="","",INDEX(Zeiterfassung!$G$6:$G$3665,$K1140))</f>
        <v/>
      </c>
      <c r="H1140" s="188">
        <f>IF($K1140="","",INDEX(Zeiterfassung!$H$6:$H$3665,$K1140))</f>
        <v/>
      </c>
      <c r="I1140" s="335">
        <f>IF(B1140=B1139,"",IF($K1140="","",INDEX(Zeiterfassung!$I$6:$I$3665,MATCH(INDEX(Zeiterfassung!$K$6:$K$3665,$K1140),Zeiterfassung!$K$6:$K$3665,0))))</f>
        <v/>
      </c>
      <c r="J1140" s="335">
        <f>IF(B1140=B1139,"",IF($K1140="","",INDEX(Zeiterfassung!$J$6:$J$3665,MATCH(INDEX(Zeiterfassung!$K$6:$K$3665,$K1140),Zeiterfassung!$K$6:$K$3665,0))))</f>
        <v/>
      </c>
      <c r="K1140">
        <f>IFERROR(AGGREGATE(15,6,(ROW(Zeiterfassung!$D$6:$D$3665)-ROW(Zeiterfassung!$D$6)+1)/(Zeiterfassung!$D$6:$D$3665&lt;&gt;""),1135),"")</f>
        <v/>
      </c>
    </row>
    <row r="1141" ht="20" customHeight="1">
      <c r="A1141" s="183">
        <f>IF($K1141="","",WEEKNUM(INDEX(Zeiterfassung!$K$6:$K$3665,$K1141),21))</f>
        <v/>
      </c>
      <c r="B1141" s="184">
        <f>IF($K1141="","",INDEX(Zeiterfassung!$K$6:$K$3665,$K1141))</f>
        <v/>
      </c>
      <c r="C1141" s="185">
        <f>IF($K1141="","",INDEX(Zeiterfassung!$K$6:$K$3665,$K1141))</f>
        <v/>
      </c>
      <c r="D1141" s="186">
        <f>IF($K1141="","",INDEX(Zeiterfassung!$D$6:$D$3665,$K1141))</f>
        <v/>
      </c>
      <c r="E1141" s="186">
        <f>IF($K1141="","",INDEX(Zeiterfassung!$E$6:$E$3665,$K1141))</f>
        <v/>
      </c>
      <c r="F1141" s="187">
        <f>IF($K1141="","",INDEX(Zeiterfassung!$F$6:$F$3665,$K1141))</f>
        <v/>
      </c>
      <c r="G1141" s="187">
        <f>IF($K1141="","",INDEX(Zeiterfassung!$G$6:$G$3665,$K1141))</f>
        <v/>
      </c>
      <c r="H1141" s="188">
        <f>IF($K1141="","",INDEX(Zeiterfassung!$H$6:$H$3665,$K1141))</f>
        <v/>
      </c>
      <c r="I1141" s="335">
        <f>IF(B1141=B1140,"",IF($K1141="","",INDEX(Zeiterfassung!$I$6:$I$3665,MATCH(INDEX(Zeiterfassung!$K$6:$K$3665,$K1141),Zeiterfassung!$K$6:$K$3665,0))))</f>
        <v/>
      </c>
      <c r="J1141" s="335">
        <f>IF(B1141=B1140,"",IF($K1141="","",INDEX(Zeiterfassung!$J$6:$J$3665,MATCH(INDEX(Zeiterfassung!$K$6:$K$3665,$K1141),Zeiterfassung!$K$6:$K$3665,0))))</f>
        <v/>
      </c>
      <c r="K1141">
        <f>IFERROR(AGGREGATE(15,6,(ROW(Zeiterfassung!$D$6:$D$3665)-ROW(Zeiterfassung!$D$6)+1)/(Zeiterfassung!$D$6:$D$3665&lt;&gt;""),1136),"")</f>
        <v/>
      </c>
    </row>
    <row r="1142" ht="20" customHeight="1">
      <c r="A1142" s="183">
        <f>IF($K1142="","",WEEKNUM(INDEX(Zeiterfassung!$K$6:$K$3665,$K1142),21))</f>
        <v/>
      </c>
      <c r="B1142" s="184">
        <f>IF($K1142="","",INDEX(Zeiterfassung!$K$6:$K$3665,$K1142))</f>
        <v/>
      </c>
      <c r="C1142" s="185">
        <f>IF($K1142="","",INDEX(Zeiterfassung!$K$6:$K$3665,$K1142))</f>
        <v/>
      </c>
      <c r="D1142" s="186">
        <f>IF($K1142="","",INDEX(Zeiterfassung!$D$6:$D$3665,$K1142))</f>
        <v/>
      </c>
      <c r="E1142" s="186">
        <f>IF($K1142="","",INDEX(Zeiterfassung!$E$6:$E$3665,$K1142))</f>
        <v/>
      </c>
      <c r="F1142" s="187">
        <f>IF($K1142="","",INDEX(Zeiterfassung!$F$6:$F$3665,$K1142))</f>
        <v/>
      </c>
      <c r="G1142" s="187">
        <f>IF($K1142="","",INDEX(Zeiterfassung!$G$6:$G$3665,$K1142))</f>
        <v/>
      </c>
      <c r="H1142" s="188">
        <f>IF($K1142="","",INDEX(Zeiterfassung!$H$6:$H$3665,$K1142))</f>
        <v/>
      </c>
      <c r="I1142" s="335">
        <f>IF(B1142=B1141,"",IF($K1142="","",INDEX(Zeiterfassung!$I$6:$I$3665,MATCH(INDEX(Zeiterfassung!$K$6:$K$3665,$K1142),Zeiterfassung!$K$6:$K$3665,0))))</f>
        <v/>
      </c>
      <c r="J1142" s="335">
        <f>IF(B1142=B1141,"",IF($K1142="","",INDEX(Zeiterfassung!$J$6:$J$3665,MATCH(INDEX(Zeiterfassung!$K$6:$K$3665,$K1142),Zeiterfassung!$K$6:$K$3665,0))))</f>
        <v/>
      </c>
      <c r="K1142">
        <f>IFERROR(AGGREGATE(15,6,(ROW(Zeiterfassung!$D$6:$D$3665)-ROW(Zeiterfassung!$D$6)+1)/(Zeiterfassung!$D$6:$D$3665&lt;&gt;""),1137),"")</f>
        <v/>
      </c>
    </row>
    <row r="1143" ht="20" customHeight="1">
      <c r="A1143" s="183">
        <f>IF($K1143="","",WEEKNUM(INDEX(Zeiterfassung!$K$6:$K$3665,$K1143),21))</f>
        <v/>
      </c>
      <c r="B1143" s="184">
        <f>IF($K1143="","",INDEX(Zeiterfassung!$K$6:$K$3665,$K1143))</f>
        <v/>
      </c>
      <c r="C1143" s="185">
        <f>IF($K1143="","",INDEX(Zeiterfassung!$K$6:$K$3665,$K1143))</f>
        <v/>
      </c>
      <c r="D1143" s="186">
        <f>IF($K1143="","",INDEX(Zeiterfassung!$D$6:$D$3665,$K1143))</f>
        <v/>
      </c>
      <c r="E1143" s="186">
        <f>IF($K1143="","",INDEX(Zeiterfassung!$E$6:$E$3665,$K1143))</f>
        <v/>
      </c>
      <c r="F1143" s="187">
        <f>IF($K1143="","",INDEX(Zeiterfassung!$F$6:$F$3665,$K1143))</f>
        <v/>
      </c>
      <c r="G1143" s="187">
        <f>IF($K1143="","",INDEX(Zeiterfassung!$G$6:$G$3665,$K1143))</f>
        <v/>
      </c>
      <c r="H1143" s="188">
        <f>IF($K1143="","",INDEX(Zeiterfassung!$H$6:$H$3665,$K1143))</f>
        <v/>
      </c>
      <c r="I1143" s="335">
        <f>IF(B1143=B1142,"",IF($K1143="","",INDEX(Zeiterfassung!$I$6:$I$3665,MATCH(INDEX(Zeiterfassung!$K$6:$K$3665,$K1143),Zeiterfassung!$K$6:$K$3665,0))))</f>
        <v/>
      </c>
      <c r="J1143" s="335">
        <f>IF(B1143=B1142,"",IF($K1143="","",INDEX(Zeiterfassung!$J$6:$J$3665,MATCH(INDEX(Zeiterfassung!$K$6:$K$3665,$K1143),Zeiterfassung!$K$6:$K$3665,0))))</f>
        <v/>
      </c>
      <c r="K1143">
        <f>IFERROR(AGGREGATE(15,6,(ROW(Zeiterfassung!$D$6:$D$3665)-ROW(Zeiterfassung!$D$6)+1)/(Zeiterfassung!$D$6:$D$3665&lt;&gt;""),1138),"")</f>
        <v/>
      </c>
    </row>
    <row r="1144" ht="20" customHeight="1">
      <c r="A1144" s="183">
        <f>IF($K1144="","",WEEKNUM(INDEX(Zeiterfassung!$K$6:$K$3665,$K1144),21))</f>
        <v/>
      </c>
      <c r="B1144" s="184">
        <f>IF($K1144="","",INDEX(Zeiterfassung!$K$6:$K$3665,$K1144))</f>
        <v/>
      </c>
      <c r="C1144" s="185">
        <f>IF($K1144="","",INDEX(Zeiterfassung!$K$6:$K$3665,$K1144))</f>
        <v/>
      </c>
      <c r="D1144" s="186">
        <f>IF($K1144="","",INDEX(Zeiterfassung!$D$6:$D$3665,$K1144))</f>
        <v/>
      </c>
      <c r="E1144" s="186">
        <f>IF($K1144="","",INDEX(Zeiterfassung!$E$6:$E$3665,$K1144))</f>
        <v/>
      </c>
      <c r="F1144" s="187">
        <f>IF($K1144="","",INDEX(Zeiterfassung!$F$6:$F$3665,$K1144))</f>
        <v/>
      </c>
      <c r="G1144" s="187">
        <f>IF($K1144="","",INDEX(Zeiterfassung!$G$6:$G$3665,$K1144))</f>
        <v/>
      </c>
      <c r="H1144" s="188">
        <f>IF($K1144="","",INDEX(Zeiterfassung!$H$6:$H$3665,$K1144))</f>
        <v/>
      </c>
      <c r="I1144" s="335">
        <f>IF(B1144=B1143,"",IF($K1144="","",INDEX(Zeiterfassung!$I$6:$I$3665,MATCH(INDEX(Zeiterfassung!$K$6:$K$3665,$K1144),Zeiterfassung!$K$6:$K$3665,0))))</f>
        <v/>
      </c>
      <c r="J1144" s="335">
        <f>IF(B1144=B1143,"",IF($K1144="","",INDEX(Zeiterfassung!$J$6:$J$3665,MATCH(INDEX(Zeiterfassung!$K$6:$K$3665,$K1144),Zeiterfassung!$K$6:$K$3665,0))))</f>
        <v/>
      </c>
      <c r="K1144">
        <f>IFERROR(AGGREGATE(15,6,(ROW(Zeiterfassung!$D$6:$D$3665)-ROW(Zeiterfassung!$D$6)+1)/(Zeiterfassung!$D$6:$D$3665&lt;&gt;""),1139),"")</f>
        <v/>
      </c>
    </row>
    <row r="1145" ht="20" customHeight="1">
      <c r="A1145" s="183">
        <f>IF($K1145="","",WEEKNUM(INDEX(Zeiterfassung!$K$6:$K$3665,$K1145),21))</f>
        <v/>
      </c>
      <c r="B1145" s="184">
        <f>IF($K1145="","",INDEX(Zeiterfassung!$K$6:$K$3665,$K1145))</f>
        <v/>
      </c>
      <c r="C1145" s="185">
        <f>IF($K1145="","",INDEX(Zeiterfassung!$K$6:$K$3665,$K1145))</f>
        <v/>
      </c>
      <c r="D1145" s="186">
        <f>IF($K1145="","",INDEX(Zeiterfassung!$D$6:$D$3665,$K1145))</f>
        <v/>
      </c>
      <c r="E1145" s="186">
        <f>IF($K1145="","",INDEX(Zeiterfassung!$E$6:$E$3665,$K1145))</f>
        <v/>
      </c>
      <c r="F1145" s="187">
        <f>IF($K1145="","",INDEX(Zeiterfassung!$F$6:$F$3665,$K1145))</f>
        <v/>
      </c>
      <c r="G1145" s="187">
        <f>IF($K1145="","",INDEX(Zeiterfassung!$G$6:$G$3665,$K1145))</f>
        <v/>
      </c>
      <c r="H1145" s="188">
        <f>IF($K1145="","",INDEX(Zeiterfassung!$H$6:$H$3665,$K1145))</f>
        <v/>
      </c>
      <c r="I1145" s="335">
        <f>IF(B1145=B1144,"",IF($K1145="","",INDEX(Zeiterfassung!$I$6:$I$3665,MATCH(INDEX(Zeiterfassung!$K$6:$K$3665,$K1145),Zeiterfassung!$K$6:$K$3665,0))))</f>
        <v/>
      </c>
      <c r="J1145" s="335">
        <f>IF(B1145=B1144,"",IF($K1145="","",INDEX(Zeiterfassung!$J$6:$J$3665,MATCH(INDEX(Zeiterfassung!$K$6:$K$3665,$K1145),Zeiterfassung!$K$6:$K$3665,0))))</f>
        <v/>
      </c>
      <c r="K1145">
        <f>IFERROR(AGGREGATE(15,6,(ROW(Zeiterfassung!$D$6:$D$3665)-ROW(Zeiterfassung!$D$6)+1)/(Zeiterfassung!$D$6:$D$3665&lt;&gt;""),1140),"")</f>
        <v/>
      </c>
    </row>
    <row r="1146" ht="20" customHeight="1">
      <c r="A1146" s="183">
        <f>IF($K1146="","",WEEKNUM(INDEX(Zeiterfassung!$K$6:$K$3665,$K1146),21))</f>
        <v/>
      </c>
      <c r="B1146" s="184">
        <f>IF($K1146="","",INDEX(Zeiterfassung!$K$6:$K$3665,$K1146))</f>
        <v/>
      </c>
      <c r="C1146" s="185">
        <f>IF($K1146="","",INDEX(Zeiterfassung!$K$6:$K$3665,$K1146))</f>
        <v/>
      </c>
      <c r="D1146" s="186">
        <f>IF($K1146="","",INDEX(Zeiterfassung!$D$6:$D$3665,$K1146))</f>
        <v/>
      </c>
      <c r="E1146" s="186">
        <f>IF($K1146="","",INDEX(Zeiterfassung!$E$6:$E$3665,$K1146))</f>
        <v/>
      </c>
      <c r="F1146" s="187">
        <f>IF($K1146="","",INDEX(Zeiterfassung!$F$6:$F$3665,$K1146))</f>
        <v/>
      </c>
      <c r="G1146" s="187">
        <f>IF($K1146="","",INDEX(Zeiterfassung!$G$6:$G$3665,$K1146))</f>
        <v/>
      </c>
      <c r="H1146" s="188">
        <f>IF($K1146="","",INDEX(Zeiterfassung!$H$6:$H$3665,$K1146))</f>
        <v/>
      </c>
      <c r="I1146" s="335">
        <f>IF(B1146=B1145,"",IF($K1146="","",INDEX(Zeiterfassung!$I$6:$I$3665,MATCH(INDEX(Zeiterfassung!$K$6:$K$3665,$K1146),Zeiterfassung!$K$6:$K$3665,0))))</f>
        <v/>
      </c>
      <c r="J1146" s="335">
        <f>IF(B1146=B1145,"",IF($K1146="","",INDEX(Zeiterfassung!$J$6:$J$3665,MATCH(INDEX(Zeiterfassung!$K$6:$K$3665,$K1146),Zeiterfassung!$K$6:$K$3665,0))))</f>
        <v/>
      </c>
      <c r="K1146">
        <f>IFERROR(AGGREGATE(15,6,(ROW(Zeiterfassung!$D$6:$D$3665)-ROW(Zeiterfassung!$D$6)+1)/(Zeiterfassung!$D$6:$D$3665&lt;&gt;""),1141),"")</f>
        <v/>
      </c>
    </row>
    <row r="1147" ht="20" customHeight="1">
      <c r="A1147" s="183">
        <f>IF($K1147="","",WEEKNUM(INDEX(Zeiterfassung!$K$6:$K$3665,$K1147),21))</f>
        <v/>
      </c>
      <c r="B1147" s="184">
        <f>IF($K1147="","",INDEX(Zeiterfassung!$K$6:$K$3665,$K1147))</f>
        <v/>
      </c>
      <c r="C1147" s="185">
        <f>IF($K1147="","",INDEX(Zeiterfassung!$K$6:$K$3665,$K1147))</f>
        <v/>
      </c>
      <c r="D1147" s="186">
        <f>IF($K1147="","",INDEX(Zeiterfassung!$D$6:$D$3665,$K1147))</f>
        <v/>
      </c>
      <c r="E1147" s="186">
        <f>IF($K1147="","",INDEX(Zeiterfassung!$E$6:$E$3665,$K1147))</f>
        <v/>
      </c>
      <c r="F1147" s="187">
        <f>IF($K1147="","",INDEX(Zeiterfassung!$F$6:$F$3665,$K1147))</f>
        <v/>
      </c>
      <c r="G1147" s="187">
        <f>IF($K1147="","",INDEX(Zeiterfassung!$G$6:$G$3665,$K1147))</f>
        <v/>
      </c>
      <c r="H1147" s="188">
        <f>IF($K1147="","",INDEX(Zeiterfassung!$H$6:$H$3665,$K1147))</f>
        <v/>
      </c>
      <c r="I1147" s="335">
        <f>IF(B1147=B1146,"",IF($K1147="","",INDEX(Zeiterfassung!$I$6:$I$3665,MATCH(INDEX(Zeiterfassung!$K$6:$K$3665,$K1147),Zeiterfassung!$K$6:$K$3665,0))))</f>
        <v/>
      </c>
      <c r="J1147" s="335">
        <f>IF(B1147=B1146,"",IF($K1147="","",INDEX(Zeiterfassung!$J$6:$J$3665,MATCH(INDEX(Zeiterfassung!$K$6:$K$3665,$K1147),Zeiterfassung!$K$6:$K$3665,0))))</f>
        <v/>
      </c>
      <c r="K1147">
        <f>IFERROR(AGGREGATE(15,6,(ROW(Zeiterfassung!$D$6:$D$3665)-ROW(Zeiterfassung!$D$6)+1)/(Zeiterfassung!$D$6:$D$3665&lt;&gt;""),1142),"")</f>
        <v/>
      </c>
    </row>
    <row r="1148" ht="20" customHeight="1">
      <c r="A1148" s="183">
        <f>IF($K1148="","",WEEKNUM(INDEX(Zeiterfassung!$K$6:$K$3665,$K1148),21))</f>
        <v/>
      </c>
      <c r="B1148" s="184">
        <f>IF($K1148="","",INDEX(Zeiterfassung!$K$6:$K$3665,$K1148))</f>
        <v/>
      </c>
      <c r="C1148" s="185">
        <f>IF($K1148="","",INDEX(Zeiterfassung!$K$6:$K$3665,$K1148))</f>
        <v/>
      </c>
      <c r="D1148" s="186">
        <f>IF($K1148="","",INDEX(Zeiterfassung!$D$6:$D$3665,$K1148))</f>
        <v/>
      </c>
      <c r="E1148" s="186">
        <f>IF($K1148="","",INDEX(Zeiterfassung!$E$6:$E$3665,$K1148))</f>
        <v/>
      </c>
      <c r="F1148" s="187">
        <f>IF($K1148="","",INDEX(Zeiterfassung!$F$6:$F$3665,$K1148))</f>
        <v/>
      </c>
      <c r="G1148" s="187">
        <f>IF($K1148="","",INDEX(Zeiterfassung!$G$6:$G$3665,$K1148))</f>
        <v/>
      </c>
      <c r="H1148" s="188">
        <f>IF($K1148="","",INDEX(Zeiterfassung!$H$6:$H$3665,$K1148))</f>
        <v/>
      </c>
      <c r="I1148" s="335">
        <f>IF(B1148=B1147,"",IF($K1148="","",INDEX(Zeiterfassung!$I$6:$I$3665,MATCH(INDEX(Zeiterfassung!$K$6:$K$3665,$K1148),Zeiterfassung!$K$6:$K$3665,0))))</f>
        <v/>
      </c>
      <c r="J1148" s="335">
        <f>IF(B1148=B1147,"",IF($K1148="","",INDEX(Zeiterfassung!$J$6:$J$3665,MATCH(INDEX(Zeiterfassung!$K$6:$K$3665,$K1148),Zeiterfassung!$K$6:$K$3665,0))))</f>
        <v/>
      </c>
      <c r="K1148">
        <f>IFERROR(AGGREGATE(15,6,(ROW(Zeiterfassung!$D$6:$D$3665)-ROW(Zeiterfassung!$D$6)+1)/(Zeiterfassung!$D$6:$D$3665&lt;&gt;""),1143),"")</f>
        <v/>
      </c>
    </row>
    <row r="1149" ht="20" customHeight="1">
      <c r="A1149" s="183">
        <f>IF($K1149="","",WEEKNUM(INDEX(Zeiterfassung!$K$6:$K$3665,$K1149),21))</f>
        <v/>
      </c>
      <c r="B1149" s="184">
        <f>IF($K1149="","",INDEX(Zeiterfassung!$K$6:$K$3665,$K1149))</f>
        <v/>
      </c>
      <c r="C1149" s="185">
        <f>IF($K1149="","",INDEX(Zeiterfassung!$K$6:$K$3665,$K1149))</f>
        <v/>
      </c>
      <c r="D1149" s="186">
        <f>IF($K1149="","",INDEX(Zeiterfassung!$D$6:$D$3665,$K1149))</f>
        <v/>
      </c>
      <c r="E1149" s="186">
        <f>IF($K1149="","",INDEX(Zeiterfassung!$E$6:$E$3665,$K1149))</f>
        <v/>
      </c>
      <c r="F1149" s="187">
        <f>IF($K1149="","",INDEX(Zeiterfassung!$F$6:$F$3665,$K1149))</f>
        <v/>
      </c>
      <c r="G1149" s="187">
        <f>IF($K1149="","",INDEX(Zeiterfassung!$G$6:$G$3665,$K1149))</f>
        <v/>
      </c>
      <c r="H1149" s="188">
        <f>IF($K1149="","",INDEX(Zeiterfassung!$H$6:$H$3665,$K1149))</f>
        <v/>
      </c>
      <c r="I1149" s="335">
        <f>IF(B1149=B1148,"",IF($K1149="","",INDEX(Zeiterfassung!$I$6:$I$3665,MATCH(INDEX(Zeiterfassung!$K$6:$K$3665,$K1149),Zeiterfassung!$K$6:$K$3665,0))))</f>
        <v/>
      </c>
      <c r="J1149" s="335">
        <f>IF(B1149=B1148,"",IF($K1149="","",INDEX(Zeiterfassung!$J$6:$J$3665,MATCH(INDEX(Zeiterfassung!$K$6:$K$3665,$K1149),Zeiterfassung!$K$6:$K$3665,0))))</f>
        <v/>
      </c>
      <c r="K1149">
        <f>IFERROR(AGGREGATE(15,6,(ROW(Zeiterfassung!$D$6:$D$3665)-ROW(Zeiterfassung!$D$6)+1)/(Zeiterfassung!$D$6:$D$3665&lt;&gt;""),1144),"")</f>
        <v/>
      </c>
    </row>
    <row r="1150" ht="20" customHeight="1">
      <c r="A1150" s="183">
        <f>IF($K1150="","",WEEKNUM(INDEX(Zeiterfassung!$K$6:$K$3665,$K1150),21))</f>
        <v/>
      </c>
      <c r="B1150" s="184">
        <f>IF($K1150="","",INDEX(Zeiterfassung!$K$6:$K$3665,$K1150))</f>
        <v/>
      </c>
      <c r="C1150" s="185">
        <f>IF($K1150="","",INDEX(Zeiterfassung!$K$6:$K$3665,$K1150))</f>
        <v/>
      </c>
      <c r="D1150" s="186">
        <f>IF($K1150="","",INDEX(Zeiterfassung!$D$6:$D$3665,$K1150))</f>
        <v/>
      </c>
      <c r="E1150" s="186">
        <f>IF($K1150="","",INDEX(Zeiterfassung!$E$6:$E$3665,$K1150))</f>
        <v/>
      </c>
      <c r="F1150" s="187">
        <f>IF($K1150="","",INDEX(Zeiterfassung!$F$6:$F$3665,$K1150))</f>
        <v/>
      </c>
      <c r="G1150" s="187">
        <f>IF($K1150="","",INDEX(Zeiterfassung!$G$6:$G$3665,$K1150))</f>
        <v/>
      </c>
      <c r="H1150" s="188">
        <f>IF($K1150="","",INDEX(Zeiterfassung!$H$6:$H$3665,$K1150))</f>
        <v/>
      </c>
      <c r="I1150" s="335">
        <f>IF(B1150=B1149,"",IF($K1150="","",INDEX(Zeiterfassung!$I$6:$I$3665,MATCH(INDEX(Zeiterfassung!$K$6:$K$3665,$K1150),Zeiterfassung!$K$6:$K$3665,0))))</f>
        <v/>
      </c>
      <c r="J1150" s="335">
        <f>IF(B1150=B1149,"",IF($K1150="","",INDEX(Zeiterfassung!$J$6:$J$3665,MATCH(INDEX(Zeiterfassung!$K$6:$K$3665,$K1150),Zeiterfassung!$K$6:$K$3665,0))))</f>
        <v/>
      </c>
      <c r="K1150">
        <f>IFERROR(AGGREGATE(15,6,(ROW(Zeiterfassung!$D$6:$D$3665)-ROW(Zeiterfassung!$D$6)+1)/(Zeiterfassung!$D$6:$D$3665&lt;&gt;""),1145),"")</f>
        <v/>
      </c>
    </row>
    <row r="1151" ht="20" customHeight="1">
      <c r="A1151" s="183">
        <f>IF($K1151="","",WEEKNUM(INDEX(Zeiterfassung!$K$6:$K$3665,$K1151),21))</f>
        <v/>
      </c>
      <c r="B1151" s="184">
        <f>IF($K1151="","",INDEX(Zeiterfassung!$K$6:$K$3665,$K1151))</f>
        <v/>
      </c>
      <c r="C1151" s="185">
        <f>IF($K1151="","",INDEX(Zeiterfassung!$K$6:$K$3665,$K1151))</f>
        <v/>
      </c>
      <c r="D1151" s="186">
        <f>IF($K1151="","",INDEX(Zeiterfassung!$D$6:$D$3665,$K1151))</f>
        <v/>
      </c>
      <c r="E1151" s="186">
        <f>IF($K1151="","",INDEX(Zeiterfassung!$E$6:$E$3665,$K1151))</f>
        <v/>
      </c>
      <c r="F1151" s="187">
        <f>IF($K1151="","",INDEX(Zeiterfassung!$F$6:$F$3665,$K1151))</f>
        <v/>
      </c>
      <c r="G1151" s="187">
        <f>IF($K1151="","",INDEX(Zeiterfassung!$G$6:$G$3665,$K1151))</f>
        <v/>
      </c>
      <c r="H1151" s="188">
        <f>IF($K1151="","",INDEX(Zeiterfassung!$H$6:$H$3665,$K1151))</f>
        <v/>
      </c>
      <c r="I1151" s="335">
        <f>IF(B1151=B1150,"",IF($K1151="","",INDEX(Zeiterfassung!$I$6:$I$3665,MATCH(INDEX(Zeiterfassung!$K$6:$K$3665,$K1151),Zeiterfassung!$K$6:$K$3665,0))))</f>
        <v/>
      </c>
      <c r="J1151" s="335">
        <f>IF(B1151=B1150,"",IF($K1151="","",INDEX(Zeiterfassung!$J$6:$J$3665,MATCH(INDEX(Zeiterfassung!$K$6:$K$3665,$K1151),Zeiterfassung!$K$6:$K$3665,0))))</f>
        <v/>
      </c>
      <c r="K1151">
        <f>IFERROR(AGGREGATE(15,6,(ROW(Zeiterfassung!$D$6:$D$3665)-ROW(Zeiterfassung!$D$6)+1)/(Zeiterfassung!$D$6:$D$3665&lt;&gt;""),1146),"")</f>
        <v/>
      </c>
    </row>
    <row r="1152" ht="20" customHeight="1">
      <c r="A1152" s="183">
        <f>IF($K1152="","",WEEKNUM(INDEX(Zeiterfassung!$K$6:$K$3665,$K1152),21))</f>
        <v/>
      </c>
      <c r="B1152" s="184">
        <f>IF($K1152="","",INDEX(Zeiterfassung!$K$6:$K$3665,$K1152))</f>
        <v/>
      </c>
      <c r="C1152" s="185">
        <f>IF($K1152="","",INDEX(Zeiterfassung!$K$6:$K$3665,$K1152))</f>
        <v/>
      </c>
      <c r="D1152" s="186">
        <f>IF($K1152="","",INDEX(Zeiterfassung!$D$6:$D$3665,$K1152))</f>
        <v/>
      </c>
      <c r="E1152" s="186">
        <f>IF($K1152="","",INDEX(Zeiterfassung!$E$6:$E$3665,$K1152))</f>
        <v/>
      </c>
      <c r="F1152" s="187">
        <f>IF($K1152="","",INDEX(Zeiterfassung!$F$6:$F$3665,$K1152))</f>
        <v/>
      </c>
      <c r="G1152" s="187">
        <f>IF($K1152="","",INDEX(Zeiterfassung!$G$6:$G$3665,$K1152))</f>
        <v/>
      </c>
      <c r="H1152" s="188">
        <f>IF($K1152="","",INDEX(Zeiterfassung!$H$6:$H$3665,$K1152))</f>
        <v/>
      </c>
      <c r="I1152" s="335">
        <f>IF(B1152=B1151,"",IF($K1152="","",INDEX(Zeiterfassung!$I$6:$I$3665,MATCH(INDEX(Zeiterfassung!$K$6:$K$3665,$K1152),Zeiterfassung!$K$6:$K$3665,0))))</f>
        <v/>
      </c>
      <c r="J1152" s="335">
        <f>IF(B1152=B1151,"",IF($K1152="","",INDEX(Zeiterfassung!$J$6:$J$3665,MATCH(INDEX(Zeiterfassung!$K$6:$K$3665,$K1152),Zeiterfassung!$K$6:$K$3665,0))))</f>
        <v/>
      </c>
      <c r="K1152">
        <f>IFERROR(AGGREGATE(15,6,(ROW(Zeiterfassung!$D$6:$D$3665)-ROW(Zeiterfassung!$D$6)+1)/(Zeiterfassung!$D$6:$D$3665&lt;&gt;""),1147),"")</f>
        <v/>
      </c>
    </row>
    <row r="1153" ht="20" customHeight="1">
      <c r="A1153" s="183">
        <f>IF($K1153="","",WEEKNUM(INDEX(Zeiterfassung!$K$6:$K$3665,$K1153),21))</f>
        <v/>
      </c>
      <c r="B1153" s="184">
        <f>IF($K1153="","",INDEX(Zeiterfassung!$K$6:$K$3665,$K1153))</f>
        <v/>
      </c>
      <c r="C1153" s="185">
        <f>IF($K1153="","",INDEX(Zeiterfassung!$K$6:$K$3665,$K1153))</f>
        <v/>
      </c>
      <c r="D1153" s="186">
        <f>IF($K1153="","",INDEX(Zeiterfassung!$D$6:$D$3665,$K1153))</f>
        <v/>
      </c>
      <c r="E1153" s="186">
        <f>IF($K1153="","",INDEX(Zeiterfassung!$E$6:$E$3665,$K1153))</f>
        <v/>
      </c>
      <c r="F1153" s="187">
        <f>IF($K1153="","",INDEX(Zeiterfassung!$F$6:$F$3665,$K1153))</f>
        <v/>
      </c>
      <c r="G1153" s="187">
        <f>IF($K1153="","",INDEX(Zeiterfassung!$G$6:$G$3665,$K1153))</f>
        <v/>
      </c>
      <c r="H1153" s="188">
        <f>IF($K1153="","",INDEX(Zeiterfassung!$H$6:$H$3665,$K1153))</f>
        <v/>
      </c>
      <c r="I1153" s="335">
        <f>IF(B1153=B1152,"",IF($K1153="","",INDEX(Zeiterfassung!$I$6:$I$3665,MATCH(INDEX(Zeiterfassung!$K$6:$K$3665,$K1153),Zeiterfassung!$K$6:$K$3665,0))))</f>
        <v/>
      </c>
      <c r="J1153" s="335">
        <f>IF(B1153=B1152,"",IF($K1153="","",INDEX(Zeiterfassung!$J$6:$J$3665,MATCH(INDEX(Zeiterfassung!$K$6:$K$3665,$K1153),Zeiterfassung!$K$6:$K$3665,0))))</f>
        <v/>
      </c>
      <c r="K1153">
        <f>IFERROR(AGGREGATE(15,6,(ROW(Zeiterfassung!$D$6:$D$3665)-ROW(Zeiterfassung!$D$6)+1)/(Zeiterfassung!$D$6:$D$3665&lt;&gt;""),1148),"")</f>
        <v/>
      </c>
    </row>
    <row r="1154" ht="20" customHeight="1">
      <c r="A1154" s="183">
        <f>IF($K1154="","",WEEKNUM(INDEX(Zeiterfassung!$K$6:$K$3665,$K1154),21))</f>
        <v/>
      </c>
      <c r="B1154" s="184">
        <f>IF($K1154="","",INDEX(Zeiterfassung!$K$6:$K$3665,$K1154))</f>
        <v/>
      </c>
      <c r="C1154" s="185">
        <f>IF($K1154="","",INDEX(Zeiterfassung!$K$6:$K$3665,$K1154))</f>
        <v/>
      </c>
      <c r="D1154" s="186">
        <f>IF($K1154="","",INDEX(Zeiterfassung!$D$6:$D$3665,$K1154))</f>
        <v/>
      </c>
      <c r="E1154" s="186">
        <f>IF($K1154="","",INDEX(Zeiterfassung!$E$6:$E$3665,$K1154))</f>
        <v/>
      </c>
      <c r="F1154" s="187">
        <f>IF($K1154="","",INDEX(Zeiterfassung!$F$6:$F$3665,$K1154))</f>
        <v/>
      </c>
      <c r="G1154" s="187">
        <f>IF($K1154="","",INDEX(Zeiterfassung!$G$6:$G$3665,$K1154))</f>
        <v/>
      </c>
      <c r="H1154" s="188">
        <f>IF($K1154="","",INDEX(Zeiterfassung!$H$6:$H$3665,$K1154))</f>
        <v/>
      </c>
      <c r="I1154" s="335">
        <f>IF(B1154=B1153,"",IF($K1154="","",INDEX(Zeiterfassung!$I$6:$I$3665,MATCH(INDEX(Zeiterfassung!$K$6:$K$3665,$K1154),Zeiterfassung!$K$6:$K$3665,0))))</f>
        <v/>
      </c>
      <c r="J1154" s="335">
        <f>IF(B1154=B1153,"",IF($K1154="","",INDEX(Zeiterfassung!$J$6:$J$3665,MATCH(INDEX(Zeiterfassung!$K$6:$K$3665,$K1154),Zeiterfassung!$K$6:$K$3665,0))))</f>
        <v/>
      </c>
      <c r="K1154">
        <f>IFERROR(AGGREGATE(15,6,(ROW(Zeiterfassung!$D$6:$D$3665)-ROW(Zeiterfassung!$D$6)+1)/(Zeiterfassung!$D$6:$D$3665&lt;&gt;""),1149),"")</f>
        <v/>
      </c>
    </row>
    <row r="1155" ht="20" customHeight="1">
      <c r="A1155" s="183">
        <f>IF($K1155="","",WEEKNUM(INDEX(Zeiterfassung!$K$6:$K$3665,$K1155),21))</f>
        <v/>
      </c>
      <c r="B1155" s="184">
        <f>IF($K1155="","",INDEX(Zeiterfassung!$K$6:$K$3665,$K1155))</f>
        <v/>
      </c>
      <c r="C1155" s="185">
        <f>IF($K1155="","",INDEX(Zeiterfassung!$K$6:$K$3665,$K1155))</f>
        <v/>
      </c>
      <c r="D1155" s="186">
        <f>IF($K1155="","",INDEX(Zeiterfassung!$D$6:$D$3665,$K1155))</f>
        <v/>
      </c>
      <c r="E1155" s="186">
        <f>IF($K1155="","",INDEX(Zeiterfassung!$E$6:$E$3665,$K1155))</f>
        <v/>
      </c>
      <c r="F1155" s="187">
        <f>IF($K1155="","",INDEX(Zeiterfassung!$F$6:$F$3665,$K1155))</f>
        <v/>
      </c>
      <c r="G1155" s="187">
        <f>IF($K1155="","",INDEX(Zeiterfassung!$G$6:$G$3665,$K1155))</f>
        <v/>
      </c>
      <c r="H1155" s="188">
        <f>IF($K1155="","",INDEX(Zeiterfassung!$H$6:$H$3665,$K1155))</f>
        <v/>
      </c>
      <c r="I1155" s="335">
        <f>IF(B1155=B1154,"",IF($K1155="","",INDEX(Zeiterfassung!$I$6:$I$3665,MATCH(INDEX(Zeiterfassung!$K$6:$K$3665,$K1155),Zeiterfassung!$K$6:$K$3665,0))))</f>
        <v/>
      </c>
      <c r="J1155" s="335">
        <f>IF(B1155=B1154,"",IF($K1155="","",INDEX(Zeiterfassung!$J$6:$J$3665,MATCH(INDEX(Zeiterfassung!$K$6:$K$3665,$K1155),Zeiterfassung!$K$6:$K$3665,0))))</f>
        <v/>
      </c>
      <c r="K1155">
        <f>IFERROR(AGGREGATE(15,6,(ROW(Zeiterfassung!$D$6:$D$3665)-ROW(Zeiterfassung!$D$6)+1)/(Zeiterfassung!$D$6:$D$3665&lt;&gt;""),1150),"")</f>
        <v/>
      </c>
    </row>
    <row r="1156" ht="20" customHeight="1">
      <c r="A1156" s="183">
        <f>IF($K1156="","",WEEKNUM(INDEX(Zeiterfassung!$K$6:$K$3665,$K1156),21))</f>
        <v/>
      </c>
      <c r="B1156" s="184">
        <f>IF($K1156="","",INDEX(Zeiterfassung!$K$6:$K$3665,$K1156))</f>
        <v/>
      </c>
      <c r="C1156" s="185">
        <f>IF($K1156="","",INDEX(Zeiterfassung!$K$6:$K$3665,$K1156))</f>
        <v/>
      </c>
      <c r="D1156" s="186">
        <f>IF($K1156="","",INDEX(Zeiterfassung!$D$6:$D$3665,$K1156))</f>
        <v/>
      </c>
      <c r="E1156" s="186">
        <f>IF($K1156="","",INDEX(Zeiterfassung!$E$6:$E$3665,$K1156))</f>
        <v/>
      </c>
      <c r="F1156" s="187">
        <f>IF($K1156="","",INDEX(Zeiterfassung!$F$6:$F$3665,$K1156))</f>
        <v/>
      </c>
      <c r="G1156" s="187">
        <f>IF($K1156="","",INDEX(Zeiterfassung!$G$6:$G$3665,$K1156))</f>
        <v/>
      </c>
      <c r="H1156" s="188">
        <f>IF($K1156="","",INDEX(Zeiterfassung!$H$6:$H$3665,$K1156))</f>
        <v/>
      </c>
      <c r="I1156" s="335">
        <f>IF(B1156=B1155,"",IF($K1156="","",INDEX(Zeiterfassung!$I$6:$I$3665,MATCH(INDEX(Zeiterfassung!$K$6:$K$3665,$K1156),Zeiterfassung!$K$6:$K$3665,0))))</f>
        <v/>
      </c>
      <c r="J1156" s="335">
        <f>IF(B1156=B1155,"",IF($K1156="","",INDEX(Zeiterfassung!$J$6:$J$3665,MATCH(INDEX(Zeiterfassung!$K$6:$K$3665,$K1156),Zeiterfassung!$K$6:$K$3665,0))))</f>
        <v/>
      </c>
      <c r="K1156">
        <f>IFERROR(AGGREGATE(15,6,(ROW(Zeiterfassung!$D$6:$D$3665)-ROW(Zeiterfassung!$D$6)+1)/(Zeiterfassung!$D$6:$D$3665&lt;&gt;""),1151),"")</f>
        <v/>
      </c>
    </row>
    <row r="1157" ht="20" customHeight="1">
      <c r="A1157" s="183">
        <f>IF($K1157="","",WEEKNUM(INDEX(Zeiterfassung!$K$6:$K$3665,$K1157),21))</f>
        <v/>
      </c>
      <c r="B1157" s="184">
        <f>IF($K1157="","",INDEX(Zeiterfassung!$K$6:$K$3665,$K1157))</f>
        <v/>
      </c>
      <c r="C1157" s="185">
        <f>IF($K1157="","",INDEX(Zeiterfassung!$K$6:$K$3665,$K1157))</f>
        <v/>
      </c>
      <c r="D1157" s="186">
        <f>IF($K1157="","",INDEX(Zeiterfassung!$D$6:$D$3665,$K1157))</f>
        <v/>
      </c>
      <c r="E1157" s="186">
        <f>IF($K1157="","",INDEX(Zeiterfassung!$E$6:$E$3665,$K1157))</f>
        <v/>
      </c>
      <c r="F1157" s="187">
        <f>IF($K1157="","",INDEX(Zeiterfassung!$F$6:$F$3665,$K1157))</f>
        <v/>
      </c>
      <c r="G1157" s="187">
        <f>IF($K1157="","",INDEX(Zeiterfassung!$G$6:$G$3665,$K1157))</f>
        <v/>
      </c>
      <c r="H1157" s="188">
        <f>IF($K1157="","",INDEX(Zeiterfassung!$H$6:$H$3665,$K1157))</f>
        <v/>
      </c>
      <c r="I1157" s="335">
        <f>IF(B1157=B1156,"",IF($K1157="","",INDEX(Zeiterfassung!$I$6:$I$3665,MATCH(INDEX(Zeiterfassung!$K$6:$K$3665,$K1157),Zeiterfassung!$K$6:$K$3665,0))))</f>
        <v/>
      </c>
      <c r="J1157" s="335">
        <f>IF(B1157=B1156,"",IF($K1157="","",INDEX(Zeiterfassung!$J$6:$J$3665,MATCH(INDEX(Zeiterfassung!$K$6:$K$3665,$K1157),Zeiterfassung!$K$6:$K$3665,0))))</f>
        <v/>
      </c>
      <c r="K1157">
        <f>IFERROR(AGGREGATE(15,6,(ROW(Zeiterfassung!$D$6:$D$3665)-ROW(Zeiterfassung!$D$6)+1)/(Zeiterfassung!$D$6:$D$3665&lt;&gt;""),1152),"")</f>
        <v/>
      </c>
    </row>
    <row r="1158" ht="20" customHeight="1">
      <c r="A1158" s="183">
        <f>IF($K1158="","",WEEKNUM(INDEX(Zeiterfassung!$K$6:$K$3665,$K1158),21))</f>
        <v/>
      </c>
      <c r="B1158" s="184">
        <f>IF($K1158="","",INDEX(Zeiterfassung!$K$6:$K$3665,$K1158))</f>
        <v/>
      </c>
      <c r="C1158" s="185">
        <f>IF($K1158="","",INDEX(Zeiterfassung!$K$6:$K$3665,$K1158))</f>
        <v/>
      </c>
      <c r="D1158" s="186">
        <f>IF($K1158="","",INDEX(Zeiterfassung!$D$6:$D$3665,$K1158))</f>
        <v/>
      </c>
      <c r="E1158" s="186">
        <f>IF($K1158="","",INDEX(Zeiterfassung!$E$6:$E$3665,$K1158))</f>
        <v/>
      </c>
      <c r="F1158" s="187">
        <f>IF($K1158="","",INDEX(Zeiterfassung!$F$6:$F$3665,$K1158))</f>
        <v/>
      </c>
      <c r="G1158" s="187">
        <f>IF($K1158="","",INDEX(Zeiterfassung!$G$6:$G$3665,$K1158))</f>
        <v/>
      </c>
      <c r="H1158" s="188">
        <f>IF($K1158="","",INDEX(Zeiterfassung!$H$6:$H$3665,$K1158))</f>
        <v/>
      </c>
      <c r="I1158" s="335">
        <f>IF(B1158=B1157,"",IF($K1158="","",INDEX(Zeiterfassung!$I$6:$I$3665,MATCH(INDEX(Zeiterfassung!$K$6:$K$3665,$K1158),Zeiterfassung!$K$6:$K$3665,0))))</f>
        <v/>
      </c>
      <c r="J1158" s="335">
        <f>IF(B1158=B1157,"",IF($K1158="","",INDEX(Zeiterfassung!$J$6:$J$3665,MATCH(INDEX(Zeiterfassung!$K$6:$K$3665,$K1158),Zeiterfassung!$K$6:$K$3665,0))))</f>
        <v/>
      </c>
      <c r="K1158">
        <f>IFERROR(AGGREGATE(15,6,(ROW(Zeiterfassung!$D$6:$D$3665)-ROW(Zeiterfassung!$D$6)+1)/(Zeiterfassung!$D$6:$D$3665&lt;&gt;""),1153),"")</f>
        <v/>
      </c>
    </row>
    <row r="1159" ht="20" customHeight="1">
      <c r="A1159" s="183">
        <f>IF($K1159="","",WEEKNUM(INDEX(Zeiterfassung!$K$6:$K$3665,$K1159),21))</f>
        <v/>
      </c>
      <c r="B1159" s="184">
        <f>IF($K1159="","",INDEX(Zeiterfassung!$K$6:$K$3665,$K1159))</f>
        <v/>
      </c>
      <c r="C1159" s="185">
        <f>IF($K1159="","",INDEX(Zeiterfassung!$K$6:$K$3665,$K1159))</f>
        <v/>
      </c>
      <c r="D1159" s="186">
        <f>IF($K1159="","",INDEX(Zeiterfassung!$D$6:$D$3665,$K1159))</f>
        <v/>
      </c>
      <c r="E1159" s="186">
        <f>IF($K1159="","",INDEX(Zeiterfassung!$E$6:$E$3665,$K1159))</f>
        <v/>
      </c>
      <c r="F1159" s="187">
        <f>IF($K1159="","",INDEX(Zeiterfassung!$F$6:$F$3665,$K1159))</f>
        <v/>
      </c>
      <c r="G1159" s="187">
        <f>IF($K1159="","",INDEX(Zeiterfassung!$G$6:$G$3665,$K1159))</f>
        <v/>
      </c>
      <c r="H1159" s="188">
        <f>IF($K1159="","",INDEX(Zeiterfassung!$H$6:$H$3665,$K1159))</f>
        <v/>
      </c>
      <c r="I1159" s="335">
        <f>IF(B1159=B1158,"",IF($K1159="","",INDEX(Zeiterfassung!$I$6:$I$3665,MATCH(INDEX(Zeiterfassung!$K$6:$K$3665,$K1159),Zeiterfassung!$K$6:$K$3665,0))))</f>
        <v/>
      </c>
      <c r="J1159" s="335">
        <f>IF(B1159=B1158,"",IF($K1159="","",INDEX(Zeiterfassung!$J$6:$J$3665,MATCH(INDEX(Zeiterfassung!$K$6:$K$3665,$K1159),Zeiterfassung!$K$6:$K$3665,0))))</f>
        <v/>
      </c>
      <c r="K1159">
        <f>IFERROR(AGGREGATE(15,6,(ROW(Zeiterfassung!$D$6:$D$3665)-ROW(Zeiterfassung!$D$6)+1)/(Zeiterfassung!$D$6:$D$3665&lt;&gt;""),1154),"")</f>
        <v/>
      </c>
    </row>
    <row r="1160" ht="20" customHeight="1">
      <c r="A1160" s="183">
        <f>IF($K1160="","",WEEKNUM(INDEX(Zeiterfassung!$K$6:$K$3665,$K1160),21))</f>
        <v/>
      </c>
      <c r="B1160" s="184">
        <f>IF($K1160="","",INDEX(Zeiterfassung!$K$6:$K$3665,$K1160))</f>
        <v/>
      </c>
      <c r="C1160" s="185">
        <f>IF($K1160="","",INDEX(Zeiterfassung!$K$6:$K$3665,$K1160))</f>
        <v/>
      </c>
      <c r="D1160" s="186">
        <f>IF($K1160="","",INDEX(Zeiterfassung!$D$6:$D$3665,$K1160))</f>
        <v/>
      </c>
      <c r="E1160" s="186">
        <f>IF($K1160="","",INDEX(Zeiterfassung!$E$6:$E$3665,$K1160))</f>
        <v/>
      </c>
      <c r="F1160" s="187">
        <f>IF($K1160="","",INDEX(Zeiterfassung!$F$6:$F$3665,$K1160))</f>
        <v/>
      </c>
      <c r="G1160" s="187">
        <f>IF($K1160="","",INDEX(Zeiterfassung!$G$6:$G$3665,$K1160))</f>
        <v/>
      </c>
      <c r="H1160" s="188">
        <f>IF($K1160="","",INDEX(Zeiterfassung!$H$6:$H$3665,$K1160))</f>
        <v/>
      </c>
      <c r="I1160" s="335">
        <f>IF(B1160=B1159,"",IF($K1160="","",INDEX(Zeiterfassung!$I$6:$I$3665,MATCH(INDEX(Zeiterfassung!$K$6:$K$3665,$K1160),Zeiterfassung!$K$6:$K$3665,0))))</f>
        <v/>
      </c>
      <c r="J1160" s="335">
        <f>IF(B1160=B1159,"",IF($K1160="","",INDEX(Zeiterfassung!$J$6:$J$3665,MATCH(INDEX(Zeiterfassung!$K$6:$K$3665,$K1160),Zeiterfassung!$K$6:$K$3665,0))))</f>
        <v/>
      </c>
      <c r="K1160">
        <f>IFERROR(AGGREGATE(15,6,(ROW(Zeiterfassung!$D$6:$D$3665)-ROW(Zeiterfassung!$D$6)+1)/(Zeiterfassung!$D$6:$D$3665&lt;&gt;""),1155),"")</f>
        <v/>
      </c>
    </row>
    <row r="1161" ht="20" customHeight="1">
      <c r="A1161" s="183">
        <f>IF($K1161="","",WEEKNUM(INDEX(Zeiterfassung!$K$6:$K$3665,$K1161),21))</f>
        <v/>
      </c>
      <c r="B1161" s="184">
        <f>IF($K1161="","",INDEX(Zeiterfassung!$K$6:$K$3665,$K1161))</f>
        <v/>
      </c>
      <c r="C1161" s="185">
        <f>IF($K1161="","",INDEX(Zeiterfassung!$K$6:$K$3665,$K1161))</f>
        <v/>
      </c>
      <c r="D1161" s="186">
        <f>IF($K1161="","",INDEX(Zeiterfassung!$D$6:$D$3665,$K1161))</f>
        <v/>
      </c>
      <c r="E1161" s="186">
        <f>IF($K1161="","",INDEX(Zeiterfassung!$E$6:$E$3665,$K1161))</f>
        <v/>
      </c>
      <c r="F1161" s="187">
        <f>IF($K1161="","",INDEX(Zeiterfassung!$F$6:$F$3665,$K1161))</f>
        <v/>
      </c>
      <c r="G1161" s="187">
        <f>IF($K1161="","",INDEX(Zeiterfassung!$G$6:$G$3665,$K1161))</f>
        <v/>
      </c>
      <c r="H1161" s="188">
        <f>IF($K1161="","",INDEX(Zeiterfassung!$H$6:$H$3665,$K1161))</f>
        <v/>
      </c>
      <c r="I1161" s="335">
        <f>IF(B1161=B1160,"",IF($K1161="","",INDEX(Zeiterfassung!$I$6:$I$3665,MATCH(INDEX(Zeiterfassung!$K$6:$K$3665,$K1161),Zeiterfassung!$K$6:$K$3665,0))))</f>
        <v/>
      </c>
      <c r="J1161" s="335">
        <f>IF(B1161=B1160,"",IF($K1161="","",INDEX(Zeiterfassung!$J$6:$J$3665,MATCH(INDEX(Zeiterfassung!$K$6:$K$3665,$K1161),Zeiterfassung!$K$6:$K$3665,0))))</f>
        <v/>
      </c>
      <c r="K1161">
        <f>IFERROR(AGGREGATE(15,6,(ROW(Zeiterfassung!$D$6:$D$3665)-ROW(Zeiterfassung!$D$6)+1)/(Zeiterfassung!$D$6:$D$3665&lt;&gt;""),1156),"")</f>
        <v/>
      </c>
    </row>
    <row r="1162" ht="20" customHeight="1">
      <c r="A1162" s="183">
        <f>IF($K1162="","",WEEKNUM(INDEX(Zeiterfassung!$K$6:$K$3665,$K1162),21))</f>
        <v/>
      </c>
      <c r="B1162" s="184">
        <f>IF($K1162="","",INDEX(Zeiterfassung!$K$6:$K$3665,$K1162))</f>
        <v/>
      </c>
      <c r="C1162" s="185">
        <f>IF($K1162="","",INDEX(Zeiterfassung!$K$6:$K$3665,$K1162))</f>
        <v/>
      </c>
      <c r="D1162" s="186">
        <f>IF($K1162="","",INDEX(Zeiterfassung!$D$6:$D$3665,$K1162))</f>
        <v/>
      </c>
      <c r="E1162" s="186">
        <f>IF($K1162="","",INDEX(Zeiterfassung!$E$6:$E$3665,$K1162))</f>
        <v/>
      </c>
      <c r="F1162" s="187">
        <f>IF($K1162="","",INDEX(Zeiterfassung!$F$6:$F$3665,$K1162))</f>
        <v/>
      </c>
      <c r="G1162" s="187">
        <f>IF($K1162="","",INDEX(Zeiterfassung!$G$6:$G$3665,$K1162))</f>
        <v/>
      </c>
      <c r="H1162" s="188">
        <f>IF($K1162="","",INDEX(Zeiterfassung!$H$6:$H$3665,$K1162))</f>
        <v/>
      </c>
      <c r="I1162" s="335">
        <f>IF(B1162=B1161,"",IF($K1162="","",INDEX(Zeiterfassung!$I$6:$I$3665,MATCH(INDEX(Zeiterfassung!$K$6:$K$3665,$K1162),Zeiterfassung!$K$6:$K$3665,0))))</f>
        <v/>
      </c>
      <c r="J1162" s="335">
        <f>IF(B1162=B1161,"",IF($K1162="","",INDEX(Zeiterfassung!$J$6:$J$3665,MATCH(INDEX(Zeiterfassung!$K$6:$K$3665,$K1162),Zeiterfassung!$K$6:$K$3665,0))))</f>
        <v/>
      </c>
      <c r="K1162">
        <f>IFERROR(AGGREGATE(15,6,(ROW(Zeiterfassung!$D$6:$D$3665)-ROW(Zeiterfassung!$D$6)+1)/(Zeiterfassung!$D$6:$D$3665&lt;&gt;""),1157),"")</f>
        <v/>
      </c>
    </row>
    <row r="1163" ht="20" customHeight="1">
      <c r="A1163" s="183">
        <f>IF($K1163="","",WEEKNUM(INDEX(Zeiterfassung!$K$6:$K$3665,$K1163),21))</f>
        <v/>
      </c>
      <c r="B1163" s="184">
        <f>IF($K1163="","",INDEX(Zeiterfassung!$K$6:$K$3665,$K1163))</f>
        <v/>
      </c>
      <c r="C1163" s="185">
        <f>IF($K1163="","",INDEX(Zeiterfassung!$K$6:$K$3665,$K1163))</f>
        <v/>
      </c>
      <c r="D1163" s="186">
        <f>IF($K1163="","",INDEX(Zeiterfassung!$D$6:$D$3665,$K1163))</f>
        <v/>
      </c>
      <c r="E1163" s="186">
        <f>IF($K1163="","",INDEX(Zeiterfassung!$E$6:$E$3665,$K1163))</f>
        <v/>
      </c>
      <c r="F1163" s="187">
        <f>IF($K1163="","",INDEX(Zeiterfassung!$F$6:$F$3665,$K1163))</f>
        <v/>
      </c>
      <c r="G1163" s="187">
        <f>IF($K1163="","",INDEX(Zeiterfassung!$G$6:$G$3665,$K1163))</f>
        <v/>
      </c>
      <c r="H1163" s="188">
        <f>IF($K1163="","",INDEX(Zeiterfassung!$H$6:$H$3665,$K1163))</f>
        <v/>
      </c>
      <c r="I1163" s="335">
        <f>IF(B1163=B1162,"",IF($K1163="","",INDEX(Zeiterfassung!$I$6:$I$3665,MATCH(INDEX(Zeiterfassung!$K$6:$K$3665,$K1163),Zeiterfassung!$K$6:$K$3665,0))))</f>
        <v/>
      </c>
      <c r="J1163" s="335">
        <f>IF(B1163=B1162,"",IF($K1163="","",INDEX(Zeiterfassung!$J$6:$J$3665,MATCH(INDEX(Zeiterfassung!$K$6:$K$3665,$K1163),Zeiterfassung!$K$6:$K$3665,0))))</f>
        <v/>
      </c>
      <c r="K1163">
        <f>IFERROR(AGGREGATE(15,6,(ROW(Zeiterfassung!$D$6:$D$3665)-ROW(Zeiterfassung!$D$6)+1)/(Zeiterfassung!$D$6:$D$3665&lt;&gt;""),1158),"")</f>
        <v/>
      </c>
    </row>
    <row r="1164" ht="20" customHeight="1">
      <c r="A1164" s="183">
        <f>IF($K1164="","",WEEKNUM(INDEX(Zeiterfassung!$K$6:$K$3665,$K1164),21))</f>
        <v/>
      </c>
      <c r="B1164" s="184">
        <f>IF($K1164="","",INDEX(Zeiterfassung!$K$6:$K$3665,$K1164))</f>
        <v/>
      </c>
      <c r="C1164" s="185">
        <f>IF($K1164="","",INDEX(Zeiterfassung!$K$6:$K$3665,$K1164))</f>
        <v/>
      </c>
      <c r="D1164" s="186">
        <f>IF($K1164="","",INDEX(Zeiterfassung!$D$6:$D$3665,$K1164))</f>
        <v/>
      </c>
      <c r="E1164" s="186">
        <f>IF($K1164="","",INDEX(Zeiterfassung!$E$6:$E$3665,$K1164))</f>
        <v/>
      </c>
      <c r="F1164" s="187">
        <f>IF($K1164="","",INDEX(Zeiterfassung!$F$6:$F$3665,$K1164))</f>
        <v/>
      </c>
      <c r="G1164" s="187">
        <f>IF($K1164="","",INDEX(Zeiterfassung!$G$6:$G$3665,$K1164))</f>
        <v/>
      </c>
      <c r="H1164" s="188">
        <f>IF($K1164="","",INDEX(Zeiterfassung!$H$6:$H$3665,$K1164))</f>
        <v/>
      </c>
      <c r="I1164" s="335">
        <f>IF(B1164=B1163,"",IF($K1164="","",INDEX(Zeiterfassung!$I$6:$I$3665,MATCH(INDEX(Zeiterfassung!$K$6:$K$3665,$K1164),Zeiterfassung!$K$6:$K$3665,0))))</f>
        <v/>
      </c>
      <c r="J1164" s="335">
        <f>IF(B1164=B1163,"",IF($K1164="","",INDEX(Zeiterfassung!$J$6:$J$3665,MATCH(INDEX(Zeiterfassung!$K$6:$K$3665,$K1164),Zeiterfassung!$K$6:$K$3665,0))))</f>
        <v/>
      </c>
      <c r="K1164">
        <f>IFERROR(AGGREGATE(15,6,(ROW(Zeiterfassung!$D$6:$D$3665)-ROW(Zeiterfassung!$D$6)+1)/(Zeiterfassung!$D$6:$D$3665&lt;&gt;""),1159),"")</f>
        <v/>
      </c>
    </row>
    <row r="1165" ht="20" customHeight="1">
      <c r="A1165" s="183">
        <f>IF($K1165="","",WEEKNUM(INDEX(Zeiterfassung!$K$6:$K$3665,$K1165),21))</f>
        <v/>
      </c>
      <c r="B1165" s="184">
        <f>IF($K1165="","",INDEX(Zeiterfassung!$K$6:$K$3665,$K1165))</f>
        <v/>
      </c>
      <c r="C1165" s="185">
        <f>IF($K1165="","",INDEX(Zeiterfassung!$K$6:$K$3665,$K1165))</f>
        <v/>
      </c>
      <c r="D1165" s="186">
        <f>IF($K1165="","",INDEX(Zeiterfassung!$D$6:$D$3665,$K1165))</f>
        <v/>
      </c>
      <c r="E1165" s="186">
        <f>IF($K1165="","",INDEX(Zeiterfassung!$E$6:$E$3665,$K1165))</f>
        <v/>
      </c>
      <c r="F1165" s="187">
        <f>IF($K1165="","",INDEX(Zeiterfassung!$F$6:$F$3665,$K1165))</f>
        <v/>
      </c>
      <c r="G1165" s="187">
        <f>IF($K1165="","",INDEX(Zeiterfassung!$G$6:$G$3665,$K1165))</f>
        <v/>
      </c>
      <c r="H1165" s="188">
        <f>IF($K1165="","",INDEX(Zeiterfassung!$H$6:$H$3665,$K1165))</f>
        <v/>
      </c>
      <c r="I1165" s="335">
        <f>IF(B1165=B1164,"",IF($K1165="","",INDEX(Zeiterfassung!$I$6:$I$3665,MATCH(INDEX(Zeiterfassung!$K$6:$K$3665,$K1165),Zeiterfassung!$K$6:$K$3665,0))))</f>
        <v/>
      </c>
      <c r="J1165" s="335">
        <f>IF(B1165=B1164,"",IF($K1165="","",INDEX(Zeiterfassung!$J$6:$J$3665,MATCH(INDEX(Zeiterfassung!$K$6:$K$3665,$K1165),Zeiterfassung!$K$6:$K$3665,0))))</f>
        <v/>
      </c>
      <c r="K1165">
        <f>IFERROR(AGGREGATE(15,6,(ROW(Zeiterfassung!$D$6:$D$3665)-ROW(Zeiterfassung!$D$6)+1)/(Zeiterfassung!$D$6:$D$3665&lt;&gt;""),1160),"")</f>
        <v/>
      </c>
    </row>
    <row r="1166" ht="20" customHeight="1">
      <c r="A1166" s="183">
        <f>IF($K1166="","",WEEKNUM(INDEX(Zeiterfassung!$K$6:$K$3665,$K1166),21))</f>
        <v/>
      </c>
      <c r="B1166" s="184">
        <f>IF($K1166="","",INDEX(Zeiterfassung!$K$6:$K$3665,$K1166))</f>
        <v/>
      </c>
      <c r="C1166" s="185">
        <f>IF($K1166="","",INDEX(Zeiterfassung!$K$6:$K$3665,$K1166))</f>
        <v/>
      </c>
      <c r="D1166" s="186">
        <f>IF($K1166="","",INDEX(Zeiterfassung!$D$6:$D$3665,$K1166))</f>
        <v/>
      </c>
      <c r="E1166" s="186">
        <f>IF($K1166="","",INDEX(Zeiterfassung!$E$6:$E$3665,$K1166))</f>
        <v/>
      </c>
      <c r="F1166" s="187">
        <f>IF($K1166="","",INDEX(Zeiterfassung!$F$6:$F$3665,$K1166))</f>
        <v/>
      </c>
      <c r="G1166" s="187">
        <f>IF($K1166="","",INDEX(Zeiterfassung!$G$6:$G$3665,$K1166))</f>
        <v/>
      </c>
      <c r="H1166" s="188">
        <f>IF($K1166="","",INDEX(Zeiterfassung!$H$6:$H$3665,$K1166))</f>
        <v/>
      </c>
      <c r="I1166" s="335">
        <f>IF(B1166=B1165,"",IF($K1166="","",INDEX(Zeiterfassung!$I$6:$I$3665,MATCH(INDEX(Zeiterfassung!$K$6:$K$3665,$K1166),Zeiterfassung!$K$6:$K$3665,0))))</f>
        <v/>
      </c>
      <c r="J1166" s="335">
        <f>IF(B1166=B1165,"",IF($K1166="","",INDEX(Zeiterfassung!$J$6:$J$3665,MATCH(INDEX(Zeiterfassung!$K$6:$K$3665,$K1166),Zeiterfassung!$K$6:$K$3665,0))))</f>
        <v/>
      </c>
      <c r="K1166">
        <f>IFERROR(AGGREGATE(15,6,(ROW(Zeiterfassung!$D$6:$D$3665)-ROW(Zeiterfassung!$D$6)+1)/(Zeiterfassung!$D$6:$D$3665&lt;&gt;""),1161),"")</f>
        <v/>
      </c>
    </row>
    <row r="1167" ht="20" customHeight="1">
      <c r="A1167" s="183">
        <f>IF($K1167="","",WEEKNUM(INDEX(Zeiterfassung!$K$6:$K$3665,$K1167),21))</f>
        <v/>
      </c>
      <c r="B1167" s="184">
        <f>IF($K1167="","",INDEX(Zeiterfassung!$K$6:$K$3665,$K1167))</f>
        <v/>
      </c>
      <c r="C1167" s="185">
        <f>IF($K1167="","",INDEX(Zeiterfassung!$K$6:$K$3665,$K1167))</f>
        <v/>
      </c>
      <c r="D1167" s="186">
        <f>IF($K1167="","",INDEX(Zeiterfassung!$D$6:$D$3665,$K1167))</f>
        <v/>
      </c>
      <c r="E1167" s="186">
        <f>IF($K1167="","",INDEX(Zeiterfassung!$E$6:$E$3665,$K1167))</f>
        <v/>
      </c>
      <c r="F1167" s="187">
        <f>IF($K1167="","",INDEX(Zeiterfassung!$F$6:$F$3665,$K1167))</f>
        <v/>
      </c>
      <c r="G1167" s="187">
        <f>IF($K1167="","",INDEX(Zeiterfassung!$G$6:$G$3665,$K1167))</f>
        <v/>
      </c>
      <c r="H1167" s="188">
        <f>IF($K1167="","",INDEX(Zeiterfassung!$H$6:$H$3665,$K1167))</f>
        <v/>
      </c>
      <c r="I1167" s="335">
        <f>IF(B1167=B1166,"",IF($K1167="","",INDEX(Zeiterfassung!$I$6:$I$3665,MATCH(INDEX(Zeiterfassung!$K$6:$K$3665,$K1167),Zeiterfassung!$K$6:$K$3665,0))))</f>
        <v/>
      </c>
      <c r="J1167" s="335">
        <f>IF(B1167=B1166,"",IF($K1167="","",INDEX(Zeiterfassung!$J$6:$J$3665,MATCH(INDEX(Zeiterfassung!$K$6:$K$3665,$K1167),Zeiterfassung!$K$6:$K$3665,0))))</f>
        <v/>
      </c>
      <c r="K1167">
        <f>IFERROR(AGGREGATE(15,6,(ROW(Zeiterfassung!$D$6:$D$3665)-ROW(Zeiterfassung!$D$6)+1)/(Zeiterfassung!$D$6:$D$3665&lt;&gt;""),1162),"")</f>
        <v/>
      </c>
    </row>
    <row r="1168" ht="20" customHeight="1">
      <c r="A1168" s="183">
        <f>IF($K1168="","",WEEKNUM(INDEX(Zeiterfassung!$K$6:$K$3665,$K1168),21))</f>
        <v/>
      </c>
      <c r="B1168" s="184">
        <f>IF($K1168="","",INDEX(Zeiterfassung!$K$6:$K$3665,$K1168))</f>
        <v/>
      </c>
      <c r="C1168" s="185">
        <f>IF($K1168="","",INDEX(Zeiterfassung!$K$6:$K$3665,$K1168))</f>
        <v/>
      </c>
      <c r="D1168" s="186">
        <f>IF($K1168="","",INDEX(Zeiterfassung!$D$6:$D$3665,$K1168))</f>
        <v/>
      </c>
      <c r="E1168" s="186">
        <f>IF($K1168="","",INDEX(Zeiterfassung!$E$6:$E$3665,$K1168))</f>
        <v/>
      </c>
      <c r="F1168" s="187">
        <f>IF($K1168="","",INDEX(Zeiterfassung!$F$6:$F$3665,$K1168))</f>
        <v/>
      </c>
      <c r="G1168" s="187">
        <f>IF($K1168="","",INDEX(Zeiterfassung!$G$6:$G$3665,$K1168))</f>
        <v/>
      </c>
      <c r="H1168" s="188">
        <f>IF($K1168="","",INDEX(Zeiterfassung!$H$6:$H$3665,$K1168))</f>
        <v/>
      </c>
      <c r="I1168" s="335">
        <f>IF(B1168=B1167,"",IF($K1168="","",INDEX(Zeiterfassung!$I$6:$I$3665,MATCH(INDEX(Zeiterfassung!$K$6:$K$3665,$K1168),Zeiterfassung!$K$6:$K$3665,0))))</f>
        <v/>
      </c>
      <c r="J1168" s="335">
        <f>IF(B1168=B1167,"",IF($K1168="","",INDEX(Zeiterfassung!$J$6:$J$3665,MATCH(INDEX(Zeiterfassung!$K$6:$K$3665,$K1168),Zeiterfassung!$K$6:$K$3665,0))))</f>
        <v/>
      </c>
      <c r="K1168">
        <f>IFERROR(AGGREGATE(15,6,(ROW(Zeiterfassung!$D$6:$D$3665)-ROW(Zeiterfassung!$D$6)+1)/(Zeiterfassung!$D$6:$D$3665&lt;&gt;""),1163),"")</f>
        <v/>
      </c>
    </row>
    <row r="1169" ht="20" customHeight="1">
      <c r="A1169" s="183">
        <f>IF($K1169="","",WEEKNUM(INDEX(Zeiterfassung!$K$6:$K$3665,$K1169),21))</f>
        <v/>
      </c>
      <c r="B1169" s="184">
        <f>IF($K1169="","",INDEX(Zeiterfassung!$K$6:$K$3665,$K1169))</f>
        <v/>
      </c>
      <c r="C1169" s="185">
        <f>IF($K1169="","",INDEX(Zeiterfassung!$K$6:$K$3665,$K1169))</f>
        <v/>
      </c>
      <c r="D1169" s="186">
        <f>IF($K1169="","",INDEX(Zeiterfassung!$D$6:$D$3665,$K1169))</f>
        <v/>
      </c>
      <c r="E1169" s="186">
        <f>IF($K1169="","",INDEX(Zeiterfassung!$E$6:$E$3665,$K1169))</f>
        <v/>
      </c>
      <c r="F1169" s="187">
        <f>IF($K1169="","",INDEX(Zeiterfassung!$F$6:$F$3665,$K1169))</f>
        <v/>
      </c>
      <c r="G1169" s="187">
        <f>IF($K1169="","",INDEX(Zeiterfassung!$G$6:$G$3665,$K1169))</f>
        <v/>
      </c>
      <c r="H1169" s="188">
        <f>IF($K1169="","",INDEX(Zeiterfassung!$H$6:$H$3665,$K1169))</f>
        <v/>
      </c>
      <c r="I1169" s="335">
        <f>IF(B1169=B1168,"",IF($K1169="","",INDEX(Zeiterfassung!$I$6:$I$3665,MATCH(INDEX(Zeiterfassung!$K$6:$K$3665,$K1169),Zeiterfassung!$K$6:$K$3665,0))))</f>
        <v/>
      </c>
      <c r="J1169" s="335">
        <f>IF(B1169=B1168,"",IF($K1169="","",INDEX(Zeiterfassung!$J$6:$J$3665,MATCH(INDEX(Zeiterfassung!$K$6:$K$3665,$K1169),Zeiterfassung!$K$6:$K$3665,0))))</f>
        <v/>
      </c>
      <c r="K1169">
        <f>IFERROR(AGGREGATE(15,6,(ROW(Zeiterfassung!$D$6:$D$3665)-ROW(Zeiterfassung!$D$6)+1)/(Zeiterfassung!$D$6:$D$3665&lt;&gt;""),1164),"")</f>
        <v/>
      </c>
    </row>
    <row r="1170" ht="20" customHeight="1">
      <c r="A1170" s="183">
        <f>IF($K1170="","",WEEKNUM(INDEX(Zeiterfassung!$K$6:$K$3665,$K1170),21))</f>
        <v/>
      </c>
      <c r="B1170" s="184">
        <f>IF($K1170="","",INDEX(Zeiterfassung!$K$6:$K$3665,$K1170))</f>
        <v/>
      </c>
      <c r="C1170" s="185">
        <f>IF($K1170="","",INDEX(Zeiterfassung!$K$6:$K$3665,$K1170))</f>
        <v/>
      </c>
      <c r="D1170" s="186">
        <f>IF($K1170="","",INDEX(Zeiterfassung!$D$6:$D$3665,$K1170))</f>
        <v/>
      </c>
      <c r="E1170" s="186">
        <f>IF($K1170="","",INDEX(Zeiterfassung!$E$6:$E$3665,$K1170))</f>
        <v/>
      </c>
      <c r="F1170" s="187">
        <f>IF($K1170="","",INDEX(Zeiterfassung!$F$6:$F$3665,$K1170))</f>
        <v/>
      </c>
      <c r="G1170" s="187">
        <f>IF($K1170="","",INDEX(Zeiterfassung!$G$6:$G$3665,$K1170))</f>
        <v/>
      </c>
      <c r="H1170" s="188">
        <f>IF($K1170="","",INDEX(Zeiterfassung!$H$6:$H$3665,$K1170))</f>
        <v/>
      </c>
      <c r="I1170" s="335">
        <f>IF(B1170=B1169,"",IF($K1170="","",INDEX(Zeiterfassung!$I$6:$I$3665,MATCH(INDEX(Zeiterfassung!$K$6:$K$3665,$K1170),Zeiterfassung!$K$6:$K$3665,0))))</f>
        <v/>
      </c>
      <c r="J1170" s="335">
        <f>IF(B1170=B1169,"",IF($K1170="","",INDEX(Zeiterfassung!$J$6:$J$3665,MATCH(INDEX(Zeiterfassung!$K$6:$K$3665,$K1170),Zeiterfassung!$K$6:$K$3665,0))))</f>
        <v/>
      </c>
      <c r="K1170">
        <f>IFERROR(AGGREGATE(15,6,(ROW(Zeiterfassung!$D$6:$D$3665)-ROW(Zeiterfassung!$D$6)+1)/(Zeiterfassung!$D$6:$D$3665&lt;&gt;""),1165),"")</f>
        <v/>
      </c>
    </row>
    <row r="1171" ht="20" customHeight="1">
      <c r="A1171" s="183">
        <f>IF($K1171="","",WEEKNUM(INDEX(Zeiterfassung!$K$6:$K$3665,$K1171),21))</f>
        <v/>
      </c>
      <c r="B1171" s="184">
        <f>IF($K1171="","",INDEX(Zeiterfassung!$K$6:$K$3665,$K1171))</f>
        <v/>
      </c>
      <c r="C1171" s="185">
        <f>IF($K1171="","",INDEX(Zeiterfassung!$K$6:$K$3665,$K1171))</f>
        <v/>
      </c>
      <c r="D1171" s="186">
        <f>IF($K1171="","",INDEX(Zeiterfassung!$D$6:$D$3665,$K1171))</f>
        <v/>
      </c>
      <c r="E1171" s="186">
        <f>IF($K1171="","",INDEX(Zeiterfassung!$E$6:$E$3665,$K1171))</f>
        <v/>
      </c>
      <c r="F1171" s="187">
        <f>IF($K1171="","",INDEX(Zeiterfassung!$F$6:$F$3665,$K1171))</f>
        <v/>
      </c>
      <c r="G1171" s="187">
        <f>IF($K1171="","",INDEX(Zeiterfassung!$G$6:$G$3665,$K1171))</f>
        <v/>
      </c>
      <c r="H1171" s="188">
        <f>IF($K1171="","",INDEX(Zeiterfassung!$H$6:$H$3665,$K1171))</f>
        <v/>
      </c>
      <c r="I1171" s="335">
        <f>IF(B1171=B1170,"",IF($K1171="","",INDEX(Zeiterfassung!$I$6:$I$3665,MATCH(INDEX(Zeiterfassung!$K$6:$K$3665,$K1171),Zeiterfassung!$K$6:$K$3665,0))))</f>
        <v/>
      </c>
      <c r="J1171" s="335">
        <f>IF(B1171=B1170,"",IF($K1171="","",INDEX(Zeiterfassung!$J$6:$J$3665,MATCH(INDEX(Zeiterfassung!$K$6:$K$3665,$K1171),Zeiterfassung!$K$6:$K$3665,0))))</f>
        <v/>
      </c>
      <c r="K1171">
        <f>IFERROR(AGGREGATE(15,6,(ROW(Zeiterfassung!$D$6:$D$3665)-ROW(Zeiterfassung!$D$6)+1)/(Zeiterfassung!$D$6:$D$3665&lt;&gt;""),1166),"")</f>
        <v/>
      </c>
    </row>
    <row r="1172" ht="20" customHeight="1">
      <c r="A1172" s="183">
        <f>IF($K1172="","",WEEKNUM(INDEX(Zeiterfassung!$K$6:$K$3665,$K1172),21))</f>
        <v/>
      </c>
      <c r="B1172" s="184">
        <f>IF($K1172="","",INDEX(Zeiterfassung!$K$6:$K$3665,$K1172))</f>
        <v/>
      </c>
      <c r="C1172" s="185">
        <f>IF($K1172="","",INDEX(Zeiterfassung!$K$6:$K$3665,$K1172))</f>
        <v/>
      </c>
      <c r="D1172" s="186">
        <f>IF($K1172="","",INDEX(Zeiterfassung!$D$6:$D$3665,$K1172))</f>
        <v/>
      </c>
      <c r="E1172" s="186">
        <f>IF($K1172="","",INDEX(Zeiterfassung!$E$6:$E$3665,$K1172))</f>
        <v/>
      </c>
      <c r="F1172" s="187">
        <f>IF($K1172="","",INDEX(Zeiterfassung!$F$6:$F$3665,$K1172))</f>
        <v/>
      </c>
      <c r="G1172" s="187">
        <f>IF($K1172="","",INDEX(Zeiterfassung!$G$6:$G$3665,$K1172))</f>
        <v/>
      </c>
      <c r="H1172" s="188">
        <f>IF($K1172="","",INDEX(Zeiterfassung!$H$6:$H$3665,$K1172))</f>
        <v/>
      </c>
      <c r="I1172" s="335">
        <f>IF(B1172=B1171,"",IF($K1172="","",INDEX(Zeiterfassung!$I$6:$I$3665,MATCH(INDEX(Zeiterfassung!$K$6:$K$3665,$K1172),Zeiterfassung!$K$6:$K$3665,0))))</f>
        <v/>
      </c>
      <c r="J1172" s="335">
        <f>IF(B1172=B1171,"",IF($K1172="","",INDEX(Zeiterfassung!$J$6:$J$3665,MATCH(INDEX(Zeiterfassung!$K$6:$K$3665,$K1172),Zeiterfassung!$K$6:$K$3665,0))))</f>
        <v/>
      </c>
      <c r="K1172">
        <f>IFERROR(AGGREGATE(15,6,(ROW(Zeiterfassung!$D$6:$D$3665)-ROW(Zeiterfassung!$D$6)+1)/(Zeiterfassung!$D$6:$D$3665&lt;&gt;""),1167),"")</f>
        <v/>
      </c>
    </row>
    <row r="1173" ht="20" customHeight="1">
      <c r="A1173" s="183">
        <f>IF($K1173="","",WEEKNUM(INDEX(Zeiterfassung!$K$6:$K$3665,$K1173),21))</f>
        <v/>
      </c>
      <c r="B1173" s="184">
        <f>IF($K1173="","",INDEX(Zeiterfassung!$K$6:$K$3665,$K1173))</f>
        <v/>
      </c>
      <c r="C1173" s="185">
        <f>IF($K1173="","",INDEX(Zeiterfassung!$K$6:$K$3665,$K1173))</f>
        <v/>
      </c>
      <c r="D1173" s="186">
        <f>IF($K1173="","",INDEX(Zeiterfassung!$D$6:$D$3665,$K1173))</f>
        <v/>
      </c>
      <c r="E1173" s="186">
        <f>IF($K1173="","",INDEX(Zeiterfassung!$E$6:$E$3665,$K1173))</f>
        <v/>
      </c>
      <c r="F1173" s="187">
        <f>IF($K1173="","",INDEX(Zeiterfassung!$F$6:$F$3665,$K1173))</f>
        <v/>
      </c>
      <c r="G1173" s="187">
        <f>IF($K1173="","",INDEX(Zeiterfassung!$G$6:$G$3665,$K1173))</f>
        <v/>
      </c>
      <c r="H1173" s="188">
        <f>IF($K1173="","",INDEX(Zeiterfassung!$H$6:$H$3665,$K1173))</f>
        <v/>
      </c>
      <c r="I1173" s="335">
        <f>IF(B1173=B1172,"",IF($K1173="","",INDEX(Zeiterfassung!$I$6:$I$3665,MATCH(INDEX(Zeiterfassung!$K$6:$K$3665,$K1173),Zeiterfassung!$K$6:$K$3665,0))))</f>
        <v/>
      </c>
      <c r="J1173" s="335">
        <f>IF(B1173=B1172,"",IF($K1173="","",INDEX(Zeiterfassung!$J$6:$J$3665,MATCH(INDEX(Zeiterfassung!$K$6:$K$3665,$K1173),Zeiterfassung!$K$6:$K$3665,0))))</f>
        <v/>
      </c>
      <c r="K1173">
        <f>IFERROR(AGGREGATE(15,6,(ROW(Zeiterfassung!$D$6:$D$3665)-ROW(Zeiterfassung!$D$6)+1)/(Zeiterfassung!$D$6:$D$3665&lt;&gt;""),1168),"")</f>
        <v/>
      </c>
    </row>
    <row r="1174" ht="20" customHeight="1">
      <c r="A1174" s="183">
        <f>IF($K1174="","",WEEKNUM(INDEX(Zeiterfassung!$K$6:$K$3665,$K1174),21))</f>
        <v/>
      </c>
      <c r="B1174" s="184">
        <f>IF($K1174="","",INDEX(Zeiterfassung!$K$6:$K$3665,$K1174))</f>
        <v/>
      </c>
      <c r="C1174" s="185">
        <f>IF($K1174="","",INDEX(Zeiterfassung!$K$6:$K$3665,$K1174))</f>
        <v/>
      </c>
      <c r="D1174" s="186">
        <f>IF($K1174="","",INDEX(Zeiterfassung!$D$6:$D$3665,$K1174))</f>
        <v/>
      </c>
      <c r="E1174" s="186">
        <f>IF($K1174="","",INDEX(Zeiterfassung!$E$6:$E$3665,$K1174))</f>
        <v/>
      </c>
      <c r="F1174" s="187">
        <f>IF($K1174="","",INDEX(Zeiterfassung!$F$6:$F$3665,$K1174))</f>
        <v/>
      </c>
      <c r="G1174" s="187">
        <f>IF($K1174="","",INDEX(Zeiterfassung!$G$6:$G$3665,$K1174))</f>
        <v/>
      </c>
      <c r="H1174" s="188">
        <f>IF($K1174="","",INDEX(Zeiterfassung!$H$6:$H$3665,$K1174))</f>
        <v/>
      </c>
      <c r="I1174" s="335">
        <f>IF(B1174=B1173,"",IF($K1174="","",INDEX(Zeiterfassung!$I$6:$I$3665,MATCH(INDEX(Zeiterfassung!$K$6:$K$3665,$K1174),Zeiterfassung!$K$6:$K$3665,0))))</f>
        <v/>
      </c>
      <c r="J1174" s="335">
        <f>IF(B1174=B1173,"",IF($K1174="","",INDEX(Zeiterfassung!$J$6:$J$3665,MATCH(INDEX(Zeiterfassung!$K$6:$K$3665,$K1174),Zeiterfassung!$K$6:$K$3665,0))))</f>
        <v/>
      </c>
      <c r="K1174">
        <f>IFERROR(AGGREGATE(15,6,(ROW(Zeiterfassung!$D$6:$D$3665)-ROW(Zeiterfassung!$D$6)+1)/(Zeiterfassung!$D$6:$D$3665&lt;&gt;""),1169),"")</f>
        <v/>
      </c>
    </row>
    <row r="1175" ht="20" customHeight="1">
      <c r="A1175" s="183">
        <f>IF($K1175="","",WEEKNUM(INDEX(Zeiterfassung!$K$6:$K$3665,$K1175),21))</f>
        <v/>
      </c>
      <c r="B1175" s="184">
        <f>IF($K1175="","",INDEX(Zeiterfassung!$K$6:$K$3665,$K1175))</f>
        <v/>
      </c>
      <c r="C1175" s="185">
        <f>IF($K1175="","",INDEX(Zeiterfassung!$K$6:$K$3665,$K1175))</f>
        <v/>
      </c>
      <c r="D1175" s="186">
        <f>IF($K1175="","",INDEX(Zeiterfassung!$D$6:$D$3665,$K1175))</f>
        <v/>
      </c>
      <c r="E1175" s="186">
        <f>IF($K1175="","",INDEX(Zeiterfassung!$E$6:$E$3665,$K1175))</f>
        <v/>
      </c>
      <c r="F1175" s="187">
        <f>IF($K1175="","",INDEX(Zeiterfassung!$F$6:$F$3665,$K1175))</f>
        <v/>
      </c>
      <c r="G1175" s="187">
        <f>IF($K1175="","",INDEX(Zeiterfassung!$G$6:$G$3665,$K1175))</f>
        <v/>
      </c>
      <c r="H1175" s="188">
        <f>IF($K1175="","",INDEX(Zeiterfassung!$H$6:$H$3665,$K1175))</f>
        <v/>
      </c>
      <c r="I1175" s="335">
        <f>IF(B1175=B1174,"",IF($K1175="","",INDEX(Zeiterfassung!$I$6:$I$3665,MATCH(INDEX(Zeiterfassung!$K$6:$K$3665,$K1175),Zeiterfassung!$K$6:$K$3665,0))))</f>
        <v/>
      </c>
      <c r="J1175" s="335">
        <f>IF(B1175=B1174,"",IF($K1175="","",INDEX(Zeiterfassung!$J$6:$J$3665,MATCH(INDEX(Zeiterfassung!$K$6:$K$3665,$K1175),Zeiterfassung!$K$6:$K$3665,0))))</f>
        <v/>
      </c>
      <c r="K1175">
        <f>IFERROR(AGGREGATE(15,6,(ROW(Zeiterfassung!$D$6:$D$3665)-ROW(Zeiterfassung!$D$6)+1)/(Zeiterfassung!$D$6:$D$3665&lt;&gt;""),1170),"")</f>
        <v/>
      </c>
    </row>
    <row r="1176" ht="20" customHeight="1">
      <c r="A1176" s="183">
        <f>IF($K1176="","",WEEKNUM(INDEX(Zeiterfassung!$K$6:$K$3665,$K1176),21))</f>
        <v/>
      </c>
      <c r="B1176" s="184">
        <f>IF($K1176="","",INDEX(Zeiterfassung!$K$6:$K$3665,$K1176))</f>
        <v/>
      </c>
      <c r="C1176" s="185">
        <f>IF($K1176="","",INDEX(Zeiterfassung!$K$6:$K$3665,$K1176))</f>
        <v/>
      </c>
      <c r="D1176" s="186">
        <f>IF($K1176="","",INDEX(Zeiterfassung!$D$6:$D$3665,$K1176))</f>
        <v/>
      </c>
      <c r="E1176" s="186">
        <f>IF($K1176="","",INDEX(Zeiterfassung!$E$6:$E$3665,$K1176))</f>
        <v/>
      </c>
      <c r="F1176" s="187">
        <f>IF($K1176="","",INDEX(Zeiterfassung!$F$6:$F$3665,$K1176))</f>
        <v/>
      </c>
      <c r="G1176" s="187">
        <f>IF($K1176="","",INDEX(Zeiterfassung!$G$6:$G$3665,$K1176))</f>
        <v/>
      </c>
      <c r="H1176" s="188">
        <f>IF($K1176="","",INDEX(Zeiterfassung!$H$6:$H$3665,$K1176))</f>
        <v/>
      </c>
      <c r="I1176" s="335">
        <f>IF(B1176=B1175,"",IF($K1176="","",INDEX(Zeiterfassung!$I$6:$I$3665,MATCH(INDEX(Zeiterfassung!$K$6:$K$3665,$K1176),Zeiterfassung!$K$6:$K$3665,0))))</f>
        <v/>
      </c>
      <c r="J1176" s="335">
        <f>IF(B1176=B1175,"",IF($K1176="","",INDEX(Zeiterfassung!$J$6:$J$3665,MATCH(INDEX(Zeiterfassung!$K$6:$K$3665,$K1176),Zeiterfassung!$K$6:$K$3665,0))))</f>
        <v/>
      </c>
      <c r="K1176">
        <f>IFERROR(AGGREGATE(15,6,(ROW(Zeiterfassung!$D$6:$D$3665)-ROW(Zeiterfassung!$D$6)+1)/(Zeiterfassung!$D$6:$D$3665&lt;&gt;""),1171),"")</f>
        <v/>
      </c>
    </row>
    <row r="1177" ht="20" customHeight="1">
      <c r="A1177" s="183">
        <f>IF($K1177="","",WEEKNUM(INDEX(Zeiterfassung!$K$6:$K$3665,$K1177),21))</f>
        <v/>
      </c>
      <c r="B1177" s="184">
        <f>IF($K1177="","",INDEX(Zeiterfassung!$K$6:$K$3665,$K1177))</f>
        <v/>
      </c>
      <c r="C1177" s="185">
        <f>IF($K1177="","",INDEX(Zeiterfassung!$K$6:$K$3665,$K1177))</f>
        <v/>
      </c>
      <c r="D1177" s="186">
        <f>IF($K1177="","",INDEX(Zeiterfassung!$D$6:$D$3665,$K1177))</f>
        <v/>
      </c>
      <c r="E1177" s="186">
        <f>IF($K1177="","",INDEX(Zeiterfassung!$E$6:$E$3665,$K1177))</f>
        <v/>
      </c>
      <c r="F1177" s="187">
        <f>IF($K1177="","",INDEX(Zeiterfassung!$F$6:$F$3665,$K1177))</f>
        <v/>
      </c>
      <c r="G1177" s="187">
        <f>IF($K1177="","",INDEX(Zeiterfassung!$G$6:$G$3665,$K1177))</f>
        <v/>
      </c>
      <c r="H1177" s="188">
        <f>IF($K1177="","",INDEX(Zeiterfassung!$H$6:$H$3665,$K1177))</f>
        <v/>
      </c>
      <c r="I1177" s="335">
        <f>IF(B1177=B1176,"",IF($K1177="","",INDEX(Zeiterfassung!$I$6:$I$3665,MATCH(INDEX(Zeiterfassung!$K$6:$K$3665,$K1177),Zeiterfassung!$K$6:$K$3665,0))))</f>
        <v/>
      </c>
      <c r="J1177" s="335">
        <f>IF(B1177=B1176,"",IF($K1177="","",INDEX(Zeiterfassung!$J$6:$J$3665,MATCH(INDEX(Zeiterfassung!$K$6:$K$3665,$K1177),Zeiterfassung!$K$6:$K$3665,0))))</f>
        <v/>
      </c>
      <c r="K1177">
        <f>IFERROR(AGGREGATE(15,6,(ROW(Zeiterfassung!$D$6:$D$3665)-ROW(Zeiterfassung!$D$6)+1)/(Zeiterfassung!$D$6:$D$3665&lt;&gt;""),1172),"")</f>
        <v/>
      </c>
    </row>
    <row r="1178" ht="20" customHeight="1">
      <c r="A1178" s="183">
        <f>IF($K1178="","",WEEKNUM(INDEX(Zeiterfassung!$K$6:$K$3665,$K1178),21))</f>
        <v/>
      </c>
      <c r="B1178" s="184">
        <f>IF($K1178="","",INDEX(Zeiterfassung!$K$6:$K$3665,$K1178))</f>
        <v/>
      </c>
      <c r="C1178" s="185">
        <f>IF($K1178="","",INDEX(Zeiterfassung!$K$6:$K$3665,$K1178))</f>
        <v/>
      </c>
      <c r="D1178" s="186">
        <f>IF($K1178="","",INDEX(Zeiterfassung!$D$6:$D$3665,$K1178))</f>
        <v/>
      </c>
      <c r="E1178" s="186">
        <f>IF($K1178="","",INDEX(Zeiterfassung!$E$6:$E$3665,$K1178))</f>
        <v/>
      </c>
      <c r="F1178" s="187">
        <f>IF($K1178="","",INDEX(Zeiterfassung!$F$6:$F$3665,$K1178))</f>
        <v/>
      </c>
      <c r="G1178" s="187">
        <f>IF($K1178="","",INDEX(Zeiterfassung!$G$6:$G$3665,$K1178))</f>
        <v/>
      </c>
      <c r="H1178" s="188">
        <f>IF($K1178="","",INDEX(Zeiterfassung!$H$6:$H$3665,$K1178))</f>
        <v/>
      </c>
      <c r="I1178" s="335">
        <f>IF(B1178=B1177,"",IF($K1178="","",INDEX(Zeiterfassung!$I$6:$I$3665,MATCH(INDEX(Zeiterfassung!$K$6:$K$3665,$K1178),Zeiterfassung!$K$6:$K$3665,0))))</f>
        <v/>
      </c>
      <c r="J1178" s="335">
        <f>IF(B1178=B1177,"",IF($K1178="","",INDEX(Zeiterfassung!$J$6:$J$3665,MATCH(INDEX(Zeiterfassung!$K$6:$K$3665,$K1178),Zeiterfassung!$K$6:$K$3665,0))))</f>
        <v/>
      </c>
      <c r="K1178">
        <f>IFERROR(AGGREGATE(15,6,(ROW(Zeiterfassung!$D$6:$D$3665)-ROW(Zeiterfassung!$D$6)+1)/(Zeiterfassung!$D$6:$D$3665&lt;&gt;""),1173),"")</f>
        <v/>
      </c>
    </row>
    <row r="1179" ht="20" customHeight="1">
      <c r="A1179" s="183">
        <f>IF($K1179="","",WEEKNUM(INDEX(Zeiterfassung!$K$6:$K$3665,$K1179),21))</f>
        <v/>
      </c>
      <c r="B1179" s="184">
        <f>IF($K1179="","",INDEX(Zeiterfassung!$K$6:$K$3665,$K1179))</f>
        <v/>
      </c>
      <c r="C1179" s="185">
        <f>IF($K1179="","",INDEX(Zeiterfassung!$K$6:$K$3665,$K1179))</f>
        <v/>
      </c>
      <c r="D1179" s="186">
        <f>IF($K1179="","",INDEX(Zeiterfassung!$D$6:$D$3665,$K1179))</f>
        <v/>
      </c>
      <c r="E1179" s="186">
        <f>IF($K1179="","",INDEX(Zeiterfassung!$E$6:$E$3665,$K1179))</f>
        <v/>
      </c>
      <c r="F1179" s="187">
        <f>IF($K1179="","",INDEX(Zeiterfassung!$F$6:$F$3665,$K1179))</f>
        <v/>
      </c>
      <c r="G1179" s="187">
        <f>IF($K1179="","",INDEX(Zeiterfassung!$G$6:$G$3665,$K1179))</f>
        <v/>
      </c>
      <c r="H1179" s="188">
        <f>IF($K1179="","",INDEX(Zeiterfassung!$H$6:$H$3665,$K1179))</f>
        <v/>
      </c>
      <c r="I1179" s="335">
        <f>IF(B1179=B1178,"",IF($K1179="","",INDEX(Zeiterfassung!$I$6:$I$3665,MATCH(INDEX(Zeiterfassung!$K$6:$K$3665,$K1179),Zeiterfassung!$K$6:$K$3665,0))))</f>
        <v/>
      </c>
      <c r="J1179" s="335">
        <f>IF(B1179=B1178,"",IF($K1179="","",INDEX(Zeiterfassung!$J$6:$J$3665,MATCH(INDEX(Zeiterfassung!$K$6:$K$3665,$K1179),Zeiterfassung!$K$6:$K$3665,0))))</f>
        <v/>
      </c>
      <c r="K1179">
        <f>IFERROR(AGGREGATE(15,6,(ROW(Zeiterfassung!$D$6:$D$3665)-ROW(Zeiterfassung!$D$6)+1)/(Zeiterfassung!$D$6:$D$3665&lt;&gt;""),1174),"")</f>
        <v/>
      </c>
    </row>
    <row r="1180" ht="20" customHeight="1">
      <c r="A1180" s="183">
        <f>IF($K1180="","",WEEKNUM(INDEX(Zeiterfassung!$K$6:$K$3665,$K1180),21))</f>
        <v/>
      </c>
      <c r="B1180" s="184">
        <f>IF($K1180="","",INDEX(Zeiterfassung!$K$6:$K$3665,$K1180))</f>
        <v/>
      </c>
      <c r="C1180" s="185">
        <f>IF($K1180="","",INDEX(Zeiterfassung!$K$6:$K$3665,$K1180))</f>
        <v/>
      </c>
      <c r="D1180" s="186">
        <f>IF($K1180="","",INDEX(Zeiterfassung!$D$6:$D$3665,$K1180))</f>
        <v/>
      </c>
      <c r="E1180" s="186">
        <f>IF($K1180="","",INDEX(Zeiterfassung!$E$6:$E$3665,$K1180))</f>
        <v/>
      </c>
      <c r="F1180" s="187">
        <f>IF($K1180="","",INDEX(Zeiterfassung!$F$6:$F$3665,$K1180))</f>
        <v/>
      </c>
      <c r="G1180" s="187">
        <f>IF($K1180="","",INDEX(Zeiterfassung!$G$6:$G$3665,$K1180))</f>
        <v/>
      </c>
      <c r="H1180" s="188">
        <f>IF($K1180="","",INDEX(Zeiterfassung!$H$6:$H$3665,$K1180))</f>
        <v/>
      </c>
      <c r="I1180" s="335">
        <f>IF(B1180=B1179,"",IF($K1180="","",INDEX(Zeiterfassung!$I$6:$I$3665,MATCH(INDEX(Zeiterfassung!$K$6:$K$3665,$K1180),Zeiterfassung!$K$6:$K$3665,0))))</f>
        <v/>
      </c>
      <c r="J1180" s="335">
        <f>IF(B1180=B1179,"",IF($K1180="","",INDEX(Zeiterfassung!$J$6:$J$3665,MATCH(INDEX(Zeiterfassung!$K$6:$K$3665,$K1180),Zeiterfassung!$K$6:$K$3665,0))))</f>
        <v/>
      </c>
      <c r="K1180">
        <f>IFERROR(AGGREGATE(15,6,(ROW(Zeiterfassung!$D$6:$D$3665)-ROW(Zeiterfassung!$D$6)+1)/(Zeiterfassung!$D$6:$D$3665&lt;&gt;""),1175),"")</f>
        <v/>
      </c>
    </row>
    <row r="1181" ht="20" customHeight="1">
      <c r="A1181" s="183">
        <f>IF($K1181="","",WEEKNUM(INDEX(Zeiterfassung!$K$6:$K$3665,$K1181),21))</f>
        <v/>
      </c>
      <c r="B1181" s="184">
        <f>IF($K1181="","",INDEX(Zeiterfassung!$K$6:$K$3665,$K1181))</f>
        <v/>
      </c>
      <c r="C1181" s="185">
        <f>IF($K1181="","",INDEX(Zeiterfassung!$K$6:$K$3665,$K1181))</f>
        <v/>
      </c>
      <c r="D1181" s="186">
        <f>IF($K1181="","",INDEX(Zeiterfassung!$D$6:$D$3665,$K1181))</f>
        <v/>
      </c>
      <c r="E1181" s="186">
        <f>IF($K1181="","",INDEX(Zeiterfassung!$E$6:$E$3665,$K1181))</f>
        <v/>
      </c>
      <c r="F1181" s="187">
        <f>IF($K1181="","",INDEX(Zeiterfassung!$F$6:$F$3665,$K1181))</f>
        <v/>
      </c>
      <c r="G1181" s="187">
        <f>IF($K1181="","",INDEX(Zeiterfassung!$G$6:$G$3665,$K1181))</f>
        <v/>
      </c>
      <c r="H1181" s="188">
        <f>IF($K1181="","",INDEX(Zeiterfassung!$H$6:$H$3665,$K1181))</f>
        <v/>
      </c>
      <c r="I1181" s="335">
        <f>IF(B1181=B1180,"",IF($K1181="","",INDEX(Zeiterfassung!$I$6:$I$3665,MATCH(INDEX(Zeiterfassung!$K$6:$K$3665,$K1181),Zeiterfassung!$K$6:$K$3665,0))))</f>
        <v/>
      </c>
      <c r="J1181" s="335">
        <f>IF(B1181=B1180,"",IF($K1181="","",INDEX(Zeiterfassung!$J$6:$J$3665,MATCH(INDEX(Zeiterfassung!$K$6:$K$3665,$K1181),Zeiterfassung!$K$6:$K$3665,0))))</f>
        <v/>
      </c>
      <c r="K1181">
        <f>IFERROR(AGGREGATE(15,6,(ROW(Zeiterfassung!$D$6:$D$3665)-ROW(Zeiterfassung!$D$6)+1)/(Zeiterfassung!$D$6:$D$3665&lt;&gt;""),1176),"")</f>
        <v/>
      </c>
    </row>
    <row r="1182" ht="20" customHeight="1">
      <c r="A1182" s="183">
        <f>IF($K1182="","",WEEKNUM(INDEX(Zeiterfassung!$K$6:$K$3665,$K1182),21))</f>
        <v/>
      </c>
      <c r="B1182" s="184">
        <f>IF($K1182="","",INDEX(Zeiterfassung!$K$6:$K$3665,$K1182))</f>
        <v/>
      </c>
      <c r="C1182" s="185">
        <f>IF($K1182="","",INDEX(Zeiterfassung!$K$6:$K$3665,$K1182))</f>
        <v/>
      </c>
      <c r="D1182" s="186">
        <f>IF($K1182="","",INDEX(Zeiterfassung!$D$6:$D$3665,$K1182))</f>
        <v/>
      </c>
      <c r="E1182" s="186">
        <f>IF($K1182="","",INDEX(Zeiterfassung!$E$6:$E$3665,$K1182))</f>
        <v/>
      </c>
      <c r="F1182" s="187">
        <f>IF($K1182="","",INDEX(Zeiterfassung!$F$6:$F$3665,$K1182))</f>
        <v/>
      </c>
      <c r="G1182" s="187">
        <f>IF($K1182="","",INDEX(Zeiterfassung!$G$6:$G$3665,$K1182))</f>
        <v/>
      </c>
      <c r="H1182" s="188">
        <f>IF($K1182="","",INDEX(Zeiterfassung!$H$6:$H$3665,$K1182))</f>
        <v/>
      </c>
      <c r="I1182" s="335">
        <f>IF(B1182=B1181,"",IF($K1182="","",INDEX(Zeiterfassung!$I$6:$I$3665,MATCH(INDEX(Zeiterfassung!$K$6:$K$3665,$K1182),Zeiterfassung!$K$6:$K$3665,0))))</f>
        <v/>
      </c>
      <c r="J1182" s="335">
        <f>IF(B1182=B1181,"",IF($K1182="","",INDEX(Zeiterfassung!$J$6:$J$3665,MATCH(INDEX(Zeiterfassung!$K$6:$K$3665,$K1182),Zeiterfassung!$K$6:$K$3665,0))))</f>
        <v/>
      </c>
      <c r="K1182">
        <f>IFERROR(AGGREGATE(15,6,(ROW(Zeiterfassung!$D$6:$D$3665)-ROW(Zeiterfassung!$D$6)+1)/(Zeiterfassung!$D$6:$D$3665&lt;&gt;""),1177),"")</f>
        <v/>
      </c>
    </row>
    <row r="1183" ht="20" customHeight="1">
      <c r="A1183" s="183">
        <f>IF($K1183="","",WEEKNUM(INDEX(Zeiterfassung!$K$6:$K$3665,$K1183),21))</f>
        <v/>
      </c>
      <c r="B1183" s="184">
        <f>IF($K1183="","",INDEX(Zeiterfassung!$K$6:$K$3665,$K1183))</f>
        <v/>
      </c>
      <c r="C1183" s="185">
        <f>IF($K1183="","",INDEX(Zeiterfassung!$K$6:$K$3665,$K1183))</f>
        <v/>
      </c>
      <c r="D1183" s="186">
        <f>IF($K1183="","",INDEX(Zeiterfassung!$D$6:$D$3665,$K1183))</f>
        <v/>
      </c>
      <c r="E1183" s="186">
        <f>IF($K1183="","",INDEX(Zeiterfassung!$E$6:$E$3665,$K1183))</f>
        <v/>
      </c>
      <c r="F1183" s="187">
        <f>IF($K1183="","",INDEX(Zeiterfassung!$F$6:$F$3665,$K1183))</f>
        <v/>
      </c>
      <c r="G1183" s="187">
        <f>IF($K1183="","",INDEX(Zeiterfassung!$G$6:$G$3665,$K1183))</f>
        <v/>
      </c>
      <c r="H1183" s="188">
        <f>IF($K1183="","",INDEX(Zeiterfassung!$H$6:$H$3665,$K1183))</f>
        <v/>
      </c>
      <c r="I1183" s="335">
        <f>IF(B1183=B1182,"",IF($K1183="","",INDEX(Zeiterfassung!$I$6:$I$3665,MATCH(INDEX(Zeiterfassung!$K$6:$K$3665,$K1183),Zeiterfassung!$K$6:$K$3665,0))))</f>
        <v/>
      </c>
      <c r="J1183" s="335">
        <f>IF(B1183=B1182,"",IF($K1183="","",INDEX(Zeiterfassung!$J$6:$J$3665,MATCH(INDEX(Zeiterfassung!$K$6:$K$3665,$K1183),Zeiterfassung!$K$6:$K$3665,0))))</f>
        <v/>
      </c>
      <c r="K1183">
        <f>IFERROR(AGGREGATE(15,6,(ROW(Zeiterfassung!$D$6:$D$3665)-ROW(Zeiterfassung!$D$6)+1)/(Zeiterfassung!$D$6:$D$3665&lt;&gt;""),1178),"")</f>
        <v/>
      </c>
    </row>
    <row r="1184" ht="20" customHeight="1">
      <c r="A1184" s="183">
        <f>IF($K1184="","",WEEKNUM(INDEX(Zeiterfassung!$K$6:$K$3665,$K1184),21))</f>
        <v/>
      </c>
      <c r="B1184" s="184">
        <f>IF($K1184="","",INDEX(Zeiterfassung!$K$6:$K$3665,$K1184))</f>
        <v/>
      </c>
      <c r="C1184" s="185">
        <f>IF($K1184="","",INDEX(Zeiterfassung!$K$6:$K$3665,$K1184))</f>
        <v/>
      </c>
      <c r="D1184" s="186">
        <f>IF($K1184="","",INDEX(Zeiterfassung!$D$6:$D$3665,$K1184))</f>
        <v/>
      </c>
      <c r="E1184" s="186">
        <f>IF($K1184="","",INDEX(Zeiterfassung!$E$6:$E$3665,$K1184))</f>
        <v/>
      </c>
      <c r="F1184" s="187">
        <f>IF($K1184="","",INDEX(Zeiterfassung!$F$6:$F$3665,$K1184))</f>
        <v/>
      </c>
      <c r="G1184" s="187">
        <f>IF($K1184="","",INDEX(Zeiterfassung!$G$6:$G$3665,$K1184))</f>
        <v/>
      </c>
      <c r="H1184" s="188">
        <f>IF($K1184="","",INDEX(Zeiterfassung!$H$6:$H$3665,$K1184))</f>
        <v/>
      </c>
      <c r="I1184" s="335">
        <f>IF(B1184=B1183,"",IF($K1184="","",INDEX(Zeiterfassung!$I$6:$I$3665,MATCH(INDEX(Zeiterfassung!$K$6:$K$3665,$K1184),Zeiterfassung!$K$6:$K$3665,0))))</f>
        <v/>
      </c>
      <c r="J1184" s="335">
        <f>IF(B1184=B1183,"",IF($K1184="","",INDEX(Zeiterfassung!$J$6:$J$3665,MATCH(INDEX(Zeiterfassung!$K$6:$K$3665,$K1184),Zeiterfassung!$K$6:$K$3665,0))))</f>
        <v/>
      </c>
      <c r="K1184">
        <f>IFERROR(AGGREGATE(15,6,(ROW(Zeiterfassung!$D$6:$D$3665)-ROW(Zeiterfassung!$D$6)+1)/(Zeiterfassung!$D$6:$D$3665&lt;&gt;""),1179),"")</f>
        <v/>
      </c>
    </row>
    <row r="1185" ht="20" customHeight="1">
      <c r="A1185" s="183">
        <f>IF($K1185="","",WEEKNUM(INDEX(Zeiterfassung!$K$6:$K$3665,$K1185),21))</f>
        <v/>
      </c>
      <c r="B1185" s="184">
        <f>IF($K1185="","",INDEX(Zeiterfassung!$K$6:$K$3665,$K1185))</f>
        <v/>
      </c>
      <c r="C1185" s="185">
        <f>IF($K1185="","",INDEX(Zeiterfassung!$K$6:$K$3665,$K1185))</f>
        <v/>
      </c>
      <c r="D1185" s="186">
        <f>IF($K1185="","",INDEX(Zeiterfassung!$D$6:$D$3665,$K1185))</f>
        <v/>
      </c>
      <c r="E1185" s="186">
        <f>IF($K1185="","",INDEX(Zeiterfassung!$E$6:$E$3665,$K1185))</f>
        <v/>
      </c>
      <c r="F1185" s="187">
        <f>IF($K1185="","",INDEX(Zeiterfassung!$F$6:$F$3665,$K1185))</f>
        <v/>
      </c>
      <c r="G1185" s="187">
        <f>IF($K1185="","",INDEX(Zeiterfassung!$G$6:$G$3665,$K1185))</f>
        <v/>
      </c>
      <c r="H1185" s="188">
        <f>IF($K1185="","",INDEX(Zeiterfassung!$H$6:$H$3665,$K1185))</f>
        <v/>
      </c>
      <c r="I1185" s="335">
        <f>IF(B1185=B1184,"",IF($K1185="","",INDEX(Zeiterfassung!$I$6:$I$3665,MATCH(INDEX(Zeiterfassung!$K$6:$K$3665,$K1185),Zeiterfassung!$K$6:$K$3665,0))))</f>
        <v/>
      </c>
      <c r="J1185" s="335">
        <f>IF(B1185=B1184,"",IF($K1185="","",INDEX(Zeiterfassung!$J$6:$J$3665,MATCH(INDEX(Zeiterfassung!$K$6:$K$3665,$K1185),Zeiterfassung!$K$6:$K$3665,0))))</f>
        <v/>
      </c>
      <c r="K1185">
        <f>IFERROR(AGGREGATE(15,6,(ROW(Zeiterfassung!$D$6:$D$3665)-ROW(Zeiterfassung!$D$6)+1)/(Zeiterfassung!$D$6:$D$3665&lt;&gt;""),1180),"")</f>
        <v/>
      </c>
    </row>
    <row r="1186" ht="20" customHeight="1">
      <c r="A1186" s="183">
        <f>IF($K1186="","",WEEKNUM(INDEX(Zeiterfassung!$K$6:$K$3665,$K1186),21))</f>
        <v/>
      </c>
      <c r="B1186" s="184">
        <f>IF($K1186="","",INDEX(Zeiterfassung!$K$6:$K$3665,$K1186))</f>
        <v/>
      </c>
      <c r="C1186" s="185">
        <f>IF($K1186="","",INDEX(Zeiterfassung!$K$6:$K$3665,$K1186))</f>
        <v/>
      </c>
      <c r="D1186" s="186">
        <f>IF($K1186="","",INDEX(Zeiterfassung!$D$6:$D$3665,$K1186))</f>
        <v/>
      </c>
      <c r="E1186" s="186">
        <f>IF($K1186="","",INDEX(Zeiterfassung!$E$6:$E$3665,$K1186))</f>
        <v/>
      </c>
      <c r="F1186" s="187">
        <f>IF($K1186="","",INDEX(Zeiterfassung!$F$6:$F$3665,$K1186))</f>
        <v/>
      </c>
      <c r="G1186" s="187">
        <f>IF($K1186="","",INDEX(Zeiterfassung!$G$6:$G$3665,$K1186))</f>
        <v/>
      </c>
      <c r="H1186" s="188">
        <f>IF($K1186="","",INDEX(Zeiterfassung!$H$6:$H$3665,$K1186))</f>
        <v/>
      </c>
      <c r="I1186" s="335">
        <f>IF(B1186=B1185,"",IF($K1186="","",INDEX(Zeiterfassung!$I$6:$I$3665,MATCH(INDEX(Zeiterfassung!$K$6:$K$3665,$K1186),Zeiterfassung!$K$6:$K$3665,0))))</f>
        <v/>
      </c>
      <c r="J1186" s="335">
        <f>IF(B1186=B1185,"",IF($K1186="","",INDEX(Zeiterfassung!$J$6:$J$3665,MATCH(INDEX(Zeiterfassung!$K$6:$K$3665,$K1186),Zeiterfassung!$K$6:$K$3665,0))))</f>
        <v/>
      </c>
      <c r="K1186">
        <f>IFERROR(AGGREGATE(15,6,(ROW(Zeiterfassung!$D$6:$D$3665)-ROW(Zeiterfassung!$D$6)+1)/(Zeiterfassung!$D$6:$D$3665&lt;&gt;""),1181),"")</f>
        <v/>
      </c>
    </row>
    <row r="1187" ht="20" customHeight="1">
      <c r="A1187" s="183">
        <f>IF($K1187="","",WEEKNUM(INDEX(Zeiterfassung!$K$6:$K$3665,$K1187),21))</f>
        <v/>
      </c>
      <c r="B1187" s="184">
        <f>IF($K1187="","",INDEX(Zeiterfassung!$K$6:$K$3665,$K1187))</f>
        <v/>
      </c>
      <c r="C1187" s="185">
        <f>IF($K1187="","",INDEX(Zeiterfassung!$K$6:$K$3665,$K1187))</f>
        <v/>
      </c>
      <c r="D1187" s="186">
        <f>IF($K1187="","",INDEX(Zeiterfassung!$D$6:$D$3665,$K1187))</f>
        <v/>
      </c>
      <c r="E1187" s="186">
        <f>IF($K1187="","",INDEX(Zeiterfassung!$E$6:$E$3665,$K1187))</f>
        <v/>
      </c>
      <c r="F1187" s="187">
        <f>IF($K1187="","",INDEX(Zeiterfassung!$F$6:$F$3665,$K1187))</f>
        <v/>
      </c>
      <c r="G1187" s="187">
        <f>IF($K1187="","",INDEX(Zeiterfassung!$G$6:$G$3665,$K1187))</f>
        <v/>
      </c>
      <c r="H1187" s="188">
        <f>IF($K1187="","",INDEX(Zeiterfassung!$H$6:$H$3665,$K1187))</f>
        <v/>
      </c>
      <c r="I1187" s="335">
        <f>IF(B1187=B1186,"",IF($K1187="","",INDEX(Zeiterfassung!$I$6:$I$3665,MATCH(INDEX(Zeiterfassung!$K$6:$K$3665,$K1187),Zeiterfassung!$K$6:$K$3665,0))))</f>
        <v/>
      </c>
      <c r="J1187" s="335">
        <f>IF(B1187=B1186,"",IF($K1187="","",INDEX(Zeiterfassung!$J$6:$J$3665,MATCH(INDEX(Zeiterfassung!$K$6:$K$3665,$K1187),Zeiterfassung!$K$6:$K$3665,0))))</f>
        <v/>
      </c>
      <c r="K1187">
        <f>IFERROR(AGGREGATE(15,6,(ROW(Zeiterfassung!$D$6:$D$3665)-ROW(Zeiterfassung!$D$6)+1)/(Zeiterfassung!$D$6:$D$3665&lt;&gt;""),1182),"")</f>
        <v/>
      </c>
    </row>
    <row r="1188" ht="20" customHeight="1">
      <c r="A1188" s="183">
        <f>IF($K1188="","",WEEKNUM(INDEX(Zeiterfassung!$K$6:$K$3665,$K1188),21))</f>
        <v/>
      </c>
      <c r="B1188" s="184">
        <f>IF($K1188="","",INDEX(Zeiterfassung!$K$6:$K$3665,$K1188))</f>
        <v/>
      </c>
      <c r="C1188" s="185">
        <f>IF($K1188="","",INDEX(Zeiterfassung!$K$6:$K$3665,$K1188))</f>
        <v/>
      </c>
      <c r="D1188" s="186">
        <f>IF($K1188="","",INDEX(Zeiterfassung!$D$6:$D$3665,$K1188))</f>
        <v/>
      </c>
      <c r="E1188" s="186">
        <f>IF($K1188="","",INDEX(Zeiterfassung!$E$6:$E$3665,$K1188))</f>
        <v/>
      </c>
      <c r="F1188" s="187">
        <f>IF($K1188="","",INDEX(Zeiterfassung!$F$6:$F$3665,$K1188))</f>
        <v/>
      </c>
      <c r="G1188" s="187">
        <f>IF($K1188="","",INDEX(Zeiterfassung!$G$6:$G$3665,$K1188))</f>
        <v/>
      </c>
      <c r="H1188" s="188">
        <f>IF($K1188="","",INDEX(Zeiterfassung!$H$6:$H$3665,$K1188))</f>
        <v/>
      </c>
      <c r="I1188" s="335">
        <f>IF(B1188=B1187,"",IF($K1188="","",INDEX(Zeiterfassung!$I$6:$I$3665,MATCH(INDEX(Zeiterfassung!$K$6:$K$3665,$K1188),Zeiterfassung!$K$6:$K$3665,0))))</f>
        <v/>
      </c>
      <c r="J1188" s="335">
        <f>IF(B1188=B1187,"",IF($K1188="","",INDEX(Zeiterfassung!$J$6:$J$3665,MATCH(INDEX(Zeiterfassung!$K$6:$K$3665,$K1188),Zeiterfassung!$K$6:$K$3665,0))))</f>
        <v/>
      </c>
      <c r="K1188">
        <f>IFERROR(AGGREGATE(15,6,(ROW(Zeiterfassung!$D$6:$D$3665)-ROW(Zeiterfassung!$D$6)+1)/(Zeiterfassung!$D$6:$D$3665&lt;&gt;""),1183),"")</f>
        <v/>
      </c>
    </row>
    <row r="1189" ht="20" customHeight="1">
      <c r="A1189" s="183">
        <f>IF($K1189="","",WEEKNUM(INDEX(Zeiterfassung!$K$6:$K$3665,$K1189),21))</f>
        <v/>
      </c>
      <c r="B1189" s="184">
        <f>IF($K1189="","",INDEX(Zeiterfassung!$K$6:$K$3665,$K1189))</f>
        <v/>
      </c>
      <c r="C1189" s="185">
        <f>IF($K1189="","",INDEX(Zeiterfassung!$K$6:$K$3665,$K1189))</f>
        <v/>
      </c>
      <c r="D1189" s="186">
        <f>IF($K1189="","",INDEX(Zeiterfassung!$D$6:$D$3665,$K1189))</f>
        <v/>
      </c>
      <c r="E1189" s="186">
        <f>IF($K1189="","",INDEX(Zeiterfassung!$E$6:$E$3665,$K1189))</f>
        <v/>
      </c>
      <c r="F1189" s="187">
        <f>IF($K1189="","",INDEX(Zeiterfassung!$F$6:$F$3665,$K1189))</f>
        <v/>
      </c>
      <c r="G1189" s="187">
        <f>IF($K1189="","",INDEX(Zeiterfassung!$G$6:$G$3665,$K1189))</f>
        <v/>
      </c>
      <c r="H1189" s="188">
        <f>IF($K1189="","",INDEX(Zeiterfassung!$H$6:$H$3665,$K1189))</f>
        <v/>
      </c>
      <c r="I1189" s="335">
        <f>IF(B1189=B1188,"",IF($K1189="","",INDEX(Zeiterfassung!$I$6:$I$3665,MATCH(INDEX(Zeiterfassung!$K$6:$K$3665,$K1189),Zeiterfassung!$K$6:$K$3665,0))))</f>
        <v/>
      </c>
      <c r="J1189" s="335">
        <f>IF(B1189=B1188,"",IF($K1189="","",INDEX(Zeiterfassung!$J$6:$J$3665,MATCH(INDEX(Zeiterfassung!$K$6:$K$3665,$K1189),Zeiterfassung!$K$6:$K$3665,0))))</f>
        <v/>
      </c>
      <c r="K1189">
        <f>IFERROR(AGGREGATE(15,6,(ROW(Zeiterfassung!$D$6:$D$3665)-ROW(Zeiterfassung!$D$6)+1)/(Zeiterfassung!$D$6:$D$3665&lt;&gt;""),1184),"")</f>
        <v/>
      </c>
    </row>
    <row r="1190" ht="20" customHeight="1">
      <c r="A1190" s="183">
        <f>IF($K1190="","",WEEKNUM(INDEX(Zeiterfassung!$K$6:$K$3665,$K1190),21))</f>
        <v/>
      </c>
      <c r="B1190" s="184">
        <f>IF($K1190="","",INDEX(Zeiterfassung!$K$6:$K$3665,$K1190))</f>
        <v/>
      </c>
      <c r="C1190" s="185">
        <f>IF($K1190="","",INDEX(Zeiterfassung!$K$6:$K$3665,$K1190))</f>
        <v/>
      </c>
      <c r="D1190" s="186">
        <f>IF($K1190="","",INDEX(Zeiterfassung!$D$6:$D$3665,$K1190))</f>
        <v/>
      </c>
      <c r="E1190" s="186">
        <f>IF($K1190="","",INDEX(Zeiterfassung!$E$6:$E$3665,$K1190))</f>
        <v/>
      </c>
      <c r="F1190" s="187">
        <f>IF($K1190="","",INDEX(Zeiterfassung!$F$6:$F$3665,$K1190))</f>
        <v/>
      </c>
      <c r="G1190" s="187">
        <f>IF($K1190="","",INDEX(Zeiterfassung!$G$6:$G$3665,$K1190))</f>
        <v/>
      </c>
      <c r="H1190" s="188">
        <f>IF($K1190="","",INDEX(Zeiterfassung!$H$6:$H$3665,$K1190))</f>
        <v/>
      </c>
      <c r="I1190" s="335">
        <f>IF(B1190=B1189,"",IF($K1190="","",INDEX(Zeiterfassung!$I$6:$I$3665,MATCH(INDEX(Zeiterfassung!$K$6:$K$3665,$K1190),Zeiterfassung!$K$6:$K$3665,0))))</f>
        <v/>
      </c>
      <c r="J1190" s="335">
        <f>IF(B1190=B1189,"",IF($K1190="","",INDEX(Zeiterfassung!$J$6:$J$3665,MATCH(INDEX(Zeiterfassung!$K$6:$K$3665,$K1190),Zeiterfassung!$K$6:$K$3665,0))))</f>
        <v/>
      </c>
      <c r="K1190">
        <f>IFERROR(AGGREGATE(15,6,(ROW(Zeiterfassung!$D$6:$D$3665)-ROW(Zeiterfassung!$D$6)+1)/(Zeiterfassung!$D$6:$D$3665&lt;&gt;""),1185),"")</f>
        <v/>
      </c>
    </row>
    <row r="1191" ht="20" customHeight="1">
      <c r="A1191" s="183">
        <f>IF($K1191="","",WEEKNUM(INDEX(Zeiterfassung!$K$6:$K$3665,$K1191),21))</f>
        <v/>
      </c>
      <c r="B1191" s="184">
        <f>IF($K1191="","",INDEX(Zeiterfassung!$K$6:$K$3665,$K1191))</f>
        <v/>
      </c>
      <c r="C1191" s="185">
        <f>IF($K1191="","",INDEX(Zeiterfassung!$K$6:$K$3665,$K1191))</f>
        <v/>
      </c>
      <c r="D1191" s="186">
        <f>IF($K1191="","",INDEX(Zeiterfassung!$D$6:$D$3665,$K1191))</f>
        <v/>
      </c>
      <c r="E1191" s="186">
        <f>IF($K1191="","",INDEX(Zeiterfassung!$E$6:$E$3665,$K1191))</f>
        <v/>
      </c>
      <c r="F1191" s="187">
        <f>IF($K1191="","",INDEX(Zeiterfassung!$F$6:$F$3665,$K1191))</f>
        <v/>
      </c>
      <c r="G1191" s="187">
        <f>IF($K1191="","",INDEX(Zeiterfassung!$G$6:$G$3665,$K1191))</f>
        <v/>
      </c>
      <c r="H1191" s="188">
        <f>IF($K1191="","",INDEX(Zeiterfassung!$H$6:$H$3665,$K1191))</f>
        <v/>
      </c>
      <c r="I1191" s="335">
        <f>IF(B1191=B1190,"",IF($K1191="","",INDEX(Zeiterfassung!$I$6:$I$3665,MATCH(INDEX(Zeiterfassung!$K$6:$K$3665,$K1191),Zeiterfassung!$K$6:$K$3665,0))))</f>
        <v/>
      </c>
      <c r="J1191" s="335">
        <f>IF(B1191=B1190,"",IF($K1191="","",INDEX(Zeiterfassung!$J$6:$J$3665,MATCH(INDEX(Zeiterfassung!$K$6:$K$3665,$K1191),Zeiterfassung!$K$6:$K$3665,0))))</f>
        <v/>
      </c>
      <c r="K1191">
        <f>IFERROR(AGGREGATE(15,6,(ROW(Zeiterfassung!$D$6:$D$3665)-ROW(Zeiterfassung!$D$6)+1)/(Zeiterfassung!$D$6:$D$3665&lt;&gt;""),1186),"")</f>
        <v/>
      </c>
    </row>
    <row r="1192" ht="20" customHeight="1">
      <c r="A1192" s="183">
        <f>IF($K1192="","",WEEKNUM(INDEX(Zeiterfassung!$K$6:$K$3665,$K1192),21))</f>
        <v/>
      </c>
      <c r="B1192" s="184">
        <f>IF($K1192="","",INDEX(Zeiterfassung!$K$6:$K$3665,$K1192))</f>
        <v/>
      </c>
      <c r="C1192" s="185">
        <f>IF($K1192="","",INDEX(Zeiterfassung!$K$6:$K$3665,$K1192))</f>
        <v/>
      </c>
      <c r="D1192" s="186">
        <f>IF($K1192="","",INDEX(Zeiterfassung!$D$6:$D$3665,$K1192))</f>
        <v/>
      </c>
      <c r="E1192" s="186">
        <f>IF($K1192="","",INDEX(Zeiterfassung!$E$6:$E$3665,$K1192))</f>
        <v/>
      </c>
      <c r="F1192" s="187">
        <f>IF($K1192="","",INDEX(Zeiterfassung!$F$6:$F$3665,$K1192))</f>
        <v/>
      </c>
      <c r="G1192" s="187">
        <f>IF($K1192="","",INDEX(Zeiterfassung!$G$6:$G$3665,$K1192))</f>
        <v/>
      </c>
      <c r="H1192" s="188">
        <f>IF($K1192="","",INDEX(Zeiterfassung!$H$6:$H$3665,$K1192))</f>
        <v/>
      </c>
      <c r="I1192" s="335">
        <f>IF(B1192=B1191,"",IF($K1192="","",INDEX(Zeiterfassung!$I$6:$I$3665,MATCH(INDEX(Zeiterfassung!$K$6:$K$3665,$K1192),Zeiterfassung!$K$6:$K$3665,0))))</f>
        <v/>
      </c>
      <c r="J1192" s="335">
        <f>IF(B1192=B1191,"",IF($K1192="","",INDEX(Zeiterfassung!$J$6:$J$3665,MATCH(INDEX(Zeiterfassung!$K$6:$K$3665,$K1192),Zeiterfassung!$K$6:$K$3665,0))))</f>
        <v/>
      </c>
      <c r="K1192">
        <f>IFERROR(AGGREGATE(15,6,(ROW(Zeiterfassung!$D$6:$D$3665)-ROW(Zeiterfassung!$D$6)+1)/(Zeiterfassung!$D$6:$D$3665&lt;&gt;""),1187),"")</f>
        <v/>
      </c>
    </row>
    <row r="1193" ht="20" customHeight="1">
      <c r="A1193" s="183">
        <f>IF($K1193="","",WEEKNUM(INDEX(Zeiterfassung!$K$6:$K$3665,$K1193),21))</f>
        <v/>
      </c>
      <c r="B1193" s="184">
        <f>IF($K1193="","",INDEX(Zeiterfassung!$K$6:$K$3665,$K1193))</f>
        <v/>
      </c>
      <c r="C1193" s="185">
        <f>IF($K1193="","",INDEX(Zeiterfassung!$K$6:$K$3665,$K1193))</f>
        <v/>
      </c>
      <c r="D1193" s="186">
        <f>IF($K1193="","",INDEX(Zeiterfassung!$D$6:$D$3665,$K1193))</f>
        <v/>
      </c>
      <c r="E1193" s="186">
        <f>IF($K1193="","",INDEX(Zeiterfassung!$E$6:$E$3665,$K1193))</f>
        <v/>
      </c>
      <c r="F1193" s="187">
        <f>IF($K1193="","",INDEX(Zeiterfassung!$F$6:$F$3665,$K1193))</f>
        <v/>
      </c>
      <c r="G1193" s="187">
        <f>IF($K1193="","",INDEX(Zeiterfassung!$G$6:$G$3665,$K1193))</f>
        <v/>
      </c>
      <c r="H1193" s="188">
        <f>IF($K1193="","",INDEX(Zeiterfassung!$H$6:$H$3665,$K1193))</f>
        <v/>
      </c>
      <c r="I1193" s="335">
        <f>IF(B1193=B1192,"",IF($K1193="","",INDEX(Zeiterfassung!$I$6:$I$3665,MATCH(INDEX(Zeiterfassung!$K$6:$K$3665,$K1193),Zeiterfassung!$K$6:$K$3665,0))))</f>
        <v/>
      </c>
      <c r="J1193" s="335">
        <f>IF(B1193=B1192,"",IF($K1193="","",INDEX(Zeiterfassung!$J$6:$J$3665,MATCH(INDEX(Zeiterfassung!$K$6:$K$3665,$K1193),Zeiterfassung!$K$6:$K$3665,0))))</f>
        <v/>
      </c>
      <c r="K1193">
        <f>IFERROR(AGGREGATE(15,6,(ROW(Zeiterfassung!$D$6:$D$3665)-ROW(Zeiterfassung!$D$6)+1)/(Zeiterfassung!$D$6:$D$3665&lt;&gt;""),1188),"")</f>
        <v/>
      </c>
    </row>
    <row r="1194" ht="20" customHeight="1">
      <c r="A1194" s="183">
        <f>IF($K1194="","",WEEKNUM(INDEX(Zeiterfassung!$K$6:$K$3665,$K1194),21))</f>
        <v/>
      </c>
      <c r="B1194" s="184">
        <f>IF($K1194="","",INDEX(Zeiterfassung!$K$6:$K$3665,$K1194))</f>
        <v/>
      </c>
      <c r="C1194" s="185">
        <f>IF($K1194="","",INDEX(Zeiterfassung!$K$6:$K$3665,$K1194))</f>
        <v/>
      </c>
      <c r="D1194" s="186">
        <f>IF($K1194="","",INDEX(Zeiterfassung!$D$6:$D$3665,$K1194))</f>
        <v/>
      </c>
      <c r="E1194" s="186">
        <f>IF($K1194="","",INDEX(Zeiterfassung!$E$6:$E$3665,$K1194))</f>
        <v/>
      </c>
      <c r="F1194" s="187">
        <f>IF($K1194="","",INDEX(Zeiterfassung!$F$6:$F$3665,$K1194))</f>
        <v/>
      </c>
      <c r="G1194" s="187">
        <f>IF($K1194="","",INDEX(Zeiterfassung!$G$6:$G$3665,$K1194))</f>
        <v/>
      </c>
      <c r="H1194" s="188">
        <f>IF($K1194="","",INDEX(Zeiterfassung!$H$6:$H$3665,$K1194))</f>
        <v/>
      </c>
      <c r="I1194" s="335">
        <f>IF(B1194=B1193,"",IF($K1194="","",INDEX(Zeiterfassung!$I$6:$I$3665,MATCH(INDEX(Zeiterfassung!$K$6:$K$3665,$K1194),Zeiterfassung!$K$6:$K$3665,0))))</f>
        <v/>
      </c>
      <c r="J1194" s="335">
        <f>IF(B1194=B1193,"",IF($K1194="","",INDEX(Zeiterfassung!$J$6:$J$3665,MATCH(INDEX(Zeiterfassung!$K$6:$K$3665,$K1194),Zeiterfassung!$K$6:$K$3665,0))))</f>
        <v/>
      </c>
      <c r="K1194">
        <f>IFERROR(AGGREGATE(15,6,(ROW(Zeiterfassung!$D$6:$D$3665)-ROW(Zeiterfassung!$D$6)+1)/(Zeiterfassung!$D$6:$D$3665&lt;&gt;""),1189),"")</f>
        <v/>
      </c>
    </row>
    <row r="1195" ht="20" customHeight="1">
      <c r="A1195" s="183">
        <f>IF($K1195="","",WEEKNUM(INDEX(Zeiterfassung!$K$6:$K$3665,$K1195),21))</f>
        <v/>
      </c>
      <c r="B1195" s="184">
        <f>IF($K1195="","",INDEX(Zeiterfassung!$K$6:$K$3665,$K1195))</f>
        <v/>
      </c>
      <c r="C1195" s="185">
        <f>IF($K1195="","",INDEX(Zeiterfassung!$K$6:$K$3665,$K1195))</f>
        <v/>
      </c>
      <c r="D1195" s="186">
        <f>IF($K1195="","",INDEX(Zeiterfassung!$D$6:$D$3665,$K1195))</f>
        <v/>
      </c>
      <c r="E1195" s="186">
        <f>IF($K1195="","",INDEX(Zeiterfassung!$E$6:$E$3665,$K1195))</f>
        <v/>
      </c>
      <c r="F1195" s="187">
        <f>IF($K1195="","",INDEX(Zeiterfassung!$F$6:$F$3665,$K1195))</f>
        <v/>
      </c>
      <c r="G1195" s="187">
        <f>IF($K1195="","",INDEX(Zeiterfassung!$G$6:$G$3665,$K1195))</f>
        <v/>
      </c>
      <c r="H1195" s="188">
        <f>IF($K1195="","",INDEX(Zeiterfassung!$H$6:$H$3665,$K1195))</f>
        <v/>
      </c>
      <c r="I1195" s="335">
        <f>IF(B1195=B1194,"",IF($K1195="","",INDEX(Zeiterfassung!$I$6:$I$3665,MATCH(INDEX(Zeiterfassung!$K$6:$K$3665,$K1195),Zeiterfassung!$K$6:$K$3665,0))))</f>
        <v/>
      </c>
      <c r="J1195" s="335">
        <f>IF(B1195=B1194,"",IF($K1195="","",INDEX(Zeiterfassung!$J$6:$J$3665,MATCH(INDEX(Zeiterfassung!$K$6:$K$3665,$K1195),Zeiterfassung!$K$6:$K$3665,0))))</f>
        <v/>
      </c>
      <c r="K1195">
        <f>IFERROR(AGGREGATE(15,6,(ROW(Zeiterfassung!$D$6:$D$3665)-ROW(Zeiterfassung!$D$6)+1)/(Zeiterfassung!$D$6:$D$3665&lt;&gt;""),1190),"")</f>
        <v/>
      </c>
    </row>
    <row r="1196" ht="20" customHeight="1">
      <c r="A1196" s="183">
        <f>IF($K1196="","",WEEKNUM(INDEX(Zeiterfassung!$K$6:$K$3665,$K1196),21))</f>
        <v/>
      </c>
      <c r="B1196" s="184">
        <f>IF($K1196="","",INDEX(Zeiterfassung!$K$6:$K$3665,$K1196))</f>
        <v/>
      </c>
      <c r="C1196" s="185">
        <f>IF($K1196="","",INDEX(Zeiterfassung!$K$6:$K$3665,$K1196))</f>
        <v/>
      </c>
      <c r="D1196" s="186">
        <f>IF($K1196="","",INDEX(Zeiterfassung!$D$6:$D$3665,$K1196))</f>
        <v/>
      </c>
      <c r="E1196" s="186">
        <f>IF($K1196="","",INDEX(Zeiterfassung!$E$6:$E$3665,$K1196))</f>
        <v/>
      </c>
      <c r="F1196" s="187">
        <f>IF($K1196="","",INDEX(Zeiterfassung!$F$6:$F$3665,$K1196))</f>
        <v/>
      </c>
      <c r="G1196" s="187">
        <f>IF($K1196="","",INDEX(Zeiterfassung!$G$6:$G$3665,$K1196))</f>
        <v/>
      </c>
      <c r="H1196" s="188">
        <f>IF($K1196="","",INDEX(Zeiterfassung!$H$6:$H$3665,$K1196))</f>
        <v/>
      </c>
      <c r="I1196" s="335">
        <f>IF(B1196=B1195,"",IF($K1196="","",INDEX(Zeiterfassung!$I$6:$I$3665,MATCH(INDEX(Zeiterfassung!$K$6:$K$3665,$K1196),Zeiterfassung!$K$6:$K$3665,0))))</f>
        <v/>
      </c>
      <c r="J1196" s="335">
        <f>IF(B1196=B1195,"",IF($K1196="","",INDEX(Zeiterfassung!$J$6:$J$3665,MATCH(INDEX(Zeiterfassung!$K$6:$K$3665,$K1196),Zeiterfassung!$K$6:$K$3665,0))))</f>
        <v/>
      </c>
      <c r="K1196">
        <f>IFERROR(AGGREGATE(15,6,(ROW(Zeiterfassung!$D$6:$D$3665)-ROW(Zeiterfassung!$D$6)+1)/(Zeiterfassung!$D$6:$D$3665&lt;&gt;""),1191),"")</f>
        <v/>
      </c>
    </row>
    <row r="1197" ht="20" customHeight="1">
      <c r="A1197" s="183">
        <f>IF($K1197="","",WEEKNUM(INDEX(Zeiterfassung!$K$6:$K$3665,$K1197),21))</f>
        <v/>
      </c>
      <c r="B1197" s="184">
        <f>IF($K1197="","",INDEX(Zeiterfassung!$K$6:$K$3665,$K1197))</f>
        <v/>
      </c>
      <c r="C1197" s="185">
        <f>IF($K1197="","",INDEX(Zeiterfassung!$K$6:$K$3665,$K1197))</f>
        <v/>
      </c>
      <c r="D1197" s="186">
        <f>IF($K1197="","",INDEX(Zeiterfassung!$D$6:$D$3665,$K1197))</f>
        <v/>
      </c>
      <c r="E1197" s="186">
        <f>IF($K1197="","",INDEX(Zeiterfassung!$E$6:$E$3665,$K1197))</f>
        <v/>
      </c>
      <c r="F1197" s="187">
        <f>IF($K1197="","",INDEX(Zeiterfassung!$F$6:$F$3665,$K1197))</f>
        <v/>
      </c>
      <c r="G1197" s="187">
        <f>IF($K1197="","",INDEX(Zeiterfassung!$G$6:$G$3665,$K1197))</f>
        <v/>
      </c>
      <c r="H1197" s="188">
        <f>IF($K1197="","",INDEX(Zeiterfassung!$H$6:$H$3665,$K1197))</f>
        <v/>
      </c>
      <c r="I1197" s="335">
        <f>IF(B1197=B1196,"",IF($K1197="","",INDEX(Zeiterfassung!$I$6:$I$3665,MATCH(INDEX(Zeiterfassung!$K$6:$K$3665,$K1197),Zeiterfassung!$K$6:$K$3665,0))))</f>
        <v/>
      </c>
      <c r="J1197" s="335">
        <f>IF(B1197=B1196,"",IF($K1197="","",INDEX(Zeiterfassung!$J$6:$J$3665,MATCH(INDEX(Zeiterfassung!$K$6:$K$3665,$K1197),Zeiterfassung!$K$6:$K$3665,0))))</f>
        <v/>
      </c>
      <c r="K1197">
        <f>IFERROR(AGGREGATE(15,6,(ROW(Zeiterfassung!$D$6:$D$3665)-ROW(Zeiterfassung!$D$6)+1)/(Zeiterfassung!$D$6:$D$3665&lt;&gt;""),1192),"")</f>
        <v/>
      </c>
    </row>
    <row r="1198" ht="20" customHeight="1">
      <c r="A1198" s="183">
        <f>IF($K1198="","",WEEKNUM(INDEX(Zeiterfassung!$K$6:$K$3665,$K1198),21))</f>
        <v/>
      </c>
      <c r="B1198" s="184">
        <f>IF($K1198="","",INDEX(Zeiterfassung!$K$6:$K$3665,$K1198))</f>
        <v/>
      </c>
      <c r="C1198" s="185">
        <f>IF($K1198="","",INDEX(Zeiterfassung!$K$6:$K$3665,$K1198))</f>
        <v/>
      </c>
      <c r="D1198" s="186">
        <f>IF($K1198="","",INDEX(Zeiterfassung!$D$6:$D$3665,$K1198))</f>
        <v/>
      </c>
      <c r="E1198" s="186">
        <f>IF($K1198="","",INDEX(Zeiterfassung!$E$6:$E$3665,$K1198))</f>
        <v/>
      </c>
      <c r="F1198" s="187">
        <f>IF($K1198="","",INDEX(Zeiterfassung!$F$6:$F$3665,$K1198))</f>
        <v/>
      </c>
      <c r="G1198" s="187">
        <f>IF($K1198="","",INDEX(Zeiterfassung!$G$6:$G$3665,$K1198))</f>
        <v/>
      </c>
      <c r="H1198" s="188">
        <f>IF($K1198="","",INDEX(Zeiterfassung!$H$6:$H$3665,$K1198))</f>
        <v/>
      </c>
      <c r="I1198" s="335">
        <f>IF(B1198=B1197,"",IF($K1198="","",INDEX(Zeiterfassung!$I$6:$I$3665,MATCH(INDEX(Zeiterfassung!$K$6:$K$3665,$K1198),Zeiterfassung!$K$6:$K$3665,0))))</f>
        <v/>
      </c>
      <c r="J1198" s="335">
        <f>IF(B1198=B1197,"",IF($K1198="","",INDEX(Zeiterfassung!$J$6:$J$3665,MATCH(INDEX(Zeiterfassung!$K$6:$K$3665,$K1198),Zeiterfassung!$K$6:$K$3665,0))))</f>
        <v/>
      </c>
      <c r="K1198">
        <f>IFERROR(AGGREGATE(15,6,(ROW(Zeiterfassung!$D$6:$D$3665)-ROW(Zeiterfassung!$D$6)+1)/(Zeiterfassung!$D$6:$D$3665&lt;&gt;""),1193),"")</f>
        <v/>
      </c>
    </row>
    <row r="1199" ht="20" customHeight="1">
      <c r="A1199" s="183">
        <f>IF($K1199="","",WEEKNUM(INDEX(Zeiterfassung!$K$6:$K$3665,$K1199),21))</f>
        <v/>
      </c>
      <c r="B1199" s="184">
        <f>IF($K1199="","",INDEX(Zeiterfassung!$K$6:$K$3665,$K1199))</f>
        <v/>
      </c>
      <c r="C1199" s="185">
        <f>IF($K1199="","",INDEX(Zeiterfassung!$K$6:$K$3665,$K1199))</f>
        <v/>
      </c>
      <c r="D1199" s="186">
        <f>IF($K1199="","",INDEX(Zeiterfassung!$D$6:$D$3665,$K1199))</f>
        <v/>
      </c>
      <c r="E1199" s="186">
        <f>IF($K1199="","",INDEX(Zeiterfassung!$E$6:$E$3665,$K1199))</f>
        <v/>
      </c>
      <c r="F1199" s="187">
        <f>IF($K1199="","",INDEX(Zeiterfassung!$F$6:$F$3665,$K1199))</f>
        <v/>
      </c>
      <c r="G1199" s="187">
        <f>IF($K1199="","",INDEX(Zeiterfassung!$G$6:$G$3665,$K1199))</f>
        <v/>
      </c>
      <c r="H1199" s="188">
        <f>IF($K1199="","",INDEX(Zeiterfassung!$H$6:$H$3665,$K1199))</f>
        <v/>
      </c>
      <c r="I1199" s="335">
        <f>IF(B1199=B1198,"",IF($K1199="","",INDEX(Zeiterfassung!$I$6:$I$3665,MATCH(INDEX(Zeiterfassung!$K$6:$K$3665,$K1199),Zeiterfassung!$K$6:$K$3665,0))))</f>
        <v/>
      </c>
      <c r="J1199" s="335">
        <f>IF(B1199=B1198,"",IF($K1199="","",INDEX(Zeiterfassung!$J$6:$J$3665,MATCH(INDEX(Zeiterfassung!$K$6:$K$3665,$K1199),Zeiterfassung!$K$6:$K$3665,0))))</f>
        <v/>
      </c>
      <c r="K1199">
        <f>IFERROR(AGGREGATE(15,6,(ROW(Zeiterfassung!$D$6:$D$3665)-ROW(Zeiterfassung!$D$6)+1)/(Zeiterfassung!$D$6:$D$3665&lt;&gt;""),1194),"")</f>
        <v/>
      </c>
    </row>
    <row r="1200" ht="20" customHeight="1">
      <c r="A1200" s="183">
        <f>IF($K1200="","",WEEKNUM(INDEX(Zeiterfassung!$K$6:$K$3665,$K1200),21))</f>
        <v/>
      </c>
      <c r="B1200" s="184">
        <f>IF($K1200="","",INDEX(Zeiterfassung!$K$6:$K$3665,$K1200))</f>
        <v/>
      </c>
      <c r="C1200" s="185">
        <f>IF($K1200="","",INDEX(Zeiterfassung!$K$6:$K$3665,$K1200))</f>
        <v/>
      </c>
      <c r="D1200" s="186">
        <f>IF($K1200="","",INDEX(Zeiterfassung!$D$6:$D$3665,$K1200))</f>
        <v/>
      </c>
      <c r="E1200" s="186">
        <f>IF($K1200="","",INDEX(Zeiterfassung!$E$6:$E$3665,$K1200))</f>
        <v/>
      </c>
      <c r="F1200" s="187">
        <f>IF($K1200="","",INDEX(Zeiterfassung!$F$6:$F$3665,$K1200))</f>
        <v/>
      </c>
      <c r="G1200" s="187">
        <f>IF($K1200="","",INDEX(Zeiterfassung!$G$6:$G$3665,$K1200))</f>
        <v/>
      </c>
      <c r="H1200" s="188">
        <f>IF($K1200="","",INDEX(Zeiterfassung!$H$6:$H$3665,$K1200))</f>
        <v/>
      </c>
      <c r="I1200" s="335">
        <f>IF(B1200=B1199,"",IF($K1200="","",INDEX(Zeiterfassung!$I$6:$I$3665,MATCH(INDEX(Zeiterfassung!$K$6:$K$3665,$K1200),Zeiterfassung!$K$6:$K$3665,0))))</f>
        <v/>
      </c>
      <c r="J1200" s="335">
        <f>IF(B1200=B1199,"",IF($K1200="","",INDEX(Zeiterfassung!$J$6:$J$3665,MATCH(INDEX(Zeiterfassung!$K$6:$K$3665,$K1200),Zeiterfassung!$K$6:$K$3665,0))))</f>
        <v/>
      </c>
      <c r="K1200">
        <f>IFERROR(AGGREGATE(15,6,(ROW(Zeiterfassung!$D$6:$D$3665)-ROW(Zeiterfassung!$D$6)+1)/(Zeiterfassung!$D$6:$D$3665&lt;&gt;""),1195),"")</f>
        <v/>
      </c>
    </row>
    <row r="1201" ht="20" customHeight="1">
      <c r="A1201" s="183">
        <f>IF($K1201="","",WEEKNUM(INDEX(Zeiterfassung!$K$6:$K$3665,$K1201),21))</f>
        <v/>
      </c>
      <c r="B1201" s="184">
        <f>IF($K1201="","",INDEX(Zeiterfassung!$K$6:$K$3665,$K1201))</f>
        <v/>
      </c>
      <c r="C1201" s="185">
        <f>IF($K1201="","",INDEX(Zeiterfassung!$K$6:$K$3665,$K1201))</f>
        <v/>
      </c>
      <c r="D1201" s="186">
        <f>IF($K1201="","",INDEX(Zeiterfassung!$D$6:$D$3665,$K1201))</f>
        <v/>
      </c>
      <c r="E1201" s="186">
        <f>IF($K1201="","",INDEX(Zeiterfassung!$E$6:$E$3665,$K1201))</f>
        <v/>
      </c>
      <c r="F1201" s="187">
        <f>IF($K1201="","",INDEX(Zeiterfassung!$F$6:$F$3665,$K1201))</f>
        <v/>
      </c>
      <c r="G1201" s="187">
        <f>IF($K1201="","",INDEX(Zeiterfassung!$G$6:$G$3665,$K1201))</f>
        <v/>
      </c>
      <c r="H1201" s="188">
        <f>IF($K1201="","",INDEX(Zeiterfassung!$H$6:$H$3665,$K1201))</f>
        <v/>
      </c>
      <c r="I1201" s="335">
        <f>IF(B1201=B1200,"",IF($K1201="","",INDEX(Zeiterfassung!$I$6:$I$3665,MATCH(INDEX(Zeiterfassung!$K$6:$K$3665,$K1201),Zeiterfassung!$K$6:$K$3665,0))))</f>
        <v/>
      </c>
      <c r="J1201" s="335">
        <f>IF(B1201=B1200,"",IF($K1201="","",INDEX(Zeiterfassung!$J$6:$J$3665,MATCH(INDEX(Zeiterfassung!$K$6:$K$3665,$K1201),Zeiterfassung!$K$6:$K$3665,0))))</f>
        <v/>
      </c>
      <c r="K1201">
        <f>IFERROR(AGGREGATE(15,6,(ROW(Zeiterfassung!$D$6:$D$3665)-ROW(Zeiterfassung!$D$6)+1)/(Zeiterfassung!$D$6:$D$3665&lt;&gt;""),1196),"")</f>
        <v/>
      </c>
    </row>
    <row r="1202" ht="20" customHeight="1">
      <c r="A1202" s="183">
        <f>IF($K1202="","",WEEKNUM(INDEX(Zeiterfassung!$K$6:$K$3665,$K1202),21))</f>
        <v/>
      </c>
      <c r="B1202" s="184">
        <f>IF($K1202="","",INDEX(Zeiterfassung!$K$6:$K$3665,$K1202))</f>
        <v/>
      </c>
      <c r="C1202" s="185">
        <f>IF($K1202="","",INDEX(Zeiterfassung!$K$6:$K$3665,$K1202))</f>
        <v/>
      </c>
      <c r="D1202" s="186">
        <f>IF($K1202="","",INDEX(Zeiterfassung!$D$6:$D$3665,$K1202))</f>
        <v/>
      </c>
      <c r="E1202" s="186">
        <f>IF($K1202="","",INDEX(Zeiterfassung!$E$6:$E$3665,$K1202))</f>
        <v/>
      </c>
      <c r="F1202" s="187">
        <f>IF($K1202="","",INDEX(Zeiterfassung!$F$6:$F$3665,$K1202))</f>
        <v/>
      </c>
      <c r="G1202" s="187">
        <f>IF($K1202="","",INDEX(Zeiterfassung!$G$6:$G$3665,$K1202))</f>
        <v/>
      </c>
      <c r="H1202" s="188">
        <f>IF($K1202="","",INDEX(Zeiterfassung!$H$6:$H$3665,$K1202))</f>
        <v/>
      </c>
      <c r="I1202" s="335">
        <f>IF(B1202=B1201,"",IF($K1202="","",INDEX(Zeiterfassung!$I$6:$I$3665,MATCH(INDEX(Zeiterfassung!$K$6:$K$3665,$K1202),Zeiterfassung!$K$6:$K$3665,0))))</f>
        <v/>
      </c>
      <c r="J1202" s="335">
        <f>IF(B1202=B1201,"",IF($K1202="","",INDEX(Zeiterfassung!$J$6:$J$3665,MATCH(INDEX(Zeiterfassung!$K$6:$K$3665,$K1202),Zeiterfassung!$K$6:$K$3665,0))))</f>
        <v/>
      </c>
      <c r="K1202">
        <f>IFERROR(AGGREGATE(15,6,(ROW(Zeiterfassung!$D$6:$D$3665)-ROW(Zeiterfassung!$D$6)+1)/(Zeiterfassung!$D$6:$D$3665&lt;&gt;""),1197),"")</f>
        <v/>
      </c>
    </row>
    <row r="1203" ht="20" customHeight="1">
      <c r="A1203" s="183">
        <f>IF($K1203="","",WEEKNUM(INDEX(Zeiterfassung!$K$6:$K$3665,$K1203),21))</f>
        <v/>
      </c>
      <c r="B1203" s="184">
        <f>IF($K1203="","",INDEX(Zeiterfassung!$K$6:$K$3665,$K1203))</f>
        <v/>
      </c>
      <c r="C1203" s="185">
        <f>IF($K1203="","",INDEX(Zeiterfassung!$K$6:$K$3665,$K1203))</f>
        <v/>
      </c>
      <c r="D1203" s="186">
        <f>IF($K1203="","",INDEX(Zeiterfassung!$D$6:$D$3665,$K1203))</f>
        <v/>
      </c>
      <c r="E1203" s="186">
        <f>IF($K1203="","",INDEX(Zeiterfassung!$E$6:$E$3665,$K1203))</f>
        <v/>
      </c>
      <c r="F1203" s="187">
        <f>IF($K1203="","",INDEX(Zeiterfassung!$F$6:$F$3665,$K1203))</f>
        <v/>
      </c>
      <c r="G1203" s="187">
        <f>IF($K1203="","",INDEX(Zeiterfassung!$G$6:$G$3665,$K1203))</f>
        <v/>
      </c>
      <c r="H1203" s="188">
        <f>IF($K1203="","",INDEX(Zeiterfassung!$H$6:$H$3665,$K1203))</f>
        <v/>
      </c>
      <c r="I1203" s="335">
        <f>IF(B1203=B1202,"",IF($K1203="","",INDEX(Zeiterfassung!$I$6:$I$3665,MATCH(INDEX(Zeiterfassung!$K$6:$K$3665,$K1203),Zeiterfassung!$K$6:$K$3665,0))))</f>
        <v/>
      </c>
      <c r="J1203" s="335">
        <f>IF(B1203=B1202,"",IF($K1203="","",INDEX(Zeiterfassung!$J$6:$J$3665,MATCH(INDEX(Zeiterfassung!$K$6:$K$3665,$K1203),Zeiterfassung!$K$6:$K$3665,0))))</f>
        <v/>
      </c>
      <c r="K1203">
        <f>IFERROR(AGGREGATE(15,6,(ROW(Zeiterfassung!$D$6:$D$3665)-ROW(Zeiterfassung!$D$6)+1)/(Zeiterfassung!$D$6:$D$3665&lt;&gt;""),1198),"")</f>
        <v/>
      </c>
    </row>
    <row r="1204" ht="20" customHeight="1">
      <c r="A1204" s="183">
        <f>IF($K1204="","",WEEKNUM(INDEX(Zeiterfassung!$K$6:$K$3665,$K1204),21))</f>
        <v/>
      </c>
      <c r="B1204" s="184">
        <f>IF($K1204="","",INDEX(Zeiterfassung!$K$6:$K$3665,$K1204))</f>
        <v/>
      </c>
      <c r="C1204" s="185">
        <f>IF($K1204="","",INDEX(Zeiterfassung!$K$6:$K$3665,$K1204))</f>
        <v/>
      </c>
      <c r="D1204" s="186">
        <f>IF($K1204="","",INDEX(Zeiterfassung!$D$6:$D$3665,$K1204))</f>
        <v/>
      </c>
      <c r="E1204" s="186">
        <f>IF($K1204="","",INDEX(Zeiterfassung!$E$6:$E$3665,$K1204))</f>
        <v/>
      </c>
      <c r="F1204" s="187">
        <f>IF($K1204="","",INDEX(Zeiterfassung!$F$6:$F$3665,$K1204))</f>
        <v/>
      </c>
      <c r="G1204" s="187">
        <f>IF($K1204="","",INDEX(Zeiterfassung!$G$6:$G$3665,$K1204))</f>
        <v/>
      </c>
      <c r="H1204" s="188">
        <f>IF($K1204="","",INDEX(Zeiterfassung!$H$6:$H$3665,$K1204))</f>
        <v/>
      </c>
      <c r="I1204" s="335">
        <f>IF(B1204=B1203,"",IF($K1204="","",INDEX(Zeiterfassung!$I$6:$I$3665,MATCH(INDEX(Zeiterfassung!$K$6:$K$3665,$K1204),Zeiterfassung!$K$6:$K$3665,0))))</f>
        <v/>
      </c>
      <c r="J1204" s="335">
        <f>IF(B1204=B1203,"",IF($K1204="","",INDEX(Zeiterfassung!$J$6:$J$3665,MATCH(INDEX(Zeiterfassung!$K$6:$K$3665,$K1204),Zeiterfassung!$K$6:$K$3665,0))))</f>
        <v/>
      </c>
      <c r="K1204">
        <f>IFERROR(AGGREGATE(15,6,(ROW(Zeiterfassung!$D$6:$D$3665)-ROW(Zeiterfassung!$D$6)+1)/(Zeiterfassung!$D$6:$D$3665&lt;&gt;""),1199),"")</f>
        <v/>
      </c>
    </row>
    <row r="1205" ht="20" customHeight="1">
      <c r="A1205" s="183">
        <f>IF($K1205="","",WEEKNUM(INDEX(Zeiterfassung!$K$6:$K$3665,$K1205),21))</f>
        <v/>
      </c>
      <c r="B1205" s="184">
        <f>IF($K1205="","",INDEX(Zeiterfassung!$K$6:$K$3665,$K1205))</f>
        <v/>
      </c>
      <c r="C1205" s="185">
        <f>IF($K1205="","",INDEX(Zeiterfassung!$K$6:$K$3665,$K1205))</f>
        <v/>
      </c>
      <c r="D1205" s="186">
        <f>IF($K1205="","",INDEX(Zeiterfassung!$D$6:$D$3665,$K1205))</f>
        <v/>
      </c>
      <c r="E1205" s="186">
        <f>IF($K1205="","",INDEX(Zeiterfassung!$E$6:$E$3665,$K1205))</f>
        <v/>
      </c>
      <c r="F1205" s="187">
        <f>IF($K1205="","",INDEX(Zeiterfassung!$F$6:$F$3665,$K1205))</f>
        <v/>
      </c>
      <c r="G1205" s="187">
        <f>IF($K1205="","",INDEX(Zeiterfassung!$G$6:$G$3665,$K1205))</f>
        <v/>
      </c>
      <c r="H1205" s="188">
        <f>IF($K1205="","",INDEX(Zeiterfassung!$H$6:$H$3665,$K1205))</f>
        <v/>
      </c>
      <c r="I1205" s="335">
        <f>IF(B1205=B1204,"",IF($K1205="","",INDEX(Zeiterfassung!$I$6:$I$3665,MATCH(INDEX(Zeiterfassung!$K$6:$K$3665,$K1205),Zeiterfassung!$K$6:$K$3665,0))))</f>
        <v/>
      </c>
      <c r="J1205" s="335">
        <f>IF(B1205=B1204,"",IF($K1205="","",INDEX(Zeiterfassung!$J$6:$J$3665,MATCH(INDEX(Zeiterfassung!$K$6:$K$3665,$K1205),Zeiterfassung!$K$6:$K$3665,0))))</f>
        <v/>
      </c>
      <c r="K1205">
        <f>IFERROR(AGGREGATE(15,6,(ROW(Zeiterfassung!$D$6:$D$3665)-ROW(Zeiterfassung!$D$6)+1)/(Zeiterfassung!$D$6:$D$3665&lt;&gt;""),1200),"")</f>
        <v/>
      </c>
    </row>
    <row r="1206" ht="20" customHeight="1">
      <c r="A1206" s="183">
        <f>IF($K1206="","",WEEKNUM(INDEX(Zeiterfassung!$K$6:$K$3665,$K1206),21))</f>
        <v/>
      </c>
      <c r="B1206" s="184">
        <f>IF($K1206="","",INDEX(Zeiterfassung!$K$6:$K$3665,$K1206))</f>
        <v/>
      </c>
      <c r="C1206" s="185">
        <f>IF($K1206="","",INDEX(Zeiterfassung!$K$6:$K$3665,$K1206))</f>
        <v/>
      </c>
      <c r="D1206" s="186">
        <f>IF($K1206="","",INDEX(Zeiterfassung!$D$6:$D$3665,$K1206))</f>
        <v/>
      </c>
      <c r="E1206" s="186">
        <f>IF($K1206="","",INDEX(Zeiterfassung!$E$6:$E$3665,$K1206))</f>
        <v/>
      </c>
      <c r="F1206" s="187">
        <f>IF($K1206="","",INDEX(Zeiterfassung!$F$6:$F$3665,$K1206))</f>
        <v/>
      </c>
      <c r="G1206" s="187">
        <f>IF($K1206="","",INDEX(Zeiterfassung!$G$6:$G$3665,$K1206))</f>
        <v/>
      </c>
      <c r="H1206" s="188">
        <f>IF($K1206="","",INDEX(Zeiterfassung!$H$6:$H$3665,$K1206))</f>
        <v/>
      </c>
      <c r="I1206" s="335">
        <f>IF(B1206=B1205,"",IF($K1206="","",INDEX(Zeiterfassung!$I$6:$I$3665,MATCH(INDEX(Zeiterfassung!$K$6:$K$3665,$K1206),Zeiterfassung!$K$6:$K$3665,0))))</f>
        <v/>
      </c>
      <c r="J1206" s="335">
        <f>IF(B1206=B1205,"",IF($K1206="","",INDEX(Zeiterfassung!$J$6:$J$3665,MATCH(INDEX(Zeiterfassung!$K$6:$K$3665,$K1206),Zeiterfassung!$K$6:$K$3665,0))))</f>
        <v/>
      </c>
      <c r="K1206">
        <f>IFERROR(AGGREGATE(15,6,(ROW(Zeiterfassung!$D$6:$D$3665)-ROW(Zeiterfassung!$D$6)+1)/(Zeiterfassung!$D$6:$D$3665&lt;&gt;""),1201),"")</f>
        <v/>
      </c>
    </row>
    <row r="1207" ht="20" customHeight="1">
      <c r="A1207" s="183">
        <f>IF($K1207="","",WEEKNUM(INDEX(Zeiterfassung!$K$6:$K$3665,$K1207),21))</f>
        <v/>
      </c>
      <c r="B1207" s="184">
        <f>IF($K1207="","",INDEX(Zeiterfassung!$K$6:$K$3665,$K1207))</f>
        <v/>
      </c>
      <c r="C1207" s="185">
        <f>IF($K1207="","",INDEX(Zeiterfassung!$K$6:$K$3665,$K1207))</f>
        <v/>
      </c>
      <c r="D1207" s="186">
        <f>IF($K1207="","",INDEX(Zeiterfassung!$D$6:$D$3665,$K1207))</f>
        <v/>
      </c>
      <c r="E1207" s="186">
        <f>IF($K1207="","",INDEX(Zeiterfassung!$E$6:$E$3665,$K1207))</f>
        <v/>
      </c>
      <c r="F1207" s="187">
        <f>IF($K1207="","",INDEX(Zeiterfassung!$F$6:$F$3665,$K1207))</f>
        <v/>
      </c>
      <c r="G1207" s="187">
        <f>IF($K1207="","",INDEX(Zeiterfassung!$G$6:$G$3665,$K1207))</f>
        <v/>
      </c>
      <c r="H1207" s="188">
        <f>IF($K1207="","",INDEX(Zeiterfassung!$H$6:$H$3665,$K1207))</f>
        <v/>
      </c>
      <c r="I1207" s="335">
        <f>IF(B1207=B1206,"",IF($K1207="","",INDEX(Zeiterfassung!$I$6:$I$3665,MATCH(INDEX(Zeiterfassung!$K$6:$K$3665,$K1207),Zeiterfassung!$K$6:$K$3665,0))))</f>
        <v/>
      </c>
      <c r="J1207" s="335">
        <f>IF(B1207=B1206,"",IF($K1207="","",INDEX(Zeiterfassung!$J$6:$J$3665,MATCH(INDEX(Zeiterfassung!$K$6:$K$3665,$K1207),Zeiterfassung!$K$6:$K$3665,0))))</f>
        <v/>
      </c>
      <c r="K1207">
        <f>IFERROR(AGGREGATE(15,6,(ROW(Zeiterfassung!$D$6:$D$3665)-ROW(Zeiterfassung!$D$6)+1)/(Zeiterfassung!$D$6:$D$3665&lt;&gt;""),1202),"")</f>
        <v/>
      </c>
    </row>
    <row r="1208" ht="20" customHeight="1">
      <c r="A1208" s="183">
        <f>IF($K1208="","",WEEKNUM(INDEX(Zeiterfassung!$K$6:$K$3665,$K1208),21))</f>
        <v/>
      </c>
      <c r="B1208" s="184">
        <f>IF($K1208="","",INDEX(Zeiterfassung!$K$6:$K$3665,$K1208))</f>
        <v/>
      </c>
      <c r="C1208" s="185">
        <f>IF($K1208="","",INDEX(Zeiterfassung!$K$6:$K$3665,$K1208))</f>
        <v/>
      </c>
      <c r="D1208" s="186">
        <f>IF($K1208="","",INDEX(Zeiterfassung!$D$6:$D$3665,$K1208))</f>
        <v/>
      </c>
      <c r="E1208" s="186">
        <f>IF($K1208="","",INDEX(Zeiterfassung!$E$6:$E$3665,$K1208))</f>
        <v/>
      </c>
      <c r="F1208" s="187">
        <f>IF($K1208="","",INDEX(Zeiterfassung!$F$6:$F$3665,$K1208))</f>
        <v/>
      </c>
      <c r="G1208" s="187">
        <f>IF($K1208="","",INDEX(Zeiterfassung!$G$6:$G$3665,$K1208))</f>
        <v/>
      </c>
      <c r="H1208" s="188">
        <f>IF($K1208="","",INDEX(Zeiterfassung!$H$6:$H$3665,$K1208))</f>
        <v/>
      </c>
      <c r="I1208" s="335">
        <f>IF(B1208=B1207,"",IF($K1208="","",INDEX(Zeiterfassung!$I$6:$I$3665,MATCH(INDEX(Zeiterfassung!$K$6:$K$3665,$K1208),Zeiterfassung!$K$6:$K$3665,0))))</f>
        <v/>
      </c>
      <c r="J1208" s="335">
        <f>IF(B1208=B1207,"",IF($K1208="","",INDEX(Zeiterfassung!$J$6:$J$3665,MATCH(INDEX(Zeiterfassung!$K$6:$K$3665,$K1208),Zeiterfassung!$K$6:$K$3665,0))))</f>
        <v/>
      </c>
      <c r="K1208">
        <f>IFERROR(AGGREGATE(15,6,(ROW(Zeiterfassung!$D$6:$D$3665)-ROW(Zeiterfassung!$D$6)+1)/(Zeiterfassung!$D$6:$D$3665&lt;&gt;""),1203),"")</f>
        <v/>
      </c>
    </row>
    <row r="1209" ht="20" customHeight="1">
      <c r="A1209" s="183">
        <f>IF($K1209="","",WEEKNUM(INDEX(Zeiterfassung!$K$6:$K$3665,$K1209),21))</f>
        <v/>
      </c>
      <c r="B1209" s="184">
        <f>IF($K1209="","",INDEX(Zeiterfassung!$K$6:$K$3665,$K1209))</f>
        <v/>
      </c>
      <c r="C1209" s="185">
        <f>IF($K1209="","",INDEX(Zeiterfassung!$K$6:$K$3665,$K1209))</f>
        <v/>
      </c>
      <c r="D1209" s="186">
        <f>IF($K1209="","",INDEX(Zeiterfassung!$D$6:$D$3665,$K1209))</f>
        <v/>
      </c>
      <c r="E1209" s="186">
        <f>IF($K1209="","",INDEX(Zeiterfassung!$E$6:$E$3665,$K1209))</f>
        <v/>
      </c>
      <c r="F1209" s="187">
        <f>IF($K1209="","",INDEX(Zeiterfassung!$F$6:$F$3665,$K1209))</f>
        <v/>
      </c>
      <c r="G1209" s="187">
        <f>IF($K1209="","",INDEX(Zeiterfassung!$G$6:$G$3665,$K1209))</f>
        <v/>
      </c>
      <c r="H1209" s="188">
        <f>IF($K1209="","",INDEX(Zeiterfassung!$H$6:$H$3665,$K1209))</f>
        <v/>
      </c>
      <c r="I1209" s="335">
        <f>IF(B1209=B1208,"",IF($K1209="","",INDEX(Zeiterfassung!$I$6:$I$3665,MATCH(INDEX(Zeiterfassung!$K$6:$K$3665,$K1209),Zeiterfassung!$K$6:$K$3665,0))))</f>
        <v/>
      </c>
      <c r="J1209" s="335">
        <f>IF(B1209=B1208,"",IF($K1209="","",INDEX(Zeiterfassung!$J$6:$J$3665,MATCH(INDEX(Zeiterfassung!$K$6:$K$3665,$K1209),Zeiterfassung!$K$6:$K$3665,0))))</f>
        <v/>
      </c>
      <c r="K1209">
        <f>IFERROR(AGGREGATE(15,6,(ROW(Zeiterfassung!$D$6:$D$3665)-ROW(Zeiterfassung!$D$6)+1)/(Zeiterfassung!$D$6:$D$3665&lt;&gt;""),1204),"")</f>
        <v/>
      </c>
    </row>
    <row r="1210" ht="20" customHeight="1">
      <c r="A1210" s="183">
        <f>IF($K1210="","",WEEKNUM(INDEX(Zeiterfassung!$K$6:$K$3665,$K1210),21))</f>
        <v/>
      </c>
      <c r="B1210" s="184">
        <f>IF($K1210="","",INDEX(Zeiterfassung!$K$6:$K$3665,$K1210))</f>
        <v/>
      </c>
      <c r="C1210" s="185">
        <f>IF($K1210="","",INDEX(Zeiterfassung!$K$6:$K$3665,$K1210))</f>
        <v/>
      </c>
      <c r="D1210" s="186">
        <f>IF($K1210="","",INDEX(Zeiterfassung!$D$6:$D$3665,$K1210))</f>
        <v/>
      </c>
      <c r="E1210" s="186">
        <f>IF($K1210="","",INDEX(Zeiterfassung!$E$6:$E$3665,$K1210))</f>
        <v/>
      </c>
      <c r="F1210" s="187">
        <f>IF($K1210="","",INDEX(Zeiterfassung!$F$6:$F$3665,$K1210))</f>
        <v/>
      </c>
      <c r="G1210" s="187">
        <f>IF($K1210="","",INDEX(Zeiterfassung!$G$6:$G$3665,$K1210))</f>
        <v/>
      </c>
      <c r="H1210" s="188">
        <f>IF($K1210="","",INDEX(Zeiterfassung!$H$6:$H$3665,$K1210))</f>
        <v/>
      </c>
      <c r="I1210" s="335">
        <f>IF(B1210=B1209,"",IF($K1210="","",INDEX(Zeiterfassung!$I$6:$I$3665,MATCH(INDEX(Zeiterfassung!$K$6:$K$3665,$K1210),Zeiterfassung!$K$6:$K$3665,0))))</f>
        <v/>
      </c>
      <c r="J1210" s="335">
        <f>IF(B1210=B1209,"",IF($K1210="","",INDEX(Zeiterfassung!$J$6:$J$3665,MATCH(INDEX(Zeiterfassung!$K$6:$K$3665,$K1210),Zeiterfassung!$K$6:$K$3665,0))))</f>
        <v/>
      </c>
      <c r="K1210">
        <f>IFERROR(AGGREGATE(15,6,(ROW(Zeiterfassung!$D$6:$D$3665)-ROW(Zeiterfassung!$D$6)+1)/(Zeiterfassung!$D$6:$D$3665&lt;&gt;""),1205),"")</f>
        <v/>
      </c>
    </row>
    <row r="1211" ht="20" customHeight="1">
      <c r="A1211" s="183">
        <f>IF($K1211="","",WEEKNUM(INDEX(Zeiterfassung!$K$6:$K$3665,$K1211),21))</f>
        <v/>
      </c>
      <c r="B1211" s="184">
        <f>IF($K1211="","",INDEX(Zeiterfassung!$K$6:$K$3665,$K1211))</f>
        <v/>
      </c>
      <c r="C1211" s="185">
        <f>IF($K1211="","",INDEX(Zeiterfassung!$K$6:$K$3665,$K1211))</f>
        <v/>
      </c>
      <c r="D1211" s="186">
        <f>IF($K1211="","",INDEX(Zeiterfassung!$D$6:$D$3665,$K1211))</f>
        <v/>
      </c>
      <c r="E1211" s="186">
        <f>IF($K1211="","",INDEX(Zeiterfassung!$E$6:$E$3665,$K1211))</f>
        <v/>
      </c>
      <c r="F1211" s="187">
        <f>IF($K1211="","",INDEX(Zeiterfassung!$F$6:$F$3665,$K1211))</f>
        <v/>
      </c>
      <c r="G1211" s="187">
        <f>IF($K1211="","",INDEX(Zeiterfassung!$G$6:$G$3665,$K1211))</f>
        <v/>
      </c>
      <c r="H1211" s="188">
        <f>IF($K1211="","",INDEX(Zeiterfassung!$H$6:$H$3665,$K1211))</f>
        <v/>
      </c>
      <c r="I1211" s="335">
        <f>IF(B1211=B1210,"",IF($K1211="","",INDEX(Zeiterfassung!$I$6:$I$3665,MATCH(INDEX(Zeiterfassung!$K$6:$K$3665,$K1211),Zeiterfassung!$K$6:$K$3665,0))))</f>
        <v/>
      </c>
      <c r="J1211" s="335">
        <f>IF(B1211=B1210,"",IF($K1211="","",INDEX(Zeiterfassung!$J$6:$J$3665,MATCH(INDEX(Zeiterfassung!$K$6:$K$3665,$K1211),Zeiterfassung!$K$6:$K$3665,0))))</f>
        <v/>
      </c>
      <c r="K1211">
        <f>IFERROR(AGGREGATE(15,6,(ROW(Zeiterfassung!$D$6:$D$3665)-ROW(Zeiterfassung!$D$6)+1)/(Zeiterfassung!$D$6:$D$3665&lt;&gt;""),1206),"")</f>
        <v/>
      </c>
    </row>
    <row r="1212" ht="20" customHeight="1">
      <c r="A1212" s="183">
        <f>IF($K1212="","",WEEKNUM(INDEX(Zeiterfassung!$K$6:$K$3665,$K1212),21))</f>
        <v/>
      </c>
      <c r="B1212" s="184">
        <f>IF($K1212="","",INDEX(Zeiterfassung!$K$6:$K$3665,$K1212))</f>
        <v/>
      </c>
      <c r="C1212" s="185">
        <f>IF($K1212="","",INDEX(Zeiterfassung!$K$6:$K$3665,$K1212))</f>
        <v/>
      </c>
      <c r="D1212" s="186">
        <f>IF($K1212="","",INDEX(Zeiterfassung!$D$6:$D$3665,$K1212))</f>
        <v/>
      </c>
      <c r="E1212" s="186">
        <f>IF($K1212="","",INDEX(Zeiterfassung!$E$6:$E$3665,$K1212))</f>
        <v/>
      </c>
      <c r="F1212" s="187">
        <f>IF($K1212="","",INDEX(Zeiterfassung!$F$6:$F$3665,$K1212))</f>
        <v/>
      </c>
      <c r="G1212" s="187">
        <f>IF($K1212="","",INDEX(Zeiterfassung!$G$6:$G$3665,$K1212))</f>
        <v/>
      </c>
      <c r="H1212" s="188">
        <f>IF($K1212="","",INDEX(Zeiterfassung!$H$6:$H$3665,$K1212))</f>
        <v/>
      </c>
      <c r="I1212" s="335">
        <f>IF(B1212=B1211,"",IF($K1212="","",INDEX(Zeiterfassung!$I$6:$I$3665,MATCH(INDEX(Zeiterfassung!$K$6:$K$3665,$K1212),Zeiterfassung!$K$6:$K$3665,0))))</f>
        <v/>
      </c>
      <c r="J1212" s="335">
        <f>IF(B1212=B1211,"",IF($K1212="","",INDEX(Zeiterfassung!$J$6:$J$3665,MATCH(INDEX(Zeiterfassung!$K$6:$K$3665,$K1212),Zeiterfassung!$K$6:$K$3665,0))))</f>
        <v/>
      </c>
      <c r="K1212">
        <f>IFERROR(AGGREGATE(15,6,(ROW(Zeiterfassung!$D$6:$D$3665)-ROW(Zeiterfassung!$D$6)+1)/(Zeiterfassung!$D$6:$D$3665&lt;&gt;""),1207),"")</f>
        <v/>
      </c>
    </row>
    <row r="1213" ht="20" customHeight="1">
      <c r="A1213" s="183">
        <f>IF($K1213="","",WEEKNUM(INDEX(Zeiterfassung!$K$6:$K$3665,$K1213),21))</f>
        <v/>
      </c>
      <c r="B1213" s="184">
        <f>IF($K1213="","",INDEX(Zeiterfassung!$K$6:$K$3665,$K1213))</f>
        <v/>
      </c>
      <c r="C1213" s="185">
        <f>IF($K1213="","",INDEX(Zeiterfassung!$K$6:$K$3665,$K1213))</f>
        <v/>
      </c>
      <c r="D1213" s="186">
        <f>IF($K1213="","",INDEX(Zeiterfassung!$D$6:$D$3665,$K1213))</f>
        <v/>
      </c>
      <c r="E1213" s="186">
        <f>IF($K1213="","",INDEX(Zeiterfassung!$E$6:$E$3665,$K1213))</f>
        <v/>
      </c>
      <c r="F1213" s="187">
        <f>IF($K1213="","",INDEX(Zeiterfassung!$F$6:$F$3665,$K1213))</f>
        <v/>
      </c>
      <c r="G1213" s="187">
        <f>IF($K1213="","",INDEX(Zeiterfassung!$G$6:$G$3665,$K1213))</f>
        <v/>
      </c>
      <c r="H1213" s="188">
        <f>IF($K1213="","",INDEX(Zeiterfassung!$H$6:$H$3665,$K1213))</f>
        <v/>
      </c>
      <c r="I1213" s="335">
        <f>IF(B1213=B1212,"",IF($K1213="","",INDEX(Zeiterfassung!$I$6:$I$3665,MATCH(INDEX(Zeiterfassung!$K$6:$K$3665,$K1213),Zeiterfassung!$K$6:$K$3665,0))))</f>
        <v/>
      </c>
      <c r="J1213" s="335">
        <f>IF(B1213=B1212,"",IF($K1213="","",INDEX(Zeiterfassung!$J$6:$J$3665,MATCH(INDEX(Zeiterfassung!$K$6:$K$3665,$K1213),Zeiterfassung!$K$6:$K$3665,0))))</f>
        <v/>
      </c>
      <c r="K1213">
        <f>IFERROR(AGGREGATE(15,6,(ROW(Zeiterfassung!$D$6:$D$3665)-ROW(Zeiterfassung!$D$6)+1)/(Zeiterfassung!$D$6:$D$3665&lt;&gt;""),1208),"")</f>
        <v/>
      </c>
    </row>
    <row r="1214" ht="20" customHeight="1">
      <c r="A1214" s="183">
        <f>IF($K1214="","",WEEKNUM(INDEX(Zeiterfassung!$K$6:$K$3665,$K1214),21))</f>
        <v/>
      </c>
      <c r="B1214" s="184">
        <f>IF($K1214="","",INDEX(Zeiterfassung!$K$6:$K$3665,$K1214))</f>
        <v/>
      </c>
      <c r="C1214" s="185">
        <f>IF($K1214="","",INDEX(Zeiterfassung!$K$6:$K$3665,$K1214))</f>
        <v/>
      </c>
      <c r="D1214" s="186">
        <f>IF($K1214="","",INDEX(Zeiterfassung!$D$6:$D$3665,$K1214))</f>
        <v/>
      </c>
      <c r="E1214" s="186">
        <f>IF($K1214="","",INDEX(Zeiterfassung!$E$6:$E$3665,$K1214))</f>
        <v/>
      </c>
      <c r="F1214" s="187">
        <f>IF($K1214="","",INDEX(Zeiterfassung!$F$6:$F$3665,$K1214))</f>
        <v/>
      </c>
      <c r="G1214" s="187">
        <f>IF($K1214="","",INDEX(Zeiterfassung!$G$6:$G$3665,$K1214))</f>
        <v/>
      </c>
      <c r="H1214" s="188">
        <f>IF($K1214="","",INDEX(Zeiterfassung!$H$6:$H$3665,$K1214))</f>
        <v/>
      </c>
      <c r="I1214" s="335">
        <f>IF(B1214=B1213,"",IF($K1214="","",INDEX(Zeiterfassung!$I$6:$I$3665,MATCH(INDEX(Zeiterfassung!$K$6:$K$3665,$K1214),Zeiterfassung!$K$6:$K$3665,0))))</f>
        <v/>
      </c>
      <c r="J1214" s="335">
        <f>IF(B1214=B1213,"",IF($K1214="","",INDEX(Zeiterfassung!$J$6:$J$3665,MATCH(INDEX(Zeiterfassung!$K$6:$K$3665,$K1214),Zeiterfassung!$K$6:$K$3665,0))))</f>
        <v/>
      </c>
      <c r="K1214">
        <f>IFERROR(AGGREGATE(15,6,(ROW(Zeiterfassung!$D$6:$D$3665)-ROW(Zeiterfassung!$D$6)+1)/(Zeiterfassung!$D$6:$D$3665&lt;&gt;""),1209),"")</f>
        <v/>
      </c>
    </row>
    <row r="1215" ht="20" customHeight="1">
      <c r="A1215" s="183">
        <f>IF($K1215="","",WEEKNUM(INDEX(Zeiterfassung!$K$6:$K$3665,$K1215),21))</f>
        <v/>
      </c>
      <c r="B1215" s="184">
        <f>IF($K1215="","",INDEX(Zeiterfassung!$K$6:$K$3665,$K1215))</f>
        <v/>
      </c>
      <c r="C1215" s="185">
        <f>IF($K1215="","",INDEX(Zeiterfassung!$K$6:$K$3665,$K1215))</f>
        <v/>
      </c>
      <c r="D1215" s="186">
        <f>IF($K1215="","",INDEX(Zeiterfassung!$D$6:$D$3665,$K1215))</f>
        <v/>
      </c>
      <c r="E1215" s="186">
        <f>IF($K1215="","",INDEX(Zeiterfassung!$E$6:$E$3665,$K1215))</f>
        <v/>
      </c>
      <c r="F1215" s="187">
        <f>IF($K1215="","",INDEX(Zeiterfassung!$F$6:$F$3665,$K1215))</f>
        <v/>
      </c>
      <c r="G1215" s="187">
        <f>IF($K1215="","",INDEX(Zeiterfassung!$G$6:$G$3665,$K1215))</f>
        <v/>
      </c>
      <c r="H1215" s="188">
        <f>IF($K1215="","",INDEX(Zeiterfassung!$H$6:$H$3665,$K1215))</f>
        <v/>
      </c>
      <c r="I1215" s="335">
        <f>IF(B1215=B1214,"",IF($K1215="","",INDEX(Zeiterfassung!$I$6:$I$3665,MATCH(INDEX(Zeiterfassung!$K$6:$K$3665,$K1215),Zeiterfassung!$K$6:$K$3665,0))))</f>
        <v/>
      </c>
      <c r="J1215" s="335">
        <f>IF(B1215=B1214,"",IF($K1215="","",INDEX(Zeiterfassung!$J$6:$J$3665,MATCH(INDEX(Zeiterfassung!$K$6:$K$3665,$K1215),Zeiterfassung!$K$6:$K$3665,0))))</f>
        <v/>
      </c>
      <c r="K1215">
        <f>IFERROR(AGGREGATE(15,6,(ROW(Zeiterfassung!$D$6:$D$3665)-ROW(Zeiterfassung!$D$6)+1)/(Zeiterfassung!$D$6:$D$3665&lt;&gt;""),1210),"")</f>
        <v/>
      </c>
    </row>
    <row r="1216" ht="20" customHeight="1">
      <c r="A1216" s="183">
        <f>IF($K1216="","",WEEKNUM(INDEX(Zeiterfassung!$K$6:$K$3665,$K1216),21))</f>
        <v/>
      </c>
      <c r="B1216" s="184">
        <f>IF($K1216="","",INDEX(Zeiterfassung!$K$6:$K$3665,$K1216))</f>
        <v/>
      </c>
      <c r="C1216" s="185">
        <f>IF($K1216="","",INDEX(Zeiterfassung!$K$6:$K$3665,$K1216))</f>
        <v/>
      </c>
      <c r="D1216" s="186">
        <f>IF($K1216="","",INDEX(Zeiterfassung!$D$6:$D$3665,$K1216))</f>
        <v/>
      </c>
      <c r="E1216" s="186">
        <f>IF($K1216="","",INDEX(Zeiterfassung!$E$6:$E$3665,$K1216))</f>
        <v/>
      </c>
      <c r="F1216" s="187">
        <f>IF($K1216="","",INDEX(Zeiterfassung!$F$6:$F$3665,$K1216))</f>
        <v/>
      </c>
      <c r="G1216" s="187">
        <f>IF($K1216="","",INDEX(Zeiterfassung!$G$6:$G$3665,$K1216))</f>
        <v/>
      </c>
      <c r="H1216" s="188">
        <f>IF($K1216="","",INDEX(Zeiterfassung!$H$6:$H$3665,$K1216))</f>
        <v/>
      </c>
      <c r="I1216" s="335">
        <f>IF(B1216=B1215,"",IF($K1216="","",INDEX(Zeiterfassung!$I$6:$I$3665,MATCH(INDEX(Zeiterfassung!$K$6:$K$3665,$K1216),Zeiterfassung!$K$6:$K$3665,0))))</f>
        <v/>
      </c>
      <c r="J1216" s="335">
        <f>IF(B1216=B1215,"",IF($K1216="","",INDEX(Zeiterfassung!$J$6:$J$3665,MATCH(INDEX(Zeiterfassung!$K$6:$K$3665,$K1216),Zeiterfassung!$K$6:$K$3665,0))))</f>
        <v/>
      </c>
      <c r="K1216">
        <f>IFERROR(AGGREGATE(15,6,(ROW(Zeiterfassung!$D$6:$D$3665)-ROW(Zeiterfassung!$D$6)+1)/(Zeiterfassung!$D$6:$D$3665&lt;&gt;""),1211),"")</f>
        <v/>
      </c>
    </row>
    <row r="1217" ht="20" customHeight="1">
      <c r="A1217" s="183">
        <f>IF($K1217="","",WEEKNUM(INDEX(Zeiterfassung!$K$6:$K$3665,$K1217),21))</f>
        <v/>
      </c>
      <c r="B1217" s="184">
        <f>IF($K1217="","",INDEX(Zeiterfassung!$K$6:$K$3665,$K1217))</f>
        <v/>
      </c>
      <c r="C1217" s="185">
        <f>IF($K1217="","",INDEX(Zeiterfassung!$K$6:$K$3665,$K1217))</f>
        <v/>
      </c>
      <c r="D1217" s="186">
        <f>IF($K1217="","",INDEX(Zeiterfassung!$D$6:$D$3665,$K1217))</f>
        <v/>
      </c>
      <c r="E1217" s="186">
        <f>IF($K1217="","",INDEX(Zeiterfassung!$E$6:$E$3665,$K1217))</f>
        <v/>
      </c>
      <c r="F1217" s="187">
        <f>IF($K1217="","",INDEX(Zeiterfassung!$F$6:$F$3665,$K1217))</f>
        <v/>
      </c>
      <c r="G1217" s="187">
        <f>IF($K1217="","",INDEX(Zeiterfassung!$G$6:$G$3665,$K1217))</f>
        <v/>
      </c>
      <c r="H1217" s="188">
        <f>IF($K1217="","",INDEX(Zeiterfassung!$H$6:$H$3665,$K1217))</f>
        <v/>
      </c>
      <c r="I1217" s="335">
        <f>IF(B1217=B1216,"",IF($K1217="","",INDEX(Zeiterfassung!$I$6:$I$3665,MATCH(INDEX(Zeiterfassung!$K$6:$K$3665,$K1217),Zeiterfassung!$K$6:$K$3665,0))))</f>
        <v/>
      </c>
      <c r="J1217" s="335">
        <f>IF(B1217=B1216,"",IF($K1217="","",INDEX(Zeiterfassung!$J$6:$J$3665,MATCH(INDEX(Zeiterfassung!$K$6:$K$3665,$K1217),Zeiterfassung!$K$6:$K$3665,0))))</f>
        <v/>
      </c>
      <c r="K1217">
        <f>IFERROR(AGGREGATE(15,6,(ROW(Zeiterfassung!$D$6:$D$3665)-ROW(Zeiterfassung!$D$6)+1)/(Zeiterfassung!$D$6:$D$3665&lt;&gt;""),1212),"")</f>
        <v/>
      </c>
    </row>
    <row r="1218" ht="20" customHeight="1">
      <c r="A1218" s="183">
        <f>IF($K1218="","",WEEKNUM(INDEX(Zeiterfassung!$K$6:$K$3665,$K1218),21))</f>
        <v/>
      </c>
      <c r="B1218" s="184">
        <f>IF($K1218="","",INDEX(Zeiterfassung!$K$6:$K$3665,$K1218))</f>
        <v/>
      </c>
      <c r="C1218" s="185">
        <f>IF($K1218="","",INDEX(Zeiterfassung!$K$6:$K$3665,$K1218))</f>
        <v/>
      </c>
      <c r="D1218" s="186">
        <f>IF($K1218="","",INDEX(Zeiterfassung!$D$6:$D$3665,$K1218))</f>
        <v/>
      </c>
      <c r="E1218" s="186">
        <f>IF($K1218="","",INDEX(Zeiterfassung!$E$6:$E$3665,$K1218))</f>
        <v/>
      </c>
      <c r="F1218" s="187">
        <f>IF($K1218="","",INDEX(Zeiterfassung!$F$6:$F$3665,$K1218))</f>
        <v/>
      </c>
      <c r="G1218" s="187">
        <f>IF($K1218="","",INDEX(Zeiterfassung!$G$6:$G$3665,$K1218))</f>
        <v/>
      </c>
      <c r="H1218" s="188">
        <f>IF($K1218="","",INDEX(Zeiterfassung!$H$6:$H$3665,$K1218))</f>
        <v/>
      </c>
      <c r="I1218" s="335">
        <f>IF(B1218=B1217,"",IF($K1218="","",INDEX(Zeiterfassung!$I$6:$I$3665,MATCH(INDEX(Zeiterfassung!$K$6:$K$3665,$K1218),Zeiterfassung!$K$6:$K$3665,0))))</f>
        <v/>
      </c>
      <c r="J1218" s="335">
        <f>IF(B1218=B1217,"",IF($K1218="","",INDEX(Zeiterfassung!$J$6:$J$3665,MATCH(INDEX(Zeiterfassung!$K$6:$K$3665,$K1218),Zeiterfassung!$K$6:$K$3665,0))))</f>
        <v/>
      </c>
      <c r="K1218">
        <f>IFERROR(AGGREGATE(15,6,(ROW(Zeiterfassung!$D$6:$D$3665)-ROW(Zeiterfassung!$D$6)+1)/(Zeiterfassung!$D$6:$D$3665&lt;&gt;""),1213),"")</f>
        <v/>
      </c>
    </row>
    <row r="1219" ht="20" customHeight="1">
      <c r="A1219" s="183">
        <f>IF($K1219="","",WEEKNUM(INDEX(Zeiterfassung!$K$6:$K$3665,$K1219),21))</f>
        <v/>
      </c>
      <c r="B1219" s="184">
        <f>IF($K1219="","",INDEX(Zeiterfassung!$K$6:$K$3665,$K1219))</f>
        <v/>
      </c>
      <c r="C1219" s="185">
        <f>IF($K1219="","",INDEX(Zeiterfassung!$K$6:$K$3665,$K1219))</f>
        <v/>
      </c>
      <c r="D1219" s="186">
        <f>IF($K1219="","",INDEX(Zeiterfassung!$D$6:$D$3665,$K1219))</f>
        <v/>
      </c>
      <c r="E1219" s="186">
        <f>IF($K1219="","",INDEX(Zeiterfassung!$E$6:$E$3665,$K1219))</f>
        <v/>
      </c>
      <c r="F1219" s="187">
        <f>IF($K1219="","",INDEX(Zeiterfassung!$F$6:$F$3665,$K1219))</f>
        <v/>
      </c>
      <c r="G1219" s="187">
        <f>IF($K1219="","",INDEX(Zeiterfassung!$G$6:$G$3665,$K1219))</f>
        <v/>
      </c>
      <c r="H1219" s="188">
        <f>IF($K1219="","",INDEX(Zeiterfassung!$H$6:$H$3665,$K1219))</f>
        <v/>
      </c>
      <c r="I1219" s="335">
        <f>IF(B1219=B1218,"",IF($K1219="","",INDEX(Zeiterfassung!$I$6:$I$3665,MATCH(INDEX(Zeiterfassung!$K$6:$K$3665,$K1219),Zeiterfassung!$K$6:$K$3665,0))))</f>
        <v/>
      </c>
      <c r="J1219" s="335">
        <f>IF(B1219=B1218,"",IF($K1219="","",INDEX(Zeiterfassung!$J$6:$J$3665,MATCH(INDEX(Zeiterfassung!$K$6:$K$3665,$K1219),Zeiterfassung!$K$6:$K$3665,0))))</f>
        <v/>
      </c>
      <c r="K1219">
        <f>IFERROR(AGGREGATE(15,6,(ROW(Zeiterfassung!$D$6:$D$3665)-ROW(Zeiterfassung!$D$6)+1)/(Zeiterfassung!$D$6:$D$3665&lt;&gt;""),1214),"")</f>
        <v/>
      </c>
    </row>
    <row r="1220" ht="20" customHeight="1">
      <c r="A1220" s="183">
        <f>IF($K1220="","",WEEKNUM(INDEX(Zeiterfassung!$K$6:$K$3665,$K1220),21))</f>
        <v/>
      </c>
      <c r="B1220" s="184">
        <f>IF($K1220="","",INDEX(Zeiterfassung!$K$6:$K$3665,$K1220))</f>
        <v/>
      </c>
      <c r="C1220" s="185">
        <f>IF($K1220="","",INDEX(Zeiterfassung!$K$6:$K$3665,$K1220))</f>
        <v/>
      </c>
      <c r="D1220" s="186">
        <f>IF($K1220="","",INDEX(Zeiterfassung!$D$6:$D$3665,$K1220))</f>
        <v/>
      </c>
      <c r="E1220" s="186">
        <f>IF($K1220="","",INDEX(Zeiterfassung!$E$6:$E$3665,$K1220))</f>
        <v/>
      </c>
      <c r="F1220" s="187">
        <f>IF($K1220="","",INDEX(Zeiterfassung!$F$6:$F$3665,$K1220))</f>
        <v/>
      </c>
      <c r="G1220" s="187">
        <f>IF($K1220="","",INDEX(Zeiterfassung!$G$6:$G$3665,$K1220))</f>
        <v/>
      </c>
      <c r="H1220" s="188">
        <f>IF($K1220="","",INDEX(Zeiterfassung!$H$6:$H$3665,$K1220))</f>
        <v/>
      </c>
      <c r="I1220" s="335">
        <f>IF(B1220=B1219,"",IF($K1220="","",INDEX(Zeiterfassung!$I$6:$I$3665,MATCH(INDEX(Zeiterfassung!$K$6:$K$3665,$K1220),Zeiterfassung!$K$6:$K$3665,0))))</f>
        <v/>
      </c>
      <c r="J1220" s="335">
        <f>IF(B1220=B1219,"",IF($K1220="","",INDEX(Zeiterfassung!$J$6:$J$3665,MATCH(INDEX(Zeiterfassung!$K$6:$K$3665,$K1220),Zeiterfassung!$K$6:$K$3665,0))))</f>
        <v/>
      </c>
      <c r="K1220">
        <f>IFERROR(AGGREGATE(15,6,(ROW(Zeiterfassung!$D$6:$D$3665)-ROW(Zeiterfassung!$D$6)+1)/(Zeiterfassung!$D$6:$D$3665&lt;&gt;""),1215),"")</f>
        <v/>
      </c>
    </row>
    <row r="1221" ht="20" customHeight="1">
      <c r="A1221" s="183">
        <f>IF($K1221="","",WEEKNUM(INDEX(Zeiterfassung!$K$6:$K$3665,$K1221),21))</f>
        <v/>
      </c>
      <c r="B1221" s="184">
        <f>IF($K1221="","",INDEX(Zeiterfassung!$K$6:$K$3665,$K1221))</f>
        <v/>
      </c>
      <c r="C1221" s="185">
        <f>IF($K1221="","",INDEX(Zeiterfassung!$K$6:$K$3665,$K1221))</f>
        <v/>
      </c>
      <c r="D1221" s="186">
        <f>IF($K1221="","",INDEX(Zeiterfassung!$D$6:$D$3665,$K1221))</f>
        <v/>
      </c>
      <c r="E1221" s="186">
        <f>IF($K1221="","",INDEX(Zeiterfassung!$E$6:$E$3665,$K1221))</f>
        <v/>
      </c>
      <c r="F1221" s="187">
        <f>IF($K1221="","",INDEX(Zeiterfassung!$F$6:$F$3665,$K1221))</f>
        <v/>
      </c>
      <c r="G1221" s="187">
        <f>IF($K1221="","",INDEX(Zeiterfassung!$G$6:$G$3665,$K1221))</f>
        <v/>
      </c>
      <c r="H1221" s="188">
        <f>IF($K1221="","",INDEX(Zeiterfassung!$H$6:$H$3665,$K1221))</f>
        <v/>
      </c>
      <c r="I1221" s="335">
        <f>IF(B1221=B1220,"",IF($K1221="","",INDEX(Zeiterfassung!$I$6:$I$3665,MATCH(INDEX(Zeiterfassung!$K$6:$K$3665,$K1221),Zeiterfassung!$K$6:$K$3665,0))))</f>
        <v/>
      </c>
      <c r="J1221" s="335">
        <f>IF(B1221=B1220,"",IF($K1221="","",INDEX(Zeiterfassung!$J$6:$J$3665,MATCH(INDEX(Zeiterfassung!$K$6:$K$3665,$K1221),Zeiterfassung!$K$6:$K$3665,0))))</f>
        <v/>
      </c>
      <c r="K1221">
        <f>IFERROR(AGGREGATE(15,6,(ROW(Zeiterfassung!$D$6:$D$3665)-ROW(Zeiterfassung!$D$6)+1)/(Zeiterfassung!$D$6:$D$3665&lt;&gt;""),1216),"")</f>
        <v/>
      </c>
    </row>
    <row r="1222" ht="20" customHeight="1">
      <c r="A1222" s="183">
        <f>IF($K1222="","",WEEKNUM(INDEX(Zeiterfassung!$K$6:$K$3665,$K1222),21))</f>
        <v/>
      </c>
      <c r="B1222" s="184">
        <f>IF($K1222="","",INDEX(Zeiterfassung!$K$6:$K$3665,$K1222))</f>
        <v/>
      </c>
      <c r="C1222" s="185">
        <f>IF($K1222="","",INDEX(Zeiterfassung!$K$6:$K$3665,$K1222))</f>
        <v/>
      </c>
      <c r="D1222" s="186">
        <f>IF($K1222="","",INDEX(Zeiterfassung!$D$6:$D$3665,$K1222))</f>
        <v/>
      </c>
      <c r="E1222" s="186">
        <f>IF($K1222="","",INDEX(Zeiterfassung!$E$6:$E$3665,$K1222))</f>
        <v/>
      </c>
      <c r="F1222" s="187">
        <f>IF($K1222="","",INDEX(Zeiterfassung!$F$6:$F$3665,$K1222))</f>
        <v/>
      </c>
      <c r="G1222" s="187">
        <f>IF($K1222="","",INDEX(Zeiterfassung!$G$6:$G$3665,$K1222))</f>
        <v/>
      </c>
      <c r="H1222" s="188">
        <f>IF($K1222="","",INDEX(Zeiterfassung!$H$6:$H$3665,$K1222))</f>
        <v/>
      </c>
      <c r="I1222" s="335">
        <f>IF(B1222=B1221,"",IF($K1222="","",INDEX(Zeiterfassung!$I$6:$I$3665,MATCH(INDEX(Zeiterfassung!$K$6:$K$3665,$K1222),Zeiterfassung!$K$6:$K$3665,0))))</f>
        <v/>
      </c>
      <c r="J1222" s="335">
        <f>IF(B1222=B1221,"",IF($K1222="","",INDEX(Zeiterfassung!$J$6:$J$3665,MATCH(INDEX(Zeiterfassung!$K$6:$K$3665,$K1222),Zeiterfassung!$K$6:$K$3665,0))))</f>
        <v/>
      </c>
      <c r="K1222">
        <f>IFERROR(AGGREGATE(15,6,(ROW(Zeiterfassung!$D$6:$D$3665)-ROW(Zeiterfassung!$D$6)+1)/(Zeiterfassung!$D$6:$D$3665&lt;&gt;""),1217),"")</f>
        <v/>
      </c>
    </row>
    <row r="1223" ht="20" customHeight="1">
      <c r="A1223" s="183">
        <f>IF($K1223="","",WEEKNUM(INDEX(Zeiterfassung!$K$6:$K$3665,$K1223),21))</f>
        <v/>
      </c>
      <c r="B1223" s="184">
        <f>IF($K1223="","",INDEX(Zeiterfassung!$K$6:$K$3665,$K1223))</f>
        <v/>
      </c>
      <c r="C1223" s="185">
        <f>IF($K1223="","",INDEX(Zeiterfassung!$K$6:$K$3665,$K1223))</f>
        <v/>
      </c>
      <c r="D1223" s="186">
        <f>IF($K1223="","",INDEX(Zeiterfassung!$D$6:$D$3665,$K1223))</f>
        <v/>
      </c>
      <c r="E1223" s="186">
        <f>IF($K1223="","",INDEX(Zeiterfassung!$E$6:$E$3665,$K1223))</f>
        <v/>
      </c>
      <c r="F1223" s="187">
        <f>IF($K1223="","",INDEX(Zeiterfassung!$F$6:$F$3665,$K1223))</f>
        <v/>
      </c>
      <c r="G1223" s="187">
        <f>IF($K1223="","",INDEX(Zeiterfassung!$G$6:$G$3665,$K1223))</f>
        <v/>
      </c>
      <c r="H1223" s="188">
        <f>IF($K1223="","",INDEX(Zeiterfassung!$H$6:$H$3665,$K1223))</f>
        <v/>
      </c>
      <c r="I1223" s="335">
        <f>IF(B1223=B1222,"",IF($K1223="","",INDEX(Zeiterfassung!$I$6:$I$3665,MATCH(INDEX(Zeiterfassung!$K$6:$K$3665,$K1223),Zeiterfassung!$K$6:$K$3665,0))))</f>
        <v/>
      </c>
      <c r="J1223" s="335">
        <f>IF(B1223=B1222,"",IF($K1223="","",INDEX(Zeiterfassung!$J$6:$J$3665,MATCH(INDEX(Zeiterfassung!$K$6:$K$3665,$K1223),Zeiterfassung!$K$6:$K$3665,0))))</f>
        <v/>
      </c>
      <c r="K1223">
        <f>IFERROR(AGGREGATE(15,6,(ROW(Zeiterfassung!$D$6:$D$3665)-ROW(Zeiterfassung!$D$6)+1)/(Zeiterfassung!$D$6:$D$3665&lt;&gt;""),1218),"")</f>
        <v/>
      </c>
    </row>
    <row r="1224" ht="20" customHeight="1">
      <c r="A1224" s="183">
        <f>IF($K1224="","",WEEKNUM(INDEX(Zeiterfassung!$K$6:$K$3665,$K1224),21))</f>
        <v/>
      </c>
      <c r="B1224" s="184">
        <f>IF($K1224="","",INDEX(Zeiterfassung!$K$6:$K$3665,$K1224))</f>
        <v/>
      </c>
      <c r="C1224" s="185">
        <f>IF($K1224="","",INDEX(Zeiterfassung!$K$6:$K$3665,$K1224))</f>
        <v/>
      </c>
      <c r="D1224" s="186">
        <f>IF($K1224="","",INDEX(Zeiterfassung!$D$6:$D$3665,$K1224))</f>
        <v/>
      </c>
      <c r="E1224" s="186">
        <f>IF($K1224="","",INDEX(Zeiterfassung!$E$6:$E$3665,$K1224))</f>
        <v/>
      </c>
      <c r="F1224" s="187">
        <f>IF($K1224="","",INDEX(Zeiterfassung!$F$6:$F$3665,$K1224))</f>
        <v/>
      </c>
      <c r="G1224" s="187">
        <f>IF($K1224="","",INDEX(Zeiterfassung!$G$6:$G$3665,$K1224))</f>
        <v/>
      </c>
      <c r="H1224" s="188">
        <f>IF($K1224="","",INDEX(Zeiterfassung!$H$6:$H$3665,$K1224))</f>
        <v/>
      </c>
      <c r="I1224" s="335">
        <f>IF(B1224=B1223,"",IF($K1224="","",INDEX(Zeiterfassung!$I$6:$I$3665,MATCH(INDEX(Zeiterfassung!$K$6:$K$3665,$K1224),Zeiterfassung!$K$6:$K$3665,0))))</f>
        <v/>
      </c>
      <c r="J1224" s="335">
        <f>IF(B1224=B1223,"",IF($K1224="","",INDEX(Zeiterfassung!$J$6:$J$3665,MATCH(INDEX(Zeiterfassung!$K$6:$K$3665,$K1224),Zeiterfassung!$K$6:$K$3665,0))))</f>
        <v/>
      </c>
      <c r="K1224">
        <f>IFERROR(AGGREGATE(15,6,(ROW(Zeiterfassung!$D$6:$D$3665)-ROW(Zeiterfassung!$D$6)+1)/(Zeiterfassung!$D$6:$D$3665&lt;&gt;""),1219),"")</f>
        <v/>
      </c>
    </row>
    <row r="1225" ht="20" customHeight="1">
      <c r="A1225" s="183">
        <f>IF($K1225="","",WEEKNUM(INDEX(Zeiterfassung!$K$6:$K$3665,$K1225),21))</f>
        <v/>
      </c>
      <c r="B1225" s="184">
        <f>IF($K1225="","",INDEX(Zeiterfassung!$K$6:$K$3665,$K1225))</f>
        <v/>
      </c>
      <c r="C1225" s="185">
        <f>IF($K1225="","",INDEX(Zeiterfassung!$K$6:$K$3665,$K1225))</f>
        <v/>
      </c>
      <c r="D1225" s="186">
        <f>IF($K1225="","",INDEX(Zeiterfassung!$D$6:$D$3665,$K1225))</f>
        <v/>
      </c>
      <c r="E1225" s="186">
        <f>IF($K1225="","",INDEX(Zeiterfassung!$E$6:$E$3665,$K1225))</f>
        <v/>
      </c>
      <c r="F1225" s="187">
        <f>IF($K1225="","",INDEX(Zeiterfassung!$F$6:$F$3665,$K1225))</f>
        <v/>
      </c>
      <c r="G1225" s="187">
        <f>IF($K1225="","",INDEX(Zeiterfassung!$G$6:$G$3665,$K1225))</f>
        <v/>
      </c>
      <c r="H1225" s="188">
        <f>IF($K1225="","",INDEX(Zeiterfassung!$H$6:$H$3665,$K1225))</f>
        <v/>
      </c>
      <c r="I1225" s="335">
        <f>IF(B1225=B1224,"",IF($K1225="","",INDEX(Zeiterfassung!$I$6:$I$3665,MATCH(INDEX(Zeiterfassung!$K$6:$K$3665,$K1225),Zeiterfassung!$K$6:$K$3665,0))))</f>
        <v/>
      </c>
      <c r="J1225" s="335">
        <f>IF(B1225=B1224,"",IF($K1225="","",INDEX(Zeiterfassung!$J$6:$J$3665,MATCH(INDEX(Zeiterfassung!$K$6:$K$3665,$K1225),Zeiterfassung!$K$6:$K$3665,0))))</f>
        <v/>
      </c>
      <c r="K1225">
        <f>IFERROR(AGGREGATE(15,6,(ROW(Zeiterfassung!$D$6:$D$3665)-ROW(Zeiterfassung!$D$6)+1)/(Zeiterfassung!$D$6:$D$3665&lt;&gt;""),1220),"")</f>
        <v/>
      </c>
    </row>
    <row r="1226" ht="20" customHeight="1">
      <c r="A1226" s="183">
        <f>IF($K1226="","",WEEKNUM(INDEX(Zeiterfassung!$K$6:$K$3665,$K1226),21))</f>
        <v/>
      </c>
      <c r="B1226" s="184">
        <f>IF($K1226="","",INDEX(Zeiterfassung!$K$6:$K$3665,$K1226))</f>
        <v/>
      </c>
      <c r="C1226" s="185">
        <f>IF($K1226="","",INDEX(Zeiterfassung!$K$6:$K$3665,$K1226))</f>
        <v/>
      </c>
      <c r="D1226" s="186">
        <f>IF($K1226="","",INDEX(Zeiterfassung!$D$6:$D$3665,$K1226))</f>
        <v/>
      </c>
      <c r="E1226" s="186">
        <f>IF($K1226="","",INDEX(Zeiterfassung!$E$6:$E$3665,$K1226))</f>
        <v/>
      </c>
      <c r="F1226" s="187">
        <f>IF($K1226="","",INDEX(Zeiterfassung!$F$6:$F$3665,$K1226))</f>
        <v/>
      </c>
      <c r="G1226" s="187">
        <f>IF($K1226="","",INDEX(Zeiterfassung!$G$6:$G$3665,$K1226))</f>
        <v/>
      </c>
      <c r="H1226" s="188">
        <f>IF($K1226="","",INDEX(Zeiterfassung!$H$6:$H$3665,$K1226))</f>
        <v/>
      </c>
      <c r="I1226" s="335">
        <f>IF(B1226=B1225,"",IF($K1226="","",INDEX(Zeiterfassung!$I$6:$I$3665,MATCH(INDEX(Zeiterfassung!$K$6:$K$3665,$K1226),Zeiterfassung!$K$6:$K$3665,0))))</f>
        <v/>
      </c>
      <c r="J1226" s="335">
        <f>IF(B1226=B1225,"",IF($K1226="","",INDEX(Zeiterfassung!$J$6:$J$3665,MATCH(INDEX(Zeiterfassung!$K$6:$K$3665,$K1226),Zeiterfassung!$K$6:$K$3665,0))))</f>
        <v/>
      </c>
      <c r="K1226">
        <f>IFERROR(AGGREGATE(15,6,(ROW(Zeiterfassung!$D$6:$D$3665)-ROW(Zeiterfassung!$D$6)+1)/(Zeiterfassung!$D$6:$D$3665&lt;&gt;""),1221),"")</f>
        <v/>
      </c>
    </row>
    <row r="1227" ht="20" customHeight="1">
      <c r="A1227" s="183">
        <f>IF($K1227="","",WEEKNUM(INDEX(Zeiterfassung!$K$6:$K$3665,$K1227),21))</f>
        <v/>
      </c>
      <c r="B1227" s="184">
        <f>IF($K1227="","",INDEX(Zeiterfassung!$K$6:$K$3665,$K1227))</f>
        <v/>
      </c>
      <c r="C1227" s="185">
        <f>IF($K1227="","",INDEX(Zeiterfassung!$K$6:$K$3665,$K1227))</f>
        <v/>
      </c>
      <c r="D1227" s="186">
        <f>IF($K1227="","",INDEX(Zeiterfassung!$D$6:$D$3665,$K1227))</f>
        <v/>
      </c>
      <c r="E1227" s="186">
        <f>IF($K1227="","",INDEX(Zeiterfassung!$E$6:$E$3665,$K1227))</f>
        <v/>
      </c>
      <c r="F1227" s="187">
        <f>IF($K1227="","",INDEX(Zeiterfassung!$F$6:$F$3665,$K1227))</f>
        <v/>
      </c>
      <c r="G1227" s="187">
        <f>IF($K1227="","",INDEX(Zeiterfassung!$G$6:$G$3665,$K1227))</f>
        <v/>
      </c>
      <c r="H1227" s="188">
        <f>IF($K1227="","",INDEX(Zeiterfassung!$H$6:$H$3665,$K1227))</f>
        <v/>
      </c>
      <c r="I1227" s="335">
        <f>IF(B1227=B1226,"",IF($K1227="","",INDEX(Zeiterfassung!$I$6:$I$3665,MATCH(INDEX(Zeiterfassung!$K$6:$K$3665,$K1227),Zeiterfassung!$K$6:$K$3665,0))))</f>
        <v/>
      </c>
      <c r="J1227" s="335">
        <f>IF(B1227=B1226,"",IF($K1227="","",INDEX(Zeiterfassung!$J$6:$J$3665,MATCH(INDEX(Zeiterfassung!$K$6:$K$3665,$K1227),Zeiterfassung!$K$6:$K$3665,0))))</f>
        <v/>
      </c>
      <c r="K1227">
        <f>IFERROR(AGGREGATE(15,6,(ROW(Zeiterfassung!$D$6:$D$3665)-ROW(Zeiterfassung!$D$6)+1)/(Zeiterfassung!$D$6:$D$3665&lt;&gt;""),1222),"")</f>
        <v/>
      </c>
    </row>
    <row r="1228" ht="20" customHeight="1">
      <c r="A1228" s="183">
        <f>IF($K1228="","",WEEKNUM(INDEX(Zeiterfassung!$K$6:$K$3665,$K1228),21))</f>
        <v/>
      </c>
      <c r="B1228" s="184">
        <f>IF($K1228="","",INDEX(Zeiterfassung!$K$6:$K$3665,$K1228))</f>
        <v/>
      </c>
      <c r="C1228" s="185">
        <f>IF($K1228="","",INDEX(Zeiterfassung!$K$6:$K$3665,$K1228))</f>
        <v/>
      </c>
      <c r="D1228" s="186">
        <f>IF($K1228="","",INDEX(Zeiterfassung!$D$6:$D$3665,$K1228))</f>
        <v/>
      </c>
      <c r="E1228" s="186">
        <f>IF($K1228="","",INDEX(Zeiterfassung!$E$6:$E$3665,$K1228))</f>
        <v/>
      </c>
      <c r="F1228" s="187">
        <f>IF($K1228="","",INDEX(Zeiterfassung!$F$6:$F$3665,$K1228))</f>
        <v/>
      </c>
      <c r="G1228" s="187">
        <f>IF($K1228="","",INDEX(Zeiterfassung!$G$6:$G$3665,$K1228))</f>
        <v/>
      </c>
      <c r="H1228" s="188">
        <f>IF($K1228="","",INDEX(Zeiterfassung!$H$6:$H$3665,$K1228))</f>
        <v/>
      </c>
      <c r="I1228" s="335">
        <f>IF(B1228=B1227,"",IF($K1228="","",INDEX(Zeiterfassung!$I$6:$I$3665,MATCH(INDEX(Zeiterfassung!$K$6:$K$3665,$K1228),Zeiterfassung!$K$6:$K$3665,0))))</f>
        <v/>
      </c>
      <c r="J1228" s="335">
        <f>IF(B1228=B1227,"",IF($K1228="","",INDEX(Zeiterfassung!$J$6:$J$3665,MATCH(INDEX(Zeiterfassung!$K$6:$K$3665,$K1228),Zeiterfassung!$K$6:$K$3665,0))))</f>
        <v/>
      </c>
      <c r="K1228">
        <f>IFERROR(AGGREGATE(15,6,(ROW(Zeiterfassung!$D$6:$D$3665)-ROW(Zeiterfassung!$D$6)+1)/(Zeiterfassung!$D$6:$D$3665&lt;&gt;""),1223),"")</f>
        <v/>
      </c>
    </row>
    <row r="1229" ht="20" customHeight="1">
      <c r="A1229" s="183">
        <f>IF($K1229="","",WEEKNUM(INDEX(Zeiterfassung!$K$6:$K$3665,$K1229),21))</f>
        <v/>
      </c>
      <c r="B1229" s="184">
        <f>IF($K1229="","",INDEX(Zeiterfassung!$K$6:$K$3665,$K1229))</f>
        <v/>
      </c>
      <c r="C1229" s="185">
        <f>IF($K1229="","",INDEX(Zeiterfassung!$K$6:$K$3665,$K1229))</f>
        <v/>
      </c>
      <c r="D1229" s="186">
        <f>IF($K1229="","",INDEX(Zeiterfassung!$D$6:$D$3665,$K1229))</f>
        <v/>
      </c>
      <c r="E1229" s="186">
        <f>IF($K1229="","",INDEX(Zeiterfassung!$E$6:$E$3665,$K1229))</f>
        <v/>
      </c>
      <c r="F1229" s="187">
        <f>IF($K1229="","",INDEX(Zeiterfassung!$F$6:$F$3665,$K1229))</f>
        <v/>
      </c>
      <c r="G1229" s="187">
        <f>IF($K1229="","",INDEX(Zeiterfassung!$G$6:$G$3665,$K1229))</f>
        <v/>
      </c>
      <c r="H1229" s="188">
        <f>IF($K1229="","",INDEX(Zeiterfassung!$H$6:$H$3665,$K1229))</f>
        <v/>
      </c>
      <c r="I1229" s="335">
        <f>IF(B1229=B1228,"",IF($K1229="","",INDEX(Zeiterfassung!$I$6:$I$3665,MATCH(INDEX(Zeiterfassung!$K$6:$K$3665,$K1229),Zeiterfassung!$K$6:$K$3665,0))))</f>
        <v/>
      </c>
      <c r="J1229" s="335">
        <f>IF(B1229=B1228,"",IF($K1229="","",INDEX(Zeiterfassung!$J$6:$J$3665,MATCH(INDEX(Zeiterfassung!$K$6:$K$3665,$K1229),Zeiterfassung!$K$6:$K$3665,0))))</f>
        <v/>
      </c>
      <c r="K1229">
        <f>IFERROR(AGGREGATE(15,6,(ROW(Zeiterfassung!$D$6:$D$3665)-ROW(Zeiterfassung!$D$6)+1)/(Zeiterfassung!$D$6:$D$3665&lt;&gt;""),1224),"")</f>
        <v/>
      </c>
    </row>
    <row r="1230" ht="20" customHeight="1">
      <c r="A1230" s="183">
        <f>IF($K1230="","",WEEKNUM(INDEX(Zeiterfassung!$K$6:$K$3665,$K1230),21))</f>
        <v/>
      </c>
      <c r="B1230" s="184">
        <f>IF($K1230="","",INDEX(Zeiterfassung!$K$6:$K$3665,$K1230))</f>
        <v/>
      </c>
      <c r="C1230" s="185">
        <f>IF($K1230="","",INDEX(Zeiterfassung!$K$6:$K$3665,$K1230))</f>
        <v/>
      </c>
      <c r="D1230" s="186">
        <f>IF($K1230="","",INDEX(Zeiterfassung!$D$6:$D$3665,$K1230))</f>
        <v/>
      </c>
      <c r="E1230" s="186">
        <f>IF($K1230="","",INDEX(Zeiterfassung!$E$6:$E$3665,$K1230))</f>
        <v/>
      </c>
      <c r="F1230" s="187">
        <f>IF($K1230="","",INDEX(Zeiterfassung!$F$6:$F$3665,$K1230))</f>
        <v/>
      </c>
      <c r="G1230" s="187">
        <f>IF($K1230="","",INDEX(Zeiterfassung!$G$6:$G$3665,$K1230))</f>
        <v/>
      </c>
      <c r="H1230" s="188">
        <f>IF($K1230="","",INDEX(Zeiterfassung!$H$6:$H$3665,$K1230))</f>
        <v/>
      </c>
      <c r="I1230" s="335">
        <f>IF(B1230=B1229,"",IF($K1230="","",INDEX(Zeiterfassung!$I$6:$I$3665,MATCH(INDEX(Zeiterfassung!$K$6:$K$3665,$K1230),Zeiterfassung!$K$6:$K$3665,0))))</f>
        <v/>
      </c>
      <c r="J1230" s="335">
        <f>IF(B1230=B1229,"",IF($K1230="","",INDEX(Zeiterfassung!$J$6:$J$3665,MATCH(INDEX(Zeiterfassung!$K$6:$K$3665,$K1230),Zeiterfassung!$K$6:$K$3665,0))))</f>
        <v/>
      </c>
      <c r="K1230">
        <f>IFERROR(AGGREGATE(15,6,(ROW(Zeiterfassung!$D$6:$D$3665)-ROW(Zeiterfassung!$D$6)+1)/(Zeiterfassung!$D$6:$D$3665&lt;&gt;""),1225),"")</f>
        <v/>
      </c>
    </row>
    <row r="1231" ht="20" customHeight="1">
      <c r="A1231" s="183">
        <f>IF($K1231="","",WEEKNUM(INDEX(Zeiterfassung!$K$6:$K$3665,$K1231),21))</f>
        <v/>
      </c>
      <c r="B1231" s="184">
        <f>IF($K1231="","",INDEX(Zeiterfassung!$K$6:$K$3665,$K1231))</f>
        <v/>
      </c>
      <c r="C1231" s="185">
        <f>IF($K1231="","",INDEX(Zeiterfassung!$K$6:$K$3665,$K1231))</f>
        <v/>
      </c>
      <c r="D1231" s="186">
        <f>IF($K1231="","",INDEX(Zeiterfassung!$D$6:$D$3665,$K1231))</f>
        <v/>
      </c>
      <c r="E1231" s="186">
        <f>IF($K1231="","",INDEX(Zeiterfassung!$E$6:$E$3665,$K1231))</f>
        <v/>
      </c>
      <c r="F1231" s="187">
        <f>IF($K1231="","",INDEX(Zeiterfassung!$F$6:$F$3665,$K1231))</f>
        <v/>
      </c>
      <c r="G1231" s="187">
        <f>IF($K1231="","",INDEX(Zeiterfassung!$G$6:$G$3665,$K1231))</f>
        <v/>
      </c>
      <c r="H1231" s="188">
        <f>IF($K1231="","",INDEX(Zeiterfassung!$H$6:$H$3665,$K1231))</f>
        <v/>
      </c>
      <c r="I1231" s="335">
        <f>IF(B1231=B1230,"",IF($K1231="","",INDEX(Zeiterfassung!$I$6:$I$3665,MATCH(INDEX(Zeiterfassung!$K$6:$K$3665,$K1231),Zeiterfassung!$K$6:$K$3665,0))))</f>
        <v/>
      </c>
      <c r="J1231" s="335">
        <f>IF(B1231=B1230,"",IF($K1231="","",INDEX(Zeiterfassung!$J$6:$J$3665,MATCH(INDEX(Zeiterfassung!$K$6:$K$3665,$K1231),Zeiterfassung!$K$6:$K$3665,0))))</f>
        <v/>
      </c>
      <c r="K1231">
        <f>IFERROR(AGGREGATE(15,6,(ROW(Zeiterfassung!$D$6:$D$3665)-ROW(Zeiterfassung!$D$6)+1)/(Zeiterfassung!$D$6:$D$3665&lt;&gt;""),1226),"")</f>
        <v/>
      </c>
    </row>
    <row r="1232" ht="20" customHeight="1">
      <c r="A1232" s="183">
        <f>IF($K1232="","",WEEKNUM(INDEX(Zeiterfassung!$K$6:$K$3665,$K1232),21))</f>
        <v/>
      </c>
      <c r="B1232" s="184">
        <f>IF($K1232="","",INDEX(Zeiterfassung!$K$6:$K$3665,$K1232))</f>
        <v/>
      </c>
      <c r="C1232" s="185">
        <f>IF($K1232="","",INDEX(Zeiterfassung!$K$6:$K$3665,$K1232))</f>
        <v/>
      </c>
      <c r="D1232" s="186">
        <f>IF($K1232="","",INDEX(Zeiterfassung!$D$6:$D$3665,$K1232))</f>
        <v/>
      </c>
      <c r="E1232" s="186">
        <f>IF($K1232="","",INDEX(Zeiterfassung!$E$6:$E$3665,$K1232))</f>
        <v/>
      </c>
      <c r="F1232" s="187">
        <f>IF($K1232="","",INDEX(Zeiterfassung!$F$6:$F$3665,$K1232))</f>
        <v/>
      </c>
      <c r="G1232" s="187">
        <f>IF($K1232="","",INDEX(Zeiterfassung!$G$6:$G$3665,$K1232))</f>
        <v/>
      </c>
      <c r="H1232" s="188">
        <f>IF($K1232="","",INDEX(Zeiterfassung!$H$6:$H$3665,$K1232))</f>
        <v/>
      </c>
      <c r="I1232" s="335">
        <f>IF(B1232=B1231,"",IF($K1232="","",INDEX(Zeiterfassung!$I$6:$I$3665,MATCH(INDEX(Zeiterfassung!$K$6:$K$3665,$K1232),Zeiterfassung!$K$6:$K$3665,0))))</f>
        <v/>
      </c>
      <c r="J1232" s="335">
        <f>IF(B1232=B1231,"",IF($K1232="","",INDEX(Zeiterfassung!$J$6:$J$3665,MATCH(INDEX(Zeiterfassung!$K$6:$K$3665,$K1232),Zeiterfassung!$K$6:$K$3665,0))))</f>
        <v/>
      </c>
      <c r="K1232">
        <f>IFERROR(AGGREGATE(15,6,(ROW(Zeiterfassung!$D$6:$D$3665)-ROW(Zeiterfassung!$D$6)+1)/(Zeiterfassung!$D$6:$D$3665&lt;&gt;""),1227),"")</f>
        <v/>
      </c>
    </row>
    <row r="1233" ht="20" customHeight="1">
      <c r="A1233" s="183">
        <f>IF($K1233="","",WEEKNUM(INDEX(Zeiterfassung!$K$6:$K$3665,$K1233),21))</f>
        <v/>
      </c>
      <c r="B1233" s="184">
        <f>IF($K1233="","",INDEX(Zeiterfassung!$K$6:$K$3665,$K1233))</f>
        <v/>
      </c>
      <c r="C1233" s="185">
        <f>IF($K1233="","",INDEX(Zeiterfassung!$K$6:$K$3665,$K1233))</f>
        <v/>
      </c>
      <c r="D1233" s="186">
        <f>IF($K1233="","",INDEX(Zeiterfassung!$D$6:$D$3665,$K1233))</f>
        <v/>
      </c>
      <c r="E1233" s="186">
        <f>IF($K1233="","",INDEX(Zeiterfassung!$E$6:$E$3665,$K1233))</f>
        <v/>
      </c>
      <c r="F1233" s="187">
        <f>IF($K1233="","",INDEX(Zeiterfassung!$F$6:$F$3665,$K1233))</f>
        <v/>
      </c>
      <c r="G1233" s="187">
        <f>IF($K1233="","",INDEX(Zeiterfassung!$G$6:$G$3665,$K1233))</f>
        <v/>
      </c>
      <c r="H1233" s="188">
        <f>IF($K1233="","",INDEX(Zeiterfassung!$H$6:$H$3665,$K1233))</f>
        <v/>
      </c>
      <c r="I1233" s="335">
        <f>IF(B1233=B1232,"",IF($K1233="","",INDEX(Zeiterfassung!$I$6:$I$3665,MATCH(INDEX(Zeiterfassung!$K$6:$K$3665,$K1233),Zeiterfassung!$K$6:$K$3665,0))))</f>
        <v/>
      </c>
      <c r="J1233" s="335">
        <f>IF(B1233=B1232,"",IF($K1233="","",INDEX(Zeiterfassung!$J$6:$J$3665,MATCH(INDEX(Zeiterfassung!$K$6:$K$3665,$K1233),Zeiterfassung!$K$6:$K$3665,0))))</f>
        <v/>
      </c>
      <c r="K1233">
        <f>IFERROR(AGGREGATE(15,6,(ROW(Zeiterfassung!$D$6:$D$3665)-ROW(Zeiterfassung!$D$6)+1)/(Zeiterfassung!$D$6:$D$3665&lt;&gt;""),1228),"")</f>
        <v/>
      </c>
    </row>
    <row r="1234" ht="20" customHeight="1">
      <c r="A1234" s="183">
        <f>IF($K1234="","",WEEKNUM(INDEX(Zeiterfassung!$K$6:$K$3665,$K1234),21))</f>
        <v/>
      </c>
      <c r="B1234" s="184">
        <f>IF($K1234="","",INDEX(Zeiterfassung!$K$6:$K$3665,$K1234))</f>
        <v/>
      </c>
      <c r="C1234" s="185">
        <f>IF($K1234="","",INDEX(Zeiterfassung!$K$6:$K$3665,$K1234))</f>
        <v/>
      </c>
      <c r="D1234" s="186">
        <f>IF($K1234="","",INDEX(Zeiterfassung!$D$6:$D$3665,$K1234))</f>
        <v/>
      </c>
      <c r="E1234" s="186">
        <f>IF($K1234="","",INDEX(Zeiterfassung!$E$6:$E$3665,$K1234))</f>
        <v/>
      </c>
      <c r="F1234" s="187">
        <f>IF($K1234="","",INDEX(Zeiterfassung!$F$6:$F$3665,$K1234))</f>
        <v/>
      </c>
      <c r="G1234" s="187">
        <f>IF($K1234="","",INDEX(Zeiterfassung!$G$6:$G$3665,$K1234))</f>
        <v/>
      </c>
      <c r="H1234" s="188">
        <f>IF($K1234="","",INDEX(Zeiterfassung!$H$6:$H$3665,$K1234))</f>
        <v/>
      </c>
      <c r="I1234" s="335">
        <f>IF(B1234=B1233,"",IF($K1234="","",INDEX(Zeiterfassung!$I$6:$I$3665,MATCH(INDEX(Zeiterfassung!$K$6:$K$3665,$K1234),Zeiterfassung!$K$6:$K$3665,0))))</f>
        <v/>
      </c>
      <c r="J1234" s="335">
        <f>IF(B1234=B1233,"",IF($K1234="","",INDEX(Zeiterfassung!$J$6:$J$3665,MATCH(INDEX(Zeiterfassung!$K$6:$K$3665,$K1234),Zeiterfassung!$K$6:$K$3665,0))))</f>
        <v/>
      </c>
      <c r="K1234">
        <f>IFERROR(AGGREGATE(15,6,(ROW(Zeiterfassung!$D$6:$D$3665)-ROW(Zeiterfassung!$D$6)+1)/(Zeiterfassung!$D$6:$D$3665&lt;&gt;""),1229),"")</f>
        <v/>
      </c>
    </row>
    <row r="1235" ht="20" customHeight="1">
      <c r="A1235" s="183">
        <f>IF($K1235="","",WEEKNUM(INDEX(Zeiterfassung!$K$6:$K$3665,$K1235),21))</f>
        <v/>
      </c>
      <c r="B1235" s="184">
        <f>IF($K1235="","",INDEX(Zeiterfassung!$K$6:$K$3665,$K1235))</f>
        <v/>
      </c>
      <c r="C1235" s="185">
        <f>IF($K1235="","",INDEX(Zeiterfassung!$K$6:$K$3665,$K1235))</f>
        <v/>
      </c>
      <c r="D1235" s="186">
        <f>IF($K1235="","",INDEX(Zeiterfassung!$D$6:$D$3665,$K1235))</f>
        <v/>
      </c>
      <c r="E1235" s="186">
        <f>IF($K1235="","",INDEX(Zeiterfassung!$E$6:$E$3665,$K1235))</f>
        <v/>
      </c>
      <c r="F1235" s="187">
        <f>IF($K1235="","",INDEX(Zeiterfassung!$F$6:$F$3665,$K1235))</f>
        <v/>
      </c>
      <c r="G1235" s="187">
        <f>IF($K1235="","",INDEX(Zeiterfassung!$G$6:$G$3665,$K1235))</f>
        <v/>
      </c>
      <c r="H1235" s="188">
        <f>IF($K1235="","",INDEX(Zeiterfassung!$H$6:$H$3665,$K1235))</f>
        <v/>
      </c>
      <c r="I1235" s="335">
        <f>IF(B1235=B1234,"",IF($K1235="","",INDEX(Zeiterfassung!$I$6:$I$3665,MATCH(INDEX(Zeiterfassung!$K$6:$K$3665,$K1235),Zeiterfassung!$K$6:$K$3665,0))))</f>
        <v/>
      </c>
      <c r="J1235" s="335">
        <f>IF(B1235=B1234,"",IF($K1235="","",INDEX(Zeiterfassung!$J$6:$J$3665,MATCH(INDEX(Zeiterfassung!$K$6:$K$3665,$K1235),Zeiterfassung!$K$6:$K$3665,0))))</f>
        <v/>
      </c>
      <c r="K1235">
        <f>IFERROR(AGGREGATE(15,6,(ROW(Zeiterfassung!$D$6:$D$3665)-ROW(Zeiterfassung!$D$6)+1)/(Zeiterfassung!$D$6:$D$3665&lt;&gt;""),1230),"")</f>
        <v/>
      </c>
    </row>
    <row r="1236" ht="20" customHeight="1">
      <c r="A1236" s="183">
        <f>IF($K1236="","",WEEKNUM(INDEX(Zeiterfassung!$K$6:$K$3665,$K1236),21))</f>
        <v/>
      </c>
      <c r="B1236" s="184">
        <f>IF($K1236="","",INDEX(Zeiterfassung!$K$6:$K$3665,$K1236))</f>
        <v/>
      </c>
      <c r="C1236" s="185">
        <f>IF($K1236="","",INDEX(Zeiterfassung!$K$6:$K$3665,$K1236))</f>
        <v/>
      </c>
      <c r="D1236" s="186">
        <f>IF($K1236="","",INDEX(Zeiterfassung!$D$6:$D$3665,$K1236))</f>
        <v/>
      </c>
      <c r="E1236" s="186">
        <f>IF($K1236="","",INDEX(Zeiterfassung!$E$6:$E$3665,$K1236))</f>
        <v/>
      </c>
      <c r="F1236" s="187">
        <f>IF($K1236="","",INDEX(Zeiterfassung!$F$6:$F$3665,$K1236))</f>
        <v/>
      </c>
      <c r="G1236" s="187">
        <f>IF($K1236="","",INDEX(Zeiterfassung!$G$6:$G$3665,$K1236))</f>
        <v/>
      </c>
      <c r="H1236" s="188">
        <f>IF($K1236="","",INDEX(Zeiterfassung!$H$6:$H$3665,$K1236))</f>
        <v/>
      </c>
      <c r="I1236" s="335">
        <f>IF(B1236=B1235,"",IF($K1236="","",INDEX(Zeiterfassung!$I$6:$I$3665,MATCH(INDEX(Zeiterfassung!$K$6:$K$3665,$K1236),Zeiterfassung!$K$6:$K$3665,0))))</f>
        <v/>
      </c>
      <c r="J1236" s="335">
        <f>IF(B1236=B1235,"",IF($K1236="","",INDEX(Zeiterfassung!$J$6:$J$3665,MATCH(INDEX(Zeiterfassung!$K$6:$K$3665,$K1236),Zeiterfassung!$K$6:$K$3665,0))))</f>
        <v/>
      </c>
      <c r="K1236">
        <f>IFERROR(AGGREGATE(15,6,(ROW(Zeiterfassung!$D$6:$D$3665)-ROW(Zeiterfassung!$D$6)+1)/(Zeiterfassung!$D$6:$D$3665&lt;&gt;""),1231),"")</f>
        <v/>
      </c>
    </row>
    <row r="1237" ht="20" customHeight="1">
      <c r="A1237" s="183">
        <f>IF($K1237="","",WEEKNUM(INDEX(Zeiterfassung!$K$6:$K$3665,$K1237),21))</f>
        <v/>
      </c>
      <c r="B1237" s="184">
        <f>IF($K1237="","",INDEX(Zeiterfassung!$K$6:$K$3665,$K1237))</f>
        <v/>
      </c>
      <c r="C1237" s="185">
        <f>IF($K1237="","",INDEX(Zeiterfassung!$K$6:$K$3665,$K1237))</f>
        <v/>
      </c>
      <c r="D1237" s="186">
        <f>IF($K1237="","",INDEX(Zeiterfassung!$D$6:$D$3665,$K1237))</f>
        <v/>
      </c>
      <c r="E1237" s="186">
        <f>IF($K1237="","",INDEX(Zeiterfassung!$E$6:$E$3665,$K1237))</f>
        <v/>
      </c>
      <c r="F1237" s="187">
        <f>IF($K1237="","",INDEX(Zeiterfassung!$F$6:$F$3665,$K1237))</f>
        <v/>
      </c>
      <c r="G1237" s="187">
        <f>IF($K1237="","",INDEX(Zeiterfassung!$G$6:$G$3665,$K1237))</f>
        <v/>
      </c>
      <c r="H1237" s="188">
        <f>IF($K1237="","",INDEX(Zeiterfassung!$H$6:$H$3665,$K1237))</f>
        <v/>
      </c>
      <c r="I1237" s="335">
        <f>IF(B1237=B1236,"",IF($K1237="","",INDEX(Zeiterfassung!$I$6:$I$3665,MATCH(INDEX(Zeiterfassung!$K$6:$K$3665,$K1237),Zeiterfassung!$K$6:$K$3665,0))))</f>
        <v/>
      </c>
      <c r="J1237" s="335">
        <f>IF(B1237=B1236,"",IF($K1237="","",INDEX(Zeiterfassung!$J$6:$J$3665,MATCH(INDEX(Zeiterfassung!$K$6:$K$3665,$K1237),Zeiterfassung!$K$6:$K$3665,0))))</f>
        <v/>
      </c>
      <c r="K1237">
        <f>IFERROR(AGGREGATE(15,6,(ROW(Zeiterfassung!$D$6:$D$3665)-ROW(Zeiterfassung!$D$6)+1)/(Zeiterfassung!$D$6:$D$3665&lt;&gt;""),1232),"")</f>
        <v/>
      </c>
    </row>
    <row r="1238" ht="20" customHeight="1">
      <c r="A1238" s="183">
        <f>IF($K1238="","",WEEKNUM(INDEX(Zeiterfassung!$K$6:$K$3665,$K1238),21))</f>
        <v/>
      </c>
      <c r="B1238" s="184">
        <f>IF($K1238="","",INDEX(Zeiterfassung!$K$6:$K$3665,$K1238))</f>
        <v/>
      </c>
      <c r="C1238" s="185">
        <f>IF($K1238="","",INDEX(Zeiterfassung!$K$6:$K$3665,$K1238))</f>
        <v/>
      </c>
      <c r="D1238" s="186">
        <f>IF($K1238="","",INDEX(Zeiterfassung!$D$6:$D$3665,$K1238))</f>
        <v/>
      </c>
      <c r="E1238" s="186">
        <f>IF($K1238="","",INDEX(Zeiterfassung!$E$6:$E$3665,$K1238))</f>
        <v/>
      </c>
      <c r="F1238" s="187">
        <f>IF($K1238="","",INDEX(Zeiterfassung!$F$6:$F$3665,$K1238))</f>
        <v/>
      </c>
      <c r="G1238" s="187">
        <f>IF($K1238="","",INDEX(Zeiterfassung!$G$6:$G$3665,$K1238))</f>
        <v/>
      </c>
      <c r="H1238" s="188">
        <f>IF($K1238="","",INDEX(Zeiterfassung!$H$6:$H$3665,$K1238))</f>
        <v/>
      </c>
      <c r="I1238" s="335">
        <f>IF(B1238=B1237,"",IF($K1238="","",INDEX(Zeiterfassung!$I$6:$I$3665,MATCH(INDEX(Zeiterfassung!$K$6:$K$3665,$K1238),Zeiterfassung!$K$6:$K$3665,0))))</f>
        <v/>
      </c>
      <c r="J1238" s="335">
        <f>IF(B1238=B1237,"",IF($K1238="","",INDEX(Zeiterfassung!$J$6:$J$3665,MATCH(INDEX(Zeiterfassung!$K$6:$K$3665,$K1238),Zeiterfassung!$K$6:$K$3665,0))))</f>
        <v/>
      </c>
      <c r="K1238">
        <f>IFERROR(AGGREGATE(15,6,(ROW(Zeiterfassung!$D$6:$D$3665)-ROW(Zeiterfassung!$D$6)+1)/(Zeiterfassung!$D$6:$D$3665&lt;&gt;""),1233),"")</f>
        <v/>
      </c>
    </row>
    <row r="1239" ht="20" customHeight="1">
      <c r="A1239" s="183">
        <f>IF($K1239="","",WEEKNUM(INDEX(Zeiterfassung!$K$6:$K$3665,$K1239),21))</f>
        <v/>
      </c>
      <c r="B1239" s="184">
        <f>IF($K1239="","",INDEX(Zeiterfassung!$K$6:$K$3665,$K1239))</f>
        <v/>
      </c>
      <c r="C1239" s="185">
        <f>IF($K1239="","",INDEX(Zeiterfassung!$K$6:$K$3665,$K1239))</f>
        <v/>
      </c>
      <c r="D1239" s="186">
        <f>IF($K1239="","",INDEX(Zeiterfassung!$D$6:$D$3665,$K1239))</f>
        <v/>
      </c>
      <c r="E1239" s="186">
        <f>IF($K1239="","",INDEX(Zeiterfassung!$E$6:$E$3665,$K1239))</f>
        <v/>
      </c>
      <c r="F1239" s="187">
        <f>IF($K1239="","",INDEX(Zeiterfassung!$F$6:$F$3665,$K1239))</f>
        <v/>
      </c>
      <c r="G1239" s="187">
        <f>IF($K1239="","",INDEX(Zeiterfassung!$G$6:$G$3665,$K1239))</f>
        <v/>
      </c>
      <c r="H1239" s="188">
        <f>IF($K1239="","",INDEX(Zeiterfassung!$H$6:$H$3665,$K1239))</f>
        <v/>
      </c>
      <c r="I1239" s="335">
        <f>IF(B1239=B1238,"",IF($K1239="","",INDEX(Zeiterfassung!$I$6:$I$3665,MATCH(INDEX(Zeiterfassung!$K$6:$K$3665,$K1239),Zeiterfassung!$K$6:$K$3665,0))))</f>
        <v/>
      </c>
      <c r="J1239" s="335">
        <f>IF(B1239=B1238,"",IF($K1239="","",INDEX(Zeiterfassung!$J$6:$J$3665,MATCH(INDEX(Zeiterfassung!$K$6:$K$3665,$K1239),Zeiterfassung!$K$6:$K$3665,0))))</f>
        <v/>
      </c>
      <c r="K1239">
        <f>IFERROR(AGGREGATE(15,6,(ROW(Zeiterfassung!$D$6:$D$3665)-ROW(Zeiterfassung!$D$6)+1)/(Zeiterfassung!$D$6:$D$3665&lt;&gt;""),1234),"")</f>
        <v/>
      </c>
    </row>
    <row r="1240" ht="20" customHeight="1">
      <c r="A1240" s="183">
        <f>IF($K1240="","",WEEKNUM(INDEX(Zeiterfassung!$K$6:$K$3665,$K1240),21))</f>
        <v/>
      </c>
      <c r="B1240" s="184">
        <f>IF($K1240="","",INDEX(Zeiterfassung!$K$6:$K$3665,$K1240))</f>
        <v/>
      </c>
      <c r="C1240" s="185">
        <f>IF($K1240="","",INDEX(Zeiterfassung!$K$6:$K$3665,$K1240))</f>
        <v/>
      </c>
      <c r="D1240" s="186">
        <f>IF($K1240="","",INDEX(Zeiterfassung!$D$6:$D$3665,$K1240))</f>
        <v/>
      </c>
      <c r="E1240" s="186">
        <f>IF($K1240="","",INDEX(Zeiterfassung!$E$6:$E$3665,$K1240))</f>
        <v/>
      </c>
      <c r="F1240" s="187">
        <f>IF($K1240="","",INDEX(Zeiterfassung!$F$6:$F$3665,$K1240))</f>
        <v/>
      </c>
      <c r="G1240" s="187">
        <f>IF($K1240="","",INDEX(Zeiterfassung!$G$6:$G$3665,$K1240))</f>
        <v/>
      </c>
      <c r="H1240" s="188">
        <f>IF($K1240="","",INDEX(Zeiterfassung!$H$6:$H$3665,$K1240))</f>
        <v/>
      </c>
      <c r="I1240" s="335">
        <f>IF(B1240=B1239,"",IF($K1240="","",INDEX(Zeiterfassung!$I$6:$I$3665,MATCH(INDEX(Zeiterfassung!$K$6:$K$3665,$K1240),Zeiterfassung!$K$6:$K$3665,0))))</f>
        <v/>
      </c>
      <c r="J1240" s="335">
        <f>IF(B1240=B1239,"",IF($K1240="","",INDEX(Zeiterfassung!$J$6:$J$3665,MATCH(INDEX(Zeiterfassung!$K$6:$K$3665,$K1240),Zeiterfassung!$K$6:$K$3665,0))))</f>
        <v/>
      </c>
      <c r="K1240">
        <f>IFERROR(AGGREGATE(15,6,(ROW(Zeiterfassung!$D$6:$D$3665)-ROW(Zeiterfassung!$D$6)+1)/(Zeiterfassung!$D$6:$D$3665&lt;&gt;""),1235),"")</f>
        <v/>
      </c>
    </row>
    <row r="1241" ht="20" customHeight="1">
      <c r="A1241" s="183">
        <f>IF($K1241="","",WEEKNUM(INDEX(Zeiterfassung!$K$6:$K$3665,$K1241),21))</f>
        <v/>
      </c>
      <c r="B1241" s="184">
        <f>IF($K1241="","",INDEX(Zeiterfassung!$K$6:$K$3665,$K1241))</f>
        <v/>
      </c>
      <c r="C1241" s="185">
        <f>IF($K1241="","",INDEX(Zeiterfassung!$K$6:$K$3665,$K1241))</f>
        <v/>
      </c>
      <c r="D1241" s="186">
        <f>IF($K1241="","",INDEX(Zeiterfassung!$D$6:$D$3665,$K1241))</f>
        <v/>
      </c>
      <c r="E1241" s="186">
        <f>IF($K1241="","",INDEX(Zeiterfassung!$E$6:$E$3665,$K1241))</f>
        <v/>
      </c>
      <c r="F1241" s="187">
        <f>IF($K1241="","",INDEX(Zeiterfassung!$F$6:$F$3665,$K1241))</f>
        <v/>
      </c>
      <c r="G1241" s="187">
        <f>IF($K1241="","",INDEX(Zeiterfassung!$G$6:$G$3665,$K1241))</f>
        <v/>
      </c>
      <c r="H1241" s="188">
        <f>IF($K1241="","",INDEX(Zeiterfassung!$H$6:$H$3665,$K1241))</f>
        <v/>
      </c>
      <c r="I1241" s="335">
        <f>IF(B1241=B1240,"",IF($K1241="","",INDEX(Zeiterfassung!$I$6:$I$3665,MATCH(INDEX(Zeiterfassung!$K$6:$K$3665,$K1241),Zeiterfassung!$K$6:$K$3665,0))))</f>
        <v/>
      </c>
      <c r="J1241" s="335">
        <f>IF(B1241=B1240,"",IF($K1241="","",INDEX(Zeiterfassung!$J$6:$J$3665,MATCH(INDEX(Zeiterfassung!$K$6:$K$3665,$K1241),Zeiterfassung!$K$6:$K$3665,0))))</f>
        <v/>
      </c>
      <c r="K1241">
        <f>IFERROR(AGGREGATE(15,6,(ROW(Zeiterfassung!$D$6:$D$3665)-ROW(Zeiterfassung!$D$6)+1)/(Zeiterfassung!$D$6:$D$3665&lt;&gt;""),1236),"")</f>
        <v/>
      </c>
    </row>
    <row r="1242" ht="20" customHeight="1">
      <c r="A1242" s="183">
        <f>IF($K1242="","",WEEKNUM(INDEX(Zeiterfassung!$K$6:$K$3665,$K1242),21))</f>
        <v/>
      </c>
      <c r="B1242" s="184">
        <f>IF($K1242="","",INDEX(Zeiterfassung!$K$6:$K$3665,$K1242))</f>
        <v/>
      </c>
      <c r="C1242" s="185">
        <f>IF($K1242="","",INDEX(Zeiterfassung!$K$6:$K$3665,$K1242))</f>
        <v/>
      </c>
      <c r="D1242" s="186">
        <f>IF($K1242="","",INDEX(Zeiterfassung!$D$6:$D$3665,$K1242))</f>
        <v/>
      </c>
      <c r="E1242" s="186">
        <f>IF($K1242="","",INDEX(Zeiterfassung!$E$6:$E$3665,$K1242))</f>
        <v/>
      </c>
      <c r="F1242" s="187">
        <f>IF($K1242="","",INDEX(Zeiterfassung!$F$6:$F$3665,$K1242))</f>
        <v/>
      </c>
      <c r="G1242" s="187">
        <f>IF($K1242="","",INDEX(Zeiterfassung!$G$6:$G$3665,$K1242))</f>
        <v/>
      </c>
      <c r="H1242" s="188">
        <f>IF($K1242="","",INDEX(Zeiterfassung!$H$6:$H$3665,$K1242))</f>
        <v/>
      </c>
      <c r="I1242" s="335">
        <f>IF(B1242=B1241,"",IF($K1242="","",INDEX(Zeiterfassung!$I$6:$I$3665,MATCH(INDEX(Zeiterfassung!$K$6:$K$3665,$K1242),Zeiterfassung!$K$6:$K$3665,0))))</f>
        <v/>
      </c>
      <c r="J1242" s="335">
        <f>IF(B1242=B1241,"",IF($K1242="","",INDEX(Zeiterfassung!$J$6:$J$3665,MATCH(INDEX(Zeiterfassung!$K$6:$K$3665,$K1242),Zeiterfassung!$K$6:$K$3665,0))))</f>
        <v/>
      </c>
      <c r="K1242">
        <f>IFERROR(AGGREGATE(15,6,(ROW(Zeiterfassung!$D$6:$D$3665)-ROW(Zeiterfassung!$D$6)+1)/(Zeiterfassung!$D$6:$D$3665&lt;&gt;""),1237),"")</f>
        <v/>
      </c>
    </row>
    <row r="1243" ht="20" customHeight="1">
      <c r="A1243" s="183">
        <f>IF($K1243="","",WEEKNUM(INDEX(Zeiterfassung!$K$6:$K$3665,$K1243),21))</f>
        <v/>
      </c>
      <c r="B1243" s="184">
        <f>IF($K1243="","",INDEX(Zeiterfassung!$K$6:$K$3665,$K1243))</f>
        <v/>
      </c>
      <c r="C1243" s="185">
        <f>IF($K1243="","",INDEX(Zeiterfassung!$K$6:$K$3665,$K1243))</f>
        <v/>
      </c>
      <c r="D1243" s="186">
        <f>IF($K1243="","",INDEX(Zeiterfassung!$D$6:$D$3665,$K1243))</f>
        <v/>
      </c>
      <c r="E1243" s="186">
        <f>IF($K1243="","",INDEX(Zeiterfassung!$E$6:$E$3665,$K1243))</f>
        <v/>
      </c>
      <c r="F1243" s="187">
        <f>IF($K1243="","",INDEX(Zeiterfassung!$F$6:$F$3665,$K1243))</f>
        <v/>
      </c>
      <c r="G1243" s="187">
        <f>IF($K1243="","",INDEX(Zeiterfassung!$G$6:$G$3665,$K1243))</f>
        <v/>
      </c>
      <c r="H1243" s="188">
        <f>IF($K1243="","",INDEX(Zeiterfassung!$H$6:$H$3665,$K1243))</f>
        <v/>
      </c>
      <c r="I1243" s="335">
        <f>IF(B1243=B1242,"",IF($K1243="","",INDEX(Zeiterfassung!$I$6:$I$3665,MATCH(INDEX(Zeiterfassung!$K$6:$K$3665,$K1243),Zeiterfassung!$K$6:$K$3665,0))))</f>
        <v/>
      </c>
      <c r="J1243" s="335">
        <f>IF(B1243=B1242,"",IF($K1243="","",INDEX(Zeiterfassung!$J$6:$J$3665,MATCH(INDEX(Zeiterfassung!$K$6:$K$3665,$K1243),Zeiterfassung!$K$6:$K$3665,0))))</f>
        <v/>
      </c>
      <c r="K1243">
        <f>IFERROR(AGGREGATE(15,6,(ROW(Zeiterfassung!$D$6:$D$3665)-ROW(Zeiterfassung!$D$6)+1)/(Zeiterfassung!$D$6:$D$3665&lt;&gt;""),1238),"")</f>
        <v/>
      </c>
    </row>
    <row r="1244" ht="20" customHeight="1">
      <c r="A1244" s="183">
        <f>IF($K1244="","",WEEKNUM(INDEX(Zeiterfassung!$K$6:$K$3665,$K1244),21))</f>
        <v/>
      </c>
      <c r="B1244" s="184">
        <f>IF($K1244="","",INDEX(Zeiterfassung!$K$6:$K$3665,$K1244))</f>
        <v/>
      </c>
      <c r="C1244" s="185">
        <f>IF($K1244="","",INDEX(Zeiterfassung!$K$6:$K$3665,$K1244))</f>
        <v/>
      </c>
      <c r="D1244" s="186">
        <f>IF($K1244="","",INDEX(Zeiterfassung!$D$6:$D$3665,$K1244))</f>
        <v/>
      </c>
      <c r="E1244" s="186">
        <f>IF($K1244="","",INDEX(Zeiterfassung!$E$6:$E$3665,$K1244))</f>
        <v/>
      </c>
      <c r="F1244" s="187">
        <f>IF($K1244="","",INDEX(Zeiterfassung!$F$6:$F$3665,$K1244))</f>
        <v/>
      </c>
      <c r="G1244" s="187">
        <f>IF($K1244="","",INDEX(Zeiterfassung!$G$6:$G$3665,$K1244))</f>
        <v/>
      </c>
      <c r="H1244" s="188">
        <f>IF($K1244="","",INDEX(Zeiterfassung!$H$6:$H$3665,$K1244))</f>
        <v/>
      </c>
      <c r="I1244" s="335">
        <f>IF(B1244=B1243,"",IF($K1244="","",INDEX(Zeiterfassung!$I$6:$I$3665,MATCH(INDEX(Zeiterfassung!$K$6:$K$3665,$K1244),Zeiterfassung!$K$6:$K$3665,0))))</f>
        <v/>
      </c>
      <c r="J1244" s="335">
        <f>IF(B1244=B1243,"",IF($K1244="","",INDEX(Zeiterfassung!$J$6:$J$3665,MATCH(INDEX(Zeiterfassung!$K$6:$K$3665,$K1244),Zeiterfassung!$K$6:$K$3665,0))))</f>
        <v/>
      </c>
      <c r="K1244">
        <f>IFERROR(AGGREGATE(15,6,(ROW(Zeiterfassung!$D$6:$D$3665)-ROW(Zeiterfassung!$D$6)+1)/(Zeiterfassung!$D$6:$D$3665&lt;&gt;""),1239),"")</f>
        <v/>
      </c>
    </row>
    <row r="1245" ht="20" customHeight="1">
      <c r="A1245" s="183">
        <f>IF($K1245="","",WEEKNUM(INDEX(Zeiterfassung!$K$6:$K$3665,$K1245),21))</f>
        <v/>
      </c>
      <c r="B1245" s="184">
        <f>IF($K1245="","",INDEX(Zeiterfassung!$K$6:$K$3665,$K1245))</f>
        <v/>
      </c>
      <c r="C1245" s="185">
        <f>IF($K1245="","",INDEX(Zeiterfassung!$K$6:$K$3665,$K1245))</f>
        <v/>
      </c>
      <c r="D1245" s="186">
        <f>IF($K1245="","",INDEX(Zeiterfassung!$D$6:$D$3665,$K1245))</f>
        <v/>
      </c>
      <c r="E1245" s="186">
        <f>IF($K1245="","",INDEX(Zeiterfassung!$E$6:$E$3665,$K1245))</f>
        <v/>
      </c>
      <c r="F1245" s="187">
        <f>IF($K1245="","",INDEX(Zeiterfassung!$F$6:$F$3665,$K1245))</f>
        <v/>
      </c>
      <c r="G1245" s="187">
        <f>IF($K1245="","",INDEX(Zeiterfassung!$G$6:$G$3665,$K1245))</f>
        <v/>
      </c>
      <c r="H1245" s="188">
        <f>IF($K1245="","",INDEX(Zeiterfassung!$H$6:$H$3665,$K1245))</f>
        <v/>
      </c>
      <c r="I1245" s="335">
        <f>IF(B1245=B1244,"",IF($K1245="","",INDEX(Zeiterfassung!$I$6:$I$3665,MATCH(INDEX(Zeiterfassung!$K$6:$K$3665,$K1245),Zeiterfassung!$K$6:$K$3665,0))))</f>
        <v/>
      </c>
      <c r="J1245" s="335">
        <f>IF(B1245=B1244,"",IF($K1245="","",INDEX(Zeiterfassung!$J$6:$J$3665,MATCH(INDEX(Zeiterfassung!$K$6:$K$3665,$K1245),Zeiterfassung!$K$6:$K$3665,0))))</f>
        <v/>
      </c>
      <c r="K1245">
        <f>IFERROR(AGGREGATE(15,6,(ROW(Zeiterfassung!$D$6:$D$3665)-ROW(Zeiterfassung!$D$6)+1)/(Zeiterfassung!$D$6:$D$3665&lt;&gt;""),1240),"")</f>
        <v/>
      </c>
    </row>
    <row r="1246" ht="20" customHeight="1">
      <c r="A1246" s="183">
        <f>IF($K1246="","",WEEKNUM(INDEX(Zeiterfassung!$K$6:$K$3665,$K1246),21))</f>
        <v/>
      </c>
      <c r="B1246" s="184">
        <f>IF($K1246="","",INDEX(Zeiterfassung!$K$6:$K$3665,$K1246))</f>
        <v/>
      </c>
      <c r="C1246" s="185">
        <f>IF($K1246="","",INDEX(Zeiterfassung!$K$6:$K$3665,$K1246))</f>
        <v/>
      </c>
      <c r="D1246" s="186">
        <f>IF($K1246="","",INDEX(Zeiterfassung!$D$6:$D$3665,$K1246))</f>
        <v/>
      </c>
      <c r="E1246" s="186">
        <f>IF($K1246="","",INDEX(Zeiterfassung!$E$6:$E$3665,$K1246))</f>
        <v/>
      </c>
      <c r="F1246" s="187">
        <f>IF($K1246="","",INDEX(Zeiterfassung!$F$6:$F$3665,$K1246))</f>
        <v/>
      </c>
      <c r="G1246" s="187">
        <f>IF($K1246="","",INDEX(Zeiterfassung!$G$6:$G$3665,$K1246))</f>
        <v/>
      </c>
      <c r="H1246" s="188">
        <f>IF($K1246="","",INDEX(Zeiterfassung!$H$6:$H$3665,$K1246))</f>
        <v/>
      </c>
      <c r="I1246" s="335">
        <f>IF(B1246=B1245,"",IF($K1246="","",INDEX(Zeiterfassung!$I$6:$I$3665,MATCH(INDEX(Zeiterfassung!$K$6:$K$3665,$K1246),Zeiterfassung!$K$6:$K$3665,0))))</f>
        <v/>
      </c>
      <c r="J1246" s="335">
        <f>IF(B1246=B1245,"",IF($K1246="","",INDEX(Zeiterfassung!$J$6:$J$3665,MATCH(INDEX(Zeiterfassung!$K$6:$K$3665,$K1246),Zeiterfassung!$K$6:$K$3665,0))))</f>
        <v/>
      </c>
      <c r="K1246">
        <f>IFERROR(AGGREGATE(15,6,(ROW(Zeiterfassung!$D$6:$D$3665)-ROW(Zeiterfassung!$D$6)+1)/(Zeiterfassung!$D$6:$D$3665&lt;&gt;""),1241),"")</f>
        <v/>
      </c>
    </row>
    <row r="1247" ht="20" customHeight="1">
      <c r="A1247" s="183">
        <f>IF($K1247="","",WEEKNUM(INDEX(Zeiterfassung!$K$6:$K$3665,$K1247),21))</f>
        <v/>
      </c>
      <c r="B1247" s="184">
        <f>IF($K1247="","",INDEX(Zeiterfassung!$K$6:$K$3665,$K1247))</f>
        <v/>
      </c>
      <c r="C1247" s="185">
        <f>IF($K1247="","",INDEX(Zeiterfassung!$K$6:$K$3665,$K1247))</f>
        <v/>
      </c>
      <c r="D1247" s="186">
        <f>IF($K1247="","",INDEX(Zeiterfassung!$D$6:$D$3665,$K1247))</f>
        <v/>
      </c>
      <c r="E1247" s="186">
        <f>IF($K1247="","",INDEX(Zeiterfassung!$E$6:$E$3665,$K1247))</f>
        <v/>
      </c>
      <c r="F1247" s="187">
        <f>IF($K1247="","",INDEX(Zeiterfassung!$F$6:$F$3665,$K1247))</f>
        <v/>
      </c>
      <c r="G1247" s="187">
        <f>IF($K1247="","",INDEX(Zeiterfassung!$G$6:$G$3665,$K1247))</f>
        <v/>
      </c>
      <c r="H1247" s="188">
        <f>IF($K1247="","",INDEX(Zeiterfassung!$H$6:$H$3665,$K1247))</f>
        <v/>
      </c>
      <c r="I1247" s="335">
        <f>IF(B1247=B1246,"",IF($K1247="","",INDEX(Zeiterfassung!$I$6:$I$3665,MATCH(INDEX(Zeiterfassung!$K$6:$K$3665,$K1247),Zeiterfassung!$K$6:$K$3665,0))))</f>
        <v/>
      </c>
      <c r="J1247" s="335">
        <f>IF(B1247=B1246,"",IF($K1247="","",INDEX(Zeiterfassung!$J$6:$J$3665,MATCH(INDEX(Zeiterfassung!$K$6:$K$3665,$K1247),Zeiterfassung!$K$6:$K$3665,0))))</f>
        <v/>
      </c>
      <c r="K1247">
        <f>IFERROR(AGGREGATE(15,6,(ROW(Zeiterfassung!$D$6:$D$3665)-ROW(Zeiterfassung!$D$6)+1)/(Zeiterfassung!$D$6:$D$3665&lt;&gt;""),1242),"")</f>
        <v/>
      </c>
    </row>
    <row r="1248" ht="20" customHeight="1">
      <c r="A1248" s="183">
        <f>IF($K1248="","",WEEKNUM(INDEX(Zeiterfassung!$K$6:$K$3665,$K1248),21))</f>
        <v/>
      </c>
      <c r="B1248" s="184">
        <f>IF($K1248="","",INDEX(Zeiterfassung!$K$6:$K$3665,$K1248))</f>
        <v/>
      </c>
      <c r="C1248" s="185">
        <f>IF($K1248="","",INDEX(Zeiterfassung!$K$6:$K$3665,$K1248))</f>
        <v/>
      </c>
      <c r="D1248" s="186">
        <f>IF($K1248="","",INDEX(Zeiterfassung!$D$6:$D$3665,$K1248))</f>
        <v/>
      </c>
      <c r="E1248" s="186">
        <f>IF($K1248="","",INDEX(Zeiterfassung!$E$6:$E$3665,$K1248))</f>
        <v/>
      </c>
      <c r="F1248" s="187">
        <f>IF($K1248="","",INDEX(Zeiterfassung!$F$6:$F$3665,$K1248))</f>
        <v/>
      </c>
      <c r="G1248" s="187">
        <f>IF($K1248="","",INDEX(Zeiterfassung!$G$6:$G$3665,$K1248))</f>
        <v/>
      </c>
      <c r="H1248" s="188">
        <f>IF($K1248="","",INDEX(Zeiterfassung!$H$6:$H$3665,$K1248))</f>
        <v/>
      </c>
      <c r="I1248" s="335">
        <f>IF(B1248=B1247,"",IF($K1248="","",INDEX(Zeiterfassung!$I$6:$I$3665,MATCH(INDEX(Zeiterfassung!$K$6:$K$3665,$K1248),Zeiterfassung!$K$6:$K$3665,0))))</f>
        <v/>
      </c>
      <c r="J1248" s="335">
        <f>IF(B1248=B1247,"",IF($K1248="","",INDEX(Zeiterfassung!$J$6:$J$3665,MATCH(INDEX(Zeiterfassung!$K$6:$K$3665,$K1248),Zeiterfassung!$K$6:$K$3665,0))))</f>
        <v/>
      </c>
      <c r="K1248">
        <f>IFERROR(AGGREGATE(15,6,(ROW(Zeiterfassung!$D$6:$D$3665)-ROW(Zeiterfassung!$D$6)+1)/(Zeiterfassung!$D$6:$D$3665&lt;&gt;""),1243),"")</f>
        <v/>
      </c>
    </row>
    <row r="1249" ht="20" customHeight="1">
      <c r="A1249" s="183">
        <f>IF($K1249="","",WEEKNUM(INDEX(Zeiterfassung!$K$6:$K$3665,$K1249),21))</f>
        <v/>
      </c>
      <c r="B1249" s="184">
        <f>IF($K1249="","",INDEX(Zeiterfassung!$K$6:$K$3665,$K1249))</f>
        <v/>
      </c>
      <c r="C1249" s="185">
        <f>IF($K1249="","",INDEX(Zeiterfassung!$K$6:$K$3665,$K1249))</f>
        <v/>
      </c>
      <c r="D1249" s="186">
        <f>IF($K1249="","",INDEX(Zeiterfassung!$D$6:$D$3665,$K1249))</f>
        <v/>
      </c>
      <c r="E1249" s="186">
        <f>IF($K1249="","",INDEX(Zeiterfassung!$E$6:$E$3665,$K1249))</f>
        <v/>
      </c>
      <c r="F1249" s="187">
        <f>IF($K1249="","",INDEX(Zeiterfassung!$F$6:$F$3665,$K1249))</f>
        <v/>
      </c>
      <c r="G1249" s="187">
        <f>IF($K1249="","",INDEX(Zeiterfassung!$G$6:$G$3665,$K1249))</f>
        <v/>
      </c>
      <c r="H1249" s="188">
        <f>IF($K1249="","",INDEX(Zeiterfassung!$H$6:$H$3665,$K1249))</f>
        <v/>
      </c>
      <c r="I1249" s="335">
        <f>IF(B1249=B1248,"",IF($K1249="","",INDEX(Zeiterfassung!$I$6:$I$3665,MATCH(INDEX(Zeiterfassung!$K$6:$K$3665,$K1249),Zeiterfassung!$K$6:$K$3665,0))))</f>
        <v/>
      </c>
      <c r="J1249" s="335">
        <f>IF(B1249=B1248,"",IF($K1249="","",INDEX(Zeiterfassung!$J$6:$J$3665,MATCH(INDEX(Zeiterfassung!$K$6:$K$3665,$K1249),Zeiterfassung!$K$6:$K$3665,0))))</f>
        <v/>
      </c>
      <c r="K1249">
        <f>IFERROR(AGGREGATE(15,6,(ROW(Zeiterfassung!$D$6:$D$3665)-ROW(Zeiterfassung!$D$6)+1)/(Zeiterfassung!$D$6:$D$3665&lt;&gt;""),1244),"")</f>
        <v/>
      </c>
    </row>
    <row r="1250" ht="20" customHeight="1">
      <c r="A1250" s="183">
        <f>IF($K1250="","",WEEKNUM(INDEX(Zeiterfassung!$K$6:$K$3665,$K1250),21))</f>
        <v/>
      </c>
      <c r="B1250" s="184">
        <f>IF($K1250="","",INDEX(Zeiterfassung!$K$6:$K$3665,$K1250))</f>
        <v/>
      </c>
      <c r="C1250" s="185">
        <f>IF($K1250="","",INDEX(Zeiterfassung!$K$6:$K$3665,$K1250))</f>
        <v/>
      </c>
      <c r="D1250" s="186">
        <f>IF($K1250="","",INDEX(Zeiterfassung!$D$6:$D$3665,$K1250))</f>
        <v/>
      </c>
      <c r="E1250" s="186">
        <f>IF($K1250="","",INDEX(Zeiterfassung!$E$6:$E$3665,$K1250))</f>
        <v/>
      </c>
      <c r="F1250" s="187">
        <f>IF($K1250="","",INDEX(Zeiterfassung!$F$6:$F$3665,$K1250))</f>
        <v/>
      </c>
      <c r="G1250" s="187">
        <f>IF($K1250="","",INDEX(Zeiterfassung!$G$6:$G$3665,$K1250))</f>
        <v/>
      </c>
      <c r="H1250" s="188">
        <f>IF($K1250="","",INDEX(Zeiterfassung!$H$6:$H$3665,$K1250))</f>
        <v/>
      </c>
      <c r="I1250" s="335">
        <f>IF(B1250=B1249,"",IF($K1250="","",INDEX(Zeiterfassung!$I$6:$I$3665,MATCH(INDEX(Zeiterfassung!$K$6:$K$3665,$K1250),Zeiterfassung!$K$6:$K$3665,0))))</f>
        <v/>
      </c>
      <c r="J1250" s="335">
        <f>IF(B1250=B1249,"",IF($K1250="","",INDEX(Zeiterfassung!$J$6:$J$3665,MATCH(INDEX(Zeiterfassung!$K$6:$K$3665,$K1250),Zeiterfassung!$K$6:$K$3665,0))))</f>
        <v/>
      </c>
      <c r="K1250">
        <f>IFERROR(AGGREGATE(15,6,(ROW(Zeiterfassung!$D$6:$D$3665)-ROW(Zeiterfassung!$D$6)+1)/(Zeiterfassung!$D$6:$D$3665&lt;&gt;""),1245),"")</f>
        <v/>
      </c>
    </row>
    <row r="1251" ht="20" customHeight="1">
      <c r="A1251" s="183">
        <f>IF($K1251="","",WEEKNUM(INDEX(Zeiterfassung!$K$6:$K$3665,$K1251),21))</f>
        <v/>
      </c>
      <c r="B1251" s="184">
        <f>IF($K1251="","",INDEX(Zeiterfassung!$K$6:$K$3665,$K1251))</f>
        <v/>
      </c>
      <c r="C1251" s="185">
        <f>IF($K1251="","",INDEX(Zeiterfassung!$K$6:$K$3665,$K1251))</f>
        <v/>
      </c>
      <c r="D1251" s="186">
        <f>IF($K1251="","",INDEX(Zeiterfassung!$D$6:$D$3665,$K1251))</f>
        <v/>
      </c>
      <c r="E1251" s="186">
        <f>IF($K1251="","",INDEX(Zeiterfassung!$E$6:$E$3665,$K1251))</f>
        <v/>
      </c>
      <c r="F1251" s="187">
        <f>IF($K1251="","",INDEX(Zeiterfassung!$F$6:$F$3665,$K1251))</f>
        <v/>
      </c>
      <c r="G1251" s="187">
        <f>IF($K1251="","",INDEX(Zeiterfassung!$G$6:$G$3665,$K1251))</f>
        <v/>
      </c>
      <c r="H1251" s="188">
        <f>IF($K1251="","",INDEX(Zeiterfassung!$H$6:$H$3665,$K1251))</f>
        <v/>
      </c>
      <c r="I1251" s="335">
        <f>IF(B1251=B1250,"",IF($K1251="","",INDEX(Zeiterfassung!$I$6:$I$3665,MATCH(INDEX(Zeiterfassung!$K$6:$K$3665,$K1251),Zeiterfassung!$K$6:$K$3665,0))))</f>
        <v/>
      </c>
      <c r="J1251" s="335">
        <f>IF(B1251=B1250,"",IF($K1251="","",INDEX(Zeiterfassung!$J$6:$J$3665,MATCH(INDEX(Zeiterfassung!$K$6:$K$3665,$K1251),Zeiterfassung!$K$6:$K$3665,0))))</f>
        <v/>
      </c>
      <c r="K1251">
        <f>IFERROR(AGGREGATE(15,6,(ROW(Zeiterfassung!$D$6:$D$3665)-ROW(Zeiterfassung!$D$6)+1)/(Zeiterfassung!$D$6:$D$3665&lt;&gt;""),1246),"")</f>
        <v/>
      </c>
    </row>
    <row r="1252" ht="20" customHeight="1">
      <c r="A1252" s="183">
        <f>IF($K1252="","",WEEKNUM(INDEX(Zeiterfassung!$K$6:$K$3665,$K1252),21))</f>
        <v/>
      </c>
      <c r="B1252" s="184">
        <f>IF($K1252="","",INDEX(Zeiterfassung!$K$6:$K$3665,$K1252))</f>
        <v/>
      </c>
      <c r="C1252" s="185">
        <f>IF($K1252="","",INDEX(Zeiterfassung!$K$6:$K$3665,$K1252))</f>
        <v/>
      </c>
      <c r="D1252" s="186">
        <f>IF($K1252="","",INDEX(Zeiterfassung!$D$6:$D$3665,$K1252))</f>
        <v/>
      </c>
      <c r="E1252" s="186">
        <f>IF($K1252="","",INDEX(Zeiterfassung!$E$6:$E$3665,$K1252))</f>
        <v/>
      </c>
      <c r="F1252" s="187">
        <f>IF($K1252="","",INDEX(Zeiterfassung!$F$6:$F$3665,$K1252))</f>
        <v/>
      </c>
      <c r="G1252" s="187">
        <f>IF($K1252="","",INDEX(Zeiterfassung!$G$6:$G$3665,$K1252))</f>
        <v/>
      </c>
      <c r="H1252" s="188">
        <f>IF($K1252="","",INDEX(Zeiterfassung!$H$6:$H$3665,$K1252))</f>
        <v/>
      </c>
      <c r="I1252" s="335">
        <f>IF(B1252=B1251,"",IF($K1252="","",INDEX(Zeiterfassung!$I$6:$I$3665,MATCH(INDEX(Zeiterfassung!$K$6:$K$3665,$K1252),Zeiterfassung!$K$6:$K$3665,0))))</f>
        <v/>
      </c>
      <c r="J1252" s="335">
        <f>IF(B1252=B1251,"",IF($K1252="","",INDEX(Zeiterfassung!$J$6:$J$3665,MATCH(INDEX(Zeiterfassung!$K$6:$K$3665,$K1252),Zeiterfassung!$K$6:$K$3665,0))))</f>
        <v/>
      </c>
      <c r="K1252">
        <f>IFERROR(AGGREGATE(15,6,(ROW(Zeiterfassung!$D$6:$D$3665)-ROW(Zeiterfassung!$D$6)+1)/(Zeiterfassung!$D$6:$D$3665&lt;&gt;""),1247),"")</f>
        <v/>
      </c>
    </row>
    <row r="1253" ht="20" customHeight="1">
      <c r="A1253" s="183">
        <f>IF($K1253="","",WEEKNUM(INDEX(Zeiterfassung!$K$6:$K$3665,$K1253),21))</f>
        <v/>
      </c>
      <c r="B1253" s="184">
        <f>IF($K1253="","",INDEX(Zeiterfassung!$K$6:$K$3665,$K1253))</f>
        <v/>
      </c>
      <c r="C1253" s="185">
        <f>IF($K1253="","",INDEX(Zeiterfassung!$K$6:$K$3665,$K1253))</f>
        <v/>
      </c>
      <c r="D1253" s="186">
        <f>IF($K1253="","",INDEX(Zeiterfassung!$D$6:$D$3665,$K1253))</f>
        <v/>
      </c>
      <c r="E1253" s="186">
        <f>IF($K1253="","",INDEX(Zeiterfassung!$E$6:$E$3665,$K1253))</f>
        <v/>
      </c>
      <c r="F1253" s="187">
        <f>IF($K1253="","",INDEX(Zeiterfassung!$F$6:$F$3665,$K1253))</f>
        <v/>
      </c>
      <c r="G1253" s="187">
        <f>IF($K1253="","",INDEX(Zeiterfassung!$G$6:$G$3665,$K1253))</f>
        <v/>
      </c>
      <c r="H1253" s="188">
        <f>IF($K1253="","",INDEX(Zeiterfassung!$H$6:$H$3665,$K1253))</f>
        <v/>
      </c>
      <c r="I1253" s="335">
        <f>IF(B1253=B1252,"",IF($K1253="","",INDEX(Zeiterfassung!$I$6:$I$3665,MATCH(INDEX(Zeiterfassung!$K$6:$K$3665,$K1253),Zeiterfassung!$K$6:$K$3665,0))))</f>
        <v/>
      </c>
      <c r="J1253" s="335">
        <f>IF(B1253=B1252,"",IF($K1253="","",INDEX(Zeiterfassung!$J$6:$J$3665,MATCH(INDEX(Zeiterfassung!$K$6:$K$3665,$K1253),Zeiterfassung!$K$6:$K$3665,0))))</f>
        <v/>
      </c>
      <c r="K1253">
        <f>IFERROR(AGGREGATE(15,6,(ROW(Zeiterfassung!$D$6:$D$3665)-ROW(Zeiterfassung!$D$6)+1)/(Zeiterfassung!$D$6:$D$3665&lt;&gt;""),1248),"")</f>
        <v/>
      </c>
    </row>
    <row r="1254" ht="20" customHeight="1">
      <c r="A1254" s="183">
        <f>IF($K1254="","",WEEKNUM(INDEX(Zeiterfassung!$K$6:$K$3665,$K1254),21))</f>
        <v/>
      </c>
      <c r="B1254" s="184">
        <f>IF($K1254="","",INDEX(Zeiterfassung!$K$6:$K$3665,$K1254))</f>
        <v/>
      </c>
      <c r="C1254" s="185">
        <f>IF($K1254="","",INDEX(Zeiterfassung!$K$6:$K$3665,$K1254))</f>
        <v/>
      </c>
      <c r="D1254" s="186">
        <f>IF($K1254="","",INDEX(Zeiterfassung!$D$6:$D$3665,$K1254))</f>
        <v/>
      </c>
      <c r="E1254" s="186">
        <f>IF($K1254="","",INDEX(Zeiterfassung!$E$6:$E$3665,$K1254))</f>
        <v/>
      </c>
      <c r="F1254" s="187">
        <f>IF($K1254="","",INDEX(Zeiterfassung!$F$6:$F$3665,$K1254))</f>
        <v/>
      </c>
      <c r="G1254" s="187">
        <f>IF($K1254="","",INDEX(Zeiterfassung!$G$6:$G$3665,$K1254))</f>
        <v/>
      </c>
      <c r="H1254" s="188">
        <f>IF($K1254="","",INDEX(Zeiterfassung!$H$6:$H$3665,$K1254))</f>
        <v/>
      </c>
      <c r="I1254" s="335">
        <f>IF(B1254=B1253,"",IF($K1254="","",INDEX(Zeiterfassung!$I$6:$I$3665,MATCH(INDEX(Zeiterfassung!$K$6:$K$3665,$K1254),Zeiterfassung!$K$6:$K$3665,0))))</f>
        <v/>
      </c>
      <c r="J1254" s="335">
        <f>IF(B1254=B1253,"",IF($K1254="","",INDEX(Zeiterfassung!$J$6:$J$3665,MATCH(INDEX(Zeiterfassung!$K$6:$K$3665,$K1254),Zeiterfassung!$K$6:$K$3665,0))))</f>
        <v/>
      </c>
      <c r="K1254">
        <f>IFERROR(AGGREGATE(15,6,(ROW(Zeiterfassung!$D$6:$D$3665)-ROW(Zeiterfassung!$D$6)+1)/(Zeiterfassung!$D$6:$D$3665&lt;&gt;""),1249),"")</f>
        <v/>
      </c>
    </row>
    <row r="1255" ht="20" customHeight="1">
      <c r="A1255" s="183">
        <f>IF($K1255="","",WEEKNUM(INDEX(Zeiterfassung!$K$6:$K$3665,$K1255),21))</f>
        <v/>
      </c>
      <c r="B1255" s="184">
        <f>IF($K1255="","",INDEX(Zeiterfassung!$K$6:$K$3665,$K1255))</f>
        <v/>
      </c>
      <c r="C1255" s="185">
        <f>IF($K1255="","",INDEX(Zeiterfassung!$K$6:$K$3665,$K1255))</f>
        <v/>
      </c>
      <c r="D1255" s="186">
        <f>IF($K1255="","",INDEX(Zeiterfassung!$D$6:$D$3665,$K1255))</f>
        <v/>
      </c>
      <c r="E1255" s="186">
        <f>IF($K1255="","",INDEX(Zeiterfassung!$E$6:$E$3665,$K1255))</f>
        <v/>
      </c>
      <c r="F1255" s="187">
        <f>IF($K1255="","",INDEX(Zeiterfassung!$F$6:$F$3665,$K1255))</f>
        <v/>
      </c>
      <c r="G1255" s="187">
        <f>IF($K1255="","",INDEX(Zeiterfassung!$G$6:$G$3665,$K1255))</f>
        <v/>
      </c>
      <c r="H1255" s="188">
        <f>IF($K1255="","",INDEX(Zeiterfassung!$H$6:$H$3665,$K1255))</f>
        <v/>
      </c>
      <c r="I1255" s="335">
        <f>IF(B1255=B1254,"",IF($K1255="","",INDEX(Zeiterfassung!$I$6:$I$3665,MATCH(INDEX(Zeiterfassung!$K$6:$K$3665,$K1255),Zeiterfassung!$K$6:$K$3665,0))))</f>
        <v/>
      </c>
      <c r="J1255" s="335">
        <f>IF(B1255=B1254,"",IF($K1255="","",INDEX(Zeiterfassung!$J$6:$J$3665,MATCH(INDEX(Zeiterfassung!$K$6:$K$3665,$K1255),Zeiterfassung!$K$6:$K$3665,0))))</f>
        <v/>
      </c>
      <c r="K1255">
        <f>IFERROR(AGGREGATE(15,6,(ROW(Zeiterfassung!$D$6:$D$3665)-ROW(Zeiterfassung!$D$6)+1)/(Zeiterfassung!$D$6:$D$3665&lt;&gt;""),1250),"")</f>
        <v/>
      </c>
    </row>
    <row r="1256" ht="20" customHeight="1">
      <c r="A1256" s="183">
        <f>IF($K1256="","",WEEKNUM(INDEX(Zeiterfassung!$K$6:$K$3665,$K1256),21))</f>
        <v/>
      </c>
      <c r="B1256" s="184">
        <f>IF($K1256="","",INDEX(Zeiterfassung!$K$6:$K$3665,$K1256))</f>
        <v/>
      </c>
      <c r="C1256" s="185">
        <f>IF($K1256="","",INDEX(Zeiterfassung!$K$6:$K$3665,$K1256))</f>
        <v/>
      </c>
      <c r="D1256" s="186">
        <f>IF($K1256="","",INDEX(Zeiterfassung!$D$6:$D$3665,$K1256))</f>
        <v/>
      </c>
      <c r="E1256" s="186">
        <f>IF($K1256="","",INDEX(Zeiterfassung!$E$6:$E$3665,$K1256))</f>
        <v/>
      </c>
      <c r="F1256" s="187">
        <f>IF($K1256="","",INDEX(Zeiterfassung!$F$6:$F$3665,$K1256))</f>
        <v/>
      </c>
      <c r="G1256" s="187">
        <f>IF($K1256="","",INDEX(Zeiterfassung!$G$6:$G$3665,$K1256))</f>
        <v/>
      </c>
      <c r="H1256" s="188">
        <f>IF($K1256="","",INDEX(Zeiterfassung!$H$6:$H$3665,$K1256))</f>
        <v/>
      </c>
      <c r="I1256" s="335">
        <f>IF(B1256=B1255,"",IF($K1256="","",INDEX(Zeiterfassung!$I$6:$I$3665,MATCH(INDEX(Zeiterfassung!$K$6:$K$3665,$K1256),Zeiterfassung!$K$6:$K$3665,0))))</f>
        <v/>
      </c>
      <c r="J1256" s="335">
        <f>IF(B1256=B1255,"",IF($K1256="","",INDEX(Zeiterfassung!$J$6:$J$3665,MATCH(INDEX(Zeiterfassung!$K$6:$K$3665,$K1256),Zeiterfassung!$K$6:$K$3665,0))))</f>
        <v/>
      </c>
      <c r="K1256">
        <f>IFERROR(AGGREGATE(15,6,(ROW(Zeiterfassung!$D$6:$D$3665)-ROW(Zeiterfassung!$D$6)+1)/(Zeiterfassung!$D$6:$D$3665&lt;&gt;""),1251),"")</f>
        <v/>
      </c>
    </row>
    <row r="1257" ht="20" customHeight="1">
      <c r="A1257" s="183">
        <f>IF($K1257="","",WEEKNUM(INDEX(Zeiterfassung!$K$6:$K$3665,$K1257),21))</f>
        <v/>
      </c>
      <c r="B1257" s="184">
        <f>IF($K1257="","",INDEX(Zeiterfassung!$K$6:$K$3665,$K1257))</f>
        <v/>
      </c>
      <c r="C1257" s="185">
        <f>IF($K1257="","",INDEX(Zeiterfassung!$K$6:$K$3665,$K1257))</f>
        <v/>
      </c>
      <c r="D1257" s="186">
        <f>IF($K1257="","",INDEX(Zeiterfassung!$D$6:$D$3665,$K1257))</f>
        <v/>
      </c>
      <c r="E1257" s="186">
        <f>IF($K1257="","",INDEX(Zeiterfassung!$E$6:$E$3665,$K1257))</f>
        <v/>
      </c>
      <c r="F1257" s="187">
        <f>IF($K1257="","",INDEX(Zeiterfassung!$F$6:$F$3665,$K1257))</f>
        <v/>
      </c>
      <c r="G1257" s="187">
        <f>IF($K1257="","",INDEX(Zeiterfassung!$G$6:$G$3665,$K1257))</f>
        <v/>
      </c>
      <c r="H1257" s="188">
        <f>IF($K1257="","",INDEX(Zeiterfassung!$H$6:$H$3665,$K1257))</f>
        <v/>
      </c>
      <c r="I1257" s="335">
        <f>IF(B1257=B1256,"",IF($K1257="","",INDEX(Zeiterfassung!$I$6:$I$3665,MATCH(INDEX(Zeiterfassung!$K$6:$K$3665,$K1257),Zeiterfassung!$K$6:$K$3665,0))))</f>
        <v/>
      </c>
      <c r="J1257" s="335">
        <f>IF(B1257=B1256,"",IF($K1257="","",INDEX(Zeiterfassung!$J$6:$J$3665,MATCH(INDEX(Zeiterfassung!$K$6:$K$3665,$K1257),Zeiterfassung!$K$6:$K$3665,0))))</f>
        <v/>
      </c>
      <c r="K1257">
        <f>IFERROR(AGGREGATE(15,6,(ROW(Zeiterfassung!$D$6:$D$3665)-ROW(Zeiterfassung!$D$6)+1)/(Zeiterfassung!$D$6:$D$3665&lt;&gt;""),1252),"")</f>
        <v/>
      </c>
    </row>
    <row r="1258" ht="20" customHeight="1">
      <c r="A1258" s="183">
        <f>IF($K1258="","",WEEKNUM(INDEX(Zeiterfassung!$K$6:$K$3665,$K1258),21))</f>
        <v/>
      </c>
      <c r="B1258" s="184">
        <f>IF($K1258="","",INDEX(Zeiterfassung!$K$6:$K$3665,$K1258))</f>
        <v/>
      </c>
      <c r="C1258" s="185">
        <f>IF($K1258="","",INDEX(Zeiterfassung!$K$6:$K$3665,$K1258))</f>
        <v/>
      </c>
      <c r="D1258" s="186">
        <f>IF($K1258="","",INDEX(Zeiterfassung!$D$6:$D$3665,$K1258))</f>
        <v/>
      </c>
      <c r="E1258" s="186">
        <f>IF($K1258="","",INDEX(Zeiterfassung!$E$6:$E$3665,$K1258))</f>
        <v/>
      </c>
      <c r="F1258" s="187">
        <f>IF($K1258="","",INDEX(Zeiterfassung!$F$6:$F$3665,$K1258))</f>
        <v/>
      </c>
      <c r="G1258" s="187">
        <f>IF($K1258="","",INDEX(Zeiterfassung!$G$6:$G$3665,$K1258))</f>
        <v/>
      </c>
      <c r="H1258" s="188">
        <f>IF($K1258="","",INDEX(Zeiterfassung!$H$6:$H$3665,$K1258))</f>
        <v/>
      </c>
      <c r="I1258" s="335">
        <f>IF(B1258=B1257,"",IF($K1258="","",INDEX(Zeiterfassung!$I$6:$I$3665,MATCH(INDEX(Zeiterfassung!$K$6:$K$3665,$K1258),Zeiterfassung!$K$6:$K$3665,0))))</f>
        <v/>
      </c>
      <c r="J1258" s="335">
        <f>IF(B1258=B1257,"",IF($K1258="","",INDEX(Zeiterfassung!$J$6:$J$3665,MATCH(INDEX(Zeiterfassung!$K$6:$K$3665,$K1258),Zeiterfassung!$K$6:$K$3665,0))))</f>
        <v/>
      </c>
      <c r="K1258">
        <f>IFERROR(AGGREGATE(15,6,(ROW(Zeiterfassung!$D$6:$D$3665)-ROW(Zeiterfassung!$D$6)+1)/(Zeiterfassung!$D$6:$D$3665&lt;&gt;""),1253),"")</f>
        <v/>
      </c>
    </row>
    <row r="1259" ht="20" customHeight="1">
      <c r="A1259" s="183">
        <f>IF($K1259="","",WEEKNUM(INDEX(Zeiterfassung!$K$6:$K$3665,$K1259),21))</f>
        <v/>
      </c>
      <c r="B1259" s="184">
        <f>IF($K1259="","",INDEX(Zeiterfassung!$K$6:$K$3665,$K1259))</f>
        <v/>
      </c>
      <c r="C1259" s="185">
        <f>IF($K1259="","",INDEX(Zeiterfassung!$K$6:$K$3665,$K1259))</f>
        <v/>
      </c>
      <c r="D1259" s="186">
        <f>IF($K1259="","",INDEX(Zeiterfassung!$D$6:$D$3665,$K1259))</f>
        <v/>
      </c>
      <c r="E1259" s="186">
        <f>IF($K1259="","",INDEX(Zeiterfassung!$E$6:$E$3665,$K1259))</f>
        <v/>
      </c>
      <c r="F1259" s="187">
        <f>IF($K1259="","",INDEX(Zeiterfassung!$F$6:$F$3665,$K1259))</f>
        <v/>
      </c>
      <c r="G1259" s="187">
        <f>IF($K1259="","",INDEX(Zeiterfassung!$G$6:$G$3665,$K1259))</f>
        <v/>
      </c>
      <c r="H1259" s="188">
        <f>IF($K1259="","",INDEX(Zeiterfassung!$H$6:$H$3665,$K1259))</f>
        <v/>
      </c>
      <c r="I1259" s="335">
        <f>IF(B1259=B1258,"",IF($K1259="","",INDEX(Zeiterfassung!$I$6:$I$3665,MATCH(INDEX(Zeiterfassung!$K$6:$K$3665,$K1259),Zeiterfassung!$K$6:$K$3665,0))))</f>
        <v/>
      </c>
      <c r="J1259" s="335">
        <f>IF(B1259=B1258,"",IF($K1259="","",INDEX(Zeiterfassung!$J$6:$J$3665,MATCH(INDEX(Zeiterfassung!$K$6:$K$3665,$K1259),Zeiterfassung!$K$6:$K$3665,0))))</f>
        <v/>
      </c>
      <c r="K1259">
        <f>IFERROR(AGGREGATE(15,6,(ROW(Zeiterfassung!$D$6:$D$3665)-ROW(Zeiterfassung!$D$6)+1)/(Zeiterfassung!$D$6:$D$3665&lt;&gt;""),1254),"")</f>
        <v/>
      </c>
    </row>
    <row r="1260" ht="20" customHeight="1">
      <c r="A1260" s="183">
        <f>IF($K1260="","",WEEKNUM(INDEX(Zeiterfassung!$K$6:$K$3665,$K1260),21))</f>
        <v/>
      </c>
      <c r="B1260" s="184">
        <f>IF($K1260="","",INDEX(Zeiterfassung!$K$6:$K$3665,$K1260))</f>
        <v/>
      </c>
      <c r="C1260" s="185">
        <f>IF($K1260="","",INDEX(Zeiterfassung!$K$6:$K$3665,$K1260))</f>
        <v/>
      </c>
      <c r="D1260" s="186">
        <f>IF($K1260="","",INDEX(Zeiterfassung!$D$6:$D$3665,$K1260))</f>
        <v/>
      </c>
      <c r="E1260" s="186">
        <f>IF($K1260="","",INDEX(Zeiterfassung!$E$6:$E$3665,$K1260))</f>
        <v/>
      </c>
      <c r="F1260" s="187">
        <f>IF($K1260="","",INDEX(Zeiterfassung!$F$6:$F$3665,$K1260))</f>
        <v/>
      </c>
      <c r="G1260" s="187">
        <f>IF($K1260="","",INDEX(Zeiterfassung!$G$6:$G$3665,$K1260))</f>
        <v/>
      </c>
      <c r="H1260" s="188">
        <f>IF($K1260="","",INDEX(Zeiterfassung!$H$6:$H$3665,$K1260))</f>
        <v/>
      </c>
      <c r="I1260" s="335">
        <f>IF(B1260=B1259,"",IF($K1260="","",INDEX(Zeiterfassung!$I$6:$I$3665,MATCH(INDEX(Zeiterfassung!$K$6:$K$3665,$K1260),Zeiterfassung!$K$6:$K$3665,0))))</f>
        <v/>
      </c>
      <c r="J1260" s="335">
        <f>IF(B1260=B1259,"",IF($K1260="","",INDEX(Zeiterfassung!$J$6:$J$3665,MATCH(INDEX(Zeiterfassung!$K$6:$K$3665,$K1260),Zeiterfassung!$K$6:$K$3665,0))))</f>
        <v/>
      </c>
      <c r="K1260">
        <f>IFERROR(AGGREGATE(15,6,(ROW(Zeiterfassung!$D$6:$D$3665)-ROW(Zeiterfassung!$D$6)+1)/(Zeiterfassung!$D$6:$D$3665&lt;&gt;""),1255),"")</f>
        <v/>
      </c>
    </row>
    <row r="1261" ht="20" customHeight="1">
      <c r="A1261" s="183">
        <f>IF($K1261="","",WEEKNUM(INDEX(Zeiterfassung!$K$6:$K$3665,$K1261),21))</f>
        <v/>
      </c>
      <c r="B1261" s="184">
        <f>IF($K1261="","",INDEX(Zeiterfassung!$K$6:$K$3665,$K1261))</f>
        <v/>
      </c>
      <c r="C1261" s="185">
        <f>IF($K1261="","",INDEX(Zeiterfassung!$K$6:$K$3665,$K1261))</f>
        <v/>
      </c>
      <c r="D1261" s="186">
        <f>IF($K1261="","",INDEX(Zeiterfassung!$D$6:$D$3665,$K1261))</f>
        <v/>
      </c>
      <c r="E1261" s="186">
        <f>IF($K1261="","",INDEX(Zeiterfassung!$E$6:$E$3665,$K1261))</f>
        <v/>
      </c>
      <c r="F1261" s="187">
        <f>IF($K1261="","",INDEX(Zeiterfassung!$F$6:$F$3665,$K1261))</f>
        <v/>
      </c>
      <c r="G1261" s="187">
        <f>IF($K1261="","",INDEX(Zeiterfassung!$G$6:$G$3665,$K1261))</f>
        <v/>
      </c>
      <c r="H1261" s="188">
        <f>IF($K1261="","",INDEX(Zeiterfassung!$H$6:$H$3665,$K1261))</f>
        <v/>
      </c>
      <c r="I1261" s="335">
        <f>IF(B1261=B1260,"",IF($K1261="","",INDEX(Zeiterfassung!$I$6:$I$3665,MATCH(INDEX(Zeiterfassung!$K$6:$K$3665,$K1261),Zeiterfassung!$K$6:$K$3665,0))))</f>
        <v/>
      </c>
      <c r="J1261" s="335">
        <f>IF(B1261=B1260,"",IF($K1261="","",INDEX(Zeiterfassung!$J$6:$J$3665,MATCH(INDEX(Zeiterfassung!$K$6:$K$3665,$K1261),Zeiterfassung!$K$6:$K$3665,0))))</f>
        <v/>
      </c>
      <c r="K1261">
        <f>IFERROR(AGGREGATE(15,6,(ROW(Zeiterfassung!$D$6:$D$3665)-ROW(Zeiterfassung!$D$6)+1)/(Zeiterfassung!$D$6:$D$3665&lt;&gt;""),1256),"")</f>
        <v/>
      </c>
    </row>
    <row r="1262" ht="20" customHeight="1">
      <c r="A1262" s="183">
        <f>IF($K1262="","",WEEKNUM(INDEX(Zeiterfassung!$K$6:$K$3665,$K1262),21))</f>
        <v/>
      </c>
      <c r="B1262" s="184">
        <f>IF($K1262="","",INDEX(Zeiterfassung!$K$6:$K$3665,$K1262))</f>
        <v/>
      </c>
      <c r="C1262" s="185">
        <f>IF($K1262="","",INDEX(Zeiterfassung!$K$6:$K$3665,$K1262))</f>
        <v/>
      </c>
      <c r="D1262" s="186">
        <f>IF($K1262="","",INDEX(Zeiterfassung!$D$6:$D$3665,$K1262))</f>
        <v/>
      </c>
      <c r="E1262" s="186">
        <f>IF($K1262="","",INDEX(Zeiterfassung!$E$6:$E$3665,$K1262))</f>
        <v/>
      </c>
      <c r="F1262" s="187">
        <f>IF($K1262="","",INDEX(Zeiterfassung!$F$6:$F$3665,$K1262))</f>
        <v/>
      </c>
      <c r="G1262" s="187">
        <f>IF($K1262="","",INDEX(Zeiterfassung!$G$6:$G$3665,$K1262))</f>
        <v/>
      </c>
      <c r="H1262" s="188">
        <f>IF($K1262="","",INDEX(Zeiterfassung!$H$6:$H$3665,$K1262))</f>
        <v/>
      </c>
      <c r="I1262" s="335">
        <f>IF(B1262=B1261,"",IF($K1262="","",INDEX(Zeiterfassung!$I$6:$I$3665,MATCH(INDEX(Zeiterfassung!$K$6:$K$3665,$K1262),Zeiterfassung!$K$6:$K$3665,0))))</f>
        <v/>
      </c>
      <c r="J1262" s="335">
        <f>IF(B1262=B1261,"",IF($K1262="","",INDEX(Zeiterfassung!$J$6:$J$3665,MATCH(INDEX(Zeiterfassung!$K$6:$K$3665,$K1262),Zeiterfassung!$K$6:$K$3665,0))))</f>
        <v/>
      </c>
      <c r="K1262">
        <f>IFERROR(AGGREGATE(15,6,(ROW(Zeiterfassung!$D$6:$D$3665)-ROW(Zeiterfassung!$D$6)+1)/(Zeiterfassung!$D$6:$D$3665&lt;&gt;""),1257),"")</f>
        <v/>
      </c>
    </row>
    <row r="1263" ht="20" customHeight="1">
      <c r="A1263" s="183">
        <f>IF($K1263="","",WEEKNUM(INDEX(Zeiterfassung!$K$6:$K$3665,$K1263),21))</f>
        <v/>
      </c>
      <c r="B1263" s="184">
        <f>IF($K1263="","",INDEX(Zeiterfassung!$K$6:$K$3665,$K1263))</f>
        <v/>
      </c>
      <c r="C1263" s="185">
        <f>IF($K1263="","",INDEX(Zeiterfassung!$K$6:$K$3665,$K1263))</f>
        <v/>
      </c>
      <c r="D1263" s="186">
        <f>IF($K1263="","",INDEX(Zeiterfassung!$D$6:$D$3665,$K1263))</f>
        <v/>
      </c>
      <c r="E1263" s="186">
        <f>IF($K1263="","",INDEX(Zeiterfassung!$E$6:$E$3665,$K1263))</f>
        <v/>
      </c>
      <c r="F1263" s="187">
        <f>IF($K1263="","",INDEX(Zeiterfassung!$F$6:$F$3665,$K1263))</f>
        <v/>
      </c>
      <c r="G1263" s="187">
        <f>IF($K1263="","",INDEX(Zeiterfassung!$G$6:$G$3665,$K1263))</f>
        <v/>
      </c>
      <c r="H1263" s="188">
        <f>IF($K1263="","",INDEX(Zeiterfassung!$H$6:$H$3665,$K1263))</f>
        <v/>
      </c>
      <c r="I1263" s="335">
        <f>IF(B1263=B1262,"",IF($K1263="","",INDEX(Zeiterfassung!$I$6:$I$3665,MATCH(INDEX(Zeiterfassung!$K$6:$K$3665,$K1263),Zeiterfassung!$K$6:$K$3665,0))))</f>
        <v/>
      </c>
      <c r="J1263" s="335">
        <f>IF(B1263=B1262,"",IF($K1263="","",INDEX(Zeiterfassung!$J$6:$J$3665,MATCH(INDEX(Zeiterfassung!$K$6:$K$3665,$K1263),Zeiterfassung!$K$6:$K$3665,0))))</f>
        <v/>
      </c>
      <c r="K1263">
        <f>IFERROR(AGGREGATE(15,6,(ROW(Zeiterfassung!$D$6:$D$3665)-ROW(Zeiterfassung!$D$6)+1)/(Zeiterfassung!$D$6:$D$3665&lt;&gt;""),1258),"")</f>
        <v/>
      </c>
    </row>
    <row r="1264" ht="20" customHeight="1">
      <c r="A1264" s="183">
        <f>IF($K1264="","",WEEKNUM(INDEX(Zeiterfassung!$K$6:$K$3665,$K1264),21))</f>
        <v/>
      </c>
      <c r="B1264" s="184">
        <f>IF($K1264="","",INDEX(Zeiterfassung!$K$6:$K$3665,$K1264))</f>
        <v/>
      </c>
      <c r="C1264" s="185">
        <f>IF($K1264="","",INDEX(Zeiterfassung!$K$6:$K$3665,$K1264))</f>
        <v/>
      </c>
      <c r="D1264" s="186">
        <f>IF($K1264="","",INDEX(Zeiterfassung!$D$6:$D$3665,$K1264))</f>
        <v/>
      </c>
      <c r="E1264" s="186">
        <f>IF($K1264="","",INDEX(Zeiterfassung!$E$6:$E$3665,$K1264))</f>
        <v/>
      </c>
      <c r="F1264" s="187">
        <f>IF($K1264="","",INDEX(Zeiterfassung!$F$6:$F$3665,$K1264))</f>
        <v/>
      </c>
      <c r="G1264" s="187">
        <f>IF($K1264="","",INDEX(Zeiterfassung!$G$6:$G$3665,$K1264))</f>
        <v/>
      </c>
      <c r="H1264" s="188">
        <f>IF($K1264="","",INDEX(Zeiterfassung!$H$6:$H$3665,$K1264))</f>
        <v/>
      </c>
      <c r="I1264" s="335">
        <f>IF(B1264=B1263,"",IF($K1264="","",INDEX(Zeiterfassung!$I$6:$I$3665,MATCH(INDEX(Zeiterfassung!$K$6:$K$3665,$K1264),Zeiterfassung!$K$6:$K$3665,0))))</f>
        <v/>
      </c>
      <c r="J1264" s="335">
        <f>IF(B1264=B1263,"",IF($K1264="","",INDEX(Zeiterfassung!$J$6:$J$3665,MATCH(INDEX(Zeiterfassung!$K$6:$K$3665,$K1264),Zeiterfassung!$K$6:$K$3665,0))))</f>
        <v/>
      </c>
      <c r="K1264">
        <f>IFERROR(AGGREGATE(15,6,(ROW(Zeiterfassung!$D$6:$D$3665)-ROW(Zeiterfassung!$D$6)+1)/(Zeiterfassung!$D$6:$D$3665&lt;&gt;""),1259),"")</f>
        <v/>
      </c>
    </row>
    <row r="1265" ht="20" customHeight="1">
      <c r="A1265" s="183">
        <f>IF($K1265="","",WEEKNUM(INDEX(Zeiterfassung!$K$6:$K$3665,$K1265),21))</f>
        <v/>
      </c>
      <c r="B1265" s="184">
        <f>IF($K1265="","",INDEX(Zeiterfassung!$K$6:$K$3665,$K1265))</f>
        <v/>
      </c>
      <c r="C1265" s="185">
        <f>IF($K1265="","",INDEX(Zeiterfassung!$K$6:$K$3665,$K1265))</f>
        <v/>
      </c>
      <c r="D1265" s="186">
        <f>IF($K1265="","",INDEX(Zeiterfassung!$D$6:$D$3665,$K1265))</f>
        <v/>
      </c>
      <c r="E1265" s="186">
        <f>IF($K1265="","",INDEX(Zeiterfassung!$E$6:$E$3665,$K1265))</f>
        <v/>
      </c>
      <c r="F1265" s="187">
        <f>IF($K1265="","",INDEX(Zeiterfassung!$F$6:$F$3665,$K1265))</f>
        <v/>
      </c>
      <c r="G1265" s="187">
        <f>IF($K1265="","",INDEX(Zeiterfassung!$G$6:$G$3665,$K1265))</f>
        <v/>
      </c>
      <c r="H1265" s="188">
        <f>IF($K1265="","",INDEX(Zeiterfassung!$H$6:$H$3665,$K1265))</f>
        <v/>
      </c>
      <c r="I1265" s="335">
        <f>IF(B1265=B1264,"",IF($K1265="","",INDEX(Zeiterfassung!$I$6:$I$3665,MATCH(INDEX(Zeiterfassung!$K$6:$K$3665,$K1265),Zeiterfassung!$K$6:$K$3665,0))))</f>
        <v/>
      </c>
      <c r="J1265" s="335">
        <f>IF(B1265=B1264,"",IF($K1265="","",INDEX(Zeiterfassung!$J$6:$J$3665,MATCH(INDEX(Zeiterfassung!$K$6:$K$3665,$K1265),Zeiterfassung!$K$6:$K$3665,0))))</f>
        <v/>
      </c>
      <c r="K1265">
        <f>IFERROR(AGGREGATE(15,6,(ROW(Zeiterfassung!$D$6:$D$3665)-ROW(Zeiterfassung!$D$6)+1)/(Zeiterfassung!$D$6:$D$3665&lt;&gt;""),1260),"")</f>
        <v/>
      </c>
    </row>
    <row r="1266" ht="20" customHeight="1">
      <c r="A1266" s="183">
        <f>IF($K1266="","",WEEKNUM(INDEX(Zeiterfassung!$K$6:$K$3665,$K1266),21))</f>
        <v/>
      </c>
      <c r="B1266" s="184">
        <f>IF($K1266="","",INDEX(Zeiterfassung!$K$6:$K$3665,$K1266))</f>
        <v/>
      </c>
      <c r="C1266" s="185">
        <f>IF($K1266="","",INDEX(Zeiterfassung!$K$6:$K$3665,$K1266))</f>
        <v/>
      </c>
      <c r="D1266" s="186">
        <f>IF($K1266="","",INDEX(Zeiterfassung!$D$6:$D$3665,$K1266))</f>
        <v/>
      </c>
      <c r="E1266" s="186">
        <f>IF($K1266="","",INDEX(Zeiterfassung!$E$6:$E$3665,$K1266))</f>
        <v/>
      </c>
      <c r="F1266" s="187">
        <f>IF($K1266="","",INDEX(Zeiterfassung!$F$6:$F$3665,$K1266))</f>
        <v/>
      </c>
      <c r="G1266" s="187">
        <f>IF($K1266="","",INDEX(Zeiterfassung!$G$6:$G$3665,$K1266))</f>
        <v/>
      </c>
      <c r="H1266" s="188">
        <f>IF($K1266="","",INDEX(Zeiterfassung!$H$6:$H$3665,$K1266))</f>
        <v/>
      </c>
      <c r="I1266" s="335">
        <f>IF(B1266=B1265,"",IF($K1266="","",INDEX(Zeiterfassung!$I$6:$I$3665,MATCH(INDEX(Zeiterfassung!$K$6:$K$3665,$K1266),Zeiterfassung!$K$6:$K$3665,0))))</f>
        <v/>
      </c>
      <c r="J1266" s="335">
        <f>IF(B1266=B1265,"",IF($K1266="","",INDEX(Zeiterfassung!$J$6:$J$3665,MATCH(INDEX(Zeiterfassung!$K$6:$K$3665,$K1266),Zeiterfassung!$K$6:$K$3665,0))))</f>
        <v/>
      </c>
      <c r="K1266">
        <f>IFERROR(AGGREGATE(15,6,(ROW(Zeiterfassung!$D$6:$D$3665)-ROW(Zeiterfassung!$D$6)+1)/(Zeiterfassung!$D$6:$D$3665&lt;&gt;""),1261),"")</f>
        <v/>
      </c>
    </row>
    <row r="1267" ht="20" customHeight="1">
      <c r="A1267" s="183">
        <f>IF($K1267="","",WEEKNUM(INDEX(Zeiterfassung!$K$6:$K$3665,$K1267),21))</f>
        <v/>
      </c>
      <c r="B1267" s="184">
        <f>IF($K1267="","",INDEX(Zeiterfassung!$K$6:$K$3665,$K1267))</f>
        <v/>
      </c>
      <c r="C1267" s="185">
        <f>IF($K1267="","",INDEX(Zeiterfassung!$K$6:$K$3665,$K1267))</f>
        <v/>
      </c>
      <c r="D1267" s="186">
        <f>IF($K1267="","",INDEX(Zeiterfassung!$D$6:$D$3665,$K1267))</f>
        <v/>
      </c>
      <c r="E1267" s="186">
        <f>IF($K1267="","",INDEX(Zeiterfassung!$E$6:$E$3665,$K1267))</f>
        <v/>
      </c>
      <c r="F1267" s="187">
        <f>IF($K1267="","",INDEX(Zeiterfassung!$F$6:$F$3665,$K1267))</f>
        <v/>
      </c>
      <c r="G1267" s="187">
        <f>IF($K1267="","",INDEX(Zeiterfassung!$G$6:$G$3665,$K1267))</f>
        <v/>
      </c>
      <c r="H1267" s="188">
        <f>IF($K1267="","",INDEX(Zeiterfassung!$H$6:$H$3665,$K1267))</f>
        <v/>
      </c>
      <c r="I1267" s="335">
        <f>IF(B1267=B1266,"",IF($K1267="","",INDEX(Zeiterfassung!$I$6:$I$3665,MATCH(INDEX(Zeiterfassung!$K$6:$K$3665,$K1267),Zeiterfassung!$K$6:$K$3665,0))))</f>
        <v/>
      </c>
      <c r="J1267" s="335">
        <f>IF(B1267=B1266,"",IF($K1267="","",INDEX(Zeiterfassung!$J$6:$J$3665,MATCH(INDEX(Zeiterfassung!$K$6:$K$3665,$K1267),Zeiterfassung!$K$6:$K$3665,0))))</f>
        <v/>
      </c>
      <c r="K1267">
        <f>IFERROR(AGGREGATE(15,6,(ROW(Zeiterfassung!$D$6:$D$3665)-ROW(Zeiterfassung!$D$6)+1)/(Zeiterfassung!$D$6:$D$3665&lt;&gt;""),1262),"")</f>
        <v/>
      </c>
    </row>
    <row r="1268" ht="20" customHeight="1">
      <c r="A1268" s="183">
        <f>IF($K1268="","",WEEKNUM(INDEX(Zeiterfassung!$K$6:$K$3665,$K1268),21))</f>
        <v/>
      </c>
      <c r="B1268" s="184">
        <f>IF($K1268="","",INDEX(Zeiterfassung!$K$6:$K$3665,$K1268))</f>
        <v/>
      </c>
      <c r="C1268" s="185">
        <f>IF($K1268="","",INDEX(Zeiterfassung!$K$6:$K$3665,$K1268))</f>
        <v/>
      </c>
      <c r="D1268" s="186">
        <f>IF($K1268="","",INDEX(Zeiterfassung!$D$6:$D$3665,$K1268))</f>
        <v/>
      </c>
      <c r="E1268" s="186">
        <f>IF($K1268="","",INDEX(Zeiterfassung!$E$6:$E$3665,$K1268))</f>
        <v/>
      </c>
      <c r="F1268" s="187">
        <f>IF($K1268="","",INDEX(Zeiterfassung!$F$6:$F$3665,$K1268))</f>
        <v/>
      </c>
      <c r="G1268" s="187">
        <f>IF($K1268="","",INDEX(Zeiterfassung!$G$6:$G$3665,$K1268))</f>
        <v/>
      </c>
      <c r="H1268" s="188">
        <f>IF($K1268="","",INDEX(Zeiterfassung!$H$6:$H$3665,$K1268))</f>
        <v/>
      </c>
      <c r="I1268" s="335">
        <f>IF(B1268=B1267,"",IF($K1268="","",INDEX(Zeiterfassung!$I$6:$I$3665,MATCH(INDEX(Zeiterfassung!$K$6:$K$3665,$K1268),Zeiterfassung!$K$6:$K$3665,0))))</f>
        <v/>
      </c>
      <c r="J1268" s="335">
        <f>IF(B1268=B1267,"",IF($K1268="","",INDEX(Zeiterfassung!$J$6:$J$3665,MATCH(INDEX(Zeiterfassung!$K$6:$K$3665,$K1268),Zeiterfassung!$K$6:$K$3665,0))))</f>
        <v/>
      </c>
      <c r="K1268">
        <f>IFERROR(AGGREGATE(15,6,(ROW(Zeiterfassung!$D$6:$D$3665)-ROW(Zeiterfassung!$D$6)+1)/(Zeiterfassung!$D$6:$D$3665&lt;&gt;""),1263),"")</f>
        <v/>
      </c>
    </row>
    <row r="1269" ht="20" customHeight="1">
      <c r="A1269" s="183">
        <f>IF($K1269="","",WEEKNUM(INDEX(Zeiterfassung!$K$6:$K$3665,$K1269),21))</f>
        <v/>
      </c>
      <c r="B1269" s="184">
        <f>IF($K1269="","",INDEX(Zeiterfassung!$K$6:$K$3665,$K1269))</f>
        <v/>
      </c>
      <c r="C1269" s="185">
        <f>IF($K1269="","",INDEX(Zeiterfassung!$K$6:$K$3665,$K1269))</f>
        <v/>
      </c>
      <c r="D1269" s="186">
        <f>IF($K1269="","",INDEX(Zeiterfassung!$D$6:$D$3665,$K1269))</f>
        <v/>
      </c>
      <c r="E1269" s="186">
        <f>IF($K1269="","",INDEX(Zeiterfassung!$E$6:$E$3665,$K1269))</f>
        <v/>
      </c>
      <c r="F1269" s="187">
        <f>IF($K1269="","",INDEX(Zeiterfassung!$F$6:$F$3665,$K1269))</f>
        <v/>
      </c>
      <c r="G1269" s="187">
        <f>IF($K1269="","",INDEX(Zeiterfassung!$G$6:$G$3665,$K1269))</f>
        <v/>
      </c>
      <c r="H1269" s="188">
        <f>IF($K1269="","",INDEX(Zeiterfassung!$H$6:$H$3665,$K1269))</f>
        <v/>
      </c>
      <c r="I1269" s="335">
        <f>IF(B1269=B1268,"",IF($K1269="","",INDEX(Zeiterfassung!$I$6:$I$3665,MATCH(INDEX(Zeiterfassung!$K$6:$K$3665,$K1269),Zeiterfassung!$K$6:$K$3665,0))))</f>
        <v/>
      </c>
      <c r="J1269" s="335">
        <f>IF(B1269=B1268,"",IF($K1269="","",INDEX(Zeiterfassung!$J$6:$J$3665,MATCH(INDEX(Zeiterfassung!$K$6:$K$3665,$K1269),Zeiterfassung!$K$6:$K$3665,0))))</f>
        <v/>
      </c>
      <c r="K1269">
        <f>IFERROR(AGGREGATE(15,6,(ROW(Zeiterfassung!$D$6:$D$3665)-ROW(Zeiterfassung!$D$6)+1)/(Zeiterfassung!$D$6:$D$3665&lt;&gt;""),1264),"")</f>
        <v/>
      </c>
    </row>
    <row r="1270" ht="20" customHeight="1">
      <c r="A1270" s="183">
        <f>IF($K1270="","",WEEKNUM(INDEX(Zeiterfassung!$K$6:$K$3665,$K1270),21))</f>
        <v/>
      </c>
      <c r="B1270" s="184">
        <f>IF($K1270="","",INDEX(Zeiterfassung!$K$6:$K$3665,$K1270))</f>
        <v/>
      </c>
      <c r="C1270" s="185">
        <f>IF($K1270="","",INDEX(Zeiterfassung!$K$6:$K$3665,$K1270))</f>
        <v/>
      </c>
      <c r="D1270" s="186">
        <f>IF($K1270="","",INDEX(Zeiterfassung!$D$6:$D$3665,$K1270))</f>
        <v/>
      </c>
      <c r="E1270" s="186">
        <f>IF($K1270="","",INDEX(Zeiterfassung!$E$6:$E$3665,$K1270))</f>
        <v/>
      </c>
      <c r="F1270" s="187">
        <f>IF($K1270="","",INDEX(Zeiterfassung!$F$6:$F$3665,$K1270))</f>
        <v/>
      </c>
      <c r="G1270" s="187">
        <f>IF($K1270="","",INDEX(Zeiterfassung!$G$6:$G$3665,$K1270))</f>
        <v/>
      </c>
      <c r="H1270" s="188">
        <f>IF($K1270="","",INDEX(Zeiterfassung!$H$6:$H$3665,$K1270))</f>
        <v/>
      </c>
      <c r="I1270" s="335">
        <f>IF(B1270=B1269,"",IF($K1270="","",INDEX(Zeiterfassung!$I$6:$I$3665,MATCH(INDEX(Zeiterfassung!$K$6:$K$3665,$K1270),Zeiterfassung!$K$6:$K$3665,0))))</f>
        <v/>
      </c>
      <c r="J1270" s="335">
        <f>IF(B1270=B1269,"",IF($K1270="","",INDEX(Zeiterfassung!$J$6:$J$3665,MATCH(INDEX(Zeiterfassung!$K$6:$K$3665,$K1270),Zeiterfassung!$K$6:$K$3665,0))))</f>
        <v/>
      </c>
      <c r="K1270">
        <f>IFERROR(AGGREGATE(15,6,(ROW(Zeiterfassung!$D$6:$D$3665)-ROW(Zeiterfassung!$D$6)+1)/(Zeiterfassung!$D$6:$D$3665&lt;&gt;""),1265),"")</f>
        <v/>
      </c>
    </row>
    <row r="1271" ht="20" customHeight="1">
      <c r="A1271" s="183">
        <f>IF($K1271="","",WEEKNUM(INDEX(Zeiterfassung!$K$6:$K$3665,$K1271),21))</f>
        <v/>
      </c>
      <c r="B1271" s="184">
        <f>IF($K1271="","",INDEX(Zeiterfassung!$K$6:$K$3665,$K1271))</f>
        <v/>
      </c>
      <c r="C1271" s="185">
        <f>IF($K1271="","",INDEX(Zeiterfassung!$K$6:$K$3665,$K1271))</f>
        <v/>
      </c>
      <c r="D1271" s="186">
        <f>IF($K1271="","",INDEX(Zeiterfassung!$D$6:$D$3665,$K1271))</f>
        <v/>
      </c>
      <c r="E1271" s="186">
        <f>IF($K1271="","",INDEX(Zeiterfassung!$E$6:$E$3665,$K1271))</f>
        <v/>
      </c>
      <c r="F1271" s="187">
        <f>IF($K1271="","",INDEX(Zeiterfassung!$F$6:$F$3665,$K1271))</f>
        <v/>
      </c>
      <c r="G1271" s="187">
        <f>IF($K1271="","",INDEX(Zeiterfassung!$G$6:$G$3665,$K1271))</f>
        <v/>
      </c>
      <c r="H1271" s="188">
        <f>IF($K1271="","",INDEX(Zeiterfassung!$H$6:$H$3665,$K1271))</f>
        <v/>
      </c>
      <c r="I1271" s="335">
        <f>IF(B1271=B1270,"",IF($K1271="","",INDEX(Zeiterfassung!$I$6:$I$3665,MATCH(INDEX(Zeiterfassung!$K$6:$K$3665,$K1271),Zeiterfassung!$K$6:$K$3665,0))))</f>
        <v/>
      </c>
      <c r="J1271" s="335">
        <f>IF(B1271=B1270,"",IF($K1271="","",INDEX(Zeiterfassung!$J$6:$J$3665,MATCH(INDEX(Zeiterfassung!$K$6:$K$3665,$K1271),Zeiterfassung!$K$6:$K$3665,0))))</f>
        <v/>
      </c>
      <c r="K1271">
        <f>IFERROR(AGGREGATE(15,6,(ROW(Zeiterfassung!$D$6:$D$3665)-ROW(Zeiterfassung!$D$6)+1)/(Zeiterfassung!$D$6:$D$3665&lt;&gt;""),1266),"")</f>
        <v/>
      </c>
    </row>
    <row r="1272" ht="20" customHeight="1">
      <c r="A1272" s="183">
        <f>IF($K1272="","",WEEKNUM(INDEX(Zeiterfassung!$K$6:$K$3665,$K1272),21))</f>
        <v/>
      </c>
      <c r="B1272" s="184">
        <f>IF($K1272="","",INDEX(Zeiterfassung!$K$6:$K$3665,$K1272))</f>
        <v/>
      </c>
      <c r="C1272" s="185">
        <f>IF($K1272="","",INDEX(Zeiterfassung!$K$6:$K$3665,$K1272))</f>
        <v/>
      </c>
      <c r="D1272" s="186">
        <f>IF($K1272="","",INDEX(Zeiterfassung!$D$6:$D$3665,$K1272))</f>
        <v/>
      </c>
      <c r="E1272" s="186">
        <f>IF($K1272="","",INDEX(Zeiterfassung!$E$6:$E$3665,$K1272))</f>
        <v/>
      </c>
      <c r="F1272" s="187">
        <f>IF($K1272="","",INDEX(Zeiterfassung!$F$6:$F$3665,$K1272))</f>
        <v/>
      </c>
      <c r="G1272" s="187">
        <f>IF($K1272="","",INDEX(Zeiterfassung!$G$6:$G$3665,$K1272))</f>
        <v/>
      </c>
      <c r="H1272" s="188">
        <f>IF($K1272="","",INDEX(Zeiterfassung!$H$6:$H$3665,$K1272))</f>
        <v/>
      </c>
      <c r="I1272" s="335">
        <f>IF(B1272=B1271,"",IF($K1272="","",INDEX(Zeiterfassung!$I$6:$I$3665,MATCH(INDEX(Zeiterfassung!$K$6:$K$3665,$K1272),Zeiterfassung!$K$6:$K$3665,0))))</f>
        <v/>
      </c>
      <c r="J1272" s="335">
        <f>IF(B1272=B1271,"",IF($K1272="","",INDEX(Zeiterfassung!$J$6:$J$3665,MATCH(INDEX(Zeiterfassung!$K$6:$K$3665,$K1272),Zeiterfassung!$K$6:$K$3665,0))))</f>
        <v/>
      </c>
      <c r="K1272">
        <f>IFERROR(AGGREGATE(15,6,(ROW(Zeiterfassung!$D$6:$D$3665)-ROW(Zeiterfassung!$D$6)+1)/(Zeiterfassung!$D$6:$D$3665&lt;&gt;""),1267),"")</f>
        <v/>
      </c>
    </row>
    <row r="1273" ht="20" customHeight="1">
      <c r="A1273" s="183">
        <f>IF($K1273="","",WEEKNUM(INDEX(Zeiterfassung!$K$6:$K$3665,$K1273),21))</f>
        <v/>
      </c>
      <c r="B1273" s="184">
        <f>IF($K1273="","",INDEX(Zeiterfassung!$K$6:$K$3665,$K1273))</f>
        <v/>
      </c>
      <c r="C1273" s="185">
        <f>IF($K1273="","",INDEX(Zeiterfassung!$K$6:$K$3665,$K1273))</f>
        <v/>
      </c>
      <c r="D1273" s="186">
        <f>IF($K1273="","",INDEX(Zeiterfassung!$D$6:$D$3665,$K1273))</f>
        <v/>
      </c>
      <c r="E1273" s="186">
        <f>IF($K1273="","",INDEX(Zeiterfassung!$E$6:$E$3665,$K1273))</f>
        <v/>
      </c>
      <c r="F1273" s="187">
        <f>IF($K1273="","",INDEX(Zeiterfassung!$F$6:$F$3665,$K1273))</f>
        <v/>
      </c>
      <c r="G1273" s="187">
        <f>IF($K1273="","",INDEX(Zeiterfassung!$G$6:$G$3665,$K1273))</f>
        <v/>
      </c>
      <c r="H1273" s="188">
        <f>IF($K1273="","",INDEX(Zeiterfassung!$H$6:$H$3665,$K1273))</f>
        <v/>
      </c>
      <c r="I1273" s="335">
        <f>IF(B1273=B1272,"",IF($K1273="","",INDEX(Zeiterfassung!$I$6:$I$3665,MATCH(INDEX(Zeiterfassung!$K$6:$K$3665,$K1273),Zeiterfassung!$K$6:$K$3665,0))))</f>
        <v/>
      </c>
      <c r="J1273" s="335">
        <f>IF(B1273=B1272,"",IF($K1273="","",INDEX(Zeiterfassung!$J$6:$J$3665,MATCH(INDEX(Zeiterfassung!$K$6:$K$3665,$K1273),Zeiterfassung!$K$6:$K$3665,0))))</f>
        <v/>
      </c>
      <c r="K1273">
        <f>IFERROR(AGGREGATE(15,6,(ROW(Zeiterfassung!$D$6:$D$3665)-ROW(Zeiterfassung!$D$6)+1)/(Zeiterfassung!$D$6:$D$3665&lt;&gt;""),1268),"")</f>
        <v/>
      </c>
    </row>
    <row r="1274" ht="20" customHeight="1">
      <c r="A1274" s="183">
        <f>IF($K1274="","",WEEKNUM(INDEX(Zeiterfassung!$K$6:$K$3665,$K1274),21))</f>
        <v/>
      </c>
      <c r="B1274" s="184">
        <f>IF($K1274="","",INDEX(Zeiterfassung!$K$6:$K$3665,$K1274))</f>
        <v/>
      </c>
      <c r="C1274" s="185">
        <f>IF($K1274="","",INDEX(Zeiterfassung!$K$6:$K$3665,$K1274))</f>
        <v/>
      </c>
      <c r="D1274" s="186">
        <f>IF($K1274="","",INDEX(Zeiterfassung!$D$6:$D$3665,$K1274))</f>
        <v/>
      </c>
      <c r="E1274" s="186">
        <f>IF($K1274="","",INDEX(Zeiterfassung!$E$6:$E$3665,$K1274))</f>
        <v/>
      </c>
      <c r="F1274" s="187">
        <f>IF($K1274="","",INDEX(Zeiterfassung!$F$6:$F$3665,$K1274))</f>
        <v/>
      </c>
      <c r="G1274" s="187">
        <f>IF($K1274="","",INDEX(Zeiterfassung!$G$6:$G$3665,$K1274))</f>
        <v/>
      </c>
      <c r="H1274" s="188">
        <f>IF($K1274="","",INDEX(Zeiterfassung!$H$6:$H$3665,$K1274))</f>
        <v/>
      </c>
      <c r="I1274" s="335">
        <f>IF(B1274=B1273,"",IF($K1274="","",INDEX(Zeiterfassung!$I$6:$I$3665,MATCH(INDEX(Zeiterfassung!$K$6:$K$3665,$K1274),Zeiterfassung!$K$6:$K$3665,0))))</f>
        <v/>
      </c>
      <c r="J1274" s="335">
        <f>IF(B1274=B1273,"",IF($K1274="","",INDEX(Zeiterfassung!$J$6:$J$3665,MATCH(INDEX(Zeiterfassung!$K$6:$K$3665,$K1274),Zeiterfassung!$K$6:$K$3665,0))))</f>
        <v/>
      </c>
      <c r="K1274">
        <f>IFERROR(AGGREGATE(15,6,(ROW(Zeiterfassung!$D$6:$D$3665)-ROW(Zeiterfassung!$D$6)+1)/(Zeiterfassung!$D$6:$D$3665&lt;&gt;""),1269),"")</f>
        <v/>
      </c>
    </row>
    <row r="1275" ht="20" customHeight="1">
      <c r="A1275" s="183">
        <f>IF($K1275="","",WEEKNUM(INDEX(Zeiterfassung!$K$6:$K$3665,$K1275),21))</f>
        <v/>
      </c>
      <c r="B1275" s="184">
        <f>IF($K1275="","",INDEX(Zeiterfassung!$K$6:$K$3665,$K1275))</f>
        <v/>
      </c>
      <c r="C1275" s="185">
        <f>IF($K1275="","",INDEX(Zeiterfassung!$K$6:$K$3665,$K1275))</f>
        <v/>
      </c>
      <c r="D1275" s="186">
        <f>IF($K1275="","",INDEX(Zeiterfassung!$D$6:$D$3665,$K1275))</f>
        <v/>
      </c>
      <c r="E1275" s="186">
        <f>IF($K1275="","",INDEX(Zeiterfassung!$E$6:$E$3665,$K1275))</f>
        <v/>
      </c>
      <c r="F1275" s="187">
        <f>IF($K1275="","",INDEX(Zeiterfassung!$F$6:$F$3665,$K1275))</f>
        <v/>
      </c>
      <c r="G1275" s="187">
        <f>IF($K1275="","",INDEX(Zeiterfassung!$G$6:$G$3665,$K1275))</f>
        <v/>
      </c>
      <c r="H1275" s="188">
        <f>IF($K1275="","",INDEX(Zeiterfassung!$H$6:$H$3665,$K1275))</f>
        <v/>
      </c>
      <c r="I1275" s="335">
        <f>IF(B1275=B1274,"",IF($K1275="","",INDEX(Zeiterfassung!$I$6:$I$3665,MATCH(INDEX(Zeiterfassung!$K$6:$K$3665,$K1275),Zeiterfassung!$K$6:$K$3665,0))))</f>
        <v/>
      </c>
      <c r="J1275" s="335">
        <f>IF(B1275=B1274,"",IF($K1275="","",INDEX(Zeiterfassung!$J$6:$J$3665,MATCH(INDEX(Zeiterfassung!$K$6:$K$3665,$K1275),Zeiterfassung!$K$6:$K$3665,0))))</f>
        <v/>
      </c>
      <c r="K1275">
        <f>IFERROR(AGGREGATE(15,6,(ROW(Zeiterfassung!$D$6:$D$3665)-ROW(Zeiterfassung!$D$6)+1)/(Zeiterfassung!$D$6:$D$3665&lt;&gt;""),1270),"")</f>
        <v/>
      </c>
    </row>
    <row r="1276" ht="20" customHeight="1">
      <c r="A1276" s="183">
        <f>IF($K1276="","",WEEKNUM(INDEX(Zeiterfassung!$K$6:$K$3665,$K1276),21))</f>
        <v/>
      </c>
      <c r="B1276" s="184">
        <f>IF($K1276="","",INDEX(Zeiterfassung!$K$6:$K$3665,$K1276))</f>
        <v/>
      </c>
      <c r="C1276" s="185">
        <f>IF($K1276="","",INDEX(Zeiterfassung!$K$6:$K$3665,$K1276))</f>
        <v/>
      </c>
      <c r="D1276" s="186">
        <f>IF($K1276="","",INDEX(Zeiterfassung!$D$6:$D$3665,$K1276))</f>
        <v/>
      </c>
      <c r="E1276" s="186">
        <f>IF($K1276="","",INDEX(Zeiterfassung!$E$6:$E$3665,$K1276))</f>
        <v/>
      </c>
      <c r="F1276" s="187">
        <f>IF($K1276="","",INDEX(Zeiterfassung!$F$6:$F$3665,$K1276))</f>
        <v/>
      </c>
      <c r="G1276" s="187">
        <f>IF($K1276="","",INDEX(Zeiterfassung!$G$6:$G$3665,$K1276))</f>
        <v/>
      </c>
      <c r="H1276" s="188">
        <f>IF($K1276="","",INDEX(Zeiterfassung!$H$6:$H$3665,$K1276))</f>
        <v/>
      </c>
      <c r="I1276" s="335">
        <f>IF(B1276=B1275,"",IF($K1276="","",INDEX(Zeiterfassung!$I$6:$I$3665,MATCH(INDEX(Zeiterfassung!$K$6:$K$3665,$K1276),Zeiterfassung!$K$6:$K$3665,0))))</f>
        <v/>
      </c>
      <c r="J1276" s="335">
        <f>IF(B1276=B1275,"",IF($K1276="","",INDEX(Zeiterfassung!$J$6:$J$3665,MATCH(INDEX(Zeiterfassung!$K$6:$K$3665,$K1276),Zeiterfassung!$K$6:$K$3665,0))))</f>
        <v/>
      </c>
      <c r="K1276">
        <f>IFERROR(AGGREGATE(15,6,(ROW(Zeiterfassung!$D$6:$D$3665)-ROW(Zeiterfassung!$D$6)+1)/(Zeiterfassung!$D$6:$D$3665&lt;&gt;""),1271),"")</f>
        <v/>
      </c>
    </row>
    <row r="1277" ht="20" customHeight="1">
      <c r="A1277" s="183">
        <f>IF($K1277="","",WEEKNUM(INDEX(Zeiterfassung!$K$6:$K$3665,$K1277),21))</f>
        <v/>
      </c>
      <c r="B1277" s="184">
        <f>IF($K1277="","",INDEX(Zeiterfassung!$K$6:$K$3665,$K1277))</f>
        <v/>
      </c>
      <c r="C1277" s="185">
        <f>IF($K1277="","",INDEX(Zeiterfassung!$K$6:$K$3665,$K1277))</f>
        <v/>
      </c>
      <c r="D1277" s="186">
        <f>IF($K1277="","",INDEX(Zeiterfassung!$D$6:$D$3665,$K1277))</f>
        <v/>
      </c>
      <c r="E1277" s="186">
        <f>IF($K1277="","",INDEX(Zeiterfassung!$E$6:$E$3665,$K1277))</f>
        <v/>
      </c>
      <c r="F1277" s="187">
        <f>IF($K1277="","",INDEX(Zeiterfassung!$F$6:$F$3665,$K1277))</f>
        <v/>
      </c>
      <c r="G1277" s="187">
        <f>IF($K1277="","",INDEX(Zeiterfassung!$G$6:$G$3665,$K1277))</f>
        <v/>
      </c>
      <c r="H1277" s="188">
        <f>IF($K1277="","",INDEX(Zeiterfassung!$H$6:$H$3665,$K1277))</f>
        <v/>
      </c>
      <c r="I1277" s="335">
        <f>IF(B1277=B1276,"",IF($K1277="","",INDEX(Zeiterfassung!$I$6:$I$3665,MATCH(INDEX(Zeiterfassung!$K$6:$K$3665,$K1277),Zeiterfassung!$K$6:$K$3665,0))))</f>
        <v/>
      </c>
      <c r="J1277" s="335">
        <f>IF(B1277=B1276,"",IF($K1277="","",INDEX(Zeiterfassung!$J$6:$J$3665,MATCH(INDEX(Zeiterfassung!$K$6:$K$3665,$K1277),Zeiterfassung!$K$6:$K$3665,0))))</f>
        <v/>
      </c>
      <c r="K1277">
        <f>IFERROR(AGGREGATE(15,6,(ROW(Zeiterfassung!$D$6:$D$3665)-ROW(Zeiterfassung!$D$6)+1)/(Zeiterfassung!$D$6:$D$3665&lt;&gt;""),1272),"")</f>
        <v/>
      </c>
    </row>
    <row r="1278" ht="20" customHeight="1">
      <c r="A1278" s="183">
        <f>IF($K1278="","",WEEKNUM(INDEX(Zeiterfassung!$K$6:$K$3665,$K1278),21))</f>
        <v/>
      </c>
      <c r="B1278" s="184">
        <f>IF($K1278="","",INDEX(Zeiterfassung!$K$6:$K$3665,$K1278))</f>
        <v/>
      </c>
      <c r="C1278" s="185">
        <f>IF($K1278="","",INDEX(Zeiterfassung!$K$6:$K$3665,$K1278))</f>
        <v/>
      </c>
      <c r="D1278" s="186">
        <f>IF($K1278="","",INDEX(Zeiterfassung!$D$6:$D$3665,$K1278))</f>
        <v/>
      </c>
      <c r="E1278" s="186">
        <f>IF($K1278="","",INDEX(Zeiterfassung!$E$6:$E$3665,$K1278))</f>
        <v/>
      </c>
      <c r="F1278" s="187">
        <f>IF($K1278="","",INDEX(Zeiterfassung!$F$6:$F$3665,$K1278))</f>
        <v/>
      </c>
      <c r="G1278" s="187">
        <f>IF($K1278="","",INDEX(Zeiterfassung!$G$6:$G$3665,$K1278))</f>
        <v/>
      </c>
      <c r="H1278" s="188">
        <f>IF($K1278="","",INDEX(Zeiterfassung!$H$6:$H$3665,$K1278))</f>
        <v/>
      </c>
      <c r="I1278" s="335">
        <f>IF(B1278=B1277,"",IF($K1278="","",INDEX(Zeiterfassung!$I$6:$I$3665,MATCH(INDEX(Zeiterfassung!$K$6:$K$3665,$K1278),Zeiterfassung!$K$6:$K$3665,0))))</f>
        <v/>
      </c>
      <c r="J1278" s="335">
        <f>IF(B1278=B1277,"",IF($K1278="","",INDEX(Zeiterfassung!$J$6:$J$3665,MATCH(INDEX(Zeiterfassung!$K$6:$K$3665,$K1278),Zeiterfassung!$K$6:$K$3665,0))))</f>
        <v/>
      </c>
      <c r="K1278">
        <f>IFERROR(AGGREGATE(15,6,(ROW(Zeiterfassung!$D$6:$D$3665)-ROW(Zeiterfassung!$D$6)+1)/(Zeiterfassung!$D$6:$D$3665&lt;&gt;""),1273),"")</f>
        <v/>
      </c>
    </row>
    <row r="1279" ht="20" customHeight="1">
      <c r="A1279" s="183">
        <f>IF($K1279="","",WEEKNUM(INDEX(Zeiterfassung!$K$6:$K$3665,$K1279),21))</f>
        <v/>
      </c>
      <c r="B1279" s="184">
        <f>IF($K1279="","",INDEX(Zeiterfassung!$K$6:$K$3665,$K1279))</f>
        <v/>
      </c>
      <c r="C1279" s="185">
        <f>IF($K1279="","",INDEX(Zeiterfassung!$K$6:$K$3665,$K1279))</f>
        <v/>
      </c>
      <c r="D1279" s="186">
        <f>IF($K1279="","",INDEX(Zeiterfassung!$D$6:$D$3665,$K1279))</f>
        <v/>
      </c>
      <c r="E1279" s="186">
        <f>IF($K1279="","",INDEX(Zeiterfassung!$E$6:$E$3665,$K1279))</f>
        <v/>
      </c>
      <c r="F1279" s="187">
        <f>IF($K1279="","",INDEX(Zeiterfassung!$F$6:$F$3665,$K1279))</f>
        <v/>
      </c>
      <c r="G1279" s="187">
        <f>IF($K1279="","",INDEX(Zeiterfassung!$G$6:$G$3665,$K1279))</f>
        <v/>
      </c>
      <c r="H1279" s="188">
        <f>IF($K1279="","",INDEX(Zeiterfassung!$H$6:$H$3665,$K1279))</f>
        <v/>
      </c>
      <c r="I1279" s="335">
        <f>IF(B1279=B1278,"",IF($K1279="","",INDEX(Zeiterfassung!$I$6:$I$3665,MATCH(INDEX(Zeiterfassung!$K$6:$K$3665,$K1279),Zeiterfassung!$K$6:$K$3665,0))))</f>
        <v/>
      </c>
      <c r="J1279" s="335">
        <f>IF(B1279=B1278,"",IF($K1279="","",INDEX(Zeiterfassung!$J$6:$J$3665,MATCH(INDEX(Zeiterfassung!$K$6:$K$3665,$K1279),Zeiterfassung!$K$6:$K$3665,0))))</f>
        <v/>
      </c>
      <c r="K1279">
        <f>IFERROR(AGGREGATE(15,6,(ROW(Zeiterfassung!$D$6:$D$3665)-ROW(Zeiterfassung!$D$6)+1)/(Zeiterfassung!$D$6:$D$3665&lt;&gt;""),1274),"")</f>
        <v/>
      </c>
    </row>
    <row r="1280" ht="20" customHeight="1">
      <c r="A1280" s="183">
        <f>IF($K1280="","",WEEKNUM(INDEX(Zeiterfassung!$K$6:$K$3665,$K1280),21))</f>
        <v/>
      </c>
      <c r="B1280" s="184">
        <f>IF($K1280="","",INDEX(Zeiterfassung!$K$6:$K$3665,$K1280))</f>
        <v/>
      </c>
      <c r="C1280" s="185">
        <f>IF($K1280="","",INDEX(Zeiterfassung!$K$6:$K$3665,$K1280))</f>
        <v/>
      </c>
      <c r="D1280" s="186">
        <f>IF($K1280="","",INDEX(Zeiterfassung!$D$6:$D$3665,$K1280))</f>
        <v/>
      </c>
      <c r="E1280" s="186">
        <f>IF($K1280="","",INDEX(Zeiterfassung!$E$6:$E$3665,$K1280))</f>
        <v/>
      </c>
      <c r="F1280" s="187">
        <f>IF($K1280="","",INDEX(Zeiterfassung!$F$6:$F$3665,$K1280))</f>
        <v/>
      </c>
      <c r="G1280" s="187">
        <f>IF($K1280="","",INDEX(Zeiterfassung!$G$6:$G$3665,$K1280))</f>
        <v/>
      </c>
      <c r="H1280" s="188">
        <f>IF($K1280="","",INDEX(Zeiterfassung!$H$6:$H$3665,$K1280))</f>
        <v/>
      </c>
      <c r="I1280" s="335">
        <f>IF(B1280=B1279,"",IF($K1280="","",INDEX(Zeiterfassung!$I$6:$I$3665,MATCH(INDEX(Zeiterfassung!$K$6:$K$3665,$K1280),Zeiterfassung!$K$6:$K$3665,0))))</f>
        <v/>
      </c>
      <c r="J1280" s="335">
        <f>IF(B1280=B1279,"",IF($K1280="","",INDEX(Zeiterfassung!$J$6:$J$3665,MATCH(INDEX(Zeiterfassung!$K$6:$K$3665,$K1280),Zeiterfassung!$K$6:$K$3665,0))))</f>
        <v/>
      </c>
      <c r="K1280">
        <f>IFERROR(AGGREGATE(15,6,(ROW(Zeiterfassung!$D$6:$D$3665)-ROW(Zeiterfassung!$D$6)+1)/(Zeiterfassung!$D$6:$D$3665&lt;&gt;""),1275),"")</f>
        <v/>
      </c>
    </row>
    <row r="1281" ht="20" customHeight="1">
      <c r="A1281" s="183">
        <f>IF($K1281="","",WEEKNUM(INDEX(Zeiterfassung!$K$6:$K$3665,$K1281),21))</f>
        <v/>
      </c>
      <c r="B1281" s="184">
        <f>IF($K1281="","",INDEX(Zeiterfassung!$K$6:$K$3665,$K1281))</f>
        <v/>
      </c>
      <c r="C1281" s="185">
        <f>IF($K1281="","",INDEX(Zeiterfassung!$K$6:$K$3665,$K1281))</f>
        <v/>
      </c>
      <c r="D1281" s="186">
        <f>IF($K1281="","",INDEX(Zeiterfassung!$D$6:$D$3665,$K1281))</f>
        <v/>
      </c>
      <c r="E1281" s="186">
        <f>IF($K1281="","",INDEX(Zeiterfassung!$E$6:$E$3665,$K1281))</f>
        <v/>
      </c>
      <c r="F1281" s="187">
        <f>IF($K1281="","",INDEX(Zeiterfassung!$F$6:$F$3665,$K1281))</f>
        <v/>
      </c>
      <c r="G1281" s="187">
        <f>IF($K1281="","",INDEX(Zeiterfassung!$G$6:$G$3665,$K1281))</f>
        <v/>
      </c>
      <c r="H1281" s="188">
        <f>IF($K1281="","",INDEX(Zeiterfassung!$H$6:$H$3665,$K1281))</f>
        <v/>
      </c>
      <c r="I1281" s="335">
        <f>IF(B1281=B1280,"",IF($K1281="","",INDEX(Zeiterfassung!$I$6:$I$3665,MATCH(INDEX(Zeiterfassung!$K$6:$K$3665,$K1281),Zeiterfassung!$K$6:$K$3665,0))))</f>
        <v/>
      </c>
      <c r="J1281" s="335">
        <f>IF(B1281=B1280,"",IF($K1281="","",INDEX(Zeiterfassung!$J$6:$J$3665,MATCH(INDEX(Zeiterfassung!$K$6:$K$3665,$K1281),Zeiterfassung!$K$6:$K$3665,0))))</f>
        <v/>
      </c>
      <c r="K1281">
        <f>IFERROR(AGGREGATE(15,6,(ROW(Zeiterfassung!$D$6:$D$3665)-ROW(Zeiterfassung!$D$6)+1)/(Zeiterfassung!$D$6:$D$3665&lt;&gt;""),1276),"")</f>
        <v/>
      </c>
    </row>
    <row r="1282" ht="20" customHeight="1">
      <c r="A1282" s="183">
        <f>IF($K1282="","",WEEKNUM(INDEX(Zeiterfassung!$K$6:$K$3665,$K1282),21))</f>
        <v/>
      </c>
      <c r="B1282" s="184">
        <f>IF($K1282="","",INDEX(Zeiterfassung!$K$6:$K$3665,$K1282))</f>
        <v/>
      </c>
      <c r="C1282" s="185">
        <f>IF($K1282="","",INDEX(Zeiterfassung!$K$6:$K$3665,$K1282))</f>
        <v/>
      </c>
      <c r="D1282" s="186">
        <f>IF($K1282="","",INDEX(Zeiterfassung!$D$6:$D$3665,$K1282))</f>
        <v/>
      </c>
      <c r="E1282" s="186">
        <f>IF($K1282="","",INDEX(Zeiterfassung!$E$6:$E$3665,$K1282))</f>
        <v/>
      </c>
      <c r="F1282" s="187">
        <f>IF($K1282="","",INDEX(Zeiterfassung!$F$6:$F$3665,$K1282))</f>
        <v/>
      </c>
      <c r="G1282" s="187">
        <f>IF($K1282="","",INDEX(Zeiterfassung!$G$6:$G$3665,$K1282))</f>
        <v/>
      </c>
      <c r="H1282" s="188">
        <f>IF($K1282="","",INDEX(Zeiterfassung!$H$6:$H$3665,$K1282))</f>
        <v/>
      </c>
      <c r="I1282" s="335">
        <f>IF(B1282=B1281,"",IF($K1282="","",INDEX(Zeiterfassung!$I$6:$I$3665,MATCH(INDEX(Zeiterfassung!$K$6:$K$3665,$K1282),Zeiterfassung!$K$6:$K$3665,0))))</f>
        <v/>
      </c>
      <c r="J1282" s="335">
        <f>IF(B1282=B1281,"",IF($K1282="","",INDEX(Zeiterfassung!$J$6:$J$3665,MATCH(INDEX(Zeiterfassung!$K$6:$K$3665,$K1282),Zeiterfassung!$K$6:$K$3665,0))))</f>
        <v/>
      </c>
      <c r="K1282">
        <f>IFERROR(AGGREGATE(15,6,(ROW(Zeiterfassung!$D$6:$D$3665)-ROW(Zeiterfassung!$D$6)+1)/(Zeiterfassung!$D$6:$D$3665&lt;&gt;""),1277),"")</f>
        <v/>
      </c>
    </row>
    <row r="1283" ht="20" customHeight="1">
      <c r="A1283" s="183">
        <f>IF($K1283="","",WEEKNUM(INDEX(Zeiterfassung!$K$6:$K$3665,$K1283),21))</f>
        <v/>
      </c>
      <c r="B1283" s="184">
        <f>IF($K1283="","",INDEX(Zeiterfassung!$K$6:$K$3665,$K1283))</f>
        <v/>
      </c>
      <c r="C1283" s="185">
        <f>IF($K1283="","",INDEX(Zeiterfassung!$K$6:$K$3665,$K1283))</f>
        <v/>
      </c>
      <c r="D1283" s="186">
        <f>IF($K1283="","",INDEX(Zeiterfassung!$D$6:$D$3665,$K1283))</f>
        <v/>
      </c>
      <c r="E1283" s="186">
        <f>IF($K1283="","",INDEX(Zeiterfassung!$E$6:$E$3665,$K1283))</f>
        <v/>
      </c>
      <c r="F1283" s="187">
        <f>IF($K1283="","",INDEX(Zeiterfassung!$F$6:$F$3665,$K1283))</f>
        <v/>
      </c>
      <c r="G1283" s="187">
        <f>IF($K1283="","",INDEX(Zeiterfassung!$G$6:$G$3665,$K1283))</f>
        <v/>
      </c>
      <c r="H1283" s="188">
        <f>IF($K1283="","",INDEX(Zeiterfassung!$H$6:$H$3665,$K1283))</f>
        <v/>
      </c>
      <c r="I1283" s="335">
        <f>IF(B1283=B1282,"",IF($K1283="","",INDEX(Zeiterfassung!$I$6:$I$3665,MATCH(INDEX(Zeiterfassung!$K$6:$K$3665,$K1283),Zeiterfassung!$K$6:$K$3665,0))))</f>
        <v/>
      </c>
      <c r="J1283" s="335">
        <f>IF(B1283=B1282,"",IF($K1283="","",INDEX(Zeiterfassung!$J$6:$J$3665,MATCH(INDEX(Zeiterfassung!$K$6:$K$3665,$K1283),Zeiterfassung!$K$6:$K$3665,0))))</f>
        <v/>
      </c>
      <c r="K1283">
        <f>IFERROR(AGGREGATE(15,6,(ROW(Zeiterfassung!$D$6:$D$3665)-ROW(Zeiterfassung!$D$6)+1)/(Zeiterfassung!$D$6:$D$3665&lt;&gt;""),1278),"")</f>
        <v/>
      </c>
    </row>
    <row r="1284" ht="20" customHeight="1">
      <c r="A1284" s="183">
        <f>IF($K1284="","",WEEKNUM(INDEX(Zeiterfassung!$K$6:$K$3665,$K1284),21))</f>
        <v/>
      </c>
      <c r="B1284" s="184">
        <f>IF($K1284="","",INDEX(Zeiterfassung!$K$6:$K$3665,$K1284))</f>
        <v/>
      </c>
      <c r="C1284" s="185">
        <f>IF($K1284="","",INDEX(Zeiterfassung!$K$6:$K$3665,$K1284))</f>
        <v/>
      </c>
      <c r="D1284" s="186">
        <f>IF($K1284="","",INDEX(Zeiterfassung!$D$6:$D$3665,$K1284))</f>
        <v/>
      </c>
      <c r="E1284" s="186">
        <f>IF($K1284="","",INDEX(Zeiterfassung!$E$6:$E$3665,$K1284))</f>
        <v/>
      </c>
      <c r="F1284" s="187">
        <f>IF($K1284="","",INDEX(Zeiterfassung!$F$6:$F$3665,$K1284))</f>
        <v/>
      </c>
      <c r="G1284" s="187">
        <f>IF($K1284="","",INDEX(Zeiterfassung!$G$6:$G$3665,$K1284))</f>
        <v/>
      </c>
      <c r="H1284" s="188">
        <f>IF($K1284="","",INDEX(Zeiterfassung!$H$6:$H$3665,$K1284))</f>
        <v/>
      </c>
      <c r="I1284" s="335">
        <f>IF(B1284=B1283,"",IF($K1284="","",INDEX(Zeiterfassung!$I$6:$I$3665,MATCH(INDEX(Zeiterfassung!$K$6:$K$3665,$K1284),Zeiterfassung!$K$6:$K$3665,0))))</f>
        <v/>
      </c>
      <c r="J1284" s="335">
        <f>IF(B1284=B1283,"",IF($K1284="","",INDEX(Zeiterfassung!$J$6:$J$3665,MATCH(INDEX(Zeiterfassung!$K$6:$K$3665,$K1284),Zeiterfassung!$K$6:$K$3665,0))))</f>
        <v/>
      </c>
      <c r="K1284">
        <f>IFERROR(AGGREGATE(15,6,(ROW(Zeiterfassung!$D$6:$D$3665)-ROW(Zeiterfassung!$D$6)+1)/(Zeiterfassung!$D$6:$D$3665&lt;&gt;""),1279),"")</f>
        <v/>
      </c>
    </row>
    <row r="1285" ht="20" customHeight="1">
      <c r="A1285" s="183">
        <f>IF($K1285="","",WEEKNUM(INDEX(Zeiterfassung!$K$6:$K$3665,$K1285),21))</f>
        <v/>
      </c>
      <c r="B1285" s="184">
        <f>IF($K1285="","",INDEX(Zeiterfassung!$K$6:$K$3665,$K1285))</f>
        <v/>
      </c>
      <c r="C1285" s="185">
        <f>IF($K1285="","",INDEX(Zeiterfassung!$K$6:$K$3665,$K1285))</f>
        <v/>
      </c>
      <c r="D1285" s="186">
        <f>IF($K1285="","",INDEX(Zeiterfassung!$D$6:$D$3665,$K1285))</f>
        <v/>
      </c>
      <c r="E1285" s="186">
        <f>IF($K1285="","",INDEX(Zeiterfassung!$E$6:$E$3665,$K1285))</f>
        <v/>
      </c>
      <c r="F1285" s="187">
        <f>IF($K1285="","",INDEX(Zeiterfassung!$F$6:$F$3665,$K1285))</f>
        <v/>
      </c>
      <c r="G1285" s="187">
        <f>IF($K1285="","",INDEX(Zeiterfassung!$G$6:$G$3665,$K1285))</f>
        <v/>
      </c>
      <c r="H1285" s="188">
        <f>IF($K1285="","",INDEX(Zeiterfassung!$H$6:$H$3665,$K1285))</f>
        <v/>
      </c>
      <c r="I1285" s="335">
        <f>IF(B1285=B1284,"",IF($K1285="","",INDEX(Zeiterfassung!$I$6:$I$3665,MATCH(INDEX(Zeiterfassung!$K$6:$K$3665,$K1285),Zeiterfassung!$K$6:$K$3665,0))))</f>
        <v/>
      </c>
      <c r="J1285" s="335">
        <f>IF(B1285=B1284,"",IF($K1285="","",INDEX(Zeiterfassung!$J$6:$J$3665,MATCH(INDEX(Zeiterfassung!$K$6:$K$3665,$K1285),Zeiterfassung!$K$6:$K$3665,0))))</f>
        <v/>
      </c>
      <c r="K1285">
        <f>IFERROR(AGGREGATE(15,6,(ROW(Zeiterfassung!$D$6:$D$3665)-ROW(Zeiterfassung!$D$6)+1)/(Zeiterfassung!$D$6:$D$3665&lt;&gt;""),1280),"")</f>
        <v/>
      </c>
    </row>
    <row r="1286" ht="20" customHeight="1">
      <c r="A1286" s="183">
        <f>IF($K1286="","",WEEKNUM(INDEX(Zeiterfassung!$K$6:$K$3665,$K1286),21))</f>
        <v/>
      </c>
      <c r="B1286" s="184">
        <f>IF($K1286="","",INDEX(Zeiterfassung!$K$6:$K$3665,$K1286))</f>
        <v/>
      </c>
      <c r="C1286" s="185">
        <f>IF($K1286="","",INDEX(Zeiterfassung!$K$6:$K$3665,$K1286))</f>
        <v/>
      </c>
      <c r="D1286" s="186">
        <f>IF($K1286="","",INDEX(Zeiterfassung!$D$6:$D$3665,$K1286))</f>
        <v/>
      </c>
      <c r="E1286" s="186">
        <f>IF($K1286="","",INDEX(Zeiterfassung!$E$6:$E$3665,$K1286))</f>
        <v/>
      </c>
      <c r="F1286" s="187">
        <f>IF($K1286="","",INDEX(Zeiterfassung!$F$6:$F$3665,$K1286))</f>
        <v/>
      </c>
      <c r="G1286" s="187">
        <f>IF($K1286="","",INDEX(Zeiterfassung!$G$6:$G$3665,$K1286))</f>
        <v/>
      </c>
      <c r="H1286" s="188">
        <f>IF($K1286="","",INDEX(Zeiterfassung!$H$6:$H$3665,$K1286))</f>
        <v/>
      </c>
      <c r="I1286" s="335">
        <f>IF(B1286=B1285,"",IF($K1286="","",INDEX(Zeiterfassung!$I$6:$I$3665,MATCH(INDEX(Zeiterfassung!$K$6:$K$3665,$K1286),Zeiterfassung!$K$6:$K$3665,0))))</f>
        <v/>
      </c>
      <c r="J1286" s="335">
        <f>IF(B1286=B1285,"",IF($K1286="","",INDEX(Zeiterfassung!$J$6:$J$3665,MATCH(INDEX(Zeiterfassung!$K$6:$K$3665,$K1286),Zeiterfassung!$K$6:$K$3665,0))))</f>
        <v/>
      </c>
      <c r="K1286">
        <f>IFERROR(AGGREGATE(15,6,(ROW(Zeiterfassung!$D$6:$D$3665)-ROW(Zeiterfassung!$D$6)+1)/(Zeiterfassung!$D$6:$D$3665&lt;&gt;""),1281),"")</f>
        <v/>
      </c>
    </row>
    <row r="1287" ht="20" customHeight="1">
      <c r="A1287" s="183">
        <f>IF($K1287="","",WEEKNUM(INDEX(Zeiterfassung!$K$6:$K$3665,$K1287),21))</f>
        <v/>
      </c>
      <c r="B1287" s="184">
        <f>IF($K1287="","",INDEX(Zeiterfassung!$K$6:$K$3665,$K1287))</f>
        <v/>
      </c>
      <c r="C1287" s="185">
        <f>IF($K1287="","",INDEX(Zeiterfassung!$K$6:$K$3665,$K1287))</f>
        <v/>
      </c>
      <c r="D1287" s="186">
        <f>IF($K1287="","",INDEX(Zeiterfassung!$D$6:$D$3665,$K1287))</f>
        <v/>
      </c>
      <c r="E1287" s="186">
        <f>IF($K1287="","",INDEX(Zeiterfassung!$E$6:$E$3665,$K1287))</f>
        <v/>
      </c>
      <c r="F1287" s="187">
        <f>IF($K1287="","",INDEX(Zeiterfassung!$F$6:$F$3665,$K1287))</f>
        <v/>
      </c>
      <c r="G1287" s="187">
        <f>IF($K1287="","",INDEX(Zeiterfassung!$G$6:$G$3665,$K1287))</f>
        <v/>
      </c>
      <c r="H1287" s="188">
        <f>IF($K1287="","",INDEX(Zeiterfassung!$H$6:$H$3665,$K1287))</f>
        <v/>
      </c>
      <c r="I1287" s="335">
        <f>IF(B1287=B1286,"",IF($K1287="","",INDEX(Zeiterfassung!$I$6:$I$3665,MATCH(INDEX(Zeiterfassung!$K$6:$K$3665,$K1287),Zeiterfassung!$K$6:$K$3665,0))))</f>
        <v/>
      </c>
      <c r="J1287" s="335">
        <f>IF(B1287=B1286,"",IF($K1287="","",INDEX(Zeiterfassung!$J$6:$J$3665,MATCH(INDEX(Zeiterfassung!$K$6:$K$3665,$K1287),Zeiterfassung!$K$6:$K$3665,0))))</f>
        <v/>
      </c>
      <c r="K1287">
        <f>IFERROR(AGGREGATE(15,6,(ROW(Zeiterfassung!$D$6:$D$3665)-ROW(Zeiterfassung!$D$6)+1)/(Zeiterfassung!$D$6:$D$3665&lt;&gt;""),1282),"")</f>
        <v/>
      </c>
    </row>
    <row r="1288" ht="20" customHeight="1">
      <c r="A1288" s="183">
        <f>IF($K1288="","",WEEKNUM(INDEX(Zeiterfassung!$K$6:$K$3665,$K1288),21))</f>
        <v/>
      </c>
      <c r="B1288" s="184">
        <f>IF($K1288="","",INDEX(Zeiterfassung!$K$6:$K$3665,$K1288))</f>
        <v/>
      </c>
      <c r="C1288" s="185">
        <f>IF($K1288="","",INDEX(Zeiterfassung!$K$6:$K$3665,$K1288))</f>
        <v/>
      </c>
      <c r="D1288" s="186">
        <f>IF($K1288="","",INDEX(Zeiterfassung!$D$6:$D$3665,$K1288))</f>
        <v/>
      </c>
      <c r="E1288" s="186">
        <f>IF($K1288="","",INDEX(Zeiterfassung!$E$6:$E$3665,$K1288))</f>
        <v/>
      </c>
      <c r="F1288" s="187">
        <f>IF($K1288="","",INDEX(Zeiterfassung!$F$6:$F$3665,$K1288))</f>
        <v/>
      </c>
      <c r="G1288" s="187">
        <f>IF($K1288="","",INDEX(Zeiterfassung!$G$6:$G$3665,$K1288))</f>
        <v/>
      </c>
      <c r="H1288" s="188">
        <f>IF($K1288="","",INDEX(Zeiterfassung!$H$6:$H$3665,$K1288))</f>
        <v/>
      </c>
      <c r="I1288" s="335">
        <f>IF(B1288=B1287,"",IF($K1288="","",INDEX(Zeiterfassung!$I$6:$I$3665,MATCH(INDEX(Zeiterfassung!$K$6:$K$3665,$K1288),Zeiterfassung!$K$6:$K$3665,0))))</f>
        <v/>
      </c>
      <c r="J1288" s="335">
        <f>IF(B1288=B1287,"",IF($K1288="","",INDEX(Zeiterfassung!$J$6:$J$3665,MATCH(INDEX(Zeiterfassung!$K$6:$K$3665,$K1288),Zeiterfassung!$K$6:$K$3665,0))))</f>
        <v/>
      </c>
      <c r="K1288">
        <f>IFERROR(AGGREGATE(15,6,(ROW(Zeiterfassung!$D$6:$D$3665)-ROW(Zeiterfassung!$D$6)+1)/(Zeiterfassung!$D$6:$D$3665&lt;&gt;""),1283),"")</f>
        <v/>
      </c>
    </row>
    <row r="1289" ht="20" customHeight="1">
      <c r="A1289" s="183">
        <f>IF($K1289="","",WEEKNUM(INDEX(Zeiterfassung!$K$6:$K$3665,$K1289),21))</f>
        <v/>
      </c>
      <c r="B1289" s="184">
        <f>IF($K1289="","",INDEX(Zeiterfassung!$K$6:$K$3665,$K1289))</f>
        <v/>
      </c>
      <c r="C1289" s="185">
        <f>IF($K1289="","",INDEX(Zeiterfassung!$K$6:$K$3665,$K1289))</f>
        <v/>
      </c>
      <c r="D1289" s="186">
        <f>IF($K1289="","",INDEX(Zeiterfassung!$D$6:$D$3665,$K1289))</f>
        <v/>
      </c>
      <c r="E1289" s="186">
        <f>IF($K1289="","",INDEX(Zeiterfassung!$E$6:$E$3665,$K1289))</f>
        <v/>
      </c>
      <c r="F1289" s="187">
        <f>IF($K1289="","",INDEX(Zeiterfassung!$F$6:$F$3665,$K1289))</f>
        <v/>
      </c>
      <c r="G1289" s="187">
        <f>IF($K1289="","",INDEX(Zeiterfassung!$G$6:$G$3665,$K1289))</f>
        <v/>
      </c>
      <c r="H1289" s="188">
        <f>IF($K1289="","",INDEX(Zeiterfassung!$H$6:$H$3665,$K1289))</f>
        <v/>
      </c>
      <c r="I1289" s="335">
        <f>IF(B1289=B1288,"",IF($K1289="","",INDEX(Zeiterfassung!$I$6:$I$3665,MATCH(INDEX(Zeiterfassung!$K$6:$K$3665,$K1289),Zeiterfassung!$K$6:$K$3665,0))))</f>
        <v/>
      </c>
      <c r="J1289" s="335">
        <f>IF(B1289=B1288,"",IF($K1289="","",INDEX(Zeiterfassung!$J$6:$J$3665,MATCH(INDEX(Zeiterfassung!$K$6:$K$3665,$K1289),Zeiterfassung!$K$6:$K$3665,0))))</f>
        <v/>
      </c>
      <c r="K1289">
        <f>IFERROR(AGGREGATE(15,6,(ROW(Zeiterfassung!$D$6:$D$3665)-ROW(Zeiterfassung!$D$6)+1)/(Zeiterfassung!$D$6:$D$3665&lt;&gt;""),1284),"")</f>
        <v/>
      </c>
    </row>
    <row r="1290" ht="20" customHeight="1">
      <c r="A1290" s="183">
        <f>IF($K1290="","",WEEKNUM(INDEX(Zeiterfassung!$K$6:$K$3665,$K1290),21))</f>
        <v/>
      </c>
      <c r="B1290" s="184">
        <f>IF($K1290="","",INDEX(Zeiterfassung!$K$6:$K$3665,$K1290))</f>
        <v/>
      </c>
      <c r="C1290" s="185">
        <f>IF($K1290="","",INDEX(Zeiterfassung!$K$6:$K$3665,$K1290))</f>
        <v/>
      </c>
      <c r="D1290" s="186">
        <f>IF($K1290="","",INDEX(Zeiterfassung!$D$6:$D$3665,$K1290))</f>
        <v/>
      </c>
      <c r="E1290" s="186">
        <f>IF($K1290="","",INDEX(Zeiterfassung!$E$6:$E$3665,$K1290))</f>
        <v/>
      </c>
      <c r="F1290" s="187">
        <f>IF($K1290="","",INDEX(Zeiterfassung!$F$6:$F$3665,$K1290))</f>
        <v/>
      </c>
      <c r="G1290" s="187">
        <f>IF($K1290="","",INDEX(Zeiterfassung!$G$6:$G$3665,$K1290))</f>
        <v/>
      </c>
      <c r="H1290" s="188">
        <f>IF($K1290="","",INDEX(Zeiterfassung!$H$6:$H$3665,$K1290))</f>
        <v/>
      </c>
      <c r="I1290" s="335">
        <f>IF(B1290=B1289,"",IF($K1290="","",INDEX(Zeiterfassung!$I$6:$I$3665,MATCH(INDEX(Zeiterfassung!$K$6:$K$3665,$K1290),Zeiterfassung!$K$6:$K$3665,0))))</f>
        <v/>
      </c>
      <c r="J1290" s="335">
        <f>IF(B1290=B1289,"",IF($K1290="","",INDEX(Zeiterfassung!$J$6:$J$3665,MATCH(INDEX(Zeiterfassung!$K$6:$K$3665,$K1290),Zeiterfassung!$K$6:$K$3665,0))))</f>
        <v/>
      </c>
      <c r="K1290">
        <f>IFERROR(AGGREGATE(15,6,(ROW(Zeiterfassung!$D$6:$D$3665)-ROW(Zeiterfassung!$D$6)+1)/(Zeiterfassung!$D$6:$D$3665&lt;&gt;""),1285),"")</f>
        <v/>
      </c>
    </row>
    <row r="1291" ht="20" customHeight="1">
      <c r="A1291" s="183">
        <f>IF($K1291="","",WEEKNUM(INDEX(Zeiterfassung!$K$6:$K$3665,$K1291),21))</f>
        <v/>
      </c>
      <c r="B1291" s="184">
        <f>IF($K1291="","",INDEX(Zeiterfassung!$K$6:$K$3665,$K1291))</f>
        <v/>
      </c>
      <c r="C1291" s="185">
        <f>IF($K1291="","",INDEX(Zeiterfassung!$K$6:$K$3665,$K1291))</f>
        <v/>
      </c>
      <c r="D1291" s="186">
        <f>IF($K1291="","",INDEX(Zeiterfassung!$D$6:$D$3665,$K1291))</f>
        <v/>
      </c>
      <c r="E1291" s="186">
        <f>IF($K1291="","",INDEX(Zeiterfassung!$E$6:$E$3665,$K1291))</f>
        <v/>
      </c>
      <c r="F1291" s="187">
        <f>IF($K1291="","",INDEX(Zeiterfassung!$F$6:$F$3665,$K1291))</f>
        <v/>
      </c>
      <c r="G1291" s="187">
        <f>IF($K1291="","",INDEX(Zeiterfassung!$G$6:$G$3665,$K1291))</f>
        <v/>
      </c>
      <c r="H1291" s="188">
        <f>IF($K1291="","",INDEX(Zeiterfassung!$H$6:$H$3665,$K1291))</f>
        <v/>
      </c>
      <c r="I1291" s="335">
        <f>IF(B1291=B1290,"",IF($K1291="","",INDEX(Zeiterfassung!$I$6:$I$3665,MATCH(INDEX(Zeiterfassung!$K$6:$K$3665,$K1291),Zeiterfassung!$K$6:$K$3665,0))))</f>
        <v/>
      </c>
      <c r="J1291" s="335">
        <f>IF(B1291=B1290,"",IF($K1291="","",INDEX(Zeiterfassung!$J$6:$J$3665,MATCH(INDEX(Zeiterfassung!$K$6:$K$3665,$K1291),Zeiterfassung!$K$6:$K$3665,0))))</f>
        <v/>
      </c>
      <c r="K1291">
        <f>IFERROR(AGGREGATE(15,6,(ROW(Zeiterfassung!$D$6:$D$3665)-ROW(Zeiterfassung!$D$6)+1)/(Zeiterfassung!$D$6:$D$3665&lt;&gt;""),1286),"")</f>
        <v/>
      </c>
    </row>
    <row r="1292" ht="20" customHeight="1">
      <c r="A1292" s="183">
        <f>IF($K1292="","",WEEKNUM(INDEX(Zeiterfassung!$K$6:$K$3665,$K1292),21))</f>
        <v/>
      </c>
      <c r="B1292" s="184">
        <f>IF($K1292="","",INDEX(Zeiterfassung!$K$6:$K$3665,$K1292))</f>
        <v/>
      </c>
      <c r="C1292" s="185">
        <f>IF($K1292="","",INDEX(Zeiterfassung!$K$6:$K$3665,$K1292))</f>
        <v/>
      </c>
      <c r="D1292" s="186">
        <f>IF($K1292="","",INDEX(Zeiterfassung!$D$6:$D$3665,$K1292))</f>
        <v/>
      </c>
      <c r="E1292" s="186">
        <f>IF($K1292="","",INDEX(Zeiterfassung!$E$6:$E$3665,$K1292))</f>
        <v/>
      </c>
      <c r="F1292" s="187">
        <f>IF($K1292="","",INDEX(Zeiterfassung!$F$6:$F$3665,$K1292))</f>
        <v/>
      </c>
      <c r="G1292" s="187">
        <f>IF($K1292="","",INDEX(Zeiterfassung!$G$6:$G$3665,$K1292))</f>
        <v/>
      </c>
      <c r="H1292" s="188">
        <f>IF($K1292="","",INDEX(Zeiterfassung!$H$6:$H$3665,$K1292))</f>
        <v/>
      </c>
      <c r="I1292" s="335">
        <f>IF(B1292=B1291,"",IF($K1292="","",INDEX(Zeiterfassung!$I$6:$I$3665,MATCH(INDEX(Zeiterfassung!$K$6:$K$3665,$K1292),Zeiterfassung!$K$6:$K$3665,0))))</f>
        <v/>
      </c>
      <c r="J1292" s="335">
        <f>IF(B1292=B1291,"",IF($K1292="","",INDEX(Zeiterfassung!$J$6:$J$3665,MATCH(INDEX(Zeiterfassung!$K$6:$K$3665,$K1292),Zeiterfassung!$K$6:$K$3665,0))))</f>
        <v/>
      </c>
      <c r="K1292">
        <f>IFERROR(AGGREGATE(15,6,(ROW(Zeiterfassung!$D$6:$D$3665)-ROW(Zeiterfassung!$D$6)+1)/(Zeiterfassung!$D$6:$D$3665&lt;&gt;""),1287),"")</f>
        <v/>
      </c>
    </row>
    <row r="1293" ht="20" customHeight="1">
      <c r="A1293" s="183">
        <f>IF($K1293="","",WEEKNUM(INDEX(Zeiterfassung!$K$6:$K$3665,$K1293),21))</f>
        <v/>
      </c>
      <c r="B1293" s="184">
        <f>IF($K1293="","",INDEX(Zeiterfassung!$K$6:$K$3665,$K1293))</f>
        <v/>
      </c>
      <c r="C1293" s="185">
        <f>IF($K1293="","",INDEX(Zeiterfassung!$K$6:$K$3665,$K1293))</f>
        <v/>
      </c>
      <c r="D1293" s="186">
        <f>IF($K1293="","",INDEX(Zeiterfassung!$D$6:$D$3665,$K1293))</f>
        <v/>
      </c>
      <c r="E1293" s="186">
        <f>IF($K1293="","",INDEX(Zeiterfassung!$E$6:$E$3665,$K1293))</f>
        <v/>
      </c>
      <c r="F1293" s="187">
        <f>IF($K1293="","",INDEX(Zeiterfassung!$F$6:$F$3665,$K1293))</f>
        <v/>
      </c>
      <c r="G1293" s="187">
        <f>IF($K1293="","",INDEX(Zeiterfassung!$G$6:$G$3665,$K1293))</f>
        <v/>
      </c>
      <c r="H1293" s="188">
        <f>IF($K1293="","",INDEX(Zeiterfassung!$H$6:$H$3665,$K1293))</f>
        <v/>
      </c>
      <c r="I1293" s="335">
        <f>IF(B1293=B1292,"",IF($K1293="","",INDEX(Zeiterfassung!$I$6:$I$3665,MATCH(INDEX(Zeiterfassung!$K$6:$K$3665,$K1293),Zeiterfassung!$K$6:$K$3665,0))))</f>
        <v/>
      </c>
      <c r="J1293" s="335">
        <f>IF(B1293=B1292,"",IF($K1293="","",INDEX(Zeiterfassung!$J$6:$J$3665,MATCH(INDEX(Zeiterfassung!$K$6:$K$3665,$K1293),Zeiterfassung!$K$6:$K$3665,0))))</f>
        <v/>
      </c>
      <c r="K1293">
        <f>IFERROR(AGGREGATE(15,6,(ROW(Zeiterfassung!$D$6:$D$3665)-ROW(Zeiterfassung!$D$6)+1)/(Zeiterfassung!$D$6:$D$3665&lt;&gt;""),1288),"")</f>
        <v/>
      </c>
    </row>
    <row r="1294" ht="20" customHeight="1">
      <c r="A1294" s="183">
        <f>IF($K1294="","",WEEKNUM(INDEX(Zeiterfassung!$K$6:$K$3665,$K1294),21))</f>
        <v/>
      </c>
      <c r="B1294" s="184">
        <f>IF($K1294="","",INDEX(Zeiterfassung!$K$6:$K$3665,$K1294))</f>
        <v/>
      </c>
      <c r="C1294" s="185">
        <f>IF($K1294="","",INDEX(Zeiterfassung!$K$6:$K$3665,$K1294))</f>
        <v/>
      </c>
      <c r="D1294" s="186">
        <f>IF($K1294="","",INDEX(Zeiterfassung!$D$6:$D$3665,$K1294))</f>
        <v/>
      </c>
      <c r="E1294" s="186">
        <f>IF($K1294="","",INDEX(Zeiterfassung!$E$6:$E$3665,$K1294))</f>
        <v/>
      </c>
      <c r="F1294" s="187">
        <f>IF($K1294="","",INDEX(Zeiterfassung!$F$6:$F$3665,$K1294))</f>
        <v/>
      </c>
      <c r="G1294" s="187">
        <f>IF($K1294="","",INDEX(Zeiterfassung!$G$6:$G$3665,$K1294))</f>
        <v/>
      </c>
      <c r="H1294" s="188">
        <f>IF($K1294="","",INDEX(Zeiterfassung!$H$6:$H$3665,$K1294))</f>
        <v/>
      </c>
      <c r="I1294" s="335">
        <f>IF(B1294=B1293,"",IF($K1294="","",INDEX(Zeiterfassung!$I$6:$I$3665,MATCH(INDEX(Zeiterfassung!$K$6:$K$3665,$K1294),Zeiterfassung!$K$6:$K$3665,0))))</f>
        <v/>
      </c>
      <c r="J1294" s="335">
        <f>IF(B1294=B1293,"",IF($K1294="","",INDEX(Zeiterfassung!$J$6:$J$3665,MATCH(INDEX(Zeiterfassung!$K$6:$K$3665,$K1294),Zeiterfassung!$K$6:$K$3665,0))))</f>
        <v/>
      </c>
      <c r="K1294">
        <f>IFERROR(AGGREGATE(15,6,(ROW(Zeiterfassung!$D$6:$D$3665)-ROW(Zeiterfassung!$D$6)+1)/(Zeiterfassung!$D$6:$D$3665&lt;&gt;""),1289),"")</f>
        <v/>
      </c>
    </row>
    <row r="1295" ht="20" customHeight="1">
      <c r="A1295" s="183">
        <f>IF($K1295="","",WEEKNUM(INDEX(Zeiterfassung!$K$6:$K$3665,$K1295),21))</f>
        <v/>
      </c>
      <c r="B1295" s="184">
        <f>IF($K1295="","",INDEX(Zeiterfassung!$K$6:$K$3665,$K1295))</f>
        <v/>
      </c>
      <c r="C1295" s="185">
        <f>IF($K1295="","",INDEX(Zeiterfassung!$K$6:$K$3665,$K1295))</f>
        <v/>
      </c>
      <c r="D1295" s="186">
        <f>IF($K1295="","",INDEX(Zeiterfassung!$D$6:$D$3665,$K1295))</f>
        <v/>
      </c>
      <c r="E1295" s="186">
        <f>IF($K1295="","",INDEX(Zeiterfassung!$E$6:$E$3665,$K1295))</f>
        <v/>
      </c>
      <c r="F1295" s="187">
        <f>IF($K1295="","",INDEX(Zeiterfassung!$F$6:$F$3665,$K1295))</f>
        <v/>
      </c>
      <c r="G1295" s="187">
        <f>IF($K1295="","",INDEX(Zeiterfassung!$G$6:$G$3665,$K1295))</f>
        <v/>
      </c>
      <c r="H1295" s="188">
        <f>IF($K1295="","",INDEX(Zeiterfassung!$H$6:$H$3665,$K1295))</f>
        <v/>
      </c>
      <c r="I1295" s="335">
        <f>IF(B1295=B1294,"",IF($K1295="","",INDEX(Zeiterfassung!$I$6:$I$3665,MATCH(INDEX(Zeiterfassung!$K$6:$K$3665,$K1295),Zeiterfassung!$K$6:$K$3665,0))))</f>
        <v/>
      </c>
      <c r="J1295" s="335">
        <f>IF(B1295=B1294,"",IF($K1295="","",INDEX(Zeiterfassung!$J$6:$J$3665,MATCH(INDEX(Zeiterfassung!$K$6:$K$3665,$K1295),Zeiterfassung!$K$6:$K$3665,0))))</f>
        <v/>
      </c>
      <c r="K1295">
        <f>IFERROR(AGGREGATE(15,6,(ROW(Zeiterfassung!$D$6:$D$3665)-ROW(Zeiterfassung!$D$6)+1)/(Zeiterfassung!$D$6:$D$3665&lt;&gt;""),1290),"")</f>
        <v/>
      </c>
    </row>
    <row r="1296" ht="20" customHeight="1">
      <c r="A1296" s="183">
        <f>IF($K1296="","",WEEKNUM(INDEX(Zeiterfassung!$K$6:$K$3665,$K1296),21))</f>
        <v/>
      </c>
      <c r="B1296" s="184">
        <f>IF($K1296="","",INDEX(Zeiterfassung!$K$6:$K$3665,$K1296))</f>
        <v/>
      </c>
      <c r="C1296" s="185">
        <f>IF($K1296="","",INDEX(Zeiterfassung!$K$6:$K$3665,$K1296))</f>
        <v/>
      </c>
      <c r="D1296" s="186">
        <f>IF($K1296="","",INDEX(Zeiterfassung!$D$6:$D$3665,$K1296))</f>
        <v/>
      </c>
      <c r="E1296" s="186">
        <f>IF($K1296="","",INDEX(Zeiterfassung!$E$6:$E$3665,$K1296))</f>
        <v/>
      </c>
      <c r="F1296" s="187">
        <f>IF($K1296="","",INDEX(Zeiterfassung!$F$6:$F$3665,$K1296))</f>
        <v/>
      </c>
      <c r="G1296" s="187">
        <f>IF($K1296="","",INDEX(Zeiterfassung!$G$6:$G$3665,$K1296))</f>
        <v/>
      </c>
      <c r="H1296" s="188">
        <f>IF($K1296="","",INDEX(Zeiterfassung!$H$6:$H$3665,$K1296))</f>
        <v/>
      </c>
      <c r="I1296" s="335">
        <f>IF(B1296=B1295,"",IF($K1296="","",INDEX(Zeiterfassung!$I$6:$I$3665,MATCH(INDEX(Zeiterfassung!$K$6:$K$3665,$K1296),Zeiterfassung!$K$6:$K$3665,0))))</f>
        <v/>
      </c>
      <c r="J1296" s="335">
        <f>IF(B1296=B1295,"",IF($K1296="","",INDEX(Zeiterfassung!$J$6:$J$3665,MATCH(INDEX(Zeiterfassung!$K$6:$K$3665,$K1296),Zeiterfassung!$K$6:$K$3665,0))))</f>
        <v/>
      </c>
      <c r="K1296">
        <f>IFERROR(AGGREGATE(15,6,(ROW(Zeiterfassung!$D$6:$D$3665)-ROW(Zeiterfassung!$D$6)+1)/(Zeiterfassung!$D$6:$D$3665&lt;&gt;""),1291),"")</f>
        <v/>
      </c>
    </row>
    <row r="1297" ht="20" customHeight="1">
      <c r="A1297" s="183">
        <f>IF($K1297="","",WEEKNUM(INDEX(Zeiterfassung!$K$6:$K$3665,$K1297),21))</f>
        <v/>
      </c>
      <c r="B1297" s="184">
        <f>IF($K1297="","",INDEX(Zeiterfassung!$K$6:$K$3665,$K1297))</f>
        <v/>
      </c>
      <c r="C1297" s="185">
        <f>IF($K1297="","",INDEX(Zeiterfassung!$K$6:$K$3665,$K1297))</f>
        <v/>
      </c>
      <c r="D1297" s="186">
        <f>IF($K1297="","",INDEX(Zeiterfassung!$D$6:$D$3665,$K1297))</f>
        <v/>
      </c>
      <c r="E1297" s="186">
        <f>IF($K1297="","",INDEX(Zeiterfassung!$E$6:$E$3665,$K1297))</f>
        <v/>
      </c>
      <c r="F1297" s="187">
        <f>IF($K1297="","",INDEX(Zeiterfassung!$F$6:$F$3665,$K1297))</f>
        <v/>
      </c>
      <c r="G1297" s="187">
        <f>IF($K1297="","",INDEX(Zeiterfassung!$G$6:$G$3665,$K1297))</f>
        <v/>
      </c>
      <c r="H1297" s="188">
        <f>IF($K1297="","",INDEX(Zeiterfassung!$H$6:$H$3665,$K1297))</f>
        <v/>
      </c>
      <c r="I1297" s="335">
        <f>IF(B1297=B1296,"",IF($K1297="","",INDEX(Zeiterfassung!$I$6:$I$3665,MATCH(INDEX(Zeiterfassung!$K$6:$K$3665,$K1297),Zeiterfassung!$K$6:$K$3665,0))))</f>
        <v/>
      </c>
      <c r="J1297" s="335">
        <f>IF(B1297=B1296,"",IF($K1297="","",INDEX(Zeiterfassung!$J$6:$J$3665,MATCH(INDEX(Zeiterfassung!$K$6:$K$3665,$K1297),Zeiterfassung!$K$6:$K$3665,0))))</f>
        <v/>
      </c>
      <c r="K1297">
        <f>IFERROR(AGGREGATE(15,6,(ROW(Zeiterfassung!$D$6:$D$3665)-ROW(Zeiterfassung!$D$6)+1)/(Zeiterfassung!$D$6:$D$3665&lt;&gt;""),1292),"")</f>
        <v/>
      </c>
    </row>
    <row r="1298" ht="20" customHeight="1">
      <c r="A1298" s="183">
        <f>IF($K1298="","",WEEKNUM(INDEX(Zeiterfassung!$K$6:$K$3665,$K1298),21))</f>
        <v/>
      </c>
      <c r="B1298" s="184">
        <f>IF($K1298="","",INDEX(Zeiterfassung!$K$6:$K$3665,$K1298))</f>
        <v/>
      </c>
      <c r="C1298" s="185">
        <f>IF($K1298="","",INDEX(Zeiterfassung!$K$6:$K$3665,$K1298))</f>
        <v/>
      </c>
      <c r="D1298" s="186">
        <f>IF($K1298="","",INDEX(Zeiterfassung!$D$6:$D$3665,$K1298))</f>
        <v/>
      </c>
      <c r="E1298" s="186">
        <f>IF($K1298="","",INDEX(Zeiterfassung!$E$6:$E$3665,$K1298))</f>
        <v/>
      </c>
      <c r="F1298" s="187">
        <f>IF($K1298="","",INDEX(Zeiterfassung!$F$6:$F$3665,$K1298))</f>
        <v/>
      </c>
      <c r="G1298" s="187">
        <f>IF($K1298="","",INDEX(Zeiterfassung!$G$6:$G$3665,$K1298))</f>
        <v/>
      </c>
      <c r="H1298" s="188">
        <f>IF($K1298="","",INDEX(Zeiterfassung!$H$6:$H$3665,$K1298))</f>
        <v/>
      </c>
      <c r="I1298" s="335">
        <f>IF(B1298=B1297,"",IF($K1298="","",INDEX(Zeiterfassung!$I$6:$I$3665,MATCH(INDEX(Zeiterfassung!$K$6:$K$3665,$K1298),Zeiterfassung!$K$6:$K$3665,0))))</f>
        <v/>
      </c>
      <c r="J1298" s="335">
        <f>IF(B1298=B1297,"",IF($K1298="","",INDEX(Zeiterfassung!$J$6:$J$3665,MATCH(INDEX(Zeiterfassung!$K$6:$K$3665,$K1298),Zeiterfassung!$K$6:$K$3665,0))))</f>
        <v/>
      </c>
      <c r="K1298">
        <f>IFERROR(AGGREGATE(15,6,(ROW(Zeiterfassung!$D$6:$D$3665)-ROW(Zeiterfassung!$D$6)+1)/(Zeiterfassung!$D$6:$D$3665&lt;&gt;""),1293),"")</f>
        <v/>
      </c>
    </row>
    <row r="1299" ht="20" customHeight="1">
      <c r="A1299" s="183">
        <f>IF($K1299="","",WEEKNUM(INDEX(Zeiterfassung!$K$6:$K$3665,$K1299),21))</f>
        <v/>
      </c>
      <c r="B1299" s="184">
        <f>IF($K1299="","",INDEX(Zeiterfassung!$K$6:$K$3665,$K1299))</f>
        <v/>
      </c>
      <c r="C1299" s="185">
        <f>IF($K1299="","",INDEX(Zeiterfassung!$K$6:$K$3665,$K1299))</f>
        <v/>
      </c>
      <c r="D1299" s="186">
        <f>IF($K1299="","",INDEX(Zeiterfassung!$D$6:$D$3665,$K1299))</f>
        <v/>
      </c>
      <c r="E1299" s="186">
        <f>IF($K1299="","",INDEX(Zeiterfassung!$E$6:$E$3665,$K1299))</f>
        <v/>
      </c>
      <c r="F1299" s="187">
        <f>IF($K1299="","",INDEX(Zeiterfassung!$F$6:$F$3665,$K1299))</f>
        <v/>
      </c>
      <c r="G1299" s="187">
        <f>IF($K1299="","",INDEX(Zeiterfassung!$G$6:$G$3665,$K1299))</f>
        <v/>
      </c>
      <c r="H1299" s="188">
        <f>IF($K1299="","",INDEX(Zeiterfassung!$H$6:$H$3665,$K1299))</f>
        <v/>
      </c>
      <c r="I1299" s="335">
        <f>IF(B1299=B1298,"",IF($K1299="","",INDEX(Zeiterfassung!$I$6:$I$3665,MATCH(INDEX(Zeiterfassung!$K$6:$K$3665,$K1299),Zeiterfassung!$K$6:$K$3665,0))))</f>
        <v/>
      </c>
      <c r="J1299" s="335">
        <f>IF(B1299=B1298,"",IF($K1299="","",INDEX(Zeiterfassung!$J$6:$J$3665,MATCH(INDEX(Zeiterfassung!$K$6:$K$3665,$K1299),Zeiterfassung!$K$6:$K$3665,0))))</f>
        <v/>
      </c>
      <c r="K1299">
        <f>IFERROR(AGGREGATE(15,6,(ROW(Zeiterfassung!$D$6:$D$3665)-ROW(Zeiterfassung!$D$6)+1)/(Zeiterfassung!$D$6:$D$3665&lt;&gt;""),1294),"")</f>
        <v/>
      </c>
    </row>
    <row r="1300" ht="20" customHeight="1">
      <c r="A1300" s="183">
        <f>IF($K1300="","",WEEKNUM(INDEX(Zeiterfassung!$K$6:$K$3665,$K1300),21))</f>
        <v/>
      </c>
      <c r="B1300" s="184">
        <f>IF($K1300="","",INDEX(Zeiterfassung!$K$6:$K$3665,$K1300))</f>
        <v/>
      </c>
      <c r="C1300" s="185">
        <f>IF($K1300="","",INDEX(Zeiterfassung!$K$6:$K$3665,$K1300))</f>
        <v/>
      </c>
      <c r="D1300" s="186">
        <f>IF($K1300="","",INDEX(Zeiterfassung!$D$6:$D$3665,$K1300))</f>
        <v/>
      </c>
      <c r="E1300" s="186">
        <f>IF($K1300="","",INDEX(Zeiterfassung!$E$6:$E$3665,$K1300))</f>
        <v/>
      </c>
      <c r="F1300" s="187">
        <f>IF($K1300="","",INDEX(Zeiterfassung!$F$6:$F$3665,$K1300))</f>
        <v/>
      </c>
      <c r="G1300" s="187">
        <f>IF($K1300="","",INDEX(Zeiterfassung!$G$6:$G$3665,$K1300))</f>
        <v/>
      </c>
      <c r="H1300" s="188">
        <f>IF($K1300="","",INDEX(Zeiterfassung!$H$6:$H$3665,$K1300))</f>
        <v/>
      </c>
      <c r="I1300" s="335">
        <f>IF(B1300=B1299,"",IF($K1300="","",INDEX(Zeiterfassung!$I$6:$I$3665,MATCH(INDEX(Zeiterfassung!$K$6:$K$3665,$K1300),Zeiterfassung!$K$6:$K$3665,0))))</f>
        <v/>
      </c>
      <c r="J1300" s="335">
        <f>IF(B1300=B1299,"",IF($K1300="","",INDEX(Zeiterfassung!$J$6:$J$3665,MATCH(INDEX(Zeiterfassung!$K$6:$K$3665,$K1300),Zeiterfassung!$K$6:$K$3665,0))))</f>
        <v/>
      </c>
      <c r="K1300">
        <f>IFERROR(AGGREGATE(15,6,(ROW(Zeiterfassung!$D$6:$D$3665)-ROW(Zeiterfassung!$D$6)+1)/(Zeiterfassung!$D$6:$D$3665&lt;&gt;""),1295),"")</f>
        <v/>
      </c>
    </row>
    <row r="1301" ht="20" customHeight="1">
      <c r="A1301" s="183">
        <f>IF($K1301="","",WEEKNUM(INDEX(Zeiterfassung!$K$6:$K$3665,$K1301),21))</f>
        <v/>
      </c>
      <c r="B1301" s="184">
        <f>IF($K1301="","",INDEX(Zeiterfassung!$K$6:$K$3665,$K1301))</f>
        <v/>
      </c>
      <c r="C1301" s="185">
        <f>IF($K1301="","",INDEX(Zeiterfassung!$K$6:$K$3665,$K1301))</f>
        <v/>
      </c>
      <c r="D1301" s="186">
        <f>IF($K1301="","",INDEX(Zeiterfassung!$D$6:$D$3665,$K1301))</f>
        <v/>
      </c>
      <c r="E1301" s="186">
        <f>IF($K1301="","",INDEX(Zeiterfassung!$E$6:$E$3665,$K1301))</f>
        <v/>
      </c>
      <c r="F1301" s="187">
        <f>IF($K1301="","",INDEX(Zeiterfassung!$F$6:$F$3665,$K1301))</f>
        <v/>
      </c>
      <c r="G1301" s="187">
        <f>IF($K1301="","",INDEX(Zeiterfassung!$G$6:$G$3665,$K1301))</f>
        <v/>
      </c>
      <c r="H1301" s="188">
        <f>IF($K1301="","",INDEX(Zeiterfassung!$H$6:$H$3665,$K1301))</f>
        <v/>
      </c>
      <c r="I1301" s="335">
        <f>IF(B1301=B1300,"",IF($K1301="","",INDEX(Zeiterfassung!$I$6:$I$3665,MATCH(INDEX(Zeiterfassung!$K$6:$K$3665,$K1301),Zeiterfassung!$K$6:$K$3665,0))))</f>
        <v/>
      </c>
      <c r="J1301" s="335">
        <f>IF(B1301=B1300,"",IF($K1301="","",INDEX(Zeiterfassung!$J$6:$J$3665,MATCH(INDEX(Zeiterfassung!$K$6:$K$3665,$K1301),Zeiterfassung!$K$6:$K$3665,0))))</f>
        <v/>
      </c>
      <c r="K1301">
        <f>IFERROR(AGGREGATE(15,6,(ROW(Zeiterfassung!$D$6:$D$3665)-ROW(Zeiterfassung!$D$6)+1)/(Zeiterfassung!$D$6:$D$3665&lt;&gt;""),1296),"")</f>
        <v/>
      </c>
    </row>
    <row r="1302" ht="20" customHeight="1">
      <c r="A1302" s="183">
        <f>IF($K1302="","",WEEKNUM(INDEX(Zeiterfassung!$K$6:$K$3665,$K1302),21))</f>
        <v/>
      </c>
      <c r="B1302" s="184">
        <f>IF($K1302="","",INDEX(Zeiterfassung!$K$6:$K$3665,$K1302))</f>
        <v/>
      </c>
      <c r="C1302" s="185">
        <f>IF($K1302="","",INDEX(Zeiterfassung!$K$6:$K$3665,$K1302))</f>
        <v/>
      </c>
      <c r="D1302" s="186">
        <f>IF($K1302="","",INDEX(Zeiterfassung!$D$6:$D$3665,$K1302))</f>
        <v/>
      </c>
      <c r="E1302" s="186">
        <f>IF($K1302="","",INDEX(Zeiterfassung!$E$6:$E$3665,$K1302))</f>
        <v/>
      </c>
      <c r="F1302" s="187">
        <f>IF($K1302="","",INDEX(Zeiterfassung!$F$6:$F$3665,$K1302))</f>
        <v/>
      </c>
      <c r="G1302" s="187">
        <f>IF($K1302="","",INDEX(Zeiterfassung!$G$6:$G$3665,$K1302))</f>
        <v/>
      </c>
      <c r="H1302" s="188">
        <f>IF($K1302="","",INDEX(Zeiterfassung!$H$6:$H$3665,$K1302))</f>
        <v/>
      </c>
      <c r="I1302" s="335">
        <f>IF(B1302=B1301,"",IF($K1302="","",INDEX(Zeiterfassung!$I$6:$I$3665,MATCH(INDEX(Zeiterfassung!$K$6:$K$3665,$K1302),Zeiterfassung!$K$6:$K$3665,0))))</f>
        <v/>
      </c>
      <c r="J1302" s="335">
        <f>IF(B1302=B1301,"",IF($K1302="","",INDEX(Zeiterfassung!$J$6:$J$3665,MATCH(INDEX(Zeiterfassung!$K$6:$K$3665,$K1302),Zeiterfassung!$K$6:$K$3665,0))))</f>
        <v/>
      </c>
      <c r="K1302">
        <f>IFERROR(AGGREGATE(15,6,(ROW(Zeiterfassung!$D$6:$D$3665)-ROW(Zeiterfassung!$D$6)+1)/(Zeiterfassung!$D$6:$D$3665&lt;&gt;""),1297),"")</f>
        <v/>
      </c>
    </row>
    <row r="1303" ht="20" customHeight="1">
      <c r="A1303" s="183">
        <f>IF($K1303="","",WEEKNUM(INDEX(Zeiterfassung!$K$6:$K$3665,$K1303),21))</f>
        <v/>
      </c>
      <c r="B1303" s="184">
        <f>IF($K1303="","",INDEX(Zeiterfassung!$K$6:$K$3665,$K1303))</f>
        <v/>
      </c>
      <c r="C1303" s="185">
        <f>IF($K1303="","",INDEX(Zeiterfassung!$K$6:$K$3665,$K1303))</f>
        <v/>
      </c>
      <c r="D1303" s="186">
        <f>IF($K1303="","",INDEX(Zeiterfassung!$D$6:$D$3665,$K1303))</f>
        <v/>
      </c>
      <c r="E1303" s="186">
        <f>IF($K1303="","",INDEX(Zeiterfassung!$E$6:$E$3665,$K1303))</f>
        <v/>
      </c>
      <c r="F1303" s="187">
        <f>IF($K1303="","",INDEX(Zeiterfassung!$F$6:$F$3665,$K1303))</f>
        <v/>
      </c>
      <c r="G1303" s="187">
        <f>IF($K1303="","",INDEX(Zeiterfassung!$G$6:$G$3665,$K1303))</f>
        <v/>
      </c>
      <c r="H1303" s="188">
        <f>IF($K1303="","",INDEX(Zeiterfassung!$H$6:$H$3665,$K1303))</f>
        <v/>
      </c>
      <c r="I1303" s="335">
        <f>IF(B1303=B1302,"",IF($K1303="","",INDEX(Zeiterfassung!$I$6:$I$3665,MATCH(INDEX(Zeiterfassung!$K$6:$K$3665,$K1303),Zeiterfassung!$K$6:$K$3665,0))))</f>
        <v/>
      </c>
      <c r="J1303" s="335">
        <f>IF(B1303=B1302,"",IF($K1303="","",INDEX(Zeiterfassung!$J$6:$J$3665,MATCH(INDEX(Zeiterfassung!$K$6:$K$3665,$K1303),Zeiterfassung!$K$6:$K$3665,0))))</f>
        <v/>
      </c>
      <c r="K1303">
        <f>IFERROR(AGGREGATE(15,6,(ROW(Zeiterfassung!$D$6:$D$3665)-ROW(Zeiterfassung!$D$6)+1)/(Zeiterfassung!$D$6:$D$3665&lt;&gt;""),1298),"")</f>
        <v/>
      </c>
    </row>
    <row r="1304" ht="20" customHeight="1">
      <c r="A1304" s="183">
        <f>IF($K1304="","",WEEKNUM(INDEX(Zeiterfassung!$K$6:$K$3665,$K1304),21))</f>
        <v/>
      </c>
      <c r="B1304" s="184">
        <f>IF($K1304="","",INDEX(Zeiterfassung!$K$6:$K$3665,$K1304))</f>
        <v/>
      </c>
      <c r="C1304" s="185">
        <f>IF($K1304="","",INDEX(Zeiterfassung!$K$6:$K$3665,$K1304))</f>
        <v/>
      </c>
      <c r="D1304" s="186">
        <f>IF($K1304="","",INDEX(Zeiterfassung!$D$6:$D$3665,$K1304))</f>
        <v/>
      </c>
      <c r="E1304" s="186">
        <f>IF($K1304="","",INDEX(Zeiterfassung!$E$6:$E$3665,$K1304))</f>
        <v/>
      </c>
      <c r="F1304" s="187">
        <f>IF($K1304="","",INDEX(Zeiterfassung!$F$6:$F$3665,$K1304))</f>
        <v/>
      </c>
      <c r="G1304" s="187">
        <f>IF($K1304="","",INDEX(Zeiterfassung!$G$6:$G$3665,$K1304))</f>
        <v/>
      </c>
      <c r="H1304" s="188">
        <f>IF($K1304="","",INDEX(Zeiterfassung!$H$6:$H$3665,$K1304))</f>
        <v/>
      </c>
      <c r="I1304" s="335">
        <f>IF(B1304=B1303,"",IF($K1304="","",INDEX(Zeiterfassung!$I$6:$I$3665,MATCH(INDEX(Zeiterfassung!$K$6:$K$3665,$K1304),Zeiterfassung!$K$6:$K$3665,0))))</f>
        <v/>
      </c>
      <c r="J1304" s="335">
        <f>IF(B1304=B1303,"",IF($K1304="","",INDEX(Zeiterfassung!$J$6:$J$3665,MATCH(INDEX(Zeiterfassung!$K$6:$K$3665,$K1304),Zeiterfassung!$K$6:$K$3665,0))))</f>
        <v/>
      </c>
      <c r="K1304">
        <f>IFERROR(AGGREGATE(15,6,(ROW(Zeiterfassung!$D$6:$D$3665)-ROW(Zeiterfassung!$D$6)+1)/(Zeiterfassung!$D$6:$D$3665&lt;&gt;""),1299),"")</f>
        <v/>
      </c>
    </row>
    <row r="1305" ht="20" customHeight="1">
      <c r="A1305" s="183">
        <f>IF($K1305="","",WEEKNUM(INDEX(Zeiterfassung!$K$6:$K$3665,$K1305),21))</f>
        <v/>
      </c>
      <c r="B1305" s="184">
        <f>IF($K1305="","",INDEX(Zeiterfassung!$K$6:$K$3665,$K1305))</f>
        <v/>
      </c>
      <c r="C1305" s="185">
        <f>IF($K1305="","",INDEX(Zeiterfassung!$K$6:$K$3665,$K1305))</f>
        <v/>
      </c>
      <c r="D1305" s="186">
        <f>IF($K1305="","",INDEX(Zeiterfassung!$D$6:$D$3665,$K1305))</f>
        <v/>
      </c>
      <c r="E1305" s="186">
        <f>IF($K1305="","",INDEX(Zeiterfassung!$E$6:$E$3665,$K1305))</f>
        <v/>
      </c>
      <c r="F1305" s="187">
        <f>IF($K1305="","",INDEX(Zeiterfassung!$F$6:$F$3665,$K1305))</f>
        <v/>
      </c>
      <c r="G1305" s="187">
        <f>IF($K1305="","",INDEX(Zeiterfassung!$G$6:$G$3665,$K1305))</f>
        <v/>
      </c>
      <c r="H1305" s="188">
        <f>IF($K1305="","",INDEX(Zeiterfassung!$H$6:$H$3665,$K1305))</f>
        <v/>
      </c>
      <c r="I1305" s="335">
        <f>IF(B1305=B1304,"",IF($K1305="","",INDEX(Zeiterfassung!$I$6:$I$3665,MATCH(INDEX(Zeiterfassung!$K$6:$K$3665,$K1305),Zeiterfassung!$K$6:$K$3665,0))))</f>
        <v/>
      </c>
      <c r="J1305" s="335">
        <f>IF(B1305=B1304,"",IF($K1305="","",INDEX(Zeiterfassung!$J$6:$J$3665,MATCH(INDEX(Zeiterfassung!$K$6:$K$3665,$K1305),Zeiterfassung!$K$6:$K$3665,0))))</f>
        <v/>
      </c>
      <c r="K1305">
        <f>IFERROR(AGGREGATE(15,6,(ROW(Zeiterfassung!$D$6:$D$3665)-ROW(Zeiterfassung!$D$6)+1)/(Zeiterfassung!$D$6:$D$3665&lt;&gt;""),1300),"")</f>
        <v/>
      </c>
    </row>
    <row r="1306" ht="20" customHeight="1">
      <c r="A1306" s="183">
        <f>IF($K1306="","",WEEKNUM(INDEX(Zeiterfassung!$K$6:$K$3665,$K1306),21))</f>
        <v/>
      </c>
      <c r="B1306" s="184">
        <f>IF($K1306="","",INDEX(Zeiterfassung!$K$6:$K$3665,$K1306))</f>
        <v/>
      </c>
      <c r="C1306" s="185">
        <f>IF($K1306="","",INDEX(Zeiterfassung!$K$6:$K$3665,$K1306))</f>
        <v/>
      </c>
      <c r="D1306" s="186">
        <f>IF($K1306="","",INDEX(Zeiterfassung!$D$6:$D$3665,$K1306))</f>
        <v/>
      </c>
      <c r="E1306" s="186">
        <f>IF($K1306="","",INDEX(Zeiterfassung!$E$6:$E$3665,$K1306))</f>
        <v/>
      </c>
      <c r="F1306" s="187">
        <f>IF($K1306="","",INDEX(Zeiterfassung!$F$6:$F$3665,$K1306))</f>
        <v/>
      </c>
      <c r="G1306" s="187">
        <f>IF($K1306="","",INDEX(Zeiterfassung!$G$6:$G$3665,$K1306))</f>
        <v/>
      </c>
      <c r="H1306" s="188">
        <f>IF($K1306="","",INDEX(Zeiterfassung!$H$6:$H$3665,$K1306))</f>
        <v/>
      </c>
      <c r="I1306" s="335">
        <f>IF(B1306=B1305,"",IF($K1306="","",INDEX(Zeiterfassung!$I$6:$I$3665,MATCH(INDEX(Zeiterfassung!$K$6:$K$3665,$K1306),Zeiterfassung!$K$6:$K$3665,0))))</f>
        <v/>
      </c>
      <c r="J1306" s="335">
        <f>IF(B1306=B1305,"",IF($K1306="","",INDEX(Zeiterfassung!$J$6:$J$3665,MATCH(INDEX(Zeiterfassung!$K$6:$K$3665,$K1306),Zeiterfassung!$K$6:$K$3665,0))))</f>
        <v/>
      </c>
      <c r="K1306">
        <f>IFERROR(AGGREGATE(15,6,(ROW(Zeiterfassung!$D$6:$D$3665)-ROW(Zeiterfassung!$D$6)+1)/(Zeiterfassung!$D$6:$D$3665&lt;&gt;""),1301),"")</f>
        <v/>
      </c>
    </row>
    <row r="1307" ht="20" customHeight="1">
      <c r="A1307" s="183">
        <f>IF($K1307="","",WEEKNUM(INDEX(Zeiterfassung!$K$6:$K$3665,$K1307),21))</f>
        <v/>
      </c>
      <c r="B1307" s="184">
        <f>IF($K1307="","",INDEX(Zeiterfassung!$K$6:$K$3665,$K1307))</f>
        <v/>
      </c>
      <c r="C1307" s="185">
        <f>IF($K1307="","",INDEX(Zeiterfassung!$K$6:$K$3665,$K1307))</f>
        <v/>
      </c>
      <c r="D1307" s="186">
        <f>IF($K1307="","",INDEX(Zeiterfassung!$D$6:$D$3665,$K1307))</f>
        <v/>
      </c>
      <c r="E1307" s="186">
        <f>IF($K1307="","",INDEX(Zeiterfassung!$E$6:$E$3665,$K1307))</f>
        <v/>
      </c>
      <c r="F1307" s="187">
        <f>IF($K1307="","",INDEX(Zeiterfassung!$F$6:$F$3665,$K1307))</f>
        <v/>
      </c>
      <c r="G1307" s="187">
        <f>IF($K1307="","",INDEX(Zeiterfassung!$G$6:$G$3665,$K1307))</f>
        <v/>
      </c>
      <c r="H1307" s="188">
        <f>IF($K1307="","",INDEX(Zeiterfassung!$H$6:$H$3665,$K1307))</f>
        <v/>
      </c>
      <c r="I1307" s="335">
        <f>IF(B1307=B1306,"",IF($K1307="","",INDEX(Zeiterfassung!$I$6:$I$3665,MATCH(INDEX(Zeiterfassung!$K$6:$K$3665,$K1307),Zeiterfassung!$K$6:$K$3665,0))))</f>
        <v/>
      </c>
      <c r="J1307" s="335">
        <f>IF(B1307=B1306,"",IF($K1307="","",INDEX(Zeiterfassung!$J$6:$J$3665,MATCH(INDEX(Zeiterfassung!$K$6:$K$3665,$K1307),Zeiterfassung!$K$6:$K$3665,0))))</f>
        <v/>
      </c>
      <c r="K1307">
        <f>IFERROR(AGGREGATE(15,6,(ROW(Zeiterfassung!$D$6:$D$3665)-ROW(Zeiterfassung!$D$6)+1)/(Zeiterfassung!$D$6:$D$3665&lt;&gt;""),1302),"")</f>
        <v/>
      </c>
    </row>
    <row r="1308" ht="20" customHeight="1">
      <c r="A1308" s="183">
        <f>IF($K1308="","",WEEKNUM(INDEX(Zeiterfassung!$K$6:$K$3665,$K1308),21))</f>
        <v/>
      </c>
      <c r="B1308" s="184">
        <f>IF($K1308="","",INDEX(Zeiterfassung!$K$6:$K$3665,$K1308))</f>
        <v/>
      </c>
      <c r="C1308" s="185">
        <f>IF($K1308="","",INDEX(Zeiterfassung!$K$6:$K$3665,$K1308))</f>
        <v/>
      </c>
      <c r="D1308" s="186">
        <f>IF($K1308="","",INDEX(Zeiterfassung!$D$6:$D$3665,$K1308))</f>
        <v/>
      </c>
      <c r="E1308" s="186">
        <f>IF($K1308="","",INDEX(Zeiterfassung!$E$6:$E$3665,$K1308))</f>
        <v/>
      </c>
      <c r="F1308" s="187">
        <f>IF($K1308="","",INDEX(Zeiterfassung!$F$6:$F$3665,$K1308))</f>
        <v/>
      </c>
      <c r="G1308" s="187">
        <f>IF($K1308="","",INDEX(Zeiterfassung!$G$6:$G$3665,$K1308))</f>
        <v/>
      </c>
      <c r="H1308" s="188">
        <f>IF($K1308="","",INDEX(Zeiterfassung!$H$6:$H$3665,$K1308))</f>
        <v/>
      </c>
      <c r="I1308" s="335">
        <f>IF(B1308=B1307,"",IF($K1308="","",INDEX(Zeiterfassung!$I$6:$I$3665,MATCH(INDEX(Zeiterfassung!$K$6:$K$3665,$K1308),Zeiterfassung!$K$6:$K$3665,0))))</f>
        <v/>
      </c>
      <c r="J1308" s="335">
        <f>IF(B1308=B1307,"",IF($K1308="","",INDEX(Zeiterfassung!$J$6:$J$3665,MATCH(INDEX(Zeiterfassung!$K$6:$K$3665,$K1308),Zeiterfassung!$K$6:$K$3665,0))))</f>
        <v/>
      </c>
      <c r="K1308">
        <f>IFERROR(AGGREGATE(15,6,(ROW(Zeiterfassung!$D$6:$D$3665)-ROW(Zeiterfassung!$D$6)+1)/(Zeiterfassung!$D$6:$D$3665&lt;&gt;""),1303),"")</f>
        <v/>
      </c>
    </row>
    <row r="1309" ht="20" customHeight="1">
      <c r="A1309" s="183">
        <f>IF($K1309="","",WEEKNUM(INDEX(Zeiterfassung!$K$6:$K$3665,$K1309),21))</f>
        <v/>
      </c>
      <c r="B1309" s="184">
        <f>IF($K1309="","",INDEX(Zeiterfassung!$K$6:$K$3665,$K1309))</f>
        <v/>
      </c>
      <c r="C1309" s="185">
        <f>IF($K1309="","",INDEX(Zeiterfassung!$K$6:$K$3665,$K1309))</f>
        <v/>
      </c>
      <c r="D1309" s="186">
        <f>IF($K1309="","",INDEX(Zeiterfassung!$D$6:$D$3665,$K1309))</f>
        <v/>
      </c>
      <c r="E1309" s="186">
        <f>IF($K1309="","",INDEX(Zeiterfassung!$E$6:$E$3665,$K1309))</f>
        <v/>
      </c>
      <c r="F1309" s="187">
        <f>IF($K1309="","",INDEX(Zeiterfassung!$F$6:$F$3665,$K1309))</f>
        <v/>
      </c>
      <c r="G1309" s="187">
        <f>IF($K1309="","",INDEX(Zeiterfassung!$G$6:$G$3665,$K1309))</f>
        <v/>
      </c>
      <c r="H1309" s="188">
        <f>IF($K1309="","",INDEX(Zeiterfassung!$H$6:$H$3665,$K1309))</f>
        <v/>
      </c>
      <c r="I1309" s="335">
        <f>IF(B1309=B1308,"",IF($K1309="","",INDEX(Zeiterfassung!$I$6:$I$3665,MATCH(INDEX(Zeiterfassung!$K$6:$K$3665,$K1309),Zeiterfassung!$K$6:$K$3665,0))))</f>
        <v/>
      </c>
      <c r="J1309" s="335">
        <f>IF(B1309=B1308,"",IF($K1309="","",INDEX(Zeiterfassung!$J$6:$J$3665,MATCH(INDEX(Zeiterfassung!$K$6:$K$3665,$K1309),Zeiterfassung!$K$6:$K$3665,0))))</f>
        <v/>
      </c>
      <c r="K1309">
        <f>IFERROR(AGGREGATE(15,6,(ROW(Zeiterfassung!$D$6:$D$3665)-ROW(Zeiterfassung!$D$6)+1)/(Zeiterfassung!$D$6:$D$3665&lt;&gt;""),1304),"")</f>
        <v/>
      </c>
    </row>
    <row r="1310" ht="20" customHeight="1">
      <c r="A1310" s="183">
        <f>IF($K1310="","",WEEKNUM(INDEX(Zeiterfassung!$K$6:$K$3665,$K1310),21))</f>
        <v/>
      </c>
      <c r="B1310" s="184">
        <f>IF($K1310="","",INDEX(Zeiterfassung!$K$6:$K$3665,$K1310))</f>
        <v/>
      </c>
      <c r="C1310" s="185">
        <f>IF($K1310="","",INDEX(Zeiterfassung!$K$6:$K$3665,$K1310))</f>
        <v/>
      </c>
      <c r="D1310" s="186">
        <f>IF($K1310="","",INDEX(Zeiterfassung!$D$6:$D$3665,$K1310))</f>
        <v/>
      </c>
      <c r="E1310" s="186">
        <f>IF($K1310="","",INDEX(Zeiterfassung!$E$6:$E$3665,$K1310))</f>
        <v/>
      </c>
      <c r="F1310" s="187">
        <f>IF($K1310="","",INDEX(Zeiterfassung!$F$6:$F$3665,$K1310))</f>
        <v/>
      </c>
      <c r="G1310" s="187">
        <f>IF($K1310="","",INDEX(Zeiterfassung!$G$6:$G$3665,$K1310))</f>
        <v/>
      </c>
      <c r="H1310" s="188">
        <f>IF($K1310="","",INDEX(Zeiterfassung!$H$6:$H$3665,$K1310))</f>
        <v/>
      </c>
      <c r="I1310" s="335">
        <f>IF(B1310=B1309,"",IF($K1310="","",INDEX(Zeiterfassung!$I$6:$I$3665,MATCH(INDEX(Zeiterfassung!$K$6:$K$3665,$K1310),Zeiterfassung!$K$6:$K$3665,0))))</f>
        <v/>
      </c>
      <c r="J1310" s="335">
        <f>IF(B1310=B1309,"",IF($K1310="","",INDEX(Zeiterfassung!$J$6:$J$3665,MATCH(INDEX(Zeiterfassung!$K$6:$K$3665,$K1310),Zeiterfassung!$K$6:$K$3665,0))))</f>
        <v/>
      </c>
      <c r="K1310">
        <f>IFERROR(AGGREGATE(15,6,(ROW(Zeiterfassung!$D$6:$D$3665)-ROW(Zeiterfassung!$D$6)+1)/(Zeiterfassung!$D$6:$D$3665&lt;&gt;""),1305),"")</f>
        <v/>
      </c>
    </row>
    <row r="1311" ht="20" customHeight="1">
      <c r="A1311" s="183">
        <f>IF($K1311="","",WEEKNUM(INDEX(Zeiterfassung!$K$6:$K$3665,$K1311),21))</f>
        <v/>
      </c>
      <c r="B1311" s="184">
        <f>IF($K1311="","",INDEX(Zeiterfassung!$K$6:$K$3665,$K1311))</f>
        <v/>
      </c>
      <c r="C1311" s="185">
        <f>IF($K1311="","",INDEX(Zeiterfassung!$K$6:$K$3665,$K1311))</f>
        <v/>
      </c>
      <c r="D1311" s="186">
        <f>IF($K1311="","",INDEX(Zeiterfassung!$D$6:$D$3665,$K1311))</f>
        <v/>
      </c>
      <c r="E1311" s="186">
        <f>IF($K1311="","",INDEX(Zeiterfassung!$E$6:$E$3665,$K1311))</f>
        <v/>
      </c>
      <c r="F1311" s="187">
        <f>IF($K1311="","",INDEX(Zeiterfassung!$F$6:$F$3665,$K1311))</f>
        <v/>
      </c>
      <c r="G1311" s="187">
        <f>IF($K1311="","",INDEX(Zeiterfassung!$G$6:$G$3665,$K1311))</f>
        <v/>
      </c>
      <c r="H1311" s="188">
        <f>IF($K1311="","",INDEX(Zeiterfassung!$H$6:$H$3665,$K1311))</f>
        <v/>
      </c>
      <c r="I1311" s="335">
        <f>IF(B1311=B1310,"",IF($K1311="","",INDEX(Zeiterfassung!$I$6:$I$3665,MATCH(INDEX(Zeiterfassung!$K$6:$K$3665,$K1311),Zeiterfassung!$K$6:$K$3665,0))))</f>
        <v/>
      </c>
      <c r="J1311" s="335">
        <f>IF(B1311=B1310,"",IF($K1311="","",INDEX(Zeiterfassung!$J$6:$J$3665,MATCH(INDEX(Zeiterfassung!$K$6:$K$3665,$K1311),Zeiterfassung!$K$6:$K$3665,0))))</f>
        <v/>
      </c>
      <c r="K1311">
        <f>IFERROR(AGGREGATE(15,6,(ROW(Zeiterfassung!$D$6:$D$3665)-ROW(Zeiterfassung!$D$6)+1)/(Zeiterfassung!$D$6:$D$3665&lt;&gt;""),1306),"")</f>
        <v/>
      </c>
    </row>
    <row r="1312" ht="20" customHeight="1">
      <c r="A1312" s="183">
        <f>IF($K1312="","",WEEKNUM(INDEX(Zeiterfassung!$K$6:$K$3665,$K1312),21))</f>
        <v/>
      </c>
      <c r="B1312" s="184">
        <f>IF($K1312="","",INDEX(Zeiterfassung!$K$6:$K$3665,$K1312))</f>
        <v/>
      </c>
      <c r="C1312" s="185">
        <f>IF($K1312="","",INDEX(Zeiterfassung!$K$6:$K$3665,$K1312))</f>
        <v/>
      </c>
      <c r="D1312" s="186">
        <f>IF($K1312="","",INDEX(Zeiterfassung!$D$6:$D$3665,$K1312))</f>
        <v/>
      </c>
      <c r="E1312" s="186">
        <f>IF($K1312="","",INDEX(Zeiterfassung!$E$6:$E$3665,$K1312))</f>
        <v/>
      </c>
      <c r="F1312" s="187">
        <f>IF($K1312="","",INDEX(Zeiterfassung!$F$6:$F$3665,$K1312))</f>
        <v/>
      </c>
      <c r="G1312" s="187">
        <f>IF($K1312="","",INDEX(Zeiterfassung!$G$6:$G$3665,$K1312))</f>
        <v/>
      </c>
      <c r="H1312" s="188">
        <f>IF($K1312="","",INDEX(Zeiterfassung!$H$6:$H$3665,$K1312))</f>
        <v/>
      </c>
      <c r="I1312" s="335">
        <f>IF(B1312=B1311,"",IF($K1312="","",INDEX(Zeiterfassung!$I$6:$I$3665,MATCH(INDEX(Zeiterfassung!$K$6:$K$3665,$K1312),Zeiterfassung!$K$6:$K$3665,0))))</f>
        <v/>
      </c>
      <c r="J1312" s="335">
        <f>IF(B1312=B1311,"",IF($K1312="","",INDEX(Zeiterfassung!$J$6:$J$3665,MATCH(INDEX(Zeiterfassung!$K$6:$K$3665,$K1312),Zeiterfassung!$K$6:$K$3665,0))))</f>
        <v/>
      </c>
      <c r="K1312">
        <f>IFERROR(AGGREGATE(15,6,(ROW(Zeiterfassung!$D$6:$D$3665)-ROW(Zeiterfassung!$D$6)+1)/(Zeiterfassung!$D$6:$D$3665&lt;&gt;""),1307),"")</f>
        <v/>
      </c>
    </row>
    <row r="1313" ht="20" customHeight="1">
      <c r="A1313" s="183">
        <f>IF($K1313="","",WEEKNUM(INDEX(Zeiterfassung!$K$6:$K$3665,$K1313),21))</f>
        <v/>
      </c>
      <c r="B1313" s="184">
        <f>IF($K1313="","",INDEX(Zeiterfassung!$K$6:$K$3665,$K1313))</f>
        <v/>
      </c>
      <c r="C1313" s="185">
        <f>IF($K1313="","",INDEX(Zeiterfassung!$K$6:$K$3665,$K1313))</f>
        <v/>
      </c>
      <c r="D1313" s="186">
        <f>IF($K1313="","",INDEX(Zeiterfassung!$D$6:$D$3665,$K1313))</f>
        <v/>
      </c>
      <c r="E1313" s="186">
        <f>IF($K1313="","",INDEX(Zeiterfassung!$E$6:$E$3665,$K1313))</f>
        <v/>
      </c>
      <c r="F1313" s="187">
        <f>IF($K1313="","",INDEX(Zeiterfassung!$F$6:$F$3665,$K1313))</f>
        <v/>
      </c>
      <c r="G1313" s="187">
        <f>IF($K1313="","",INDEX(Zeiterfassung!$G$6:$G$3665,$K1313))</f>
        <v/>
      </c>
      <c r="H1313" s="188">
        <f>IF($K1313="","",INDEX(Zeiterfassung!$H$6:$H$3665,$K1313))</f>
        <v/>
      </c>
      <c r="I1313" s="335">
        <f>IF(B1313=B1312,"",IF($K1313="","",INDEX(Zeiterfassung!$I$6:$I$3665,MATCH(INDEX(Zeiterfassung!$K$6:$K$3665,$K1313),Zeiterfassung!$K$6:$K$3665,0))))</f>
        <v/>
      </c>
      <c r="J1313" s="335">
        <f>IF(B1313=B1312,"",IF($K1313="","",INDEX(Zeiterfassung!$J$6:$J$3665,MATCH(INDEX(Zeiterfassung!$K$6:$K$3665,$K1313),Zeiterfassung!$K$6:$K$3665,0))))</f>
        <v/>
      </c>
      <c r="K1313">
        <f>IFERROR(AGGREGATE(15,6,(ROW(Zeiterfassung!$D$6:$D$3665)-ROW(Zeiterfassung!$D$6)+1)/(Zeiterfassung!$D$6:$D$3665&lt;&gt;""),1308),"")</f>
        <v/>
      </c>
    </row>
    <row r="1314" ht="20" customHeight="1">
      <c r="A1314" s="183">
        <f>IF($K1314="","",WEEKNUM(INDEX(Zeiterfassung!$K$6:$K$3665,$K1314),21))</f>
        <v/>
      </c>
      <c r="B1314" s="184">
        <f>IF($K1314="","",INDEX(Zeiterfassung!$K$6:$K$3665,$K1314))</f>
        <v/>
      </c>
      <c r="C1314" s="185">
        <f>IF($K1314="","",INDEX(Zeiterfassung!$K$6:$K$3665,$K1314))</f>
        <v/>
      </c>
      <c r="D1314" s="186">
        <f>IF($K1314="","",INDEX(Zeiterfassung!$D$6:$D$3665,$K1314))</f>
        <v/>
      </c>
      <c r="E1314" s="186">
        <f>IF($K1314="","",INDEX(Zeiterfassung!$E$6:$E$3665,$K1314))</f>
        <v/>
      </c>
      <c r="F1314" s="187">
        <f>IF($K1314="","",INDEX(Zeiterfassung!$F$6:$F$3665,$K1314))</f>
        <v/>
      </c>
      <c r="G1314" s="187">
        <f>IF($K1314="","",INDEX(Zeiterfassung!$G$6:$G$3665,$K1314))</f>
        <v/>
      </c>
      <c r="H1314" s="188">
        <f>IF($K1314="","",INDEX(Zeiterfassung!$H$6:$H$3665,$K1314))</f>
        <v/>
      </c>
      <c r="I1314" s="335">
        <f>IF(B1314=B1313,"",IF($K1314="","",INDEX(Zeiterfassung!$I$6:$I$3665,MATCH(INDEX(Zeiterfassung!$K$6:$K$3665,$K1314),Zeiterfassung!$K$6:$K$3665,0))))</f>
        <v/>
      </c>
      <c r="J1314" s="335">
        <f>IF(B1314=B1313,"",IF($K1314="","",INDEX(Zeiterfassung!$J$6:$J$3665,MATCH(INDEX(Zeiterfassung!$K$6:$K$3665,$K1314),Zeiterfassung!$K$6:$K$3665,0))))</f>
        <v/>
      </c>
      <c r="K1314">
        <f>IFERROR(AGGREGATE(15,6,(ROW(Zeiterfassung!$D$6:$D$3665)-ROW(Zeiterfassung!$D$6)+1)/(Zeiterfassung!$D$6:$D$3665&lt;&gt;""),1309),"")</f>
        <v/>
      </c>
    </row>
    <row r="1315" ht="20" customHeight="1">
      <c r="A1315" s="183">
        <f>IF($K1315="","",WEEKNUM(INDEX(Zeiterfassung!$K$6:$K$3665,$K1315),21))</f>
        <v/>
      </c>
      <c r="B1315" s="184">
        <f>IF($K1315="","",INDEX(Zeiterfassung!$K$6:$K$3665,$K1315))</f>
        <v/>
      </c>
      <c r="C1315" s="185">
        <f>IF($K1315="","",INDEX(Zeiterfassung!$K$6:$K$3665,$K1315))</f>
        <v/>
      </c>
      <c r="D1315" s="186">
        <f>IF($K1315="","",INDEX(Zeiterfassung!$D$6:$D$3665,$K1315))</f>
        <v/>
      </c>
      <c r="E1315" s="186">
        <f>IF($K1315="","",INDEX(Zeiterfassung!$E$6:$E$3665,$K1315))</f>
        <v/>
      </c>
      <c r="F1315" s="187">
        <f>IF($K1315="","",INDEX(Zeiterfassung!$F$6:$F$3665,$K1315))</f>
        <v/>
      </c>
      <c r="G1315" s="187">
        <f>IF($K1315="","",INDEX(Zeiterfassung!$G$6:$G$3665,$K1315))</f>
        <v/>
      </c>
      <c r="H1315" s="188">
        <f>IF($K1315="","",INDEX(Zeiterfassung!$H$6:$H$3665,$K1315))</f>
        <v/>
      </c>
      <c r="I1315" s="335">
        <f>IF(B1315=B1314,"",IF($K1315="","",INDEX(Zeiterfassung!$I$6:$I$3665,MATCH(INDEX(Zeiterfassung!$K$6:$K$3665,$K1315),Zeiterfassung!$K$6:$K$3665,0))))</f>
        <v/>
      </c>
      <c r="J1315" s="335">
        <f>IF(B1315=B1314,"",IF($K1315="","",INDEX(Zeiterfassung!$J$6:$J$3665,MATCH(INDEX(Zeiterfassung!$K$6:$K$3665,$K1315),Zeiterfassung!$K$6:$K$3665,0))))</f>
        <v/>
      </c>
      <c r="K1315">
        <f>IFERROR(AGGREGATE(15,6,(ROW(Zeiterfassung!$D$6:$D$3665)-ROW(Zeiterfassung!$D$6)+1)/(Zeiterfassung!$D$6:$D$3665&lt;&gt;""),1310),"")</f>
        <v/>
      </c>
    </row>
    <row r="1316" ht="20" customHeight="1">
      <c r="A1316" s="183">
        <f>IF($K1316="","",WEEKNUM(INDEX(Zeiterfassung!$K$6:$K$3665,$K1316),21))</f>
        <v/>
      </c>
      <c r="B1316" s="184">
        <f>IF($K1316="","",INDEX(Zeiterfassung!$K$6:$K$3665,$K1316))</f>
        <v/>
      </c>
      <c r="C1316" s="185">
        <f>IF($K1316="","",INDEX(Zeiterfassung!$K$6:$K$3665,$K1316))</f>
        <v/>
      </c>
      <c r="D1316" s="186">
        <f>IF($K1316="","",INDEX(Zeiterfassung!$D$6:$D$3665,$K1316))</f>
        <v/>
      </c>
      <c r="E1316" s="186">
        <f>IF($K1316="","",INDEX(Zeiterfassung!$E$6:$E$3665,$K1316))</f>
        <v/>
      </c>
      <c r="F1316" s="187">
        <f>IF($K1316="","",INDEX(Zeiterfassung!$F$6:$F$3665,$K1316))</f>
        <v/>
      </c>
      <c r="G1316" s="187">
        <f>IF($K1316="","",INDEX(Zeiterfassung!$G$6:$G$3665,$K1316))</f>
        <v/>
      </c>
      <c r="H1316" s="188">
        <f>IF($K1316="","",INDEX(Zeiterfassung!$H$6:$H$3665,$K1316))</f>
        <v/>
      </c>
      <c r="I1316" s="335">
        <f>IF(B1316=B1315,"",IF($K1316="","",INDEX(Zeiterfassung!$I$6:$I$3665,MATCH(INDEX(Zeiterfassung!$K$6:$K$3665,$K1316),Zeiterfassung!$K$6:$K$3665,0))))</f>
        <v/>
      </c>
      <c r="J1316" s="335">
        <f>IF(B1316=B1315,"",IF($K1316="","",INDEX(Zeiterfassung!$J$6:$J$3665,MATCH(INDEX(Zeiterfassung!$K$6:$K$3665,$K1316),Zeiterfassung!$K$6:$K$3665,0))))</f>
        <v/>
      </c>
      <c r="K1316">
        <f>IFERROR(AGGREGATE(15,6,(ROW(Zeiterfassung!$D$6:$D$3665)-ROW(Zeiterfassung!$D$6)+1)/(Zeiterfassung!$D$6:$D$3665&lt;&gt;""),1311),"")</f>
        <v/>
      </c>
    </row>
    <row r="1317" ht="20" customHeight="1">
      <c r="A1317" s="183">
        <f>IF($K1317="","",WEEKNUM(INDEX(Zeiterfassung!$K$6:$K$3665,$K1317),21))</f>
        <v/>
      </c>
      <c r="B1317" s="184">
        <f>IF($K1317="","",INDEX(Zeiterfassung!$K$6:$K$3665,$K1317))</f>
        <v/>
      </c>
      <c r="C1317" s="185">
        <f>IF($K1317="","",INDEX(Zeiterfassung!$K$6:$K$3665,$K1317))</f>
        <v/>
      </c>
      <c r="D1317" s="186">
        <f>IF($K1317="","",INDEX(Zeiterfassung!$D$6:$D$3665,$K1317))</f>
        <v/>
      </c>
      <c r="E1317" s="186">
        <f>IF($K1317="","",INDEX(Zeiterfassung!$E$6:$E$3665,$K1317))</f>
        <v/>
      </c>
      <c r="F1317" s="187">
        <f>IF($K1317="","",INDEX(Zeiterfassung!$F$6:$F$3665,$K1317))</f>
        <v/>
      </c>
      <c r="G1317" s="187">
        <f>IF($K1317="","",INDEX(Zeiterfassung!$G$6:$G$3665,$K1317))</f>
        <v/>
      </c>
      <c r="H1317" s="188">
        <f>IF($K1317="","",INDEX(Zeiterfassung!$H$6:$H$3665,$K1317))</f>
        <v/>
      </c>
      <c r="I1317" s="335">
        <f>IF(B1317=B1316,"",IF($K1317="","",INDEX(Zeiterfassung!$I$6:$I$3665,MATCH(INDEX(Zeiterfassung!$K$6:$K$3665,$K1317),Zeiterfassung!$K$6:$K$3665,0))))</f>
        <v/>
      </c>
      <c r="J1317" s="335">
        <f>IF(B1317=B1316,"",IF($K1317="","",INDEX(Zeiterfassung!$J$6:$J$3665,MATCH(INDEX(Zeiterfassung!$K$6:$K$3665,$K1317),Zeiterfassung!$K$6:$K$3665,0))))</f>
        <v/>
      </c>
      <c r="K1317">
        <f>IFERROR(AGGREGATE(15,6,(ROW(Zeiterfassung!$D$6:$D$3665)-ROW(Zeiterfassung!$D$6)+1)/(Zeiterfassung!$D$6:$D$3665&lt;&gt;""),1312),"")</f>
        <v/>
      </c>
    </row>
    <row r="1318" ht="20" customHeight="1">
      <c r="A1318" s="183">
        <f>IF($K1318="","",WEEKNUM(INDEX(Zeiterfassung!$K$6:$K$3665,$K1318),21))</f>
        <v/>
      </c>
      <c r="B1318" s="184">
        <f>IF($K1318="","",INDEX(Zeiterfassung!$K$6:$K$3665,$K1318))</f>
        <v/>
      </c>
      <c r="C1318" s="185">
        <f>IF($K1318="","",INDEX(Zeiterfassung!$K$6:$K$3665,$K1318))</f>
        <v/>
      </c>
      <c r="D1318" s="186">
        <f>IF($K1318="","",INDEX(Zeiterfassung!$D$6:$D$3665,$K1318))</f>
        <v/>
      </c>
      <c r="E1318" s="186">
        <f>IF($K1318="","",INDEX(Zeiterfassung!$E$6:$E$3665,$K1318))</f>
        <v/>
      </c>
      <c r="F1318" s="187">
        <f>IF($K1318="","",INDEX(Zeiterfassung!$F$6:$F$3665,$K1318))</f>
        <v/>
      </c>
      <c r="G1318" s="187">
        <f>IF($K1318="","",INDEX(Zeiterfassung!$G$6:$G$3665,$K1318))</f>
        <v/>
      </c>
      <c r="H1318" s="188">
        <f>IF($K1318="","",INDEX(Zeiterfassung!$H$6:$H$3665,$K1318))</f>
        <v/>
      </c>
      <c r="I1318" s="335">
        <f>IF(B1318=B1317,"",IF($K1318="","",INDEX(Zeiterfassung!$I$6:$I$3665,MATCH(INDEX(Zeiterfassung!$K$6:$K$3665,$K1318),Zeiterfassung!$K$6:$K$3665,0))))</f>
        <v/>
      </c>
      <c r="J1318" s="335">
        <f>IF(B1318=B1317,"",IF($K1318="","",INDEX(Zeiterfassung!$J$6:$J$3665,MATCH(INDEX(Zeiterfassung!$K$6:$K$3665,$K1318),Zeiterfassung!$K$6:$K$3665,0))))</f>
        <v/>
      </c>
      <c r="K1318">
        <f>IFERROR(AGGREGATE(15,6,(ROW(Zeiterfassung!$D$6:$D$3665)-ROW(Zeiterfassung!$D$6)+1)/(Zeiterfassung!$D$6:$D$3665&lt;&gt;""),1313),"")</f>
        <v/>
      </c>
    </row>
    <row r="1319" ht="20" customHeight="1">
      <c r="A1319" s="183">
        <f>IF($K1319="","",WEEKNUM(INDEX(Zeiterfassung!$K$6:$K$3665,$K1319),21))</f>
        <v/>
      </c>
      <c r="B1319" s="184">
        <f>IF($K1319="","",INDEX(Zeiterfassung!$K$6:$K$3665,$K1319))</f>
        <v/>
      </c>
      <c r="C1319" s="185">
        <f>IF($K1319="","",INDEX(Zeiterfassung!$K$6:$K$3665,$K1319))</f>
        <v/>
      </c>
      <c r="D1319" s="186">
        <f>IF($K1319="","",INDEX(Zeiterfassung!$D$6:$D$3665,$K1319))</f>
        <v/>
      </c>
      <c r="E1319" s="186">
        <f>IF($K1319="","",INDEX(Zeiterfassung!$E$6:$E$3665,$K1319))</f>
        <v/>
      </c>
      <c r="F1319" s="187">
        <f>IF($K1319="","",INDEX(Zeiterfassung!$F$6:$F$3665,$K1319))</f>
        <v/>
      </c>
      <c r="G1319" s="187">
        <f>IF($K1319="","",INDEX(Zeiterfassung!$G$6:$G$3665,$K1319))</f>
        <v/>
      </c>
      <c r="H1319" s="188">
        <f>IF($K1319="","",INDEX(Zeiterfassung!$H$6:$H$3665,$K1319))</f>
        <v/>
      </c>
      <c r="I1319" s="335">
        <f>IF(B1319=B1318,"",IF($K1319="","",INDEX(Zeiterfassung!$I$6:$I$3665,MATCH(INDEX(Zeiterfassung!$K$6:$K$3665,$K1319),Zeiterfassung!$K$6:$K$3665,0))))</f>
        <v/>
      </c>
      <c r="J1319" s="335">
        <f>IF(B1319=B1318,"",IF($K1319="","",INDEX(Zeiterfassung!$J$6:$J$3665,MATCH(INDEX(Zeiterfassung!$K$6:$K$3665,$K1319),Zeiterfassung!$K$6:$K$3665,0))))</f>
        <v/>
      </c>
      <c r="K1319">
        <f>IFERROR(AGGREGATE(15,6,(ROW(Zeiterfassung!$D$6:$D$3665)-ROW(Zeiterfassung!$D$6)+1)/(Zeiterfassung!$D$6:$D$3665&lt;&gt;""),1314),"")</f>
        <v/>
      </c>
    </row>
    <row r="1320" ht="20" customHeight="1">
      <c r="A1320" s="183">
        <f>IF($K1320="","",WEEKNUM(INDEX(Zeiterfassung!$K$6:$K$3665,$K1320),21))</f>
        <v/>
      </c>
      <c r="B1320" s="184">
        <f>IF($K1320="","",INDEX(Zeiterfassung!$K$6:$K$3665,$K1320))</f>
        <v/>
      </c>
      <c r="C1320" s="185">
        <f>IF($K1320="","",INDEX(Zeiterfassung!$K$6:$K$3665,$K1320))</f>
        <v/>
      </c>
      <c r="D1320" s="186">
        <f>IF($K1320="","",INDEX(Zeiterfassung!$D$6:$D$3665,$K1320))</f>
        <v/>
      </c>
      <c r="E1320" s="186">
        <f>IF($K1320="","",INDEX(Zeiterfassung!$E$6:$E$3665,$K1320))</f>
        <v/>
      </c>
      <c r="F1320" s="187">
        <f>IF($K1320="","",INDEX(Zeiterfassung!$F$6:$F$3665,$K1320))</f>
        <v/>
      </c>
      <c r="G1320" s="187">
        <f>IF($K1320="","",INDEX(Zeiterfassung!$G$6:$G$3665,$K1320))</f>
        <v/>
      </c>
      <c r="H1320" s="188">
        <f>IF($K1320="","",INDEX(Zeiterfassung!$H$6:$H$3665,$K1320))</f>
        <v/>
      </c>
      <c r="I1320" s="335">
        <f>IF(B1320=B1319,"",IF($K1320="","",INDEX(Zeiterfassung!$I$6:$I$3665,MATCH(INDEX(Zeiterfassung!$K$6:$K$3665,$K1320),Zeiterfassung!$K$6:$K$3665,0))))</f>
        <v/>
      </c>
      <c r="J1320" s="335">
        <f>IF(B1320=B1319,"",IF($K1320="","",INDEX(Zeiterfassung!$J$6:$J$3665,MATCH(INDEX(Zeiterfassung!$K$6:$K$3665,$K1320),Zeiterfassung!$K$6:$K$3665,0))))</f>
        <v/>
      </c>
      <c r="K1320">
        <f>IFERROR(AGGREGATE(15,6,(ROW(Zeiterfassung!$D$6:$D$3665)-ROW(Zeiterfassung!$D$6)+1)/(Zeiterfassung!$D$6:$D$3665&lt;&gt;""),1315),"")</f>
        <v/>
      </c>
    </row>
    <row r="1321" ht="20" customHeight="1">
      <c r="A1321" s="183">
        <f>IF($K1321="","",WEEKNUM(INDEX(Zeiterfassung!$K$6:$K$3665,$K1321),21))</f>
        <v/>
      </c>
      <c r="B1321" s="184">
        <f>IF($K1321="","",INDEX(Zeiterfassung!$K$6:$K$3665,$K1321))</f>
        <v/>
      </c>
      <c r="C1321" s="185">
        <f>IF($K1321="","",INDEX(Zeiterfassung!$K$6:$K$3665,$K1321))</f>
        <v/>
      </c>
      <c r="D1321" s="186">
        <f>IF($K1321="","",INDEX(Zeiterfassung!$D$6:$D$3665,$K1321))</f>
        <v/>
      </c>
      <c r="E1321" s="186">
        <f>IF($K1321="","",INDEX(Zeiterfassung!$E$6:$E$3665,$K1321))</f>
        <v/>
      </c>
      <c r="F1321" s="187">
        <f>IF($K1321="","",INDEX(Zeiterfassung!$F$6:$F$3665,$K1321))</f>
        <v/>
      </c>
      <c r="G1321" s="187">
        <f>IF($K1321="","",INDEX(Zeiterfassung!$G$6:$G$3665,$K1321))</f>
        <v/>
      </c>
      <c r="H1321" s="188">
        <f>IF($K1321="","",INDEX(Zeiterfassung!$H$6:$H$3665,$K1321))</f>
        <v/>
      </c>
      <c r="I1321" s="335">
        <f>IF(B1321=B1320,"",IF($K1321="","",INDEX(Zeiterfassung!$I$6:$I$3665,MATCH(INDEX(Zeiterfassung!$K$6:$K$3665,$K1321),Zeiterfassung!$K$6:$K$3665,0))))</f>
        <v/>
      </c>
      <c r="J1321" s="335">
        <f>IF(B1321=B1320,"",IF($K1321="","",INDEX(Zeiterfassung!$J$6:$J$3665,MATCH(INDEX(Zeiterfassung!$K$6:$K$3665,$K1321),Zeiterfassung!$K$6:$K$3665,0))))</f>
        <v/>
      </c>
      <c r="K1321">
        <f>IFERROR(AGGREGATE(15,6,(ROW(Zeiterfassung!$D$6:$D$3665)-ROW(Zeiterfassung!$D$6)+1)/(Zeiterfassung!$D$6:$D$3665&lt;&gt;""),1316),"")</f>
        <v/>
      </c>
    </row>
    <row r="1322" ht="20" customHeight="1">
      <c r="A1322" s="183">
        <f>IF($K1322="","",WEEKNUM(INDEX(Zeiterfassung!$K$6:$K$3665,$K1322),21))</f>
        <v/>
      </c>
      <c r="B1322" s="184">
        <f>IF($K1322="","",INDEX(Zeiterfassung!$K$6:$K$3665,$K1322))</f>
        <v/>
      </c>
      <c r="C1322" s="185">
        <f>IF($K1322="","",INDEX(Zeiterfassung!$K$6:$K$3665,$K1322))</f>
        <v/>
      </c>
      <c r="D1322" s="186">
        <f>IF($K1322="","",INDEX(Zeiterfassung!$D$6:$D$3665,$K1322))</f>
        <v/>
      </c>
      <c r="E1322" s="186">
        <f>IF($K1322="","",INDEX(Zeiterfassung!$E$6:$E$3665,$K1322))</f>
        <v/>
      </c>
      <c r="F1322" s="187">
        <f>IF($K1322="","",INDEX(Zeiterfassung!$F$6:$F$3665,$K1322))</f>
        <v/>
      </c>
      <c r="G1322" s="187">
        <f>IF($K1322="","",INDEX(Zeiterfassung!$G$6:$G$3665,$K1322))</f>
        <v/>
      </c>
      <c r="H1322" s="188">
        <f>IF($K1322="","",INDEX(Zeiterfassung!$H$6:$H$3665,$K1322))</f>
        <v/>
      </c>
      <c r="I1322" s="335">
        <f>IF(B1322=B1321,"",IF($K1322="","",INDEX(Zeiterfassung!$I$6:$I$3665,MATCH(INDEX(Zeiterfassung!$K$6:$K$3665,$K1322),Zeiterfassung!$K$6:$K$3665,0))))</f>
        <v/>
      </c>
      <c r="J1322" s="335">
        <f>IF(B1322=B1321,"",IF($K1322="","",INDEX(Zeiterfassung!$J$6:$J$3665,MATCH(INDEX(Zeiterfassung!$K$6:$K$3665,$K1322),Zeiterfassung!$K$6:$K$3665,0))))</f>
        <v/>
      </c>
      <c r="K1322">
        <f>IFERROR(AGGREGATE(15,6,(ROW(Zeiterfassung!$D$6:$D$3665)-ROW(Zeiterfassung!$D$6)+1)/(Zeiterfassung!$D$6:$D$3665&lt;&gt;""),1317),"")</f>
        <v/>
      </c>
    </row>
    <row r="1323" ht="20" customHeight="1">
      <c r="A1323" s="183">
        <f>IF($K1323="","",WEEKNUM(INDEX(Zeiterfassung!$K$6:$K$3665,$K1323),21))</f>
        <v/>
      </c>
      <c r="B1323" s="184">
        <f>IF($K1323="","",INDEX(Zeiterfassung!$K$6:$K$3665,$K1323))</f>
        <v/>
      </c>
      <c r="C1323" s="185">
        <f>IF($K1323="","",INDEX(Zeiterfassung!$K$6:$K$3665,$K1323))</f>
        <v/>
      </c>
      <c r="D1323" s="186">
        <f>IF($K1323="","",INDEX(Zeiterfassung!$D$6:$D$3665,$K1323))</f>
        <v/>
      </c>
      <c r="E1323" s="186">
        <f>IF($K1323="","",INDEX(Zeiterfassung!$E$6:$E$3665,$K1323))</f>
        <v/>
      </c>
      <c r="F1323" s="187">
        <f>IF($K1323="","",INDEX(Zeiterfassung!$F$6:$F$3665,$K1323))</f>
        <v/>
      </c>
      <c r="G1323" s="187">
        <f>IF($K1323="","",INDEX(Zeiterfassung!$G$6:$G$3665,$K1323))</f>
        <v/>
      </c>
      <c r="H1323" s="188">
        <f>IF($K1323="","",INDEX(Zeiterfassung!$H$6:$H$3665,$K1323))</f>
        <v/>
      </c>
      <c r="I1323" s="335">
        <f>IF(B1323=B1322,"",IF($K1323="","",INDEX(Zeiterfassung!$I$6:$I$3665,MATCH(INDEX(Zeiterfassung!$K$6:$K$3665,$K1323),Zeiterfassung!$K$6:$K$3665,0))))</f>
        <v/>
      </c>
      <c r="J1323" s="335">
        <f>IF(B1323=B1322,"",IF($K1323="","",INDEX(Zeiterfassung!$J$6:$J$3665,MATCH(INDEX(Zeiterfassung!$K$6:$K$3665,$K1323),Zeiterfassung!$K$6:$K$3665,0))))</f>
        <v/>
      </c>
      <c r="K1323">
        <f>IFERROR(AGGREGATE(15,6,(ROW(Zeiterfassung!$D$6:$D$3665)-ROW(Zeiterfassung!$D$6)+1)/(Zeiterfassung!$D$6:$D$3665&lt;&gt;""),1318),"")</f>
        <v/>
      </c>
    </row>
    <row r="1324" ht="20" customHeight="1">
      <c r="A1324" s="183">
        <f>IF($K1324="","",WEEKNUM(INDEX(Zeiterfassung!$K$6:$K$3665,$K1324),21))</f>
        <v/>
      </c>
      <c r="B1324" s="184">
        <f>IF($K1324="","",INDEX(Zeiterfassung!$K$6:$K$3665,$K1324))</f>
        <v/>
      </c>
      <c r="C1324" s="185">
        <f>IF($K1324="","",INDEX(Zeiterfassung!$K$6:$K$3665,$K1324))</f>
        <v/>
      </c>
      <c r="D1324" s="186">
        <f>IF($K1324="","",INDEX(Zeiterfassung!$D$6:$D$3665,$K1324))</f>
        <v/>
      </c>
      <c r="E1324" s="186">
        <f>IF($K1324="","",INDEX(Zeiterfassung!$E$6:$E$3665,$K1324))</f>
        <v/>
      </c>
      <c r="F1324" s="187">
        <f>IF($K1324="","",INDEX(Zeiterfassung!$F$6:$F$3665,$K1324))</f>
        <v/>
      </c>
      <c r="G1324" s="187">
        <f>IF($K1324="","",INDEX(Zeiterfassung!$G$6:$G$3665,$K1324))</f>
        <v/>
      </c>
      <c r="H1324" s="188">
        <f>IF($K1324="","",INDEX(Zeiterfassung!$H$6:$H$3665,$K1324))</f>
        <v/>
      </c>
      <c r="I1324" s="335">
        <f>IF(B1324=B1323,"",IF($K1324="","",INDEX(Zeiterfassung!$I$6:$I$3665,MATCH(INDEX(Zeiterfassung!$K$6:$K$3665,$K1324),Zeiterfassung!$K$6:$K$3665,0))))</f>
        <v/>
      </c>
      <c r="J1324" s="335">
        <f>IF(B1324=B1323,"",IF($K1324="","",INDEX(Zeiterfassung!$J$6:$J$3665,MATCH(INDEX(Zeiterfassung!$K$6:$K$3665,$K1324),Zeiterfassung!$K$6:$K$3665,0))))</f>
        <v/>
      </c>
      <c r="K1324">
        <f>IFERROR(AGGREGATE(15,6,(ROW(Zeiterfassung!$D$6:$D$3665)-ROW(Zeiterfassung!$D$6)+1)/(Zeiterfassung!$D$6:$D$3665&lt;&gt;""),1319),"")</f>
        <v/>
      </c>
    </row>
    <row r="1325" ht="20" customHeight="1">
      <c r="A1325" s="183">
        <f>IF($K1325="","",WEEKNUM(INDEX(Zeiterfassung!$K$6:$K$3665,$K1325),21))</f>
        <v/>
      </c>
      <c r="B1325" s="184">
        <f>IF($K1325="","",INDEX(Zeiterfassung!$K$6:$K$3665,$K1325))</f>
        <v/>
      </c>
      <c r="C1325" s="185">
        <f>IF($K1325="","",INDEX(Zeiterfassung!$K$6:$K$3665,$K1325))</f>
        <v/>
      </c>
      <c r="D1325" s="186">
        <f>IF($K1325="","",INDEX(Zeiterfassung!$D$6:$D$3665,$K1325))</f>
        <v/>
      </c>
      <c r="E1325" s="186">
        <f>IF($K1325="","",INDEX(Zeiterfassung!$E$6:$E$3665,$K1325))</f>
        <v/>
      </c>
      <c r="F1325" s="187">
        <f>IF($K1325="","",INDEX(Zeiterfassung!$F$6:$F$3665,$K1325))</f>
        <v/>
      </c>
      <c r="G1325" s="187">
        <f>IF($K1325="","",INDEX(Zeiterfassung!$G$6:$G$3665,$K1325))</f>
        <v/>
      </c>
      <c r="H1325" s="188">
        <f>IF($K1325="","",INDEX(Zeiterfassung!$H$6:$H$3665,$K1325))</f>
        <v/>
      </c>
      <c r="I1325" s="335">
        <f>IF(B1325=B1324,"",IF($K1325="","",INDEX(Zeiterfassung!$I$6:$I$3665,MATCH(INDEX(Zeiterfassung!$K$6:$K$3665,$K1325),Zeiterfassung!$K$6:$K$3665,0))))</f>
        <v/>
      </c>
      <c r="J1325" s="335">
        <f>IF(B1325=B1324,"",IF($K1325="","",INDEX(Zeiterfassung!$J$6:$J$3665,MATCH(INDEX(Zeiterfassung!$K$6:$K$3665,$K1325),Zeiterfassung!$K$6:$K$3665,0))))</f>
        <v/>
      </c>
      <c r="K1325">
        <f>IFERROR(AGGREGATE(15,6,(ROW(Zeiterfassung!$D$6:$D$3665)-ROW(Zeiterfassung!$D$6)+1)/(Zeiterfassung!$D$6:$D$3665&lt;&gt;""),1320),"")</f>
        <v/>
      </c>
    </row>
    <row r="1326" ht="20" customHeight="1">
      <c r="A1326" s="183">
        <f>IF($K1326="","",WEEKNUM(INDEX(Zeiterfassung!$K$6:$K$3665,$K1326),21))</f>
        <v/>
      </c>
      <c r="B1326" s="184">
        <f>IF($K1326="","",INDEX(Zeiterfassung!$K$6:$K$3665,$K1326))</f>
        <v/>
      </c>
      <c r="C1326" s="185">
        <f>IF($K1326="","",INDEX(Zeiterfassung!$K$6:$K$3665,$K1326))</f>
        <v/>
      </c>
      <c r="D1326" s="186">
        <f>IF($K1326="","",INDEX(Zeiterfassung!$D$6:$D$3665,$K1326))</f>
        <v/>
      </c>
      <c r="E1326" s="186">
        <f>IF($K1326="","",INDEX(Zeiterfassung!$E$6:$E$3665,$K1326))</f>
        <v/>
      </c>
      <c r="F1326" s="187">
        <f>IF($K1326="","",INDEX(Zeiterfassung!$F$6:$F$3665,$K1326))</f>
        <v/>
      </c>
      <c r="G1326" s="187">
        <f>IF($K1326="","",INDEX(Zeiterfassung!$G$6:$G$3665,$K1326))</f>
        <v/>
      </c>
      <c r="H1326" s="188">
        <f>IF($K1326="","",INDEX(Zeiterfassung!$H$6:$H$3665,$K1326))</f>
        <v/>
      </c>
      <c r="I1326" s="335">
        <f>IF(B1326=B1325,"",IF($K1326="","",INDEX(Zeiterfassung!$I$6:$I$3665,MATCH(INDEX(Zeiterfassung!$K$6:$K$3665,$K1326),Zeiterfassung!$K$6:$K$3665,0))))</f>
        <v/>
      </c>
      <c r="J1326" s="335">
        <f>IF(B1326=B1325,"",IF($K1326="","",INDEX(Zeiterfassung!$J$6:$J$3665,MATCH(INDEX(Zeiterfassung!$K$6:$K$3665,$K1326),Zeiterfassung!$K$6:$K$3665,0))))</f>
        <v/>
      </c>
      <c r="K1326">
        <f>IFERROR(AGGREGATE(15,6,(ROW(Zeiterfassung!$D$6:$D$3665)-ROW(Zeiterfassung!$D$6)+1)/(Zeiterfassung!$D$6:$D$3665&lt;&gt;""),1321),"")</f>
        <v/>
      </c>
    </row>
    <row r="1327" ht="20" customHeight="1">
      <c r="A1327" s="183">
        <f>IF($K1327="","",WEEKNUM(INDEX(Zeiterfassung!$K$6:$K$3665,$K1327),21))</f>
        <v/>
      </c>
      <c r="B1327" s="184">
        <f>IF($K1327="","",INDEX(Zeiterfassung!$K$6:$K$3665,$K1327))</f>
        <v/>
      </c>
      <c r="C1327" s="185">
        <f>IF($K1327="","",INDEX(Zeiterfassung!$K$6:$K$3665,$K1327))</f>
        <v/>
      </c>
      <c r="D1327" s="186">
        <f>IF($K1327="","",INDEX(Zeiterfassung!$D$6:$D$3665,$K1327))</f>
        <v/>
      </c>
      <c r="E1327" s="186">
        <f>IF($K1327="","",INDEX(Zeiterfassung!$E$6:$E$3665,$K1327))</f>
        <v/>
      </c>
      <c r="F1327" s="187">
        <f>IF($K1327="","",INDEX(Zeiterfassung!$F$6:$F$3665,$K1327))</f>
        <v/>
      </c>
      <c r="G1327" s="187">
        <f>IF($K1327="","",INDEX(Zeiterfassung!$G$6:$G$3665,$K1327))</f>
        <v/>
      </c>
      <c r="H1327" s="188">
        <f>IF($K1327="","",INDEX(Zeiterfassung!$H$6:$H$3665,$K1327))</f>
        <v/>
      </c>
      <c r="I1327" s="335">
        <f>IF(B1327=B1326,"",IF($K1327="","",INDEX(Zeiterfassung!$I$6:$I$3665,MATCH(INDEX(Zeiterfassung!$K$6:$K$3665,$K1327),Zeiterfassung!$K$6:$K$3665,0))))</f>
        <v/>
      </c>
      <c r="J1327" s="335">
        <f>IF(B1327=B1326,"",IF($K1327="","",INDEX(Zeiterfassung!$J$6:$J$3665,MATCH(INDEX(Zeiterfassung!$K$6:$K$3665,$K1327),Zeiterfassung!$K$6:$K$3665,0))))</f>
        <v/>
      </c>
      <c r="K1327">
        <f>IFERROR(AGGREGATE(15,6,(ROW(Zeiterfassung!$D$6:$D$3665)-ROW(Zeiterfassung!$D$6)+1)/(Zeiterfassung!$D$6:$D$3665&lt;&gt;""),1322),"")</f>
        <v/>
      </c>
    </row>
    <row r="1328" ht="20" customHeight="1">
      <c r="A1328" s="183">
        <f>IF($K1328="","",WEEKNUM(INDEX(Zeiterfassung!$K$6:$K$3665,$K1328),21))</f>
        <v/>
      </c>
      <c r="B1328" s="184">
        <f>IF($K1328="","",INDEX(Zeiterfassung!$K$6:$K$3665,$K1328))</f>
        <v/>
      </c>
      <c r="C1328" s="185">
        <f>IF($K1328="","",INDEX(Zeiterfassung!$K$6:$K$3665,$K1328))</f>
        <v/>
      </c>
      <c r="D1328" s="186">
        <f>IF($K1328="","",INDEX(Zeiterfassung!$D$6:$D$3665,$K1328))</f>
        <v/>
      </c>
      <c r="E1328" s="186">
        <f>IF($K1328="","",INDEX(Zeiterfassung!$E$6:$E$3665,$K1328))</f>
        <v/>
      </c>
      <c r="F1328" s="187">
        <f>IF($K1328="","",INDEX(Zeiterfassung!$F$6:$F$3665,$K1328))</f>
        <v/>
      </c>
      <c r="G1328" s="187">
        <f>IF($K1328="","",INDEX(Zeiterfassung!$G$6:$G$3665,$K1328))</f>
        <v/>
      </c>
      <c r="H1328" s="188">
        <f>IF($K1328="","",INDEX(Zeiterfassung!$H$6:$H$3665,$K1328))</f>
        <v/>
      </c>
      <c r="I1328" s="335">
        <f>IF(B1328=B1327,"",IF($K1328="","",INDEX(Zeiterfassung!$I$6:$I$3665,MATCH(INDEX(Zeiterfassung!$K$6:$K$3665,$K1328),Zeiterfassung!$K$6:$K$3665,0))))</f>
        <v/>
      </c>
      <c r="J1328" s="335">
        <f>IF(B1328=B1327,"",IF($K1328="","",INDEX(Zeiterfassung!$J$6:$J$3665,MATCH(INDEX(Zeiterfassung!$K$6:$K$3665,$K1328),Zeiterfassung!$K$6:$K$3665,0))))</f>
        <v/>
      </c>
      <c r="K1328">
        <f>IFERROR(AGGREGATE(15,6,(ROW(Zeiterfassung!$D$6:$D$3665)-ROW(Zeiterfassung!$D$6)+1)/(Zeiterfassung!$D$6:$D$3665&lt;&gt;""),1323),"")</f>
        <v/>
      </c>
    </row>
    <row r="1329" ht="20" customHeight="1">
      <c r="A1329" s="183">
        <f>IF($K1329="","",WEEKNUM(INDEX(Zeiterfassung!$K$6:$K$3665,$K1329),21))</f>
        <v/>
      </c>
      <c r="B1329" s="184">
        <f>IF($K1329="","",INDEX(Zeiterfassung!$K$6:$K$3665,$K1329))</f>
        <v/>
      </c>
      <c r="C1329" s="185">
        <f>IF($K1329="","",INDEX(Zeiterfassung!$K$6:$K$3665,$K1329))</f>
        <v/>
      </c>
      <c r="D1329" s="186">
        <f>IF($K1329="","",INDEX(Zeiterfassung!$D$6:$D$3665,$K1329))</f>
        <v/>
      </c>
      <c r="E1329" s="186">
        <f>IF($K1329="","",INDEX(Zeiterfassung!$E$6:$E$3665,$K1329))</f>
        <v/>
      </c>
      <c r="F1329" s="187">
        <f>IF($K1329="","",INDEX(Zeiterfassung!$F$6:$F$3665,$K1329))</f>
        <v/>
      </c>
      <c r="G1329" s="187">
        <f>IF($K1329="","",INDEX(Zeiterfassung!$G$6:$G$3665,$K1329))</f>
        <v/>
      </c>
      <c r="H1329" s="188">
        <f>IF($K1329="","",INDEX(Zeiterfassung!$H$6:$H$3665,$K1329))</f>
        <v/>
      </c>
      <c r="I1329" s="335">
        <f>IF(B1329=B1328,"",IF($K1329="","",INDEX(Zeiterfassung!$I$6:$I$3665,MATCH(INDEX(Zeiterfassung!$K$6:$K$3665,$K1329),Zeiterfassung!$K$6:$K$3665,0))))</f>
        <v/>
      </c>
      <c r="J1329" s="335">
        <f>IF(B1329=B1328,"",IF($K1329="","",INDEX(Zeiterfassung!$J$6:$J$3665,MATCH(INDEX(Zeiterfassung!$K$6:$K$3665,$K1329),Zeiterfassung!$K$6:$K$3665,0))))</f>
        <v/>
      </c>
      <c r="K1329">
        <f>IFERROR(AGGREGATE(15,6,(ROW(Zeiterfassung!$D$6:$D$3665)-ROW(Zeiterfassung!$D$6)+1)/(Zeiterfassung!$D$6:$D$3665&lt;&gt;""),1324),"")</f>
        <v/>
      </c>
    </row>
    <row r="1330" ht="20" customHeight="1">
      <c r="A1330" s="183">
        <f>IF($K1330="","",WEEKNUM(INDEX(Zeiterfassung!$K$6:$K$3665,$K1330),21))</f>
        <v/>
      </c>
      <c r="B1330" s="184">
        <f>IF($K1330="","",INDEX(Zeiterfassung!$K$6:$K$3665,$K1330))</f>
        <v/>
      </c>
      <c r="C1330" s="185">
        <f>IF($K1330="","",INDEX(Zeiterfassung!$K$6:$K$3665,$K1330))</f>
        <v/>
      </c>
      <c r="D1330" s="186">
        <f>IF($K1330="","",INDEX(Zeiterfassung!$D$6:$D$3665,$K1330))</f>
        <v/>
      </c>
      <c r="E1330" s="186">
        <f>IF($K1330="","",INDEX(Zeiterfassung!$E$6:$E$3665,$K1330))</f>
        <v/>
      </c>
      <c r="F1330" s="187">
        <f>IF($K1330="","",INDEX(Zeiterfassung!$F$6:$F$3665,$K1330))</f>
        <v/>
      </c>
      <c r="G1330" s="187">
        <f>IF($K1330="","",INDEX(Zeiterfassung!$G$6:$G$3665,$K1330))</f>
        <v/>
      </c>
      <c r="H1330" s="188">
        <f>IF($K1330="","",INDEX(Zeiterfassung!$H$6:$H$3665,$K1330))</f>
        <v/>
      </c>
      <c r="I1330" s="335">
        <f>IF(B1330=B1329,"",IF($K1330="","",INDEX(Zeiterfassung!$I$6:$I$3665,MATCH(INDEX(Zeiterfassung!$K$6:$K$3665,$K1330),Zeiterfassung!$K$6:$K$3665,0))))</f>
        <v/>
      </c>
      <c r="J1330" s="335">
        <f>IF(B1330=B1329,"",IF($K1330="","",INDEX(Zeiterfassung!$J$6:$J$3665,MATCH(INDEX(Zeiterfassung!$K$6:$K$3665,$K1330),Zeiterfassung!$K$6:$K$3665,0))))</f>
        <v/>
      </c>
      <c r="K1330">
        <f>IFERROR(AGGREGATE(15,6,(ROW(Zeiterfassung!$D$6:$D$3665)-ROW(Zeiterfassung!$D$6)+1)/(Zeiterfassung!$D$6:$D$3665&lt;&gt;""),1325),"")</f>
        <v/>
      </c>
    </row>
    <row r="1331" ht="20" customHeight="1">
      <c r="A1331" s="183">
        <f>IF($K1331="","",WEEKNUM(INDEX(Zeiterfassung!$K$6:$K$3665,$K1331),21))</f>
        <v/>
      </c>
      <c r="B1331" s="184">
        <f>IF($K1331="","",INDEX(Zeiterfassung!$K$6:$K$3665,$K1331))</f>
        <v/>
      </c>
      <c r="C1331" s="185">
        <f>IF($K1331="","",INDEX(Zeiterfassung!$K$6:$K$3665,$K1331))</f>
        <v/>
      </c>
      <c r="D1331" s="186">
        <f>IF($K1331="","",INDEX(Zeiterfassung!$D$6:$D$3665,$K1331))</f>
        <v/>
      </c>
      <c r="E1331" s="186">
        <f>IF($K1331="","",INDEX(Zeiterfassung!$E$6:$E$3665,$K1331))</f>
        <v/>
      </c>
      <c r="F1331" s="187">
        <f>IF($K1331="","",INDEX(Zeiterfassung!$F$6:$F$3665,$K1331))</f>
        <v/>
      </c>
      <c r="G1331" s="187">
        <f>IF($K1331="","",INDEX(Zeiterfassung!$G$6:$G$3665,$K1331))</f>
        <v/>
      </c>
      <c r="H1331" s="188">
        <f>IF($K1331="","",INDEX(Zeiterfassung!$H$6:$H$3665,$K1331))</f>
        <v/>
      </c>
      <c r="I1331" s="335">
        <f>IF(B1331=B1330,"",IF($K1331="","",INDEX(Zeiterfassung!$I$6:$I$3665,MATCH(INDEX(Zeiterfassung!$K$6:$K$3665,$K1331),Zeiterfassung!$K$6:$K$3665,0))))</f>
        <v/>
      </c>
      <c r="J1331" s="335">
        <f>IF(B1331=B1330,"",IF($K1331="","",INDEX(Zeiterfassung!$J$6:$J$3665,MATCH(INDEX(Zeiterfassung!$K$6:$K$3665,$K1331),Zeiterfassung!$K$6:$K$3665,0))))</f>
        <v/>
      </c>
      <c r="K1331">
        <f>IFERROR(AGGREGATE(15,6,(ROW(Zeiterfassung!$D$6:$D$3665)-ROW(Zeiterfassung!$D$6)+1)/(Zeiterfassung!$D$6:$D$3665&lt;&gt;""),1326),"")</f>
        <v/>
      </c>
    </row>
    <row r="1332" ht="20" customHeight="1">
      <c r="A1332" s="183">
        <f>IF($K1332="","",WEEKNUM(INDEX(Zeiterfassung!$K$6:$K$3665,$K1332),21))</f>
        <v/>
      </c>
      <c r="B1332" s="184">
        <f>IF($K1332="","",INDEX(Zeiterfassung!$K$6:$K$3665,$K1332))</f>
        <v/>
      </c>
      <c r="C1332" s="185">
        <f>IF($K1332="","",INDEX(Zeiterfassung!$K$6:$K$3665,$K1332))</f>
        <v/>
      </c>
      <c r="D1332" s="186">
        <f>IF($K1332="","",INDEX(Zeiterfassung!$D$6:$D$3665,$K1332))</f>
        <v/>
      </c>
      <c r="E1332" s="186">
        <f>IF($K1332="","",INDEX(Zeiterfassung!$E$6:$E$3665,$K1332))</f>
        <v/>
      </c>
      <c r="F1332" s="187">
        <f>IF($K1332="","",INDEX(Zeiterfassung!$F$6:$F$3665,$K1332))</f>
        <v/>
      </c>
      <c r="G1332" s="187">
        <f>IF($K1332="","",INDEX(Zeiterfassung!$G$6:$G$3665,$K1332))</f>
        <v/>
      </c>
      <c r="H1332" s="188">
        <f>IF($K1332="","",INDEX(Zeiterfassung!$H$6:$H$3665,$K1332))</f>
        <v/>
      </c>
      <c r="I1332" s="335">
        <f>IF(B1332=B1331,"",IF($K1332="","",INDEX(Zeiterfassung!$I$6:$I$3665,MATCH(INDEX(Zeiterfassung!$K$6:$K$3665,$K1332),Zeiterfassung!$K$6:$K$3665,0))))</f>
        <v/>
      </c>
      <c r="J1332" s="335">
        <f>IF(B1332=B1331,"",IF($K1332="","",INDEX(Zeiterfassung!$J$6:$J$3665,MATCH(INDEX(Zeiterfassung!$K$6:$K$3665,$K1332),Zeiterfassung!$K$6:$K$3665,0))))</f>
        <v/>
      </c>
      <c r="K1332">
        <f>IFERROR(AGGREGATE(15,6,(ROW(Zeiterfassung!$D$6:$D$3665)-ROW(Zeiterfassung!$D$6)+1)/(Zeiterfassung!$D$6:$D$3665&lt;&gt;""),1327),"")</f>
        <v/>
      </c>
    </row>
    <row r="1333" ht="20" customHeight="1">
      <c r="A1333" s="183">
        <f>IF($K1333="","",WEEKNUM(INDEX(Zeiterfassung!$K$6:$K$3665,$K1333),21))</f>
        <v/>
      </c>
      <c r="B1333" s="184">
        <f>IF($K1333="","",INDEX(Zeiterfassung!$K$6:$K$3665,$K1333))</f>
        <v/>
      </c>
      <c r="C1333" s="185">
        <f>IF($K1333="","",INDEX(Zeiterfassung!$K$6:$K$3665,$K1333))</f>
        <v/>
      </c>
      <c r="D1333" s="186">
        <f>IF($K1333="","",INDEX(Zeiterfassung!$D$6:$D$3665,$K1333))</f>
        <v/>
      </c>
      <c r="E1333" s="186">
        <f>IF($K1333="","",INDEX(Zeiterfassung!$E$6:$E$3665,$K1333))</f>
        <v/>
      </c>
      <c r="F1333" s="187">
        <f>IF($K1333="","",INDEX(Zeiterfassung!$F$6:$F$3665,$K1333))</f>
        <v/>
      </c>
      <c r="G1333" s="187">
        <f>IF($K1333="","",INDEX(Zeiterfassung!$G$6:$G$3665,$K1333))</f>
        <v/>
      </c>
      <c r="H1333" s="188">
        <f>IF($K1333="","",INDEX(Zeiterfassung!$H$6:$H$3665,$K1333))</f>
        <v/>
      </c>
      <c r="I1333" s="335">
        <f>IF(B1333=B1332,"",IF($K1333="","",INDEX(Zeiterfassung!$I$6:$I$3665,MATCH(INDEX(Zeiterfassung!$K$6:$K$3665,$K1333),Zeiterfassung!$K$6:$K$3665,0))))</f>
        <v/>
      </c>
      <c r="J1333" s="335">
        <f>IF(B1333=B1332,"",IF($K1333="","",INDEX(Zeiterfassung!$J$6:$J$3665,MATCH(INDEX(Zeiterfassung!$K$6:$K$3665,$K1333),Zeiterfassung!$K$6:$K$3665,0))))</f>
        <v/>
      </c>
      <c r="K1333">
        <f>IFERROR(AGGREGATE(15,6,(ROW(Zeiterfassung!$D$6:$D$3665)-ROW(Zeiterfassung!$D$6)+1)/(Zeiterfassung!$D$6:$D$3665&lt;&gt;""),1328),"")</f>
        <v/>
      </c>
    </row>
    <row r="1334" ht="20" customHeight="1">
      <c r="A1334" s="183">
        <f>IF($K1334="","",WEEKNUM(INDEX(Zeiterfassung!$K$6:$K$3665,$K1334),21))</f>
        <v/>
      </c>
      <c r="B1334" s="184">
        <f>IF($K1334="","",INDEX(Zeiterfassung!$K$6:$K$3665,$K1334))</f>
        <v/>
      </c>
      <c r="C1334" s="185">
        <f>IF($K1334="","",INDEX(Zeiterfassung!$K$6:$K$3665,$K1334))</f>
        <v/>
      </c>
      <c r="D1334" s="186">
        <f>IF($K1334="","",INDEX(Zeiterfassung!$D$6:$D$3665,$K1334))</f>
        <v/>
      </c>
      <c r="E1334" s="186">
        <f>IF($K1334="","",INDEX(Zeiterfassung!$E$6:$E$3665,$K1334))</f>
        <v/>
      </c>
      <c r="F1334" s="187">
        <f>IF($K1334="","",INDEX(Zeiterfassung!$F$6:$F$3665,$K1334))</f>
        <v/>
      </c>
      <c r="G1334" s="187">
        <f>IF($K1334="","",INDEX(Zeiterfassung!$G$6:$G$3665,$K1334))</f>
        <v/>
      </c>
      <c r="H1334" s="188">
        <f>IF($K1334="","",INDEX(Zeiterfassung!$H$6:$H$3665,$K1334))</f>
        <v/>
      </c>
      <c r="I1334" s="335">
        <f>IF(B1334=B1333,"",IF($K1334="","",INDEX(Zeiterfassung!$I$6:$I$3665,MATCH(INDEX(Zeiterfassung!$K$6:$K$3665,$K1334),Zeiterfassung!$K$6:$K$3665,0))))</f>
        <v/>
      </c>
      <c r="J1334" s="335">
        <f>IF(B1334=B1333,"",IF($K1334="","",INDEX(Zeiterfassung!$J$6:$J$3665,MATCH(INDEX(Zeiterfassung!$K$6:$K$3665,$K1334),Zeiterfassung!$K$6:$K$3665,0))))</f>
        <v/>
      </c>
      <c r="K1334">
        <f>IFERROR(AGGREGATE(15,6,(ROW(Zeiterfassung!$D$6:$D$3665)-ROW(Zeiterfassung!$D$6)+1)/(Zeiterfassung!$D$6:$D$3665&lt;&gt;""),1329),"")</f>
        <v/>
      </c>
    </row>
    <row r="1335" ht="20" customHeight="1">
      <c r="A1335" s="183">
        <f>IF($K1335="","",WEEKNUM(INDEX(Zeiterfassung!$K$6:$K$3665,$K1335),21))</f>
        <v/>
      </c>
      <c r="B1335" s="184">
        <f>IF($K1335="","",INDEX(Zeiterfassung!$K$6:$K$3665,$K1335))</f>
        <v/>
      </c>
      <c r="C1335" s="185">
        <f>IF($K1335="","",INDEX(Zeiterfassung!$K$6:$K$3665,$K1335))</f>
        <v/>
      </c>
      <c r="D1335" s="186">
        <f>IF($K1335="","",INDEX(Zeiterfassung!$D$6:$D$3665,$K1335))</f>
        <v/>
      </c>
      <c r="E1335" s="186">
        <f>IF($K1335="","",INDEX(Zeiterfassung!$E$6:$E$3665,$K1335))</f>
        <v/>
      </c>
      <c r="F1335" s="187">
        <f>IF($K1335="","",INDEX(Zeiterfassung!$F$6:$F$3665,$K1335))</f>
        <v/>
      </c>
      <c r="G1335" s="187">
        <f>IF($K1335="","",INDEX(Zeiterfassung!$G$6:$G$3665,$K1335))</f>
        <v/>
      </c>
      <c r="H1335" s="188">
        <f>IF($K1335="","",INDEX(Zeiterfassung!$H$6:$H$3665,$K1335))</f>
        <v/>
      </c>
      <c r="I1335" s="335">
        <f>IF(B1335=B1334,"",IF($K1335="","",INDEX(Zeiterfassung!$I$6:$I$3665,MATCH(INDEX(Zeiterfassung!$K$6:$K$3665,$K1335),Zeiterfassung!$K$6:$K$3665,0))))</f>
        <v/>
      </c>
      <c r="J1335" s="335">
        <f>IF(B1335=B1334,"",IF($K1335="","",INDEX(Zeiterfassung!$J$6:$J$3665,MATCH(INDEX(Zeiterfassung!$K$6:$K$3665,$K1335),Zeiterfassung!$K$6:$K$3665,0))))</f>
        <v/>
      </c>
      <c r="K1335">
        <f>IFERROR(AGGREGATE(15,6,(ROW(Zeiterfassung!$D$6:$D$3665)-ROW(Zeiterfassung!$D$6)+1)/(Zeiterfassung!$D$6:$D$3665&lt;&gt;""),1330),"")</f>
        <v/>
      </c>
    </row>
    <row r="1336" ht="20" customHeight="1">
      <c r="A1336" s="183">
        <f>IF($K1336="","",WEEKNUM(INDEX(Zeiterfassung!$K$6:$K$3665,$K1336),21))</f>
        <v/>
      </c>
      <c r="B1336" s="184">
        <f>IF($K1336="","",INDEX(Zeiterfassung!$K$6:$K$3665,$K1336))</f>
        <v/>
      </c>
      <c r="C1336" s="185">
        <f>IF($K1336="","",INDEX(Zeiterfassung!$K$6:$K$3665,$K1336))</f>
        <v/>
      </c>
      <c r="D1336" s="186">
        <f>IF($K1336="","",INDEX(Zeiterfassung!$D$6:$D$3665,$K1336))</f>
        <v/>
      </c>
      <c r="E1336" s="186">
        <f>IF($K1336="","",INDEX(Zeiterfassung!$E$6:$E$3665,$K1336))</f>
        <v/>
      </c>
      <c r="F1336" s="187">
        <f>IF($K1336="","",INDEX(Zeiterfassung!$F$6:$F$3665,$K1336))</f>
        <v/>
      </c>
      <c r="G1336" s="187">
        <f>IF($K1336="","",INDEX(Zeiterfassung!$G$6:$G$3665,$K1336))</f>
        <v/>
      </c>
      <c r="H1336" s="188">
        <f>IF($K1336="","",INDEX(Zeiterfassung!$H$6:$H$3665,$K1336))</f>
        <v/>
      </c>
      <c r="I1336" s="335">
        <f>IF(B1336=B1335,"",IF($K1336="","",INDEX(Zeiterfassung!$I$6:$I$3665,MATCH(INDEX(Zeiterfassung!$K$6:$K$3665,$K1336),Zeiterfassung!$K$6:$K$3665,0))))</f>
        <v/>
      </c>
      <c r="J1336" s="335">
        <f>IF(B1336=B1335,"",IF($K1336="","",INDEX(Zeiterfassung!$J$6:$J$3665,MATCH(INDEX(Zeiterfassung!$K$6:$K$3665,$K1336),Zeiterfassung!$K$6:$K$3665,0))))</f>
        <v/>
      </c>
      <c r="K1336">
        <f>IFERROR(AGGREGATE(15,6,(ROW(Zeiterfassung!$D$6:$D$3665)-ROW(Zeiterfassung!$D$6)+1)/(Zeiterfassung!$D$6:$D$3665&lt;&gt;""),1331),"")</f>
        <v/>
      </c>
    </row>
    <row r="1337" ht="20" customHeight="1">
      <c r="A1337" s="183">
        <f>IF($K1337="","",WEEKNUM(INDEX(Zeiterfassung!$K$6:$K$3665,$K1337),21))</f>
        <v/>
      </c>
      <c r="B1337" s="184">
        <f>IF($K1337="","",INDEX(Zeiterfassung!$K$6:$K$3665,$K1337))</f>
        <v/>
      </c>
      <c r="C1337" s="185">
        <f>IF($K1337="","",INDEX(Zeiterfassung!$K$6:$K$3665,$K1337))</f>
        <v/>
      </c>
      <c r="D1337" s="186">
        <f>IF($K1337="","",INDEX(Zeiterfassung!$D$6:$D$3665,$K1337))</f>
        <v/>
      </c>
      <c r="E1337" s="186">
        <f>IF($K1337="","",INDEX(Zeiterfassung!$E$6:$E$3665,$K1337))</f>
        <v/>
      </c>
      <c r="F1337" s="187">
        <f>IF($K1337="","",INDEX(Zeiterfassung!$F$6:$F$3665,$K1337))</f>
        <v/>
      </c>
      <c r="G1337" s="187">
        <f>IF($K1337="","",INDEX(Zeiterfassung!$G$6:$G$3665,$K1337))</f>
        <v/>
      </c>
      <c r="H1337" s="188">
        <f>IF($K1337="","",INDEX(Zeiterfassung!$H$6:$H$3665,$K1337))</f>
        <v/>
      </c>
      <c r="I1337" s="335">
        <f>IF(B1337=B1336,"",IF($K1337="","",INDEX(Zeiterfassung!$I$6:$I$3665,MATCH(INDEX(Zeiterfassung!$K$6:$K$3665,$K1337),Zeiterfassung!$K$6:$K$3665,0))))</f>
        <v/>
      </c>
      <c r="J1337" s="335">
        <f>IF(B1337=B1336,"",IF($K1337="","",INDEX(Zeiterfassung!$J$6:$J$3665,MATCH(INDEX(Zeiterfassung!$K$6:$K$3665,$K1337),Zeiterfassung!$K$6:$K$3665,0))))</f>
        <v/>
      </c>
      <c r="K1337">
        <f>IFERROR(AGGREGATE(15,6,(ROW(Zeiterfassung!$D$6:$D$3665)-ROW(Zeiterfassung!$D$6)+1)/(Zeiterfassung!$D$6:$D$3665&lt;&gt;""),1332),"")</f>
        <v/>
      </c>
    </row>
    <row r="1338" ht="20" customHeight="1">
      <c r="A1338" s="183">
        <f>IF($K1338="","",WEEKNUM(INDEX(Zeiterfassung!$K$6:$K$3665,$K1338),21))</f>
        <v/>
      </c>
      <c r="B1338" s="184">
        <f>IF($K1338="","",INDEX(Zeiterfassung!$K$6:$K$3665,$K1338))</f>
        <v/>
      </c>
      <c r="C1338" s="185">
        <f>IF($K1338="","",INDEX(Zeiterfassung!$K$6:$K$3665,$K1338))</f>
        <v/>
      </c>
      <c r="D1338" s="186">
        <f>IF($K1338="","",INDEX(Zeiterfassung!$D$6:$D$3665,$K1338))</f>
        <v/>
      </c>
      <c r="E1338" s="186">
        <f>IF($K1338="","",INDEX(Zeiterfassung!$E$6:$E$3665,$K1338))</f>
        <v/>
      </c>
      <c r="F1338" s="187">
        <f>IF($K1338="","",INDEX(Zeiterfassung!$F$6:$F$3665,$K1338))</f>
        <v/>
      </c>
      <c r="G1338" s="187">
        <f>IF($K1338="","",INDEX(Zeiterfassung!$G$6:$G$3665,$K1338))</f>
        <v/>
      </c>
      <c r="H1338" s="188">
        <f>IF($K1338="","",INDEX(Zeiterfassung!$H$6:$H$3665,$K1338))</f>
        <v/>
      </c>
      <c r="I1338" s="335">
        <f>IF(B1338=B1337,"",IF($K1338="","",INDEX(Zeiterfassung!$I$6:$I$3665,MATCH(INDEX(Zeiterfassung!$K$6:$K$3665,$K1338),Zeiterfassung!$K$6:$K$3665,0))))</f>
        <v/>
      </c>
      <c r="J1338" s="335">
        <f>IF(B1338=B1337,"",IF($K1338="","",INDEX(Zeiterfassung!$J$6:$J$3665,MATCH(INDEX(Zeiterfassung!$K$6:$K$3665,$K1338),Zeiterfassung!$K$6:$K$3665,0))))</f>
        <v/>
      </c>
      <c r="K1338">
        <f>IFERROR(AGGREGATE(15,6,(ROW(Zeiterfassung!$D$6:$D$3665)-ROW(Zeiterfassung!$D$6)+1)/(Zeiterfassung!$D$6:$D$3665&lt;&gt;""),1333),"")</f>
        <v/>
      </c>
    </row>
    <row r="1339" ht="20" customHeight="1">
      <c r="A1339" s="183">
        <f>IF($K1339="","",WEEKNUM(INDEX(Zeiterfassung!$K$6:$K$3665,$K1339),21))</f>
        <v/>
      </c>
      <c r="B1339" s="184">
        <f>IF($K1339="","",INDEX(Zeiterfassung!$K$6:$K$3665,$K1339))</f>
        <v/>
      </c>
      <c r="C1339" s="185">
        <f>IF($K1339="","",INDEX(Zeiterfassung!$K$6:$K$3665,$K1339))</f>
        <v/>
      </c>
      <c r="D1339" s="186">
        <f>IF($K1339="","",INDEX(Zeiterfassung!$D$6:$D$3665,$K1339))</f>
        <v/>
      </c>
      <c r="E1339" s="186">
        <f>IF($K1339="","",INDEX(Zeiterfassung!$E$6:$E$3665,$K1339))</f>
        <v/>
      </c>
      <c r="F1339" s="187">
        <f>IF($K1339="","",INDEX(Zeiterfassung!$F$6:$F$3665,$K1339))</f>
        <v/>
      </c>
      <c r="G1339" s="187">
        <f>IF($K1339="","",INDEX(Zeiterfassung!$G$6:$G$3665,$K1339))</f>
        <v/>
      </c>
      <c r="H1339" s="188">
        <f>IF($K1339="","",INDEX(Zeiterfassung!$H$6:$H$3665,$K1339))</f>
        <v/>
      </c>
      <c r="I1339" s="335">
        <f>IF(B1339=B1338,"",IF($K1339="","",INDEX(Zeiterfassung!$I$6:$I$3665,MATCH(INDEX(Zeiterfassung!$K$6:$K$3665,$K1339),Zeiterfassung!$K$6:$K$3665,0))))</f>
        <v/>
      </c>
      <c r="J1339" s="335">
        <f>IF(B1339=B1338,"",IF($K1339="","",INDEX(Zeiterfassung!$J$6:$J$3665,MATCH(INDEX(Zeiterfassung!$K$6:$K$3665,$K1339),Zeiterfassung!$K$6:$K$3665,0))))</f>
        <v/>
      </c>
      <c r="K1339">
        <f>IFERROR(AGGREGATE(15,6,(ROW(Zeiterfassung!$D$6:$D$3665)-ROW(Zeiterfassung!$D$6)+1)/(Zeiterfassung!$D$6:$D$3665&lt;&gt;""),1334),"")</f>
        <v/>
      </c>
    </row>
    <row r="1340" ht="20" customHeight="1">
      <c r="A1340" s="183">
        <f>IF($K1340="","",WEEKNUM(INDEX(Zeiterfassung!$K$6:$K$3665,$K1340),21))</f>
        <v/>
      </c>
      <c r="B1340" s="184">
        <f>IF($K1340="","",INDEX(Zeiterfassung!$K$6:$K$3665,$K1340))</f>
        <v/>
      </c>
      <c r="C1340" s="185">
        <f>IF($K1340="","",INDEX(Zeiterfassung!$K$6:$K$3665,$K1340))</f>
        <v/>
      </c>
      <c r="D1340" s="186">
        <f>IF($K1340="","",INDEX(Zeiterfassung!$D$6:$D$3665,$K1340))</f>
        <v/>
      </c>
      <c r="E1340" s="186">
        <f>IF($K1340="","",INDEX(Zeiterfassung!$E$6:$E$3665,$K1340))</f>
        <v/>
      </c>
      <c r="F1340" s="187">
        <f>IF($K1340="","",INDEX(Zeiterfassung!$F$6:$F$3665,$K1340))</f>
        <v/>
      </c>
      <c r="G1340" s="187">
        <f>IF($K1340="","",INDEX(Zeiterfassung!$G$6:$G$3665,$K1340))</f>
        <v/>
      </c>
      <c r="H1340" s="188">
        <f>IF($K1340="","",INDEX(Zeiterfassung!$H$6:$H$3665,$K1340))</f>
        <v/>
      </c>
      <c r="I1340" s="335">
        <f>IF(B1340=B1339,"",IF($K1340="","",INDEX(Zeiterfassung!$I$6:$I$3665,MATCH(INDEX(Zeiterfassung!$K$6:$K$3665,$K1340),Zeiterfassung!$K$6:$K$3665,0))))</f>
        <v/>
      </c>
      <c r="J1340" s="335">
        <f>IF(B1340=B1339,"",IF($K1340="","",INDEX(Zeiterfassung!$J$6:$J$3665,MATCH(INDEX(Zeiterfassung!$K$6:$K$3665,$K1340),Zeiterfassung!$K$6:$K$3665,0))))</f>
        <v/>
      </c>
      <c r="K1340">
        <f>IFERROR(AGGREGATE(15,6,(ROW(Zeiterfassung!$D$6:$D$3665)-ROW(Zeiterfassung!$D$6)+1)/(Zeiterfassung!$D$6:$D$3665&lt;&gt;""),1335),"")</f>
        <v/>
      </c>
    </row>
    <row r="1341" ht="20" customHeight="1">
      <c r="A1341" s="183">
        <f>IF($K1341="","",WEEKNUM(INDEX(Zeiterfassung!$K$6:$K$3665,$K1341),21))</f>
        <v/>
      </c>
      <c r="B1341" s="184">
        <f>IF($K1341="","",INDEX(Zeiterfassung!$K$6:$K$3665,$K1341))</f>
        <v/>
      </c>
      <c r="C1341" s="185">
        <f>IF($K1341="","",INDEX(Zeiterfassung!$K$6:$K$3665,$K1341))</f>
        <v/>
      </c>
      <c r="D1341" s="186">
        <f>IF($K1341="","",INDEX(Zeiterfassung!$D$6:$D$3665,$K1341))</f>
        <v/>
      </c>
      <c r="E1341" s="186">
        <f>IF($K1341="","",INDEX(Zeiterfassung!$E$6:$E$3665,$K1341))</f>
        <v/>
      </c>
      <c r="F1341" s="187">
        <f>IF($K1341="","",INDEX(Zeiterfassung!$F$6:$F$3665,$K1341))</f>
        <v/>
      </c>
      <c r="G1341" s="187">
        <f>IF($K1341="","",INDEX(Zeiterfassung!$G$6:$G$3665,$K1341))</f>
        <v/>
      </c>
      <c r="H1341" s="188">
        <f>IF($K1341="","",INDEX(Zeiterfassung!$H$6:$H$3665,$K1341))</f>
        <v/>
      </c>
      <c r="I1341" s="335">
        <f>IF(B1341=B1340,"",IF($K1341="","",INDEX(Zeiterfassung!$I$6:$I$3665,MATCH(INDEX(Zeiterfassung!$K$6:$K$3665,$K1341),Zeiterfassung!$K$6:$K$3665,0))))</f>
        <v/>
      </c>
      <c r="J1341" s="335">
        <f>IF(B1341=B1340,"",IF($K1341="","",INDEX(Zeiterfassung!$J$6:$J$3665,MATCH(INDEX(Zeiterfassung!$K$6:$K$3665,$K1341),Zeiterfassung!$K$6:$K$3665,0))))</f>
        <v/>
      </c>
      <c r="K1341">
        <f>IFERROR(AGGREGATE(15,6,(ROW(Zeiterfassung!$D$6:$D$3665)-ROW(Zeiterfassung!$D$6)+1)/(Zeiterfassung!$D$6:$D$3665&lt;&gt;""),1336),"")</f>
        <v/>
      </c>
    </row>
    <row r="1342" ht="20" customHeight="1">
      <c r="A1342" s="183">
        <f>IF($K1342="","",WEEKNUM(INDEX(Zeiterfassung!$K$6:$K$3665,$K1342),21))</f>
        <v/>
      </c>
      <c r="B1342" s="184">
        <f>IF($K1342="","",INDEX(Zeiterfassung!$K$6:$K$3665,$K1342))</f>
        <v/>
      </c>
      <c r="C1342" s="185">
        <f>IF($K1342="","",INDEX(Zeiterfassung!$K$6:$K$3665,$K1342))</f>
        <v/>
      </c>
      <c r="D1342" s="186">
        <f>IF($K1342="","",INDEX(Zeiterfassung!$D$6:$D$3665,$K1342))</f>
        <v/>
      </c>
      <c r="E1342" s="186">
        <f>IF($K1342="","",INDEX(Zeiterfassung!$E$6:$E$3665,$K1342))</f>
        <v/>
      </c>
      <c r="F1342" s="187">
        <f>IF($K1342="","",INDEX(Zeiterfassung!$F$6:$F$3665,$K1342))</f>
        <v/>
      </c>
      <c r="G1342" s="187">
        <f>IF($K1342="","",INDEX(Zeiterfassung!$G$6:$G$3665,$K1342))</f>
        <v/>
      </c>
      <c r="H1342" s="188">
        <f>IF($K1342="","",INDEX(Zeiterfassung!$H$6:$H$3665,$K1342))</f>
        <v/>
      </c>
      <c r="I1342" s="335">
        <f>IF(B1342=B1341,"",IF($K1342="","",INDEX(Zeiterfassung!$I$6:$I$3665,MATCH(INDEX(Zeiterfassung!$K$6:$K$3665,$K1342),Zeiterfassung!$K$6:$K$3665,0))))</f>
        <v/>
      </c>
      <c r="J1342" s="335">
        <f>IF(B1342=B1341,"",IF($K1342="","",INDEX(Zeiterfassung!$J$6:$J$3665,MATCH(INDEX(Zeiterfassung!$K$6:$K$3665,$K1342),Zeiterfassung!$K$6:$K$3665,0))))</f>
        <v/>
      </c>
      <c r="K1342">
        <f>IFERROR(AGGREGATE(15,6,(ROW(Zeiterfassung!$D$6:$D$3665)-ROW(Zeiterfassung!$D$6)+1)/(Zeiterfassung!$D$6:$D$3665&lt;&gt;""),1337),"")</f>
        <v/>
      </c>
    </row>
    <row r="1343" ht="20" customHeight="1">
      <c r="A1343" s="183">
        <f>IF($K1343="","",WEEKNUM(INDEX(Zeiterfassung!$K$6:$K$3665,$K1343),21))</f>
        <v/>
      </c>
      <c r="B1343" s="184">
        <f>IF($K1343="","",INDEX(Zeiterfassung!$K$6:$K$3665,$K1343))</f>
        <v/>
      </c>
      <c r="C1343" s="185">
        <f>IF($K1343="","",INDEX(Zeiterfassung!$K$6:$K$3665,$K1343))</f>
        <v/>
      </c>
      <c r="D1343" s="186">
        <f>IF($K1343="","",INDEX(Zeiterfassung!$D$6:$D$3665,$K1343))</f>
        <v/>
      </c>
      <c r="E1343" s="186">
        <f>IF($K1343="","",INDEX(Zeiterfassung!$E$6:$E$3665,$K1343))</f>
        <v/>
      </c>
      <c r="F1343" s="187">
        <f>IF($K1343="","",INDEX(Zeiterfassung!$F$6:$F$3665,$K1343))</f>
        <v/>
      </c>
      <c r="G1343" s="187">
        <f>IF($K1343="","",INDEX(Zeiterfassung!$G$6:$G$3665,$K1343))</f>
        <v/>
      </c>
      <c r="H1343" s="188">
        <f>IF($K1343="","",INDEX(Zeiterfassung!$H$6:$H$3665,$K1343))</f>
        <v/>
      </c>
      <c r="I1343" s="335">
        <f>IF(B1343=B1342,"",IF($K1343="","",INDEX(Zeiterfassung!$I$6:$I$3665,MATCH(INDEX(Zeiterfassung!$K$6:$K$3665,$K1343),Zeiterfassung!$K$6:$K$3665,0))))</f>
        <v/>
      </c>
      <c r="J1343" s="335">
        <f>IF(B1343=B1342,"",IF($K1343="","",INDEX(Zeiterfassung!$J$6:$J$3665,MATCH(INDEX(Zeiterfassung!$K$6:$K$3665,$K1343),Zeiterfassung!$K$6:$K$3665,0))))</f>
        <v/>
      </c>
      <c r="K1343">
        <f>IFERROR(AGGREGATE(15,6,(ROW(Zeiterfassung!$D$6:$D$3665)-ROW(Zeiterfassung!$D$6)+1)/(Zeiterfassung!$D$6:$D$3665&lt;&gt;""),1338),"")</f>
        <v/>
      </c>
    </row>
    <row r="1344" ht="20" customHeight="1">
      <c r="A1344" s="183">
        <f>IF($K1344="","",WEEKNUM(INDEX(Zeiterfassung!$K$6:$K$3665,$K1344),21))</f>
        <v/>
      </c>
      <c r="B1344" s="184">
        <f>IF($K1344="","",INDEX(Zeiterfassung!$K$6:$K$3665,$K1344))</f>
        <v/>
      </c>
      <c r="C1344" s="185">
        <f>IF($K1344="","",INDEX(Zeiterfassung!$K$6:$K$3665,$K1344))</f>
        <v/>
      </c>
      <c r="D1344" s="186">
        <f>IF($K1344="","",INDEX(Zeiterfassung!$D$6:$D$3665,$K1344))</f>
        <v/>
      </c>
      <c r="E1344" s="186">
        <f>IF($K1344="","",INDEX(Zeiterfassung!$E$6:$E$3665,$K1344))</f>
        <v/>
      </c>
      <c r="F1344" s="187">
        <f>IF($K1344="","",INDEX(Zeiterfassung!$F$6:$F$3665,$K1344))</f>
        <v/>
      </c>
      <c r="G1344" s="187">
        <f>IF($K1344="","",INDEX(Zeiterfassung!$G$6:$G$3665,$K1344))</f>
        <v/>
      </c>
      <c r="H1344" s="188">
        <f>IF($K1344="","",INDEX(Zeiterfassung!$H$6:$H$3665,$K1344))</f>
        <v/>
      </c>
      <c r="I1344" s="335">
        <f>IF(B1344=B1343,"",IF($K1344="","",INDEX(Zeiterfassung!$I$6:$I$3665,MATCH(INDEX(Zeiterfassung!$K$6:$K$3665,$K1344),Zeiterfassung!$K$6:$K$3665,0))))</f>
        <v/>
      </c>
      <c r="J1344" s="335">
        <f>IF(B1344=B1343,"",IF($K1344="","",INDEX(Zeiterfassung!$J$6:$J$3665,MATCH(INDEX(Zeiterfassung!$K$6:$K$3665,$K1344),Zeiterfassung!$K$6:$K$3665,0))))</f>
        <v/>
      </c>
      <c r="K1344">
        <f>IFERROR(AGGREGATE(15,6,(ROW(Zeiterfassung!$D$6:$D$3665)-ROW(Zeiterfassung!$D$6)+1)/(Zeiterfassung!$D$6:$D$3665&lt;&gt;""),1339),"")</f>
        <v/>
      </c>
    </row>
    <row r="1345" ht="20" customHeight="1">
      <c r="A1345" s="183">
        <f>IF($K1345="","",WEEKNUM(INDEX(Zeiterfassung!$K$6:$K$3665,$K1345),21))</f>
        <v/>
      </c>
      <c r="B1345" s="184">
        <f>IF($K1345="","",INDEX(Zeiterfassung!$K$6:$K$3665,$K1345))</f>
        <v/>
      </c>
      <c r="C1345" s="185">
        <f>IF($K1345="","",INDEX(Zeiterfassung!$K$6:$K$3665,$K1345))</f>
        <v/>
      </c>
      <c r="D1345" s="186">
        <f>IF($K1345="","",INDEX(Zeiterfassung!$D$6:$D$3665,$K1345))</f>
        <v/>
      </c>
      <c r="E1345" s="186">
        <f>IF($K1345="","",INDEX(Zeiterfassung!$E$6:$E$3665,$K1345))</f>
        <v/>
      </c>
      <c r="F1345" s="187">
        <f>IF($K1345="","",INDEX(Zeiterfassung!$F$6:$F$3665,$K1345))</f>
        <v/>
      </c>
      <c r="G1345" s="187">
        <f>IF($K1345="","",INDEX(Zeiterfassung!$G$6:$G$3665,$K1345))</f>
        <v/>
      </c>
      <c r="H1345" s="188">
        <f>IF($K1345="","",INDEX(Zeiterfassung!$H$6:$H$3665,$K1345))</f>
        <v/>
      </c>
      <c r="I1345" s="335">
        <f>IF(B1345=B1344,"",IF($K1345="","",INDEX(Zeiterfassung!$I$6:$I$3665,MATCH(INDEX(Zeiterfassung!$K$6:$K$3665,$K1345),Zeiterfassung!$K$6:$K$3665,0))))</f>
        <v/>
      </c>
      <c r="J1345" s="335">
        <f>IF(B1345=B1344,"",IF($K1345="","",INDEX(Zeiterfassung!$J$6:$J$3665,MATCH(INDEX(Zeiterfassung!$K$6:$K$3665,$K1345),Zeiterfassung!$K$6:$K$3665,0))))</f>
        <v/>
      </c>
      <c r="K1345">
        <f>IFERROR(AGGREGATE(15,6,(ROW(Zeiterfassung!$D$6:$D$3665)-ROW(Zeiterfassung!$D$6)+1)/(Zeiterfassung!$D$6:$D$3665&lt;&gt;""),1340),"")</f>
        <v/>
      </c>
    </row>
    <row r="1346" ht="20" customHeight="1">
      <c r="A1346" s="183">
        <f>IF($K1346="","",WEEKNUM(INDEX(Zeiterfassung!$K$6:$K$3665,$K1346),21))</f>
        <v/>
      </c>
      <c r="B1346" s="184">
        <f>IF($K1346="","",INDEX(Zeiterfassung!$K$6:$K$3665,$K1346))</f>
        <v/>
      </c>
      <c r="C1346" s="185">
        <f>IF($K1346="","",INDEX(Zeiterfassung!$K$6:$K$3665,$K1346))</f>
        <v/>
      </c>
      <c r="D1346" s="186">
        <f>IF($K1346="","",INDEX(Zeiterfassung!$D$6:$D$3665,$K1346))</f>
        <v/>
      </c>
      <c r="E1346" s="186">
        <f>IF($K1346="","",INDEX(Zeiterfassung!$E$6:$E$3665,$K1346))</f>
        <v/>
      </c>
      <c r="F1346" s="187">
        <f>IF($K1346="","",INDEX(Zeiterfassung!$F$6:$F$3665,$K1346))</f>
        <v/>
      </c>
      <c r="G1346" s="187">
        <f>IF($K1346="","",INDEX(Zeiterfassung!$G$6:$G$3665,$K1346))</f>
        <v/>
      </c>
      <c r="H1346" s="188">
        <f>IF($K1346="","",INDEX(Zeiterfassung!$H$6:$H$3665,$K1346))</f>
        <v/>
      </c>
      <c r="I1346" s="335">
        <f>IF(B1346=B1345,"",IF($K1346="","",INDEX(Zeiterfassung!$I$6:$I$3665,MATCH(INDEX(Zeiterfassung!$K$6:$K$3665,$K1346),Zeiterfassung!$K$6:$K$3665,0))))</f>
        <v/>
      </c>
      <c r="J1346" s="335">
        <f>IF(B1346=B1345,"",IF($K1346="","",INDEX(Zeiterfassung!$J$6:$J$3665,MATCH(INDEX(Zeiterfassung!$K$6:$K$3665,$K1346),Zeiterfassung!$K$6:$K$3665,0))))</f>
        <v/>
      </c>
      <c r="K1346">
        <f>IFERROR(AGGREGATE(15,6,(ROW(Zeiterfassung!$D$6:$D$3665)-ROW(Zeiterfassung!$D$6)+1)/(Zeiterfassung!$D$6:$D$3665&lt;&gt;""),1341),"")</f>
        <v/>
      </c>
    </row>
    <row r="1347" ht="20" customHeight="1">
      <c r="A1347" s="183">
        <f>IF($K1347="","",WEEKNUM(INDEX(Zeiterfassung!$K$6:$K$3665,$K1347),21))</f>
        <v/>
      </c>
      <c r="B1347" s="184">
        <f>IF($K1347="","",INDEX(Zeiterfassung!$K$6:$K$3665,$K1347))</f>
        <v/>
      </c>
      <c r="C1347" s="185">
        <f>IF($K1347="","",INDEX(Zeiterfassung!$K$6:$K$3665,$K1347))</f>
        <v/>
      </c>
      <c r="D1347" s="186">
        <f>IF($K1347="","",INDEX(Zeiterfassung!$D$6:$D$3665,$K1347))</f>
        <v/>
      </c>
      <c r="E1347" s="186">
        <f>IF($K1347="","",INDEX(Zeiterfassung!$E$6:$E$3665,$K1347))</f>
        <v/>
      </c>
      <c r="F1347" s="187">
        <f>IF($K1347="","",INDEX(Zeiterfassung!$F$6:$F$3665,$K1347))</f>
        <v/>
      </c>
      <c r="G1347" s="187">
        <f>IF($K1347="","",INDEX(Zeiterfassung!$G$6:$G$3665,$K1347))</f>
        <v/>
      </c>
      <c r="H1347" s="188">
        <f>IF($K1347="","",INDEX(Zeiterfassung!$H$6:$H$3665,$K1347))</f>
        <v/>
      </c>
      <c r="I1347" s="335">
        <f>IF(B1347=B1346,"",IF($K1347="","",INDEX(Zeiterfassung!$I$6:$I$3665,MATCH(INDEX(Zeiterfassung!$K$6:$K$3665,$K1347),Zeiterfassung!$K$6:$K$3665,0))))</f>
        <v/>
      </c>
      <c r="J1347" s="335">
        <f>IF(B1347=B1346,"",IF($K1347="","",INDEX(Zeiterfassung!$J$6:$J$3665,MATCH(INDEX(Zeiterfassung!$K$6:$K$3665,$K1347),Zeiterfassung!$K$6:$K$3665,0))))</f>
        <v/>
      </c>
      <c r="K1347">
        <f>IFERROR(AGGREGATE(15,6,(ROW(Zeiterfassung!$D$6:$D$3665)-ROW(Zeiterfassung!$D$6)+1)/(Zeiterfassung!$D$6:$D$3665&lt;&gt;""),1342),"")</f>
        <v/>
      </c>
    </row>
    <row r="1348" ht="20" customHeight="1">
      <c r="A1348" s="183">
        <f>IF($K1348="","",WEEKNUM(INDEX(Zeiterfassung!$K$6:$K$3665,$K1348),21))</f>
        <v/>
      </c>
      <c r="B1348" s="184">
        <f>IF($K1348="","",INDEX(Zeiterfassung!$K$6:$K$3665,$K1348))</f>
        <v/>
      </c>
      <c r="C1348" s="185">
        <f>IF($K1348="","",INDEX(Zeiterfassung!$K$6:$K$3665,$K1348))</f>
        <v/>
      </c>
      <c r="D1348" s="186">
        <f>IF($K1348="","",INDEX(Zeiterfassung!$D$6:$D$3665,$K1348))</f>
        <v/>
      </c>
      <c r="E1348" s="186">
        <f>IF($K1348="","",INDEX(Zeiterfassung!$E$6:$E$3665,$K1348))</f>
        <v/>
      </c>
      <c r="F1348" s="187">
        <f>IF($K1348="","",INDEX(Zeiterfassung!$F$6:$F$3665,$K1348))</f>
        <v/>
      </c>
      <c r="G1348" s="187">
        <f>IF($K1348="","",INDEX(Zeiterfassung!$G$6:$G$3665,$K1348))</f>
        <v/>
      </c>
      <c r="H1348" s="188">
        <f>IF($K1348="","",INDEX(Zeiterfassung!$H$6:$H$3665,$K1348))</f>
        <v/>
      </c>
      <c r="I1348" s="335">
        <f>IF(B1348=B1347,"",IF($K1348="","",INDEX(Zeiterfassung!$I$6:$I$3665,MATCH(INDEX(Zeiterfassung!$K$6:$K$3665,$K1348),Zeiterfassung!$K$6:$K$3665,0))))</f>
        <v/>
      </c>
      <c r="J1348" s="335">
        <f>IF(B1348=B1347,"",IF($K1348="","",INDEX(Zeiterfassung!$J$6:$J$3665,MATCH(INDEX(Zeiterfassung!$K$6:$K$3665,$K1348),Zeiterfassung!$K$6:$K$3665,0))))</f>
        <v/>
      </c>
      <c r="K1348">
        <f>IFERROR(AGGREGATE(15,6,(ROW(Zeiterfassung!$D$6:$D$3665)-ROW(Zeiterfassung!$D$6)+1)/(Zeiterfassung!$D$6:$D$3665&lt;&gt;""),1343),"")</f>
        <v/>
      </c>
    </row>
    <row r="1349" ht="20" customHeight="1">
      <c r="A1349" s="183">
        <f>IF($K1349="","",WEEKNUM(INDEX(Zeiterfassung!$K$6:$K$3665,$K1349),21))</f>
        <v/>
      </c>
      <c r="B1349" s="184">
        <f>IF($K1349="","",INDEX(Zeiterfassung!$K$6:$K$3665,$K1349))</f>
        <v/>
      </c>
      <c r="C1349" s="185">
        <f>IF($K1349="","",INDEX(Zeiterfassung!$K$6:$K$3665,$K1349))</f>
        <v/>
      </c>
      <c r="D1349" s="186">
        <f>IF($K1349="","",INDEX(Zeiterfassung!$D$6:$D$3665,$K1349))</f>
        <v/>
      </c>
      <c r="E1349" s="186">
        <f>IF($K1349="","",INDEX(Zeiterfassung!$E$6:$E$3665,$K1349))</f>
        <v/>
      </c>
      <c r="F1349" s="187">
        <f>IF($K1349="","",INDEX(Zeiterfassung!$F$6:$F$3665,$K1349))</f>
        <v/>
      </c>
      <c r="G1349" s="187">
        <f>IF($K1349="","",INDEX(Zeiterfassung!$G$6:$G$3665,$K1349))</f>
        <v/>
      </c>
      <c r="H1349" s="188">
        <f>IF($K1349="","",INDEX(Zeiterfassung!$H$6:$H$3665,$K1349))</f>
        <v/>
      </c>
      <c r="I1349" s="335">
        <f>IF(B1349=B1348,"",IF($K1349="","",INDEX(Zeiterfassung!$I$6:$I$3665,MATCH(INDEX(Zeiterfassung!$K$6:$K$3665,$K1349),Zeiterfassung!$K$6:$K$3665,0))))</f>
        <v/>
      </c>
      <c r="J1349" s="335">
        <f>IF(B1349=B1348,"",IF($K1349="","",INDEX(Zeiterfassung!$J$6:$J$3665,MATCH(INDEX(Zeiterfassung!$K$6:$K$3665,$K1349),Zeiterfassung!$K$6:$K$3665,0))))</f>
        <v/>
      </c>
      <c r="K1349">
        <f>IFERROR(AGGREGATE(15,6,(ROW(Zeiterfassung!$D$6:$D$3665)-ROW(Zeiterfassung!$D$6)+1)/(Zeiterfassung!$D$6:$D$3665&lt;&gt;""),1344),"")</f>
        <v/>
      </c>
    </row>
    <row r="1350" ht="20" customHeight="1">
      <c r="A1350" s="183">
        <f>IF($K1350="","",WEEKNUM(INDEX(Zeiterfassung!$K$6:$K$3665,$K1350),21))</f>
        <v/>
      </c>
      <c r="B1350" s="184">
        <f>IF($K1350="","",INDEX(Zeiterfassung!$K$6:$K$3665,$K1350))</f>
        <v/>
      </c>
      <c r="C1350" s="185">
        <f>IF($K1350="","",INDEX(Zeiterfassung!$K$6:$K$3665,$K1350))</f>
        <v/>
      </c>
      <c r="D1350" s="186">
        <f>IF($K1350="","",INDEX(Zeiterfassung!$D$6:$D$3665,$K1350))</f>
        <v/>
      </c>
      <c r="E1350" s="186">
        <f>IF($K1350="","",INDEX(Zeiterfassung!$E$6:$E$3665,$K1350))</f>
        <v/>
      </c>
      <c r="F1350" s="187">
        <f>IF($K1350="","",INDEX(Zeiterfassung!$F$6:$F$3665,$K1350))</f>
        <v/>
      </c>
      <c r="G1350" s="187">
        <f>IF($K1350="","",INDEX(Zeiterfassung!$G$6:$G$3665,$K1350))</f>
        <v/>
      </c>
      <c r="H1350" s="188">
        <f>IF($K1350="","",INDEX(Zeiterfassung!$H$6:$H$3665,$K1350))</f>
        <v/>
      </c>
      <c r="I1350" s="335">
        <f>IF(B1350=B1349,"",IF($K1350="","",INDEX(Zeiterfassung!$I$6:$I$3665,MATCH(INDEX(Zeiterfassung!$K$6:$K$3665,$K1350),Zeiterfassung!$K$6:$K$3665,0))))</f>
        <v/>
      </c>
      <c r="J1350" s="335">
        <f>IF(B1350=B1349,"",IF($K1350="","",INDEX(Zeiterfassung!$J$6:$J$3665,MATCH(INDEX(Zeiterfassung!$K$6:$K$3665,$K1350),Zeiterfassung!$K$6:$K$3665,0))))</f>
        <v/>
      </c>
      <c r="K1350">
        <f>IFERROR(AGGREGATE(15,6,(ROW(Zeiterfassung!$D$6:$D$3665)-ROW(Zeiterfassung!$D$6)+1)/(Zeiterfassung!$D$6:$D$3665&lt;&gt;""),1345),"")</f>
        <v/>
      </c>
    </row>
    <row r="1351" ht="20" customHeight="1">
      <c r="A1351" s="183">
        <f>IF($K1351="","",WEEKNUM(INDEX(Zeiterfassung!$K$6:$K$3665,$K1351),21))</f>
        <v/>
      </c>
      <c r="B1351" s="184">
        <f>IF($K1351="","",INDEX(Zeiterfassung!$K$6:$K$3665,$K1351))</f>
        <v/>
      </c>
      <c r="C1351" s="185">
        <f>IF($K1351="","",INDEX(Zeiterfassung!$K$6:$K$3665,$K1351))</f>
        <v/>
      </c>
      <c r="D1351" s="186">
        <f>IF($K1351="","",INDEX(Zeiterfassung!$D$6:$D$3665,$K1351))</f>
        <v/>
      </c>
      <c r="E1351" s="186">
        <f>IF($K1351="","",INDEX(Zeiterfassung!$E$6:$E$3665,$K1351))</f>
        <v/>
      </c>
      <c r="F1351" s="187">
        <f>IF($K1351="","",INDEX(Zeiterfassung!$F$6:$F$3665,$K1351))</f>
        <v/>
      </c>
      <c r="G1351" s="187">
        <f>IF($K1351="","",INDEX(Zeiterfassung!$G$6:$G$3665,$K1351))</f>
        <v/>
      </c>
      <c r="H1351" s="188">
        <f>IF($K1351="","",INDEX(Zeiterfassung!$H$6:$H$3665,$K1351))</f>
        <v/>
      </c>
      <c r="I1351" s="335">
        <f>IF(B1351=B1350,"",IF($K1351="","",INDEX(Zeiterfassung!$I$6:$I$3665,MATCH(INDEX(Zeiterfassung!$K$6:$K$3665,$K1351),Zeiterfassung!$K$6:$K$3665,0))))</f>
        <v/>
      </c>
      <c r="J1351" s="335">
        <f>IF(B1351=B1350,"",IF($K1351="","",INDEX(Zeiterfassung!$J$6:$J$3665,MATCH(INDEX(Zeiterfassung!$K$6:$K$3665,$K1351),Zeiterfassung!$K$6:$K$3665,0))))</f>
        <v/>
      </c>
      <c r="K1351">
        <f>IFERROR(AGGREGATE(15,6,(ROW(Zeiterfassung!$D$6:$D$3665)-ROW(Zeiterfassung!$D$6)+1)/(Zeiterfassung!$D$6:$D$3665&lt;&gt;""),1346),"")</f>
        <v/>
      </c>
    </row>
    <row r="1352" ht="20" customHeight="1">
      <c r="A1352" s="183">
        <f>IF($K1352="","",WEEKNUM(INDEX(Zeiterfassung!$K$6:$K$3665,$K1352),21))</f>
        <v/>
      </c>
      <c r="B1352" s="184">
        <f>IF($K1352="","",INDEX(Zeiterfassung!$K$6:$K$3665,$K1352))</f>
        <v/>
      </c>
      <c r="C1352" s="185">
        <f>IF($K1352="","",INDEX(Zeiterfassung!$K$6:$K$3665,$K1352))</f>
        <v/>
      </c>
      <c r="D1352" s="186">
        <f>IF($K1352="","",INDEX(Zeiterfassung!$D$6:$D$3665,$K1352))</f>
        <v/>
      </c>
      <c r="E1352" s="186">
        <f>IF($K1352="","",INDEX(Zeiterfassung!$E$6:$E$3665,$K1352))</f>
        <v/>
      </c>
      <c r="F1352" s="187">
        <f>IF($K1352="","",INDEX(Zeiterfassung!$F$6:$F$3665,$K1352))</f>
        <v/>
      </c>
      <c r="G1352" s="187">
        <f>IF($K1352="","",INDEX(Zeiterfassung!$G$6:$G$3665,$K1352))</f>
        <v/>
      </c>
      <c r="H1352" s="188">
        <f>IF($K1352="","",INDEX(Zeiterfassung!$H$6:$H$3665,$K1352))</f>
        <v/>
      </c>
      <c r="I1352" s="335">
        <f>IF(B1352=B1351,"",IF($K1352="","",INDEX(Zeiterfassung!$I$6:$I$3665,MATCH(INDEX(Zeiterfassung!$K$6:$K$3665,$K1352),Zeiterfassung!$K$6:$K$3665,0))))</f>
        <v/>
      </c>
      <c r="J1352" s="335">
        <f>IF(B1352=B1351,"",IF($K1352="","",INDEX(Zeiterfassung!$J$6:$J$3665,MATCH(INDEX(Zeiterfassung!$K$6:$K$3665,$K1352),Zeiterfassung!$K$6:$K$3665,0))))</f>
        <v/>
      </c>
      <c r="K1352">
        <f>IFERROR(AGGREGATE(15,6,(ROW(Zeiterfassung!$D$6:$D$3665)-ROW(Zeiterfassung!$D$6)+1)/(Zeiterfassung!$D$6:$D$3665&lt;&gt;""),1347),"")</f>
        <v/>
      </c>
    </row>
    <row r="1353" ht="20" customHeight="1">
      <c r="A1353" s="183">
        <f>IF($K1353="","",WEEKNUM(INDEX(Zeiterfassung!$K$6:$K$3665,$K1353),21))</f>
        <v/>
      </c>
      <c r="B1353" s="184">
        <f>IF($K1353="","",INDEX(Zeiterfassung!$K$6:$K$3665,$K1353))</f>
        <v/>
      </c>
      <c r="C1353" s="185">
        <f>IF($K1353="","",INDEX(Zeiterfassung!$K$6:$K$3665,$K1353))</f>
        <v/>
      </c>
      <c r="D1353" s="186">
        <f>IF($K1353="","",INDEX(Zeiterfassung!$D$6:$D$3665,$K1353))</f>
        <v/>
      </c>
      <c r="E1353" s="186">
        <f>IF($K1353="","",INDEX(Zeiterfassung!$E$6:$E$3665,$K1353))</f>
        <v/>
      </c>
      <c r="F1353" s="187">
        <f>IF($K1353="","",INDEX(Zeiterfassung!$F$6:$F$3665,$K1353))</f>
        <v/>
      </c>
      <c r="G1353" s="187">
        <f>IF($K1353="","",INDEX(Zeiterfassung!$G$6:$G$3665,$K1353))</f>
        <v/>
      </c>
      <c r="H1353" s="188">
        <f>IF($K1353="","",INDEX(Zeiterfassung!$H$6:$H$3665,$K1353))</f>
        <v/>
      </c>
      <c r="I1353" s="335">
        <f>IF(B1353=B1352,"",IF($K1353="","",INDEX(Zeiterfassung!$I$6:$I$3665,MATCH(INDEX(Zeiterfassung!$K$6:$K$3665,$K1353),Zeiterfassung!$K$6:$K$3665,0))))</f>
        <v/>
      </c>
      <c r="J1353" s="335">
        <f>IF(B1353=B1352,"",IF($K1353="","",INDEX(Zeiterfassung!$J$6:$J$3665,MATCH(INDEX(Zeiterfassung!$K$6:$K$3665,$K1353),Zeiterfassung!$K$6:$K$3665,0))))</f>
        <v/>
      </c>
      <c r="K1353">
        <f>IFERROR(AGGREGATE(15,6,(ROW(Zeiterfassung!$D$6:$D$3665)-ROW(Zeiterfassung!$D$6)+1)/(Zeiterfassung!$D$6:$D$3665&lt;&gt;""),1348),"")</f>
        <v/>
      </c>
    </row>
    <row r="1354" ht="20" customHeight="1">
      <c r="A1354" s="183">
        <f>IF($K1354="","",WEEKNUM(INDEX(Zeiterfassung!$K$6:$K$3665,$K1354),21))</f>
        <v/>
      </c>
      <c r="B1354" s="184">
        <f>IF($K1354="","",INDEX(Zeiterfassung!$K$6:$K$3665,$K1354))</f>
        <v/>
      </c>
      <c r="C1354" s="185">
        <f>IF($K1354="","",INDEX(Zeiterfassung!$K$6:$K$3665,$K1354))</f>
        <v/>
      </c>
      <c r="D1354" s="186">
        <f>IF($K1354="","",INDEX(Zeiterfassung!$D$6:$D$3665,$K1354))</f>
        <v/>
      </c>
      <c r="E1354" s="186">
        <f>IF($K1354="","",INDEX(Zeiterfassung!$E$6:$E$3665,$K1354))</f>
        <v/>
      </c>
      <c r="F1354" s="187">
        <f>IF($K1354="","",INDEX(Zeiterfassung!$F$6:$F$3665,$K1354))</f>
        <v/>
      </c>
      <c r="G1354" s="187">
        <f>IF($K1354="","",INDEX(Zeiterfassung!$G$6:$G$3665,$K1354))</f>
        <v/>
      </c>
      <c r="H1354" s="188">
        <f>IF($K1354="","",INDEX(Zeiterfassung!$H$6:$H$3665,$K1354))</f>
        <v/>
      </c>
      <c r="I1354" s="335">
        <f>IF(B1354=B1353,"",IF($K1354="","",INDEX(Zeiterfassung!$I$6:$I$3665,MATCH(INDEX(Zeiterfassung!$K$6:$K$3665,$K1354),Zeiterfassung!$K$6:$K$3665,0))))</f>
        <v/>
      </c>
      <c r="J1354" s="335">
        <f>IF(B1354=B1353,"",IF($K1354="","",INDEX(Zeiterfassung!$J$6:$J$3665,MATCH(INDEX(Zeiterfassung!$K$6:$K$3665,$K1354),Zeiterfassung!$K$6:$K$3665,0))))</f>
        <v/>
      </c>
      <c r="K1354">
        <f>IFERROR(AGGREGATE(15,6,(ROW(Zeiterfassung!$D$6:$D$3665)-ROW(Zeiterfassung!$D$6)+1)/(Zeiterfassung!$D$6:$D$3665&lt;&gt;""),1349),"")</f>
        <v/>
      </c>
    </row>
    <row r="1355" ht="20" customHeight="1">
      <c r="A1355" s="183">
        <f>IF($K1355="","",WEEKNUM(INDEX(Zeiterfassung!$K$6:$K$3665,$K1355),21))</f>
        <v/>
      </c>
      <c r="B1355" s="184">
        <f>IF($K1355="","",INDEX(Zeiterfassung!$K$6:$K$3665,$K1355))</f>
        <v/>
      </c>
      <c r="C1355" s="185">
        <f>IF($K1355="","",INDEX(Zeiterfassung!$K$6:$K$3665,$K1355))</f>
        <v/>
      </c>
      <c r="D1355" s="186">
        <f>IF($K1355="","",INDEX(Zeiterfassung!$D$6:$D$3665,$K1355))</f>
        <v/>
      </c>
      <c r="E1355" s="186">
        <f>IF($K1355="","",INDEX(Zeiterfassung!$E$6:$E$3665,$K1355))</f>
        <v/>
      </c>
      <c r="F1355" s="187">
        <f>IF($K1355="","",INDEX(Zeiterfassung!$F$6:$F$3665,$K1355))</f>
        <v/>
      </c>
      <c r="G1355" s="187">
        <f>IF($K1355="","",INDEX(Zeiterfassung!$G$6:$G$3665,$K1355))</f>
        <v/>
      </c>
      <c r="H1355" s="188">
        <f>IF($K1355="","",INDEX(Zeiterfassung!$H$6:$H$3665,$K1355))</f>
        <v/>
      </c>
      <c r="I1355" s="335">
        <f>IF(B1355=B1354,"",IF($K1355="","",INDEX(Zeiterfassung!$I$6:$I$3665,MATCH(INDEX(Zeiterfassung!$K$6:$K$3665,$K1355),Zeiterfassung!$K$6:$K$3665,0))))</f>
        <v/>
      </c>
      <c r="J1355" s="335">
        <f>IF(B1355=B1354,"",IF($K1355="","",INDEX(Zeiterfassung!$J$6:$J$3665,MATCH(INDEX(Zeiterfassung!$K$6:$K$3665,$K1355),Zeiterfassung!$K$6:$K$3665,0))))</f>
        <v/>
      </c>
      <c r="K1355">
        <f>IFERROR(AGGREGATE(15,6,(ROW(Zeiterfassung!$D$6:$D$3665)-ROW(Zeiterfassung!$D$6)+1)/(Zeiterfassung!$D$6:$D$3665&lt;&gt;""),1350),"")</f>
        <v/>
      </c>
    </row>
    <row r="1356" ht="20" customHeight="1">
      <c r="A1356" s="183">
        <f>IF($K1356="","",WEEKNUM(INDEX(Zeiterfassung!$K$6:$K$3665,$K1356),21))</f>
        <v/>
      </c>
      <c r="B1356" s="184">
        <f>IF($K1356="","",INDEX(Zeiterfassung!$K$6:$K$3665,$K1356))</f>
        <v/>
      </c>
      <c r="C1356" s="185">
        <f>IF($K1356="","",INDEX(Zeiterfassung!$K$6:$K$3665,$K1356))</f>
        <v/>
      </c>
      <c r="D1356" s="186">
        <f>IF($K1356="","",INDEX(Zeiterfassung!$D$6:$D$3665,$K1356))</f>
        <v/>
      </c>
      <c r="E1356" s="186">
        <f>IF($K1356="","",INDEX(Zeiterfassung!$E$6:$E$3665,$K1356))</f>
        <v/>
      </c>
      <c r="F1356" s="187">
        <f>IF($K1356="","",INDEX(Zeiterfassung!$F$6:$F$3665,$K1356))</f>
        <v/>
      </c>
      <c r="G1356" s="187">
        <f>IF($K1356="","",INDEX(Zeiterfassung!$G$6:$G$3665,$K1356))</f>
        <v/>
      </c>
      <c r="H1356" s="188">
        <f>IF($K1356="","",INDEX(Zeiterfassung!$H$6:$H$3665,$K1356))</f>
        <v/>
      </c>
      <c r="I1356" s="335">
        <f>IF(B1356=B1355,"",IF($K1356="","",INDEX(Zeiterfassung!$I$6:$I$3665,MATCH(INDEX(Zeiterfassung!$K$6:$K$3665,$K1356),Zeiterfassung!$K$6:$K$3665,0))))</f>
        <v/>
      </c>
      <c r="J1356" s="335">
        <f>IF(B1356=B1355,"",IF($K1356="","",INDEX(Zeiterfassung!$J$6:$J$3665,MATCH(INDEX(Zeiterfassung!$K$6:$K$3665,$K1356),Zeiterfassung!$K$6:$K$3665,0))))</f>
        <v/>
      </c>
      <c r="K1356">
        <f>IFERROR(AGGREGATE(15,6,(ROW(Zeiterfassung!$D$6:$D$3665)-ROW(Zeiterfassung!$D$6)+1)/(Zeiterfassung!$D$6:$D$3665&lt;&gt;""),1351),"")</f>
        <v/>
      </c>
    </row>
    <row r="1357" ht="20" customHeight="1">
      <c r="A1357" s="183">
        <f>IF($K1357="","",WEEKNUM(INDEX(Zeiterfassung!$K$6:$K$3665,$K1357),21))</f>
        <v/>
      </c>
      <c r="B1357" s="184">
        <f>IF($K1357="","",INDEX(Zeiterfassung!$K$6:$K$3665,$K1357))</f>
        <v/>
      </c>
      <c r="C1357" s="185">
        <f>IF($K1357="","",INDEX(Zeiterfassung!$K$6:$K$3665,$K1357))</f>
        <v/>
      </c>
      <c r="D1357" s="186">
        <f>IF($K1357="","",INDEX(Zeiterfassung!$D$6:$D$3665,$K1357))</f>
        <v/>
      </c>
      <c r="E1357" s="186">
        <f>IF($K1357="","",INDEX(Zeiterfassung!$E$6:$E$3665,$K1357))</f>
        <v/>
      </c>
      <c r="F1357" s="187">
        <f>IF($K1357="","",INDEX(Zeiterfassung!$F$6:$F$3665,$K1357))</f>
        <v/>
      </c>
      <c r="G1357" s="187">
        <f>IF($K1357="","",INDEX(Zeiterfassung!$G$6:$G$3665,$K1357))</f>
        <v/>
      </c>
      <c r="H1357" s="188">
        <f>IF($K1357="","",INDEX(Zeiterfassung!$H$6:$H$3665,$K1357))</f>
        <v/>
      </c>
      <c r="I1357" s="335">
        <f>IF(B1357=B1356,"",IF($K1357="","",INDEX(Zeiterfassung!$I$6:$I$3665,MATCH(INDEX(Zeiterfassung!$K$6:$K$3665,$K1357),Zeiterfassung!$K$6:$K$3665,0))))</f>
        <v/>
      </c>
      <c r="J1357" s="335">
        <f>IF(B1357=B1356,"",IF($K1357="","",INDEX(Zeiterfassung!$J$6:$J$3665,MATCH(INDEX(Zeiterfassung!$K$6:$K$3665,$K1357),Zeiterfassung!$K$6:$K$3665,0))))</f>
        <v/>
      </c>
      <c r="K1357">
        <f>IFERROR(AGGREGATE(15,6,(ROW(Zeiterfassung!$D$6:$D$3665)-ROW(Zeiterfassung!$D$6)+1)/(Zeiterfassung!$D$6:$D$3665&lt;&gt;""),1352),"")</f>
        <v/>
      </c>
    </row>
    <row r="1358" ht="20" customHeight="1">
      <c r="A1358" s="183">
        <f>IF($K1358="","",WEEKNUM(INDEX(Zeiterfassung!$K$6:$K$3665,$K1358),21))</f>
        <v/>
      </c>
      <c r="B1358" s="184">
        <f>IF($K1358="","",INDEX(Zeiterfassung!$K$6:$K$3665,$K1358))</f>
        <v/>
      </c>
      <c r="C1358" s="185">
        <f>IF($K1358="","",INDEX(Zeiterfassung!$K$6:$K$3665,$K1358))</f>
        <v/>
      </c>
      <c r="D1358" s="186">
        <f>IF($K1358="","",INDEX(Zeiterfassung!$D$6:$D$3665,$K1358))</f>
        <v/>
      </c>
      <c r="E1358" s="186">
        <f>IF($K1358="","",INDEX(Zeiterfassung!$E$6:$E$3665,$K1358))</f>
        <v/>
      </c>
      <c r="F1358" s="187">
        <f>IF($K1358="","",INDEX(Zeiterfassung!$F$6:$F$3665,$K1358))</f>
        <v/>
      </c>
      <c r="G1358" s="187">
        <f>IF($K1358="","",INDEX(Zeiterfassung!$G$6:$G$3665,$K1358))</f>
        <v/>
      </c>
      <c r="H1358" s="188">
        <f>IF($K1358="","",INDEX(Zeiterfassung!$H$6:$H$3665,$K1358))</f>
        <v/>
      </c>
      <c r="I1358" s="335">
        <f>IF(B1358=B1357,"",IF($K1358="","",INDEX(Zeiterfassung!$I$6:$I$3665,MATCH(INDEX(Zeiterfassung!$K$6:$K$3665,$K1358),Zeiterfassung!$K$6:$K$3665,0))))</f>
        <v/>
      </c>
      <c r="J1358" s="335">
        <f>IF(B1358=B1357,"",IF($K1358="","",INDEX(Zeiterfassung!$J$6:$J$3665,MATCH(INDEX(Zeiterfassung!$K$6:$K$3665,$K1358),Zeiterfassung!$K$6:$K$3665,0))))</f>
        <v/>
      </c>
      <c r="K1358">
        <f>IFERROR(AGGREGATE(15,6,(ROW(Zeiterfassung!$D$6:$D$3665)-ROW(Zeiterfassung!$D$6)+1)/(Zeiterfassung!$D$6:$D$3665&lt;&gt;""),1353),"")</f>
        <v/>
      </c>
    </row>
    <row r="1359" ht="20" customHeight="1">
      <c r="A1359" s="183">
        <f>IF($K1359="","",WEEKNUM(INDEX(Zeiterfassung!$K$6:$K$3665,$K1359),21))</f>
        <v/>
      </c>
      <c r="B1359" s="184">
        <f>IF($K1359="","",INDEX(Zeiterfassung!$K$6:$K$3665,$K1359))</f>
        <v/>
      </c>
      <c r="C1359" s="185">
        <f>IF($K1359="","",INDEX(Zeiterfassung!$K$6:$K$3665,$K1359))</f>
        <v/>
      </c>
      <c r="D1359" s="186">
        <f>IF($K1359="","",INDEX(Zeiterfassung!$D$6:$D$3665,$K1359))</f>
        <v/>
      </c>
      <c r="E1359" s="186">
        <f>IF($K1359="","",INDEX(Zeiterfassung!$E$6:$E$3665,$K1359))</f>
        <v/>
      </c>
      <c r="F1359" s="187">
        <f>IF($K1359="","",INDEX(Zeiterfassung!$F$6:$F$3665,$K1359))</f>
        <v/>
      </c>
      <c r="G1359" s="187">
        <f>IF($K1359="","",INDEX(Zeiterfassung!$G$6:$G$3665,$K1359))</f>
        <v/>
      </c>
      <c r="H1359" s="188">
        <f>IF($K1359="","",INDEX(Zeiterfassung!$H$6:$H$3665,$K1359))</f>
        <v/>
      </c>
      <c r="I1359" s="335">
        <f>IF(B1359=B1358,"",IF($K1359="","",INDEX(Zeiterfassung!$I$6:$I$3665,MATCH(INDEX(Zeiterfassung!$K$6:$K$3665,$K1359),Zeiterfassung!$K$6:$K$3665,0))))</f>
        <v/>
      </c>
      <c r="J1359" s="335">
        <f>IF(B1359=B1358,"",IF($K1359="","",INDEX(Zeiterfassung!$J$6:$J$3665,MATCH(INDEX(Zeiterfassung!$K$6:$K$3665,$K1359),Zeiterfassung!$K$6:$K$3665,0))))</f>
        <v/>
      </c>
      <c r="K1359">
        <f>IFERROR(AGGREGATE(15,6,(ROW(Zeiterfassung!$D$6:$D$3665)-ROW(Zeiterfassung!$D$6)+1)/(Zeiterfassung!$D$6:$D$3665&lt;&gt;""),1354),"")</f>
        <v/>
      </c>
    </row>
    <row r="1360" ht="20" customHeight="1">
      <c r="A1360" s="183">
        <f>IF($K1360="","",WEEKNUM(INDEX(Zeiterfassung!$K$6:$K$3665,$K1360),21))</f>
        <v/>
      </c>
      <c r="B1360" s="184">
        <f>IF($K1360="","",INDEX(Zeiterfassung!$K$6:$K$3665,$K1360))</f>
        <v/>
      </c>
      <c r="C1360" s="185">
        <f>IF($K1360="","",INDEX(Zeiterfassung!$K$6:$K$3665,$K1360))</f>
        <v/>
      </c>
      <c r="D1360" s="186">
        <f>IF($K1360="","",INDEX(Zeiterfassung!$D$6:$D$3665,$K1360))</f>
        <v/>
      </c>
      <c r="E1360" s="186">
        <f>IF($K1360="","",INDEX(Zeiterfassung!$E$6:$E$3665,$K1360))</f>
        <v/>
      </c>
      <c r="F1360" s="187">
        <f>IF($K1360="","",INDEX(Zeiterfassung!$F$6:$F$3665,$K1360))</f>
        <v/>
      </c>
      <c r="G1360" s="187">
        <f>IF($K1360="","",INDEX(Zeiterfassung!$G$6:$G$3665,$K1360))</f>
        <v/>
      </c>
      <c r="H1360" s="188">
        <f>IF($K1360="","",INDEX(Zeiterfassung!$H$6:$H$3665,$K1360))</f>
        <v/>
      </c>
      <c r="I1360" s="335">
        <f>IF(B1360=B1359,"",IF($K1360="","",INDEX(Zeiterfassung!$I$6:$I$3665,MATCH(INDEX(Zeiterfassung!$K$6:$K$3665,$K1360),Zeiterfassung!$K$6:$K$3665,0))))</f>
        <v/>
      </c>
      <c r="J1360" s="335">
        <f>IF(B1360=B1359,"",IF($K1360="","",INDEX(Zeiterfassung!$J$6:$J$3665,MATCH(INDEX(Zeiterfassung!$K$6:$K$3665,$K1360),Zeiterfassung!$K$6:$K$3665,0))))</f>
        <v/>
      </c>
      <c r="K1360">
        <f>IFERROR(AGGREGATE(15,6,(ROW(Zeiterfassung!$D$6:$D$3665)-ROW(Zeiterfassung!$D$6)+1)/(Zeiterfassung!$D$6:$D$3665&lt;&gt;""),1355),"")</f>
        <v/>
      </c>
    </row>
    <row r="1361" ht="20" customHeight="1">
      <c r="A1361" s="183">
        <f>IF($K1361="","",WEEKNUM(INDEX(Zeiterfassung!$K$6:$K$3665,$K1361),21))</f>
        <v/>
      </c>
      <c r="B1361" s="184">
        <f>IF($K1361="","",INDEX(Zeiterfassung!$K$6:$K$3665,$K1361))</f>
        <v/>
      </c>
      <c r="C1361" s="185">
        <f>IF($K1361="","",INDEX(Zeiterfassung!$K$6:$K$3665,$K1361))</f>
        <v/>
      </c>
      <c r="D1361" s="186">
        <f>IF($K1361="","",INDEX(Zeiterfassung!$D$6:$D$3665,$K1361))</f>
        <v/>
      </c>
      <c r="E1361" s="186">
        <f>IF($K1361="","",INDEX(Zeiterfassung!$E$6:$E$3665,$K1361))</f>
        <v/>
      </c>
      <c r="F1361" s="187">
        <f>IF($K1361="","",INDEX(Zeiterfassung!$F$6:$F$3665,$K1361))</f>
        <v/>
      </c>
      <c r="G1361" s="187">
        <f>IF($K1361="","",INDEX(Zeiterfassung!$G$6:$G$3665,$K1361))</f>
        <v/>
      </c>
      <c r="H1361" s="188">
        <f>IF($K1361="","",INDEX(Zeiterfassung!$H$6:$H$3665,$K1361))</f>
        <v/>
      </c>
      <c r="I1361" s="335">
        <f>IF(B1361=B1360,"",IF($K1361="","",INDEX(Zeiterfassung!$I$6:$I$3665,MATCH(INDEX(Zeiterfassung!$K$6:$K$3665,$K1361),Zeiterfassung!$K$6:$K$3665,0))))</f>
        <v/>
      </c>
      <c r="J1361" s="335">
        <f>IF(B1361=B1360,"",IF($K1361="","",INDEX(Zeiterfassung!$J$6:$J$3665,MATCH(INDEX(Zeiterfassung!$K$6:$K$3665,$K1361),Zeiterfassung!$K$6:$K$3665,0))))</f>
        <v/>
      </c>
      <c r="K1361">
        <f>IFERROR(AGGREGATE(15,6,(ROW(Zeiterfassung!$D$6:$D$3665)-ROW(Zeiterfassung!$D$6)+1)/(Zeiterfassung!$D$6:$D$3665&lt;&gt;""),1356),"")</f>
        <v/>
      </c>
    </row>
    <row r="1362" ht="20" customHeight="1">
      <c r="A1362" s="183">
        <f>IF($K1362="","",WEEKNUM(INDEX(Zeiterfassung!$K$6:$K$3665,$K1362),21))</f>
        <v/>
      </c>
      <c r="B1362" s="184">
        <f>IF($K1362="","",INDEX(Zeiterfassung!$K$6:$K$3665,$K1362))</f>
        <v/>
      </c>
      <c r="C1362" s="185">
        <f>IF($K1362="","",INDEX(Zeiterfassung!$K$6:$K$3665,$K1362))</f>
        <v/>
      </c>
      <c r="D1362" s="186">
        <f>IF($K1362="","",INDEX(Zeiterfassung!$D$6:$D$3665,$K1362))</f>
        <v/>
      </c>
      <c r="E1362" s="186">
        <f>IF($K1362="","",INDEX(Zeiterfassung!$E$6:$E$3665,$K1362))</f>
        <v/>
      </c>
      <c r="F1362" s="187">
        <f>IF($K1362="","",INDEX(Zeiterfassung!$F$6:$F$3665,$K1362))</f>
        <v/>
      </c>
      <c r="G1362" s="187">
        <f>IF($K1362="","",INDEX(Zeiterfassung!$G$6:$G$3665,$K1362))</f>
        <v/>
      </c>
      <c r="H1362" s="188">
        <f>IF($K1362="","",INDEX(Zeiterfassung!$H$6:$H$3665,$K1362))</f>
        <v/>
      </c>
      <c r="I1362" s="335">
        <f>IF(B1362=B1361,"",IF($K1362="","",INDEX(Zeiterfassung!$I$6:$I$3665,MATCH(INDEX(Zeiterfassung!$K$6:$K$3665,$K1362),Zeiterfassung!$K$6:$K$3665,0))))</f>
        <v/>
      </c>
      <c r="J1362" s="335">
        <f>IF(B1362=B1361,"",IF($K1362="","",INDEX(Zeiterfassung!$J$6:$J$3665,MATCH(INDEX(Zeiterfassung!$K$6:$K$3665,$K1362),Zeiterfassung!$K$6:$K$3665,0))))</f>
        <v/>
      </c>
      <c r="K1362">
        <f>IFERROR(AGGREGATE(15,6,(ROW(Zeiterfassung!$D$6:$D$3665)-ROW(Zeiterfassung!$D$6)+1)/(Zeiterfassung!$D$6:$D$3665&lt;&gt;""),1357),"")</f>
        <v/>
      </c>
    </row>
    <row r="1363" ht="20" customHeight="1">
      <c r="A1363" s="183">
        <f>IF($K1363="","",WEEKNUM(INDEX(Zeiterfassung!$K$6:$K$3665,$K1363),21))</f>
        <v/>
      </c>
      <c r="B1363" s="184">
        <f>IF($K1363="","",INDEX(Zeiterfassung!$K$6:$K$3665,$K1363))</f>
        <v/>
      </c>
      <c r="C1363" s="185">
        <f>IF($K1363="","",INDEX(Zeiterfassung!$K$6:$K$3665,$K1363))</f>
        <v/>
      </c>
      <c r="D1363" s="186">
        <f>IF($K1363="","",INDEX(Zeiterfassung!$D$6:$D$3665,$K1363))</f>
        <v/>
      </c>
      <c r="E1363" s="186">
        <f>IF($K1363="","",INDEX(Zeiterfassung!$E$6:$E$3665,$K1363))</f>
        <v/>
      </c>
      <c r="F1363" s="187">
        <f>IF($K1363="","",INDEX(Zeiterfassung!$F$6:$F$3665,$K1363))</f>
        <v/>
      </c>
      <c r="G1363" s="187">
        <f>IF($K1363="","",INDEX(Zeiterfassung!$G$6:$G$3665,$K1363))</f>
        <v/>
      </c>
      <c r="H1363" s="188">
        <f>IF($K1363="","",INDEX(Zeiterfassung!$H$6:$H$3665,$K1363))</f>
        <v/>
      </c>
      <c r="I1363" s="335">
        <f>IF(B1363=B1362,"",IF($K1363="","",INDEX(Zeiterfassung!$I$6:$I$3665,MATCH(INDEX(Zeiterfassung!$K$6:$K$3665,$K1363),Zeiterfassung!$K$6:$K$3665,0))))</f>
        <v/>
      </c>
      <c r="J1363" s="335">
        <f>IF(B1363=B1362,"",IF($K1363="","",INDEX(Zeiterfassung!$J$6:$J$3665,MATCH(INDEX(Zeiterfassung!$K$6:$K$3665,$K1363),Zeiterfassung!$K$6:$K$3665,0))))</f>
        <v/>
      </c>
      <c r="K1363">
        <f>IFERROR(AGGREGATE(15,6,(ROW(Zeiterfassung!$D$6:$D$3665)-ROW(Zeiterfassung!$D$6)+1)/(Zeiterfassung!$D$6:$D$3665&lt;&gt;""),1358),"")</f>
        <v/>
      </c>
    </row>
    <row r="1364" ht="20" customHeight="1">
      <c r="A1364" s="183">
        <f>IF($K1364="","",WEEKNUM(INDEX(Zeiterfassung!$K$6:$K$3665,$K1364),21))</f>
        <v/>
      </c>
      <c r="B1364" s="184">
        <f>IF($K1364="","",INDEX(Zeiterfassung!$K$6:$K$3665,$K1364))</f>
        <v/>
      </c>
      <c r="C1364" s="185">
        <f>IF($K1364="","",INDEX(Zeiterfassung!$K$6:$K$3665,$K1364))</f>
        <v/>
      </c>
      <c r="D1364" s="186">
        <f>IF($K1364="","",INDEX(Zeiterfassung!$D$6:$D$3665,$K1364))</f>
        <v/>
      </c>
      <c r="E1364" s="186">
        <f>IF($K1364="","",INDEX(Zeiterfassung!$E$6:$E$3665,$K1364))</f>
        <v/>
      </c>
      <c r="F1364" s="187">
        <f>IF($K1364="","",INDEX(Zeiterfassung!$F$6:$F$3665,$K1364))</f>
        <v/>
      </c>
      <c r="G1364" s="187">
        <f>IF($K1364="","",INDEX(Zeiterfassung!$G$6:$G$3665,$K1364))</f>
        <v/>
      </c>
      <c r="H1364" s="188">
        <f>IF($K1364="","",INDEX(Zeiterfassung!$H$6:$H$3665,$K1364))</f>
        <v/>
      </c>
      <c r="I1364" s="335">
        <f>IF(B1364=B1363,"",IF($K1364="","",INDEX(Zeiterfassung!$I$6:$I$3665,MATCH(INDEX(Zeiterfassung!$K$6:$K$3665,$K1364),Zeiterfassung!$K$6:$K$3665,0))))</f>
        <v/>
      </c>
      <c r="J1364" s="335">
        <f>IF(B1364=B1363,"",IF($K1364="","",INDEX(Zeiterfassung!$J$6:$J$3665,MATCH(INDEX(Zeiterfassung!$K$6:$K$3665,$K1364),Zeiterfassung!$K$6:$K$3665,0))))</f>
        <v/>
      </c>
      <c r="K1364">
        <f>IFERROR(AGGREGATE(15,6,(ROW(Zeiterfassung!$D$6:$D$3665)-ROW(Zeiterfassung!$D$6)+1)/(Zeiterfassung!$D$6:$D$3665&lt;&gt;""),1359),"")</f>
        <v/>
      </c>
    </row>
    <row r="1365" ht="20" customHeight="1">
      <c r="A1365" s="183">
        <f>IF($K1365="","",WEEKNUM(INDEX(Zeiterfassung!$K$6:$K$3665,$K1365),21))</f>
        <v/>
      </c>
      <c r="B1365" s="184">
        <f>IF($K1365="","",INDEX(Zeiterfassung!$K$6:$K$3665,$K1365))</f>
        <v/>
      </c>
      <c r="C1365" s="185">
        <f>IF($K1365="","",INDEX(Zeiterfassung!$K$6:$K$3665,$K1365))</f>
        <v/>
      </c>
      <c r="D1365" s="186">
        <f>IF($K1365="","",INDEX(Zeiterfassung!$D$6:$D$3665,$K1365))</f>
        <v/>
      </c>
      <c r="E1365" s="186">
        <f>IF($K1365="","",INDEX(Zeiterfassung!$E$6:$E$3665,$K1365))</f>
        <v/>
      </c>
      <c r="F1365" s="187">
        <f>IF($K1365="","",INDEX(Zeiterfassung!$F$6:$F$3665,$K1365))</f>
        <v/>
      </c>
      <c r="G1365" s="187">
        <f>IF($K1365="","",INDEX(Zeiterfassung!$G$6:$G$3665,$K1365))</f>
        <v/>
      </c>
      <c r="H1365" s="188">
        <f>IF($K1365="","",INDEX(Zeiterfassung!$H$6:$H$3665,$K1365))</f>
        <v/>
      </c>
      <c r="I1365" s="335">
        <f>IF(B1365=B1364,"",IF($K1365="","",INDEX(Zeiterfassung!$I$6:$I$3665,MATCH(INDEX(Zeiterfassung!$K$6:$K$3665,$K1365),Zeiterfassung!$K$6:$K$3665,0))))</f>
        <v/>
      </c>
      <c r="J1365" s="335">
        <f>IF(B1365=B1364,"",IF($K1365="","",INDEX(Zeiterfassung!$J$6:$J$3665,MATCH(INDEX(Zeiterfassung!$K$6:$K$3665,$K1365),Zeiterfassung!$K$6:$K$3665,0))))</f>
        <v/>
      </c>
      <c r="K1365">
        <f>IFERROR(AGGREGATE(15,6,(ROW(Zeiterfassung!$D$6:$D$3665)-ROW(Zeiterfassung!$D$6)+1)/(Zeiterfassung!$D$6:$D$3665&lt;&gt;""),1360),"")</f>
        <v/>
      </c>
    </row>
    <row r="1366" ht="20" customHeight="1">
      <c r="A1366" s="183">
        <f>IF($K1366="","",WEEKNUM(INDEX(Zeiterfassung!$K$6:$K$3665,$K1366),21))</f>
        <v/>
      </c>
      <c r="B1366" s="184">
        <f>IF($K1366="","",INDEX(Zeiterfassung!$K$6:$K$3665,$K1366))</f>
        <v/>
      </c>
      <c r="C1366" s="185">
        <f>IF($K1366="","",INDEX(Zeiterfassung!$K$6:$K$3665,$K1366))</f>
        <v/>
      </c>
      <c r="D1366" s="186">
        <f>IF($K1366="","",INDEX(Zeiterfassung!$D$6:$D$3665,$K1366))</f>
        <v/>
      </c>
      <c r="E1366" s="186">
        <f>IF($K1366="","",INDEX(Zeiterfassung!$E$6:$E$3665,$K1366))</f>
        <v/>
      </c>
      <c r="F1366" s="187">
        <f>IF($K1366="","",INDEX(Zeiterfassung!$F$6:$F$3665,$K1366))</f>
        <v/>
      </c>
      <c r="G1366" s="187">
        <f>IF($K1366="","",INDEX(Zeiterfassung!$G$6:$G$3665,$K1366))</f>
        <v/>
      </c>
      <c r="H1366" s="188">
        <f>IF($K1366="","",INDEX(Zeiterfassung!$H$6:$H$3665,$K1366))</f>
        <v/>
      </c>
      <c r="I1366" s="335">
        <f>IF(B1366=B1365,"",IF($K1366="","",INDEX(Zeiterfassung!$I$6:$I$3665,MATCH(INDEX(Zeiterfassung!$K$6:$K$3665,$K1366),Zeiterfassung!$K$6:$K$3665,0))))</f>
        <v/>
      </c>
      <c r="J1366" s="335">
        <f>IF(B1366=B1365,"",IF($K1366="","",INDEX(Zeiterfassung!$J$6:$J$3665,MATCH(INDEX(Zeiterfassung!$K$6:$K$3665,$K1366),Zeiterfassung!$K$6:$K$3665,0))))</f>
        <v/>
      </c>
      <c r="K1366">
        <f>IFERROR(AGGREGATE(15,6,(ROW(Zeiterfassung!$D$6:$D$3665)-ROW(Zeiterfassung!$D$6)+1)/(Zeiterfassung!$D$6:$D$3665&lt;&gt;""),1361),"")</f>
        <v/>
      </c>
    </row>
    <row r="1367" ht="20" customHeight="1">
      <c r="A1367" s="183">
        <f>IF($K1367="","",WEEKNUM(INDEX(Zeiterfassung!$K$6:$K$3665,$K1367),21))</f>
        <v/>
      </c>
      <c r="B1367" s="184">
        <f>IF($K1367="","",INDEX(Zeiterfassung!$K$6:$K$3665,$K1367))</f>
        <v/>
      </c>
      <c r="C1367" s="185">
        <f>IF($K1367="","",INDEX(Zeiterfassung!$K$6:$K$3665,$K1367))</f>
        <v/>
      </c>
      <c r="D1367" s="186">
        <f>IF($K1367="","",INDEX(Zeiterfassung!$D$6:$D$3665,$K1367))</f>
        <v/>
      </c>
      <c r="E1367" s="186">
        <f>IF($K1367="","",INDEX(Zeiterfassung!$E$6:$E$3665,$K1367))</f>
        <v/>
      </c>
      <c r="F1367" s="187">
        <f>IF($K1367="","",INDEX(Zeiterfassung!$F$6:$F$3665,$K1367))</f>
        <v/>
      </c>
      <c r="G1367" s="187">
        <f>IF($K1367="","",INDEX(Zeiterfassung!$G$6:$G$3665,$K1367))</f>
        <v/>
      </c>
      <c r="H1367" s="188">
        <f>IF($K1367="","",INDEX(Zeiterfassung!$H$6:$H$3665,$K1367))</f>
        <v/>
      </c>
      <c r="I1367" s="335">
        <f>IF(B1367=B1366,"",IF($K1367="","",INDEX(Zeiterfassung!$I$6:$I$3665,MATCH(INDEX(Zeiterfassung!$K$6:$K$3665,$K1367),Zeiterfassung!$K$6:$K$3665,0))))</f>
        <v/>
      </c>
      <c r="J1367" s="335">
        <f>IF(B1367=B1366,"",IF($K1367="","",INDEX(Zeiterfassung!$J$6:$J$3665,MATCH(INDEX(Zeiterfassung!$K$6:$K$3665,$K1367),Zeiterfassung!$K$6:$K$3665,0))))</f>
        <v/>
      </c>
      <c r="K1367">
        <f>IFERROR(AGGREGATE(15,6,(ROW(Zeiterfassung!$D$6:$D$3665)-ROW(Zeiterfassung!$D$6)+1)/(Zeiterfassung!$D$6:$D$3665&lt;&gt;""),1362),"")</f>
        <v/>
      </c>
    </row>
    <row r="1368" ht="20" customHeight="1">
      <c r="A1368" s="183">
        <f>IF($K1368="","",WEEKNUM(INDEX(Zeiterfassung!$K$6:$K$3665,$K1368),21))</f>
        <v/>
      </c>
      <c r="B1368" s="184">
        <f>IF($K1368="","",INDEX(Zeiterfassung!$K$6:$K$3665,$K1368))</f>
        <v/>
      </c>
      <c r="C1368" s="185">
        <f>IF($K1368="","",INDEX(Zeiterfassung!$K$6:$K$3665,$K1368))</f>
        <v/>
      </c>
      <c r="D1368" s="186">
        <f>IF($K1368="","",INDEX(Zeiterfassung!$D$6:$D$3665,$K1368))</f>
        <v/>
      </c>
      <c r="E1368" s="186">
        <f>IF($K1368="","",INDEX(Zeiterfassung!$E$6:$E$3665,$K1368))</f>
        <v/>
      </c>
      <c r="F1368" s="187">
        <f>IF($K1368="","",INDEX(Zeiterfassung!$F$6:$F$3665,$K1368))</f>
        <v/>
      </c>
      <c r="G1368" s="187">
        <f>IF($K1368="","",INDEX(Zeiterfassung!$G$6:$G$3665,$K1368))</f>
        <v/>
      </c>
      <c r="H1368" s="188">
        <f>IF($K1368="","",INDEX(Zeiterfassung!$H$6:$H$3665,$K1368))</f>
        <v/>
      </c>
      <c r="I1368" s="335">
        <f>IF(B1368=B1367,"",IF($K1368="","",INDEX(Zeiterfassung!$I$6:$I$3665,MATCH(INDEX(Zeiterfassung!$K$6:$K$3665,$K1368),Zeiterfassung!$K$6:$K$3665,0))))</f>
        <v/>
      </c>
      <c r="J1368" s="335">
        <f>IF(B1368=B1367,"",IF($K1368="","",INDEX(Zeiterfassung!$J$6:$J$3665,MATCH(INDEX(Zeiterfassung!$K$6:$K$3665,$K1368),Zeiterfassung!$K$6:$K$3665,0))))</f>
        <v/>
      </c>
      <c r="K1368">
        <f>IFERROR(AGGREGATE(15,6,(ROW(Zeiterfassung!$D$6:$D$3665)-ROW(Zeiterfassung!$D$6)+1)/(Zeiterfassung!$D$6:$D$3665&lt;&gt;""),1363),"")</f>
        <v/>
      </c>
    </row>
    <row r="1369" ht="20" customHeight="1">
      <c r="A1369" s="183">
        <f>IF($K1369="","",WEEKNUM(INDEX(Zeiterfassung!$K$6:$K$3665,$K1369),21))</f>
        <v/>
      </c>
      <c r="B1369" s="184">
        <f>IF($K1369="","",INDEX(Zeiterfassung!$K$6:$K$3665,$K1369))</f>
        <v/>
      </c>
      <c r="C1369" s="185">
        <f>IF($K1369="","",INDEX(Zeiterfassung!$K$6:$K$3665,$K1369))</f>
        <v/>
      </c>
      <c r="D1369" s="186">
        <f>IF($K1369="","",INDEX(Zeiterfassung!$D$6:$D$3665,$K1369))</f>
        <v/>
      </c>
      <c r="E1369" s="186">
        <f>IF($K1369="","",INDEX(Zeiterfassung!$E$6:$E$3665,$K1369))</f>
        <v/>
      </c>
      <c r="F1369" s="187">
        <f>IF($K1369="","",INDEX(Zeiterfassung!$F$6:$F$3665,$K1369))</f>
        <v/>
      </c>
      <c r="G1369" s="187">
        <f>IF($K1369="","",INDEX(Zeiterfassung!$G$6:$G$3665,$K1369))</f>
        <v/>
      </c>
      <c r="H1369" s="188">
        <f>IF($K1369="","",INDEX(Zeiterfassung!$H$6:$H$3665,$K1369))</f>
        <v/>
      </c>
      <c r="I1369" s="335">
        <f>IF(B1369=B1368,"",IF($K1369="","",INDEX(Zeiterfassung!$I$6:$I$3665,MATCH(INDEX(Zeiterfassung!$K$6:$K$3665,$K1369),Zeiterfassung!$K$6:$K$3665,0))))</f>
        <v/>
      </c>
      <c r="J1369" s="335">
        <f>IF(B1369=B1368,"",IF($K1369="","",INDEX(Zeiterfassung!$J$6:$J$3665,MATCH(INDEX(Zeiterfassung!$K$6:$K$3665,$K1369),Zeiterfassung!$K$6:$K$3665,0))))</f>
        <v/>
      </c>
      <c r="K1369">
        <f>IFERROR(AGGREGATE(15,6,(ROW(Zeiterfassung!$D$6:$D$3665)-ROW(Zeiterfassung!$D$6)+1)/(Zeiterfassung!$D$6:$D$3665&lt;&gt;""),1364),"")</f>
        <v/>
      </c>
    </row>
    <row r="1370" ht="20" customHeight="1">
      <c r="A1370" s="183">
        <f>IF($K1370="","",WEEKNUM(INDEX(Zeiterfassung!$K$6:$K$3665,$K1370),21))</f>
        <v/>
      </c>
      <c r="B1370" s="184">
        <f>IF($K1370="","",INDEX(Zeiterfassung!$K$6:$K$3665,$K1370))</f>
        <v/>
      </c>
      <c r="C1370" s="185">
        <f>IF($K1370="","",INDEX(Zeiterfassung!$K$6:$K$3665,$K1370))</f>
        <v/>
      </c>
      <c r="D1370" s="186">
        <f>IF($K1370="","",INDEX(Zeiterfassung!$D$6:$D$3665,$K1370))</f>
        <v/>
      </c>
      <c r="E1370" s="186">
        <f>IF($K1370="","",INDEX(Zeiterfassung!$E$6:$E$3665,$K1370))</f>
        <v/>
      </c>
      <c r="F1370" s="187">
        <f>IF($K1370="","",INDEX(Zeiterfassung!$F$6:$F$3665,$K1370))</f>
        <v/>
      </c>
      <c r="G1370" s="187">
        <f>IF($K1370="","",INDEX(Zeiterfassung!$G$6:$G$3665,$K1370))</f>
        <v/>
      </c>
      <c r="H1370" s="188">
        <f>IF($K1370="","",INDEX(Zeiterfassung!$H$6:$H$3665,$K1370))</f>
        <v/>
      </c>
      <c r="I1370" s="335">
        <f>IF(B1370=B1369,"",IF($K1370="","",INDEX(Zeiterfassung!$I$6:$I$3665,MATCH(INDEX(Zeiterfassung!$K$6:$K$3665,$K1370),Zeiterfassung!$K$6:$K$3665,0))))</f>
        <v/>
      </c>
      <c r="J1370" s="335">
        <f>IF(B1370=B1369,"",IF($K1370="","",INDEX(Zeiterfassung!$J$6:$J$3665,MATCH(INDEX(Zeiterfassung!$K$6:$K$3665,$K1370),Zeiterfassung!$K$6:$K$3665,0))))</f>
        <v/>
      </c>
      <c r="K1370">
        <f>IFERROR(AGGREGATE(15,6,(ROW(Zeiterfassung!$D$6:$D$3665)-ROW(Zeiterfassung!$D$6)+1)/(Zeiterfassung!$D$6:$D$3665&lt;&gt;""),1365),"")</f>
        <v/>
      </c>
    </row>
    <row r="1371" ht="20" customHeight="1">
      <c r="A1371" s="183">
        <f>IF($K1371="","",WEEKNUM(INDEX(Zeiterfassung!$K$6:$K$3665,$K1371),21))</f>
        <v/>
      </c>
      <c r="B1371" s="184">
        <f>IF($K1371="","",INDEX(Zeiterfassung!$K$6:$K$3665,$K1371))</f>
        <v/>
      </c>
      <c r="C1371" s="185">
        <f>IF($K1371="","",INDEX(Zeiterfassung!$K$6:$K$3665,$K1371))</f>
        <v/>
      </c>
      <c r="D1371" s="186">
        <f>IF($K1371="","",INDEX(Zeiterfassung!$D$6:$D$3665,$K1371))</f>
        <v/>
      </c>
      <c r="E1371" s="186">
        <f>IF($K1371="","",INDEX(Zeiterfassung!$E$6:$E$3665,$K1371))</f>
        <v/>
      </c>
      <c r="F1371" s="187">
        <f>IF($K1371="","",INDEX(Zeiterfassung!$F$6:$F$3665,$K1371))</f>
        <v/>
      </c>
      <c r="G1371" s="187">
        <f>IF($K1371="","",INDEX(Zeiterfassung!$G$6:$G$3665,$K1371))</f>
        <v/>
      </c>
      <c r="H1371" s="188">
        <f>IF($K1371="","",INDEX(Zeiterfassung!$H$6:$H$3665,$K1371))</f>
        <v/>
      </c>
      <c r="I1371" s="335">
        <f>IF(B1371=B1370,"",IF($K1371="","",INDEX(Zeiterfassung!$I$6:$I$3665,MATCH(INDEX(Zeiterfassung!$K$6:$K$3665,$K1371),Zeiterfassung!$K$6:$K$3665,0))))</f>
        <v/>
      </c>
      <c r="J1371" s="335">
        <f>IF(B1371=B1370,"",IF($K1371="","",INDEX(Zeiterfassung!$J$6:$J$3665,MATCH(INDEX(Zeiterfassung!$K$6:$K$3665,$K1371),Zeiterfassung!$K$6:$K$3665,0))))</f>
        <v/>
      </c>
      <c r="K1371">
        <f>IFERROR(AGGREGATE(15,6,(ROW(Zeiterfassung!$D$6:$D$3665)-ROW(Zeiterfassung!$D$6)+1)/(Zeiterfassung!$D$6:$D$3665&lt;&gt;""),1366),"")</f>
        <v/>
      </c>
    </row>
    <row r="1372" ht="20" customHeight="1">
      <c r="A1372" s="183">
        <f>IF($K1372="","",WEEKNUM(INDEX(Zeiterfassung!$K$6:$K$3665,$K1372),21))</f>
        <v/>
      </c>
      <c r="B1372" s="184">
        <f>IF($K1372="","",INDEX(Zeiterfassung!$K$6:$K$3665,$K1372))</f>
        <v/>
      </c>
      <c r="C1372" s="185">
        <f>IF($K1372="","",INDEX(Zeiterfassung!$K$6:$K$3665,$K1372))</f>
        <v/>
      </c>
      <c r="D1372" s="186">
        <f>IF($K1372="","",INDEX(Zeiterfassung!$D$6:$D$3665,$K1372))</f>
        <v/>
      </c>
      <c r="E1372" s="186">
        <f>IF($K1372="","",INDEX(Zeiterfassung!$E$6:$E$3665,$K1372))</f>
        <v/>
      </c>
      <c r="F1372" s="187">
        <f>IF($K1372="","",INDEX(Zeiterfassung!$F$6:$F$3665,$K1372))</f>
        <v/>
      </c>
      <c r="G1372" s="187">
        <f>IF($K1372="","",INDEX(Zeiterfassung!$G$6:$G$3665,$K1372))</f>
        <v/>
      </c>
      <c r="H1372" s="188">
        <f>IF($K1372="","",INDEX(Zeiterfassung!$H$6:$H$3665,$K1372))</f>
        <v/>
      </c>
      <c r="I1372" s="335">
        <f>IF(B1372=B1371,"",IF($K1372="","",INDEX(Zeiterfassung!$I$6:$I$3665,MATCH(INDEX(Zeiterfassung!$K$6:$K$3665,$K1372),Zeiterfassung!$K$6:$K$3665,0))))</f>
        <v/>
      </c>
      <c r="J1372" s="335">
        <f>IF(B1372=B1371,"",IF($K1372="","",INDEX(Zeiterfassung!$J$6:$J$3665,MATCH(INDEX(Zeiterfassung!$K$6:$K$3665,$K1372),Zeiterfassung!$K$6:$K$3665,0))))</f>
        <v/>
      </c>
      <c r="K1372">
        <f>IFERROR(AGGREGATE(15,6,(ROW(Zeiterfassung!$D$6:$D$3665)-ROW(Zeiterfassung!$D$6)+1)/(Zeiterfassung!$D$6:$D$3665&lt;&gt;""),1367),"")</f>
        <v/>
      </c>
    </row>
    <row r="1373" ht="20" customHeight="1">
      <c r="A1373" s="183">
        <f>IF($K1373="","",WEEKNUM(INDEX(Zeiterfassung!$K$6:$K$3665,$K1373),21))</f>
        <v/>
      </c>
      <c r="B1373" s="184">
        <f>IF($K1373="","",INDEX(Zeiterfassung!$K$6:$K$3665,$K1373))</f>
        <v/>
      </c>
      <c r="C1373" s="185">
        <f>IF($K1373="","",INDEX(Zeiterfassung!$K$6:$K$3665,$K1373))</f>
        <v/>
      </c>
      <c r="D1373" s="186">
        <f>IF($K1373="","",INDEX(Zeiterfassung!$D$6:$D$3665,$K1373))</f>
        <v/>
      </c>
      <c r="E1373" s="186">
        <f>IF($K1373="","",INDEX(Zeiterfassung!$E$6:$E$3665,$K1373))</f>
        <v/>
      </c>
      <c r="F1373" s="187">
        <f>IF($K1373="","",INDEX(Zeiterfassung!$F$6:$F$3665,$K1373))</f>
        <v/>
      </c>
      <c r="G1373" s="187">
        <f>IF($K1373="","",INDEX(Zeiterfassung!$G$6:$G$3665,$K1373))</f>
        <v/>
      </c>
      <c r="H1373" s="188">
        <f>IF($K1373="","",INDEX(Zeiterfassung!$H$6:$H$3665,$K1373))</f>
        <v/>
      </c>
      <c r="I1373" s="335">
        <f>IF(B1373=B1372,"",IF($K1373="","",INDEX(Zeiterfassung!$I$6:$I$3665,MATCH(INDEX(Zeiterfassung!$K$6:$K$3665,$K1373),Zeiterfassung!$K$6:$K$3665,0))))</f>
        <v/>
      </c>
      <c r="J1373" s="335">
        <f>IF(B1373=B1372,"",IF($K1373="","",INDEX(Zeiterfassung!$J$6:$J$3665,MATCH(INDEX(Zeiterfassung!$K$6:$K$3665,$K1373),Zeiterfassung!$K$6:$K$3665,0))))</f>
        <v/>
      </c>
      <c r="K1373">
        <f>IFERROR(AGGREGATE(15,6,(ROW(Zeiterfassung!$D$6:$D$3665)-ROW(Zeiterfassung!$D$6)+1)/(Zeiterfassung!$D$6:$D$3665&lt;&gt;""),1368),"")</f>
        <v/>
      </c>
    </row>
    <row r="1374" ht="20" customHeight="1">
      <c r="A1374" s="183">
        <f>IF($K1374="","",WEEKNUM(INDEX(Zeiterfassung!$K$6:$K$3665,$K1374),21))</f>
        <v/>
      </c>
      <c r="B1374" s="184">
        <f>IF($K1374="","",INDEX(Zeiterfassung!$K$6:$K$3665,$K1374))</f>
        <v/>
      </c>
      <c r="C1374" s="185">
        <f>IF($K1374="","",INDEX(Zeiterfassung!$K$6:$K$3665,$K1374))</f>
        <v/>
      </c>
      <c r="D1374" s="186">
        <f>IF($K1374="","",INDEX(Zeiterfassung!$D$6:$D$3665,$K1374))</f>
        <v/>
      </c>
      <c r="E1374" s="186">
        <f>IF($K1374="","",INDEX(Zeiterfassung!$E$6:$E$3665,$K1374))</f>
        <v/>
      </c>
      <c r="F1374" s="187">
        <f>IF($K1374="","",INDEX(Zeiterfassung!$F$6:$F$3665,$K1374))</f>
        <v/>
      </c>
      <c r="G1374" s="187">
        <f>IF($K1374="","",INDEX(Zeiterfassung!$G$6:$G$3665,$K1374))</f>
        <v/>
      </c>
      <c r="H1374" s="188">
        <f>IF($K1374="","",INDEX(Zeiterfassung!$H$6:$H$3665,$K1374))</f>
        <v/>
      </c>
      <c r="I1374" s="335">
        <f>IF(B1374=B1373,"",IF($K1374="","",INDEX(Zeiterfassung!$I$6:$I$3665,MATCH(INDEX(Zeiterfassung!$K$6:$K$3665,$K1374),Zeiterfassung!$K$6:$K$3665,0))))</f>
        <v/>
      </c>
      <c r="J1374" s="335">
        <f>IF(B1374=B1373,"",IF($K1374="","",INDEX(Zeiterfassung!$J$6:$J$3665,MATCH(INDEX(Zeiterfassung!$K$6:$K$3665,$K1374),Zeiterfassung!$K$6:$K$3665,0))))</f>
        <v/>
      </c>
      <c r="K1374">
        <f>IFERROR(AGGREGATE(15,6,(ROW(Zeiterfassung!$D$6:$D$3665)-ROW(Zeiterfassung!$D$6)+1)/(Zeiterfassung!$D$6:$D$3665&lt;&gt;""),1369),"")</f>
        <v/>
      </c>
    </row>
    <row r="1375" ht="20" customHeight="1">
      <c r="A1375" s="183">
        <f>IF($K1375="","",WEEKNUM(INDEX(Zeiterfassung!$K$6:$K$3665,$K1375),21))</f>
        <v/>
      </c>
      <c r="B1375" s="184">
        <f>IF($K1375="","",INDEX(Zeiterfassung!$K$6:$K$3665,$K1375))</f>
        <v/>
      </c>
      <c r="C1375" s="185">
        <f>IF($K1375="","",INDEX(Zeiterfassung!$K$6:$K$3665,$K1375))</f>
        <v/>
      </c>
      <c r="D1375" s="186">
        <f>IF($K1375="","",INDEX(Zeiterfassung!$D$6:$D$3665,$K1375))</f>
        <v/>
      </c>
      <c r="E1375" s="186">
        <f>IF($K1375="","",INDEX(Zeiterfassung!$E$6:$E$3665,$K1375))</f>
        <v/>
      </c>
      <c r="F1375" s="187">
        <f>IF($K1375="","",INDEX(Zeiterfassung!$F$6:$F$3665,$K1375))</f>
        <v/>
      </c>
      <c r="G1375" s="187">
        <f>IF($K1375="","",INDEX(Zeiterfassung!$G$6:$G$3665,$K1375))</f>
        <v/>
      </c>
      <c r="H1375" s="188">
        <f>IF($K1375="","",INDEX(Zeiterfassung!$H$6:$H$3665,$K1375))</f>
        <v/>
      </c>
      <c r="I1375" s="335">
        <f>IF(B1375=B1374,"",IF($K1375="","",INDEX(Zeiterfassung!$I$6:$I$3665,MATCH(INDEX(Zeiterfassung!$K$6:$K$3665,$K1375),Zeiterfassung!$K$6:$K$3665,0))))</f>
        <v/>
      </c>
      <c r="J1375" s="335">
        <f>IF(B1375=B1374,"",IF($K1375="","",INDEX(Zeiterfassung!$J$6:$J$3665,MATCH(INDEX(Zeiterfassung!$K$6:$K$3665,$K1375),Zeiterfassung!$K$6:$K$3665,0))))</f>
        <v/>
      </c>
      <c r="K1375">
        <f>IFERROR(AGGREGATE(15,6,(ROW(Zeiterfassung!$D$6:$D$3665)-ROW(Zeiterfassung!$D$6)+1)/(Zeiterfassung!$D$6:$D$3665&lt;&gt;""),1370),"")</f>
        <v/>
      </c>
    </row>
    <row r="1376" ht="20" customHeight="1">
      <c r="A1376" s="183">
        <f>IF($K1376="","",WEEKNUM(INDEX(Zeiterfassung!$K$6:$K$3665,$K1376),21))</f>
        <v/>
      </c>
      <c r="B1376" s="184">
        <f>IF($K1376="","",INDEX(Zeiterfassung!$K$6:$K$3665,$K1376))</f>
        <v/>
      </c>
      <c r="C1376" s="185">
        <f>IF($K1376="","",INDEX(Zeiterfassung!$K$6:$K$3665,$K1376))</f>
        <v/>
      </c>
      <c r="D1376" s="186">
        <f>IF($K1376="","",INDEX(Zeiterfassung!$D$6:$D$3665,$K1376))</f>
        <v/>
      </c>
      <c r="E1376" s="186">
        <f>IF($K1376="","",INDEX(Zeiterfassung!$E$6:$E$3665,$K1376))</f>
        <v/>
      </c>
      <c r="F1376" s="187">
        <f>IF($K1376="","",INDEX(Zeiterfassung!$F$6:$F$3665,$K1376))</f>
        <v/>
      </c>
      <c r="G1376" s="187">
        <f>IF($K1376="","",INDEX(Zeiterfassung!$G$6:$G$3665,$K1376))</f>
        <v/>
      </c>
      <c r="H1376" s="188">
        <f>IF($K1376="","",INDEX(Zeiterfassung!$H$6:$H$3665,$K1376))</f>
        <v/>
      </c>
      <c r="I1376" s="335">
        <f>IF(B1376=B1375,"",IF($K1376="","",INDEX(Zeiterfassung!$I$6:$I$3665,MATCH(INDEX(Zeiterfassung!$K$6:$K$3665,$K1376),Zeiterfassung!$K$6:$K$3665,0))))</f>
        <v/>
      </c>
      <c r="J1376" s="335">
        <f>IF(B1376=B1375,"",IF($K1376="","",INDEX(Zeiterfassung!$J$6:$J$3665,MATCH(INDEX(Zeiterfassung!$K$6:$K$3665,$K1376),Zeiterfassung!$K$6:$K$3665,0))))</f>
        <v/>
      </c>
      <c r="K1376">
        <f>IFERROR(AGGREGATE(15,6,(ROW(Zeiterfassung!$D$6:$D$3665)-ROW(Zeiterfassung!$D$6)+1)/(Zeiterfassung!$D$6:$D$3665&lt;&gt;""),1371),"")</f>
        <v/>
      </c>
    </row>
    <row r="1377" ht="20" customHeight="1">
      <c r="A1377" s="183">
        <f>IF($K1377="","",WEEKNUM(INDEX(Zeiterfassung!$K$6:$K$3665,$K1377),21))</f>
        <v/>
      </c>
      <c r="B1377" s="184">
        <f>IF($K1377="","",INDEX(Zeiterfassung!$K$6:$K$3665,$K1377))</f>
        <v/>
      </c>
      <c r="C1377" s="185">
        <f>IF($K1377="","",INDEX(Zeiterfassung!$K$6:$K$3665,$K1377))</f>
        <v/>
      </c>
      <c r="D1377" s="186">
        <f>IF($K1377="","",INDEX(Zeiterfassung!$D$6:$D$3665,$K1377))</f>
        <v/>
      </c>
      <c r="E1377" s="186">
        <f>IF($K1377="","",INDEX(Zeiterfassung!$E$6:$E$3665,$K1377))</f>
        <v/>
      </c>
      <c r="F1377" s="187">
        <f>IF($K1377="","",INDEX(Zeiterfassung!$F$6:$F$3665,$K1377))</f>
        <v/>
      </c>
      <c r="G1377" s="187">
        <f>IF($K1377="","",INDEX(Zeiterfassung!$G$6:$G$3665,$K1377))</f>
        <v/>
      </c>
      <c r="H1377" s="188">
        <f>IF($K1377="","",INDEX(Zeiterfassung!$H$6:$H$3665,$K1377))</f>
        <v/>
      </c>
      <c r="I1377" s="335">
        <f>IF(B1377=B1376,"",IF($K1377="","",INDEX(Zeiterfassung!$I$6:$I$3665,MATCH(INDEX(Zeiterfassung!$K$6:$K$3665,$K1377),Zeiterfassung!$K$6:$K$3665,0))))</f>
        <v/>
      </c>
      <c r="J1377" s="335">
        <f>IF(B1377=B1376,"",IF($K1377="","",INDEX(Zeiterfassung!$J$6:$J$3665,MATCH(INDEX(Zeiterfassung!$K$6:$K$3665,$K1377),Zeiterfassung!$K$6:$K$3665,0))))</f>
        <v/>
      </c>
      <c r="K1377">
        <f>IFERROR(AGGREGATE(15,6,(ROW(Zeiterfassung!$D$6:$D$3665)-ROW(Zeiterfassung!$D$6)+1)/(Zeiterfassung!$D$6:$D$3665&lt;&gt;""),1372),"")</f>
        <v/>
      </c>
    </row>
    <row r="1378" ht="20" customHeight="1">
      <c r="A1378" s="183">
        <f>IF($K1378="","",WEEKNUM(INDEX(Zeiterfassung!$K$6:$K$3665,$K1378),21))</f>
        <v/>
      </c>
      <c r="B1378" s="184">
        <f>IF($K1378="","",INDEX(Zeiterfassung!$K$6:$K$3665,$K1378))</f>
        <v/>
      </c>
      <c r="C1378" s="185">
        <f>IF($K1378="","",INDEX(Zeiterfassung!$K$6:$K$3665,$K1378))</f>
        <v/>
      </c>
      <c r="D1378" s="186">
        <f>IF($K1378="","",INDEX(Zeiterfassung!$D$6:$D$3665,$K1378))</f>
        <v/>
      </c>
      <c r="E1378" s="186">
        <f>IF($K1378="","",INDEX(Zeiterfassung!$E$6:$E$3665,$K1378))</f>
        <v/>
      </c>
      <c r="F1378" s="187">
        <f>IF($K1378="","",INDEX(Zeiterfassung!$F$6:$F$3665,$K1378))</f>
        <v/>
      </c>
      <c r="G1378" s="187">
        <f>IF($K1378="","",INDEX(Zeiterfassung!$G$6:$G$3665,$K1378))</f>
        <v/>
      </c>
      <c r="H1378" s="188">
        <f>IF($K1378="","",INDEX(Zeiterfassung!$H$6:$H$3665,$K1378))</f>
        <v/>
      </c>
      <c r="I1378" s="335">
        <f>IF(B1378=B1377,"",IF($K1378="","",INDEX(Zeiterfassung!$I$6:$I$3665,MATCH(INDEX(Zeiterfassung!$K$6:$K$3665,$K1378),Zeiterfassung!$K$6:$K$3665,0))))</f>
        <v/>
      </c>
      <c r="J1378" s="335">
        <f>IF(B1378=B1377,"",IF($K1378="","",INDEX(Zeiterfassung!$J$6:$J$3665,MATCH(INDEX(Zeiterfassung!$K$6:$K$3665,$K1378),Zeiterfassung!$K$6:$K$3665,0))))</f>
        <v/>
      </c>
      <c r="K1378">
        <f>IFERROR(AGGREGATE(15,6,(ROW(Zeiterfassung!$D$6:$D$3665)-ROW(Zeiterfassung!$D$6)+1)/(Zeiterfassung!$D$6:$D$3665&lt;&gt;""),1373),"")</f>
        <v/>
      </c>
    </row>
    <row r="1379" ht="20" customHeight="1">
      <c r="A1379" s="183">
        <f>IF($K1379="","",WEEKNUM(INDEX(Zeiterfassung!$K$6:$K$3665,$K1379),21))</f>
        <v/>
      </c>
      <c r="B1379" s="184">
        <f>IF($K1379="","",INDEX(Zeiterfassung!$K$6:$K$3665,$K1379))</f>
        <v/>
      </c>
      <c r="C1379" s="185">
        <f>IF($K1379="","",INDEX(Zeiterfassung!$K$6:$K$3665,$K1379))</f>
        <v/>
      </c>
      <c r="D1379" s="186">
        <f>IF($K1379="","",INDEX(Zeiterfassung!$D$6:$D$3665,$K1379))</f>
        <v/>
      </c>
      <c r="E1379" s="186">
        <f>IF($K1379="","",INDEX(Zeiterfassung!$E$6:$E$3665,$K1379))</f>
        <v/>
      </c>
      <c r="F1379" s="187">
        <f>IF($K1379="","",INDEX(Zeiterfassung!$F$6:$F$3665,$K1379))</f>
        <v/>
      </c>
      <c r="G1379" s="187">
        <f>IF($K1379="","",INDEX(Zeiterfassung!$G$6:$G$3665,$K1379))</f>
        <v/>
      </c>
      <c r="H1379" s="188">
        <f>IF($K1379="","",INDEX(Zeiterfassung!$H$6:$H$3665,$K1379))</f>
        <v/>
      </c>
      <c r="I1379" s="335">
        <f>IF(B1379=B1378,"",IF($K1379="","",INDEX(Zeiterfassung!$I$6:$I$3665,MATCH(INDEX(Zeiterfassung!$K$6:$K$3665,$K1379),Zeiterfassung!$K$6:$K$3665,0))))</f>
        <v/>
      </c>
      <c r="J1379" s="335">
        <f>IF(B1379=B1378,"",IF($K1379="","",INDEX(Zeiterfassung!$J$6:$J$3665,MATCH(INDEX(Zeiterfassung!$K$6:$K$3665,$K1379),Zeiterfassung!$K$6:$K$3665,0))))</f>
        <v/>
      </c>
      <c r="K1379">
        <f>IFERROR(AGGREGATE(15,6,(ROW(Zeiterfassung!$D$6:$D$3665)-ROW(Zeiterfassung!$D$6)+1)/(Zeiterfassung!$D$6:$D$3665&lt;&gt;""),1374),"")</f>
        <v/>
      </c>
    </row>
    <row r="1380" ht="20" customHeight="1">
      <c r="A1380" s="183">
        <f>IF($K1380="","",WEEKNUM(INDEX(Zeiterfassung!$K$6:$K$3665,$K1380),21))</f>
        <v/>
      </c>
      <c r="B1380" s="184">
        <f>IF($K1380="","",INDEX(Zeiterfassung!$K$6:$K$3665,$K1380))</f>
        <v/>
      </c>
      <c r="C1380" s="185">
        <f>IF($K1380="","",INDEX(Zeiterfassung!$K$6:$K$3665,$K1380))</f>
        <v/>
      </c>
      <c r="D1380" s="186">
        <f>IF($K1380="","",INDEX(Zeiterfassung!$D$6:$D$3665,$K1380))</f>
        <v/>
      </c>
      <c r="E1380" s="186">
        <f>IF($K1380="","",INDEX(Zeiterfassung!$E$6:$E$3665,$K1380))</f>
        <v/>
      </c>
      <c r="F1380" s="187">
        <f>IF($K1380="","",INDEX(Zeiterfassung!$F$6:$F$3665,$K1380))</f>
        <v/>
      </c>
      <c r="G1380" s="187">
        <f>IF($K1380="","",INDEX(Zeiterfassung!$G$6:$G$3665,$K1380))</f>
        <v/>
      </c>
      <c r="H1380" s="188">
        <f>IF($K1380="","",INDEX(Zeiterfassung!$H$6:$H$3665,$K1380))</f>
        <v/>
      </c>
      <c r="I1380" s="335">
        <f>IF(B1380=B1379,"",IF($K1380="","",INDEX(Zeiterfassung!$I$6:$I$3665,MATCH(INDEX(Zeiterfassung!$K$6:$K$3665,$K1380),Zeiterfassung!$K$6:$K$3665,0))))</f>
        <v/>
      </c>
      <c r="J1380" s="335">
        <f>IF(B1380=B1379,"",IF($K1380="","",INDEX(Zeiterfassung!$J$6:$J$3665,MATCH(INDEX(Zeiterfassung!$K$6:$K$3665,$K1380),Zeiterfassung!$K$6:$K$3665,0))))</f>
        <v/>
      </c>
      <c r="K1380">
        <f>IFERROR(AGGREGATE(15,6,(ROW(Zeiterfassung!$D$6:$D$3665)-ROW(Zeiterfassung!$D$6)+1)/(Zeiterfassung!$D$6:$D$3665&lt;&gt;""),1375),"")</f>
        <v/>
      </c>
    </row>
    <row r="1381" ht="20" customHeight="1">
      <c r="A1381" s="183">
        <f>IF($K1381="","",WEEKNUM(INDEX(Zeiterfassung!$K$6:$K$3665,$K1381),21))</f>
        <v/>
      </c>
      <c r="B1381" s="184">
        <f>IF($K1381="","",INDEX(Zeiterfassung!$K$6:$K$3665,$K1381))</f>
        <v/>
      </c>
      <c r="C1381" s="185">
        <f>IF($K1381="","",INDEX(Zeiterfassung!$K$6:$K$3665,$K1381))</f>
        <v/>
      </c>
      <c r="D1381" s="186">
        <f>IF($K1381="","",INDEX(Zeiterfassung!$D$6:$D$3665,$K1381))</f>
        <v/>
      </c>
      <c r="E1381" s="186">
        <f>IF($K1381="","",INDEX(Zeiterfassung!$E$6:$E$3665,$K1381))</f>
        <v/>
      </c>
      <c r="F1381" s="187">
        <f>IF($K1381="","",INDEX(Zeiterfassung!$F$6:$F$3665,$K1381))</f>
        <v/>
      </c>
      <c r="G1381" s="187">
        <f>IF($K1381="","",INDEX(Zeiterfassung!$G$6:$G$3665,$K1381))</f>
        <v/>
      </c>
      <c r="H1381" s="188">
        <f>IF($K1381="","",INDEX(Zeiterfassung!$H$6:$H$3665,$K1381))</f>
        <v/>
      </c>
      <c r="I1381" s="335">
        <f>IF(B1381=B1380,"",IF($K1381="","",INDEX(Zeiterfassung!$I$6:$I$3665,MATCH(INDEX(Zeiterfassung!$K$6:$K$3665,$K1381),Zeiterfassung!$K$6:$K$3665,0))))</f>
        <v/>
      </c>
      <c r="J1381" s="335">
        <f>IF(B1381=B1380,"",IF($K1381="","",INDEX(Zeiterfassung!$J$6:$J$3665,MATCH(INDEX(Zeiterfassung!$K$6:$K$3665,$K1381),Zeiterfassung!$K$6:$K$3665,0))))</f>
        <v/>
      </c>
      <c r="K1381">
        <f>IFERROR(AGGREGATE(15,6,(ROW(Zeiterfassung!$D$6:$D$3665)-ROW(Zeiterfassung!$D$6)+1)/(Zeiterfassung!$D$6:$D$3665&lt;&gt;""),1376),"")</f>
        <v/>
      </c>
    </row>
    <row r="1382" ht="20" customHeight="1">
      <c r="A1382" s="183">
        <f>IF($K1382="","",WEEKNUM(INDEX(Zeiterfassung!$K$6:$K$3665,$K1382),21))</f>
        <v/>
      </c>
      <c r="B1382" s="184">
        <f>IF($K1382="","",INDEX(Zeiterfassung!$K$6:$K$3665,$K1382))</f>
        <v/>
      </c>
      <c r="C1382" s="185">
        <f>IF($K1382="","",INDEX(Zeiterfassung!$K$6:$K$3665,$K1382))</f>
        <v/>
      </c>
      <c r="D1382" s="186">
        <f>IF($K1382="","",INDEX(Zeiterfassung!$D$6:$D$3665,$K1382))</f>
        <v/>
      </c>
      <c r="E1382" s="186">
        <f>IF($K1382="","",INDEX(Zeiterfassung!$E$6:$E$3665,$K1382))</f>
        <v/>
      </c>
      <c r="F1382" s="187">
        <f>IF($K1382="","",INDEX(Zeiterfassung!$F$6:$F$3665,$K1382))</f>
        <v/>
      </c>
      <c r="G1382" s="187">
        <f>IF($K1382="","",INDEX(Zeiterfassung!$G$6:$G$3665,$K1382))</f>
        <v/>
      </c>
      <c r="H1382" s="188">
        <f>IF($K1382="","",INDEX(Zeiterfassung!$H$6:$H$3665,$K1382))</f>
        <v/>
      </c>
      <c r="I1382" s="335">
        <f>IF(B1382=B1381,"",IF($K1382="","",INDEX(Zeiterfassung!$I$6:$I$3665,MATCH(INDEX(Zeiterfassung!$K$6:$K$3665,$K1382),Zeiterfassung!$K$6:$K$3665,0))))</f>
        <v/>
      </c>
      <c r="J1382" s="335">
        <f>IF(B1382=B1381,"",IF($K1382="","",INDEX(Zeiterfassung!$J$6:$J$3665,MATCH(INDEX(Zeiterfassung!$K$6:$K$3665,$K1382),Zeiterfassung!$K$6:$K$3665,0))))</f>
        <v/>
      </c>
      <c r="K1382">
        <f>IFERROR(AGGREGATE(15,6,(ROW(Zeiterfassung!$D$6:$D$3665)-ROW(Zeiterfassung!$D$6)+1)/(Zeiterfassung!$D$6:$D$3665&lt;&gt;""),1377),"")</f>
        <v/>
      </c>
    </row>
    <row r="1383" ht="20" customHeight="1">
      <c r="A1383" s="183">
        <f>IF($K1383="","",WEEKNUM(INDEX(Zeiterfassung!$K$6:$K$3665,$K1383),21))</f>
        <v/>
      </c>
      <c r="B1383" s="184">
        <f>IF($K1383="","",INDEX(Zeiterfassung!$K$6:$K$3665,$K1383))</f>
        <v/>
      </c>
      <c r="C1383" s="185">
        <f>IF($K1383="","",INDEX(Zeiterfassung!$K$6:$K$3665,$K1383))</f>
        <v/>
      </c>
      <c r="D1383" s="186">
        <f>IF($K1383="","",INDEX(Zeiterfassung!$D$6:$D$3665,$K1383))</f>
        <v/>
      </c>
      <c r="E1383" s="186">
        <f>IF($K1383="","",INDEX(Zeiterfassung!$E$6:$E$3665,$K1383))</f>
        <v/>
      </c>
      <c r="F1383" s="187">
        <f>IF($K1383="","",INDEX(Zeiterfassung!$F$6:$F$3665,$K1383))</f>
        <v/>
      </c>
      <c r="G1383" s="187">
        <f>IF($K1383="","",INDEX(Zeiterfassung!$G$6:$G$3665,$K1383))</f>
        <v/>
      </c>
      <c r="H1383" s="188">
        <f>IF($K1383="","",INDEX(Zeiterfassung!$H$6:$H$3665,$K1383))</f>
        <v/>
      </c>
      <c r="I1383" s="335">
        <f>IF(B1383=B1382,"",IF($K1383="","",INDEX(Zeiterfassung!$I$6:$I$3665,MATCH(INDEX(Zeiterfassung!$K$6:$K$3665,$K1383),Zeiterfassung!$K$6:$K$3665,0))))</f>
        <v/>
      </c>
      <c r="J1383" s="335">
        <f>IF(B1383=B1382,"",IF($K1383="","",INDEX(Zeiterfassung!$J$6:$J$3665,MATCH(INDEX(Zeiterfassung!$K$6:$K$3665,$K1383),Zeiterfassung!$K$6:$K$3665,0))))</f>
        <v/>
      </c>
      <c r="K1383">
        <f>IFERROR(AGGREGATE(15,6,(ROW(Zeiterfassung!$D$6:$D$3665)-ROW(Zeiterfassung!$D$6)+1)/(Zeiterfassung!$D$6:$D$3665&lt;&gt;""),1378),"")</f>
        <v/>
      </c>
    </row>
    <row r="1384" ht="20" customHeight="1">
      <c r="A1384" s="183">
        <f>IF($K1384="","",WEEKNUM(INDEX(Zeiterfassung!$K$6:$K$3665,$K1384),21))</f>
        <v/>
      </c>
      <c r="B1384" s="184">
        <f>IF($K1384="","",INDEX(Zeiterfassung!$K$6:$K$3665,$K1384))</f>
        <v/>
      </c>
      <c r="C1384" s="185">
        <f>IF($K1384="","",INDEX(Zeiterfassung!$K$6:$K$3665,$K1384))</f>
        <v/>
      </c>
      <c r="D1384" s="186">
        <f>IF($K1384="","",INDEX(Zeiterfassung!$D$6:$D$3665,$K1384))</f>
        <v/>
      </c>
      <c r="E1384" s="186">
        <f>IF($K1384="","",INDEX(Zeiterfassung!$E$6:$E$3665,$K1384))</f>
        <v/>
      </c>
      <c r="F1384" s="187">
        <f>IF($K1384="","",INDEX(Zeiterfassung!$F$6:$F$3665,$K1384))</f>
        <v/>
      </c>
      <c r="G1384" s="187">
        <f>IF($K1384="","",INDEX(Zeiterfassung!$G$6:$G$3665,$K1384))</f>
        <v/>
      </c>
      <c r="H1384" s="188">
        <f>IF($K1384="","",INDEX(Zeiterfassung!$H$6:$H$3665,$K1384))</f>
        <v/>
      </c>
      <c r="I1384" s="335">
        <f>IF(B1384=B1383,"",IF($K1384="","",INDEX(Zeiterfassung!$I$6:$I$3665,MATCH(INDEX(Zeiterfassung!$K$6:$K$3665,$K1384),Zeiterfassung!$K$6:$K$3665,0))))</f>
        <v/>
      </c>
      <c r="J1384" s="335">
        <f>IF(B1384=B1383,"",IF($K1384="","",INDEX(Zeiterfassung!$J$6:$J$3665,MATCH(INDEX(Zeiterfassung!$K$6:$K$3665,$K1384),Zeiterfassung!$K$6:$K$3665,0))))</f>
        <v/>
      </c>
      <c r="K1384">
        <f>IFERROR(AGGREGATE(15,6,(ROW(Zeiterfassung!$D$6:$D$3665)-ROW(Zeiterfassung!$D$6)+1)/(Zeiterfassung!$D$6:$D$3665&lt;&gt;""),1379),"")</f>
        <v/>
      </c>
    </row>
    <row r="1385" ht="20" customHeight="1">
      <c r="A1385" s="183">
        <f>IF($K1385="","",WEEKNUM(INDEX(Zeiterfassung!$K$6:$K$3665,$K1385),21))</f>
        <v/>
      </c>
      <c r="B1385" s="184">
        <f>IF($K1385="","",INDEX(Zeiterfassung!$K$6:$K$3665,$K1385))</f>
        <v/>
      </c>
      <c r="C1385" s="185">
        <f>IF($K1385="","",INDEX(Zeiterfassung!$K$6:$K$3665,$K1385))</f>
        <v/>
      </c>
      <c r="D1385" s="186">
        <f>IF($K1385="","",INDEX(Zeiterfassung!$D$6:$D$3665,$K1385))</f>
        <v/>
      </c>
      <c r="E1385" s="186">
        <f>IF($K1385="","",INDEX(Zeiterfassung!$E$6:$E$3665,$K1385))</f>
        <v/>
      </c>
      <c r="F1385" s="187">
        <f>IF($K1385="","",INDEX(Zeiterfassung!$F$6:$F$3665,$K1385))</f>
        <v/>
      </c>
      <c r="G1385" s="187">
        <f>IF($K1385="","",INDEX(Zeiterfassung!$G$6:$G$3665,$K1385))</f>
        <v/>
      </c>
      <c r="H1385" s="188">
        <f>IF($K1385="","",INDEX(Zeiterfassung!$H$6:$H$3665,$K1385))</f>
        <v/>
      </c>
      <c r="I1385" s="335">
        <f>IF(B1385=B1384,"",IF($K1385="","",INDEX(Zeiterfassung!$I$6:$I$3665,MATCH(INDEX(Zeiterfassung!$K$6:$K$3665,$K1385),Zeiterfassung!$K$6:$K$3665,0))))</f>
        <v/>
      </c>
      <c r="J1385" s="335">
        <f>IF(B1385=B1384,"",IF($K1385="","",INDEX(Zeiterfassung!$J$6:$J$3665,MATCH(INDEX(Zeiterfassung!$K$6:$K$3665,$K1385),Zeiterfassung!$K$6:$K$3665,0))))</f>
        <v/>
      </c>
      <c r="K1385">
        <f>IFERROR(AGGREGATE(15,6,(ROW(Zeiterfassung!$D$6:$D$3665)-ROW(Zeiterfassung!$D$6)+1)/(Zeiterfassung!$D$6:$D$3665&lt;&gt;""),1380),"")</f>
        <v/>
      </c>
    </row>
    <row r="1386" ht="20" customHeight="1">
      <c r="A1386" s="183">
        <f>IF($K1386="","",WEEKNUM(INDEX(Zeiterfassung!$K$6:$K$3665,$K1386),21))</f>
        <v/>
      </c>
      <c r="B1386" s="184">
        <f>IF($K1386="","",INDEX(Zeiterfassung!$K$6:$K$3665,$K1386))</f>
        <v/>
      </c>
      <c r="C1386" s="185">
        <f>IF($K1386="","",INDEX(Zeiterfassung!$K$6:$K$3665,$K1386))</f>
        <v/>
      </c>
      <c r="D1386" s="186">
        <f>IF($K1386="","",INDEX(Zeiterfassung!$D$6:$D$3665,$K1386))</f>
        <v/>
      </c>
      <c r="E1386" s="186">
        <f>IF($K1386="","",INDEX(Zeiterfassung!$E$6:$E$3665,$K1386))</f>
        <v/>
      </c>
      <c r="F1386" s="187">
        <f>IF($K1386="","",INDEX(Zeiterfassung!$F$6:$F$3665,$K1386))</f>
        <v/>
      </c>
      <c r="G1386" s="187">
        <f>IF($K1386="","",INDEX(Zeiterfassung!$G$6:$G$3665,$K1386))</f>
        <v/>
      </c>
      <c r="H1386" s="188">
        <f>IF($K1386="","",INDEX(Zeiterfassung!$H$6:$H$3665,$K1386))</f>
        <v/>
      </c>
      <c r="I1386" s="335">
        <f>IF(B1386=B1385,"",IF($K1386="","",INDEX(Zeiterfassung!$I$6:$I$3665,MATCH(INDEX(Zeiterfassung!$K$6:$K$3665,$K1386),Zeiterfassung!$K$6:$K$3665,0))))</f>
        <v/>
      </c>
      <c r="J1386" s="335">
        <f>IF(B1386=B1385,"",IF($K1386="","",INDEX(Zeiterfassung!$J$6:$J$3665,MATCH(INDEX(Zeiterfassung!$K$6:$K$3665,$K1386),Zeiterfassung!$K$6:$K$3665,0))))</f>
        <v/>
      </c>
      <c r="K1386">
        <f>IFERROR(AGGREGATE(15,6,(ROW(Zeiterfassung!$D$6:$D$3665)-ROW(Zeiterfassung!$D$6)+1)/(Zeiterfassung!$D$6:$D$3665&lt;&gt;""),1381),"")</f>
        <v/>
      </c>
    </row>
    <row r="1387" ht="20" customHeight="1">
      <c r="A1387" s="183">
        <f>IF($K1387="","",WEEKNUM(INDEX(Zeiterfassung!$K$6:$K$3665,$K1387),21))</f>
        <v/>
      </c>
      <c r="B1387" s="184">
        <f>IF($K1387="","",INDEX(Zeiterfassung!$K$6:$K$3665,$K1387))</f>
        <v/>
      </c>
      <c r="C1387" s="185">
        <f>IF($K1387="","",INDEX(Zeiterfassung!$K$6:$K$3665,$K1387))</f>
        <v/>
      </c>
      <c r="D1387" s="186">
        <f>IF($K1387="","",INDEX(Zeiterfassung!$D$6:$D$3665,$K1387))</f>
        <v/>
      </c>
      <c r="E1387" s="186">
        <f>IF($K1387="","",INDEX(Zeiterfassung!$E$6:$E$3665,$K1387))</f>
        <v/>
      </c>
      <c r="F1387" s="187">
        <f>IF($K1387="","",INDEX(Zeiterfassung!$F$6:$F$3665,$K1387))</f>
        <v/>
      </c>
      <c r="G1387" s="187">
        <f>IF($K1387="","",INDEX(Zeiterfassung!$G$6:$G$3665,$K1387))</f>
        <v/>
      </c>
      <c r="H1387" s="188">
        <f>IF($K1387="","",INDEX(Zeiterfassung!$H$6:$H$3665,$K1387))</f>
        <v/>
      </c>
      <c r="I1387" s="335">
        <f>IF(B1387=B1386,"",IF($K1387="","",INDEX(Zeiterfassung!$I$6:$I$3665,MATCH(INDEX(Zeiterfassung!$K$6:$K$3665,$K1387),Zeiterfassung!$K$6:$K$3665,0))))</f>
        <v/>
      </c>
      <c r="J1387" s="335">
        <f>IF(B1387=B1386,"",IF($K1387="","",INDEX(Zeiterfassung!$J$6:$J$3665,MATCH(INDEX(Zeiterfassung!$K$6:$K$3665,$K1387),Zeiterfassung!$K$6:$K$3665,0))))</f>
        <v/>
      </c>
      <c r="K1387">
        <f>IFERROR(AGGREGATE(15,6,(ROW(Zeiterfassung!$D$6:$D$3665)-ROW(Zeiterfassung!$D$6)+1)/(Zeiterfassung!$D$6:$D$3665&lt;&gt;""),1382),"")</f>
        <v/>
      </c>
    </row>
    <row r="1388" ht="20" customHeight="1">
      <c r="A1388" s="183">
        <f>IF($K1388="","",WEEKNUM(INDEX(Zeiterfassung!$K$6:$K$3665,$K1388),21))</f>
        <v/>
      </c>
      <c r="B1388" s="184">
        <f>IF($K1388="","",INDEX(Zeiterfassung!$K$6:$K$3665,$K1388))</f>
        <v/>
      </c>
      <c r="C1388" s="185">
        <f>IF($K1388="","",INDEX(Zeiterfassung!$K$6:$K$3665,$K1388))</f>
        <v/>
      </c>
      <c r="D1388" s="186">
        <f>IF($K1388="","",INDEX(Zeiterfassung!$D$6:$D$3665,$K1388))</f>
        <v/>
      </c>
      <c r="E1388" s="186">
        <f>IF($K1388="","",INDEX(Zeiterfassung!$E$6:$E$3665,$K1388))</f>
        <v/>
      </c>
      <c r="F1388" s="187">
        <f>IF($K1388="","",INDEX(Zeiterfassung!$F$6:$F$3665,$K1388))</f>
        <v/>
      </c>
      <c r="G1388" s="187">
        <f>IF($K1388="","",INDEX(Zeiterfassung!$G$6:$G$3665,$K1388))</f>
        <v/>
      </c>
      <c r="H1388" s="188">
        <f>IF($K1388="","",INDEX(Zeiterfassung!$H$6:$H$3665,$K1388))</f>
        <v/>
      </c>
      <c r="I1388" s="335">
        <f>IF(B1388=B1387,"",IF($K1388="","",INDEX(Zeiterfassung!$I$6:$I$3665,MATCH(INDEX(Zeiterfassung!$K$6:$K$3665,$K1388),Zeiterfassung!$K$6:$K$3665,0))))</f>
        <v/>
      </c>
      <c r="J1388" s="335">
        <f>IF(B1388=B1387,"",IF($K1388="","",INDEX(Zeiterfassung!$J$6:$J$3665,MATCH(INDEX(Zeiterfassung!$K$6:$K$3665,$K1388),Zeiterfassung!$K$6:$K$3665,0))))</f>
        <v/>
      </c>
      <c r="K1388">
        <f>IFERROR(AGGREGATE(15,6,(ROW(Zeiterfassung!$D$6:$D$3665)-ROW(Zeiterfassung!$D$6)+1)/(Zeiterfassung!$D$6:$D$3665&lt;&gt;""),1383),"")</f>
        <v/>
      </c>
    </row>
    <row r="1389" ht="20" customHeight="1">
      <c r="A1389" s="183">
        <f>IF($K1389="","",WEEKNUM(INDEX(Zeiterfassung!$K$6:$K$3665,$K1389),21))</f>
        <v/>
      </c>
      <c r="B1389" s="184">
        <f>IF($K1389="","",INDEX(Zeiterfassung!$K$6:$K$3665,$K1389))</f>
        <v/>
      </c>
      <c r="C1389" s="185">
        <f>IF($K1389="","",INDEX(Zeiterfassung!$K$6:$K$3665,$K1389))</f>
        <v/>
      </c>
      <c r="D1389" s="186">
        <f>IF($K1389="","",INDEX(Zeiterfassung!$D$6:$D$3665,$K1389))</f>
        <v/>
      </c>
      <c r="E1389" s="186">
        <f>IF($K1389="","",INDEX(Zeiterfassung!$E$6:$E$3665,$K1389))</f>
        <v/>
      </c>
      <c r="F1389" s="187">
        <f>IF($K1389="","",INDEX(Zeiterfassung!$F$6:$F$3665,$K1389))</f>
        <v/>
      </c>
      <c r="G1389" s="187">
        <f>IF($K1389="","",INDEX(Zeiterfassung!$G$6:$G$3665,$K1389))</f>
        <v/>
      </c>
      <c r="H1389" s="188">
        <f>IF($K1389="","",INDEX(Zeiterfassung!$H$6:$H$3665,$K1389))</f>
        <v/>
      </c>
      <c r="I1389" s="335">
        <f>IF(B1389=B1388,"",IF($K1389="","",INDEX(Zeiterfassung!$I$6:$I$3665,MATCH(INDEX(Zeiterfassung!$K$6:$K$3665,$K1389),Zeiterfassung!$K$6:$K$3665,0))))</f>
        <v/>
      </c>
      <c r="J1389" s="335">
        <f>IF(B1389=B1388,"",IF($K1389="","",INDEX(Zeiterfassung!$J$6:$J$3665,MATCH(INDEX(Zeiterfassung!$K$6:$K$3665,$K1389),Zeiterfassung!$K$6:$K$3665,0))))</f>
        <v/>
      </c>
      <c r="K1389">
        <f>IFERROR(AGGREGATE(15,6,(ROW(Zeiterfassung!$D$6:$D$3665)-ROW(Zeiterfassung!$D$6)+1)/(Zeiterfassung!$D$6:$D$3665&lt;&gt;""),1384),"")</f>
        <v/>
      </c>
    </row>
    <row r="1390" ht="20" customHeight="1">
      <c r="A1390" s="183">
        <f>IF($K1390="","",WEEKNUM(INDEX(Zeiterfassung!$K$6:$K$3665,$K1390),21))</f>
        <v/>
      </c>
      <c r="B1390" s="184">
        <f>IF($K1390="","",INDEX(Zeiterfassung!$K$6:$K$3665,$K1390))</f>
        <v/>
      </c>
      <c r="C1390" s="185">
        <f>IF($K1390="","",INDEX(Zeiterfassung!$K$6:$K$3665,$K1390))</f>
        <v/>
      </c>
      <c r="D1390" s="186">
        <f>IF($K1390="","",INDEX(Zeiterfassung!$D$6:$D$3665,$K1390))</f>
        <v/>
      </c>
      <c r="E1390" s="186">
        <f>IF($K1390="","",INDEX(Zeiterfassung!$E$6:$E$3665,$K1390))</f>
        <v/>
      </c>
      <c r="F1390" s="187">
        <f>IF($K1390="","",INDEX(Zeiterfassung!$F$6:$F$3665,$K1390))</f>
        <v/>
      </c>
      <c r="G1390" s="187">
        <f>IF($K1390="","",INDEX(Zeiterfassung!$G$6:$G$3665,$K1390))</f>
        <v/>
      </c>
      <c r="H1390" s="188">
        <f>IF($K1390="","",INDEX(Zeiterfassung!$H$6:$H$3665,$K1390))</f>
        <v/>
      </c>
      <c r="I1390" s="335">
        <f>IF(B1390=B1389,"",IF($K1390="","",INDEX(Zeiterfassung!$I$6:$I$3665,MATCH(INDEX(Zeiterfassung!$K$6:$K$3665,$K1390),Zeiterfassung!$K$6:$K$3665,0))))</f>
        <v/>
      </c>
      <c r="J1390" s="335">
        <f>IF(B1390=B1389,"",IF($K1390="","",INDEX(Zeiterfassung!$J$6:$J$3665,MATCH(INDEX(Zeiterfassung!$K$6:$K$3665,$K1390),Zeiterfassung!$K$6:$K$3665,0))))</f>
        <v/>
      </c>
      <c r="K1390">
        <f>IFERROR(AGGREGATE(15,6,(ROW(Zeiterfassung!$D$6:$D$3665)-ROW(Zeiterfassung!$D$6)+1)/(Zeiterfassung!$D$6:$D$3665&lt;&gt;""),1385),"")</f>
        <v/>
      </c>
    </row>
    <row r="1391" ht="20" customHeight="1">
      <c r="A1391" s="183">
        <f>IF($K1391="","",WEEKNUM(INDEX(Zeiterfassung!$K$6:$K$3665,$K1391),21))</f>
        <v/>
      </c>
      <c r="B1391" s="184">
        <f>IF($K1391="","",INDEX(Zeiterfassung!$K$6:$K$3665,$K1391))</f>
        <v/>
      </c>
      <c r="C1391" s="185">
        <f>IF($K1391="","",INDEX(Zeiterfassung!$K$6:$K$3665,$K1391))</f>
        <v/>
      </c>
      <c r="D1391" s="186">
        <f>IF($K1391="","",INDEX(Zeiterfassung!$D$6:$D$3665,$K1391))</f>
        <v/>
      </c>
      <c r="E1391" s="186">
        <f>IF($K1391="","",INDEX(Zeiterfassung!$E$6:$E$3665,$K1391))</f>
        <v/>
      </c>
      <c r="F1391" s="187">
        <f>IF($K1391="","",INDEX(Zeiterfassung!$F$6:$F$3665,$K1391))</f>
        <v/>
      </c>
      <c r="G1391" s="187">
        <f>IF($K1391="","",INDEX(Zeiterfassung!$G$6:$G$3665,$K1391))</f>
        <v/>
      </c>
      <c r="H1391" s="188">
        <f>IF($K1391="","",INDEX(Zeiterfassung!$H$6:$H$3665,$K1391))</f>
        <v/>
      </c>
      <c r="I1391" s="335">
        <f>IF(B1391=B1390,"",IF($K1391="","",INDEX(Zeiterfassung!$I$6:$I$3665,MATCH(INDEX(Zeiterfassung!$K$6:$K$3665,$K1391),Zeiterfassung!$K$6:$K$3665,0))))</f>
        <v/>
      </c>
      <c r="J1391" s="335">
        <f>IF(B1391=B1390,"",IF($K1391="","",INDEX(Zeiterfassung!$J$6:$J$3665,MATCH(INDEX(Zeiterfassung!$K$6:$K$3665,$K1391),Zeiterfassung!$K$6:$K$3665,0))))</f>
        <v/>
      </c>
      <c r="K1391">
        <f>IFERROR(AGGREGATE(15,6,(ROW(Zeiterfassung!$D$6:$D$3665)-ROW(Zeiterfassung!$D$6)+1)/(Zeiterfassung!$D$6:$D$3665&lt;&gt;""),1386),"")</f>
        <v/>
      </c>
    </row>
    <row r="1392" ht="20" customHeight="1">
      <c r="A1392" s="183">
        <f>IF($K1392="","",WEEKNUM(INDEX(Zeiterfassung!$K$6:$K$3665,$K1392),21))</f>
        <v/>
      </c>
      <c r="B1392" s="184">
        <f>IF($K1392="","",INDEX(Zeiterfassung!$K$6:$K$3665,$K1392))</f>
        <v/>
      </c>
      <c r="C1392" s="185">
        <f>IF($K1392="","",INDEX(Zeiterfassung!$K$6:$K$3665,$K1392))</f>
        <v/>
      </c>
      <c r="D1392" s="186">
        <f>IF($K1392="","",INDEX(Zeiterfassung!$D$6:$D$3665,$K1392))</f>
        <v/>
      </c>
      <c r="E1392" s="186">
        <f>IF($K1392="","",INDEX(Zeiterfassung!$E$6:$E$3665,$K1392))</f>
        <v/>
      </c>
      <c r="F1392" s="187">
        <f>IF($K1392="","",INDEX(Zeiterfassung!$F$6:$F$3665,$K1392))</f>
        <v/>
      </c>
      <c r="G1392" s="187">
        <f>IF($K1392="","",INDEX(Zeiterfassung!$G$6:$G$3665,$K1392))</f>
        <v/>
      </c>
      <c r="H1392" s="188">
        <f>IF($K1392="","",INDEX(Zeiterfassung!$H$6:$H$3665,$K1392))</f>
        <v/>
      </c>
      <c r="I1392" s="335">
        <f>IF(B1392=B1391,"",IF($K1392="","",INDEX(Zeiterfassung!$I$6:$I$3665,MATCH(INDEX(Zeiterfassung!$K$6:$K$3665,$K1392),Zeiterfassung!$K$6:$K$3665,0))))</f>
        <v/>
      </c>
      <c r="J1392" s="335">
        <f>IF(B1392=B1391,"",IF($K1392="","",INDEX(Zeiterfassung!$J$6:$J$3665,MATCH(INDEX(Zeiterfassung!$K$6:$K$3665,$K1392),Zeiterfassung!$K$6:$K$3665,0))))</f>
        <v/>
      </c>
      <c r="K1392">
        <f>IFERROR(AGGREGATE(15,6,(ROW(Zeiterfassung!$D$6:$D$3665)-ROW(Zeiterfassung!$D$6)+1)/(Zeiterfassung!$D$6:$D$3665&lt;&gt;""),1387),"")</f>
        <v/>
      </c>
    </row>
    <row r="1393" ht="20" customHeight="1">
      <c r="A1393" s="183">
        <f>IF($K1393="","",WEEKNUM(INDEX(Zeiterfassung!$K$6:$K$3665,$K1393),21))</f>
        <v/>
      </c>
      <c r="B1393" s="184">
        <f>IF($K1393="","",INDEX(Zeiterfassung!$K$6:$K$3665,$K1393))</f>
        <v/>
      </c>
      <c r="C1393" s="185">
        <f>IF($K1393="","",INDEX(Zeiterfassung!$K$6:$K$3665,$K1393))</f>
        <v/>
      </c>
      <c r="D1393" s="186">
        <f>IF($K1393="","",INDEX(Zeiterfassung!$D$6:$D$3665,$K1393))</f>
        <v/>
      </c>
      <c r="E1393" s="186">
        <f>IF($K1393="","",INDEX(Zeiterfassung!$E$6:$E$3665,$K1393))</f>
        <v/>
      </c>
      <c r="F1393" s="187">
        <f>IF($K1393="","",INDEX(Zeiterfassung!$F$6:$F$3665,$K1393))</f>
        <v/>
      </c>
      <c r="G1393" s="187">
        <f>IF($K1393="","",INDEX(Zeiterfassung!$G$6:$G$3665,$K1393))</f>
        <v/>
      </c>
      <c r="H1393" s="188">
        <f>IF($K1393="","",INDEX(Zeiterfassung!$H$6:$H$3665,$K1393))</f>
        <v/>
      </c>
      <c r="I1393" s="335">
        <f>IF(B1393=B1392,"",IF($K1393="","",INDEX(Zeiterfassung!$I$6:$I$3665,MATCH(INDEX(Zeiterfassung!$K$6:$K$3665,$K1393),Zeiterfassung!$K$6:$K$3665,0))))</f>
        <v/>
      </c>
      <c r="J1393" s="335">
        <f>IF(B1393=B1392,"",IF($K1393="","",INDEX(Zeiterfassung!$J$6:$J$3665,MATCH(INDEX(Zeiterfassung!$K$6:$K$3665,$K1393),Zeiterfassung!$K$6:$K$3665,0))))</f>
        <v/>
      </c>
      <c r="K1393">
        <f>IFERROR(AGGREGATE(15,6,(ROW(Zeiterfassung!$D$6:$D$3665)-ROW(Zeiterfassung!$D$6)+1)/(Zeiterfassung!$D$6:$D$3665&lt;&gt;""),1388),"")</f>
        <v/>
      </c>
    </row>
    <row r="1394" ht="20" customHeight="1">
      <c r="A1394" s="183">
        <f>IF($K1394="","",WEEKNUM(INDEX(Zeiterfassung!$K$6:$K$3665,$K1394),21))</f>
        <v/>
      </c>
      <c r="B1394" s="184">
        <f>IF($K1394="","",INDEX(Zeiterfassung!$K$6:$K$3665,$K1394))</f>
        <v/>
      </c>
      <c r="C1394" s="185">
        <f>IF($K1394="","",INDEX(Zeiterfassung!$K$6:$K$3665,$K1394))</f>
        <v/>
      </c>
      <c r="D1394" s="186">
        <f>IF($K1394="","",INDEX(Zeiterfassung!$D$6:$D$3665,$K1394))</f>
        <v/>
      </c>
      <c r="E1394" s="186">
        <f>IF($K1394="","",INDEX(Zeiterfassung!$E$6:$E$3665,$K1394))</f>
        <v/>
      </c>
      <c r="F1394" s="187">
        <f>IF($K1394="","",INDEX(Zeiterfassung!$F$6:$F$3665,$K1394))</f>
        <v/>
      </c>
      <c r="G1394" s="187">
        <f>IF($K1394="","",INDEX(Zeiterfassung!$G$6:$G$3665,$K1394))</f>
        <v/>
      </c>
      <c r="H1394" s="188">
        <f>IF($K1394="","",INDEX(Zeiterfassung!$H$6:$H$3665,$K1394))</f>
        <v/>
      </c>
      <c r="I1394" s="335">
        <f>IF(B1394=B1393,"",IF($K1394="","",INDEX(Zeiterfassung!$I$6:$I$3665,MATCH(INDEX(Zeiterfassung!$K$6:$K$3665,$K1394),Zeiterfassung!$K$6:$K$3665,0))))</f>
        <v/>
      </c>
      <c r="J1394" s="335">
        <f>IF(B1394=B1393,"",IF($K1394="","",INDEX(Zeiterfassung!$J$6:$J$3665,MATCH(INDEX(Zeiterfassung!$K$6:$K$3665,$K1394),Zeiterfassung!$K$6:$K$3665,0))))</f>
        <v/>
      </c>
      <c r="K1394">
        <f>IFERROR(AGGREGATE(15,6,(ROW(Zeiterfassung!$D$6:$D$3665)-ROW(Zeiterfassung!$D$6)+1)/(Zeiterfassung!$D$6:$D$3665&lt;&gt;""),1389),"")</f>
        <v/>
      </c>
    </row>
    <row r="1395" ht="20" customHeight="1">
      <c r="A1395" s="183">
        <f>IF($K1395="","",WEEKNUM(INDEX(Zeiterfassung!$K$6:$K$3665,$K1395),21))</f>
        <v/>
      </c>
      <c r="B1395" s="184">
        <f>IF($K1395="","",INDEX(Zeiterfassung!$K$6:$K$3665,$K1395))</f>
        <v/>
      </c>
      <c r="C1395" s="185">
        <f>IF($K1395="","",INDEX(Zeiterfassung!$K$6:$K$3665,$K1395))</f>
        <v/>
      </c>
      <c r="D1395" s="186">
        <f>IF($K1395="","",INDEX(Zeiterfassung!$D$6:$D$3665,$K1395))</f>
        <v/>
      </c>
      <c r="E1395" s="186">
        <f>IF($K1395="","",INDEX(Zeiterfassung!$E$6:$E$3665,$K1395))</f>
        <v/>
      </c>
      <c r="F1395" s="187">
        <f>IF($K1395="","",INDEX(Zeiterfassung!$F$6:$F$3665,$K1395))</f>
        <v/>
      </c>
      <c r="G1395" s="187">
        <f>IF($K1395="","",INDEX(Zeiterfassung!$G$6:$G$3665,$K1395))</f>
        <v/>
      </c>
      <c r="H1395" s="188">
        <f>IF($K1395="","",INDEX(Zeiterfassung!$H$6:$H$3665,$K1395))</f>
        <v/>
      </c>
      <c r="I1395" s="335">
        <f>IF(B1395=B1394,"",IF($K1395="","",INDEX(Zeiterfassung!$I$6:$I$3665,MATCH(INDEX(Zeiterfassung!$K$6:$K$3665,$K1395),Zeiterfassung!$K$6:$K$3665,0))))</f>
        <v/>
      </c>
      <c r="J1395" s="335">
        <f>IF(B1395=B1394,"",IF($K1395="","",INDEX(Zeiterfassung!$J$6:$J$3665,MATCH(INDEX(Zeiterfassung!$K$6:$K$3665,$K1395),Zeiterfassung!$K$6:$K$3665,0))))</f>
        <v/>
      </c>
      <c r="K1395">
        <f>IFERROR(AGGREGATE(15,6,(ROW(Zeiterfassung!$D$6:$D$3665)-ROW(Zeiterfassung!$D$6)+1)/(Zeiterfassung!$D$6:$D$3665&lt;&gt;""),1390),"")</f>
        <v/>
      </c>
    </row>
    <row r="1396" ht="20" customHeight="1">
      <c r="A1396" s="183">
        <f>IF($K1396="","",WEEKNUM(INDEX(Zeiterfassung!$K$6:$K$3665,$K1396),21))</f>
        <v/>
      </c>
      <c r="B1396" s="184">
        <f>IF($K1396="","",INDEX(Zeiterfassung!$K$6:$K$3665,$K1396))</f>
        <v/>
      </c>
      <c r="C1396" s="185">
        <f>IF($K1396="","",INDEX(Zeiterfassung!$K$6:$K$3665,$K1396))</f>
        <v/>
      </c>
      <c r="D1396" s="186">
        <f>IF($K1396="","",INDEX(Zeiterfassung!$D$6:$D$3665,$K1396))</f>
        <v/>
      </c>
      <c r="E1396" s="186">
        <f>IF($K1396="","",INDEX(Zeiterfassung!$E$6:$E$3665,$K1396))</f>
        <v/>
      </c>
      <c r="F1396" s="187">
        <f>IF($K1396="","",INDEX(Zeiterfassung!$F$6:$F$3665,$K1396))</f>
        <v/>
      </c>
      <c r="G1396" s="187">
        <f>IF($K1396="","",INDEX(Zeiterfassung!$G$6:$G$3665,$K1396))</f>
        <v/>
      </c>
      <c r="H1396" s="188">
        <f>IF($K1396="","",INDEX(Zeiterfassung!$H$6:$H$3665,$K1396))</f>
        <v/>
      </c>
      <c r="I1396" s="335">
        <f>IF(B1396=B1395,"",IF($K1396="","",INDEX(Zeiterfassung!$I$6:$I$3665,MATCH(INDEX(Zeiterfassung!$K$6:$K$3665,$K1396),Zeiterfassung!$K$6:$K$3665,0))))</f>
        <v/>
      </c>
      <c r="J1396" s="335">
        <f>IF(B1396=B1395,"",IF($K1396="","",INDEX(Zeiterfassung!$J$6:$J$3665,MATCH(INDEX(Zeiterfassung!$K$6:$K$3665,$K1396),Zeiterfassung!$K$6:$K$3665,0))))</f>
        <v/>
      </c>
      <c r="K1396">
        <f>IFERROR(AGGREGATE(15,6,(ROW(Zeiterfassung!$D$6:$D$3665)-ROW(Zeiterfassung!$D$6)+1)/(Zeiterfassung!$D$6:$D$3665&lt;&gt;""),1391),"")</f>
        <v/>
      </c>
    </row>
    <row r="1397" ht="20" customHeight="1">
      <c r="A1397" s="183">
        <f>IF($K1397="","",WEEKNUM(INDEX(Zeiterfassung!$K$6:$K$3665,$K1397),21))</f>
        <v/>
      </c>
      <c r="B1397" s="184">
        <f>IF($K1397="","",INDEX(Zeiterfassung!$K$6:$K$3665,$K1397))</f>
        <v/>
      </c>
      <c r="C1397" s="185">
        <f>IF($K1397="","",INDEX(Zeiterfassung!$K$6:$K$3665,$K1397))</f>
        <v/>
      </c>
      <c r="D1397" s="186">
        <f>IF($K1397="","",INDEX(Zeiterfassung!$D$6:$D$3665,$K1397))</f>
        <v/>
      </c>
      <c r="E1397" s="186">
        <f>IF($K1397="","",INDEX(Zeiterfassung!$E$6:$E$3665,$K1397))</f>
        <v/>
      </c>
      <c r="F1397" s="187">
        <f>IF($K1397="","",INDEX(Zeiterfassung!$F$6:$F$3665,$K1397))</f>
        <v/>
      </c>
      <c r="G1397" s="187">
        <f>IF($K1397="","",INDEX(Zeiterfassung!$G$6:$G$3665,$K1397))</f>
        <v/>
      </c>
      <c r="H1397" s="188">
        <f>IF($K1397="","",INDEX(Zeiterfassung!$H$6:$H$3665,$K1397))</f>
        <v/>
      </c>
      <c r="I1397" s="335">
        <f>IF(B1397=B1396,"",IF($K1397="","",INDEX(Zeiterfassung!$I$6:$I$3665,MATCH(INDEX(Zeiterfassung!$K$6:$K$3665,$K1397),Zeiterfassung!$K$6:$K$3665,0))))</f>
        <v/>
      </c>
      <c r="J1397" s="335">
        <f>IF(B1397=B1396,"",IF($K1397="","",INDEX(Zeiterfassung!$J$6:$J$3665,MATCH(INDEX(Zeiterfassung!$K$6:$K$3665,$K1397),Zeiterfassung!$K$6:$K$3665,0))))</f>
        <v/>
      </c>
      <c r="K1397">
        <f>IFERROR(AGGREGATE(15,6,(ROW(Zeiterfassung!$D$6:$D$3665)-ROW(Zeiterfassung!$D$6)+1)/(Zeiterfassung!$D$6:$D$3665&lt;&gt;""),1392),"")</f>
        <v/>
      </c>
    </row>
    <row r="1398" ht="20" customHeight="1">
      <c r="A1398" s="183">
        <f>IF($K1398="","",WEEKNUM(INDEX(Zeiterfassung!$K$6:$K$3665,$K1398),21))</f>
        <v/>
      </c>
      <c r="B1398" s="184">
        <f>IF($K1398="","",INDEX(Zeiterfassung!$K$6:$K$3665,$K1398))</f>
        <v/>
      </c>
      <c r="C1398" s="185">
        <f>IF($K1398="","",INDEX(Zeiterfassung!$K$6:$K$3665,$K1398))</f>
        <v/>
      </c>
      <c r="D1398" s="186">
        <f>IF($K1398="","",INDEX(Zeiterfassung!$D$6:$D$3665,$K1398))</f>
        <v/>
      </c>
      <c r="E1398" s="186">
        <f>IF($K1398="","",INDEX(Zeiterfassung!$E$6:$E$3665,$K1398))</f>
        <v/>
      </c>
      <c r="F1398" s="187">
        <f>IF($K1398="","",INDEX(Zeiterfassung!$F$6:$F$3665,$K1398))</f>
        <v/>
      </c>
      <c r="G1398" s="187">
        <f>IF($K1398="","",INDEX(Zeiterfassung!$G$6:$G$3665,$K1398))</f>
        <v/>
      </c>
      <c r="H1398" s="188">
        <f>IF($K1398="","",INDEX(Zeiterfassung!$H$6:$H$3665,$K1398))</f>
        <v/>
      </c>
      <c r="I1398" s="335">
        <f>IF(B1398=B1397,"",IF($K1398="","",INDEX(Zeiterfassung!$I$6:$I$3665,MATCH(INDEX(Zeiterfassung!$K$6:$K$3665,$K1398),Zeiterfassung!$K$6:$K$3665,0))))</f>
        <v/>
      </c>
      <c r="J1398" s="335">
        <f>IF(B1398=B1397,"",IF($K1398="","",INDEX(Zeiterfassung!$J$6:$J$3665,MATCH(INDEX(Zeiterfassung!$K$6:$K$3665,$K1398),Zeiterfassung!$K$6:$K$3665,0))))</f>
        <v/>
      </c>
      <c r="K1398">
        <f>IFERROR(AGGREGATE(15,6,(ROW(Zeiterfassung!$D$6:$D$3665)-ROW(Zeiterfassung!$D$6)+1)/(Zeiterfassung!$D$6:$D$3665&lt;&gt;""),1393),"")</f>
        <v/>
      </c>
    </row>
    <row r="1399" ht="20" customHeight="1">
      <c r="A1399" s="183">
        <f>IF($K1399="","",WEEKNUM(INDEX(Zeiterfassung!$K$6:$K$3665,$K1399),21))</f>
        <v/>
      </c>
      <c r="B1399" s="184">
        <f>IF($K1399="","",INDEX(Zeiterfassung!$K$6:$K$3665,$K1399))</f>
        <v/>
      </c>
      <c r="C1399" s="185">
        <f>IF($K1399="","",INDEX(Zeiterfassung!$K$6:$K$3665,$K1399))</f>
        <v/>
      </c>
      <c r="D1399" s="186">
        <f>IF($K1399="","",INDEX(Zeiterfassung!$D$6:$D$3665,$K1399))</f>
        <v/>
      </c>
      <c r="E1399" s="186">
        <f>IF($K1399="","",INDEX(Zeiterfassung!$E$6:$E$3665,$K1399))</f>
        <v/>
      </c>
      <c r="F1399" s="187">
        <f>IF($K1399="","",INDEX(Zeiterfassung!$F$6:$F$3665,$K1399))</f>
        <v/>
      </c>
      <c r="G1399" s="187">
        <f>IF($K1399="","",INDEX(Zeiterfassung!$G$6:$G$3665,$K1399))</f>
        <v/>
      </c>
      <c r="H1399" s="188">
        <f>IF($K1399="","",INDEX(Zeiterfassung!$H$6:$H$3665,$K1399))</f>
        <v/>
      </c>
      <c r="I1399" s="335">
        <f>IF(B1399=B1398,"",IF($K1399="","",INDEX(Zeiterfassung!$I$6:$I$3665,MATCH(INDEX(Zeiterfassung!$K$6:$K$3665,$K1399),Zeiterfassung!$K$6:$K$3665,0))))</f>
        <v/>
      </c>
      <c r="J1399" s="335">
        <f>IF(B1399=B1398,"",IF($K1399="","",INDEX(Zeiterfassung!$J$6:$J$3665,MATCH(INDEX(Zeiterfassung!$K$6:$K$3665,$K1399),Zeiterfassung!$K$6:$K$3665,0))))</f>
        <v/>
      </c>
      <c r="K1399">
        <f>IFERROR(AGGREGATE(15,6,(ROW(Zeiterfassung!$D$6:$D$3665)-ROW(Zeiterfassung!$D$6)+1)/(Zeiterfassung!$D$6:$D$3665&lt;&gt;""),1394),"")</f>
        <v/>
      </c>
    </row>
    <row r="1400" ht="20" customHeight="1">
      <c r="A1400" s="183">
        <f>IF($K1400="","",WEEKNUM(INDEX(Zeiterfassung!$K$6:$K$3665,$K1400),21))</f>
        <v/>
      </c>
      <c r="B1400" s="184">
        <f>IF($K1400="","",INDEX(Zeiterfassung!$K$6:$K$3665,$K1400))</f>
        <v/>
      </c>
      <c r="C1400" s="185">
        <f>IF($K1400="","",INDEX(Zeiterfassung!$K$6:$K$3665,$K1400))</f>
        <v/>
      </c>
      <c r="D1400" s="186">
        <f>IF($K1400="","",INDEX(Zeiterfassung!$D$6:$D$3665,$K1400))</f>
        <v/>
      </c>
      <c r="E1400" s="186">
        <f>IF($K1400="","",INDEX(Zeiterfassung!$E$6:$E$3665,$K1400))</f>
        <v/>
      </c>
      <c r="F1400" s="187">
        <f>IF($K1400="","",INDEX(Zeiterfassung!$F$6:$F$3665,$K1400))</f>
        <v/>
      </c>
      <c r="G1400" s="187">
        <f>IF($K1400="","",INDEX(Zeiterfassung!$G$6:$G$3665,$K1400))</f>
        <v/>
      </c>
      <c r="H1400" s="188">
        <f>IF($K1400="","",INDEX(Zeiterfassung!$H$6:$H$3665,$K1400))</f>
        <v/>
      </c>
      <c r="I1400" s="335">
        <f>IF(B1400=B1399,"",IF($K1400="","",INDEX(Zeiterfassung!$I$6:$I$3665,MATCH(INDEX(Zeiterfassung!$K$6:$K$3665,$K1400),Zeiterfassung!$K$6:$K$3665,0))))</f>
        <v/>
      </c>
      <c r="J1400" s="335">
        <f>IF(B1400=B1399,"",IF($K1400="","",INDEX(Zeiterfassung!$J$6:$J$3665,MATCH(INDEX(Zeiterfassung!$K$6:$K$3665,$K1400),Zeiterfassung!$K$6:$K$3665,0))))</f>
        <v/>
      </c>
      <c r="K1400">
        <f>IFERROR(AGGREGATE(15,6,(ROW(Zeiterfassung!$D$6:$D$3665)-ROW(Zeiterfassung!$D$6)+1)/(Zeiterfassung!$D$6:$D$3665&lt;&gt;""),1395),"")</f>
        <v/>
      </c>
    </row>
    <row r="1401" ht="20" customHeight="1">
      <c r="A1401" s="183">
        <f>IF($K1401="","",WEEKNUM(INDEX(Zeiterfassung!$K$6:$K$3665,$K1401),21))</f>
        <v/>
      </c>
      <c r="B1401" s="184">
        <f>IF($K1401="","",INDEX(Zeiterfassung!$K$6:$K$3665,$K1401))</f>
        <v/>
      </c>
      <c r="C1401" s="185">
        <f>IF($K1401="","",INDEX(Zeiterfassung!$K$6:$K$3665,$K1401))</f>
        <v/>
      </c>
      <c r="D1401" s="186">
        <f>IF($K1401="","",INDEX(Zeiterfassung!$D$6:$D$3665,$K1401))</f>
        <v/>
      </c>
      <c r="E1401" s="186">
        <f>IF($K1401="","",INDEX(Zeiterfassung!$E$6:$E$3665,$K1401))</f>
        <v/>
      </c>
      <c r="F1401" s="187">
        <f>IF($K1401="","",INDEX(Zeiterfassung!$F$6:$F$3665,$K1401))</f>
        <v/>
      </c>
      <c r="G1401" s="187">
        <f>IF($K1401="","",INDEX(Zeiterfassung!$G$6:$G$3665,$K1401))</f>
        <v/>
      </c>
      <c r="H1401" s="188">
        <f>IF($K1401="","",INDEX(Zeiterfassung!$H$6:$H$3665,$K1401))</f>
        <v/>
      </c>
      <c r="I1401" s="335">
        <f>IF(B1401=B1400,"",IF($K1401="","",INDEX(Zeiterfassung!$I$6:$I$3665,MATCH(INDEX(Zeiterfassung!$K$6:$K$3665,$K1401),Zeiterfassung!$K$6:$K$3665,0))))</f>
        <v/>
      </c>
      <c r="J1401" s="335">
        <f>IF(B1401=B1400,"",IF($K1401="","",INDEX(Zeiterfassung!$J$6:$J$3665,MATCH(INDEX(Zeiterfassung!$K$6:$K$3665,$K1401),Zeiterfassung!$K$6:$K$3665,0))))</f>
        <v/>
      </c>
      <c r="K1401">
        <f>IFERROR(AGGREGATE(15,6,(ROW(Zeiterfassung!$D$6:$D$3665)-ROW(Zeiterfassung!$D$6)+1)/(Zeiterfassung!$D$6:$D$3665&lt;&gt;""),1396),"")</f>
        <v/>
      </c>
    </row>
    <row r="1402" ht="20" customHeight="1">
      <c r="A1402" s="183">
        <f>IF($K1402="","",WEEKNUM(INDEX(Zeiterfassung!$K$6:$K$3665,$K1402),21))</f>
        <v/>
      </c>
      <c r="B1402" s="184">
        <f>IF($K1402="","",INDEX(Zeiterfassung!$K$6:$K$3665,$K1402))</f>
        <v/>
      </c>
      <c r="C1402" s="185">
        <f>IF($K1402="","",INDEX(Zeiterfassung!$K$6:$K$3665,$K1402))</f>
        <v/>
      </c>
      <c r="D1402" s="186">
        <f>IF($K1402="","",INDEX(Zeiterfassung!$D$6:$D$3665,$K1402))</f>
        <v/>
      </c>
      <c r="E1402" s="186">
        <f>IF($K1402="","",INDEX(Zeiterfassung!$E$6:$E$3665,$K1402))</f>
        <v/>
      </c>
      <c r="F1402" s="187">
        <f>IF($K1402="","",INDEX(Zeiterfassung!$F$6:$F$3665,$K1402))</f>
        <v/>
      </c>
      <c r="G1402" s="187">
        <f>IF($K1402="","",INDEX(Zeiterfassung!$G$6:$G$3665,$K1402))</f>
        <v/>
      </c>
      <c r="H1402" s="188">
        <f>IF($K1402="","",INDEX(Zeiterfassung!$H$6:$H$3665,$K1402))</f>
        <v/>
      </c>
      <c r="I1402" s="335">
        <f>IF(B1402=B1401,"",IF($K1402="","",INDEX(Zeiterfassung!$I$6:$I$3665,MATCH(INDEX(Zeiterfassung!$K$6:$K$3665,$K1402),Zeiterfassung!$K$6:$K$3665,0))))</f>
        <v/>
      </c>
      <c r="J1402" s="335">
        <f>IF(B1402=B1401,"",IF($K1402="","",INDEX(Zeiterfassung!$J$6:$J$3665,MATCH(INDEX(Zeiterfassung!$K$6:$K$3665,$K1402),Zeiterfassung!$K$6:$K$3665,0))))</f>
        <v/>
      </c>
      <c r="K1402">
        <f>IFERROR(AGGREGATE(15,6,(ROW(Zeiterfassung!$D$6:$D$3665)-ROW(Zeiterfassung!$D$6)+1)/(Zeiterfassung!$D$6:$D$3665&lt;&gt;""),1397),"")</f>
        <v/>
      </c>
    </row>
    <row r="1403" ht="20" customHeight="1">
      <c r="A1403" s="183">
        <f>IF($K1403="","",WEEKNUM(INDEX(Zeiterfassung!$K$6:$K$3665,$K1403),21))</f>
        <v/>
      </c>
      <c r="B1403" s="184">
        <f>IF($K1403="","",INDEX(Zeiterfassung!$K$6:$K$3665,$K1403))</f>
        <v/>
      </c>
      <c r="C1403" s="185">
        <f>IF($K1403="","",INDEX(Zeiterfassung!$K$6:$K$3665,$K1403))</f>
        <v/>
      </c>
      <c r="D1403" s="186">
        <f>IF($K1403="","",INDEX(Zeiterfassung!$D$6:$D$3665,$K1403))</f>
        <v/>
      </c>
      <c r="E1403" s="186">
        <f>IF($K1403="","",INDEX(Zeiterfassung!$E$6:$E$3665,$K1403))</f>
        <v/>
      </c>
      <c r="F1403" s="187">
        <f>IF($K1403="","",INDEX(Zeiterfassung!$F$6:$F$3665,$K1403))</f>
        <v/>
      </c>
      <c r="G1403" s="187">
        <f>IF($K1403="","",INDEX(Zeiterfassung!$G$6:$G$3665,$K1403))</f>
        <v/>
      </c>
      <c r="H1403" s="188">
        <f>IF($K1403="","",INDEX(Zeiterfassung!$H$6:$H$3665,$K1403))</f>
        <v/>
      </c>
      <c r="I1403" s="335">
        <f>IF(B1403=B1402,"",IF($K1403="","",INDEX(Zeiterfassung!$I$6:$I$3665,MATCH(INDEX(Zeiterfassung!$K$6:$K$3665,$K1403),Zeiterfassung!$K$6:$K$3665,0))))</f>
        <v/>
      </c>
      <c r="J1403" s="335">
        <f>IF(B1403=B1402,"",IF($K1403="","",INDEX(Zeiterfassung!$J$6:$J$3665,MATCH(INDEX(Zeiterfassung!$K$6:$K$3665,$K1403),Zeiterfassung!$K$6:$K$3665,0))))</f>
        <v/>
      </c>
      <c r="K1403">
        <f>IFERROR(AGGREGATE(15,6,(ROW(Zeiterfassung!$D$6:$D$3665)-ROW(Zeiterfassung!$D$6)+1)/(Zeiterfassung!$D$6:$D$3665&lt;&gt;""),1398),"")</f>
        <v/>
      </c>
    </row>
    <row r="1404" ht="20" customHeight="1">
      <c r="A1404" s="183">
        <f>IF($K1404="","",WEEKNUM(INDEX(Zeiterfassung!$K$6:$K$3665,$K1404),21))</f>
        <v/>
      </c>
      <c r="B1404" s="184">
        <f>IF($K1404="","",INDEX(Zeiterfassung!$K$6:$K$3665,$K1404))</f>
        <v/>
      </c>
      <c r="C1404" s="185">
        <f>IF($K1404="","",INDEX(Zeiterfassung!$K$6:$K$3665,$K1404))</f>
        <v/>
      </c>
      <c r="D1404" s="186">
        <f>IF($K1404="","",INDEX(Zeiterfassung!$D$6:$D$3665,$K1404))</f>
        <v/>
      </c>
      <c r="E1404" s="186">
        <f>IF($K1404="","",INDEX(Zeiterfassung!$E$6:$E$3665,$K1404))</f>
        <v/>
      </c>
      <c r="F1404" s="187">
        <f>IF($K1404="","",INDEX(Zeiterfassung!$F$6:$F$3665,$K1404))</f>
        <v/>
      </c>
      <c r="G1404" s="187">
        <f>IF($K1404="","",INDEX(Zeiterfassung!$G$6:$G$3665,$K1404))</f>
        <v/>
      </c>
      <c r="H1404" s="188">
        <f>IF($K1404="","",INDEX(Zeiterfassung!$H$6:$H$3665,$K1404))</f>
        <v/>
      </c>
      <c r="I1404" s="335">
        <f>IF(B1404=B1403,"",IF($K1404="","",INDEX(Zeiterfassung!$I$6:$I$3665,MATCH(INDEX(Zeiterfassung!$K$6:$K$3665,$K1404),Zeiterfassung!$K$6:$K$3665,0))))</f>
        <v/>
      </c>
      <c r="J1404" s="335">
        <f>IF(B1404=B1403,"",IF($K1404="","",INDEX(Zeiterfassung!$J$6:$J$3665,MATCH(INDEX(Zeiterfassung!$K$6:$K$3665,$K1404),Zeiterfassung!$K$6:$K$3665,0))))</f>
        <v/>
      </c>
      <c r="K1404">
        <f>IFERROR(AGGREGATE(15,6,(ROW(Zeiterfassung!$D$6:$D$3665)-ROW(Zeiterfassung!$D$6)+1)/(Zeiterfassung!$D$6:$D$3665&lt;&gt;""),1399),"")</f>
        <v/>
      </c>
    </row>
    <row r="1405" ht="20" customHeight="1">
      <c r="A1405" s="183">
        <f>IF($K1405="","",WEEKNUM(INDEX(Zeiterfassung!$K$6:$K$3665,$K1405),21))</f>
        <v/>
      </c>
      <c r="B1405" s="184">
        <f>IF($K1405="","",INDEX(Zeiterfassung!$K$6:$K$3665,$K1405))</f>
        <v/>
      </c>
      <c r="C1405" s="185">
        <f>IF($K1405="","",INDEX(Zeiterfassung!$K$6:$K$3665,$K1405))</f>
        <v/>
      </c>
      <c r="D1405" s="186">
        <f>IF($K1405="","",INDEX(Zeiterfassung!$D$6:$D$3665,$K1405))</f>
        <v/>
      </c>
      <c r="E1405" s="186">
        <f>IF($K1405="","",INDEX(Zeiterfassung!$E$6:$E$3665,$K1405))</f>
        <v/>
      </c>
      <c r="F1405" s="187">
        <f>IF($K1405="","",INDEX(Zeiterfassung!$F$6:$F$3665,$K1405))</f>
        <v/>
      </c>
      <c r="G1405" s="187">
        <f>IF($K1405="","",INDEX(Zeiterfassung!$G$6:$G$3665,$K1405))</f>
        <v/>
      </c>
      <c r="H1405" s="188">
        <f>IF($K1405="","",INDEX(Zeiterfassung!$H$6:$H$3665,$K1405))</f>
        <v/>
      </c>
      <c r="I1405" s="335">
        <f>IF(B1405=B1404,"",IF($K1405="","",INDEX(Zeiterfassung!$I$6:$I$3665,MATCH(INDEX(Zeiterfassung!$K$6:$K$3665,$K1405),Zeiterfassung!$K$6:$K$3665,0))))</f>
        <v/>
      </c>
      <c r="J1405" s="335">
        <f>IF(B1405=B1404,"",IF($K1405="","",INDEX(Zeiterfassung!$J$6:$J$3665,MATCH(INDEX(Zeiterfassung!$K$6:$K$3665,$K1405),Zeiterfassung!$K$6:$K$3665,0))))</f>
        <v/>
      </c>
      <c r="K1405">
        <f>IFERROR(AGGREGATE(15,6,(ROW(Zeiterfassung!$D$6:$D$3665)-ROW(Zeiterfassung!$D$6)+1)/(Zeiterfassung!$D$6:$D$3665&lt;&gt;""),1400),"")</f>
        <v/>
      </c>
    </row>
    <row r="1406" ht="20" customHeight="1">
      <c r="A1406" s="183">
        <f>IF($K1406="","",WEEKNUM(INDEX(Zeiterfassung!$K$6:$K$3665,$K1406),21))</f>
        <v/>
      </c>
      <c r="B1406" s="184">
        <f>IF($K1406="","",INDEX(Zeiterfassung!$K$6:$K$3665,$K1406))</f>
        <v/>
      </c>
      <c r="C1406" s="185">
        <f>IF($K1406="","",INDEX(Zeiterfassung!$K$6:$K$3665,$K1406))</f>
        <v/>
      </c>
      <c r="D1406" s="186">
        <f>IF($K1406="","",INDEX(Zeiterfassung!$D$6:$D$3665,$K1406))</f>
        <v/>
      </c>
      <c r="E1406" s="186">
        <f>IF($K1406="","",INDEX(Zeiterfassung!$E$6:$E$3665,$K1406))</f>
        <v/>
      </c>
      <c r="F1406" s="187">
        <f>IF($K1406="","",INDEX(Zeiterfassung!$F$6:$F$3665,$K1406))</f>
        <v/>
      </c>
      <c r="G1406" s="187">
        <f>IF($K1406="","",INDEX(Zeiterfassung!$G$6:$G$3665,$K1406))</f>
        <v/>
      </c>
      <c r="H1406" s="188">
        <f>IF($K1406="","",INDEX(Zeiterfassung!$H$6:$H$3665,$K1406))</f>
        <v/>
      </c>
      <c r="I1406" s="335">
        <f>IF(B1406=B1405,"",IF($K1406="","",INDEX(Zeiterfassung!$I$6:$I$3665,MATCH(INDEX(Zeiterfassung!$K$6:$K$3665,$K1406),Zeiterfassung!$K$6:$K$3665,0))))</f>
        <v/>
      </c>
      <c r="J1406" s="335">
        <f>IF(B1406=B1405,"",IF($K1406="","",INDEX(Zeiterfassung!$J$6:$J$3665,MATCH(INDEX(Zeiterfassung!$K$6:$K$3665,$K1406),Zeiterfassung!$K$6:$K$3665,0))))</f>
        <v/>
      </c>
      <c r="K1406">
        <f>IFERROR(AGGREGATE(15,6,(ROW(Zeiterfassung!$D$6:$D$3665)-ROW(Zeiterfassung!$D$6)+1)/(Zeiterfassung!$D$6:$D$3665&lt;&gt;""),1401),"")</f>
        <v/>
      </c>
    </row>
    <row r="1407" ht="20" customHeight="1">
      <c r="A1407" s="183">
        <f>IF($K1407="","",WEEKNUM(INDEX(Zeiterfassung!$K$6:$K$3665,$K1407),21))</f>
        <v/>
      </c>
      <c r="B1407" s="184">
        <f>IF($K1407="","",INDEX(Zeiterfassung!$K$6:$K$3665,$K1407))</f>
        <v/>
      </c>
      <c r="C1407" s="185">
        <f>IF($K1407="","",INDEX(Zeiterfassung!$K$6:$K$3665,$K1407))</f>
        <v/>
      </c>
      <c r="D1407" s="186">
        <f>IF($K1407="","",INDEX(Zeiterfassung!$D$6:$D$3665,$K1407))</f>
        <v/>
      </c>
      <c r="E1407" s="186">
        <f>IF($K1407="","",INDEX(Zeiterfassung!$E$6:$E$3665,$K1407))</f>
        <v/>
      </c>
      <c r="F1407" s="187">
        <f>IF($K1407="","",INDEX(Zeiterfassung!$F$6:$F$3665,$K1407))</f>
        <v/>
      </c>
      <c r="G1407" s="187">
        <f>IF($K1407="","",INDEX(Zeiterfassung!$G$6:$G$3665,$K1407))</f>
        <v/>
      </c>
      <c r="H1407" s="188">
        <f>IF($K1407="","",INDEX(Zeiterfassung!$H$6:$H$3665,$K1407))</f>
        <v/>
      </c>
      <c r="I1407" s="335">
        <f>IF(B1407=B1406,"",IF($K1407="","",INDEX(Zeiterfassung!$I$6:$I$3665,MATCH(INDEX(Zeiterfassung!$K$6:$K$3665,$K1407),Zeiterfassung!$K$6:$K$3665,0))))</f>
        <v/>
      </c>
      <c r="J1407" s="335">
        <f>IF(B1407=B1406,"",IF($K1407="","",INDEX(Zeiterfassung!$J$6:$J$3665,MATCH(INDEX(Zeiterfassung!$K$6:$K$3665,$K1407),Zeiterfassung!$K$6:$K$3665,0))))</f>
        <v/>
      </c>
      <c r="K1407">
        <f>IFERROR(AGGREGATE(15,6,(ROW(Zeiterfassung!$D$6:$D$3665)-ROW(Zeiterfassung!$D$6)+1)/(Zeiterfassung!$D$6:$D$3665&lt;&gt;""),1402),"")</f>
        <v/>
      </c>
    </row>
    <row r="1408" ht="20" customHeight="1">
      <c r="A1408" s="183">
        <f>IF($K1408="","",WEEKNUM(INDEX(Zeiterfassung!$K$6:$K$3665,$K1408),21))</f>
        <v/>
      </c>
      <c r="B1408" s="184">
        <f>IF($K1408="","",INDEX(Zeiterfassung!$K$6:$K$3665,$K1408))</f>
        <v/>
      </c>
      <c r="C1408" s="185">
        <f>IF($K1408="","",INDEX(Zeiterfassung!$K$6:$K$3665,$K1408))</f>
        <v/>
      </c>
      <c r="D1408" s="186">
        <f>IF($K1408="","",INDEX(Zeiterfassung!$D$6:$D$3665,$K1408))</f>
        <v/>
      </c>
      <c r="E1408" s="186">
        <f>IF($K1408="","",INDEX(Zeiterfassung!$E$6:$E$3665,$K1408))</f>
        <v/>
      </c>
      <c r="F1408" s="187">
        <f>IF($K1408="","",INDEX(Zeiterfassung!$F$6:$F$3665,$K1408))</f>
        <v/>
      </c>
      <c r="G1408" s="187">
        <f>IF($K1408="","",INDEX(Zeiterfassung!$G$6:$G$3665,$K1408))</f>
        <v/>
      </c>
      <c r="H1408" s="188">
        <f>IF($K1408="","",INDEX(Zeiterfassung!$H$6:$H$3665,$K1408))</f>
        <v/>
      </c>
      <c r="I1408" s="335">
        <f>IF(B1408=B1407,"",IF($K1408="","",INDEX(Zeiterfassung!$I$6:$I$3665,MATCH(INDEX(Zeiterfassung!$K$6:$K$3665,$K1408),Zeiterfassung!$K$6:$K$3665,0))))</f>
        <v/>
      </c>
      <c r="J1408" s="335">
        <f>IF(B1408=B1407,"",IF($K1408="","",INDEX(Zeiterfassung!$J$6:$J$3665,MATCH(INDEX(Zeiterfassung!$K$6:$K$3665,$K1408),Zeiterfassung!$K$6:$K$3665,0))))</f>
        <v/>
      </c>
      <c r="K1408">
        <f>IFERROR(AGGREGATE(15,6,(ROW(Zeiterfassung!$D$6:$D$3665)-ROW(Zeiterfassung!$D$6)+1)/(Zeiterfassung!$D$6:$D$3665&lt;&gt;""),1403),"")</f>
        <v/>
      </c>
    </row>
    <row r="1409" ht="20" customHeight="1">
      <c r="A1409" s="183">
        <f>IF($K1409="","",WEEKNUM(INDEX(Zeiterfassung!$K$6:$K$3665,$K1409),21))</f>
        <v/>
      </c>
      <c r="B1409" s="184">
        <f>IF($K1409="","",INDEX(Zeiterfassung!$K$6:$K$3665,$K1409))</f>
        <v/>
      </c>
      <c r="C1409" s="185">
        <f>IF($K1409="","",INDEX(Zeiterfassung!$K$6:$K$3665,$K1409))</f>
        <v/>
      </c>
      <c r="D1409" s="186">
        <f>IF($K1409="","",INDEX(Zeiterfassung!$D$6:$D$3665,$K1409))</f>
        <v/>
      </c>
      <c r="E1409" s="186">
        <f>IF($K1409="","",INDEX(Zeiterfassung!$E$6:$E$3665,$K1409))</f>
        <v/>
      </c>
      <c r="F1409" s="187">
        <f>IF($K1409="","",INDEX(Zeiterfassung!$F$6:$F$3665,$K1409))</f>
        <v/>
      </c>
      <c r="G1409" s="187">
        <f>IF($K1409="","",INDEX(Zeiterfassung!$G$6:$G$3665,$K1409))</f>
        <v/>
      </c>
      <c r="H1409" s="188">
        <f>IF($K1409="","",INDEX(Zeiterfassung!$H$6:$H$3665,$K1409))</f>
        <v/>
      </c>
      <c r="I1409" s="335">
        <f>IF(B1409=B1408,"",IF($K1409="","",INDEX(Zeiterfassung!$I$6:$I$3665,MATCH(INDEX(Zeiterfassung!$K$6:$K$3665,$K1409),Zeiterfassung!$K$6:$K$3665,0))))</f>
        <v/>
      </c>
      <c r="J1409" s="335">
        <f>IF(B1409=B1408,"",IF($K1409="","",INDEX(Zeiterfassung!$J$6:$J$3665,MATCH(INDEX(Zeiterfassung!$K$6:$K$3665,$K1409),Zeiterfassung!$K$6:$K$3665,0))))</f>
        <v/>
      </c>
      <c r="K1409">
        <f>IFERROR(AGGREGATE(15,6,(ROW(Zeiterfassung!$D$6:$D$3665)-ROW(Zeiterfassung!$D$6)+1)/(Zeiterfassung!$D$6:$D$3665&lt;&gt;""),1404),"")</f>
        <v/>
      </c>
    </row>
    <row r="1410" ht="20" customHeight="1">
      <c r="A1410" s="183">
        <f>IF($K1410="","",WEEKNUM(INDEX(Zeiterfassung!$K$6:$K$3665,$K1410),21))</f>
        <v/>
      </c>
      <c r="B1410" s="184">
        <f>IF($K1410="","",INDEX(Zeiterfassung!$K$6:$K$3665,$K1410))</f>
        <v/>
      </c>
      <c r="C1410" s="185">
        <f>IF($K1410="","",INDEX(Zeiterfassung!$K$6:$K$3665,$K1410))</f>
        <v/>
      </c>
      <c r="D1410" s="186">
        <f>IF($K1410="","",INDEX(Zeiterfassung!$D$6:$D$3665,$K1410))</f>
        <v/>
      </c>
      <c r="E1410" s="186">
        <f>IF($K1410="","",INDEX(Zeiterfassung!$E$6:$E$3665,$K1410))</f>
        <v/>
      </c>
      <c r="F1410" s="187">
        <f>IF($K1410="","",INDEX(Zeiterfassung!$F$6:$F$3665,$K1410))</f>
        <v/>
      </c>
      <c r="G1410" s="187">
        <f>IF($K1410="","",INDEX(Zeiterfassung!$G$6:$G$3665,$K1410))</f>
        <v/>
      </c>
      <c r="H1410" s="188">
        <f>IF($K1410="","",INDEX(Zeiterfassung!$H$6:$H$3665,$K1410))</f>
        <v/>
      </c>
      <c r="I1410" s="335">
        <f>IF(B1410=B1409,"",IF($K1410="","",INDEX(Zeiterfassung!$I$6:$I$3665,MATCH(INDEX(Zeiterfassung!$K$6:$K$3665,$K1410),Zeiterfassung!$K$6:$K$3665,0))))</f>
        <v/>
      </c>
      <c r="J1410" s="335">
        <f>IF(B1410=B1409,"",IF($K1410="","",INDEX(Zeiterfassung!$J$6:$J$3665,MATCH(INDEX(Zeiterfassung!$K$6:$K$3665,$K1410),Zeiterfassung!$K$6:$K$3665,0))))</f>
        <v/>
      </c>
      <c r="K1410">
        <f>IFERROR(AGGREGATE(15,6,(ROW(Zeiterfassung!$D$6:$D$3665)-ROW(Zeiterfassung!$D$6)+1)/(Zeiterfassung!$D$6:$D$3665&lt;&gt;""),1405),"")</f>
        <v/>
      </c>
    </row>
    <row r="1411" ht="20" customHeight="1">
      <c r="A1411" s="183">
        <f>IF($K1411="","",WEEKNUM(INDEX(Zeiterfassung!$K$6:$K$3665,$K1411),21))</f>
        <v/>
      </c>
      <c r="B1411" s="184">
        <f>IF($K1411="","",INDEX(Zeiterfassung!$K$6:$K$3665,$K1411))</f>
        <v/>
      </c>
      <c r="C1411" s="185">
        <f>IF($K1411="","",INDEX(Zeiterfassung!$K$6:$K$3665,$K1411))</f>
        <v/>
      </c>
      <c r="D1411" s="186">
        <f>IF($K1411="","",INDEX(Zeiterfassung!$D$6:$D$3665,$K1411))</f>
        <v/>
      </c>
      <c r="E1411" s="186">
        <f>IF($K1411="","",INDEX(Zeiterfassung!$E$6:$E$3665,$K1411))</f>
        <v/>
      </c>
      <c r="F1411" s="187">
        <f>IF($K1411="","",INDEX(Zeiterfassung!$F$6:$F$3665,$K1411))</f>
        <v/>
      </c>
      <c r="G1411" s="187">
        <f>IF($K1411="","",INDEX(Zeiterfassung!$G$6:$G$3665,$K1411))</f>
        <v/>
      </c>
      <c r="H1411" s="188">
        <f>IF($K1411="","",INDEX(Zeiterfassung!$H$6:$H$3665,$K1411))</f>
        <v/>
      </c>
      <c r="I1411" s="335">
        <f>IF(B1411=B1410,"",IF($K1411="","",INDEX(Zeiterfassung!$I$6:$I$3665,MATCH(INDEX(Zeiterfassung!$K$6:$K$3665,$K1411),Zeiterfassung!$K$6:$K$3665,0))))</f>
        <v/>
      </c>
      <c r="J1411" s="335">
        <f>IF(B1411=B1410,"",IF($K1411="","",INDEX(Zeiterfassung!$J$6:$J$3665,MATCH(INDEX(Zeiterfassung!$K$6:$K$3665,$K1411),Zeiterfassung!$K$6:$K$3665,0))))</f>
        <v/>
      </c>
      <c r="K1411">
        <f>IFERROR(AGGREGATE(15,6,(ROW(Zeiterfassung!$D$6:$D$3665)-ROW(Zeiterfassung!$D$6)+1)/(Zeiterfassung!$D$6:$D$3665&lt;&gt;""),1406),"")</f>
        <v/>
      </c>
    </row>
    <row r="1412" ht="20" customHeight="1">
      <c r="A1412" s="183">
        <f>IF($K1412="","",WEEKNUM(INDEX(Zeiterfassung!$K$6:$K$3665,$K1412),21))</f>
        <v/>
      </c>
      <c r="B1412" s="184">
        <f>IF($K1412="","",INDEX(Zeiterfassung!$K$6:$K$3665,$K1412))</f>
        <v/>
      </c>
      <c r="C1412" s="185">
        <f>IF($K1412="","",INDEX(Zeiterfassung!$K$6:$K$3665,$K1412))</f>
        <v/>
      </c>
      <c r="D1412" s="186">
        <f>IF($K1412="","",INDEX(Zeiterfassung!$D$6:$D$3665,$K1412))</f>
        <v/>
      </c>
      <c r="E1412" s="186">
        <f>IF($K1412="","",INDEX(Zeiterfassung!$E$6:$E$3665,$K1412))</f>
        <v/>
      </c>
      <c r="F1412" s="187">
        <f>IF($K1412="","",INDEX(Zeiterfassung!$F$6:$F$3665,$K1412))</f>
        <v/>
      </c>
      <c r="G1412" s="187">
        <f>IF($K1412="","",INDEX(Zeiterfassung!$G$6:$G$3665,$K1412))</f>
        <v/>
      </c>
      <c r="H1412" s="188">
        <f>IF($K1412="","",INDEX(Zeiterfassung!$H$6:$H$3665,$K1412))</f>
        <v/>
      </c>
      <c r="I1412" s="335">
        <f>IF(B1412=B1411,"",IF($K1412="","",INDEX(Zeiterfassung!$I$6:$I$3665,MATCH(INDEX(Zeiterfassung!$K$6:$K$3665,$K1412),Zeiterfassung!$K$6:$K$3665,0))))</f>
        <v/>
      </c>
      <c r="J1412" s="335">
        <f>IF(B1412=B1411,"",IF($K1412="","",INDEX(Zeiterfassung!$J$6:$J$3665,MATCH(INDEX(Zeiterfassung!$K$6:$K$3665,$K1412),Zeiterfassung!$K$6:$K$3665,0))))</f>
        <v/>
      </c>
      <c r="K1412">
        <f>IFERROR(AGGREGATE(15,6,(ROW(Zeiterfassung!$D$6:$D$3665)-ROW(Zeiterfassung!$D$6)+1)/(Zeiterfassung!$D$6:$D$3665&lt;&gt;""),1407),"")</f>
        <v/>
      </c>
    </row>
    <row r="1413" ht="20" customHeight="1">
      <c r="A1413" s="183">
        <f>IF($K1413="","",WEEKNUM(INDEX(Zeiterfassung!$K$6:$K$3665,$K1413),21))</f>
        <v/>
      </c>
      <c r="B1413" s="184">
        <f>IF($K1413="","",INDEX(Zeiterfassung!$K$6:$K$3665,$K1413))</f>
        <v/>
      </c>
      <c r="C1413" s="185">
        <f>IF($K1413="","",INDEX(Zeiterfassung!$K$6:$K$3665,$K1413))</f>
        <v/>
      </c>
      <c r="D1413" s="186">
        <f>IF($K1413="","",INDEX(Zeiterfassung!$D$6:$D$3665,$K1413))</f>
        <v/>
      </c>
      <c r="E1413" s="186">
        <f>IF($K1413="","",INDEX(Zeiterfassung!$E$6:$E$3665,$K1413))</f>
        <v/>
      </c>
      <c r="F1413" s="187">
        <f>IF($K1413="","",INDEX(Zeiterfassung!$F$6:$F$3665,$K1413))</f>
        <v/>
      </c>
      <c r="G1413" s="187">
        <f>IF($K1413="","",INDEX(Zeiterfassung!$G$6:$G$3665,$K1413))</f>
        <v/>
      </c>
      <c r="H1413" s="188">
        <f>IF($K1413="","",INDEX(Zeiterfassung!$H$6:$H$3665,$K1413))</f>
        <v/>
      </c>
      <c r="I1413" s="335">
        <f>IF(B1413=B1412,"",IF($K1413="","",INDEX(Zeiterfassung!$I$6:$I$3665,MATCH(INDEX(Zeiterfassung!$K$6:$K$3665,$K1413),Zeiterfassung!$K$6:$K$3665,0))))</f>
        <v/>
      </c>
      <c r="J1413" s="335">
        <f>IF(B1413=B1412,"",IF($K1413="","",INDEX(Zeiterfassung!$J$6:$J$3665,MATCH(INDEX(Zeiterfassung!$K$6:$K$3665,$K1413),Zeiterfassung!$K$6:$K$3665,0))))</f>
        <v/>
      </c>
      <c r="K1413">
        <f>IFERROR(AGGREGATE(15,6,(ROW(Zeiterfassung!$D$6:$D$3665)-ROW(Zeiterfassung!$D$6)+1)/(Zeiterfassung!$D$6:$D$3665&lt;&gt;""),1408),"")</f>
        <v/>
      </c>
    </row>
    <row r="1414" ht="20" customHeight="1">
      <c r="A1414" s="183">
        <f>IF($K1414="","",WEEKNUM(INDEX(Zeiterfassung!$K$6:$K$3665,$K1414),21))</f>
        <v/>
      </c>
      <c r="B1414" s="184">
        <f>IF($K1414="","",INDEX(Zeiterfassung!$K$6:$K$3665,$K1414))</f>
        <v/>
      </c>
      <c r="C1414" s="185">
        <f>IF($K1414="","",INDEX(Zeiterfassung!$K$6:$K$3665,$K1414))</f>
        <v/>
      </c>
      <c r="D1414" s="186">
        <f>IF($K1414="","",INDEX(Zeiterfassung!$D$6:$D$3665,$K1414))</f>
        <v/>
      </c>
      <c r="E1414" s="186">
        <f>IF($K1414="","",INDEX(Zeiterfassung!$E$6:$E$3665,$K1414))</f>
        <v/>
      </c>
      <c r="F1414" s="187">
        <f>IF($K1414="","",INDEX(Zeiterfassung!$F$6:$F$3665,$K1414))</f>
        <v/>
      </c>
      <c r="G1414" s="187">
        <f>IF($K1414="","",INDEX(Zeiterfassung!$G$6:$G$3665,$K1414))</f>
        <v/>
      </c>
      <c r="H1414" s="188">
        <f>IF($K1414="","",INDEX(Zeiterfassung!$H$6:$H$3665,$K1414))</f>
        <v/>
      </c>
      <c r="I1414" s="335">
        <f>IF(B1414=B1413,"",IF($K1414="","",INDEX(Zeiterfassung!$I$6:$I$3665,MATCH(INDEX(Zeiterfassung!$K$6:$K$3665,$K1414),Zeiterfassung!$K$6:$K$3665,0))))</f>
        <v/>
      </c>
      <c r="J1414" s="335">
        <f>IF(B1414=B1413,"",IF($K1414="","",INDEX(Zeiterfassung!$J$6:$J$3665,MATCH(INDEX(Zeiterfassung!$K$6:$K$3665,$K1414),Zeiterfassung!$K$6:$K$3665,0))))</f>
        <v/>
      </c>
      <c r="K1414">
        <f>IFERROR(AGGREGATE(15,6,(ROW(Zeiterfassung!$D$6:$D$3665)-ROW(Zeiterfassung!$D$6)+1)/(Zeiterfassung!$D$6:$D$3665&lt;&gt;""),1409),"")</f>
        <v/>
      </c>
    </row>
    <row r="1415" ht="20" customHeight="1">
      <c r="A1415" s="183">
        <f>IF($K1415="","",WEEKNUM(INDEX(Zeiterfassung!$K$6:$K$3665,$K1415),21))</f>
        <v/>
      </c>
      <c r="B1415" s="184">
        <f>IF($K1415="","",INDEX(Zeiterfassung!$K$6:$K$3665,$K1415))</f>
        <v/>
      </c>
      <c r="C1415" s="185">
        <f>IF($K1415="","",INDEX(Zeiterfassung!$K$6:$K$3665,$K1415))</f>
        <v/>
      </c>
      <c r="D1415" s="186">
        <f>IF($K1415="","",INDEX(Zeiterfassung!$D$6:$D$3665,$K1415))</f>
        <v/>
      </c>
      <c r="E1415" s="186">
        <f>IF($K1415="","",INDEX(Zeiterfassung!$E$6:$E$3665,$K1415))</f>
        <v/>
      </c>
      <c r="F1415" s="187">
        <f>IF($K1415="","",INDEX(Zeiterfassung!$F$6:$F$3665,$K1415))</f>
        <v/>
      </c>
      <c r="G1415" s="187">
        <f>IF($K1415="","",INDEX(Zeiterfassung!$G$6:$G$3665,$K1415))</f>
        <v/>
      </c>
      <c r="H1415" s="188">
        <f>IF($K1415="","",INDEX(Zeiterfassung!$H$6:$H$3665,$K1415))</f>
        <v/>
      </c>
      <c r="I1415" s="335">
        <f>IF(B1415=B1414,"",IF($K1415="","",INDEX(Zeiterfassung!$I$6:$I$3665,MATCH(INDEX(Zeiterfassung!$K$6:$K$3665,$K1415),Zeiterfassung!$K$6:$K$3665,0))))</f>
        <v/>
      </c>
      <c r="J1415" s="335">
        <f>IF(B1415=B1414,"",IF($K1415="","",INDEX(Zeiterfassung!$J$6:$J$3665,MATCH(INDEX(Zeiterfassung!$K$6:$K$3665,$K1415),Zeiterfassung!$K$6:$K$3665,0))))</f>
        <v/>
      </c>
      <c r="K1415">
        <f>IFERROR(AGGREGATE(15,6,(ROW(Zeiterfassung!$D$6:$D$3665)-ROW(Zeiterfassung!$D$6)+1)/(Zeiterfassung!$D$6:$D$3665&lt;&gt;""),1410),"")</f>
        <v/>
      </c>
    </row>
    <row r="1416" ht="20" customHeight="1">
      <c r="A1416" s="183">
        <f>IF($K1416="","",WEEKNUM(INDEX(Zeiterfassung!$K$6:$K$3665,$K1416),21))</f>
        <v/>
      </c>
      <c r="B1416" s="184">
        <f>IF($K1416="","",INDEX(Zeiterfassung!$K$6:$K$3665,$K1416))</f>
        <v/>
      </c>
      <c r="C1416" s="185">
        <f>IF($K1416="","",INDEX(Zeiterfassung!$K$6:$K$3665,$K1416))</f>
        <v/>
      </c>
      <c r="D1416" s="186">
        <f>IF($K1416="","",INDEX(Zeiterfassung!$D$6:$D$3665,$K1416))</f>
        <v/>
      </c>
      <c r="E1416" s="186">
        <f>IF($K1416="","",INDEX(Zeiterfassung!$E$6:$E$3665,$K1416))</f>
        <v/>
      </c>
      <c r="F1416" s="187">
        <f>IF($K1416="","",INDEX(Zeiterfassung!$F$6:$F$3665,$K1416))</f>
        <v/>
      </c>
      <c r="G1416" s="187">
        <f>IF($K1416="","",INDEX(Zeiterfassung!$G$6:$G$3665,$K1416))</f>
        <v/>
      </c>
      <c r="H1416" s="188">
        <f>IF($K1416="","",INDEX(Zeiterfassung!$H$6:$H$3665,$K1416))</f>
        <v/>
      </c>
      <c r="I1416" s="335">
        <f>IF(B1416=B1415,"",IF($K1416="","",INDEX(Zeiterfassung!$I$6:$I$3665,MATCH(INDEX(Zeiterfassung!$K$6:$K$3665,$K1416),Zeiterfassung!$K$6:$K$3665,0))))</f>
        <v/>
      </c>
      <c r="J1416" s="335">
        <f>IF(B1416=B1415,"",IF($K1416="","",INDEX(Zeiterfassung!$J$6:$J$3665,MATCH(INDEX(Zeiterfassung!$K$6:$K$3665,$K1416),Zeiterfassung!$K$6:$K$3665,0))))</f>
        <v/>
      </c>
      <c r="K1416">
        <f>IFERROR(AGGREGATE(15,6,(ROW(Zeiterfassung!$D$6:$D$3665)-ROW(Zeiterfassung!$D$6)+1)/(Zeiterfassung!$D$6:$D$3665&lt;&gt;""),1411),"")</f>
        <v/>
      </c>
    </row>
    <row r="1417" ht="20" customHeight="1">
      <c r="A1417" s="183">
        <f>IF($K1417="","",WEEKNUM(INDEX(Zeiterfassung!$K$6:$K$3665,$K1417),21))</f>
        <v/>
      </c>
      <c r="B1417" s="184">
        <f>IF($K1417="","",INDEX(Zeiterfassung!$K$6:$K$3665,$K1417))</f>
        <v/>
      </c>
      <c r="C1417" s="185">
        <f>IF($K1417="","",INDEX(Zeiterfassung!$K$6:$K$3665,$K1417))</f>
        <v/>
      </c>
      <c r="D1417" s="186">
        <f>IF($K1417="","",INDEX(Zeiterfassung!$D$6:$D$3665,$K1417))</f>
        <v/>
      </c>
      <c r="E1417" s="186">
        <f>IF($K1417="","",INDEX(Zeiterfassung!$E$6:$E$3665,$K1417))</f>
        <v/>
      </c>
      <c r="F1417" s="187">
        <f>IF($K1417="","",INDEX(Zeiterfassung!$F$6:$F$3665,$K1417))</f>
        <v/>
      </c>
      <c r="G1417" s="187">
        <f>IF($K1417="","",INDEX(Zeiterfassung!$G$6:$G$3665,$K1417))</f>
        <v/>
      </c>
      <c r="H1417" s="188">
        <f>IF($K1417="","",INDEX(Zeiterfassung!$H$6:$H$3665,$K1417))</f>
        <v/>
      </c>
      <c r="I1417" s="335">
        <f>IF(B1417=B1416,"",IF($K1417="","",INDEX(Zeiterfassung!$I$6:$I$3665,MATCH(INDEX(Zeiterfassung!$K$6:$K$3665,$K1417),Zeiterfassung!$K$6:$K$3665,0))))</f>
        <v/>
      </c>
      <c r="J1417" s="335">
        <f>IF(B1417=B1416,"",IF($K1417="","",INDEX(Zeiterfassung!$J$6:$J$3665,MATCH(INDEX(Zeiterfassung!$K$6:$K$3665,$K1417),Zeiterfassung!$K$6:$K$3665,0))))</f>
        <v/>
      </c>
      <c r="K1417">
        <f>IFERROR(AGGREGATE(15,6,(ROW(Zeiterfassung!$D$6:$D$3665)-ROW(Zeiterfassung!$D$6)+1)/(Zeiterfassung!$D$6:$D$3665&lt;&gt;""),1412),"")</f>
        <v/>
      </c>
    </row>
    <row r="1418" ht="20" customHeight="1">
      <c r="A1418" s="183">
        <f>IF($K1418="","",WEEKNUM(INDEX(Zeiterfassung!$K$6:$K$3665,$K1418),21))</f>
        <v/>
      </c>
      <c r="B1418" s="184">
        <f>IF($K1418="","",INDEX(Zeiterfassung!$K$6:$K$3665,$K1418))</f>
        <v/>
      </c>
      <c r="C1418" s="185">
        <f>IF($K1418="","",INDEX(Zeiterfassung!$K$6:$K$3665,$K1418))</f>
        <v/>
      </c>
      <c r="D1418" s="186">
        <f>IF($K1418="","",INDEX(Zeiterfassung!$D$6:$D$3665,$K1418))</f>
        <v/>
      </c>
      <c r="E1418" s="186">
        <f>IF($K1418="","",INDEX(Zeiterfassung!$E$6:$E$3665,$K1418))</f>
        <v/>
      </c>
      <c r="F1418" s="187">
        <f>IF($K1418="","",INDEX(Zeiterfassung!$F$6:$F$3665,$K1418))</f>
        <v/>
      </c>
      <c r="G1418" s="187">
        <f>IF($K1418="","",INDEX(Zeiterfassung!$G$6:$G$3665,$K1418))</f>
        <v/>
      </c>
      <c r="H1418" s="188">
        <f>IF($K1418="","",INDEX(Zeiterfassung!$H$6:$H$3665,$K1418))</f>
        <v/>
      </c>
      <c r="I1418" s="335">
        <f>IF(B1418=B1417,"",IF($K1418="","",INDEX(Zeiterfassung!$I$6:$I$3665,MATCH(INDEX(Zeiterfassung!$K$6:$K$3665,$K1418),Zeiterfassung!$K$6:$K$3665,0))))</f>
        <v/>
      </c>
      <c r="J1418" s="335">
        <f>IF(B1418=B1417,"",IF($K1418="","",INDEX(Zeiterfassung!$J$6:$J$3665,MATCH(INDEX(Zeiterfassung!$K$6:$K$3665,$K1418),Zeiterfassung!$K$6:$K$3665,0))))</f>
        <v/>
      </c>
      <c r="K1418">
        <f>IFERROR(AGGREGATE(15,6,(ROW(Zeiterfassung!$D$6:$D$3665)-ROW(Zeiterfassung!$D$6)+1)/(Zeiterfassung!$D$6:$D$3665&lt;&gt;""),1413),"")</f>
        <v/>
      </c>
    </row>
    <row r="1419" ht="20" customHeight="1">
      <c r="A1419" s="183">
        <f>IF($K1419="","",WEEKNUM(INDEX(Zeiterfassung!$K$6:$K$3665,$K1419),21))</f>
        <v/>
      </c>
      <c r="B1419" s="184">
        <f>IF($K1419="","",INDEX(Zeiterfassung!$K$6:$K$3665,$K1419))</f>
        <v/>
      </c>
      <c r="C1419" s="185">
        <f>IF($K1419="","",INDEX(Zeiterfassung!$K$6:$K$3665,$K1419))</f>
        <v/>
      </c>
      <c r="D1419" s="186">
        <f>IF($K1419="","",INDEX(Zeiterfassung!$D$6:$D$3665,$K1419))</f>
        <v/>
      </c>
      <c r="E1419" s="186">
        <f>IF($K1419="","",INDEX(Zeiterfassung!$E$6:$E$3665,$K1419))</f>
        <v/>
      </c>
      <c r="F1419" s="187">
        <f>IF($K1419="","",INDEX(Zeiterfassung!$F$6:$F$3665,$K1419))</f>
        <v/>
      </c>
      <c r="G1419" s="187">
        <f>IF($K1419="","",INDEX(Zeiterfassung!$G$6:$G$3665,$K1419))</f>
        <v/>
      </c>
      <c r="H1419" s="188">
        <f>IF($K1419="","",INDEX(Zeiterfassung!$H$6:$H$3665,$K1419))</f>
        <v/>
      </c>
      <c r="I1419" s="335">
        <f>IF(B1419=B1418,"",IF($K1419="","",INDEX(Zeiterfassung!$I$6:$I$3665,MATCH(INDEX(Zeiterfassung!$K$6:$K$3665,$K1419),Zeiterfassung!$K$6:$K$3665,0))))</f>
        <v/>
      </c>
      <c r="J1419" s="335">
        <f>IF(B1419=B1418,"",IF($K1419="","",INDEX(Zeiterfassung!$J$6:$J$3665,MATCH(INDEX(Zeiterfassung!$K$6:$K$3665,$K1419),Zeiterfassung!$K$6:$K$3665,0))))</f>
        <v/>
      </c>
      <c r="K1419">
        <f>IFERROR(AGGREGATE(15,6,(ROW(Zeiterfassung!$D$6:$D$3665)-ROW(Zeiterfassung!$D$6)+1)/(Zeiterfassung!$D$6:$D$3665&lt;&gt;""),1414),"")</f>
        <v/>
      </c>
    </row>
    <row r="1420" ht="20" customHeight="1">
      <c r="A1420" s="183">
        <f>IF($K1420="","",WEEKNUM(INDEX(Zeiterfassung!$K$6:$K$3665,$K1420),21))</f>
        <v/>
      </c>
      <c r="B1420" s="184">
        <f>IF($K1420="","",INDEX(Zeiterfassung!$K$6:$K$3665,$K1420))</f>
        <v/>
      </c>
      <c r="C1420" s="185">
        <f>IF($K1420="","",INDEX(Zeiterfassung!$K$6:$K$3665,$K1420))</f>
        <v/>
      </c>
      <c r="D1420" s="186">
        <f>IF($K1420="","",INDEX(Zeiterfassung!$D$6:$D$3665,$K1420))</f>
        <v/>
      </c>
      <c r="E1420" s="186">
        <f>IF($K1420="","",INDEX(Zeiterfassung!$E$6:$E$3665,$K1420))</f>
        <v/>
      </c>
      <c r="F1420" s="187">
        <f>IF($K1420="","",INDEX(Zeiterfassung!$F$6:$F$3665,$K1420))</f>
        <v/>
      </c>
      <c r="G1420" s="187">
        <f>IF($K1420="","",INDEX(Zeiterfassung!$G$6:$G$3665,$K1420))</f>
        <v/>
      </c>
      <c r="H1420" s="188">
        <f>IF($K1420="","",INDEX(Zeiterfassung!$H$6:$H$3665,$K1420))</f>
        <v/>
      </c>
      <c r="I1420" s="335">
        <f>IF(B1420=B1419,"",IF($K1420="","",INDEX(Zeiterfassung!$I$6:$I$3665,MATCH(INDEX(Zeiterfassung!$K$6:$K$3665,$K1420),Zeiterfassung!$K$6:$K$3665,0))))</f>
        <v/>
      </c>
      <c r="J1420" s="335">
        <f>IF(B1420=B1419,"",IF($K1420="","",INDEX(Zeiterfassung!$J$6:$J$3665,MATCH(INDEX(Zeiterfassung!$K$6:$K$3665,$K1420),Zeiterfassung!$K$6:$K$3665,0))))</f>
        <v/>
      </c>
      <c r="K1420">
        <f>IFERROR(AGGREGATE(15,6,(ROW(Zeiterfassung!$D$6:$D$3665)-ROW(Zeiterfassung!$D$6)+1)/(Zeiterfassung!$D$6:$D$3665&lt;&gt;""),1415),"")</f>
        <v/>
      </c>
    </row>
    <row r="1421" ht="20" customHeight="1">
      <c r="A1421" s="183">
        <f>IF($K1421="","",WEEKNUM(INDEX(Zeiterfassung!$K$6:$K$3665,$K1421),21))</f>
        <v/>
      </c>
      <c r="B1421" s="184">
        <f>IF($K1421="","",INDEX(Zeiterfassung!$K$6:$K$3665,$K1421))</f>
        <v/>
      </c>
      <c r="C1421" s="185">
        <f>IF($K1421="","",INDEX(Zeiterfassung!$K$6:$K$3665,$K1421))</f>
        <v/>
      </c>
      <c r="D1421" s="186">
        <f>IF($K1421="","",INDEX(Zeiterfassung!$D$6:$D$3665,$K1421))</f>
        <v/>
      </c>
      <c r="E1421" s="186">
        <f>IF($K1421="","",INDEX(Zeiterfassung!$E$6:$E$3665,$K1421))</f>
        <v/>
      </c>
      <c r="F1421" s="187">
        <f>IF($K1421="","",INDEX(Zeiterfassung!$F$6:$F$3665,$K1421))</f>
        <v/>
      </c>
      <c r="G1421" s="187">
        <f>IF($K1421="","",INDEX(Zeiterfassung!$G$6:$G$3665,$K1421))</f>
        <v/>
      </c>
      <c r="H1421" s="188">
        <f>IF($K1421="","",INDEX(Zeiterfassung!$H$6:$H$3665,$K1421))</f>
        <v/>
      </c>
      <c r="I1421" s="335">
        <f>IF(B1421=B1420,"",IF($K1421="","",INDEX(Zeiterfassung!$I$6:$I$3665,MATCH(INDEX(Zeiterfassung!$K$6:$K$3665,$K1421),Zeiterfassung!$K$6:$K$3665,0))))</f>
        <v/>
      </c>
      <c r="J1421" s="335">
        <f>IF(B1421=B1420,"",IF($K1421="","",INDEX(Zeiterfassung!$J$6:$J$3665,MATCH(INDEX(Zeiterfassung!$K$6:$K$3665,$K1421),Zeiterfassung!$K$6:$K$3665,0))))</f>
        <v/>
      </c>
      <c r="K1421">
        <f>IFERROR(AGGREGATE(15,6,(ROW(Zeiterfassung!$D$6:$D$3665)-ROW(Zeiterfassung!$D$6)+1)/(Zeiterfassung!$D$6:$D$3665&lt;&gt;""),1416),"")</f>
        <v/>
      </c>
    </row>
    <row r="1422" ht="20" customHeight="1">
      <c r="A1422" s="183">
        <f>IF($K1422="","",WEEKNUM(INDEX(Zeiterfassung!$K$6:$K$3665,$K1422),21))</f>
        <v/>
      </c>
      <c r="B1422" s="184">
        <f>IF($K1422="","",INDEX(Zeiterfassung!$K$6:$K$3665,$K1422))</f>
        <v/>
      </c>
      <c r="C1422" s="185">
        <f>IF($K1422="","",INDEX(Zeiterfassung!$K$6:$K$3665,$K1422))</f>
        <v/>
      </c>
      <c r="D1422" s="186">
        <f>IF($K1422="","",INDEX(Zeiterfassung!$D$6:$D$3665,$K1422))</f>
        <v/>
      </c>
      <c r="E1422" s="186">
        <f>IF($K1422="","",INDEX(Zeiterfassung!$E$6:$E$3665,$K1422))</f>
        <v/>
      </c>
      <c r="F1422" s="187">
        <f>IF($K1422="","",INDEX(Zeiterfassung!$F$6:$F$3665,$K1422))</f>
        <v/>
      </c>
      <c r="G1422" s="187">
        <f>IF($K1422="","",INDEX(Zeiterfassung!$G$6:$G$3665,$K1422))</f>
        <v/>
      </c>
      <c r="H1422" s="188">
        <f>IF($K1422="","",INDEX(Zeiterfassung!$H$6:$H$3665,$K1422))</f>
        <v/>
      </c>
      <c r="I1422" s="335">
        <f>IF(B1422=B1421,"",IF($K1422="","",INDEX(Zeiterfassung!$I$6:$I$3665,MATCH(INDEX(Zeiterfassung!$K$6:$K$3665,$K1422),Zeiterfassung!$K$6:$K$3665,0))))</f>
        <v/>
      </c>
      <c r="J1422" s="335">
        <f>IF(B1422=B1421,"",IF($K1422="","",INDEX(Zeiterfassung!$J$6:$J$3665,MATCH(INDEX(Zeiterfassung!$K$6:$K$3665,$K1422),Zeiterfassung!$K$6:$K$3665,0))))</f>
        <v/>
      </c>
      <c r="K1422">
        <f>IFERROR(AGGREGATE(15,6,(ROW(Zeiterfassung!$D$6:$D$3665)-ROW(Zeiterfassung!$D$6)+1)/(Zeiterfassung!$D$6:$D$3665&lt;&gt;""),1417),"")</f>
        <v/>
      </c>
    </row>
    <row r="1423" ht="20" customHeight="1">
      <c r="A1423" s="183">
        <f>IF($K1423="","",WEEKNUM(INDEX(Zeiterfassung!$K$6:$K$3665,$K1423),21))</f>
        <v/>
      </c>
      <c r="B1423" s="184">
        <f>IF($K1423="","",INDEX(Zeiterfassung!$K$6:$K$3665,$K1423))</f>
        <v/>
      </c>
      <c r="C1423" s="185">
        <f>IF($K1423="","",INDEX(Zeiterfassung!$K$6:$K$3665,$K1423))</f>
        <v/>
      </c>
      <c r="D1423" s="186">
        <f>IF($K1423="","",INDEX(Zeiterfassung!$D$6:$D$3665,$K1423))</f>
        <v/>
      </c>
      <c r="E1423" s="186">
        <f>IF($K1423="","",INDEX(Zeiterfassung!$E$6:$E$3665,$K1423))</f>
        <v/>
      </c>
      <c r="F1423" s="187">
        <f>IF($K1423="","",INDEX(Zeiterfassung!$F$6:$F$3665,$K1423))</f>
        <v/>
      </c>
      <c r="G1423" s="187">
        <f>IF($K1423="","",INDEX(Zeiterfassung!$G$6:$G$3665,$K1423))</f>
        <v/>
      </c>
      <c r="H1423" s="188">
        <f>IF($K1423="","",INDEX(Zeiterfassung!$H$6:$H$3665,$K1423))</f>
        <v/>
      </c>
      <c r="I1423" s="335">
        <f>IF(B1423=B1422,"",IF($K1423="","",INDEX(Zeiterfassung!$I$6:$I$3665,MATCH(INDEX(Zeiterfassung!$K$6:$K$3665,$K1423),Zeiterfassung!$K$6:$K$3665,0))))</f>
        <v/>
      </c>
      <c r="J1423" s="335">
        <f>IF(B1423=B1422,"",IF($K1423="","",INDEX(Zeiterfassung!$J$6:$J$3665,MATCH(INDEX(Zeiterfassung!$K$6:$K$3665,$K1423),Zeiterfassung!$K$6:$K$3665,0))))</f>
        <v/>
      </c>
      <c r="K1423">
        <f>IFERROR(AGGREGATE(15,6,(ROW(Zeiterfassung!$D$6:$D$3665)-ROW(Zeiterfassung!$D$6)+1)/(Zeiterfassung!$D$6:$D$3665&lt;&gt;""),1418),"")</f>
        <v/>
      </c>
    </row>
    <row r="1424" ht="20" customHeight="1">
      <c r="A1424" s="183">
        <f>IF($K1424="","",WEEKNUM(INDEX(Zeiterfassung!$K$6:$K$3665,$K1424),21))</f>
        <v/>
      </c>
      <c r="B1424" s="184">
        <f>IF($K1424="","",INDEX(Zeiterfassung!$K$6:$K$3665,$K1424))</f>
        <v/>
      </c>
      <c r="C1424" s="185">
        <f>IF($K1424="","",INDEX(Zeiterfassung!$K$6:$K$3665,$K1424))</f>
        <v/>
      </c>
      <c r="D1424" s="186">
        <f>IF($K1424="","",INDEX(Zeiterfassung!$D$6:$D$3665,$K1424))</f>
        <v/>
      </c>
      <c r="E1424" s="186">
        <f>IF($K1424="","",INDEX(Zeiterfassung!$E$6:$E$3665,$K1424))</f>
        <v/>
      </c>
      <c r="F1424" s="187">
        <f>IF($K1424="","",INDEX(Zeiterfassung!$F$6:$F$3665,$K1424))</f>
        <v/>
      </c>
      <c r="G1424" s="187">
        <f>IF($K1424="","",INDEX(Zeiterfassung!$G$6:$G$3665,$K1424))</f>
        <v/>
      </c>
      <c r="H1424" s="188">
        <f>IF($K1424="","",INDEX(Zeiterfassung!$H$6:$H$3665,$K1424))</f>
        <v/>
      </c>
      <c r="I1424" s="335">
        <f>IF(B1424=B1423,"",IF($K1424="","",INDEX(Zeiterfassung!$I$6:$I$3665,MATCH(INDEX(Zeiterfassung!$K$6:$K$3665,$K1424),Zeiterfassung!$K$6:$K$3665,0))))</f>
        <v/>
      </c>
      <c r="J1424" s="335">
        <f>IF(B1424=B1423,"",IF($K1424="","",INDEX(Zeiterfassung!$J$6:$J$3665,MATCH(INDEX(Zeiterfassung!$K$6:$K$3665,$K1424),Zeiterfassung!$K$6:$K$3665,0))))</f>
        <v/>
      </c>
      <c r="K1424">
        <f>IFERROR(AGGREGATE(15,6,(ROW(Zeiterfassung!$D$6:$D$3665)-ROW(Zeiterfassung!$D$6)+1)/(Zeiterfassung!$D$6:$D$3665&lt;&gt;""),1419),"")</f>
        <v/>
      </c>
    </row>
    <row r="1425" ht="20" customHeight="1">
      <c r="A1425" s="183">
        <f>IF($K1425="","",WEEKNUM(INDEX(Zeiterfassung!$K$6:$K$3665,$K1425),21))</f>
        <v/>
      </c>
      <c r="B1425" s="184">
        <f>IF($K1425="","",INDEX(Zeiterfassung!$K$6:$K$3665,$K1425))</f>
        <v/>
      </c>
      <c r="C1425" s="185">
        <f>IF($K1425="","",INDEX(Zeiterfassung!$K$6:$K$3665,$K1425))</f>
        <v/>
      </c>
      <c r="D1425" s="186">
        <f>IF($K1425="","",INDEX(Zeiterfassung!$D$6:$D$3665,$K1425))</f>
        <v/>
      </c>
      <c r="E1425" s="186">
        <f>IF($K1425="","",INDEX(Zeiterfassung!$E$6:$E$3665,$K1425))</f>
        <v/>
      </c>
      <c r="F1425" s="187">
        <f>IF($K1425="","",INDEX(Zeiterfassung!$F$6:$F$3665,$K1425))</f>
        <v/>
      </c>
      <c r="G1425" s="187">
        <f>IF($K1425="","",INDEX(Zeiterfassung!$G$6:$G$3665,$K1425))</f>
        <v/>
      </c>
      <c r="H1425" s="188">
        <f>IF($K1425="","",INDEX(Zeiterfassung!$H$6:$H$3665,$K1425))</f>
        <v/>
      </c>
      <c r="I1425" s="335">
        <f>IF(B1425=B1424,"",IF($K1425="","",INDEX(Zeiterfassung!$I$6:$I$3665,MATCH(INDEX(Zeiterfassung!$K$6:$K$3665,$K1425),Zeiterfassung!$K$6:$K$3665,0))))</f>
        <v/>
      </c>
      <c r="J1425" s="335">
        <f>IF(B1425=B1424,"",IF($K1425="","",INDEX(Zeiterfassung!$J$6:$J$3665,MATCH(INDEX(Zeiterfassung!$K$6:$K$3665,$K1425),Zeiterfassung!$K$6:$K$3665,0))))</f>
        <v/>
      </c>
      <c r="K1425">
        <f>IFERROR(AGGREGATE(15,6,(ROW(Zeiterfassung!$D$6:$D$3665)-ROW(Zeiterfassung!$D$6)+1)/(Zeiterfassung!$D$6:$D$3665&lt;&gt;""),1420),"")</f>
        <v/>
      </c>
    </row>
    <row r="1426" ht="20" customHeight="1">
      <c r="A1426" s="183">
        <f>IF($K1426="","",WEEKNUM(INDEX(Zeiterfassung!$K$6:$K$3665,$K1426),21))</f>
        <v/>
      </c>
      <c r="B1426" s="184">
        <f>IF($K1426="","",INDEX(Zeiterfassung!$K$6:$K$3665,$K1426))</f>
        <v/>
      </c>
      <c r="C1426" s="185">
        <f>IF($K1426="","",INDEX(Zeiterfassung!$K$6:$K$3665,$K1426))</f>
        <v/>
      </c>
      <c r="D1426" s="186">
        <f>IF($K1426="","",INDEX(Zeiterfassung!$D$6:$D$3665,$K1426))</f>
        <v/>
      </c>
      <c r="E1426" s="186">
        <f>IF($K1426="","",INDEX(Zeiterfassung!$E$6:$E$3665,$K1426))</f>
        <v/>
      </c>
      <c r="F1426" s="187">
        <f>IF($K1426="","",INDEX(Zeiterfassung!$F$6:$F$3665,$K1426))</f>
        <v/>
      </c>
      <c r="G1426" s="187">
        <f>IF($K1426="","",INDEX(Zeiterfassung!$G$6:$G$3665,$K1426))</f>
        <v/>
      </c>
      <c r="H1426" s="188">
        <f>IF($K1426="","",INDEX(Zeiterfassung!$H$6:$H$3665,$K1426))</f>
        <v/>
      </c>
      <c r="I1426" s="335">
        <f>IF(B1426=B1425,"",IF($K1426="","",INDEX(Zeiterfassung!$I$6:$I$3665,MATCH(INDEX(Zeiterfassung!$K$6:$K$3665,$K1426),Zeiterfassung!$K$6:$K$3665,0))))</f>
        <v/>
      </c>
      <c r="J1426" s="335">
        <f>IF(B1426=B1425,"",IF($K1426="","",INDEX(Zeiterfassung!$J$6:$J$3665,MATCH(INDEX(Zeiterfassung!$K$6:$K$3665,$K1426),Zeiterfassung!$K$6:$K$3665,0))))</f>
        <v/>
      </c>
      <c r="K1426">
        <f>IFERROR(AGGREGATE(15,6,(ROW(Zeiterfassung!$D$6:$D$3665)-ROW(Zeiterfassung!$D$6)+1)/(Zeiterfassung!$D$6:$D$3665&lt;&gt;""),1421),"")</f>
        <v/>
      </c>
    </row>
    <row r="1427" ht="20" customHeight="1">
      <c r="A1427" s="183">
        <f>IF($K1427="","",WEEKNUM(INDEX(Zeiterfassung!$K$6:$K$3665,$K1427),21))</f>
        <v/>
      </c>
      <c r="B1427" s="184">
        <f>IF($K1427="","",INDEX(Zeiterfassung!$K$6:$K$3665,$K1427))</f>
        <v/>
      </c>
      <c r="C1427" s="185">
        <f>IF($K1427="","",INDEX(Zeiterfassung!$K$6:$K$3665,$K1427))</f>
        <v/>
      </c>
      <c r="D1427" s="186">
        <f>IF($K1427="","",INDEX(Zeiterfassung!$D$6:$D$3665,$K1427))</f>
        <v/>
      </c>
      <c r="E1427" s="186">
        <f>IF($K1427="","",INDEX(Zeiterfassung!$E$6:$E$3665,$K1427))</f>
        <v/>
      </c>
      <c r="F1427" s="187">
        <f>IF($K1427="","",INDEX(Zeiterfassung!$F$6:$F$3665,$K1427))</f>
        <v/>
      </c>
      <c r="G1427" s="187">
        <f>IF($K1427="","",INDEX(Zeiterfassung!$G$6:$G$3665,$K1427))</f>
        <v/>
      </c>
      <c r="H1427" s="188">
        <f>IF($K1427="","",INDEX(Zeiterfassung!$H$6:$H$3665,$K1427))</f>
        <v/>
      </c>
      <c r="I1427" s="335">
        <f>IF(B1427=B1426,"",IF($K1427="","",INDEX(Zeiterfassung!$I$6:$I$3665,MATCH(INDEX(Zeiterfassung!$K$6:$K$3665,$K1427),Zeiterfassung!$K$6:$K$3665,0))))</f>
        <v/>
      </c>
      <c r="J1427" s="335">
        <f>IF(B1427=B1426,"",IF($K1427="","",INDEX(Zeiterfassung!$J$6:$J$3665,MATCH(INDEX(Zeiterfassung!$K$6:$K$3665,$K1427),Zeiterfassung!$K$6:$K$3665,0))))</f>
        <v/>
      </c>
      <c r="K1427">
        <f>IFERROR(AGGREGATE(15,6,(ROW(Zeiterfassung!$D$6:$D$3665)-ROW(Zeiterfassung!$D$6)+1)/(Zeiterfassung!$D$6:$D$3665&lt;&gt;""),1422),"")</f>
        <v/>
      </c>
    </row>
    <row r="1428" ht="20" customHeight="1">
      <c r="A1428" s="183">
        <f>IF($K1428="","",WEEKNUM(INDEX(Zeiterfassung!$K$6:$K$3665,$K1428),21))</f>
        <v/>
      </c>
      <c r="B1428" s="184">
        <f>IF($K1428="","",INDEX(Zeiterfassung!$K$6:$K$3665,$K1428))</f>
        <v/>
      </c>
      <c r="C1428" s="185">
        <f>IF($K1428="","",INDEX(Zeiterfassung!$K$6:$K$3665,$K1428))</f>
        <v/>
      </c>
      <c r="D1428" s="186">
        <f>IF($K1428="","",INDEX(Zeiterfassung!$D$6:$D$3665,$K1428))</f>
        <v/>
      </c>
      <c r="E1428" s="186">
        <f>IF($K1428="","",INDEX(Zeiterfassung!$E$6:$E$3665,$K1428))</f>
        <v/>
      </c>
      <c r="F1428" s="187">
        <f>IF($K1428="","",INDEX(Zeiterfassung!$F$6:$F$3665,$K1428))</f>
        <v/>
      </c>
      <c r="G1428" s="187">
        <f>IF($K1428="","",INDEX(Zeiterfassung!$G$6:$G$3665,$K1428))</f>
        <v/>
      </c>
      <c r="H1428" s="188">
        <f>IF($K1428="","",INDEX(Zeiterfassung!$H$6:$H$3665,$K1428))</f>
        <v/>
      </c>
      <c r="I1428" s="335">
        <f>IF(B1428=B1427,"",IF($K1428="","",INDEX(Zeiterfassung!$I$6:$I$3665,MATCH(INDEX(Zeiterfassung!$K$6:$K$3665,$K1428),Zeiterfassung!$K$6:$K$3665,0))))</f>
        <v/>
      </c>
      <c r="J1428" s="335">
        <f>IF(B1428=B1427,"",IF($K1428="","",INDEX(Zeiterfassung!$J$6:$J$3665,MATCH(INDEX(Zeiterfassung!$K$6:$K$3665,$K1428),Zeiterfassung!$K$6:$K$3665,0))))</f>
        <v/>
      </c>
      <c r="K1428">
        <f>IFERROR(AGGREGATE(15,6,(ROW(Zeiterfassung!$D$6:$D$3665)-ROW(Zeiterfassung!$D$6)+1)/(Zeiterfassung!$D$6:$D$3665&lt;&gt;""),1423),"")</f>
        <v/>
      </c>
    </row>
    <row r="1429" ht="20" customHeight="1">
      <c r="A1429" s="183">
        <f>IF($K1429="","",WEEKNUM(INDEX(Zeiterfassung!$K$6:$K$3665,$K1429),21))</f>
        <v/>
      </c>
      <c r="B1429" s="184">
        <f>IF($K1429="","",INDEX(Zeiterfassung!$K$6:$K$3665,$K1429))</f>
        <v/>
      </c>
      <c r="C1429" s="185">
        <f>IF($K1429="","",INDEX(Zeiterfassung!$K$6:$K$3665,$K1429))</f>
        <v/>
      </c>
      <c r="D1429" s="186">
        <f>IF($K1429="","",INDEX(Zeiterfassung!$D$6:$D$3665,$K1429))</f>
        <v/>
      </c>
      <c r="E1429" s="186">
        <f>IF($K1429="","",INDEX(Zeiterfassung!$E$6:$E$3665,$K1429))</f>
        <v/>
      </c>
      <c r="F1429" s="187">
        <f>IF($K1429="","",INDEX(Zeiterfassung!$F$6:$F$3665,$K1429))</f>
        <v/>
      </c>
      <c r="G1429" s="187">
        <f>IF($K1429="","",INDEX(Zeiterfassung!$G$6:$G$3665,$K1429))</f>
        <v/>
      </c>
      <c r="H1429" s="188">
        <f>IF($K1429="","",INDEX(Zeiterfassung!$H$6:$H$3665,$K1429))</f>
        <v/>
      </c>
      <c r="I1429" s="335">
        <f>IF(B1429=B1428,"",IF($K1429="","",INDEX(Zeiterfassung!$I$6:$I$3665,MATCH(INDEX(Zeiterfassung!$K$6:$K$3665,$K1429),Zeiterfassung!$K$6:$K$3665,0))))</f>
        <v/>
      </c>
      <c r="J1429" s="335">
        <f>IF(B1429=B1428,"",IF($K1429="","",INDEX(Zeiterfassung!$J$6:$J$3665,MATCH(INDEX(Zeiterfassung!$K$6:$K$3665,$K1429),Zeiterfassung!$K$6:$K$3665,0))))</f>
        <v/>
      </c>
      <c r="K1429">
        <f>IFERROR(AGGREGATE(15,6,(ROW(Zeiterfassung!$D$6:$D$3665)-ROW(Zeiterfassung!$D$6)+1)/(Zeiterfassung!$D$6:$D$3665&lt;&gt;""),1424),"")</f>
        <v/>
      </c>
    </row>
    <row r="1430" ht="20" customHeight="1">
      <c r="A1430" s="183">
        <f>IF($K1430="","",WEEKNUM(INDEX(Zeiterfassung!$K$6:$K$3665,$K1430),21))</f>
        <v/>
      </c>
      <c r="B1430" s="184">
        <f>IF($K1430="","",INDEX(Zeiterfassung!$K$6:$K$3665,$K1430))</f>
        <v/>
      </c>
      <c r="C1430" s="185">
        <f>IF($K1430="","",INDEX(Zeiterfassung!$K$6:$K$3665,$K1430))</f>
        <v/>
      </c>
      <c r="D1430" s="186">
        <f>IF($K1430="","",INDEX(Zeiterfassung!$D$6:$D$3665,$K1430))</f>
        <v/>
      </c>
      <c r="E1430" s="186">
        <f>IF($K1430="","",INDEX(Zeiterfassung!$E$6:$E$3665,$K1430))</f>
        <v/>
      </c>
      <c r="F1430" s="187">
        <f>IF($K1430="","",INDEX(Zeiterfassung!$F$6:$F$3665,$K1430))</f>
        <v/>
      </c>
      <c r="G1430" s="187">
        <f>IF($K1430="","",INDEX(Zeiterfassung!$G$6:$G$3665,$K1430))</f>
        <v/>
      </c>
      <c r="H1430" s="188">
        <f>IF($K1430="","",INDEX(Zeiterfassung!$H$6:$H$3665,$K1430))</f>
        <v/>
      </c>
      <c r="I1430" s="335">
        <f>IF(B1430=B1429,"",IF($K1430="","",INDEX(Zeiterfassung!$I$6:$I$3665,MATCH(INDEX(Zeiterfassung!$K$6:$K$3665,$K1430),Zeiterfassung!$K$6:$K$3665,0))))</f>
        <v/>
      </c>
      <c r="J1430" s="335">
        <f>IF(B1430=B1429,"",IF($K1430="","",INDEX(Zeiterfassung!$J$6:$J$3665,MATCH(INDEX(Zeiterfassung!$K$6:$K$3665,$K1430),Zeiterfassung!$K$6:$K$3665,0))))</f>
        <v/>
      </c>
      <c r="K1430">
        <f>IFERROR(AGGREGATE(15,6,(ROW(Zeiterfassung!$D$6:$D$3665)-ROW(Zeiterfassung!$D$6)+1)/(Zeiterfassung!$D$6:$D$3665&lt;&gt;""),1425),"")</f>
        <v/>
      </c>
    </row>
    <row r="1431" ht="20" customHeight="1">
      <c r="A1431" s="183">
        <f>IF($K1431="","",WEEKNUM(INDEX(Zeiterfassung!$K$6:$K$3665,$K1431),21))</f>
        <v/>
      </c>
      <c r="B1431" s="184">
        <f>IF($K1431="","",INDEX(Zeiterfassung!$K$6:$K$3665,$K1431))</f>
        <v/>
      </c>
      <c r="C1431" s="185">
        <f>IF($K1431="","",INDEX(Zeiterfassung!$K$6:$K$3665,$K1431))</f>
        <v/>
      </c>
      <c r="D1431" s="186">
        <f>IF($K1431="","",INDEX(Zeiterfassung!$D$6:$D$3665,$K1431))</f>
        <v/>
      </c>
      <c r="E1431" s="186">
        <f>IF($K1431="","",INDEX(Zeiterfassung!$E$6:$E$3665,$K1431))</f>
        <v/>
      </c>
      <c r="F1431" s="187">
        <f>IF($K1431="","",INDEX(Zeiterfassung!$F$6:$F$3665,$K1431))</f>
        <v/>
      </c>
      <c r="G1431" s="187">
        <f>IF($K1431="","",INDEX(Zeiterfassung!$G$6:$G$3665,$K1431))</f>
        <v/>
      </c>
      <c r="H1431" s="188">
        <f>IF($K1431="","",INDEX(Zeiterfassung!$H$6:$H$3665,$K1431))</f>
        <v/>
      </c>
      <c r="I1431" s="335">
        <f>IF(B1431=B1430,"",IF($K1431="","",INDEX(Zeiterfassung!$I$6:$I$3665,MATCH(INDEX(Zeiterfassung!$K$6:$K$3665,$K1431),Zeiterfassung!$K$6:$K$3665,0))))</f>
        <v/>
      </c>
      <c r="J1431" s="335">
        <f>IF(B1431=B1430,"",IF($K1431="","",INDEX(Zeiterfassung!$J$6:$J$3665,MATCH(INDEX(Zeiterfassung!$K$6:$K$3665,$K1431),Zeiterfassung!$K$6:$K$3665,0))))</f>
        <v/>
      </c>
      <c r="K1431">
        <f>IFERROR(AGGREGATE(15,6,(ROW(Zeiterfassung!$D$6:$D$3665)-ROW(Zeiterfassung!$D$6)+1)/(Zeiterfassung!$D$6:$D$3665&lt;&gt;""),1426),"")</f>
        <v/>
      </c>
    </row>
    <row r="1432" ht="20" customHeight="1">
      <c r="A1432" s="183">
        <f>IF($K1432="","",WEEKNUM(INDEX(Zeiterfassung!$K$6:$K$3665,$K1432),21))</f>
        <v/>
      </c>
      <c r="B1432" s="184">
        <f>IF($K1432="","",INDEX(Zeiterfassung!$K$6:$K$3665,$K1432))</f>
        <v/>
      </c>
      <c r="C1432" s="185">
        <f>IF($K1432="","",INDEX(Zeiterfassung!$K$6:$K$3665,$K1432))</f>
        <v/>
      </c>
      <c r="D1432" s="186">
        <f>IF($K1432="","",INDEX(Zeiterfassung!$D$6:$D$3665,$K1432))</f>
        <v/>
      </c>
      <c r="E1432" s="186">
        <f>IF($K1432="","",INDEX(Zeiterfassung!$E$6:$E$3665,$K1432))</f>
        <v/>
      </c>
      <c r="F1432" s="187">
        <f>IF($K1432="","",INDEX(Zeiterfassung!$F$6:$F$3665,$K1432))</f>
        <v/>
      </c>
      <c r="G1432" s="187">
        <f>IF($K1432="","",INDEX(Zeiterfassung!$G$6:$G$3665,$K1432))</f>
        <v/>
      </c>
      <c r="H1432" s="188">
        <f>IF($K1432="","",INDEX(Zeiterfassung!$H$6:$H$3665,$K1432))</f>
        <v/>
      </c>
      <c r="I1432" s="335">
        <f>IF(B1432=B1431,"",IF($K1432="","",INDEX(Zeiterfassung!$I$6:$I$3665,MATCH(INDEX(Zeiterfassung!$K$6:$K$3665,$K1432),Zeiterfassung!$K$6:$K$3665,0))))</f>
        <v/>
      </c>
      <c r="J1432" s="335">
        <f>IF(B1432=B1431,"",IF($K1432="","",INDEX(Zeiterfassung!$J$6:$J$3665,MATCH(INDEX(Zeiterfassung!$K$6:$K$3665,$K1432),Zeiterfassung!$K$6:$K$3665,0))))</f>
        <v/>
      </c>
      <c r="K1432">
        <f>IFERROR(AGGREGATE(15,6,(ROW(Zeiterfassung!$D$6:$D$3665)-ROW(Zeiterfassung!$D$6)+1)/(Zeiterfassung!$D$6:$D$3665&lt;&gt;""),1427),"")</f>
        <v/>
      </c>
    </row>
    <row r="1433" ht="20" customHeight="1">
      <c r="A1433" s="183">
        <f>IF($K1433="","",WEEKNUM(INDEX(Zeiterfassung!$K$6:$K$3665,$K1433),21))</f>
        <v/>
      </c>
      <c r="B1433" s="184">
        <f>IF($K1433="","",INDEX(Zeiterfassung!$K$6:$K$3665,$K1433))</f>
        <v/>
      </c>
      <c r="C1433" s="185">
        <f>IF($K1433="","",INDEX(Zeiterfassung!$K$6:$K$3665,$K1433))</f>
        <v/>
      </c>
      <c r="D1433" s="186">
        <f>IF($K1433="","",INDEX(Zeiterfassung!$D$6:$D$3665,$K1433))</f>
        <v/>
      </c>
      <c r="E1433" s="186">
        <f>IF($K1433="","",INDEX(Zeiterfassung!$E$6:$E$3665,$K1433))</f>
        <v/>
      </c>
      <c r="F1433" s="187">
        <f>IF($K1433="","",INDEX(Zeiterfassung!$F$6:$F$3665,$K1433))</f>
        <v/>
      </c>
      <c r="G1433" s="187">
        <f>IF($K1433="","",INDEX(Zeiterfassung!$G$6:$G$3665,$K1433))</f>
        <v/>
      </c>
      <c r="H1433" s="188">
        <f>IF($K1433="","",INDEX(Zeiterfassung!$H$6:$H$3665,$K1433))</f>
        <v/>
      </c>
      <c r="I1433" s="335">
        <f>IF(B1433=B1432,"",IF($K1433="","",INDEX(Zeiterfassung!$I$6:$I$3665,MATCH(INDEX(Zeiterfassung!$K$6:$K$3665,$K1433),Zeiterfassung!$K$6:$K$3665,0))))</f>
        <v/>
      </c>
      <c r="J1433" s="335">
        <f>IF(B1433=B1432,"",IF($K1433="","",INDEX(Zeiterfassung!$J$6:$J$3665,MATCH(INDEX(Zeiterfassung!$K$6:$K$3665,$K1433),Zeiterfassung!$K$6:$K$3665,0))))</f>
        <v/>
      </c>
      <c r="K1433">
        <f>IFERROR(AGGREGATE(15,6,(ROW(Zeiterfassung!$D$6:$D$3665)-ROW(Zeiterfassung!$D$6)+1)/(Zeiterfassung!$D$6:$D$3665&lt;&gt;""),1428),"")</f>
        <v/>
      </c>
    </row>
    <row r="1434" ht="20" customHeight="1">
      <c r="A1434" s="183">
        <f>IF($K1434="","",WEEKNUM(INDEX(Zeiterfassung!$K$6:$K$3665,$K1434),21))</f>
        <v/>
      </c>
      <c r="B1434" s="184">
        <f>IF($K1434="","",INDEX(Zeiterfassung!$K$6:$K$3665,$K1434))</f>
        <v/>
      </c>
      <c r="C1434" s="185">
        <f>IF($K1434="","",INDEX(Zeiterfassung!$K$6:$K$3665,$K1434))</f>
        <v/>
      </c>
      <c r="D1434" s="186">
        <f>IF($K1434="","",INDEX(Zeiterfassung!$D$6:$D$3665,$K1434))</f>
        <v/>
      </c>
      <c r="E1434" s="186">
        <f>IF($K1434="","",INDEX(Zeiterfassung!$E$6:$E$3665,$K1434))</f>
        <v/>
      </c>
      <c r="F1434" s="187">
        <f>IF($K1434="","",INDEX(Zeiterfassung!$F$6:$F$3665,$K1434))</f>
        <v/>
      </c>
      <c r="G1434" s="187">
        <f>IF($K1434="","",INDEX(Zeiterfassung!$G$6:$G$3665,$K1434))</f>
        <v/>
      </c>
      <c r="H1434" s="188">
        <f>IF($K1434="","",INDEX(Zeiterfassung!$H$6:$H$3665,$K1434))</f>
        <v/>
      </c>
      <c r="I1434" s="335">
        <f>IF(B1434=B1433,"",IF($K1434="","",INDEX(Zeiterfassung!$I$6:$I$3665,MATCH(INDEX(Zeiterfassung!$K$6:$K$3665,$K1434),Zeiterfassung!$K$6:$K$3665,0))))</f>
        <v/>
      </c>
      <c r="J1434" s="335">
        <f>IF(B1434=B1433,"",IF($K1434="","",INDEX(Zeiterfassung!$J$6:$J$3665,MATCH(INDEX(Zeiterfassung!$K$6:$K$3665,$K1434),Zeiterfassung!$K$6:$K$3665,0))))</f>
        <v/>
      </c>
      <c r="K1434">
        <f>IFERROR(AGGREGATE(15,6,(ROW(Zeiterfassung!$D$6:$D$3665)-ROW(Zeiterfassung!$D$6)+1)/(Zeiterfassung!$D$6:$D$3665&lt;&gt;""),1429),"")</f>
        <v/>
      </c>
    </row>
    <row r="1435" ht="20" customHeight="1">
      <c r="A1435" s="183">
        <f>IF($K1435="","",WEEKNUM(INDEX(Zeiterfassung!$K$6:$K$3665,$K1435),21))</f>
        <v/>
      </c>
      <c r="B1435" s="184">
        <f>IF($K1435="","",INDEX(Zeiterfassung!$K$6:$K$3665,$K1435))</f>
        <v/>
      </c>
      <c r="C1435" s="185">
        <f>IF($K1435="","",INDEX(Zeiterfassung!$K$6:$K$3665,$K1435))</f>
        <v/>
      </c>
      <c r="D1435" s="186">
        <f>IF($K1435="","",INDEX(Zeiterfassung!$D$6:$D$3665,$K1435))</f>
        <v/>
      </c>
      <c r="E1435" s="186">
        <f>IF($K1435="","",INDEX(Zeiterfassung!$E$6:$E$3665,$K1435))</f>
        <v/>
      </c>
      <c r="F1435" s="187">
        <f>IF($K1435="","",INDEX(Zeiterfassung!$F$6:$F$3665,$K1435))</f>
        <v/>
      </c>
      <c r="G1435" s="187">
        <f>IF($K1435="","",INDEX(Zeiterfassung!$G$6:$G$3665,$K1435))</f>
        <v/>
      </c>
      <c r="H1435" s="188">
        <f>IF($K1435="","",INDEX(Zeiterfassung!$H$6:$H$3665,$K1435))</f>
        <v/>
      </c>
      <c r="I1435" s="335">
        <f>IF(B1435=B1434,"",IF($K1435="","",INDEX(Zeiterfassung!$I$6:$I$3665,MATCH(INDEX(Zeiterfassung!$K$6:$K$3665,$K1435),Zeiterfassung!$K$6:$K$3665,0))))</f>
        <v/>
      </c>
      <c r="J1435" s="335">
        <f>IF(B1435=B1434,"",IF($K1435="","",INDEX(Zeiterfassung!$J$6:$J$3665,MATCH(INDEX(Zeiterfassung!$K$6:$K$3665,$K1435),Zeiterfassung!$K$6:$K$3665,0))))</f>
        <v/>
      </c>
      <c r="K1435">
        <f>IFERROR(AGGREGATE(15,6,(ROW(Zeiterfassung!$D$6:$D$3665)-ROW(Zeiterfassung!$D$6)+1)/(Zeiterfassung!$D$6:$D$3665&lt;&gt;""),1430),"")</f>
        <v/>
      </c>
    </row>
    <row r="1436" ht="20" customHeight="1">
      <c r="A1436" s="183">
        <f>IF($K1436="","",WEEKNUM(INDEX(Zeiterfassung!$K$6:$K$3665,$K1436),21))</f>
        <v/>
      </c>
      <c r="B1436" s="184">
        <f>IF($K1436="","",INDEX(Zeiterfassung!$K$6:$K$3665,$K1436))</f>
        <v/>
      </c>
      <c r="C1436" s="185">
        <f>IF($K1436="","",INDEX(Zeiterfassung!$K$6:$K$3665,$K1436))</f>
        <v/>
      </c>
      <c r="D1436" s="186">
        <f>IF($K1436="","",INDEX(Zeiterfassung!$D$6:$D$3665,$K1436))</f>
        <v/>
      </c>
      <c r="E1436" s="186">
        <f>IF($K1436="","",INDEX(Zeiterfassung!$E$6:$E$3665,$K1436))</f>
        <v/>
      </c>
      <c r="F1436" s="187">
        <f>IF($K1436="","",INDEX(Zeiterfassung!$F$6:$F$3665,$K1436))</f>
        <v/>
      </c>
      <c r="G1436" s="187">
        <f>IF($K1436="","",INDEX(Zeiterfassung!$G$6:$G$3665,$K1436))</f>
        <v/>
      </c>
      <c r="H1436" s="188">
        <f>IF($K1436="","",INDEX(Zeiterfassung!$H$6:$H$3665,$K1436))</f>
        <v/>
      </c>
      <c r="I1436" s="335">
        <f>IF(B1436=B1435,"",IF($K1436="","",INDEX(Zeiterfassung!$I$6:$I$3665,MATCH(INDEX(Zeiterfassung!$K$6:$K$3665,$K1436),Zeiterfassung!$K$6:$K$3665,0))))</f>
        <v/>
      </c>
      <c r="J1436" s="335">
        <f>IF(B1436=B1435,"",IF($K1436="","",INDEX(Zeiterfassung!$J$6:$J$3665,MATCH(INDEX(Zeiterfassung!$K$6:$K$3665,$K1436),Zeiterfassung!$K$6:$K$3665,0))))</f>
        <v/>
      </c>
      <c r="K1436">
        <f>IFERROR(AGGREGATE(15,6,(ROW(Zeiterfassung!$D$6:$D$3665)-ROW(Zeiterfassung!$D$6)+1)/(Zeiterfassung!$D$6:$D$3665&lt;&gt;""),1431),"")</f>
        <v/>
      </c>
    </row>
    <row r="1437" ht="20" customHeight="1">
      <c r="A1437" s="183">
        <f>IF($K1437="","",WEEKNUM(INDEX(Zeiterfassung!$K$6:$K$3665,$K1437),21))</f>
        <v/>
      </c>
      <c r="B1437" s="184">
        <f>IF($K1437="","",INDEX(Zeiterfassung!$K$6:$K$3665,$K1437))</f>
        <v/>
      </c>
      <c r="C1437" s="185">
        <f>IF($K1437="","",INDEX(Zeiterfassung!$K$6:$K$3665,$K1437))</f>
        <v/>
      </c>
      <c r="D1437" s="186">
        <f>IF($K1437="","",INDEX(Zeiterfassung!$D$6:$D$3665,$K1437))</f>
        <v/>
      </c>
      <c r="E1437" s="186">
        <f>IF($K1437="","",INDEX(Zeiterfassung!$E$6:$E$3665,$K1437))</f>
        <v/>
      </c>
      <c r="F1437" s="187">
        <f>IF($K1437="","",INDEX(Zeiterfassung!$F$6:$F$3665,$K1437))</f>
        <v/>
      </c>
      <c r="G1437" s="187">
        <f>IF($K1437="","",INDEX(Zeiterfassung!$G$6:$G$3665,$K1437))</f>
        <v/>
      </c>
      <c r="H1437" s="188">
        <f>IF($K1437="","",INDEX(Zeiterfassung!$H$6:$H$3665,$K1437))</f>
        <v/>
      </c>
      <c r="I1437" s="335">
        <f>IF(B1437=B1436,"",IF($K1437="","",INDEX(Zeiterfassung!$I$6:$I$3665,MATCH(INDEX(Zeiterfassung!$K$6:$K$3665,$K1437),Zeiterfassung!$K$6:$K$3665,0))))</f>
        <v/>
      </c>
      <c r="J1437" s="335">
        <f>IF(B1437=B1436,"",IF($K1437="","",INDEX(Zeiterfassung!$J$6:$J$3665,MATCH(INDEX(Zeiterfassung!$K$6:$K$3665,$K1437),Zeiterfassung!$K$6:$K$3665,0))))</f>
        <v/>
      </c>
      <c r="K1437">
        <f>IFERROR(AGGREGATE(15,6,(ROW(Zeiterfassung!$D$6:$D$3665)-ROW(Zeiterfassung!$D$6)+1)/(Zeiterfassung!$D$6:$D$3665&lt;&gt;""),1432),"")</f>
        <v/>
      </c>
    </row>
    <row r="1438" ht="20" customHeight="1">
      <c r="A1438" s="183">
        <f>IF($K1438="","",WEEKNUM(INDEX(Zeiterfassung!$K$6:$K$3665,$K1438),21))</f>
        <v/>
      </c>
      <c r="B1438" s="184">
        <f>IF($K1438="","",INDEX(Zeiterfassung!$K$6:$K$3665,$K1438))</f>
        <v/>
      </c>
      <c r="C1438" s="185">
        <f>IF($K1438="","",INDEX(Zeiterfassung!$K$6:$K$3665,$K1438))</f>
        <v/>
      </c>
      <c r="D1438" s="186">
        <f>IF($K1438="","",INDEX(Zeiterfassung!$D$6:$D$3665,$K1438))</f>
        <v/>
      </c>
      <c r="E1438" s="186">
        <f>IF($K1438="","",INDEX(Zeiterfassung!$E$6:$E$3665,$K1438))</f>
        <v/>
      </c>
      <c r="F1438" s="187">
        <f>IF($K1438="","",INDEX(Zeiterfassung!$F$6:$F$3665,$K1438))</f>
        <v/>
      </c>
      <c r="G1438" s="187">
        <f>IF($K1438="","",INDEX(Zeiterfassung!$G$6:$G$3665,$K1438))</f>
        <v/>
      </c>
      <c r="H1438" s="188">
        <f>IF($K1438="","",INDEX(Zeiterfassung!$H$6:$H$3665,$K1438))</f>
        <v/>
      </c>
      <c r="I1438" s="335">
        <f>IF(B1438=B1437,"",IF($K1438="","",INDEX(Zeiterfassung!$I$6:$I$3665,MATCH(INDEX(Zeiterfassung!$K$6:$K$3665,$K1438),Zeiterfassung!$K$6:$K$3665,0))))</f>
        <v/>
      </c>
      <c r="J1438" s="335">
        <f>IF(B1438=B1437,"",IF($K1438="","",INDEX(Zeiterfassung!$J$6:$J$3665,MATCH(INDEX(Zeiterfassung!$K$6:$K$3665,$K1438),Zeiterfassung!$K$6:$K$3665,0))))</f>
        <v/>
      </c>
      <c r="K1438">
        <f>IFERROR(AGGREGATE(15,6,(ROW(Zeiterfassung!$D$6:$D$3665)-ROW(Zeiterfassung!$D$6)+1)/(Zeiterfassung!$D$6:$D$3665&lt;&gt;""),1433),"")</f>
        <v/>
      </c>
    </row>
    <row r="1439" ht="20" customHeight="1">
      <c r="A1439" s="183">
        <f>IF($K1439="","",WEEKNUM(INDEX(Zeiterfassung!$K$6:$K$3665,$K1439),21))</f>
        <v/>
      </c>
      <c r="B1439" s="184">
        <f>IF($K1439="","",INDEX(Zeiterfassung!$K$6:$K$3665,$K1439))</f>
        <v/>
      </c>
      <c r="C1439" s="185">
        <f>IF($K1439="","",INDEX(Zeiterfassung!$K$6:$K$3665,$K1439))</f>
        <v/>
      </c>
      <c r="D1439" s="186">
        <f>IF($K1439="","",INDEX(Zeiterfassung!$D$6:$D$3665,$K1439))</f>
        <v/>
      </c>
      <c r="E1439" s="186">
        <f>IF($K1439="","",INDEX(Zeiterfassung!$E$6:$E$3665,$K1439))</f>
        <v/>
      </c>
      <c r="F1439" s="187">
        <f>IF($K1439="","",INDEX(Zeiterfassung!$F$6:$F$3665,$K1439))</f>
        <v/>
      </c>
      <c r="G1439" s="187">
        <f>IF($K1439="","",INDEX(Zeiterfassung!$G$6:$G$3665,$K1439))</f>
        <v/>
      </c>
      <c r="H1439" s="188">
        <f>IF($K1439="","",INDEX(Zeiterfassung!$H$6:$H$3665,$K1439))</f>
        <v/>
      </c>
      <c r="I1439" s="335">
        <f>IF(B1439=B1438,"",IF($K1439="","",INDEX(Zeiterfassung!$I$6:$I$3665,MATCH(INDEX(Zeiterfassung!$K$6:$K$3665,$K1439),Zeiterfassung!$K$6:$K$3665,0))))</f>
        <v/>
      </c>
      <c r="J1439" s="335">
        <f>IF(B1439=B1438,"",IF($K1439="","",INDEX(Zeiterfassung!$J$6:$J$3665,MATCH(INDEX(Zeiterfassung!$K$6:$K$3665,$K1439),Zeiterfassung!$K$6:$K$3665,0))))</f>
        <v/>
      </c>
      <c r="K1439">
        <f>IFERROR(AGGREGATE(15,6,(ROW(Zeiterfassung!$D$6:$D$3665)-ROW(Zeiterfassung!$D$6)+1)/(Zeiterfassung!$D$6:$D$3665&lt;&gt;""),1434),"")</f>
        <v/>
      </c>
    </row>
    <row r="1440" ht="20" customHeight="1">
      <c r="A1440" s="183">
        <f>IF($K1440="","",WEEKNUM(INDEX(Zeiterfassung!$K$6:$K$3665,$K1440),21))</f>
        <v/>
      </c>
      <c r="B1440" s="184">
        <f>IF($K1440="","",INDEX(Zeiterfassung!$K$6:$K$3665,$K1440))</f>
        <v/>
      </c>
      <c r="C1440" s="185">
        <f>IF($K1440="","",INDEX(Zeiterfassung!$K$6:$K$3665,$K1440))</f>
        <v/>
      </c>
      <c r="D1440" s="186">
        <f>IF($K1440="","",INDEX(Zeiterfassung!$D$6:$D$3665,$K1440))</f>
        <v/>
      </c>
      <c r="E1440" s="186">
        <f>IF($K1440="","",INDEX(Zeiterfassung!$E$6:$E$3665,$K1440))</f>
        <v/>
      </c>
      <c r="F1440" s="187">
        <f>IF($K1440="","",INDEX(Zeiterfassung!$F$6:$F$3665,$K1440))</f>
        <v/>
      </c>
      <c r="G1440" s="187">
        <f>IF($K1440="","",INDEX(Zeiterfassung!$G$6:$G$3665,$K1440))</f>
        <v/>
      </c>
      <c r="H1440" s="188">
        <f>IF($K1440="","",INDEX(Zeiterfassung!$H$6:$H$3665,$K1440))</f>
        <v/>
      </c>
      <c r="I1440" s="335">
        <f>IF(B1440=B1439,"",IF($K1440="","",INDEX(Zeiterfassung!$I$6:$I$3665,MATCH(INDEX(Zeiterfassung!$K$6:$K$3665,$K1440),Zeiterfassung!$K$6:$K$3665,0))))</f>
        <v/>
      </c>
      <c r="J1440" s="335">
        <f>IF(B1440=B1439,"",IF($K1440="","",INDEX(Zeiterfassung!$J$6:$J$3665,MATCH(INDEX(Zeiterfassung!$K$6:$K$3665,$K1440),Zeiterfassung!$K$6:$K$3665,0))))</f>
        <v/>
      </c>
      <c r="K1440">
        <f>IFERROR(AGGREGATE(15,6,(ROW(Zeiterfassung!$D$6:$D$3665)-ROW(Zeiterfassung!$D$6)+1)/(Zeiterfassung!$D$6:$D$3665&lt;&gt;""),1435),"")</f>
        <v/>
      </c>
    </row>
    <row r="1441" ht="20" customHeight="1">
      <c r="A1441" s="183">
        <f>IF($K1441="","",WEEKNUM(INDEX(Zeiterfassung!$K$6:$K$3665,$K1441),21))</f>
        <v/>
      </c>
      <c r="B1441" s="184">
        <f>IF($K1441="","",INDEX(Zeiterfassung!$K$6:$K$3665,$K1441))</f>
        <v/>
      </c>
      <c r="C1441" s="185">
        <f>IF($K1441="","",INDEX(Zeiterfassung!$K$6:$K$3665,$K1441))</f>
        <v/>
      </c>
      <c r="D1441" s="186">
        <f>IF($K1441="","",INDEX(Zeiterfassung!$D$6:$D$3665,$K1441))</f>
        <v/>
      </c>
      <c r="E1441" s="186">
        <f>IF($K1441="","",INDEX(Zeiterfassung!$E$6:$E$3665,$K1441))</f>
        <v/>
      </c>
      <c r="F1441" s="187">
        <f>IF($K1441="","",INDEX(Zeiterfassung!$F$6:$F$3665,$K1441))</f>
        <v/>
      </c>
      <c r="G1441" s="187">
        <f>IF($K1441="","",INDEX(Zeiterfassung!$G$6:$G$3665,$K1441))</f>
        <v/>
      </c>
      <c r="H1441" s="188">
        <f>IF($K1441="","",INDEX(Zeiterfassung!$H$6:$H$3665,$K1441))</f>
        <v/>
      </c>
      <c r="I1441" s="335">
        <f>IF(B1441=B1440,"",IF($K1441="","",INDEX(Zeiterfassung!$I$6:$I$3665,MATCH(INDEX(Zeiterfassung!$K$6:$K$3665,$K1441),Zeiterfassung!$K$6:$K$3665,0))))</f>
        <v/>
      </c>
      <c r="J1441" s="335">
        <f>IF(B1441=B1440,"",IF($K1441="","",INDEX(Zeiterfassung!$J$6:$J$3665,MATCH(INDEX(Zeiterfassung!$K$6:$K$3665,$K1441),Zeiterfassung!$K$6:$K$3665,0))))</f>
        <v/>
      </c>
      <c r="K1441">
        <f>IFERROR(AGGREGATE(15,6,(ROW(Zeiterfassung!$D$6:$D$3665)-ROW(Zeiterfassung!$D$6)+1)/(Zeiterfassung!$D$6:$D$3665&lt;&gt;""),1436),"")</f>
        <v/>
      </c>
    </row>
    <row r="1442" ht="20" customHeight="1">
      <c r="A1442" s="183">
        <f>IF($K1442="","",WEEKNUM(INDEX(Zeiterfassung!$K$6:$K$3665,$K1442),21))</f>
        <v/>
      </c>
      <c r="B1442" s="184">
        <f>IF($K1442="","",INDEX(Zeiterfassung!$K$6:$K$3665,$K1442))</f>
        <v/>
      </c>
      <c r="C1442" s="185">
        <f>IF($K1442="","",INDEX(Zeiterfassung!$K$6:$K$3665,$K1442))</f>
        <v/>
      </c>
      <c r="D1442" s="186">
        <f>IF($K1442="","",INDEX(Zeiterfassung!$D$6:$D$3665,$K1442))</f>
        <v/>
      </c>
      <c r="E1442" s="186">
        <f>IF($K1442="","",INDEX(Zeiterfassung!$E$6:$E$3665,$K1442))</f>
        <v/>
      </c>
      <c r="F1442" s="187">
        <f>IF($K1442="","",INDEX(Zeiterfassung!$F$6:$F$3665,$K1442))</f>
        <v/>
      </c>
      <c r="G1442" s="187">
        <f>IF($K1442="","",INDEX(Zeiterfassung!$G$6:$G$3665,$K1442))</f>
        <v/>
      </c>
      <c r="H1442" s="188">
        <f>IF($K1442="","",INDEX(Zeiterfassung!$H$6:$H$3665,$K1442))</f>
        <v/>
      </c>
      <c r="I1442" s="335">
        <f>IF(B1442=B1441,"",IF($K1442="","",INDEX(Zeiterfassung!$I$6:$I$3665,MATCH(INDEX(Zeiterfassung!$K$6:$K$3665,$K1442),Zeiterfassung!$K$6:$K$3665,0))))</f>
        <v/>
      </c>
      <c r="J1442" s="335">
        <f>IF(B1442=B1441,"",IF($K1442="","",INDEX(Zeiterfassung!$J$6:$J$3665,MATCH(INDEX(Zeiterfassung!$K$6:$K$3665,$K1442),Zeiterfassung!$K$6:$K$3665,0))))</f>
        <v/>
      </c>
      <c r="K1442">
        <f>IFERROR(AGGREGATE(15,6,(ROW(Zeiterfassung!$D$6:$D$3665)-ROW(Zeiterfassung!$D$6)+1)/(Zeiterfassung!$D$6:$D$3665&lt;&gt;""),1437),"")</f>
        <v/>
      </c>
    </row>
    <row r="1443" ht="20" customHeight="1">
      <c r="A1443" s="183">
        <f>IF($K1443="","",WEEKNUM(INDEX(Zeiterfassung!$K$6:$K$3665,$K1443),21))</f>
        <v/>
      </c>
      <c r="B1443" s="184">
        <f>IF($K1443="","",INDEX(Zeiterfassung!$K$6:$K$3665,$K1443))</f>
        <v/>
      </c>
      <c r="C1443" s="185">
        <f>IF($K1443="","",INDEX(Zeiterfassung!$K$6:$K$3665,$K1443))</f>
        <v/>
      </c>
      <c r="D1443" s="186">
        <f>IF($K1443="","",INDEX(Zeiterfassung!$D$6:$D$3665,$K1443))</f>
        <v/>
      </c>
      <c r="E1443" s="186">
        <f>IF($K1443="","",INDEX(Zeiterfassung!$E$6:$E$3665,$K1443))</f>
        <v/>
      </c>
      <c r="F1443" s="187">
        <f>IF($K1443="","",INDEX(Zeiterfassung!$F$6:$F$3665,$K1443))</f>
        <v/>
      </c>
      <c r="G1443" s="187">
        <f>IF($K1443="","",INDEX(Zeiterfassung!$G$6:$G$3665,$K1443))</f>
        <v/>
      </c>
      <c r="H1443" s="188">
        <f>IF($K1443="","",INDEX(Zeiterfassung!$H$6:$H$3665,$K1443))</f>
        <v/>
      </c>
      <c r="I1443" s="335">
        <f>IF(B1443=B1442,"",IF($K1443="","",INDEX(Zeiterfassung!$I$6:$I$3665,MATCH(INDEX(Zeiterfassung!$K$6:$K$3665,$K1443),Zeiterfassung!$K$6:$K$3665,0))))</f>
        <v/>
      </c>
      <c r="J1443" s="335">
        <f>IF(B1443=B1442,"",IF($K1443="","",INDEX(Zeiterfassung!$J$6:$J$3665,MATCH(INDEX(Zeiterfassung!$K$6:$K$3665,$K1443),Zeiterfassung!$K$6:$K$3665,0))))</f>
        <v/>
      </c>
      <c r="K1443">
        <f>IFERROR(AGGREGATE(15,6,(ROW(Zeiterfassung!$D$6:$D$3665)-ROW(Zeiterfassung!$D$6)+1)/(Zeiterfassung!$D$6:$D$3665&lt;&gt;""),1438),"")</f>
        <v/>
      </c>
    </row>
    <row r="1444" ht="20" customHeight="1">
      <c r="A1444" s="183">
        <f>IF($K1444="","",WEEKNUM(INDEX(Zeiterfassung!$K$6:$K$3665,$K1444),21))</f>
        <v/>
      </c>
      <c r="B1444" s="184">
        <f>IF($K1444="","",INDEX(Zeiterfassung!$K$6:$K$3665,$K1444))</f>
        <v/>
      </c>
      <c r="C1444" s="185">
        <f>IF($K1444="","",INDEX(Zeiterfassung!$K$6:$K$3665,$K1444))</f>
        <v/>
      </c>
      <c r="D1444" s="186">
        <f>IF($K1444="","",INDEX(Zeiterfassung!$D$6:$D$3665,$K1444))</f>
        <v/>
      </c>
      <c r="E1444" s="186">
        <f>IF($K1444="","",INDEX(Zeiterfassung!$E$6:$E$3665,$K1444))</f>
        <v/>
      </c>
      <c r="F1444" s="187">
        <f>IF($K1444="","",INDEX(Zeiterfassung!$F$6:$F$3665,$K1444))</f>
        <v/>
      </c>
      <c r="G1444" s="187">
        <f>IF($K1444="","",INDEX(Zeiterfassung!$G$6:$G$3665,$K1444))</f>
        <v/>
      </c>
      <c r="H1444" s="188">
        <f>IF($K1444="","",INDEX(Zeiterfassung!$H$6:$H$3665,$K1444))</f>
        <v/>
      </c>
      <c r="I1444" s="335">
        <f>IF(B1444=B1443,"",IF($K1444="","",INDEX(Zeiterfassung!$I$6:$I$3665,MATCH(INDEX(Zeiterfassung!$K$6:$K$3665,$K1444),Zeiterfassung!$K$6:$K$3665,0))))</f>
        <v/>
      </c>
      <c r="J1444" s="335">
        <f>IF(B1444=B1443,"",IF($K1444="","",INDEX(Zeiterfassung!$J$6:$J$3665,MATCH(INDEX(Zeiterfassung!$K$6:$K$3665,$K1444),Zeiterfassung!$K$6:$K$3665,0))))</f>
        <v/>
      </c>
      <c r="K1444">
        <f>IFERROR(AGGREGATE(15,6,(ROW(Zeiterfassung!$D$6:$D$3665)-ROW(Zeiterfassung!$D$6)+1)/(Zeiterfassung!$D$6:$D$3665&lt;&gt;""),1439),"")</f>
        <v/>
      </c>
    </row>
    <row r="1445" ht="20" customHeight="1">
      <c r="A1445" s="183">
        <f>IF($K1445="","",WEEKNUM(INDEX(Zeiterfassung!$K$6:$K$3665,$K1445),21))</f>
        <v/>
      </c>
      <c r="B1445" s="184">
        <f>IF($K1445="","",INDEX(Zeiterfassung!$K$6:$K$3665,$K1445))</f>
        <v/>
      </c>
      <c r="C1445" s="185">
        <f>IF($K1445="","",INDEX(Zeiterfassung!$K$6:$K$3665,$K1445))</f>
        <v/>
      </c>
      <c r="D1445" s="186">
        <f>IF($K1445="","",INDEX(Zeiterfassung!$D$6:$D$3665,$K1445))</f>
        <v/>
      </c>
      <c r="E1445" s="186">
        <f>IF($K1445="","",INDEX(Zeiterfassung!$E$6:$E$3665,$K1445))</f>
        <v/>
      </c>
      <c r="F1445" s="187">
        <f>IF($K1445="","",INDEX(Zeiterfassung!$F$6:$F$3665,$K1445))</f>
        <v/>
      </c>
      <c r="G1445" s="187">
        <f>IF($K1445="","",INDEX(Zeiterfassung!$G$6:$G$3665,$K1445))</f>
        <v/>
      </c>
      <c r="H1445" s="188">
        <f>IF($K1445="","",INDEX(Zeiterfassung!$H$6:$H$3665,$K1445))</f>
        <v/>
      </c>
      <c r="I1445" s="335">
        <f>IF(B1445=B1444,"",IF($K1445="","",INDEX(Zeiterfassung!$I$6:$I$3665,MATCH(INDEX(Zeiterfassung!$K$6:$K$3665,$K1445),Zeiterfassung!$K$6:$K$3665,0))))</f>
        <v/>
      </c>
      <c r="J1445" s="335">
        <f>IF(B1445=B1444,"",IF($K1445="","",INDEX(Zeiterfassung!$J$6:$J$3665,MATCH(INDEX(Zeiterfassung!$K$6:$K$3665,$K1445),Zeiterfassung!$K$6:$K$3665,0))))</f>
        <v/>
      </c>
      <c r="K1445">
        <f>IFERROR(AGGREGATE(15,6,(ROW(Zeiterfassung!$D$6:$D$3665)-ROW(Zeiterfassung!$D$6)+1)/(Zeiterfassung!$D$6:$D$3665&lt;&gt;""),1440),"")</f>
        <v/>
      </c>
    </row>
    <row r="1446" ht="20" customHeight="1">
      <c r="A1446" s="183">
        <f>IF($K1446="","",WEEKNUM(INDEX(Zeiterfassung!$K$6:$K$3665,$K1446),21))</f>
        <v/>
      </c>
      <c r="B1446" s="184">
        <f>IF($K1446="","",INDEX(Zeiterfassung!$K$6:$K$3665,$K1446))</f>
        <v/>
      </c>
      <c r="C1446" s="185">
        <f>IF($K1446="","",INDEX(Zeiterfassung!$K$6:$K$3665,$K1446))</f>
        <v/>
      </c>
      <c r="D1446" s="186">
        <f>IF($K1446="","",INDEX(Zeiterfassung!$D$6:$D$3665,$K1446))</f>
        <v/>
      </c>
      <c r="E1446" s="186">
        <f>IF($K1446="","",INDEX(Zeiterfassung!$E$6:$E$3665,$K1446))</f>
        <v/>
      </c>
      <c r="F1446" s="187">
        <f>IF($K1446="","",INDEX(Zeiterfassung!$F$6:$F$3665,$K1446))</f>
        <v/>
      </c>
      <c r="G1446" s="187">
        <f>IF($K1446="","",INDEX(Zeiterfassung!$G$6:$G$3665,$K1446))</f>
        <v/>
      </c>
      <c r="H1446" s="188">
        <f>IF($K1446="","",INDEX(Zeiterfassung!$H$6:$H$3665,$K1446))</f>
        <v/>
      </c>
      <c r="I1446" s="335">
        <f>IF(B1446=B1445,"",IF($K1446="","",INDEX(Zeiterfassung!$I$6:$I$3665,MATCH(INDEX(Zeiterfassung!$K$6:$K$3665,$K1446),Zeiterfassung!$K$6:$K$3665,0))))</f>
        <v/>
      </c>
      <c r="J1446" s="335">
        <f>IF(B1446=B1445,"",IF($K1446="","",INDEX(Zeiterfassung!$J$6:$J$3665,MATCH(INDEX(Zeiterfassung!$K$6:$K$3665,$K1446),Zeiterfassung!$K$6:$K$3665,0))))</f>
        <v/>
      </c>
      <c r="K1446">
        <f>IFERROR(AGGREGATE(15,6,(ROW(Zeiterfassung!$D$6:$D$3665)-ROW(Zeiterfassung!$D$6)+1)/(Zeiterfassung!$D$6:$D$3665&lt;&gt;""),1441),"")</f>
        <v/>
      </c>
    </row>
    <row r="1447" ht="20" customHeight="1">
      <c r="A1447" s="183">
        <f>IF($K1447="","",WEEKNUM(INDEX(Zeiterfassung!$K$6:$K$3665,$K1447),21))</f>
        <v/>
      </c>
      <c r="B1447" s="184">
        <f>IF($K1447="","",INDEX(Zeiterfassung!$K$6:$K$3665,$K1447))</f>
        <v/>
      </c>
      <c r="C1447" s="185">
        <f>IF($K1447="","",INDEX(Zeiterfassung!$K$6:$K$3665,$K1447))</f>
        <v/>
      </c>
      <c r="D1447" s="186">
        <f>IF($K1447="","",INDEX(Zeiterfassung!$D$6:$D$3665,$K1447))</f>
        <v/>
      </c>
      <c r="E1447" s="186">
        <f>IF($K1447="","",INDEX(Zeiterfassung!$E$6:$E$3665,$K1447))</f>
        <v/>
      </c>
      <c r="F1447" s="187">
        <f>IF($K1447="","",INDEX(Zeiterfassung!$F$6:$F$3665,$K1447))</f>
        <v/>
      </c>
      <c r="G1447" s="187">
        <f>IF($K1447="","",INDEX(Zeiterfassung!$G$6:$G$3665,$K1447))</f>
        <v/>
      </c>
      <c r="H1447" s="188">
        <f>IF($K1447="","",INDEX(Zeiterfassung!$H$6:$H$3665,$K1447))</f>
        <v/>
      </c>
      <c r="I1447" s="335">
        <f>IF(B1447=B1446,"",IF($K1447="","",INDEX(Zeiterfassung!$I$6:$I$3665,MATCH(INDEX(Zeiterfassung!$K$6:$K$3665,$K1447),Zeiterfassung!$K$6:$K$3665,0))))</f>
        <v/>
      </c>
      <c r="J1447" s="335">
        <f>IF(B1447=B1446,"",IF($K1447="","",INDEX(Zeiterfassung!$J$6:$J$3665,MATCH(INDEX(Zeiterfassung!$K$6:$K$3665,$K1447),Zeiterfassung!$K$6:$K$3665,0))))</f>
        <v/>
      </c>
      <c r="K1447">
        <f>IFERROR(AGGREGATE(15,6,(ROW(Zeiterfassung!$D$6:$D$3665)-ROW(Zeiterfassung!$D$6)+1)/(Zeiterfassung!$D$6:$D$3665&lt;&gt;""),1442),"")</f>
        <v/>
      </c>
    </row>
    <row r="1448" ht="20" customHeight="1">
      <c r="A1448" s="183">
        <f>IF($K1448="","",WEEKNUM(INDEX(Zeiterfassung!$K$6:$K$3665,$K1448),21))</f>
        <v/>
      </c>
      <c r="B1448" s="184">
        <f>IF($K1448="","",INDEX(Zeiterfassung!$K$6:$K$3665,$K1448))</f>
        <v/>
      </c>
      <c r="C1448" s="185">
        <f>IF($K1448="","",INDEX(Zeiterfassung!$K$6:$K$3665,$K1448))</f>
        <v/>
      </c>
      <c r="D1448" s="186">
        <f>IF($K1448="","",INDEX(Zeiterfassung!$D$6:$D$3665,$K1448))</f>
        <v/>
      </c>
      <c r="E1448" s="186">
        <f>IF($K1448="","",INDEX(Zeiterfassung!$E$6:$E$3665,$K1448))</f>
        <v/>
      </c>
      <c r="F1448" s="187">
        <f>IF($K1448="","",INDEX(Zeiterfassung!$F$6:$F$3665,$K1448))</f>
        <v/>
      </c>
      <c r="G1448" s="187">
        <f>IF($K1448="","",INDEX(Zeiterfassung!$G$6:$G$3665,$K1448))</f>
        <v/>
      </c>
      <c r="H1448" s="188">
        <f>IF($K1448="","",INDEX(Zeiterfassung!$H$6:$H$3665,$K1448))</f>
        <v/>
      </c>
      <c r="I1448" s="335">
        <f>IF(B1448=B1447,"",IF($K1448="","",INDEX(Zeiterfassung!$I$6:$I$3665,MATCH(INDEX(Zeiterfassung!$K$6:$K$3665,$K1448),Zeiterfassung!$K$6:$K$3665,0))))</f>
        <v/>
      </c>
      <c r="J1448" s="335">
        <f>IF(B1448=B1447,"",IF($K1448="","",INDEX(Zeiterfassung!$J$6:$J$3665,MATCH(INDEX(Zeiterfassung!$K$6:$K$3665,$K1448),Zeiterfassung!$K$6:$K$3665,0))))</f>
        <v/>
      </c>
      <c r="K1448">
        <f>IFERROR(AGGREGATE(15,6,(ROW(Zeiterfassung!$D$6:$D$3665)-ROW(Zeiterfassung!$D$6)+1)/(Zeiterfassung!$D$6:$D$3665&lt;&gt;""),1443),"")</f>
        <v/>
      </c>
    </row>
    <row r="1449" ht="20" customHeight="1">
      <c r="A1449" s="183">
        <f>IF($K1449="","",WEEKNUM(INDEX(Zeiterfassung!$K$6:$K$3665,$K1449),21))</f>
        <v/>
      </c>
      <c r="B1449" s="184">
        <f>IF($K1449="","",INDEX(Zeiterfassung!$K$6:$K$3665,$K1449))</f>
        <v/>
      </c>
      <c r="C1449" s="185">
        <f>IF($K1449="","",INDEX(Zeiterfassung!$K$6:$K$3665,$K1449))</f>
        <v/>
      </c>
      <c r="D1449" s="186">
        <f>IF($K1449="","",INDEX(Zeiterfassung!$D$6:$D$3665,$K1449))</f>
        <v/>
      </c>
      <c r="E1449" s="186">
        <f>IF($K1449="","",INDEX(Zeiterfassung!$E$6:$E$3665,$K1449))</f>
        <v/>
      </c>
      <c r="F1449" s="187">
        <f>IF($K1449="","",INDEX(Zeiterfassung!$F$6:$F$3665,$K1449))</f>
        <v/>
      </c>
      <c r="G1449" s="187">
        <f>IF($K1449="","",INDEX(Zeiterfassung!$G$6:$G$3665,$K1449))</f>
        <v/>
      </c>
      <c r="H1449" s="188">
        <f>IF($K1449="","",INDEX(Zeiterfassung!$H$6:$H$3665,$K1449))</f>
        <v/>
      </c>
      <c r="I1449" s="335">
        <f>IF(B1449=B1448,"",IF($K1449="","",INDEX(Zeiterfassung!$I$6:$I$3665,MATCH(INDEX(Zeiterfassung!$K$6:$K$3665,$K1449),Zeiterfassung!$K$6:$K$3665,0))))</f>
        <v/>
      </c>
      <c r="J1449" s="335">
        <f>IF(B1449=B1448,"",IF($K1449="","",INDEX(Zeiterfassung!$J$6:$J$3665,MATCH(INDEX(Zeiterfassung!$K$6:$K$3665,$K1449),Zeiterfassung!$K$6:$K$3665,0))))</f>
        <v/>
      </c>
      <c r="K1449">
        <f>IFERROR(AGGREGATE(15,6,(ROW(Zeiterfassung!$D$6:$D$3665)-ROW(Zeiterfassung!$D$6)+1)/(Zeiterfassung!$D$6:$D$3665&lt;&gt;""),1444),"")</f>
        <v/>
      </c>
    </row>
    <row r="1450" ht="20" customHeight="1">
      <c r="A1450" s="183">
        <f>IF($K1450="","",WEEKNUM(INDEX(Zeiterfassung!$K$6:$K$3665,$K1450),21))</f>
        <v/>
      </c>
      <c r="B1450" s="184">
        <f>IF($K1450="","",INDEX(Zeiterfassung!$K$6:$K$3665,$K1450))</f>
        <v/>
      </c>
      <c r="C1450" s="185">
        <f>IF($K1450="","",INDEX(Zeiterfassung!$K$6:$K$3665,$K1450))</f>
        <v/>
      </c>
      <c r="D1450" s="186">
        <f>IF($K1450="","",INDEX(Zeiterfassung!$D$6:$D$3665,$K1450))</f>
        <v/>
      </c>
      <c r="E1450" s="186">
        <f>IF($K1450="","",INDEX(Zeiterfassung!$E$6:$E$3665,$K1450))</f>
        <v/>
      </c>
      <c r="F1450" s="187">
        <f>IF($K1450="","",INDEX(Zeiterfassung!$F$6:$F$3665,$K1450))</f>
        <v/>
      </c>
      <c r="G1450" s="187">
        <f>IF($K1450="","",INDEX(Zeiterfassung!$G$6:$G$3665,$K1450))</f>
        <v/>
      </c>
      <c r="H1450" s="188">
        <f>IF($K1450="","",INDEX(Zeiterfassung!$H$6:$H$3665,$K1450))</f>
        <v/>
      </c>
      <c r="I1450" s="335">
        <f>IF(B1450=B1449,"",IF($K1450="","",INDEX(Zeiterfassung!$I$6:$I$3665,MATCH(INDEX(Zeiterfassung!$K$6:$K$3665,$K1450),Zeiterfassung!$K$6:$K$3665,0))))</f>
        <v/>
      </c>
      <c r="J1450" s="335">
        <f>IF(B1450=B1449,"",IF($K1450="","",INDEX(Zeiterfassung!$J$6:$J$3665,MATCH(INDEX(Zeiterfassung!$K$6:$K$3665,$K1450),Zeiterfassung!$K$6:$K$3665,0))))</f>
        <v/>
      </c>
      <c r="K1450">
        <f>IFERROR(AGGREGATE(15,6,(ROW(Zeiterfassung!$D$6:$D$3665)-ROW(Zeiterfassung!$D$6)+1)/(Zeiterfassung!$D$6:$D$3665&lt;&gt;""),1445),"")</f>
        <v/>
      </c>
    </row>
    <row r="1451" ht="20" customHeight="1">
      <c r="A1451" s="183">
        <f>IF($K1451="","",WEEKNUM(INDEX(Zeiterfassung!$K$6:$K$3665,$K1451),21))</f>
        <v/>
      </c>
      <c r="B1451" s="184">
        <f>IF($K1451="","",INDEX(Zeiterfassung!$K$6:$K$3665,$K1451))</f>
        <v/>
      </c>
      <c r="C1451" s="185">
        <f>IF($K1451="","",INDEX(Zeiterfassung!$K$6:$K$3665,$K1451))</f>
        <v/>
      </c>
      <c r="D1451" s="186">
        <f>IF($K1451="","",INDEX(Zeiterfassung!$D$6:$D$3665,$K1451))</f>
        <v/>
      </c>
      <c r="E1451" s="186">
        <f>IF($K1451="","",INDEX(Zeiterfassung!$E$6:$E$3665,$K1451))</f>
        <v/>
      </c>
      <c r="F1451" s="187">
        <f>IF($K1451="","",INDEX(Zeiterfassung!$F$6:$F$3665,$K1451))</f>
        <v/>
      </c>
      <c r="G1451" s="187">
        <f>IF($K1451="","",INDEX(Zeiterfassung!$G$6:$G$3665,$K1451))</f>
        <v/>
      </c>
      <c r="H1451" s="188">
        <f>IF($K1451="","",INDEX(Zeiterfassung!$H$6:$H$3665,$K1451))</f>
        <v/>
      </c>
      <c r="I1451" s="335">
        <f>IF(B1451=B1450,"",IF($K1451="","",INDEX(Zeiterfassung!$I$6:$I$3665,MATCH(INDEX(Zeiterfassung!$K$6:$K$3665,$K1451),Zeiterfassung!$K$6:$K$3665,0))))</f>
        <v/>
      </c>
      <c r="J1451" s="335">
        <f>IF(B1451=B1450,"",IF($K1451="","",INDEX(Zeiterfassung!$J$6:$J$3665,MATCH(INDEX(Zeiterfassung!$K$6:$K$3665,$K1451),Zeiterfassung!$K$6:$K$3665,0))))</f>
        <v/>
      </c>
      <c r="K1451">
        <f>IFERROR(AGGREGATE(15,6,(ROW(Zeiterfassung!$D$6:$D$3665)-ROW(Zeiterfassung!$D$6)+1)/(Zeiterfassung!$D$6:$D$3665&lt;&gt;""),1446),"")</f>
        <v/>
      </c>
    </row>
    <row r="1452" ht="20" customHeight="1">
      <c r="A1452" s="183">
        <f>IF($K1452="","",WEEKNUM(INDEX(Zeiterfassung!$K$6:$K$3665,$K1452),21))</f>
        <v/>
      </c>
      <c r="B1452" s="184">
        <f>IF($K1452="","",INDEX(Zeiterfassung!$K$6:$K$3665,$K1452))</f>
        <v/>
      </c>
      <c r="C1452" s="185">
        <f>IF($K1452="","",INDEX(Zeiterfassung!$K$6:$K$3665,$K1452))</f>
        <v/>
      </c>
      <c r="D1452" s="186">
        <f>IF($K1452="","",INDEX(Zeiterfassung!$D$6:$D$3665,$K1452))</f>
        <v/>
      </c>
      <c r="E1452" s="186">
        <f>IF($K1452="","",INDEX(Zeiterfassung!$E$6:$E$3665,$K1452))</f>
        <v/>
      </c>
      <c r="F1452" s="187">
        <f>IF($K1452="","",INDEX(Zeiterfassung!$F$6:$F$3665,$K1452))</f>
        <v/>
      </c>
      <c r="G1452" s="187">
        <f>IF($K1452="","",INDEX(Zeiterfassung!$G$6:$G$3665,$K1452))</f>
        <v/>
      </c>
      <c r="H1452" s="188">
        <f>IF($K1452="","",INDEX(Zeiterfassung!$H$6:$H$3665,$K1452))</f>
        <v/>
      </c>
      <c r="I1452" s="335">
        <f>IF(B1452=B1451,"",IF($K1452="","",INDEX(Zeiterfassung!$I$6:$I$3665,MATCH(INDEX(Zeiterfassung!$K$6:$K$3665,$K1452),Zeiterfassung!$K$6:$K$3665,0))))</f>
        <v/>
      </c>
      <c r="J1452" s="335">
        <f>IF(B1452=B1451,"",IF($K1452="","",INDEX(Zeiterfassung!$J$6:$J$3665,MATCH(INDEX(Zeiterfassung!$K$6:$K$3665,$K1452),Zeiterfassung!$K$6:$K$3665,0))))</f>
        <v/>
      </c>
      <c r="K1452">
        <f>IFERROR(AGGREGATE(15,6,(ROW(Zeiterfassung!$D$6:$D$3665)-ROW(Zeiterfassung!$D$6)+1)/(Zeiterfassung!$D$6:$D$3665&lt;&gt;""),1447),"")</f>
        <v/>
      </c>
    </row>
    <row r="1453" ht="20" customHeight="1">
      <c r="A1453" s="183">
        <f>IF($K1453="","",WEEKNUM(INDEX(Zeiterfassung!$K$6:$K$3665,$K1453),21))</f>
        <v/>
      </c>
      <c r="B1453" s="184">
        <f>IF($K1453="","",INDEX(Zeiterfassung!$K$6:$K$3665,$K1453))</f>
        <v/>
      </c>
      <c r="C1453" s="185">
        <f>IF($K1453="","",INDEX(Zeiterfassung!$K$6:$K$3665,$K1453))</f>
        <v/>
      </c>
      <c r="D1453" s="186">
        <f>IF($K1453="","",INDEX(Zeiterfassung!$D$6:$D$3665,$K1453))</f>
        <v/>
      </c>
      <c r="E1453" s="186">
        <f>IF($K1453="","",INDEX(Zeiterfassung!$E$6:$E$3665,$K1453))</f>
        <v/>
      </c>
      <c r="F1453" s="187">
        <f>IF($K1453="","",INDEX(Zeiterfassung!$F$6:$F$3665,$K1453))</f>
        <v/>
      </c>
      <c r="G1453" s="187">
        <f>IF($K1453="","",INDEX(Zeiterfassung!$G$6:$G$3665,$K1453))</f>
        <v/>
      </c>
      <c r="H1453" s="188">
        <f>IF($K1453="","",INDEX(Zeiterfassung!$H$6:$H$3665,$K1453))</f>
        <v/>
      </c>
      <c r="I1453" s="335">
        <f>IF(B1453=B1452,"",IF($K1453="","",INDEX(Zeiterfassung!$I$6:$I$3665,MATCH(INDEX(Zeiterfassung!$K$6:$K$3665,$K1453),Zeiterfassung!$K$6:$K$3665,0))))</f>
        <v/>
      </c>
      <c r="J1453" s="335">
        <f>IF(B1453=B1452,"",IF($K1453="","",INDEX(Zeiterfassung!$J$6:$J$3665,MATCH(INDEX(Zeiterfassung!$K$6:$K$3665,$K1453),Zeiterfassung!$K$6:$K$3665,0))))</f>
        <v/>
      </c>
      <c r="K1453">
        <f>IFERROR(AGGREGATE(15,6,(ROW(Zeiterfassung!$D$6:$D$3665)-ROW(Zeiterfassung!$D$6)+1)/(Zeiterfassung!$D$6:$D$3665&lt;&gt;""),1448),"")</f>
        <v/>
      </c>
    </row>
    <row r="1454" ht="20" customHeight="1">
      <c r="A1454" s="183">
        <f>IF($K1454="","",WEEKNUM(INDEX(Zeiterfassung!$K$6:$K$3665,$K1454),21))</f>
        <v/>
      </c>
      <c r="B1454" s="184">
        <f>IF($K1454="","",INDEX(Zeiterfassung!$K$6:$K$3665,$K1454))</f>
        <v/>
      </c>
      <c r="C1454" s="185">
        <f>IF($K1454="","",INDEX(Zeiterfassung!$K$6:$K$3665,$K1454))</f>
        <v/>
      </c>
      <c r="D1454" s="186">
        <f>IF($K1454="","",INDEX(Zeiterfassung!$D$6:$D$3665,$K1454))</f>
        <v/>
      </c>
      <c r="E1454" s="186">
        <f>IF($K1454="","",INDEX(Zeiterfassung!$E$6:$E$3665,$K1454))</f>
        <v/>
      </c>
      <c r="F1454" s="187">
        <f>IF($K1454="","",INDEX(Zeiterfassung!$F$6:$F$3665,$K1454))</f>
        <v/>
      </c>
      <c r="G1454" s="187">
        <f>IF($K1454="","",INDEX(Zeiterfassung!$G$6:$G$3665,$K1454))</f>
        <v/>
      </c>
      <c r="H1454" s="188">
        <f>IF($K1454="","",INDEX(Zeiterfassung!$H$6:$H$3665,$K1454))</f>
        <v/>
      </c>
      <c r="I1454" s="335">
        <f>IF(B1454=B1453,"",IF($K1454="","",INDEX(Zeiterfassung!$I$6:$I$3665,MATCH(INDEX(Zeiterfassung!$K$6:$K$3665,$K1454),Zeiterfassung!$K$6:$K$3665,0))))</f>
        <v/>
      </c>
      <c r="J1454" s="335">
        <f>IF(B1454=B1453,"",IF($K1454="","",INDEX(Zeiterfassung!$J$6:$J$3665,MATCH(INDEX(Zeiterfassung!$K$6:$K$3665,$K1454),Zeiterfassung!$K$6:$K$3665,0))))</f>
        <v/>
      </c>
      <c r="K1454">
        <f>IFERROR(AGGREGATE(15,6,(ROW(Zeiterfassung!$D$6:$D$3665)-ROW(Zeiterfassung!$D$6)+1)/(Zeiterfassung!$D$6:$D$3665&lt;&gt;""),1449),"")</f>
        <v/>
      </c>
    </row>
    <row r="1455" ht="20" customHeight="1">
      <c r="A1455" s="183">
        <f>IF($K1455="","",WEEKNUM(INDEX(Zeiterfassung!$K$6:$K$3665,$K1455),21))</f>
        <v/>
      </c>
      <c r="B1455" s="184">
        <f>IF($K1455="","",INDEX(Zeiterfassung!$K$6:$K$3665,$K1455))</f>
        <v/>
      </c>
      <c r="C1455" s="185">
        <f>IF($K1455="","",INDEX(Zeiterfassung!$K$6:$K$3665,$K1455))</f>
        <v/>
      </c>
      <c r="D1455" s="186">
        <f>IF($K1455="","",INDEX(Zeiterfassung!$D$6:$D$3665,$K1455))</f>
        <v/>
      </c>
      <c r="E1455" s="186">
        <f>IF($K1455="","",INDEX(Zeiterfassung!$E$6:$E$3665,$K1455))</f>
        <v/>
      </c>
      <c r="F1455" s="187">
        <f>IF($K1455="","",INDEX(Zeiterfassung!$F$6:$F$3665,$K1455))</f>
        <v/>
      </c>
      <c r="G1455" s="187">
        <f>IF($K1455="","",INDEX(Zeiterfassung!$G$6:$G$3665,$K1455))</f>
        <v/>
      </c>
      <c r="H1455" s="188">
        <f>IF($K1455="","",INDEX(Zeiterfassung!$H$6:$H$3665,$K1455))</f>
        <v/>
      </c>
      <c r="I1455" s="335">
        <f>IF(B1455=B1454,"",IF($K1455="","",INDEX(Zeiterfassung!$I$6:$I$3665,MATCH(INDEX(Zeiterfassung!$K$6:$K$3665,$K1455),Zeiterfassung!$K$6:$K$3665,0))))</f>
        <v/>
      </c>
      <c r="J1455" s="335">
        <f>IF(B1455=B1454,"",IF($K1455="","",INDEX(Zeiterfassung!$J$6:$J$3665,MATCH(INDEX(Zeiterfassung!$K$6:$K$3665,$K1455),Zeiterfassung!$K$6:$K$3665,0))))</f>
        <v/>
      </c>
      <c r="K1455">
        <f>IFERROR(AGGREGATE(15,6,(ROW(Zeiterfassung!$D$6:$D$3665)-ROW(Zeiterfassung!$D$6)+1)/(Zeiterfassung!$D$6:$D$3665&lt;&gt;""),1450),"")</f>
        <v/>
      </c>
    </row>
    <row r="1456" ht="20" customHeight="1">
      <c r="A1456" s="183">
        <f>IF($K1456="","",WEEKNUM(INDEX(Zeiterfassung!$K$6:$K$3665,$K1456),21))</f>
        <v/>
      </c>
      <c r="B1456" s="184">
        <f>IF($K1456="","",INDEX(Zeiterfassung!$K$6:$K$3665,$K1456))</f>
        <v/>
      </c>
      <c r="C1456" s="185">
        <f>IF($K1456="","",INDEX(Zeiterfassung!$K$6:$K$3665,$K1456))</f>
        <v/>
      </c>
      <c r="D1456" s="186">
        <f>IF($K1456="","",INDEX(Zeiterfassung!$D$6:$D$3665,$K1456))</f>
        <v/>
      </c>
      <c r="E1456" s="186">
        <f>IF($K1456="","",INDEX(Zeiterfassung!$E$6:$E$3665,$K1456))</f>
        <v/>
      </c>
      <c r="F1456" s="187">
        <f>IF($K1456="","",INDEX(Zeiterfassung!$F$6:$F$3665,$K1456))</f>
        <v/>
      </c>
      <c r="G1456" s="187">
        <f>IF($K1456="","",INDEX(Zeiterfassung!$G$6:$G$3665,$K1456))</f>
        <v/>
      </c>
      <c r="H1456" s="188">
        <f>IF($K1456="","",INDEX(Zeiterfassung!$H$6:$H$3665,$K1456))</f>
        <v/>
      </c>
      <c r="I1456" s="335">
        <f>IF(B1456=B1455,"",IF($K1456="","",INDEX(Zeiterfassung!$I$6:$I$3665,MATCH(INDEX(Zeiterfassung!$K$6:$K$3665,$K1456),Zeiterfassung!$K$6:$K$3665,0))))</f>
        <v/>
      </c>
      <c r="J1456" s="335">
        <f>IF(B1456=B1455,"",IF($K1456="","",INDEX(Zeiterfassung!$J$6:$J$3665,MATCH(INDEX(Zeiterfassung!$K$6:$K$3665,$K1456),Zeiterfassung!$K$6:$K$3665,0))))</f>
        <v/>
      </c>
      <c r="K1456">
        <f>IFERROR(AGGREGATE(15,6,(ROW(Zeiterfassung!$D$6:$D$3665)-ROW(Zeiterfassung!$D$6)+1)/(Zeiterfassung!$D$6:$D$3665&lt;&gt;""),1451),"")</f>
        <v/>
      </c>
    </row>
    <row r="1457" ht="20" customHeight="1">
      <c r="A1457" s="183">
        <f>IF($K1457="","",WEEKNUM(INDEX(Zeiterfassung!$K$6:$K$3665,$K1457),21))</f>
        <v/>
      </c>
      <c r="B1457" s="184">
        <f>IF($K1457="","",INDEX(Zeiterfassung!$K$6:$K$3665,$K1457))</f>
        <v/>
      </c>
      <c r="C1457" s="185">
        <f>IF($K1457="","",INDEX(Zeiterfassung!$K$6:$K$3665,$K1457))</f>
        <v/>
      </c>
      <c r="D1457" s="186">
        <f>IF($K1457="","",INDEX(Zeiterfassung!$D$6:$D$3665,$K1457))</f>
        <v/>
      </c>
      <c r="E1457" s="186">
        <f>IF($K1457="","",INDEX(Zeiterfassung!$E$6:$E$3665,$K1457))</f>
        <v/>
      </c>
      <c r="F1457" s="187">
        <f>IF($K1457="","",INDEX(Zeiterfassung!$F$6:$F$3665,$K1457))</f>
        <v/>
      </c>
      <c r="G1457" s="187">
        <f>IF($K1457="","",INDEX(Zeiterfassung!$G$6:$G$3665,$K1457))</f>
        <v/>
      </c>
      <c r="H1457" s="188">
        <f>IF($K1457="","",INDEX(Zeiterfassung!$H$6:$H$3665,$K1457))</f>
        <v/>
      </c>
      <c r="I1457" s="335">
        <f>IF(B1457=B1456,"",IF($K1457="","",INDEX(Zeiterfassung!$I$6:$I$3665,MATCH(INDEX(Zeiterfassung!$K$6:$K$3665,$K1457),Zeiterfassung!$K$6:$K$3665,0))))</f>
        <v/>
      </c>
      <c r="J1457" s="335">
        <f>IF(B1457=B1456,"",IF($K1457="","",INDEX(Zeiterfassung!$J$6:$J$3665,MATCH(INDEX(Zeiterfassung!$K$6:$K$3665,$K1457),Zeiterfassung!$K$6:$K$3665,0))))</f>
        <v/>
      </c>
      <c r="K1457">
        <f>IFERROR(AGGREGATE(15,6,(ROW(Zeiterfassung!$D$6:$D$3665)-ROW(Zeiterfassung!$D$6)+1)/(Zeiterfassung!$D$6:$D$3665&lt;&gt;""),1452),"")</f>
        <v/>
      </c>
    </row>
    <row r="1458" ht="20" customHeight="1">
      <c r="A1458" s="183">
        <f>IF($K1458="","",WEEKNUM(INDEX(Zeiterfassung!$K$6:$K$3665,$K1458),21))</f>
        <v/>
      </c>
      <c r="B1458" s="184">
        <f>IF($K1458="","",INDEX(Zeiterfassung!$K$6:$K$3665,$K1458))</f>
        <v/>
      </c>
      <c r="C1458" s="185">
        <f>IF($K1458="","",INDEX(Zeiterfassung!$K$6:$K$3665,$K1458))</f>
        <v/>
      </c>
      <c r="D1458" s="186">
        <f>IF($K1458="","",INDEX(Zeiterfassung!$D$6:$D$3665,$K1458))</f>
        <v/>
      </c>
      <c r="E1458" s="186">
        <f>IF($K1458="","",INDEX(Zeiterfassung!$E$6:$E$3665,$K1458))</f>
        <v/>
      </c>
      <c r="F1458" s="187">
        <f>IF($K1458="","",INDEX(Zeiterfassung!$F$6:$F$3665,$K1458))</f>
        <v/>
      </c>
      <c r="G1458" s="187">
        <f>IF($K1458="","",INDEX(Zeiterfassung!$G$6:$G$3665,$K1458))</f>
        <v/>
      </c>
      <c r="H1458" s="188">
        <f>IF($K1458="","",INDEX(Zeiterfassung!$H$6:$H$3665,$K1458))</f>
        <v/>
      </c>
      <c r="I1458" s="335">
        <f>IF(B1458=B1457,"",IF($K1458="","",INDEX(Zeiterfassung!$I$6:$I$3665,MATCH(INDEX(Zeiterfassung!$K$6:$K$3665,$K1458),Zeiterfassung!$K$6:$K$3665,0))))</f>
        <v/>
      </c>
      <c r="J1458" s="335">
        <f>IF(B1458=B1457,"",IF($K1458="","",INDEX(Zeiterfassung!$J$6:$J$3665,MATCH(INDEX(Zeiterfassung!$K$6:$K$3665,$K1458),Zeiterfassung!$K$6:$K$3665,0))))</f>
        <v/>
      </c>
      <c r="K1458">
        <f>IFERROR(AGGREGATE(15,6,(ROW(Zeiterfassung!$D$6:$D$3665)-ROW(Zeiterfassung!$D$6)+1)/(Zeiterfassung!$D$6:$D$3665&lt;&gt;""),1453),"")</f>
        <v/>
      </c>
    </row>
    <row r="1459" ht="20" customHeight="1">
      <c r="A1459" s="183">
        <f>IF($K1459="","",WEEKNUM(INDEX(Zeiterfassung!$K$6:$K$3665,$K1459),21))</f>
        <v/>
      </c>
      <c r="B1459" s="184">
        <f>IF($K1459="","",INDEX(Zeiterfassung!$K$6:$K$3665,$K1459))</f>
        <v/>
      </c>
      <c r="C1459" s="185">
        <f>IF($K1459="","",INDEX(Zeiterfassung!$K$6:$K$3665,$K1459))</f>
        <v/>
      </c>
      <c r="D1459" s="186">
        <f>IF($K1459="","",INDEX(Zeiterfassung!$D$6:$D$3665,$K1459))</f>
        <v/>
      </c>
      <c r="E1459" s="186">
        <f>IF($K1459="","",INDEX(Zeiterfassung!$E$6:$E$3665,$K1459))</f>
        <v/>
      </c>
      <c r="F1459" s="187">
        <f>IF($K1459="","",INDEX(Zeiterfassung!$F$6:$F$3665,$K1459))</f>
        <v/>
      </c>
      <c r="G1459" s="187">
        <f>IF($K1459="","",INDEX(Zeiterfassung!$G$6:$G$3665,$K1459))</f>
        <v/>
      </c>
      <c r="H1459" s="188">
        <f>IF($K1459="","",INDEX(Zeiterfassung!$H$6:$H$3665,$K1459))</f>
        <v/>
      </c>
      <c r="I1459" s="335">
        <f>IF(B1459=B1458,"",IF($K1459="","",INDEX(Zeiterfassung!$I$6:$I$3665,MATCH(INDEX(Zeiterfassung!$K$6:$K$3665,$K1459),Zeiterfassung!$K$6:$K$3665,0))))</f>
        <v/>
      </c>
      <c r="J1459" s="335">
        <f>IF(B1459=B1458,"",IF($K1459="","",INDEX(Zeiterfassung!$J$6:$J$3665,MATCH(INDEX(Zeiterfassung!$K$6:$K$3665,$K1459),Zeiterfassung!$K$6:$K$3665,0))))</f>
        <v/>
      </c>
      <c r="K1459">
        <f>IFERROR(AGGREGATE(15,6,(ROW(Zeiterfassung!$D$6:$D$3665)-ROW(Zeiterfassung!$D$6)+1)/(Zeiterfassung!$D$6:$D$3665&lt;&gt;""),1454),"")</f>
        <v/>
      </c>
    </row>
    <row r="1460" ht="20" customHeight="1">
      <c r="A1460" s="183">
        <f>IF($K1460="","",WEEKNUM(INDEX(Zeiterfassung!$K$6:$K$3665,$K1460),21))</f>
        <v/>
      </c>
      <c r="B1460" s="184">
        <f>IF($K1460="","",INDEX(Zeiterfassung!$K$6:$K$3665,$K1460))</f>
        <v/>
      </c>
      <c r="C1460" s="185">
        <f>IF($K1460="","",INDEX(Zeiterfassung!$K$6:$K$3665,$K1460))</f>
        <v/>
      </c>
      <c r="D1460" s="186">
        <f>IF($K1460="","",INDEX(Zeiterfassung!$D$6:$D$3665,$K1460))</f>
        <v/>
      </c>
      <c r="E1460" s="186">
        <f>IF($K1460="","",INDEX(Zeiterfassung!$E$6:$E$3665,$K1460))</f>
        <v/>
      </c>
      <c r="F1460" s="187">
        <f>IF($K1460="","",INDEX(Zeiterfassung!$F$6:$F$3665,$K1460))</f>
        <v/>
      </c>
      <c r="G1460" s="187">
        <f>IF($K1460="","",INDEX(Zeiterfassung!$G$6:$G$3665,$K1460))</f>
        <v/>
      </c>
      <c r="H1460" s="188">
        <f>IF($K1460="","",INDEX(Zeiterfassung!$H$6:$H$3665,$K1460))</f>
        <v/>
      </c>
      <c r="I1460" s="335">
        <f>IF(B1460=B1459,"",IF($K1460="","",INDEX(Zeiterfassung!$I$6:$I$3665,MATCH(INDEX(Zeiterfassung!$K$6:$K$3665,$K1460),Zeiterfassung!$K$6:$K$3665,0))))</f>
        <v/>
      </c>
      <c r="J1460" s="335">
        <f>IF(B1460=B1459,"",IF($K1460="","",INDEX(Zeiterfassung!$J$6:$J$3665,MATCH(INDEX(Zeiterfassung!$K$6:$K$3665,$K1460),Zeiterfassung!$K$6:$K$3665,0))))</f>
        <v/>
      </c>
      <c r="K1460">
        <f>IFERROR(AGGREGATE(15,6,(ROW(Zeiterfassung!$D$6:$D$3665)-ROW(Zeiterfassung!$D$6)+1)/(Zeiterfassung!$D$6:$D$3665&lt;&gt;""),1455),"")</f>
        <v/>
      </c>
    </row>
    <row r="1461" ht="20" customHeight="1">
      <c r="A1461" s="183">
        <f>IF($K1461="","",WEEKNUM(INDEX(Zeiterfassung!$K$6:$K$3665,$K1461),21))</f>
        <v/>
      </c>
      <c r="B1461" s="184">
        <f>IF($K1461="","",INDEX(Zeiterfassung!$K$6:$K$3665,$K1461))</f>
        <v/>
      </c>
      <c r="C1461" s="185">
        <f>IF($K1461="","",INDEX(Zeiterfassung!$K$6:$K$3665,$K1461))</f>
        <v/>
      </c>
      <c r="D1461" s="186">
        <f>IF($K1461="","",INDEX(Zeiterfassung!$D$6:$D$3665,$K1461))</f>
        <v/>
      </c>
      <c r="E1461" s="186">
        <f>IF($K1461="","",INDEX(Zeiterfassung!$E$6:$E$3665,$K1461))</f>
        <v/>
      </c>
      <c r="F1461" s="187">
        <f>IF($K1461="","",INDEX(Zeiterfassung!$F$6:$F$3665,$K1461))</f>
        <v/>
      </c>
      <c r="G1461" s="187">
        <f>IF($K1461="","",INDEX(Zeiterfassung!$G$6:$G$3665,$K1461))</f>
        <v/>
      </c>
      <c r="H1461" s="188">
        <f>IF($K1461="","",INDEX(Zeiterfassung!$H$6:$H$3665,$K1461))</f>
        <v/>
      </c>
      <c r="I1461" s="335">
        <f>IF(B1461=B1460,"",IF($K1461="","",INDEX(Zeiterfassung!$I$6:$I$3665,MATCH(INDEX(Zeiterfassung!$K$6:$K$3665,$K1461),Zeiterfassung!$K$6:$K$3665,0))))</f>
        <v/>
      </c>
      <c r="J1461" s="335">
        <f>IF(B1461=B1460,"",IF($K1461="","",INDEX(Zeiterfassung!$J$6:$J$3665,MATCH(INDEX(Zeiterfassung!$K$6:$K$3665,$K1461),Zeiterfassung!$K$6:$K$3665,0))))</f>
        <v/>
      </c>
      <c r="K1461">
        <f>IFERROR(AGGREGATE(15,6,(ROW(Zeiterfassung!$D$6:$D$3665)-ROW(Zeiterfassung!$D$6)+1)/(Zeiterfassung!$D$6:$D$3665&lt;&gt;""),1456),"")</f>
        <v/>
      </c>
    </row>
    <row r="1462" ht="20" customHeight="1">
      <c r="A1462" s="183">
        <f>IF($K1462="","",WEEKNUM(INDEX(Zeiterfassung!$K$6:$K$3665,$K1462),21))</f>
        <v/>
      </c>
      <c r="B1462" s="184">
        <f>IF($K1462="","",INDEX(Zeiterfassung!$K$6:$K$3665,$K1462))</f>
        <v/>
      </c>
      <c r="C1462" s="185">
        <f>IF($K1462="","",INDEX(Zeiterfassung!$K$6:$K$3665,$K1462))</f>
        <v/>
      </c>
      <c r="D1462" s="186">
        <f>IF($K1462="","",INDEX(Zeiterfassung!$D$6:$D$3665,$K1462))</f>
        <v/>
      </c>
      <c r="E1462" s="186">
        <f>IF($K1462="","",INDEX(Zeiterfassung!$E$6:$E$3665,$K1462))</f>
        <v/>
      </c>
      <c r="F1462" s="187">
        <f>IF($K1462="","",INDEX(Zeiterfassung!$F$6:$F$3665,$K1462))</f>
        <v/>
      </c>
      <c r="G1462" s="187">
        <f>IF($K1462="","",INDEX(Zeiterfassung!$G$6:$G$3665,$K1462))</f>
        <v/>
      </c>
      <c r="H1462" s="188">
        <f>IF($K1462="","",INDEX(Zeiterfassung!$H$6:$H$3665,$K1462))</f>
        <v/>
      </c>
      <c r="I1462" s="335">
        <f>IF(B1462=B1461,"",IF($K1462="","",INDEX(Zeiterfassung!$I$6:$I$3665,MATCH(INDEX(Zeiterfassung!$K$6:$K$3665,$K1462),Zeiterfassung!$K$6:$K$3665,0))))</f>
        <v/>
      </c>
      <c r="J1462" s="335">
        <f>IF(B1462=B1461,"",IF($K1462="","",INDEX(Zeiterfassung!$J$6:$J$3665,MATCH(INDEX(Zeiterfassung!$K$6:$K$3665,$K1462),Zeiterfassung!$K$6:$K$3665,0))))</f>
        <v/>
      </c>
      <c r="K1462">
        <f>IFERROR(AGGREGATE(15,6,(ROW(Zeiterfassung!$D$6:$D$3665)-ROW(Zeiterfassung!$D$6)+1)/(Zeiterfassung!$D$6:$D$3665&lt;&gt;""),1457),"")</f>
        <v/>
      </c>
    </row>
    <row r="1463" ht="20" customHeight="1">
      <c r="A1463" s="183">
        <f>IF($K1463="","",WEEKNUM(INDEX(Zeiterfassung!$K$6:$K$3665,$K1463),21))</f>
        <v/>
      </c>
      <c r="B1463" s="184">
        <f>IF($K1463="","",INDEX(Zeiterfassung!$K$6:$K$3665,$K1463))</f>
        <v/>
      </c>
      <c r="C1463" s="185">
        <f>IF($K1463="","",INDEX(Zeiterfassung!$K$6:$K$3665,$K1463))</f>
        <v/>
      </c>
      <c r="D1463" s="186">
        <f>IF($K1463="","",INDEX(Zeiterfassung!$D$6:$D$3665,$K1463))</f>
        <v/>
      </c>
      <c r="E1463" s="186">
        <f>IF($K1463="","",INDEX(Zeiterfassung!$E$6:$E$3665,$K1463))</f>
        <v/>
      </c>
      <c r="F1463" s="187">
        <f>IF($K1463="","",INDEX(Zeiterfassung!$F$6:$F$3665,$K1463))</f>
        <v/>
      </c>
      <c r="G1463" s="187">
        <f>IF($K1463="","",INDEX(Zeiterfassung!$G$6:$G$3665,$K1463))</f>
        <v/>
      </c>
      <c r="H1463" s="188">
        <f>IF($K1463="","",INDEX(Zeiterfassung!$H$6:$H$3665,$K1463))</f>
        <v/>
      </c>
      <c r="I1463" s="335">
        <f>IF(B1463=B1462,"",IF($K1463="","",INDEX(Zeiterfassung!$I$6:$I$3665,MATCH(INDEX(Zeiterfassung!$K$6:$K$3665,$K1463),Zeiterfassung!$K$6:$K$3665,0))))</f>
        <v/>
      </c>
      <c r="J1463" s="335">
        <f>IF(B1463=B1462,"",IF($K1463="","",INDEX(Zeiterfassung!$J$6:$J$3665,MATCH(INDEX(Zeiterfassung!$K$6:$K$3665,$K1463),Zeiterfassung!$K$6:$K$3665,0))))</f>
        <v/>
      </c>
      <c r="K1463">
        <f>IFERROR(AGGREGATE(15,6,(ROW(Zeiterfassung!$D$6:$D$3665)-ROW(Zeiterfassung!$D$6)+1)/(Zeiterfassung!$D$6:$D$3665&lt;&gt;""),1458),"")</f>
        <v/>
      </c>
    </row>
    <row r="1464" ht="20" customHeight="1">
      <c r="A1464" s="183">
        <f>IF($K1464="","",WEEKNUM(INDEX(Zeiterfassung!$K$6:$K$3665,$K1464),21))</f>
        <v/>
      </c>
      <c r="B1464" s="184">
        <f>IF($K1464="","",INDEX(Zeiterfassung!$K$6:$K$3665,$K1464))</f>
        <v/>
      </c>
      <c r="C1464" s="185">
        <f>IF($K1464="","",INDEX(Zeiterfassung!$K$6:$K$3665,$K1464))</f>
        <v/>
      </c>
      <c r="D1464" s="186">
        <f>IF($K1464="","",INDEX(Zeiterfassung!$D$6:$D$3665,$K1464))</f>
        <v/>
      </c>
      <c r="E1464" s="186">
        <f>IF($K1464="","",INDEX(Zeiterfassung!$E$6:$E$3665,$K1464))</f>
        <v/>
      </c>
      <c r="F1464" s="187">
        <f>IF($K1464="","",INDEX(Zeiterfassung!$F$6:$F$3665,$K1464))</f>
        <v/>
      </c>
      <c r="G1464" s="187">
        <f>IF($K1464="","",INDEX(Zeiterfassung!$G$6:$G$3665,$K1464))</f>
        <v/>
      </c>
      <c r="H1464" s="188">
        <f>IF($K1464="","",INDEX(Zeiterfassung!$H$6:$H$3665,$K1464))</f>
        <v/>
      </c>
      <c r="I1464" s="335">
        <f>IF(B1464=B1463,"",IF($K1464="","",INDEX(Zeiterfassung!$I$6:$I$3665,MATCH(INDEX(Zeiterfassung!$K$6:$K$3665,$K1464),Zeiterfassung!$K$6:$K$3665,0))))</f>
        <v/>
      </c>
      <c r="J1464" s="335">
        <f>IF(B1464=B1463,"",IF($K1464="","",INDEX(Zeiterfassung!$J$6:$J$3665,MATCH(INDEX(Zeiterfassung!$K$6:$K$3665,$K1464),Zeiterfassung!$K$6:$K$3665,0))))</f>
        <v/>
      </c>
      <c r="K1464">
        <f>IFERROR(AGGREGATE(15,6,(ROW(Zeiterfassung!$D$6:$D$3665)-ROW(Zeiterfassung!$D$6)+1)/(Zeiterfassung!$D$6:$D$3665&lt;&gt;""),1459),"")</f>
        <v/>
      </c>
    </row>
    <row r="1465" ht="20" customHeight="1">
      <c r="A1465" s="183">
        <f>IF($K1465="","",WEEKNUM(INDEX(Zeiterfassung!$K$6:$K$3665,$K1465),21))</f>
        <v/>
      </c>
      <c r="B1465" s="184">
        <f>IF($K1465="","",INDEX(Zeiterfassung!$K$6:$K$3665,$K1465))</f>
        <v/>
      </c>
      <c r="C1465" s="185">
        <f>IF($K1465="","",INDEX(Zeiterfassung!$K$6:$K$3665,$K1465))</f>
        <v/>
      </c>
      <c r="D1465" s="186">
        <f>IF($K1465="","",INDEX(Zeiterfassung!$D$6:$D$3665,$K1465))</f>
        <v/>
      </c>
      <c r="E1465" s="186">
        <f>IF($K1465="","",INDEX(Zeiterfassung!$E$6:$E$3665,$K1465))</f>
        <v/>
      </c>
      <c r="F1465" s="187">
        <f>IF($K1465="","",INDEX(Zeiterfassung!$F$6:$F$3665,$K1465))</f>
        <v/>
      </c>
      <c r="G1465" s="187">
        <f>IF($K1465="","",INDEX(Zeiterfassung!$G$6:$G$3665,$K1465))</f>
        <v/>
      </c>
      <c r="H1465" s="188">
        <f>IF($K1465="","",INDEX(Zeiterfassung!$H$6:$H$3665,$K1465))</f>
        <v/>
      </c>
      <c r="I1465" s="335">
        <f>IF(B1465=B1464,"",IF($K1465="","",INDEX(Zeiterfassung!$I$6:$I$3665,MATCH(INDEX(Zeiterfassung!$K$6:$K$3665,$K1465),Zeiterfassung!$K$6:$K$3665,0))))</f>
        <v/>
      </c>
      <c r="J1465" s="335">
        <f>IF(B1465=B1464,"",IF($K1465="","",INDEX(Zeiterfassung!$J$6:$J$3665,MATCH(INDEX(Zeiterfassung!$K$6:$K$3665,$K1465),Zeiterfassung!$K$6:$K$3665,0))))</f>
        <v/>
      </c>
      <c r="K1465">
        <f>IFERROR(AGGREGATE(15,6,(ROW(Zeiterfassung!$D$6:$D$3665)-ROW(Zeiterfassung!$D$6)+1)/(Zeiterfassung!$D$6:$D$3665&lt;&gt;""),1460),"")</f>
        <v/>
      </c>
    </row>
    <row r="1466" ht="20" customHeight="1">
      <c r="A1466" s="183">
        <f>IF($K1466="","",WEEKNUM(INDEX(Zeiterfassung!$K$6:$K$3665,$K1466),21))</f>
        <v/>
      </c>
      <c r="B1466" s="184">
        <f>IF($K1466="","",INDEX(Zeiterfassung!$K$6:$K$3665,$K1466))</f>
        <v/>
      </c>
      <c r="C1466" s="185">
        <f>IF($K1466="","",INDEX(Zeiterfassung!$K$6:$K$3665,$K1466))</f>
        <v/>
      </c>
      <c r="D1466" s="186">
        <f>IF($K1466="","",INDEX(Zeiterfassung!$D$6:$D$3665,$K1466))</f>
        <v/>
      </c>
      <c r="E1466" s="186">
        <f>IF($K1466="","",INDEX(Zeiterfassung!$E$6:$E$3665,$K1466))</f>
        <v/>
      </c>
      <c r="F1466" s="187">
        <f>IF($K1466="","",INDEX(Zeiterfassung!$F$6:$F$3665,$K1466))</f>
        <v/>
      </c>
      <c r="G1466" s="187">
        <f>IF($K1466="","",INDEX(Zeiterfassung!$G$6:$G$3665,$K1466))</f>
        <v/>
      </c>
      <c r="H1466" s="188">
        <f>IF($K1466="","",INDEX(Zeiterfassung!$H$6:$H$3665,$K1466))</f>
        <v/>
      </c>
      <c r="I1466" s="335">
        <f>IF(B1466=B1465,"",IF($K1466="","",INDEX(Zeiterfassung!$I$6:$I$3665,MATCH(INDEX(Zeiterfassung!$K$6:$K$3665,$K1466),Zeiterfassung!$K$6:$K$3665,0))))</f>
        <v/>
      </c>
      <c r="J1466" s="335">
        <f>IF(B1466=B1465,"",IF($K1466="","",INDEX(Zeiterfassung!$J$6:$J$3665,MATCH(INDEX(Zeiterfassung!$K$6:$K$3665,$K1466),Zeiterfassung!$K$6:$K$3665,0))))</f>
        <v/>
      </c>
      <c r="K1466">
        <f>IFERROR(AGGREGATE(15,6,(ROW(Zeiterfassung!$D$6:$D$3665)-ROW(Zeiterfassung!$D$6)+1)/(Zeiterfassung!$D$6:$D$3665&lt;&gt;""),1461),"")</f>
        <v/>
      </c>
    </row>
    <row r="1467" ht="20" customHeight="1">
      <c r="A1467" s="183">
        <f>IF($K1467="","",WEEKNUM(INDEX(Zeiterfassung!$K$6:$K$3665,$K1467),21))</f>
        <v/>
      </c>
      <c r="B1467" s="184">
        <f>IF($K1467="","",INDEX(Zeiterfassung!$K$6:$K$3665,$K1467))</f>
        <v/>
      </c>
      <c r="C1467" s="185">
        <f>IF($K1467="","",INDEX(Zeiterfassung!$K$6:$K$3665,$K1467))</f>
        <v/>
      </c>
      <c r="D1467" s="186">
        <f>IF($K1467="","",INDEX(Zeiterfassung!$D$6:$D$3665,$K1467))</f>
        <v/>
      </c>
      <c r="E1467" s="186">
        <f>IF($K1467="","",INDEX(Zeiterfassung!$E$6:$E$3665,$K1467))</f>
        <v/>
      </c>
      <c r="F1467" s="187">
        <f>IF($K1467="","",INDEX(Zeiterfassung!$F$6:$F$3665,$K1467))</f>
        <v/>
      </c>
      <c r="G1467" s="187">
        <f>IF($K1467="","",INDEX(Zeiterfassung!$G$6:$G$3665,$K1467))</f>
        <v/>
      </c>
      <c r="H1467" s="188">
        <f>IF($K1467="","",INDEX(Zeiterfassung!$H$6:$H$3665,$K1467))</f>
        <v/>
      </c>
      <c r="I1467" s="335">
        <f>IF(B1467=B1466,"",IF($K1467="","",INDEX(Zeiterfassung!$I$6:$I$3665,MATCH(INDEX(Zeiterfassung!$K$6:$K$3665,$K1467),Zeiterfassung!$K$6:$K$3665,0))))</f>
        <v/>
      </c>
      <c r="J1467" s="335">
        <f>IF(B1467=B1466,"",IF($K1467="","",INDEX(Zeiterfassung!$J$6:$J$3665,MATCH(INDEX(Zeiterfassung!$K$6:$K$3665,$K1467),Zeiterfassung!$K$6:$K$3665,0))))</f>
        <v/>
      </c>
      <c r="K1467">
        <f>IFERROR(AGGREGATE(15,6,(ROW(Zeiterfassung!$D$6:$D$3665)-ROW(Zeiterfassung!$D$6)+1)/(Zeiterfassung!$D$6:$D$3665&lt;&gt;""),1462),"")</f>
        <v/>
      </c>
    </row>
    <row r="1468" ht="20" customHeight="1">
      <c r="A1468" s="183">
        <f>IF($K1468="","",WEEKNUM(INDEX(Zeiterfassung!$K$6:$K$3665,$K1468),21))</f>
        <v/>
      </c>
      <c r="B1468" s="184">
        <f>IF($K1468="","",INDEX(Zeiterfassung!$K$6:$K$3665,$K1468))</f>
        <v/>
      </c>
      <c r="C1468" s="185">
        <f>IF($K1468="","",INDEX(Zeiterfassung!$K$6:$K$3665,$K1468))</f>
        <v/>
      </c>
      <c r="D1468" s="186">
        <f>IF($K1468="","",INDEX(Zeiterfassung!$D$6:$D$3665,$K1468))</f>
        <v/>
      </c>
      <c r="E1468" s="186">
        <f>IF($K1468="","",INDEX(Zeiterfassung!$E$6:$E$3665,$K1468))</f>
        <v/>
      </c>
      <c r="F1468" s="187">
        <f>IF($K1468="","",INDEX(Zeiterfassung!$F$6:$F$3665,$K1468))</f>
        <v/>
      </c>
      <c r="G1468" s="187">
        <f>IF($K1468="","",INDEX(Zeiterfassung!$G$6:$G$3665,$K1468))</f>
        <v/>
      </c>
      <c r="H1468" s="188">
        <f>IF($K1468="","",INDEX(Zeiterfassung!$H$6:$H$3665,$K1468))</f>
        <v/>
      </c>
      <c r="I1468" s="335">
        <f>IF(B1468=B1467,"",IF($K1468="","",INDEX(Zeiterfassung!$I$6:$I$3665,MATCH(INDEX(Zeiterfassung!$K$6:$K$3665,$K1468),Zeiterfassung!$K$6:$K$3665,0))))</f>
        <v/>
      </c>
      <c r="J1468" s="335">
        <f>IF(B1468=B1467,"",IF($K1468="","",INDEX(Zeiterfassung!$J$6:$J$3665,MATCH(INDEX(Zeiterfassung!$K$6:$K$3665,$K1468),Zeiterfassung!$K$6:$K$3665,0))))</f>
        <v/>
      </c>
      <c r="K1468">
        <f>IFERROR(AGGREGATE(15,6,(ROW(Zeiterfassung!$D$6:$D$3665)-ROW(Zeiterfassung!$D$6)+1)/(Zeiterfassung!$D$6:$D$3665&lt;&gt;""),1463),"")</f>
        <v/>
      </c>
    </row>
    <row r="1469" ht="20" customHeight="1">
      <c r="A1469" s="183">
        <f>IF($K1469="","",WEEKNUM(INDEX(Zeiterfassung!$K$6:$K$3665,$K1469),21))</f>
        <v/>
      </c>
      <c r="B1469" s="184">
        <f>IF($K1469="","",INDEX(Zeiterfassung!$K$6:$K$3665,$K1469))</f>
        <v/>
      </c>
      <c r="C1469" s="185">
        <f>IF($K1469="","",INDEX(Zeiterfassung!$K$6:$K$3665,$K1469))</f>
        <v/>
      </c>
      <c r="D1469" s="186">
        <f>IF($K1469="","",INDEX(Zeiterfassung!$D$6:$D$3665,$K1469))</f>
        <v/>
      </c>
      <c r="E1469" s="186">
        <f>IF($K1469="","",INDEX(Zeiterfassung!$E$6:$E$3665,$K1469))</f>
        <v/>
      </c>
      <c r="F1469" s="187">
        <f>IF($K1469="","",INDEX(Zeiterfassung!$F$6:$F$3665,$K1469))</f>
        <v/>
      </c>
      <c r="G1469" s="187">
        <f>IF($K1469="","",INDEX(Zeiterfassung!$G$6:$G$3665,$K1469))</f>
        <v/>
      </c>
      <c r="H1469" s="188">
        <f>IF($K1469="","",INDEX(Zeiterfassung!$H$6:$H$3665,$K1469))</f>
        <v/>
      </c>
      <c r="I1469" s="335">
        <f>IF(B1469=B1468,"",IF($K1469="","",INDEX(Zeiterfassung!$I$6:$I$3665,MATCH(INDEX(Zeiterfassung!$K$6:$K$3665,$K1469),Zeiterfassung!$K$6:$K$3665,0))))</f>
        <v/>
      </c>
      <c r="J1469" s="335">
        <f>IF(B1469=B1468,"",IF($K1469="","",INDEX(Zeiterfassung!$J$6:$J$3665,MATCH(INDEX(Zeiterfassung!$K$6:$K$3665,$K1469),Zeiterfassung!$K$6:$K$3665,0))))</f>
        <v/>
      </c>
      <c r="K1469">
        <f>IFERROR(AGGREGATE(15,6,(ROW(Zeiterfassung!$D$6:$D$3665)-ROW(Zeiterfassung!$D$6)+1)/(Zeiterfassung!$D$6:$D$3665&lt;&gt;""),1464),"")</f>
        <v/>
      </c>
    </row>
    <row r="1470" ht="20" customHeight="1">
      <c r="A1470" s="183">
        <f>IF($K1470="","",WEEKNUM(INDEX(Zeiterfassung!$K$6:$K$3665,$K1470),21))</f>
        <v/>
      </c>
      <c r="B1470" s="184">
        <f>IF($K1470="","",INDEX(Zeiterfassung!$K$6:$K$3665,$K1470))</f>
        <v/>
      </c>
      <c r="C1470" s="185">
        <f>IF($K1470="","",INDEX(Zeiterfassung!$K$6:$K$3665,$K1470))</f>
        <v/>
      </c>
      <c r="D1470" s="186">
        <f>IF($K1470="","",INDEX(Zeiterfassung!$D$6:$D$3665,$K1470))</f>
        <v/>
      </c>
      <c r="E1470" s="186">
        <f>IF($K1470="","",INDEX(Zeiterfassung!$E$6:$E$3665,$K1470))</f>
        <v/>
      </c>
      <c r="F1470" s="187">
        <f>IF($K1470="","",INDEX(Zeiterfassung!$F$6:$F$3665,$K1470))</f>
        <v/>
      </c>
      <c r="G1470" s="187">
        <f>IF($K1470="","",INDEX(Zeiterfassung!$G$6:$G$3665,$K1470))</f>
        <v/>
      </c>
      <c r="H1470" s="188">
        <f>IF($K1470="","",INDEX(Zeiterfassung!$H$6:$H$3665,$K1470))</f>
        <v/>
      </c>
      <c r="I1470" s="335">
        <f>IF(B1470=B1469,"",IF($K1470="","",INDEX(Zeiterfassung!$I$6:$I$3665,MATCH(INDEX(Zeiterfassung!$K$6:$K$3665,$K1470),Zeiterfassung!$K$6:$K$3665,0))))</f>
        <v/>
      </c>
      <c r="J1470" s="335">
        <f>IF(B1470=B1469,"",IF($K1470="","",INDEX(Zeiterfassung!$J$6:$J$3665,MATCH(INDEX(Zeiterfassung!$K$6:$K$3665,$K1470),Zeiterfassung!$K$6:$K$3665,0))))</f>
        <v/>
      </c>
      <c r="K1470">
        <f>IFERROR(AGGREGATE(15,6,(ROW(Zeiterfassung!$D$6:$D$3665)-ROW(Zeiterfassung!$D$6)+1)/(Zeiterfassung!$D$6:$D$3665&lt;&gt;""),1465),"")</f>
        <v/>
      </c>
    </row>
    <row r="1471" ht="20" customHeight="1">
      <c r="A1471" s="183">
        <f>IF($K1471="","",WEEKNUM(INDEX(Zeiterfassung!$K$6:$K$3665,$K1471),21))</f>
        <v/>
      </c>
      <c r="B1471" s="184">
        <f>IF($K1471="","",INDEX(Zeiterfassung!$K$6:$K$3665,$K1471))</f>
        <v/>
      </c>
      <c r="C1471" s="185">
        <f>IF($K1471="","",INDEX(Zeiterfassung!$K$6:$K$3665,$K1471))</f>
        <v/>
      </c>
      <c r="D1471" s="186">
        <f>IF($K1471="","",INDEX(Zeiterfassung!$D$6:$D$3665,$K1471))</f>
        <v/>
      </c>
      <c r="E1471" s="186">
        <f>IF($K1471="","",INDEX(Zeiterfassung!$E$6:$E$3665,$K1471))</f>
        <v/>
      </c>
      <c r="F1471" s="187">
        <f>IF($K1471="","",INDEX(Zeiterfassung!$F$6:$F$3665,$K1471))</f>
        <v/>
      </c>
      <c r="G1471" s="187">
        <f>IF($K1471="","",INDEX(Zeiterfassung!$G$6:$G$3665,$K1471))</f>
        <v/>
      </c>
      <c r="H1471" s="188">
        <f>IF($K1471="","",INDEX(Zeiterfassung!$H$6:$H$3665,$K1471))</f>
        <v/>
      </c>
      <c r="I1471" s="335">
        <f>IF(B1471=B1470,"",IF($K1471="","",INDEX(Zeiterfassung!$I$6:$I$3665,MATCH(INDEX(Zeiterfassung!$K$6:$K$3665,$K1471),Zeiterfassung!$K$6:$K$3665,0))))</f>
        <v/>
      </c>
      <c r="J1471" s="335">
        <f>IF(B1471=B1470,"",IF($K1471="","",INDEX(Zeiterfassung!$J$6:$J$3665,MATCH(INDEX(Zeiterfassung!$K$6:$K$3665,$K1471),Zeiterfassung!$K$6:$K$3665,0))))</f>
        <v/>
      </c>
      <c r="K1471">
        <f>IFERROR(AGGREGATE(15,6,(ROW(Zeiterfassung!$D$6:$D$3665)-ROW(Zeiterfassung!$D$6)+1)/(Zeiterfassung!$D$6:$D$3665&lt;&gt;""),1466),"")</f>
        <v/>
      </c>
    </row>
    <row r="1472" ht="20" customHeight="1">
      <c r="A1472" s="183">
        <f>IF($K1472="","",WEEKNUM(INDEX(Zeiterfassung!$K$6:$K$3665,$K1472),21))</f>
        <v/>
      </c>
      <c r="B1472" s="184">
        <f>IF($K1472="","",INDEX(Zeiterfassung!$K$6:$K$3665,$K1472))</f>
        <v/>
      </c>
      <c r="C1472" s="185">
        <f>IF($K1472="","",INDEX(Zeiterfassung!$K$6:$K$3665,$K1472))</f>
        <v/>
      </c>
      <c r="D1472" s="186">
        <f>IF($K1472="","",INDEX(Zeiterfassung!$D$6:$D$3665,$K1472))</f>
        <v/>
      </c>
      <c r="E1472" s="186">
        <f>IF($K1472="","",INDEX(Zeiterfassung!$E$6:$E$3665,$K1472))</f>
        <v/>
      </c>
      <c r="F1472" s="187">
        <f>IF($K1472="","",INDEX(Zeiterfassung!$F$6:$F$3665,$K1472))</f>
        <v/>
      </c>
      <c r="G1472" s="187">
        <f>IF($K1472="","",INDEX(Zeiterfassung!$G$6:$G$3665,$K1472))</f>
        <v/>
      </c>
      <c r="H1472" s="188">
        <f>IF($K1472="","",INDEX(Zeiterfassung!$H$6:$H$3665,$K1472))</f>
        <v/>
      </c>
      <c r="I1472" s="335">
        <f>IF(B1472=B1471,"",IF($K1472="","",INDEX(Zeiterfassung!$I$6:$I$3665,MATCH(INDEX(Zeiterfassung!$K$6:$K$3665,$K1472),Zeiterfassung!$K$6:$K$3665,0))))</f>
        <v/>
      </c>
      <c r="J1472" s="335">
        <f>IF(B1472=B1471,"",IF($K1472="","",INDEX(Zeiterfassung!$J$6:$J$3665,MATCH(INDEX(Zeiterfassung!$K$6:$K$3665,$K1472),Zeiterfassung!$K$6:$K$3665,0))))</f>
        <v/>
      </c>
      <c r="K1472">
        <f>IFERROR(AGGREGATE(15,6,(ROW(Zeiterfassung!$D$6:$D$3665)-ROW(Zeiterfassung!$D$6)+1)/(Zeiterfassung!$D$6:$D$3665&lt;&gt;""),1467),"")</f>
        <v/>
      </c>
    </row>
    <row r="1473" ht="20" customHeight="1">
      <c r="A1473" s="183">
        <f>IF($K1473="","",WEEKNUM(INDEX(Zeiterfassung!$K$6:$K$3665,$K1473),21))</f>
        <v/>
      </c>
      <c r="B1473" s="184">
        <f>IF($K1473="","",INDEX(Zeiterfassung!$K$6:$K$3665,$K1473))</f>
        <v/>
      </c>
      <c r="C1473" s="185">
        <f>IF($K1473="","",INDEX(Zeiterfassung!$K$6:$K$3665,$K1473))</f>
        <v/>
      </c>
      <c r="D1473" s="186">
        <f>IF($K1473="","",INDEX(Zeiterfassung!$D$6:$D$3665,$K1473))</f>
        <v/>
      </c>
      <c r="E1473" s="186">
        <f>IF($K1473="","",INDEX(Zeiterfassung!$E$6:$E$3665,$K1473))</f>
        <v/>
      </c>
      <c r="F1473" s="187">
        <f>IF($K1473="","",INDEX(Zeiterfassung!$F$6:$F$3665,$K1473))</f>
        <v/>
      </c>
      <c r="G1473" s="187">
        <f>IF($K1473="","",INDEX(Zeiterfassung!$G$6:$G$3665,$K1473))</f>
        <v/>
      </c>
      <c r="H1473" s="188">
        <f>IF($K1473="","",INDEX(Zeiterfassung!$H$6:$H$3665,$K1473))</f>
        <v/>
      </c>
      <c r="I1473" s="335">
        <f>IF(B1473=B1472,"",IF($K1473="","",INDEX(Zeiterfassung!$I$6:$I$3665,MATCH(INDEX(Zeiterfassung!$K$6:$K$3665,$K1473),Zeiterfassung!$K$6:$K$3665,0))))</f>
        <v/>
      </c>
      <c r="J1473" s="335">
        <f>IF(B1473=B1472,"",IF($K1473="","",INDEX(Zeiterfassung!$J$6:$J$3665,MATCH(INDEX(Zeiterfassung!$K$6:$K$3665,$K1473),Zeiterfassung!$K$6:$K$3665,0))))</f>
        <v/>
      </c>
      <c r="K1473">
        <f>IFERROR(AGGREGATE(15,6,(ROW(Zeiterfassung!$D$6:$D$3665)-ROW(Zeiterfassung!$D$6)+1)/(Zeiterfassung!$D$6:$D$3665&lt;&gt;""),1468),"")</f>
        <v/>
      </c>
    </row>
    <row r="1474" ht="20" customHeight="1">
      <c r="A1474" s="183">
        <f>IF($K1474="","",WEEKNUM(INDEX(Zeiterfassung!$K$6:$K$3665,$K1474),21))</f>
        <v/>
      </c>
      <c r="B1474" s="184">
        <f>IF($K1474="","",INDEX(Zeiterfassung!$K$6:$K$3665,$K1474))</f>
        <v/>
      </c>
      <c r="C1474" s="185">
        <f>IF($K1474="","",INDEX(Zeiterfassung!$K$6:$K$3665,$K1474))</f>
        <v/>
      </c>
      <c r="D1474" s="186">
        <f>IF($K1474="","",INDEX(Zeiterfassung!$D$6:$D$3665,$K1474))</f>
        <v/>
      </c>
      <c r="E1474" s="186">
        <f>IF($K1474="","",INDEX(Zeiterfassung!$E$6:$E$3665,$K1474))</f>
        <v/>
      </c>
      <c r="F1474" s="187">
        <f>IF($K1474="","",INDEX(Zeiterfassung!$F$6:$F$3665,$K1474))</f>
        <v/>
      </c>
      <c r="G1474" s="187">
        <f>IF($K1474="","",INDEX(Zeiterfassung!$G$6:$G$3665,$K1474))</f>
        <v/>
      </c>
      <c r="H1474" s="188">
        <f>IF($K1474="","",INDEX(Zeiterfassung!$H$6:$H$3665,$K1474))</f>
        <v/>
      </c>
      <c r="I1474" s="335">
        <f>IF(B1474=B1473,"",IF($K1474="","",INDEX(Zeiterfassung!$I$6:$I$3665,MATCH(INDEX(Zeiterfassung!$K$6:$K$3665,$K1474),Zeiterfassung!$K$6:$K$3665,0))))</f>
        <v/>
      </c>
      <c r="J1474" s="335">
        <f>IF(B1474=B1473,"",IF($K1474="","",INDEX(Zeiterfassung!$J$6:$J$3665,MATCH(INDEX(Zeiterfassung!$K$6:$K$3665,$K1474),Zeiterfassung!$K$6:$K$3665,0))))</f>
        <v/>
      </c>
      <c r="K1474">
        <f>IFERROR(AGGREGATE(15,6,(ROW(Zeiterfassung!$D$6:$D$3665)-ROW(Zeiterfassung!$D$6)+1)/(Zeiterfassung!$D$6:$D$3665&lt;&gt;""),1469),"")</f>
        <v/>
      </c>
    </row>
    <row r="1475" ht="20" customHeight="1">
      <c r="A1475" s="183">
        <f>IF($K1475="","",WEEKNUM(INDEX(Zeiterfassung!$K$6:$K$3665,$K1475),21))</f>
        <v/>
      </c>
      <c r="B1475" s="184">
        <f>IF($K1475="","",INDEX(Zeiterfassung!$K$6:$K$3665,$K1475))</f>
        <v/>
      </c>
      <c r="C1475" s="185">
        <f>IF($K1475="","",INDEX(Zeiterfassung!$K$6:$K$3665,$K1475))</f>
        <v/>
      </c>
      <c r="D1475" s="186">
        <f>IF($K1475="","",INDEX(Zeiterfassung!$D$6:$D$3665,$K1475))</f>
        <v/>
      </c>
      <c r="E1475" s="186">
        <f>IF($K1475="","",INDEX(Zeiterfassung!$E$6:$E$3665,$K1475))</f>
        <v/>
      </c>
      <c r="F1475" s="187">
        <f>IF($K1475="","",INDEX(Zeiterfassung!$F$6:$F$3665,$K1475))</f>
        <v/>
      </c>
      <c r="G1475" s="187">
        <f>IF($K1475="","",INDEX(Zeiterfassung!$G$6:$G$3665,$K1475))</f>
        <v/>
      </c>
      <c r="H1475" s="188">
        <f>IF($K1475="","",INDEX(Zeiterfassung!$H$6:$H$3665,$K1475))</f>
        <v/>
      </c>
      <c r="I1475" s="335">
        <f>IF(B1475=B1474,"",IF($K1475="","",INDEX(Zeiterfassung!$I$6:$I$3665,MATCH(INDEX(Zeiterfassung!$K$6:$K$3665,$K1475),Zeiterfassung!$K$6:$K$3665,0))))</f>
        <v/>
      </c>
      <c r="J1475" s="335">
        <f>IF(B1475=B1474,"",IF($K1475="","",INDEX(Zeiterfassung!$J$6:$J$3665,MATCH(INDEX(Zeiterfassung!$K$6:$K$3665,$K1475),Zeiterfassung!$K$6:$K$3665,0))))</f>
        <v/>
      </c>
      <c r="K1475">
        <f>IFERROR(AGGREGATE(15,6,(ROW(Zeiterfassung!$D$6:$D$3665)-ROW(Zeiterfassung!$D$6)+1)/(Zeiterfassung!$D$6:$D$3665&lt;&gt;""),1470),"")</f>
        <v/>
      </c>
    </row>
    <row r="1476" ht="20" customHeight="1">
      <c r="A1476" s="183">
        <f>IF($K1476="","",WEEKNUM(INDEX(Zeiterfassung!$K$6:$K$3665,$K1476),21))</f>
        <v/>
      </c>
      <c r="B1476" s="184">
        <f>IF($K1476="","",INDEX(Zeiterfassung!$K$6:$K$3665,$K1476))</f>
        <v/>
      </c>
      <c r="C1476" s="185">
        <f>IF($K1476="","",INDEX(Zeiterfassung!$K$6:$K$3665,$K1476))</f>
        <v/>
      </c>
      <c r="D1476" s="186">
        <f>IF($K1476="","",INDEX(Zeiterfassung!$D$6:$D$3665,$K1476))</f>
        <v/>
      </c>
      <c r="E1476" s="186">
        <f>IF($K1476="","",INDEX(Zeiterfassung!$E$6:$E$3665,$K1476))</f>
        <v/>
      </c>
      <c r="F1476" s="187">
        <f>IF($K1476="","",INDEX(Zeiterfassung!$F$6:$F$3665,$K1476))</f>
        <v/>
      </c>
      <c r="G1476" s="187">
        <f>IF($K1476="","",INDEX(Zeiterfassung!$G$6:$G$3665,$K1476))</f>
        <v/>
      </c>
      <c r="H1476" s="188">
        <f>IF($K1476="","",INDEX(Zeiterfassung!$H$6:$H$3665,$K1476))</f>
        <v/>
      </c>
      <c r="I1476" s="335">
        <f>IF(B1476=B1475,"",IF($K1476="","",INDEX(Zeiterfassung!$I$6:$I$3665,MATCH(INDEX(Zeiterfassung!$K$6:$K$3665,$K1476),Zeiterfassung!$K$6:$K$3665,0))))</f>
        <v/>
      </c>
      <c r="J1476" s="335">
        <f>IF(B1476=B1475,"",IF($K1476="","",INDEX(Zeiterfassung!$J$6:$J$3665,MATCH(INDEX(Zeiterfassung!$K$6:$K$3665,$K1476),Zeiterfassung!$K$6:$K$3665,0))))</f>
        <v/>
      </c>
      <c r="K1476">
        <f>IFERROR(AGGREGATE(15,6,(ROW(Zeiterfassung!$D$6:$D$3665)-ROW(Zeiterfassung!$D$6)+1)/(Zeiterfassung!$D$6:$D$3665&lt;&gt;""),1471),"")</f>
        <v/>
      </c>
    </row>
    <row r="1477" ht="20" customHeight="1">
      <c r="A1477" s="183">
        <f>IF($K1477="","",WEEKNUM(INDEX(Zeiterfassung!$K$6:$K$3665,$K1477),21))</f>
        <v/>
      </c>
      <c r="B1477" s="184">
        <f>IF($K1477="","",INDEX(Zeiterfassung!$K$6:$K$3665,$K1477))</f>
        <v/>
      </c>
      <c r="C1477" s="185">
        <f>IF($K1477="","",INDEX(Zeiterfassung!$K$6:$K$3665,$K1477))</f>
        <v/>
      </c>
      <c r="D1477" s="186">
        <f>IF($K1477="","",INDEX(Zeiterfassung!$D$6:$D$3665,$K1477))</f>
        <v/>
      </c>
      <c r="E1477" s="186">
        <f>IF($K1477="","",INDEX(Zeiterfassung!$E$6:$E$3665,$K1477))</f>
        <v/>
      </c>
      <c r="F1477" s="187">
        <f>IF($K1477="","",INDEX(Zeiterfassung!$F$6:$F$3665,$K1477))</f>
        <v/>
      </c>
      <c r="G1477" s="187">
        <f>IF($K1477="","",INDEX(Zeiterfassung!$G$6:$G$3665,$K1477))</f>
        <v/>
      </c>
      <c r="H1477" s="188">
        <f>IF($K1477="","",INDEX(Zeiterfassung!$H$6:$H$3665,$K1477))</f>
        <v/>
      </c>
      <c r="I1477" s="335">
        <f>IF(B1477=B1476,"",IF($K1477="","",INDEX(Zeiterfassung!$I$6:$I$3665,MATCH(INDEX(Zeiterfassung!$K$6:$K$3665,$K1477),Zeiterfassung!$K$6:$K$3665,0))))</f>
        <v/>
      </c>
      <c r="J1477" s="335">
        <f>IF(B1477=B1476,"",IF($K1477="","",INDEX(Zeiterfassung!$J$6:$J$3665,MATCH(INDEX(Zeiterfassung!$K$6:$K$3665,$K1477),Zeiterfassung!$K$6:$K$3665,0))))</f>
        <v/>
      </c>
      <c r="K1477">
        <f>IFERROR(AGGREGATE(15,6,(ROW(Zeiterfassung!$D$6:$D$3665)-ROW(Zeiterfassung!$D$6)+1)/(Zeiterfassung!$D$6:$D$3665&lt;&gt;""),1472),"")</f>
        <v/>
      </c>
    </row>
    <row r="1478" ht="20" customHeight="1">
      <c r="A1478" s="183">
        <f>IF($K1478="","",WEEKNUM(INDEX(Zeiterfassung!$K$6:$K$3665,$K1478),21))</f>
        <v/>
      </c>
      <c r="B1478" s="184">
        <f>IF($K1478="","",INDEX(Zeiterfassung!$K$6:$K$3665,$K1478))</f>
        <v/>
      </c>
      <c r="C1478" s="185">
        <f>IF($K1478="","",INDEX(Zeiterfassung!$K$6:$K$3665,$K1478))</f>
        <v/>
      </c>
      <c r="D1478" s="186">
        <f>IF($K1478="","",INDEX(Zeiterfassung!$D$6:$D$3665,$K1478))</f>
        <v/>
      </c>
      <c r="E1478" s="186">
        <f>IF($K1478="","",INDEX(Zeiterfassung!$E$6:$E$3665,$K1478))</f>
        <v/>
      </c>
      <c r="F1478" s="187">
        <f>IF($K1478="","",INDEX(Zeiterfassung!$F$6:$F$3665,$K1478))</f>
        <v/>
      </c>
      <c r="G1478" s="187">
        <f>IF($K1478="","",INDEX(Zeiterfassung!$G$6:$G$3665,$K1478))</f>
        <v/>
      </c>
      <c r="H1478" s="188">
        <f>IF($K1478="","",INDEX(Zeiterfassung!$H$6:$H$3665,$K1478))</f>
        <v/>
      </c>
      <c r="I1478" s="335">
        <f>IF(B1478=B1477,"",IF($K1478="","",INDEX(Zeiterfassung!$I$6:$I$3665,MATCH(INDEX(Zeiterfassung!$K$6:$K$3665,$K1478),Zeiterfassung!$K$6:$K$3665,0))))</f>
        <v/>
      </c>
      <c r="J1478" s="335">
        <f>IF(B1478=B1477,"",IF($K1478="","",INDEX(Zeiterfassung!$J$6:$J$3665,MATCH(INDEX(Zeiterfassung!$K$6:$K$3665,$K1478),Zeiterfassung!$K$6:$K$3665,0))))</f>
        <v/>
      </c>
      <c r="K1478">
        <f>IFERROR(AGGREGATE(15,6,(ROW(Zeiterfassung!$D$6:$D$3665)-ROW(Zeiterfassung!$D$6)+1)/(Zeiterfassung!$D$6:$D$3665&lt;&gt;""),1473),"")</f>
        <v/>
      </c>
    </row>
    <row r="1479" ht="20" customHeight="1">
      <c r="A1479" s="183">
        <f>IF($K1479="","",WEEKNUM(INDEX(Zeiterfassung!$K$6:$K$3665,$K1479),21))</f>
        <v/>
      </c>
      <c r="B1479" s="184">
        <f>IF($K1479="","",INDEX(Zeiterfassung!$K$6:$K$3665,$K1479))</f>
        <v/>
      </c>
      <c r="C1479" s="185">
        <f>IF($K1479="","",INDEX(Zeiterfassung!$K$6:$K$3665,$K1479))</f>
        <v/>
      </c>
      <c r="D1479" s="186">
        <f>IF($K1479="","",INDEX(Zeiterfassung!$D$6:$D$3665,$K1479))</f>
        <v/>
      </c>
      <c r="E1479" s="186">
        <f>IF($K1479="","",INDEX(Zeiterfassung!$E$6:$E$3665,$K1479))</f>
        <v/>
      </c>
      <c r="F1479" s="187">
        <f>IF($K1479="","",INDEX(Zeiterfassung!$F$6:$F$3665,$K1479))</f>
        <v/>
      </c>
      <c r="G1479" s="187">
        <f>IF($K1479="","",INDEX(Zeiterfassung!$G$6:$G$3665,$K1479))</f>
        <v/>
      </c>
      <c r="H1479" s="188">
        <f>IF($K1479="","",INDEX(Zeiterfassung!$H$6:$H$3665,$K1479))</f>
        <v/>
      </c>
      <c r="I1479" s="335">
        <f>IF(B1479=B1478,"",IF($K1479="","",INDEX(Zeiterfassung!$I$6:$I$3665,MATCH(INDEX(Zeiterfassung!$K$6:$K$3665,$K1479),Zeiterfassung!$K$6:$K$3665,0))))</f>
        <v/>
      </c>
      <c r="J1479" s="335">
        <f>IF(B1479=B1478,"",IF($K1479="","",INDEX(Zeiterfassung!$J$6:$J$3665,MATCH(INDEX(Zeiterfassung!$K$6:$K$3665,$K1479),Zeiterfassung!$K$6:$K$3665,0))))</f>
        <v/>
      </c>
      <c r="K1479">
        <f>IFERROR(AGGREGATE(15,6,(ROW(Zeiterfassung!$D$6:$D$3665)-ROW(Zeiterfassung!$D$6)+1)/(Zeiterfassung!$D$6:$D$3665&lt;&gt;""),1474),"")</f>
        <v/>
      </c>
    </row>
    <row r="1480" ht="20" customHeight="1">
      <c r="A1480" s="183">
        <f>IF($K1480="","",WEEKNUM(INDEX(Zeiterfassung!$K$6:$K$3665,$K1480),21))</f>
        <v/>
      </c>
      <c r="B1480" s="184">
        <f>IF($K1480="","",INDEX(Zeiterfassung!$K$6:$K$3665,$K1480))</f>
        <v/>
      </c>
      <c r="C1480" s="185">
        <f>IF($K1480="","",INDEX(Zeiterfassung!$K$6:$K$3665,$K1480))</f>
        <v/>
      </c>
      <c r="D1480" s="186">
        <f>IF($K1480="","",INDEX(Zeiterfassung!$D$6:$D$3665,$K1480))</f>
        <v/>
      </c>
      <c r="E1480" s="186">
        <f>IF($K1480="","",INDEX(Zeiterfassung!$E$6:$E$3665,$K1480))</f>
        <v/>
      </c>
      <c r="F1480" s="187">
        <f>IF($K1480="","",INDEX(Zeiterfassung!$F$6:$F$3665,$K1480))</f>
        <v/>
      </c>
      <c r="G1480" s="187">
        <f>IF($K1480="","",INDEX(Zeiterfassung!$G$6:$G$3665,$K1480))</f>
        <v/>
      </c>
      <c r="H1480" s="188">
        <f>IF($K1480="","",INDEX(Zeiterfassung!$H$6:$H$3665,$K1480))</f>
        <v/>
      </c>
      <c r="I1480" s="335">
        <f>IF(B1480=B1479,"",IF($K1480="","",INDEX(Zeiterfassung!$I$6:$I$3665,MATCH(INDEX(Zeiterfassung!$K$6:$K$3665,$K1480),Zeiterfassung!$K$6:$K$3665,0))))</f>
        <v/>
      </c>
      <c r="J1480" s="335">
        <f>IF(B1480=B1479,"",IF($K1480="","",INDEX(Zeiterfassung!$J$6:$J$3665,MATCH(INDEX(Zeiterfassung!$K$6:$K$3665,$K1480),Zeiterfassung!$K$6:$K$3665,0))))</f>
        <v/>
      </c>
      <c r="K1480">
        <f>IFERROR(AGGREGATE(15,6,(ROW(Zeiterfassung!$D$6:$D$3665)-ROW(Zeiterfassung!$D$6)+1)/(Zeiterfassung!$D$6:$D$3665&lt;&gt;""),1475),"")</f>
        <v/>
      </c>
    </row>
    <row r="1481" ht="20" customHeight="1">
      <c r="A1481" s="183">
        <f>IF($K1481="","",WEEKNUM(INDEX(Zeiterfassung!$K$6:$K$3665,$K1481),21))</f>
        <v/>
      </c>
      <c r="B1481" s="184">
        <f>IF($K1481="","",INDEX(Zeiterfassung!$K$6:$K$3665,$K1481))</f>
        <v/>
      </c>
      <c r="C1481" s="185">
        <f>IF($K1481="","",INDEX(Zeiterfassung!$K$6:$K$3665,$K1481))</f>
        <v/>
      </c>
      <c r="D1481" s="186">
        <f>IF($K1481="","",INDEX(Zeiterfassung!$D$6:$D$3665,$K1481))</f>
        <v/>
      </c>
      <c r="E1481" s="186">
        <f>IF($K1481="","",INDEX(Zeiterfassung!$E$6:$E$3665,$K1481))</f>
        <v/>
      </c>
      <c r="F1481" s="187">
        <f>IF($K1481="","",INDEX(Zeiterfassung!$F$6:$F$3665,$K1481))</f>
        <v/>
      </c>
      <c r="G1481" s="187">
        <f>IF($K1481="","",INDEX(Zeiterfassung!$G$6:$G$3665,$K1481))</f>
        <v/>
      </c>
      <c r="H1481" s="188">
        <f>IF($K1481="","",INDEX(Zeiterfassung!$H$6:$H$3665,$K1481))</f>
        <v/>
      </c>
      <c r="I1481" s="335">
        <f>IF(B1481=B1480,"",IF($K1481="","",INDEX(Zeiterfassung!$I$6:$I$3665,MATCH(INDEX(Zeiterfassung!$K$6:$K$3665,$K1481),Zeiterfassung!$K$6:$K$3665,0))))</f>
        <v/>
      </c>
      <c r="J1481" s="335">
        <f>IF(B1481=B1480,"",IF($K1481="","",INDEX(Zeiterfassung!$J$6:$J$3665,MATCH(INDEX(Zeiterfassung!$K$6:$K$3665,$K1481),Zeiterfassung!$K$6:$K$3665,0))))</f>
        <v/>
      </c>
      <c r="K1481">
        <f>IFERROR(AGGREGATE(15,6,(ROW(Zeiterfassung!$D$6:$D$3665)-ROW(Zeiterfassung!$D$6)+1)/(Zeiterfassung!$D$6:$D$3665&lt;&gt;""),1476),"")</f>
        <v/>
      </c>
    </row>
    <row r="1482" ht="20" customHeight="1">
      <c r="A1482" s="183">
        <f>IF($K1482="","",WEEKNUM(INDEX(Zeiterfassung!$K$6:$K$3665,$K1482),21))</f>
        <v/>
      </c>
      <c r="B1482" s="184">
        <f>IF($K1482="","",INDEX(Zeiterfassung!$K$6:$K$3665,$K1482))</f>
        <v/>
      </c>
      <c r="C1482" s="185">
        <f>IF($K1482="","",INDEX(Zeiterfassung!$K$6:$K$3665,$K1482))</f>
        <v/>
      </c>
      <c r="D1482" s="186">
        <f>IF($K1482="","",INDEX(Zeiterfassung!$D$6:$D$3665,$K1482))</f>
        <v/>
      </c>
      <c r="E1482" s="186">
        <f>IF($K1482="","",INDEX(Zeiterfassung!$E$6:$E$3665,$K1482))</f>
        <v/>
      </c>
      <c r="F1482" s="187">
        <f>IF($K1482="","",INDEX(Zeiterfassung!$F$6:$F$3665,$K1482))</f>
        <v/>
      </c>
      <c r="G1482" s="187">
        <f>IF($K1482="","",INDEX(Zeiterfassung!$G$6:$G$3665,$K1482))</f>
        <v/>
      </c>
      <c r="H1482" s="188">
        <f>IF($K1482="","",INDEX(Zeiterfassung!$H$6:$H$3665,$K1482))</f>
        <v/>
      </c>
      <c r="I1482" s="335">
        <f>IF(B1482=B1481,"",IF($K1482="","",INDEX(Zeiterfassung!$I$6:$I$3665,MATCH(INDEX(Zeiterfassung!$K$6:$K$3665,$K1482),Zeiterfassung!$K$6:$K$3665,0))))</f>
        <v/>
      </c>
      <c r="J1482" s="335">
        <f>IF(B1482=B1481,"",IF($K1482="","",INDEX(Zeiterfassung!$J$6:$J$3665,MATCH(INDEX(Zeiterfassung!$K$6:$K$3665,$K1482),Zeiterfassung!$K$6:$K$3665,0))))</f>
        <v/>
      </c>
      <c r="K1482">
        <f>IFERROR(AGGREGATE(15,6,(ROW(Zeiterfassung!$D$6:$D$3665)-ROW(Zeiterfassung!$D$6)+1)/(Zeiterfassung!$D$6:$D$3665&lt;&gt;""),1477),"")</f>
        <v/>
      </c>
    </row>
    <row r="1483" ht="20" customHeight="1">
      <c r="A1483" s="183">
        <f>IF($K1483="","",WEEKNUM(INDEX(Zeiterfassung!$K$6:$K$3665,$K1483),21))</f>
        <v/>
      </c>
      <c r="B1483" s="184">
        <f>IF($K1483="","",INDEX(Zeiterfassung!$K$6:$K$3665,$K1483))</f>
        <v/>
      </c>
      <c r="C1483" s="185">
        <f>IF($K1483="","",INDEX(Zeiterfassung!$K$6:$K$3665,$K1483))</f>
        <v/>
      </c>
      <c r="D1483" s="186">
        <f>IF($K1483="","",INDEX(Zeiterfassung!$D$6:$D$3665,$K1483))</f>
        <v/>
      </c>
      <c r="E1483" s="186">
        <f>IF($K1483="","",INDEX(Zeiterfassung!$E$6:$E$3665,$K1483))</f>
        <v/>
      </c>
      <c r="F1483" s="187">
        <f>IF($K1483="","",INDEX(Zeiterfassung!$F$6:$F$3665,$K1483))</f>
        <v/>
      </c>
      <c r="G1483" s="187">
        <f>IF($K1483="","",INDEX(Zeiterfassung!$G$6:$G$3665,$K1483))</f>
        <v/>
      </c>
      <c r="H1483" s="188">
        <f>IF($K1483="","",INDEX(Zeiterfassung!$H$6:$H$3665,$K1483))</f>
        <v/>
      </c>
      <c r="I1483" s="335">
        <f>IF(B1483=B1482,"",IF($K1483="","",INDEX(Zeiterfassung!$I$6:$I$3665,MATCH(INDEX(Zeiterfassung!$K$6:$K$3665,$K1483),Zeiterfassung!$K$6:$K$3665,0))))</f>
        <v/>
      </c>
      <c r="J1483" s="335">
        <f>IF(B1483=B1482,"",IF($K1483="","",INDEX(Zeiterfassung!$J$6:$J$3665,MATCH(INDEX(Zeiterfassung!$K$6:$K$3665,$K1483),Zeiterfassung!$K$6:$K$3665,0))))</f>
        <v/>
      </c>
      <c r="K1483">
        <f>IFERROR(AGGREGATE(15,6,(ROW(Zeiterfassung!$D$6:$D$3665)-ROW(Zeiterfassung!$D$6)+1)/(Zeiterfassung!$D$6:$D$3665&lt;&gt;""),1478),"")</f>
        <v/>
      </c>
    </row>
    <row r="1484" ht="20" customHeight="1">
      <c r="A1484" s="183">
        <f>IF($K1484="","",WEEKNUM(INDEX(Zeiterfassung!$K$6:$K$3665,$K1484),21))</f>
        <v/>
      </c>
      <c r="B1484" s="184">
        <f>IF($K1484="","",INDEX(Zeiterfassung!$K$6:$K$3665,$K1484))</f>
        <v/>
      </c>
      <c r="C1484" s="185">
        <f>IF($K1484="","",INDEX(Zeiterfassung!$K$6:$K$3665,$K1484))</f>
        <v/>
      </c>
      <c r="D1484" s="186">
        <f>IF($K1484="","",INDEX(Zeiterfassung!$D$6:$D$3665,$K1484))</f>
        <v/>
      </c>
      <c r="E1484" s="186">
        <f>IF($K1484="","",INDEX(Zeiterfassung!$E$6:$E$3665,$K1484))</f>
        <v/>
      </c>
      <c r="F1484" s="187">
        <f>IF($K1484="","",INDEX(Zeiterfassung!$F$6:$F$3665,$K1484))</f>
        <v/>
      </c>
      <c r="G1484" s="187">
        <f>IF($K1484="","",INDEX(Zeiterfassung!$G$6:$G$3665,$K1484))</f>
        <v/>
      </c>
      <c r="H1484" s="188">
        <f>IF($K1484="","",INDEX(Zeiterfassung!$H$6:$H$3665,$K1484))</f>
        <v/>
      </c>
      <c r="I1484" s="335">
        <f>IF(B1484=B1483,"",IF($K1484="","",INDEX(Zeiterfassung!$I$6:$I$3665,MATCH(INDEX(Zeiterfassung!$K$6:$K$3665,$K1484),Zeiterfassung!$K$6:$K$3665,0))))</f>
        <v/>
      </c>
      <c r="J1484" s="335">
        <f>IF(B1484=B1483,"",IF($K1484="","",INDEX(Zeiterfassung!$J$6:$J$3665,MATCH(INDEX(Zeiterfassung!$K$6:$K$3665,$K1484),Zeiterfassung!$K$6:$K$3665,0))))</f>
        <v/>
      </c>
      <c r="K1484">
        <f>IFERROR(AGGREGATE(15,6,(ROW(Zeiterfassung!$D$6:$D$3665)-ROW(Zeiterfassung!$D$6)+1)/(Zeiterfassung!$D$6:$D$3665&lt;&gt;""),1479),"")</f>
        <v/>
      </c>
    </row>
    <row r="1485" ht="20" customHeight="1">
      <c r="A1485" s="183">
        <f>IF($K1485="","",WEEKNUM(INDEX(Zeiterfassung!$K$6:$K$3665,$K1485),21))</f>
        <v/>
      </c>
      <c r="B1485" s="184">
        <f>IF($K1485="","",INDEX(Zeiterfassung!$K$6:$K$3665,$K1485))</f>
        <v/>
      </c>
      <c r="C1485" s="185">
        <f>IF($K1485="","",INDEX(Zeiterfassung!$K$6:$K$3665,$K1485))</f>
        <v/>
      </c>
      <c r="D1485" s="186">
        <f>IF($K1485="","",INDEX(Zeiterfassung!$D$6:$D$3665,$K1485))</f>
        <v/>
      </c>
      <c r="E1485" s="186">
        <f>IF($K1485="","",INDEX(Zeiterfassung!$E$6:$E$3665,$K1485))</f>
        <v/>
      </c>
      <c r="F1485" s="187">
        <f>IF($K1485="","",INDEX(Zeiterfassung!$F$6:$F$3665,$K1485))</f>
        <v/>
      </c>
      <c r="G1485" s="187">
        <f>IF($K1485="","",INDEX(Zeiterfassung!$G$6:$G$3665,$K1485))</f>
        <v/>
      </c>
      <c r="H1485" s="188">
        <f>IF($K1485="","",INDEX(Zeiterfassung!$H$6:$H$3665,$K1485))</f>
        <v/>
      </c>
      <c r="I1485" s="335">
        <f>IF(B1485=B1484,"",IF($K1485="","",INDEX(Zeiterfassung!$I$6:$I$3665,MATCH(INDEX(Zeiterfassung!$K$6:$K$3665,$K1485),Zeiterfassung!$K$6:$K$3665,0))))</f>
        <v/>
      </c>
      <c r="J1485" s="335">
        <f>IF(B1485=B1484,"",IF($K1485="","",INDEX(Zeiterfassung!$J$6:$J$3665,MATCH(INDEX(Zeiterfassung!$K$6:$K$3665,$K1485),Zeiterfassung!$K$6:$K$3665,0))))</f>
        <v/>
      </c>
      <c r="K1485">
        <f>IFERROR(AGGREGATE(15,6,(ROW(Zeiterfassung!$D$6:$D$3665)-ROW(Zeiterfassung!$D$6)+1)/(Zeiterfassung!$D$6:$D$3665&lt;&gt;""),1480),"")</f>
        <v/>
      </c>
    </row>
    <row r="1486" ht="20" customHeight="1">
      <c r="A1486" s="183">
        <f>IF($K1486="","",WEEKNUM(INDEX(Zeiterfassung!$K$6:$K$3665,$K1486),21))</f>
        <v/>
      </c>
      <c r="B1486" s="184">
        <f>IF($K1486="","",INDEX(Zeiterfassung!$K$6:$K$3665,$K1486))</f>
        <v/>
      </c>
      <c r="C1486" s="185">
        <f>IF($K1486="","",INDEX(Zeiterfassung!$K$6:$K$3665,$K1486))</f>
        <v/>
      </c>
      <c r="D1486" s="186">
        <f>IF($K1486="","",INDEX(Zeiterfassung!$D$6:$D$3665,$K1486))</f>
        <v/>
      </c>
      <c r="E1486" s="186">
        <f>IF($K1486="","",INDEX(Zeiterfassung!$E$6:$E$3665,$K1486))</f>
        <v/>
      </c>
      <c r="F1486" s="187">
        <f>IF($K1486="","",INDEX(Zeiterfassung!$F$6:$F$3665,$K1486))</f>
        <v/>
      </c>
      <c r="G1486" s="187">
        <f>IF($K1486="","",INDEX(Zeiterfassung!$G$6:$G$3665,$K1486))</f>
        <v/>
      </c>
      <c r="H1486" s="188">
        <f>IF($K1486="","",INDEX(Zeiterfassung!$H$6:$H$3665,$K1486))</f>
        <v/>
      </c>
      <c r="I1486" s="335">
        <f>IF(B1486=B1485,"",IF($K1486="","",INDEX(Zeiterfassung!$I$6:$I$3665,MATCH(INDEX(Zeiterfassung!$K$6:$K$3665,$K1486),Zeiterfassung!$K$6:$K$3665,0))))</f>
        <v/>
      </c>
      <c r="J1486" s="335">
        <f>IF(B1486=B1485,"",IF($K1486="","",INDEX(Zeiterfassung!$J$6:$J$3665,MATCH(INDEX(Zeiterfassung!$K$6:$K$3665,$K1486),Zeiterfassung!$K$6:$K$3665,0))))</f>
        <v/>
      </c>
      <c r="K1486">
        <f>IFERROR(AGGREGATE(15,6,(ROW(Zeiterfassung!$D$6:$D$3665)-ROW(Zeiterfassung!$D$6)+1)/(Zeiterfassung!$D$6:$D$3665&lt;&gt;""),1481),"")</f>
        <v/>
      </c>
    </row>
    <row r="1487" ht="20" customHeight="1">
      <c r="A1487" s="183">
        <f>IF($K1487="","",WEEKNUM(INDEX(Zeiterfassung!$K$6:$K$3665,$K1487),21))</f>
        <v/>
      </c>
      <c r="B1487" s="184">
        <f>IF($K1487="","",INDEX(Zeiterfassung!$K$6:$K$3665,$K1487))</f>
        <v/>
      </c>
      <c r="C1487" s="185">
        <f>IF($K1487="","",INDEX(Zeiterfassung!$K$6:$K$3665,$K1487))</f>
        <v/>
      </c>
      <c r="D1487" s="186">
        <f>IF($K1487="","",INDEX(Zeiterfassung!$D$6:$D$3665,$K1487))</f>
        <v/>
      </c>
      <c r="E1487" s="186">
        <f>IF($K1487="","",INDEX(Zeiterfassung!$E$6:$E$3665,$K1487))</f>
        <v/>
      </c>
      <c r="F1487" s="187">
        <f>IF($K1487="","",INDEX(Zeiterfassung!$F$6:$F$3665,$K1487))</f>
        <v/>
      </c>
      <c r="G1487" s="187">
        <f>IF($K1487="","",INDEX(Zeiterfassung!$G$6:$G$3665,$K1487))</f>
        <v/>
      </c>
      <c r="H1487" s="188">
        <f>IF($K1487="","",INDEX(Zeiterfassung!$H$6:$H$3665,$K1487))</f>
        <v/>
      </c>
      <c r="I1487" s="335">
        <f>IF(B1487=B1486,"",IF($K1487="","",INDEX(Zeiterfassung!$I$6:$I$3665,MATCH(INDEX(Zeiterfassung!$K$6:$K$3665,$K1487),Zeiterfassung!$K$6:$K$3665,0))))</f>
        <v/>
      </c>
      <c r="J1487" s="335">
        <f>IF(B1487=B1486,"",IF($K1487="","",INDEX(Zeiterfassung!$J$6:$J$3665,MATCH(INDEX(Zeiterfassung!$K$6:$K$3665,$K1487),Zeiterfassung!$K$6:$K$3665,0))))</f>
        <v/>
      </c>
      <c r="K1487">
        <f>IFERROR(AGGREGATE(15,6,(ROW(Zeiterfassung!$D$6:$D$3665)-ROW(Zeiterfassung!$D$6)+1)/(Zeiterfassung!$D$6:$D$3665&lt;&gt;""),1482),"")</f>
        <v/>
      </c>
    </row>
    <row r="1488" ht="20" customHeight="1">
      <c r="A1488" s="183">
        <f>IF($K1488="","",WEEKNUM(INDEX(Zeiterfassung!$K$6:$K$3665,$K1488),21))</f>
        <v/>
      </c>
      <c r="B1488" s="184">
        <f>IF($K1488="","",INDEX(Zeiterfassung!$K$6:$K$3665,$K1488))</f>
        <v/>
      </c>
      <c r="C1488" s="185">
        <f>IF($K1488="","",INDEX(Zeiterfassung!$K$6:$K$3665,$K1488))</f>
        <v/>
      </c>
      <c r="D1488" s="186">
        <f>IF($K1488="","",INDEX(Zeiterfassung!$D$6:$D$3665,$K1488))</f>
        <v/>
      </c>
      <c r="E1488" s="186">
        <f>IF($K1488="","",INDEX(Zeiterfassung!$E$6:$E$3665,$K1488))</f>
        <v/>
      </c>
      <c r="F1488" s="187">
        <f>IF($K1488="","",INDEX(Zeiterfassung!$F$6:$F$3665,$K1488))</f>
        <v/>
      </c>
      <c r="G1488" s="187">
        <f>IF($K1488="","",INDEX(Zeiterfassung!$G$6:$G$3665,$K1488))</f>
        <v/>
      </c>
      <c r="H1488" s="188">
        <f>IF($K1488="","",INDEX(Zeiterfassung!$H$6:$H$3665,$K1488))</f>
        <v/>
      </c>
      <c r="I1488" s="335">
        <f>IF(B1488=B1487,"",IF($K1488="","",INDEX(Zeiterfassung!$I$6:$I$3665,MATCH(INDEX(Zeiterfassung!$K$6:$K$3665,$K1488),Zeiterfassung!$K$6:$K$3665,0))))</f>
        <v/>
      </c>
      <c r="J1488" s="335">
        <f>IF(B1488=B1487,"",IF($K1488="","",INDEX(Zeiterfassung!$J$6:$J$3665,MATCH(INDEX(Zeiterfassung!$K$6:$K$3665,$K1488),Zeiterfassung!$K$6:$K$3665,0))))</f>
        <v/>
      </c>
      <c r="K1488">
        <f>IFERROR(AGGREGATE(15,6,(ROW(Zeiterfassung!$D$6:$D$3665)-ROW(Zeiterfassung!$D$6)+1)/(Zeiterfassung!$D$6:$D$3665&lt;&gt;""),1483),"")</f>
        <v/>
      </c>
    </row>
    <row r="1489" ht="20" customHeight="1">
      <c r="A1489" s="183">
        <f>IF($K1489="","",WEEKNUM(INDEX(Zeiterfassung!$K$6:$K$3665,$K1489),21))</f>
        <v/>
      </c>
      <c r="B1489" s="184">
        <f>IF($K1489="","",INDEX(Zeiterfassung!$K$6:$K$3665,$K1489))</f>
        <v/>
      </c>
      <c r="C1489" s="185">
        <f>IF($K1489="","",INDEX(Zeiterfassung!$K$6:$K$3665,$K1489))</f>
        <v/>
      </c>
      <c r="D1489" s="186">
        <f>IF($K1489="","",INDEX(Zeiterfassung!$D$6:$D$3665,$K1489))</f>
        <v/>
      </c>
      <c r="E1489" s="186">
        <f>IF($K1489="","",INDEX(Zeiterfassung!$E$6:$E$3665,$K1489))</f>
        <v/>
      </c>
      <c r="F1489" s="187">
        <f>IF($K1489="","",INDEX(Zeiterfassung!$F$6:$F$3665,$K1489))</f>
        <v/>
      </c>
      <c r="G1489" s="187">
        <f>IF($K1489="","",INDEX(Zeiterfassung!$G$6:$G$3665,$K1489))</f>
        <v/>
      </c>
      <c r="H1489" s="188">
        <f>IF($K1489="","",INDEX(Zeiterfassung!$H$6:$H$3665,$K1489))</f>
        <v/>
      </c>
      <c r="I1489" s="335">
        <f>IF(B1489=B1488,"",IF($K1489="","",INDEX(Zeiterfassung!$I$6:$I$3665,MATCH(INDEX(Zeiterfassung!$K$6:$K$3665,$K1489),Zeiterfassung!$K$6:$K$3665,0))))</f>
        <v/>
      </c>
      <c r="J1489" s="335">
        <f>IF(B1489=B1488,"",IF($K1489="","",INDEX(Zeiterfassung!$J$6:$J$3665,MATCH(INDEX(Zeiterfassung!$K$6:$K$3665,$K1489),Zeiterfassung!$K$6:$K$3665,0))))</f>
        <v/>
      </c>
      <c r="K1489">
        <f>IFERROR(AGGREGATE(15,6,(ROW(Zeiterfassung!$D$6:$D$3665)-ROW(Zeiterfassung!$D$6)+1)/(Zeiterfassung!$D$6:$D$3665&lt;&gt;""),1484),"")</f>
        <v/>
      </c>
    </row>
    <row r="1490" ht="20" customHeight="1">
      <c r="A1490" s="183">
        <f>IF($K1490="","",WEEKNUM(INDEX(Zeiterfassung!$K$6:$K$3665,$K1490),21))</f>
        <v/>
      </c>
      <c r="B1490" s="184">
        <f>IF($K1490="","",INDEX(Zeiterfassung!$K$6:$K$3665,$K1490))</f>
        <v/>
      </c>
      <c r="C1490" s="185">
        <f>IF($K1490="","",INDEX(Zeiterfassung!$K$6:$K$3665,$K1490))</f>
        <v/>
      </c>
      <c r="D1490" s="186">
        <f>IF($K1490="","",INDEX(Zeiterfassung!$D$6:$D$3665,$K1490))</f>
        <v/>
      </c>
      <c r="E1490" s="186">
        <f>IF($K1490="","",INDEX(Zeiterfassung!$E$6:$E$3665,$K1490))</f>
        <v/>
      </c>
      <c r="F1490" s="187">
        <f>IF($K1490="","",INDEX(Zeiterfassung!$F$6:$F$3665,$K1490))</f>
        <v/>
      </c>
      <c r="G1490" s="187">
        <f>IF($K1490="","",INDEX(Zeiterfassung!$G$6:$G$3665,$K1490))</f>
        <v/>
      </c>
      <c r="H1490" s="188">
        <f>IF($K1490="","",INDEX(Zeiterfassung!$H$6:$H$3665,$K1490))</f>
        <v/>
      </c>
      <c r="I1490" s="335">
        <f>IF(B1490=B1489,"",IF($K1490="","",INDEX(Zeiterfassung!$I$6:$I$3665,MATCH(INDEX(Zeiterfassung!$K$6:$K$3665,$K1490),Zeiterfassung!$K$6:$K$3665,0))))</f>
        <v/>
      </c>
      <c r="J1490" s="335">
        <f>IF(B1490=B1489,"",IF($K1490="","",INDEX(Zeiterfassung!$J$6:$J$3665,MATCH(INDEX(Zeiterfassung!$K$6:$K$3665,$K1490),Zeiterfassung!$K$6:$K$3665,0))))</f>
        <v/>
      </c>
      <c r="K1490">
        <f>IFERROR(AGGREGATE(15,6,(ROW(Zeiterfassung!$D$6:$D$3665)-ROW(Zeiterfassung!$D$6)+1)/(Zeiterfassung!$D$6:$D$3665&lt;&gt;""),1485),"")</f>
        <v/>
      </c>
    </row>
    <row r="1491" ht="20" customHeight="1">
      <c r="A1491" s="183">
        <f>IF($K1491="","",WEEKNUM(INDEX(Zeiterfassung!$K$6:$K$3665,$K1491),21))</f>
        <v/>
      </c>
      <c r="B1491" s="184">
        <f>IF($K1491="","",INDEX(Zeiterfassung!$K$6:$K$3665,$K1491))</f>
        <v/>
      </c>
      <c r="C1491" s="185">
        <f>IF($K1491="","",INDEX(Zeiterfassung!$K$6:$K$3665,$K1491))</f>
        <v/>
      </c>
      <c r="D1491" s="186">
        <f>IF($K1491="","",INDEX(Zeiterfassung!$D$6:$D$3665,$K1491))</f>
        <v/>
      </c>
      <c r="E1491" s="186">
        <f>IF($K1491="","",INDEX(Zeiterfassung!$E$6:$E$3665,$K1491))</f>
        <v/>
      </c>
      <c r="F1491" s="187">
        <f>IF($K1491="","",INDEX(Zeiterfassung!$F$6:$F$3665,$K1491))</f>
        <v/>
      </c>
      <c r="G1491" s="187">
        <f>IF($K1491="","",INDEX(Zeiterfassung!$G$6:$G$3665,$K1491))</f>
        <v/>
      </c>
      <c r="H1491" s="188">
        <f>IF($K1491="","",INDEX(Zeiterfassung!$H$6:$H$3665,$K1491))</f>
        <v/>
      </c>
      <c r="I1491" s="335">
        <f>IF(B1491=B1490,"",IF($K1491="","",INDEX(Zeiterfassung!$I$6:$I$3665,MATCH(INDEX(Zeiterfassung!$K$6:$K$3665,$K1491),Zeiterfassung!$K$6:$K$3665,0))))</f>
        <v/>
      </c>
      <c r="J1491" s="335">
        <f>IF(B1491=B1490,"",IF($K1491="","",INDEX(Zeiterfassung!$J$6:$J$3665,MATCH(INDEX(Zeiterfassung!$K$6:$K$3665,$K1491),Zeiterfassung!$K$6:$K$3665,0))))</f>
        <v/>
      </c>
      <c r="K1491">
        <f>IFERROR(AGGREGATE(15,6,(ROW(Zeiterfassung!$D$6:$D$3665)-ROW(Zeiterfassung!$D$6)+1)/(Zeiterfassung!$D$6:$D$3665&lt;&gt;""),1486),"")</f>
        <v/>
      </c>
    </row>
    <row r="1492" ht="20" customHeight="1">
      <c r="A1492" s="183">
        <f>IF($K1492="","",WEEKNUM(INDEX(Zeiterfassung!$K$6:$K$3665,$K1492),21))</f>
        <v/>
      </c>
      <c r="B1492" s="184">
        <f>IF($K1492="","",INDEX(Zeiterfassung!$K$6:$K$3665,$K1492))</f>
        <v/>
      </c>
      <c r="C1492" s="185">
        <f>IF($K1492="","",INDEX(Zeiterfassung!$K$6:$K$3665,$K1492))</f>
        <v/>
      </c>
      <c r="D1492" s="186">
        <f>IF($K1492="","",INDEX(Zeiterfassung!$D$6:$D$3665,$K1492))</f>
        <v/>
      </c>
      <c r="E1492" s="186">
        <f>IF($K1492="","",INDEX(Zeiterfassung!$E$6:$E$3665,$K1492))</f>
        <v/>
      </c>
      <c r="F1492" s="187">
        <f>IF($K1492="","",INDEX(Zeiterfassung!$F$6:$F$3665,$K1492))</f>
        <v/>
      </c>
      <c r="G1492" s="187">
        <f>IF($K1492="","",INDEX(Zeiterfassung!$G$6:$G$3665,$K1492))</f>
        <v/>
      </c>
      <c r="H1492" s="188">
        <f>IF($K1492="","",INDEX(Zeiterfassung!$H$6:$H$3665,$K1492))</f>
        <v/>
      </c>
      <c r="I1492" s="335">
        <f>IF(B1492=B1491,"",IF($K1492="","",INDEX(Zeiterfassung!$I$6:$I$3665,MATCH(INDEX(Zeiterfassung!$K$6:$K$3665,$K1492),Zeiterfassung!$K$6:$K$3665,0))))</f>
        <v/>
      </c>
      <c r="J1492" s="335">
        <f>IF(B1492=B1491,"",IF($K1492="","",INDEX(Zeiterfassung!$J$6:$J$3665,MATCH(INDEX(Zeiterfassung!$K$6:$K$3665,$K1492),Zeiterfassung!$K$6:$K$3665,0))))</f>
        <v/>
      </c>
      <c r="K1492">
        <f>IFERROR(AGGREGATE(15,6,(ROW(Zeiterfassung!$D$6:$D$3665)-ROW(Zeiterfassung!$D$6)+1)/(Zeiterfassung!$D$6:$D$3665&lt;&gt;""),1487),"")</f>
        <v/>
      </c>
    </row>
    <row r="1493" ht="20" customHeight="1">
      <c r="A1493" s="183">
        <f>IF($K1493="","",WEEKNUM(INDEX(Zeiterfassung!$K$6:$K$3665,$K1493),21))</f>
        <v/>
      </c>
      <c r="B1493" s="184">
        <f>IF($K1493="","",INDEX(Zeiterfassung!$K$6:$K$3665,$K1493))</f>
        <v/>
      </c>
      <c r="C1493" s="185">
        <f>IF($K1493="","",INDEX(Zeiterfassung!$K$6:$K$3665,$K1493))</f>
        <v/>
      </c>
      <c r="D1493" s="186">
        <f>IF($K1493="","",INDEX(Zeiterfassung!$D$6:$D$3665,$K1493))</f>
        <v/>
      </c>
      <c r="E1493" s="186">
        <f>IF($K1493="","",INDEX(Zeiterfassung!$E$6:$E$3665,$K1493))</f>
        <v/>
      </c>
      <c r="F1493" s="187">
        <f>IF($K1493="","",INDEX(Zeiterfassung!$F$6:$F$3665,$K1493))</f>
        <v/>
      </c>
      <c r="G1493" s="187">
        <f>IF($K1493="","",INDEX(Zeiterfassung!$G$6:$G$3665,$K1493))</f>
        <v/>
      </c>
      <c r="H1493" s="188">
        <f>IF($K1493="","",INDEX(Zeiterfassung!$H$6:$H$3665,$K1493))</f>
        <v/>
      </c>
      <c r="I1493" s="335">
        <f>IF(B1493=B1492,"",IF($K1493="","",INDEX(Zeiterfassung!$I$6:$I$3665,MATCH(INDEX(Zeiterfassung!$K$6:$K$3665,$K1493),Zeiterfassung!$K$6:$K$3665,0))))</f>
        <v/>
      </c>
      <c r="J1493" s="335">
        <f>IF(B1493=B1492,"",IF($K1493="","",INDEX(Zeiterfassung!$J$6:$J$3665,MATCH(INDEX(Zeiterfassung!$K$6:$K$3665,$K1493),Zeiterfassung!$K$6:$K$3665,0))))</f>
        <v/>
      </c>
      <c r="K1493">
        <f>IFERROR(AGGREGATE(15,6,(ROW(Zeiterfassung!$D$6:$D$3665)-ROW(Zeiterfassung!$D$6)+1)/(Zeiterfassung!$D$6:$D$3665&lt;&gt;""),1488),"")</f>
        <v/>
      </c>
    </row>
    <row r="1494" ht="20" customHeight="1">
      <c r="A1494" s="183">
        <f>IF($K1494="","",WEEKNUM(INDEX(Zeiterfassung!$K$6:$K$3665,$K1494),21))</f>
        <v/>
      </c>
      <c r="B1494" s="184">
        <f>IF($K1494="","",INDEX(Zeiterfassung!$K$6:$K$3665,$K1494))</f>
        <v/>
      </c>
      <c r="C1494" s="185">
        <f>IF($K1494="","",INDEX(Zeiterfassung!$K$6:$K$3665,$K1494))</f>
        <v/>
      </c>
      <c r="D1494" s="186">
        <f>IF($K1494="","",INDEX(Zeiterfassung!$D$6:$D$3665,$K1494))</f>
        <v/>
      </c>
      <c r="E1494" s="186">
        <f>IF($K1494="","",INDEX(Zeiterfassung!$E$6:$E$3665,$K1494))</f>
        <v/>
      </c>
      <c r="F1494" s="187">
        <f>IF($K1494="","",INDEX(Zeiterfassung!$F$6:$F$3665,$K1494))</f>
        <v/>
      </c>
      <c r="G1494" s="187">
        <f>IF($K1494="","",INDEX(Zeiterfassung!$G$6:$G$3665,$K1494))</f>
        <v/>
      </c>
      <c r="H1494" s="188">
        <f>IF($K1494="","",INDEX(Zeiterfassung!$H$6:$H$3665,$K1494))</f>
        <v/>
      </c>
      <c r="I1494" s="335">
        <f>IF(B1494=B1493,"",IF($K1494="","",INDEX(Zeiterfassung!$I$6:$I$3665,MATCH(INDEX(Zeiterfassung!$K$6:$K$3665,$K1494),Zeiterfassung!$K$6:$K$3665,0))))</f>
        <v/>
      </c>
      <c r="J1494" s="335">
        <f>IF(B1494=B1493,"",IF($K1494="","",INDEX(Zeiterfassung!$J$6:$J$3665,MATCH(INDEX(Zeiterfassung!$K$6:$K$3665,$K1494),Zeiterfassung!$K$6:$K$3665,0))))</f>
        <v/>
      </c>
      <c r="K1494">
        <f>IFERROR(AGGREGATE(15,6,(ROW(Zeiterfassung!$D$6:$D$3665)-ROW(Zeiterfassung!$D$6)+1)/(Zeiterfassung!$D$6:$D$3665&lt;&gt;""),1489),"")</f>
        <v/>
      </c>
    </row>
    <row r="1495" ht="20" customHeight="1">
      <c r="A1495" s="183">
        <f>IF($K1495="","",WEEKNUM(INDEX(Zeiterfassung!$K$6:$K$3665,$K1495),21))</f>
        <v/>
      </c>
      <c r="B1495" s="184">
        <f>IF($K1495="","",INDEX(Zeiterfassung!$K$6:$K$3665,$K1495))</f>
        <v/>
      </c>
      <c r="C1495" s="185">
        <f>IF($K1495="","",INDEX(Zeiterfassung!$K$6:$K$3665,$K1495))</f>
        <v/>
      </c>
      <c r="D1495" s="186">
        <f>IF($K1495="","",INDEX(Zeiterfassung!$D$6:$D$3665,$K1495))</f>
        <v/>
      </c>
      <c r="E1495" s="186">
        <f>IF($K1495="","",INDEX(Zeiterfassung!$E$6:$E$3665,$K1495))</f>
        <v/>
      </c>
      <c r="F1495" s="187">
        <f>IF($K1495="","",INDEX(Zeiterfassung!$F$6:$F$3665,$K1495))</f>
        <v/>
      </c>
      <c r="G1495" s="187">
        <f>IF($K1495="","",INDEX(Zeiterfassung!$G$6:$G$3665,$K1495))</f>
        <v/>
      </c>
      <c r="H1495" s="188">
        <f>IF($K1495="","",INDEX(Zeiterfassung!$H$6:$H$3665,$K1495))</f>
        <v/>
      </c>
      <c r="I1495" s="335">
        <f>IF(B1495=B1494,"",IF($K1495="","",INDEX(Zeiterfassung!$I$6:$I$3665,MATCH(INDEX(Zeiterfassung!$K$6:$K$3665,$K1495),Zeiterfassung!$K$6:$K$3665,0))))</f>
        <v/>
      </c>
      <c r="J1495" s="335">
        <f>IF(B1495=B1494,"",IF($K1495="","",INDEX(Zeiterfassung!$J$6:$J$3665,MATCH(INDEX(Zeiterfassung!$K$6:$K$3665,$K1495),Zeiterfassung!$K$6:$K$3665,0))))</f>
        <v/>
      </c>
      <c r="K1495">
        <f>IFERROR(AGGREGATE(15,6,(ROW(Zeiterfassung!$D$6:$D$3665)-ROW(Zeiterfassung!$D$6)+1)/(Zeiterfassung!$D$6:$D$3665&lt;&gt;""),1490),"")</f>
        <v/>
      </c>
    </row>
    <row r="1496" ht="20" customHeight="1">
      <c r="A1496" s="183">
        <f>IF($K1496="","",WEEKNUM(INDEX(Zeiterfassung!$K$6:$K$3665,$K1496),21))</f>
        <v/>
      </c>
      <c r="B1496" s="184">
        <f>IF($K1496="","",INDEX(Zeiterfassung!$K$6:$K$3665,$K1496))</f>
        <v/>
      </c>
      <c r="C1496" s="185">
        <f>IF($K1496="","",INDEX(Zeiterfassung!$K$6:$K$3665,$K1496))</f>
        <v/>
      </c>
      <c r="D1496" s="186">
        <f>IF($K1496="","",INDEX(Zeiterfassung!$D$6:$D$3665,$K1496))</f>
        <v/>
      </c>
      <c r="E1496" s="186">
        <f>IF($K1496="","",INDEX(Zeiterfassung!$E$6:$E$3665,$K1496))</f>
        <v/>
      </c>
      <c r="F1496" s="187">
        <f>IF($K1496="","",INDEX(Zeiterfassung!$F$6:$F$3665,$K1496))</f>
        <v/>
      </c>
      <c r="G1496" s="187">
        <f>IF($K1496="","",INDEX(Zeiterfassung!$G$6:$G$3665,$K1496))</f>
        <v/>
      </c>
      <c r="H1496" s="188">
        <f>IF($K1496="","",INDEX(Zeiterfassung!$H$6:$H$3665,$K1496))</f>
        <v/>
      </c>
      <c r="I1496" s="335">
        <f>IF(B1496=B1495,"",IF($K1496="","",INDEX(Zeiterfassung!$I$6:$I$3665,MATCH(INDEX(Zeiterfassung!$K$6:$K$3665,$K1496),Zeiterfassung!$K$6:$K$3665,0))))</f>
        <v/>
      </c>
      <c r="J1496" s="335">
        <f>IF(B1496=B1495,"",IF($K1496="","",INDEX(Zeiterfassung!$J$6:$J$3665,MATCH(INDEX(Zeiterfassung!$K$6:$K$3665,$K1496),Zeiterfassung!$K$6:$K$3665,0))))</f>
        <v/>
      </c>
      <c r="K1496">
        <f>IFERROR(AGGREGATE(15,6,(ROW(Zeiterfassung!$D$6:$D$3665)-ROW(Zeiterfassung!$D$6)+1)/(Zeiterfassung!$D$6:$D$3665&lt;&gt;""),1491),"")</f>
        <v/>
      </c>
    </row>
    <row r="1497" ht="20" customHeight="1">
      <c r="A1497" s="183">
        <f>IF($K1497="","",WEEKNUM(INDEX(Zeiterfassung!$K$6:$K$3665,$K1497),21))</f>
        <v/>
      </c>
      <c r="B1497" s="184">
        <f>IF($K1497="","",INDEX(Zeiterfassung!$K$6:$K$3665,$K1497))</f>
        <v/>
      </c>
      <c r="C1497" s="185">
        <f>IF($K1497="","",INDEX(Zeiterfassung!$K$6:$K$3665,$K1497))</f>
        <v/>
      </c>
      <c r="D1497" s="186">
        <f>IF($K1497="","",INDEX(Zeiterfassung!$D$6:$D$3665,$K1497))</f>
        <v/>
      </c>
      <c r="E1497" s="186">
        <f>IF($K1497="","",INDEX(Zeiterfassung!$E$6:$E$3665,$K1497))</f>
        <v/>
      </c>
      <c r="F1497" s="187">
        <f>IF($K1497="","",INDEX(Zeiterfassung!$F$6:$F$3665,$K1497))</f>
        <v/>
      </c>
      <c r="G1497" s="187">
        <f>IF($K1497="","",INDEX(Zeiterfassung!$G$6:$G$3665,$K1497))</f>
        <v/>
      </c>
      <c r="H1497" s="188">
        <f>IF($K1497="","",INDEX(Zeiterfassung!$H$6:$H$3665,$K1497))</f>
        <v/>
      </c>
      <c r="I1497" s="335">
        <f>IF(B1497=B1496,"",IF($K1497="","",INDEX(Zeiterfassung!$I$6:$I$3665,MATCH(INDEX(Zeiterfassung!$K$6:$K$3665,$K1497),Zeiterfassung!$K$6:$K$3665,0))))</f>
        <v/>
      </c>
      <c r="J1497" s="335">
        <f>IF(B1497=B1496,"",IF($K1497="","",INDEX(Zeiterfassung!$J$6:$J$3665,MATCH(INDEX(Zeiterfassung!$K$6:$K$3665,$K1497),Zeiterfassung!$K$6:$K$3665,0))))</f>
        <v/>
      </c>
      <c r="K1497">
        <f>IFERROR(AGGREGATE(15,6,(ROW(Zeiterfassung!$D$6:$D$3665)-ROW(Zeiterfassung!$D$6)+1)/(Zeiterfassung!$D$6:$D$3665&lt;&gt;""),1492),"")</f>
        <v/>
      </c>
    </row>
    <row r="1498" ht="20" customHeight="1">
      <c r="A1498" s="183">
        <f>IF($K1498="","",WEEKNUM(INDEX(Zeiterfassung!$K$6:$K$3665,$K1498),21))</f>
        <v/>
      </c>
      <c r="B1498" s="184">
        <f>IF($K1498="","",INDEX(Zeiterfassung!$K$6:$K$3665,$K1498))</f>
        <v/>
      </c>
      <c r="C1498" s="185">
        <f>IF($K1498="","",INDEX(Zeiterfassung!$K$6:$K$3665,$K1498))</f>
        <v/>
      </c>
      <c r="D1498" s="186">
        <f>IF($K1498="","",INDEX(Zeiterfassung!$D$6:$D$3665,$K1498))</f>
        <v/>
      </c>
      <c r="E1498" s="186">
        <f>IF($K1498="","",INDEX(Zeiterfassung!$E$6:$E$3665,$K1498))</f>
        <v/>
      </c>
      <c r="F1498" s="187">
        <f>IF($K1498="","",INDEX(Zeiterfassung!$F$6:$F$3665,$K1498))</f>
        <v/>
      </c>
      <c r="G1498" s="187">
        <f>IF($K1498="","",INDEX(Zeiterfassung!$G$6:$G$3665,$K1498))</f>
        <v/>
      </c>
      <c r="H1498" s="188">
        <f>IF($K1498="","",INDEX(Zeiterfassung!$H$6:$H$3665,$K1498))</f>
        <v/>
      </c>
      <c r="I1498" s="335">
        <f>IF(B1498=B1497,"",IF($K1498="","",INDEX(Zeiterfassung!$I$6:$I$3665,MATCH(INDEX(Zeiterfassung!$K$6:$K$3665,$K1498),Zeiterfassung!$K$6:$K$3665,0))))</f>
        <v/>
      </c>
      <c r="J1498" s="335">
        <f>IF(B1498=B1497,"",IF($K1498="","",INDEX(Zeiterfassung!$J$6:$J$3665,MATCH(INDEX(Zeiterfassung!$K$6:$K$3665,$K1498),Zeiterfassung!$K$6:$K$3665,0))))</f>
        <v/>
      </c>
      <c r="K1498">
        <f>IFERROR(AGGREGATE(15,6,(ROW(Zeiterfassung!$D$6:$D$3665)-ROW(Zeiterfassung!$D$6)+1)/(Zeiterfassung!$D$6:$D$3665&lt;&gt;""),1493),"")</f>
        <v/>
      </c>
    </row>
    <row r="1499" ht="20" customHeight="1">
      <c r="A1499" s="183">
        <f>IF($K1499="","",WEEKNUM(INDEX(Zeiterfassung!$K$6:$K$3665,$K1499),21))</f>
        <v/>
      </c>
      <c r="B1499" s="184">
        <f>IF($K1499="","",INDEX(Zeiterfassung!$K$6:$K$3665,$K1499))</f>
        <v/>
      </c>
      <c r="C1499" s="185">
        <f>IF($K1499="","",INDEX(Zeiterfassung!$K$6:$K$3665,$K1499))</f>
        <v/>
      </c>
      <c r="D1499" s="186">
        <f>IF($K1499="","",INDEX(Zeiterfassung!$D$6:$D$3665,$K1499))</f>
        <v/>
      </c>
      <c r="E1499" s="186">
        <f>IF($K1499="","",INDEX(Zeiterfassung!$E$6:$E$3665,$K1499))</f>
        <v/>
      </c>
      <c r="F1499" s="187">
        <f>IF($K1499="","",INDEX(Zeiterfassung!$F$6:$F$3665,$K1499))</f>
        <v/>
      </c>
      <c r="G1499" s="187">
        <f>IF($K1499="","",INDEX(Zeiterfassung!$G$6:$G$3665,$K1499))</f>
        <v/>
      </c>
      <c r="H1499" s="188">
        <f>IF($K1499="","",INDEX(Zeiterfassung!$H$6:$H$3665,$K1499))</f>
        <v/>
      </c>
      <c r="I1499" s="335">
        <f>IF(B1499=B1498,"",IF($K1499="","",INDEX(Zeiterfassung!$I$6:$I$3665,MATCH(INDEX(Zeiterfassung!$K$6:$K$3665,$K1499),Zeiterfassung!$K$6:$K$3665,0))))</f>
        <v/>
      </c>
      <c r="J1499" s="335">
        <f>IF(B1499=B1498,"",IF($K1499="","",INDEX(Zeiterfassung!$J$6:$J$3665,MATCH(INDEX(Zeiterfassung!$K$6:$K$3665,$K1499),Zeiterfassung!$K$6:$K$3665,0))))</f>
        <v/>
      </c>
      <c r="K1499">
        <f>IFERROR(AGGREGATE(15,6,(ROW(Zeiterfassung!$D$6:$D$3665)-ROW(Zeiterfassung!$D$6)+1)/(Zeiterfassung!$D$6:$D$3665&lt;&gt;""),1494),"")</f>
        <v/>
      </c>
    </row>
    <row r="1500" ht="20" customHeight="1">
      <c r="A1500" s="183">
        <f>IF($K1500="","",WEEKNUM(INDEX(Zeiterfassung!$K$6:$K$3665,$K1500),21))</f>
        <v/>
      </c>
      <c r="B1500" s="184">
        <f>IF($K1500="","",INDEX(Zeiterfassung!$K$6:$K$3665,$K1500))</f>
        <v/>
      </c>
      <c r="C1500" s="185">
        <f>IF($K1500="","",INDEX(Zeiterfassung!$K$6:$K$3665,$K1500))</f>
        <v/>
      </c>
      <c r="D1500" s="186">
        <f>IF($K1500="","",INDEX(Zeiterfassung!$D$6:$D$3665,$K1500))</f>
        <v/>
      </c>
      <c r="E1500" s="186">
        <f>IF($K1500="","",INDEX(Zeiterfassung!$E$6:$E$3665,$K1500))</f>
        <v/>
      </c>
      <c r="F1500" s="187">
        <f>IF($K1500="","",INDEX(Zeiterfassung!$F$6:$F$3665,$K1500))</f>
        <v/>
      </c>
      <c r="G1500" s="187">
        <f>IF($K1500="","",INDEX(Zeiterfassung!$G$6:$G$3665,$K1500))</f>
        <v/>
      </c>
      <c r="H1500" s="188">
        <f>IF($K1500="","",INDEX(Zeiterfassung!$H$6:$H$3665,$K1500))</f>
        <v/>
      </c>
      <c r="I1500" s="335">
        <f>IF(B1500=B1499,"",IF($K1500="","",INDEX(Zeiterfassung!$I$6:$I$3665,MATCH(INDEX(Zeiterfassung!$K$6:$K$3665,$K1500),Zeiterfassung!$K$6:$K$3665,0))))</f>
        <v/>
      </c>
      <c r="J1500" s="335">
        <f>IF(B1500=B1499,"",IF($K1500="","",INDEX(Zeiterfassung!$J$6:$J$3665,MATCH(INDEX(Zeiterfassung!$K$6:$K$3665,$K1500),Zeiterfassung!$K$6:$K$3665,0))))</f>
        <v/>
      </c>
      <c r="K1500">
        <f>IFERROR(AGGREGATE(15,6,(ROW(Zeiterfassung!$D$6:$D$3665)-ROW(Zeiterfassung!$D$6)+1)/(Zeiterfassung!$D$6:$D$3665&lt;&gt;""),1495),"")</f>
        <v/>
      </c>
    </row>
    <row r="1501" ht="20" customHeight="1">
      <c r="A1501" s="183">
        <f>IF($K1501="","",WEEKNUM(INDEX(Zeiterfassung!$K$6:$K$3665,$K1501),21))</f>
        <v/>
      </c>
      <c r="B1501" s="184">
        <f>IF($K1501="","",INDEX(Zeiterfassung!$K$6:$K$3665,$K1501))</f>
        <v/>
      </c>
      <c r="C1501" s="185">
        <f>IF($K1501="","",INDEX(Zeiterfassung!$K$6:$K$3665,$K1501))</f>
        <v/>
      </c>
      <c r="D1501" s="186">
        <f>IF($K1501="","",INDEX(Zeiterfassung!$D$6:$D$3665,$K1501))</f>
        <v/>
      </c>
      <c r="E1501" s="186">
        <f>IF($K1501="","",INDEX(Zeiterfassung!$E$6:$E$3665,$K1501))</f>
        <v/>
      </c>
      <c r="F1501" s="187">
        <f>IF($K1501="","",INDEX(Zeiterfassung!$F$6:$F$3665,$K1501))</f>
        <v/>
      </c>
      <c r="G1501" s="187">
        <f>IF($K1501="","",INDEX(Zeiterfassung!$G$6:$G$3665,$K1501))</f>
        <v/>
      </c>
      <c r="H1501" s="188">
        <f>IF($K1501="","",INDEX(Zeiterfassung!$H$6:$H$3665,$K1501))</f>
        <v/>
      </c>
      <c r="I1501" s="335">
        <f>IF(B1501=B1500,"",IF($K1501="","",INDEX(Zeiterfassung!$I$6:$I$3665,MATCH(INDEX(Zeiterfassung!$K$6:$K$3665,$K1501),Zeiterfassung!$K$6:$K$3665,0))))</f>
        <v/>
      </c>
      <c r="J1501" s="335">
        <f>IF(B1501=B1500,"",IF($K1501="","",INDEX(Zeiterfassung!$J$6:$J$3665,MATCH(INDEX(Zeiterfassung!$K$6:$K$3665,$K1501),Zeiterfassung!$K$6:$K$3665,0))))</f>
        <v/>
      </c>
      <c r="K1501">
        <f>IFERROR(AGGREGATE(15,6,(ROW(Zeiterfassung!$D$6:$D$3665)-ROW(Zeiterfassung!$D$6)+1)/(Zeiterfassung!$D$6:$D$3665&lt;&gt;""),1496),"")</f>
        <v/>
      </c>
    </row>
    <row r="1502" ht="20" customHeight="1">
      <c r="A1502" s="183">
        <f>IF($K1502="","",WEEKNUM(INDEX(Zeiterfassung!$K$6:$K$3665,$K1502),21))</f>
        <v/>
      </c>
      <c r="B1502" s="184">
        <f>IF($K1502="","",INDEX(Zeiterfassung!$K$6:$K$3665,$K1502))</f>
        <v/>
      </c>
      <c r="C1502" s="185">
        <f>IF($K1502="","",INDEX(Zeiterfassung!$K$6:$K$3665,$K1502))</f>
        <v/>
      </c>
      <c r="D1502" s="186">
        <f>IF($K1502="","",INDEX(Zeiterfassung!$D$6:$D$3665,$K1502))</f>
        <v/>
      </c>
      <c r="E1502" s="186">
        <f>IF($K1502="","",INDEX(Zeiterfassung!$E$6:$E$3665,$K1502))</f>
        <v/>
      </c>
      <c r="F1502" s="187">
        <f>IF($K1502="","",INDEX(Zeiterfassung!$F$6:$F$3665,$K1502))</f>
        <v/>
      </c>
      <c r="G1502" s="187">
        <f>IF($K1502="","",INDEX(Zeiterfassung!$G$6:$G$3665,$K1502))</f>
        <v/>
      </c>
      <c r="H1502" s="188">
        <f>IF($K1502="","",INDEX(Zeiterfassung!$H$6:$H$3665,$K1502))</f>
        <v/>
      </c>
      <c r="I1502" s="335">
        <f>IF(B1502=B1501,"",IF($K1502="","",INDEX(Zeiterfassung!$I$6:$I$3665,MATCH(INDEX(Zeiterfassung!$K$6:$K$3665,$K1502),Zeiterfassung!$K$6:$K$3665,0))))</f>
        <v/>
      </c>
      <c r="J1502" s="335">
        <f>IF(B1502=B1501,"",IF($K1502="","",INDEX(Zeiterfassung!$J$6:$J$3665,MATCH(INDEX(Zeiterfassung!$K$6:$K$3665,$K1502),Zeiterfassung!$K$6:$K$3665,0))))</f>
        <v/>
      </c>
      <c r="K1502">
        <f>IFERROR(AGGREGATE(15,6,(ROW(Zeiterfassung!$D$6:$D$3665)-ROW(Zeiterfassung!$D$6)+1)/(Zeiterfassung!$D$6:$D$3665&lt;&gt;""),1497),"")</f>
        <v/>
      </c>
    </row>
    <row r="1503" ht="20" customHeight="1">
      <c r="A1503" s="183">
        <f>IF($K1503="","",WEEKNUM(INDEX(Zeiterfassung!$K$6:$K$3665,$K1503),21))</f>
        <v/>
      </c>
      <c r="B1503" s="184">
        <f>IF($K1503="","",INDEX(Zeiterfassung!$K$6:$K$3665,$K1503))</f>
        <v/>
      </c>
      <c r="C1503" s="185">
        <f>IF($K1503="","",INDEX(Zeiterfassung!$K$6:$K$3665,$K1503))</f>
        <v/>
      </c>
      <c r="D1503" s="186">
        <f>IF($K1503="","",INDEX(Zeiterfassung!$D$6:$D$3665,$K1503))</f>
        <v/>
      </c>
      <c r="E1503" s="186">
        <f>IF($K1503="","",INDEX(Zeiterfassung!$E$6:$E$3665,$K1503))</f>
        <v/>
      </c>
      <c r="F1503" s="187">
        <f>IF($K1503="","",INDEX(Zeiterfassung!$F$6:$F$3665,$K1503))</f>
        <v/>
      </c>
      <c r="G1503" s="187">
        <f>IF($K1503="","",INDEX(Zeiterfassung!$G$6:$G$3665,$K1503))</f>
        <v/>
      </c>
      <c r="H1503" s="188">
        <f>IF($K1503="","",INDEX(Zeiterfassung!$H$6:$H$3665,$K1503))</f>
        <v/>
      </c>
      <c r="I1503" s="335">
        <f>IF(B1503=B1502,"",IF($K1503="","",INDEX(Zeiterfassung!$I$6:$I$3665,MATCH(INDEX(Zeiterfassung!$K$6:$K$3665,$K1503),Zeiterfassung!$K$6:$K$3665,0))))</f>
        <v/>
      </c>
      <c r="J1503" s="335">
        <f>IF(B1503=B1502,"",IF($K1503="","",INDEX(Zeiterfassung!$J$6:$J$3665,MATCH(INDEX(Zeiterfassung!$K$6:$K$3665,$K1503),Zeiterfassung!$K$6:$K$3665,0))))</f>
        <v/>
      </c>
      <c r="K1503">
        <f>IFERROR(AGGREGATE(15,6,(ROW(Zeiterfassung!$D$6:$D$3665)-ROW(Zeiterfassung!$D$6)+1)/(Zeiterfassung!$D$6:$D$3665&lt;&gt;""),1498),"")</f>
        <v/>
      </c>
    </row>
    <row r="1504" ht="20" customHeight="1">
      <c r="A1504" s="183">
        <f>IF($K1504="","",WEEKNUM(INDEX(Zeiterfassung!$K$6:$K$3665,$K1504),21))</f>
        <v/>
      </c>
      <c r="B1504" s="184">
        <f>IF($K1504="","",INDEX(Zeiterfassung!$K$6:$K$3665,$K1504))</f>
        <v/>
      </c>
      <c r="C1504" s="185">
        <f>IF($K1504="","",INDEX(Zeiterfassung!$K$6:$K$3665,$K1504))</f>
        <v/>
      </c>
      <c r="D1504" s="186">
        <f>IF($K1504="","",INDEX(Zeiterfassung!$D$6:$D$3665,$K1504))</f>
        <v/>
      </c>
      <c r="E1504" s="186">
        <f>IF($K1504="","",INDEX(Zeiterfassung!$E$6:$E$3665,$K1504))</f>
        <v/>
      </c>
      <c r="F1504" s="187">
        <f>IF($K1504="","",INDEX(Zeiterfassung!$F$6:$F$3665,$K1504))</f>
        <v/>
      </c>
      <c r="G1504" s="187">
        <f>IF($K1504="","",INDEX(Zeiterfassung!$G$6:$G$3665,$K1504))</f>
        <v/>
      </c>
      <c r="H1504" s="188">
        <f>IF($K1504="","",INDEX(Zeiterfassung!$H$6:$H$3665,$K1504))</f>
        <v/>
      </c>
      <c r="I1504" s="335">
        <f>IF(B1504=B1503,"",IF($K1504="","",INDEX(Zeiterfassung!$I$6:$I$3665,MATCH(INDEX(Zeiterfassung!$K$6:$K$3665,$K1504),Zeiterfassung!$K$6:$K$3665,0))))</f>
        <v/>
      </c>
      <c r="J1504" s="335">
        <f>IF(B1504=B1503,"",IF($K1504="","",INDEX(Zeiterfassung!$J$6:$J$3665,MATCH(INDEX(Zeiterfassung!$K$6:$K$3665,$K1504),Zeiterfassung!$K$6:$K$3665,0))))</f>
        <v/>
      </c>
      <c r="K1504">
        <f>IFERROR(AGGREGATE(15,6,(ROW(Zeiterfassung!$D$6:$D$3665)-ROW(Zeiterfassung!$D$6)+1)/(Zeiterfassung!$D$6:$D$3665&lt;&gt;""),1499),"")</f>
        <v/>
      </c>
    </row>
    <row r="1505" ht="20" customHeight="1">
      <c r="A1505" s="183">
        <f>IF($K1505="","",WEEKNUM(INDEX(Zeiterfassung!$K$6:$K$3665,$K1505),21))</f>
        <v/>
      </c>
      <c r="B1505" s="184">
        <f>IF($K1505="","",INDEX(Zeiterfassung!$K$6:$K$3665,$K1505))</f>
        <v/>
      </c>
      <c r="C1505" s="185">
        <f>IF($K1505="","",INDEX(Zeiterfassung!$K$6:$K$3665,$K1505))</f>
        <v/>
      </c>
      <c r="D1505" s="186">
        <f>IF($K1505="","",INDEX(Zeiterfassung!$D$6:$D$3665,$K1505))</f>
        <v/>
      </c>
      <c r="E1505" s="186">
        <f>IF($K1505="","",INDEX(Zeiterfassung!$E$6:$E$3665,$K1505))</f>
        <v/>
      </c>
      <c r="F1505" s="187">
        <f>IF($K1505="","",INDEX(Zeiterfassung!$F$6:$F$3665,$K1505))</f>
        <v/>
      </c>
      <c r="G1505" s="187">
        <f>IF($K1505="","",INDEX(Zeiterfassung!$G$6:$G$3665,$K1505))</f>
        <v/>
      </c>
      <c r="H1505" s="188">
        <f>IF($K1505="","",INDEX(Zeiterfassung!$H$6:$H$3665,$K1505))</f>
        <v/>
      </c>
      <c r="I1505" s="335">
        <f>IF(B1505=B1504,"",IF($K1505="","",INDEX(Zeiterfassung!$I$6:$I$3665,MATCH(INDEX(Zeiterfassung!$K$6:$K$3665,$K1505),Zeiterfassung!$K$6:$K$3665,0))))</f>
        <v/>
      </c>
      <c r="J1505" s="335">
        <f>IF(B1505=B1504,"",IF($K1505="","",INDEX(Zeiterfassung!$J$6:$J$3665,MATCH(INDEX(Zeiterfassung!$K$6:$K$3665,$K1505),Zeiterfassung!$K$6:$K$3665,0))))</f>
        <v/>
      </c>
      <c r="K1505">
        <f>IFERROR(AGGREGATE(15,6,(ROW(Zeiterfassung!$D$6:$D$3665)-ROW(Zeiterfassung!$D$6)+1)/(Zeiterfassung!$D$6:$D$3665&lt;&gt;""),1500),"")</f>
        <v/>
      </c>
    </row>
    <row r="1506" ht="20" customHeight="1">
      <c r="A1506" s="183">
        <f>IF($K1506="","",WEEKNUM(INDEX(Zeiterfassung!$K$6:$K$3665,$K1506),21))</f>
        <v/>
      </c>
      <c r="B1506" s="184">
        <f>IF($K1506="","",INDEX(Zeiterfassung!$K$6:$K$3665,$K1506))</f>
        <v/>
      </c>
      <c r="C1506" s="185">
        <f>IF($K1506="","",INDEX(Zeiterfassung!$K$6:$K$3665,$K1506))</f>
        <v/>
      </c>
      <c r="D1506" s="186">
        <f>IF($K1506="","",INDEX(Zeiterfassung!$D$6:$D$3665,$K1506))</f>
        <v/>
      </c>
      <c r="E1506" s="186">
        <f>IF($K1506="","",INDEX(Zeiterfassung!$E$6:$E$3665,$K1506))</f>
        <v/>
      </c>
      <c r="F1506" s="187">
        <f>IF($K1506="","",INDEX(Zeiterfassung!$F$6:$F$3665,$K1506))</f>
        <v/>
      </c>
      <c r="G1506" s="187">
        <f>IF($K1506="","",INDEX(Zeiterfassung!$G$6:$G$3665,$K1506))</f>
        <v/>
      </c>
      <c r="H1506" s="188">
        <f>IF($K1506="","",INDEX(Zeiterfassung!$H$6:$H$3665,$K1506))</f>
        <v/>
      </c>
      <c r="I1506" s="335">
        <f>IF(B1506=B1505,"",IF($K1506="","",INDEX(Zeiterfassung!$I$6:$I$3665,MATCH(INDEX(Zeiterfassung!$K$6:$K$3665,$K1506),Zeiterfassung!$K$6:$K$3665,0))))</f>
        <v/>
      </c>
      <c r="J1506" s="335">
        <f>IF(B1506=B1505,"",IF($K1506="","",INDEX(Zeiterfassung!$J$6:$J$3665,MATCH(INDEX(Zeiterfassung!$K$6:$K$3665,$K1506),Zeiterfassung!$K$6:$K$3665,0))))</f>
        <v/>
      </c>
      <c r="K1506">
        <f>IFERROR(AGGREGATE(15,6,(ROW(Zeiterfassung!$D$6:$D$3665)-ROW(Zeiterfassung!$D$6)+1)/(Zeiterfassung!$D$6:$D$3665&lt;&gt;""),1501),"")</f>
        <v/>
      </c>
    </row>
    <row r="1507" ht="20" customHeight="1">
      <c r="A1507" s="183">
        <f>IF($K1507="","",WEEKNUM(INDEX(Zeiterfassung!$K$6:$K$3665,$K1507),21))</f>
        <v/>
      </c>
      <c r="B1507" s="184">
        <f>IF($K1507="","",INDEX(Zeiterfassung!$K$6:$K$3665,$K1507))</f>
        <v/>
      </c>
      <c r="C1507" s="185">
        <f>IF($K1507="","",INDEX(Zeiterfassung!$K$6:$K$3665,$K1507))</f>
        <v/>
      </c>
      <c r="D1507" s="186">
        <f>IF($K1507="","",INDEX(Zeiterfassung!$D$6:$D$3665,$K1507))</f>
        <v/>
      </c>
      <c r="E1507" s="186">
        <f>IF($K1507="","",INDEX(Zeiterfassung!$E$6:$E$3665,$K1507))</f>
        <v/>
      </c>
      <c r="F1507" s="187">
        <f>IF($K1507="","",INDEX(Zeiterfassung!$F$6:$F$3665,$K1507))</f>
        <v/>
      </c>
      <c r="G1507" s="187">
        <f>IF($K1507="","",INDEX(Zeiterfassung!$G$6:$G$3665,$K1507))</f>
        <v/>
      </c>
      <c r="H1507" s="188">
        <f>IF($K1507="","",INDEX(Zeiterfassung!$H$6:$H$3665,$K1507))</f>
        <v/>
      </c>
      <c r="I1507" s="335">
        <f>IF(B1507=B1506,"",IF($K1507="","",INDEX(Zeiterfassung!$I$6:$I$3665,MATCH(INDEX(Zeiterfassung!$K$6:$K$3665,$K1507),Zeiterfassung!$K$6:$K$3665,0))))</f>
        <v/>
      </c>
      <c r="J1507" s="335">
        <f>IF(B1507=B1506,"",IF($K1507="","",INDEX(Zeiterfassung!$J$6:$J$3665,MATCH(INDEX(Zeiterfassung!$K$6:$K$3665,$K1507),Zeiterfassung!$K$6:$K$3665,0))))</f>
        <v/>
      </c>
      <c r="K1507">
        <f>IFERROR(AGGREGATE(15,6,(ROW(Zeiterfassung!$D$6:$D$3665)-ROW(Zeiterfassung!$D$6)+1)/(Zeiterfassung!$D$6:$D$3665&lt;&gt;""),1502),"")</f>
        <v/>
      </c>
    </row>
    <row r="1508" ht="20" customHeight="1">
      <c r="A1508" s="183">
        <f>IF($K1508="","",WEEKNUM(INDEX(Zeiterfassung!$K$6:$K$3665,$K1508),21))</f>
        <v/>
      </c>
      <c r="B1508" s="184">
        <f>IF($K1508="","",INDEX(Zeiterfassung!$K$6:$K$3665,$K1508))</f>
        <v/>
      </c>
      <c r="C1508" s="185">
        <f>IF($K1508="","",INDEX(Zeiterfassung!$K$6:$K$3665,$K1508))</f>
        <v/>
      </c>
      <c r="D1508" s="186">
        <f>IF($K1508="","",INDEX(Zeiterfassung!$D$6:$D$3665,$K1508))</f>
        <v/>
      </c>
      <c r="E1508" s="186">
        <f>IF($K1508="","",INDEX(Zeiterfassung!$E$6:$E$3665,$K1508))</f>
        <v/>
      </c>
      <c r="F1508" s="187">
        <f>IF($K1508="","",INDEX(Zeiterfassung!$F$6:$F$3665,$K1508))</f>
        <v/>
      </c>
      <c r="G1508" s="187">
        <f>IF($K1508="","",INDEX(Zeiterfassung!$G$6:$G$3665,$K1508))</f>
        <v/>
      </c>
      <c r="H1508" s="188">
        <f>IF($K1508="","",INDEX(Zeiterfassung!$H$6:$H$3665,$K1508))</f>
        <v/>
      </c>
      <c r="I1508" s="335">
        <f>IF(B1508=B1507,"",IF($K1508="","",INDEX(Zeiterfassung!$I$6:$I$3665,MATCH(INDEX(Zeiterfassung!$K$6:$K$3665,$K1508),Zeiterfassung!$K$6:$K$3665,0))))</f>
        <v/>
      </c>
      <c r="J1508" s="335">
        <f>IF(B1508=B1507,"",IF($K1508="","",INDEX(Zeiterfassung!$J$6:$J$3665,MATCH(INDEX(Zeiterfassung!$K$6:$K$3665,$K1508),Zeiterfassung!$K$6:$K$3665,0))))</f>
        <v/>
      </c>
      <c r="K1508">
        <f>IFERROR(AGGREGATE(15,6,(ROW(Zeiterfassung!$D$6:$D$3665)-ROW(Zeiterfassung!$D$6)+1)/(Zeiterfassung!$D$6:$D$3665&lt;&gt;""),1503),"")</f>
        <v/>
      </c>
    </row>
    <row r="1509" ht="20" customHeight="1">
      <c r="A1509" s="183">
        <f>IF($K1509="","",WEEKNUM(INDEX(Zeiterfassung!$K$6:$K$3665,$K1509),21))</f>
        <v/>
      </c>
      <c r="B1509" s="184">
        <f>IF($K1509="","",INDEX(Zeiterfassung!$K$6:$K$3665,$K1509))</f>
        <v/>
      </c>
      <c r="C1509" s="185">
        <f>IF($K1509="","",INDEX(Zeiterfassung!$K$6:$K$3665,$K1509))</f>
        <v/>
      </c>
      <c r="D1509" s="186">
        <f>IF($K1509="","",INDEX(Zeiterfassung!$D$6:$D$3665,$K1509))</f>
        <v/>
      </c>
      <c r="E1509" s="186">
        <f>IF($K1509="","",INDEX(Zeiterfassung!$E$6:$E$3665,$K1509))</f>
        <v/>
      </c>
      <c r="F1509" s="187">
        <f>IF($K1509="","",INDEX(Zeiterfassung!$F$6:$F$3665,$K1509))</f>
        <v/>
      </c>
      <c r="G1509" s="187">
        <f>IF($K1509="","",INDEX(Zeiterfassung!$G$6:$G$3665,$K1509))</f>
        <v/>
      </c>
      <c r="H1509" s="188">
        <f>IF($K1509="","",INDEX(Zeiterfassung!$H$6:$H$3665,$K1509))</f>
        <v/>
      </c>
      <c r="I1509" s="335">
        <f>IF(B1509=B1508,"",IF($K1509="","",INDEX(Zeiterfassung!$I$6:$I$3665,MATCH(INDEX(Zeiterfassung!$K$6:$K$3665,$K1509),Zeiterfassung!$K$6:$K$3665,0))))</f>
        <v/>
      </c>
      <c r="J1509" s="335">
        <f>IF(B1509=B1508,"",IF($K1509="","",INDEX(Zeiterfassung!$J$6:$J$3665,MATCH(INDEX(Zeiterfassung!$K$6:$K$3665,$K1509),Zeiterfassung!$K$6:$K$3665,0))))</f>
        <v/>
      </c>
      <c r="K1509">
        <f>IFERROR(AGGREGATE(15,6,(ROW(Zeiterfassung!$D$6:$D$3665)-ROW(Zeiterfassung!$D$6)+1)/(Zeiterfassung!$D$6:$D$3665&lt;&gt;""),1504),"")</f>
        <v/>
      </c>
    </row>
    <row r="1510" ht="20" customHeight="1">
      <c r="A1510" s="183">
        <f>IF($K1510="","",WEEKNUM(INDEX(Zeiterfassung!$K$6:$K$3665,$K1510),21))</f>
        <v/>
      </c>
      <c r="B1510" s="184">
        <f>IF($K1510="","",INDEX(Zeiterfassung!$K$6:$K$3665,$K1510))</f>
        <v/>
      </c>
      <c r="C1510" s="185">
        <f>IF($K1510="","",INDEX(Zeiterfassung!$K$6:$K$3665,$K1510))</f>
        <v/>
      </c>
      <c r="D1510" s="186">
        <f>IF($K1510="","",INDEX(Zeiterfassung!$D$6:$D$3665,$K1510))</f>
        <v/>
      </c>
      <c r="E1510" s="186">
        <f>IF($K1510="","",INDEX(Zeiterfassung!$E$6:$E$3665,$K1510))</f>
        <v/>
      </c>
      <c r="F1510" s="187">
        <f>IF($K1510="","",INDEX(Zeiterfassung!$F$6:$F$3665,$K1510))</f>
        <v/>
      </c>
      <c r="G1510" s="187">
        <f>IF($K1510="","",INDEX(Zeiterfassung!$G$6:$G$3665,$K1510))</f>
        <v/>
      </c>
      <c r="H1510" s="188">
        <f>IF($K1510="","",INDEX(Zeiterfassung!$H$6:$H$3665,$K1510))</f>
        <v/>
      </c>
      <c r="I1510" s="335">
        <f>IF(B1510=B1509,"",IF($K1510="","",INDEX(Zeiterfassung!$I$6:$I$3665,MATCH(INDEX(Zeiterfassung!$K$6:$K$3665,$K1510),Zeiterfassung!$K$6:$K$3665,0))))</f>
        <v/>
      </c>
      <c r="J1510" s="335">
        <f>IF(B1510=B1509,"",IF($K1510="","",INDEX(Zeiterfassung!$J$6:$J$3665,MATCH(INDEX(Zeiterfassung!$K$6:$K$3665,$K1510),Zeiterfassung!$K$6:$K$3665,0))))</f>
        <v/>
      </c>
      <c r="K1510">
        <f>IFERROR(AGGREGATE(15,6,(ROW(Zeiterfassung!$D$6:$D$3665)-ROW(Zeiterfassung!$D$6)+1)/(Zeiterfassung!$D$6:$D$3665&lt;&gt;""),1505),"")</f>
        <v/>
      </c>
    </row>
    <row r="1511" ht="20" customHeight="1">
      <c r="A1511" s="183">
        <f>IF($K1511="","",WEEKNUM(INDEX(Zeiterfassung!$K$6:$K$3665,$K1511),21))</f>
        <v/>
      </c>
      <c r="B1511" s="184">
        <f>IF($K1511="","",INDEX(Zeiterfassung!$K$6:$K$3665,$K1511))</f>
        <v/>
      </c>
      <c r="C1511" s="185">
        <f>IF($K1511="","",INDEX(Zeiterfassung!$K$6:$K$3665,$K1511))</f>
        <v/>
      </c>
      <c r="D1511" s="186">
        <f>IF($K1511="","",INDEX(Zeiterfassung!$D$6:$D$3665,$K1511))</f>
        <v/>
      </c>
      <c r="E1511" s="186">
        <f>IF($K1511="","",INDEX(Zeiterfassung!$E$6:$E$3665,$K1511))</f>
        <v/>
      </c>
      <c r="F1511" s="187">
        <f>IF($K1511="","",INDEX(Zeiterfassung!$F$6:$F$3665,$K1511))</f>
        <v/>
      </c>
      <c r="G1511" s="187">
        <f>IF($K1511="","",INDEX(Zeiterfassung!$G$6:$G$3665,$K1511))</f>
        <v/>
      </c>
      <c r="H1511" s="188">
        <f>IF($K1511="","",INDEX(Zeiterfassung!$H$6:$H$3665,$K1511))</f>
        <v/>
      </c>
      <c r="I1511" s="335">
        <f>IF(B1511=B1510,"",IF($K1511="","",INDEX(Zeiterfassung!$I$6:$I$3665,MATCH(INDEX(Zeiterfassung!$K$6:$K$3665,$K1511),Zeiterfassung!$K$6:$K$3665,0))))</f>
        <v/>
      </c>
      <c r="J1511" s="335">
        <f>IF(B1511=B1510,"",IF($K1511="","",INDEX(Zeiterfassung!$J$6:$J$3665,MATCH(INDEX(Zeiterfassung!$K$6:$K$3665,$K1511),Zeiterfassung!$K$6:$K$3665,0))))</f>
        <v/>
      </c>
      <c r="K1511">
        <f>IFERROR(AGGREGATE(15,6,(ROW(Zeiterfassung!$D$6:$D$3665)-ROW(Zeiterfassung!$D$6)+1)/(Zeiterfassung!$D$6:$D$3665&lt;&gt;""),1506),"")</f>
        <v/>
      </c>
    </row>
    <row r="1512" ht="20" customHeight="1">
      <c r="A1512" s="183">
        <f>IF($K1512="","",WEEKNUM(INDEX(Zeiterfassung!$K$6:$K$3665,$K1512),21))</f>
        <v/>
      </c>
      <c r="B1512" s="184">
        <f>IF($K1512="","",INDEX(Zeiterfassung!$K$6:$K$3665,$K1512))</f>
        <v/>
      </c>
      <c r="C1512" s="185">
        <f>IF($K1512="","",INDEX(Zeiterfassung!$K$6:$K$3665,$K1512))</f>
        <v/>
      </c>
      <c r="D1512" s="186">
        <f>IF($K1512="","",INDEX(Zeiterfassung!$D$6:$D$3665,$K1512))</f>
        <v/>
      </c>
      <c r="E1512" s="186">
        <f>IF($K1512="","",INDEX(Zeiterfassung!$E$6:$E$3665,$K1512))</f>
        <v/>
      </c>
      <c r="F1512" s="187">
        <f>IF($K1512="","",INDEX(Zeiterfassung!$F$6:$F$3665,$K1512))</f>
        <v/>
      </c>
      <c r="G1512" s="187">
        <f>IF($K1512="","",INDEX(Zeiterfassung!$G$6:$G$3665,$K1512))</f>
        <v/>
      </c>
      <c r="H1512" s="188">
        <f>IF($K1512="","",INDEX(Zeiterfassung!$H$6:$H$3665,$K1512))</f>
        <v/>
      </c>
      <c r="I1512" s="335">
        <f>IF(B1512=B1511,"",IF($K1512="","",INDEX(Zeiterfassung!$I$6:$I$3665,MATCH(INDEX(Zeiterfassung!$K$6:$K$3665,$K1512),Zeiterfassung!$K$6:$K$3665,0))))</f>
        <v/>
      </c>
      <c r="J1512" s="335">
        <f>IF(B1512=B1511,"",IF($K1512="","",INDEX(Zeiterfassung!$J$6:$J$3665,MATCH(INDEX(Zeiterfassung!$K$6:$K$3665,$K1512),Zeiterfassung!$K$6:$K$3665,0))))</f>
        <v/>
      </c>
      <c r="K1512">
        <f>IFERROR(AGGREGATE(15,6,(ROW(Zeiterfassung!$D$6:$D$3665)-ROW(Zeiterfassung!$D$6)+1)/(Zeiterfassung!$D$6:$D$3665&lt;&gt;""),1507),"")</f>
        <v/>
      </c>
    </row>
    <row r="1513" ht="20" customHeight="1">
      <c r="A1513" s="183">
        <f>IF($K1513="","",WEEKNUM(INDEX(Zeiterfassung!$K$6:$K$3665,$K1513),21))</f>
        <v/>
      </c>
      <c r="B1513" s="184">
        <f>IF($K1513="","",INDEX(Zeiterfassung!$K$6:$K$3665,$K1513))</f>
        <v/>
      </c>
      <c r="C1513" s="185">
        <f>IF($K1513="","",INDEX(Zeiterfassung!$K$6:$K$3665,$K1513))</f>
        <v/>
      </c>
      <c r="D1513" s="186">
        <f>IF($K1513="","",INDEX(Zeiterfassung!$D$6:$D$3665,$K1513))</f>
        <v/>
      </c>
      <c r="E1513" s="186">
        <f>IF($K1513="","",INDEX(Zeiterfassung!$E$6:$E$3665,$K1513))</f>
        <v/>
      </c>
      <c r="F1513" s="187">
        <f>IF($K1513="","",INDEX(Zeiterfassung!$F$6:$F$3665,$K1513))</f>
        <v/>
      </c>
      <c r="G1513" s="187">
        <f>IF($K1513="","",INDEX(Zeiterfassung!$G$6:$G$3665,$K1513))</f>
        <v/>
      </c>
      <c r="H1513" s="188">
        <f>IF($K1513="","",INDEX(Zeiterfassung!$H$6:$H$3665,$K1513))</f>
        <v/>
      </c>
      <c r="I1513" s="335">
        <f>IF(B1513=B1512,"",IF($K1513="","",INDEX(Zeiterfassung!$I$6:$I$3665,MATCH(INDEX(Zeiterfassung!$K$6:$K$3665,$K1513),Zeiterfassung!$K$6:$K$3665,0))))</f>
        <v/>
      </c>
      <c r="J1513" s="335">
        <f>IF(B1513=B1512,"",IF($K1513="","",INDEX(Zeiterfassung!$J$6:$J$3665,MATCH(INDEX(Zeiterfassung!$K$6:$K$3665,$K1513),Zeiterfassung!$K$6:$K$3665,0))))</f>
        <v/>
      </c>
      <c r="K1513">
        <f>IFERROR(AGGREGATE(15,6,(ROW(Zeiterfassung!$D$6:$D$3665)-ROW(Zeiterfassung!$D$6)+1)/(Zeiterfassung!$D$6:$D$3665&lt;&gt;""),1508),"")</f>
        <v/>
      </c>
    </row>
    <row r="1514" ht="20" customHeight="1">
      <c r="A1514" s="183">
        <f>IF($K1514="","",WEEKNUM(INDEX(Zeiterfassung!$K$6:$K$3665,$K1514),21))</f>
        <v/>
      </c>
      <c r="B1514" s="184">
        <f>IF($K1514="","",INDEX(Zeiterfassung!$K$6:$K$3665,$K1514))</f>
        <v/>
      </c>
      <c r="C1514" s="185">
        <f>IF($K1514="","",INDEX(Zeiterfassung!$K$6:$K$3665,$K1514))</f>
        <v/>
      </c>
      <c r="D1514" s="186">
        <f>IF($K1514="","",INDEX(Zeiterfassung!$D$6:$D$3665,$K1514))</f>
        <v/>
      </c>
      <c r="E1514" s="186">
        <f>IF($K1514="","",INDEX(Zeiterfassung!$E$6:$E$3665,$K1514))</f>
        <v/>
      </c>
      <c r="F1514" s="187">
        <f>IF($K1514="","",INDEX(Zeiterfassung!$F$6:$F$3665,$K1514))</f>
        <v/>
      </c>
      <c r="G1514" s="187">
        <f>IF($K1514="","",INDEX(Zeiterfassung!$G$6:$G$3665,$K1514))</f>
        <v/>
      </c>
      <c r="H1514" s="188">
        <f>IF($K1514="","",INDEX(Zeiterfassung!$H$6:$H$3665,$K1514))</f>
        <v/>
      </c>
      <c r="I1514" s="335">
        <f>IF(B1514=B1513,"",IF($K1514="","",INDEX(Zeiterfassung!$I$6:$I$3665,MATCH(INDEX(Zeiterfassung!$K$6:$K$3665,$K1514),Zeiterfassung!$K$6:$K$3665,0))))</f>
        <v/>
      </c>
      <c r="J1514" s="335">
        <f>IF(B1514=B1513,"",IF($K1514="","",INDEX(Zeiterfassung!$J$6:$J$3665,MATCH(INDEX(Zeiterfassung!$K$6:$K$3665,$K1514),Zeiterfassung!$K$6:$K$3665,0))))</f>
        <v/>
      </c>
      <c r="K1514">
        <f>IFERROR(AGGREGATE(15,6,(ROW(Zeiterfassung!$D$6:$D$3665)-ROW(Zeiterfassung!$D$6)+1)/(Zeiterfassung!$D$6:$D$3665&lt;&gt;""),1509),"")</f>
        <v/>
      </c>
    </row>
    <row r="1515" ht="20" customHeight="1">
      <c r="A1515" s="183">
        <f>IF($K1515="","",WEEKNUM(INDEX(Zeiterfassung!$K$6:$K$3665,$K1515),21))</f>
        <v/>
      </c>
      <c r="B1515" s="184">
        <f>IF($K1515="","",INDEX(Zeiterfassung!$K$6:$K$3665,$K1515))</f>
        <v/>
      </c>
      <c r="C1515" s="185">
        <f>IF($K1515="","",INDEX(Zeiterfassung!$K$6:$K$3665,$K1515))</f>
        <v/>
      </c>
      <c r="D1515" s="186">
        <f>IF($K1515="","",INDEX(Zeiterfassung!$D$6:$D$3665,$K1515))</f>
        <v/>
      </c>
      <c r="E1515" s="186">
        <f>IF($K1515="","",INDEX(Zeiterfassung!$E$6:$E$3665,$K1515))</f>
        <v/>
      </c>
      <c r="F1515" s="187">
        <f>IF($K1515="","",INDEX(Zeiterfassung!$F$6:$F$3665,$K1515))</f>
        <v/>
      </c>
      <c r="G1515" s="187">
        <f>IF($K1515="","",INDEX(Zeiterfassung!$G$6:$G$3665,$K1515))</f>
        <v/>
      </c>
      <c r="H1515" s="188">
        <f>IF($K1515="","",INDEX(Zeiterfassung!$H$6:$H$3665,$K1515))</f>
        <v/>
      </c>
      <c r="I1515" s="335">
        <f>IF(B1515=B1514,"",IF($K1515="","",INDEX(Zeiterfassung!$I$6:$I$3665,MATCH(INDEX(Zeiterfassung!$K$6:$K$3665,$K1515),Zeiterfassung!$K$6:$K$3665,0))))</f>
        <v/>
      </c>
      <c r="J1515" s="335">
        <f>IF(B1515=B1514,"",IF($K1515="","",INDEX(Zeiterfassung!$J$6:$J$3665,MATCH(INDEX(Zeiterfassung!$K$6:$K$3665,$K1515),Zeiterfassung!$K$6:$K$3665,0))))</f>
        <v/>
      </c>
      <c r="K1515">
        <f>IFERROR(AGGREGATE(15,6,(ROW(Zeiterfassung!$D$6:$D$3665)-ROW(Zeiterfassung!$D$6)+1)/(Zeiterfassung!$D$6:$D$3665&lt;&gt;""),1510),"")</f>
        <v/>
      </c>
    </row>
    <row r="1516" ht="20" customHeight="1">
      <c r="A1516" s="183">
        <f>IF($K1516="","",WEEKNUM(INDEX(Zeiterfassung!$K$6:$K$3665,$K1516),21))</f>
        <v/>
      </c>
      <c r="B1516" s="184">
        <f>IF($K1516="","",INDEX(Zeiterfassung!$K$6:$K$3665,$K1516))</f>
        <v/>
      </c>
      <c r="C1516" s="185">
        <f>IF($K1516="","",INDEX(Zeiterfassung!$K$6:$K$3665,$K1516))</f>
        <v/>
      </c>
      <c r="D1516" s="186">
        <f>IF($K1516="","",INDEX(Zeiterfassung!$D$6:$D$3665,$K1516))</f>
        <v/>
      </c>
      <c r="E1516" s="186">
        <f>IF($K1516="","",INDEX(Zeiterfassung!$E$6:$E$3665,$K1516))</f>
        <v/>
      </c>
      <c r="F1516" s="187">
        <f>IF($K1516="","",INDEX(Zeiterfassung!$F$6:$F$3665,$K1516))</f>
        <v/>
      </c>
      <c r="G1516" s="187">
        <f>IF($K1516="","",INDEX(Zeiterfassung!$G$6:$G$3665,$K1516))</f>
        <v/>
      </c>
      <c r="H1516" s="188">
        <f>IF($K1516="","",INDEX(Zeiterfassung!$H$6:$H$3665,$K1516))</f>
        <v/>
      </c>
      <c r="I1516" s="335">
        <f>IF(B1516=B1515,"",IF($K1516="","",INDEX(Zeiterfassung!$I$6:$I$3665,MATCH(INDEX(Zeiterfassung!$K$6:$K$3665,$K1516),Zeiterfassung!$K$6:$K$3665,0))))</f>
        <v/>
      </c>
      <c r="J1516" s="335">
        <f>IF(B1516=B1515,"",IF($K1516="","",INDEX(Zeiterfassung!$J$6:$J$3665,MATCH(INDEX(Zeiterfassung!$K$6:$K$3665,$K1516),Zeiterfassung!$K$6:$K$3665,0))))</f>
        <v/>
      </c>
      <c r="K1516">
        <f>IFERROR(AGGREGATE(15,6,(ROW(Zeiterfassung!$D$6:$D$3665)-ROW(Zeiterfassung!$D$6)+1)/(Zeiterfassung!$D$6:$D$3665&lt;&gt;""),1511),"")</f>
        <v/>
      </c>
    </row>
    <row r="1517" ht="20" customHeight="1">
      <c r="A1517" s="183">
        <f>IF($K1517="","",WEEKNUM(INDEX(Zeiterfassung!$K$6:$K$3665,$K1517),21))</f>
        <v/>
      </c>
      <c r="B1517" s="184">
        <f>IF($K1517="","",INDEX(Zeiterfassung!$K$6:$K$3665,$K1517))</f>
        <v/>
      </c>
      <c r="C1517" s="185">
        <f>IF($K1517="","",INDEX(Zeiterfassung!$K$6:$K$3665,$K1517))</f>
        <v/>
      </c>
      <c r="D1517" s="186">
        <f>IF($K1517="","",INDEX(Zeiterfassung!$D$6:$D$3665,$K1517))</f>
        <v/>
      </c>
      <c r="E1517" s="186">
        <f>IF($K1517="","",INDEX(Zeiterfassung!$E$6:$E$3665,$K1517))</f>
        <v/>
      </c>
      <c r="F1517" s="187">
        <f>IF($K1517="","",INDEX(Zeiterfassung!$F$6:$F$3665,$K1517))</f>
        <v/>
      </c>
      <c r="G1517" s="187">
        <f>IF($K1517="","",INDEX(Zeiterfassung!$G$6:$G$3665,$K1517))</f>
        <v/>
      </c>
      <c r="H1517" s="188">
        <f>IF($K1517="","",INDEX(Zeiterfassung!$H$6:$H$3665,$K1517))</f>
        <v/>
      </c>
      <c r="I1517" s="335">
        <f>IF(B1517=B1516,"",IF($K1517="","",INDEX(Zeiterfassung!$I$6:$I$3665,MATCH(INDEX(Zeiterfassung!$K$6:$K$3665,$K1517),Zeiterfassung!$K$6:$K$3665,0))))</f>
        <v/>
      </c>
      <c r="J1517" s="335">
        <f>IF(B1517=B1516,"",IF($K1517="","",INDEX(Zeiterfassung!$J$6:$J$3665,MATCH(INDEX(Zeiterfassung!$K$6:$K$3665,$K1517),Zeiterfassung!$K$6:$K$3665,0))))</f>
        <v/>
      </c>
      <c r="K1517">
        <f>IFERROR(AGGREGATE(15,6,(ROW(Zeiterfassung!$D$6:$D$3665)-ROW(Zeiterfassung!$D$6)+1)/(Zeiterfassung!$D$6:$D$3665&lt;&gt;""),1512),"")</f>
        <v/>
      </c>
    </row>
    <row r="1518" ht="20" customHeight="1">
      <c r="A1518" s="183">
        <f>IF($K1518="","",WEEKNUM(INDEX(Zeiterfassung!$K$6:$K$3665,$K1518),21))</f>
        <v/>
      </c>
      <c r="B1518" s="184">
        <f>IF($K1518="","",INDEX(Zeiterfassung!$K$6:$K$3665,$K1518))</f>
        <v/>
      </c>
      <c r="C1518" s="185">
        <f>IF($K1518="","",INDEX(Zeiterfassung!$K$6:$K$3665,$K1518))</f>
        <v/>
      </c>
      <c r="D1518" s="186">
        <f>IF($K1518="","",INDEX(Zeiterfassung!$D$6:$D$3665,$K1518))</f>
        <v/>
      </c>
      <c r="E1518" s="186">
        <f>IF($K1518="","",INDEX(Zeiterfassung!$E$6:$E$3665,$K1518))</f>
        <v/>
      </c>
      <c r="F1518" s="187">
        <f>IF($K1518="","",INDEX(Zeiterfassung!$F$6:$F$3665,$K1518))</f>
        <v/>
      </c>
      <c r="G1518" s="187">
        <f>IF($K1518="","",INDEX(Zeiterfassung!$G$6:$G$3665,$K1518))</f>
        <v/>
      </c>
      <c r="H1518" s="188">
        <f>IF($K1518="","",INDEX(Zeiterfassung!$H$6:$H$3665,$K1518))</f>
        <v/>
      </c>
      <c r="I1518" s="335">
        <f>IF(B1518=B1517,"",IF($K1518="","",INDEX(Zeiterfassung!$I$6:$I$3665,MATCH(INDEX(Zeiterfassung!$K$6:$K$3665,$K1518),Zeiterfassung!$K$6:$K$3665,0))))</f>
        <v/>
      </c>
      <c r="J1518" s="335">
        <f>IF(B1518=B1517,"",IF($K1518="","",INDEX(Zeiterfassung!$J$6:$J$3665,MATCH(INDEX(Zeiterfassung!$K$6:$K$3665,$K1518),Zeiterfassung!$K$6:$K$3665,0))))</f>
        <v/>
      </c>
      <c r="K1518">
        <f>IFERROR(AGGREGATE(15,6,(ROW(Zeiterfassung!$D$6:$D$3665)-ROW(Zeiterfassung!$D$6)+1)/(Zeiterfassung!$D$6:$D$3665&lt;&gt;""),1513),"")</f>
        <v/>
      </c>
    </row>
    <row r="1519" ht="20" customHeight="1">
      <c r="A1519" s="183">
        <f>IF($K1519="","",WEEKNUM(INDEX(Zeiterfassung!$K$6:$K$3665,$K1519),21))</f>
        <v/>
      </c>
      <c r="B1519" s="184">
        <f>IF($K1519="","",INDEX(Zeiterfassung!$K$6:$K$3665,$K1519))</f>
        <v/>
      </c>
      <c r="C1519" s="185">
        <f>IF($K1519="","",INDEX(Zeiterfassung!$K$6:$K$3665,$K1519))</f>
        <v/>
      </c>
      <c r="D1519" s="186">
        <f>IF($K1519="","",INDEX(Zeiterfassung!$D$6:$D$3665,$K1519))</f>
        <v/>
      </c>
      <c r="E1519" s="186">
        <f>IF($K1519="","",INDEX(Zeiterfassung!$E$6:$E$3665,$K1519))</f>
        <v/>
      </c>
      <c r="F1519" s="187">
        <f>IF($K1519="","",INDEX(Zeiterfassung!$F$6:$F$3665,$K1519))</f>
        <v/>
      </c>
      <c r="G1519" s="187">
        <f>IF($K1519="","",INDEX(Zeiterfassung!$G$6:$G$3665,$K1519))</f>
        <v/>
      </c>
      <c r="H1519" s="188">
        <f>IF($K1519="","",INDEX(Zeiterfassung!$H$6:$H$3665,$K1519))</f>
        <v/>
      </c>
      <c r="I1519" s="335">
        <f>IF(B1519=B1518,"",IF($K1519="","",INDEX(Zeiterfassung!$I$6:$I$3665,MATCH(INDEX(Zeiterfassung!$K$6:$K$3665,$K1519),Zeiterfassung!$K$6:$K$3665,0))))</f>
        <v/>
      </c>
      <c r="J1519" s="335">
        <f>IF(B1519=B1518,"",IF($K1519="","",INDEX(Zeiterfassung!$J$6:$J$3665,MATCH(INDEX(Zeiterfassung!$K$6:$K$3665,$K1519),Zeiterfassung!$K$6:$K$3665,0))))</f>
        <v/>
      </c>
      <c r="K1519">
        <f>IFERROR(AGGREGATE(15,6,(ROW(Zeiterfassung!$D$6:$D$3665)-ROW(Zeiterfassung!$D$6)+1)/(Zeiterfassung!$D$6:$D$3665&lt;&gt;""),1514),"")</f>
        <v/>
      </c>
    </row>
    <row r="1520" ht="20" customHeight="1">
      <c r="A1520" s="183">
        <f>IF($K1520="","",WEEKNUM(INDEX(Zeiterfassung!$K$6:$K$3665,$K1520),21))</f>
        <v/>
      </c>
      <c r="B1520" s="184">
        <f>IF($K1520="","",INDEX(Zeiterfassung!$K$6:$K$3665,$K1520))</f>
        <v/>
      </c>
      <c r="C1520" s="185">
        <f>IF($K1520="","",INDEX(Zeiterfassung!$K$6:$K$3665,$K1520))</f>
        <v/>
      </c>
      <c r="D1520" s="186">
        <f>IF($K1520="","",INDEX(Zeiterfassung!$D$6:$D$3665,$K1520))</f>
        <v/>
      </c>
      <c r="E1520" s="186">
        <f>IF($K1520="","",INDEX(Zeiterfassung!$E$6:$E$3665,$K1520))</f>
        <v/>
      </c>
      <c r="F1520" s="187">
        <f>IF($K1520="","",INDEX(Zeiterfassung!$F$6:$F$3665,$K1520))</f>
        <v/>
      </c>
      <c r="G1520" s="187">
        <f>IF($K1520="","",INDEX(Zeiterfassung!$G$6:$G$3665,$K1520))</f>
        <v/>
      </c>
      <c r="H1520" s="188">
        <f>IF($K1520="","",INDEX(Zeiterfassung!$H$6:$H$3665,$K1520))</f>
        <v/>
      </c>
      <c r="I1520" s="335">
        <f>IF(B1520=B1519,"",IF($K1520="","",INDEX(Zeiterfassung!$I$6:$I$3665,MATCH(INDEX(Zeiterfassung!$K$6:$K$3665,$K1520),Zeiterfassung!$K$6:$K$3665,0))))</f>
        <v/>
      </c>
      <c r="J1520" s="335">
        <f>IF(B1520=B1519,"",IF($K1520="","",INDEX(Zeiterfassung!$J$6:$J$3665,MATCH(INDEX(Zeiterfassung!$K$6:$K$3665,$K1520),Zeiterfassung!$K$6:$K$3665,0))))</f>
        <v/>
      </c>
      <c r="K1520">
        <f>IFERROR(AGGREGATE(15,6,(ROW(Zeiterfassung!$D$6:$D$3665)-ROW(Zeiterfassung!$D$6)+1)/(Zeiterfassung!$D$6:$D$3665&lt;&gt;""),1515),"")</f>
        <v/>
      </c>
    </row>
    <row r="1521" ht="20" customHeight="1">
      <c r="A1521" s="183">
        <f>IF($K1521="","",WEEKNUM(INDEX(Zeiterfassung!$K$6:$K$3665,$K1521),21))</f>
        <v/>
      </c>
      <c r="B1521" s="184">
        <f>IF($K1521="","",INDEX(Zeiterfassung!$K$6:$K$3665,$K1521))</f>
        <v/>
      </c>
      <c r="C1521" s="185">
        <f>IF($K1521="","",INDEX(Zeiterfassung!$K$6:$K$3665,$K1521))</f>
        <v/>
      </c>
      <c r="D1521" s="186">
        <f>IF($K1521="","",INDEX(Zeiterfassung!$D$6:$D$3665,$K1521))</f>
        <v/>
      </c>
      <c r="E1521" s="186">
        <f>IF($K1521="","",INDEX(Zeiterfassung!$E$6:$E$3665,$K1521))</f>
        <v/>
      </c>
      <c r="F1521" s="187">
        <f>IF($K1521="","",INDEX(Zeiterfassung!$F$6:$F$3665,$K1521))</f>
        <v/>
      </c>
      <c r="G1521" s="187">
        <f>IF($K1521="","",INDEX(Zeiterfassung!$G$6:$G$3665,$K1521))</f>
        <v/>
      </c>
      <c r="H1521" s="188">
        <f>IF($K1521="","",INDEX(Zeiterfassung!$H$6:$H$3665,$K1521))</f>
        <v/>
      </c>
      <c r="I1521" s="335">
        <f>IF(B1521=B1520,"",IF($K1521="","",INDEX(Zeiterfassung!$I$6:$I$3665,MATCH(INDEX(Zeiterfassung!$K$6:$K$3665,$K1521),Zeiterfassung!$K$6:$K$3665,0))))</f>
        <v/>
      </c>
      <c r="J1521" s="335">
        <f>IF(B1521=B1520,"",IF($K1521="","",INDEX(Zeiterfassung!$J$6:$J$3665,MATCH(INDEX(Zeiterfassung!$K$6:$K$3665,$K1521),Zeiterfassung!$K$6:$K$3665,0))))</f>
        <v/>
      </c>
      <c r="K1521">
        <f>IFERROR(AGGREGATE(15,6,(ROW(Zeiterfassung!$D$6:$D$3665)-ROW(Zeiterfassung!$D$6)+1)/(Zeiterfassung!$D$6:$D$3665&lt;&gt;""),1516),"")</f>
        <v/>
      </c>
    </row>
    <row r="1522" ht="20" customHeight="1">
      <c r="A1522" s="183">
        <f>IF($K1522="","",WEEKNUM(INDEX(Zeiterfassung!$K$6:$K$3665,$K1522),21))</f>
        <v/>
      </c>
      <c r="B1522" s="184">
        <f>IF($K1522="","",INDEX(Zeiterfassung!$K$6:$K$3665,$K1522))</f>
        <v/>
      </c>
      <c r="C1522" s="185">
        <f>IF($K1522="","",INDEX(Zeiterfassung!$K$6:$K$3665,$K1522))</f>
        <v/>
      </c>
      <c r="D1522" s="186">
        <f>IF($K1522="","",INDEX(Zeiterfassung!$D$6:$D$3665,$K1522))</f>
        <v/>
      </c>
      <c r="E1522" s="186">
        <f>IF($K1522="","",INDEX(Zeiterfassung!$E$6:$E$3665,$K1522))</f>
        <v/>
      </c>
      <c r="F1522" s="187">
        <f>IF($K1522="","",INDEX(Zeiterfassung!$F$6:$F$3665,$K1522))</f>
        <v/>
      </c>
      <c r="G1522" s="187">
        <f>IF($K1522="","",INDEX(Zeiterfassung!$G$6:$G$3665,$K1522))</f>
        <v/>
      </c>
      <c r="H1522" s="188">
        <f>IF($K1522="","",INDEX(Zeiterfassung!$H$6:$H$3665,$K1522))</f>
        <v/>
      </c>
      <c r="I1522" s="335">
        <f>IF(B1522=B1521,"",IF($K1522="","",INDEX(Zeiterfassung!$I$6:$I$3665,MATCH(INDEX(Zeiterfassung!$K$6:$K$3665,$K1522),Zeiterfassung!$K$6:$K$3665,0))))</f>
        <v/>
      </c>
      <c r="J1522" s="335">
        <f>IF(B1522=B1521,"",IF($K1522="","",INDEX(Zeiterfassung!$J$6:$J$3665,MATCH(INDEX(Zeiterfassung!$K$6:$K$3665,$K1522),Zeiterfassung!$K$6:$K$3665,0))))</f>
        <v/>
      </c>
      <c r="K1522">
        <f>IFERROR(AGGREGATE(15,6,(ROW(Zeiterfassung!$D$6:$D$3665)-ROW(Zeiterfassung!$D$6)+1)/(Zeiterfassung!$D$6:$D$3665&lt;&gt;""),1517),"")</f>
        <v/>
      </c>
    </row>
    <row r="1523" ht="20" customHeight="1">
      <c r="A1523" s="183">
        <f>IF($K1523="","",WEEKNUM(INDEX(Zeiterfassung!$K$6:$K$3665,$K1523),21))</f>
        <v/>
      </c>
      <c r="B1523" s="184">
        <f>IF($K1523="","",INDEX(Zeiterfassung!$K$6:$K$3665,$K1523))</f>
        <v/>
      </c>
      <c r="C1523" s="185">
        <f>IF($K1523="","",INDEX(Zeiterfassung!$K$6:$K$3665,$K1523))</f>
        <v/>
      </c>
      <c r="D1523" s="186">
        <f>IF($K1523="","",INDEX(Zeiterfassung!$D$6:$D$3665,$K1523))</f>
        <v/>
      </c>
      <c r="E1523" s="186">
        <f>IF($K1523="","",INDEX(Zeiterfassung!$E$6:$E$3665,$K1523))</f>
        <v/>
      </c>
      <c r="F1523" s="187">
        <f>IF($K1523="","",INDEX(Zeiterfassung!$F$6:$F$3665,$K1523))</f>
        <v/>
      </c>
      <c r="G1523" s="187">
        <f>IF($K1523="","",INDEX(Zeiterfassung!$G$6:$G$3665,$K1523))</f>
        <v/>
      </c>
      <c r="H1523" s="188">
        <f>IF($K1523="","",INDEX(Zeiterfassung!$H$6:$H$3665,$K1523))</f>
        <v/>
      </c>
      <c r="I1523" s="335">
        <f>IF(B1523=B1522,"",IF($K1523="","",INDEX(Zeiterfassung!$I$6:$I$3665,MATCH(INDEX(Zeiterfassung!$K$6:$K$3665,$K1523),Zeiterfassung!$K$6:$K$3665,0))))</f>
        <v/>
      </c>
      <c r="J1523" s="335">
        <f>IF(B1523=B1522,"",IF($K1523="","",INDEX(Zeiterfassung!$J$6:$J$3665,MATCH(INDEX(Zeiterfassung!$K$6:$K$3665,$K1523),Zeiterfassung!$K$6:$K$3665,0))))</f>
        <v/>
      </c>
      <c r="K1523">
        <f>IFERROR(AGGREGATE(15,6,(ROW(Zeiterfassung!$D$6:$D$3665)-ROW(Zeiterfassung!$D$6)+1)/(Zeiterfassung!$D$6:$D$3665&lt;&gt;""),1518),"")</f>
        <v/>
      </c>
    </row>
    <row r="1524" ht="20" customHeight="1">
      <c r="A1524" s="183">
        <f>IF($K1524="","",WEEKNUM(INDEX(Zeiterfassung!$K$6:$K$3665,$K1524),21))</f>
        <v/>
      </c>
      <c r="B1524" s="184">
        <f>IF($K1524="","",INDEX(Zeiterfassung!$K$6:$K$3665,$K1524))</f>
        <v/>
      </c>
      <c r="C1524" s="185">
        <f>IF($K1524="","",INDEX(Zeiterfassung!$K$6:$K$3665,$K1524))</f>
        <v/>
      </c>
      <c r="D1524" s="186">
        <f>IF($K1524="","",INDEX(Zeiterfassung!$D$6:$D$3665,$K1524))</f>
        <v/>
      </c>
      <c r="E1524" s="186">
        <f>IF($K1524="","",INDEX(Zeiterfassung!$E$6:$E$3665,$K1524))</f>
        <v/>
      </c>
      <c r="F1524" s="187">
        <f>IF($K1524="","",INDEX(Zeiterfassung!$F$6:$F$3665,$K1524))</f>
        <v/>
      </c>
      <c r="G1524" s="187">
        <f>IF($K1524="","",INDEX(Zeiterfassung!$G$6:$G$3665,$K1524))</f>
        <v/>
      </c>
      <c r="H1524" s="188">
        <f>IF($K1524="","",INDEX(Zeiterfassung!$H$6:$H$3665,$K1524))</f>
        <v/>
      </c>
      <c r="I1524" s="335">
        <f>IF(B1524=B1523,"",IF($K1524="","",INDEX(Zeiterfassung!$I$6:$I$3665,MATCH(INDEX(Zeiterfassung!$K$6:$K$3665,$K1524),Zeiterfassung!$K$6:$K$3665,0))))</f>
        <v/>
      </c>
      <c r="J1524" s="335">
        <f>IF(B1524=B1523,"",IF($K1524="","",INDEX(Zeiterfassung!$J$6:$J$3665,MATCH(INDEX(Zeiterfassung!$K$6:$K$3665,$K1524),Zeiterfassung!$K$6:$K$3665,0))))</f>
        <v/>
      </c>
      <c r="K1524">
        <f>IFERROR(AGGREGATE(15,6,(ROW(Zeiterfassung!$D$6:$D$3665)-ROW(Zeiterfassung!$D$6)+1)/(Zeiterfassung!$D$6:$D$3665&lt;&gt;""),1519),"")</f>
        <v/>
      </c>
    </row>
    <row r="1525" ht="20" customHeight="1">
      <c r="A1525" s="183">
        <f>IF($K1525="","",WEEKNUM(INDEX(Zeiterfassung!$K$6:$K$3665,$K1525),21))</f>
        <v/>
      </c>
      <c r="B1525" s="184">
        <f>IF($K1525="","",INDEX(Zeiterfassung!$K$6:$K$3665,$K1525))</f>
        <v/>
      </c>
      <c r="C1525" s="185">
        <f>IF($K1525="","",INDEX(Zeiterfassung!$K$6:$K$3665,$K1525))</f>
        <v/>
      </c>
      <c r="D1525" s="186">
        <f>IF($K1525="","",INDEX(Zeiterfassung!$D$6:$D$3665,$K1525))</f>
        <v/>
      </c>
      <c r="E1525" s="186">
        <f>IF($K1525="","",INDEX(Zeiterfassung!$E$6:$E$3665,$K1525))</f>
        <v/>
      </c>
      <c r="F1525" s="187">
        <f>IF($K1525="","",INDEX(Zeiterfassung!$F$6:$F$3665,$K1525))</f>
        <v/>
      </c>
      <c r="G1525" s="187">
        <f>IF($K1525="","",INDEX(Zeiterfassung!$G$6:$G$3665,$K1525))</f>
        <v/>
      </c>
      <c r="H1525" s="188">
        <f>IF($K1525="","",INDEX(Zeiterfassung!$H$6:$H$3665,$K1525))</f>
        <v/>
      </c>
      <c r="I1525" s="335">
        <f>IF(B1525=B1524,"",IF($K1525="","",INDEX(Zeiterfassung!$I$6:$I$3665,MATCH(INDEX(Zeiterfassung!$K$6:$K$3665,$K1525),Zeiterfassung!$K$6:$K$3665,0))))</f>
        <v/>
      </c>
      <c r="J1525" s="335">
        <f>IF(B1525=B1524,"",IF($K1525="","",INDEX(Zeiterfassung!$J$6:$J$3665,MATCH(INDEX(Zeiterfassung!$K$6:$K$3665,$K1525),Zeiterfassung!$K$6:$K$3665,0))))</f>
        <v/>
      </c>
      <c r="K1525">
        <f>IFERROR(AGGREGATE(15,6,(ROW(Zeiterfassung!$D$6:$D$3665)-ROW(Zeiterfassung!$D$6)+1)/(Zeiterfassung!$D$6:$D$3665&lt;&gt;""),1520),"")</f>
        <v/>
      </c>
    </row>
    <row r="1526" ht="20" customHeight="1">
      <c r="A1526" s="183">
        <f>IF($K1526="","",WEEKNUM(INDEX(Zeiterfassung!$K$6:$K$3665,$K1526),21))</f>
        <v/>
      </c>
      <c r="B1526" s="184">
        <f>IF($K1526="","",INDEX(Zeiterfassung!$K$6:$K$3665,$K1526))</f>
        <v/>
      </c>
      <c r="C1526" s="185">
        <f>IF($K1526="","",INDEX(Zeiterfassung!$K$6:$K$3665,$K1526))</f>
        <v/>
      </c>
      <c r="D1526" s="186">
        <f>IF($K1526="","",INDEX(Zeiterfassung!$D$6:$D$3665,$K1526))</f>
        <v/>
      </c>
      <c r="E1526" s="186">
        <f>IF($K1526="","",INDEX(Zeiterfassung!$E$6:$E$3665,$K1526))</f>
        <v/>
      </c>
      <c r="F1526" s="187">
        <f>IF($K1526="","",INDEX(Zeiterfassung!$F$6:$F$3665,$K1526))</f>
        <v/>
      </c>
      <c r="G1526" s="187">
        <f>IF($K1526="","",INDEX(Zeiterfassung!$G$6:$G$3665,$K1526))</f>
        <v/>
      </c>
      <c r="H1526" s="188">
        <f>IF($K1526="","",INDEX(Zeiterfassung!$H$6:$H$3665,$K1526))</f>
        <v/>
      </c>
      <c r="I1526" s="335">
        <f>IF(B1526=B1525,"",IF($K1526="","",INDEX(Zeiterfassung!$I$6:$I$3665,MATCH(INDEX(Zeiterfassung!$K$6:$K$3665,$K1526),Zeiterfassung!$K$6:$K$3665,0))))</f>
        <v/>
      </c>
      <c r="J1526" s="335">
        <f>IF(B1526=B1525,"",IF($K1526="","",INDEX(Zeiterfassung!$J$6:$J$3665,MATCH(INDEX(Zeiterfassung!$K$6:$K$3665,$K1526),Zeiterfassung!$K$6:$K$3665,0))))</f>
        <v/>
      </c>
      <c r="K1526">
        <f>IFERROR(AGGREGATE(15,6,(ROW(Zeiterfassung!$D$6:$D$3665)-ROW(Zeiterfassung!$D$6)+1)/(Zeiterfassung!$D$6:$D$3665&lt;&gt;""),1521),"")</f>
        <v/>
      </c>
    </row>
    <row r="1527" ht="20" customHeight="1">
      <c r="A1527" s="183">
        <f>IF($K1527="","",WEEKNUM(INDEX(Zeiterfassung!$K$6:$K$3665,$K1527),21))</f>
        <v/>
      </c>
      <c r="B1527" s="184">
        <f>IF($K1527="","",INDEX(Zeiterfassung!$K$6:$K$3665,$K1527))</f>
        <v/>
      </c>
      <c r="C1527" s="185">
        <f>IF($K1527="","",INDEX(Zeiterfassung!$K$6:$K$3665,$K1527))</f>
        <v/>
      </c>
      <c r="D1527" s="186">
        <f>IF($K1527="","",INDEX(Zeiterfassung!$D$6:$D$3665,$K1527))</f>
        <v/>
      </c>
      <c r="E1527" s="186">
        <f>IF($K1527="","",INDEX(Zeiterfassung!$E$6:$E$3665,$K1527))</f>
        <v/>
      </c>
      <c r="F1527" s="187">
        <f>IF($K1527="","",INDEX(Zeiterfassung!$F$6:$F$3665,$K1527))</f>
        <v/>
      </c>
      <c r="G1527" s="187">
        <f>IF($K1527="","",INDEX(Zeiterfassung!$G$6:$G$3665,$K1527))</f>
        <v/>
      </c>
      <c r="H1527" s="188">
        <f>IF($K1527="","",INDEX(Zeiterfassung!$H$6:$H$3665,$K1527))</f>
        <v/>
      </c>
      <c r="I1527" s="335">
        <f>IF(B1527=B1526,"",IF($K1527="","",INDEX(Zeiterfassung!$I$6:$I$3665,MATCH(INDEX(Zeiterfassung!$K$6:$K$3665,$K1527),Zeiterfassung!$K$6:$K$3665,0))))</f>
        <v/>
      </c>
      <c r="J1527" s="335">
        <f>IF(B1527=B1526,"",IF($K1527="","",INDEX(Zeiterfassung!$J$6:$J$3665,MATCH(INDEX(Zeiterfassung!$K$6:$K$3665,$K1527),Zeiterfassung!$K$6:$K$3665,0))))</f>
        <v/>
      </c>
      <c r="K1527">
        <f>IFERROR(AGGREGATE(15,6,(ROW(Zeiterfassung!$D$6:$D$3665)-ROW(Zeiterfassung!$D$6)+1)/(Zeiterfassung!$D$6:$D$3665&lt;&gt;""),1522),"")</f>
        <v/>
      </c>
    </row>
    <row r="1528" ht="20" customHeight="1">
      <c r="A1528" s="183">
        <f>IF($K1528="","",WEEKNUM(INDEX(Zeiterfassung!$K$6:$K$3665,$K1528),21))</f>
        <v/>
      </c>
      <c r="B1528" s="184">
        <f>IF($K1528="","",INDEX(Zeiterfassung!$K$6:$K$3665,$K1528))</f>
        <v/>
      </c>
      <c r="C1528" s="185">
        <f>IF($K1528="","",INDEX(Zeiterfassung!$K$6:$K$3665,$K1528))</f>
        <v/>
      </c>
      <c r="D1528" s="186">
        <f>IF($K1528="","",INDEX(Zeiterfassung!$D$6:$D$3665,$K1528))</f>
        <v/>
      </c>
      <c r="E1528" s="186">
        <f>IF($K1528="","",INDEX(Zeiterfassung!$E$6:$E$3665,$K1528))</f>
        <v/>
      </c>
      <c r="F1528" s="187">
        <f>IF($K1528="","",INDEX(Zeiterfassung!$F$6:$F$3665,$K1528))</f>
        <v/>
      </c>
      <c r="G1528" s="187">
        <f>IF($K1528="","",INDEX(Zeiterfassung!$G$6:$G$3665,$K1528))</f>
        <v/>
      </c>
      <c r="H1528" s="188">
        <f>IF($K1528="","",INDEX(Zeiterfassung!$H$6:$H$3665,$K1528))</f>
        <v/>
      </c>
      <c r="I1528" s="335">
        <f>IF(B1528=B1527,"",IF($K1528="","",INDEX(Zeiterfassung!$I$6:$I$3665,MATCH(INDEX(Zeiterfassung!$K$6:$K$3665,$K1528),Zeiterfassung!$K$6:$K$3665,0))))</f>
        <v/>
      </c>
      <c r="J1528" s="335">
        <f>IF(B1528=B1527,"",IF($K1528="","",INDEX(Zeiterfassung!$J$6:$J$3665,MATCH(INDEX(Zeiterfassung!$K$6:$K$3665,$K1528),Zeiterfassung!$K$6:$K$3665,0))))</f>
        <v/>
      </c>
      <c r="K1528">
        <f>IFERROR(AGGREGATE(15,6,(ROW(Zeiterfassung!$D$6:$D$3665)-ROW(Zeiterfassung!$D$6)+1)/(Zeiterfassung!$D$6:$D$3665&lt;&gt;""),1523),"")</f>
        <v/>
      </c>
    </row>
    <row r="1529" ht="20" customHeight="1">
      <c r="A1529" s="183">
        <f>IF($K1529="","",WEEKNUM(INDEX(Zeiterfassung!$K$6:$K$3665,$K1529),21))</f>
        <v/>
      </c>
      <c r="B1529" s="184">
        <f>IF($K1529="","",INDEX(Zeiterfassung!$K$6:$K$3665,$K1529))</f>
        <v/>
      </c>
      <c r="C1529" s="185">
        <f>IF($K1529="","",INDEX(Zeiterfassung!$K$6:$K$3665,$K1529))</f>
        <v/>
      </c>
      <c r="D1529" s="186">
        <f>IF($K1529="","",INDEX(Zeiterfassung!$D$6:$D$3665,$K1529))</f>
        <v/>
      </c>
      <c r="E1529" s="186">
        <f>IF($K1529="","",INDEX(Zeiterfassung!$E$6:$E$3665,$K1529))</f>
        <v/>
      </c>
      <c r="F1529" s="187">
        <f>IF($K1529="","",INDEX(Zeiterfassung!$F$6:$F$3665,$K1529))</f>
        <v/>
      </c>
      <c r="G1529" s="187">
        <f>IF($K1529="","",INDEX(Zeiterfassung!$G$6:$G$3665,$K1529))</f>
        <v/>
      </c>
      <c r="H1529" s="188">
        <f>IF($K1529="","",INDEX(Zeiterfassung!$H$6:$H$3665,$K1529))</f>
        <v/>
      </c>
      <c r="I1529" s="335">
        <f>IF(B1529=B1528,"",IF($K1529="","",INDEX(Zeiterfassung!$I$6:$I$3665,MATCH(INDEX(Zeiterfassung!$K$6:$K$3665,$K1529),Zeiterfassung!$K$6:$K$3665,0))))</f>
        <v/>
      </c>
      <c r="J1529" s="335">
        <f>IF(B1529=B1528,"",IF($K1529="","",INDEX(Zeiterfassung!$J$6:$J$3665,MATCH(INDEX(Zeiterfassung!$K$6:$K$3665,$K1529),Zeiterfassung!$K$6:$K$3665,0))))</f>
        <v/>
      </c>
      <c r="K1529">
        <f>IFERROR(AGGREGATE(15,6,(ROW(Zeiterfassung!$D$6:$D$3665)-ROW(Zeiterfassung!$D$6)+1)/(Zeiterfassung!$D$6:$D$3665&lt;&gt;""),1524),"")</f>
        <v/>
      </c>
    </row>
    <row r="1530" ht="20" customHeight="1">
      <c r="A1530" s="183">
        <f>IF($K1530="","",WEEKNUM(INDEX(Zeiterfassung!$K$6:$K$3665,$K1530),21))</f>
        <v/>
      </c>
      <c r="B1530" s="184">
        <f>IF($K1530="","",INDEX(Zeiterfassung!$K$6:$K$3665,$K1530))</f>
        <v/>
      </c>
      <c r="C1530" s="185">
        <f>IF($K1530="","",INDEX(Zeiterfassung!$K$6:$K$3665,$K1530))</f>
        <v/>
      </c>
      <c r="D1530" s="186">
        <f>IF($K1530="","",INDEX(Zeiterfassung!$D$6:$D$3665,$K1530))</f>
        <v/>
      </c>
      <c r="E1530" s="186">
        <f>IF($K1530="","",INDEX(Zeiterfassung!$E$6:$E$3665,$K1530))</f>
        <v/>
      </c>
      <c r="F1530" s="187">
        <f>IF($K1530="","",INDEX(Zeiterfassung!$F$6:$F$3665,$K1530))</f>
        <v/>
      </c>
      <c r="G1530" s="187">
        <f>IF($K1530="","",INDEX(Zeiterfassung!$G$6:$G$3665,$K1530))</f>
        <v/>
      </c>
      <c r="H1530" s="188">
        <f>IF($K1530="","",INDEX(Zeiterfassung!$H$6:$H$3665,$K1530))</f>
        <v/>
      </c>
      <c r="I1530" s="335">
        <f>IF(B1530=B1529,"",IF($K1530="","",INDEX(Zeiterfassung!$I$6:$I$3665,MATCH(INDEX(Zeiterfassung!$K$6:$K$3665,$K1530),Zeiterfassung!$K$6:$K$3665,0))))</f>
        <v/>
      </c>
      <c r="J1530" s="335">
        <f>IF(B1530=B1529,"",IF($K1530="","",INDEX(Zeiterfassung!$J$6:$J$3665,MATCH(INDEX(Zeiterfassung!$K$6:$K$3665,$K1530),Zeiterfassung!$K$6:$K$3665,0))))</f>
        <v/>
      </c>
      <c r="K1530">
        <f>IFERROR(AGGREGATE(15,6,(ROW(Zeiterfassung!$D$6:$D$3665)-ROW(Zeiterfassung!$D$6)+1)/(Zeiterfassung!$D$6:$D$3665&lt;&gt;""),1525),"")</f>
        <v/>
      </c>
    </row>
    <row r="1531" ht="20" customHeight="1">
      <c r="A1531" s="183">
        <f>IF($K1531="","",WEEKNUM(INDEX(Zeiterfassung!$K$6:$K$3665,$K1531),21))</f>
        <v/>
      </c>
      <c r="B1531" s="184">
        <f>IF($K1531="","",INDEX(Zeiterfassung!$K$6:$K$3665,$K1531))</f>
        <v/>
      </c>
      <c r="C1531" s="185">
        <f>IF($K1531="","",INDEX(Zeiterfassung!$K$6:$K$3665,$K1531))</f>
        <v/>
      </c>
      <c r="D1531" s="186">
        <f>IF($K1531="","",INDEX(Zeiterfassung!$D$6:$D$3665,$K1531))</f>
        <v/>
      </c>
      <c r="E1531" s="186">
        <f>IF($K1531="","",INDEX(Zeiterfassung!$E$6:$E$3665,$K1531))</f>
        <v/>
      </c>
      <c r="F1531" s="187">
        <f>IF($K1531="","",INDEX(Zeiterfassung!$F$6:$F$3665,$K1531))</f>
        <v/>
      </c>
      <c r="G1531" s="187">
        <f>IF($K1531="","",INDEX(Zeiterfassung!$G$6:$G$3665,$K1531))</f>
        <v/>
      </c>
      <c r="H1531" s="188">
        <f>IF($K1531="","",INDEX(Zeiterfassung!$H$6:$H$3665,$K1531))</f>
        <v/>
      </c>
      <c r="I1531" s="335">
        <f>IF(B1531=B1530,"",IF($K1531="","",INDEX(Zeiterfassung!$I$6:$I$3665,MATCH(INDEX(Zeiterfassung!$K$6:$K$3665,$K1531),Zeiterfassung!$K$6:$K$3665,0))))</f>
        <v/>
      </c>
      <c r="J1531" s="335">
        <f>IF(B1531=B1530,"",IF($K1531="","",INDEX(Zeiterfassung!$J$6:$J$3665,MATCH(INDEX(Zeiterfassung!$K$6:$K$3665,$K1531),Zeiterfassung!$K$6:$K$3665,0))))</f>
        <v/>
      </c>
      <c r="K1531">
        <f>IFERROR(AGGREGATE(15,6,(ROW(Zeiterfassung!$D$6:$D$3665)-ROW(Zeiterfassung!$D$6)+1)/(Zeiterfassung!$D$6:$D$3665&lt;&gt;""),1526),"")</f>
        <v/>
      </c>
    </row>
    <row r="1532" ht="20" customHeight="1">
      <c r="A1532" s="183">
        <f>IF($K1532="","",WEEKNUM(INDEX(Zeiterfassung!$K$6:$K$3665,$K1532),21))</f>
        <v/>
      </c>
      <c r="B1532" s="184">
        <f>IF($K1532="","",INDEX(Zeiterfassung!$K$6:$K$3665,$K1532))</f>
        <v/>
      </c>
      <c r="C1532" s="185">
        <f>IF($K1532="","",INDEX(Zeiterfassung!$K$6:$K$3665,$K1532))</f>
        <v/>
      </c>
      <c r="D1532" s="186">
        <f>IF($K1532="","",INDEX(Zeiterfassung!$D$6:$D$3665,$K1532))</f>
        <v/>
      </c>
      <c r="E1532" s="186">
        <f>IF($K1532="","",INDEX(Zeiterfassung!$E$6:$E$3665,$K1532))</f>
        <v/>
      </c>
      <c r="F1532" s="187">
        <f>IF($K1532="","",INDEX(Zeiterfassung!$F$6:$F$3665,$K1532))</f>
        <v/>
      </c>
      <c r="G1532" s="187">
        <f>IF($K1532="","",INDEX(Zeiterfassung!$G$6:$G$3665,$K1532))</f>
        <v/>
      </c>
      <c r="H1532" s="188">
        <f>IF($K1532="","",INDEX(Zeiterfassung!$H$6:$H$3665,$K1532))</f>
        <v/>
      </c>
      <c r="I1532" s="335">
        <f>IF(B1532=B1531,"",IF($K1532="","",INDEX(Zeiterfassung!$I$6:$I$3665,MATCH(INDEX(Zeiterfassung!$K$6:$K$3665,$K1532),Zeiterfassung!$K$6:$K$3665,0))))</f>
        <v/>
      </c>
      <c r="J1532" s="335">
        <f>IF(B1532=B1531,"",IF($K1532="","",INDEX(Zeiterfassung!$J$6:$J$3665,MATCH(INDEX(Zeiterfassung!$K$6:$K$3665,$K1532),Zeiterfassung!$K$6:$K$3665,0))))</f>
        <v/>
      </c>
      <c r="K1532">
        <f>IFERROR(AGGREGATE(15,6,(ROW(Zeiterfassung!$D$6:$D$3665)-ROW(Zeiterfassung!$D$6)+1)/(Zeiterfassung!$D$6:$D$3665&lt;&gt;""),1527),"")</f>
        <v/>
      </c>
    </row>
    <row r="1533" ht="20" customHeight="1">
      <c r="A1533" s="183">
        <f>IF($K1533="","",WEEKNUM(INDEX(Zeiterfassung!$K$6:$K$3665,$K1533),21))</f>
        <v/>
      </c>
      <c r="B1533" s="184">
        <f>IF($K1533="","",INDEX(Zeiterfassung!$K$6:$K$3665,$K1533))</f>
        <v/>
      </c>
      <c r="C1533" s="185">
        <f>IF($K1533="","",INDEX(Zeiterfassung!$K$6:$K$3665,$K1533))</f>
        <v/>
      </c>
      <c r="D1533" s="186">
        <f>IF($K1533="","",INDEX(Zeiterfassung!$D$6:$D$3665,$K1533))</f>
        <v/>
      </c>
      <c r="E1533" s="186">
        <f>IF($K1533="","",INDEX(Zeiterfassung!$E$6:$E$3665,$K1533))</f>
        <v/>
      </c>
      <c r="F1533" s="187">
        <f>IF($K1533="","",INDEX(Zeiterfassung!$F$6:$F$3665,$K1533))</f>
        <v/>
      </c>
      <c r="G1533" s="187">
        <f>IF($K1533="","",INDEX(Zeiterfassung!$G$6:$G$3665,$K1533))</f>
        <v/>
      </c>
      <c r="H1533" s="188">
        <f>IF($K1533="","",INDEX(Zeiterfassung!$H$6:$H$3665,$K1533))</f>
        <v/>
      </c>
      <c r="I1533" s="335">
        <f>IF(B1533=B1532,"",IF($K1533="","",INDEX(Zeiterfassung!$I$6:$I$3665,MATCH(INDEX(Zeiterfassung!$K$6:$K$3665,$K1533),Zeiterfassung!$K$6:$K$3665,0))))</f>
        <v/>
      </c>
      <c r="J1533" s="335">
        <f>IF(B1533=B1532,"",IF($K1533="","",INDEX(Zeiterfassung!$J$6:$J$3665,MATCH(INDEX(Zeiterfassung!$K$6:$K$3665,$K1533),Zeiterfassung!$K$6:$K$3665,0))))</f>
        <v/>
      </c>
      <c r="K1533">
        <f>IFERROR(AGGREGATE(15,6,(ROW(Zeiterfassung!$D$6:$D$3665)-ROW(Zeiterfassung!$D$6)+1)/(Zeiterfassung!$D$6:$D$3665&lt;&gt;""),1528),"")</f>
        <v/>
      </c>
    </row>
    <row r="1534" ht="20" customHeight="1">
      <c r="A1534" s="183">
        <f>IF($K1534="","",WEEKNUM(INDEX(Zeiterfassung!$K$6:$K$3665,$K1534),21))</f>
        <v/>
      </c>
      <c r="B1534" s="184">
        <f>IF($K1534="","",INDEX(Zeiterfassung!$K$6:$K$3665,$K1534))</f>
        <v/>
      </c>
      <c r="C1534" s="185">
        <f>IF($K1534="","",INDEX(Zeiterfassung!$K$6:$K$3665,$K1534))</f>
        <v/>
      </c>
      <c r="D1534" s="186">
        <f>IF($K1534="","",INDEX(Zeiterfassung!$D$6:$D$3665,$K1534))</f>
        <v/>
      </c>
      <c r="E1534" s="186">
        <f>IF($K1534="","",INDEX(Zeiterfassung!$E$6:$E$3665,$K1534))</f>
        <v/>
      </c>
      <c r="F1534" s="187">
        <f>IF($K1534="","",INDEX(Zeiterfassung!$F$6:$F$3665,$K1534))</f>
        <v/>
      </c>
      <c r="G1534" s="187">
        <f>IF($K1534="","",INDEX(Zeiterfassung!$G$6:$G$3665,$K1534))</f>
        <v/>
      </c>
      <c r="H1534" s="188">
        <f>IF($K1534="","",INDEX(Zeiterfassung!$H$6:$H$3665,$K1534))</f>
        <v/>
      </c>
      <c r="I1534" s="335">
        <f>IF(B1534=B1533,"",IF($K1534="","",INDEX(Zeiterfassung!$I$6:$I$3665,MATCH(INDEX(Zeiterfassung!$K$6:$K$3665,$K1534),Zeiterfassung!$K$6:$K$3665,0))))</f>
        <v/>
      </c>
      <c r="J1534" s="335">
        <f>IF(B1534=B1533,"",IF($K1534="","",INDEX(Zeiterfassung!$J$6:$J$3665,MATCH(INDEX(Zeiterfassung!$K$6:$K$3665,$K1534),Zeiterfassung!$K$6:$K$3665,0))))</f>
        <v/>
      </c>
      <c r="K1534">
        <f>IFERROR(AGGREGATE(15,6,(ROW(Zeiterfassung!$D$6:$D$3665)-ROW(Zeiterfassung!$D$6)+1)/(Zeiterfassung!$D$6:$D$3665&lt;&gt;""),1529),"")</f>
        <v/>
      </c>
    </row>
    <row r="1535" ht="20" customHeight="1">
      <c r="A1535" s="183">
        <f>IF($K1535="","",WEEKNUM(INDEX(Zeiterfassung!$K$6:$K$3665,$K1535),21))</f>
        <v/>
      </c>
      <c r="B1535" s="184">
        <f>IF($K1535="","",INDEX(Zeiterfassung!$K$6:$K$3665,$K1535))</f>
        <v/>
      </c>
      <c r="C1535" s="185">
        <f>IF($K1535="","",INDEX(Zeiterfassung!$K$6:$K$3665,$K1535))</f>
        <v/>
      </c>
      <c r="D1535" s="186">
        <f>IF($K1535="","",INDEX(Zeiterfassung!$D$6:$D$3665,$K1535))</f>
        <v/>
      </c>
      <c r="E1535" s="186">
        <f>IF($K1535="","",INDEX(Zeiterfassung!$E$6:$E$3665,$K1535))</f>
        <v/>
      </c>
      <c r="F1535" s="187">
        <f>IF($K1535="","",INDEX(Zeiterfassung!$F$6:$F$3665,$K1535))</f>
        <v/>
      </c>
      <c r="G1535" s="187">
        <f>IF($K1535="","",INDEX(Zeiterfassung!$G$6:$G$3665,$K1535))</f>
        <v/>
      </c>
      <c r="H1535" s="188">
        <f>IF($K1535="","",INDEX(Zeiterfassung!$H$6:$H$3665,$K1535))</f>
        <v/>
      </c>
      <c r="I1535" s="335">
        <f>IF(B1535=B1534,"",IF($K1535="","",INDEX(Zeiterfassung!$I$6:$I$3665,MATCH(INDEX(Zeiterfassung!$K$6:$K$3665,$K1535),Zeiterfassung!$K$6:$K$3665,0))))</f>
        <v/>
      </c>
      <c r="J1535" s="335">
        <f>IF(B1535=B1534,"",IF($K1535="","",INDEX(Zeiterfassung!$J$6:$J$3665,MATCH(INDEX(Zeiterfassung!$K$6:$K$3665,$K1535),Zeiterfassung!$K$6:$K$3665,0))))</f>
        <v/>
      </c>
      <c r="K1535">
        <f>IFERROR(AGGREGATE(15,6,(ROW(Zeiterfassung!$D$6:$D$3665)-ROW(Zeiterfassung!$D$6)+1)/(Zeiterfassung!$D$6:$D$3665&lt;&gt;""),1530),"")</f>
        <v/>
      </c>
    </row>
    <row r="1536" ht="20" customHeight="1">
      <c r="A1536" s="183">
        <f>IF($K1536="","",WEEKNUM(INDEX(Zeiterfassung!$K$6:$K$3665,$K1536),21))</f>
        <v/>
      </c>
      <c r="B1536" s="184">
        <f>IF($K1536="","",INDEX(Zeiterfassung!$K$6:$K$3665,$K1536))</f>
        <v/>
      </c>
      <c r="C1536" s="185">
        <f>IF($K1536="","",INDEX(Zeiterfassung!$K$6:$K$3665,$K1536))</f>
        <v/>
      </c>
      <c r="D1536" s="186">
        <f>IF($K1536="","",INDEX(Zeiterfassung!$D$6:$D$3665,$K1536))</f>
        <v/>
      </c>
      <c r="E1536" s="186">
        <f>IF($K1536="","",INDEX(Zeiterfassung!$E$6:$E$3665,$K1536))</f>
        <v/>
      </c>
      <c r="F1536" s="187">
        <f>IF($K1536="","",INDEX(Zeiterfassung!$F$6:$F$3665,$K1536))</f>
        <v/>
      </c>
      <c r="G1536" s="187">
        <f>IF($K1536="","",INDEX(Zeiterfassung!$G$6:$G$3665,$K1536))</f>
        <v/>
      </c>
      <c r="H1536" s="188">
        <f>IF($K1536="","",INDEX(Zeiterfassung!$H$6:$H$3665,$K1536))</f>
        <v/>
      </c>
      <c r="I1536" s="335">
        <f>IF(B1536=B1535,"",IF($K1536="","",INDEX(Zeiterfassung!$I$6:$I$3665,MATCH(INDEX(Zeiterfassung!$K$6:$K$3665,$K1536),Zeiterfassung!$K$6:$K$3665,0))))</f>
        <v/>
      </c>
      <c r="J1536" s="335">
        <f>IF(B1536=B1535,"",IF($K1536="","",INDEX(Zeiterfassung!$J$6:$J$3665,MATCH(INDEX(Zeiterfassung!$K$6:$K$3665,$K1536),Zeiterfassung!$K$6:$K$3665,0))))</f>
        <v/>
      </c>
      <c r="K1536">
        <f>IFERROR(AGGREGATE(15,6,(ROW(Zeiterfassung!$D$6:$D$3665)-ROW(Zeiterfassung!$D$6)+1)/(Zeiterfassung!$D$6:$D$3665&lt;&gt;""),1531),"")</f>
        <v/>
      </c>
    </row>
    <row r="1537" ht="20" customHeight="1">
      <c r="A1537" s="183">
        <f>IF($K1537="","",WEEKNUM(INDEX(Zeiterfassung!$K$6:$K$3665,$K1537),21))</f>
        <v/>
      </c>
      <c r="B1537" s="184">
        <f>IF($K1537="","",INDEX(Zeiterfassung!$K$6:$K$3665,$K1537))</f>
        <v/>
      </c>
      <c r="C1537" s="185">
        <f>IF($K1537="","",INDEX(Zeiterfassung!$K$6:$K$3665,$K1537))</f>
        <v/>
      </c>
      <c r="D1537" s="186">
        <f>IF($K1537="","",INDEX(Zeiterfassung!$D$6:$D$3665,$K1537))</f>
        <v/>
      </c>
      <c r="E1537" s="186">
        <f>IF($K1537="","",INDEX(Zeiterfassung!$E$6:$E$3665,$K1537))</f>
        <v/>
      </c>
      <c r="F1537" s="187">
        <f>IF($K1537="","",INDEX(Zeiterfassung!$F$6:$F$3665,$K1537))</f>
        <v/>
      </c>
      <c r="G1537" s="187">
        <f>IF($K1537="","",INDEX(Zeiterfassung!$G$6:$G$3665,$K1537))</f>
        <v/>
      </c>
      <c r="H1537" s="188">
        <f>IF($K1537="","",INDEX(Zeiterfassung!$H$6:$H$3665,$K1537))</f>
        <v/>
      </c>
      <c r="I1537" s="335">
        <f>IF(B1537=B1536,"",IF($K1537="","",INDEX(Zeiterfassung!$I$6:$I$3665,MATCH(INDEX(Zeiterfassung!$K$6:$K$3665,$K1537),Zeiterfassung!$K$6:$K$3665,0))))</f>
        <v/>
      </c>
      <c r="J1537" s="335">
        <f>IF(B1537=B1536,"",IF($K1537="","",INDEX(Zeiterfassung!$J$6:$J$3665,MATCH(INDEX(Zeiterfassung!$K$6:$K$3665,$K1537),Zeiterfassung!$K$6:$K$3665,0))))</f>
        <v/>
      </c>
      <c r="K1537">
        <f>IFERROR(AGGREGATE(15,6,(ROW(Zeiterfassung!$D$6:$D$3665)-ROW(Zeiterfassung!$D$6)+1)/(Zeiterfassung!$D$6:$D$3665&lt;&gt;""),1532),"")</f>
        <v/>
      </c>
    </row>
    <row r="1538" ht="20" customHeight="1">
      <c r="A1538" s="183">
        <f>IF($K1538="","",WEEKNUM(INDEX(Zeiterfassung!$K$6:$K$3665,$K1538),21))</f>
        <v/>
      </c>
      <c r="B1538" s="184">
        <f>IF($K1538="","",INDEX(Zeiterfassung!$K$6:$K$3665,$K1538))</f>
        <v/>
      </c>
      <c r="C1538" s="185">
        <f>IF($K1538="","",INDEX(Zeiterfassung!$K$6:$K$3665,$K1538))</f>
        <v/>
      </c>
      <c r="D1538" s="186">
        <f>IF($K1538="","",INDEX(Zeiterfassung!$D$6:$D$3665,$K1538))</f>
        <v/>
      </c>
      <c r="E1538" s="186">
        <f>IF($K1538="","",INDEX(Zeiterfassung!$E$6:$E$3665,$K1538))</f>
        <v/>
      </c>
      <c r="F1538" s="187">
        <f>IF($K1538="","",INDEX(Zeiterfassung!$F$6:$F$3665,$K1538))</f>
        <v/>
      </c>
      <c r="G1538" s="187">
        <f>IF($K1538="","",INDEX(Zeiterfassung!$G$6:$G$3665,$K1538))</f>
        <v/>
      </c>
      <c r="H1538" s="188">
        <f>IF($K1538="","",INDEX(Zeiterfassung!$H$6:$H$3665,$K1538))</f>
        <v/>
      </c>
      <c r="I1538" s="335">
        <f>IF(B1538=B1537,"",IF($K1538="","",INDEX(Zeiterfassung!$I$6:$I$3665,MATCH(INDEX(Zeiterfassung!$K$6:$K$3665,$K1538),Zeiterfassung!$K$6:$K$3665,0))))</f>
        <v/>
      </c>
      <c r="J1538" s="335">
        <f>IF(B1538=B1537,"",IF($K1538="","",INDEX(Zeiterfassung!$J$6:$J$3665,MATCH(INDEX(Zeiterfassung!$K$6:$K$3665,$K1538),Zeiterfassung!$K$6:$K$3665,0))))</f>
        <v/>
      </c>
      <c r="K1538">
        <f>IFERROR(AGGREGATE(15,6,(ROW(Zeiterfassung!$D$6:$D$3665)-ROW(Zeiterfassung!$D$6)+1)/(Zeiterfassung!$D$6:$D$3665&lt;&gt;""),1533),"")</f>
        <v/>
      </c>
    </row>
    <row r="1539" ht="20" customHeight="1">
      <c r="A1539" s="183">
        <f>IF($K1539="","",WEEKNUM(INDEX(Zeiterfassung!$K$6:$K$3665,$K1539),21))</f>
        <v/>
      </c>
      <c r="B1539" s="184">
        <f>IF($K1539="","",INDEX(Zeiterfassung!$K$6:$K$3665,$K1539))</f>
        <v/>
      </c>
      <c r="C1539" s="185">
        <f>IF($K1539="","",INDEX(Zeiterfassung!$K$6:$K$3665,$K1539))</f>
        <v/>
      </c>
      <c r="D1539" s="186">
        <f>IF($K1539="","",INDEX(Zeiterfassung!$D$6:$D$3665,$K1539))</f>
        <v/>
      </c>
      <c r="E1539" s="186">
        <f>IF($K1539="","",INDEX(Zeiterfassung!$E$6:$E$3665,$K1539))</f>
        <v/>
      </c>
      <c r="F1539" s="187">
        <f>IF($K1539="","",INDEX(Zeiterfassung!$F$6:$F$3665,$K1539))</f>
        <v/>
      </c>
      <c r="G1539" s="187">
        <f>IF($K1539="","",INDEX(Zeiterfassung!$G$6:$G$3665,$K1539))</f>
        <v/>
      </c>
      <c r="H1539" s="188">
        <f>IF($K1539="","",INDEX(Zeiterfassung!$H$6:$H$3665,$K1539))</f>
        <v/>
      </c>
      <c r="I1539" s="335">
        <f>IF(B1539=B1538,"",IF($K1539="","",INDEX(Zeiterfassung!$I$6:$I$3665,MATCH(INDEX(Zeiterfassung!$K$6:$K$3665,$K1539),Zeiterfassung!$K$6:$K$3665,0))))</f>
        <v/>
      </c>
      <c r="J1539" s="335">
        <f>IF(B1539=B1538,"",IF($K1539="","",INDEX(Zeiterfassung!$J$6:$J$3665,MATCH(INDEX(Zeiterfassung!$K$6:$K$3665,$K1539),Zeiterfassung!$K$6:$K$3665,0))))</f>
        <v/>
      </c>
      <c r="K1539">
        <f>IFERROR(AGGREGATE(15,6,(ROW(Zeiterfassung!$D$6:$D$3665)-ROW(Zeiterfassung!$D$6)+1)/(Zeiterfassung!$D$6:$D$3665&lt;&gt;""),1534),"")</f>
        <v/>
      </c>
    </row>
    <row r="1540" ht="20" customHeight="1">
      <c r="A1540" s="183">
        <f>IF($K1540="","",WEEKNUM(INDEX(Zeiterfassung!$K$6:$K$3665,$K1540),21))</f>
        <v/>
      </c>
      <c r="B1540" s="184">
        <f>IF($K1540="","",INDEX(Zeiterfassung!$K$6:$K$3665,$K1540))</f>
        <v/>
      </c>
      <c r="C1540" s="185">
        <f>IF($K1540="","",INDEX(Zeiterfassung!$K$6:$K$3665,$K1540))</f>
        <v/>
      </c>
      <c r="D1540" s="186">
        <f>IF($K1540="","",INDEX(Zeiterfassung!$D$6:$D$3665,$K1540))</f>
        <v/>
      </c>
      <c r="E1540" s="186">
        <f>IF($K1540="","",INDEX(Zeiterfassung!$E$6:$E$3665,$K1540))</f>
        <v/>
      </c>
      <c r="F1540" s="187">
        <f>IF($K1540="","",INDEX(Zeiterfassung!$F$6:$F$3665,$K1540))</f>
        <v/>
      </c>
      <c r="G1540" s="187">
        <f>IF($K1540="","",INDEX(Zeiterfassung!$G$6:$G$3665,$K1540))</f>
        <v/>
      </c>
      <c r="H1540" s="188">
        <f>IF($K1540="","",INDEX(Zeiterfassung!$H$6:$H$3665,$K1540))</f>
        <v/>
      </c>
      <c r="I1540" s="335">
        <f>IF(B1540=B1539,"",IF($K1540="","",INDEX(Zeiterfassung!$I$6:$I$3665,MATCH(INDEX(Zeiterfassung!$K$6:$K$3665,$K1540),Zeiterfassung!$K$6:$K$3665,0))))</f>
        <v/>
      </c>
      <c r="J1540" s="335">
        <f>IF(B1540=B1539,"",IF($K1540="","",INDEX(Zeiterfassung!$J$6:$J$3665,MATCH(INDEX(Zeiterfassung!$K$6:$K$3665,$K1540),Zeiterfassung!$K$6:$K$3665,0))))</f>
        <v/>
      </c>
      <c r="K1540">
        <f>IFERROR(AGGREGATE(15,6,(ROW(Zeiterfassung!$D$6:$D$3665)-ROW(Zeiterfassung!$D$6)+1)/(Zeiterfassung!$D$6:$D$3665&lt;&gt;""),1535),"")</f>
        <v/>
      </c>
    </row>
    <row r="1541" ht="20" customHeight="1">
      <c r="A1541" s="183">
        <f>IF($K1541="","",WEEKNUM(INDEX(Zeiterfassung!$K$6:$K$3665,$K1541),21))</f>
        <v/>
      </c>
      <c r="B1541" s="184">
        <f>IF($K1541="","",INDEX(Zeiterfassung!$K$6:$K$3665,$K1541))</f>
        <v/>
      </c>
      <c r="C1541" s="185">
        <f>IF($K1541="","",INDEX(Zeiterfassung!$K$6:$K$3665,$K1541))</f>
        <v/>
      </c>
      <c r="D1541" s="186">
        <f>IF($K1541="","",INDEX(Zeiterfassung!$D$6:$D$3665,$K1541))</f>
        <v/>
      </c>
      <c r="E1541" s="186">
        <f>IF($K1541="","",INDEX(Zeiterfassung!$E$6:$E$3665,$K1541))</f>
        <v/>
      </c>
      <c r="F1541" s="187">
        <f>IF($K1541="","",INDEX(Zeiterfassung!$F$6:$F$3665,$K1541))</f>
        <v/>
      </c>
      <c r="G1541" s="187">
        <f>IF($K1541="","",INDEX(Zeiterfassung!$G$6:$G$3665,$K1541))</f>
        <v/>
      </c>
      <c r="H1541" s="188">
        <f>IF($K1541="","",INDEX(Zeiterfassung!$H$6:$H$3665,$K1541))</f>
        <v/>
      </c>
      <c r="I1541" s="335">
        <f>IF(B1541=B1540,"",IF($K1541="","",INDEX(Zeiterfassung!$I$6:$I$3665,MATCH(INDEX(Zeiterfassung!$K$6:$K$3665,$K1541),Zeiterfassung!$K$6:$K$3665,0))))</f>
        <v/>
      </c>
      <c r="J1541" s="335">
        <f>IF(B1541=B1540,"",IF($K1541="","",INDEX(Zeiterfassung!$J$6:$J$3665,MATCH(INDEX(Zeiterfassung!$K$6:$K$3665,$K1541),Zeiterfassung!$K$6:$K$3665,0))))</f>
        <v/>
      </c>
      <c r="K1541">
        <f>IFERROR(AGGREGATE(15,6,(ROW(Zeiterfassung!$D$6:$D$3665)-ROW(Zeiterfassung!$D$6)+1)/(Zeiterfassung!$D$6:$D$3665&lt;&gt;""),1536),"")</f>
        <v/>
      </c>
    </row>
    <row r="1542" ht="20" customHeight="1">
      <c r="A1542" s="183">
        <f>IF($K1542="","",WEEKNUM(INDEX(Zeiterfassung!$K$6:$K$3665,$K1542),21))</f>
        <v/>
      </c>
      <c r="B1542" s="184">
        <f>IF($K1542="","",INDEX(Zeiterfassung!$K$6:$K$3665,$K1542))</f>
        <v/>
      </c>
      <c r="C1542" s="185">
        <f>IF($K1542="","",INDEX(Zeiterfassung!$K$6:$K$3665,$K1542))</f>
        <v/>
      </c>
      <c r="D1542" s="186">
        <f>IF($K1542="","",INDEX(Zeiterfassung!$D$6:$D$3665,$K1542))</f>
        <v/>
      </c>
      <c r="E1542" s="186">
        <f>IF($K1542="","",INDEX(Zeiterfassung!$E$6:$E$3665,$K1542))</f>
        <v/>
      </c>
      <c r="F1542" s="187">
        <f>IF($K1542="","",INDEX(Zeiterfassung!$F$6:$F$3665,$K1542))</f>
        <v/>
      </c>
      <c r="G1542" s="187">
        <f>IF($K1542="","",INDEX(Zeiterfassung!$G$6:$G$3665,$K1542))</f>
        <v/>
      </c>
      <c r="H1542" s="188">
        <f>IF($K1542="","",INDEX(Zeiterfassung!$H$6:$H$3665,$K1542))</f>
        <v/>
      </c>
      <c r="I1542" s="335">
        <f>IF(B1542=B1541,"",IF($K1542="","",INDEX(Zeiterfassung!$I$6:$I$3665,MATCH(INDEX(Zeiterfassung!$K$6:$K$3665,$K1542),Zeiterfassung!$K$6:$K$3665,0))))</f>
        <v/>
      </c>
      <c r="J1542" s="335">
        <f>IF(B1542=B1541,"",IF($K1542="","",INDEX(Zeiterfassung!$J$6:$J$3665,MATCH(INDEX(Zeiterfassung!$K$6:$K$3665,$K1542),Zeiterfassung!$K$6:$K$3665,0))))</f>
        <v/>
      </c>
      <c r="K1542">
        <f>IFERROR(AGGREGATE(15,6,(ROW(Zeiterfassung!$D$6:$D$3665)-ROW(Zeiterfassung!$D$6)+1)/(Zeiterfassung!$D$6:$D$3665&lt;&gt;""),1537),"")</f>
        <v/>
      </c>
    </row>
    <row r="1543" ht="20" customHeight="1">
      <c r="A1543" s="183">
        <f>IF($K1543="","",WEEKNUM(INDEX(Zeiterfassung!$K$6:$K$3665,$K1543),21))</f>
        <v/>
      </c>
      <c r="B1543" s="184">
        <f>IF($K1543="","",INDEX(Zeiterfassung!$K$6:$K$3665,$K1543))</f>
        <v/>
      </c>
      <c r="C1543" s="185">
        <f>IF($K1543="","",INDEX(Zeiterfassung!$K$6:$K$3665,$K1543))</f>
        <v/>
      </c>
      <c r="D1543" s="186">
        <f>IF($K1543="","",INDEX(Zeiterfassung!$D$6:$D$3665,$K1543))</f>
        <v/>
      </c>
      <c r="E1543" s="186">
        <f>IF($K1543="","",INDEX(Zeiterfassung!$E$6:$E$3665,$K1543))</f>
        <v/>
      </c>
      <c r="F1543" s="187">
        <f>IF($K1543="","",INDEX(Zeiterfassung!$F$6:$F$3665,$K1543))</f>
        <v/>
      </c>
      <c r="G1543" s="187">
        <f>IF($K1543="","",INDEX(Zeiterfassung!$G$6:$G$3665,$K1543))</f>
        <v/>
      </c>
      <c r="H1543" s="188">
        <f>IF($K1543="","",INDEX(Zeiterfassung!$H$6:$H$3665,$K1543))</f>
        <v/>
      </c>
      <c r="I1543" s="335">
        <f>IF(B1543=B1542,"",IF($K1543="","",INDEX(Zeiterfassung!$I$6:$I$3665,MATCH(INDEX(Zeiterfassung!$K$6:$K$3665,$K1543),Zeiterfassung!$K$6:$K$3665,0))))</f>
        <v/>
      </c>
      <c r="J1543" s="335">
        <f>IF(B1543=B1542,"",IF($K1543="","",INDEX(Zeiterfassung!$J$6:$J$3665,MATCH(INDEX(Zeiterfassung!$K$6:$K$3665,$K1543),Zeiterfassung!$K$6:$K$3665,0))))</f>
        <v/>
      </c>
      <c r="K1543">
        <f>IFERROR(AGGREGATE(15,6,(ROW(Zeiterfassung!$D$6:$D$3665)-ROW(Zeiterfassung!$D$6)+1)/(Zeiterfassung!$D$6:$D$3665&lt;&gt;""),1538),"")</f>
        <v/>
      </c>
    </row>
    <row r="1544" ht="20" customHeight="1">
      <c r="A1544" s="183">
        <f>IF($K1544="","",WEEKNUM(INDEX(Zeiterfassung!$K$6:$K$3665,$K1544),21))</f>
        <v/>
      </c>
      <c r="B1544" s="184">
        <f>IF($K1544="","",INDEX(Zeiterfassung!$K$6:$K$3665,$K1544))</f>
        <v/>
      </c>
      <c r="C1544" s="185">
        <f>IF($K1544="","",INDEX(Zeiterfassung!$K$6:$K$3665,$K1544))</f>
        <v/>
      </c>
      <c r="D1544" s="186">
        <f>IF($K1544="","",INDEX(Zeiterfassung!$D$6:$D$3665,$K1544))</f>
        <v/>
      </c>
      <c r="E1544" s="186">
        <f>IF($K1544="","",INDEX(Zeiterfassung!$E$6:$E$3665,$K1544))</f>
        <v/>
      </c>
      <c r="F1544" s="187">
        <f>IF($K1544="","",INDEX(Zeiterfassung!$F$6:$F$3665,$K1544))</f>
        <v/>
      </c>
      <c r="G1544" s="187">
        <f>IF($K1544="","",INDEX(Zeiterfassung!$G$6:$G$3665,$K1544))</f>
        <v/>
      </c>
      <c r="H1544" s="188">
        <f>IF($K1544="","",INDEX(Zeiterfassung!$H$6:$H$3665,$K1544))</f>
        <v/>
      </c>
      <c r="I1544" s="335">
        <f>IF(B1544=B1543,"",IF($K1544="","",INDEX(Zeiterfassung!$I$6:$I$3665,MATCH(INDEX(Zeiterfassung!$K$6:$K$3665,$K1544),Zeiterfassung!$K$6:$K$3665,0))))</f>
        <v/>
      </c>
      <c r="J1544" s="335">
        <f>IF(B1544=B1543,"",IF($K1544="","",INDEX(Zeiterfassung!$J$6:$J$3665,MATCH(INDEX(Zeiterfassung!$K$6:$K$3665,$K1544),Zeiterfassung!$K$6:$K$3665,0))))</f>
        <v/>
      </c>
      <c r="K1544">
        <f>IFERROR(AGGREGATE(15,6,(ROW(Zeiterfassung!$D$6:$D$3665)-ROW(Zeiterfassung!$D$6)+1)/(Zeiterfassung!$D$6:$D$3665&lt;&gt;""),1539),"")</f>
        <v/>
      </c>
    </row>
    <row r="1545" ht="20" customHeight="1">
      <c r="A1545" s="183">
        <f>IF($K1545="","",WEEKNUM(INDEX(Zeiterfassung!$K$6:$K$3665,$K1545),21))</f>
        <v/>
      </c>
      <c r="B1545" s="184">
        <f>IF($K1545="","",INDEX(Zeiterfassung!$K$6:$K$3665,$K1545))</f>
        <v/>
      </c>
      <c r="C1545" s="185">
        <f>IF($K1545="","",INDEX(Zeiterfassung!$K$6:$K$3665,$K1545))</f>
        <v/>
      </c>
      <c r="D1545" s="186">
        <f>IF($K1545="","",INDEX(Zeiterfassung!$D$6:$D$3665,$K1545))</f>
        <v/>
      </c>
      <c r="E1545" s="186">
        <f>IF($K1545="","",INDEX(Zeiterfassung!$E$6:$E$3665,$K1545))</f>
        <v/>
      </c>
      <c r="F1545" s="187">
        <f>IF($K1545="","",INDEX(Zeiterfassung!$F$6:$F$3665,$K1545))</f>
        <v/>
      </c>
      <c r="G1545" s="187">
        <f>IF($K1545="","",INDEX(Zeiterfassung!$G$6:$G$3665,$K1545))</f>
        <v/>
      </c>
      <c r="H1545" s="188">
        <f>IF($K1545="","",INDEX(Zeiterfassung!$H$6:$H$3665,$K1545))</f>
        <v/>
      </c>
      <c r="I1545" s="335">
        <f>IF(B1545=B1544,"",IF($K1545="","",INDEX(Zeiterfassung!$I$6:$I$3665,MATCH(INDEX(Zeiterfassung!$K$6:$K$3665,$K1545),Zeiterfassung!$K$6:$K$3665,0))))</f>
        <v/>
      </c>
      <c r="J1545" s="335">
        <f>IF(B1545=B1544,"",IF($K1545="","",INDEX(Zeiterfassung!$J$6:$J$3665,MATCH(INDEX(Zeiterfassung!$K$6:$K$3665,$K1545),Zeiterfassung!$K$6:$K$3665,0))))</f>
        <v/>
      </c>
      <c r="K1545">
        <f>IFERROR(AGGREGATE(15,6,(ROW(Zeiterfassung!$D$6:$D$3665)-ROW(Zeiterfassung!$D$6)+1)/(Zeiterfassung!$D$6:$D$3665&lt;&gt;""),1540),"")</f>
        <v/>
      </c>
    </row>
    <row r="1546" ht="20" customHeight="1">
      <c r="A1546" s="183">
        <f>IF($K1546="","",WEEKNUM(INDEX(Zeiterfassung!$K$6:$K$3665,$K1546),21))</f>
        <v/>
      </c>
      <c r="B1546" s="184">
        <f>IF($K1546="","",INDEX(Zeiterfassung!$K$6:$K$3665,$K1546))</f>
        <v/>
      </c>
      <c r="C1546" s="185">
        <f>IF($K1546="","",INDEX(Zeiterfassung!$K$6:$K$3665,$K1546))</f>
        <v/>
      </c>
      <c r="D1546" s="186">
        <f>IF($K1546="","",INDEX(Zeiterfassung!$D$6:$D$3665,$K1546))</f>
        <v/>
      </c>
      <c r="E1546" s="186">
        <f>IF($K1546="","",INDEX(Zeiterfassung!$E$6:$E$3665,$K1546))</f>
        <v/>
      </c>
      <c r="F1546" s="187">
        <f>IF($K1546="","",INDEX(Zeiterfassung!$F$6:$F$3665,$K1546))</f>
        <v/>
      </c>
      <c r="G1546" s="187">
        <f>IF($K1546="","",INDEX(Zeiterfassung!$G$6:$G$3665,$K1546))</f>
        <v/>
      </c>
      <c r="H1546" s="188">
        <f>IF($K1546="","",INDEX(Zeiterfassung!$H$6:$H$3665,$K1546))</f>
        <v/>
      </c>
      <c r="I1546" s="335">
        <f>IF(B1546=B1545,"",IF($K1546="","",INDEX(Zeiterfassung!$I$6:$I$3665,MATCH(INDEX(Zeiterfassung!$K$6:$K$3665,$K1546),Zeiterfassung!$K$6:$K$3665,0))))</f>
        <v/>
      </c>
      <c r="J1546" s="335">
        <f>IF(B1546=B1545,"",IF($K1546="","",INDEX(Zeiterfassung!$J$6:$J$3665,MATCH(INDEX(Zeiterfassung!$K$6:$K$3665,$K1546),Zeiterfassung!$K$6:$K$3665,0))))</f>
        <v/>
      </c>
      <c r="K1546">
        <f>IFERROR(AGGREGATE(15,6,(ROW(Zeiterfassung!$D$6:$D$3665)-ROW(Zeiterfassung!$D$6)+1)/(Zeiterfassung!$D$6:$D$3665&lt;&gt;""),1541),"")</f>
        <v/>
      </c>
    </row>
    <row r="1547" ht="20" customHeight="1">
      <c r="A1547" s="183">
        <f>IF($K1547="","",WEEKNUM(INDEX(Zeiterfassung!$K$6:$K$3665,$K1547),21))</f>
        <v/>
      </c>
      <c r="B1547" s="184">
        <f>IF($K1547="","",INDEX(Zeiterfassung!$K$6:$K$3665,$K1547))</f>
        <v/>
      </c>
      <c r="C1547" s="185">
        <f>IF($K1547="","",INDEX(Zeiterfassung!$K$6:$K$3665,$K1547))</f>
        <v/>
      </c>
      <c r="D1547" s="186">
        <f>IF($K1547="","",INDEX(Zeiterfassung!$D$6:$D$3665,$K1547))</f>
        <v/>
      </c>
      <c r="E1547" s="186">
        <f>IF($K1547="","",INDEX(Zeiterfassung!$E$6:$E$3665,$K1547))</f>
        <v/>
      </c>
      <c r="F1547" s="187">
        <f>IF($K1547="","",INDEX(Zeiterfassung!$F$6:$F$3665,$K1547))</f>
        <v/>
      </c>
      <c r="G1547" s="187">
        <f>IF($K1547="","",INDEX(Zeiterfassung!$G$6:$G$3665,$K1547))</f>
        <v/>
      </c>
      <c r="H1547" s="188">
        <f>IF($K1547="","",INDEX(Zeiterfassung!$H$6:$H$3665,$K1547))</f>
        <v/>
      </c>
      <c r="I1547" s="335">
        <f>IF(B1547=B1546,"",IF($K1547="","",INDEX(Zeiterfassung!$I$6:$I$3665,MATCH(INDEX(Zeiterfassung!$K$6:$K$3665,$K1547),Zeiterfassung!$K$6:$K$3665,0))))</f>
        <v/>
      </c>
      <c r="J1547" s="335">
        <f>IF(B1547=B1546,"",IF($K1547="","",INDEX(Zeiterfassung!$J$6:$J$3665,MATCH(INDEX(Zeiterfassung!$K$6:$K$3665,$K1547),Zeiterfassung!$K$6:$K$3665,0))))</f>
        <v/>
      </c>
      <c r="K1547">
        <f>IFERROR(AGGREGATE(15,6,(ROW(Zeiterfassung!$D$6:$D$3665)-ROW(Zeiterfassung!$D$6)+1)/(Zeiterfassung!$D$6:$D$3665&lt;&gt;""),1542),"")</f>
        <v/>
      </c>
    </row>
    <row r="1548" ht="20" customHeight="1">
      <c r="A1548" s="183">
        <f>IF($K1548="","",WEEKNUM(INDEX(Zeiterfassung!$K$6:$K$3665,$K1548),21))</f>
        <v/>
      </c>
      <c r="B1548" s="184">
        <f>IF($K1548="","",INDEX(Zeiterfassung!$K$6:$K$3665,$K1548))</f>
        <v/>
      </c>
      <c r="C1548" s="185">
        <f>IF($K1548="","",INDEX(Zeiterfassung!$K$6:$K$3665,$K1548))</f>
        <v/>
      </c>
      <c r="D1548" s="186">
        <f>IF($K1548="","",INDEX(Zeiterfassung!$D$6:$D$3665,$K1548))</f>
        <v/>
      </c>
      <c r="E1548" s="186">
        <f>IF($K1548="","",INDEX(Zeiterfassung!$E$6:$E$3665,$K1548))</f>
        <v/>
      </c>
      <c r="F1548" s="187">
        <f>IF($K1548="","",INDEX(Zeiterfassung!$F$6:$F$3665,$K1548))</f>
        <v/>
      </c>
      <c r="G1548" s="187">
        <f>IF($K1548="","",INDEX(Zeiterfassung!$G$6:$G$3665,$K1548))</f>
        <v/>
      </c>
      <c r="H1548" s="188">
        <f>IF($K1548="","",INDEX(Zeiterfassung!$H$6:$H$3665,$K1548))</f>
        <v/>
      </c>
      <c r="I1548" s="335">
        <f>IF(B1548=B1547,"",IF($K1548="","",INDEX(Zeiterfassung!$I$6:$I$3665,MATCH(INDEX(Zeiterfassung!$K$6:$K$3665,$K1548),Zeiterfassung!$K$6:$K$3665,0))))</f>
        <v/>
      </c>
      <c r="J1548" s="335">
        <f>IF(B1548=B1547,"",IF($K1548="","",INDEX(Zeiterfassung!$J$6:$J$3665,MATCH(INDEX(Zeiterfassung!$K$6:$K$3665,$K1548),Zeiterfassung!$K$6:$K$3665,0))))</f>
        <v/>
      </c>
      <c r="K1548">
        <f>IFERROR(AGGREGATE(15,6,(ROW(Zeiterfassung!$D$6:$D$3665)-ROW(Zeiterfassung!$D$6)+1)/(Zeiterfassung!$D$6:$D$3665&lt;&gt;""),1543),"")</f>
        <v/>
      </c>
    </row>
    <row r="1549" ht="20" customHeight="1">
      <c r="A1549" s="183">
        <f>IF($K1549="","",WEEKNUM(INDEX(Zeiterfassung!$K$6:$K$3665,$K1549),21))</f>
        <v/>
      </c>
      <c r="B1549" s="184">
        <f>IF($K1549="","",INDEX(Zeiterfassung!$K$6:$K$3665,$K1549))</f>
        <v/>
      </c>
      <c r="C1549" s="185">
        <f>IF($K1549="","",INDEX(Zeiterfassung!$K$6:$K$3665,$K1549))</f>
        <v/>
      </c>
      <c r="D1549" s="186">
        <f>IF($K1549="","",INDEX(Zeiterfassung!$D$6:$D$3665,$K1549))</f>
        <v/>
      </c>
      <c r="E1549" s="186">
        <f>IF($K1549="","",INDEX(Zeiterfassung!$E$6:$E$3665,$K1549))</f>
        <v/>
      </c>
      <c r="F1549" s="187">
        <f>IF($K1549="","",INDEX(Zeiterfassung!$F$6:$F$3665,$K1549))</f>
        <v/>
      </c>
      <c r="G1549" s="187">
        <f>IF($K1549="","",INDEX(Zeiterfassung!$G$6:$G$3665,$K1549))</f>
        <v/>
      </c>
      <c r="H1549" s="188">
        <f>IF($K1549="","",INDEX(Zeiterfassung!$H$6:$H$3665,$K1549))</f>
        <v/>
      </c>
      <c r="I1549" s="335">
        <f>IF(B1549=B1548,"",IF($K1549="","",INDEX(Zeiterfassung!$I$6:$I$3665,MATCH(INDEX(Zeiterfassung!$K$6:$K$3665,$K1549),Zeiterfassung!$K$6:$K$3665,0))))</f>
        <v/>
      </c>
      <c r="J1549" s="335">
        <f>IF(B1549=B1548,"",IF($K1549="","",INDEX(Zeiterfassung!$J$6:$J$3665,MATCH(INDEX(Zeiterfassung!$K$6:$K$3665,$K1549),Zeiterfassung!$K$6:$K$3665,0))))</f>
        <v/>
      </c>
      <c r="K1549">
        <f>IFERROR(AGGREGATE(15,6,(ROW(Zeiterfassung!$D$6:$D$3665)-ROW(Zeiterfassung!$D$6)+1)/(Zeiterfassung!$D$6:$D$3665&lt;&gt;""),1544),"")</f>
        <v/>
      </c>
    </row>
    <row r="1550" ht="20" customHeight="1">
      <c r="A1550" s="183">
        <f>IF($K1550="","",WEEKNUM(INDEX(Zeiterfassung!$K$6:$K$3665,$K1550),21))</f>
        <v/>
      </c>
      <c r="B1550" s="184">
        <f>IF($K1550="","",INDEX(Zeiterfassung!$K$6:$K$3665,$K1550))</f>
        <v/>
      </c>
      <c r="C1550" s="185">
        <f>IF($K1550="","",INDEX(Zeiterfassung!$K$6:$K$3665,$K1550))</f>
        <v/>
      </c>
      <c r="D1550" s="186">
        <f>IF($K1550="","",INDEX(Zeiterfassung!$D$6:$D$3665,$K1550))</f>
        <v/>
      </c>
      <c r="E1550" s="186">
        <f>IF($K1550="","",INDEX(Zeiterfassung!$E$6:$E$3665,$K1550))</f>
        <v/>
      </c>
      <c r="F1550" s="187">
        <f>IF($K1550="","",INDEX(Zeiterfassung!$F$6:$F$3665,$K1550))</f>
        <v/>
      </c>
      <c r="G1550" s="187">
        <f>IF($K1550="","",INDEX(Zeiterfassung!$G$6:$G$3665,$K1550))</f>
        <v/>
      </c>
      <c r="H1550" s="188">
        <f>IF($K1550="","",INDEX(Zeiterfassung!$H$6:$H$3665,$K1550))</f>
        <v/>
      </c>
      <c r="I1550" s="335">
        <f>IF(B1550=B1549,"",IF($K1550="","",INDEX(Zeiterfassung!$I$6:$I$3665,MATCH(INDEX(Zeiterfassung!$K$6:$K$3665,$K1550),Zeiterfassung!$K$6:$K$3665,0))))</f>
        <v/>
      </c>
      <c r="J1550" s="335">
        <f>IF(B1550=B1549,"",IF($K1550="","",INDEX(Zeiterfassung!$J$6:$J$3665,MATCH(INDEX(Zeiterfassung!$K$6:$K$3665,$K1550),Zeiterfassung!$K$6:$K$3665,0))))</f>
        <v/>
      </c>
      <c r="K1550">
        <f>IFERROR(AGGREGATE(15,6,(ROW(Zeiterfassung!$D$6:$D$3665)-ROW(Zeiterfassung!$D$6)+1)/(Zeiterfassung!$D$6:$D$3665&lt;&gt;""),1545),"")</f>
        <v/>
      </c>
    </row>
    <row r="1551" ht="20" customHeight="1">
      <c r="A1551" s="183">
        <f>IF($K1551="","",WEEKNUM(INDEX(Zeiterfassung!$K$6:$K$3665,$K1551),21))</f>
        <v/>
      </c>
      <c r="B1551" s="184">
        <f>IF($K1551="","",INDEX(Zeiterfassung!$K$6:$K$3665,$K1551))</f>
        <v/>
      </c>
      <c r="C1551" s="185">
        <f>IF($K1551="","",INDEX(Zeiterfassung!$K$6:$K$3665,$K1551))</f>
        <v/>
      </c>
      <c r="D1551" s="186">
        <f>IF($K1551="","",INDEX(Zeiterfassung!$D$6:$D$3665,$K1551))</f>
        <v/>
      </c>
      <c r="E1551" s="186">
        <f>IF($K1551="","",INDEX(Zeiterfassung!$E$6:$E$3665,$K1551))</f>
        <v/>
      </c>
      <c r="F1551" s="187">
        <f>IF($K1551="","",INDEX(Zeiterfassung!$F$6:$F$3665,$K1551))</f>
        <v/>
      </c>
      <c r="G1551" s="187">
        <f>IF($K1551="","",INDEX(Zeiterfassung!$G$6:$G$3665,$K1551))</f>
        <v/>
      </c>
      <c r="H1551" s="188">
        <f>IF($K1551="","",INDEX(Zeiterfassung!$H$6:$H$3665,$K1551))</f>
        <v/>
      </c>
      <c r="I1551" s="335">
        <f>IF(B1551=B1550,"",IF($K1551="","",INDEX(Zeiterfassung!$I$6:$I$3665,MATCH(INDEX(Zeiterfassung!$K$6:$K$3665,$K1551),Zeiterfassung!$K$6:$K$3665,0))))</f>
        <v/>
      </c>
      <c r="J1551" s="335">
        <f>IF(B1551=B1550,"",IF($K1551="","",INDEX(Zeiterfassung!$J$6:$J$3665,MATCH(INDEX(Zeiterfassung!$K$6:$K$3665,$K1551),Zeiterfassung!$K$6:$K$3665,0))))</f>
        <v/>
      </c>
      <c r="K1551">
        <f>IFERROR(AGGREGATE(15,6,(ROW(Zeiterfassung!$D$6:$D$3665)-ROW(Zeiterfassung!$D$6)+1)/(Zeiterfassung!$D$6:$D$3665&lt;&gt;""),1546),"")</f>
        <v/>
      </c>
    </row>
    <row r="1552" ht="20" customHeight="1">
      <c r="A1552" s="183">
        <f>IF($K1552="","",WEEKNUM(INDEX(Zeiterfassung!$K$6:$K$3665,$K1552),21))</f>
        <v/>
      </c>
      <c r="B1552" s="184">
        <f>IF($K1552="","",INDEX(Zeiterfassung!$K$6:$K$3665,$K1552))</f>
        <v/>
      </c>
      <c r="C1552" s="185">
        <f>IF($K1552="","",INDEX(Zeiterfassung!$K$6:$K$3665,$K1552))</f>
        <v/>
      </c>
      <c r="D1552" s="186">
        <f>IF($K1552="","",INDEX(Zeiterfassung!$D$6:$D$3665,$K1552))</f>
        <v/>
      </c>
      <c r="E1552" s="186">
        <f>IF($K1552="","",INDEX(Zeiterfassung!$E$6:$E$3665,$K1552))</f>
        <v/>
      </c>
      <c r="F1552" s="187">
        <f>IF($K1552="","",INDEX(Zeiterfassung!$F$6:$F$3665,$K1552))</f>
        <v/>
      </c>
      <c r="G1552" s="187">
        <f>IF($K1552="","",INDEX(Zeiterfassung!$G$6:$G$3665,$K1552))</f>
        <v/>
      </c>
      <c r="H1552" s="188">
        <f>IF($K1552="","",INDEX(Zeiterfassung!$H$6:$H$3665,$K1552))</f>
        <v/>
      </c>
      <c r="I1552" s="335">
        <f>IF(B1552=B1551,"",IF($K1552="","",INDEX(Zeiterfassung!$I$6:$I$3665,MATCH(INDEX(Zeiterfassung!$K$6:$K$3665,$K1552),Zeiterfassung!$K$6:$K$3665,0))))</f>
        <v/>
      </c>
      <c r="J1552" s="335">
        <f>IF(B1552=B1551,"",IF($K1552="","",INDEX(Zeiterfassung!$J$6:$J$3665,MATCH(INDEX(Zeiterfassung!$K$6:$K$3665,$K1552),Zeiterfassung!$K$6:$K$3665,0))))</f>
        <v/>
      </c>
      <c r="K1552">
        <f>IFERROR(AGGREGATE(15,6,(ROW(Zeiterfassung!$D$6:$D$3665)-ROW(Zeiterfassung!$D$6)+1)/(Zeiterfassung!$D$6:$D$3665&lt;&gt;""),1547),"")</f>
        <v/>
      </c>
    </row>
    <row r="1553" ht="20" customHeight="1">
      <c r="A1553" s="183">
        <f>IF($K1553="","",WEEKNUM(INDEX(Zeiterfassung!$K$6:$K$3665,$K1553),21))</f>
        <v/>
      </c>
      <c r="B1553" s="184">
        <f>IF($K1553="","",INDEX(Zeiterfassung!$K$6:$K$3665,$K1553))</f>
        <v/>
      </c>
      <c r="C1553" s="185">
        <f>IF($K1553="","",INDEX(Zeiterfassung!$K$6:$K$3665,$K1553))</f>
        <v/>
      </c>
      <c r="D1553" s="186">
        <f>IF($K1553="","",INDEX(Zeiterfassung!$D$6:$D$3665,$K1553))</f>
        <v/>
      </c>
      <c r="E1553" s="186">
        <f>IF($K1553="","",INDEX(Zeiterfassung!$E$6:$E$3665,$K1553))</f>
        <v/>
      </c>
      <c r="F1553" s="187">
        <f>IF($K1553="","",INDEX(Zeiterfassung!$F$6:$F$3665,$K1553))</f>
        <v/>
      </c>
      <c r="G1553" s="187">
        <f>IF($K1553="","",INDEX(Zeiterfassung!$G$6:$G$3665,$K1553))</f>
        <v/>
      </c>
      <c r="H1553" s="188">
        <f>IF($K1553="","",INDEX(Zeiterfassung!$H$6:$H$3665,$K1553))</f>
        <v/>
      </c>
      <c r="I1553" s="335">
        <f>IF(B1553=B1552,"",IF($K1553="","",INDEX(Zeiterfassung!$I$6:$I$3665,MATCH(INDEX(Zeiterfassung!$K$6:$K$3665,$K1553),Zeiterfassung!$K$6:$K$3665,0))))</f>
        <v/>
      </c>
      <c r="J1553" s="335">
        <f>IF(B1553=B1552,"",IF($K1553="","",INDEX(Zeiterfassung!$J$6:$J$3665,MATCH(INDEX(Zeiterfassung!$K$6:$K$3665,$K1553),Zeiterfassung!$K$6:$K$3665,0))))</f>
        <v/>
      </c>
      <c r="K1553">
        <f>IFERROR(AGGREGATE(15,6,(ROW(Zeiterfassung!$D$6:$D$3665)-ROW(Zeiterfassung!$D$6)+1)/(Zeiterfassung!$D$6:$D$3665&lt;&gt;""),1548),"")</f>
        <v/>
      </c>
    </row>
    <row r="1554" ht="20" customHeight="1">
      <c r="A1554" s="183">
        <f>IF($K1554="","",WEEKNUM(INDEX(Zeiterfassung!$K$6:$K$3665,$K1554),21))</f>
        <v/>
      </c>
      <c r="B1554" s="184">
        <f>IF($K1554="","",INDEX(Zeiterfassung!$K$6:$K$3665,$K1554))</f>
        <v/>
      </c>
      <c r="C1554" s="185">
        <f>IF($K1554="","",INDEX(Zeiterfassung!$K$6:$K$3665,$K1554))</f>
        <v/>
      </c>
      <c r="D1554" s="186">
        <f>IF($K1554="","",INDEX(Zeiterfassung!$D$6:$D$3665,$K1554))</f>
        <v/>
      </c>
      <c r="E1554" s="186">
        <f>IF($K1554="","",INDEX(Zeiterfassung!$E$6:$E$3665,$K1554))</f>
        <v/>
      </c>
      <c r="F1554" s="187">
        <f>IF($K1554="","",INDEX(Zeiterfassung!$F$6:$F$3665,$K1554))</f>
        <v/>
      </c>
      <c r="G1554" s="187">
        <f>IF($K1554="","",INDEX(Zeiterfassung!$G$6:$G$3665,$K1554))</f>
        <v/>
      </c>
      <c r="H1554" s="188">
        <f>IF($K1554="","",INDEX(Zeiterfassung!$H$6:$H$3665,$K1554))</f>
        <v/>
      </c>
      <c r="I1554" s="335">
        <f>IF(B1554=B1553,"",IF($K1554="","",INDEX(Zeiterfassung!$I$6:$I$3665,MATCH(INDEX(Zeiterfassung!$K$6:$K$3665,$K1554),Zeiterfassung!$K$6:$K$3665,0))))</f>
        <v/>
      </c>
      <c r="J1554" s="335">
        <f>IF(B1554=B1553,"",IF($K1554="","",INDEX(Zeiterfassung!$J$6:$J$3665,MATCH(INDEX(Zeiterfassung!$K$6:$K$3665,$K1554),Zeiterfassung!$K$6:$K$3665,0))))</f>
        <v/>
      </c>
      <c r="K1554">
        <f>IFERROR(AGGREGATE(15,6,(ROW(Zeiterfassung!$D$6:$D$3665)-ROW(Zeiterfassung!$D$6)+1)/(Zeiterfassung!$D$6:$D$3665&lt;&gt;""),1549),"")</f>
        <v/>
      </c>
    </row>
    <row r="1555" ht="20" customHeight="1">
      <c r="A1555" s="183">
        <f>IF($K1555="","",WEEKNUM(INDEX(Zeiterfassung!$K$6:$K$3665,$K1555),21))</f>
        <v/>
      </c>
      <c r="B1555" s="184">
        <f>IF($K1555="","",INDEX(Zeiterfassung!$K$6:$K$3665,$K1555))</f>
        <v/>
      </c>
      <c r="C1555" s="185">
        <f>IF($K1555="","",INDEX(Zeiterfassung!$K$6:$K$3665,$K1555))</f>
        <v/>
      </c>
      <c r="D1555" s="186">
        <f>IF($K1555="","",INDEX(Zeiterfassung!$D$6:$D$3665,$K1555))</f>
        <v/>
      </c>
      <c r="E1555" s="186">
        <f>IF($K1555="","",INDEX(Zeiterfassung!$E$6:$E$3665,$K1555))</f>
        <v/>
      </c>
      <c r="F1555" s="187">
        <f>IF($K1555="","",INDEX(Zeiterfassung!$F$6:$F$3665,$K1555))</f>
        <v/>
      </c>
      <c r="G1555" s="187">
        <f>IF($K1555="","",INDEX(Zeiterfassung!$G$6:$G$3665,$K1555))</f>
        <v/>
      </c>
      <c r="H1555" s="188">
        <f>IF($K1555="","",INDEX(Zeiterfassung!$H$6:$H$3665,$K1555))</f>
        <v/>
      </c>
      <c r="I1555" s="335">
        <f>IF(B1555=B1554,"",IF($K1555="","",INDEX(Zeiterfassung!$I$6:$I$3665,MATCH(INDEX(Zeiterfassung!$K$6:$K$3665,$K1555),Zeiterfassung!$K$6:$K$3665,0))))</f>
        <v/>
      </c>
      <c r="J1555" s="335">
        <f>IF(B1555=B1554,"",IF($K1555="","",INDEX(Zeiterfassung!$J$6:$J$3665,MATCH(INDEX(Zeiterfassung!$K$6:$K$3665,$K1555),Zeiterfassung!$K$6:$K$3665,0))))</f>
        <v/>
      </c>
      <c r="K1555">
        <f>IFERROR(AGGREGATE(15,6,(ROW(Zeiterfassung!$D$6:$D$3665)-ROW(Zeiterfassung!$D$6)+1)/(Zeiterfassung!$D$6:$D$3665&lt;&gt;""),1550),"")</f>
        <v/>
      </c>
    </row>
    <row r="1556" ht="20" customHeight="1">
      <c r="A1556" s="183">
        <f>IF($K1556="","",WEEKNUM(INDEX(Zeiterfassung!$K$6:$K$3665,$K1556),21))</f>
        <v/>
      </c>
      <c r="B1556" s="184">
        <f>IF($K1556="","",INDEX(Zeiterfassung!$K$6:$K$3665,$K1556))</f>
        <v/>
      </c>
      <c r="C1556" s="185">
        <f>IF($K1556="","",INDEX(Zeiterfassung!$K$6:$K$3665,$K1556))</f>
        <v/>
      </c>
      <c r="D1556" s="186">
        <f>IF($K1556="","",INDEX(Zeiterfassung!$D$6:$D$3665,$K1556))</f>
        <v/>
      </c>
      <c r="E1556" s="186">
        <f>IF($K1556="","",INDEX(Zeiterfassung!$E$6:$E$3665,$K1556))</f>
        <v/>
      </c>
      <c r="F1556" s="187">
        <f>IF($K1556="","",INDEX(Zeiterfassung!$F$6:$F$3665,$K1556))</f>
        <v/>
      </c>
      <c r="G1556" s="187">
        <f>IF($K1556="","",INDEX(Zeiterfassung!$G$6:$G$3665,$K1556))</f>
        <v/>
      </c>
      <c r="H1556" s="188">
        <f>IF($K1556="","",INDEX(Zeiterfassung!$H$6:$H$3665,$K1556))</f>
        <v/>
      </c>
      <c r="I1556" s="335">
        <f>IF(B1556=B1555,"",IF($K1556="","",INDEX(Zeiterfassung!$I$6:$I$3665,MATCH(INDEX(Zeiterfassung!$K$6:$K$3665,$K1556),Zeiterfassung!$K$6:$K$3665,0))))</f>
        <v/>
      </c>
      <c r="J1556" s="335">
        <f>IF(B1556=B1555,"",IF($K1556="","",INDEX(Zeiterfassung!$J$6:$J$3665,MATCH(INDEX(Zeiterfassung!$K$6:$K$3665,$K1556),Zeiterfassung!$K$6:$K$3665,0))))</f>
        <v/>
      </c>
      <c r="K1556">
        <f>IFERROR(AGGREGATE(15,6,(ROW(Zeiterfassung!$D$6:$D$3665)-ROW(Zeiterfassung!$D$6)+1)/(Zeiterfassung!$D$6:$D$3665&lt;&gt;""),1551),"")</f>
        <v/>
      </c>
    </row>
    <row r="1557" ht="20" customHeight="1">
      <c r="A1557" s="183">
        <f>IF($K1557="","",WEEKNUM(INDEX(Zeiterfassung!$K$6:$K$3665,$K1557),21))</f>
        <v/>
      </c>
      <c r="B1557" s="184">
        <f>IF($K1557="","",INDEX(Zeiterfassung!$K$6:$K$3665,$K1557))</f>
        <v/>
      </c>
      <c r="C1557" s="185">
        <f>IF($K1557="","",INDEX(Zeiterfassung!$K$6:$K$3665,$K1557))</f>
        <v/>
      </c>
      <c r="D1557" s="186">
        <f>IF($K1557="","",INDEX(Zeiterfassung!$D$6:$D$3665,$K1557))</f>
        <v/>
      </c>
      <c r="E1557" s="186">
        <f>IF($K1557="","",INDEX(Zeiterfassung!$E$6:$E$3665,$K1557))</f>
        <v/>
      </c>
      <c r="F1557" s="187">
        <f>IF($K1557="","",INDEX(Zeiterfassung!$F$6:$F$3665,$K1557))</f>
        <v/>
      </c>
      <c r="G1557" s="187">
        <f>IF($K1557="","",INDEX(Zeiterfassung!$G$6:$G$3665,$K1557))</f>
        <v/>
      </c>
      <c r="H1557" s="188">
        <f>IF($K1557="","",INDEX(Zeiterfassung!$H$6:$H$3665,$K1557))</f>
        <v/>
      </c>
      <c r="I1557" s="335">
        <f>IF(B1557=B1556,"",IF($K1557="","",INDEX(Zeiterfassung!$I$6:$I$3665,MATCH(INDEX(Zeiterfassung!$K$6:$K$3665,$K1557),Zeiterfassung!$K$6:$K$3665,0))))</f>
        <v/>
      </c>
      <c r="J1557" s="335">
        <f>IF(B1557=B1556,"",IF($K1557="","",INDEX(Zeiterfassung!$J$6:$J$3665,MATCH(INDEX(Zeiterfassung!$K$6:$K$3665,$K1557),Zeiterfassung!$K$6:$K$3665,0))))</f>
        <v/>
      </c>
      <c r="K1557">
        <f>IFERROR(AGGREGATE(15,6,(ROW(Zeiterfassung!$D$6:$D$3665)-ROW(Zeiterfassung!$D$6)+1)/(Zeiterfassung!$D$6:$D$3665&lt;&gt;""),1552),"")</f>
        <v/>
      </c>
    </row>
    <row r="1558" ht="20" customHeight="1">
      <c r="A1558" s="183">
        <f>IF($K1558="","",WEEKNUM(INDEX(Zeiterfassung!$K$6:$K$3665,$K1558),21))</f>
        <v/>
      </c>
      <c r="B1558" s="184">
        <f>IF($K1558="","",INDEX(Zeiterfassung!$K$6:$K$3665,$K1558))</f>
        <v/>
      </c>
      <c r="C1558" s="185">
        <f>IF($K1558="","",INDEX(Zeiterfassung!$K$6:$K$3665,$K1558))</f>
        <v/>
      </c>
      <c r="D1558" s="186">
        <f>IF($K1558="","",INDEX(Zeiterfassung!$D$6:$D$3665,$K1558))</f>
        <v/>
      </c>
      <c r="E1558" s="186">
        <f>IF($K1558="","",INDEX(Zeiterfassung!$E$6:$E$3665,$K1558))</f>
        <v/>
      </c>
      <c r="F1558" s="187">
        <f>IF($K1558="","",INDEX(Zeiterfassung!$F$6:$F$3665,$K1558))</f>
        <v/>
      </c>
      <c r="G1558" s="187">
        <f>IF($K1558="","",INDEX(Zeiterfassung!$G$6:$G$3665,$K1558))</f>
        <v/>
      </c>
      <c r="H1558" s="188">
        <f>IF($K1558="","",INDEX(Zeiterfassung!$H$6:$H$3665,$K1558))</f>
        <v/>
      </c>
      <c r="I1558" s="335">
        <f>IF(B1558=B1557,"",IF($K1558="","",INDEX(Zeiterfassung!$I$6:$I$3665,MATCH(INDEX(Zeiterfassung!$K$6:$K$3665,$K1558),Zeiterfassung!$K$6:$K$3665,0))))</f>
        <v/>
      </c>
      <c r="J1558" s="335">
        <f>IF(B1558=B1557,"",IF($K1558="","",INDEX(Zeiterfassung!$J$6:$J$3665,MATCH(INDEX(Zeiterfassung!$K$6:$K$3665,$K1558),Zeiterfassung!$K$6:$K$3665,0))))</f>
        <v/>
      </c>
      <c r="K1558">
        <f>IFERROR(AGGREGATE(15,6,(ROW(Zeiterfassung!$D$6:$D$3665)-ROW(Zeiterfassung!$D$6)+1)/(Zeiterfassung!$D$6:$D$3665&lt;&gt;""),1553),"")</f>
        <v/>
      </c>
    </row>
    <row r="1559" ht="20" customHeight="1">
      <c r="A1559" s="183">
        <f>IF($K1559="","",WEEKNUM(INDEX(Zeiterfassung!$K$6:$K$3665,$K1559),21))</f>
        <v/>
      </c>
      <c r="B1559" s="184">
        <f>IF($K1559="","",INDEX(Zeiterfassung!$K$6:$K$3665,$K1559))</f>
        <v/>
      </c>
      <c r="C1559" s="185">
        <f>IF($K1559="","",INDEX(Zeiterfassung!$K$6:$K$3665,$K1559))</f>
        <v/>
      </c>
      <c r="D1559" s="186">
        <f>IF($K1559="","",INDEX(Zeiterfassung!$D$6:$D$3665,$K1559))</f>
        <v/>
      </c>
      <c r="E1559" s="186">
        <f>IF($K1559="","",INDEX(Zeiterfassung!$E$6:$E$3665,$K1559))</f>
        <v/>
      </c>
      <c r="F1559" s="187">
        <f>IF($K1559="","",INDEX(Zeiterfassung!$F$6:$F$3665,$K1559))</f>
        <v/>
      </c>
      <c r="G1559" s="187">
        <f>IF($K1559="","",INDEX(Zeiterfassung!$G$6:$G$3665,$K1559))</f>
        <v/>
      </c>
      <c r="H1559" s="188">
        <f>IF($K1559="","",INDEX(Zeiterfassung!$H$6:$H$3665,$K1559))</f>
        <v/>
      </c>
      <c r="I1559" s="335">
        <f>IF(B1559=B1558,"",IF($K1559="","",INDEX(Zeiterfassung!$I$6:$I$3665,MATCH(INDEX(Zeiterfassung!$K$6:$K$3665,$K1559),Zeiterfassung!$K$6:$K$3665,0))))</f>
        <v/>
      </c>
      <c r="J1559" s="335">
        <f>IF(B1559=B1558,"",IF($K1559="","",INDEX(Zeiterfassung!$J$6:$J$3665,MATCH(INDEX(Zeiterfassung!$K$6:$K$3665,$K1559),Zeiterfassung!$K$6:$K$3665,0))))</f>
        <v/>
      </c>
      <c r="K1559">
        <f>IFERROR(AGGREGATE(15,6,(ROW(Zeiterfassung!$D$6:$D$3665)-ROW(Zeiterfassung!$D$6)+1)/(Zeiterfassung!$D$6:$D$3665&lt;&gt;""),1554),"")</f>
        <v/>
      </c>
    </row>
    <row r="1560" ht="20" customHeight="1">
      <c r="A1560" s="183">
        <f>IF($K1560="","",WEEKNUM(INDEX(Zeiterfassung!$K$6:$K$3665,$K1560),21))</f>
        <v/>
      </c>
      <c r="B1560" s="184">
        <f>IF($K1560="","",INDEX(Zeiterfassung!$K$6:$K$3665,$K1560))</f>
        <v/>
      </c>
      <c r="C1560" s="185">
        <f>IF($K1560="","",INDEX(Zeiterfassung!$K$6:$K$3665,$K1560))</f>
        <v/>
      </c>
      <c r="D1560" s="186">
        <f>IF($K1560="","",INDEX(Zeiterfassung!$D$6:$D$3665,$K1560))</f>
        <v/>
      </c>
      <c r="E1560" s="186">
        <f>IF($K1560="","",INDEX(Zeiterfassung!$E$6:$E$3665,$K1560))</f>
        <v/>
      </c>
      <c r="F1560" s="187">
        <f>IF($K1560="","",INDEX(Zeiterfassung!$F$6:$F$3665,$K1560))</f>
        <v/>
      </c>
      <c r="G1560" s="187">
        <f>IF($K1560="","",INDEX(Zeiterfassung!$G$6:$G$3665,$K1560))</f>
        <v/>
      </c>
      <c r="H1560" s="188">
        <f>IF($K1560="","",INDEX(Zeiterfassung!$H$6:$H$3665,$K1560))</f>
        <v/>
      </c>
      <c r="I1560" s="335">
        <f>IF(B1560=B1559,"",IF($K1560="","",INDEX(Zeiterfassung!$I$6:$I$3665,MATCH(INDEX(Zeiterfassung!$K$6:$K$3665,$K1560),Zeiterfassung!$K$6:$K$3665,0))))</f>
        <v/>
      </c>
      <c r="J1560" s="335">
        <f>IF(B1560=B1559,"",IF($K1560="","",INDEX(Zeiterfassung!$J$6:$J$3665,MATCH(INDEX(Zeiterfassung!$K$6:$K$3665,$K1560),Zeiterfassung!$K$6:$K$3665,0))))</f>
        <v/>
      </c>
      <c r="K1560">
        <f>IFERROR(AGGREGATE(15,6,(ROW(Zeiterfassung!$D$6:$D$3665)-ROW(Zeiterfassung!$D$6)+1)/(Zeiterfassung!$D$6:$D$3665&lt;&gt;""),1555),"")</f>
        <v/>
      </c>
    </row>
    <row r="1561" ht="20" customHeight="1">
      <c r="A1561" s="183">
        <f>IF($K1561="","",WEEKNUM(INDEX(Zeiterfassung!$K$6:$K$3665,$K1561),21))</f>
        <v/>
      </c>
      <c r="B1561" s="184">
        <f>IF($K1561="","",INDEX(Zeiterfassung!$K$6:$K$3665,$K1561))</f>
        <v/>
      </c>
      <c r="C1561" s="185">
        <f>IF($K1561="","",INDEX(Zeiterfassung!$K$6:$K$3665,$K1561))</f>
        <v/>
      </c>
      <c r="D1561" s="186">
        <f>IF($K1561="","",INDEX(Zeiterfassung!$D$6:$D$3665,$K1561))</f>
        <v/>
      </c>
      <c r="E1561" s="186">
        <f>IF($K1561="","",INDEX(Zeiterfassung!$E$6:$E$3665,$K1561))</f>
        <v/>
      </c>
      <c r="F1561" s="187">
        <f>IF($K1561="","",INDEX(Zeiterfassung!$F$6:$F$3665,$K1561))</f>
        <v/>
      </c>
      <c r="G1561" s="187">
        <f>IF($K1561="","",INDEX(Zeiterfassung!$G$6:$G$3665,$K1561))</f>
        <v/>
      </c>
      <c r="H1561" s="188">
        <f>IF($K1561="","",INDEX(Zeiterfassung!$H$6:$H$3665,$K1561))</f>
        <v/>
      </c>
      <c r="I1561" s="335">
        <f>IF(B1561=B1560,"",IF($K1561="","",INDEX(Zeiterfassung!$I$6:$I$3665,MATCH(INDEX(Zeiterfassung!$K$6:$K$3665,$K1561),Zeiterfassung!$K$6:$K$3665,0))))</f>
        <v/>
      </c>
      <c r="J1561" s="335">
        <f>IF(B1561=B1560,"",IF($K1561="","",INDEX(Zeiterfassung!$J$6:$J$3665,MATCH(INDEX(Zeiterfassung!$K$6:$K$3665,$K1561),Zeiterfassung!$K$6:$K$3665,0))))</f>
        <v/>
      </c>
      <c r="K1561">
        <f>IFERROR(AGGREGATE(15,6,(ROW(Zeiterfassung!$D$6:$D$3665)-ROW(Zeiterfassung!$D$6)+1)/(Zeiterfassung!$D$6:$D$3665&lt;&gt;""),1556),"")</f>
        <v/>
      </c>
    </row>
    <row r="1562" ht="20" customHeight="1">
      <c r="A1562" s="183">
        <f>IF($K1562="","",WEEKNUM(INDEX(Zeiterfassung!$K$6:$K$3665,$K1562),21))</f>
        <v/>
      </c>
      <c r="B1562" s="184">
        <f>IF($K1562="","",INDEX(Zeiterfassung!$K$6:$K$3665,$K1562))</f>
        <v/>
      </c>
      <c r="C1562" s="185">
        <f>IF($K1562="","",INDEX(Zeiterfassung!$K$6:$K$3665,$K1562))</f>
        <v/>
      </c>
      <c r="D1562" s="186">
        <f>IF($K1562="","",INDEX(Zeiterfassung!$D$6:$D$3665,$K1562))</f>
        <v/>
      </c>
      <c r="E1562" s="186">
        <f>IF($K1562="","",INDEX(Zeiterfassung!$E$6:$E$3665,$K1562))</f>
        <v/>
      </c>
      <c r="F1562" s="187">
        <f>IF($K1562="","",INDEX(Zeiterfassung!$F$6:$F$3665,$K1562))</f>
        <v/>
      </c>
      <c r="G1562" s="187">
        <f>IF($K1562="","",INDEX(Zeiterfassung!$G$6:$G$3665,$K1562))</f>
        <v/>
      </c>
      <c r="H1562" s="188">
        <f>IF($K1562="","",INDEX(Zeiterfassung!$H$6:$H$3665,$K1562))</f>
        <v/>
      </c>
      <c r="I1562" s="335">
        <f>IF(B1562=B1561,"",IF($K1562="","",INDEX(Zeiterfassung!$I$6:$I$3665,MATCH(INDEX(Zeiterfassung!$K$6:$K$3665,$K1562),Zeiterfassung!$K$6:$K$3665,0))))</f>
        <v/>
      </c>
      <c r="J1562" s="335">
        <f>IF(B1562=B1561,"",IF($K1562="","",INDEX(Zeiterfassung!$J$6:$J$3665,MATCH(INDEX(Zeiterfassung!$K$6:$K$3665,$K1562),Zeiterfassung!$K$6:$K$3665,0))))</f>
        <v/>
      </c>
      <c r="K1562">
        <f>IFERROR(AGGREGATE(15,6,(ROW(Zeiterfassung!$D$6:$D$3665)-ROW(Zeiterfassung!$D$6)+1)/(Zeiterfassung!$D$6:$D$3665&lt;&gt;""),1557),"")</f>
        <v/>
      </c>
    </row>
    <row r="1563" ht="20" customHeight="1">
      <c r="A1563" s="183">
        <f>IF($K1563="","",WEEKNUM(INDEX(Zeiterfassung!$K$6:$K$3665,$K1563),21))</f>
        <v/>
      </c>
      <c r="B1563" s="184">
        <f>IF($K1563="","",INDEX(Zeiterfassung!$K$6:$K$3665,$K1563))</f>
        <v/>
      </c>
      <c r="C1563" s="185">
        <f>IF($K1563="","",INDEX(Zeiterfassung!$K$6:$K$3665,$K1563))</f>
        <v/>
      </c>
      <c r="D1563" s="186">
        <f>IF($K1563="","",INDEX(Zeiterfassung!$D$6:$D$3665,$K1563))</f>
        <v/>
      </c>
      <c r="E1563" s="186">
        <f>IF($K1563="","",INDEX(Zeiterfassung!$E$6:$E$3665,$K1563))</f>
        <v/>
      </c>
      <c r="F1563" s="187">
        <f>IF($K1563="","",INDEX(Zeiterfassung!$F$6:$F$3665,$K1563))</f>
        <v/>
      </c>
      <c r="G1563" s="187">
        <f>IF($K1563="","",INDEX(Zeiterfassung!$G$6:$G$3665,$K1563))</f>
        <v/>
      </c>
      <c r="H1563" s="188">
        <f>IF($K1563="","",INDEX(Zeiterfassung!$H$6:$H$3665,$K1563))</f>
        <v/>
      </c>
      <c r="I1563" s="335">
        <f>IF(B1563=B1562,"",IF($K1563="","",INDEX(Zeiterfassung!$I$6:$I$3665,MATCH(INDEX(Zeiterfassung!$K$6:$K$3665,$K1563),Zeiterfassung!$K$6:$K$3665,0))))</f>
        <v/>
      </c>
      <c r="J1563" s="335">
        <f>IF(B1563=B1562,"",IF($K1563="","",INDEX(Zeiterfassung!$J$6:$J$3665,MATCH(INDEX(Zeiterfassung!$K$6:$K$3665,$K1563),Zeiterfassung!$K$6:$K$3665,0))))</f>
        <v/>
      </c>
      <c r="K1563">
        <f>IFERROR(AGGREGATE(15,6,(ROW(Zeiterfassung!$D$6:$D$3665)-ROW(Zeiterfassung!$D$6)+1)/(Zeiterfassung!$D$6:$D$3665&lt;&gt;""),1558),"")</f>
        <v/>
      </c>
    </row>
    <row r="1564" ht="20" customHeight="1">
      <c r="A1564" s="183">
        <f>IF($K1564="","",WEEKNUM(INDEX(Zeiterfassung!$K$6:$K$3665,$K1564),21))</f>
        <v/>
      </c>
      <c r="B1564" s="184">
        <f>IF($K1564="","",INDEX(Zeiterfassung!$K$6:$K$3665,$K1564))</f>
        <v/>
      </c>
      <c r="C1564" s="185">
        <f>IF($K1564="","",INDEX(Zeiterfassung!$K$6:$K$3665,$K1564))</f>
        <v/>
      </c>
      <c r="D1564" s="186">
        <f>IF($K1564="","",INDEX(Zeiterfassung!$D$6:$D$3665,$K1564))</f>
        <v/>
      </c>
      <c r="E1564" s="186">
        <f>IF($K1564="","",INDEX(Zeiterfassung!$E$6:$E$3665,$K1564))</f>
        <v/>
      </c>
      <c r="F1564" s="187">
        <f>IF($K1564="","",INDEX(Zeiterfassung!$F$6:$F$3665,$K1564))</f>
        <v/>
      </c>
      <c r="G1564" s="187">
        <f>IF($K1564="","",INDEX(Zeiterfassung!$G$6:$G$3665,$K1564))</f>
        <v/>
      </c>
      <c r="H1564" s="188">
        <f>IF($K1564="","",INDEX(Zeiterfassung!$H$6:$H$3665,$K1564))</f>
        <v/>
      </c>
      <c r="I1564" s="335">
        <f>IF(B1564=B1563,"",IF($K1564="","",INDEX(Zeiterfassung!$I$6:$I$3665,MATCH(INDEX(Zeiterfassung!$K$6:$K$3665,$K1564),Zeiterfassung!$K$6:$K$3665,0))))</f>
        <v/>
      </c>
      <c r="J1564" s="335">
        <f>IF(B1564=B1563,"",IF($K1564="","",INDEX(Zeiterfassung!$J$6:$J$3665,MATCH(INDEX(Zeiterfassung!$K$6:$K$3665,$K1564),Zeiterfassung!$K$6:$K$3665,0))))</f>
        <v/>
      </c>
      <c r="K1564">
        <f>IFERROR(AGGREGATE(15,6,(ROW(Zeiterfassung!$D$6:$D$3665)-ROW(Zeiterfassung!$D$6)+1)/(Zeiterfassung!$D$6:$D$3665&lt;&gt;""),1559),"")</f>
        <v/>
      </c>
    </row>
    <row r="1565" ht="20" customHeight="1">
      <c r="A1565" s="183">
        <f>IF($K1565="","",WEEKNUM(INDEX(Zeiterfassung!$K$6:$K$3665,$K1565),21))</f>
        <v/>
      </c>
      <c r="B1565" s="184">
        <f>IF($K1565="","",INDEX(Zeiterfassung!$K$6:$K$3665,$K1565))</f>
        <v/>
      </c>
      <c r="C1565" s="185">
        <f>IF($K1565="","",INDEX(Zeiterfassung!$K$6:$K$3665,$K1565))</f>
        <v/>
      </c>
      <c r="D1565" s="186">
        <f>IF($K1565="","",INDEX(Zeiterfassung!$D$6:$D$3665,$K1565))</f>
        <v/>
      </c>
      <c r="E1565" s="186">
        <f>IF($K1565="","",INDEX(Zeiterfassung!$E$6:$E$3665,$K1565))</f>
        <v/>
      </c>
      <c r="F1565" s="187">
        <f>IF($K1565="","",INDEX(Zeiterfassung!$F$6:$F$3665,$K1565))</f>
        <v/>
      </c>
      <c r="G1565" s="187">
        <f>IF($K1565="","",INDEX(Zeiterfassung!$G$6:$G$3665,$K1565))</f>
        <v/>
      </c>
      <c r="H1565" s="188">
        <f>IF($K1565="","",INDEX(Zeiterfassung!$H$6:$H$3665,$K1565))</f>
        <v/>
      </c>
      <c r="I1565" s="335">
        <f>IF(B1565=B1564,"",IF($K1565="","",INDEX(Zeiterfassung!$I$6:$I$3665,MATCH(INDEX(Zeiterfassung!$K$6:$K$3665,$K1565),Zeiterfassung!$K$6:$K$3665,0))))</f>
        <v/>
      </c>
      <c r="J1565" s="335">
        <f>IF(B1565=B1564,"",IF($K1565="","",INDEX(Zeiterfassung!$J$6:$J$3665,MATCH(INDEX(Zeiterfassung!$K$6:$K$3665,$K1565),Zeiterfassung!$K$6:$K$3665,0))))</f>
        <v/>
      </c>
      <c r="K1565">
        <f>IFERROR(AGGREGATE(15,6,(ROW(Zeiterfassung!$D$6:$D$3665)-ROW(Zeiterfassung!$D$6)+1)/(Zeiterfassung!$D$6:$D$3665&lt;&gt;""),1560),"")</f>
        <v/>
      </c>
    </row>
    <row r="1566" ht="20" customHeight="1">
      <c r="A1566" s="183">
        <f>IF($K1566="","",WEEKNUM(INDEX(Zeiterfassung!$K$6:$K$3665,$K1566),21))</f>
        <v/>
      </c>
      <c r="B1566" s="184">
        <f>IF($K1566="","",INDEX(Zeiterfassung!$K$6:$K$3665,$K1566))</f>
        <v/>
      </c>
      <c r="C1566" s="185">
        <f>IF($K1566="","",INDEX(Zeiterfassung!$K$6:$K$3665,$K1566))</f>
        <v/>
      </c>
      <c r="D1566" s="186">
        <f>IF($K1566="","",INDEX(Zeiterfassung!$D$6:$D$3665,$K1566))</f>
        <v/>
      </c>
      <c r="E1566" s="186">
        <f>IF($K1566="","",INDEX(Zeiterfassung!$E$6:$E$3665,$K1566))</f>
        <v/>
      </c>
      <c r="F1566" s="187">
        <f>IF($K1566="","",INDEX(Zeiterfassung!$F$6:$F$3665,$K1566))</f>
        <v/>
      </c>
      <c r="G1566" s="187">
        <f>IF($K1566="","",INDEX(Zeiterfassung!$G$6:$G$3665,$K1566))</f>
        <v/>
      </c>
      <c r="H1566" s="188">
        <f>IF($K1566="","",INDEX(Zeiterfassung!$H$6:$H$3665,$K1566))</f>
        <v/>
      </c>
      <c r="I1566" s="335">
        <f>IF(B1566=B1565,"",IF($K1566="","",INDEX(Zeiterfassung!$I$6:$I$3665,MATCH(INDEX(Zeiterfassung!$K$6:$K$3665,$K1566),Zeiterfassung!$K$6:$K$3665,0))))</f>
        <v/>
      </c>
      <c r="J1566" s="335">
        <f>IF(B1566=B1565,"",IF($K1566="","",INDEX(Zeiterfassung!$J$6:$J$3665,MATCH(INDEX(Zeiterfassung!$K$6:$K$3665,$K1566),Zeiterfassung!$K$6:$K$3665,0))))</f>
        <v/>
      </c>
      <c r="K1566">
        <f>IFERROR(AGGREGATE(15,6,(ROW(Zeiterfassung!$D$6:$D$3665)-ROW(Zeiterfassung!$D$6)+1)/(Zeiterfassung!$D$6:$D$3665&lt;&gt;""),1561),"")</f>
        <v/>
      </c>
    </row>
    <row r="1567" ht="20" customHeight="1">
      <c r="A1567" s="183">
        <f>IF($K1567="","",WEEKNUM(INDEX(Zeiterfassung!$K$6:$K$3665,$K1567),21))</f>
        <v/>
      </c>
      <c r="B1567" s="184">
        <f>IF($K1567="","",INDEX(Zeiterfassung!$K$6:$K$3665,$K1567))</f>
        <v/>
      </c>
      <c r="C1567" s="185">
        <f>IF($K1567="","",INDEX(Zeiterfassung!$K$6:$K$3665,$K1567))</f>
        <v/>
      </c>
      <c r="D1567" s="186">
        <f>IF($K1567="","",INDEX(Zeiterfassung!$D$6:$D$3665,$K1567))</f>
        <v/>
      </c>
      <c r="E1567" s="186">
        <f>IF($K1567="","",INDEX(Zeiterfassung!$E$6:$E$3665,$K1567))</f>
        <v/>
      </c>
      <c r="F1567" s="187">
        <f>IF($K1567="","",INDEX(Zeiterfassung!$F$6:$F$3665,$K1567))</f>
        <v/>
      </c>
      <c r="G1567" s="187">
        <f>IF($K1567="","",INDEX(Zeiterfassung!$G$6:$G$3665,$K1567))</f>
        <v/>
      </c>
      <c r="H1567" s="188">
        <f>IF($K1567="","",INDEX(Zeiterfassung!$H$6:$H$3665,$K1567))</f>
        <v/>
      </c>
      <c r="I1567" s="335">
        <f>IF(B1567=B1566,"",IF($K1567="","",INDEX(Zeiterfassung!$I$6:$I$3665,MATCH(INDEX(Zeiterfassung!$K$6:$K$3665,$K1567),Zeiterfassung!$K$6:$K$3665,0))))</f>
        <v/>
      </c>
      <c r="J1567" s="335">
        <f>IF(B1567=B1566,"",IF($K1567="","",INDEX(Zeiterfassung!$J$6:$J$3665,MATCH(INDEX(Zeiterfassung!$K$6:$K$3665,$K1567),Zeiterfassung!$K$6:$K$3665,0))))</f>
        <v/>
      </c>
      <c r="K1567">
        <f>IFERROR(AGGREGATE(15,6,(ROW(Zeiterfassung!$D$6:$D$3665)-ROW(Zeiterfassung!$D$6)+1)/(Zeiterfassung!$D$6:$D$3665&lt;&gt;""),1562),"")</f>
        <v/>
      </c>
    </row>
    <row r="1568" ht="20" customHeight="1">
      <c r="A1568" s="183">
        <f>IF($K1568="","",WEEKNUM(INDEX(Zeiterfassung!$K$6:$K$3665,$K1568),21))</f>
        <v/>
      </c>
      <c r="B1568" s="184">
        <f>IF($K1568="","",INDEX(Zeiterfassung!$K$6:$K$3665,$K1568))</f>
        <v/>
      </c>
      <c r="C1568" s="185">
        <f>IF($K1568="","",INDEX(Zeiterfassung!$K$6:$K$3665,$K1568))</f>
        <v/>
      </c>
      <c r="D1568" s="186">
        <f>IF($K1568="","",INDEX(Zeiterfassung!$D$6:$D$3665,$K1568))</f>
        <v/>
      </c>
      <c r="E1568" s="186">
        <f>IF($K1568="","",INDEX(Zeiterfassung!$E$6:$E$3665,$K1568))</f>
        <v/>
      </c>
      <c r="F1568" s="187">
        <f>IF($K1568="","",INDEX(Zeiterfassung!$F$6:$F$3665,$K1568))</f>
        <v/>
      </c>
      <c r="G1568" s="187">
        <f>IF($K1568="","",INDEX(Zeiterfassung!$G$6:$G$3665,$K1568))</f>
        <v/>
      </c>
      <c r="H1568" s="188">
        <f>IF($K1568="","",INDEX(Zeiterfassung!$H$6:$H$3665,$K1568))</f>
        <v/>
      </c>
      <c r="I1568" s="335">
        <f>IF(B1568=B1567,"",IF($K1568="","",INDEX(Zeiterfassung!$I$6:$I$3665,MATCH(INDEX(Zeiterfassung!$K$6:$K$3665,$K1568),Zeiterfassung!$K$6:$K$3665,0))))</f>
        <v/>
      </c>
      <c r="J1568" s="335">
        <f>IF(B1568=B1567,"",IF($K1568="","",INDEX(Zeiterfassung!$J$6:$J$3665,MATCH(INDEX(Zeiterfassung!$K$6:$K$3665,$K1568),Zeiterfassung!$K$6:$K$3665,0))))</f>
        <v/>
      </c>
      <c r="K1568">
        <f>IFERROR(AGGREGATE(15,6,(ROW(Zeiterfassung!$D$6:$D$3665)-ROW(Zeiterfassung!$D$6)+1)/(Zeiterfassung!$D$6:$D$3665&lt;&gt;""),1563),"")</f>
        <v/>
      </c>
    </row>
    <row r="1569" ht="20" customHeight="1">
      <c r="A1569" s="183">
        <f>IF($K1569="","",WEEKNUM(INDEX(Zeiterfassung!$K$6:$K$3665,$K1569),21))</f>
        <v/>
      </c>
      <c r="B1569" s="184">
        <f>IF($K1569="","",INDEX(Zeiterfassung!$K$6:$K$3665,$K1569))</f>
        <v/>
      </c>
      <c r="C1569" s="185">
        <f>IF($K1569="","",INDEX(Zeiterfassung!$K$6:$K$3665,$K1569))</f>
        <v/>
      </c>
      <c r="D1569" s="186">
        <f>IF($K1569="","",INDEX(Zeiterfassung!$D$6:$D$3665,$K1569))</f>
        <v/>
      </c>
      <c r="E1569" s="186">
        <f>IF($K1569="","",INDEX(Zeiterfassung!$E$6:$E$3665,$K1569))</f>
        <v/>
      </c>
      <c r="F1569" s="187">
        <f>IF($K1569="","",INDEX(Zeiterfassung!$F$6:$F$3665,$K1569))</f>
        <v/>
      </c>
      <c r="G1569" s="187">
        <f>IF($K1569="","",INDEX(Zeiterfassung!$G$6:$G$3665,$K1569))</f>
        <v/>
      </c>
      <c r="H1569" s="188">
        <f>IF($K1569="","",INDEX(Zeiterfassung!$H$6:$H$3665,$K1569))</f>
        <v/>
      </c>
      <c r="I1569" s="335">
        <f>IF(B1569=B1568,"",IF($K1569="","",INDEX(Zeiterfassung!$I$6:$I$3665,MATCH(INDEX(Zeiterfassung!$K$6:$K$3665,$K1569),Zeiterfassung!$K$6:$K$3665,0))))</f>
        <v/>
      </c>
      <c r="J1569" s="335">
        <f>IF(B1569=B1568,"",IF($K1569="","",INDEX(Zeiterfassung!$J$6:$J$3665,MATCH(INDEX(Zeiterfassung!$K$6:$K$3665,$K1569),Zeiterfassung!$K$6:$K$3665,0))))</f>
        <v/>
      </c>
      <c r="K1569">
        <f>IFERROR(AGGREGATE(15,6,(ROW(Zeiterfassung!$D$6:$D$3665)-ROW(Zeiterfassung!$D$6)+1)/(Zeiterfassung!$D$6:$D$3665&lt;&gt;""),1564),"")</f>
        <v/>
      </c>
    </row>
    <row r="1570" ht="20" customHeight="1">
      <c r="A1570" s="183">
        <f>IF($K1570="","",WEEKNUM(INDEX(Zeiterfassung!$K$6:$K$3665,$K1570),21))</f>
        <v/>
      </c>
      <c r="B1570" s="184">
        <f>IF($K1570="","",INDEX(Zeiterfassung!$K$6:$K$3665,$K1570))</f>
        <v/>
      </c>
      <c r="C1570" s="185">
        <f>IF($K1570="","",INDEX(Zeiterfassung!$K$6:$K$3665,$K1570))</f>
        <v/>
      </c>
      <c r="D1570" s="186">
        <f>IF($K1570="","",INDEX(Zeiterfassung!$D$6:$D$3665,$K1570))</f>
        <v/>
      </c>
      <c r="E1570" s="186">
        <f>IF($K1570="","",INDEX(Zeiterfassung!$E$6:$E$3665,$K1570))</f>
        <v/>
      </c>
      <c r="F1570" s="187">
        <f>IF($K1570="","",INDEX(Zeiterfassung!$F$6:$F$3665,$K1570))</f>
        <v/>
      </c>
      <c r="G1570" s="187">
        <f>IF($K1570="","",INDEX(Zeiterfassung!$G$6:$G$3665,$K1570))</f>
        <v/>
      </c>
      <c r="H1570" s="188">
        <f>IF($K1570="","",INDEX(Zeiterfassung!$H$6:$H$3665,$K1570))</f>
        <v/>
      </c>
      <c r="I1570" s="335">
        <f>IF(B1570=B1569,"",IF($K1570="","",INDEX(Zeiterfassung!$I$6:$I$3665,MATCH(INDEX(Zeiterfassung!$K$6:$K$3665,$K1570),Zeiterfassung!$K$6:$K$3665,0))))</f>
        <v/>
      </c>
      <c r="J1570" s="335">
        <f>IF(B1570=B1569,"",IF($K1570="","",INDEX(Zeiterfassung!$J$6:$J$3665,MATCH(INDEX(Zeiterfassung!$K$6:$K$3665,$K1570),Zeiterfassung!$K$6:$K$3665,0))))</f>
        <v/>
      </c>
      <c r="K1570">
        <f>IFERROR(AGGREGATE(15,6,(ROW(Zeiterfassung!$D$6:$D$3665)-ROW(Zeiterfassung!$D$6)+1)/(Zeiterfassung!$D$6:$D$3665&lt;&gt;""),1565),"")</f>
        <v/>
      </c>
    </row>
    <row r="1571" ht="20" customHeight="1">
      <c r="A1571" s="183">
        <f>IF($K1571="","",WEEKNUM(INDEX(Zeiterfassung!$K$6:$K$3665,$K1571),21))</f>
        <v/>
      </c>
      <c r="B1571" s="184">
        <f>IF($K1571="","",INDEX(Zeiterfassung!$K$6:$K$3665,$K1571))</f>
        <v/>
      </c>
      <c r="C1571" s="185">
        <f>IF($K1571="","",INDEX(Zeiterfassung!$K$6:$K$3665,$K1571))</f>
        <v/>
      </c>
      <c r="D1571" s="186">
        <f>IF($K1571="","",INDEX(Zeiterfassung!$D$6:$D$3665,$K1571))</f>
        <v/>
      </c>
      <c r="E1571" s="186">
        <f>IF($K1571="","",INDEX(Zeiterfassung!$E$6:$E$3665,$K1571))</f>
        <v/>
      </c>
      <c r="F1571" s="187">
        <f>IF($K1571="","",INDEX(Zeiterfassung!$F$6:$F$3665,$K1571))</f>
        <v/>
      </c>
      <c r="G1571" s="187">
        <f>IF($K1571="","",INDEX(Zeiterfassung!$G$6:$G$3665,$K1571))</f>
        <v/>
      </c>
      <c r="H1571" s="188">
        <f>IF($K1571="","",INDEX(Zeiterfassung!$H$6:$H$3665,$K1571))</f>
        <v/>
      </c>
      <c r="I1571" s="335">
        <f>IF(B1571=B1570,"",IF($K1571="","",INDEX(Zeiterfassung!$I$6:$I$3665,MATCH(INDEX(Zeiterfassung!$K$6:$K$3665,$K1571),Zeiterfassung!$K$6:$K$3665,0))))</f>
        <v/>
      </c>
      <c r="J1571" s="335">
        <f>IF(B1571=B1570,"",IF($K1571="","",INDEX(Zeiterfassung!$J$6:$J$3665,MATCH(INDEX(Zeiterfassung!$K$6:$K$3665,$K1571),Zeiterfassung!$K$6:$K$3665,0))))</f>
        <v/>
      </c>
      <c r="K1571">
        <f>IFERROR(AGGREGATE(15,6,(ROW(Zeiterfassung!$D$6:$D$3665)-ROW(Zeiterfassung!$D$6)+1)/(Zeiterfassung!$D$6:$D$3665&lt;&gt;""),1566),"")</f>
        <v/>
      </c>
    </row>
    <row r="1572" ht="20" customHeight="1">
      <c r="A1572" s="183">
        <f>IF($K1572="","",WEEKNUM(INDEX(Zeiterfassung!$K$6:$K$3665,$K1572),21))</f>
        <v/>
      </c>
      <c r="B1572" s="184">
        <f>IF($K1572="","",INDEX(Zeiterfassung!$K$6:$K$3665,$K1572))</f>
        <v/>
      </c>
      <c r="C1572" s="185">
        <f>IF($K1572="","",INDEX(Zeiterfassung!$K$6:$K$3665,$K1572))</f>
        <v/>
      </c>
      <c r="D1572" s="186">
        <f>IF($K1572="","",INDEX(Zeiterfassung!$D$6:$D$3665,$K1572))</f>
        <v/>
      </c>
      <c r="E1572" s="186">
        <f>IF($K1572="","",INDEX(Zeiterfassung!$E$6:$E$3665,$K1572))</f>
        <v/>
      </c>
      <c r="F1572" s="187">
        <f>IF($K1572="","",INDEX(Zeiterfassung!$F$6:$F$3665,$K1572))</f>
        <v/>
      </c>
      <c r="G1572" s="187">
        <f>IF($K1572="","",INDEX(Zeiterfassung!$G$6:$G$3665,$K1572))</f>
        <v/>
      </c>
      <c r="H1572" s="188">
        <f>IF($K1572="","",INDEX(Zeiterfassung!$H$6:$H$3665,$K1572))</f>
        <v/>
      </c>
      <c r="I1572" s="335">
        <f>IF(B1572=B1571,"",IF($K1572="","",INDEX(Zeiterfassung!$I$6:$I$3665,MATCH(INDEX(Zeiterfassung!$K$6:$K$3665,$K1572),Zeiterfassung!$K$6:$K$3665,0))))</f>
        <v/>
      </c>
      <c r="J1572" s="335">
        <f>IF(B1572=B1571,"",IF($K1572="","",INDEX(Zeiterfassung!$J$6:$J$3665,MATCH(INDEX(Zeiterfassung!$K$6:$K$3665,$K1572),Zeiterfassung!$K$6:$K$3665,0))))</f>
        <v/>
      </c>
      <c r="K1572">
        <f>IFERROR(AGGREGATE(15,6,(ROW(Zeiterfassung!$D$6:$D$3665)-ROW(Zeiterfassung!$D$6)+1)/(Zeiterfassung!$D$6:$D$3665&lt;&gt;""),1567),"")</f>
        <v/>
      </c>
    </row>
    <row r="1573" ht="20" customHeight="1">
      <c r="A1573" s="183">
        <f>IF($K1573="","",WEEKNUM(INDEX(Zeiterfassung!$K$6:$K$3665,$K1573),21))</f>
        <v/>
      </c>
      <c r="B1573" s="184">
        <f>IF($K1573="","",INDEX(Zeiterfassung!$K$6:$K$3665,$K1573))</f>
        <v/>
      </c>
      <c r="C1573" s="185">
        <f>IF($K1573="","",INDEX(Zeiterfassung!$K$6:$K$3665,$K1573))</f>
        <v/>
      </c>
      <c r="D1573" s="186">
        <f>IF($K1573="","",INDEX(Zeiterfassung!$D$6:$D$3665,$K1573))</f>
        <v/>
      </c>
      <c r="E1573" s="186">
        <f>IF($K1573="","",INDEX(Zeiterfassung!$E$6:$E$3665,$K1573))</f>
        <v/>
      </c>
      <c r="F1573" s="187">
        <f>IF($K1573="","",INDEX(Zeiterfassung!$F$6:$F$3665,$K1573))</f>
        <v/>
      </c>
      <c r="G1573" s="187">
        <f>IF($K1573="","",INDEX(Zeiterfassung!$G$6:$G$3665,$K1573))</f>
        <v/>
      </c>
      <c r="H1573" s="188">
        <f>IF($K1573="","",INDEX(Zeiterfassung!$H$6:$H$3665,$K1573))</f>
        <v/>
      </c>
      <c r="I1573" s="335">
        <f>IF(B1573=B1572,"",IF($K1573="","",INDEX(Zeiterfassung!$I$6:$I$3665,MATCH(INDEX(Zeiterfassung!$K$6:$K$3665,$K1573),Zeiterfassung!$K$6:$K$3665,0))))</f>
        <v/>
      </c>
      <c r="J1573" s="335">
        <f>IF(B1573=B1572,"",IF($K1573="","",INDEX(Zeiterfassung!$J$6:$J$3665,MATCH(INDEX(Zeiterfassung!$K$6:$K$3665,$K1573),Zeiterfassung!$K$6:$K$3665,0))))</f>
        <v/>
      </c>
      <c r="K1573">
        <f>IFERROR(AGGREGATE(15,6,(ROW(Zeiterfassung!$D$6:$D$3665)-ROW(Zeiterfassung!$D$6)+1)/(Zeiterfassung!$D$6:$D$3665&lt;&gt;""),1568),"")</f>
        <v/>
      </c>
    </row>
    <row r="1574" ht="20" customHeight="1">
      <c r="A1574" s="183">
        <f>IF($K1574="","",WEEKNUM(INDEX(Zeiterfassung!$K$6:$K$3665,$K1574),21))</f>
        <v/>
      </c>
      <c r="B1574" s="184">
        <f>IF($K1574="","",INDEX(Zeiterfassung!$K$6:$K$3665,$K1574))</f>
        <v/>
      </c>
      <c r="C1574" s="185">
        <f>IF($K1574="","",INDEX(Zeiterfassung!$K$6:$K$3665,$K1574))</f>
        <v/>
      </c>
      <c r="D1574" s="186">
        <f>IF($K1574="","",INDEX(Zeiterfassung!$D$6:$D$3665,$K1574))</f>
        <v/>
      </c>
      <c r="E1574" s="186">
        <f>IF($K1574="","",INDEX(Zeiterfassung!$E$6:$E$3665,$K1574))</f>
        <v/>
      </c>
      <c r="F1574" s="187">
        <f>IF($K1574="","",INDEX(Zeiterfassung!$F$6:$F$3665,$K1574))</f>
        <v/>
      </c>
      <c r="G1574" s="187">
        <f>IF($K1574="","",INDEX(Zeiterfassung!$G$6:$G$3665,$K1574))</f>
        <v/>
      </c>
      <c r="H1574" s="188">
        <f>IF($K1574="","",INDEX(Zeiterfassung!$H$6:$H$3665,$K1574))</f>
        <v/>
      </c>
      <c r="I1574" s="335">
        <f>IF(B1574=B1573,"",IF($K1574="","",INDEX(Zeiterfassung!$I$6:$I$3665,MATCH(INDEX(Zeiterfassung!$K$6:$K$3665,$K1574),Zeiterfassung!$K$6:$K$3665,0))))</f>
        <v/>
      </c>
      <c r="J1574" s="335">
        <f>IF(B1574=B1573,"",IF($K1574="","",INDEX(Zeiterfassung!$J$6:$J$3665,MATCH(INDEX(Zeiterfassung!$K$6:$K$3665,$K1574),Zeiterfassung!$K$6:$K$3665,0))))</f>
        <v/>
      </c>
      <c r="K1574">
        <f>IFERROR(AGGREGATE(15,6,(ROW(Zeiterfassung!$D$6:$D$3665)-ROW(Zeiterfassung!$D$6)+1)/(Zeiterfassung!$D$6:$D$3665&lt;&gt;""),1569),"")</f>
        <v/>
      </c>
    </row>
    <row r="1575" ht="20" customHeight="1">
      <c r="A1575" s="183">
        <f>IF($K1575="","",WEEKNUM(INDEX(Zeiterfassung!$K$6:$K$3665,$K1575),21))</f>
        <v/>
      </c>
      <c r="B1575" s="184">
        <f>IF($K1575="","",INDEX(Zeiterfassung!$K$6:$K$3665,$K1575))</f>
        <v/>
      </c>
      <c r="C1575" s="185">
        <f>IF($K1575="","",INDEX(Zeiterfassung!$K$6:$K$3665,$K1575))</f>
        <v/>
      </c>
      <c r="D1575" s="186">
        <f>IF($K1575="","",INDEX(Zeiterfassung!$D$6:$D$3665,$K1575))</f>
        <v/>
      </c>
      <c r="E1575" s="186">
        <f>IF($K1575="","",INDEX(Zeiterfassung!$E$6:$E$3665,$K1575))</f>
        <v/>
      </c>
      <c r="F1575" s="187">
        <f>IF($K1575="","",INDEX(Zeiterfassung!$F$6:$F$3665,$K1575))</f>
        <v/>
      </c>
      <c r="G1575" s="187">
        <f>IF($K1575="","",INDEX(Zeiterfassung!$G$6:$G$3665,$K1575))</f>
        <v/>
      </c>
      <c r="H1575" s="188">
        <f>IF($K1575="","",INDEX(Zeiterfassung!$H$6:$H$3665,$K1575))</f>
        <v/>
      </c>
      <c r="I1575" s="335">
        <f>IF(B1575=B1574,"",IF($K1575="","",INDEX(Zeiterfassung!$I$6:$I$3665,MATCH(INDEX(Zeiterfassung!$K$6:$K$3665,$K1575),Zeiterfassung!$K$6:$K$3665,0))))</f>
        <v/>
      </c>
      <c r="J1575" s="335">
        <f>IF(B1575=B1574,"",IF($K1575="","",INDEX(Zeiterfassung!$J$6:$J$3665,MATCH(INDEX(Zeiterfassung!$K$6:$K$3665,$K1575),Zeiterfassung!$K$6:$K$3665,0))))</f>
        <v/>
      </c>
      <c r="K1575">
        <f>IFERROR(AGGREGATE(15,6,(ROW(Zeiterfassung!$D$6:$D$3665)-ROW(Zeiterfassung!$D$6)+1)/(Zeiterfassung!$D$6:$D$3665&lt;&gt;""),1570),"")</f>
        <v/>
      </c>
    </row>
    <row r="1576" ht="20" customHeight="1">
      <c r="A1576" s="183">
        <f>IF($K1576="","",WEEKNUM(INDEX(Zeiterfassung!$K$6:$K$3665,$K1576),21))</f>
        <v/>
      </c>
      <c r="B1576" s="184">
        <f>IF($K1576="","",INDEX(Zeiterfassung!$K$6:$K$3665,$K1576))</f>
        <v/>
      </c>
      <c r="C1576" s="185">
        <f>IF($K1576="","",INDEX(Zeiterfassung!$K$6:$K$3665,$K1576))</f>
        <v/>
      </c>
      <c r="D1576" s="186">
        <f>IF($K1576="","",INDEX(Zeiterfassung!$D$6:$D$3665,$K1576))</f>
        <v/>
      </c>
      <c r="E1576" s="186">
        <f>IF($K1576="","",INDEX(Zeiterfassung!$E$6:$E$3665,$K1576))</f>
        <v/>
      </c>
      <c r="F1576" s="187">
        <f>IF($K1576="","",INDEX(Zeiterfassung!$F$6:$F$3665,$K1576))</f>
        <v/>
      </c>
      <c r="G1576" s="187">
        <f>IF($K1576="","",INDEX(Zeiterfassung!$G$6:$G$3665,$K1576))</f>
        <v/>
      </c>
      <c r="H1576" s="188">
        <f>IF($K1576="","",INDEX(Zeiterfassung!$H$6:$H$3665,$K1576))</f>
        <v/>
      </c>
      <c r="I1576" s="335">
        <f>IF(B1576=B1575,"",IF($K1576="","",INDEX(Zeiterfassung!$I$6:$I$3665,MATCH(INDEX(Zeiterfassung!$K$6:$K$3665,$K1576),Zeiterfassung!$K$6:$K$3665,0))))</f>
        <v/>
      </c>
      <c r="J1576" s="335">
        <f>IF(B1576=B1575,"",IF($K1576="","",INDEX(Zeiterfassung!$J$6:$J$3665,MATCH(INDEX(Zeiterfassung!$K$6:$K$3665,$K1576),Zeiterfassung!$K$6:$K$3665,0))))</f>
        <v/>
      </c>
      <c r="K1576">
        <f>IFERROR(AGGREGATE(15,6,(ROW(Zeiterfassung!$D$6:$D$3665)-ROW(Zeiterfassung!$D$6)+1)/(Zeiterfassung!$D$6:$D$3665&lt;&gt;""),1571),"")</f>
        <v/>
      </c>
    </row>
    <row r="1577" ht="20" customHeight="1">
      <c r="A1577" s="183">
        <f>IF($K1577="","",WEEKNUM(INDEX(Zeiterfassung!$K$6:$K$3665,$K1577),21))</f>
        <v/>
      </c>
      <c r="B1577" s="184">
        <f>IF($K1577="","",INDEX(Zeiterfassung!$K$6:$K$3665,$K1577))</f>
        <v/>
      </c>
      <c r="C1577" s="185">
        <f>IF($K1577="","",INDEX(Zeiterfassung!$K$6:$K$3665,$K1577))</f>
        <v/>
      </c>
      <c r="D1577" s="186">
        <f>IF($K1577="","",INDEX(Zeiterfassung!$D$6:$D$3665,$K1577))</f>
        <v/>
      </c>
      <c r="E1577" s="186">
        <f>IF($K1577="","",INDEX(Zeiterfassung!$E$6:$E$3665,$K1577))</f>
        <v/>
      </c>
      <c r="F1577" s="187">
        <f>IF($K1577="","",INDEX(Zeiterfassung!$F$6:$F$3665,$K1577))</f>
        <v/>
      </c>
      <c r="G1577" s="187">
        <f>IF($K1577="","",INDEX(Zeiterfassung!$G$6:$G$3665,$K1577))</f>
        <v/>
      </c>
      <c r="H1577" s="188">
        <f>IF($K1577="","",INDEX(Zeiterfassung!$H$6:$H$3665,$K1577))</f>
        <v/>
      </c>
      <c r="I1577" s="335">
        <f>IF(B1577=B1576,"",IF($K1577="","",INDEX(Zeiterfassung!$I$6:$I$3665,MATCH(INDEX(Zeiterfassung!$K$6:$K$3665,$K1577),Zeiterfassung!$K$6:$K$3665,0))))</f>
        <v/>
      </c>
      <c r="J1577" s="335">
        <f>IF(B1577=B1576,"",IF($K1577="","",INDEX(Zeiterfassung!$J$6:$J$3665,MATCH(INDEX(Zeiterfassung!$K$6:$K$3665,$K1577),Zeiterfassung!$K$6:$K$3665,0))))</f>
        <v/>
      </c>
      <c r="K1577">
        <f>IFERROR(AGGREGATE(15,6,(ROW(Zeiterfassung!$D$6:$D$3665)-ROW(Zeiterfassung!$D$6)+1)/(Zeiterfassung!$D$6:$D$3665&lt;&gt;""),1572),"")</f>
        <v/>
      </c>
    </row>
    <row r="1578" ht="20" customHeight="1">
      <c r="A1578" s="183">
        <f>IF($K1578="","",WEEKNUM(INDEX(Zeiterfassung!$K$6:$K$3665,$K1578),21))</f>
        <v/>
      </c>
      <c r="B1578" s="184">
        <f>IF($K1578="","",INDEX(Zeiterfassung!$K$6:$K$3665,$K1578))</f>
        <v/>
      </c>
      <c r="C1578" s="185">
        <f>IF($K1578="","",INDEX(Zeiterfassung!$K$6:$K$3665,$K1578))</f>
        <v/>
      </c>
      <c r="D1578" s="186">
        <f>IF($K1578="","",INDEX(Zeiterfassung!$D$6:$D$3665,$K1578))</f>
        <v/>
      </c>
      <c r="E1578" s="186">
        <f>IF($K1578="","",INDEX(Zeiterfassung!$E$6:$E$3665,$K1578))</f>
        <v/>
      </c>
      <c r="F1578" s="187">
        <f>IF($K1578="","",INDEX(Zeiterfassung!$F$6:$F$3665,$K1578))</f>
        <v/>
      </c>
      <c r="G1578" s="187">
        <f>IF($K1578="","",INDEX(Zeiterfassung!$G$6:$G$3665,$K1578))</f>
        <v/>
      </c>
      <c r="H1578" s="188">
        <f>IF($K1578="","",INDEX(Zeiterfassung!$H$6:$H$3665,$K1578))</f>
        <v/>
      </c>
      <c r="I1578" s="335">
        <f>IF(B1578=B1577,"",IF($K1578="","",INDEX(Zeiterfassung!$I$6:$I$3665,MATCH(INDEX(Zeiterfassung!$K$6:$K$3665,$K1578),Zeiterfassung!$K$6:$K$3665,0))))</f>
        <v/>
      </c>
      <c r="J1578" s="335">
        <f>IF(B1578=B1577,"",IF($K1578="","",INDEX(Zeiterfassung!$J$6:$J$3665,MATCH(INDEX(Zeiterfassung!$K$6:$K$3665,$K1578),Zeiterfassung!$K$6:$K$3665,0))))</f>
        <v/>
      </c>
      <c r="K1578">
        <f>IFERROR(AGGREGATE(15,6,(ROW(Zeiterfassung!$D$6:$D$3665)-ROW(Zeiterfassung!$D$6)+1)/(Zeiterfassung!$D$6:$D$3665&lt;&gt;""),1573),"")</f>
        <v/>
      </c>
    </row>
    <row r="1579" ht="20" customHeight="1">
      <c r="A1579" s="183">
        <f>IF($K1579="","",WEEKNUM(INDEX(Zeiterfassung!$K$6:$K$3665,$K1579),21))</f>
        <v/>
      </c>
      <c r="B1579" s="184">
        <f>IF($K1579="","",INDEX(Zeiterfassung!$K$6:$K$3665,$K1579))</f>
        <v/>
      </c>
      <c r="C1579" s="185">
        <f>IF($K1579="","",INDEX(Zeiterfassung!$K$6:$K$3665,$K1579))</f>
        <v/>
      </c>
      <c r="D1579" s="186">
        <f>IF($K1579="","",INDEX(Zeiterfassung!$D$6:$D$3665,$K1579))</f>
        <v/>
      </c>
      <c r="E1579" s="186">
        <f>IF($K1579="","",INDEX(Zeiterfassung!$E$6:$E$3665,$K1579))</f>
        <v/>
      </c>
      <c r="F1579" s="187">
        <f>IF($K1579="","",INDEX(Zeiterfassung!$F$6:$F$3665,$K1579))</f>
        <v/>
      </c>
      <c r="G1579" s="187">
        <f>IF($K1579="","",INDEX(Zeiterfassung!$G$6:$G$3665,$K1579))</f>
        <v/>
      </c>
      <c r="H1579" s="188">
        <f>IF($K1579="","",INDEX(Zeiterfassung!$H$6:$H$3665,$K1579))</f>
        <v/>
      </c>
      <c r="I1579" s="335">
        <f>IF(B1579=B1578,"",IF($K1579="","",INDEX(Zeiterfassung!$I$6:$I$3665,MATCH(INDEX(Zeiterfassung!$K$6:$K$3665,$K1579),Zeiterfassung!$K$6:$K$3665,0))))</f>
        <v/>
      </c>
      <c r="J1579" s="335">
        <f>IF(B1579=B1578,"",IF($K1579="","",INDEX(Zeiterfassung!$J$6:$J$3665,MATCH(INDEX(Zeiterfassung!$K$6:$K$3665,$K1579),Zeiterfassung!$K$6:$K$3665,0))))</f>
        <v/>
      </c>
      <c r="K1579">
        <f>IFERROR(AGGREGATE(15,6,(ROW(Zeiterfassung!$D$6:$D$3665)-ROW(Zeiterfassung!$D$6)+1)/(Zeiterfassung!$D$6:$D$3665&lt;&gt;""),1574),"")</f>
        <v/>
      </c>
    </row>
    <row r="1580" ht="20" customHeight="1">
      <c r="A1580" s="183">
        <f>IF($K1580="","",WEEKNUM(INDEX(Zeiterfassung!$K$6:$K$3665,$K1580),21))</f>
        <v/>
      </c>
      <c r="B1580" s="184">
        <f>IF($K1580="","",INDEX(Zeiterfassung!$K$6:$K$3665,$K1580))</f>
        <v/>
      </c>
      <c r="C1580" s="185">
        <f>IF($K1580="","",INDEX(Zeiterfassung!$K$6:$K$3665,$K1580))</f>
        <v/>
      </c>
      <c r="D1580" s="186">
        <f>IF($K1580="","",INDEX(Zeiterfassung!$D$6:$D$3665,$K1580))</f>
        <v/>
      </c>
      <c r="E1580" s="186">
        <f>IF($K1580="","",INDEX(Zeiterfassung!$E$6:$E$3665,$K1580))</f>
        <v/>
      </c>
      <c r="F1580" s="187">
        <f>IF($K1580="","",INDEX(Zeiterfassung!$F$6:$F$3665,$K1580))</f>
        <v/>
      </c>
      <c r="G1580" s="187">
        <f>IF($K1580="","",INDEX(Zeiterfassung!$G$6:$G$3665,$K1580))</f>
        <v/>
      </c>
      <c r="H1580" s="188">
        <f>IF($K1580="","",INDEX(Zeiterfassung!$H$6:$H$3665,$K1580))</f>
        <v/>
      </c>
      <c r="I1580" s="335">
        <f>IF(B1580=B1579,"",IF($K1580="","",INDEX(Zeiterfassung!$I$6:$I$3665,MATCH(INDEX(Zeiterfassung!$K$6:$K$3665,$K1580),Zeiterfassung!$K$6:$K$3665,0))))</f>
        <v/>
      </c>
      <c r="J1580" s="335">
        <f>IF(B1580=B1579,"",IF($K1580="","",INDEX(Zeiterfassung!$J$6:$J$3665,MATCH(INDEX(Zeiterfassung!$K$6:$K$3665,$K1580),Zeiterfassung!$K$6:$K$3665,0))))</f>
        <v/>
      </c>
      <c r="K1580">
        <f>IFERROR(AGGREGATE(15,6,(ROW(Zeiterfassung!$D$6:$D$3665)-ROW(Zeiterfassung!$D$6)+1)/(Zeiterfassung!$D$6:$D$3665&lt;&gt;""),1575),"")</f>
        <v/>
      </c>
    </row>
    <row r="1581" ht="20" customHeight="1">
      <c r="A1581" s="183">
        <f>IF($K1581="","",WEEKNUM(INDEX(Zeiterfassung!$K$6:$K$3665,$K1581),21))</f>
        <v/>
      </c>
      <c r="B1581" s="184">
        <f>IF($K1581="","",INDEX(Zeiterfassung!$K$6:$K$3665,$K1581))</f>
        <v/>
      </c>
      <c r="C1581" s="185">
        <f>IF($K1581="","",INDEX(Zeiterfassung!$K$6:$K$3665,$K1581))</f>
        <v/>
      </c>
      <c r="D1581" s="186">
        <f>IF($K1581="","",INDEX(Zeiterfassung!$D$6:$D$3665,$K1581))</f>
        <v/>
      </c>
      <c r="E1581" s="186">
        <f>IF($K1581="","",INDEX(Zeiterfassung!$E$6:$E$3665,$K1581))</f>
        <v/>
      </c>
      <c r="F1581" s="187">
        <f>IF($K1581="","",INDEX(Zeiterfassung!$F$6:$F$3665,$K1581))</f>
        <v/>
      </c>
      <c r="G1581" s="187">
        <f>IF($K1581="","",INDEX(Zeiterfassung!$G$6:$G$3665,$K1581))</f>
        <v/>
      </c>
      <c r="H1581" s="188">
        <f>IF($K1581="","",INDEX(Zeiterfassung!$H$6:$H$3665,$K1581))</f>
        <v/>
      </c>
      <c r="I1581" s="335">
        <f>IF(B1581=B1580,"",IF($K1581="","",INDEX(Zeiterfassung!$I$6:$I$3665,MATCH(INDEX(Zeiterfassung!$K$6:$K$3665,$K1581),Zeiterfassung!$K$6:$K$3665,0))))</f>
        <v/>
      </c>
      <c r="J1581" s="335">
        <f>IF(B1581=B1580,"",IF($K1581="","",INDEX(Zeiterfassung!$J$6:$J$3665,MATCH(INDEX(Zeiterfassung!$K$6:$K$3665,$K1581),Zeiterfassung!$K$6:$K$3665,0))))</f>
        <v/>
      </c>
      <c r="K1581">
        <f>IFERROR(AGGREGATE(15,6,(ROW(Zeiterfassung!$D$6:$D$3665)-ROW(Zeiterfassung!$D$6)+1)/(Zeiterfassung!$D$6:$D$3665&lt;&gt;""),1576),"")</f>
        <v/>
      </c>
    </row>
    <row r="1582" ht="20" customHeight="1">
      <c r="A1582" s="183">
        <f>IF($K1582="","",WEEKNUM(INDEX(Zeiterfassung!$K$6:$K$3665,$K1582),21))</f>
        <v/>
      </c>
      <c r="B1582" s="184">
        <f>IF($K1582="","",INDEX(Zeiterfassung!$K$6:$K$3665,$K1582))</f>
        <v/>
      </c>
      <c r="C1582" s="185">
        <f>IF($K1582="","",INDEX(Zeiterfassung!$K$6:$K$3665,$K1582))</f>
        <v/>
      </c>
      <c r="D1582" s="186">
        <f>IF($K1582="","",INDEX(Zeiterfassung!$D$6:$D$3665,$K1582))</f>
        <v/>
      </c>
      <c r="E1582" s="186">
        <f>IF($K1582="","",INDEX(Zeiterfassung!$E$6:$E$3665,$K1582))</f>
        <v/>
      </c>
      <c r="F1582" s="187">
        <f>IF($K1582="","",INDEX(Zeiterfassung!$F$6:$F$3665,$K1582))</f>
        <v/>
      </c>
      <c r="G1582" s="187">
        <f>IF($K1582="","",INDEX(Zeiterfassung!$G$6:$G$3665,$K1582))</f>
        <v/>
      </c>
      <c r="H1582" s="188">
        <f>IF($K1582="","",INDEX(Zeiterfassung!$H$6:$H$3665,$K1582))</f>
        <v/>
      </c>
      <c r="I1582" s="335">
        <f>IF(B1582=B1581,"",IF($K1582="","",INDEX(Zeiterfassung!$I$6:$I$3665,MATCH(INDEX(Zeiterfassung!$K$6:$K$3665,$K1582),Zeiterfassung!$K$6:$K$3665,0))))</f>
        <v/>
      </c>
      <c r="J1582" s="335">
        <f>IF(B1582=B1581,"",IF($K1582="","",INDEX(Zeiterfassung!$J$6:$J$3665,MATCH(INDEX(Zeiterfassung!$K$6:$K$3665,$K1582),Zeiterfassung!$K$6:$K$3665,0))))</f>
        <v/>
      </c>
      <c r="K1582">
        <f>IFERROR(AGGREGATE(15,6,(ROW(Zeiterfassung!$D$6:$D$3665)-ROW(Zeiterfassung!$D$6)+1)/(Zeiterfassung!$D$6:$D$3665&lt;&gt;""),1577),"")</f>
        <v/>
      </c>
    </row>
    <row r="1583" ht="20" customHeight="1">
      <c r="A1583" s="183">
        <f>IF($K1583="","",WEEKNUM(INDEX(Zeiterfassung!$K$6:$K$3665,$K1583),21))</f>
        <v/>
      </c>
      <c r="B1583" s="184">
        <f>IF($K1583="","",INDEX(Zeiterfassung!$K$6:$K$3665,$K1583))</f>
        <v/>
      </c>
      <c r="C1583" s="185">
        <f>IF($K1583="","",INDEX(Zeiterfassung!$K$6:$K$3665,$K1583))</f>
        <v/>
      </c>
      <c r="D1583" s="186">
        <f>IF($K1583="","",INDEX(Zeiterfassung!$D$6:$D$3665,$K1583))</f>
        <v/>
      </c>
      <c r="E1583" s="186">
        <f>IF($K1583="","",INDEX(Zeiterfassung!$E$6:$E$3665,$K1583))</f>
        <v/>
      </c>
      <c r="F1583" s="187">
        <f>IF($K1583="","",INDEX(Zeiterfassung!$F$6:$F$3665,$K1583))</f>
        <v/>
      </c>
      <c r="G1583" s="187">
        <f>IF($K1583="","",INDEX(Zeiterfassung!$G$6:$G$3665,$K1583))</f>
        <v/>
      </c>
      <c r="H1583" s="188">
        <f>IF($K1583="","",INDEX(Zeiterfassung!$H$6:$H$3665,$K1583))</f>
        <v/>
      </c>
      <c r="I1583" s="335">
        <f>IF(B1583=B1582,"",IF($K1583="","",INDEX(Zeiterfassung!$I$6:$I$3665,MATCH(INDEX(Zeiterfassung!$K$6:$K$3665,$K1583),Zeiterfassung!$K$6:$K$3665,0))))</f>
        <v/>
      </c>
      <c r="J1583" s="335">
        <f>IF(B1583=B1582,"",IF($K1583="","",INDEX(Zeiterfassung!$J$6:$J$3665,MATCH(INDEX(Zeiterfassung!$K$6:$K$3665,$K1583),Zeiterfassung!$K$6:$K$3665,0))))</f>
        <v/>
      </c>
      <c r="K1583">
        <f>IFERROR(AGGREGATE(15,6,(ROW(Zeiterfassung!$D$6:$D$3665)-ROW(Zeiterfassung!$D$6)+1)/(Zeiterfassung!$D$6:$D$3665&lt;&gt;""),1578),"")</f>
        <v/>
      </c>
    </row>
    <row r="1584" ht="20" customHeight="1">
      <c r="A1584" s="183">
        <f>IF($K1584="","",WEEKNUM(INDEX(Zeiterfassung!$K$6:$K$3665,$K1584),21))</f>
        <v/>
      </c>
      <c r="B1584" s="184">
        <f>IF($K1584="","",INDEX(Zeiterfassung!$K$6:$K$3665,$K1584))</f>
        <v/>
      </c>
      <c r="C1584" s="185">
        <f>IF($K1584="","",INDEX(Zeiterfassung!$K$6:$K$3665,$K1584))</f>
        <v/>
      </c>
      <c r="D1584" s="186">
        <f>IF($K1584="","",INDEX(Zeiterfassung!$D$6:$D$3665,$K1584))</f>
        <v/>
      </c>
      <c r="E1584" s="186">
        <f>IF($K1584="","",INDEX(Zeiterfassung!$E$6:$E$3665,$K1584))</f>
        <v/>
      </c>
      <c r="F1584" s="187">
        <f>IF($K1584="","",INDEX(Zeiterfassung!$F$6:$F$3665,$K1584))</f>
        <v/>
      </c>
      <c r="G1584" s="187">
        <f>IF($K1584="","",INDEX(Zeiterfassung!$G$6:$G$3665,$K1584))</f>
        <v/>
      </c>
      <c r="H1584" s="188">
        <f>IF($K1584="","",INDEX(Zeiterfassung!$H$6:$H$3665,$K1584))</f>
        <v/>
      </c>
      <c r="I1584" s="335">
        <f>IF(B1584=B1583,"",IF($K1584="","",INDEX(Zeiterfassung!$I$6:$I$3665,MATCH(INDEX(Zeiterfassung!$K$6:$K$3665,$K1584),Zeiterfassung!$K$6:$K$3665,0))))</f>
        <v/>
      </c>
      <c r="J1584" s="335">
        <f>IF(B1584=B1583,"",IF($K1584="","",INDEX(Zeiterfassung!$J$6:$J$3665,MATCH(INDEX(Zeiterfassung!$K$6:$K$3665,$K1584),Zeiterfassung!$K$6:$K$3665,0))))</f>
        <v/>
      </c>
      <c r="K1584">
        <f>IFERROR(AGGREGATE(15,6,(ROW(Zeiterfassung!$D$6:$D$3665)-ROW(Zeiterfassung!$D$6)+1)/(Zeiterfassung!$D$6:$D$3665&lt;&gt;""),1579),"")</f>
        <v/>
      </c>
    </row>
    <row r="1585" ht="20" customHeight="1">
      <c r="A1585" s="183">
        <f>IF($K1585="","",WEEKNUM(INDEX(Zeiterfassung!$K$6:$K$3665,$K1585),21))</f>
        <v/>
      </c>
      <c r="B1585" s="184">
        <f>IF($K1585="","",INDEX(Zeiterfassung!$K$6:$K$3665,$K1585))</f>
        <v/>
      </c>
      <c r="C1585" s="185">
        <f>IF($K1585="","",INDEX(Zeiterfassung!$K$6:$K$3665,$K1585))</f>
        <v/>
      </c>
      <c r="D1585" s="186">
        <f>IF($K1585="","",INDEX(Zeiterfassung!$D$6:$D$3665,$K1585))</f>
        <v/>
      </c>
      <c r="E1585" s="186">
        <f>IF($K1585="","",INDEX(Zeiterfassung!$E$6:$E$3665,$K1585))</f>
        <v/>
      </c>
      <c r="F1585" s="187">
        <f>IF($K1585="","",INDEX(Zeiterfassung!$F$6:$F$3665,$K1585))</f>
        <v/>
      </c>
      <c r="G1585" s="187">
        <f>IF($K1585="","",INDEX(Zeiterfassung!$G$6:$G$3665,$K1585))</f>
        <v/>
      </c>
      <c r="H1585" s="188">
        <f>IF($K1585="","",INDEX(Zeiterfassung!$H$6:$H$3665,$K1585))</f>
        <v/>
      </c>
      <c r="I1585" s="335">
        <f>IF(B1585=B1584,"",IF($K1585="","",INDEX(Zeiterfassung!$I$6:$I$3665,MATCH(INDEX(Zeiterfassung!$K$6:$K$3665,$K1585),Zeiterfassung!$K$6:$K$3665,0))))</f>
        <v/>
      </c>
      <c r="J1585" s="335">
        <f>IF(B1585=B1584,"",IF($K1585="","",INDEX(Zeiterfassung!$J$6:$J$3665,MATCH(INDEX(Zeiterfassung!$K$6:$K$3665,$K1585),Zeiterfassung!$K$6:$K$3665,0))))</f>
        <v/>
      </c>
      <c r="K1585">
        <f>IFERROR(AGGREGATE(15,6,(ROW(Zeiterfassung!$D$6:$D$3665)-ROW(Zeiterfassung!$D$6)+1)/(Zeiterfassung!$D$6:$D$3665&lt;&gt;""),1580),"")</f>
        <v/>
      </c>
    </row>
    <row r="1586" ht="20" customHeight="1">
      <c r="A1586" s="183">
        <f>IF($K1586="","",WEEKNUM(INDEX(Zeiterfassung!$K$6:$K$3665,$K1586),21))</f>
        <v/>
      </c>
      <c r="B1586" s="184">
        <f>IF($K1586="","",INDEX(Zeiterfassung!$K$6:$K$3665,$K1586))</f>
        <v/>
      </c>
      <c r="C1586" s="185">
        <f>IF($K1586="","",INDEX(Zeiterfassung!$K$6:$K$3665,$K1586))</f>
        <v/>
      </c>
      <c r="D1586" s="186">
        <f>IF($K1586="","",INDEX(Zeiterfassung!$D$6:$D$3665,$K1586))</f>
        <v/>
      </c>
      <c r="E1586" s="186">
        <f>IF($K1586="","",INDEX(Zeiterfassung!$E$6:$E$3665,$K1586))</f>
        <v/>
      </c>
      <c r="F1586" s="187">
        <f>IF($K1586="","",INDEX(Zeiterfassung!$F$6:$F$3665,$K1586))</f>
        <v/>
      </c>
      <c r="G1586" s="187">
        <f>IF($K1586="","",INDEX(Zeiterfassung!$G$6:$G$3665,$K1586))</f>
        <v/>
      </c>
      <c r="H1586" s="188">
        <f>IF($K1586="","",INDEX(Zeiterfassung!$H$6:$H$3665,$K1586))</f>
        <v/>
      </c>
      <c r="I1586" s="335">
        <f>IF(B1586=B1585,"",IF($K1586="","",INDEX(Zeiterfassung!$I$6:$I$3665,MATCH(INDEX(Zeiterfassung!$K$6:$K$3665,$K1586),Zeiterfassung!$K$6:$K$3665,0))))</f>
        <v/>
      </c>
      <c r="J1586" s="335">
        <f>IF(B1586=B1585,"",IF($K1586="","",INDEX(Zeiterfassung!$J$6:$J$3665,MATCH(INDEX(Zeiterfassung!$K$6:$K$3665,$K1586),Zeiterfassung!$K$6:$K$3665,0))))</f>
        <v/>
      </c>
      <c r="K1586">
        <f>IFERROR(AGGREGATE(15,6,(ROW(Zeiterfassung!$D$6:$D$3665)-ROW(Zeiterfassung!$D$6)+1)/(Zeiterfassung!$D$6:$D$3665&lt;&gt;""),1581),"")</f>
        <v/>
      </c>
    </row>
    <row r="1587" ht="20" customHeight="1">
      <c r="A1587" s="183">
        <f>IF($K1587="","",WEEKNUM(INDEX(Zeiterfassung!$K$6:$K$3665,$K1587),21))</f>
        <v/>
      </c>
      <c r="B1587" s="184">
        <f>IF($K1587="","",INDEX(Zeiterfassung!$K$6:$K$3665,$K1587))</f>
        <v/>
      </c>
      <c r="C1587" s="185">
        <f>IF($K1587="","",INDEX(Zeiterfassung!$K$6:$K$3665,$K1587))</f>
        <v/>
      </c>
      <c r="D1587" s="186">
        <f>IF($K1587="","",INDEX(Zeiterfassung!$D$6:$D$3665,$K1587))</f>
        <v/>
      </c>
      <c r="E1587" s="186">
        <f>IF($K1587="","",INDEX(Zeiterfassung!$E$6:$E$3665,$K1587))</f>
        <v/>
      </c>
      <c r="F1587" s="187">
        <f>IF($K1587="","",INDEX(Zeiterfassung!$F$6:$F$3665,$K1587))</f>
        <v/>
      </c>
      <c r="G1587" s="187">
        <f>IF($K1587="","",INDEX(Zeiterfassung!$G$6:$G$3665,$K1587))</f>
        <v/>
      </c>
      <c r="H1587" s="188">
        <f>IF($K1587="","",INDEX(Zeiterfassung!$H$6:$H$3665,$K1587))</f>
        <v/>
      </c>
      <c r="I1587" s="335">
        <f>IF(B1587=B1586,"",IF($K1587="","",INDEX(Zeiterfassung!$I$6:$I$3665,MATCH(INDEX(Zeiterfassung!$K$6:$K$3665,$K1587),Zeiterfassung!$K$6:$K$3665,0))))</f>
        <v/>
      </c>
      <c r="J1587" s="335">
        <f>IF(B1587=B1586,"",IF($K1587="","",INDEX(Zeiterfassung!$J$6:$J$3665,MATCH(INDEX(Zeiterfassung!$K$6:$K$3665,$K1587),Zeiterfassung!$K$6:$K$3665,0))))</f>
        <v/>
      </c>
      <c r="K1587">
        <f>IFERROR(AGGREGATE(15,6,(ROW(Zeiterfassung!$D$6:$D$3665)-ROW(Zeiterfassung!$D$6)+1)/(Zeiterfassung!$D$6:$D$3665&lt;&gt;""),1582),"")</f>
        <v/>
      </c>
    </row>
    <row r="1588" ht="20" customHeight="1">
      <c r="A1588" s="183">
        <f>IF($K1588="","",WEEKNUM(INDEX(Zeiterfassung!$K$6:$K$3665,$K1588),21))</f>
        <v/>
      </c>
      <c r="B1588" s="184">
        <f>IF($K1588="","",INDEX(Zeiterfassung!$K$6:$K$3665,$K1588))</f>
        <v/>
      </c>
      <c r="C1588" s="185">
        <f>IF($K1588="","",INDEX(Zeiterfassung!$K$6:$K$3665,$K1588))</f>
        <v/>
      </c>
      <c r="D1588" s="186">
        <f>IF($K1588="","",INDEX(Zeiterfassung!$D$6:$D$3665,$K1588))</f>
        <v/>
      </c>
      <c r="E1588" s="186">
        <f>IF($K1588="","",INDEX(Zeiterfassung!$E$6:$E$3665,$K1588))</f>
        <v/>
      </c>
      <c r="F1588" s="187">
        <f>IF($K1588="","",INDEX(Zeiterfassung!$F$6:$F$3665,$K1588))</f>
        <v/>
      </c>
      <c r="G1588" s="187">
        <f>IF($K1588="","",INDEX(Zeiterfassung!$G$6:$G$3665,$K1588))</f>
        <v/>
      </c>
      <c r="H1588" s="188">
        <f>IF($K1588="","",INDEX(Zeiterfassung!$H$6:$H$3665,$K1588))</f>
        <v/>
      </c>
      <c r="I1588" s="335">
        <f>IF(B1588=B1587,"",IF($K1588="","",INDEX(Zeiterfassung!$I$6:$I$3665,MATCH(INDEX(Zeiterfassung!$K$6:$K$3665,$K1588),Zeiterfassung!$K$6:$K$3665,0))))</f>
        <v/>
      </c>
      <c r="J1588" s="335">
        <f>IF(B1588=B1587,"",IF($K1588="","",INDEX(Zeiterfassung!$J$6:$J$3665,MATCH(INDEX(Zeiterfassung!$K$6:$K$3665,$K1588),Zeiterfassung!$K$6:$K$3665,0))))</f>
        <v/>
      </c>
      <c r="K1588">
        <f>IFERROR(AGGREGATE(15,6,(ROW(Zeiterfassung!$D$6:$D$3665)-ROW(Zeiterfassung!$D$6)+1)/(Zeiterfassung!$D$6:$D$3665&lt;&gt;""),1583),"")</f>
        <v/>
      </c>
    </row>
    <row r="1589" ht="20" customHeight="1">
      <c r="A1589" s="183">
        <f>IF($K1589="","",WEEKNUM(INDEX(Zeiterfassung!$K$6:$K$3665,$K1589),21))</f>
        <v/>
      </c>
      <c r="B1589" s="184">
        <f>IF($K1589="","",INDEX(Zeiterfassung!$K$6:$K$3665,$K1589))</f>
        <v/>
      </c>
      <c r="C1589" s="185">
        <f>IF($K1589="","",INDEX(Zeiterfassung!$K$6:$K$3665,$K1589))</f>
        <v/>
      </c>
      <c r="D1589" s="186">
        <f>IF($K1589="","",INDEX(Zeiterfassung!$D$6:$D$3665,$K1589))</f>
        <v/>
      </c>
      <c r="E1589" s="186">
        <f>IF($K1589="","",INDEX(Zeiterfassung!$E$6:$E$3665,$K1589))</f>
        <v/>
      </c>
      <c r="F1589" s="187">
        <f>IF($K1589="","",INDEX(Zeiterfassung!$F$6:$F$3665,$K1589))</f>
        <v/>
      </c>
      <c r="G1589" s="187">
        <f>IF($K1589="","",INDEX(Zeiterfassung!$G$6:$G$3665,$K1589))</f>
        <v/>
      </c>
      <c r="H1589" s="188">
        <f>IF($K1589="","",INDEX(Zeiterfassung!$H$6:$H$3665,$K1589))</f>
        <v/>
      </c>
      <c r="I1589" s="335">
        <f>IF(B1589=B1588,"",IF($K1589="","",INDEX(Zeiterfassung!$I$6:$I$3665,MATCH(INDEX(Zeiterfassung!$K$6:$K$3665,$K1589),Zeiterfassung!$K$6:$K$3665,0))))</f>
        <v/>
      </c>
      <c r="J1589" s="335">
        <f>IF(B1589=B1588,"",IF($K1589="","",INDEX(Zeiterfassung!$J$6:$J$3665,MATCH(INDEX(Zeiterfassung!$K$6:$K$3665,$K1589),Zeiterfassung!$K$6:$K$3665,0))))</f>
        <v/>
      </c>
      <c r="K1589">
        <f>IFERROR(AGGREGATE(15,6,(ROW(Zeiterfassung!$D$6:$D$3665)-ROW(Zeiterfassung!$D$6)+1)/(Zeiterfassung!$D$6:$D$3665&lt;&gt;""),1584),"")</f>
        <v/>
      </c>
    </row>
    <row r="1590" ht="20" customHeight="1">
      <c r="A1590" s="183">
        <f>IF($K1590="","",WEEKNUM(INDEX(Zeiterfassung!$K$6:$K$3665,$K1590),21))</f>
        <v/>
      </c>
      <c r="B1590" s="184">
        <f>IF($K1590="","",INDEX(Zeiterfassung!$K$6:$K$3665,$K1590))</f>
        <v/>
      </c>
      <c r="C1590" s="185">
        <f>IF($K1590="","",INDEX(Zeiterfassung!$K$6:$K$3665,$K1590))</f>
        <v/>
      </c>
      <c r="D1590" s="186">
        <f>IF($K1590="","",INDEX(Zeiterfassung!$D$6:$D$3665,$K1590))</f>
        <v/>
      </c>
      <c r="E1590" s="186">
        <f>IF($K1590="","",INDEX(Zeiterfassung!$E$6:$E$3665,$K1590))</f>
        <v/>
      </c>
      <c r="F1590" s="187">
        <f>IF($K1590="","",INDEX(Zeiterfassung!$F$6:$F$3665,$K1590))</f>
        <v/>
      </c>
      <c r="G1590" s="187">
        <f>IF($K1590="","",INDEX(Zeiterfassung!$G$6:$G$3665,$K1590))</f>
        <v/>
      </c>
      <c r="H1590" s="188">
        <f>IF($K1590="","",INDEX(Zeiterfassung!$H$6:$H$3665,$K1590))</f>
        <v/>
      </c>
      <c r="I1590" s="335">
        <f>IF(B1590=B1589,"",IF($K1590="","",INDEX(Zeiterfassung!$I$6:$I$3665,MATCH(INDEX(Zeiterfassung!$K$6:$K$3665,$K1590),Zeiterfassung!$K$6:$K$3665,0))))</f>
        <v/>
      </c>
      <c r="J1590" s="335">
        <f>IF(B1590=B1589,"",IF($K1590="","",INDEX(Zeiterfassung!$J$6:$J$3665,MATCH(INDEX(Zeiterfassung!$K$6:$K$3665,$K1590),Zeiterfassung!$K$6:$K$3665,0))))</f>
        <v/>
      </c>
      <c r="K1590">
        <f>IFERROR(AGGREGATE(15,6,(ROW(Zeiterfassung!$D$6:$D$3665)-ROW(Zeiterfassung!$D$6)+1)/(Zeiterfassung!$D$6:$D$3665&lt;&gt;""),1585),"")</f>
        <v/>
      </c>
    </row>
    <row r="1591" ht="20" customHeight="1">
      <c r="A1591" s="183">
        <f>IF($K1591="","",WEEKNUM(INDEX(Zeiterfassung!$K$6:$K$3665,$K1591),21))</f>
        <v/>
      </c>
      <c r="B1591" s="184">
        <f>IF($K1591="","",INDEX(Zeiterfassung!$K$6:$K$3665,$K1591))</f>
        <v/>
      </c>
      <c r="C1591" s="185">
        <f>IF($K1591="","",INDEX(Zeiterfassung!$K$6:$K$3665,$K1591))</f>
        <v/>
      </c>
      <c r="D1591" s="186">
        <f>IF($K1591="","",INDEX(Zeiterfassung!$D$6:$D$3665,$K1591))</f>
        <v/>
      </c>
      <c r="E1591" s="186">
        <f>IF($K1591="","",INDEX(Zeiterfassung!$E$6:$E$3665,$K1591))</f>
        <v/>
      </c>
      <c r="F1591" s="187">
        <f>IF($K1591="","",INDEX(Zeiterfassung!$F$6:$F$3665,$K1591))</f>
        <v/>
      </c>
      <c r="G1591" s="187">
        <f>IF($K1591="","",INDEX(Zeiterfassung!$G$6:$G$3665,$K1591))</f>
        <v/>
      </c>
      <c r="H1591" s="188">
        <f>IF($K1591="","",INDEX(Zeiterfassung!$H$6:$H$3665,$K1591))</f>
        <v/>
      </c>
      <c r="I1591" s="335">
        <f>IF(B1591=B1590,"",IF($K1591="","",INDEX(Zeiterfassung!$I$6:$I$3665,MATCH(INDEX(Zeiterfassung!$K$6:$K$3665,$K1591),Zeiterfassung!$K$6:$K$3665,0))))</f>
        <v/>
      </c>
      <c r="J1591" s="335">
        <f>IF(B1591=B1590,"",IF($K1591="","",INDEX(Zeiterfassung!$J$6:$J$3665,MATCH(INDEX(Zeiterfassung!$K$6:$K$3665,$K1591),Zeiterfassung!$K$6:$K$3665,0))))</f>
        <v/>
      </c>
      <c r="K1591">
        <f>IFERROR(AGGREGATE(15,6,(ROW(Zeiterfassung!$D$6:$D$3665)-ROW(Zeiterfassung!$D$6)+1)/(Zeiterfassung!$D$6:$D$3665&lt;&gt;""),1586),"")</f>
        <v/>
      </c>
    </row>
    <row r="1592" ht="20" customHeight="1">
      <c r="A1592" s="183">
        <f>IF($K1592="","",WEEKNUM(INDEX(Zeiterfassung!$K$6:$K$3665,$K1592),21))</f>
        <v/>
      </c>
      <c r="B1592" s="184">
        <f>IF($K1592="","",INDEX(Zeiterfassung!$K$6:$K$3665,$K1592))</f>
        <v/>
      </c>
      <c r="C1592" s="185">
        <f>IF($K1592="","",INDEX(Zeiterfassung!$K$6:$K$3665,$K1592))</f>
        <v/>
      </c>
      <c r="D1592" s="186">
        <f>IF($K1592="","",INDEX(Zeiterfassung!$D$6:$D$3665,$K1592))</f>
        <v/>
      </c>
      <c r="E1592" s="186">
        <f>IF($K1592="","",INDEX(Zeiterfassung!$E$6:$E$3665,$K1592))</f>
        <v/>
      </c>
      <c r="F1592" s="187">
        <f>IF($K1592="","",INDEX(Zeiterfassung!$F$6:$F$3665,$K1592))</f>
        <v/>
      </c>
      <c r="G1592" s="187">
        <f>IF($K1592="","",INDEX(Zeiterfassung!$G$6:$G$3665,$K1592))</f>
        <v/>
      </c>
      <c r="H1592" s="188">
        <f>IF($K1592="","",INDEX(Zeiterfassung!$H$6:$H$3665,$K1592))</f>
        <v/>
      </c>
      <c r="I1592" s="335">
        <f>IF(B1592=B1591,"",IF($K1592="","",INDEX(Zeiterfassung!$I$6:$I$3665,MATCH(INDEX(Zeiterfassung!$K$6:$K$3665,$K1592),Zeiterfassung!$K$6:$K$3665,0))))</f>
        <v/>
      </c>
      <c r="J1592" s="335">
        <f>IF(B1592=B1591,"",IF($K1592="","",INDEX(Zeiterfassung!$J$6:$J$3665,MATCH(INDEX(Zeiterfassung!$K$6:$K$3665,$K1592),Zeiterfassung!$K$6:$K$3665,0))))</f>
        <v/>
      </c>
      <c r="K1592">
        <f>IFERROR(AGGREGATE(15,6,(ROW(Zeiterfassung!$D$6:$D$3665)-ROW(Zeiterfassung!$D$6)+1)/(Zeiterfassung!$D$6:$D$3665&lt;&gt;""),1587),"")</f>
        <v/>
      </c>
    </row>
    <row r="1593" ht="20" customHeight="1">
      <c r="A1593" s="183">
        <f>IF($K1593="","",WEEKNUM(INDEX(Zeiterfassung!$K$6:$K$3665,$K1593),21))</f>
        <v/>
      </c>
      <c r="B1593" s="184">
        <f>IF($K1593="","",INDEX(Zeiterfassung!$K$6:$K$3665,$K1593))</f>
        <v/>
      </c>
      <c r="C1593" s="185">
        <f>IF($K1593="","",INDEX(Zeiterfassung!$K$6:$K$3665,$K1593))</f>
        <v/>
      </c>
      <c r="D1593" s="186">
        <f>IF($K1593="","",INDEX(Zeiterfassung!$D$6:$D$3665,$K1593))</f>
        <v/>
      </c>
      <c r="E1593" s="186">
        <f>IF($K1593="","",INDEX(Zeiterfassung!$E$6:$E$3665,$K1593))</f>
        <v/>
      </c>
      <c r="F1593" s="187">
        <f>IF($K1593="","",INDEX(Zeiterfassung!$F$6:$F$3665,$K1593))</f>
        <v/>
      </c>
      <c r="G1593" s="187">
        <f>IF($K1593="","",INDEX(Zeiterfassung!$G$6:$G$3665,$K1593))</f>
        <v/>
      </c>
      <c r="H1593" s="188">
        <f>IF($K1593="","",INDEX(Zeiterfassung!$H$6:$H$3665,$K1593))</f>
        <v/>
      </c>
      <c r="I1593" s="335">
        <f>IF(B1593=B1592,"",IF($K1593="","",INDEX(Zeiterfassung!$I$6:$I$3665,MATCH(INDEX(Zeiterfassung!$K$6:$K$3665,$K1593),Zeiterfassung!$K$6:$K$3665,0))))</f>
        <v/>
      </c>
      <c r="J1593" s="335">
        <f>IF(B1593=B1592,"",IF($K1593="","",INDEX(Zeiterfassung!$J$6:$J$3665,MATCH(INDEX(Zeiterfassung!$K$6:$K$3665,$K1593),Zeiterfassung!$K$6:$K$3665,0))))</f>
        <v/>
      </c>
      <c r="K1593">
        <f>IFERROR(AGGREGATE(15,6,(ROW(Zeiterfassung!$D$6:$D$3665)-ROW(Zeiterfassung!$D$6)+1)/(Zeiterfassung!$D$6:$D$3665&lt;&gt;""),1588),"")</f>
        <v/>
      </c>
    </row>
    <row r="1594" ht="20" customHeight="1">
      <c r="A1594" s="183">
        <f>IF($K1594="","",WEEKNUM(INDEX(Zeiterfassung!$K$6:$K$3665,$K1594),21))</f>
        <v/>
      </c>
      <c r="B1594" s="184">
        <f>IF($K1594="","",INDEX(Zeiterfassung!$K$6:$K$3665,$K1594))</f>
        <v/>
      </c>
      <c r="C1594" s="185">
        <f>IF($K1594="","",INDEX(Zeiterfassung!$K$6:$K$3665,$K1594))</f>
        <v/>
      </c>
      <c r="D1594" s="186">
        <f>IF($K1594="","",INDEX(Zeiterfassung!$D$6:$D$3665,$K1594))</f>
        <v/>
      </c>
      <c r="E1594" s="186">
        <f>IF($K1594="","",INDEX(Zeiterfassung!$E$6:$E$3665,$K1594))</f>
        <v/>
      </c>
      <c r="F1594" s="187">
        <f>IF($K1594="","",INDEX(Zeiterfassung!$F$6:$F$3665,$K1594))</f>
        <v/>
      </c>
      <c r="G1594" s="187">
        <f>IF($K1594="","",INDEX(Zeiterfassung!$G$6:$G$3665,$K1594))</f>
        <v/>
      </c>
      <c r="H1594" s="188">
        <f>IF($K1594="","",INDEX(Zeiterfassung!$H$6:$H$3665,$K1594))</f>
        <v/>
      </c>
      <c r="I1594" s="335">
        <f>IF(B1594=B1593,"",IF($K1594="","",INDEX(Zeiterfassung!$I$6:$I$3665,MATCH(INDEX(Zeiterfassung!$K$6:$K$3665,$K1594),Zeiterfassung!$K$6:$K$3665,0))))</f>
        <v/>
      </c>
      <c r="J1594" s="335">
        <f>IF(B1594=B1593,"",IF($K1594="","",INDEX(Zeiterfassung!$J$6:$J$3665,MATCH(INDEX(Zeiterfassung!$K$6:$K$3665,$K1594),Zeiterfassung!$K$6:$K$3665,0))))</f>
        <v/>
      </c>
      <c r="K1594">
        <f>IFERROR(AGGREGATE(15,6,(ROW(Zeiterfassung!$D$6:$D$3665)-ROW(Zeiterfassung!$D$6)+1)/(Zeiterfassung!$D$6:$D$3665&lt;&gt;""),1589),"")</f>
        <v/>
      </c>
    </row>
    <row r="1595" ht="20" customHeight="1">
      <c r="A1595" s="183">
        <f>IF($K1595="","",WEEKNUM(INDEX(Zeiterfassung!$K$6:$K$3665,$K1595),21))</f>
        <v/>
      </c>
      <c r="B1595" s="184">
        <f>IF($K1595="","",INDEX(Zeiterfassung!$K$6:$K$3665,$K1595))</f>
        <v/>
      </c>
      <c r="C1595" s="185">
        <f>IF($K1595="","",INDEX(Zeiterfassung!$K$6:$K$3665,$K1595))</f>
        <v/>
      </c>
      <c r="D1595" s="186">
        <f>IF($K1595="","",INDEX(Zeiterfassung!$D$6:$D$3665,$K1595))</f>
        <v/>
      </c>
      <c r="E1595" s="186">
        <f>IF($K1595="","",INDEX(Zeiterfassung!$E$6:$E$3665,$K1595))</f>
        <v/>
      </c>
      <c r="F1595" s="187">
        <f>IF($K1595="","",INDEX(Zeiterfassung!$F$6:$F$3665,$K1595))</f>
        <v/>
      </c>
      <c r="G1595" s="187">
        <f>IF($K1595="","",INDEX(Zeiterfassung!$G$6:$G$3665,$K1595))</f>
        <v/>
      </c>
      <c r="H1595" s="188">
        <f>IF($K1595="","",INDEX(Zeiterfassung!$H$6:$H$3665,$K1595))</f>
        <v/>
      </c>
      <c r="I1595" s="335">
        <f>IF(B1595=B1594,"",IF($K1595="","",INDEX(Zeiterfassung!$I$6:$I$3665,MATCH(INDEX(Zeiterfassung!$K$6:$K$3665,$K1595),Zeiterfassung!$K$6:$K$3665,0))))</f>
        <v/>
      </c>
      <c r="J1595" s="335">
        <f>IF(B1595=B1594,"",IF($K1595="","",INDEX(Zeiterfassung!$J$6:$J$3665,MATCH(INDEX(Zeiterfassung!$K$6:$K$3665,$K1595),Zeiterfassung!$K$6:$K$3665,0))))</f>
        <v/>
      </c>
      <c r="K1595">
        <f>IFERROR(AGGREGATE(15,6,(ROW(Zeiterfassung!$D$6:$D$3665)-ROW(Zeiterfassung!$D$6)+1)/(Zeiterfassung!$D$6:$D$3665&lt;&gt;""),1590),"")</f>
        <v/>
      </c>
    </row>
    <row r="1596" ht="20" customHeight="1">
      <c r="A1596" s="183">
        <f>IF($K1596="","",WEEKNUM(INDEX(Zeiterfassung!$K$6:$K$3665,$K1596),21))</f>
        <v/>
      </c>
      <c r="B1596" s="184">
        <f>IF($K1596="","",INDEX(Zeiterfassung!$K$6:$K$3665,$K1596))</f>
        <v/>
      </c>
      <c r="C1596" s="185">
        <f>IF($K1596="","",INDEX(Zeiterfassung!$K$6:$K$3665,$K1596))</f>
        <v/>
      </c>
      <c r="D1596" s="186">
        <f>IF($K1596="","",INDEX(Zeiterfassung!$D$6:$D$3665,$K1596))</f>
        <v/>
      </c>
      <c r="E1596" s="186">
        <f>IF($K1596="","",INDEX(Zeiterfassung!$E$6:$E$3665,$K1596))</f>
        <v/>
      </c>
      <c r="F1596" s="187">
        <f>IF($K1596="","",INDEX(Zeiterfassung!$F$6:$F$3665,$K1596))</f>
        <v/>
      </c>
      <c r="G1596" s="187">
        <f>IF($K1596="","",INDEX(Zeiterfassung!$G$6:$G$3665,$K1596))</f>
        <v/>
      </c>
      <c r="H1596" s="188">
        <f>IF($K1596="","",INDEX(Zeiterfassung!$H$6:$H$3665,$K1596))</f>
        <v/>
      </c>
      <c r="I1596" s="335">
        <f>IF(B1596=B1595,"",IF($K1596="","",INDEX(Zeiterfassung!$I$6:$I$3665,MATCH(INDEX(Zeiterfassung!$K$6:$K$3665,$K1596),Zeiterfassung!$K$6:$K$3665,0))))</f>
        <v/>
      </c>
      <c r="J1596" s="335">
        <f>IF(B1596=B1595,"",IF($K1596="","",INDEX(Zeiterfassung!$J$6:$J$3665,MATCH(INDEX(Zeiterfassung!$K$6:$K$3665,$K1596),Zeiterfassung!$K$6:$K$3665,0))))</f>
        <v/>
      </c>
      <c r="K1596">
        <f>IFERROR(AGGREGATE(15,6,(ROW(Zeiterfassung!$D$6:$D$3665)-ROW(Zeiterfassung!$D$6)+1)/(Zeiterfassung!$D$6:$D$3665&lt;&gt;""),1591),"")</f>
        <v/>
      </c>
    </row>
    <row r="1597" ht="20" customHeight="1">
      <c r="A1597" s="183">
        <f>IF($K1597="","",WEEKNUM(INDEX(Zeiterfassung!$K$6:$K$3665,$K1597),21))</f>
        <v/>
      </c>
      <c r="B1597" s="184">
        <f>IF($K1597="","",INDEX(Zeiterfassung!$K$6:$K$3665,$K1597))</f>
        <v/>
      </c>
      <c r="C1597" s="185">
        <f>IF($K1597="","",INDEX(Zeiterfassung!$K$6:$K$3665,$K1597))</f>
        <v/>
      </c>
      <c r="D1597" s="186">
        <f>IF($K1597="","",INDEX(Zeiterfassung!$D$6:$D$3665,$K1597))</f>
        <v/>
      </c>
      <c r="E1597" s="186">
        <f>IF($K1597="","",INDEX(Zeiterfassung!$E$6:$E$3665,$K1597))</f>
        <v/>
      </c>
      <c r="F1597" s="187">
        <f>IF($K1597="","",INDEX(Zeiterfassung!$F$6:$F$3665,$K1597))</f>
        <v/>
      </c>
      <c r="G1597" s="187">
        <f>IF($K1597="","",INDEX(Zeiterfassung!$G$6:$G$3665,$K1597))</f>
        <v/>
      </c>
      <c r="H1597" s="188">
        <f>IF($K1597="","",INDEX(Zeiterfassung!$H$6:$H$3665,$K1597))</f>
        <v/>
      </c>
      <c r="I1597" s="335">
        <f>IF(B1597=B1596,"",IF($K1597="","",INDEX(Zeiterfassung!$I$6:$I$3665,MATCH(INDEX(Zeiterfassung!$K$6:$K$3665,$K1597),Zeiterfassung!$K$6:$K$3665,0))))</f>
        <v/>
      </c>
      <c r="J1597" s="335">
        <f>IF(B1597=B1596,"",IF($K1597="","",INDEX(Zeiterfassung!$J$6:$J$3665,MATCH(INDEX(Zeiterfassung!$K$6:$K$3665,$K1597),Zeiterfassung!$K$6:$K$3665,0))))</f>
        <v/>
      </c>
      <c r="K1597">
        <f>IFERROR(AGGREGATE(15,6,(ROW(Zeiterfassung!$D$6:$D$3665)-ROW(Zeiterfassung!$D$6)+1)/(Zeiterfassung!$D$6:$D$3665&lt;&gt;""),1592),"")</f>
        <v/>
      </c>
    </row>
    <row r="1598" ht="20" customHeight="1">
      <c r="A1598" s="183">
        <f>IF($K1598="","",WEEKNUM(INDEX(Zeiterfassung!$K$6:$K$3665,$K1598),21))</f>
        <v/>
      </c>
      <c r="B1598" s="184">
        <f>IF($K1598="","",INDEX(Zeiterfassung!$K$6:$K$3665,$K1598))</f>
        <v/>
      </c>
      <c r="C1598" s="185">
        <f>IF($K1598="","",INDEX(Zeiterfassung!$K$6:$K$3665,$K1598))</f>
        <v/>
      </c>
      <c r="D1598" s="186">
        <f>IF($K1598="","",INDEX(Zeiterfassung!$D$6:$D$3665,$K1598))</f>
        <v/>
      </c>
      <c r="E1598" s="186">
        <f>IF($K1598="","",INDEX(Zeiterfassung!$E$6:$E$3665,$K1598))</f>
        <v/>
      </c>
      <c r="F1598" s="187">
        <f>IF($K1598="","",INDEX(Zeiterfassung!$F$6:$F$3665,$K1598))</f>
        <v/>
      </c>
      <c r="G1598" s="187">
        <f>IF($K1598="","",INDEX(Zeiterfassung!$G$6:$G$3665,$K1598))</f>
        <v/>
      </c>
      <c r="H1598" s="188">
        <f>IF($K1598="","",INDEX(Zeiterfassung!$H$6:$H$3665,$K1598))</f>
        <v/>
      </c>
      <c r="I1598" s="335">
        <f>IF(B1598=B1597,"",IF($K1598="","",INDEX(Zeiterfassung!$I$6:$I$3665,MATCH(INDEX(Zeiterfassung!$K$6:$K$3665,$K1598),Zeiterfassung!$K$6:$K$3665,0))))</f>
        <v/>
      </c>
      <c r="J1598" s="335">
        <f>IF(B1598=B1597,"",IF($K1598="","",INDEX(Zeiterfassung!$J$6:$J$3665,MATCH(INDEX(Zeiterfassung!$K$6:$K$3665,$K1598),Zeiterfassung!$K$6:$K$3665,0))))</f>
        <v/>
      </c>
      <c r="K1598">
        <f>IFERROR(AGGREGATE(15,6,(ROW(Zeiterfassung!$D$6:$D$3665)-ROW(Zeiterfassung!$D$6)+1)/(Zeiterfassung!$D$6:$D$3665&lt;&gt;""),1593),"")</f>
        <v/>
      </c>
    </row>
    <row r="1599" ht="20" customHeight="1">
      <c r="A1599" s="183">
        <f>IF($K1599="","",WEEKNUM(INDEX(Zeiterfassung!$K$6:$K$3665,$K1599),21))</f>
        <v/>
      </c>
      <c r="B1599" s="184">
        <f>IF($K1599="","",INDEX(Zeiterfassung!$K$6:$K$3665,$K1599))</f>
        <v/>
      </c>
      <c r="C1599" s="185">
        <f>IF($K1599="","",INDEX(Zeiterfassung!$K$6:$K$3665,$K1599))</f>
        <v/>
      </c>
      <c r="D1599" s="186">
        <f>IF($K1599="","",INDEX(Zeiterfassung!$D$6:$D$3665,$K1599))</f>
        <v/>
      </c>
      <c r="E1599" s="186">
        <f>IF($K1599="","",INDEX(Zeiterfassung!$E$6:$E$3665,$K1599))</f>
        <v/>
      </c>
      <c r="F1599" s="187">
        <f>IF($K1599="","",INDEX(Zeiterfassung!$F$6:$F$3665,$K1599))</f>
        <v/>
      </c>
      <c r="G1599" s="187">
        <f>IF($K1599="","",INDEX(Zeiterfassung!$G$6:$G$3665,$K1599))</f>
        <v/>
      </c>
      <c r="H1599" s="188">
        <f>IF($K1599="","",INDEX(Zeiterfassung!$H$6:$H$3665,$K1599))</f>
        <v/>
      </c>
      <c r="I1599" s="335">
        <f>IF(B1599=B1598,"",IF($K1599="","",INDEX(Zeiterfassung!$I$6:$I$3665,MATCH(INDEX(Zeiterfassung!$K$6:$K$3665,$K1599),Zeiterfassung!$K$6:$K$3665,0))))</f>
        <v/>
      </c>
      <c r="J1599" s="335">
        <f>IF(B1599=B1598,"",IF($K1599="","",INDEX(Zeiterfassung!$J$6:$J$3665,MATCH(INDEX(Zeiterfassung!$K$6:$K$3665,$K1599),Zeiterfassung!$K$6:$K$3665,0))))</f>
        <v/>
      </c>
      <c r="K1599">
        <f>IFERROR(AGGREGATE(15,6,(ROW(Zeiterfassung!$D$6:$D$3665)-ROW(Zeiterfassung!$D$6)+1)/(Zeiterfassung!$D$6:$D$3665&lt;&gt;""),1594),"")</f>
        <v/>
      </c>
    </row>
    <row r="1600" ht="20" customHeight="1">
      <c r="A1600" s="183">
        <f>IF($K1600="","",WEEKNUM(INDEX(Zeiterfassung!$K$6:$K$3665,$K1600),21))</f>
        <v/>
      </c>
      <c r="B1600" s="184">
        <f>IF($K1600="","",INDEX(Zeiterfassung!$K$6:$K$3665,$K1600))</f>
        <v/>
      </c>
      <c r="C1600" s="185">
        <f>IF($K1600="","",INDEX(Zeiterfassung!$K$6:$K$3665,$K1600))</f>
        <v/>
      </c>
      <c r="D1600" s="186">
        <f>IF($K1600="","",INDEX(Zeiterfassung!$D$6:$D$3665,$K1600))</f>
        <v/>
      </c>
      <c r="E1600" s="186">
        <f>IF($K1600="","",INDEX(Zeiterfassung!$E$6:$E$3665,$K1600))</f>
        <v/>
      </c>
      <c r="F1600" s="187">
        <f>IF($K1600="","",INDEX(Zeiterfassung!$F$6:$F$3665,$K1600))</f>
        <v/>
      </c>
      <c r="G1600" s="187">
        <f>IF($K1600="","",INDEX(Zeiterfassung!$G$6:$G$3665,$K1600))</f>
        <v/>
      </c>
      <c r="H1600" s="188">
        <f>IF($K1600="","",INDEX(Zeiterfassung!$H$6:$H$3665,$K1600))</f>
        <v/>
      </c>
      <c r="I1600" s="335">
        <f>IF(B1600=B1599,"",IF($K1600="","",INDEX(Zeiterfassung!$I$6:$I$3665,MATCH(INDEX(Zeiterfassung!$K$6:$K$3665,$K1600),Zeiterfassung!$K$6:$K$3665,0))))</f>
        <v/>
      </c>
      <c r="J1600" s="335">
        <f>IF(B1600=B1599,"",IF($K1600="","",INDEX(Zeiterfassung!$J$6:$J$3665,MATCH(INDEX(Zeiterfassung!$K$6:$K$3665,$K1600),Zeiterfassung!$K$6:$K$3665,0))))</f>
        <v/>
      </c>
      <c r="K1600">
        <f>IFERROR(AGGREGATE(15,6,(ROW(Zeiterfassung!$D$6:$D$3665)-ROW(Zeiterfassung!$D$6)+1)/(Zeiterfassung!$D$6:$D$3665&lt;&gt;""),1595),"")</f>
        <v/>
      </c>
    </row>
    <row r="1601" ht="20" customHeight="1">
      <c r="A1601" s="183">
        <f>IF($K1601="","",WEEKNUM(INDEX(Zeiterfassung!$K$6:$K$3665,$K1601),21))</f>
        <v/>
      </c>
      <c r="B1601" s="184">
        <f>IF($K1601="","",INDEX(Zeiterfassung!$K$6:$K$3665,$K1601))</f>
        <v/>
      </c>
      <c r="C1601" s="185">
        <f>IF($K1601="","",INDEX(Zeiterfassung!$K$6:$K$3665,$K1601))</f>
        <v/>
      </c>
      <c r="D1601" s="186">
        <f>IF($K1601="","",INDEX(Zeiterfassung!$D$6:$D$3665,$K1601))</f>
        <v/>
      </c>
      <c r="E1601" s="186">
        <f>IF($K1601="","",INDEX(Zeiterfassung!$E$6:$E$3665,$K1601))</f>
        <v/>
      </c>
      <c r="F1601" s="187">
        <f>IF($K1601="","",INDEX(Zeiterfassung!$F$6:$F$3665,$K1601))</f>
        <v/>
      </c>
      <c r="G1601" s="187">
        <f>IF($K1601="","",INDEX(Zeiterfassung!$G$6:$G$3665,$K1601))</f>
        <v/>
      </c>
      <c r="H1601" s="188">
        <f>IF($K1601="","",INDEX(Zeiterfassung!$H$6:$H$3665,$K1601))</f>
        <v/>
      </c>
      <c r="I1601" s="335">
        <f>IF(B1601=B1600,"",IF($K1601="","",INDEX(Zeiterfassung!$I$6:$I$3665,MATCH(INDEX(Zeiterfassung!$K$6:$K$3665,$K1601),Zeiterfassung!$K$6:$K$3665,0))))</f>
        <v/>
      </c>
      <c r="J1601" s="335">
        <f>IF(B1601=B1600,"",IF($K1601="","",INDEX(Zeiterfassung!$J$6:$J$3665,MATCH(INDEX(Zeiterfassung!$K$6:$K$3665,$K1601),Zeiterfassung!$K$6:$K$3665,0))))</f>
        <v/>
      </c>
      <c r="K1601">
        <f>IFERROR(AGGREGATE(15,6,(ROW(Zeiterfassung!$D$6:$D$3665)-ROW(Zeiterfassung!$D$6)+1)/(Zeiterfassung!$D$6:$D$3665&lt;&gt;""),1596),"")</f>
        <v/>
      </c>
    </row>
    <row r="1602" ht="20" customHeight="1">
      <c r="A1602" s="183">
        <f>IF($K1602="","",WEEKNUM(INDEX(Zeiterfassung!$K$6:$K$3665,$K1602),21))</f>
        <v/>
      </c>
      <c r="B1602" s="184">
        <f>IF($K1602="","",INDEX(Zeiterfassung!$K$6:$K$3665,$K1602))</f>
        <v/>
      </c>
      <c r="C1602" s="185">
        <f>IF($K1602="","",INDEX(Zeiterfassung!$K$6:$K$3665,$K1602))</f>
        <v/>
      </c>
      <c r="D1602" s="186">
        <f>IF($K1602="","",INDEX(Zeiterfassung!$D$6:$D$3665,$K1602))</f>
        <v/>
      </c>
      <c r="E1602" s="186">
        <f>IF($K1602="","",INDEX(Zeiterfassung!$E$6:$E$3665,$K1602))</f>
        <v/>
      </c>
      <c r="F1602" s="187">
        <f>IF($K1602="","",INDEX(Zeiterfassung!$F$6:$F$3665,$K1602))</f>
        <v/>
      </c>
      <c r="G1602" s="187">
        <f>IF($K1602="","",INDEX(Zeiterfassung!$G$6:$G$3665,$K1602))</f>
        <v/>
      </c>
      <c r="H1602" s="188">
        <f>IF($K1602="","",INDEX(Zeiterfassung!$H$6:$H$3665,$K1602))</f>
        <v/>
      </c>
      <c r="I1602" s="335">
        <f>IF(B1602=B1601,"",IF($K1602="","",INDEX(Zeiterfassung!$I$6:$I$3665,MATCH(INDEX(Zeiterfassung!$K$6:$K$3665,$K1602),Zeiterfassung!$K$6:$K$3665,0))))</f>
        <v/>
      </c>
      <c r="J1602" s="335">
        <f>IF(B1602=B1601,"",IF($K1602="","",INDEX(Zeiterfassung!$J$6:$J$3665,MATCH(INDEX(Zeiterfassung!$K$6:$K$3665,$K1602),Zeiterfassung!$K$6:$K$3665,0))))</f>
        <v/>
      </c>
      <c r="K1602">
        <f>IFERROR(AGGREGATE(15,6,(ROW(Zeiterfassung!$D$6:$D$3665)-ROW(Zeiterfassung!$D$6)+1)/(Zeiterfassung!$D$6:$D$3665&lt;&gt;""),1597),"")</f>
        <v/>
      </c>
    </row>
    <row r="1603" ht="20" customHeight="1">
      <c r="A1603" s="183">
        <f>IF($K1603="","",WEEKNUM(INDEX(Zeiterfassung!$K$6:$K$3665,$K1603),21))</f>
        <v/>
      </c>
      <c r="B1603" s="184">
        <f>IF($K1603="","",INDEX(Zeiterfassung!$K$6:$K$3665,$K1603))</f>
        <v/>
      </c>
      <c r="C1603" s="185">
        <f>IF($K1603="","",INDEX(Zeiterfassung!$K$6:$K$3665,$K1603))</f>
        <v/>
      </c>
      <c r="D1603" s="186">
        <f>IF($K1603="","",INDEX(Zeiterfassung!$D$6:$D$3665,$K1603))</f>
        <v/>
      </c>
      <c r="E1603" s="186">
        <f>IF($K1603="","",INDEX(Zeiterfassung!$E$6:$E$3665,$K1603))</f>
        <v/>
      </c>
      <c r="F1603" s="187">
        <f>IF($K1603="","",INDEX(Zeiterfassung!$F$6:$F$3665,$K1603))</f>
        <v/>
      </c>
      <c r="G1603" s="187">
        <f>IF($K1603="","",INDEX(Zeiterfassung!$G$6:$G$3665,$K1603))</f>
        <v/>
      </c>
      <c r="H1603" s="188">
        <f>IF($K1603="","",INDEX(Zeiterfassung!$H$6:$H$3665,$K1603))</f>
        <v/>
      </c>
      <c r="I1603" s="335">
        <f>IF(B1603=B1602,"",IF($K1603="","",INDEX(Zeiterfassung!$I$6:$I$3665,MATCH(INDEX(Zeiterfassung!$K$6:$K$3665,$K1603),Zeiterfassung!$K$6:$K$3665,0))))</f>
        <v/>
      </c>
      <c r="J1603" s="335">
        <f>IF(B1603=B1602,"",IF($K1603="","",INDEX(Zeiterfassung!$J$6:$J$3665,MATCH(INDEX(Zeiterfassung!$K$6:$K$3665,$K1603),Zeiterfassung!$K$6:$K$3665,0))))</f>
        <v/>
      </c>
      <c r="K1603">
        <f>IFERROR(AGGREGATE(15,6,(ROW(Zeiterfassung!$D$6:$D$3665)-ROW(Zeiterfassung!$D$6)+1)/(Zeiterfassung!$D$6:$D$3665&lt;&gt;""),1598),"")</f>
        <v/>
      </c>
    </row>
    <row r="1604" ht="20" customHeight="1">
      <c r="A1604" s="183">
        <f>IF($K1604="","",WEEKNUM(INDEX(Zeiterfassung!$K$6:$K$3665,$K1604),21))</f>
        <v/>
      </c>
      <c r="B1604" s="184">
        <f>IF($K1604="","",INDEX(Zeiterfassung!$K$6:$K$3665,$K1604))</f>
        <v/>
      </c>
      <c r="C1604" s="185">
        <f>IF($K1604="","",INDEX(Zeiterfassung!$K$6:$K$3665,$K1604))</f>
        <v/>
      </c>
      <c r="D1604" s="186">
        <f>IF($K1604="","",INDEX(Zeiterfassung!$D$6:$D$3665,$K1604))</f>
        <v/>
      </c>
      <c r="E1604" s="186">
        <f>IF($K1604="","",INDEX(Zeiterfassung!$E$6:$E$3665,$K1604))</f>
        <v/>
      </c>
      <c r="F1604" s="187">
        <f>IF($K1604="","",INDEX(Zeiterfassung!$F$6:$F$3665,$K1604))</f>
        <v/>
      </c>
      <c r="G1604" s="187">
        <f>IF($K1604="","",INDEX(Zeiterfassung!$G$6:$G$3665,$K1604))</f>
        <v/>
      </c>
      <c r="H1604" s="188">
        <f>IF($K1604="","",INDEX(Zeiterfassung!$H$6:$H$3665,$K1604))</f>
        <v/>
      </c>
      <c r="I1604" s="335">
        <f>IF(B1604=B1603,"",IF($K1604="","",INDEX(Zeiterfassung!$I$6:$I$3665,MATCH(INDEX(Zeiterfassung!$K$6:$K$3665,$K1604),Zeiterfassung!$K$6:$K$3665,0))))</f>
        <v/>
      </c>
      <c r="J1604" s="335">
        <f>IF(B1604=B1603,"",IF($K1604="","",INDEX(Zeiterfassung!$J$6:$J$3665,MATCH(INDEX(Zeiterfassung!$K$6:$K$3665,$K1604),Zeiterfassung!$K$6:$K$3665,0))))</f>
        <v/>
      </c>
      <c r="K1604">
        <f>IFERROR(AGGREGATE(15,6,(ROW(Zeiterfassung!$D$6:$D$3665)-ROW(Zeiterfassung!$D$6)+1)/(Zeiterfassung!$D$6:$D$3665&lt;&gt;""),1599),"")</f>
        <v/>
      </c>
    </row>
    <row r="1605" ht="20" customHeight="1">
      <c r="A1605" s="183">
        <f>IF($K1605="","",WEEKNUM(INDEX(Zeiterfassung!$K$6:$K$3665,$K1605),21))</f>
        <v/>
      </c>
      <c r="B1605" s="184">
        <f>IF($K1605="","",INDEX(Zeiterfassung!$K$6:$K$3665,$K1605))</f>
        <v/>
      </c>
      <c r="C1605" s="185">
        <f>IF($K1605="","",INDEX(Zeiterfassung!$K$6:$K$3665,$K1605))</f>
        <v/>
      </c>
      <c r="D1605" s="186">
        <f>IF($K1605="","",INDEX(Zeiterfassung!$D$6:$D$3665,$K1605))</f>
        <v/>
      </c>
      <c r="E1605" s="186">
        <f>IF($K1605="","",INDEX(Zeiterfassung!$E$6:$E$3665,$K1605))</f>
        <v/>
      </c>
      <c r="F1605" s="187">
        <f>IF($K1605="","",INDEX(Zeiterfassung!$F$6:$F$3665,$K1605))</f>
        <v/>
      </c>
      <c r="G1605" s="187">
        <f>IF($K1605="","",INDEX(Zeiterfassung!$G$6:$G$3665,$K1605))</f>
        <v/>
      </c>
      <c r="H1605" s="188">
        <f>IF($K1605="","",INDEX(Zeiterfassung!$H$6:$H$3665,$K1605))</f>
        <v/>
      </c>
      <c r="I1605" s="335">
        <f>IF(B1605=B1604,"",IF($K1605="","",INDEX(Zeiterfassung!$I$6:$I$3665,MATCH(INDEX(Zeiterfassung!$K$6:$K$3665,$K1605),Zeiterfassung!$K$6:$K$3665,0))))</f>
        <v/>
      </c>
      <c r="J1605" s="335">
        <f>IF(B1605=B1604,"",IF($K1605="","",INDEX(Zeiterfassung!$J$6:$J$3665,MATCH(INDEX(Zeiterfassung!$K$6:$K$3665,$K1605),Zeiterfassung!$K$6:$K$3665,0))))</f>
        <v/>
      </c>
      <c r="K1605">
        <f>IFERROR(AGGREGATE(15,6,(ROW(Zeiterfassung!$D$6:$D$3665)-ROW(Zeiterfassung!$D$6)+1)/(Zeiterfassung!$D$6:$D$3665&lt;&gt;""),1600),"")</f>
        <v/>
      </c>
    </row>
    <row r="1606" ht="20" customHeight="1">
      <c r="A1606" s="183">
        <f>IF($K1606="","",WEEKNUM(INDEX(Zeiterfassung!$K$6:$K$3665,$K1606),21))</f>
        <v/>
      </c>
      <c r="B1606" s="184">
        <f>IF($K1606="","",INDEX(Zeiterfassung!$K$6:$K$3665,$K1606))</f>
        <v/>
      </c>
      <c r="C1606" s="185">
        <f>IF($K1606="","",INDEX(Zeiterfassung!$K$6:$K$3665,$K1606))</f>
        <v/>
      </c>
      <c r="D1606" s="186">
        <f>IF($K1606="","",INDEX(Zeiterfassung!$D$6:$D$3665,$K1606))</f>
        <v/>
      </c>
      <c r="E1606" s="186">
        <f>IF($K1606="","",INDEX(Zeiterfassung!$E$6:$E$3665,$K1606))</f>
        <v/>
      </c>
      <c r="F1606" s="187">
        <f>IF($K1606="","",INDEX(Zeiterfassung!$F$6:$F$3665,$K1606))</f>
        <v/>
      </c>
      <c r="G1606" s="187">
        <f>IF($K1606="","",INDEX(Zeiterfassung!$G$6:$G$3665,$K1606))</f>
        <v/>
      </c>
      <c r="H1606" s="188">
        <f>IF($K1606="","",INDEX(Zeiterfassung!$H$6:$H$3665,$K1606))</f>
        <v/>
      </c>
      <c r="I1606" s="335">
        <f>IF(B1606=B1605,"",IF($K1606="","",INDEX(Zeiterfassung!$I$6:$I$3665,MATCH(INDEX(Zeiterfassung!$K$6:$K$3665,$K1606),Zeiterfassung!$K$6:$K$3665,0))))</f>
        <v/>
      </c>
      <c r="J1606" s="335">
        <f>IF(B1606=B1605,"",IF($K1606="","",INDEX(Zeiterfassung!$J$6:$J$3665,MATCH(INDEX(Zeiterfassung!$K$6:$K$3665,$K1606),Zeiterfassung!$K$6:$K$3665,0))))</f>
        <v/>
      </c>
      <c r="K1606">
        <f>IFERROR(AGGREGATE(15,6,(ROW(Zeiterfassung!$D$6:$D$3665)-ROW(Zeiterfassung!$D$6)+1)/(Zeiterfassung!$D$6:$D$3665&lt;&gt;""),1601),"")</f>
        <v/>
      </c>
    </row>
    <row r="1607" ht="20" customHeight="1">
      <c r="A1607" s="183">
        <f>IF($K1607="","",WEEKNUM(INDEX(Zeiterfassung!$K$6:$K$3665,$K1607),21))</f>
        <v/>
      </c>
      <c r="B1607" s="184">
        <f>IF($K1607="","",INDEX(Zeiterfassung!$K$6:$K$3665,$K1607))</f>
        <v/>
      </c>
      <c r="C1607" s="185">
        <f>IF($K1607="","",INDEX(Zeiterfassung!$K$6:$K$3665,$K1607))</f>
        <v/>
      </c>
      <c r="D1607" s="186">
        <f>IF($K1607="","",INDEX(Zeiterfassung!$D$6:$D$3665,$K1607))</f>
        <v/>
      </c>
      <c r="E1607" s="186">
        <f>IF($K1607="","",INDEX(Zeiterfassung!$E$6:$E$3665,$K1607))</f>
        <v/>
      </c>
      <c r="F1607" s="187">
        <f>IF($K1607="","",INDEX(Zeiterfassung!$F$6:$F$3665,$K1607))</f>
        <v/>
      </c>
      <c r="G1607" s="187">
        <f>IF($K1607="","",INDEX(Zeiterfassung!$G$6:$G$3665,$K1607))</f>
        <v/>
      </c>
      <c r="H1607" s="188">
        <f>IF($K1607="","",INDEX(Zeiterfassung!$H$6:$H$3665,$K1607))</f>
        <v/>
      </c>
      <c r="I1607" s="335">
        <f>IF(B1607=B1606,"",IF($K1607="","",INDEX(Zeiterfassung!$I$6:$I$3665,MATCH(INDEX(Zeiterfassung!$K$6:$K$3665,$K1607),Zeiterfassung!$K$6:$K$3665,0))))</f>
        <v/>
      </c>
      <c r="J1607" s="335">
        <f>IF(B1607=B1606,"",IF($K1607="","",INDEX(Zeiterfassung!$J$6:$J$3665,MATCH(INDEX(Zeiterfassung!$K$6:$K$3665,$K1607),Zeiterfassung!$K$6:$K$3665,0))))</f>
        <v/>
      </c>
      <c r="K1607">
        <f>IFERROR(AGGREGATE(15,6,(ROW(Zeiterfassung!$D$6:$D$3665)-ROW(Zeiterfassung!$D$6)+1)/(Zeiterfassung!$D$6:$D$3665&lt;&gt;""),1602),"")</f>
        <v/>
      </c>
    </row>
    <row r="1608" ht="20" customHeight="1">
      <c r="A1608" s="183">
        <f>IF($K1608="","",WEEKNUM(INDEX(Zeiterfassung!$K$6:$K$3665,$K1608),21))</f>
        <v/>
      </c>
      <c r="B1608" s="184">
        <f>IF($K1608="","",INDEX(Zeiterfassung!$K$6:$K$3665,$K1608))</f>
        <v/>
      </c>
      <c r="C1608" s="185">
        <f>IF($K1608="","",INDEX(Zeiterfassung!$K$6:$K$3665,$K1608))</f>
        <v/>
      </c>
      <c r="D1608" s="186">
        <f>IF($K1608="","",INDEX(Zeiterfassung!$D$6:$D$3665,$K1608))</f>
        <v/>
      </c>
      <c r="E1608" s="186">
        <f>IF($K1608="","",INDEX(Zeiterfassung!$E$6:$E$3665,$K1608))</f>
        <v/>
      </c>
      <c r="F1608" s="187">
        <f>IF($K1608="","",INDEX(Zeiterfassung!$F$6:$F$3665,$K1608))</f>
        <v/>
      </c>
      <c r="G1608" s="187">
        <f>IF($K1608="","",INDEX(Zeiterfassung!$G$6:$G$3665,$K1608))</f>
        <v/>
      </c>
      <c r="H1608" s="188">
        <f>IF($K1608="","",INDEX(Zeiterfassung!$H$6:$H$3665,$K1608))</f>
        <v/>
      </c>
      <c r="I1608" s="335">
        <f>IF(B1608=B1607,"",IF($K1608="","",INDEX(Zeiterfassung!$I$6:$I$3665,MATCH(INDEX(Zeiterfassung!$K$6:$K$3665,$K1608),Zeiterfassung!$K$6:$K$3665,0))))</f>
        <v/>
      </c>
      <c r="J1608" s="335">
        <f>IF(B1608=B1607,"",IF($K1608="","",INDEX(Zeiterfassung!$J$6:$J$3665,MATCH(INDEX(Zeiterfassung!$K$6:$K$3665,$K1608),Zeiterfassung!$K$6:$K$3665,0))))</f>
        <v/>
      </c>
      <c r="K1608">
        <f>IFERROR(AGGREGATE(15,6,(ROW(Zeiterfassung!$D$6:$D$3665)-ROW(Zeiterfassung!$D$6)+1)/(Zeiterfassung!$D$6:$D$3665&lt;&gt;""),1603),"")</f>
        <v/>
      </c>
    </row>
    <row r="1609" ht="20" customHeight="1">
      <c r="A1609" s="183">
        <f>IF($K1609="","",WEEKNUM(INDEX(Zeiterfassung!$K$6:$K$3665,$K1609),21))</f>
        <v/>
      </c>
      <c r="B1609" s="184">
        <f>IF($K1609="","",INDEX(Zeiterfassung!$K$6:$K$3665,$K1609))</f>
        <v/>
      </c>
      <c r="C1609" s="185">
        <f>IF($K1609="","",INDEX(Zeiterfassung!$K$6:$K$3665,$K1609))</f>
        <v/>
      </c>
      <c r="D1609" s="186">
        <f>IF($K1609="","",INDEX(Zeiterfassung!$D$6:$D$3665,$K1609))</f>
        <v/>
      </c>
      <c r="E1609" s="186">
        <f>IF($K1609="","",INDEX(Zeiterfassung!$E$6:$E$3665,$K1609))</f>
        <v/>
      </c>
      <c r="F1609" s="187">
        <f>IF($K1609="","",INDEX(Zeiterfassung!$F$6:$F$3665,$K1609))</f>
        <v/>
      </c>
      <c r="G1609" s="187">
        <f>IF($K1609="","",INDEX(Zeiterfassung!$G$6:$G$3665,$K1609))</f>
        <v/>
      </c>
      <c r="H1609" s="188">
        <f>IF($K1609="","",INDEX(Zeiterfassung!$H$6:$H$3665,$K1609))</f>
        <v/>
      </c>
      <c r="I1609" s="335">
        <f>IF(B1609=B1608,"",IF($K1609="","",INDEX(Zeiterfassung!$I$6:$I$3665,MATCH(INDEX(Zeiterfassung!$K$6:$K$3665,$K1609),Zeiterfassung!$K$6:$K$3665,0))))</f>
        <v/>
      </c>
      <c r="J1609" s="335">
        <f>IF(B1609=B1608,"",IF($K1609="","",INDEX(Zeiterfassung!$J$6:$J$3665,MATCH(INDEX(Zeiterfassung!$K$6:$K$3665,$K1609),Zeiterfassung!$K$6:$K$3665,0))))</f>
        <v/>
      </c>
      <c r="K1609">
        <f>IFERROR(AGGREGATE(15,6,(ROW(Zeiterfassung!$D$6:$D$3665)-ROW(Zeiterfassung!$D$6)+1)/(Zeiterfassung!$D$6:$D$3665&lt;&gt;""),1604),"")</f>
        <v/>
      </c>
    </row>
    <row r="1610" ht="20" customHeight="1">
      <c r="A1610" s="183">
        <f>IF($K1610="","",WEEKNUM(INDEX(Zeiterfassung!$K$6:$K$3665,$K1610),21))</f>
        <v/>
      </c>
      <c r="B1610" s="184">
        <f>IF($K1610="","",INDEX(Zeiterfassung!$K$6:$K$3665,$K1610))</f>
        <v/>
      </c>
      <c r="C1610" s="185">
        <f>IF($K1610="","",INDEX(Zeiterfassung!$K$6:$K$3665,$K1610))</f>
        <v/>
      </c>
      <c r="D1610" s="186">
        <f>IF($K1610="","",INDEX(Zeiterfassung!$D$6:$D$3665,$K1610))</f>
        <v/>
      </c>
      <c r="E1610" s="186">
        <f>IF($K1610="","",INDEX(Zeiterfassung!$E$6:$E$3665,$K1610))</f>
        <v/>
      </c>
      <c r="F1610" s="187">
        <f>IF($K1610="","",INDEX(Zeiterfassung!$F$6:$F$3665,$K1610))</f>
        <v/>
      </c>
      <c r="G1610" s="187">
        <f>IF($K1610="","",INDEX(Zeiterfassung!$G$6:$G$3665,$K1610))</f>
        <v/>
      </c>
      <c r="H1610" s="188">
        <f>IF($K1610="","",INDEX(Zeiterfassung!$H$6:$H$3665,$K1610))</f>
        <v/>
      </c>
      <c r="I1610" s="335">
        <f>IF(B1610=B1609,"",IF($K1610="","",INDEX(Zeiterfassung!$I$6:$I$3665,MATCH(INDEX(Zeiterfassung!$K$6:$K$3665,$K1610),Zeiterfassung!$K$6:$K$3665,0))))</f>
        <v/>
      </c>
      <c r="J1610" s="335">
        <f>IF(B1610=B1609,"",IF($K1610="","",INDEX(Zeiterfassung!$J$6:$J$3665,MATCH(INDEX(Zeiterfassung!$K$6:$K$3665,$K1610),Zeiterfassung!$K$6:$K$3665,0))))</f>
        <v/>
      </c>
      <c r="K1610">
        <f>IFERROR(AGGREGATE(15,6,(ROW(Zeiterfassung!$D$6:$D$3665)-ROW(Zeiterfassung!$D$6)+1)/(Zeiterfassung!$D$6:$D$3665&lt;&gt;""),1605),"")</f>
        <v/>
      </c>
    </row>
    <row r="1611" ht="20" customHeight="1">
      <c r="A1611" s="183">
        <f>IF($K1611="","",WEEKNUM(INDEX(Zeiterfassung!$K$6:$K$3665,$K1611),21))</f>
        <v/>
      </c>
      <c r="B1611" s="184">
        <f>IF($K1611="","",INDEX(Zeiterfassung!$K$6:$K$3665,$K1611))</f>
        <v/>
      </c>
      <c r="C1611" s="185">
        <f>IF($K1611="","",INDEX(Zeiterfassung!$K$6:$K$3665,$K1611))</f>
        <v/>
      </c>
      <c r="D1611" s="186">
        <f>IF($K1611="","",INDEX(Zeiterfassung!$D$6:$D$3665,$K1611))</f>
        <v/>
      </c>
      <c r="E1611" s="186">
        <f>IF($K1611="","",INDEX(Zeiterfassung!$E$6:$E$3665,$K1611))</f>
        <v/>
      </c>
      <c r="F1611" s="187">
        <f>IF($K1611="","",INDEX(Zeiterfassung!$F$6:$F$3665,$K1611))</f>
        <v/>
      </c>
      <c r="G1611" s="187">
        <f>IF($K1611="","",INDEX(Zeiterfassung!$G$6:$G$3665,$K1611))</f>
        <v/>
      </c>
      <c r="H1611" s="188">
        <f>IF($K1611="","",INDEX(Zeiterfassung!$H$6:$H$3665,$K1611))</f>
        <v/>
      </c>
      <c r="I1611" s="335">
        <f>IF(B1611=B1610,"",IF($K1611="","",INDEX(Zeiterfassung!$I$6:$I$3665,MATCH(INDEX(Zeiterfassung!$K$6:$K$3665,$K1611),Zeiterfassung!$K$6:$K$3665,0))))</f>
        <v/>
      </c>
      <c r="J1611" s="335">
        <f>IF(B1611=B1610,"",IF($K1611="","",INDEX(Zeiterfassung!$J$6:$J$3665,MATCH(INDEX(Zeiterfassung!$K$6:$K$3665,$K1611),Zeiterfassung!$K$6:$K$3665,0))))</f>
        <v/>
      </c>
      <c r="K1611">
        <f>IFERROR(AGGREGATE(15,6,(ROW(Zeiterfassung!$D$6:$D$3665)-ROW(Zeiterfassung!$D$6)+1)/(Zeiterfassung!$D$6:$D$3665&lt;&gt;""),1606),"")</f>
        <v/>
      </c>
    </row>
    <row r="1612" ht="20" customHeight="1">
      <c r="A1612" s="183">
        <f>IF($K1612="","",WEEKNUM(INDEX(Zeiterfassung!$K$6:$K$3665,$K1612),21))</f>
        <v/>
      </c>
      <c r="B1612" s="184">
        <f>IF($K1612="","",INDEX(Zeiterfassung!$K$6:$K$3665,$K1612))</f>
        <v/>
      </c>
      <c r="C1612" s="185">
        <f>IF($K1612="","",INDEX(Zeiterfassung!$K$6:$K$3665,$K1612))</f>
        <v/>
      </c>
      <c r="D1612" s="186">
        <f>IF($K1612="","",INDEX(Zeiterfassung!$D$6:$D$3665,$K1612))</f>
        <v/>
      </c>
      <c r="E1612" s="186">
        <f>IF($K1612="","",INDEX(Zeiterfassung!$E$6:$E$3665,$K1612))</f>
        <v/>
      </c>
      <c r="F1612" s="187">
        <f>IF($K1612="","",INDEX(Zeiterfassung!$F$6:$F$3665,$K1612))</f>
        <v/>
      </c>
      <c r="G1612" s="187">
        <f>IF($K1612="","",INDEX(Zeiterfassung!$G$6:$G$3665,$K1612))</f>
        <v/>
      </c>
      <c r="H1612" s="188">
        <f>IF($K1612="","",INDEX(Zeiterfassung!$H$6:$H$3665,$K1612))</f>
        <v/>
      </c>
      <c r="I1612" s="335">
        <f>IF(B1612=B1611,"",IF($K1612="","",INDEX(Zeiterfassung!$I$6:$I$3665,MATCH(INDEX(Zeiterfassung!$K$6:$K$3665,$K1612),Zeiterfassung!$K$6:$K$3665,0))))</f>
        <v/>
      </c>
      <c r="J1612" s="335">
        <f>IF(B1612=B1611,"",IF($K1612="","",INDEX(Zeiterfassung!$J$6:$J$3665,MATCH(INDEX(Zeiterfassung!$K$6:$K$3665,$K1612),Zeiterfassung!$K$6:$K$3665,0))))</f>
        <v/>
      </c>
      <c r="K1612">
        <f>IFERROR(AGGREGATE(15,6,(ROW(Zeiterfassung!$D$6:$D$3665)-ROW(Zeiterfassung!$D$6)+1)/(Zeiterfassung!$D$6:$D$3665&lt;&gt;""),1607),"")</f>
        <v/>
      </c>
    </row>
    <row r="1613" ht="20" customHeight="1">
      <c r="A1613" s="183">
        <f>IF($K1613="","",WEEKNUM(INDEX(Zeiterfassung!$K$6:$K$3665,$K1613),21))</f>
        <v/>
      </c>
      <c r="B1613" s="184">
        <f>IF($K1613="","",INDEX(Zeiterfassung!$K$6:$K$3665,$K1613))</f>
        <v/>
      </c>
      <c r="C1613" s="185">
        <f>IF($K1613="","",INDEX(Zeiterfassung!$K$6:$K$3665,$K1613))</f>
        <v/>
      </c>
      <c r="D1613" s="186">
        <f>IF($K1613="","",INDEX(Zeiterfassung!$D$6:$D$3665,$K1613))</f>
        <v/>
      </c>
      <c r="E1613" s="186">
        <f>IF($K1613="","",INDEX(Zeiterfassung!$E$6:$E$3665,$K1613))</f>
        <v/>
      </c>
      <c r="F1613" s="187">
        <f>IF($K1613="","",INDEX(Zeiterfassung!$F$6:$F$3665,$K1613))</f>
        <v/>
      </c>
      <c r="G1613" s="187">
        <f>IF($K1613="","",INDEX(Zeiterfassung!$G$6:$G$3665,$K1613))</f>
        <v/>
      </c>
      <c r="H1613" s="188">
        <f>IF($K1613="","",INDEX(Zeiterfassung!$H$6:$H$3665,$K1613))</f>
        <v/>
      </c>
      <c r="I1613" s="335">
        <f>IF(B1613=B1612,"",IF($K1613="","",INDEX(Zeiterfassung!$I$6:$I$3665,MATCH(INDEX(Zeiterfassung!$K$6:$K$3665,$K1613),Zeiterfassung!$K$6:$K$3665,0))))</f>
        <v/>
      </c>
      <c r="J1613" s="335">
        <f>IF(B1613=B1612,"",IF($K1613="","",INDEX(Zeiterfassung!$J$6:$J$3665,MATCH(INDEX(Zeiterfassung!$K$6:$K$3665,$K1613),Zeiterfassung!$K$6:$K$3665,0))))</f>
        <v/>
      </c>
      <c r="K1613">
        <f>IFERROR(AGGREGATE(15,6,(ROW(Zeiterfassung!$D$6:$D$3665)-ROW(Zeiterfassung!$D$6)+1)/(Zeiterfassung!$D$6:$D$3665&lt;&gt;""),1608),"")</f>
        <v/>
      </c>
    </row>
    <row r="1614" ht="20" customHeight="1">
      <c r="A1614" s="183">
        <f>IF($K1614="","",WEEKNUM(INDEX(Zeiterfassung!$K$6:$K$3665,$K1614),21))</f>
        <v/>
      </c>
      <c r="B1614" s="184">
        <f>IF($K1614="","",INDEX(Zeiterfassung!$K$6:$K$3665,$K1614))</f>
        <v/>
      </c>
      <c r="C1614" s="185">
        <f>IF($K1614="","",INDEX(Zeiterfassung!$K$6:$K$3665,$K1614))</f>
        <v/>
      </c>
      <c r="D1614" s="186">
        <f>IF($K1614="","",INDEX(Zeiterfassung!$D$6:$D$3665,$K1614))</f>
        <v/>
      </c>
      <c r="E1614" s="186">
        <f>IF($K1614="","",INDEX(Zeiterfassung!$E$6:$E$3665,$K1614))</f>
        <v/>
      </c>
      <c r="F1614" s="187">
        <f>IF($K1614="","",INDEX(Zeiterfassung!$F$6:$F$3665,$K1614))</f>
        <v/>
      </c>
      <c r="G1614" s="187">
        <f>IF($K1614="","",INDEX(Zeiterfassung!$G$6:$G$3665,$K1614))</f>
        <v/>
      </c>
      <c r="H1614" s="188">
        <f>IF($K1614="","",INDEX(Zeiterfassung!$H$6:$H$3665,$K1614))</f>
        <v/>
      </c>
      <c r="I1614" s="335">
        <f>IF(B1614=B1613,"",IF($K1614="","",INDEX(Zeiterfassung!$I$6:$I$3665,MATCH(INDEX(Zeiterfassung!$K$6:$K$3665,$K1614),Zeiterfassung!$K$6:$K$3665,0))))</f>
        <v/>
      </c>
      <c r="J1614" s="335">
        <f>IF(B1614=B1613,"",IF($K1614="","",INDEX(Zeiterfassung!$J$6:$J$3665,MATCH(INDEX(Zeiterfassung!$K$6:$K$3665,$K1614),Zeiterfassung!$K$6:$K$3665,0))))</f>
        <v/>
      </c>
      <c r="K1614">
        <f>IFERROR(AGGREGATE(15,6,(ROW(Zeiterfassung!$D$6:$D$3665)-ROW(Zeiterfassung!$D$6)+1)/(Zeiterfassung!$D$6:$D$3665&lt;&gt;""),1609),"")</f>
        <v/>
      </c>
    </row>
    <row r="1615" ht="20" customHeight="1">
      <c r="A1615" s="183">
        <f>IF($K1615="","",WEEKNUM(INDEX(Zeiterfassung!$K$6:$K$3665,$K1615),21))</f>
        <v/>
      </c>
      <c r="B1615" s="184">
        <f>IF($K1615="","",INDEX(Zeiterfassung!$K$6:$K$3665,$K1615))</f>
        <v/>
      </c>
      <c r="C1615" s="185">
        <f>IF($K1615="","",INDEX(Zeiterfassung!$K$6:$K$3665,$K1615))</f>
        <v/>
      </c>
      <c r="D1615" s="186">
        <f>IF($K1615="","",INDEX(Zeiterfassung!$D$6:$D$3665,$K1615))</f>
        <v/>
      </c>
      <c r="E1615" s="186">
        <f>IF($K1615="","",INDEX(Zeiterfassung!$E$6:$E$3665,$K1615))</f>
        <v/>
      </c>
      <c r="F1615" s="187">
        <f>IF($K1615="","",INDEX(Zeiterfassung!$F$6:$F$3665,$K1615))</f>
        <v/>
      </c>
      <c r="G1615" s="187">
        <f>IF($K1615="","",INDEX(Zeiterfassung!$G$6:$G$3665,$K1615))</f>
        <v/>
      </c>
      <c r="H1615" s="188">
        <f>IF($K1615="","",INDEX(Zeiterfassung!$H$6:$H$3665,$K1615))</f>
        <v/>
      </c>
      <c r="I1615" s="335">
        <f>IF(B1615=B1614,"",IF($K1615="","",INDEX(Zeiterfassung!$I$6:$I$3665,MATCH(INDEX(Zeiterfassung!$K$6:$K$3665,$K1615),Zeiterfassung!$K$6:$K$3665,0))))</f>
        <v/>
      </c>
      <c r="J1615" s="335">
        <f>IF(B1615=B1614,"",IF($K1615="","",INDEX(Zeiterfassung!$J$6:$J$3665,MATCH(INDEX(Zeiterfassung!$K$6:$K$3665,$K1615),Zeiterfassung!$K$6:$K$3665,0))))</f>
        <v/>
      </c>
      <c r="K1615">
        <f>IFERROR(AGGREGATE(15,6,(ROW(Zeiterfassung!$D$6:$D$3665)-ROW(Zeiterfassung!$D$6)+1)/(Zeiterfassung!$D$6:$D$3665&lt;&gt;""),1610),"")</f>
        <v/>
      </c>
    </row>
    <row r="1616" ht="20" customHeight="1">
      <c r="A1616" s="183">
        <f>IF($K1616="","",WEEKNUM(INDEX(Zeiterfassung!$K$6:$K$3665,$K1616),21))</f>
        <v/>
      </c>
      <c r="B1616" s="184">
        <f>IF($K1616="","",INDEX(Zeiterfassung!$K$6:$K$3665,$K1616))</f>
        <v/>
      </c>
      <c r="C1616" s="185">
        <f>IF($K1616="","",INDEX(Zeiterfassung!$K$6:$K$3665,$K1616))</f>
        <v/>
      </c>
      <c r="D1616" s="186">
        <f>IF($K1616="","",INDEX(Zeiterfassung!$D$6:$D$3665,$K1616))</f>
        <v/>
      </c>
      <c r="E1616" s="186">
        <f>IF($K1616="","",INDEX(Zeiterfassung!$E$6:$E$3665,$K1616))</f>
        <v/>
      </c>
      <c r="F1616" s="187">
        <f>IF($K1616="","",INDEX(Zeiterfassung!$F$6:$F$3665,$K1616))</f>
        <v/>
      </c>
      <c r="G1616" s="187">
        <f>IF($K1616="","",INDEX(Zeiterfassung!$G$6:$G$3665,$K1616))</f>
        <v/>
      </c>
      <c r="H1616" s="188">
        <f>IF($K1616="","",INDEX(Zeiterfassung!$H$6:$H$3665,$K1616))</f>
        <v/>
      </c>
      <c r="I1616" s="335">
        <f>IF(B1616=B1615,"",IF($K1616="","",INDEX(Zeiterfassung!$I$6:$I$3665,MATCH(INDEX(Zeiterfassung!$K$6:$K$3665,$K1616),Zeiterfassung!$K$6:$K$3665,0))))</f>
        <v/>
      </c>
      <c r="J1616" s="335">
        <f>IF(B1616=B1615,"",IF($K1616="","",INDEX(Zeiterfassung!$J$6:$J$3665,MATCH(INDEX(Zeiterfassung!$K$6:$K$3665,$K1616),Zeiterfassung!$K$6:$K$3665,0))))</f>
        <v/>
      </c>
      <c r="K1616">
        <f>IFERROR(AGGREGATE(15,6,(ROW(Zeiterfassung!$D$6:$D$3665)-ROW(Zeiterfassung!$D$6)+1)/(Zeiterfassung!$D$6:$D$3665&lt;&gt;""),1611),"")</f>
        <v/>
      </c>
    </row>
    <row r="1617" ht="20" customHeight="1">
      <c r="A1617" s="183">
        <f>IF($K1617="","",WEEKNUM(INDEX(Zeiterfassung!$K$6:$K$3665,$K1617),21))</f>
        <v/>
      </c>
      <c r="B1617" s="184">
        <f>IF($K1617="","",INDEX(Zeiterfassung!$K$6:$K$3665,$K1617))</f>
        <v/>
      </c>
      <c r="C1617" s="185">
        <f>IF($K1617="","",INDEX(Zeiterfassung!$K$6:$K$3665,$K1617))</f>
        <v/>
      </c>
      <c r="D1617" s="186">
        <f>IF($K1617="","",INDEX(Zeiterfassung!$D$6:$D$3665,$K1617))</f>
        <v/>
      </c>
      <c r="E1617" s="186">
        <f>IF($K1617="","",INDEX(Zeiterfassung!$E$6:$E$3665,$K1617))</f>
        <v/>
      </c>
      <c r="F1617" s="187">
        <f>IF($K1617="","",INDEX(Zeiterfassung!$F$6:$F$3665,$K1617))</f>
        <v/>
      </c>
      <c r="G1617" s="187">
        <f>IF($K1617="","",INDEX(Zeiterfassung!$G$6:$G$3665,$K1617))</f>
        <v/>
      </c>
      <c r="H1617" s="188">
        <f>IF($K1617="","",INDEX(Zeiterfassung!$H$6:$H$3665,$K1617))</f>
        <v/>
      </c>
      <c r="I1617" s="335">
        <f>IF(B1617=B1616,"",IF($K1617="","",INDEX(Zeiterfassung!$I$6:$I$3665,MATCH(INDEX(Zeiterfassung!$K$6:$K$3665,$K1617),Zeiterfassung!$K$6:$K$3665,0))))</f>
        <v/>
      </c>
      <c r="J1617" s="335">
        <f>IF(B1617=B1616,"",IF($K1617="","",INDEX(Zeiterfassung!$J$6:$J$3665,MATCH(INDEX(Zeiterfassung!$K$6:$K$3665,$K1617),Zeiterfassung!$K$6:$K$3665,0))))</f>
        <v/>
      </c>
      <c r="K1617">
        <f>IFERROR(AGGREGATE(15,6,(ROW(Zeiterfassung!$D$6:$D$3665)-ROW(Zeiterfassung!$D$6)+1)/(Zeiterfassung!$D$6:$D$3665&lt;&gt;""),1612),"")</f>
        <v/>
      </c>
    </row>
    <row r="1618" ht="20" customHeight="1">
      <c r="A1618" s="183">
        <f>IF($K1618="","",WEEKNUM(INDEX(Zeiterfassung!$K$6:$K$3665,$K1618),21))</f>
        <v/>
      </c>
      <c r="B1618" s="184">
        <f>IF($K1618="","",INDEX(Zeiterfassung!$K$6:$K$3665,$K1618))</f>
        <v/>
      </c>
      <c r="C1618" s="185">
        <f>IF($K1618="","",INDEX(Zeiterfassung!$K$6:$K$3665,$K1618))</f>
        <v/>
      </c>
      <c r="D1618" s="186">
        <f>IF($K1618="","",INDEX(Zeiterfassung!$D$6:$D$3665,$K1618))</f>
        <v/>
      </c>
      <c r="E1618" s="186">
        <f>IF($K1618="","",INDEX(Zeiterfassung!$E$6:$E$3665,$K1618))</f>
        <v/>
      </c>
      <c r="F1618" s="187">
        <f>IF($K1618="","",INDEX(Zeiterfassung!$F$6:$F$3665,$K1618))</f>
        <v/>
      </c>
      <c r="G1618" s="187">
        <f>IF($K1618="","",INDEX(Zeiterfassung!$G$6:$G$3665,$K1618))</f>
        <v/>
      </c>
      <c r="H1618" s="188">
        <f>IF($K1618="","",INDEX(Zeiterfassung!$H$6:$H$3665,$K1618))</f>
        <v/>
      </c>
      <c r="I1618" s="335">
        <f>IF(B1618=B1617,"",IF($K1618="","",INDEX(Zeiterfassung!$I$6:$I$3665,MATCH(INDEX(Zeiterfassung!$K$6:$K$3665,$K1618),Zeiterfassung!$K$6:$K$3665,0))))</f>
        <v/>
      </c>
      <c r="J1618" s="335">
        <f>IF(B1618=B1617,"",IF($K1618="","",INDEX(Zeiterfassung!$J$6:$J$3665,MATCH(INDEX(Zeiterfassung!$K$6:$K$3665,$K1618),Zeiterfassung!$K$6:$K$3665,0))))</f>
        <v/>
      </c>
      <c r="K1618">
        <f>IFERROR(AGGREGATE(15,6,(ROW(Zeiterfassung!$D$6:$D$3665)-ROW(Zeiterfassung!$D$6)+1)/(Zeiterfassung!$D$6:$D$3665&lt;&gt;""),1613),"")</f>
        <v/>
      </c>
    </row>
    <row r="1619" ht="20" customHeight="1">
      <c r="A1619" s="183">
        <f>IF($K1619="","",WEEKNUM(INDEX(Zeiterfassung!$K$6:$K$3665,$K1619),21))</f>
        <v/>
      </c>
      <c r="B1619" s="184">
        <f>IF($K1619="","",INDEX(Zeiterfassung!$K$6:$K$3665,$K1619))</f>
        <v/>
      </c>
      <c r="C1619" s="185">
        <f>IF($K1619="","",INDEX(Zeiterfassung!$K$6:$K$3665,$K1619))</f>
        <v/>
      </c>
      <c r="D1619" s="186">
        <f>IF($K1619="","",INDEX(Zeiterfassung!$D$6:$D$3665,$K1619))</f>
        <v/>
      </c>
      <c r="E1619" s="186">
        <f>IF($K1619="","",INDEX(Zeiterfassung!$E$6:$E$3665,$K1619))</f>
        <v/>
      </c>
      <c r="F1619" s="187">
        <f>IF($K1619="","",INDEX(Zeiterfassung!$F$6:$F$3665,$K1619))</f>
        <v/>
      </c>
      <c r="G1619" s="187">
        <f>IF($K1619="","",INDEX(Zeiterfassung!$G$6:$G$3665,$K1619))</f>
        <v/>
      </c>
      <c r="H1619" s="188">
        <f>IF($K1619="","",INDEX(Zeiterfassung!$H$6:$H$3665,$K1619))</f>
        <v/>
      </c>
      <c r="I1619" s="335">
        <f>IF(B1619=B1618,"",IF($K1619="","",INDEX(Zeiterfassung!$I$6:$I$3665,MATCH(INDEX(Zeiterfassung!$K$6:$K$3665,$K1619),Zeiterfassung!$K$6:$K$3665,0))))</f>
        <v/>
      </c>
      <c r="J1619" s="335">
        <f>IF(B1619=B1618,"",IF($K1619="","",INDEX(Zeiterfassung!$J$6:$J$3665,MATCH(INDEX(Zeiterfassung!$K$6:$K$3665,$K1619),Zeiterfassung!$K$6:$K$3665,0))))</f>
        <v/>
      </c>
      <c r="K1619">
        <f>IFERROR(AGGREGATE(15,6,(ROW(Zeiterfassung!$D$6:$D$3665)-ROW(Zeiterfassung!$D$6)+1)/(Zeiterfassung!$D$6:$D$3665&lt;&gt;""),1614),"")</f>
        <v/>
      </c>
    </row>
    <row r="1620" ht="20" customHeight="1">
      <c r="A1620" s="183">
        <f>IF($K1620="","",WEEKNUM(INDEX(Zeiterfassung!$K$6:$K$3665,$K1620),21))</f>
        <v/>
      </c>
      <c r="B1620" s="184">
        <f>IF($K1620="","",INDEX(Zeiterfassung!$K$6:$K$3665,$K1620))</f>
        <v/>
      </c>
      <c r="C1620" s="185">
        <f>IF($K1620="","",INDEX(Zeiterfassung!$K$6:$K$3665,$K1620))</f>
        <v/>
      </c>
      <c r="D1620" s="186">
        <f>IF($K1620="","",INDEX(Zeiterfassung!$D$6:$D$3665,$K1620))</f>
        <v/>
      </c>
      <c r="E1620" s="186">
        <f>IF($K1620="","",INDEX(Zeiterfassung!$E$6:$E$3665,$K1620))</f>
        <v/>
      </c>
      <c r="F1620" s="187">
        <f>IF($K1620="","",INDEX(Zeiterfassung!$F$6:$F$3665,$K1620))</f>
        <v/>
      </c>
      <c r="G1620" s="187">
        <f>IF($K1620="","",INDEX(Zeiterfassung!$G$6:$G$3665,$K1620))</f>
        <v/>
      </c>
      <c r="H1620" s="188">
        <f>IF($K1620="","",INDEX(Zeiterfassung!$H$6:$H$3665,$K1620))</f>
        <v/>
      </c>
      <c r="I1620" s="335">
        <f>IF(B1620=B1619,"",IF($K1620="","",INDEX(Zeiterfassung!$I$6:$I$3665,MATCH(INDEX(Zeiterfassung!$K$6:$K$3665,$K1620),Zeiterfassung!$K$6:$K$3665,0))))</f>
        <v/>
      </c>
      <c r="J1620" s="335">
        <f>IF(B1620=B1619,"",IF($K1620="","",INDEX(Zeiterfassung!$J$6:$J$3665,MATCH(INDEX(Zeiterfassung!$K$6:$K$3665,$K1620),Zeiterfassung!$K$6:$K$3665,0))))</f>
        <v/>
      </c>
      <c r="K1620">
        <f>IFERROR(AGGREGATE(15,6,(ROW(Zeiterfassung!$D$6:$D$3665)-ROW(Zeiterfassung!$D$6)+1)/(Zeiterfassung!$D$6:$D$3665&lt;&gt;""),1615),"")</f>
        <v/>
      </c>
    </row>
    <row r="1621" ht="20" customHeight="1">
      <c r="A1621" s="183">
        <f>IF($K1621="","",WEEKNUM(INDEX(Zeiterfassung!$K$6:$K$3665,$K1621),21))</f>
        <v/>
      </c>
      <c r="B1621" s="184">
        <f>IF($K1621="","",INDEX(Zeiterfassung!$K$6:$K$3665,$K1621))</f>
        <v/>
      </c>
      <c r="C1621" s="185">
        <f>IF($K1621="","",INDEX(Zeiterfassung!$K$6:$K$3665,$K1621))</f>
        <v/>
      </c>
      <c r="D1621" s="186">
        <f>IF($K1621="","",INDEX(Zeiterfassung!$D$6:$D$3665,$K1621))</f>
        <v/>
      </c>
      <c r="E1621" s="186">
        <f>IF($K1621="","",INDEX(Zeiterfassung!$E$6:$E$3665,$K1621))</f>
        <v/>
      </c>
      <c r="F1621" s="187">
        <f>IF($K1621="","",INDEX(Zeiterfassung!$F$6:$F$3665,$K1621))</f>
        <v/>
      </c>
      <c r="G1621" s="187">
        <f>IF($K1621="","",INDEX(Zeiterfassung!$G$6:$G$3665,$K1621))</f>
        <v/>
      </c>
      <c r="H1621" s="188">
        <f>IF($K1621="","",INDEX(Zeiterfassung!$H$6:$H$3665,$K1621))</f>
        <v/>
      </c>
      <c r="I1621" s="335">
        <f>IF(B1621=B1620,"",IF($K1621="","",INDEX(Zeiterfassung!$I$6:$I$3665,MATCH(INDEX(Zeiterfassung!$K$6:$K$3665,$K1621),Zeiterfassung!$K$6:$K$3665,0))))</f>
        <v/>
      </c>
      <c r="J1621" s="335">
        <f>IF(B1621=B1620,"",IF($K1621="","",INDEX(Zeiterfassung!$J$6:$J$3665,MATCH(INDEX(Zeiterfassung!$K$6:$K$3665,$K1621),Zeiterfassung!$K$6:$K$3665,0))))</f>
        <v/>
      </c>
      <c r="K1621">
        <f>IFERROR(AGGREGATE(15,6,(ROW(Zeiterfassung!$D$6:$D$3665)-ROW(Zeiterfassung!$D$6)+1)/(Zeiterfassung!$D$6:$D$3665&lt;&gt;""),1616),"")</f>
        <v/>
      </c>
    </row>
    <row r="1622" ht="20" customHeight="1">
      <c r="A1622" s="183">
        <f>IF($K1622="","",WEEKNUM(INDEX(Zeiterfassung!$K$6:$K$3665,$K1622),21))</f>
        <v/>
      </c>
      <c r="B1622" s="184">
        <f>IF($K1622="","",INDEX(Zeiterfassung!$K$6:$K$3665,$K1622))</f>
        <v/>
      </c>
      <c r="C1622" s="185">
        <f>IF($K1622="","",INDEX(Zeiterfassung!$K$6:$K$3665,$K1622))</f>
        <v/>
      </c>
      <c r="D1622" s="186">
        <f>IF($K1622="","",INDEX(Zeiterfassung!$D$6:$D$3665,$K1622))</f>
        <v/>
      </c>
      <c r="E1622" s="186">
        <f>IF($K1622="","",INDEX(Zeiterfassung!$E$6:$E$3665,$K1622))</f>
        <v/>
      </c>
      <c r="F1622" s="187">
        <f>IF($K1622="","",INDEX(Zeiterfassung!$F$6:$F$3665,$K1622))</f>
        <v/>
      </c>
      <c r="G1622" s="187">
        <f>IF($K1622="","",INDEX(Zeiterfassung!$G$6:$G$3665,$K1622))</f>
        <v/>
      </c>
      <c r="H1622" s="188">
        <f>IF($K1622="","",INDEX(Zeiterfassung!$H$6:$H$3665,$K1622))</f>
        <v/>
      </c>
      <c r="I1622" s="335">
        <f>IF(B1622=B1621,"",IF($K1622="","",INDEX(Zeiterfassung!$I$6:$I$3665,MATCH(INDEX(Zeiterfassung!$K$6:$K$3665,$K1622),Zeiterfassung!$K$6:$K$3665,0))))</f>
        <v/>
      </c>
      <c r="J1622" s="335">
        <f>IF(B1622=B1621,"",IF($K1622="","",INDEX(Zeiterfassung!$J$6:$J$3665,MATCH(INDEX(Zeiterfassung!$K$6:$K$3665,$K1622),Zeiterfassung!$K$6:$K$3665,0))))</f>
        <v/>
      </c>
      <c r="K1622">
        <f>IFERROR(AGGREGATE(15,6,(ROW(Zeiterfassung!$D$6:$D$3665)-ROW(Zeiterfassung!$D$6)+1)/(Zeiterfassung!$D$6:$D$3665&lt;&gt;""),1617),"")</f>
        <v/>
      </c>
    </row>
    <row r="1623" ht="20" customHeight="1">
      <c r="A1623" s="183">
        <f>IF($K1623="","",WEEKNUM(INDEX(Zeiterfassung!$K$6:$K$3665,$K1623),21))</f>
        <v/>
      </c>
      <c r="B1623" s="184">
        <f>IF($K1623="","",INDEX(Zeiterfassung!$K$6:$K$3665,$K1623))</f>
        <v/>
      </c>
      <c r="C1623" s="185">
        <f>IF($K1623="","",INDEX(Zeiterfassung!$K$6:$K$3665,$K1623))</f>
        <v/>
      </c>
      <c r="D1623" s="186">
        <f>IF($K1623="","",INDEX(Zeiterfassung!$D$6:$D$3665,$K1623))</f>
        <v/>
      </c>
      <c r="E1623" s="186">
        <f>IF($K1623="","",INDEX(Zeiterfassung!$E$6:$E$3665,$K1623))</f>
        <v/>
      </c>
      <c r="F1623" s="187">
        <f>IF($K1623="","",INDEX(Zeiterfassung!$F$6:$F$3665,$K1623))</f>
        <v/>
      </c>
      <c r="G1623" s="187">
        <f>IF($K1623="","",INDEX(Zeiterfassung!$G$6:$G$3665,$K1623))</f>
        <v/>
      </c>
      <c r="H1623" s="188">
        <f>IF($K1623="","",INDEX(Zeiterfassung!$H$6:$H$3665,$K1623))</f>
        <v/>
      </c>
      <c r="I1623" s="335">
        <f>IF(B1623=B1622,"",IF($K1623="","",INDEX(Zeiterfassung!$I$6:$I$3665,MATCH(INDEX(Zeiterfassung!$K$6:$K$3665,$K1623),Zeiterfassung!$K$6:$K$3665,0))))</f>
        <v/>
      </c>
      <c r="J1623" s="335">
        <f>IF(B1623=B1622,"",IF($K1623="","",INDEX(Zeiterfassung!$J$6:$J$3665,MATCH(INDEX(Zeiterfassung!$K$6:$K$3665,$K1623),Zeiterfassung!$K$6:$K$3665,0))))</f>
        <v/>
      </c>
      <c r="K1623">
        <f>IFERROR(AGGREGATE(15,6,(ROW(Zeiterfassung!$D$6:$D$3665)-ROW(Zeiterfassung!$D$6)+1)/(Zeiterfassung!$D$6:$D$3665&lt;&gt;""),1618),"")</f>
        <v/>
      </c>
    </row>
    <row r="1624" ht="20" customHeight="1">
      <c r="A1624" s="183">
        <f>IF($K1624="","",WEEKNUM(INDEX(Zeiterfassung!$K$6:$K$3665,$K1624),21))</f>
        <v/>
      </c>
      <c r="B1624" s="184">
        <f>IF($K1624="","",INDEX(Zeiterfassung!$K$6:$K$3665,$K1624))</f>
        <v/>
      </c>
      <c r="C1624" s="185">
        <f>IF($K1624="","",INDEX(Zeiterfassung!$K$6:$K$3665,$K1624))</f>
        <v/>
      </c>
      <c r="D1624" s="186">
        <f>IF($K1624="","",INDEX(Zeiterfassung!$D$6:$D$3665,$K1624))</f>
        <v/>
      </c>
      <c r="E1624" s="186">
        <f>IF($K1624="","",INDEX(Zeiterfassung!$E$6:$E$3665,$K1624))</f>
        <v/>
      </c>
      <c r="F1624" s="187">
        <f>IF($K1624="","",INDEX(Zeiterfassung!$F$6:$F$3665,$K1624))</f>
        <v/>
      </c>
      <c r="G1624" s="187">
        <f>IF($K1624="","",INDEX(Zeiterfassung!$G$6:$G$3665,$K1624))</f>
        <v/>
      </c>
      <c r="H1624" s="188">
        <f>IF($K1624="","",INDEX(Zeiterfassung!$H$6:$H$3665,$K1624))</f>
        <v/>
      </c>
      <c r="I1624" s="335">
        <f>IF(B1624=B1623,"",IF($K1624="","",INDEX(Zeiterfassung!$I$6:$I$3665,MATCH(INDEX(Zeiterfassung!$K$6:$K$3665,$K1624),Zeiterfassung!$K$6:$K$3665,0))))</f>
        <v/>
      </c>
      <c r="J1624" s="335">
        <f>IF(B1624=B1623,"",IF($K1624="","",INDEX(Zeiterfassung!$J$6:$J$3665,MATCH(INDEX(Zeiterfassung!$K$6:$K$3665,$K1624),Zeiterfassung!$K$6:$K$3665,0))))</f>
        <v/>
      </c>
      <c r="K1624">
        <f>IFERROR(AGGREGATE(15,6,(ROW(Zeiterfassung!$D$6:$D$3665)-ROW(Zeiterfassung!$D$6)+1)/(Zeiterfassung!$D$6:$D$3665&lt;&gt;""),1619),"")</f>
        <v/>
      </c>
    </row>
    <row r="1625" ht="20" customHeight="1">
      <c r="A1625" s="183">
        <f>IF($K1625="","",WEEKNUM(INDEX(Zeiterfassung!$K$6:$K$3665,$K1625),21))</f>
        <v/>
      </c>
      <c r="B1625" s="184">
        <f>IF($K1625="","",INDEX(Zeiterfassung!$K$6:$K$3665,$K1625))</f>
        <v/>
      </c>
      <c r="C1625" s="185">
        <f>IF($K1625="","",INDEX(Zeiterfassung!$K$6:$K$3665,$K1625))</f>
        <v/>
      </c>
      <c r="D1625" s="186">
        <f>IF($K1625="","",INDEX(Zeiterfassung!$D$6:$D$3665,$K1625))</f>
        <v/>
      </c>
      <c r="E1625" s="186">
        <f>IF($K1625="","",INDEX(Zeiterfassung!$E$6:$E$3665,$K1625))</f>
        <v/>
      </c>
      <c r="F1625" s="187">
        <f>IF($K1625="","",INDEX(Zeiterfassung!$F$6:$F$3665,$K1625))</f>
        <v/>
      </c>
      <c r="G1625" s="187">
        <f>IF($K1625="","",INDEX(Zeiterfassung!$G$6:$G$3665,$K1625))</f>
        <v/>
      </c>
      <c r="H1625" s="188">
        <f>IF($K1625="","",INDEX(Zeiterfassung!$H$6:$H$3665,$K1625))</f>
        <v/>
      </c>
      <c r="I1625" s="335">
        <f>IF(B1625=B1624,"",IF($K1625="","",INDEX(Zeiterfassung!$I$6:$I$3665,MATCH(INDEX(Zeiterfassung!$K$6:$K$3665,$K1625),Zeiterfassung!$K$6:$K$3665,0))))</f>
        <v/>
      </c>
      <c r="J1625" s="335">
        <f>IF(B1625=B1624,"",IF($K1625="","",INDEX(Zeiterfassung!$J$6:$J$3665,MATCH(INDEX(Zeiterfassung!$K$6:$K$3665,$K1625),Zeiterfassung!$K$6:$K$3665,0))))</f>
        <v/>
      </c>
      <c r="K1625">
        <f>IFERROR(AGGREGATE(15,6,(ROW(Zeiterfassung!$D$6:$D$3665)-ROW(Zeiterfassung!$D$6)+1)/(Zeiterfassung!$D$6:$D$3665&lt;&gt;""),1620),"")</f>
        <v/>
      </c>
    </row>
    <row r="1626" ht="20" customHeight="1">
      <c r="A1626" s="183">
        <f>IF($K1626="","",WEEKNUM(INDEX(Zeiterfassung!$K$6:$K$3665,$K1626),21))</f>
        <v/>
      </c>
      <c r="B1626" s="184">
        <f>IF($K1626="","",INDEX(Zeiterfassung!$K$6:$K$3665,$K1626))</f>
        <v/>
      </c>
      <c r="C1626" s="185">
        <f>IF($K1626="","",INDEX(Zeiterfassung!$K$6:$K$3665,$K1626))</f>
        <v/>
      </c>
      <c r="D1626" s="186">
        <f>IF($K1626="","",INDEX(Zeiterfassung!$D$6:$D$3665,$K1626))</f>
        <v/>
      </c>
      <c r="E1626" s="186">
        <f>IF($K1626="","",INDEX(Zeiterfassung!$E$6:$E$3665,$K1626))</f>
        <v/>
      </c>
      <c r="F1626" s="187">
        <f>IF($K1626="","",INDEX(Zeiterfassung!$F$6:$F$3665,$K1626))</f>
        <v/>
      </c>
      <c r="G1626" s="187">
        <f>IF($K1626="","",INDEX(Zeiterfassung!$G$6:$G$3665,$K1626))</f>
        <v/>
      </c>
      <c r="H1626" s="188">
        <f>IF($K1626="","",INDEX(Zeiterfassung!$H$6:$H$3665,$K1626))</f>
        <v/>
      </c>
      <c r="I1626" s="335">
        <f>IF(B1626=B1625,"",IF($K1626="","",INDEX(Zeiterfassung!$I$6:$I$3665,MATCH(INDEX(Zeiterfassung!$K$6:$K$3665,$K1626),Zeiterfassung!$K$6:$K$3665,0))))</f>
        <v/>
      </c>
      <c r="J1626" s="335">
        <f>IF(B1626=B1625,"",IF($K1626="","",INDEX(Zeiterfassung!$J$6:$J$3665,MATCH(INDEX(Zeiterfassung!$K$6:$K$3665,$K1626),Zeiterfassung!$K$6:$K$3665,0))))</f>
        <v/>
      </c>
      <c r="K1626">
        <f>IFERROR(AGGREGATE(15,6,(ROW(Zeiterfassung!$D$6:$D$3665)-ROW(Zeiterfassung!$D$6)+1)/(Zeiterfassung!$D$6:$D$3665&lt;&gt;""),1621),"")</f>
        <v/>
      </c>
    </row>
    <row r="1627" ht="20" customHeight="1">
      <c r="A1627" s="183">
        <f>IF($K1627="","",WEEKNUM(INDEX(Zeiterfassung!$K$6:$K$3665,$K1627),21))</f>
        <v/>
      </c>
      <c r="B1627" s="184">
        <f>IF($K1627="","",INDEX(Zeiterfassung!$K$6:$K$3665,$K1627))</f>
        <v/>
      </c>
      <c r="C1627" s="185">
        <f>IF($K1627="","",INDEX(Zeiterfassung!$K$6:$K$3665,$K1627))</f>
        <v/>
      </c>
      <c r="D1627" s="186">
        <f>IF($K1627="","",INDEX(Zeiterfassung!$D$6:$D$3665,$K1627))</f>
        <v/>
      </c>
      <c r="E1627" s="186">
        <f>IF($K1627="","",INDEX(Zeiterfassung!$E$6:$E$3665,$K1627))</f>
        <v/>
      </c>
      <c r="F1627" s="187">
        <f>IF($K1627="","",INDEX(Zeiterfassung!$F$6:$F$3665,$K1627))</f>
        <v/>
      </c>
      <c r="G1627" s="187">
        <f>IF($K1627="","",INDEX(Zeiterfassung!$G$6:$G$3665,$K1627))</f>
        <v/>
      </c>
      <c r="H1627" s="188">
        <f>IF($K1627="","",INDEX(Zeiterfassung!$H$6:$H$3665,$K1627))</f>
        <v/>
      </c>
      <c r="I1627" s="335">
        <f>IF(B1627=B1626,"",IF($K1627="","",INDEX(Zeiterfassung!$I$6:$I$3665,MATCH(INDEX(Zeiterfassung!$K$6:$K$3665,$K1627),Zeiterfassung!$K$6:$K$3665,0))))</f>
        <v/>
      </c>
      <c r="J1627" s="335">
        <f>IF(B1627=B1626,"",IF($K1627="","",INDEX(Zeiterfassung!$J$6:$J$3665,MATCH(INDEX(Zeiterfassung!$K$6:$K$3665,$K1627),Zeiterfassung!$K$6:$K$3665,0))))</f>
        <v/>
      </c>
      <c r="K1627">
        <f>IFERROR(AGGREGATE(15,6,(ROW(Zeiterfassung!$D$6:$D$3665)-ROW(Zeiterfassung!$D$6)+1)/(Zeiterfassung!$D$6:$D$3665&lt;&gt;""),1622),"")</f>
        <v/>
      </c>
    </row>
    <row r="1628" ht="20" customHeight="1">
      <c r="A1628" s="183">
        <f>IF($K1628="","",WEEKNUM(INDEX(Zeiterfassung!$K$6:$K$3665,$K1628),21))</f>
        <v/>
      </c>
      <c r="B1628" s="184">
        <f>IF($K1628="","",INDEX(Zeiterfassung!$K$6:$K$3665,$K1628))</f>
        <v/>
      </c>
      <c r="C1628" s="185">
        <f>IF($K1628="","",INDEX(Zeiterfassung!$K$6:$K$3665,$K1628))</f>
        <v/>
      </c>
      <c r="D1628" s="186">
        <f>IF($K1628="","",INDEX(Zeiterfassung!$D$6:$D$3665,$K1628))</f>
        <v/>
      </c>
      <c r="E1628" s="186">
        <f>IF($K1628="","",INDEX(Zeiterfassung!$E$6:$E$3665,$K1628))</f>
        <v/>
      </c>
      <c r="F1628" s="187">
        <f>IF($K1628="","",INDEX(Zeiterfassung!$F$6:$F$3665,$K1628))</f>
        <v/>
      </c>
      <c r="G1628" s="187">
        <f>IF($K1628="","",INDEX(Zeiterfassung!$G$6:$G$3665,$K1628))</f>
        <v/>
      </c>
      <c r="H1628" s="188">
        <f>IF($K1628="","",INDEX(Zeiterfassung!$H$6:$H$3665,$K1628))</f>
        <v/>
      </c>
      <c r="I1628" s="335">
        <f>IF(B1628=B1627,"",IF($K1628="","",INDEX(Zeiterfassung!$I$6:$I$3665,MATCH(INDEX(Zeiterfassung!$K$6:$K$3665,$K1628),Zeiterfassung!$K$6:$K$3665,0))))</f>
        <v/>
      </c>
      <c r="J1628" s="335">
        <f>IF(B1628=B1627,"",IF($K1628="","",INDEX(Zeiterfassung!$J$6:$J$3665,MATCH(INDEX(Zeiterfassung!$K$6:$K$3665,$K1628),Zeiterfassung!$K$6:$K$3665,0))))</f>
        <v/>
      </c>
      <c r="K1628">
        <f>IFERROR(AGGREGATE(15,6,(ROW(Zeiterfassung!$D$6:$D$3665)-ROW(Zeiterfassung!$D$6)+1)/(Zeiterfassung!$D$6:$D$3665&lt;&gt;""),1623),"")</f>
        <v/>
      </c>
    </row>
    <row r="1629" ht="20" customHeight="1">
      <c r="A1629" s="183">
        <f>IF($K1629="","",WEEKNUM(INDEX(Zeiterfassung!$K$6:$K$3665,$K1629),21))</f>
        <v/>
      </c>
      <c r="B1629" s="184">
        <f>IF($K1629="","",INDEX(Zeiterfassung!$K$6:$K$3665,$K1629))</f>
        <v/>
      </c>
      <c r="C1629" s="185">
        <f>IF($K1629="","",INDEX(Zeiterfassung!$K$6:$K$3665,$K1629))</f>
        <v/>
      </c>
      <c r="D1629" s="186">
        <f>IF($K1629="","",INDEX(Zeiterfassung!$D$6:$D$3665,$K1629))</f>
        <v/>
      </c>
      <c r="E1629" s="186">
        <f>IF($K1629="","",INDEX(Zeiterfassung!$E$6:$E$3665,$K1629))</f>
        <v/>
      </c>
      <c r="F1629" s="187">
        <f>IF($K1629="","",INDEX(Zeiterfassung!$F$6:$F$3665,$K1629))</f>
        <v/>
      </c>
      <c r="G1629" s="187">
        <f>IF($K1629="","",INDEX(Zeiterfassung!$G$6:$G$3665,$K1629))</f>
        <v/>
      </c>
      <c r="H1629" s="188">
        <f>IF($K1629="","",INDEX(Zeiterfassung!$H$6:$H$3665,$K1629))</f>
        <v/>
      </c>
      <c r="I1629" s="335">
        <f>IF(B1629=B1628,"",IF($K1629="","",INDEX(Zeiterfassung!$I$6:$I$3665,MATCH(INDEX(Zeiterfassung!$K$6:$K$3665,$K1629),Zeiterfassung!$K$6:$K$3665,0))))</f>
        <v/>
      </c>
      <c r="J1629" s="335">
        <f>IF(B1629=B1628,"",IF($K1629="","",INDEX(Zeiterfassung!$J$6:$J$3665,MATCH(INDEX(Zeiterfassung!$K$6:$K$3665,$K1629),Zeiterfassung!$K$6:$K$3665,0))))</f>
        <v/>
      </c>
      <c r="K1629">
        <f>IFERROR(AGGREGATE(15,6,(ROW(Zeiterfassung!$D$6:$D$3665)-ROW(Zeiterfassung!$D$6)+1)/(Zeiterfassung!$D$6:$D$3665&lt;&gt;""),1624),"")</f>
        <v/>
      </c>
    </row>
    <row r="1630" ht="20" customHeight="1">
      <c r="A1630" s="183">
        <f>IF($K1630="","",WEEKNUM(INDEX(Zeiterfassung!$K$6:$K$3665,$K1630),21))</f>
        <v/>
      </c>
      <c r="B1630" s="184">
        <f>IF($K1630="","",INDEX(Zeiterfassung!$K$6:$K$3665,$K1630))</f>
        <v/>
      </c>
      <c r="C1630" s="185">
        <f>IF($K1630="","",INDEX(Zeiterfassung!$K$6:$K$3665,$K1630))</f>
        <v/>
      </c>
      <c r="D1630" s="186">
        <f>IF($K1630="","",INDEX(Zeiterfassung!$D$6:$D$3665,$K1630))</f>
        <v/>
      </c>
      <c r="E1630" s="186">
        <f>IF($K1630="","",INDEX(Zeiterfassung!$E$6:$E$3665,$K1630))</f>
        <v/>
      </c>
      <c r="F1630" s="187">
        <f>IF($K1630="","",INDEX(Zeiterfassung!$F$6:$F$3665,$K1630))</f>
        <v/>
      </c>
      <c r="G1630" s="187">
        <f>IF($K1630="","",INDEX(Zeiterfassung!$G$6:$G$3665,$K1630))</f>
        <v/>
      </c>
      <c r="H1630" s="188">
        <f>IF($K1630="","",INDEX(Zeiterfassung!$H$6:$H$3665,$K1630))</f>
        <v/>
      </c>
      <c r="I1630" s="335">
        <f>IF(B1630=B1629,"",IF($K1630="","",INDEX(Zeiterfassung!$I$6:$I$3665,MATCH(INDEX(Zeiterfassung!$K$6:$K$3665,$K1630),Zeiterfassung!$K$6:$K$3665,0))))</f>
        <v/>
      </c>
      <c r="J1630" s="335">
        <f>IF(B1630=B1629,"",IF($K1630="","",INDEX(Zeiterfassung!$J$6:$J$3665,MATCH(INDEX(Zeiterfassung!$K$6:$K$3665,$K1630),Zeiterfassung!$K$6:$K$3665,0))))</f>
        <v/>
      </c>
      <c r="K1630">
        <f>IFERROR(AGGREGATE(15,6,(ROW(Zeiterfassung!$D$6:$D$3665)-ROW(Zeiterfassung!$D$6)+1)/(Zeiterfassung!$D$6:$D$3665&lt;&gt;""),1625),"")</f>
        <v/>
      </c>
    </row>
    <row r="1631" ht="20" customHeight="1">
      <c r="A1631" s="183">
        <f>IF($K1631="","",WEEKNUM(INDEX(Zeiterfassung!$K$6:$K$3665,$K1631),21))</f>
        <v/>
      </c>
      <c r="B1631" s="184">
        <f>IF($K1631="","",INDEX(Zeiterfassung!$K$6:$K$3665,$K1631))</f>
        <v/>
      </c>
      <c r="C1631" s="185">
        <f>IF($K1631="","",INDEX(Zeiterfassung!$K$6:$K$3665,$K1631))</f>
        <v/>
      </c>
      <c r="D1631" s="186">
        <f>IF($K1631="","",INDEX(Zeiterfassung!$D$6:$D$3665,$K1631))</f>
        <v/>
      </c>
      <c r="E1631" s="186">
        <f>IF($K1631="","",INDEX(Zeiterfassung!$E$6:$E$3665,$K1631))</f>
        <v/>
      </c>
      <c r="F1631" s="187">
        <f>IF($K1631="","",INDEX(Zeiterfassung!$F$6:$F$3665,$K1631))</f>
        <v/>
      </c>
      <c r="G1631" s="187">
        <f>IF($K1631="","",INDEX(Zeiterfassung!$G$6:$G$3665,$K1631))</f>
        <v/>
      </c>
      <c r="H1631" s="188">
        <f>IF($K1631="","",INDEX(Zeiterfassung!$H$6:$H$3665,$K1631))</f>
        <v/>
      </c>
      <c r="I1631" s="335">
        <f>IF(B1631=B1630,"",IF($K1631="","",INDEX(Zeiterfassung!$I$6:$I$3665,MATCH(INDEX(Zeiterfassung!$K$6:$K$3665,$K1631),Zeiterfassung!$K$6:$K$3665,0))))</f>
        <v/>
      </c>
      <c r="J1631" s="335">
        <f>IF(B1631=B1630,"",IF($K1631="","",INDEX(Zeiterfassung!$J$6:$J$3665,MATCH(INDEX(Zeiterfassung!$K$6:$K$3665,$K1631),Zeiterfassung!$K$6:$K$3665,0))))</f>
        <v/>
      </c>
      <c r="K1631">
        <f>IFERROR(AGGREGATE(15,6,(ROW(Zeiterfassung!$D$6:$D$3665)-ROW(Zeiterfassung!$D$6)+1)/(Zeiterfassung!$D$6:$D$3665&lt;&gt;""),1626),"")</f>
        <v/>
      </c>
    </row>
    <row r="1632" ht="20" customHeight="1">
      <c r="A1632" s="183">
        <f>IF($K1632="","",WEEKNUM(INDEX(Zeiterfassung!$K$6:$K$3665,$K1632),21))</f>
        <v/>
      </c>
      <c r="B1632" s="184">
        <f>IF($K1632="","",INDEX(Zeiterfassung!$K$6:$K$3665,$K1632))</f>
        <v/>
      </c>
      <c r="C1632" s="185">
        <f>IF($K1632="","",INDEX(Zeiterfassung!$K$6:$K$3665,$K1632))</f>
        <v/>
      </c>
      <c r="D1632" s="186">
        <f>IF($K1632="","",INDEX(Zeiterfassung!$D$6:$D$3665,$K1632))</f>
        <v/>
      </c>
      <c r="E1632" s="186">
        <f>IF($K1632="","",INDEX(Zeiterfassung!$E$6:$E$3665,$K1632))</f>
        <v/>
      </c>
      <c r="F1632" s="187">
        <f>IF($K1632="","",INDEX(Zeiterfassung!$F$6:$F$3665,$K1632))</f>
        <v/>
      </c>
      <c r="G1632" s="187">
        <f>IF($K1632="","",INDEX(Zeiterfassung!$G$6:$G$3665,$K1632))</f>
        <v/>
      </c>
      <c r="H1632" s="188">
        <f>IF($K1632="","",INDEX(Zeiterfassung!$H$6:$H$3665,$K1632))</f>
        <v/>
      </c>
      <c r="I1632" s="335">
        <f>IF(B1632=B1631,"",IF($K1632="","",INDEX(Zeiterfassung!$I$6:$I$3665,MATCH(INDEX(Zeiterfassung!$K$6:$K$3665,$K1632),Zeiterfassung!$K$6:$K$3665,0))))</f>
        <v/>
      </c>
      <c r="J1632" s="335">
        <f>IF(B1632=B1631,"",IF($K1632="","",INDEX(Zeiterfassung!$J$6:$J$3665,MATCH(INDEX(Zeiterfassung!$K$6:$K$3665,$K1632),Zeiterfassung!$K$6:$K$3665,0))))</f>
        <v/>
      </c>
      <c r="K1632">
        <f>IFERROR(AGGREGATE(15,6,(ROW(Zeiterfassung!$D$6:$D$3665)-ROW(Zeiterfassung!$D$6)+1)/(Zeiterfassung!$D$6:$D$3665&lt;&gt;""),1627),"")</f>
        <v/>
      </c>
    </row>
    <row r="1633" ht="20" customHeight="1">
      <c r="A1633" s="183">
        <f>IF($K1633="","",WEEKNUM(INDEX(Zeiterfassung!$K$6:$K$3665,$K1633),21))</f>
        <v/>
      </c>
      <c r="B1633" s="184">
        <f>IF($K1633="","",INDEX(Zeiterfassung!$K$6:$K$3665,$K1633))</f>
        <v/>
      </c>
      <c r="C1633" s="185">
        <f>IF($K1633="","",INDEX(Zeiterfassung!$K$6:$K$3665,$K1633))</f>
        <v/>
      </c>
      <c r="D1633" s="186">
        <f>IF($K1633="","",INDEX(Zeiterfassung!$D$6:$D$3665,$K1633))</f>
        <v/>
      </c>
      <c r="E1633" s="186">
        <f>IF($K1633="","",INDEX(Zeiterfassung!$E$6:$E$3665,$K1633))</f>
        <v/>
      </c>
      <c r="F1633" s="187">
        <f>IF($K1633="","",INDEX(Zeiterfassung!$F$6:$F$3665,$K1633))</f>
        <v/>
      </c>
      <c r="G1633" s="187">
        <f>IF($K1633="","",INDEX(Zeiterfassung!$G$6:$G$3665,$K1633))</f>
        <v/>
      </c>
      <c r="H1633" s="188">
        <f>IF($K1633="","",INDEX(Zeiterfassung!$H$6:$H$3665,$K1633))</f>
        <v/>
      </c>
      <c r="I1633" s="335">
        <f>IF(B1633=B1632,"",IF($K1633="","",INDEX(Zeiterfassung!$I$6:$I$3665,MATCH(INDEX(Zeiterfassung!$K$6:$K$3665,$K1633),Zeiterfassung!$K$6:$K$3665,0))))</f>
        <v/>
      </c>
      <c r="J1633" s="335">
        <f>IF(B1633=B1632,"",IF($K1633="","",INDEX(Zeiterfassung!$J$6:$J$3665,MATCH(INDEX(Zeiterfassung!$K$6:$K$3665,$K1633),Zeiterfassung!$K$6:$K$3665,0))))</f>
        <v/>
      </c>
      <c r="K1633">
        <f>IFERROR(AGGREGATE(15,6,(ROW(Zeiterfassung!$D$6:$D$3665)-ROW(Zeiterfassung!$D$6)+1)/(Zeiterfassung!$D$6:$D$3665&lt;&gt;""),1628),"")</f>
        <v/>
      </c>
    </row>
    <row r="1634" ht="20" customHeight="1">
      <c r="A1634" s="183">
        <f>IF($K1634="","",WEEKNUM(INDEX(Zeiterfassung!$K$6:$K$3665,$K1634),21))</f>
        <v/>
      </c>
      <c r="B1634" s="184">
        <f>IF($K1634="","",INDEX(Zeiterfassung!$K$6:$K$3665,$K1634))</f>
        <v/>
      </c>
      <c r="C1634" s="185">
        <f>IF($K1634="","",INDEX(Zeiterfassung!$K$6:$K$3665,$K1634))</f>
        <v/>
      </c>
      <c r="D1634" s="186">
        <f>IF($K1634="","",INDEX(Zeiterfassung!$D$6:$D$3665,$K1634))</f>
        <v/>
      </c>
      <c r="E1634" s="186">
        <f>IF($K1634="","",INDEX(Zeiterfassung!$E$6:$E$3665,$K1634))</f>
        <v/>
      </c>
      <c r="F1634" s="187">
        <f>IF($K1634="","",INDEX(Zeiterfassung!$F$6:$F$3665,$K1634))</f>
        <v/>
      </c>
      <c r="G1634" s="187">
        <f>IF($K1634="","",INDEX(Zeiterfassung!$G$6:$G$3665,$K1634))</f>
        <v/>
      </c>
      <c r="H1634" s="188">
        <f>IF($K1634="","",INDEX(Zeiterfassung!$H$6:$H$3665,$K1634))</f>
        <v/>
      </c>
      <c r="I1634" s="335">
        <f>IF(B1634=B1633,"",IF($K1634="","",INDEX(Zeiterfassung!$I$6:$I$3665,MATCH(INDEX(Zeiterfassung!$K$6:$K$3665,$K1634),Zeiterfassung!$K$6:$K$3665,0))))</f>
        <v/>
      </c>
      <c r="J1634" s="335">
        <f>IF(B1634=B1633,"",IF($K1634="","",INDEX(Zeiterfassung!$J$6:$J$3665,MATCH(INDEX(Zeiterfassung!$K$6:$K$3665,$K1634),Zeiterfassung!$K$6:$K$3665,0))))</f>
        <v/>
      </c>
      <c r="K1634">
        <f>IFERROR(AGGREGATE(15,6,(ROW(Zeiterfassung!$D$6:$D$3665)-ROW(Zeiterfassung!$D$6)+1)/(Zeiterfassung!$D$6:$D$3665&lt;&gt;""),1629),"")</f>
        <v/>
      </c>
    </row>
    <row r="1635" ht="20" customHeight="1">
      <c r="A1635" s="183">
        <f>IF($K1635="","",WEEKNUM(INDEX(Zeiterfassung!$K$6:$K$3665,$K1635),21))</f>
        <v/>
      </c>
      <c r="B1635" s="184">
        <f>IF($K1635="","",INDEX(Zeiterfassung!$K$6:$K$3665,$K1635))</f>
        <v/>
      </c>
      <c r="C1635" s="185">
        <f>IF($K1635="","",INDEX(Zeiterfassung!$K$6:$K$3665,$K1635))</f>
        <v/>
      </c>
      <c r="D1635" s="186">
        <f>IF($K1635="","",INDEX(Zeiterfassung!$D$6:$D$3665,$K1635))</f>
        <v/>
      </c>
      <c r="E1635" s="186">
        <f>IF($K1635="","",INDEX(Zeiterfassung!$E$6:$E$3665,$K1635))</f>
        <v/>
      </c>
      <c r="F1635" s="187">
        <f>IF($K1635="","",INDEX(Zeiterfassung!$F$6:$F$3665,$K1635))</f>
        <v/>
      </c>
      <c r="G1635" s="187">
        <f>IF($K1635="","",INDEX(Zeiterfassung!$G$6:$G$3665,$K1635))</f>
        <v/>
      </c>
      <c r="H1635" s="188">
        <f>IF($K1635="","",INDEX(Zeiterfassung!$H$6:$H$3665,$K1635))</f>
        <v/>
      </c>
      <c r="I1635" s="335">
        <f>IF(B1635=B1634,"",IF($K1635="","",INDEX(Zeiterfassung!$I$6:$I$3665,MATCH(INDEX(Zeiterfassung!$K$6:$K$3665,$K1635),Zeiterfassung!$K$6:$K$3665,0))))</f>
        <v/>
      </c>
      <c r="J1635" s="335">
        <f>IF(B1635=B1634,"",IF($K1635="","",INDEX(Zeiterfassung!$J$6:$J$3665,MATCH(INDEX(Zeiterfassung!$K$6:$K$3665,$K1635),Zeiterfassung!$K$6:$K$3665,0))))</f>
        <v/>
      </c>
      <c r="K1635">
        <f>IFERROR(AGGREGATE(15,6,(ROW(Zeiterfassung!$D$6:$D$3665)-ROW(Zeiterfassung!$D$6)+1)/(Zeiterfassung!$D$6:$D$3665&lt;&gt;""),1630),"")</f>
        <v/>
      </c>
    </row>
    <row r="1636" ht="20" customHeight="1">
      <c r="A1636" s="183">
        <f>IF($K1636="","",WEEKNUM(INDEX(Zeiterfassung!$K$6:$K$3665,$K1636),21))</f>
        <v/>
      </c>
      <c r="B1636" s="184">
        <f>IF($K1636="","",INDEX(Zeiterfassung!$K$6:$K$3665,$K1636))</f>
        <v/>
      </c>
      <c r="C1636" s="185">
        <f>IF($K1636="","",INDEX(Zeiterfassung!$K$6:$K$3665,$K1636))</f>
        <v/>
      </c>
      <c r="D1636" s="186">
        <f>IF($K1636="","",INDEX(Zeiterfassung!$D$6:$D$3665,$K1636))</f>
        <v/>
      </c>
      <c r="E1636" s="186">
        <f>IF($K1636="","",INDEX(Zeiterfassung!$E$6:$E$3665,$K1636))</f>
        <v/>
      </c>
      <c r="F1636" s="187">
        <f>IF($K1636="","",INDEX(Zeiterfassung!$F$6:$F$3665,$K1636))</f>
        <v/>
      </c>
      <c r="G1636" s="187">
        <f>IF($K1636="","",INDEX(Zeiterfassung!$G$6:$G$3665,$K1636))</f>
        <v/>
      </c>
      <c r="H1636" s="188">
        <f>IF($K1636="","",INDEX(Zeiterfassung!$H$6:$H$3665,$K1636))</f>
        <v/>
      </c>
      <c r="I1636" s="335">
        <f>IF(B1636=B1635,"",IF($K1636="","",INDEX(Zeiterfassung!$I$6:$I$3665,MATCH(INDEX(Zeiterfassung!$K$6:$K$3665,$K1636),Zeiterfassung!$K$6:$K$3665,0))))</f>
        <v/>
      </c>
      <c r="J1636" s="335">
        <f>IF(B1636=B1635,"",IF($K1636="","",INDEX(Zeiterfassung!$J$6:$J$3665,MATCH(INDEX(Zeiterfassung!$K$6:$K$3665,$K1636),Zeiterfassung!$K$6:$K$3665,0))))</f>
        <v/>
      </c>
      <c r="K1636">
        <f>IFERROR(AGGREGATE(15,6,(ROW(Zeiterfassung!$D$6:$D$3665)-ROW(Zeiterfassung!$D$6)+1)/(Zeiterfassung!$D$6:$D$3665&lt;&gt;""),1631),"")</f>
        <v/>
      </c>
    </row>
    <row r="1637" ht="20" customHeight="1">
      <c r="A1637" s="183">
        <f>IF($K1637="","",WEEKNUM(INDEX(Zeiterfassung!$K$6:$K$3665,$K1637),21))</f>
        <v/>
      </c>
      <c r="B1637" s="184">
        <f>IF($K1637="","",INDEX(Zeiterfassung!$K$6:$K$3665,$K1637))</f>
        <v/>
      </c>
      <c r="C1637" s="185">
        <f>IF($K1637="","",INDEX(Zeiterfassung!$K$6:$K$3665,$K1637))</f>
        <v/>
      </c>
      <c r="D1637" s="186">
        <f>IF($K1637="","",INDEX(Zeiterfassung!$D$6:$D$3665,$K1637))</f>
        <v/>
      </c>
      <c r="E1637" s="186">
        <f>IF($K1637="","",INDEX(Zeiterfassung!$E$6:$E$3665,$K1637))</f>
        <v/>
      </c>
      <c r="F1637" s="187">
        <f>IF($K1637="","",INDEX(Zeiterfassung!$F$6:$F$3665,$K1637))</f>
        <v/>
      </c>
      <c r="G1637" s="187">
        <f>IF($K1637="","",INDEX(Zeiterfassung!$G$6:$G$3665,$K1637))</f>
        <v/>
      </c>
      <c r="H1637" s="188">
        <f>IF($K1637="","",INDEX(Zeiterfassung!$H$6:$H$3665,$K1637))</f>
        <v/>
      </c>
      <c r="I1637" s="335">
        <f>IF(B1637=B1636,"",IF($K1637="","",INDEX(Zeiterfassung!$I$6:$I$3665,MATCH(INDEX(Zeiterfassung!$K$6:$K$3665,$K1637),Zeiterfassung!$K$6:$K$3665,0))))</f>
        <v/>
      </c>
      <c r="J1637" s="335">
        <f>IF(B1637=B1636,"",IF($K1637="","",INDEX(Zeiterfassung!$J$6:$J$3665,MATCH(INDEX(Zeiterfassung!$K$6:$K$3665,$K1637),Zeiterfassung!$K$6:$K$3665,0))))</f>
        <v/>
      </c>
      <c r="K1637">
        <f>IFERROR(AGGREGATE(15,6,(ROW(Zeiterfassung!$D$6:$D$3665)-ROW(Zeiterfassung!$D$6)+1)/(Zeiterfassung!$D$6:$D$3665&lt;&gt;""),1632),"")</f>
        <v/>
      </c>
    </row>
    <row r="1638" ht="20" customHeight="1">
      <c r="A1638" s="183">
        <f>IF($K1638="","",WEEKNUM(INDEX(Zeiterfassung!$K$6:$K$3665,$K1638),21))</f>
        <v/>
      </c>
      <c r="B1638" s="184">
        <f>IF($K1638="","",INDEX(Zeiterfassung!$K$6:$K$3665,$K1638))</f>
        <v/>
      </c>
      <c r="C1638" s="185">
        <f>IF($K1638="","",INDEX(Zeiterfassung!$K$6:$K$3665,$K1638))</f>
        <v/>
      </c>
      <c r="D1638" s="186">
        <f>IF($K1638="","",INDEX(Zeiterfassung!$D$6:$D$3665,$K1638))</f>
        <v/>
      </c>
      <c r="E1638" s="186">
        <f>IF($K1638="","",INDEX(Zeiterfassung!$E$6:$E$3665,$K1638))</f>
        <v/>
      </c>
      <c r="F1638" s="187">
        <f>IF($K1638="","",INDEX(Zeiterfassung!$F$6:$F$3665,$K1638))</f>
        <v/>
      </c>
      <c r="G1638" s="187">
        <f>IF($K1638="","",INDEX(Zeiterfassung!$G$6:$G$3665,$K1638))</f>
        <v/>
      </c>
      <c r="H1638" s="188">
        <f>IF($K1638="","",INDEX(Zeiterfassung!$H$6:$H$3665,$K1638))</f>
        <v/>
      </c>
      <c r="I1638" s="335">
        <f>IF(B1638=B1637,"",IF($K1638="","",INDEX(Zeiterfassung!$I$6:$I$3665,MATCH(INDEX(Zeiterfassung!$K$6:$K$3665,$K1638),Zeiterfassung!$K$6:$K$3665,0))))</f>
        <v/>
      </c>
      <c r="J1638" s="335">
        <f>IF(B1638=B1637,"",IF($K1638="","",INDEX(Zeiterfassung!$J$6:$J$3665,MATCH(INDEX(Zeiterfassung!$K$6:$K$3665,$K1638),Zeiterfassung!$K$6:$K$3665,0))))</f>
        <v/>
      </c>
      <c r="K1638">
        <f>IFERROR(AGGREGATE(15,6,(ROW(Zeiterfassung!$D$6:$D$3665)-ROW(Zeiterfassung!$D$6)+1)/(Zeiterfassung!$D$6:$D$3665&lt;&gt;""),1633),"")</f>
        <v/>
      </c>
    </row>
    <row r="1639" ht="20" customHeight="1">
      <c r="A1639" s="183">
        <f>IF($K1639="","",WEEKNUM(INDEX(Zeiterfassung!$K$6:$K$3665,$K1639),21))</f>
        <v/>
      </c>
      <c r="B1639" s="184">
        <f>IF($K1639="","",INDEX(Zeiterfassung!$K$6:$K$3665,$K1639))</f>
        <v/>
      </c>
      <c r="C1639" s="185">
        <f>IF($K1639="","",INDEX(Zeiterfassung!$K$6:$K$3665,$K1639))</f>
        <v/>
      </c>
      <c r="D1639" s="186">
        <f>IF($K1639="","",INDEX(Zeiterfassung!$D$6:$D$3665,$K1639))</f>
        <v/>
      </c>
      <c r="E1639" s="186">
        <f>IF($K1639="","",INDEX(Zeiterfassung!$E$6:$E$3665,$K1639))</f>
        <v/>
      </c>
      <c r="F1639" s="187">
        <f>IF($K1639="","",INDEX(Zeiterfassung!$F$6:$F$3665,$K1639))</f>
        <v/>
      </c>
      <c r="G1639" s="187">
        <f>IF($K1639="","",INDEX(Zeiterfassung!$G$6:$G$3665,$K1639))</f>
        <v/>
      </c>
      <c r="H1639" s="188">
        <f>IF($K1639="","",INDEX(Zeiterfassung!$H$6:$H$3665,$K1639))</f>
        <v/>
      </c>
      <c r="I1639" s="335">
        <f>IF(B1639=B1638,"",IF($K1639="","",INDEX(Zeiterfassung!$I$6:$I$3665,MATCH(INDEX(Zeiterfassung!$K$6:$K$3665,$K1639),Zeiterfassung!$K$6:$K$3665,0))))</f>
        <v/>
      </c>
      <c r="J1639" s="335">
        <f>IF(B1639=B1638,"",IF($K1639="","",INDEX(Zeiterfassung!$J$6:$J$3665,MATCH(INDEX(Zeiterfassung!$K$6:$K$3665,$K1639),Zeiterfassung!$K$6:$K$3665,0))))</f>
        <v/>
      </c>
      <c r="K1639">
        <f>IFERROR(AGGREGATE(15,6,(ROW(Zeiterfassung!$D$6:$D$3665)-ROW(Zeiterfassung!$D$6)+1)/(Zeiterfassung!$D$6:$D$3665&lt;&gt;""),1634),"")</f>
        <v/>
      </c>
    </row>
    <row r="1640" ht="20" customHeight="1">
      <c r="A1640" s="183">
        <f>IF($K1640="","",WEEKNUM(INDEX(Zeiterfassung!$K$6:$K$3665,$K1640),21))</f>
        <v/>
      </c>
      <c r="B1640" s="184">
        <f>IF($K1640="","",INDEX(Zeiterfassung!$K$6:$K$3665,$K1640))</f>
        <v/>
      </c>
      <c r="C1640" s="185">
        <f>IF($K1640="","",INDEX(Zeiterfassung!$K$6:$K$3665,$K1640))</f>
        <v/>
      </c>
      <c r="D1640" s="186">
        <f>IF($K1640="","",INDEX(Zeiterfassung!$D$6:$D$3665,$K1640))</f>
        <v/>
      </c>
      <c r="E1640" s="186">
        <f>IF($K1640="","",INDEX(Zeiterfassung!$E$6:$E$3665,$K1640))</f>
        <v/>
      </c>
      <c r="F1640" s="187">
        <f>IF($K1640="","",INDEX(Zeiterfassung!$F$6:$F$3665,$K1640))</f>
        <v/>
      </c>
      <c r="G1640" s="187">
        <f>IF($K1640="","",INDEX(Zeiterfassung!$G$6:$G$3665,$K1640))</f>
        <v/>
      </c>
      <c r="H1640" s="188">
        <f>IF($K1640="","",INDEX(Zeiterfassung!$H$6:$H$3665,$K1640))</f>
        <v/>
      </c>
      <c r="I1640" s="335">
        <f>IF(B1640=B1639,"",IF($K1640="","",INDEX(Zeiterfassung!$I$6:$I$3665,MATCH(INDEX(Zeiterfassung!$K$6:$K$3665,$K1640),Zeiterfassung!$K$6:$K$3665,0))))</f>
        <v/>
      </c>
      <c r="J1640" s="335">
        <f>IF(B1640=B1639,"",IF($K1640="","",INDEX(Zeiterfassung!$J$6:$J$3665,MATCH(INDEX(Zeiterfassung!$K$6:$K$3665,$K1640),Zeiterfassung!$K$6:$K$3665,0))))</f>
        <v/>
      </c>
      <c r="K1640">
        <f>IFERROR(AGGREGATE(15,6,(ROW(Zeiterfassung!$D$6:$D$3665)-ROW(Zeiterfassung!$D$6)+1)/(Zeiterfassung!$D$6:$D$3665&lt;&gt;""),1635),"")</f>
        <v/>
      </c>
    </row>
    <row r="1641" ht="20" customHeight="1">
      <c r="A1641" s="183">
        <f>IF($K1641="","",WEEKNUM(INDEX(Zeiterfassung!$K$6:$K$3665,$K1641),21))</f>
        <v/>
      </c>
      <c r="B1641" s="184">
        <f>IF($K1641="","",INDEX(Zeiterfassung!$K$6:$K$3665,$K1641))</f>
        <v/>
      </c>
      <c r="C1641" s="185">
        <f>IF($K1641="","",INDEX(Zeiterfassung!$K$6:$K$3665,$K1641))</f>
        <v/>
      </c>
      <c r="D1641" s="186">
        <f>IF($K1641="","",INDEX(Zeiterfassung!$D$6:$D$3665,$K1641))</f>
        <v/>
      </c>
      <c r="E1641" s="186">
        <f>IF($K1641="","",INDEX(Zeiterfassung!$E$6:$E$3665,$K1641))</f>
        <v/>
      </c>
      <c r="F1641" s="187">
        <f>IF($K1641="","",INDEX(Zeiterfassung!$F$6:$F$3665,$K1641))</f>
        <v/>
      </c>
      <c r="G1641" s="187">
        <f>IF($K1641="","",INDEX(Zeiterfassung!$G$6:$G$3665,$K1641))</f>
        <v/>
      </c>
      <c r="H1641" s="188">
        <f>IF($K1641="","",INDEX(Zeiterfassung!$H$6:$H$3665,$K1641))</f>
        <v/>
      </c>
      <c r="I1641" s="335">
        <f>IF(B1641=B1640,"",IF($K1641="","",INDEX(Zeiterfassung!$I$6:$I$3665,MATCH(INDEX(Zeiterfassung!$K$6:$K$3665,$K1641),Zeiterfassung!$K$6:$K$3665,0))))</f>
        <v/>
      </c>
      <c r="J1641" s="335">
        <f>IF(B1641=B1640,"",IF($K1641="","",INDEX(Zeiterfassung!$J$6:$J$3665,MATCH(INDEX(Zeiterfassung!$K$6:$K$3665,$K1641),Zeiterfassung!$K$6:$K$3665,0))))</f>
        <v/>
      </c>
      <c r="K1641">
        <f>IFERROR(AGGREGATE(15,6,(ROW(Zeiterfassung!$D$6:$D$3665)-ROW(Zeiterfassung!$D$6)+1)/(Zeiterfassung!$D$6:$D$3665&lt;&gt;""),1636),"")</f>
        <v/>
      </c>
    </row>
    <row r="1642" ht="20" customHeight="1">
      <c r="A1642" s="183">
        <f>IF($K1642="","",WEEKNUM(INDEX(Zeiterfassung!$K$6:$K$3665,$K1642),21))</f>
        <v/>
      </c>
      <c r="B1642" s="184">
        <f>IF($K1642="","",INDEX(Zeiterfassung!$K$6:$K$3665,$K1642))</f>
        <v/>
      </c>
      <c r="C1642" s="185">
        <f>IF($K1642="","",INDEX(Zeiterfassung!$K$6:$K$3665,$K1642))</f>
        <v/>
      </c>
      <c r="D1642" s="186">
        <f>IF($K1642="","",INDEX(Zeiterfassung!$D$6:$D$3665,$K1642))</f>
        <v/>
      </c>
      <c r="E1642" s="186">
        <f>IF($K1642="","",INDEX(Zeiterfassung!$E$6:$E$3665,$K1642))</f>
        <v/>
      </c>
      <c r="F1642" s="187">
        <f>IF($K1642="","",INDEX(Zeiterfassung!$F$6:$F$3665,$K1642))</f>
        <v/>
      </c>
      <c r="G1642" s="187">
        <f>IF($K1642="","",INDEX(Zeiterfassung!$G$6:$G$3665,$K1642))</f>
        <v/>
      </c>
      <c r="H1642" s="188">
        <f>IF($K1642="","",INDEX(Zeiterfassung!$H$6:$H$3665,$K1642))</f>
        <v/>
      </c>
      <c r="I1642" s="335">
        <f>IF(B1642=B1641,"",IF($K1642="","",INDEX(Zeiterfassung!$I$6:$I$3665,MATCH(INDEX(Zeiterfassung!$K$6:$K$3665,$K1642),Zeiterfassung!$K$6:$K$3665,0))))</f>
        <v/>
      </c>
      <c r="J1642" s="335">
        <f>IF(B1642=B1641,"",IF($K1642="","",INDEX(Zeiterfassung!$J$6:$J$3665,MATCH(INDEX(Zeiterfassung!$K$6:$K$3665,$K1642),Zeiterfassung!$K$6:$K$3665,0))))</f>
        <v/>
      </c>
      <c r="K1642">
        <f>IFERROR(AGGREGATE(15,6,(ROW(Zeiterfassung!$D$6:$D$3665)-ROW(Zeiterfassung!$D$6)+1)/(Zeiterfassung!$D$6:$D$3665&lt;&gt;""),1637),"")</f>
        <v/>
      </c>
    </row>
    <row r="1643" ht="20" customHeight="1">
      <c r="A1643" s="183">
        <f>IF($K1643="","",WEEKNUM(INDEX(Zeiterfassung!$K$6:$K$3665,$K1643),21))</f>
        <v/>
      </c>
      <c r="B1643" s="184">
        <f>IF($K1643="","",INDEX(Zeiterfassung!$K$6:$K$3665,$K1643))</f>
        <v/>
      </c>
      <c r="C1643" s="185">
        <f>IF($K1643="","",INDEX(Zeiterfassung!$K$6:$K$3665,$K1643))</f>
        <v/>
      </c>
      <c r="D1643" s="186">
        <f>IF($K1643="","",INDEX(Zeiterfassung!$D$6:$D$3665,$K1643))</f>
        <v/>
      </c>
      <c r="E1643" s="186">
        <f>IF($K1643="","",INDEX(Zeiterfassung!$E$6:$E$3665,$K1643))</f>
        <v/>
      </c>
      <c r="F1643" s="187">
        <f>IF($K1643="","",INDEX(Zeiterfassung!$F$6:$F$3665,$K1643))</f>
        <v/>
      </c>
      <c r="G1643" s="187">
        <f>IF($K1643="","",INDEX(Zeiterfassung!$G$6:$G$3665,$K1643))</f>
        <v/>
      </c>
      <c r="H1643" s="188">
        <f>IF($K1643="","",INDEX(Zeiterfassung!$H$6:$H$3665,$K1643))</f>
        <v/>
      </c>
      <c r="I1643" s="335">
        <f>IF(B1643=B1642,"",IF($K1643="","",INDEX(Zeiterfassung!$I$6:$I$3665,MATCH(INDEX(Zeiterfassung!$K$6:$K$3665,$K1643),Zeiterfassung!$K$6:$K$3665,0))))</f>
        <v/>
      </c>
      <c r="J1643" s="335">
        <f>IF(B1643=B1642,"",IF($K1643="","",INDEX(Zeiterfassung!$J$6:$J$3665,MATCH(INDEX(Zeiterfassung!$K$6:$K$3665,$K1643),Zeiterfassung!$K$6:$K$3665,0))))</f>
        <v/>
      </c>
      <c r="K1643">
        <f>IFERROR(AGGREGATE(15,6,(ROW(Zeiterfassung!$D$6:$D$3665)-ROW(Zeiterfassung!$D$6)+1)/(Zeiterfassung!$D$6:$D$3665&lt;&gt;""),1638),"")</f>
        <v/>
      </c>
    </row>
    <row r="1644" ht="20" customHeight="1">
      <c r="A1644" s="183">
        <f>IF($K1644="","",WEEKNUM(INDEX(Zeiterfassung!$K$6:$K$3665,$K1644),21))</f>
        <v/>
      </c>
      <c r="B1644" s="184">
        <f>IF($K1644="","",INDEX(Zeiterfassung!$K$6:$K$3665,$K1644))</f>
        <v/>
      </c>
      <c r="C1644" s="185">
        <f>IF($K1644="","",INDEX(Zeiterfassung!$K$6:$K$3665,$K1644))</f>
        <v/>
      </c>
      <c r="D1644" s="186">
        <f>IF($K1644="","",INDEX(Zeiterfassung!$D$6:$D$3665,$K1644))</f>
        <v/>
      </c>
      <c r="E1644" s="186">
        <f>IF($K1644="","",INDEX(Zeiterfassung!$E$6:$E$3665,$K1644))</f>
        <v/>
      </c>
      <c r="F1644" s="187">
        <f>IF($K1644="","",INDEX(Zeiterfassung!$F$6:$F$3665,$K1644))</f>
        <v/>
      </c>
      <c r="G1644" s="187">
        <f>IF($K1644="","",INDEX(Zeiterfassung!$G$6:$G$3665,$K1644))</f>
        <v/>
      </c>
      <c r="H1644" s="188">
        <f>IF($K1644="","",INDEX(Zeiterfassung!$H$6:$H$3665,$K1644))</f>
        <v/>
      </c>
      <c r="I1644" s="335">
        <f>IF(B1644=B1643,"",IF($K1644="","",INDEX(Zeiterfassung!$I$6:$I$3665,MATCH(INDEX(Zeiterfassung!$K$6:$K$3665,$K1644),Zeiterfassung!$K$6:$K$3665,0))))</f>
        <v/>
      </c>
      <c r="J1644" s="335">
        <f>IF(B1644=B1643,"",IF($K1644="","",INDEX(Zeiterfassung!$J$6:$J$3665,MATCH(INDEX(Zeiterfassung!$K$6:$K$3665,$K1644),Zeiterfassung!$K$6:$K$3665,0))))</f>
        <v/>
      </c>
      <c r="K1644">
        <f>IFERROR(AGGREGATE(15,6,(ROW(Zeiterfassung!$D$6:$D$3665)-ROW(Zeiterfassung!$D$6)+1)/(Zeiterfassung!$D$6:$D$3665&lt;&gt;""),1639),"")</f>
        <v/>
      </c>
    </row>
    <row r="1645" ht="20" customHeight="1">
      <c r="A1645" s="183">
        <f>IF($K1645="","",WEEKNUM(INDEX(Zeiterfassung!$K$6:$K$3665,$K1645),21))</f>
        <v/>
      </c>
      <c r="B1645" s="184">
        <f>IF($K1645="","",INDEX(Zeiterfassung!$K$6:$K$3665,$K1645))</f>
        <v/>
      </c>
      <c r="C1645" s="185">
        <f>IF($K1645="","",INDEX(Zeiterfassung!$K$6:$K$3665,$K1645))</f>
        <v/>
      </c>
      <c r="D1645" s="186">
        <f>IF($K1645="","",INDEX(Zeiterfassung!$D$6:$D$3665,$K1645))</f>
        <v/>
      </c>
      <c r="E1645" s="186">
        <f>IF($K1645="","",INDEX(Zeiterfassung!$E$6:$E$3665,$K1645))</f>
        <v/>
      </c>
      <c r="F1645" s="187">
        <f>IF($K1645="","",INDEX(Zeiterfassung!$F$6:$F$3665,$K1645))</f>
        <v/>
      </c>
      <c r="G1645" s="187">
        <f>IF($K1645="","",INDEX(Zeiterfassung!$G$6:$G$3665,$K1645))</f>
        <v/>
      </c>
      <c r="H1645" s="188">
        <f>IF($K1645="","",INDEX(Zeiterfassung!$H$6:$H$3665,$K1645))</f>
        <v/>
      </c>
      <c r="I1645" s="335">
        <f>IF(B1645=B1644,"",IF($K1645="","",INDEX(Zeiterfassung!$I$6:$I$3665,MATCH(INDEX(Zeiterfassung!$K$6:$K$3665,$K1645),Zeiterfassung!$K$6:$K$3665,0))))</f>
        <v/>
      </c>
      <c r="J1645" s="335">
        <f>IF(B1645=B1644,"",IF($K1645="","",INDEX(Zeiterfassung!$J$6:$J$3665,MATCH(INDEX(Zeiterfassung!$K$6:$K$3665,$K1645),Zeiterfassung!$K$6:$K$3665,0))))</f>
        <v/>
      </c>
      <c r="K1645">
        <f>IFERROR(AGGREGATE(15,6,(ROW(Zeiterfassung!$D$6:$D$3665)-ROW(Zeiterfassung!$D$6)+1)/(Zeiterfassung!$D$6:$D$3665&lt;&gt;""),1640),"")</f>
        <v/>
      </c>
    </row>
    <row r="1646" ht="20" customHeight="1">
      <c r="A1646" s="183">
        <f>IF($K1646="","",WEEKNUM(INDEX(Zeiterfassung!$K$6:$K$3665,$K1646),21))</f>
        <v/>
      </c>
      <c r="B1646" s="184">
        <f>IF($K1646="","",INDEX(Zeiterfassung!$K$6:$K$3665,$K1646))</f>
        <v/>
      </c>
      <c r="C1646" s="185">
        <f>IF($K1646="","",INDEX(Zeiterfassung!$K$6:$K$3665,$K1646))</f>
        <v/>
      </c>
      <c r="D1646" s="186">
        <f>IF($K1646="","",INDEX(Zeiterfassung!$D$6:$D$3665,$K1646))</f>
        <v/>
      </c>
      <c r="E1646" s="186">
        <f>IF($K1646="","",INDEX(Zeiterfassung!$E$6:$E$3665,$K1646))</f>
        <v/>
      </c>
      <c r="F1646" s="187">
        <f>IF($K1646="","",INDEX(Zeiterfassung!$F$6:$F$3665,$K1646))</f>
        <v/>
      </c>
      <c r="G1646" s="187">
        <f>IF($K1646="","",INDEX(Zeiterfassung!$G$6:$G$3665,$K1646))</f>
        <v/>
      </c>
      <c r="H1646" s="188">
        <f>IF($K1646="","",INDEX(Zeiterfassung!$H$6:$H$3665,$K1646))</f>
        <v/>
      </c>
      <c r="I1646" s="335">
        <f>IF(B1646=B1645,"",IF($K1646="","",INDEX(Zeiterfassung!$I$6:$I$3665,MATCH(INDEX(Zeiterfassung!$K$6:$K$3665,$K1646),Zeiterfassung!$K$6:$K$3665,0))))</f>
        <v/>
      </c>
      <c r="J1646" s="335">
        <f>IF(B1646=B1645,"",IF($K1646="","",INDEX(Zeiterfassung!$J$6:$J$3665,MATCH(INDEX(Zeiterfassung!$K$6:$K$3665,$K1646),Zeiterfassung!$K$6:$K$3665,0))))</f>
        <v/>
      </c>
      <c r="K1646">
        <f>IFERROR(AGGREGATE(15,6,(ROW(Zeiterfassung!$D$6:$D$3665)-ROW(Zeiterfassung!$D$6)+1)/(Zeiterfassung!$D$6:$D$3665&lt;&gt;""),1641),"")</f>
        <v/>
      </c>
    </row>
    <row r="1647" ht="20" customHeight="1">
      <c r="A1647" s="183">
        <f>IF($K1647="","",WEEKNUM(INDEX(Zeiterfassung!$K$6:$K$3665,$K1647),21))</f>
        <v/>
      </c>
      <c r="B1647" s="184">
        <f>IF($K1647="","",INDEX(Zeiterfassung!$K$6:$K$3665,$K1647))</f>
        <v/>
      </c>
      <c r="C1647" s="185">
        <f>IF($K1647="","",INDEX(Zeiterfassung!$K$6:$K$3665,$K1647))</f>
        <v/>
      </c>
      <c r="D1647" s="186">
        <f>IF($K1647="","",INDEX(Zeiterfassung!$D$6:$D$3665,$K1647))</f>
        <v/>
      </c>
      <c r="E1647" s="186">
        <f>IF($K1647="","",INDEX(Zeiterfassung!$E$6:$E$3665,$K1647))</f>
        <v/>
      </c>
      <c r="F1647" s="187">
        <f>IF($K1647="","",INDEX(Zeiterfassung!$F$6:$F$3665,$K1647))</f>
        <v/>
      </c>
      <c r="G1647" s="187">
        <f>IF($K1647="","",INDEX(Zeiterfassung!$G$6:$G$3665,$K1647))</f>
        <v/>
      </c>
      <c r="H1647" s="188">
        <f>IF($K1647="","",INDEX(Zeiterfassung!$H$6:$H$3665,$K1647))</f>
        <v/>
      </c>
      <c r="I1647" s="335">
        <f>IF(B1647=B1646,"",IF($K1647="","",INDEX(Zeiterfassung!$I$6:$I$3665,MATCH(INDEX(Zeiterfassung!$K$6:$K$3665,$K1647),Zeiterfassung!$K$6:$K$3665,0))))</f>
        <v/>
      </c>
      <c r="J1647" s="335">
        <f>IF(B1647=B1646,"",IF($K1647="","",INDEX(Zeiterfassung!$J$6:$J$3665,MATCH(INDEX(Zeiterfassung!$K$6:$K$3665,$K1647),Zeiterfassung!$K$6:$K$3665,0))))</f>
        <v/>
      </c>
      <c r="K1647">
        <f>IFERROR(AGGREGATE(15,6,(ROW(Zeiterfassung!$D$6:$D$3665)-ROW(Zeiterfassung!$D$6)+1)/(Zeiterfassung!$D$6:$D$3665&lt;&gt;""),1642),"")</f>
        <v/>
      </c>
    </row>
    <row r="1648" ht="20" customHeight="1">
      <c r="A1648" s="183">
        <f>IF($K1648="","",WEEKNUM(INDEX(Zeiterfassung!$K$6:$K$3665,$K1648),21))</f>
        <v/>
      </c>
      <c r="B1648" s="184">
        <f>IF($K1648="","",INDEX(Zeiterfassung!$K$6:$K$3665,$K1648))</f>
        <v/>
      </c>
      <c r="C1648" s="185">
        <f>IF($K1648="","",INDEX(Zeiterfassung!$K$6:$K$3665,$K1648))</f>
        <v/>
      </c>
      <c r="D1648" s="186">
        <f>IF($K1648="","",INDEX(Zeiterfassung!$D$6:$D$3665,$K1648))</f>
        <v/>
      </c>
      <c r="E1648" s="186">
        <f>IF($K1648="","",INDEX(Zeiterfassung!$E$6:$E$3665,$K1648))</f>
        <v/>
      </c>
      <c r="F1648" s="187">
        <f>IF($K1648="","",INDEX(Zeiterfassung!$F$6:$F$3665,$K1648))</f>
        <v/>
      </c>
      <c r="G1648" s="187">
        <f>IF($K1648="","",INDEX(Zeiterfassung!$G$6:$G$3665,$K1648))</f>
        <v/>
      </c>
      <c r="H1648" s="188">
        <f>IF($K1648="","",INDEX(Zeiterfassung!$H$6:$H$3665,$K1648))</f>
        <v/>
      </c>
      <c r="I1648" s="335">
        <f>IF(B1648=B1647,"",IF($K1648="","",INDEX(Zeiterfassung!$I$6:$I$3665,MATCH(INDEX(Zeiterfassung!$K$6:$K$3665,$K1648),Zeiterfassung!$K$6:$K$3665,0))))</f>
        <v/>
      </c>
      <c r="J1648" s="335">
        <f>IF(B1648=B1647,"",IF($K1648="","",INDEX(Zeiterfassung!$J$6:$J$3665,MATCH(INDEX(Zeiterfassung!$K$6:$K$3665,$K1648),Zeiterfassung!$K$6:$K$3665,0))))</f>
        <v/>
      </c>
      <c r="K1648">
        <f>IFERROR(AGGREGATE(15,6,(ROW(Zeiterfassung!$D$6:$D$3665)-ROW(Zeiterfassung!$D$6)+1)/(Zeiterfassung!$D$6:$D$3665&lt;&gt;""),1643),"")</f>
        <v/>
      </c>
    </row>
    <row r="1649" ht="20" customHeight="1">
      <c r="A1649" s="183">
        <f>IF($K1649="","",WEEKNUM(INDEX(Zeiterfassung!$K$6:$K$3665,$K1649),21))</f>
        <v/>
      </c>
      <c r="B1649" s="184">
        <f>IF($K1649="","",INDEX(Zeiterfassung!$K$6:$K$3665,$K1649))</f>
        <v/>
      </c>
      <c r="C1649" s="185">
        <f>IF($K1649="","",INDEX(Zeiterfassung!$K$6:$K$3665,$K1649))</f>
        <v/>
      </c>
      <c r="D1649" s="186">
        <f>IF($K1649="","",INDEX(Zeiterfassung!$D$6:$D$3665,$K1649))</f>
        <v/>
      </c>
      <c r="E1649" s="186">
        <f>IF($K1649="","",INDEX(Zeiterfassung!$E$6:$E$3665,$K1649))</f>
        <v/>
      </c>
      <c r="F1649" s="187">
        <f>IF($K1649="","",INDEX(Zeiterfassung!$F$6:$F$3665,$K1649))</f>
        <v/>
      </c>
      <c r="G1649" s="187">
        <f>IF($K1649="","",INDEX(Zeiterfassung!$G$6:$G$3665,$K1649))</f>
        <v/>
      </c>
      <c r="H1649" s="188">
        <f>IF($K1649="","",INDEX(Zeiterfassung!$H$6:$H$3665,$K1649))</f>
        <v/>
      </c>
      <c r="I1649" s="335">
        <f>IF(B1649=B1648,"",IF($K1649="","",INDEX(Zeiterfassung!$I$6:$I$3665,MATCH(INDEX(Zeiterfassung!$K$6:$K$3665,$K1649),Zeiterfassung!$K$6:$K$3665,0))))</f>
        <v/>
      </c>
      <c r="J1649" s="335">
        <f>IF(B1649=B1648,"",IF($K1649="","",INDEX(Zeiterfassung!$J$6:$J$3665,MATCH(INDEX(Zeiterfassung!$K$6:$K$3665,$K1649),Zeiterfassung!$K$6:$K$3665,0))))</f>
        <v/>
      </c>
      <c r="K1649">
        <f>IFERROR(AGGREGATE(15,6,(ROW(Zeiterfassung!$D$6:$D$3665)-ROW(Zeiterfassung!$D$6)+1)/(Zeiterfassung!$D$6:$D$3665&lt;&gt;""),1644),"")</f>
        <v/>
      </c>
    </row>
    <row r="1650" ht="20" customHeight="1">
      <c r="A1650" s="183">
        <f>IF($K1650="","",WEEKNUM(INDEX(Zeiterfassung!$K$6:$K$3665,$K1650),21))</f>
        <v/>
      </c>
      <c r="B1650" s="184">
        <f>IF($K1650="","",INDEX(Zeiterfassung!$K$6:$K$3665,$K1650))</f>
        <v/>
      </c>
      <c r="C1650" s="185">
        <f>IF($K1650="","",INDEX(Zeiterfassung!$K$6:$K$3665,$K1650))</f>
        <v/>
      </c>
      <c r="D1650" s="186">
        <f>IF($K1650="","",INDEX(Zeiterfassung!$D$6:$D$3665,$K1650))</f>
        <v/>
      </c>
      <c r="E1650" s="186">
        <f>IF($K1650="","",INDEX(Zeiterfassung!$E$6:$E$3665,$K1650))</f>
        <v/>
      </c>
      <c r="F1650" s="187">
        <f>IF($K1650="","",INDEX(Zeiterfassung!$F$6:$F$3665,$K1650))</f>
        <v/>
      </c>
      <c r="G1650" s="187">
        <f>IF($K1650="","",INDEX(Zeiterfassung!$G$6:$G$3665,$K1650))</f>
        <v/>
      </c>
      <c r="H1650" s="188">
        <f>IF($K1650="","",INDEX(Zeiterfassung!$H$6:$H$3665,$K1650))</f>
        <v/>
      </c>
      <c r="I1650" s="335">
        <f>IF(B1650=B1649,"",IF($K1650="","",INDEX(Zeiterfassung!$I$6:$I$3665,MATCH(INDEX(Zeiterfassung!$K$6:$K$3665,$K1650),Zeiterfassung!$K$6:$K$3665,0))))</f>
        <v/>
      </c>
      <c r="J1650" s="335">
        <f>IF(B1650=B1649,"",IF($K1650="","",INDEX(Zeiterfassung!$J$6:$J$3665,MATCH(INDEX(Zeiterfassung!$K$6:$K$3665,$K1650),Zeiterfassung!$K$6:$K$3665,0))))</f>
        <v/>
      </c>
      <c r="K1650">
        <f>IFERROR(AGGREGATE(15,6,(ROW(Zeiterfassung!$D$6:$D$3665)-ROW(Zeiterfassung!$D$6)+1)/(Zeiterfassung!$D$6:$D$3665&lt;&gt;""),1645),"")</f>
        <v/>
      </c>
    </row>
    <row r="1651" ht="20" customHeight="1">
      <c r="A1651" s="183">
        <f>IF($K1651="","",WEEKNUM(INDEX(Zeiterfassung!$K$6:$K$3665,$K1651),21))</f>
        <v/>
      </c>
      <c r="B1651" s="184">
        <f>IF($K1651="","",INDEX(Zeiterfassung!$K$6:$K$3665,$K1651))</f>
        <v/>
      </c>
      <c r="C1651" s="185">
        <f>IF($K1651="","",INDEX(Zeiterfassung!$K$6:$K$3665,$K1651))</f>
        <v/>
      </c>
      <c r="D1651" s="186">
        <f>IF($K1651="","",INDEX(Zeiterfassung!$D$6:$D$3665,$K1651))</f>
        <v/>
      </c>
      <c r="E1651" s="186">
        <f>IF($K1651="","",INDEX(Zeiterfassung!$E$6:$E$3665,$K1651))</f>
        <v/>
      </c>
      <c r="F1651" s="187">
        <f>IF($K1651="","",INDEX(Zeiterfassung!$F$6:$F$3665,$K1651))</f>
        <v/>
      </c>
      <c r="G1651" s="187">
        <f>IF($K1651="","",INDEX(Zeiterfassung!$G$6:$G$3665,$K1651))</f>
        <v/>
      </c>
      <c r="H1651" s="188">
        <f>IF($K1651="","",INDEX(Zeiterfassung!$H$6:$H$3665,$K1651))</f>
        <v/>
      </c>
      <c r="I1651" s="335">
        <f>IF(B1651=B1650,"",IF($K1651="","",INDEX(Zeiterfassung!$I$6:$I$3665,MATCH(INDEX(Zeiterfassung!$K$6:$K$3665,$K1651),Zeiterfassung!$K$6:$K$3665,0))))</f>
        <v/>
      </c>
      <c r="J1651" s="335">
        <f>IF(B1651=B1650,"",IF($K1651="","",INDEX(Zeiterfassung!$J$6:$J$3665,MATCH(INDEX(Zeiterfassung!$K$6:$K$3665,$K1651),Zeiterfassung!$K$6:$K$3665,0))))</f>
        <v/>
      </c>
      <c r="K1651">
        <f>IFERROR(AGGREGATE(15,6,(ROW(Zeiterfassung!$D$6:$D$3665)-ROW(Zeiterfassung!$D$6)+1)/(Zeiterfassung!$D$6:$D$3665&lt;&gt;""),1646),"")</f>
        <v/>
      </c>
    </row>
    <row r="1652" ht="20" customHeight="1">
      <c r="A1652" s="183">
        <f>IF($K1652="","",WEEKNUM(INDEX(Zeiterfassung!$K$6:$K$3665,$K1652),21))</f>
        <v/>
      </c>
      <c r="B1652" s="184">
        <f>IF($K1652="","",INDEX(Zeiterfassung!$K$6:$K$3665,$K1652))</f>
        <v/>
      </c>
      <c r="C1652" s="185">
        <f>IF($K1652="","",INDEX(Zeiterfassung!$K$6:$K$3665,$K1652))</f>
        <v/>
      </c>
      <c r="D1652" s="186">
        <f>IF($K1652="","",INDEX(Zeiterfassung!$D$6:$D$3665,$K1652))</f>
        <v/>
      </c>
      <c r="E1652" s="186">
        <f>IF($K1652="","",INDEX(Zeiterfassung!$E$6:$E$3665,$K1652))</f>
        <v/>
      </c>
      <c r="F1652" s="187">
        <f>IF($K1652="","",INDEX(Zeiterfassung!$F$6:$F$3665,$K1652))</f>
        <v/>
      </c>
      <c r="G1652" s="187">
        <f>IF($K1652="","",INDEX(Zeiterfassung!$G$6:$G$3665,$K1652))</f>
        <v/>
      </c>
      <c r="H1652" s="188">
        <f>IF($K1652="","",INDEX(Zeiterfassung!$H$6:$H$3665,$K1652))</f>
        <v/>
      </c>
      <c r="I1652" s="335">
        <f>IF(B1652=B1651,"",IF($K1652="","",INDEX(Zeiterfassung!$I$6:$I$3665,MATCH(INDEX(Zeiterfassung!$K$6:$K$3665,$K1652),Zeiterfassung!$K$6:$K$3665,0))))</f>
        <v/>
      </c>
      <c r="J1652" s="335">
        <f>IF(B1652=B1651,"",IF($K1652="","",INDEX(Zeiterfassung!$J$6:$J$3665,MATCH(INDEX(Zeiterfassung!$K$6:$K$3665,$K1652),Zeiterfassung!$K$6:$K$3665,0))))</f>
        <v/>
      </c>
      <c r="K1652">
        <f>IFERROR(AGGREGATE(15,6,(ROW(Zeiterfassung!$D$6:$D$3665)-ROW(Zeiterfassung!$D$6)+1)/(Zeiterfassung!$D$6:$D$3665&lt;&gt;""),1647),"")</f>
        <v/>
      </c>
    </row>
    <row r="1653" ht="20" customHeight="1">
      <c r="A1653" s="183">
        <f>IF($K1653="","",WEEKNUM(INDEX(Zeiterfassung!$K$6:$K$3665,$K1653),21))</f>
        <v/>
      </c>
      <c r="B1653" s="184">
        <f>IF($K1653="","",INDEX(Zeiterfassung!$K$6:$K$3665,$K1653))</f>
        <v/>
      </c>
      <c r="C1653" s="185">
        <f>IF($K1653="","",INDEX(Zeiterfassung!$K$6:$K$3665,$K1653))</f>
        <v/>
      </c>
      <c r="D1653" s="186">
        <f>IF($K1653="","",INDEX(Zeiterfassung!$D$6:$D$3665,$K1653))</f>
        <v/>
      </c>
      <c r="E1653" s="186">
        <f>IF($K1653="","",INDEX(Zeiterfassung!$E$6:$E$3665,$K1653))</f>
        <v/>
      </c>
      <c r="F1653" s="187">
        <f>IF($K1653="","",INDEX(Zeiterfassung!$F$6:$F$3665,$K1653))</f>
        <v/>
      </c>
      <c r="G1653" s="187">
        <f>IF($K1653="","",INDEX(Zeiterfassung!$G$6:$G$3665,$K1653))</f>
        <v/>
      </c>
      <c r="H1653" s="188">
        <f>IF($K1653="","",INDEX(Zeiterfassung!$H$6:$H$3665,$K1653))</f>
        <v/>
      </c>
      <c r="I1653" s="335">
        <f>IF(B1653=B1652,"",IF($K1653="","",INDEX(Zeiterfassung!$I$6:$I$3665,MATCH(INDEX(Zeiterfassung!$K$6:$K$3665,$K1653),Zeiterfassung!$K$6:$K$3665,0))))</f>
        <v/>
      </c>
      <c r="J1653" s="335">
        <f>IF(B1653=B1652,"",IF($K1653="","",INDEX(Zeiterfassung!$J$6:$J$3665,MATCH(INDEX(Zeiterfassung!$K$6:$K$3665,$K1653),Zeiterfassung!$K$6:$K$3665,0))))</f>
        <v/>
      </c>
      <c r="K1653">
        <f>IFERROR(AGGREGATE(15,6,(ROW(Zeiterfassung!$D$6:$D$3665)-ROW(Zeiterfassung!$D$6)+1)/(Zeiterfassung!$D$6:$D$3665&lt;&gt;""),1648),"")</f>
        <v/>
      </c>
    </row>
    <row r="1654" ht="20" customHeight="1">
      <c r="A1654" s="183">
        <f>IF($K1654="","",WEEKNUM(INDEX(Zeiterfassung!$K$6:$K$3665,$K1654),21))</f>
        <v/>
      </c>
      <c r="B1654" s="184">
        <f>IF($K1654="","",INDEX(Zeiterfassung!$K$6:$K$3665,$K1654))</f>
        <v/>
      </c>
      <c r="C1654" s="185">
        <f>IF($K1654="","",INDEX(Zeiterfassung!$K$6:$K$3665,$K1654))</f>
        <v/>
      </c>
      <c r="D1654" s="186">
        <f>IF($K1654="","",INDEX(Zeiterfassung!$D$6:$D$3665,$K1654))</f>
        <v/>
      </c>
      <c r="E1654" s="186">
        <f>IF($K1654="","",INDEX(Zeiterfassung!$E$6:$E$3665,$K1654))</f>
        <v/>
      </c>
      <c r="F1654" s="187">
        <f>IF($K1654="","",INDEX(Zeiterfassung!$F$6:$F$3665,$K1654))</f>
        <v/>
      </c>
      <c r="G1654" s="187">
        <f>IF($K1654="","",INDEX(Zeiterfassung!$G$6:$G$3665,$K1654))</f>
        <v/>
      </c>
      <c r="H1654" s="188">
        <f>IF($K1654="","",INDEX(Zeiterfassung!$H$6:$H$3665,$K1654))</f>
        <v/>
      </c>
      <c r="I1654" s="335">
        <f>IF(B1654=B1653,"",IF($K1654="","",INDEX(Zeiterfassung!$I$6:$I$3665,MATCH(INDEX(Zeiterfassung!$K$6:$K$3665,$K1654),Zeiterfassung!$K$6:$K$3665,0))))</f>
        <v/>
      </c>
      <c r="J1654" s="335">
        <f>IF(B1654=B1653,"",IF($K1654="","",INDEX(Zeiterfassung!$J$6:$J$3665,MATCH(INDEX(Zeiterfassung!$K$6:$K$3665,$K1654),Zeiterfassung!$K$6:$K$3665,0))))</f>
        <v/>
      </c>
      <c r="K1654">
        <f>IFERROR(AGGREGATE(15,6,(ROW(Zeiterfassung!$D$6:$D$3665)-ROW(Zeiterfassung!$D$6)+1)/(Zeiterfassung!$D$6:$D$3665&lt;&gt;""),1649),"")</f>
        <v/>
      </c>
    </row>
    <row r="1655" ht="20" customHeight="1">
      <c r="A1655" s="183">
        <f>IF($K1655="","",WEEKNUM(INDEX(Zeiterfassung!$K$6:$K$3665,$K1655),21))</f>
        <v/>
      </c>
      <c r="B1655" s="184">
        <f>IF($K1655="","",INDEX(Zeiterfassung!$K$6:$K$3665,$K1655))</f>
        <v/>
      </c>
      <c r="C1655" s="185">
        <f>IF($K1655="","",INDEX(Zeiterfassung!$K$6:$K$3665,$K1655))</f>
        <v/>
      </c>
      <c r="D1655" s="186">
        <f>IF($K1655="","",INDEX(Zeiterfassung!$D$6:$D$3665,$K1655))</f>
        <v/>
      </c>
      <c r="E1655" s="186">
        <f>IF($K1655="","",INDEX(Zeiterfassung!$E$6:$E$3665,$K1655))</f>
        <v/>
      </c>
      <c r="F1655" s="187">
        <f>IF($K1655="","",INDEX(Zeiterfassung!$F$6:$F$3665,$K1655))</f>
        <v/>
      </c>
      <c r="G1655" s="187">
        <f>IF($K1655="","",INDEX(Zeiterfassung!$G$6:$G$3665,$K1655))</f>
        <v/>
      </c>
      <c r="H1655" s="188">
        <f>IF($K1655="","",INDEX(Zeiterfassung!$H$6:$H$3665,$K1655))</f>
        <v/>
      </c>
      <c r="I1655" s="335">
        <f>IF(B1655=B1654,"",IF($K1655="","",INDEX(Zeiterfassung!$I$6:$I$3665,MATCH(INDEX(Zeiterfassung!$K$6:$K$3665,$K1655),Zeiterfassung!$K$6:$K$3665,0))))</f>
        <v/>
      </c>
      <c r="J1655" s="335">
        <f>IF(B1655=B1654,"",IF($K1655="","",INDEX(Zeiterfassung!$J$6:$J$3665,MATCH(INDEX(Zeiterfassung!$K$6:$K$3665,$K1655),Zeiterfassung!$K$6:$K$3665,0))))</f>
        <v/>
      </c>
      <c r="K1655">
        <f>IFERROR(AGGREGATE(15,6,(ROW(Zeiterfassung!$D$6:$D$3665)-ROW(Zeiterfassung!$D$6)+1)/(Zeiterfassung!$D$6:$D$3665&lt;&gt;""),1650),"")</f>
        <v/>
      </c>
    </row>
    <row r="1656" ht="20" customHeight="1">
      <c r="A1656" s="183">
        <f>IF($K1656="","",WEEKNUM(INDEX(Zeiterfassung!$K$6:$K$3665,$K1656),21))</f>
        <v/>
      </c>
      <c r="B1656" s="184">
        <f>IF($K1656="","",INDEX(Zeiterfassung!$K$6:$K$3665,$K1656))</f>
        <v/>
      </c>
      <c r="C1656" s="185">
        <f>IF($K1656="","",INDEX(Zeiterfassung!$K$6:$K$3665,$K1656))</f>
        <v/>
      </c>
      <c r="D1656" s="186">
        <f>IF($K1656="","",INDEX(Zeiterfassung!$D$6:$D$3665,$K1656))</f>
        <v/>
      </c>
      <c r="E1656" s="186">
        <f>IF($K1656="","",INDEX(Zeiterfassung!$E$6:$E$3665,$K1656))</f>
        <v/>
      </c>
      <c r="F1656" s="187">
        <f>IF($K1656="","",INDEX(Zeiterfassung!$F$6:$F$3665,$K1656))</f>
        <v/>
      </c>
      <c r="G1656" s="187">
        <f>IF($K1656="","",INDEX(Zeiterfassung!$G$6:$G$3665,$K1656))</f>
        <v/>
      </c>
      <c r="H1656" s="188">
        <f>IF($K1656="","",INDEX(Zeiterfassung!$H$6:$H$3665,$K1656))</f>
        <v/>
      </c>
      <c r="I1656" s="335">
        <f>IF(B1656=B1655,"",IF($K1656="","",INDEX(Zeiterfassung!$I$6:$I$3665,MATCH(INDEX(Zeiterfassung!$K$6:$K$3665,$K1656),Zeiterfassung!$K$6:$K$3665,0))))</f>
        <v/>
      </c>
      <c r="J1656" s="335">
        <f>IF(B1656=B1655,"",IF($K1656="","",INDEX(Zeiterfassung!$J$6:$J$3665,MATCH(INDEX(Zeiterfassung!$K$6:$K$3665,$K1656),Zeiterfassung!$K$6:$K$3665,0))))</f>
        <v/>
      </c>
      <c r="K1656">
        <f>IFERROR(AGGREGATE(15,6,(ROW(Zeiterfassung!$D$6:$D$3665)-ROW(Zeiterfassung!$D$6)+1)/(Zeiterfassung!$D$6:$D$3665&lt;&gt;""),1651),"")</f>
        <v/>
      </c>
    </row>
    <row r="1657" ht="20" customHeight="1">
      <c r="A1657" s="183">
        <f>IF($K1657="","",WEEKNUM(INDEX(Zeiterfassung!$K$6:$K$3665,$K1657),21))</f>
        <v/>
      </c>
      <c r="B1657" s="184">
        <f>IF($K1657="","",INDEX(Zeiterfassung!$K$6:$K$3665,$K1657))</f>
        <v/>
      </c>
      <c r="C1657" s="185">
        <f>IF($K1657="","",INDEX(Zeiterfassung!$K$6:$K$3665,$K1657))</f>
        <v/>
      </c>
      <c r="D1657" s="186">
        <f>IF($K1657="","",INDEX(Zeiterfassung!$D$6:$D$3665,$K1657))</f>
        <v/>
      </c>
      <c r="E1657" s="186">
        <f>IF($K1657="","",INDEX(Zeiterfassung!$E$6:$E$3665,$K1657))</f>
        <v/>
      </c>
      <c r="F1657" s="187">
        <f>IF($K1657="","",INDEX(Zeiterfassung!$F$6:$F$3665,$K1657))</f>
        <v/>
      </c>
      <c r="G1657" s="187">
        <f>IF($K1657="","",INDEX(Zeiterfassung!$G$6:$G$3665,$K1657))</f>
        <v/>
      </c>
      <c r="H1657" s="188">
        <f>IF($K1657="","",INDEX(Zeiterfassung!$H$6:$H$3665,$K1657))</f>
        <v/>
      </c>
      <c r="I1657" s="335">
        <f>IF(B1657=B1656,"",IF($K1657="","",INDEX(Zeiterfassung!$I$6:$I$3665,MATCH(INDEX(Zeiterfassung!$K$6:$K$3665,$K1657),Zeiterfassung!$K$6:$K$3665,0))))</f>
        <v/>
      </c>
      <c r="J1657" s="335">
        <f>IF(B1657=B1656,"",IF($K1657="","",INDEX(Zeiterfassung!$J$6:$J$3665,MATCH(INDEX(Zeiterfassung!$K$6:$K$3665,$K1657),Zeiterfassung!$K$6:$K$3665,0))))</f>
        <v/>
      </c>
      <c r="K1657">
        <f>IFERROR(AGGREGATE(15,6,(ROW(Zeiterfassung!$D$6:$D$3665)-ROW(Zeiterfassung!$D$6)+1)/(Zeiterfassung!$D$6:$D$3665&lt;&gt;""),1652),"")</f>
        <v/>
      </c>
    </row>
    <row r="1658" ht="20" customHeight="1">
      <c r="A1658" s="183">
        <f>IF($K1658="","",WEEKNUM(INDEX(Zeiterfassung!$K$6:$K$3665,$K1658),21))</f>
        <v/>
      </c>
      <c r="B1658" s="184">
        <f>IF($K1658="","",INDEX(Zeiterfassung!$K$6:$K$3665,$K1658))</f>
        <v/>
      </c>
      <c r="C1658" s="185">
        <f>IF($K1658="","",INDEX(Zeiterfassung!$K$6:$K$3665,$K1658))</f>
        <v/>
      </c>
      <c r="D1658" s="186">
        <f>IF($K1658="","",INDEX(Zeiterfassung!$D$6:$D$3665,$K1658))</f>
        <v/>
      </c>
      <c r="E1658" s="186">
        <f>IF($K1658="","",INDEX(Zeiterfassung!$E$6:$E$3665,$K1658))</f>
        <v/>
      </c>
      <c r="F1658" s="187">
        <f>IF($K1658="","",INDEX(Zeiterfassung!$F$6:$F$3665,$K1658))</f>
        <v/>
      </c>
      <c r="G1658" s="187">
        <f>IF($K1658="","",INDEX(Zeiterfassung!$G$6:$G$3665,$K1658))</f>
        <v/>
      </c>
      <c r="H1658" s="188">
        <f>IF($K1658="","",INDEX(Zeiterfassung!$H$6:$H$3665,$K1658))</f>
        <v/>
      </c>
      <c r="I1658" s="335">
        <f>IF(B1658=B1657,"",IF($K1658="","",INDEX(Zeiterfassung!$I$6:$I$3665,MATCH(INDEX(Zeiterfassung!$K$6:$K$3665,$K1658),Zeiterfassung!$K$6:$K$3665,0))))</f>
        <v/>
      </c>
      <c r="J1658" s="335">
        <f>IF(B1658=B1657,"",IF($K1658="","",INDEX(Zeiterfassung!$J$6:$J$3665,MATCH(INDEX(Zeiterfassung!$K$6:$K$3665,$K1658),Zeiterfassung!$K$6:$K$3665,0))))</f>
        <v/>
      </c>
      <c r="K1658">
        <f>IFERROR(AGGREGATE(15,6,(ROW(Zeiterfassung!$D$6:$D$3665)-ROW(Zeiterfassung!$D$6)+1)/(Zeiterfassung!$D$6:$D$3665&lt;&gt;""),1653),"")</f>
        <v/>
      </c>
    </row>
    <row r="1659" ht="20" customHeight="1">
      <c r="A1659" s="183">
        <f>IF($K1659="","",WEEKNUM(INDEX(Zeiterfassung!$K$6:$K$3665,$K1659),21))</f>
        <v/>
      </c>
      <c r="B1659" s="184">
        <f>IF($K1659="","",INDEX(Zeiterfassung!$K$6:$K$3665,$K1659))</f>
        <v/>
      </c>
      <c r="C1659" s="185">
        <f>IF($K1659="","",INDEX(Zeiterfassung!$K$6:$K$3665,$K1659))</f>
        <v/>
      </c>
      <c r="D1659" s="186">
        <f>IF($K1659="","",INDEX(Zeiterfassung!$D$6:$D$3665,$K1659))</f>
        <v/>
      </c>
      <c r="E1659" s="186">
        <f>IF($K1659="","",INDEX(Zeiterfassung!$E$6:$E$3665,$K1659))</f>
        <v/>
      </c>
      <c r="F1659" s="187">
        <f>IF($K1659="","",INDEX(Zeiterfassung!$F$6:$F$3665,$K1659))</f>
        <v/>
      </c>
      <c r="G1659" s="187">
        <f>IF($K1659="","",INDEX(Zeiterfassung!$G$6:$G$3665,$K1659))</f>
        <v/>
      </c>
      <c r="H1659" s="188">
        <f>IF($K1659="","",INDEX(Zeiterfassung!$H$6:$H$3665,$K1659))</f>
        <v/>
      </c>
      <c r="I1659" s="335">
        <f>IF(B1659=B1658,"",IF($K1659="","",INDEX(Zeiterfassung!$I$6:$I$3665,MATCH(INDEX(Zeiterfassung!$K$6:$K$3665,$K1659),Zeiterfassung!$K$6:$K$3665,0))))</f>
        <v/>
      </c>
      <c r="J1659" s="335">
        <f>IF(B1659=B1658,"",IF($K1659="","",INDEX(Zeiterfassung!$J$6:$J$3665,MATCH(INDEX(Zeiterfassung!$K$6:$K$3665,$K1659),Zeiterfassung!$K$6:$K$3665,0))))</f>
        <v/>
      </c>
      <c r="K1659">
        <f>IFERROR(AGGREGATE(15,6,(ROW(Zeiterfassung!$D$6:$D$3665)-ROW(Zeiterfassung!$D$6)+1)/(Zeiterfassung!$D$6:$D$3665&lt;&gt;""),1654),"")</f>
        <v/>
      </c>
    </row>
    <row r="1660" ht="20" customHeight="1">
      <c r="A1660" s="183">
        <f>IF($K1660="","",WEEKNUM(INDEX(Zeiterfassung!$K$6:$K$3665,$K1660),21))</f>
        <v/>
      </c>
      <c r="B1660" s="184">
        <f>IF($K1660="","",INDEX(Zeiterfassung!$K$6:$K$3665,$K1660))</f>
        <v/>
      </c>
      <c r="C1660" s="185">
        <f>IF($K1660="","",INDEX(Zeiterfassung!$K$6:$K$3665,$K1660))</f>
        <v/>
      </c>
      <c r="D1660" s="186">
        <f>IF($K1660="","",INDEX(Zeiterfassung!$D$6:$D$3665,$K1660))</f>
        <v/>
      </c>
      <c r="E1660" s="186">
        <f>IF($K1660="","",INDEX(Zeiterfassung!$E$6:$E$3665,$K1660))</f>
        <v/>
      </c>
      <c r="F1660" s="187">
        <f>IF($K1660="","",INDEX(Zeiterfassung!$F$6:$F$3665,$K1660))</f>
        <v/>
      </c>
      <c r="G1660" s="187">
        <f>IF($K1660="","",INDEX(Zeiterfassung!$G$6:$G$3665,$K1660))</f>
        <v/>
      </c>
      <c r="H1660" s="188">
        <f>IF($K1660="","",INDEX(Zeiterfassung!$H$6:$H$3665,$K1660))</f>
        <v/>
      </c>
      <c r="I1660" s="335">
        <f>IF(B1660=B1659,"",IF($K1660="","",INDEX(Zeiterfassung!$I$6:$I$3665,MATCH(INDEX(Zeiterfassung!$K$6:$K$3665,$K1660),Zeiterfassung!$K$6:$K$3665,0))))</f>
        <v/>
      </c>
      <c r="J1660" s="335">
        <f>IF(B1660=B1659,"",IF($K1660="","",INDEX(Zeiterfassung!$J$6:$J$3665,MATCH(INDEX(Zeiterfassung!$K$6:$K$3665,$K1660),Zeiterfassung!$K$6:$K$3665,0))))</f>
        <v/>
      </c>
      <c r="K1660">
        <f>IFERROR(AGGREGATE(15,6,(ROW(Zeiterfassung!$D$6:$D$3665)-ROW(Zeiterfassung!$D$6)+1)/(Zeiterfassung!$D$6:$D$3665&lt;&gt;""),1655),"")</f>
        <v/>
      </c>
    </row>
    <row r="1661" ht="20" customHeight="1">
      <c r="A1661" s="183">
        <f>IF($K1661="","",WEEKNUM(INDEX(Zeiterfassung!$K$6:$K$3665,$K1661),21))</f>
        <v/>
      </c>
      <c r="B1661" s="184">
        <f>IF($K1661="","",INDEX(Zeiterfassung!$K$6:$K$3665,$K1661))</f>
        <v/>
      </c>
      <c r="C1661" s="185">
        <f>IF($K1661="","",INDEX(Zeiterfassung!$K$6:$K$3665,$K1661))</f>
        <v/>
      </c>
      <c r="D1661" s="186">
        <f>IF($K1661="","",INDEX(Zeiterfassung!$D$6:$D$3665,$K1661))</f>
        <v/>
      </c>
      <c r="E1661" s="186">
        <f>IF($K1661="","",INDEX(Zeiterfassung!$E$6:$E$3665,$K1661))</f>
        <v/>
      </c>
      <c r="F1661" s="187">
        <f>IF($K1661="","",INDEX(Zeiterfassung!$F$6:$F$3665,$K1661))</f>
        <v/>
      </c>
      <c r="G1661" s="187">
        <f>IF($K1661="","",INDEX(Zeiterfassung!$G$6:$G$3665,$K1661))</f>
        <v/>
      </c>
      <c r="H1661" s="188">
        <f>IF($K1661="","",INDEX(Zeiterfassung!$H$6:$H$3665,$K1661))</f>
        <v/>
      </c>
      <c r="I1661" s="335">
        <f>IF(B1661=B1660,"",IF($K1661="","",INDEX(Zeiterfassung!$I$6:$I$3665,MATCH(INDEX(Zeiterfassung!$K$6:$K$3665,$K1661),Zeiterfassung!$K$6:$K$3665,0))))</f>
        <v/>
      </c>
      <c r="J1661" s="335">
        <f>IF(B1661=B1660,"",IF($K1661="","",INDEX(Zeiterfassung!$J$6:$J$3665,MATCH(INDEX(Zeiterfassung!$K$6:$K$3665,$K1661),Zeiterfassung!$K$6:$K$3665,0))))</f>
        <v/>
      </c>
      <c r="K1661">
        <f>IFERROR(AGGREGATE(15,6,(ROW(Zeiterfassung!$D$6:$D$3665)-ROW(Zeiterfassung!$D$6)+1)/(Zeiterfassung!$D$6:$D$3665&lt;&gt;""),1656),"")</f>
        <v/>
      </c>
    </row>
    <row r="1662" ht="20" customHeight="1">
      <c r="A1662" s="183">
        <f>IF($K1662="","",WEEKNUM(INDEX(Zeiterfassung!$K$6:$K$3665,$K1662),21))</f>
        <v/>
      </c>
      <c r="B1662" s="184">
        <f>IF($K1662="","",INDEX(Zeiterfassung!$K$6:$K$3665,$K1662))</f>
        <v/>
      </c>
      <c r="C1662" s="185">
        <f>IF($K1662="","",INDEX(Zeiterfassung!$K$6:$K$3665,$K1662))</f>
        <v/>
      </c>
      <c r="D1662" s="186">
        <f>IF($K1662="","",INDEX(Zeiterfassung!$D$6:$D$3665,$K1662))</f>
        <v/>
      </c>
      <c r="E1662" s="186">
        <f>IF($K1662="","",INDEX(Zeiterfassung!$E$6:$E$3665,$K1662))</f>
        <v/>
      </c>
      <c r="F1662" s="187">
        <f>IF($K1662="","",INDEX(Zeiterfassung!$F$6:$F$3665,$K1662))</f>
        <v/>
      </c>
      <c r="G1662" s="187">
        <f>IF($K1662="","",INDEX(Zeiterfassung!$G$6:$G$3665,$K1662))</f>
        <v/>
      </c>
      <c r="H1662" s="188">
        <f>IF($K1662="","",INDEX(Zeiterfassung!$H$6:$H$3665,$K1662))</f>
        <v/>
      </c>
      <c r="I1662" s="335">
        <f>IF(B1662=B1661,"",IF($K1662="","",INDEX(Zeiterfassung!$I$6:$I$3665,MATCH(INDEX(Zeiterfassung!$K$6:$K$3665,$K1662),Zeiterfassung!$K$6:$K$3665,0))))</f>
        <v/>
      </c>
      <c r="J1662" s="335">
        <f>IF(B1662=B1661,"",IF($K1662="","",INDEX(Zeiterfassung!$J$6:$J$3665,MATCH(INDEX(Zeiterfassung!$K$6:$K$3665,$K1662),Zeiterfassung!$K$6:$K$3665,0))))</f>
        <v/>
      </c>
      <c r="K1662">
        <f>IFERROR(AGGREGATE(15,6,(ROW(Zeiterfassung!$D$6:$D$3665)-ROW(Zeiterfassung!$D$6)+1)/(Zeiterfassung!$D$6:$D$3665&lt;&gt;""),1657),"")</f>
        <v/>
      </c>
    </row>
    <row r="1663" ht="20" customHeight="1">
      <c r="A1663" s="183">
        <f>IF($K1663="","",WEEKNUM(INDEX(Zeiterfassung!$K$6:$K$3665,$K1663),21))</f>
        <v/>
      </c>
      <c r="B1663" s="184">
        <f>IF($K1663="","",INDEX(Zeiterfassung!$K$6:$K$3665,$K1663))</f>
        <v/>
      </c>
      <c r="C1663" s="185">
        <f>IF($K1663="","",INDEX(Zeiterfassung!$K$6:$K$3665,$K1663))</f>
        <v/>
      </c>
      <c r="D1663" s="186">
        <f>IF($K1663="","",INDEX(Zeiterfassung!$D$6:$D$3665,$K1663))</f>
        <v/>
      </c>
      <c r="E1663" s="186">
        <f>IF($K1663="","",INDEX(Zeiterfassung!$E$6:$E$3665,$K1663))</f>
        <v/>
      </c>
      <c r="F1663" s="187">
        <f>IF($K1663="","",INDEX(Zeiterfassung!$F$6:$F$3665,$K1663))</f>
        <v/>
      </c>
      <c r="G1663" s="187">
        <f>IF($K1663="","",INDEX(Zeiterfassung!$G$6:$G$3665,$K1663))</f>
        <v/>
      </c>
      <c r="H1663" s="188">
        <f>IF($K1663="","",INDEX(Zeiterfassung!$H$6:$H$3665,$K1663))</f>
        <v/>
      </c>
      <c r="I1663" s="335">
        <f>IF(B1663=B1662,"",IF($K1663="","",INDEX(Zeiterfassung!$I$6:$I$3665,MATCH(INDEX(Zeiterfassung!$K$6:$K$3665,$K1663),Zeiterfassung!$K$6:$K$3665,0))))</f>
        <v/>
      </c>
      <c r="J1663" s="335">
        <f>IF(B1663=B1662,"",IF($K1663="","",INDEX(Zeiterfassung!$J$6:$J$3665,MATCH(INDEX(Zeiterfassung!$K$6:$K$3665,$K1663),Zeiterfassung!$K$6:$K$3665,0))))</f>
        <v/>
      </c>
      <c r="K1663">
        <f>IFERROR(AGGREGATE(15,6,(ROW(Zeiterfassung!$D$6:$D$3665)-ROW(Zeiterfassung!$D$6)+1)/(Zeiterfassung!$D$6:$D$3665&lt;&gt;""),1658),"")</f>
        <v/>
      </c>
    </row>
    <row r="1664" ht="20" customHeight="1">
      <c r="A1664" s="183">
        <f>IF($K1664="","",WEEKNUM(INDEX(Zeiterfassung!$K$6:$K$3665,$K1664),21))</f>
        <v/>
      </c>
      <c r="B1664" s="184">
        <f>IF($K1664="","",INDEX(Zeiterfassung!$K$6:$K$3665,$K1664))</f>
        <v/>
      </c>
      <c r="C1664" s="185">
        <f>IF($K1664="","",INDEX(Zeiterfassung!$K$6:$K$3665,$K1664))</f>
        <v/>
      </c>
      <c r="D1664" s="186">
        <f>IF($K1664="","",INDEX(Zeiterfassung!$D$6:$D$3665,$K1664))</f>
        <v/>
      </c>
      <c r="E1664" s="186">
        <f>IF($K1664="","",INDEX(Zeiterfassung!$E$6:$E$3665,$K1664))</f>
        <v/>
      </c>
      <c r="F1664" s="187">
        <f>IF($K1664="","",INDEX(Zeiterfassung!$F$6:$F$3665,$K1664))</f>
        <v/>
      </c>
      <c r="G1664" s="187">
        <f>IF($K1664="","",INDEX(Zeiterfassung!$G$6:$G$3665,$K1664))</f>
        <v/>
      </c>
      <c r="H1664" s="188">
        <f>IF($K1664="","",INDEX(Zeiterfassung!$H$6:$H$3665,$K1664))</f>
        <v/>
      </c>
      <c r="I1664" s="335">
        <f>IF(B1664=B1663,"",IF($K1664="","",INDEX(Zeiterfassung!$I$6:$I$3665,MATCH(INDEX(Zeiterfassung!$K$6:$K$3665,$K1664),Zeiterfassung!$K$6:$K$3665,0))))</f>
        <v/>
      </c>
      <c r="J1664" s="335">
        <f>IF(B1664=B1663,"",IF($K1664="","",INDEX(Zeiterfassung!$J$6:$J$3665,MATCH(INDEX(Zeiterfassung!$K$6:$K$3665,$K1664),Zeiterfassung!$K$6:$K$3665,0))))</f>
        <v/>
      </c>
      <c r="K1664">
        <f>IFERROR(AGGREGATE(15,6,(ROW(Zeiterfassung!$D$6:$D$3665)-ROW(Zeiterfassung!$D$6)+1)/(Zeiterfassung!$D$6:$D$3665&lt;&gt;""),1659),"")</f>
        <v/>
      </c>
    </row>
    <row r="1665" ht="20" customHeight="1">
      <c r="A1665" s="183">
        <f>IF($K1665="","",WEEKNUM(INDEX(Zeiterfassung!$K$6:$K$3665,$K1665),21))</f>
        <v/>
      </c>
      <c r="B1665" s="184">
        <f>IF($K1665="","",INDEX(Zeiterfassung!$K$6:$K$3665,$K1665))</f>
        <v/>
      </c>
      <c r="C1665" s="185">
        <f>IF($K1665="","",INDEX(Zeiterfassung!$K$6:$K$3665,$K1665))</f>
        <v/>
      </c>
      <c r="D1665" s="186">
        <f>IF($K1665="","",INDEX(Zeiterfassung!$D$6:$D$3665,$K1665))</f>
        <v/>
      </c>
      <c r="E1665" s="186">
        <f>IF($K1665="","",INDEX(Zeiterfassung!$E$6:$E$3665,$K1665))</f>
        <v/>
      </c>
      <c r="F1665" s="187">
        <f>IF($K1665="","",INDEX(Zeiterfassung!$F$6:$F$3665,$K1665))</f>
        <v/>
      </c>
      <c r="G1665" s="187">
        <f>IF($K1665="","",INDEX(Zeiterfassung!$G$6:$G$3665,$K1665))</f>
        <v/>
      </c>
      <c r="H1665" s="188">
        <f>IF($K1665="","",INDEX(Zeiterfassung!$H$6:$H$3665,$K1665))</f>
        <v/>
      </c>
      <c r="I1665" s="335">
        <f>IF(B1665=B1664,"",IF($K1665="","",INDEX(Zeiterfassung!$I$6:$I$3665,MATCH(INDEX(Zeiterfassung!$K$6:$K$3665,$K1665),Zeiterfassung!$K$6:$K$3665,0))))</f>
        <v/>
      </c>
      <c r="J1665" s="335">
        <f>IF(B1665=B1664,"",IF($K1665="","",INDEX(Zeiterfassung!$J$6:$J$3665,MATCH(INDEX(Zeiterfassung!$K$6:$K$3665,$K1665),Zeiterfassung!$K$6:$K$3665,0))))</f>
        <v/>
      </c>
      <c r="K1665">
        <f>IFERROR(AGGREGATE(15,6,(ROW(Zeiterfassung!$D$6:$D$3665)-ROW(Zeiterfassung!$D$6)+1)/(Zeiterfassung!$D$6:$D$3665&lt;&gt;""),1660),"")</f>
        <v/>
      </c>
    </row>
    <row r="1666" ht="20" customHeight="1">
      <c r="A1666" s="183">
        <f>IF($K1666="","",WEEKNUM(INDEX(Zeiterfassung!$K$6:$K$3665,$K1666),21))</f>
        <v/>
      </c>
      <c r="B1666" s="184">
        <f>IF($K1666="","",INDEX(Zeiterfassung!$K$6:$K$3665,$K1666))</f>
        <v/>
      </c>
      <c r="C1666" s="185">
        <f>IF($K1666="","",INDEX(Zeiterfassung!$K$6:$K$3665,$K1666))</f>
        <v/>
      </c>
      <c r="D1666" s="186">
        <f>IF($K1666="","",INDEX(Zeiterfassung!$D$6:$D$3665,$K1666))</f>
        <v/>
      </c>
      <c r="E1666" s="186">
        <f>IF($K1666="","",INDEX(Zeiterfassung!$E$6:$E$3665,$K1666))</f>
        <v/>
      </c>
      <c r="F1666" s="187">
        <f>IF($K1666="","",INDEX(Zeiterfassung!$F$6:$F$3665,$K1666))</f>
        <v/>
      </c>
      <c r="G1666" s="187">
        <f>IF($K1666="","",INDEX(Zeiterfassung!$G$6:$G$3665,$K1666))</f>
        <v/>
      </c>
      <c r="H1666" s="188">
        <f>IF($K1666="","",INDEX(Zeiterfassung!$H$6:$H$3665,$K1666))</f>
        <v/>
      </c>
      <c r="I1666" s="335">
        <f>IF(B1666=B1665,"",IF($K1666="","",INDEX(Zeiterfassung!$I$6:$I$3665,MATCH(INDEX(Zeiterfassung!$K$6:$K$3665,$K1666),Zeiterfassung!$K$6:$K$3665,0))))</f>
        <v/>
      </c>
      <c r="J1666" s="335">
        <f>IF(B1666=B1665,"",IF($K1666="","",INDEX(Zeiterfassung!$J$6:$J$3665,MATCH(INDEX(Zeiterfassung!$K$6:$K$3665,$K1666),Zeiterfassung!$K$6:$K$3665,0))))</f>
        <v/>
      </c>
      <c r="K1666">
        <f>IFERROR(AGGREGATE(15,6,(ROW(Zeiterfassung!$D$6:$D$3665)-ROW(Zeiterfassung!$D$6)+1)/(Zeiterfassung!$D$6:$D$3665&lt;&gt;""),1661),"")</f>
        <v/>
      </c>
    </row>
    <row r="1667" ht="20" customHeight="1">
      <c r="A1667" s="183">
        <f>IF($K1667="","",WEEKNUM(INDEX(Zeiterfassung!$K$6:$K$3665,$K1667),21))</f>
        <v/>
      </c>
      <c r="B1667" s="184">
        <f>IF($K1667="","",INDEX(Zeiterfassung!$K$6:$K$3665,$K1667))</f>
        <v/>
      </c>
      <c r="C1667" s="185">
        <f>IF($K1667="","",INDEX(Zeiterfassung!$K$6:$K$3665,$K1667))</f>
        <v/>
      </c>
      <c r="D1667" s="186">
        <f>IF($K1667="","",INDEX(Zeiterfassung!$D$6:$D$3665,$K1667))</f>
        <v/>
      </c>
      <c r="E1667" s="186">
        <f>IF($K1667="","",INDEX(Zeiterfassung!$E$6:$E$3665,$K1667))</f>
        <v/>
      </c>
      <c r="F1667" s="187">
        <f>IF($K1667="","",INDEX(Zeiterfassung!$F$6:$F$3665,$K1667))</f>
        <v/>
      </c>
      <c r="G1667" s="187">
        <f>IF($K1667="","",INDEX(Zeiterfassung!$G$6:$G$3665,$K1667))</f>
        <v/>
      </c>
      <c r="H1667" s="188">
        <f>IF($K1667="","",INDEX(Zeiterfassung!$H$6:$H$3665,$K1667))</f>
        <v/>
      </c>
      <c r="I1667" s="335">
        <f>IF(B1667=B1666,"",IF($K1667="","",INDEX(Zeiterfassung!$I$6:$I$3665,MATCH(INDEX(Zeiterfassung!$K$6:$K$3665,$K1667),Zeiterfassung!$K$6:$K$3665,0))))</f>
        <v/>
      </c>
      <c r="J1667" s="335">
        <f>IF(B1667=B1666,"",IF($K1667="","",INDEX(Zeiterfassung!$J$6:$J$3665,MATCH(INDEX(Zeiterfassung!$K$6:$K$3665,$K1667),Zeiterfassung!$K$6:$K$3665,0))))</f>
        <v/>
      </c>
      <c r="K1667">
        <f>IFERROR(AGGREGATE(15,6,(ROW(Zeiterfassung!$D$6:$D$3665)-ROW(Zeiterfassung!$D$6)+1)/(Zeiterfassung!$D$6:$D$3665&lt;&gt;""),1662),"")</f>
        <v/>
      </c>
    </row>
    <row r="1668" ht="20" customHeight="1">
      <c r="A1668" s="183">
        <f>IF($K1668="","",WEEKNUM(INDEX(Zeiterfassung!$K$6:$K$3665,$K1668),21))</f>
        <v/>
      </c>
      <c r="B1668" s="184">
        <f>IF($K1668="","",INDEX(Zeiterfassung!$K$6:$K$3665,$K1668))</f>
        <v/>
      </c>
      <c r="C1668" s="185">
        <f>IF($K1668="","",INDEX(Zeiterfassung!$K$6:$K$3665,$K1668))</f>
        <v/>
      </c>
      <c r="D1668" s="186">
        <f>IF($K1668="","",INDEX(Zeiterfassung!$D$6:$D$3665,$K1668))</f>
        <v/>
      </c>
      <c r="E1668" s="186">
        <f>IF($K1668="","",INDEX(Zeiterfassung!$E$6:$E$3665,$K1668))</f>
        <v/>
      </c>
      <c r="F1668" s="187">
        <f>IF($K1668="","",INDEX(Zeiterfassung!$F$6:$F$3665,$K1668))</f>
        <v/>
      </c>
      <c r="G1668" s="187">
        <f>IF($K1668="","",INDEX(Zeiterfassung!$G$6:$G$3665,$K1668))</f>
        <v/>
      </c>
      <c r="H1668" s="188">
        <f>IF($K1668="","",INDEX(Zeiterfassung!$H$6:$H$3665,$K1668))</f>
        <v/>
      </c>
      <c r="I1668" s="335">
        <f>IF(B1668=B1667,"",IF($K1668="","",INDEX(Zeiterfassung!$I$6:$I$3665,MATCH(INDEX(Zeiterfassung!$K$6:$K$3665,$K1668),Zeiterfassung!$K$6:$K$3665,0))))</f>
        <v/>
      </c>
      <c r="J1668" s="335">
        <f>IF(B1668=B1667,"",IF($K1668="","",INDEX(Zeiterfassung!$J$6:$J$3665,MATCH(INDEX(Zeiterfassung!$K$6:$K$3665,$K1668),Zeiterfassung!$K$6:$K$3665,0))))</f>
        <v/>
      </c>
      <c r="K1668">
        <f>IFERROR(AGGREGATE(15,6,(ROW(Zeiterfassung!$D$6:$D$3665)-ROW(Zeiterfassung!$D$6)+1)/(Zeiterfassung!$D$6:$D$3665&lt;&gt;""),1663),"")</f>
        <v/>
      </c>
    </row>
    <row r="1669" ht="20" customHeight="1">
      <c r="A1669" s="183">
        <f>IF($K1669="","",WEEKNUM(INDEX(Zeiterfassung!$K$6:$K$3665,$K1669),21))</f>
        <v/>
      </c>
      <c r="B1669" s="184">
        <f>IF($K1669="","",INDEX(Zeiterfassung!$K$6:$K$3665,$K1669))</f>
        <v/>
      </c>
      <c r="C1669" s="185">
        <f>IF($K1669="","",INDEX(Zeiterfassung!$K$6:$K$3665,$K1669))</f>
        <v/>
      </c>
      <c r="D1669" s="186">
        <f>IF($K1669="","",INDEX(Zeiterfassung!$D$6:$D$3665,$K1669))</f>
        <v/>
      </c>
      <c r="E1669" s="186">
        <f>IF($K1669="","",INDEX(Zeiterfassung!$E$6:$E$3665,$K1669))</f>
        <v/>
      </c>
      <c r="F1669" s="187">
        <f>IF($K1669="","",INDEX(Zeiterfassung!$F$6:$F$3665,$K1669))</f>
        <v/>
      </c>
      <c r="G1669" s="187">
        <f>IF($K1669="","",INDEX(Zeiterfassung!$G$6:$G$3665,$K1669))</f>
        <v/>
      </c>
      <c r="H1669" s="188">
        <f>IF($K1669="","",INDEX(Zeiterfassung!$H$6:$H$3665,$K1669))</f>
        <v/>
      </c>
      <c r="I1669" s="335">
        <f>IF(B1669=B1668,"",IF($K1669="","",INDEX(Zeiterfassung!$I$6:$I$3665,MATCH(INDEX(Zeiterfassung!$K$6:$K$3665,$K1669),Zeiterfassung!$K$6:$K$3665,0))))</f>
        <v/>
      </c>
      <c r="J1669" s="335">
        <f>IF(B1669=B1668,"",IF($K1669="","",INDEX(Zeiterfassung!$J$6:$J$3665,MATCH(INDEX(Zeiterfassung!$K$6:$K$3665,$K1669),Zeiterfassung!$K$6:$K$3665,0))))</f>
        <v/>
      </c>
      <c r="K1669">
        <f>IFERROR(AGGREGATE(15,6,(ROW(Zeiterfassung!$D$6:$D$3665)-ROW(Zeiterfassung!$D$6)+1)/(Zeiterfassung!$D$6:$D$3665&lt;&gt;""),1664),"")</f>
        <v/>
      </c>
    </row>
    <row r="1670" ht="20" customHeight="1">
      <c r="A1670" s="183">
        <f>IF($K1670="","",WEEKNUM(INDEX(Zeiterfassung!$K$6:$K$3665,$K1670),21))</f>
        <v/>
      </c>
      <c r="B1670" s="184">
        <f>IF($K1670="","",INDEX(Zeiterfassung!$K$6:$K$3665,$K1670))</f>
        <v/>
      </c>
      <c r="C1670" s="185">
        <f>IF($K1670="","",INDEX(Zeiterfassung!$K$6:$K$3665,$K1670))</f>
        <v/>
      </c>
      <c r="D1670" s="186">
        <f>IF($K1670="","",INDEX(Zeiterfassung!$D$6:$D$3665,$K1670))</f>
        <v/>
      </c>
      <c r="E1670" s="186">
        <f>IF($K1670="","",INDEX(Zeiterfassung!$E$6:$E$3665,$K1670))</f>
        <v/>
      </c>
      <c r="F1670" s="187">
        <f>IF($K1670="","",INDEX(Zeiterfassung!$F$6:$F$3665,$K1670))</f>
        <v/>
      </c>
      <c r="G1670" s="187">
        <f>IF($K1670="","",INDEX(Zeiterfassung!$G$6:$G$3665,$K1670))</f>
        <v/>
      </c>
      <c r="H1670" s="188">
        <f>IF($K1670="","",INDEX(Zeiterfassung!$H$6:$H$3665,$K1670))</f>
        <v/>
      </c>
      <c r="I1670" s="335">
        <f>IF(B1670=B1669,"",IF($K1670="","",INDEX(Zeiterfassung!$I$6:$I$3665,MATCH(INDEX(Zeiterfassung!$K$6:$K$3665,$K1670),Zeiterfassung!$K$6:$K$3665,0))))</f>
        <v/>
      </c>
      <c r="J1670" s="335">
        <f>IF(B1670=B1669,"",IF($K1670="","",INDEX(Zeiterfassung!$J$6:$J$3665,MATCH(INDEX(Zeiterfassung!$K$6:$K$3665,$K1670),Zeiterfassung!$K$6:$K$3665,0))))</f>
        <v/>
      </c>
      <c r="K1670">
        <f>IFERROR(AGGREGATE(15,6,(ROW(Zeiterfassung!$D$6:$D$3665)-ROW(Zeiterfassung!$D$6)+1)/(Zeiterfassung!$D$6:$D$3665&lt;&gt;""),1665),"")</f>
        <v/>
      </c>
    </row>
    <row r="1671" ht="20" customHeight="1">
      <c r="A1671" s="183">
        <f>IF($K1671="","",WEEKNUM(INDEX(Zeiterfassung!$K$6:$K$3665,$K1671),21))</f>
        <v/>
      </c>
      <c r="B1671" s="184">
        <f>IF($K1671="","",INDEX(Zeiterfassung!$K$6:$K$3665,$K1671))</f>
        <v/>
      </c>
      <c r="C1671" s="185">
        <f>IF($K1671="","",INDEX(Zeiterfassung!$K$6:$K$3665,$K1671))</f>
        <v/>
      </c>
      <c r="D1671" s="186">
        <f>IF($K1671="","",INDEX(Zeiterfassung!$D$6:$D$3665,$K1671))</f>
        <v/>
      </c>
      <c r="E1671" s="186">
        <f>IF($K1671="","",INDEX(Zeiterfassung!$E$6:$E$3665,$K1671))</f>
        <v/>
      </c>
      <c r="F1671" s="187">
        <f>IF($K1671="","",INDEX(Zeiterfassung!$F$6:$F$3665,$K1671))</f>
        <v/>
      </c>
      <c r="G1671" s="187">
        <f>IF($K1671="","",INDEX(Zeiterfassung!$G$6:$G$3665,$K1671))</f>
        <v/>
      </c>
      <c r="H1671" s="188">
        <f>IF($K1671="","",INDEX(Zeiterfassung!$H$6:$H$3665,$K1671))</f>
        <v/>
      </c>
      <c r="I1671" s="335">
        <f>IF(B1671=B1670,"",IF($K1671="","",INDEX(Zeiterfassung!$I$6:$I$3665,MATCH(INDEX(Zeiterfassung!$K$6:$K$3665,$K1671),Zeiterfassung!$K$6:$K$3665,0))))</f>
        <v/>
      </c>
      <c r="J1671" s="335">
        <f>IF(B1671=B1670,"",IF($K1671="","",INDEX(Zeiterfassung!$J$6:$J$3665,MATCH(INDEX(Zeiterfassung!$K$6:$K$3665,$K1671),Zeiterfassung!$K$6:$K$3665,0))))</f>
        <v/>
      </c>
      <c r="K1671">
        <f>IFERROR(AGGREGATE(15,6,(ROW(Zeiterfassung!$D$6:$D$3665)-ROW(Zeiterfassung!$D$6)+1)/(Zeiterfassung!$D$6:$D$3665&lt;&gt;""),1666),"")</f>
        <v/>
      </c>
    </row>
    <row r="1672" ht="20" customHeight="1">
      <c r="A1672" s="183">
        <f>IF($K1672="","",WEEKNUM(INDEX(Zeiterfassung!$K$6:$K$3665,$K1672),21))</f>
        <v/>
      </c>
      <c r="B1672" s="184">
        <f>IF($K1672="","",INDEX(Zeiterfassung!$K$6:$K$3665,$K1672))</f>
        <v/>
      </c>
      <c r="C1672" s="185">
        <f>IF($K1672="","",INDEX(Zeiterfassung!$K$6:$K$3665,$K1672))</f>
        <v/>
      </c>
      <c r="D1672" s="186">
        <f>IF($K1672="","",INDEX(Zeiterfassung!$D$6:$D$3665,$K1672))</f>
        <v/>
      </c>
      <c r="E1672" s="186">
        <f>IF($K1672="","",INDEX(Zeiterfassung!$E$6:$E$3665,$K1672))</f>
        <v/>
      </c>
      <c r="F1672" s="187">
        <f>IF($K1672="","",INDEX(Zeiterfassung!$F$6:$F$3665,$K1672))</f>
        <v/>
      </c>
      <c r="G1672" s="187">
        <f>IF($K1672="","",INDEX(Zeiterfassung!$G$6:$G$3665,$K1672))</f>
        <v/>
      </c>
      <c r="H1672" s="188">
        <f>IF($K1672="","",INDEX(Zeiterfassung!$H$6:$H$3665,$K1672))</f>
        <v/>
      </c>
      <c r="I1672" s="335">
        <f>IF(B1672=B1671,"",IF($K1672="","",INDEX(Zeiterfassung!$I$6:$I$3665,MATCH(INDEX(Zeiterfassung!$K$6:$K$3665,$K1672),Zeiterfassung!$K$6:$K$3665,0))))</f>
        <v/>
      </c>
      <c r="J1672" s="335">
        <f>IF(B1672=B1671,"",IF($K1672="","",INDEX(Zeiterfassung!$J$6:$J$3665,MATCH(INDEX(Zeiterfassung!$K$6:$K$3665,$K1672),Zeiterfassung!$K$6:$K$3665,0))))</f>
        <v/>
      </c>
      <c r="K1672">
        <f>IFERROR(AGGREGATE(15,6,(ROW(Zeiterfassung!$D$6:$D$3665)-ROW(Zeiterfassung!$D$6)+1)/(Zeiterfassung!$D$6:$D$3665&lt;&gt;""),1667),"")</f>
        <v/>
      </c>
    </row>
    <row r="1673" ht="20" customHeight="1">
      <c r="A1673" s="183">
        <f>IF($K1673="","",WEEKNUM(INDEX(Zeiterfassung!$K$6:$K$3665,$K1673),21))</f>
        <v/>
      </c>
      <c r="B1673" s="184">
        <f>IF($K1673="","",INDEX(Zeiterfassung!$K$6:$K$3665,$K1673))</f>
        <v/>
      </c>
      <c r="C1673" s="185">
        <f>IF($K1673="","",INDEX(Zeiterfassung!$K$6:$K$3665,$K1673))</f>
        <v/>
      </c>
      <c r="D1673" s="186">
        <f>IF($K1673="","",INDEX(Zeiterfassung!$D$6:$D$3665,$K1673))</f>
        <v/>
      </c>
      <c r="E1673" s="186">
        <f>IF($K1673="","",INDEX(Zeiterfassung!$E$6:$E$3665,$K1673))</f>
        <v/>
      </c>
      <c r="F1673" s="187">
        <f>IF($K1673="","",INDEX(Zeiterfassung!$F$6:$F$3665,$K1673))</f>
        <v/>
      </c>
      <c r="G1673" s="187">
        <f>IF($K1673="","",INDEX(Zeiterfassung!$G$6:$G$3665,$K1673))</f>
        <v/>
      </c>
      <c r="H1673" s="188">
        <f>IF($K1673="","",INDEX(Zeiterfassung!$H$6:$H$3665,$K1673))</f>
        <v/>
      </c>
      <c r="I1673" s="335">
        <f>IF(B1673=B1672,"",IF($K1673="","",INDEX(Zeiterfassung!$I$6:$I$3665,MATCH(INDEX(Zeiterfassung!$K$6:$K$3665,$K1673),Zeiterfassung!$K$6:$K$3665,0))))</f>
        <v/>
      </c>
      <c r="J1673" s="335">
        <f>IF(B1673=B1672,"",IF($K1673="","",INDEX(Zeiterfassung!$J$6:$J$3665,MATCH(INDEX(Zeiterfassung!$K$6:$K$3665,$K1673),Zeiterfassung!$K$6:$K$3665,0))))</f>
        <v/>
      </c>
      <c r="K1673">
        <f>IFERROR(AGGREGATE(15,6,(ROW(Zeiterfassung!$D$6:$D$3665)-ROW(Zeiterfassung!$D$6)+1)/(Zeiterfassung!$D$6:$D$3665&lt;&gt;""),1668),"")</f>
        <v/>
      </c>
    </row>
    <row r="1674" ht="20" customHeight="1">
      <c r="A1674" s="183">
        <f>IF($K1674="","",WEEKNUM(INDEX(Zeiterfassung!$K$6:$K$3665,$K1674),21))</f>
        <v/>
      </c>
      <c r="B1674" s="184">
        <f>IF($K1674="","",INDEX(Zeiterfassung!$K$6:$K$3665,$K1674))</f>
        <v/>
      </c>
      <c r="C1674" s="185">
        <f>IF($K1674="","",INDEX(Zeiterfassung!$K$6:$K$3665,$K1674))</f>
        <v/>
      </c>
      <c r="D1674" s="186">
        <f>IF($K1674="","",INDEX(Zeiterfassung!$D$6:$D$3665,$K1674))</f>
        <v/>
      </c>
      <c r="E1674" s="186">
        <f>IF($K1674="","",INDEX(Zeiterfassung!$E$6:$E$3665,$K1674))</f>
        <v/>
      </c>
      <c r="F1674" s="187">
        <f>IF($K1674="","",INDEX(Zeiterfassung!$F$6:$F$3665,$K1674))</f>
        <v/>
      </c>
      <c r="G1674" s="187">
        <f>IF($K1674="","",INDEX(Zeiterfassung!$G$6:$G$3665,$K1674))</f>
        <v/>
      </c>
      <c r="H1674" s="188">
        <f>IF($K1674="","",INDEX(Zeiterfassung!$H$6:$H$3665,$K1674))</f>
        <v/>
      </c>
      <c r="I1674" s="335">
        <f>IF(B1674=B1673,"",IF($K1674="","",INDEX(Zeiterfassung!$I$6:$I$3665,MATCH(INDEX(Zeiterfassung!$K$6:$K$3665,$K1674),Zeiterfassung!$K$6:$K$3665,0))))</f>
        <v/>
      </c>
      <c r="J1674" s="335">
        <f>IF(B1674=B1673,"",IF($K1674="","",INDEX(Zeiterfassung!$J$6:$J$3665,MATCH(INDEX(Zeiterfassung!$K$6:$K$3665,$K1674),Zeiterfassung!$K$6:$K$3665,0))))</f>
        <v/>
      </c>
      <c r="K1674">
        <f>IFERROR(AGGREGATE(15,6,(ROW(Zeiterfassung!$D$6:$D$3665)-ROW(Zeiterfassung!$D$6)+1)/(Zeiterfassung!$D$6:$D$3665&lt;&gt;""),1669),"")</f>
        <v/>
      </c>
    </row>
    <row r="1675" ht="20" customHeight="1">
      <c r="A1675" s="183">
        <f>IF($K1675="","",WEEKNUM(INDEX(Zeiterfassung!$K$6:$K$3665,$K1675),21))</f>
        <v/>
      </c>
      <c r="B1675" s="184">
        <f>IF($K1675="","",INDEX(Zeiterfassung!$K$6:$K$3665,$K1675))</f>
        <v/>
      </c>
      <c r="C1675" s="185">
        <f>IF($K1675="","",INDEX(Zeiterfassung!$K$6:$K$3665,$K1675))</f>
        <v/>
      </c>
      <c r="D1675" s="186">
        <f>IF($K1675="","",INDEX(Zeiterfassung!$D$6:$D$3665,$K1675))</f>
        <v/>
      </c>
      <c r="E1675" s="186">
        <f>IF($K1675="","",INDEX(Zeiterfassung!$E$6:$E$3665,$K1675))</f>
        <v/>
      </c>
      <c r="F1675" s="187">
        <f>IF($K1675="","",INDEX(Zeiterfassung!$F$6:$F$3665,$K1675))</f>
        <v/>
      </c>
      <c r="G1675" s="187">
        <f>IF($K1675="","",INDEX(Zeiterfassung!$G$6:$G$3665,$K1675))</f>
        <v/>
      </c>
      <c r="H1675" s="188">
        <f>IF($K1675="","",INDEX(Zeiterfassung!$H$6:$H$3665,$K1675))</f>
        <v/>
      </c>
      <c r="I1675" s="335">
        <f>IF(B1675=B1674,"",IF($K1675="","",INDEX(Zeiterfassung!$I$6:$I$3665,MATCH(INDEX(Zeiterfassung!$K$6:$K$3665,$K1675),Zeiterfassung!$K$6:$K$3665,0))))</f>
        <v/>
      </c>
      <c r="J1675" s="335">
        <f>IF(B1675=B1674,"",IF($K1675="","",INDEX(Zeiterfassung!$J$6:$J$3665,MATCH(INDEX(Zeiterfassung!$K$6:$K$3665,$K1675),Zeiterfassung!$K$6:$K$3665,0))))</f>
        <v/>
      </c>
      <c r="K1675">
        <f>IFERROR(AGGREGATE(15,6,(ROW(Zeiterfassung!$D$6:$D$3665)-ROW(Zeiterfassung!$D$6)+1)/(Zeiterfassung!$D$6:$D$3665&lt;&gt;""),1670),"")</f>
        <v/>
      </c>
    </row>
    <row r="1676" ht="20" customHeight="1">
      <c r="A1676" s="183">
        <f>IF($K1676="","",WEEKNUM(INDEX(Zeiterfassung!$K$6:$K$3665,$K1676),21))</f>
        <v/>
      </c>
      <c r="B1676" s="184">
        <f>IF($K1676="","",INDEX(Zeiterfassung!$K$6:$K$3665,$K1676))</f>
        <v/>
      </c>
      <c r="C1676" s="185">
        <f>IF($K1676="","",INDEX(Zeiterfassung!$K$6:$K$3665,$K1676))</f>
        <v/>
      </c>
      <c r="D1676" s="186">
        <f>IF($K1676="","",INDEX(Zeiterfassung!$D$6:$D$3665,$K1676))</f>
        <v/>
      </c>
      <c r="E1676" s="186">
        <f>IF($K1676="","",INDEX(Zeiterfassung!$E$6:$E$3665,$K1676))</f>
        <v/>
      </c>
      <c r="F1676" s="187">
        <f>IF($K1676="","",INDEX(Zeiterfassung!$F$6:$F$3665,$K1676))</f>
        <v/>
      </c>
      <c r="G1676" s="187">
        <f>IF($K1676="","",INDEX(Zeiterfassung!$G$6:$G$3665,$K1676))</f>
        <v/>
      </c>
      <c r="H1676" s="188">
        <f>IF($K1676="","",INDEX(Zeiterfassung!$H$6:$H$3665,$K1676))</f>
        <v/>
      </c>
      <c r="I1676" s="335">
        <f>IF(B1676=B1675,"",IF($K1676="","",INDEX(Zeiterfassung!$I$6:$I$3665,MATCH(INDEX(Zeiterfassung!$K$6:$K$3665,$K1676),Zeiterfassung!$K$6:$K$3665,0))))</f>
        <v/>
      </c>
      <c r="J1676" s="335">
        <f>IF(B1676=B1675,"",IF($K1676="","",INDEX(Zeiterfassung!$J$6:$J$3665,MATCH(INDEX(Zeiterfassung!$K$6:$K$3665,$K1676),Zeiterfassung!$K$6:$K$3665,0))))</f>
        <v/>
      </c>
      <c r="K1676">
        <f>IFERROR(AGGREGATE(15,6,(ROW(Zeiterfassung!$D$6:$D$3665)-ROW(Zeiterfassung!$D$6)+1)/(Zeiterfassung!$D$6:$D$3665&lt;&gt;""),1671),"")</f>
        <v/>
      </c>
    </row>
    <row r="1677" ht="20" customHeight="1">
      <c r="A1677" s="183">
        <f>IF($K1677="","",WEEKNUM(INDEX(Zeiterfassung!$K$6:$K$3665,$K1677),21))</f>
        <v/>
      </c>
      <c r="B1677" s="184">
        <f>IF($K1677="","",INDEX(Zeiterfassung!$K$6:$K$3665,$K1677))</f>
        <v/>
      </c>
      <c r="C1677" s="185">
        <f>IF($K1677="","",INDEX(Zeiterfassung!$K$6:$K$3665,$K1677))</f>
        <v/>
      </c>
      <c r="D1677" s="186">
        <f>IF($K1677="","",INDEX(Zeiterfassung!$D$6:$D$3665,$K1677))</f>
        <v/>
      </c>
      <c r="E1677" s="186">
        <f>IF($K1677="","",INDEX(Zeiterfassung!$E$6:$E$3665,$K1677))</f>
        <v/>
      </c>
      <c r="F1677" s="187">
        <f>IF($K1677="","",INDEX(Zeiterfassung!$F$6:$F$3665,$K1677))</f>
        <v/>
      </c>
      <c r="G1677" s="187">
        <f>IF($K1677="","",INDEX(Zeiterfassung!$G$6:$G$3665,$K1677))</f>
        <v/>
      </c>
      <c r="H1677" s="188">
        <f>IF($K1677="","",INDEX(Zeiterfassung!$H$6:$H$3665,$K1677))</f>
        <v/>
      </c>
      <c r="I1677" s="335">
        <f>IF(B1677=B1676,"",IF($K1677="","",INDEX(Zeiterfassung!$I$6:$I$3665,MATCH(INDEX(Zeiterfassung!$K$6:$K$3665,$K1677),Zeiterfassung!$K$6:$K$3665,0))))</f>
        <v/>
      </c>
      <c r="J1677" s="335">
        <f>IF(B1677=B1676,"",IF($K1677="","",INDEX(Zeiterfassung!$J$6:$J$3665,MATCH(INDEX(Zeiterfassung!$K$6:$K$3665,$K1677),Zeiterfassung!$K$6:$K$3665,0))))</f>
        <v/>
      </c>
      <c r="K1677">
        <f>IFERROR(AGGREGATE(15,6,(ROW(Zeiterfassung!$D$6:$D$3665)-ROW(Zeiterfassung!$D$6)+1)/(Zeiterfassung!$D$6:$D$3665&lt;&gt;""),1672),"")</f>
        <v/>
      </c>
    </row>
    <row r="1678" ht="20" customHeight="1">
      <c r="A1678" s="183">
        <f>IF($K1678="","",WEEKNUM(INDEX(Zeiterfassung!$K$6:$K$3665,$K1678),21))</f>
        <v/>
      </c>
      <c r="B1678" s="184">
        <f>IF($K1678="","",INDEX(Zeiterfassung!$K$6:$K$3665,$K1678))</f>
        <v/>
      </c>
      <c r="C1678" s="185">
        <f>IF($K1678="","",INDEX(Zeiterfassung!$K$6:$K$3665,$K1678))</f>
        <v/>
      </c>
      <c r="D1678" s="186">
        <f>IF($K1678="","",INDEX(Zeiterfassung!$D$6:$D$3665,$K1678))</f>
        <v/>
      </c>
      <c r="E1678" s="186">
        <f>IF($K1678="","",INDEX(Zeiterfassung!$E$6:$E$3665,$K1678))</f>
        <v/>
      </c>
      <c r="F1678" s="187">
        <f>IF($K1678="","",INDEX(Zeiterfassung!$F$6:$F$3665,$K1678))</f>
        <v/>
      </c>
      <c r="G1678" s="187">
        <f>IF($K1678="","",INDEX(Zeiterfassung!$G$6:$G$3665,$K1678))</f>
        <v/>
      </c>
      <c r="H1678" s="188">
        <f>IF($K1678="","",INDEX(Zeiterfassung!$H$6:$H$3665,$K1678))</f>
        <v/>
      </c>
      <c r="I1678" s="335">
        <f>IF(B1678=B1677,"",IF($K1678="","",INDEX(Zeiterfassung!$I$6:$I$3665,MATCH(INDEX(Zeiterfassung!$K$6:$K$3665,$K1678),Zeiterfassung!$K$6:$K$3665,0))))</f>
        <v/>
      </c>
      <c r="J1678" s="335">
        <f>IF(B1678=B1677,"",IF($K1678="","",INDEX(Zeiterfassung!$J$6:$J$3665,MATCH(INDEX(Zeiterfassung!$K$6:$K$3665,$K1678),Zeiterfassung!$K$6:$K$3665,0))))</f>
        <v/>
      </c>
      <c r="K1678">
        <f>IFERROR(AGGREGATE(15,6,(ROW(Zeiterfassung!$D$6:$D$3665)-ROW(Zeiterfassung!$D$6)+1)/(Zeiterfassung!$D$6:$D$3665&lt;&gt;""),1673),"")</f>
        <v/>
      </c>
    </row>
    <row r="1679" ht="20" customHeight="1">
      <c r="A1679" s="183">
        <f>IF($K1679="","",WEEKNUM(INDEX(Zeiterfassung!$K$6:$K$3665,$K1679),21))</f>
        <v/>
      </c>
      <c r="B1679" s="184">
        <f>IF($K1679="","",INDEX(Zeiterfassung!$K$6:$K$3665,$K1679))</f>
        <v/>
      </c>
      <c r="C1679" s="185">
        <f>IF($K1679="","",INDEX(Zeiterfassung!$K$6:$K$3665,$K1679))</f>
        <v/>
      </c>
      <c r="D1679" s="186">
        <f>IF($K1679="","",INDEX(Zeiterfassung!$D$6:$D$3665,$K1679))</f>
        <v/>
      </c>
      <c r="E1679" s="186">
        <f>IF($K1679="","",INDEX(Zeiterfassung!$E$6:$E$3665,$K1679))</f>
        <v/>
      </c>
      <c r="F1679" s="187">
        <f>IF($K1679="","",INDEX(Zeiterfassung!$F$6:$F$3665,$K1679))</f>
        <v/>
      </c>
      <c r="G1679" s="187">
        <f>IF($K1679="","",INDEX(Zeiterfassung!$G$6:$G$3665,$K1679))</f>
        <v/>
      </c>
      <c r="H1679" s="188">
        <f>IF($K1679="","",INDEX(Zeiterfassung!$H$6:$H$3665,$K1679))</f>
        <v/>
      </c>
      <c r="I1679" s="335">
        <f>IF(B1679=B1678,"",IF($K1679="","",INDEX(Zeiterfassung!$I$6:$I$3665,MATCH(INDEX(Zeiterfassung!$K$6:$K$3665,$K1679),Zeiterfassung!$K$6:$K$3665,0))))</f>
        <v/>
      </c>
      <c r="J1679" s="335">
        <f>IF(B1679=B1678,"",IF($K1679="","",INDEX(Zeiterfassung!$J$6:$J$3665,MATCH(INDEX(Zeiterfassung!$K$6:$K$3665,$K1679),Zeiterfassung!$K$6:$K$3665,0))))</f>
        <v/>
      </c>
      <c r="K1679">
        <f>IFERROR(AGGREGATE(15,6,(ROW(Zeiterfassung!$D$6:$D$3665)-ROW(Zeiterfassung!$D$6)+1)/(Zeiterfassung!$D$6:$D$3665&lt;&gt;""),1674),"")</f>
        <v/>
      </c>
    </row>
    <row r="1680" ht="20" customHeight="1">
      <c r="A1680" s="183">
        <f>IF($K1680="","",WEEKNUM(INDEX(Zeiterfassung!$K$6:$K$3665,$K1680),21))</f>
        <v/>
      </c>
      <c r="B1680" s="184">
        <f>IF($K1680="","",INDEX(Zeiterfassung!$K$6:$K$3665,$K1680))</f>
        <v/>
      </c>
      <c r="C1680" s="185">
        <f>IF($K1680="","",INDEX(Zeiterfassung!$K$6:$K$3665,$K1680))</f>
        <v/>
      </c>
      <c r="D1680" s="186">
        <f>IF($K1680="","",INDEX(Zeiterfassung!$D$6:$D$3665,$K1680))</f>
        <v/>
      </c>
      <c r="E1680" s="186">
        <f>IF($K1680="","",INDEX(Zeiterfassung!$E$6:$E$3665,$K1680))</f>
        <v/>
      </c>
      <c r="F1680" s="187">
        <f>IF($K1680="","",INDEX(Zeiterfassung!$F$6:$F$3665,$K1680))</f>
        <v/>
      </c>
      <c r="G1680" s="187">
        <f>IF($K1680="","",INDEX(Zeiterfassung!$G$6:$G$3665,$K1680))</f>
        <v/>
      </c>
      <c r="H1680" s="188">
        <f>IF($K1680="","",INDEX(Zeiterfassung!$H$6:$H$3665,$K1680))</f>
        <v/>
      </c>
      <c r="I1680" s="335">
        <f>IF(B1680=B1679,"",IF($K1680="","",INDEX(Zeiterfassung!$I$6:$I$3665,MATCH(INDEX(Zeiterfassung!$K$6:$K$3665,$K1680),Zeiterfassung!$K$6:$K$3665,0))))</f>
        <v/>
      </c>
      <c r="J1680" s="335">
        <f>IF(B1680=B1679,"",IF($K1680="","",INDEX(Zeiterfassung!$J$6:$J$3665,MATCH(INDEX(Zeiterfassung!$K$6:$K$3665,$K1680),Zeiterfassung!$K$6:$K$3665,0))))</f>
        <v/>
      </c>
      <c r="K1680">
        <f>IFERROR(AGGREGATE(15,6,(ROW(Zeiterfassung!$D$6:$D$3665)-ROW(Zeiterfassung!$D$6)+1)/(Zeiterfassung!$D$6:$D$3665&lt;&gt;""),1675),"")</f>
        <v/>
      </c>
    </row>
    <row r="1681" ht="20" customHeight="1">
      <c r="A1681" s="183">
        <f>IF($K1681="","",WEEKNUM(INDEX(Zeiterfassung!$K$6:$K$3665,$K1681),21))</f>
        <v/>
      </c>
      <c r="B1681" s="184">
        <f>IF($K1681="","",INDEX(Zeiterfassung!$K$6:$K$3665,$K1681))</f>
        <v/>
      </c>
      <c r="C1681" s="185">
        <f>IF($K1681="","",INDEX(Zeiterfassung!$K$6:$K$3665,$K1681))</f>
        <v/>
      </c>
      <c r="D1681" s="186">
        <f>IF($K1681="","",INDEX(Zeiterfassung!$D$6:$D$3665,$K1681))</f>
        <v/>
      </c>
      <c r="E1681" s="186">
        <f>IF($K1681="","",INDEX(Zeiterfassung!$E$6:$E$3665,$K1681))</f>
        <v/>
      </c>
      <c r="F1681" s="187">
        <f>IF($K1681="","",INDEX(Zeiterfassung!$F$6:$F$3665,$K1681))</f>
        <v/>
      </c>
      <c r="G1681" s="187">
        <f>IF($K1681="","",INDEX(Zeiterfassung!$G$6:$G$3665,$K1681))</f>
        <v/>
      </c>
      <c r="H1681" s="188">
        <f>IF($K1681="","",INDEX(Zeiterfassung!$H$6:$H$3665,$K1681))</f>
        <v/>
      </c>
      <c r="I1681" s="335">
        <f>IF(B1681=B1680,"",IF($K1681="","",INDEX(Zeiterfassung!$I$6:$I$3665,MATCH(INDEX(Zeiterfassung!$K$6:$K$3665,$K1681),Zeiterfassung!$K$6:$K$3665,0))))</f>
        <v/>
      </c>
      <c r="J1681" s="335">
        <f>IF(B1681=B1680,"",IF($K1681="","",INDEX(Zeiterfassung!$J$6:$J$3665,MATCH(INDEX(Zeiterfassung!$K$6:$K$3665,$K1681),Zeiterfassung!$K$6:$K$3665,0))))</f>
        <v/>
      </c>
      <c r="K1681">
        <f>IFERROR(AGGREGATE(15,6,(ROW(Zeiterfassung!$D$6:$D$3665)-ROW(Zeiterfassung!$D$6)+1)/(Zeiterfassung!$D$6:$D$3665&lt;&gt;""),1676),"")</f>
        <v/>
      </c>
    </row>
    <row r="1682" ht="20" customHeight="1">
      <c r="A1682" s="183">
        <f>IF($K1682="","",WEEKNUM(INDEX(Zeiterfassung!$K$6:$K$3665,$K1682),21))</f>
        <v/>
      </c>
      <c r="B1682" s="184">
        <f>IF($K1682="","",INDEX(Zeiterfassung!$K$6:$K$3665,$K1682))</f>
        <v/>
      </c>
      <c r="C1682" s="185">
        <f>IF($K1682="","",INDEX(Zeiterfassung!$K$6:$K$3665,$K1682))</f>
        <v/>
      </c>
      <c r="D1682" s="186">
        <f>IF($K1682="","",INDEX(Zeiterfassung!$D$6:$D$3665,$K1682))</f>
        <v/>
      </c>
      <c r="E1682" s="186">
        <f>IF($K1682="","",INDEX(Zeiterfassung!$E$6:$E$3665,$K1682))</f>
        <v/>
      </c>
      <c r="F1682" s="187">
        <f>IF($K1682="","",INDEX(Zeiterfassung!$F$6:$F$3665,$K1682))</f>
        <v/>
      </c>
      <c r="G1682" s="187">
        <f>IF($K1682="","",INDEX(Zeiterfassung!$G$6:$G$3665,$K1682))</f>
        <v/>
      </c>
      <c r="H1682" s="188">
        <f>IF($K1682="","",INDEX(Zeiterfassung!$H$6:$H$3665,$K1682))</f>
        <v/>
      </c>
      <c r="I1682" s="335">
        <f>IF(B1682=B1681,"",IF($K1682="","",INDEX(Zeiterfassung!$I$6:$I$3665,MATCH(INDEX(Zeiterfassung!$K$6:$K$3665,$K1682),Zeiterfassung!$K$6:$K$3665,0))))</f>
        <v/>
      </c>
      <c r="J1682" s="335">
        <f>IF(B1682=B1681,"",IF($K1682="","",INDEX(Zeiterfassung!$J$6:$J$3665,MATCH(INDEX(Zeiterfassung!$K$6:$K$3665,$K1682),Zeiterfassung!$K$6:$K$3665,0))))</f>
        <v/>
      </c>
      <c r="K1682">
        <f>IFERROR(AGGREGATE(15,6,(ROW(Zeiterfassung!$D$6:$D$3665)-ROW(Zeiterfassung!$D$6)+1)/(Zeiterfassung!$D$6:$D$3665&lt;&gt;""),1677),"")</f>
        <v/>
      </c>
    </row>
    <row r="1683" ht="20" customHeight="1">
      <c r="A1683" s="183">
        <f>IF($K1683="","",WEEKNUM(INDEX(Zeiterfassung!$K$6:$K$3665,$K1683),21))</f>
        <v/>
      </c>
      <c r="B1683" s="184">
        <f>IF($K1683="","",INDEX(Zeiterfassung!$K$6:$K$3665,$K1683))</f>
        <v/>
      </c>
      <c r="C1683" s="185">
        <f>IF($K1683="","",INDEX(Zeiterfassung!$K$6:$K$3665,$K1683))</f>
        <v/>
      </c>
      <c r="D1683" s="186">
        <f>IF($K1683="","",INDEX(Zeiterfassung!$D$6:$D$3665,$K1683))</f>
        <v/>
      </c>
      <c r="E1683" s="186">
        <f>IF($K1683="","",INDEX(Zeiterfassung!$E$6:$E$3665,$K1683))</f>
        <v/>
      </c>
      <c r="F1683" s="187">
        <f>IF($K1683="","",INDEX(Zeiterfassung!$F$6:$F$3665,$K1683))</f>
        <v/>
      </c>
      <c r="G1683" s="187">
        <f>IF($K1683="","",INDEX(Zeiterfassung!$G$6:$G$3665,$K1683))</f>
        <v/>
      </c>
      <c r="H1683" s="188">
        <f>IF($K1683="","",INDEX(Zeiterfassung!$H$6:$H$3665,$K1683))</f>
        <v/>
      </c>
      <c r="I1683" s="335">
        <f>IF(B1683=B1682,"",IF($K1683="","",INDEX(Zeiterfassung!$I$6:$I$3665,MATCH(INDEX(Zeiterfassung!$K$6:$K$3665,$K1683),Zeiterfassung!$K$6:$K$3665,0))))</f>
        <v/>
      </c>
      <c r="J1683" s="335">
        <f>IF(B1683=B1682,"",IF($K1683="","",INDEX(Zeiterfassung!$J$6:$J$3665,MATCH(INDEX(Zeiterfassung!$K$6:$K$3665,$K1683),Zeiterfassung!$K$6:$K$3665,0))))</f>
        <v/>
      </c>
      <c r="K1683">
        <f>IFERROR(AGGREGATE(15,6,(ROW(Zeiterfassung!$D$6:$D$3665)-ROW(Zeiterfassung!$D$6)+1)/(Zeiterfassung!$D$6:$D$3665&lt;&gt;""),1678),"")</f>
        <v/>
      </c>
    </row>
    <row r="1684" ht="20" customHeight="1">
      <c r="A1684" s="183">
        <f>IF($K1684="","",WEEKNUM(INDEX(Zeiterfassung!$K$6:$K$3665,$K1684),21))</f>
        <v/>
      </c>
      <c r="B1684" s="184">
        <f>IF($K1684="","",INDEX(Zeiterfassung!$K$6:$K$3665,$K1684))</f>
        <v/>
      </c>
      <c r="C1684" s="185">
        <f>IF($K1684="","",INDEX(Zeiterfassung!$K$6:$K$3665,$K1684))</f>
        <v/>
      </c>
      <c r="D1684" s="186">
        <f>IF($K1684="","",INDEX(Zeiterfassung!$D$6:$D$3665,$K1684))</f>
        <v/>
      </c>
      <c r="E1684" s="186">
        <f>IF($K1684="","",INDEX(Zeiterfassung!$E$6:$E$3665,$K1684))</f>
        <v/>
      </c>
      <c r="F1684" s="187">
        <f>IF($K1684="","",INDEX(Zeiterfassung!$F$6:$F$3665,$K1684))</f>
        <v/>
      </c>
      <c r="G1684" s="187">
        <f>IF($K1684="","",INDEX(Zeiterfassung!$G$6:$G$3665,$K1684))</f>
        <v/>
      </c>
      <c r="H1684" s="188">
        <f>IF($K1684="","",INDEX(Zeiterfassung!$H$6:$H$3665,$K1684))</f>
        <v/>
      </c>
      <c r="I1684" s="335">
        <f>IF(B1684=B1683,"",IF($K1684="","",INDEX(Zeiterfassung!$I$6:$I$3665,MATCH(INDEX(Zeiterfassung!$K$6:$K$3665,$K1684),Zeiterfassung!$K$6:$K$3665,0))))</f>
        <v/>
      </c>
      <c r="J1684" s="335">
        <f>IF(B1684=B1683,"",IF($K1684="","",INDEX(Zeiterfassung!$J$6:$J$3665,MATCH(INDEX(Zeiterfassung!$K$6:$K$3665,$K1684),Zeiterfassung!$K$6:$K$3665,0))))</f>
        <v/>
      </c>
      <c r="K1684">
        <f>IFERROR(AGGREGATE(15,6,(ROW(Zeiterfassung!$D$6:$D$3665)-ROW(Zeiterfassung!$D$6)+1)/(Zeiterfassung!$D$6:$D$3665&lt;&gt;""),1679),"")</f>
        <v/>
      </c>
    </row>
    <row r="1685" ht="20" customHeight="1">
      <c r="A1685" s="183">
        <f>IF($K1685="","",WEEKNUM(INDEX(Zeiterfassung!$K$6:$K$3665,$K1685),21))</f>
        <v/>
      </c>
      <c r="B1685" s="184">
        <f>IF($K1685="","",INDEX(Zeiterfassung!$K$6:$K$3665,$K1685))</f>
        <v/>
      </c>
      <c r="C1685" s="185">
        <f>IF($K1685="","",INDEX(Zeiterfassung!$K$6:$K$3665,$K1685))</f>
        <v/>
      </c>
      <c r="D1685" s="186">
        <f>IF($K1685="","",INDEX(Zeiterfassung!$D$6:$D$3665,$K1685))</f>
        <v/>
      </c>
      <c r="E1685" s="186">
        <f>IF($K1685="","",INDEX(Zeiterfassung!$E$6:$E$3665,$K1685))</f>
        <v/>
      </c>
      <c r="F1685" s="187">
        <f>IF($K1685="","",INDEX(Zeiterfassung!$F$6:$F$3665,$K1685))</f>
        <v/>
      </c>
      <c r="G1685" s="187">
        <f>IF($K1685="","",INDEX(Zeiterfassung!$G$6:$G$3665,$K1685))</f>
        <v/>
      </c>
      <c r="H1685" s="188">
        <f>IF($K1685="","",INDEX(Zeiterfassung!$H$6:$H$3665,$K1685))</f>
        <v/>
      </c>
      <c r="I1685" s="335">
        <f>IF(B1685=B1684,"",IF($K1685="","",INDEX(Zeiterfassung!$I$6:$I$3665,MATCH(INDEX(Zeiterfassung!$K$6:$K$3665,$K1685),Zeiterfassung!$K$6:$K$3665,0))))</f>
        <v/>
      </c>
      <c r="J1685" s="335">
        <f>IF(B1685=B1684,"",IF($K1685="","",INDEX(Zeiterfassung!$J$6:$J$3665,MATCH(INDEX(Zeiterfassung!$K$6:$K$3665,$K1685),Zeiterfassung!$K$6:$K$3665,0))))</f>
        <v/>
      </c>
      <c r="K1685">
        <f>IFERROR(AGGREGATE(15,6,(ROW(Zeiterfassung!$D$6:$D$3665)-ROW(Zeiterfassung!$D$6)+1)/(Zeiterfassung!$D$6:$D$3665&lt;&gt;""),1680),"")</f>
        <v/>
      </c>
    </row>
    <row r="1686" ht="20" customHeight="1">
      <c r="A1686" s="183">
        <f>IF($K1686="","",WEEKNUM(INDEX(Zeiterfassung!$K$6:$K$3665,$K1686),21))</f>
        <v/>
      </c>
      <c r="B1686" s="184">
        <f>IF($K1686="","",INDEX(Zeiterfassung!$K$6:$K$3665,$K1686))</f>
        <v/>
      </c>
      <c r="C1686" s="185">
        <f>IF($K1686="","",INDEX(Zeiterfassung!$K$6:$K$3665,$K1686))</f>
        <v/>
      </c>
      <c r="D1686" s="186">
        <f>IF($K1686="","",INDEX(Zeiterfassung!$D$6:$D$3665,$K1686))</f>
        <v/>
      </c>
      <c r="E1686" s="186">
        <f>IF($K1686="","",INDEX(Zeiterfassung!$E$6:$E$3665,$K1686))</f>
        <v/>
      </c>
      <c r="F1686" s="187">
        <f>IF($K1686="","",INDEX(Zeiterfassung!$F$6:$F$3665,$K1686))</f>
        <v/>
      </c>
      <c r="G1686" s="187">
        <f>IF($K1686="","",INDEX(Zeiterfassung!$G$6:$G$3665,$K1686))</f>
        <v/>
      </c>
      <c r="H1686" s="188">
        <f>IF($K1686="","",INDEX(Zeiterfassung!$H$6:$H$3665,$K1686))</f>
        <v/>
      </c>
      <c r="I1686" s="335">
        <f>IF(B1686=B1685,"",IF($K1686="","",INDEX(Zeiterfassung!$I$6:$I$3665,MATCH(INDEX(Zeiterfassung!$K$6:$K$3665,$K1686),Zeiterfassung!$K$6:$K$3665,0))))</f>
        <v/>
      </c>
      <c r="J1686" s="335">
        <f>IF(B1686=B1685,"",IF($K1686="","",INDEX(Zeiterfassung!$J$6:$J$3665,MATCH(INDEX(Zeiterfassung!$K$6:$K$3665,$K1686),Zeiterfassung!$K$6:$K$3665,0))))</f>
        <v/>
      </c>
      <c r="K1686">
        <f>IFERROR(AGGREGATE(15,6,(ROW(Zeiterfassung!$D$6:$D$3665)-ROW(Zeiterfassung!$D$6)+1)/(Zeiterfassung!$D$6:$D$3665&lt;&gt;""),1681),"")</f>
        <v/>
      </c>
    </row>
    <row r="1687" ht="20" customHeight="1">
      <c r="A1687" s="183">
        <f>IF($K1687="","",WEEKNUM(INDEX(Zeiterfassung!$K$6:$K$3665,$K1687),21))</f>
        <v/>
      </c>
      <c r="B1687" s="184">
        <f>IF($K1687="","",INDEX(Zeiterfassung!$K$6:$K$3665,$K1687))</f>
        <v/>
      </c>
      <c r="C1687" s="185">
        <f>IF($K1687="","",INDEX(Zeiterfassung!$K$6:$K$3665,$K1687))</f>
        <v/>
      </c>
      <c r="D1687" s="186">
        <f>IF($K1687="","",INDEX(Zeiterfassung!$D$6:$D$3665,$K1687))</f>
        <v/>
      </c>
      <c r="E1687" s="186">
        <f>IF($K1687="","",INDEX(Zeiterfassung!$E$6:$E$3665,$K1687))</f>
        <v/>
      </c>
      <c r="F1687" s="187">
        <f>IF($K1687="","",INDEX(Zeiterfassung!$F$6:$F$3665,$K1687))</f>
        <v/>
      </c>
      <c r="G1687" s="187">
        <f>IF($K1687="","",INDEX(Zeiterfassung!$G$6:$G$3665,$K1687))</f>
        <v/>
      </c>
      <c r="H1687" s="188">
        <f>IF($K1687="","",INDEX(Zeiterfassung!$H$6:$H$3665,$K1687))</f>
        <v/>
      </c>
      <c r="I1687" s="335">
        <f>IF(B1687=B1686,"",IF($K1687="","",INDEX(Zeiterfassung!$I$6:$I$3665,MATCH(INDEX(Zeiterfassung!$K$6:$K$3665,$K1687),Zeiterfassung!$K$6:$K$3665,0))))</f>
        <v/>
      </c>
      <c r="J1687" s="335">
        <f>IF(B1687=B1686,"",IF($K1687="","",INDEX(Zeiterfassung!$J$6:$J$3665,MATCH(INDEX(Zeiterfassung!$K$6:$K$3665,$K1687),Zeiterfassung!$K$6:$K$3665,0))))</f>
        <v/>
      </c>
      <c r="K1687">
        <f>IFERROR(AGGREGATE(15,6,(ROW(Zeiterfassung!$D$6:$D$3665)-ROW(Zeiterfassung!$D$6)+1)/(Zeiterfassung!$D$6:$D$3665&lt;&gt;""),1682),"")</f>
        <v/>
      </c>
    </row>
    <row r="1688" ht="20" customHeight="1">
      <c r="A1688" s="183">
        <f>IF($K1688="","",WEEKNUM(INDEX(Zeiterfassung!$K$6:$K$3665,$K1688),21))</f>
        <v/>
      </c>
      <c r="B1688" s="184">
        <f>IF($K1688="","",INDEX(Zeiterfassung!$K$6:$K$3665,$K1688))</f>
        <v/>
      </c>
      <c r="C1688" s="185">
        <f>IF($K1688="","",INDEX(Zeiterfassung!$K$6:$K$3665,$K1688))</f>
        <v/>
      </c>
      <c r="D1688" s="186">
        <f>IF($K1688="","",INDEX(Zeiterfassung!$D$6:$D$3665,$K1688))</f>
        <v/>
      </c>
      <c r="E1688" s="186">
        <f>IF($K1688="","",INDEX(Zeiterfassung!$E$6:$E$3665,$K1688))</f>
        <v/>
      </c>
      <c r="F1688" s="187">
        <f>IF($K1688="","",INDEX(Zeiterfassung!$F$6:$F$3665,$K1688))</f>
        <v/>
      </c>
      <c r="G1688" s="187">
        <f>IF($K1688="","",INDEX(Zeiterfassung!$G$6:$G$3665,$K1688))</f>
        <v/>
      </c>
      <c r="H1688" s="188">
        <f>IF($K1688="","",INDEX(Zeiterfassung!$H$6:$H$3665,$K1688))</f>
        <v/>
      </c>
      <c r="I1688" s="335">
        <f>IF(B1688=B1687,"",IF($K1688="","",INDEX(Zeiterfassung!$I$6:$I$3665,MATCH(INDEX(Zeiterfassung!$K$6:$K$3665,$K1688),Zeiterfassung!$K$6:$K$3665,0))))</f>
        <v/>
      </c>
      <c r="J1688" s="335">
        <f>IF(B1688=B1687,"",IF($K1688="","",INDEX(Zeiterfassung!$J$6:$J$3665,MATCH(INDEX(Zeiterfassung!$K$6:$K$3665,$K1688),Zeiterfassung!$K$6:$K$3665,0))))</f>
        <v/>
      </c>
      <c r="K1688">
        <f>IFERROR(AGGREGATE(15,6,(ROW(Zeiterfassung!$D$6:$D$3665)-ROW(Zeiterfassung!$D$6)+1)/(Zeiterfassung!$D$6:$D$3665&lt;&gt;""),1683),"")</f>
        <v/>
      </c>
    </row>
    <row r="1689" ht="20" customHeight="1">
      <c r="A1689" s="183">
        <f>IF($K1689="","",WEEKNUM(INDEX(Zeiterfassung!$K$6:$K$3665,$K1689),21))</f>
        <v/>
      </c>
      <c r="B1689" s="184">
        <f>IF($K1689="","",INDEX(Zeiterfassung!$K$6:$K$3665,$K1689))</f>
        <v/>
      </c>
      <c r="C1689" s="185">
        <f>IF($K1689="","",INDEX(Zeiterfassung!$K$6:$K$3665,$K1689))</f>
        <v/>
      </c>
      <c r="D1689" s="186">
        <f>IF($K1689="","",INDEX(Zeiterfassung!$D$6:$D$3665,$K1689))</f>
        <v/>
      </c>
      <c r="E1689" s="186">
        <f>IF($K1689="","",INDEX(Zeiterfassung!$E$6:$E$3665,$K1689))</f>
        <v/>
      </c>
      <c r="F1689" s="187">
        <f>IF($K1689="","",INDEX(Zeiterfassung!$F$6:$F$3665,$K1689))</f>
        <v/>
      </c>
      <c r="G1689" s="187">
        <f>IF($K1689="","",INDEX(Zeiterfassung!$G$6:$G$3665,$K1689))</f>
        <v/>
      </c>
      <c r="H1689" s="188">
        <f>IF($K1689="","",INDEX(Zeiterfassung!$H$6:$H$3665,$K1689))</f>
        <v/>
      </c>
      <c r="I1689" s="335">
        <f>IF(B1689=B1688,"",IF($K1689="","",INDEX(Zeiterfassung!$I$6:$I$3665,MATCH(INDEX(Zeiterfassung!$K$6:$K$3665,$K1689),Zeiterfassung!$K$6:$K$3665,0))))</f>
        <v/>
      </c>
      <c r="J1689" s="335">
        <f>IF(B1689=B1688,"",IF($K1689="","",INDEX(Zeiterfassung!$J$6:$J$3665,MATCH(INDEX(Zeiterfassung!$K$6:$K$3665,$K1689),Zeiterfassung!$K$6:$K$3665,0))))</f>
        <v/>
      </c>
      <c r="K1689">
        <f>IFERROR(AGGREGATE(15,6,(ROW(Zeiterfassung!$D$6:$D$3665)-ROW(Zeiterfassung!$D$6)+1)/(Zeiterfassung!$D$6:$D$3665&lt;&gt;""),1684),"")</f>
        <v/>
      </c>
    </row>
    <row r="1690" ht="20" customHeight="1">
      <c r="A1690" s="183">
        <f>IF($K1690="","",WEEKNUM(INDEX(Zeiterfassung!$K$6:$K$3665,$K1690),21))</f>
        <v/>
      </c>
      <c r="B1690" s="184">
        <f>IF($K1690="","",INDEX(Zeiterfassung!$K$6:$K$3665,$K1690))</f>
        <v/>
      </c>
      <c r="C1690" s="185">
        <f>IF($K1690="","",INDEX(Zeiterfassung!$K$6:$K$3665,$K1690))</f>
        <v/>
      </c>
      <c r="D1690" s="186">
        <f>IF($K1690="","",INDEX(Zeiterfassung!$D$6:$D$3665,$K1690))</f>
        <v/>
      </c>
      <c r="E1690" s="186">
        <f>IF($K1690="","",INDEX(Zeiterfassung!$E$6:$E$3665,$K1690))</f>
        <v/>
      </c>
      <c r="F1690" s="187">
        <f>IF($K1690="","",INDEX(Zeiterfassung!$F$6:$F$3665,$K1690))</f>
        <v/>
      </c>
      <c r="G1690" s="187">
        <f>IF($K1690="","",INDEX(Zeiterfassung!$G$6:$G$3665,$K1690))</f>
        <v/>
      </c>
      <c r="H1690" s="188">
        <f>IF($K1690="","",INDEX(Zeiterfassung!$H$6:$H$3665,$K1690))</f>
        <v/>
      </c>
      <c r="I1690" s="335">
        <f>IF(B1690=B1689,"",IF($K1690="","",INDEX(Zeiterfassung!$I$6:$I$3665,MATCH(INDEX(Zeiterfassung!$K$6:$K$3665,$K1690),Zeiterfassung!$K$6:$K$3665,0))))</f>
        <v/>
      </c>
      <c r="J1690" s="335">
        <f>IF(B1690=B1689,"",IF($K1690="","",INDEX(Zeiterfassung!$J$6:$J$3665,MATCH(INDEX(Zeiterfassung!$K$6:$K$3665,$K1690),Zeiterfassung!$K$6:$K$3665,0))))</f>
        <v/>
      </c>
      <c r="K1690">
        <f>IFERROR(AGGREGATE(15,6,(ROW(Zeiterfassung!$D$6:$D$3665)-ROW(Zeiterfassung!$D$6)+1)/(Zeiterfassung!$D$6:$D$3665&lt;&gt;""),1685),"")</f>
        <v/>
      </c>
    </row>
    <row r="1691" ht="20" customHeight="1">
      <c r="A1691" s="183">
        <f>IF($K1691="","",WEEKNUM(INDEX(Zeiterfassung!$K$6:$K$3665,$K1691),21))</f>
        <v/>
      </c>
      <c r="B1691" s="184">
        <f>IF($K1691="","",INDEX(Zeiterfassung!$K$6:$K$3665,$K1691))</f>
        <v/>
      </c>
      <c r="C1691" s="185">
        <f>IF($K1691="","",INDEX(Zeiterfassung!$K$6:$K$3665,$K1691))</f>
        <v/>
      </c>
      <c r="D1691" s="186">
        <f>IF($K1691="","",INDEX(Zeiterfassung!$D$6:$D$3665,$K1691))</f>
        <v/>
      </c>
      <c r="E1691" s="186">
        <f>IF($K1691="","",INDEX(Zeiterfassung!$E$6:$E$3665,$K1691))</f>
        <v/>
      </c>
      <c r="F1691" s="187">
        <f>IF($K1691="","",INDEX(Zeiterfassung!$F$6:$F$3665,$K1691))</f>
        <v/>
      </c>
      <c r="G1691" s="187">
        <f>IF($K1691="","",INDEX(Zeiterfassung!$G$6:$G$3665,$K1691))</f>
        <v/>
      </c>
      <c r="H1691" s="188">
        <f>IF($K1691="","",INDEX(Zeiterfassung!$H$6:$H$3665,$K1691))</f>
        <v/>
      </c>
      <c r="I1691" s="335">
        <f>IF(B1691=B1690,"",IF($K1691="","",INDEX(Zeiterfassung!$I$6:$I$3665,MATCH(INDEX(Zeiterfassung!$K$6:$K$3665,$K1691),Zeiterfassung!$K$6:$K$3665,0))))</f>
        <v/>
      </c>
      <c r="J1691" s="335">
        <f>IF(B1691=B1690,"",IF($K1691="","",INDEX(Zeiterfassung!$J$6:$J$3665,MATCH(INDEX(Zeiterfassung!$K$6:$K$3665,$K1691),Zeiterfassung!$K$6:$K$3665,0))))</f>
        <v/>
      </c>
      <c r="K1691">
        <f>IFERROR(AGGREGATE(15,6,(ROW(Zeiterfassung!$D$6:$D$3665)-ROW(Zeiterfassung!$D$6)+1)/(Zeiterfassung!$D$6:$D$3665&lt;&gt;""),1686),"")</f>
        <v/>
      </c>
    </row>
    <row r="1692" ht="20" customHeight="1">
      <c r="A1692" s="183">
        <f>IF($K1692="","",WEEKNUM(INDEX(Zeiterfassung!$K$6:$K$3665,$K1692),21))</f>
        <v/>
      </c>
      <c r="B1692" s="184">
        <f>IF($K1692="","",INDEX(Zeiterfassung!$K$6:$K$3665,$K1692))</f>
        <v/>
      </c>
      <c r="C1692" s="185">
        <f>IF($K1692="","",INDEX(Zeiterfassung!$K$6:$K$3665,$K1692))</f>
        <v/>
      </c>
      <c r="D1692" s="186">
        <f>IF($K1692="","",INDEX(Zeiterfassung!$D$6:$D$3665,$K1692))</f>
        <v/>
      </c>
      <c r="E1692" s="186">
        <f>IF($K1692="","",INDEX(Zeiterfassung!$E$6:$E$3665,$K1692))</f>
        <v/>
      </c>
      <c r="F1692" s="187">
        <f>IF($K1692="","",INDEX(Zeiterfassung!$F$6:$F$3665,$K1692))</f>
        <v/>
      </c>
      <c r="G1692" s="187">
        <f>IF($K1692="","",INDEX(Zeiterfassung!$G$6:$G$3665,$K1692))</f>
        <v/>
      </c>
      <c r="H1692" s="188">
        <f>IF($K1692="","",INDEX(Zeiterfassung!$H$6:$H$3665,$K1692))</f>
        <v/>
      </c>
      <c r="I1692" s="335">
        <f>IF(B1692=B1691,"",IF($K1692="","",INDEX(Zeiterfassung!$I$6:$I$3665,MATCH(INDEX(Zeiterfassung!$K$6:$K$3665,$K1692),Zeiterfassung!$K$6:$K$3665,0))))</f>
        <v/>
      </c>
      <c r="J1692" s="335">
        <f>IF(B1692=B1691,"",IF($K1692="","",INDEX(Zeiterfassung!$J$6:$J$3665,MATCH(INDEX(Zeiterfassung!$K$6:$K$3665,$K1692),Zeiterfassung!$K$6:$K$3665,0))))</f>
        <v/>
      </c>
      <c r="K1692">
        <f>IFERROR(AGGREGATE(15,6,(ROW(Zeiterfassung!$D$6:$D$3665)-ROW(Zeiterfassung!$D$6)+1)/(Zeiterfassung!$D$6:$D$3665&lt;&gt;""),1687),"")</f>
        <v/>
      </c>
    </row>
    <row r="1693" ht="20" customHeight="1">
      <c r="A1693" s="183">
        <f>IF($K1693="","",WEEKNUM(INDEX(Zeiterfassung!$K$6:$K$3665,$K1693),21))</f>
        <v/>
      </c>
      <c r="B1693" s="184">
        <f>IF($K1693="","",INDEX(Zeiterfassung!$K$6:$K$3665,$K1693))</f>
        <v/>
      </c>
      <c r="C1693" s="185">
        <f>IF($K1693="","",INDEX(Zeiterfassung!$K$6:$K$3665,$K1693))</f>
        <v/>
      </c>
      <c r="D1693" s="186">
        <f>IF($K1693="","",INDEX(Zeiterfassung!$D$6:$D$3665,$K1693))</f>
        <v/>
      </c>
      <c r="E1693" s="186">
        <f>IF($K1693="","",INDEX(Zeiterfassung!$E$6:$E$3665,$K1693))</f>
        <v/>
      </c>
      <c r="F1693" s="187">
        <f>IF($K1693="","",INDEX(Zeiterfassung!$F$6:$F$3665,$K1693))</f>
        <v/>
      </c>
      <c r="G1693" s="187">
        <f>IF($K1693="","",INDEX(Zeiterfassung!$G$6:$G$3665,$K1693))</f>
        <v/>
      </c>
      <c r="H1693" s="188">
        <f>IF($K1693="","",INDEX(Zeiterfassung!$H$6:$H$3665,$K1693))</f>
        <v/>
      </c>
      <c r="I1693" s="335">
        <f>IF(B1693=B1692,"",IF($K1693="","",INDEX(Zeiterfassung!$I$6:$I$3665,MATCH(INDEX(Zeiterfassung!$K$6:$K$3665,$K1693),Zeiterfassung!$K$6:$K$3665,0))))</f>
        <v/>
      </c>
      <c r="J1693" s="335">
        <f>IF(B1693=B1692,"",IF($K1693="","",INDEX(Zeiterfassung!$J$6:$J$3665,MATCH(INDEX(Zeiterfassung!$K$6:$K$3665,$K1693),Zeiterfassung!$K$6:$K$3665,0))))</f>
        <v/>
      </c>
      <c r="K1693">
        <f>IFERROR(AGGREGATE(15,6,(ROW(Zeiterfassung!$D$6:$D$3665)-ROW(Zeiterfassung!$D$6)+1)/(Zeiterfassung!$D$6:$D$3665&lt;&gt;""),1688),"")</f>
        <v/>
      </c>
    </row>
    <row r="1694" ht="20" customHeight="1">
      <c r="A1694" s="183">
        <f>IF($K1694="","",WEEKNUM(INDEX(Zeiterfassung!$K$6:$K$3665,$K1694),21))</f>
        <v/>
      </c>
      <c r="B1694" s="184">
        <f>IF($K1694="","",INDEX(Zeiterfassung!$K$6:$K$3665,$K1694))</f>
        <v/>
      </c>
      <c r="C1694" s="185">
        <f>IF($K1694="","",INDEX(Zeiterfassung!$K$6:$K$3665,$K1694))</f>
        <v/>
      </c>
      <c r="D1694" s="186">
        <f>IF($K1694="","",INDEX(Zeiterfassung!$D$6:$D$3665,$K1694))</f>
        <v/>
      </c>
      <c r="E1694" s="186">
        <f>IF($K1694="","",INDEX(Zeiterfassung!$E$6:$E$3665,$K1694))</f>
        <v/>
      </c>
      <c r="F1694" s="187">
        <f>IF($K1694="","",INDEX(Zeiterfassung!$F$6:$F$3665,$K1694))</f>
        <v/>
      </c>
      <c r="G1694" s="187">
        <f>IF($K1694="","",INDEX(Zeiterfassung!$G$6:$G$3665,$K1694))</f>
        <v/>
      </c>
      <c r="H1694" s="188">
        <f>IF($K1694="","",INDEX(Zeiterfassung!$H$6:$H$3665,$K1694))</f>
        <v/>
      </c>
      <c r="I1694" s="335">
        <f>IF(B1694=B1693,"",IF($K1694="","",INDEX(Zeiterfassung!$I$6:$I$3665,MATCH(INDEX(Zeiterfassung!$K$6:$K$3665,$K1694),Zeiterfassung!$K$6:$K$3665,0))))</f>
        <v/>
      </c>
      <c r="J1694" s="335">
        <f>IF(B1694=B1693,"",IF($K1694="","",INDEX(Zeiterfassung!$J$6:$J$3665,MATCH(INDEX(Zeiterfassung!$K$6:$K$3665,$K1694),Zeiterfassung!$K$6:$K$3665,0))))</f>
        <v/>
      </c>
      <c r="K1694">
        <f>IFERROR(AGGREGATE(15,6,(ROW(Zeiterfassung!$D$6:$D$3665)-ROW(Zeiterfassung!$D$6)+1)/(Zeiterfassung!$D$6:$D$3665&lt;&gt;""),1689),"")</f>
        <v/>
      </c>
    </row>
    <row r="1695" ht="20" customHeight="1">
      <c r="A1695" s="183">
        <f>IF($K1695="","",WEEKNUM(INDEX(Zeiterfassung!$K$6:$K$3665,$K1695),21))</f>
        <v/>
      </c>
      <c r="B1695" s="184">
        <f>IF($K1695="","",INDEX(Zeiterfassung!$K$6:$K$3665,$K1695))</f>
        <v/>
      </c>
      <c r="C1695" s="185">
        <f>IF($K1695="","",INDEX(Zeiterfassung!$K$6:$K$3665,$K1695))</f>
        <v/>
      </c>
      <c r="D1695" s="186">
        <f>IF($K1695="","",INDEX(Zeiterfassung!$D$6:$D$3665,$K1695))</f>
        <v/>
      </c>
      <c r="E1695" s="186">
        <f>IF($K1695="","",INDEX(Zeiterfassung!$E$6:$E$3665,$K1695))</f>
        <v/>
      </c>
      <c r="F1695" s="187">
        <f>IF($K1695="","",INDEX(Zeiterfassung!$F$6:$F$3665,$K1695))</f>
        <v/>
      </c>
      <c r="G1695" s="187">
        <f>IF($K1695="","",INDEX(Zeiterfassung!$G$6:$G$3665,$K1695))</f>
        <v/>
      </c>
      <c r="H1695" s="188">
        <f>IF($K1695="","",INDEX(Zeiterfassung!$H$6:$H$3665,$K1695))</f>
        <v/>
      </c>
      <c r="I1695" s="335">
        <f>IF(B1695=B1694,"",IF($K1695="","",INDEX(Zeiterfassung!$I$6:$I$3665,MATCH(INDEX(Zeiterfassung!$K$6:$K$3665,$K1695),Zeiterfassung!$K$6:$K$3665,0))))</f>
        <v/>
      </c>
      <c r="J1695" s="335">
        <f>IF(B1695=B1694,"",IF($K1695="","",INDEX(Zeiterfassung!$J$6:$J$3665,MATCH(INDEX(Zeiterfassung!$K$6:$K$3665,$K1695),Zeiterfassung!$K$6:$K$3665,0))))</f>
        <v/>
      </c>
      <c r="K1695">
        <f>IFERROR(AGGREGATE(15,6,(ROW(Zeiterfassung!$D$6:$D$3665)-ROW(Zeiterfassung!$D$6)+1)/(Zeiterfassung!$D$6:$D$3665&lt;&gt;""),1690),"")</f>
        <v/>
      </c>
    </row>
    <row r="1696" ht="20" customHeight="1">
      <c r="A1696" s="183">
        <f>IF($K1696="","",WEEKNUM(INDEX(Zeiterfassung!$K$6:$K$3665,$K1696),21))</f>
        <v/>
      </c>
      <c r="B1696" s="184">
        <f>IF($K1696="","",INDEX(Zeiterfassung!$K$6:$K$3665,$K1696))</f>
        <v/>
      </c>
      <c r="C1696" s="185">
        <f>IF($K1696="","",INDEX(Zeiterfassung!$K$6:$K$3665,$K1696))</f>
        <v/>
      </c>
      <c r="D1696" s="186">
        <f>IF($K1696="","",INDEX(Zeiterfassung!$D$6:$D$3665,$K1696))</f>
        <v/>
      </c>
      <c r="E1696" s="186">
        <f>IF($K1696="","",INDEX(Zeiterfassung!$E$6:$E$3665,$K1696))</f>
        <v/>
      </c>
      <c r="F1696" s="187">
        <f>IF($K1696="","",INDEX(Zeiterfassung!$F$6:$F$3665,$K1696))</f>
        <v/>
      </c>
      <c r="G1696" s="187">
        <f>IF($K1696="","",INDEX(Zeiterfassung!$G$6:$G$3665,$K1696))</f>
        <v/>
      </c>
      <c r="H1696" s="188">
        <f>IF($K1696="","",INDEX(Zeiterfassung!$H$6:$H$3665,$K1696))</f>
        <v/>
      </c>
      <c r="I1696" s="335">
        <f>IF(B1696=B1695,"",IF($K1696="","",INDEX(Zeiterfassung!$I$6:$I$3665,MATCH(INDEX(Zeiterfassung!$K$6:$K$3665,$K1696),Zeiterfassung!$K$6:$K$3665,0))))</f>
        <v/>
      </c>
      <c r="J1696" s="335">
        <f>IF(B1696=B1695,"",IF($K1696="","",INDEX(Zeiterfassung!$J$6:$J$3665,MATCH(INDEX(Zeiterfassung!$K$6:$K$3665,$K1696),Zeiterfassung!$K$6:$K$3665,0))))</f>
        <v/>
      </c>
      <c r="K1696">
        <f>IFERROR(AGGREGATE(15,6,(ROW(Zeiterfassung!$D$6:$D$3665)-ROW(Zeiterfassung!$D$6)+1)/(Zeiterfassung!$D$6:$D$3665&lt;&gt;""),1691),"")</f>
        <v/>
      </c>
    </row>
    <row r="1697" ht="20" customHeight="1">
      <c r="A1697" s="183">
        <f>IF($K1697="","",WEEKNUM(INDEX(Zeiterfassung!$K$6:$K$3665,$K1697),21))</f>
        <v/>
      </c>
      <c r="B1697" s="184">
        <f>IF($K1697="","",INDEX(Zeiterfassung!$K$6:$K$3665,$K1697))</f>
        <v/>
      </c>
      <c r="C1697" s="185">
        <f>IF($K1697="","",INDEX(Zeiterfassung!$K$6:$K$3665,$K1697))</f>
        <v/>
      </c>
      <c r="D1697" s="186">
        <f>IF($K1697="","",INDEX(Zeiterfassung!$D$6:$D$3665,$K1697))</f>
        <v/>
      </c>
      <c r="E1697" s="186">
        <f>IF($K1697="","",INDEX(Zeiterfassung!$E$6:$E$3665,$K1697))</f>
        <v/>
      </c>
      <c r="F1697" s="187">
        <f>IF($K1697="","",INDEX(Zeiterfassung!$F$6:$F$3665,$K1697))</f>
        <v/>
      </c>
      <c r="G1697" s="187">
        <f>IF($K1697="","",INDEX(Zeiterfassung!$G$6:$G$3665,$K1697))</f>
        <v/>
      </c>
      <c r="H1697" s="188">
        <f>IF($K1697="","",INDEX(Zeiterfassung!$H$6:$H$3665,$K1697))</f>
        <v/>
      </c>
      <c r="I1697" s="335">
        <f>IF(B1697=B1696,"",IF($K1697="","",INDEX(Zeiterfassung!$I$6:$I$3665,MATCH(INDEX(Zeiterfassung!$K$6:$K$3665,$K1697),Zeiterfassung!$K$6:$K$3665,0))))</f>
        <v/>
      </c>
      <c r="J1697" s="335">
        <f>IF(B1697=B1696,"",IF($K1697="","",INDEX(Zeiterfassung!$J$6:$J$3665,MATCH(INDEX(Zeiterfassung!$K$6:$K$3665,$K1697),Zeiterfassung!$K$6:$K$3665,0))))</f>
        <v/>
      </c>
      <c r="K1697">
        <f>IFERROR(AGGREGATE(15,6,(ROW(Zeiterfassung!$D$6:$D$3665)-ROW(Zeiterfassung!$D$6)+1)/(Zeiterfassung!$D$6:$D$3665&lt;&gt;""),1692),"")</f>
        <v/>
      </c>
    </row>
    <row r="1698" ht="20" customHeight="1">
      <c r="A1698" s="183">
        <f>IF($K1698="","",WEEKNUM(INDEX(Zeiterfassung!$K$6:$K$3665,$K1698),21))</f>
        <v/>
      </c>
      <c r="B1698" s="184">
        <f>IF($K1698="","",INDEX(Zeiterfassung!$K$6:$K$3665,$K1698))</f>
        <v/>
      </c>
      <c r="C1698" s="185">
        <f>IF($K1698="","",INDEX(Zeiterfassung!$K$6:$K$3665,$K1698))</f>
        <v/>
      </c>
      <c r="D1698" s="186">
        <f>IF($K1698="","",INDEX(Zeiterfassung!$D$6:$D$3665,$K1698))</f>
        <v/>
      </c>
      <c r="E1698" s="186">
        <f>IF($K1698="","",INDEX(Zeiterfassung!$E$6:$E$3665,$K1698))</f>
        <v/>
      </c>
      <c r="F1698" s="187">
        <f>IF($K1698="","",INDEX(Zeiterfassung!$F$6:$F$3665,$K1698))</f>
        <v/>
      </c>
      <c r="G1698" s="187">
        <f>IF($K1698="","",INDEX(Zeiterfassung!$G$6:$G$3665,$K1698))</f>
        <v/>
      </c>
      <c r="H1698" s="188">
        <f>IF($K1698="","",INDEX(Zeiterfassung!$H$6:$H$3665,$K1698))</f>
        <v/>
      </c>
      <c r="I1698" s="335">
        <f>IF(B1698=B1697,"",IF($K1698="","",INDEX(Zeiterfassung!$I$6:$I$3665,MATCH(INDEX(Zeiterfassung!$K$6:$K$3665,$K1698),Zeiterfassung!$K$6:$K$3665,0))))</f>
        <v/>
      </c>
      <c r="J1698" s="335">
        <f>IF(B1698=B1697,"",IF($K1698="","",INDEX(Zeiterfassung!$J$6:$J$3665,MATCH(INDEX(Zeiterfassung!$K$6:$K$3665,$K1698),Zeiterfassung!$K$6:$K$3665,0))))</f>
        <v/>
      </c>
      <c r="K1698">
        <f>IFERROR(AGGREGATE(15,6,(ROW(Zeiterfassung!$D$6:$D$3665)-ROW(Zeiterfassung!$D$6)+1)/(Zeiterfassung!$D$6:$D$3665&lt;&gt;""),1693),"")</f>
        <v/>
      </c>
    </row>
    <row r="1699" ht="20" customHeight="1">
      <c r="A1699" s="183">
        <f>IF($K1699="","",WEEKNUM(INDEX(Zeiterfassung!$K$6:$K$3665,$K1699),21))</f>
        <v/>
      </c>
      <c r="B1699" s="184">
        <f>IF($K1699="","",INDEX(Zeiterfassung!$K$6:$K$3665,$K1699))</f>
        <v/>
      </c>
      <c r="C1699" s="185">
        <f>IF($K1699="","",INDEX(Zeiterfassung!$K$6:$K$3665,$K1699))</f>
        <v/>
      </c>
      <c r="D1699" s="186">
        <f>IF($K1699="","",INDEX(Zeiterfassung!$D$6:$D$3665,$K1699))</f>
        <v/>
      </c>
      <c r="E1699" s="186">
        <f>IF($K1699="","",INDEX(Zeiterfassung!$E$6:$E$3665,$K1699))</f>
        <v/>
      </c>
      <c r="F1699" s="187">
        <f>IF($K1699="","",INDEX(Zeiterfassung!$F$6:$F$3665,$K1699))</f>
        <v/>
      </c>
      <c r="G1699" s="187">
        <f>IF($K1699="","",INDEX(Zeiterfassung!$G$6:$G$3665,$K1699))</f>
        <v/>
      </c>
      <c r="H1699" s="188">
        <f>IF($K1699="","",INDEX(Zeiterfassung!$H$6:$H$3665,$K1699))</f>
        <v/>
      </c>
      <c r="I1699" s="335">
        <f>IF(B1699=B1698,"",IF($K1699="","",INDEX(Zeiterfassung!$I$6:$I$3665,MATCH(INDEX(Zeiterfassung!$K$6:$K$3665,$K1699),Zeiterfassung!$K$6:$K$3665,0))))</f>
        <v/>
      </c>
      <c r="J1699" s="335">
        <f>IF(B1699=B1698,"",IF($K1699="","",INDEX(Zeiterfassung!$J$6:$J$3665,MATCH(INDEX(Zeiterfassung!$K$6:$K$3665,$K1699),Zeiterfassung!$K$6:$K$3665,0))))</f>
        <v/>
      </c>
      <c r="K1699">
        <f>IFERROR(AGGREGATE(15,6,(ROW(Zeiterfassung!$D$6:$D$3665)-ROW(Zeiterfassung!$D$6)+1)/(Zeiterfassung!$D$6:$D$3665&lt;&gt;""),1694),"")</f>
        <v/>
      </c>
    </row>
    <row r="1700" ht="20" customHeight="1">
      <c r="A1700" s="183">
        <f>IF($K1700="","",WEEKNUM(INDEX(Zeiterfassung!$K$6:$K$3665,$K1700),21))</f>
        <v/>
      </c>
      <c r="B1700" s="184">
        <f>IF($K1700="","",INDEX(Zeiterfassung!$K$6:$K$3665,$K1700))</f>
        <v/>
      </c>
      <c r="C1700" s="185">
        <f>IF($K1700="","",INDEX(Zeiterfassung!$K$6:$K$3665,$K1700))</f>
        <v/>
      </c>
      <c r="D1700" s="186">
        <f>IF($K1700="","",INDEX(Zeiterfassung!$D$6:$D$3665,$K1700))</f>
        <v/>
      </c>
      <c r="E1700" s="186">
        <f>IF($K1700="","",INDEX(Zeiterfassung!$E$6:$E$3665,$K1700))</f>
        <v/>
      </c>
      <c r="F1700" s="187">
        <f>IF($K1700="","",INDEX(Zeiterfassung!$F$6:$F$3665,$K1700))</f>
        <v/>
      </c>
      <c r="G1700" s="187">
        <f>IF($K1700="","",INDEX(Zeiterfassung!$G$6:$G$3665,$K1700))</f>
        <v/>
      </c>
      <c r="H1700" s="188">
        <f>IF($K1700="","",INDEX(Zeiterfassung!$H$6:$H$3665,$K1700))</f>
        <v/>
      </c>
      <c r="I1700" s="335">
        <f>IF(B1700=B1699,"",IF($K1700="","",INDEX(Zeiterfassung!$I$6:$I$3665,MATCH(INDEX(Zeiterfassung!$K$6:$K$3665,$K1700),Zeiterfassung!$K$6:$K$3665,0))))</f>
        <v/>
      </c>
      <c r="J1700" s="335">
        <f>IF(B1700=B1699,"",IF($K1700="","",INDEX(Zeiterfassung!$J$6:$J$3665,MATCH(INDEX(Zeiterfassung!$K$6:$K$3665,$K1700),Zeiterfassung!$K$6:$K$3665,0))))</f>
        <v/>
      </c>
      <c r="K1700">
        <f>IFERROR(AGGREGATE(15,6,(ROW(Zeiterfassung!$D$6:$D$3665)-ROW(Zeiterfassung!$D$6)+1)/(Zeiterfassung!$D$6:$D$3665&lt;&gt;""),1695),"")</f>
        <v/>
      </c>
    </row>
    <row r="1701" ht="20" customHeight="1">
      <c r="A1701" s="183">
        <f>IF($K1701="","",WEEKNUM(INDEX(Zeiterfassung!$K$6:$K$3665,$K1701),21))</f>
        <v/>
      </c>
      <c r="B1701" s="184">
        <f>IF($K1701="","",INDEX(Zeiterfassung!$K$6:$K$3665,$K1701))</f>
        <v/>
      </c>
      <c r="C1701" s="185">
        <f>IF($K1701="","",INDEX(Zeiterfassung!$K$6:$K$3665,$K1701))</f>
        <v/>
      </c>
      <c r="D1701" s="186">
        <f>IF($K1701="","",INDEX(Zeiterfassung!$D$6:$D$3665,$K1701))</f>
        <v/>
      </c>
      <c r="E1701" s="186">
        <f>IF($K1701="","",INDEX(Zeiterfassung!$E$6:$E$3665,$K1701))</f>
        <v/>
      </c>
      <c r="F1701" s="187">
        <f>IF($K1701="","",INDEX(Zeiterfassung!$F$6:$F$3665,$K1701))</f>
        <v/>
      </c>
      <c r="G1701" s="187">
        <f>IF($K1701="","",INDEX(Zeiterfassung!$G$6:$G$3665,$K1701))</f>
        <v/>
      </c>
      <c r="H1701" s="188">
        <f>IF($K1701="","",INDEX(Zeiterfassung!$H$6:$H$3665,$K1701))</f>
        <v/>
      </c>
      <c r="I1701" s="335">
        <f>IF(B1701=B1700,"",IF($K1701="","",INDEX(Zeiterfassung!$I$6:$I$3665,MATCH(INDEX(Zeiterfassung!$K$6:$K$3665,$K1701),Zeiterfassung!$K$6:$K$3665,0))))</f>
        <v/>
      </c>
      <c r="J1701" s="335">
        <f>IF(B1701=B1700,"",IF($K1701="","",INDEX(Zeiterfassung!$J$6:$J$3665,MATCH(INDEX(Zeiterfassung!$K$6:$K$3665,$K1701),Zeiterfassung!$K$6:$K$3665,0))))</f>
        <v/>
      </c>
      <c r="K1701">
        <f>IFERROR(AGGREGATE(15,6,(ROW(Zeiterfassung!$D$6:$D$3665)-ROW(Zeiterfassung!$D$6)+1)/(Zeiterfassung!$D$6:$D$3665&lt;&gt;""),1696),"")</f>
        <v/>
      </c>
    </row>
    <row r="1702" ht="20" customHeight="1">
      <c r="A1702" s="183">
        <f>IF($K1702="","",WEEKNUM(INDEX(Zeiterfassung!$K$6:$K$3665,$K1702),21))</f>
        <v/>
      </c>
      <c r="B1702" s="184">
        <f>IF($K1702="","",INDEX(Zeiterfassung!$K$6:$K$3665,$K1702))</f>
        <v/>
      </c>
      <c r="C1702" s="185">
        <f>IF($K1702="","",INDEX(Zeiterfassung!$K$6:$K$3665,$K1702))</f>
        <v/>
      </c>
      <c r="D1702" s="186">
        <f>IF($K1702="","",INDEX(Zeiterfassung!$D$6:$D$3665,$K1702))</f>
        <v/>
      </c>
      <c r="E1702" s="186">
        <f>IF($K1702="","",INDEX(Zeiterfassung!$E$6:$E$3665,$K1702))</f>
        <v/>
      </c>
      <c r="F1702" s="187">
        <f>IF($K1702="","",INDEX(Zeiterfassung!$F$6:$F$3665,$K1702))</f>
        <v/>
      </c>
      <c r="G1702" s="187">
        <f>IF($K1702="","",INDEX(Zeiterfassung!$G$6:$G$3665,$K1702))</f>
        <v/>
      </c>
      <c r="H1702" s="188">
        <f>IF($K1702="","",INDEX(Zeiterfassung!$H$6:$H$3665,$K1702))</f>
        <v/>
      </c>
      <c r="I1702" s="335">
        <f>IF(B1702=B1701,"",IF($K1702="","",INDEX(Zeiterfassung!$I$6:$I$3665,MATCH(INDEX(Zeiterfassung!$K$6:$K$3665,$K1702),Zeiterfassung!$K$6:$K$3665,0))))</f>
        <v/>
      </c>
      <c r="J1702" s="335">
        <f>IF(B1702=B1701,"",IF($K1702="","",INDEX(Zeiterfassung!$J$6:$J$3665,MATCH(INDEX(Zeiterfassung!$K$6:$K$3665,$K1702),Zeiterfassung!$K$6:$K$3665,0))))</f>
        <v/>
      </c>
      <c r="K1702">
        <f>IFERROR(AGGREGATE(15,6,(ROW(Zeiterfassung!$D$6:$D$3665)-ROW(Zeiterfassung!$D$6)+1)/(Zeiterfassung!$D$6:$D$3665&lt;&gt;""),1697),"")</f>
        <v/>
      </c>
    </row>
    <row r="1703" ht="20" customHeight="1">
      <c r="A1703" s="183">
        <f>IF($K1703="","",WEEKNUM(INDEX(Zeiterfassung!$K$6:$K$3665,$K1703),21))</f>
        <v/>
      </c>
      <c r="B1703" s="184">
        <f>IF($K1703="","",INDEX(Zeiterfassung!$K$6:$K$3665,$K1703))</f>
        <v/>
      </c>
      <c r="C1703" s="185">
        <f>IF($K1703="","",INDEX(Zeiterfassung!$K$6:$K$3665,$K1703))</f>
        <v/>
      </c>
      <c r="D1703" s="186">
        <f>IF($K1703="","",INDEX(Zeiterfassung!$D$6:$D$3665,$K1703))</f>
        <v/>
      </c>
      <c r="E1703" s="186">
        <f>IF($K1703="","",INDEX(Zeiterfassung!$E$6:$E$3665,$K1703))</f>
        <v/>
      </c>
      <c r="F1703" s="187">
        <f>IF($K1703="","",INDEX(Zeiterfassung!$F$6:$F$3665,$K1703))</f>
        <v/>
      </c>
      <c r="G1703" s="187">
        <f>IF($K1703="","",INDEX(Zeiterfassung!$G$6:$G$3665,$K1703))</f>
        <v/>
      </c>
      <c r="H1703" s="188">
        <f>IF($K1703="","",INDEX(Zeiterfassung!$H$6:$H$3665,$K1703))</f>
        <v/>
      </c>
      <c r="I1703" s="335">
        <f>IF(B1703=B1702,"",IF($K1703="","",INDEX(Zeiterfassung!$I$6:$I$3665,MATCH(INDEX(Zeiterfassung!$K$6:$K$3665,$K1703),Zeiterfassung!$K$6:$K$3665,0))))</f>
        <v/>
      </c>
      <c r="J1703" s="335">
        <f>IF(B1703=B1702,"",IF($K1703="","",INDEX(Zeiterfassung!$J$6:$J$3665,MATCH(INDEX(Zeiterfassung!$K$6:$K$3665,$K1703),Zeiterfassung!$K$6:$K$3665,0))))</f>
        <v/>
      </c>
      <c r="K1703">
        <f>IFERROR(AGGREGATE(15,6,(ROW(Zeiterfassung!$D$6:$D$3665)-ROW(Zeiterfassung!$D$6)+1)/(Zeiterfassung!$D$6:$D$3665&lt;&gt;""),1698),"")</f>
        <v/>
      </c>
    </row>
    <row r="1704" ht="20" customHeight="1">
      <c r="A1704" s="183">
        <f>IF($K1704="","",WEEKNUM(INDEX(Zeiterfassung!$K$6:$K$3665,$K1704),21))</f>
        <v/>
      </c>
      <c r="B1704" s="184">
        <f>IF($K1704="","",INDEX(Zeiterfassung!$K$6:$K$3665,$K1704))</f>
        <v/>
      </c>
      <c r="C1704" s="185">
        <f>IF($K1704="","",INDEX(Zeiterfassung!$K$6:$K$3665,$K1704))</f>
        <v/>
      </c>
      <c r="D1704" s="186">
        <f>IF($K1704="","",INDEX(Zeiterfassung!$D$6:$D$3665,$K1704))</f>
        <v/>
      </c>
      <c r="E1704" s="186">
        <f>IF($K1704="","",INDEX(Zeiterfassung!$E$6:$E$3665,$K1704))</f>
        <v/>
      </c>
      <c r="F1704" s="187">
        <f>IF($K1704="","",INDEX(Zeiterfassung!$F$6:$F$3665,$K1704))</f>
        <v/>
      </c>
      <c r="G1704" s="187">
        <f>IF($K1704="","",INDEX(Zeiterfassung!$G$6:$G$3665,$K1704))</f>
        <v/>
      </c>
      <c r="H1704" s="188">
        <f>IF($K1704="","",INDEX(Zeiterfassung!$H$6:$H$3665,$K1704))</f>
        <v/>
      </c>
      <c r="I1704" s="335">
        <f>IF(B1704=B1703,"",IF($K1704="","",INDEX(Zeiterfassung!$I$6:$I$3665,MATCH(INDEX(Zeiterfassung!$K$6:$K$3665,$K1704),Zeiterfassung!$K$6:$K$3665,0))))</f>
        <v/>
      </c>
      <c r="J1704" s="335">
        <f>IF(B1704=B1703,"",IF($K1704="","",INDEX(Zeiterfassung!$J$6:$J$3665,MATCH(INDEX(Zeiterfassung!$K$6:$K$3665,$K1704),Zeiterfassung!$K$6:$K$3665,0))))</f>
        <v/>
      </c>
      <c r="K1704">
        <f>IFERROR(AGGREGATE(15,6,(ROW(Zeiterfassung!$D$6:$D$3665)-ROW(Zeiterfassung!$D$6)+1)/(Zeiterfassung!$D$6:$D$3665&lt;&gt;""),1699),"")</f>
        <v/>
      </c>
    </row>
    <row r="1705" ht="20" customHeight="1">
      <c r="A1705" s="183">
        <f>IF($K1705="","",WEEKNUM(INDEX(Zeiterfassung!$K$6:$K$3665,$K1705),21))</f>
        <v/>
      </c>
      <c r="B1705" s="184">
        <f>IF($K1705="","",INDEX(Zeiterfassung!$K$6:$K$3665,$K1705))</f>
        <v/>
      </c>
      <c r="C1705" s="185">
        <f>IF($K1705="","",INDEX(Zeiterfassung!$K$6:$K$3665,$K1705))</f>
        <v/>
      </c>
      <c r="D1705" s="186">
        <f>IF($K1705="","",INDEX(Zeiterfassung!$D$6:$D$3665,$K1705))</f>
        <v/>
      </c>
      <c r="E1705" s="186">
        <f>IF($K1705="","",INDEX(Zeiterfassung!$E$6:$E$3665,$K1705))</f>
        <v/>
      </c>
      <c r="F1705" s="187">
        <f>IF($K1705="","",INDEX(Zeiterfassung!$F$6:$F$3665,$K1705))</f>
        <v/>
      </c>
      <c r="G1705" s="187">
        <f>IF($K1705="","",INDEX(Zeiterfassung!$G$6:$G$3665,$K1705))</f>
        <v/>
      </c>
      <c r="H1705" s="188">
        <f>IF($K1705="","",INDEX(Zeiterfassung!$H$6:$H$3665,$K1705))</f>
        <v/>
      </c>
      <c r="I1705" s="335">
        <f>IF(B1705=B1704,"",IF($K1705="","",INDEX(Zeiterfassung!$I$6:$I$3665,MATCH(INDEX(Zeiterfassung!$K$6:$K$3665,$K1705),Zeiterfassung!$K$6:$K$3665,0))))</f>
        <v/>
      </c>
      <c r="J1705" s="335">
        <f>IF(B1705=B1704,"",IF($K1705="","",INDEX(Zeiterfassung!$J$6:$J$3665,MATCH(INDEX(Zeiterfassung!$K$6:$K$3665,$K1705),Zeiterfassung!$K$6:$K$3665,0))))</f>
        <v/>
      </c>
      <c r="K1705">
        <f>IFERROR(AGGREGATE(15,6,(ROW(Zeiterfassung!$D$6:$D$3665)-ROW(Zeiterfassung!$D$6)+1)/(Zeiterfassung!$D$6:$D$3665&lt;&gt;""),1700),"")</f>
        <v/>
      </c>
    </row>
    <row r="1706" ht="20" customHeight="1">
      <c r="A1706" s="183">
        <f>IF($K1706="","",WEEKNUM(INDEX(Zeiterfassung!$K$6:$K$3665,$K1706),21))</f>
        <v/>
      </c>
      <c r="B1706" s="184">
        <f>IF($K1706="","",INDEX(Zeiterfassung!$K$6:$K$3665,$K1706))</f>
        <v/>
      </c>
      <c r="C1706" s="185">
        <f>IF($K1706="","",INDEX(Zeiterfassung!$K$6:$K$3665,$K1706))</f>
        <v/>
      </c>
      <c r="D1706" s="186">
        <f>IF($K1706="","",INDEX(Zeiterfassung!$D$6:$D$3665,$K1706))</f>
        <v/>
      </c>
      <c r="E1706" s="186">
        <f>IF($K1706="","",INDEX(Zeiterfassung!$E$6:$E$3665,$K1706))</f>
        <v/>
      </c>
      <c r="F1706" s="187">
        <f>IF($K1706="","",INDEX(Zeiterfassung!$F$6:$F$3665,$K1706))</f>
        <v/>
      </c>
      <c r="G1706" s="187">
        <f>IF($K1706="","",INDEX(Zeiterfassung!$G$6:$G$3665,$K1706))</f>
        <v/>
      </c>
      <c r="H1706" s="188">
        <f>IF($K1706="","",INDEX(Zeiterfassung!$H$6:$H$3665,$K1706))</f>
        <v/>
      </c>
      <c r="I1706" s="335">
        <f>IF(B1706=B1705,"",IF($K1706="","",INDEX(Zeiterfassung!$I$6:$I$3665,MATCH(INDEX(Zeiterfassung!$K$6:$K$3665,$K1706),Zeiterfassung!$K$6:$K$3665,0))))</f>
        <v/>
      </c>
      <c r="J1706" s="335">
        <f>IF(B1706=B1705,"",IF($K1706="","",INDEX(Zeiterfassung!$J$6:$J$3665,MATCH(INDEX(Zeiterfassung!$K$6:$K$3665,$K1706),Zeiterfassung!$K$6:$K$3665,0))))</f>
        <v/>
      </c>
      <c r="K1706">
        <f>IFERROR(AGGREGATE(15,6,(ROW(Zeiterfassung!$D$6:$D$3665)-ROW(Zeiterfassung!$D$6)+1)/(Zeiterfassung!$D$6:$D$3665&lt;&gt;""),1701),"")</f>
        <v/>
      </c>
    </row>
    <row r="1707" ht="20" customHeight="1">
      <c r="A1707" s="183">
        <f>IF($K1707="","",WEEKNUM(INDEX(Zeiterfassung!$K$6:$K$3665,$K1707),21))</f>
        <v/>
      </c>
      <c r="B1707" s="184">
        <f>IF($K1707="","",INDEX(Zeiterfassung!$K$6:$K$3665,$K1707))</f>
        <v/>
      </c>
      <c r="C1707" s="185">
        <f>IF($K1707="","",INDEX(Zeiterfassung!$K$6:$K$3665,$K1707))</f>
        <v/>
      </c>
      <c r="D1707" s="186">
        <f>IF($K1707="","",INDEX(Zeiterfassung!$D$6:$D$3665,$K1707))</f>
        <v/>
      </c>
      <c r="E1707" s="186">
        <f>IF($K1707="","",INDEX(Zeiterfassung!$E$6:$E$3665,$K1707))</f>
        <v/>
      </c>
      <c r="F1707" s="187">
        <f>IF($K1707="","",INDEX(Zeiterfassung!$F$6:$F$3665,$K1707))</f>
        <v/>
      </c>
      <c r="G1707" s="187">
        <f>IF($K1707="","",INDEX(Zeiterfassung!$G$6:$G$3665,$K1707))</f>
        <v/>
      </c>
      <c r="H1707" s="188">
        <f>IF($K1707="","",INDEX(Zeiterfassung!$H$6:$H$3665,$K1707))</f>
        <v/>
      </c>
      <c r="I1707" s="335">
        <f>IF(B1707=B1706,"",IF($K1707="","",INDEX(Zeiterfassung!$I$6:$I$3665,MATCH(INDEX(Zeiterfassung!$K$6:$K$3665,$K1707),Zeiterfassung!$K$6:$K$3665,0))))</f>
        <v/>
      </c>
      <c r="J1707" s="335">
        <f>IF(B1707=B1706,"",IF($K1707="","",INDEX(Zeiterfassung!$J$6:$J$3665,MATCH(INDEX(Zeiterfassung!$K$6:$K$3665,$K1707),Zeiterfassung!$K$6:$K$3665,0))))</f>
        <v/>
      </c>
      <c r="K1707">
        <f>IFERROR(AGGREGATE(15,6,(ROW(Zeiterfassung!$D$6:$D$3665)-ROW(Zeiterfassung!$D$6)+1)/(Zeiterfassung!$D$6:$D$3665&lt;&gt;""),1702),"")</f>
        <v/>
      </c>
    </row>
    <row r="1708" ht="20" customHeight="1">
      <c r="A1708" s="183">
        <f>IF($K1708="","",WEEKNUM(INDEX(Zeiterfassung!$K$6:$K$3665,$K1708),21))</f>
        <v/>
      </c>
      <c r="B1708" s="184">
        <f>IF($K1708="","",INDEX(Zeiterfassung!$K$6:$K$3665,$K1708))</f>
        <v/>
      </c>
      <c r="C1708" s="185">
        <f>IF($K1708="","",INDEX(Zeiterfassung!$K$6:$K$3665,$K1708))</f>
        <v/>
      </c>
      <c r="D1708" s="186">
        <f>IF($K1708="","",INDEX(Zeiterfassung!$D$6:$D$3665,$K1708))</f>
        <v/>
      </c>
      <c r="E1708" s="186">
        <f>IF($K1708="","",INDEX(Zeiterfassung!$E$6:$E$3665,$K1708))</f>
        <v/>
      </c>
      <c r="F1708" s="187">
        <f>IF($K1708="","",INDEX(Zeiterfassung!$F$6:$F$3665,$K1708))</f>
        <v/>
      </c>
      <c r="G1708" s="187">
        <f>IF($K1708="","",INDEX(Zeiterfassung!$G$6:$G$3665,$K1708))</f>
        <v/>
      </c>
      <c r="H1708" s="188">
        <f>IF($K1708="","",INDEX(Zeiterfassung!$H$6:$H$3665,$K1708))</f>
        <v/>
      </c>
      <c r="I1708" s="335">
        <f>IF(B1708=B1707,"",IF($K1708="","",INDEX(Zeiterfassung!$I$6:$I$3665,MATCH(INDEX(Zeiterfassung!$K$6:$K$3665,$K1708),Zeiterfassung!$K$6:$K$3665,0))))</f>
        <v/>
      </c>
      <c r="J1708" s="335">
        <f>IF(B1708=B1707,"",IF($K1708="","",INDEX(Zeiterfassung!$J$6:$J$3665,MATCH(INDEX(Zeiterfassung!$K$6:$K$3665,$K1708),Zeiterfassung!$K$6:$K$3665,0))))</f>
        <v/>
      </c>
      <c r="K1708">
        <f>IFERROR(AGGREGATE(15,6,(ROW(Zeiterfassung!$D$6:$D$3665)-ROW(Zeiterfassung!$D$6)+1)/(Zeiterfassung!$D$6:$D$3665&lt;&gt;""),1703),"")</f>
        <v/>
      </c>
    </row>
    <row r="1709" ht="20" customHeight="1">
      <c r="A1709" s="183">
        <f>IF($K1709="","",WEEKNUM(INDEX(Zeiterfassung!$K$6:$K$3665,$K1709),21))</f>
        <v/>
      </c>
      <c r="B1709" s="184">
        <f>IF($K1709="","",INDEX(Zeiterfassung!$K$6:$K$3665,$K1709))</f>
        <v/>
      </c>
      <c r="C1709" s="185">
        <f>IF($K1709="","",INDEX(Zeiterfassung!$K$6:$K$3665,$K1709))</f>
        <v/>
      </c>
      <c r="D1709" s="186">
        <f>IF($K1709="","",INDEX(Zeiterfassung!$D$6:$D$3665,$K1709))</f>
        <v/>
      </c>
      <c r="E1709" s="186">
        <f>IF($K1709="","",INDEX(Zeiterfassung!$E$6:$E$3665,$K1709))</f>
        <v/>
      </c>
      <c r="F1709" s="187">
        <f>IF($K1709="","",INDEX(Zeiterfassung!$F$6:$F$3665,$K1709))</f>
        <v/>
      </c>
      <c r="G1709" s="187">
        <f>IF($K1709="","",INDEX(Zeiterfassung!$G$6:$G$3665,$K1709))</f>
        <v/>
      </c>
      <c r="H1709" s="188">
        <f>IF($K1709="","",INDEX(Zeiterfassung!$H$6:$H$3665,$K1709))</f>
        <v/>
      </c>
      <c r="I1709" s="335">
        <f>IF(B1709=B1708,"",IF($K1709="","",INDEX(Zeiterfassung!$I$6:$I$3665,MATCH(INDEX(Zeiterfassung!$K$6:$K$3665,$K1709),Zeiterfassung!$K$6:$K$3665,0))))</f>
        <v/>
      </c>
      <c r="J1709" s="335">
        <f>IF(B1709=B1708,"",IF($K1709="","",INDEX(Zeiterfassung!$J$6:$J$3665,MATCH(INDEX(Zeiterfassung!$K$6:$K$3665,$K1709),Zeiterfassung!$K$6:$K$3665,0))))</f>
        <v/>
      </c>
      <c r="K1709">
        <f>IFERROR(AGGREGATE(15,6,(ROW(Zeiterfassung!$D$6:$D$3665)-ROW(Zeiterfassung!$D$6)+1)/(Zeiterfassung!$D$6:$D$3665&lt;&gt;""),1704),"")</f>
        <v/>
      </c>
    </row>
    <row r="1710" ht="20" customHeight="1">
      <c r="A1710" s="183">
        <f>IF($K1710="","",WEEKNUM(INDEX(Zeiterfassung!$K$6:$K$3665,$K1710),21))</f>
        <v/>
      </c>
      <c r="B1710" s="184">
        <f>IF($K1710="","",INDEX(Zeiterfassung!$K$6:$K$3665,$K1710))</f>
        <v/>
      </c>
      <c r="C1710" s="185">
        <f>IF($K1710="","",INDEX(Zeiterfassung!$K$6:$K$3665,$K1710))</f>
        <v/>
      </c>
      <c r="D1710" s="186">
        <f>IF($K1710="","",INDEX(Zeiterfassung!$D$6:$D$3665,$K1710))</f>
        <v/>
      </c>
      <c r="E1710" s="186">
        <f>IF($K1710="","",INDEX(Zeiterfassung!$E$6:$E$3665,$K1710))</f>
        <v/>
      </c>
      <c r="F1710" s="187">
        <f>IF($K1710="","",INDEX(Zeiterfassung!$F$6:$F$3665,$K1710))</f>
        <v/>
      </c>
      <c r="G1710" s="187">
        <f>IF($K1710="","",INDEX(Zeiterfassung!$G$6:$G$3665,$K1710))</f>
        <v/>
      </c>
      <c r="H1710" s="188">
        <f>IF($K1710="","",INDEX(Zeiterfassung!$H$6:$H$3665,$K1710))</f>
        <v/>
      </c>
      <c r="I1710" s="335">
        <f>IF(B1710=B1709,"",IF($K1710="","",INDEX(Zeiterfassung!$I$6:$I$3665,MATCH(INDEX(Zeiterfassung!$K$6:$K$3665,$K1710),Zeiterfassung!$K$6:$K$3665,0))))</f>
        <v/>
      </c>
      <c r="J1710" s="335">
        <f>IF(B1710=B1709,"",IF($K1710="","",INDEX(Zeiterfassung!$J$6:$J$3665,MATCH(INDEX(Zeiterfassung!$K$6:$K$3665,$K1710),Zeiterfassung!$K$6:$K$3665,0))))</f>
        <v/>
      </c>
      <c r="K1710">
        <f>IFERROR(AGGREGATE(15,6,(ROW(Zeiterfassung!$D$6:$D$3665)-ROW(Zeiterfassung!$D$6)+1)/(Zeiterfassung!$D$6:$D$3665&lt;&gt;""),1705),"")</f>
        <v/>
      </c>
    </row>
    <row r="1711" ht="20" customHeight="1">
      <c r="A1711" s="183">
        <f>IF($K1711="","",WEEKNUM(INDEX(Zeiterfassung!$K$6:$K$3665,$K1711),21))</f>
        <v/>
      </c>
      <c r="B1711" s="184">
        <f>IF($K1711="","",INDEX(Zeiterfassung!$K$6:$K$3665,$K1711))</f>
        <v/>
      </c>
      <c r="C1711" s="185">
        <f>IF($K1711="","",INDEX(Zeiterfassung!$K$6:$K$3665,$K1711))</f>
        <v/>
      </c>
      <c r="D1711" s="186">
        <f>IF($K1711="","",INDEX(Zeiterfassung!$D$6:$D$3665,$K1711))</f>
        <v/>
      </c>
      <c r="E1711" s="186">
        <f>IF($K1711="","",INDEX(Zeiterfassung!$E$6:$E$3665,$K1711))</f>
        <v/>
      </c>
      <c r="F1711" s="187">
        <f>IF($K1711="","",INDEX(Zeiterfassung!$F$6:$F$3665,$K1711))</f>
        <v/>
      </c>
      <c r="G1711" s="187">
        <f>IF($K1711="","",INDEX(Zeiterfassung!$G$6:$G$3665,$K1711))</f>
        <v/>
      </c>
      <c r="H1711" s="188">
        <f>IF($K1711="","",INDEX(Zeiterfassung!$H$6:$H$3665,$K1711))</f>
        <v/>
      </c>
      <c r="I1711" s="335">
        <f>IF(B1711=B1710,"",IF($K1711="","",INDEX(Zeiterfassung!$I$6:$I$3665,MATCH(INDEX(Zeiterfassung!$K$6:$K$3665,$K1711),Zeiterfassung!$K$6:$K$3665,0))))</f>
        <v/>
      </c>
      <c r="J1711" s="335">
        <f>IF(B1711=B1710,"",IF($K1711="","",INDEX(Zeiterfassung!$J$6:$J$3665,MATCH(INDEX(Zeiterfassung!$K$6:$K$3665,$K1711),Zeiterfassung!$K$6:$K$3665,0))))</f>
        <v/>
      </c>
      <c r="K1711">
        <f>IFERROR(AGGREGATE(15,6,(ROW(Zeiterfassung!$D$6:$D$3665)-ROW(Zeiterfassung!$D$6)+1)/(Zeiterfassung!$D$6:$D$3665&lt;&gt;""),1706),"")</f>
        <v/>
      </c>
    </row>
    <row r="1712" ht="20" customHeight="1">
      <c r="A1712" s="183">
        <f>IF($K1712="","",WEEKNUM(INDEX(Zeiterfassung!$K$6:$K$3665,$K1712),21))</f>
        <v/>
      </c>
      <c r="B1712" s="184">
        <f>IF($K1712="","",INDEX(Zeiterfassung!$K$6:$K$3665,$K1712))</f>
        <v/>
      </c>
      <c r="C1712" s="185">
        <f>IF($K1712="","",INDEX(Zeiterfassung!$K$6:$K$3665,$K1712))</f>
        <v/>
      </c>
      <c r="D1712" s="186">
        <f>IF($K1712="","",INDEX(Zeiterfassung!$D$6:$D$3665,$K1712))</f>
        <v/>
      </c>
      <c r="E1712" s="186">
        <f>IF($K1712="","",INDEX(Zeiterfassung!$E$6:$E$3665,$K1712))</f>
        <v/>
      </c>
      <c r="F1712" s="187">
        <f>IF($K1712="","",INDEX(Zeiterfassung!$F$6:$F$3665,$K1712))</f>
        <v/>
      </c>
      <c r="G1712" s="187">
        <f>IF($K1712="","",INDEX(Zeiterfassung!$G$6:$G$3665,$K1712))</f>
        <v/>
      </c>
      <c r="H1712" s="188">
        <f>IF($K1712="","",INDEX(Zeiterfassung!$H$6:$H$3665,$K1712))</f>
        <v/>
      </c>
      <c r="I1712" s="335">
        <f>IF(B1712=B1711,"",IF($K1712="","",INDEX(Zeiterfassung!$I$6:$I$3665,MATCH(INDEX(Zeiterfassung!$K$6:$K$3665,$K1712),Zeiterfassung!$K$6:$K$3665,0))))</f>
        <v/>
      </c>
      <c r="J1712" s="335">
        <f>IF(B1712=B1711,"",IF($K1712="","",INDEX(Zeiterfassung!$J$6:$J$3665,MATCH(INDEX(Zeiterfassung!$K$6:$K$3665,$K1712),Zeiterfassung!$K$6:$K$3665,0))))</f>
        <v/>
      </c>
      <c r="K1712">
        <f>IFERROR(AGGREGATE(15,6,(ROW(Zeiterfassung!$D$6:$D$3665)-ROW(Zeiterfassung!$D$6)+1)/(Zeiterfassung!$D$6:$D$3665&lt;&gt;""),1707),"")</f>
        <v/>
      </c>
    </row>
    <row r="1713" ht="20" customHeight="1">
      <c r="A1713" s="183">
        <f>IF($K1713="","",WEEKNUM(INDEX(Zeiterfassung!$K$6:$K$3665,$K1713),21))</f>
        <v/>
      </c>
      <c r="B1713" s="184">
        <f>IF($K1713="","",INDEX(Zeiterfassung!$K$6:$K$3665,$K1713))</f>
        <v/>
      </c>
      <c r="C1713" s="185">
        <f>IF($K1713="","",INDEX(Zeiterfassung!$K$6:$K$3665,$K1713))</f>
        <v/>
      </c>
      <c r="D1713" s="186">
        <f>IF($K1713="","",INDEX(Zeiterfassung!$D$6:$D$3665,$K1713))</f>
        <v/>
      </c>
      <c r="E1713" s="186">
        <f>IF($K1713="","",INDEX(Zeiterfassung!$E$6:$E$3665,$K1713))</f>
        <v/>
      </c>
      <c r="F1713" s="187">
        <f>IF($K1713="","",INDEX(Zeiterfassung!$F$6:$F$3665,$K1713))</f>
        <v/>
      </c>
      <c r="G1713" s="187">
        <f>IF($K1713="","",INDEX(Zeiterfassung!$G$6:$G$3665,$K1713))</f>
        <v/>
      </c>
      <c r="H1713" s="188">
        <f>IF($K1713="","",INDEX(Zeiterfassung!$H$6:$H$3665,$K1713))</f>
        <v/>
      </c>
      <c r="I1713" s="335">
        <f>IF(B1713=B1712,"",IF($K1713="","",INDEX(Zeiterfassung!$I$6:$I$3665,MATCH(INDEX(Zeiterfassung!$K$6:$K$3665,$K1713),Zeiterfassung!$K$6:$K$3665,0))))</f>
        <v/>
      </c>
      <c r="J1713" s="335">
        <f>IF(B1713=B1712,"",IF($K1713="","",INDEX(Zeiterfassung!$J$6:$J$3665,MATCH(INDEX(Zeiterfassung!$K$6:$K$3665,$K1713),Zeiterfassung!$K$6:$K$3665,0))))</f>
        <v/>
      </c>
      <c r="K1713">
        <f>IFERROR(AGGREGATE(15,6,(ROW(Zeiterfassung!$D$6:$D$3665)-ROW(Zeiterfassung!$D$6)+1)/(Zeiterfassung!$D$6:$D$3665&lt;&gt;""),1708),"")</f>
        <v/>
      </c>
    </row>
    <row r="1714" ht="20" customHeight="1">
      <c r="A1714" s="183">
        <f>IF($K1714="","",WEEKNUM(INDEX(Zeiterfassung!$K$6:$K$3665,$K1714),21))</f>
        <v/>
      </c>
      <c r="B1714" s="184">
        <f>IF($K1714="","",INDEX(Zeiterfassung!$K$6:$K$3665,$K1714))</f>
        <v/>
      </c>
      <c r="C1714" s="185">
        <f>IF($K1714="","",INDEX(Zeiterfassung!$K$6:$K$3665,$K1714))</f>
        <v/>
      </c>
      <c r="D1714" s="186">
        <f>IF($K1714="","",INDEX(Zeiterfassung!$D$6:$D$3665,$K1714))</f>
        <v/>
      </c>
      <c r="E1714" s="186">
        <f>IF($K1714="","",INDEX(Zeiterfassung!$E$6:$E$3665,$K1714))</f>
        <v/>
      </c>
      <c r="F1714" s="187">
        <f>IF($K1714="","",INDEX(Zeiterfassung!$F$6:$F$3665,$K1714))</f>
        <v/>
      </c>
      <c r="G1714" s="187">
        <f>IF($K1714="","",INDEX(Zeiterfassung!$G$6:$G$3665,$K1714))</f>
        <v/>
      </c>
      <c r="H1714" s="188">
        <f>IF($K1714="","",INDEX(Zeiterfassung!$H$6:$H$3665,$K1714))</f>
        <v/>
      </c>
      <c r="I1714" s="335">
        <f>IF(B1714=B1713,"",IF($K1714="","",INDEX(Zeiterfassung!$I$6:$I$3665,MATCH(INDEX(Zeiterfassung!$K$6:$K$3665,$K1714),Zeiterfassung!$K$6:$K$3665,0))))</f>
        <v/>
      </c>
      <c r="J1714" s="335">
        <f>IF(B1714=B1713,"",IF($K1714="","",INDEX(Zeiterfassung!$J$6:$J$3665,MATCH(INDEX(Zeiterfassung!$K$6:$K$3665,$K1714),Zeiterfassung!$K$6:$K$3665,0))))</f>
        <v/>
      </c>
      <c r="K1714">
        <f>IFERROR(AGGREGATE(15,6,(ROW(Zeiterfassung!$D$6:$D$3665)-ROW(Zeiterfassung!$D$6)+1)/(Zeiterfassung!$D$6:$D$3665&lt;&gt;""),1709),"")</f>
        <v/>
      </c>
    </row>
    <row r="1715" ht="20" customHeight="1">
      <c r="A1715" s="183">
        <f>IF($K1715="","",WEEKNUM(INDEX(Zeiterfassung!$K$6:$K$3665,$K1715),21))</f>
        <v/>
      </c>
      <c r="B1715" s="184">
        <f>IF($K1715="","",INDEX(Zeiterfassung!$K$6:$K$3665,$K1715))</f>
        <v/>
      </c>
      <c r="C1715" s="185">
        <f>IF($K1715="","",INDEX(Zeiterfassung!$K$6:$K$3665,$K1715))</f>
        <v/>
      </c>
      <c r="D1715" s="186">
        <f>IF($K1715="","",INDEX(Zeiterfassung!$D$6:$D$3665,$K1715))</f>
        <v/>
      </c>
      <c r="E1715" s="186">
        <f>IF($K1715="","",INDEX(Zeiterfassung!$E$6:$E$3665,$K1715))</f>
        <v/>
      </c>
      <c r="F1715" s="187">
        <f>IF($K1715="","",INDEX(Zeiterfassung!$F$6:$F$3665,$K1715))</f>
        <v/>
      </c>
      <c r="G1715" s="187">
        <f>IF($K1715="","",INDEX(Zeiterfassung!$G$6:$G$3665,$K1715))</f>
        <v/>
      </c>
      <c r="H1715" s="188">
        <f>IF($K1715="","",INDEX(Zeiterfassung!$H$6:$H$3665,$K1715))</f>
        <v/>
      </c>
      <c r="I1715" s="335">
        <f>IF(B1715=B1714,"",IF($K1715="","",INDEX(Zeiterfassung!$I$6:$I$3665,MATCH(INDEX(Zeiterfassung!$K$6:$K$3665,$K1715),Zeiterfassung!$K$6:$K$3665,0))))</f>
        <v/>
      </c>
      <c r="J1715" s="335">
        <f>IF(B1715=B1714,"",IF($K1715="","",INDEX(Zeiterfassung!$J$6:$J$3665,MATCH(INDEX(Zeiterfassung!$K$6:$K$3665,$K1715),Zeiterfassung!$K$6:$K$3665,0))))</f>
        <v/>
      </c>
      <c r="K1715">
        <f>IFERROR(AGGREGATE(15,6,(ROW(Zeiterfassung!$D$6:$D$3665)-ROW(Zeiterfassung!$D$6)+1)/(Zeiterfassung!$D$6:$D$3665&lt;&gt;""),1710),"")</f>
        <v/>
      </c>
    </row>
    <row r="1716" ht="20" customHeight="1">
      <c r="A1716" s="183">
        <f>IF($K1716="","",WEEKNUM(INDEX(Zeiterfassung!$K$6:$K$3665,$K1716),21))</f>
        <v/>
      </c>
      <c r="B1716" s="184">
        <f>IF($K1716="","",INDEX(Zeiterfassung!$K$6:$K$3665,$K1716))</f>
        <v/>
      </c>
      <c r="C1716" s="185">
        <f>IF($K1716="","",INDEX(Zeiterfassung!$K$6:$K$3665,$K1716))</f>
        <v/>
      </c>
      <c r="D1716" s="186">
        <f>IF($K1716="","",INDEX(Zeiterfassung!$D$6:$D$3665,$K1716))</f>
        <v/>
      </c>
      <c r="E1716" s="186">
        <f>IF($K1716="","",INDEX(Zeiterfassung!$E$6:$E$3665,$K1716))</f>
        <v/>
      </c>
      <c r="F1716" s="187">
        <f>IF($K1716="","",INDEX(Zeiterfassung!$F$6:$F$3665,$K1716))</f>
        <v/>
      </c>
      <c r="G1716" s="187">
        <f>IF($K1716="","",INDEX(Zeiterfassung!$G$6:$G$3665,$K1716))</f>
        <v/>
      </c>
      <c r="H1716" s="188">
        <f>IF($K1716="","",INDEX(Zeiterfassung!$H$6:$H$3665,$K1716))</f>
        <v/>
      </c>
      <c r="I1716" s="335">
        <f>IF(B1716=B1715,"",IF($K1716="","",INDEX(Zeiterfassung!$I$6:$I$3665,MATCH(INDEX(Zeiterfassung!$K$6:$K$3665,$K1716),Zeiterfassung!$K$6:$K$3665,0))))</f>
        <v/>
      </c>
      <c r="J1716" s="335">
        <f>IF(B1716=B1715,"",IF($K1716="","",INDEX(Zeiterfassung!$J$6:$J$3665,MATCH(INDEX(Zeiterfassung!$K$6:$K$3665,$K1716),Zeiterfassung!$K$6:$K$3665,0))))</f>
        <v/>
      </c>
      <c r="K1716">
        <f>IFERROR(AGGREGATE(15,6,(ROW(Zeiterfassung!$D$6:$D$3665)-ROW(Zeiterfassung!$D$6)+1)/(Zeiterfassung!$D$6:$D$3665&lt;&gt;""),1711),"")</f>
        <v/>
      </c>
    </row>
    <row r="1717" ht="20" customHeight="1">
      <c r="A1717" s="183">
        <f>IF($K1717="","",WEEKNUM(INDEX(Zeiterfassung!$K$6:$K$3665,$K1717),21))</f>
        <v/>
      </c>
      <c r="B1717" s="184">
        <f>IF($K1717="","",INDEX(Zeiterfassung!$K$6:$K$3665,$K1717))</f>
        <v/>
      </c>
      <c r="C1717" s="185">
        <f>IF($K1717="","",INDEX(Zeiterfassung!$K$6:$K$3665,$K1717))</f>
        <v/>
      </c>
      <c r="D1717" s="186">
        <f>IF($K1717="","",INDEX(Zeiterfassung!$D$6:$D$3665,$K1717))</f>
        <v/>
      </c>
      <c r="E1717" s="186">
        <f>IF($K1717="","",INDEX(Zeiterfassung!$E$6:$E$3665,$K1717))</f>
        <v/>
      </c>
      <c r="F1717" s="187">
        <f>IF($K1717="","",INDEX(Zeiterfassung!$F$6:$F$3665,$K1717))</f>
        <v/>
      </c>
      <c r="G1717" s="187">
        <f>IF($K1717="","",INDEX(Zeiterfassung!$G$6:$G$3665,$K1717))</f>
        <v/>
      </c>
      <c r="H1717" s="188">
        <f>IF($K1717="","",INDEX(Zeiterfassung!$H$6:$H$3665,$K1717))</f>
        <v/>
      </c>
      <c r="I1717" s="335">
        <f>IF(B1717=B1716,"",IF($K1717="","",INDEX(Zeiterfassung!$I$6:$I$3665,MATCH(INDEX(Zeiterfassung!$K$6:$K$3665,$K1717),Zeiterfassung!$K$6:$K$3665,0))))</f>
        <v/>
      </c>
      <c r="J1717" s="335">
        <f>IF(B1717=B1716,"",IF($K1717="","",INDEX(Zeiterfassung!$J$6:$J$3665,MATCH(INDEX(Zeiterfassung!$K$6:$K$3665,$K1717),Zeiterfassung!$K$6:$K$3665,0))))</f>
        <v/>
      </c>
      <c r="K1717">
        <f>IFERROR(AGGREGATE(15,6,(ROW(Zeiterfassung!$D$6:$D$3665)-ROW(Zeiterfassung!$D$6)+1)/(Zeiterfassung!$D$6:$D$3665&lt;&gt;""),1712),"")</f>
        <v/>
      </c>
    </row>
    <row r="1718" ht="20" customHeight="1">
      <c r="A1718" s="183">
        <f>IF($K1718="","",WEEKNUM(INDEX(Zeiterfassung!$K$6:$K$3665,$K1718),21))</f>
        <v/>
      </c>
      <c r="B1718" s="184">
        <f>IF($K1718="","",INDEX(Zeiterfassung!$K$6:$K$3665,$K1718))</f>
        <v/>
      </c>
      <c r="C1718" s="185">
        <f>IF($K1718="","",INDEX(Zeiterfassung!$K$6:$K$3665,$K1718))</f>
        <v/>
      </c>
      <c r="D1718" s="186">
        <f>IF($K1718="","",INDEX(Zeiterfassung!$D$6:$D$3665,$K1718))</f>
        <v/>
      </c>
      <c r="E1718" s="186">
        <f>IF($K1718="","",INDEX(Zeiterfassung!$E$6:$E$3665,$K1718))</f>
        <v/>
      </c>
      <c r="F1718" s="187">
        <f>IF($K1718="","",INDEX(Zeiterfassung!$F$6:$F$3665,$K1718))</f>
        <v/>
      </c>
      <c r="G1718" s="187">
        <f>IF($K1718="","",INDEX(Zeiterfassung!$G$6:$G$3665,$K1718))</f>
        <v/>
      </c>
      <c r="H1718" s="188">
        <f>IF($K1718="","",INDEX(Zeiterfassung!$H$6:$H$3665,$K1718))</f>
        <v/>
      </c>
      <c r="I1718" s="335">
        <f>IF(B1718=B1717,"",IF($K1718="","",INDEX(Zeiterfassung!$I$6:$I$3665,MATCH(INDEX(Zeiterfassung!$K$6:$K$3665,$K1718),Zeiterfassung!$K$6:$K$3665,0))))</f>
        <v/>
      </c>
      <c r="J1718" s="335">
        <f>IF(B1718=B1717,"",IF($K1718="","",INDEX(Zeiterfassung!$J$6:$J$3665,MATCH(INDEX(Zeiterfassung!$K$6:$K$3665,$K1718),Zeiterfassung!$K$6:$K$3665,0))))</f>
        <v/>
      </c>
      <c r="K1718">
        <f>IFERROR(AGGREGATE(15,6,(ROW(Zeiterfassung!$D$6:$D$3665)-ROW(Zeiterfassung!$D$6)+1)/(Zeiterfassung!$D$6:$D$3665&lt;&gt;""),1713),"")</f>
        <v/>
      </c>
    </row>
    <row r="1719" ht="20" customHeight="1">
      <c r="A1719" s="183">
        <f>IF($K1719="","",WEEKNUM(INDEX(Zeiterfassung!$K$6:$K$3665,$K1719),21))</f>
        <v/>
      </c>
      <c r="B1719" s="184">
        <f>IF($K1719="","",INDEX(Zeiterfassung!$K$6:$K$3665,$K1719))</f>
        <v/>
      </c>
      <c r="C1719" s="185">
        <f>IF($K1719="","",INDEX(Zeiterfassung!$K$6:$K$3665,$K1719))</f>
        <v/>
      </c>
      <c r="D1719" s="186">
        <f>IF($K1719="","",INDEX(Zeiterfassung!$D$6:$D$3665,$K1719))</f>
        <v/>
      </c>
      <c r="E1719" s="186">
        <f>IF($K1719="","",INDEX(Zeiterfassung!$E$6:$E$3665,$K1719))</f>
        <v/>
      </c>
      <c r="F1719" s="187">
        <f>IF($K1719="","",INDEX(Zeiterfassung!$F$6:$F$3665,$K1719))</f>
        <v/>
      </c>
      <c r="G1719" s="187">
        <f>IF($K1719="","",INDEX(Zeiterfassung!$G$6:$G$3665,$K1719))</f>
        <v/>
      </c>
      <c r="H1719" s="188">
        <f>IF($K1719="","",INDEX(Zeiterfassung!$H$6:$H$3665,$K1719))</f>
        <v/>
      </c>
      <c r="I1719" s="335">
        <f>IF(B1719=B1718,"",IF($K1719="","",INDEX(Zeiterfassung!$I$6:$I$3665,MATCH(INDEX(Zeiterfassung!$K$6:$K$3665,$K1719),Zeiterfassung!$K$6:$K$3665,0))))</f>
        <v/>
      </c>
      <c r="J1719" s="335">
        <f>IF(B1719=B1718,"",IF($K1719="","",INDEX(Zeiterfassung!$J$6:$J$3665,MATCH(INDEX(Zeiterfassung!$K$6:$K$3665,$K1719),Zeiterfassung!$K$6:$K$3665,0))))</f>
        <v/>
      </c>
      <c r="K1719">
        <f>IFERROR(AGGREGATE(15,6,(ROW(Zeiterfassung!$D$6:$D$3665)-ROW(Zeiterfassung!$D$6)+1)/(Zeiterfassung!$D$6:$D$3665&lt;&gt;""),1714),"")</f>
        <v/>
      </c>
    </row>
    <row r="1720" ht="20" customHeight="1">
      <c r="A1720" s="183">
        <f>IF($K1720="","",WEEKNUM(INDEX(Zeiterfassung!$K$6:$K$3665,$K1720),21))</f>
        <v/>
      </c>
      <c r="B1720" s="184">
        <f>IF($K1720="","",INDEX(Zeiterfassung!$K$6:$K$3665,$K1720))</f>
        <v/>
      </c>
      <c r="C1720" s="185">
        <f>IF($K1720="","",INDEX(Zeiterfassung!$K$6:$K$3665,$K1720))</f>
        <v/>
      </c>
      <c r="D1720" s="186">
        <f>IF($K1720="","",INDEX(Zeiterfassung!$D$6:$D$3665,$K1720))</f>
        <v/>
      </c>
      <c r="E1720" s="186">
        <f>IF($K1720="","",INDEX(Zeiterfassung!$E$6:$E$3665,$K1720))</f>
        <v/>
      </c>
      <c r="F1720" s="187">
        <f>IF($K1720="","",INDEX(Zeiterfassung!$F$6:$F$3665,$K1720))</f>
        <v/>
      </c>
      <c r="G1720" s="187">
        <f>IF($K1720="","",INDEX(Zeiterfassung!$G$6:$G$3665,$K1720))</f>
        <v/>
      </c>
      <c r="H1720" s="188">
        <f>IF($K1720="","",INDEX(Zeiterfassung!$H$6:$H$3665,$K1720))</f>
        <v/>
      </c>
      <c r="I1720" s="335">
        <f>IF(B1720=B1719,"",IF($K1720="","",INDEX(Zeiterfassung!$I$6:$I$3665,MATCH(INDEX(Zeiterfassung!$K$6:$K$3665,$K1720),Zeiterfassung!$K$6:$K$3665,0))))</f>
        <v/>
      </c>
      <c r="J1720" s="335">
        <f>IF(B1720=B1719,"",IF($K1720="","",INDEX(Zeiterfassung!$J$6:$J$3665,MATCH(INDEX(Zeiterfassung!$K$6:$K$3665,$K1720),Zeiterfassung!$K$6:$K$3665,0))))</f>
        <v/>
      </c>
      <c r="K1720">
        <f>IFERROR(AGGREGATE(15,6,(ROW(Zeiterfassung!$D$6:$D$3665)-ROW(Zeiterfassung!$D$6)+1)/(Zeiterfassung!$D$6:$D$3665&lt;&gt;""),1715),"")</f>
        <v/>
      </c>
    </row>
    <row r="1721" ht="20" customHeight="1">
      <c r="A1721" s="183">
        <f>IF($K1721="","",WEEKNUM(INDEX(Zeiterfassung!$K$6:$K$3665,$K1721),21))</f>
        <v/>
      </c>
      <c r="B1721" s="184">
        <f>IF($K1721="","",INDEX(Zeiterfassung!$K$6:$K$3665,$K1721))</f>
        <v/>
      </c>
      <c r="C1721" s="185">
        <f>IF($K1721="","",INDEX(Zeiterfassung!$K$6:$K$3665,$K1721))</f>
        <v/>
      </c>
      <c r="D1721" s="186">
        <f>IF($K1721="","",INDEX(Zeiterfassung!$D$6:$D$3665,$K1721))</f>
        <v/>
      </c>
      <c r="E1721" s="186">
        <f>IF($K1721="","",INDEX(Zeiterfassung!$E$6:$E$3665,$K1721))</f>
        <v/>
      </c>
      <c r="F1721" s="187">
        <f>IF($K1721="","",INDEX(Zeiterfassung!$F$6:$F$3665,$K1721))</f>
        <v/>
      </c>
      <c r="G1721" s="187">
        <f>IF($K1721="","",INDEX(Zeiterfassung!$G$6:$G$3665,$K1721))</f>
        <v/>
      </c>
      <c r="H1721" s="188">
        <f>IF($K1721="","",INDEX(Zeiterfassung!$H$6:$H$3665,$K1721))</f>
        <v/>
      </c>
      <c r="I1721" s="335">
        <f>IF(B1721=B1720,"",IF($K1721="","",INDEX(Zeiterfassung!$I$6:$I$3665,MATCH(INDEX(Zeiterfassung!$K$6:$K$3665,$K1721),Zeiterfassung!$K$6:$K$3665,0))))</f>
        <v/>
      </c>
      <c r="J1721" s="335">
        <f>IF(B1721=B1720,"",IF($K1721="","",INDEX(Zeiterfassung!$J$6:$J$3665,MATCH(INDEX(Zeiterfassung!$K$6:$K$3665,$K1721),Zeiterfassung!$K$6:$K$3665,0))))</f>
        <v/>
      </c>
      <c r="K1721">
        <f>IFERROR(AGGREGATE(15,6,(ROW(Zeiterfassung!$D$6:$D$3665)-ROW(Zeiterfassung!$D$6)+1)/(Zeiterfassung!$D$6:$D$3665&lt;&gt;""),1716),"")</f>
        <v/>
      </c>
    </row>
    <row r="1722" ht="20" customHeight="1">
      <c r="A1722" s="183">
        <f>IF($K1722="","",WEEKNUM(INDEX(Zeiterfassung!$K$6:$K$3665,$K1722),21))</f>
        <v/>
      </c>
      <c r="B1722" s="184">
        <f>IF($K1722="","",INDEX(Zeiterfassung!$K$6:$K$3665,$K1722))</f>
        <v/>
      </c>
      <c r="C1722" s="185">
        <f>IF($K1722="","",INDEX(Zeiterfassung!$K$6:$K$3665,$K1722))</f>
        <v/>
      </c>
      <c r="D1722" s="186">
        <f>IF($K1722="","",INDEX(Zeiterfassung!$D$6:$D$3665,$K1722))</f>
        <v/>
      </c>
      <c r="E1722" s="186">
        <f>IF($K1722="","",INDEX(Zeiterfassung!$E$6:$E$3665,$K1722))</f>
        <v/>
      </c>
      <c r="F1722" s="187">
        <f>IF($K1722="","",INDEX(Zeiterfassung!$F$6:$F$3665,$K1722))</f>
        <v/>
      </c>
      <c r="G1722" s="187">
        <f>IF($K1722="","",INDEX(Zeiterfassung!$G$6:$G$3665,$K1722))</f>
        <v/>
      </c>
      <c r="H1722" s="188">
        <f>IF($K1722="","",INDEX(Zeiterfassung!$H$6:$H$3665,$K1722))</f>
        <v/>
      </c>
      <c r="I1722" s="335">
        <f>IF(B1722=B1721,"",IF($K1722="","",INDEX(Zeiterfassung!$I$6:$I$3665,MATCH(INDEX(Zeiterfassung!$K$6:$K$3665,$K1722),Zeiterfassung!$K$6:$K$3665,0))))</f>
        <v/>
      </c>
      <c r="J1722" s="335">
        <f>IF(B1722=B1721,"",IF($K1722="","",INDEX(Zeiterfassung!$J$6:$J$3665,MATCH(INDEX(Zeiterfassung!$K$6:$K$3665,$K1722),Zeiterfassung!$K$6:$K$3665,0))))</f>
        <v/>
      </c>
      <c r="K1722">
        <f>IFERROR(AGGREGATE(15,6,(ROW(Zeiterfassung!$D$6:$D$3665)-ROW(Zeiterfassung!$D$6)+1)/(Zeiterfassung!$D$6:$D$3665&lt;&gt;""),1717),"")</f>
        <v/>
      </c>
    </row>
    <row r="1723" ht="20" customHeight="1">
      <c r="A1723" s="183">
        <f>IF($K1723="","",WEEKNUM(INDEX(Zeiterfassung!$K$6:$K$3665,$K1723),21))</f>
        <v/>
      </c>
      <c r="B1723" s="184">
        <f>IF($K1723="","",INDEX(Zeiterfassung!$K$6:$K$3665,$K1723))</f>
        <v/>
      </c>
      <c r="C1723" s="185">
        <f>IF($K1723="","",INDEX(Zeiterfassung!$K$6:$K$3665,$K1723))</f>
        <v/>
      </c>
      <c r="D1723" s="186">
        <f>IF($K1723="","",INDEX(Zeiterfassung!$D$6:$D$3665,$K1723))</f>
        <v/>
      </c>
      <c r="E1723" s="186">
        <f>IF($K1723="","",INDEX(Zeiterfassung!$E$6:$E$3665,$K1723))</f>
        <v/>
      </c>
      <c r="F1723" s="187">
        <f>IF($K1723="","",INDEX(Zeiterfassung!$F$6:$F$3665,$K1723))</f>
        <v/>
      </c>
      <c r="G1723" s="187">
        <f>IF($K1723="","",INDEX(Zeiterfassung!$G$6:$G$3665,$K1723))</f>
        <v/>
      </c>
      <c r="H1723" s="188">
        <f>IF($K1723="","",INDEX(Zeiterfassung!$H$6:$H$3665,$K1723))</f>
        <v/>
      </c>
      <c r="I1723" s="335">
        <f>IF(B1723=B1722,"",IF($K1723="","",INDEX(Zeiterfassung!$I$6:$I$3665,MATCH(INDEX(Zeiterfassung!$K$6:$K$3665,$K1723),Zeiterfassung!$K$6:$K$3665,0))))</f>
        <v/>
      </c>
      <c r="J1723" s="335">
        <f>IF(B1723=B1722,"",IF($K1723="","",INDEX(Zeiterfassung!$J$6:$J$3665,MATCH(INDEX(Zeiterfassung!$K$6:$K$3665,$K1723),Zeiterfassung!$K$6:$K$3665,0))))</f>
        <v/>
      </c>
      <c r="K1723">
        <f>IFERROR(AGGREGATE(15,6,(ROW(Zeiterfassung!$D$6:$D$3665)-ROW(Zeiterfassung!$D$6)+1)/(Zeiterfassung!$D$6:$D$3665&lt;&gt;""),1718),"")</f>
        <v/>
      </c>
    </row>
    <row r="1724" ht="20" customHeight="1">
      <c r="A1724" s="183">
        <f>IF($K1724="","",WEEKNUM(INDEX(Zeiterfassung!$K$6:$K$3665,$K1724),21))</f>
        <v/>
      </c>
      <c r="B1724" s="184">
        <f>IF($K1724="","",INDEX(Zeiterfassung!$K$6:$K$3665,$K1724))</f>
        <v/>
      </c>
      <c r="C1724" s="185">
        <f>IF($K1724="","",INDEX(Zeiterfassung!$K$6:$K$3665,$K1724))</f>
        <v/>
      </c>
      <c r="D1724" s="186">
        <f>IF($K1724="","",INDEX(Zeiterfassung!$D$6:$D$3665,$K1724))</f>
        <v/>
      </c>
      <c r="E1724" s="186">
        <f>IF($K1724="","",INDEX(Zeiterfassung!$E$6:$E$3665,$K1724))</f>
        <v/>
      </c>
      <c r="F1724" s="187">
        <f>IF($K1724="","",INDEX(Zeiterfassung!$F$6:$F$3665,$K1724))</f>
        <v/>
      </c>
      <c r="G1724" s="187">
        <f>IF($K1724="","",INDEX(Zeiterfassung!$G$6:$G$3665,$K1724))</f>
        <v/>
      </c>
      <c r="H1724" s="188">
        <f>IF($K1724="","",INDEX(Zeiterfassung!$H$6:$H$3665,$K1724))</f>
        <v/>
      </c>
      <c r="I1724" s="335">
        <f>IF(B1724=B1723,"",IF($K1724="","",INDEX(Zeiterfassung!$I$6:$I$3665,MATCH(INDEX(Zeiterfassung!$K$6:$K$3665,$K1724),Zeiterfassung!$K$6:$K$3665,0))))</f>
        <v/>
      </c>
      <c r="J1724" s="335">
        <f>IF(B1724=B1723,"",IF($K1724="","",INDEX(Zeiterfassung!$J$6:$J$3665,MATCH(INDEX(Zeiterfassung!$K$6:$K$3665,$K1724),Zeiterfassung!$K$6:$K$3665,0))))</f>
        <v/>
      </c>
      <c r="K1724">
        <f>IFERROR(AGGREGATE(15,6,(ROW(Zeiterfassung!$D$6:$D$3665)-ROW(Zeiterfassung!$D$6)+1)/(Zeiterfassung!$D$6:$D$3665&lt;&gt;""),1719),"")</f>
        <v/>
      </c>
    </row>
    <row r="1725" ht="20" customHeight="1">
      <c r="A1725" s="183">
        <f>IF($K1725="","",WEEKNUM(INDEX(Zeiterfassung!$K$6:$K$3665,$K1725),21))</f>
        <v/>
      </c>
      <c r="B1725" s="184">
        <f>IF($K1725="","",INDEX(Zeiterfassung!$K$6:$K$3665,$K1725))</f>
        <v/>
      </c>
      <c r="C1725" s="185">
        <f>IF($K1725="","",INDEX(Zeiterfassung!$K$6:$K$3665,$K1725))</f>
        <v/>
      </c>
      <c r="D1725" s="186">
        <f>IF($K1725="","",INDEX(Zeiterfassung!$D$6:$D$3665,$K1725))</f>
        <v/>
      </c>
      <c r="E1725" s="186">
        <f>IF($K1725="","",INDEX(Zeiterfassung!$E$6:$E$3665,$K1725))</f>
        <v/>
      </c>
      <c r="F1725" s="187">
        <f>IF($K1725="","",INDEX(Zeiterfassung!$F$6:$F$3665,$K1725))</f>
        <v/>
      </c>
      <c r="G1725" s="187">
        <f>IF($K1725="","",INDEX(Zeiterfassung!$G$6:$G$3665,$K1725))</f>
        <v/>
      </c>
      <c r="H1725" s="188">
        <f>IF($K1725="","",INDEX(Zeiterfassung!$H$6:$H$3665,$K1725))</f>
        <v/>
      </c>
      <c r="I1725" s="335">
        <f>IF(B1725=B1724,"",IF($K1725="","",INDEX(Zeiterfassung!$I$6:$I$3665,MATCH(INDEX(Zeiterfassung!$K$6:$K$3665,$K1725),Zeiterfassung!$K$6:$K$3665,0))))</f>
        <v/>
      </c>
      <c r="J1725" s="335">
        <f>IF(B1725=B1724,"",IF($K1725="","",INDEX(Zeiterfassung!$J$6:$J$3665,MATCH(INDEX(Zeiterfassung!$K$6:$K$3665,$K1725),Zeiterfassung!$K$6:$K$3665,0))))</f>
        <v/>
      </c>
      <c r="K1725">
        <f>IFERROR(AGGREGATE(15,6,(ROW(Zeiterfassung!$D$6:$D$3665)-ROW(Zeiterfassung!$D$6)+1)/(Zeiterfassung!$D$6:$D$3665&lt;&gt;""),1720),"")</f>
        <v/>
      </c>
    </row>
    <row r="1726" ht="20" customHeight="1">
      <c r="A1726" s="183">
        <f>IF($K1726="","",WEEKNUM(INDEX(Zeiterfassung!$K$6:$K$3665,$K1726),21))</f>
        <v/>
      </c>
      <c r="B1726" s="184">
        <f>IF($K1726="","",INDEX(Zeiterfassung!$K$6:$K$3665,$K1726))</f>
        <v/>
      </c>
      <c r="C1726" s="185">
        <f>IF($K1726="","",INDEX(Zeiterfassung!$K$6:$K$3665,$K1726))</f>
        <v/>
      </c>
      <c r="D1726" s="186">
        <f>IF($K1726="","",INDEX(Zeiterfassung!$D$6:$D$3665,$K1726))</f>
        <v/>
      </c>
      <c r="E1726" s="186">
        <f>IF($K1726="","",INDEX(Zeiterfassung!$E$6:$E$3665,$K1726))</f>
        <v/>
      </c>
      <c r="F1726" s="187">
        <f>IF($K1726="","",INDEX(Zeiterfassung!$F$6:$F$3665,$K1726))</f>
        <v/>
      </c>
      <c r="G1726" s="187">
        <f>IF($K1726="","",INDEX(Zeiterfassung!$G$6:$G$3665,$K1726))</f>
        <v/>
      </c>
      <c r="H1726" s="188">
        <f>IF($K1726="","",INDEX(Zeiterfassung!$H$6:$H$3665,$K1726))</f>
        <v/>
      </c>
      <c r="I1726" s="335">
        <f>IF(B1726=B1725,"",IF($K1726="","",INDEX(Zeiterfassung!$I$6:$I$3665,MATCH(INDEX(Zeiterfassung!$K$6:$K$3665,$K1726),Zeiterfassung!$K$6:$K$3665,0))))</f>
        <v/>
      </c>
      <c r="J1726" s="335">
        <f>IF(B1726=B1725,"",IF($K1726="","",INDEX(Zeiterfassung!$J$6:$J$3665,MATCH(INDEX(Zeiterfassung!$K$6:$K$3665,$K1726),Zeiterfassung!$K$6:$K$3665,0))))</f>
        <v/>
      </c>
      <c r="K1726">
        <f>IFERROR(AGGREGATE(15,6,(ROW(Zeiterfassung!$D$6:$D$3665)-ROW(Zeiterfassung!$D$6)+1)/(Zeiterfassung!$D$6:$D$3665&lt;&gt;""),1721),"")</f>
        <v/>
      </c>
    </row>
    <row r="1727" ht="20" customHeight="1">
      <c r="A1727" s="183">
        <f>IF($K1727="","",WEEKNUM(INDEX(Zeiterfassung!$K$6:$K$3665,$K1727),21))</f>
        <v/>
      </c>
      <c r="B1727" s="184">
        <f>IF($K1727="","",INDEX(Zeiterfassung!$K$6:$K$3665,$K1727))</f>
        <v/>
      </c>
      <c r="C1727" s="185">
        <f>IF($K1727="","",INDEX(Zeiterfassung!$K$6:$K$3665,$K1727))</f>
        <v/>
      </c>
      <c r="D1727" s="186">
        <f>IF($K1727="","",INDEX(Zeiterfassung!$D$6:$D$3665,$K1727))</f>
        <v/>
      </c>
      <c r="E1727" s="186">
        <f>IF($K1727="","",INDEX(Zeiterfassung!$E$6:$E$3665,$K1727))</f>
        <v/>
      </c>
      <c r="F1727" s="187">
        <f>IF($K1727="","",INDEX(Zeiterfassung!$F$6:$F$3665,$K1727))</f>
        <v/>
      </c>
      <c r="G1727" s="187">
        <f>IF($K1727="","",INDEX(Zeiterfassung!$G$6:$G$3665,$K1727))</f>
        <v/>
      </c>
      <c r="H1727" s="188">
        <f>IF($K1727="","",INDEX(Zeiterfassung!$H$6:$H$3665,$K1727))</f>
        <v/>
      </c>
      <c r="I1727" s="335">
        <f>IF(B1727=B1726,"",IF($K1727="","",INDEX(Zeiterfassung!$I$6:$I$3665,MATCH(INDEX(Zeiterfassung!$K$6:$K$3665,$K1727),Zeiterfassung!$K$6:$K$3665,0))))</f>
        <v/>
      </c>
      <c r="J1727" s="335">
        <f>IF(B1727=B1726,"",IF($K1727="","",INDEX(Zeiterfassung!$J$6:$J$3665,MATCH(INDEX(Zeiterfassung!$K$6:$K$3665,$K1727),Zeiterfassung!$K$6:$K$3665,0))))</f>
        <v/>
      </c>
      <c r="K1727">
        <f>IFERROR(AGGREGATE(15,6,(ROW(Zeiterfassung!$D$6:$D$3665)-ROW(Zeiterfassung!$D$6)+1)/(Zeiterfassung!$D$6:$D$3665&lt;&gt;""),1722),"")</f>
        <v/>
      </c>
    </row>
    <row r="1728" ht="20" customHeight="1">
      <c r="A1728" s="183">
        <f>IF($K1728="","",WEEKNUM(INDEX(Zeiterfassung!$K$6:$K$3665,$K1728),21))</f>
        <v/>
      </c>
      <c r="B1728" s="184">
        <f>IF($K1728="","",INDEX(Zeiterfassung!$K$6:$K$3665,$K1728))</f>
        <v/>
      </c>
      <c r="C1728" s="185">
        <f>IF($K1728="","",INDEX(Zeiterfassung!$K$6:$K$3665,$K1728))</f>
        <v/>
      </c>
      <c r="D1728" s="186">
        <f>IF($K1728="","",INDEX(Zeiterfassung!$D$6:$D$3665,$K1728))</f>
        <v/>
      </c>
      <c r="E1728" s="186">
        <f>IF($K1728="","",INDEX(Zeiterfassung!$E$6:$E$3665,$K1728))</f>
        <v/>
      </c>
      <c r="F1728" s="187">
        <f>IF($K1728="","",INDEX(Zeiterfassung!$F$6:$F$3665,$K1728))</f>
        <v/>
      </c>
      <c r="G1728" s="187">
        <f>IF($K1728="","",INDEX(Zeiterfassung!$G$6:$G$3665,$K1728))</f>
        <v/>
      </c>
      <c r="H1728" s="188">
        <f>IF($K1728="","",INDEX(Zeiterfassung!$H$6:$H$3665,$K1728))</f>
        <v/>
      </c>
      <c r="I1728" s="335">
        <f>IF(B1728=B1727,"",IF($K1728="","",INDEX(Zeiterfassung!$I$6:$I$3665,MATCH(INDEX(Zeiterfassung!$K$6:$K$3665,$K1728),Zeiterfassung!$K$6:$K$3665,0))))</f>
        <v/>
      </c>
      <c r="J1728" s="335">
        <f>IF(B1728=B1727,"",IF($K1728="","",INDEX(Zeiterfassung!$J$6:$J$3665,MATCH(INDEX(Zeiterfassung!$K$6:$K$3665,$K1728),Zeiterfassung!$K$6:$K$3665,0))))</f>
        <v/>
      </c>
      <c r="K1728">
        <f>IFERROR(AGGREGATE(15,6,(ROW(Zeiterfassung!$D$6:$D$3665)-ROW(Zeiterfassung!$D$6)+1)/(Zeiterfassung!$D$6:$D$3665&lt;&gt;""),1723),"")</f>
        <v/>
      </c>
    </row>
    <row r="1729" ht="20" customHeight="1">
      <c r="A1729" s="183">
        <f>IF($K1729="","",WEEKNUM(INDEX(Zeiterfassung!$K$6:$K$3665,$K1729),21))</f>
        <v/>
      </c>
      <c r="B1729" s="184">
        <f>IF($K1729="","",INDEX(Zeiterfassung!$K$6:$K$3665,$K1729))</f>
        <v/>
      </c>
      <c r="C1729" s="185">
        <f>IF($K1729="","",INDEX(Zeiterfassung!$K$6:$K$3665,$K1729))</f>
        <v/>
      </c>
      <c r="D1729" s="186">
        <f>IF($K1729="","",INDEX(Zeiterfassung!$D$6:$D$3665,$K1729))</f>
        <v/>
      </c>
      <c r="E1729" s="186">
        <f>IF($K1729="","",INDEX(Zeiterfassung!$E$6:$E$3665,$K1729))</f>
        <v/>
      </c>
      <c r="F1729" s="187">
        <f>IF($K1729="","",INDEX(Zeiterfassung!$F$6:$F$3665,$K1729))</f>
        <v/>
      </c>
      <c r="G1729" s="187">
        <f>IF($K1729="","",INDEX(Zeiterfassung!$G$6:$G$3665,$K1729))</f>
        <v/>
      </c>
      <c r="H1729" s="188">
        <f>IF($K1729="","",INDEX(Zeiterfassung!$H$6:$H$3665,$K1729))</f>
        <v/>
      </c>
      <c r="I1729" s="335">
        <f>IF(B1729=B1728,"",IF($K1729="","",INDEX(Zeiterfassung!$I$6:$I$3665,MATCH(INDEX(Zeiterfassung!$K$6:$K$3665,$K1729),Zeiterfassung!$K$6:$K$3665,0))))</f>
        <v/>
      </c>
      <c r="J1729" s="335">
        <f>IF(B1729=B1728,"",IF($K1729="","",INDEX(Zeiterfassung!$J$6:$J$3665,MATCH(INDEX(Zeiterfassung!$K$6:$K$3665,$K1729),Zeiterfassung!$K$6:$K$3665,0))))</f>
        <v/>
      </c>
      <c r="K1729">
        <f>IFERROR(AGGREGATE(15,6,(ROW(Zeiterfassung!$D$6:$D$3665)-ROW(Zeiterfassung!$D$6)+1)/(Zeiterfassung!$D$6:$D$3665&lt;&gt;""),1724),"")</f>
        <v/>
      </c>
    </row>
    <row r="1730" ht="20" customHeight="1">
      <c r="A1730" s="183">
        <f>IF($K1730="","",WEEKNUM(INDEX(Zeiterfassung!$K$6:$K$3665,$K1730),21))</f>
        <v/>
      </c>
      <c r="B1730" s="184">
        <f>IF($K1730="","",INDEX(Zeiterfassung!$K$6:$K$3665,$K1730))</f>
        <v/>
      </c>
      <c r="C1730" s="185">
        <f>IF($K1730="","",INDEX(Zeiterfassung!$K$6:$K$3665,$K1730))</f>
        <v/>
      </c>
      <c r="D1730" s="186">
        <f>IF($K1730="","",INDEX(Zeiterfassung!$D$6:$D$3665,$K1730))</f>
        <v/>
      </c>
      <c r="E1730" s="186">
        <f>IF($K1730="","",INDEX(Zeiterfassung!$E$6:$E$3665,$K1730))</f>
        <v/>
      </c>
      <c r="F1730" s="187">
        <f>IF($K1730="","",INDEX(Zeiterfassung!$F$6:$F$3665,$K1730))</f>
        <v/>
      </c>
      <c r="G1730" s="187">
        <f>IF($K1730="","",INDEX(Zeiterfassung!$G$6:$G$3665,$K1730))</f>
        <v/>
      </c>
      <c r="H1730" s="188">
        <f>IF($K1730="","",INDEX(Zeiterfassung!$H$6:$H$3665,$K1730))</f>
        <v/>
      </c>
      <c r="I1730" s="335">
        <f>IF(B1730=B1729,"",IF($K1730="","",INDEX(Zeiterfassung!$I$6:$I$3665,MATCH(INDEX(Zeiterfassung!$K$6:$K$3665,$K1730),Zeiterfassung!$K$6:$K$3665,0))))</f>
        <v/>
      </c>
      <c r="J1730" s="335">
        <f>IF(B1730=B1729,"",IF($K1730="","",INDEX(Zeiterfassung!$J$6:$J$3665,MATCH(INDEX(Zeiterfassung!$K$6:$K$3665,$K1730),Zeiterfassung!$K$6:$K$3665,0))))</f>
        <v/>
      </c>
      <c r="K1730">
        <f>IFERROR(AGGREGATE(15,6,(ROW(Zeiterfassung!$D$6:$D$3665)-ROW(Zeiterfassung!$D$6)+1)/(Zeiterfassung!$D$6:$D$3665&lt;&gt;""),1725),"")</f>
        <v/>
      </c>
    </row>
    <row r="1731" ht="20" customHeight="1">
      <c r="A1731" s="183">
        <f>IF($K1731="","",WEEKNUM(INDEX(Zeiterfassung!$K$6:$K$3665,$K1731),21))</f>
        <v/>
      </c>
      <c r="B1731" s="184">
        <f>IF($K1731="","",INDEX(Zeiterfassung!$K$6:$K$3665,$K1731))</f>
        <v/>
      </c>
      <c r="C1731" s="185">
        <f>IF($K1731="","",INDEX(Zeiterfassung!$K$6:$K$3665,$K1731))</f>
        <v/>
      </c>
      <c r="D1731" s="186">
        <f>IF($K1731="","",INDEX(Zeiterfassung!$D$6:$D$3665,$K1731))</f>
        <v/>
      </c>
      <c r="E1731" s="186">
        <f>IF($K1731="","",INDEX(Zeiterfassung!$E$6:$E$3665,$K1731))</f>
        <v/>
      </c>
      <c r="F1731" s="187">
        <f>IF($K1731="","",INDEX(Zeiterfassung!$F$6:$F$3665,$K1731))</f>
        <v/>
      </c>
      <c r="G1731" s="187">
        <f>IF($K1731="","",INDEX(Zeiterfassung!$G$6:$G$3665,$K1731))</f>
        <v/>
      </c>
      <c r="H1731" s="188">
        <f>IF($K1731="","",INDEX(Zeiterfassung!$H$6:$H$3665,$K1731))</f>
        <v/>
      </c>
      <c r="I1731" s="335">
        <f>IF(B1731=B1730,"",IF($K1731="","",INDEX(Zeiterfassung!$I$6:$I$3665,MATCH(INDEX(Zeiterfassung!$K$6:$K$3665,$K1731),Zeiterfassung!$K$6:$K$3665,0))))</f>
        <v/>
      </c>
      <c r="J1731" s="335">
        <f>IF(B1731=B1730,"",IF($K1731="","",INDEX(Zeiterfassung!$J$6:$J$3665,MATCH(INDEX(Zeiterfassung!$K$6:$K$3665,$K1731),Zeiterfassung!$K$6:$K$3665,0))))</f>
        <v/>
      </c>
      <c r="K1731">
        <f>IFERROR(AGGREGATE(15,6,(ROW(Zeiterfassung!$D$6:$D$3665)-ROW(Zeiterfassung!$D$6)+1)/(Zeiterfassung!$D$6:$D$3665&lt;&gt;""),1726),"")</f>
        <v/>
      </c>
    </row>
    <row r="1732" ht="20" customHeight="1">
      <c r="A1732" s="183">
        <f>IF($K1732="","",WEEKNUM(INDEX(Zeiterfassung!$K$6:$K$3665,$K1732),21))</f>
        <v/>
      </c>
      <c r="B1732" s="184">
        <f>IF($K1732="","",INDEX(Zeiterfassung!$K$6:$K$3665,$K1732))</f>
        <v/>
      </c>
      <c r="C1732" s="185">
        <f>IF($K1732="","",INDEX(Zeiterfassung!$K$6:$K$3665,$K1732))</f>
        <v/>
      </c>
      <c r="D1732" s="186">
        <f>IF($K1732="","",INDEX(Zeiterfassung!$D$6:$D$3665,$K1732))</f>
        <v/>
      </c>
      <c r="E1732" s="186">
        <f>IF($K1732="","",INDEX(Zeiterfassung!$E$6:$E$3665,$K1732))</f>
        <v/>
      </c>
      <c r="F1732" s="187">
        <f>IF($K1732="","",INDEX(Zeiterfassung!$F$6:$F$3665,$K1732))</f>
        <v/>
      </c>
      <c r="G1732" s="187">
        <f>IF($K1732="","",INDEX(Zeiterfassung!$G$6:$G$3665,$K1732))</f>
        <v/>
      </c>
      <c r="H1732" s="188">
        <f>IF($K1732="","",INDEX(Zeiterfassung!$H$6:$H$3665,$K1732))</f>
        <v/>
      </c>
      <c r="I1732" s="335">
        <f>IF(B1732=B1731,"",IF($K1732="","",INDEX(Zeiterfassung!$I$6:$I$3665,MATCH(INDEX(Zeiterfassung!$K$6:$K$3665,$K1732),Zeiterfassung!$K$6:$K$3665,0))))</f>
        <v/>
      </c>
      <c r="J1732" s="335">
        <f>IF(B1732=B1731,"",IF($K1732="","",INDEX(Zeiterfassung!$J$6:$J$3665,MATCH(INDEX(Zeiterfassung!$K$6:$K$3665,$K1732),Zeiterfassung!$K$6:$K$3665,0))))</f>
        <v/>
      </c>
      <c r="K1732">
        <f>IFERROR(AGGREGATE(15,6,(ROW(Zeiterfassung!$D$6:$D$3665)-ROW(Zeiterfassung!$D$6)+1)/(Zeiterfassung!$D$6:$D$3665&lt;&gt;""),1727),"")</f>
        <v/>
      </c>
    </row>
    <row r="1733" ht="20" customHeight="1">
      <c r="A1733" s="183">
        <f>IF($K1733="","",WEEKNUM(INDEX(Zeiterfassung!$K$6:$K$3665,$K1733),21))</f>
        <v/>
      </c>
      <c r="B1733" s="184">
        <f>IF($K1733="","",INDEX(Zeiterfassung!$K$6:$K$3665,$K1733))</f>
        <v/>
      </c>
      <c r="C1733" s="185">
        <f>IF($K1733="","",INDEX(Zeiterfassung!$K$6:$K$3665,$K1733))</f>
        <v/>
      </c>
      <c r="D1733" s="186">
        <f>IF($K1733="","",INDEX(Zeiterfassung!$D$6:$D$3665,$K1733))</f>
        <v/>
      </c>
      <c r="E1733" s="186">
        <f>IF($K1733="","",INDEX(Zeiterfassung!$E$6:$E$3665,$K1733))</f>
        <v/>
      </c>
      <c r="F1733" s="187">
        <f>IF($K1733="","",INDEX(Zeiterfassung!$F$6:$F$3665,$K1733))</f>
        <v/>
      </c>
      <c r="G1733" s="187">
        <f>IF($K1733="","",INDEX(Zeiterfassung!$G$6:$G$3665,$K1733))</f>
        <v/>
      </c>
      <c r="H1733" s="188">
        <f>IF($K1733="","",INDEX(Zeiterfassung!$H$6:$H$3665,$K1733))</f>
        <v/>
      </c>
      <c r="I1733" s="335">
        <f>IF(B1733=B1732,"",IF($K1733="","",INDEX(Zeiterfassung!$I$6:$I$3665,MATCH(INDEX(Zeiterfassung!$K$6:$K$3665,$K1733),Zeiterfassung!$K$6:$K$3665,0))))</f>
        <v/>
      </c>
      <c r="J1733" s="335">
        <f>IF(B1733=B1732,"",IF($K1733="","",INDEX(Zeiterfassung!$J$6:$J$3665,MATCH(INDEX(Zeiterfassung!$K$6:$K$3665,$K1733),Zeiterfassung!$K$6:$K$3665,0))))</f>
        <v/>
      </c>
      <c r="K1733">
        <f>IFERROR(AGGREGATE(15,6,(ROW(Zeiterfassung!$D$6:$D$3665)-ROW(Zeiterfassung!$D$6)+1)/(Zeiterfassung!$D$6:$D$3665&lt;&gt;""),1728),"")</f>
        <v/>
      </c>
    </row>
    <row r="1734" ht="20" customHeight="1">
      <c r="A1734" s="183">
        <f>IF($K1734="","",WEEKNUM(INDEX(Zeiterfassung!$K$6:$K$3665,$K1734),21))</f>
        <v/>
      </c>
      <c r="B1734" s="184">
        <f>IF($K1734="","",INDEX(Zeiterfassung!$K$6:$K$3665,$K1734))</f>
        <v/>
      </c>
      <c r="C1734" s="185">
        <f>IF($K1734="","",INDEX(Zeiterfassung!$K$6:$K$3665,$K1734))</f>
        <v/>
      </c>
      <c r="D1734" s="186">
        <f>IF($K1734="","",INDEX(Zeiterfassung!$D$6:$D$3665,$K1734))</f>
        <v/>
      </c>
      <c r="E1734" s="186">
        <f>IF($K1734="","",INDEX(Zeiterfassung!$E$6:$E$3665,$K1734))</f>
        <v/>
      </c>
      <c r="F1734" s="187">
        <f>IF($K1734="","",INDEX(Zeiterfassung!$F$6:$F$3665,$K1734))</f>
        <v/>
      </c>
      <c r="G1734" s="187">
        <f>IF($K1734="","",INDEX(Zeiterfassung!$G$6:$G$3665,$K1734))</f>
        <v/>
      </c>
      <c r="H1734" s="188">
        <f>IF($K1734="","",INDEX(Zeiterfassung!$H$6:$H$3665,$K1734))</f>
        <v/>
      </c>
      <c r="I1734" s="335">
        <f>IF(B1734=B1733,"",IF($K1734="","",INDEX(Zeiterfassung!$I$6:$I$3665,MATCH(INDEX(Zeiterfassung!$K$6:$K$3665,$K1734),Zeiterfassung!$K$6:$K$3665,0))))</f>
        <v/>
      </c>
      <c r="J1734" s="335">
        <f>IF(B1734=B1733,"",IF($K1734="","",INDEX(Zeiterfassung!$J$6:$J$3665,MATCH(INDEX(Zeiterfassung!$K$6:$K$3665,$K1734),Zeiterfassung!$K$6:$K$3665,0))))</f>
        <v/>
      </c>
      <c r="K1734">
        <f>IFERROR(AGGREGATE(15,6,(ROW(Zeiterfassung!$D$6:$D$3665)-ROW(Zeiterfassung!$D$6)+1)/(Zeiterfassung!$D$6:$D$3665&lt;&gt;""),1729),"")</f>
        <v/>
      </c>
    </row>
    <row r="1735" ht="20" customHeight="1">
      <c r="A1735" s="183">
        <f>IF($K1735="","",WEEKNUM(INDEX(Zeiterfassung!$K$6:$K$3665,$K1735),21))</f>
        <v/>
      </c>
      <c r="B1735" s="184">
        <f>IF($K1735="","",INDEX(Zeiterfassung!$K$6:$K$3665,$K1735))</f>
        <v/>
      </c>
      <c r="C1735" s="185">
        <f>IF($K1735="","",INDEX(Zeiterfassung!$K$6:$K$3665,$K1735))</f>
        <v/>
      </c>
      <c r="D1735" s="186">
        <f>IF($K1735="","",INDEX(Zeiterfassung!$D$6:$D$3665,$K1735))</f>
        <v/>
      </c>
      <c r="E1735" s="186">
        <f>IF($K1735="","",INDEX(Zeiterfassung!$E$6:$E$3665,$K1735))</f>
        <v/>
      </c>
      <c r="F1735" s="187">
        <f>IF($K1735="","",INDEX(Zeiterfassung!$F$6:$F$3665,$K1735))</f>
        <v/>
      </c>
      <c r="G1735" s="187">
        <f>IF($K1735="","",INDEX(Zeiterfassung!$G$6:$G$3665,$K1735))</f>
        <v/>
      </c>
      <c r="H1735" s="188">
        <f>IF($K1735="","",INDEX(Zeiterfassung!$H$6:$H$3665,$K1735))</f>
        <v/>
      </c>
      <c r="I1735" s="335">
        <f>IF(B1735=B1734,"",IF($K1735="","",INDEX(Zeiterfassung!$I$6:$I$3665,MATCH(INDEX(Zeiterfassung!$K$6:$K$3665,$K1735),Zeiterfassung!$K$6:$K$3665,0))))</f>
        <v/>
      </c>
      <c r="J1735" s="335">
        <f>IF(B1735=B1734,"",IF($K1735="","",INDEX(Zeiterfassung!$J$6:$J$3665,MATCH(INDEX(Zeiterfassung!$K$6:$K$3665,$K1735),Zeiterfassung!$K$6:$K$3665,0))))</f>
        <v/>
      </c>
      <c r="K1735">
        <f>IFERROR(AGGREGATE(15,6,(ROW(Zeiterfassung!$D$6:$D$3665)-ROW(Zeiterfassung!$D$6)+1)/(Zeiterfassung!$D$6:$D$3665&lt;&gt;""),1730),"")</f>
        <v/>
      </c>
    </row>
    <row r="1736" ht="20" customHeight="1">
      <c r="A1736" s="183">
        <f>IF($K1736="","",WEEKNUM(INDEX(Zeiterfassung!$K$6:$K$3665,$K1736),21))</f>
        <v/>
      </c>
      <c r="B1736" s="184">
        <f>IF($K1736="","",INDEX(Zeiterfassung!$K$6:$K$3665,$K1736))</f>
        <v/>
      </c>
      <c r="C1736" s="185">
        <f>IF($K1736="","",INDEX(Zeiterfassung!$K$6:$K$3665,$K1736))</f>
        <v/>
      </c>
      <c r="D1736" s="186">
        <f>IF($K1736="","",INDEX(Zeiterfassung!$D$6:$D$3665,$K1736))</f>
        <v/>
      </c>
      <c r="E1736" s="186">
        <f>IF($K1736="","",INDEX(Zeiterfassung!$E$6:$E$3665,$K1736))</f>
        <v/>
      </c>
      <c r="F1736" s="187">
        <f>IF($K1736="","",INDEX(Zeiterfassung!$F$6:$F$3665,$K1736))</f>
        <v/>
      </c>
      <c r="G1736" s="187">
        <f>IF($K1736="","",INDEX(Zeiterfassung!$G$6:$G$3665,$K1736))</f>
        <v/>
      </c>
      <c r="H1736" s="188">
        <f>IF($K1736="","",INDEX(Zeiterfassung!$H$6:$H$3665,$K1736))</f>
        <v/>
      </c>
      <c r="I1736" s="335">
        <f>IF(B1736=B1735,"",IF($K1736="","",INDEX(Zeiterfassung!$I$6:$I$3665,MATCH(INDEX(Zeiterfassung!$K$6:$K$3665,$K1736),Zeiterfassung!$K$6:$K$3665,0))))</f>
        <v/>
      </c>
      <c r="J1736" s="335">
        <f>IF(B1736=B1735,"",IF($K1736="","",INDEX(Zeiterfassung!$J$6:$J$3665,MATCH(INDEX(Zeiterfassung!$K$6:$K$3665,$K1736),Zeiterfassung!$K$6:$K$3665,0))))</f>
        <v/>
      </c>
      <c r="K1736">
        <f>IFERROR(AGGREGATE(15,6,(ROW(Zeiterfassung!$D$6:$D$3665)-ROW(Zeiterfassung!$D$6)+1)/(Zeiterfassung!$D$6:$D$3665&lt;&gt;""),1731),"")</f>
        <v/>
      </c>
    </row>
    <row r="1737" ht="20" customHeight="1">
      <c r="A1737" s="183">
        <f>IF($K1737="","",WEEKNUM(INDEX(Zeiterfassung!$K$6:$K$3665,$K1737),21))</f>
        <v/>
      </c>
      <c r="B1737" s="184">
        <f>IF($K1737="","",INDEX(Zeiterfassung!$K$6:$K$3665,$K1737))</f>
        <v/>
      </c>
      <c r="C1737" s="185">
        <f>IF($K1737="","",INDEX(Zeiterfassung!$K$6:$K$3665,$K1737))</f>
        <v/>
      </c>
      <c r="D1737" s="186">
        <f>IF($K1737="","",INDEX(Zeiterfassung!$D$6:$D$3665,$K1737))</f>
        <v/>
      </c>
      <c r="E1737" s="186">
        <f>IF($K1737="","",INDEX(Zeiterfassung!$E$6:$E$3665,$K1737))</f>
        <v/>
      </c>
      <c r="F1737" s="187">
        <f>IF($K1737="","",INDEX(Zeiterfassung!$F$6:$F$3665,$K1737))</f>
        <v/>
      </c>
      <c r="G1737" s="187">
        <f>IF($K1737="","",INDEX(Zeiterfassung!$G$6:$G$3665,$K1737))</f>
        <v/>
      </c>
      <c r="H1737" s="188">
        <f>IF($K1737="","",INDEX(Zeiterfassung!$H$6:$H$3665,$K1737))</f>
        <v/>
      </c>
      <c r="I1737" s="335">
        <f>IF(B1737=B1736,"",IF($K1737="","",INDEX(Zeiterfassung!$I$6:$I$3665,MATCH(INDEX(Zeiterfassung!$K$6:$K$3665,$K1737),Zeiterfassung!$K$6:$K$3665,0))))</f>
        <v/>
      </c>
      <c r="J1737" s="335">
        <f>IF(B1737=B1736,"",IF($K1737="","",INDEX(Zeiterfassung!$J$6:$J$3665,MATCH(INDEX(Zeiterfassung!$K$6:$K$3665,$K1737),Zeiterfassung!$K$6:$K$3665,0))))</f>
        <v/>
      </c>
      <c r="K1737">
        <f>IFERROR(AGGREGATE(15,6,(ROW(Zeiterfassung!$D$6:$D$3665)-ROW(Zeiterfassung!$D$6)+1)/(Zeiterfassung!$D$6:$D$3665&lt;&gt;""),1732),"")</f>
        <v/>
      </c>
    </row>
    <row r="1738" ht="20" customHeight="1">
      <c r="A1738" s="183">
        <f>IF($K1738="","",WEEKNUM(INDEX(Zeiterfassung!$K$6:$K$3665,$K1738),21))</f>
        <v/>
      </c>
      <c r="B1738" s="184">
        <f>IF($K1738="","",INDEX(Zeiterfassung!$K$6:$K$3665,$K1738))</f>
        <v/>
      </c>
      <c r="C1738" s="185">
        <f>IF($K1738="","",INDEX(Zeiterfassung!$K$6:$K$3665,$K1738))</f>
        <v/>
      </c>
      <c r="D1738" s="186">
        <f>IF($K1738="","",INDEX(Zeiterfassung!$D$6:$D$3665,$K1738))</f>
        <v/>
      </c>
      <c r="E1738" s="186">
        <f>IF($K1738="","",INDEX(Zeiterfassung!$E$6:$E$3665,$K1738))</f>
        <v/>
      </c>
      <c r="F1738" s="187">
        <f>IF($K1738="","",INDEX(Zeiterfassung!$F$6:$F$3665,$K1738))</f>
        <v/>
      </c>
      <c r="G1738" s="187">
        <f>IF($K1738="","",INDEX(Zeiterfassung!$G$6:$G$3665,$K1738))</f>
        <v/>
      </c>
      <c r="H1738" s="188">
        <f>IF($K1738="","",INDEX(Zeiterfassung!$H$6:$H$3665,$K1738))</f>
        <v/>
      </c>
      <c r="I1738" s="335">
        <f>IF(B1738=B1737,"",IF($K1738="","",INDEX(Zeiterfassung!$I$6:$I$3665,MATCH(INDEX(Zeiterfassung!$K$6:$K$3665,$K1738),Zeiterfassung!$K$6:$K$3665,0))))</f>
        <v/>
      </c>
      <c r="J1738" s="335">
        <f>IF(B1738=B1737,"",IF($K1738="","",INDEX(Zeiterfassung!$J$6:$J$3665,MATCH(INDEX(Zeiterfassung!$K$6:$K$3665,$K1738),Zeiterfassung!$K$6:$K$3665,0))))</f>
        <v/>
      </c>
      <c r="K1738">
        <f>IFERROR(AGGREGATE(15,6,(ROW(Zeiterfassung!$D$6:$D$3665)-ROW(Zeiterfassung!$D$6)+1)/(Zeiterfassung!$D$6:$D$3665&lt;&gt;""),1733),"")</f>
        <v/>
      </c>
    </row>
    <row r="1739" ht="20" customHeight="1">
      <c r="A1739" s="183">
        <f>IF($K1739="","",WEEKNUM(INDEX(Zeiterfassung!$K$6:$K$3665,$K1739),21))</f>
        <v/>
      </c>
      <c r="B1739" s="184">
        <f>IF($K1739="","",INDEX(Zeiterfassung!$K$6:$K$3665,$K1739))</f>
        <v/>
      </c>
      <c r="C1739" s="185">
        <f>IF($K1739="","",INDEX(Zeiterfassung!$K$6:$K$3665,$K1739))</f>
        <v/>
      </c>
      <c r="D1739" s="186">
        <f>IF($K1739="","",INDEX(Zeiterfassung!$D$6:$D$3665,$K1739))</f>
        <v/>
      </c>
      <c r="E1739" s="186">
        <f>IF($K1739="","",INDEX(Zeiterfassung!$E$6:$E$3665,$K1739))</f>
        <v/>
      </c>
      <c r="F1739" s="187">
        <f>IF($K1739="","",INDEX(Zeiterfassung!$F$6:$F$3665,$K1739))</f>
        <v/>
      </c>
      <c r="G1739" s="187">
        <f>IF($K1739="","",INDEX(Zeiterfassung!$G$6:$G$3665,$K1739))</f>
        <v/>
      </c>
      <c r="H1739" s="188">
        <f>IF($K1739="","",INDEX(Zeiterfassung!$H$6:$H$3665,$K1739))</f>
        <v/>
      </c>
      <c r="I1739" s="335">
        <f>IF(B1739=B1738,"",IF($K1739="","",INDEX(Zeiterfassung!$I$6:$I$3665,MATCH(INDEX(Zeiterfassung!$K$6:$K$3665,$K1739),Zeiterfassung!$K$6:$K$3665,0))))</f>
        <v/>
      </c>
      <c r="J1739" s="335">
        <f>IF(B1739=B1738,"",IF($K1739="","",INDEX(Zeiterfassung!$J$6:$J$3665,MATCH(INDEX(Zeiterfassung!$K$6:$K$3665,$K1739),Zeiterfassung!$K$6:$K$3665,0))))</f>
        <v/>
      </c>
      <c r="K1739">
        <f>IFERROR(AGGREGATE(15,6,(ROW(Zeiterfassung!$D$6:$D$3665)-ROW(Zeiterfassung!$D$6)+1)/(Zeiterfassung!$D$6:$D$3665&lt;&gt;""),1734),"")</f>
        <v/>
      </c>
    </row>
    <row r="1740" ht="20" customHeight="1">
      <c r="A1740" s="183">
        <f>IF($K1740="","",WEEKNUM(INDEX(Zeiterfassung!$K$6:$K$3665,$K1740),21))</f>
        <v/>
      </c>
      <c r="B1740" s="184">
        <f>IF($K1740="","",INDEX(Zeiterfassung!$K$6:$K$3665,$K1740))</f>
        <v/>
      </c>
      <c r="C1740" s="185">
        <f>IF($K1740="","",INDEX(Zeiterfassung!$K$6:$K$3665,$K1740))</f>
        <v/>
      </c>
      <c r="D1740" s="186">
        <f>IF($K1740="","",INDEX(Zeiterfassung!$D$6:$D$3665,$K1740))</f>
        <v/>
      </c>
      <c r="E1740" s="186">
        <f>IF($K1740="","",INDEX(Zeiterfassung!$E$6:$E$3665,$K1740))</f>
        <v/>
      </c>
      <c r="F1740" s="187">
        <f>IF($K1740="","",INDEX(Zeiterfassung!$F$6:$F$3665,$K1740))</f>
        <v/>
      </c>
      <c r="G1740" s="187">
        <f>IF($K1740="","",INDEX(Zeiterfassung!$G$6:$G$3665,$K1740))</f>
        <v/>
      </c>
      <c r="H1740" s="188">
        <f>IF($K1740="","",INDEX(Zeiterfassung!$H$6:$H$3665,$K1740))</f>
        <v/>
      </c>
      <c r="I1740" s="335">
        <f>IF(B1740=B1739,"",IF($K1740="","",INDEX(Zeiterfassung!$I$6:$I$3665,MATCH(INDEX(Zeiterfassung!$K$6:$K$3665,$K1740),Zeiterfassung!$K$6:$K$3665,0))))</f>
        <v/>
      </c>
      <c r="J1740" s="335">
        <f>IF(B1740=B1739,"",IF($K1740="","",INDEX(Zeiterfassung!$J$6:$J$3665,MATCH(INDEX(Zeiterfassung!$K$6:$K$3665,$K1740),Zeiterfassung!$K$6:$K$3665,0))))</f>
        <v/>
      </c>
      <c r="K1740">
        <f>IFERROR(AGGREGATE(15,6,(ROW(Zeiterfassung!$D$6:$D$3665)-ROW(Zeiterfassung!$D$6)+1)/(Zeiterfassung!$D$6:$D$3665&lt;&gt;""),1735),"")</f>
        <v/>
      </c>
    </row>
    <row r="1741" ht="20" customHeight="1">
      <c r="A1741" s="183">
        <f>IF($K1741="","",WEEKNUM(INDEX(Zeiterfassung!$K$6:$K$3665,$K1741),21))</f>
        <v/>
      </c>
      <c r="B1741" s="184">
        <f>IF($K1741="","",INDEX(Zeiterfassung!$K$6:$K$3665,$K1741))</f>
        <v/>
      </c>
      <c r="C1741" s="185">
        <f>IF($K1741="","",INDEX(Zeiterfassung!$K$6:$K$3665,$K1741))</f>
        <v/>
      </c>
      <c r="D1741" s="186">
        <f>IF($K1741="","",INDEX(Zeiterfassung!$D$6:$D$3665,$K1741))</f>
        <v/>
      </c>
      <c r="E1741" s="186">
        <f>IF($K1741="","",INDEX(Zeiterfassung!$E$6:$E$3665,$K1741))</f>
        <v/>
      </c>
      <c r="F1741" s="187">
        <f>IF($K1741="","",INDEX(Zeiterfassung!$F$6:$F$3665,$K1741))</f>
        <v/>
      </c>
      <c r="G1741" s="187">
        <f>IF($K1741="","",INDEX(Zeiterfassung!$G$6:$G$3665,$K1741))</f>
        <v/>
      </c>
      <c r="H1741" s="188">
        <f>IF($K1741="","",INDEX(Zeiterfassung!$H$6:$H$3665,$K1741))</f>
        <v/>
      </c>
      <c r="I1741" s="335">
        <f>IF(B1741=B1740,"",IF($K1741="","",INDEX(Zeiterfassung!$I$6:$I$3665,MATCH(INDEX(Zeiterfassung!$K$6:$K$3665,$K1741),Zeiterfassung!$K$6:$K$3665,0))))</f>
        <v/>
      </c>
      <c r="J1741" s="335">
        <f>IF(B1741=B1740,"",IF($K1741="","",INDEX(Zeiterfassung!$J$6:$J$3665,MATCH(INDEX(Zeiterfassung!$K$6:$K$3665,$K1741),Zeiterfassung!$K$6:$K$3665,0))))</f>
        <v/>
      </c>
      <c r="K1741">
        <f>IFERROR(AGGREGATE(15,6,(ROW(Zeiterfassung!$D$6:$D$3665)-ROW(Zeiterfassung!$D$6)+1)/(Zeiterfassung!$D$6:$D$3665&lt;&gt;""),1736),"")</f>
        <v/>
      </c>
    </row>
    <row r="1742" ht="20" customHeight="1">
      <c r="A1742" s="183">
        <f>IF($K1742="","",WEEKNUM(INDEX(Zeiterfassung!$K$6:$K$3665,$K1742),21))</f>
        <v/>
      </c>
      <c r="B1742" s="184">
        <f>IF($K1742="","",INDEX(Zeiterfassung!$K$6:$K$3665,$K1742))</f>
        <v/>
      </c>
      <c r="C1742" s="185">
        <f>IF($K1742="","",INDEX(Zeiterfassung!$K$6:$K$3665,$K1742))</f>
        <v/>
      </c>
      <c r="D1742" s="186">
        <f>IF($K1742="","",INDEX(Zeiterfassung!$D$6:$D$3665,$K1742))</f>
        <v/>
      </c>
      <c r="E1742" s="186">
        <f>IF($K1742="","",INDEX(Zeiterfassung!$E$6:$E$3665,$K1742))</f>
        <v/>
      </c>
      <c r="F1742" s="187">
        <f>IF($K1742="","",INDEX(Zeiterfassung!$F$6:$F$3665,$K1742))</f>
        <v/>
      </c>
      <c r="G1742" s="187">
        <f>IF($K1742="","",INDEX(Zeiterfassung!$G$6:$G$3665,$K1742))</f>
        <v/>
      </c>
      <c r="H1742" s="188">
        <f>IF($K1742="","",INDEX(Zeiterfassung!$H$6:$H$3665,$K1742))</f>
        <v/>
      </c>
      <c r="I1742" s="335">
        <f>IF(B1742=B1741,"",IF($K1742="","",INDEX(Zeiterfassung!$I$6:$I$3665,MATCH(INDEX(Zeiterfassung!$K$6:$K$3665,$K1742),Zeiterfassung!$K$6:$K$3665,0))))</f>
        <v/>
      </c>
      <c r="J1742" s="335">
        <f>IF(B1742=B1741,"",IF($K1742="","",INDEX(Zeiterfassung!$J$6:$J$3665,MATCH(INDEX(Zeiterfassung!$K$6:$K$3665,$K1742),Zeiterfassung!$K$6:$K$3665,0))))</f>
        <v/>
      </c>
      <c r="K1742">
        <f>IFERROR(AGGREGATE(15,6,(ROW(Zeiterfassung!$D$6:$D$3665)-ROW(Zeiterfassung!$D$6)+1)/(Zeiterfassung!$D$6:$D$3665&lt;&gt;""),1737),"")</f>
        <v/>
      </c>
    </row>
    <row r="1743" ht="20" customHeight="1">
      <c r="A1743" s="183">
        <f>IF($K1743="","",WEEKNUM(INDEX(Zeiterfassung!$K$6:$K$3665,$K1743),21))</f>
        <v/>
      </c>
      <c r="B1743" s="184">
        <f>IF($K1743="","",INDEX(Zeiterfassung!$K$6:$K$3665,$K1743))</f>
        <v/>
      </c>
      <c r="C1743" s="185">
        <f>IF($K1743="","",INDEX(Zeiterfassung!$K$6:$K$3665,$K1743))</f>
        <v/>
      </c>
      <c r="D1743" s="186">
        <f>IF($K1743="","",INDEX(Zeiterfassung!$D$6:$D$3665,$K1743))</f>
        <v/>
      </c>
      <c r="E1743" s="186">
        <f>IF($K1743="","",INDEX(Zeiterfassung!$E$6:$E$3665,$K1743))</f>
        <v/>
      </c>
      <c r="F1743" s="187">
        <f>IF($K1743="","",INDEX(Zeiterfassung!$F$6:$F$3665,$K1743))</f>
        <v/>
      </c>
      <c r="G1743" s="187">
        <f>IF($K1743="","",INDEX(Zeiterfassung!$G$6:$G$3665,$K1743))</f>
        <v/>
      </c>
      <c r="H1743" s="188">
        <f>IF($K1743="","",INDEX(Zeiterfassung!$H$6:$H$3665,$K1743))</f>
        <v/>
      </c>
      <c r="I1743" s="335">
        <f>IF(B1743=B1742,"",IF($K1743="","",INDEX(Zeiterfassung!$I$6:$I$3665,MATCH(INDEX(Zeiterfassung!$K$6:$K$3665,$K1743),Zeiterfassung!$K$6:$K$3665,0))))</f>
        <v/>
      </c>
      <c r="J1743" s="335">
        <f>IF(B1743=B1742,"",IF($K1743="","",INDEX(Zeiterfassung!$J$6:$J$3665,MATCH(INDEX(Zeiterfassung!$K$6:$K$3665,$K1743),Zeiterfassung!$K$6:$K$3665,0))))</f>
        <v/>
      </c>
      <c r="K1743">
        <f>IFERROR(AGGREGATE(15,6,(ROW(Zeiterfassung!$D$6:$D$3665)-ROW(Zeiterfassung!$D$6)+1)/(Zeiterfassung!$D$6:$D$3665&lt;&gt;""),1738),"")</f>
        <v/>
      </c>
    </row>
    <row r="1744" ht="20" customHeight="1">
      <c r="A1744" s="183">
        <f>IF($K1744="","",WEEKNUM(INDEX(Zeiterfassung!$K$6:$K$3665,$K1744),21))</f>
        <v/>
      </c>
      <c r="B1744" s="184">
        <f>IF($K1744="","",INDEX(Zeiterfassung!$K$6:$K$3665,$K1744))</f>
        <v/>
      </c>
      <c r="C1744" s="185">
        <f>IF($K1744="","",INDEX(Zeiterfassung!$K$6:$K$3665,$K1744))</f>
        <v/>
      </c>
      <c r="D1744" s="186">
        <f>IF($K1744="","",INDEX(Zeiterfassung!$D$6:$D$3665,$K1744))</f>
        <v/>
      </c>
      <c r="E1744" s="186">
        <f>IF($K1744="","",INDEX(Zeiterfassung!$E$6:$E$3665,$K1744))</f>
        <v/>
      </c>
      <c r="F1744" s="187">
        <f>IF($K1744="","",INDEX(Zeiterfassung!$F$6:$F$3665,$K1744))</f>
        <v/>
      </c>
      <c r="G1744" s="187">
        <f>IF($K1744="","",INDEX(Zeiterfassung!$G$6:$G$3665,$K1744))</f>
        <v/>
      </c>
      <c r="H1744" s="188">
        <f>IF($K1744="","",INDEX(Zeiterfassung!$H$6:$H$3665,$K1744))</f>
        <v/>
      </c>
      <c r="I1744" s="335">
        <f>IF(B1744=B1743,"",IF($K1744="","",INDEX(Zeiterfassung!$I$6:$I$3665,MATCH(INDEX(Zeiterfassung!$K$6:$K$3665,$K1744),Zeiterfassung!$K$6:$K$3665,0))))</f>
        <v/>
      </c>
      <c r="J1744" s="335">
        <f>IF(B1744=B1743,"",IF($K1744="","",INDEX(Zeiterfassung!$J$6:$J$3665,MATCH(INDEX(Zeiterfassung!$K$6:$K$3665,$K1744),Zeiterfassung!$K$6:$K$3665,0))))</f>
        <v/>
      </c>
      <c r="K1744">
        <f>IFERROR(AGGREGATE(15,6,(ROW(Zeiterfassung!$D$6:$D$3665)-ROW(Zeiterfassung!$D$6)+1)/(Zeiterfassung!$D$6:$D$3665&lt;&gt;""),1739),"")</f>
        <v/>
      </c>
    </row>
    <row r="1745" ht="20" customHeight="1">
      <c r="A1745" s="183">
        <f>IF($K1745="","",WEEKNUM(INDEX(Zeiterfassung!$K$6:$K$3665,$K1745),21))</f>
        <v/>
      </c>
      <c r="B1745" s="184">
        <f>IF($K1745="","",INDEX(Zeiterfassung!$K$6:$K$3665,$K1745))</f>
        <v/>
      </c>
      <c r="C1745" s="185">
        <f>IF($K1745="","",INDEX(Zeiterfassung!$K$6:$K$3665,$K1745))</f>
        <v/>
      </c>
      <c r="D1745" s="186">
        <f>IF($K1745="","",INDEX(Zeiterfassung!$D$6:$D$3665,$K1745))</f>
        <v/>
      </c>
      <c r="E1745" s="186">
        <f>IF($K1745="","",INDEX(Zeiterfassung!$E$6:$E$3665,$K1745))</f>
        <v/>
      </c>
      <c r="F1745" s="187">
        <f>IF($K1745="","",INDEX(Zeiterfassung!$F$6:$F$3665,$K1745))</f>
        <v/>
      </c>
      <c r="G1745" s="187">
        <f>IF($K1745="","",INDEX(Zeiterfassung!$G$6:$G$3665,$K1745))</f>
        <v/>
      </c>
      <c r="H1745" s="188">
        <f>IF($K1745="","",INDEX(Zeiterfassung!$H$6:$H$3665,$K1745))</f>
        <v/>
      </c>
      <c r="I1745" s="335">
        <f>IF(B1745=B1744,"",IF($K1745="","",INDEX(Zeiterfassung!$I$6:$I$3665,MATCH(INDEX(Zeiterfassung!$K$6:$K$3665,$K1745),Zeiterfassung!$K$6:$K$3665,0))))</f>
        <v/>
      </c>
      <c r="J1745" s="335">
        <f>IF(B1745=B1744,"",IF($K1745="","",INDEX(Zeiterfassung!$J$6:$J$3665,MATCH(INDEX(Zeiterfassung!$K$6:$K$3665,$K1745),Zeiterfassung!$K$6:$K$3665,0))))</f>
        <v/>
      </c>
      <c r="K1745">
        <f>IFERROR(AGGREGATE(15,6,(ROW(Zeiterfassung!$D$6:$D$3665)-ROW(Zeiterfassung!$D$6)+1)/(Zeiterfassung!$D$6:$D$3665&lt;&gt;""),1740),"")</f>
        <v/>
      </c>
    </row>
    <row r="1746" ht="20" customHeight="1">
      <c r="A1746" s="183">
        <f>IF($K1746="","",WEEKNUM(INDEX(Zeiterfassung!$K$6:$K$3665,$K1746),21))</f>
        <v/>
      </c>
      <c r="B1746" s="184">
        <f>IF($K1746="","",INDEX(Zeiterfassung!$K$6:$K$3665,$K1746))</f>
        <v/>
      </c>
      <c r="C1746" s="185">
        <f>IF($K1746="","",INDEX(Zeiterfassung!$K$6:$K$3665,$K1746))</f>
        <v/>
      </c>
      <c r="D1746" s="186">
        <f>IF($K1746="","",INDEX(Zeiterfassung!$D$6:$D$3665,$K1746))</f>
        <v/>
      </c>
      <c r="E1746" s="186">
        <f>IF($K1746="","",INDEX(Zeiterfassung!$E$6:$E$3665,$K1746))</f>
        <v/>
      </c>
      <c r="F1746" s="187">
        <f>IF($K1746="","",INDEX(Zeiterfassung!$F$6:$F$3665,$K1746))</f>
        <v/>
      </c>
      <c r="G1746" s="187">
        <f>IF($K1746="","",INDEX(Zeiterfassung!$G$6:$G$3665,$K1746))</f>
        <v/>
      </c>
      <c r="H1746" s="188">
        <f>IF($K1746="","",INDEX(Zeiterfassung!$H$6:$H$3665,$K1746))</f>
        <v/>
      </c>
      <c r="I1746" s="335">
        <f>IF(B1746=B1745,"",IF($K1746="","",INDEX(Zeiterfassung!$I$6:$I$3665,MATCH(INDEX(Zeiterfassung!$K$6:$K$3665,$K1746),Zeiterfassung!$K$6:$K$3665,0))))</f>
        <v/>
      </c>
      <c r="J1746" s="335">
        <f>IF(B1746=B1745,"",IF($K1746="","",INDEX(Zeiterfassung!$J$6:$J$3665,MATCH(INDEX(Zeiterfassung!$K$6:$K$3665,$K1746),Zeiterfassung!$K$6:$K$3665,0))))</f>
        <v/>
      </c>
      <c r="K1746">
        <f>IFERROR(AGGREGATE(15,6,(ROW(Zeiterfassung!$D$6:$D$3665)-ROW(Zeiterfassung!$D$6)+1)/(Zeiterfassung!$D$6:$D$3665&lt;&gt;""),1741),"")</f>
        <v/>
      </c>
    </row>
    <row r="1747" ht="20" customHeight="1">
      <c r="A1747" s="183">
        <f>IF($K1747="","",WEEKNUM(INDEX(Zeiterfassung!$K$6:$K$3665,$K1747),21))</f>
        <v/>
      </c>
      <c r="B1747" s="184">
        <f>IF($K1747="","",INDEX(Zeiterfassung!$K$6:$K$3665,$K1747))</f>
        <v/>
      </c>
      <c r="C1747" s="185">
        <f>IF($K1747="","",INDEX(Zeiterfassung!$K$6:$K$3665,$K1747))</f>
        <v/>
      </c>
      <c r="D1747" s="186">
        <f>IF($K1747="","",INDEX(Zeiterfassung!$D$6:$D$3665,$K1747))</f>
        <v/>
      </c>
      <c r="E1747" s="186">
        <f>IF($K1747="","",INDEX(Zeiterfassung!$E$6:$E$3665,$K1747))</f>
        <v/>
      </c>
      <c r="F1747" s="187">
        <f>IF($K1747="","",INDEX(Zeiterfassung!$F$6:$F$3665,$K1747))</f>
        <v/>
      </c>
      <c r="G1747" s="187">
        <f>IF($K1747="","",INDEX(Zeiterfassung!$G$6:$G$3665,$K1747))</f>
        <v/>
      </c>
      <c r="H1747" s="188">
        <f>IF($K1747="","",INDEX(Zeiterfassung!$H$6:$H$3665,$K1747))</f>
        <v/>
      </c>
      <c r="I1747" s="335">
        <f>IF(B1747=B1746,"",IF($K1747="","",INDEX(Zeiterfassung!$I$6:$I$3665,MATCH(INDEX(Zeiterfassung!$K$6:$K$3665,$K1747),Zeiterfassung!$K$6:$K$3665,0))))</f>
        <v/>
      </c>
      <c r="J1747" s="335">
        <f>IF(B1747=B1746,"",IF($K1747="","",INDEX(Zeiterfassung!$J$6:$J$3665,MATCH(INDEX(Zeiterfassung!$K$6:$K$3665,$K1747),Zeiterfassung!$K$6:$K$3665,0))))</f>
        <v/>
      </c>
      <c r="K1747">
        <f>IFERROR(AGGREGATE(15,6,(ROW(Zeiterfassung!$D$6:$D$3665)-ROW(Zeiterfassung!$D$6)+1)/(Zeiterfassung!$D$6:$D$3665&lt;&gt;""),1742),"")</f>
        <v/>
      </c>
    </row>
    <row r="1748" ht="20" customHeight="1">
      <c r="A1748" s="183">
        <f>IF($K1748="","",WEEKNUM(INDEX(Zeiterfassung!$K$6:$K$3665,$K1748),21))</f>
        <v/>
      </c>
      <c r="B1748" s="184">
        <f>IF($K1748="","",INDEX(Zeiterfassung!$K$6:$K$3665,$K1748))</f>
        <v/>
      </c>
      <c r="C1748" s="185">
        <f>IF($K1748="","",INDEX(Zeiterfassung!$K$6:$K$3665,$K1748))</f>
        <v/>
      </c>
      <c r="D1748" s="186">
        <f>IF($K1748="","",INDEX(Zeiterfassung!$D$6:$D$3665,$K1748))</f>
        <v/>
      </c>
      <c r="E1748" s="186">
        <f>IF($K1748="","",INDEX(Zeiterfassung!$E$6:$E$3665,$K1748))</f>
        <v/>
      </c>
      <c r="F1748" s="187">
        <f>IF($K1748="","",INDEX(Zeiterfassung!$F$6:$F$3665,$K1748))</f>
        <v/>
      </c>
      <c r="G1748" s="187">
        <f>IF($K1748="","",INDEX(Zeiterfassung!$G$6:$G$3665,$K1748))</f>
        <v/>
      </c>
      <c r="H1748" s="188">
        <f>IF($K1748="","",INDEX(Zeiterfassung!$H$6:$H$3665,$K1748))</f>
        <v/>
      </c>
      <c r="I1748" s="335">
        <f>IF(B1748=B1747,"",IF($K1748="","",INDEX(Zeiterfassung!$I$6:$I$3665,MATCH(INDEX(Zeiterfassung!$K$6:$K$3665,$K1748),Zeiterfassung!$K$6:$K$3665,0))))</f>
        <v/>
      </c>
      <c r="J1748" s="335">
        <f>IF(B1748=B1747,"",IF($K1748="","",INDEX(Zeiterfassung!$J$6:$J$3665,MATCH(INDEX(Zeiterfassung!$K$6:$K$3665,$K1748),Zeiterfassung!$K$6:$K$3665,0))))</f>
        <v/>
      </c>
      <c r="K1748">
        <f>IFERROR(AGGREGATE(15,6,(ROW(Zeiterfassung!$D$6:$D$3665)-ROW(Zeiterfassung!$D$6)+1)/(Zeiterfassung!$D$6:$D$3665&lt;&gt;""),1743),"")</f>
        <v/>
      </c>
    </row>
    <row r="1749" ht="20" customHeight="1">
      <c r="A1749" s="183">
        <f>IF($K1749="","",WEEKNUM(INDEX(Zeiterfassung!$K$6:$K$3665,$K1749),21))</f>
        <v/>
      </c>
      <c r="B1749" s="184">
        <f>IF($K1749="","",INDEX(Zeiterfassung!$K$6:$K$3665,$K1749))</f>
        <v/>
      </c>
      <c r="C1749" s="185">
        <f>IF($K1749="","",INDEX(Zeiterfassung!$K$6:$K$3665,$K1749))</f>
        <v/>
      </c>
      <c r="D1749" s="186">
        <f>IF($K1749="","",INDEX(Zeiterfassung!$D$6:$D$3665,$K1749))</f>
        <v/>
      </c>
      <c r="E1749" s="186">
        <f>IF($K1749="","",INDEX(Zeiterfassung!$E$6:$E$3665,$K1749))</f>
        <v/>
      </c>
      <c r="F1749" s="187">
        <f>IF($K1749="","",INDEX(Zeiterfassung!$F$6:$F$3665,$K1749))</f>
        <v/>
      </c>
      <c r="G1749" s="187">
        <f>IF($K1749="","",INDEX(Zeiterfassung!$G$6:$G$3665,$K1749))</f>
        <v/>
      </c>
      <c r="H1749" s="188">
        <f>IF($K1749="","",INDEX(Zeiterfassung!$H$6:$H$3665,$K1749))</f>
        <v/>
      </c>
      <c r="I1749" s="335">
        <f>IF(B1749=B1748,"",IF($K1749="","",INDEX(Zeiterfassung!$I$6:$I$3665,MATCH(INDEX(Zeiterfassung!$K$6:$K$3665,$K1749),Zeiterfassung!$K$6:$K$3665,0))))</f>
        <v/>
      </c>
      <c r="J1749" s="335">
        <f>IF(B1749=B1748,"",IF($K1749="","",INDEX(Zeiterfassung!$J$6:$J$3665,MATCH(INDEX(Zeiterfassung!$K$6:$K$3665,$K1749),Zeiterfassung!$K$6:$K$3665,0))))</f>
        <v/>
      </c>
      <c r="K1749">
        <f>IFERROR(AGGREGATE(15,6,(ROW(Zeiterfassung!$D$6:$D$3665)-ROW(Zeiterfassung!$D$6)+1)/(Zeiterfassung!$D$6:$D$3665&lt;&gt;""),1744),"")</f>
        <v/>
      </c>
    </row>
    <row r="1750" ht="20" customHeight="1">
      <c r="A1750" s="183">
        <f>IF($K1750="","",WEEKNUM(INDEX(Zeiterfassung!$K$6:$K$3665,$K1750),21))</f>
        <v/>
      </c>
      <c r="B1750" s="184">
        <f>IF($K1750="","",INDEX(Zeiterfassung!$K$6:$K$3665,$K1750))</f>
        <v/>
      </c>
      <c r="C1750" s="185">
        <f>IF($K1750="","",INDEX(Zeiterfassung!$K$6:$K$3665,$K1750))</f>
        <v/>
      </c>
      <c r="D1750" s="186">
        <f>IF($K1750="","",INDEX(Zeiterfassung!$D$6:$D$3665,$K1750))</f>
        <v/>
      </c>
      <c r="E1750" s="186">
        <f>IF($K1750="","",INDEX(Zeiterfassung!$E$6:$E$3665,$K1750))</f>
        <v/>
      </c>
      <c r="F1750" s="187">
        <f>IF($K1750="","",INDEX(Zeiterfassung!$F$6:$F$3665,$K1750))</f>
        <v/>
      </c>
      <c r="G1750" s="187">
        <f>IF($K1750="","",INDEX(Zeiterfassung!$G$6:$G$3665,$K1750))</f>
        <v/>
      </c>
      <c r="H1750" s="188">
        <f>IF($K1750="","",INDEX(Zeiterfassung!$H$6:$H$3665,$K1750))</f>
        <v/>
      </c>
      <c r="I1750" s="335">
        <f>IF(B1750=B1749,"",IF($K1750="","",INDEX(Zeiterfassung!$I$6:$I$3665,MATCH(INDEX(Zeiterfassung!$K$6:$K$3665,$K1750),Zeiterfassung!$K$6:$K$3665,0))))</f>
        <v/>
      </c>
      <c r="J1750" s="335">
        <f>IF(B1750=B1749,"",IF($K1750="","",INDEX(Zeiterfassung!$J$6:$J$3665,MATCH(INDEX(Zeiterfassung!$K$6:$K$3665,$K1750),Zeiterfassung!$K$6:$K$3665,0))))</f>
        <v/>
      </c>
      <c r="K1750">
        <f>IFERROR(AGGREGATE(15,6,(ROW(Zeiterfassung!$D$6:$D$3665)-ROW(Zeiterfassung!$D$6)+1)/(Zeiterfassung!$D$6:$D$3665&lt;&gt;""),1745),"")</f>
        <v/>
      </c>
    </row>
    <row r="1751" ht="20" customHeight="1">
      <c r="A1751" s="183">
        <f>IF($K1751="","",WEEKNUM(INDEX(Zeiterfassung!$K$6:$K$3665,$K1751),21))</f>
        <v/>
      </c>
      <c r="B1751" s="184">
        <f>IF($K1751="","",INDEX(Zeiterfassung!$K$6:$K$3665,$K1751))</f>
        <v/>
      </c>
      <c r="C1751" s="185">
        <f>IF($K1751="","",INDEX(Zeiterfassung!$K$6:$K$3665,$K1751))</f>
        <v/>
      </c>
      <c r="D1751" s="186">
        <f>IF($K1751="","",INDEX(Zeiterfassung!$D$6:$D$3665,$K1751))</f>
        <v/>
      </c>
      <c r="E1751" s="186">
        <f>IF($K1751="","",INDEX(Zeiterfassung!$E$6:$E$3665,$K1751))</f>
        <v/>
      </c>
      <c r="F1751" s="187">
        <f>IF($K1751="","",INDEX(Zeiterfassung!$F$6:$F$3665,$K1751))</f>
        <v/>
      </c>
      <c r="G1751" s="187">
        <f>IF($K1751="","",INDEX(Zeiterfassung!$G$6:$G$3665,$K1751))</f>
        <v/>
      </c>
      <c r="H1751" s="188">
        <f>IF($K1751="","",INDEX(Zeiterfassung!$H$6:$H$3665,$K1751))</f>
        <v/>
      </c>
      <c r="I1751" s="335">
        <f>IF(B1751=B1750,"",IF($K1751="","",INDEX(Zeiterfassung!$I$6:$I$3665,MATCH(INDEX(Zeiterfassung!$K$6:$K$3665,$K1751),Zeiterfassung!$K$6:$K$3665,0))))</f>
        <v/>
      </c>
      <c r="J1751" s="335">
        <f>IF(B1751=B1750,"",IF($K1751="","",INDEX(Zeiterfassung!$J$6:$J$3665,MATCH(INDEX(Zeiterfassung!$K$6:$K$3665,$K1751),Zeiterfassung!$K$6:$K$3665,0))))</f>
        <v/>
      </c>
      <c r="K1751">
        <f>IFERROR(AGGREGATE(15,6,(ROW(Zeiterfassung!$D$6:$D$3665)-ROW(Zeiterfassung!$D$6)+1)/(Zeiterfassung!$D$6:$D$3665&lt;&gt;""),1746),"")</f>
        <v/>
      </c>
    </row>
    <row r="1752" ht="20" customHeight="1">
      <c r="A1752" s="183">
        <f>IF($K1752="","",WEEKNUM(INDEX(Zeiterfassung!$K$6:$K$3665,$K1752),21))</f>
        <v/>
      </c>
      <c r="B1752" s="184">
        <f>IF($K1752="","",INDEX(Zeiterfassung!$K$6:$K$3665,$K1752))</f>
        <v/>
      </c>
      <c r="C1752" s="185">
        <f>IF($K1752="","",INDEX(Zeiterfassung!$K$6:$K$3665,$K1752))</f>
        <v/>
      </c>
      <c r="D1752" s="186">
        <f>IF($K1752="","",INDEX(Zeiterfassung!$D$6:$D$3665,$K1752))</f>
        <v/>
      </c>
      <c r="E1752" s="186">
        <f>IF($K1752="","",INDEX(Zeiterfassung!$E$6:$E$3665,$K1752))</f>
        <v/>
      </c>
      <c r="F1752" s="187">
        <f>IF($K1752="","",INDEX(Zeiterfassung!$F$6:$F$3665,$K1752))</f>
        <v/>
      </c>
      <c r="G1752" s="187">
        <f>IF($K1752="","",INDEX(Zeiterfassung!$G$6:$G$3665,$K1752))</f>
        <v/>
      </c>
      <c r="H1752" s="188">
        <f>IF($K1752="","",INDEX(Zeiterfassung!$H$6:$H$3665,$K1752))</f>
        <v/>
      </c>
      <c r="I1752" s="335">
        <f>IF(B1752=B1751,"",IF($K1752="","",INDEX(Zeiterfassung!$I$6:$I$3665,MATCH(INDEX(Zeiterfassung!$K$6:$K$3665,$K1752),Zeiterfassung!$K$6:$K$3665,0))))</f>
        <v/>
      </c>
      <c r="J1752" s="335">
        <f>IF(B1752=B1751,"",IF($K1752="","",INDEX(Zeiterfassung!$J$6:$J$3665,MATCH(INDEX(Zeiterfassung!$K$6:$K$3665,$K1752),Zeiterfassung!$K$6:$K$3665,0))))</f>
        <v/>
      </c>
      <c r="K1752">
        <f>IFERROR(AGGREGATE(15,6,(ROW(Zeiterfassung!$D$6:$D$3665)-ROW(Zeiterfassung!$D$6)+1)/(Zeiterfassung!$D$6:$D$3665&lt;&gt;""),1747),"")</f>
        <v/>
      </c>
    </row>
    <row r="1753" ht="20" customHeight="1">
      <c r="A1753" s="183">
        <f>IF($K1753="","",WEEKNUM(INDEX(Zeiterfassung!$K$6:$K$3665,$K1753),21))</f>
        <v/>
      </c>
      <c r="B1753" s="184">
        <f>IF($K1753="","",INDEX(Zeiterfassung!$K$6:$K$3665,$K1753))</f>
        <v/>
      </c>
      <c r="C1753" s="185">
        <f>IF($K1753="","",INDEX(Zeiterfassung!$K$6:$K$3665,$K1753))</f>
        <v/>
      </c>
      <c r="D1753" s="186">
        <f>IF($K1753="","",INDEX(Zeiterfassung!$D$6:$D$3665,$K1753))</f>
        <v/>
      </c>
      <c r="E1753" s="186">
        <f>IF($K1753="","",INDEX(Zeiterfassung!$E$6:$E$3665,$K1753))</f>
        <v/>
      </c>
      <c r="F1753" s="187">
        <f>IF($K1753="","",INDEX(Zeiterfassung!$F$6:$F$3665,$K1753))</f>
        <v/>
      </c>
      <c r="G1753" s="187">
        <f>IF($K1753="","",INDEX(Zeiterfassung!$G$6:$G$3665,$K1753))</f>
        <v/>
      </c>
      <c r="H1753" s="188">
        <f>IF($K1753="","",INDEX(Zeiterfassung!$H$6:$H$3665,$K1753))</f>
        <v/>
      </c>
      <c r="I1753" s="335">
        <f>IF(B1753=B1752,"",IF($K1753="","",INDEX(Zeiterfassung!$I$6:$I$3665,MATCH(INDEX(Zeiterfassung!$K$6:$K$3665,$K1753),Zeiterfassung!$K$6:$K$3665,0))))</f>
        <v/>
      </c>
      <c r="J1753" s="335">
        <f>IF(B1753=B1752,"",IF($K1753="","",INDEX(Zeiterfassung!$J$6:$J$3665,MATCH(INDEX(Zeiterfassung!$K$6:$K$3665,$K1753),Zeiterfassung!$K$6:$K$3665,0))))</f>
        <v/>
      </c>
      <c r="K1753">
        <f>IFERROR(AGGREGATE(15,6,(ROW(Zeiterfassung!$D$6:$D$3665)-ROW(Zeiterfassung!$D$6)+1)/(Zeiterfassung!$D$6:$D$3665&lt;&gt;""),1748),"")</f>
        <v/>
      </c>
    </row>
    <row r="1754" ht="20" customHeight="1">
      <c r="A1754" s="183">
        <f>IF($K1754="","",WEEKNUM(INDEX(Zeiterfassung!$K$6:$K$3665,$K1754),21))</f>
        <v/>
      </c>
      <c r="B1754" s="184">
        <f>IF($K1754="","",INDEX(Zeiterfassung!$K$6:$K$3665,$K1754))</f>
        <v/>
      </c>
      <c r="C1754" s="185">
        <f>IF($K1754="","",INDEX(Zeiterfassung!$K$6:$K$3665,$K1754))</f>
        <v/>
      </c>
      <c r="D1754" s="186">
        <f>IF($K1754="","",INDEX(Zeiterfassung!$D$6:$D$3665,$K1754))</f>
        <v/>
      </c>
      <c r="E1754" s="186">
        <f>IF($K1754="","",INDEX(Zeiterfassung!$E$6:$E$3665,$K1754))</f>
        <v/>
      </c>
      <c r="F1754" s="187">
        <f>IF($K1754="","",INDEX(Zeiterfassung!$F$6:$F$3665,$K1754))</f>
        <v/>
      </c>
      <c r="G1754" s="187">
        <f>IF($K1754="","",INDEX(Zeiterfassung!$G$6:$G$3665,$K1754))</f>
        <v/>
      </c>
      <c r="H1754" s="188">
        <f>IF($K1754="","",INDEX(Zeiterfassung!$H$6:$H$3665,$K1754))</f>
        <v/>
      </c>
      <c r="I1754" s="335">
        <f>IF(B1754=B1753,"",IF($K1754="","",INDEX(Zeiterfassung!$I$6:$I$3665,MATCH(INDEX(Zeiterfassung!$K$6:$K$3665,$K1754),Zeiterfassung!$K$6:$K$3665,0))))</f>
        <v/>
      </c>
      <c r="J1754" s="335">
        <f>IF(B1754=B1753,"",IF($K1754="","",INDEX(Zeiterfassung!$J$6:$J$3665,MATCH(INDEX(Zeiterfassung!$K$6:$K$3665,$K1754),Zeiterfassung!$K$6:$K$3665,0))))</f>
        <v/>
      </c>
      <c r="K1754">
        <f>IFERROR(AGGREGATE(15,6,(ROW(Zeiterfassung!$D$6:$D$3665)-ROW(Zeiterfassung!$D$6)+1)/(Zeiterfassung!$D$6:$D$3665&lt;&gt;""),1749),"")</f>
        <v/>
      </c>
    </row>
    <row r="1755" ht="20" customHeight="1">
      <c r="A1755" s="183">
        <f>IF($K1755="","",WEEKNUM(INDEX(Zeiterfassung!$K$6:$K$3665,$K1755),21))</f>
        <v/>
      </c>
      <c r="B1755" s="184">
        <f>IF($K1755="","",INDEX(Zeiterfassung!$K$6:$K$3665,$K1755))</f>
        <v/>
      </c>
      <c r="C1755" s="185">
        <f>IF($K1755="","",INDEX(Zeiterfassung!$K$6:$K$3665,$K1755))</f>
        <v/>
      </c>
      <c r="D1755" s="186">
        <f>IF($K1755="","",INDEX(Zeiterfassung!$D$6:$D$3665,$K1755))</f>
        <v/>
      </c>
      <c r="E1755" s="186">
        <f>IF($K1755="","",INDEX(Zeiterfassung!$E$6:$E$3665,$K1755))</f>
        <v/>
      </c>
      <c r="F1755" s="187">
        <f>IF($K1755="","",INDEX(Zeiterfassung!$F$6:$F$3665,$K1755))</f>
        <v/>
      </c>
      <c r="G1755" s="187">
        <f>IF($K1755="","",INDEX(Zeiterfassung!$G$6:$G$3665,$K1755))</f>
        <v/>
      </c>
      <c r="H1755" s="188">
        <f>IF($K1755="","",INDEX(Zeiterfassung!$H$6:$H$3665,$K1755))</f>
        <v/>
      </c>
      <c r="I1755" s="335">
        <f>IF(B1755=B1754,"",IF($K1755="","",INDEX(Zeiterfassung!$I$6:$I$3665,MATCH(INDEX(Zeiterfassung!$K$6:$K$3665,$K1755),Zeiterfassung!$K$6:$K$3665,0))))</f>
        <v/>
      </c>
      <c r="J1755" s="335">
        <f>IF(B1755=B1754,"",IF($K1755="","",INDEX(Zeiterfassung!$J$6:$J$3665,MATCH(INDEX(Zeiterfassung!$K$6:$K$3665,$K1755),Zeiterfassung!$K$6:$K$3665,0))))</f>
        <v/>
      </c>
      <c r="K1755">
        <f>IFERROR(AGGREGATE(15,6,(ROW(Zeiterfassung!$D$6:$D$3665)-ROW(Zeiterfassung!$D$6)+1)/(Zeiterfassung!$D$6:$D$3665&lt;&gt;""),1750),"")</f>
        <v/>
      </c>
    </row>
    <row r="1756" ht="20" customHeight="1">
      <c r="A1756" s="183">
        <f>IF($K1756="","",WEEKNUM(INDEX(Zeiterfassung!$K$6:$K$3665,$K1756),21))</f>
        <v/>
      </c>
      <c r="B1756" s="184">
        <f>IF($K1756="","",INDEX(Zeiterfassung!$K$6:$K$3665,$K1756))</f>
        <v/>
      </c>
      <c r="C1756" s="185">
        <f>IF($K1756="","",INDEX(Zeiterfassung!$K$6:$K$3665,$K1756))</f>
        <v/>
      </c>
      <c r="D1756" s="186">
        <f>IF($K1756="","",INDEX(Zeiterfassung!$D$6:$D$3665,$K1756))</f>
        <v/>
      </c>
      <c r="E1756" s="186">
        <f>IF($K1756="","",INDEX(Zeiterfassung!$E$6:$E$3665,$K1756))</f>
        <v/>
      </c>
      <c r="F1756" s="187">
        <f>IF($K1756="","",INDEX(Zeiterfassung!$F$6:$F$3665,$K1756))</f>
        <v/>
      </c>
      <c r="G1756" s="187">
        <f>IF($K1756="","",INDEX(Zeiterfassung!$G$6:$G$3665,$K1756))</f>
        <v/>
      </c>
      <c r="H1756" s="188">
        <f>IF($K1756="","",INDEX(Zeiterfassung!$H$6:$H$3665,$K1756))</f>
        <v/>
      </c>
      <c r="I1756" s="335">
        <f>IF(B1756=B1755,"",IF($K1756="","",INDEX(Zeiterfassung!$I$6:$I$3665,MATCH(INDEX(Zeiterfassung!$K$6:$K$3665,$K1756),Zeiterfassung!$K$6:$K$3665,0))))</f>
        <v/>
      </c>
      <c r="J1756" s="335">
        <f>IF(B1756=B1755,"",IF($K1756="","",INDEX(Zeiterfassung!$J$6:$J$3665,MATCH(INDEX(Zeiterfassung!$K$6:$K$3665,$K1756),Zeiterfassung!$K$6:$K$3665,0))))</f>
        <v/>
      </c>
      <c r="K1756">
        <f>IFERROR(AGGREGATE(15,6,(ROW(Zeiterfassung!$D$6:$D$3665)-ROW(Zeiterfassung!$D$6)+1)/(Zeiterfassung!$D$6:$D$3665&lt;&gt;""),1751),"")</f>
        <v/>
      </c>
    </row>
    <row r="1757" ht="20" customHeight="1">
      <c r="A1757" s="183">
        <f>IF($K1757="","",WEEKNUM(INDEX(Zeiterfassung!$K$6:$K$3665,$K1757),21))</f>
        <v/>
      </c>
      <c r="B1757" s="184">
        <f>IF($K1757="","",INDEX(Zeiterfassung!$K$6:$K$3665,$K1757))</f>
        <v/>
      </c>
      <c r="C1757" s="185">
        <f>IF($K1757="","",INDEX(Zeiterfassung!$K$6:$K$3665,$K1757))</f>
        <v/>
      </c>
      <c r="D1757" s="186">
        <f>IF($K1757="","",INDEX(Zeiterfassung!$D$6:$D$3665,$K1757))</f>
        <v/>
      </c>
      <c r="E1757" s="186">
        <f>IF($K1757="","",INDEX(Zeiterfassung!$E$6:$E$3665,$K1757))</f>
        <v/>
      </c>
      <c r="F1757" s="187">
        <f>IF($K1757="","",INDEX(Zeiterfassung!$F$6:$F$3665,$K1757))</f>
        <v/>
      </c>
      <c r="G1757" s="187">
        <f>IF($K1757="","",INDEX(Zeiterfassung!$G$6:$G$3665,$K1757))</f>
        <v/>
      </c>
      <c r="H1757" s="188">
        <f>IF($K1757="","",INDEX(Zeiterfassung!$H$6:$H$3665,$K1757))</f>
        <v/>
      </c>
      <c r="I1757" s="335">
        <f>IF(B1757=B1756,"",IF($K1757="","",INDEX(Zeiterfassung!$I$6:$I$3665,MATCH(INDEX(Zeiterfassung!$K$6:$K$3665,$K1757),Zeiterfassung!$K$6:$K$3665,0))))</f>
        <v/>
      </c>
      <c r="J1757" s="335">
        <f>IF(B1757=B1756,"",IF($K1757="","",INDEX(Zeiterfassung!$J$6:$J$3665,MATCH(INDEX(Zeiterfassung!$K$6:$K$3665,$K1757),Zeiterfassung!$K$6:$K$3665,0))))</f>
        <v/>
      </c>
      <c r="K1757">
        <f>IFERROR(AGGREGATE(15,6,(ROW(Zeiterfassung!$D$6:$D$3665)-ROW(Zeiterfassung!$D$6)+1)/(Zeiterfassung!$D$6:$D$3665&lt;&gt;""),1752),"")</f>
        <v/>
      </c>
    </row>
    <row r="1758" ht="20" customHeight="1">
      <c r="A1758" s="183">
        <f>IF($K1758="","",WEEKNUM(INDEX(Zeiterfassung!$K$6:$K$3665,$K1758),21))</f>
        <v/>
      </c>
      <c r="B1758" s="184">
        <f>IF($K1758="","",INDEX(Zeiterfassung!$K$6:$K$3665,$K1758))</f>
        <v/>
      </c>
      <c r="C1758" s="185">
        <f>IF($K1758="","",INDEX(Zeiterfassung!$K$6:$K$3665,$K1758))</f>
        <v/>
      </c>
      <c r="D1758" s="186">
        <f>IF($K1758="","",INDEX(Zeiterfassung!$D$6:$D$3665,$K1758))</f>
        <v/>
      </c>
      <c r="E1758" s="186">
        <f>IF($K1758="","",INDEX(Zeiterfassung!$E$6:$E$3665,$K1758))</f>
        <v/>
      </c>
      <c r="F1758" s="187">
        <f>IF($K1758="","",INDEX(Zeiterfassung!$F$6:$F$3665,$K1758))</f>
        <v/>
      </c>
      <c r="G1758" s="187">
        <f>IF($K1758="","",INDEX(Zeiterfassung!$G$6:$G$3665,$K1758))</f>
        <v/>
      </c>
      <c r="H1758" s="188">
        <f>IF($K1758="","",INDEX(Zeiterfassung!$H$6:$H$3665,$K1758))</f>
        <v/>
      </c>
      <c r="I1758" s="335">
        <f>IF(B1758=B1757,"",IF($K1758="","",INDEX(Zeiterfassung!$I$6:$I$3665,MATCH(INDEX(Zeiterfassung!$K$6:$K$3665,$K1758),Zeiterfassung!$K$6:$K$3665,0))))</f>
        <v/>
      </c>
      <c r="J1758" s="335">
        <f>IF(B1758=B1757,"",IF($K1758="","",INDEX(Zeiterfassung!$J$6:$J$3665,MATCH(INDEX(Zeiterfassung!$K$6:$K$3665,$K1758),Zeiterfassung!$K$6:$K$3665,0))))</f>
        <v/>
      </c>
      <c r="K1758">
        <f>IFERROR(AGGREGATE(15,6,(ROW(Zeiterfassung!$D$6:$D$3665)-ROW(Zeiterfassung!$D$6)+1)/(Zeiterfassung!$D$6:$D$3665&lt;&gt;""),1753),"")</f>
        <v/>
      </c>
    </row>
    <row r="1759" ht="20" customHeight="1">
      <c r="A1759" s="183">
        <f>IF($K1759="","",WEEKNUM(INDEX(Zeiterfassung!$K$6:$K$3665,$K1759),21))</f>
        <v/>
      </c>
      <c r="B1759" s="184">
        <f>IF($K1759="","",INDEX(Zeiterfassung!$K$6:$K$3665,$K1759))</f>
        <v/>
      </c>
      <c r="C1759" s="185">
        <f>IF($K1759="","",INDEX(Zeiterfassung!$K$6:$K$3665,$K1759))</f>
        <v/>
      </c>
      <c r="D1759" s="186">
        <f>IF($K1759="","",INDEX(Zeiterfassung!$D$6:$D$3665,$K1759))</f>
        <v/>
      </c>
      <c r="E1759" s="186">
        <f>IF($K1759="","",INDEX(Zeiterfassung!$E$6:$E$3665,$K1759))</f>
        <v/>
      </c>
      <c r="F1759" s="187">
        <f>IF($K1759="","",INDEX(Zeiterfassung!$F$6:$F$3665,$K1759))</f>
        <v/>
      </c>
      <c r="G1759" s="187">
        <f>IF($K1759="","",INDEX(Zeiterfassung!$G$6:$G$3665,$K1759))</f>
        <v/>
      </c>
      <c r="H1759" s="188">
        <f>IF($K1759="","",INDEX(Zeiterfassung!$H$6:$H$3665,$K1759))</f>
        <v/>
      </c>
      <c r="I1759" s="335">
        <f>IF(B1759=B1758,"",IF($K1759="","",INDEX(Zeiterfassung!$I$6:$I$3665,MATCH(INDEX(Zeiterfassung!$K$6:$K$3665,$K1759),Zeiterfassung!$K$6:$K$3665,0))))</f>
        <v/>
      </c>
      <c r="J1759" s="335">
        <f>IF(B1759=B1758,"",IF($K1759="","",INDEX(Zeiterfassung!$J$6:$J$3665,MATCH(INDEX(Zeiterfassung!$K$6:$K$3665,$K1759),Zeiterfassung!$K$6:$K$3665,0))))</f>
        <v/>
      </c>
      <c r="K1759">
        <f>IFERROR(AGGREGATE(15,6,(ROW(Zeiterfassung!$D$6:$D$3665)-ROW(Zeiterfassung!$D$6)+1)/(Zeiterfassung!$D$6:$D$3665&lt;&gt;""),1754),"")</f>
        <v/>
      </c>
    </row>
    <row r="1760" ht="20" customHeight="1">
      <c r="A1760" s="183">
        <f>IF($K1760="","",WEEKNUM(INDEX(Zeiterfassung!$K$6:$K$3665,$K1760),21))</f>
        <v/>
      </c>
      <c r="B1760" s="184">
        <f>IF($K1760="","",INDEX(Zeiterfassung!$K$6:$K$3665,$K1760))</f>
        <v/>
      </c>
      <c r="C1760" s="185">
        <f>IF($K1760="","",INDEX(Zeiterfassung!$K$6:$K$3665,$K1760))</f>
        <v/>
      </c>
      <c r="D1760" s="186">
        <f>IF($K1760="","",INDEX(Zeiterfassung!$D$6:$D$3665,$K1760))</f>
        <v/>
      </c>
      <c r="E1760" s="186">
        <f>IF($K1760="","",INDEX(Zeiterfassung!$E$6:$E$3665,$K1760))</f>
        <v/>
      </c>
      <c r="F1760" s="187">
        <f>IF($K1760="","",INDEX(Zeiterfassung!$F$6:$F$3665,$K1760))</f>
        <v/>
      </c>
      <c r="G1760" s="187">
        <f>IF($K1760="","",INDEX(Zeiterfassung!$G$6:$G$3665,$K1760))</f>
        <v/>
      </c>
      <c r="H1760" s="188">
        <f>IF($K1760="","",INDEX(Zeiterfassung!$H$6:$H$3665,$K1760))</f>
        <v/>
      </c>
      <c r="I1760" s="335">
        <f>IF(B1760=B1759,"",IF($K1760="","",INDEX(Zeiterfassung!$I$6:$I$3665,MATCH(INDEX(Zeiterfassung!$K$6:$K$3665,$K1760),Zeiterfassung!$K$6:$K$3665,0))))</f>
        <v/>
      </c>
      <c r="J1760" s="335">
        <f>IF(B1760=B1759,"",IF($K1760="","",INDEX(Zeiterfassung!$J$6:$J$3665,MATCH(INDEX(Zeiterfassung!$K$6:$K$3665,$K1760),Zeiterfassung!$K$6:$K$3665,0))))</f>
        <v/>
      </c>
      <c r="K1760">
        <f>IFERROR(AGGREGATE(15,6,(ROW(Zeiterfassung!$D$6:$D$3665)-ROW(Zeiterfassung!$D$6)+1)/(Zeiterfassung!$D$6:$D$3665&lt;&gt;""),1755),"")</f>
        <v/>
      </c>
    </row>
    <row r="1761" ht="20" customHeight="1">
      <c r="A1761" s="183">
        <f>IF($K1761="","",WEEKNUM(INDEX(Zeiterfassung!$K$6:$K$3665,$K1761),21))</f>
        <v/>
      </c>
      <c r="B1761" s="184">
        <f>IF($K1761="","",INDEX(Zeiterfassung!$K$6:$K$3665,$K1761))</f>
        <v/>
      </c>
      <c r="C1761" s="185">
        <f>IF($K1761="","",INDEX(Zeiterfassung!$K$6:$K$3665,$K1761))</f>
        <v/>
      </c>
      <c r="D1761" s="186">
        <f>IF($K1761="","",INDEX(Zeiterfassung!$D$6:$D$3665,$K1761))</f>
        <v/>
      </c>
      <c r="E1761" s="186">
        <f>IF($K1761="","",INDEX(Zeiterfassung!$E$6:$E$3665,$K1761))</f>
        <v/>
      </c>
      <c r="F1761" s="187">
        <f>IF($K1761="","",INDEX(Zeiterfassung!$F$6:$F$3665,$K1761))</f>
        <v/>
      </c>
      <c r="G1761" s="187">
        <f>IF($K1761="","",INDEX(Zeiterfassung!$G$6:$G$3665,$K1761))</f>
        <v/>
      </c>
      <c r="H1761" s="188">
        <f>IF($K1761="","",INDEX(Zeiterfassung!$H$6:$H$3665,$K1761))</f>
        <v/>
      </c>
      <c r="I1761" s="335">
        <f>IF(B1761=B1760,"",IF($K1761="","",INDEX(Zeiterfassung!$I$6:$I$3665,MATCH(INDEX(Zeiterfassung!$K$6:$K$3665,$K1761),Zeiterfassung!$K$6:$K$3665,0))))</f>
        <v/>
      </c>
      <c r="J1761" s="335">
        <f>IF(B1761=B1760,"",IF($K1761="","",INDEX(Zeiterfassung!$J$6:$J$3665,MATCH(INDEX(Zeiterfassung!$K$6:$K$3665,$K1761),Zeiterfassung!$K$6:$K$3665,0))))</f>
        <v/>
      </c>
      <c r="K1761">
        <f>IFERROR(AGGREGATE(15,6,(ROW(Zeiterfassung!$D$6:$D$3665)-ROW(Zeiterfassung!$D$6)+1)/(Zeiterfassung!$D$6:$D$3665&lt;&gt;""),1756),"")</f>
        <v/>
      </c>
    </row>
    <row r="1762" ht="20" customHeight="1">
      <c r="A1762" s="183">
        <f>IF($K1762="","",WEEKNUM(INDEX(Zeiterfassung!$K$6:$K$3665,$K1762),21))</f>
        <v/>
      </c>
      <c r="B1762" s="184">
        <f>IF($K1762="","",INDEX(Zeiterfassung!$K$6:$K$3665,$K1762))</f>
        <v/>
      </c>
      <c r="C1762" s="185">
        <f>IF($K1762="","",INDEX(Zeiterfassung!$K$6:$K$3665,$K1762))</f>
        <v/>
      </c>
      <c r="D1762" s="186">
        <f>IF($K1762="","",INDEX(Zeiterfassung!$D$6:$D$3665,$K1762))</f>
        <v/>
      </c>
      <c r="E1762" s="186">
        <f>IF($K1762="","",INDEX(Zeiterfassung!$E$6:$E$3665,$K1762))</f>
        <v/>
      </c>
      <c r="F1762" s="187">
        <f>IF($K1762="","",INDEX(Zeiterfassung!$F$6:$F$3665,$K1762))</f>
        <v/>
      </c>
      <c r="G1762" s="187">
        <f>IF($K1762="","",INDEX(Zeiterfassung!$G$6:$G$3665,$K1762))</f>
        <v/>
      </c>
      <c r="H1762" s="188">
        <f>IF($K1762="","",INDEX(Zeiterfassung!$H$6:$H$3665,$K1762))</f>
        <v/>
      </c>
      <c r="I1762" s="335">
        <f>IF(B1762=B1761,"",IF($K1762="","",INDEX(Zeiterfassung!$I$6:$I$3665,MATCH(INDEX(Zeiterfassung!$K$6:$K$3665,$K1762),Zeiterfassung!$K$6:$K$3665,0))))</f>
        <v/>
      </c>
      <c r="J1762" s="335">
        <f>IF(B1762=B1761,"",IF($K1762="","",INDEX(Zeiterfassung!$J$6:$J$3665,MATCH(INDEX(Zeiterfassung!$K$6:$K$3665,$K1762),Zeiterfassung!$K$6:$K$3665,0))))</f>
        <v/>
      </c>
      <c r="K1762">
        <f>IFERROR(AGGREGATE(15,6,(ROW(Zeiterfassung!$D$6:$D$3665)-ROW(Zeiterfassung!$D$6)+1)/(Zeiterfassung!$D$6:$D$3665&lt;&gt;""),1757),"")</f>
        <v/>
      </c>
    </row>
    <row r="1763" ht="20" customHeight="1">
      <c r="A1763" s="183">
        <f>IF($K1763="","",WEEKNUM(INDEX(Zeiterfassung!$K$6:$K$3665,$K1763),21))</f>
        <v/>
      </c>
      <c r="B1763" s="184">
        <f>IF($K1763="","",INDEX(Zeiterfassung!$K$6:$K$3665,$K1763))</f>
        <v/>
      </c>
      <c r="C1763" s="185">
        <f>IF($K1763="","",INDEX(Zeiterfassung!$K$6:$K$3665,$K1763))</f>
        <v/>
      </c>
      <c r="D1763" s="186">
        <f>IF($K1763="","",INDEX(Zeiterfassung!$D$6:$D$3665,$K1763))</f>
        <v/>
      </c>
      <c r="E1763" s="186">
        <f>IF($K1763="","",INDEX(Zeiterfassung!$E$6:$E$3665,$K1763))</f>
        <v/>
      </c>
      <c r="F1763" s="187">
        <f>IF($K1763="","",INDEX(Zeiterfassung!$F$6:$F$3665,$K1763))</f>
        <v/>
      </c>
      <c r="G1763" s="187">
        <f>IF($K1763="","",INDEX(Zeiterfassung!$G$6:$G$3665,$K1763))</f>
        <v/>
      </c>
      <c r="H1763" s="188">
        <f>IF($K1763="","",INDEX(Zeiterfassung!$H$6:$H$3665,$K1763))</f>
        <v/>
      </c>
      <c r="I1763" s="335">
        <f>IF(B1763=B1762,"",IF($K1763="","",INDEX(Zeiterfassung!$I$6:$I$3665,MATCH(INDEX(Zeiterfassung!$K$6:$K$3665,$K1763),Zeiterfassung!$K$6:$K$3665,0))))</f>
        <v/>
      </c>
      <c r="J1763" s="335">
        <f>IF(B1763=B1762,"",IF($K1763="","",INDEX(Zeiterfassung!$J$6:$J$3665,MATCH(INDEX(Zeiterfassung!$K$6:$K$3665,$K1763),Zeiterfassung!$K$6:$K$3665,0))))</f>
        <v/>
      </c>
      <c r="K1763">
        <f>IFERROR(AGGREGATE(15,6,(ROW(Zeiterfassung!$D$6:$D$3665)-ROW(Zeiterfassung!$D$6)+1)/(Zeiterfassung!$D$6:$D$3665&lt;&gt;""),1758),"")</f>
        <v/>
      </c>
    </row>
    <row r="1764" ht="20" customHeight="1">
      <c r="A1764" s="183">
        <f>IF($K1764="","",WEEKNUM(INDEX(Zeiterfassung!$K$6:$K$3665,$K1764),21))</f>
        <v/>
      </c>
      <c r="B1764" s="184">
        <f>IF($K1764="","",INDEX(Zeiterfassung!$K$6:$K$3665,$K1764))</f>
        <v/>
      </c>
      <c r="C1764" s="185">
        <f>IF($K1764="","",INDEX(Zeiterfassung!$K$6:$K$3665,$K1764))</f>
        <v/>
      </c>
      <c r="D1764" s="186">
        <f>IF($K1764="","",INDEX(Zeiterfassung!$D$6:$D$3665,$K1764))</f>
        <v/>
      </c>
      <c r="E1764" s="186">
        <f>IF($K1764="","",INDEX(Zeiterfassung!$E$6:$E$3665,$K1764))</f>
        <v/>
      </c>
      <c r="F1764" s="187">
        <f>IF($K1764="","",INDEX(Zeiterfassung!$F$6:$F$3665,$K1764))</f>
        <v/>
      </c>
      <c r="G1764" s="187">
        <f>IF($K1764="","",INDEX(Zeiterfassung!$G$6:$G$3665,$K1764))</f>
        <v/>
      </c>
      <c r="H1764" s="188">
        <f>IF($K1764="","",INDEX(Zeiterfassung!$H$6:$H$3665,$K1764))</f>
        <v/>
      </c>
      <c r="I1764" s="335">
        <f>IF(B1764=B1763,"",IF($K1764="","",INDEX(Zeiterfassung!$I$6:$I$3665,MATCH(INDEX(Zeiterfassung!$K$6:$K$3665,$K1764),Zeiterfassung!$K$6:$K$3665,0))))</f>
        <v/>
      </c>
      <c r="J1764" s="335">
        <f>IF(B1764=B1763,"",IF($K1764="","",INDEX(Zeiterfassung!$J$6:$J$3665,MATCH(INDEX(Zeiterfassung!$K$6:$K$3665,$K1764),Zeiterfassung!$K$6:$K$3665,0))))</f>
        <v/>
      </c>
      <c r="K1764">
        <f>IFERROR(AGGREGATE(15,6,(ROW(Zeiterfassung!$D$6:$D$3665)-ROW(Zeiterfassung!$D$6)+1)/(Zeiterfassung!$D$6:$D$3665&lt;&gt;""),1759),"")</f>
        <v/>
      </c>
    </row>
    <row r="1765" ht="20" customHeight="1">
      <c r="A1765" s="183">
        <f>IF($K1765="","",WEEKNUM(INDEX(Zeiterfassung!$K$6:$K$3665,$K1765),21))</f>
        <v/>
      </c>
      <c r="B1765" s="184">
        <f>IF($K1765="","",INDEX(Zeiterfassung!$K$6:$K$3665,$K1765))</f>
        <v/>
      </c>
      <c r="C1765" s="185">
        <f>IF($K1765="","",INDEX(Zeiterfassung!$K$6:$K$3665,$K1765))</f>
        <v/>
      </c>
      <c r="D1765" s="186">
        <f>IF($K1765="","",INDEX(Zeiterfassung!$D$6:$D$3665,$K1765))</f>
        <v/>
      </c>
      <c r="E1765" s="186">
        <f>IF($K1765="","",INDEX(Zeiterfassung!$E$6:$E$3665,$K1765))</f>
        <v/>
      </c>
      <c r="F1765" s="187">
        <f>IF($K1765="","",INDEX(Zeiterfassung!$F$6:$F$3665,$K1765))</f>
        <v/>
      </c>
      <c r="G1765" s="187">
        <f>IF($K1765="","",INDEX(Zeiterfassung!$G$6:$G$3665,$K1765))</f>
        <v/>
      </c>
      <c r="H1765" s="188">
        <f>IF($K1765="","",INDEX(Zeiterfassung!$H$6:$H$3665,$K1765))</f>
        <v/>
      </c>
      <c r="I1765" s="335">
        <f>IF(B1765=B1764,"",IF($K1765="","",INDEX(Zeiterfassung!$I$6:$I$3665,MATCH(INDEX(Zeiterfassung!$K$6:$K$3665,$K1765),Zeiterfassung!$K$6:$K$3665,0))))</f>
        <v/>
      </c>
      <c r="J1765" s="335">
        <f>IF(B1765=B1764,"",IF($K1765="","",INDEX(Zeiterfassung!$J$6:$J$3665,MATCH(INDEX(Zeiterfassung!$K$6:$K$3665,$K1765),Zeiterfassung!$K$6:$K$3665,0))))</f>
        <v/>
      </c>
      <c r="K1765">
        <f>IFERROR(AGGREGATE(15,6,(ROW(Zeiterfassung!$D$6:$D$3665)-ROW(Zeiterfassung!$D$6)+1)/(Zeiterfassung!$D$6:$D$3665&lt;&gt;""),1760),"")</f>
        <v/>
      </c>
    </row>
    <row r="1766" ht="20" customHeight="1">
      <c r="A1766" s="183">
        <f>IF($K1766="","",WEEKNUM(INDEX(Zeiterfassung!$K$6:$K$3665,$K1766),21))</f>
        <v/>
      </c>
      <c r="B1766" s="184">
        <f>IF($K1766="","",INDEX(Zeiterfassung!$K$6:$K$3665,$K1766))</f>
        <v/>
      </c>
      <c r="C1766" s="185">
        <f>IF($K1766="","",INDEX(Zeiterfassung!$K$6:$K$3665,$K1766))</f>
        <v/>
      </c>
      <c r="D1766" s="186">
        <f>IF($K1766="","",INDEX(Zeiterfassung!$D$6:$D$3665,$K1766))</f>
        <v/>
      </c>
      <c r="E1766" s="186">
        <f>IF($K1766="","",INDEX(Zeiterfassung!$E$6:$E$3665,$K1766))</f>
        <v/>
      </c>
      <c r="F1766" s="187">
        <f>IF($K1766="","",INDEX(Zeiterfassung!$F$6:$F$3665,$K1766))</f>
        <v/>
      </c>
      <c r="G1766" s="187">
        <f>IF($K1766="","",INDEX(Zeiterfassung!$G$6:$G$3665,$K1766))</f>
        <v/>
      </c>
      <c r="H1766" s="188">
        <f>IF($K1766="","",INDEX(Zeiterfassung!$H$6:$H$3665,$K1766))</f>
        <v/>
      </c>
      <c r="I1766" s="335">
        <f>IF(B1766=B1765,"",IF($K1766="","",INDEX(Zeiterfassung!$I$6:$I$3665,MATCH(INDEX(Zeiterfassung!$K$6:$K$3665,$K1766),Zeiterfassung!$K$6:$K$3665,0))))</f>
        <v/>
      </c>
      <c r="J1766" s="335">
        <f>IF(B1766=B1765,"",IF($K1766="","",INDEX(Zeiterfassung!$J$6:$J$3665,MATCH(INDEX(Zeiterfassung!$K$6:$K$3665,$K1766),Zeiterfassung!$K$6:$K$3665,0))))</f>
        <v/>
      </c>
      <c r="K1766">
        <f>IFERROR(AGGREGATE(15,6,(ROW(Zeiterfassung!$D$6:$D$3665)-ROW(Zeiterfassung!$D$6)+1)/(Zeiterfassung!$D$6:$D$3665&lt;&gt;""),1761),"")</f>
        <v/>
      </c>
    </row>
    <row r="1767" ht="20" customHeight="1">
      <c r="A1767" s="183">
        <f>IF($K1767="","",WEEKNUM(INDEX(Zeiterfassung!$K$6:$K$3665,$K1767),21))</f>
        <v/>
      </c>
      <c r="B1767" s="184">
        <f>IF($K1767="","",INDEX(Zeiterfassung!$K$6:$K$3665,$K1767))</f>
        <v/>
      </c>
      <c r="C1767" s="185">
        <f>IF($K1767="","",INDEX(Zeiterfassung!$K$6:$K$3665,$K1767))</f>
        <v/>
      </c>
      <c r="D1767" s="186">
        <f>IF($K1767="","",INDEX(Zeiterfassung!$D$6:$D$3665,$K1767))</f>
        <v/>
      </c>
      <c r="E1767" s="186">
        <f>IF($K1767="","",INDEX(Zeiterfassung!$E$6:$E$3665,$K1767))</f>
        <v/>
      </c>
      <c r="F1767" s="187">
        <f>IF($K1767="","",INDEX(Zeiterfassung!$F$6:$F$3665,$K1767))</f>
        <v/>
      </c>
      <c r="G1767" s="187">
        <f>IF($K1767="","",INDEX(Zeiterfassung!$G$6:$G$3665,$K1767))</f>
        <v/>
      </c>
      <c r="H1767" s="188">
        <f>IF($K1767="","",INDEX(Zeiterfassung!$H$6:$H$3665,$K1767))</f>
        <v/>
      </c>
      <c r="I1767" s="335">
        <f>IF(B1767=B1766,"",IF($K1767="","",INDEX(Zeiterfassung!$I$6:$I$3665,MATCH(INDEX(Zeiterfassung!$K$6:$K$3665,$K1767),Zeiterfassung!$K$6:$K$3665,0))))</f>
        <v/>
      </c>
      <c r="J1767" s="335">
        <f>IF(B1767=B1766,"",IF($K1767="","",INDEX(Zeiterfassung!$J$6:$J$3665,MATCH(INDEX(Zeiterfassung!$K$6:$K$3665,$K1767),Zeiterfassung!$K$6:$K$3665,0))))</f>
        <v/>
      </c>
      <c r="K1767">
        <f>IFERROR(AGGREGATE(15,6,(ROW(Zeiterfassung!$D$6:$D$3665)-ROW(Zeiterfassung!$D$6)+1)/(Zeiterfassung!$D$6:$D$3665&lt;&gt;""),1762),"")</f>
        <v/>
      </c>
    </row>
    <row r="1768" ht="20" customHeight="1">
      <c r="A1768" s="183">
        <f>IF($K1768="","",WEEKNUM(INDEX(Zeiterfassung!$K$6:$K$3665,$K1768),21))</f>
        <v/>
      </c>
      <c r="B1768" s="184">
        <f>IF($K1768="","",INDEX(Zeiterfassung!$K$6:$K$3665,$K1768))</f>
        <v/>
      </c>
      <c r="C1768" s="185">
        <f>IF($K1768="","",INDEX(Zeiterfassung!$K$6:$K$3665,$K1768))</f>
        <v/>
      </c>
      <c r="D1768" s="186">
        <f>IF($K1768="","",INDEX(Zeiterfassung!$D$6:$D$3665,$K1768))</f>
        <v/>
      </c>
      <c r="E1768" s="186">
        <f>IF($K1768="","",INDEX(Zeiterfassung!$E$6:$E$3665,$K1768))</f>
        <v/>
      </c>
      <c r="F1768" s="187">
        <f>IF($K1768="","",INDEX(Zeiterfassung!$F$6:$F$3665,$K1768))</f>
        <v/>
      </c>
      <c r="G1768" s="187">
        <f>IF($K1768="","",INDEX(Zeiterfassung!$G$6:$G$3665,$K1768))</f>
        <v/>
      </c>
      <c r="H1768" s="188">
        <f>IF($K1768="","",INDEX(Zeiterfassung!$H$6:$H$3665,$K1768))</f>
        <v/>
      </c>
      <c r="I1768" s="335">
        <f>IF(B1768=B1767,"",IF($K1768="","",INDEX(Zeiterfassung!$I$6:$I$3665,MATCH(INDEX(Zeiterfassung!$K$6:$K$3665,$K1768),Zeiterfassung!$K$6:$K$3665,0))))</f>
        <v/>
      </c>
      <c r="J1768" s="335">
        <f>IF(B1768=B1767,"",IF($K1768="","",INDEX(Zeiterfassung!$J$6:$J$3665,MATCH(INDEX(Zeiterfassung!$K$6:$K$3665,$K1768),Zeiterfassung!$K$6:$K$3665,0))))</f>
        <v/>
      </c>
      <c r="K1768">
        <f>IFERROR(AGGREGATE(15,6,(ROW(Zeiterfassung!$D$6:$D$3665)-ROW(Zeiterfassung!$D$6)+1)/(Zeiterfassung!$D$6:$D$3665&lt;&gt;""),1763),"")</f>
        <v/>
      </c>
    </row>
    <row r="1769" ht="20" customHeight="1">
      <c r="A1769" s="183">
        <f>IF($K1769="","",WEEKNUM(INDEX(Zeiterfassung!$K$6:$K$3665,$K1769),21))</f>
        <v/>
      </c>
      <c r="B1769" s="184">
        <f>IF($K1769="","",INDEX(Zeiterfassung!$K$6:$K$3665,$K1769))</f>
        <v/>
      </c>
      <c r="C1769" s="185">
        <f>IF($K1769="","",INDEX(Zeiterfassung!$K$6:$K$3665,$K1769))</f>
        <v/>
      </c>
      <c r="D1769" s="186">
        <f>IF($K1769="","",INDEX(Zeiterfassung!$D$6:$D$3665,$K1769))</f>
        <v/>
      </c>
      <c r="E1769" s="186">
        <f>IF($K1769="","",INDEX(Zeiterfassung!$E$6:$E$3665,$K1769))</f>
        <v/>
      </c>
      <c r="F1769" s="187">
        <f>IF($K1769="","",INDEX(Zeiterfassung!$F$6:$F$3665,$K1769))</f>
        <v/>
      </c>
      <c r="G1769" s="187">
        <f>IF($K1769="","",INDEX(Zeiterfassung!$G$6:$G$3665,$K1769))</f>
        <v/>
      </c>
      <c r="H1769" s="188">
        <f>IF($K1769="","",INDEX(Zeiterfassung!$H$6:$H$3665,$K1769))</f>
        <v/>
      </c>
      <c r="I1769" s="335">
        <f>IF(B1769=B1768,"",IF($K1769="","",INDEX(Zeiterfassung!$I$6:$I$3665,MATCH(INDEX(Zeiterfassung!$K$6:$K$3665,$K1769),Zeiterfassung!$K$6:$K$3665,0))))</f>
        <v/>
      </c>
      <c r="J1769" s="335">
        <f>IF(B1769=B1768,"",IF($K1769="","",INDEX(Zeiterfassung!$J$6:$J$3665,MATCH(INDEX(Zeiterfassung!$K$6:$K$3665,$K1769),Zeiterfassung!$K$6:$K$3665,0))))</f>
        <v/>
      </c>
      <c r="K1769">
        <f>IFERROR(AGGREGATE(15,6,(ROW(Zeiterfassung!$D$6:$D$3665)-ROW(Zeiterfassung!$D$6)+1)/(Zeiterfassung!$D$6:$D$3665&lt;&gt;""),1764),"")</f>
        <v/>
      </c>
    </row>
    <row r="1770" ht="20" customHeight="1">
      <c r="A1770" s="183">
        <f>IF($K1770="","",WEEKNUM(INDEX(Zeiterfassung!$K$6:$K$3665,$K1770),21))</f>
        <v/>
      </c>
      <c r="B1770" s="184">
        <f>IF($K1770="","",INDEX(Zeiterfassung!$K$6:$K$3665,$K1770))</f>
        <v/>
      </c>
      <c r="C1770" s="185">
        <f>IF($K1770="","",INDEX(Zeiterfassung!$K$6:$K$3665,$K1770))</f>
        <v/>
      </c>
      <c r="D1770" s="186">
        <f>IF($K1770="","",INDEX(Zeiterfassung!$D$6:$D$3665,$K1770))</f>
        <v/>
      </c>
      <c r="E1770" s="186">
        <f>IF($K1770="","",INDEX(Zeiterfassung!$E$6:$E$3665,$K1770))</f>
        <v/>
      </c>
      <c r="F1770" s="187">
        <f>IF($K1770="","",INDEX(Zeiterfassung!$F$6:$F$3665,$K1770))</f>
        <v/>
      </c>
      <c r="G1770" s="187">
        <f>IF($K1770="","",INDEX(Zeiterfassung!$G$6:$G$3665,$K1770))</f>
        <v/>
      </c>
      <c r="H1770" s="188">
        <f>IF($K1770="","",INDEX(Zeiterfassung!$H$6:$H$3665,$K1770))</f>
        <v/>
      </c>
      <c r="I1770" s="335">
        <f>IF(B1770=B1769,"",IF($K1770="","",INDEX(Zeiterfassung!$I$6:$I$3665,MATCH(INDEX(Zeiterfassung!$K$6:$K$3665,$K1770),Zeiterfassung!$K$6:$K$3665,0))))</f>
        <v/>
      </c>
      <c r="J1770" s="335">
        <f>IF(B1770=B1769,"",IF($K1770="","",INDEX(Zeiterfassung!$J$6:$J$3665,MATCH(INDEX(Zeiterfassung!$K$6:$K$3665,$K1770),Zeiterfassung!$K$6:$K$3665,0))))</f>
        <v/>
      </c>
      <c r="K1770">
        <f>IFERROR(AGGREGATE(15,6,(ROW(Zeiterfassung!$D$6:$D$3665)-ROW(Zeiterfassung!$D$6)+1)/(Zeiterfassung!$D$6:$D$3665&lt;&gt;""),1765),"")</f>
        <v/>
      </c>
    </row>
    <row r="1771" ht="20" customHeight="1">
      <c r="A1771" s="183">
        <f>IF($K1771="","",WEEKNUM(INDEX(Zeiterfassung!$K$6:$K$3665,$K1771),21))</f>
        <v/>
      </c>
      <c r="B1771" s="184">
        <f>IF($K1771="","",INDEX(Zeiterfassung!$K$6:$K$3665,$K1771))</f>
        <v/>
      </c>
      <c r="C1771" s="185">
        <f>IF($K1771="","",INDEX(Zeiterfassung!$K$6:$K$3665,$K1771))</f>
        <v/>
      </c>
      <c r="D1771" s="186">
        <f>IF($K1771="","",INDEX(Zeiterfassung!$D$6:$D$3665,$K1771))</f>
        <v/>
      </c>
      <c r="E1771" s="186">
        <f>IF($K1771="","",INDEX(Zeiterfassung!$E$6:$E$3665,$K1771))</f>
        <v/>
      </c>
      <c r="F1771" s="187">
        <f>IF($K1771="","",INDEX(Zeiterfassung!$F$6:$F$3665,$K1771))</f>
        <v/>
      </c>
      <c r="G1771" s="187">
        <f>IF($K1771="","",INDEX(Zeiterfassung!$G$6:$G$3665,$K1771))</f>
        <v/>
      </c>
      <c r="H1771" s="188">
        <f>IF($K1771="","",INDEX(Zeiterfassung!$H$6:$H$3665,$K1771))</f>
        <v/>
      </c>
      <c r="I1771" s="335">
        <f>IF(B1771=B1770,"",IF($K1771="","",INDEX(Zeiterfassung!$I$6:$I$3665,MATCH(INDEX(Zeiterfassung!$K$6:$K$3665,$K1771),Zeiterfassung!$K$6:$K$3665,0))))</f>
        <v/>
      </c>
      <c r="J1771" s="335">
        <f>IF(B1771=B1770,"",IF($K1771="","",INDEX(Zeiterfassung!$J$6:$J$3665,MATCH(INDEX(Zeiterfassung!$K$6:$K$3665,$K1771),Zeiterfassung!$K$6:$K$3665,0))))</f>
        <v/>
      </c>
      <c r="K1771">
        <f>IFERROR(AGGREGATE(15,6,(ROW(Zeiterfassung!$D$6:$D$3665)-ROW(Zeiterfassung!$D$6)+1)/(Zeiterfassung!$D$6:$D$3665&lt;&gt;""),1766),"")</f>
        <v/>
      </c>
    </row>
    <row r="1772" ht="20" customHeight="1">
      <c r="A1772" s="183">
        <f>IF($K1772="","",WEEKNUM(INDEX(Zeiterfassung!$K$6:$K$3665,$K1772),21))</f>
        <v/>
      </c>
      <c r="B1772" s="184">
        <f>IF($K1772="","",INDEX(Zeiterfassung!$K$6:$K$3665,$K1772))</f>
        <v/>
      </c>
      <c r="C1772" s="185">
        <f>IF($K1772="","",INDEX(Zeiterfassung!$K$6:$K$3665,$K1772))</f>
        <v/>
      </c>
      <c r="D1772" s="186">
        <f>IF($K1772="","",INDEX(Zeiterfassung!$D$6:$D$3665,$K1772))</f>
        <v/>
      </c>
      <c r="E1772" s="186">
        <f>IF($K1772="","",INDEX(Zeiterfassung!$E$6:$E$3665,$K1772))</f>
        <v/>
      </c>
      <c r="F1772" s="187">
        <f>IF($K1772="","",INDEX(Zeiterfassung!$F$6:$F$3665,$K1772))</f>
        <v/>
      </c>
      <c r="G1772" s="187">
        <f>IF($K1772="","",INDEX(Zeiterfassung!$G$6:$G$3665,$K1772))</f>
        <v/>
      </c>
      <c r="H1772" s="188">
        <f>IF($K1772="","",INDEX(Zeiterfassung!$H$6:$H$3665,$K1772))</f>
        <v/>
      </c>
      <c r="I1772" s="335">
        <f>IF(B1772=B1771,"",IF($K1772="","",INDEX(Zeiterfassung!$I$6:$I$3665,MATCH(INDEX(Zeiterfassung!$K$6:$K$3665,$K1772),Zeiterfassung!$K$6:$K$3665,0))))</f>
        <v/>
      </c>
      <c r="J1772" s="335">
        <f>IF(B1772=B1771,"",IF($K1772="","",INDEX(Zeiterfassung!$J$6:$J$3665,MATCH(INDEX(Zeiterfassung!$K$6:$K$3665,$K1772),Zeiterfassung!$K$6:$K$3665,0))))</f>
        <v/>
      </c>
      <c r="K1772">
        <f>IFERROR(AGGREGATE(15,6,(ROW(Zeiterfassung!$D$6:$D$3665)-ROW(Zeiterfassung!$D$6)+1)/(Zeiterfassung!$D$6:$D$3665&lt;&gt;""),1767),"")</f>
        <v/>
      </c>
    </row>
    <row r="1773" ht="20" customHeight="1">
      <c r="A1773" s="183">
        <f>IF($K1773="","",WEEKNUM(INDEX(Zeiterfassung!$K$6:$K$3665,$K1773),21))</f>
        <v/>
      </c>
      <c r="B1773" s="184">
        <f>IF($K1773="","",INDEX(Zeiterfassung!$K$6:$K$3665,$K1773))</f>
        <v/>
      </c>
      <c r="C1773" s="185">
        <f>IF($K1773="","",INDEX(Zeiterfassung!$K$6:$K$3665,$K1773))</f>
        <v/>
      </c>
      <c r="D1773" s="186">
        <f>IF($K1773="","",INDEX(Zeiterfassung!$D$6:$D$3665,$K1773))</f>
        <v/>
      </c>
      <c r="E1773" s="186">
        <f>IF($K1773="","",INDEX(Zeiterfassung!$E$6:$E$3665,$K1773))</f>
        <v/>
      </c>
      <c r="F1773" s="187">
        <f>IF($K1773="","",INDEX(Zeiterfassung!$F$6:$F$3665,$K1773))</f>
        <v/>
      </c>
      <c r="G1773" s="187">
        <f>IF($K1773="","",INDEX(Zeiterfassung!$G$6:$G$3665,$K1773))</f>
        <v/>
      </c>
      <c r="H1773" s="188">
        <f>IF($K1773="","",INDEX(Zeiterfassung!$H$6:$H$3665,$K1773))</f>
        <v/>
      </c>
      <c r="I1773" s="335">
        <f>IF(B1773=B1772,"",IF($K1773="","",INDEX(Zeiterfassung!$I$6:$I$3665,MATCH(INDEX(Zeiterfassung!$K$6:$K$3665,$K1773),Zeiterfassung!$K$6:$K$3665,0))))</f>
        <v/>
      </c>
      <c r="J1773" s="335">
        <f>IF(B1773=B1772,"",IF($K1773="","",INDEX(Zeiterfassung!$J$6:$J$3665,MATCH(INDEX(Zeiterfassung!$K$6:$K$3665,$K1773),Zeiterfassung!$K$6:$K$3665,0))))</f>
        <v/>
      </c>
      <c r="K1773">
        <f>IFERROR(AGGREGATE(15,6,(ROW(Zeiterfassung!$D$6:$D$3665)-ROW(Zeiterfassung!$D$6)+1)/(Zeiterfassung!$D$6:$D$3665&lt;&gt;""),1768),"")</f>
        <v/>
      </c>
    </row>
    <row r="1774" ht="20" customHeight="1">
      <c r="A1774" s="183">
        <f>IF($K1774="","",WEEKNUM(INDEX(Zeiterfassung!$K$6:$K$3665,$K1774),21))</f>
        <v/>
      </c>
      <c r="B1774" s="184">
        <f>IF($K1774="","",INDEX(Zeiterfassung!$K$6:$K$3665,$K1774))</f>
        <v/>
      </c>
      <c r="C1774" s="185">
        <f>IF($K1774="","",INDEX(Zeiterfassung!$K$6:$K$3665,$K1774))</f>
        <v/>
      </c>
      <c r="D1774" s="186">
        <f>IF($K1774="","",INDEX(Zeiterfassung!$D$6:$D$3665,$K1774))</f>
        <v/>
      </c>
      <c r="E1774" s="186">
        <f>IF($K1774="","",INDEX(Zeiterfassung!$E$6:$E$3665,$K1774))</f>
        <v/>
      </c>
      <c r="F1774" s="187">
        <f>IF($K1774="","",INDEX(Zeiterfassung!$F$6:$F$3665,$K1774))</f>
        <v/>
      </c>
      <c r="G1774" s="187">
        <f>IF($K1774="","",INDEX(Zeiterfassung!$G$6:$G$3665,$K1774))</f>
        <v/>
      </c>
      <c r="H1774" s="188">
        <f>IF($K1774="","",INDEX(Zeiterfassung!$H$6:$H$3665,$K1774))</f>
        <v/>
      </c>
      <c r="I1774" s="335">
        <f>IF(B1774=B1773,"",IF($K1774="","",INDEX(Zeiterfassung!$I$6:$I$3665,MATCH(INDEX(Zeiterfassung!$K$6:$K$3665,$K1774),Zeiterfassung!$K$6:$K$3665,0))))</f>
        <v/>
      </c>
      <c r="J1774" s="335">
        <f>IF(B1774=B1773,"",IF($K1774="","",INDEX(Zeiterfassung!$J$6:$J$3665,MATCH(INDEX(Zeiterfassung!$K$6:$K$3665,$K1774),Zeiterfassung!$K$6:$K$3665,0))))</f>
        <v/>
      </c>
      <c r="K1774">
        <f>IFERROR(AGGREGATE(15,6,(ROW(Zeiterfassung!$D$6:$D$3665)-ROW(Zeiterfassung!$D$6)+1)/(Zeiterfassung!$D$6:$D$3665&lt;&gt;""),1769),"")</f>
        <v/>
      </c>
    </row>
    <row r="1775" ht="20" customHeight="1">
      <c r="A1775" s="183">
        <f>IF($K1775="","",WEEKNUM(INDEX(Zeiterfassung!$K$6:$K$3665,$K1775),21))</f>
        <v/>
      </c>
      <c r="B1775" s="184">
        <f>IF($K1775="","",INDEX(Zeiterfassung!$K$6:$K$3665,$K1775))</f>
        <v/>
      </c>
      <c r="C1775" s="185">
        <f>IF($K1775="","",INDEX(Zeiterfassung!$K$6:$K$3665,$K1775))</f>
        <v/>
      </c>
      <c r="D1775" s="186">
        <f>IF($K1775="","",INDEX(Zeiterfassung!$D$6:$D$3665,$K1775))</f>
        <v/>
      </c>
      <c r="E1775" s="186">
        <f>IF($K1775="","",INDEX(Zeiterfassung!$E$6:$E$3665,$K1775))</f>
        <v/>
      </c>
      <c r="F1775" s="187">
        <f>IF($K1775="","",INDEX(Zeiterfassung!$F$6:$F$3665,$K1775))</f>
        <v/>
      </c>
      <c r="G1775" s="187">
        <f>IF($K1775="","",INDEX(Zeiterfassung!$G$6:$G$3665,$K1775))</f>
        <v/>
      </c>
      <c r="H1775" s="188">
        <f>IF($K1775="","",INDEX(Zeiterfassung!$H$6:$H$3665,$K1775))</f>
        <v/>
      </c>
      <c r="I1775" s="335">
        <f>IF(B1775=B1774,"",IF($K1775="","",INDEX(Zeiterfassung!$I$6:$I$3665,MATCH(INDEX(Zeiterfassung!$K$6:$K$3665,$K1775),Zeiterfassung!$K$6:$K$3665,0))))</f>
        <v/>
      </c>
      <c r="J1775" s="335">
        <f>IF(B1775=B1774,"",IF($K1775="","",INDEX(Zeiterfassung!$J$6:$J$3665,MATCH(INDEX(Zeiterfassung!$K$6:$K$3665,$K1775),Zeiterfassung!$K$6:$K$3665,0))))</f>
        <v/>
      </c>
      <c r="K1775">
        <f>IFERROR(AGGREGATE(15,6,(ROW(Zeiterfassung!$D$6:$D$3665)-ROW(Zeiterfassung!$D$6)+1)/(Zeiterfassung!$D$6:$D$3665&lt;&gt;""),1770),"")</f>
        <v/>
      </c>
    </row>
    <row r="1776" ht="20" customHeight="1">
      <c r="A1776" s="183">
        <f>IF($K1776="","",WEEKNUM(INDEX(Zeiterfassung!$K$6:$K$3665,$K1776),21))</f>
        <v/>
      </c>
      <c r="B1776" s="184">
        <f>IF($K1776="","",INDEX(Zeiterfassung!$K$6:$K$3665,$K1776))</f>
        <v/>
      </c>
      <c r="C1776" s="185">
        <f>IF($K1776="","",INDEX(Zeiterfassung!$K$6:$K$3665,$K1776))</f>
        <v/>
      </c>
      <c r="D1776" s="186">
        <f>IF($K1776="","",INDEX(Zeiterfassung!$D$6:$D$3665,$K1776))</f>
        <v/>
      </c>
      <c r="E1776" s="186">
        <f>IF($K1776="","",INDEX(Zeiterfassung!$E$6:$E$3665,$K1776))</f>
        <v/>
      </c>
      <c r="F1776" s="187">
        <f>IF($K1776="","",INDEX(Zeiterfassung!$F$6:$F$3665,$K1776))</f>
        <v/>
      </c>
      <c r="G1776" s="187">
        <f>IF($K1776="","",INDEX(Zeiterfassung!$G$6:$G$3665,$K1776))</f>
        <v/>
      </c>
      <c r="H1776" s="188">
        <f>IF($K1776="","",INDEX(Zeiterfassung!$H$6:$H$3665,$K1776))</f>
        <v/>
      </c>
      <c r="I1776" s="335">
        <f>IF(B1776=B1775,"",IF($K1776="","",INDEX(Zeiterfassung!$I$6:$I$3665,MATCH(INDEX(Zeiterfassung!$K$6:$K$3665,$K1776),Zeiterfassung!$K$6:$K$3665,0))))</f>
        <v/>
      </c>
      <c r="J1776" s="335">
        <f>IF(B1776=B1775,"",IF($K1776="","",INDEX(Zeiterfassung!$J$6:$J$3665,MATCH(INDEX(Zeiterfassung!$K$6:$K$3665,$K1776),Zeiterfassung!$K$6:$K$3665,0))))</f>
        <v/>
      </c>
      <c r="K1776">
        <f>IFERROR(AGGREGATE(15,6,(ROW(Zeiterfassung!$D$6:$D$3665)-ROW(Zeiterfassung!$D$6)+1)/(Zeiterfassung!$D$6:$D$3665&lt;&gt;""),1771),"")</f>
        <v/>
      </c>
    </row>
    <row r="1777" ht="20" customHeight="1">
      <c r="A1777" s="183">
        <f>IF($K1777="","",WEEKNUM(INDEX(Zeiterfassung!$K$6:$K$3665,$K1777),21))</f>
        <v/>
      </c>
      <c r="B1777" s="184">
        <f>IF($K1777="","",INDEX(Zeiterfassung!$K$6:$K$3665,$K1777))</f>
        <v/>
      </c>
      <c r="C1777" s="185">
        <f>IF($K1777="","",INDEX(Zeiterfassung!$K$6:$K$3665,$K1777))</f>
        <v/>
      </c>
      <c r="D1777" s="186">
        <f>IF($K1777="","",INDEX(Zeiterfassung!$D$6:$D$3665,$K1777))</f>
        <v/>
      </c>
      <c r="E1777" s="186">
        <f>IF($K1777="","",INDEX(Zeiterfassung!$E$6:$E$3665,$K1777))</f>
        <v/>
      </c>
      <c r="F1777" s="187">
        <f>IF($K1777="","",INDEX(Zeiterfassung!$F$6:$F$3665,$K1777))</f>
        <v/>
      </c>
      <c r="G1777" s="187">
        <f>IF($K1777="","",INDEX(Zeiterfassung!$G$6:$G$3665,$K1777))</f>
        <v/>
      </c>
      <c r="H1777" s="188">
        <f>IF($K1777="","",INDEX(Zeiterfassung!$H$6:$H$3665,$K1777))</f>
        <v/>
      </c>
      <c r="I1777" s="335">
        <f>IF(B1777=B1776,"",IF($K1777="","",INDEX(Zeiterfassung!$I$6:$I$3665,MATCH(INDEX(Zeiterfassung!$K$6:$K$3665,$K1777),Zeiterfassung!$K$6:$K$3665,0))))</f>
        <v/>
      </c>
      <c r="J1777" s="335">
        <f>IF(B1777=B1776,"",IF($K1777="","",INDEX(Zeiterfassung!$J$6:$J$3665,MATCH(INDEX(Zeiterfassung!$K$6:$K$3665,$K1777),Zeiterfassung!$K$6:$K$3665,0))))</f>
        <v/>
      </c>
      <c r="K1777">
        <f>IFERROR(AGGREGATE(15,6,(ROW(Zeiterfassung!$D$6:$D$3665)-ROW(Zeiterfassung!$D$6)+1)/(Zeiterfassung!$D$6:$D$3665&lt;&gt;""),1772),"")</f>
        <v/>
      </c>
    </row>
    <row r="1778" ht="20" customHeight="1">
      <c r="A1778" s="183">
        <f>IF($K1778="","",WEEKNUM(INDEX(Zeiterfassung!$K$6:$K$3665,$K1778),21))</f>
        <v/>
      </c>
      <c r="B1778" s="184">
        <f>IF($K1778="","",INDEX(Zeiterfassung!$K$6:$K$3665,$K1778))</f>
        <v/>
      </c>
      <c r="C1778" s="185">
        <f>IF($K1778="","",INDEX(Zeiterfassung!$K$6:$K$3665,$K1778))</f>
        <v/>
      </c>
      <c r="D1778" s="186">
        <f>IF($K1778="","",INDEX(Zeiterfassung!$D$6:$D$3665,$K1778))</f>
        <v/>
      </c>
      <c r="E1778" s="186">
        <f>IF($K1778="","",INDEX(Zeiterfassung!$E$6:$E$3665,$K1778))</f>
        <v/>
      </c>
      <c r="F1778" s="187">
        <f>IF($K1778="","",INDEX(Zeiterfassung!$F$6:$F$3665,$K1778))</f>
        <v/>
      </c>
      <c r="G1778" s="187">
        <f>IF($K1778="","",INDEX(Zeiterfassung!$G$6:$G$3665,$K1778))</f>
        <v/>
      </c>
      <c r="H1778" s="188">
        <f>IF($K1778="","",INDEX(Zeiterfassung!$H$6:$H$3665,$K1778))</f>
        <v/>
      </c>
      <c r="I1778" s="335">
        <f>IF(B1778=B1777,"",IF($K1778="","",INDEX(Zeiterfassung!$I$6:$I$3665,MATCH(INDEX(Zeiterfassung!$K$6:$K$3665,$K1778),Zeiterfassung!$K$6:$K$3665,0))))</f>
        <v/>
      </c>
      <c r="J1778" s="335">
        <f>IF(B1778=B1777,"",IF($K1778="","",INDEX(Zeiterfassung!$J$6:$J$3665,MATCH(INDEX(Zeiterfassung!$K$6:$K$3665,$K1778),Zeiterfassung!$K$6:$K$3665,0))))</f>
        <v/>
      </c>
      <c r="K1778">
        <f>IFERROR(AGGREGATE(15,6,(ROW(Zeiterfassung!$D$6:$D$3665)-ROW(Zeiterfassung!$D$6)+1)/(Zeiterfassung!$D$6:$D$3665&lt;&gt;""),1773),"")</f>
        <v/>
      </c>
    </row>
    <row r="1779" ht="20" customHeight="1">
      <c r="A1779" s="183">
        <f>IF($K1779="","",WEEKNUM(INDEX(Zeiterfassung!$K$6:$K$3665,$K1779),21))</f>
        <v/>
      </c>
      <c r="B1779" s="184">
        <f>IF($K1779="","",INDEX(Zeiterfassung!$K$6:$K$3665,$K1779))</f>
        <v/>
      </c>
      <c r="C1779" s="185">
        <f>IF($K1779="","",INDEX(Zeiterfassung!$K$6:$K$3665,$K1779))</f>
        <v/>
      </c>
      <c r="D1779" s="186">
        <f>IF($K1779="","",INDEX(Zeiterfassung!$D$6:$D$3665,$K1779))</f>
        <v/>
      </c>
      <c r="E1779" s="186">
        <f>IF($K1779="","",INDEX(Zeiterfassung!$E$6:$E$3665,$K1779))</f>
        <v/>
      </c>
      <c r="F1779" s="187">
        <f>IF($K1779="","",INDEX(Zeiterfassung!$F$6:$F$3665,$K1779))</f>
        <v/>
      </c>
      <c r="G1779" s="187">
        <f>IF($K1779="","",INDEX(Zeiterfassung!$G$6:$G$3665,$K1779))</f>
        <v/>
      </c>
      <c r="H1779" s="188">
        <f>IF($K1779="","",INDEX(Zeiterfassung!$H$6:$H$3665,$K1779))</f>
        <v/>
      </c>
      <c r="I1779" s="335">
        <f>IF(B1779=B1778,"",IF($K1779="","",INDEX(Zeiterfassung!$I$6:$I$3665,MATCH(INDEX(Zeiterfassung!$K$6:$K$3665,$K1779),Zeiterfassung!$K$6:$K$3665,0))))</f>
        <v/>
      </c>
      <c r="J1779" s="335">
        <f>IF(B1779=B1778,"",IF($K1779="","",INDEX(Zeiterfassung!$J$6:$J$3665,MATCH(INDEX(Zeiterfassung!$K$6:$K$3665,$K1779),Zeiterfassung!$K$6:$K$3665,0))))</f>
        <v/>
      </c>
      <c r="K1779">
        <f>IFERROR(AGGREGATE(15,6,(ROW(Zeiterfassung!$D$6:$D$3665)-ROW(Zeiterfassung!$D$6)+1)/(Zeiterfassung!$D$6:$D$3665&lt;&gt;""),1774),"")</f>
        <v/>
      </c>
    </row>
    <row r="1780" ht="20" customHeight="1">
      <c r="A1780" s="183">
        <f>IF($K1780="","",WEEKNUM(INDEX(Zeiterfassung!$K$6:$K$3665,$K1780),21))</f>
        <v/>
      </c>
      <c r="B1780" s="184">
        <f>IF($K1780="","",INDEX(Zeiterfassung!$K$6:$K$3665,$K1780))</f>
        <v/>
      </c>
      <c r="C1780" s="185">
        <f>IF($K1780="","",INDEX(Zeiterfassung!$K$6:$K$3665,$K1780))</f>
        <v/>
      </c>
      <c r="D1780" s="186">
        <f>IF($K1780="","",INDEX(Zeiterfassung!$D$6:$D$3665,$K1780))</f>
        <v/>
      </c>
      <c r="E1780" s="186">
        <f>IF($K1780="","",INDEX(Zeiterfassung!$E$6:$E$3665,$K1780))</f>
        <v/>
      </c>
      <c r="F1780" s="187">
        <f>IF($K1780="","",INDEX(Zeiterfassung!$F$6:$F$3665,$K1780))</f>
        <v/>
      </c>
      <c r="G1780" s="187">
        <f>IF($K1780="","",INDEX(Zeiterfassung!$G$6:$G$3665,$K1780))</f>
        <v/>
      </c>
      <c r="H1780" s="188">
        <f>IF($K1780="","",INDEX(Zeiterfassung!$H$6:$H$3665,$K1780))</f>
        <v/>
      </c>
      <c r="I1780" s="335">
        <f>IF(B1780=B1779,"",IF($K1780="","",INDEX(Zeiterfassung!$I$6:$I$3665,MATCH(INDEX(Zeiterfassung!$K$6:$K$3665,$K1780),Zeiterfassung!$K$6:$K$3665,0))))</f>
        <v/>
      </c>
      <c r="J1780" s="335">
        <f>IF(B1780=B1779,"",IF($K1780="","",INDEX(Zeiterfassung!$J$6:$J$3665,MATCH(INDEX(Zeiterfassung!$K$6:$K$3665,$K1780),Zeiterfassung!$K$6:$K$3665,0))))</f>
        <v/>
      </c>
      <c r="K1780">
        <f>IFERROR(AGGREGATE(15,6,(ROW(Zeiterfassung!$D$6:$D$3665)-ROW(Zeiterfassung!$D$6)+1)/(Zeiterfassung!$D$6:$D$3665&lt;&gt;""),1775),"")</f>
        <v/>
      </c>
    </row>
    <row r="1781" ht="20" customHeight="1">
      <c r="A1781" s="183">
        <f>IF($K1781="","",WEEKNUM(INDEX(Zeiterfassung!$K$6:$K$3665,$K1781),21))</f>
        <v/>
      </c>
      <c r="B1781" s="184">
        <f>IF($K1781="","",INDEX(Zeiterfassung!$K$6:$K$3665,$K1781))</f>
        <v/>
      </c>
      <c r="C1781" s="185">
        <f>IF($K1781="","",INDEX(Zeiterfassung!$K$6:$K$3665,$K1781))</f>
        <v/>
      </c>
      <c r="D1781" s="186">
        <f>IF($K1781="","",INDEX(Zeiterfassung!$D$6:$D$3665,$K1781))</f>
        <v/>
      </c>
      <c r="E1781" s="186">
        <f>IF($K1781="","",INDEX(Zeiterfassung!$E$6:$E$3665,$K1781))</f>
        <v/>
      </c>
      <c r="F1781" s="187">
        <f>IF($K1781="","",INDEX(Zeiterfassung!$F$6:$F$3665,$K1781))</f>
        <v/>
      </c>
      <c r="G1781" s="187">
        <f>IF($K1781="","",INDEX(Zeiterfassung!$G$6:$G$3665,$K1781))</f>
        <v/>
      </c>
      <c r="H1781" s="188">
        <f>IF($K1781="","",INDEX(Zeiterfassung!$H$6:$H$3665,$K1781))</f>
        <v/>
      </c>
      <c r="I1781" s="335">
        <f>IF(B1781=B1780,"",IF($K1781="","",INDEX(Zeiterfassung!$I$6:$I$3665,MATCH(INDEX(Zeiterfassung!$K$6:$K$3665,$K1781),Zeiterfassung!$K$6:$K$3665,0))))</f>
        <v/>
      </c>
      <c r="J1781" s="335">
        <f>IF(B1781=B1780,"",IF($K1781="","",INDEX(Zeiterfassung!$J$6:$J$3665,MATCH(INDEX(Zeiterfassung!$K$6:$K$3665,$K1781),Zeiterfassung!$K$6:$K$3665,0))))</f>
        <v/>
      </c>
      <c r="K1781">
        <f>IFERROR(AGGREGATE(15,6,(ROW(Zeiterfassung!$D$6:$D$3665)-ROW(Zeiterfassung!$D$6)+1)/(Zeiterfassung!$D$6:$D$3665&lt;&gt;""),1776),"")</f>
        <v/>
      </c>
    </row>
    <row r="1782" ht="20" customHeight="1">
      <c r="A1782" s="183">
        <f>IF($K1782="","",WEEKNUM(INDEX(Zeiterfassung!$K$6:$K$3665,$K1782),21))</f>
        <v/>
      </c>
      <c r="B1782" s="184">
        <f>IF($K1782="","",INDEX(Zeiterfassung!$K$6:$K$3665,$K1782))</f>
        <v/>
      </c>
      <c r="C1782" s="185">
        <f>IF($K1782="","",INDEX(Zeiterfassung!$K$6:$K$3665,$K1782))</f>
        <v/>
      </c>
      <c r="D1782" s="186">
        <f>IF($K1782="","",INDEX(Zeiterfassung!$D$6:$D$3665,$K1782))</f>
        <v/>
      </c>
      <c r="E1782" s="186">
        <f>IF($K1782="","",INDEX(Zeiterfassung!$E$6:$E$3665,$K1782))</f>
        <v/>
      </c>
      <c r="F1782" s="187">
        <f>IF($K1782="","",INDEX(Zeiterfassung!$F$6:$F$3665,$K1782))</f>
        <v/>
      </c>
      <c r="G1782" s="187">
        <f>IF($K1782="","",INDEX(Zeiterfassung!$G$6:$G$3665,$K1782))</f>
        <v/>
      </c>
      <c r="H1782" s="188">
        <f>IF($K1782="","",INDEX(Zeiterfassung!$H$6:$H$3665,$K1782))</f>
        <v/>
      </c>
      <c r="I1782" s="335">
        <f>IF(B1782=B1781,"",IF($K1782="","",INDEX(Zeiterfassung!$I$6:$I$3665,MATCH(INDEX(Zeiterfassung!$K$6:$K$3665,$K1782),Zeiterfassung!$K$6:$K$3665,0))))</f>
        <v/>
      </c>
      <c r="J1782" s="335">
        <f>IF(B1782=B1781,"",IF($K1782="","",INDEX(Zeiterfassung!$J$6:$J$3665,MATCH(INDEX(Zeiterfassung!$K$6:$K$3665,$K1782),Zeiterfassung!$K$6:$K$3665,0))))</f>
        <v/>
      </c>
      <c r="K1782">
        <f>IFERROR(AGGREGATE(15,6,(ROW(Zeiterfassung!$D$6:$D$3665)-ROW(Zeiterfassung!$D$6)+1)/(Zeiterfassung!$D$6:$D$3665&lt;&gt;""),1777),"")</f>
        <v/>
      </c>
    </row>
    <row r="1783" ht="20" customHeight="1">
      <c r="A1783" s="183">
        <f>IF($K1783="","",WEEKNUM(INDEX(Zeiterfassung!$K$6:$K$3665,$K1783),21))</f>
        <v/>
      </c>
      <c r="B1783" s="184">
        <f>IF($K1783="","",INDEX(Zeiterfassung!$K$6:$K$3665,$K1783))</f>
        <v/>
      </c>
      <c r="C1783" s="185">
        <f>IF($K1783="","",INDEX(Zeiterfassung!$K$6:$K$3665,$K1783))</f>
        <v/>
      </c>
      <c r="D1783" s="186">
        <f>IF($K1783="","",INDEX(Zeiterfassung!$D$6:$D$3665,$K1783))</f>
        <v/>
      </c>
      <c r="E1783" s="186">
        <f>IF($K1783="","",INDEX(Zeiterfassung!$E$6:$E$3665,$K1783))</f>
        <v/>
      </c>
      <c r="F1783" s="187">
        <f>IF($K1783="","",INDEX(Zeiterfassung!$F$6:$F$3665,$K1783))</f>
        <v/>
      </c>
      <c r="G1783" s="187">
        <f>IF($K1783="","",INDEX(Zeiterfassung!$G$6:$G$3665,$K1783))</f>
        <v/>
      </c>
      <c r="H1783" s="188">
        <f>IF($K1783="","",INDEX(Zeiterfassung!$H$6:$H$3665,$K1783))</f>
        <v/>
      </c>
      <c r="I1783" s="335">
        <f>IF(B1783=B1782,"",IF($K1783="","",INDEX(Zeiterfassung!$I$6:$I$3665,MATCH(INDEX(Zeiterfassung!$K$6:$K$3665,$K1783),Zeiterfassung!$K$6:$K$3665,0))))</f>
        <v/>
      </c>
      <c r="J1783" s="335">
        <f>IF(B1783=B1782,"",IF($K1783="","",INDEX(Zeiterfassung!$J$6:$J$3665,MATCH(INDEX(Zeiterfassung!$K$6:$K$3665,$K1783),Zeiterfassung!$K$6:$K$3665,0))))</f>
        <v/>
      </c>
      <c r="K1783">
        <f>IFERROR(AGGREGATE(15,6,(ROW(Zeiterfassung!$D$6:$D$3665)-ROW(Zeiterfassung!$D$6)+1)/(Zeiterfassung!$D$6:$D$3665&lt;&gt;""),1778),"")</f>
        <v/>
      </c>
    </row>
    <row r="1784" ht="20" customHeight="1">
      <c r="A1784" s="183">
        <f>IF($K1784="","",WEEKNUM(INDEX(Zeiterfassung!$K$6:$K$3665,$K1784),21))</f>
        <v/>
      </c>
      <c r="B1784" s="184">
        <f>IF($K1784="","",INDEX(Zeiterfassung!$K$6:$K$3665,$K1784))</f>
        <v/>
      </c>
      <c r="C1784" s="185">
        <f>IF($K1784="","",INDEX(Zeiterfassung!$K$6:$K$3665,$K1784))</f>
        <v/>
      </c>
      <c r="D1784" s="186">
        <f>IF($K1784="","",INDEX(Zeiterfassung!$D$6:$D$3665,$K1784))</f>
        <v/>
      </c>
      <c r="E1784" s="186">
        <f>IF($K1784="","",INDEX(Zeiterfassung!$E$6:$E$3665,$K1784))</f>
        <v/>
      </c>
      <c r="F1784" s="187">
        <f>IF($K1784="","",INDEX(Zeiterfassung!$F$6:$F$3665,$K1784))</f>
        <v/>
      </c>
      <c r="G1784" s="187">
        <f>IF($K1784="","",INDEX(Zeiterfassung!$G$6:$G$3665,$K1784))</f>
        <v/>
      </c>
      <c r="H1784" s="188">
        <f>IF($K1784="","",INDEX(Zeiterfassung!$H$6:$H$3665,$K1784))</f>
        <v/>
      </c>
      <c r="I1784" s="335">
        <f>IF(B1784=B1783,"",IF($K1784="","",INDEX(Zeiterfassung!$I$6:$I$3665,MATCH(INDEX(Zeiterfassung!$K$6:$K$3665,$K1784),Zeiterfassung!$K$6:$K$3665,0))))</f>
        <v/>
      </c>
      <c r="J1784" s="335">
        <f>IF(B1784=B1783,"",IF($K1784="","",INDEX(Zeiterfassung!$J$6:$J$3665,MATCH(INDEX(Zeiterfassung!$K$6:$K$3665,$K1784),Zeiterfassung!$K$6:$K$3665,0))))</f>
        <v/>
      </c>
      <c r="K1784">
        <f>IFERROR(AGGREGATE(15,6,(ROW(Zeiterfassung!$D$6:$D$3665)-ROW(Zeiterfassung!$D$6)+1)/(Zeiterfassung!$D$6:$D$3665&lt;&gt;""),1779),"")</f>
        <v/>
      </c>
    </row>
    <row r="1785" ht="20" customHeight="1">
      <c r="A1785" s="183">
        <f>IF($K1785="","",WEEKNUM(INDEX(Zeiterfassung!$K$6:$K$3665,$K1785),21))</f>
        <v/>
      </c>
      <c r="B1785" s="184">
        <f>IF($K1785="","",INDEX(Zeiterfassung!$K$6:$K$3665,$K1785))</f>
        <v/>
      </c>
      <c r="C1785" s="185">
        <f>IF($K1785="","",INDEX(Zeiterfassung!$K$6:$K$3665,$K1785))</f>
        <v/>
      </c>
      <c r="D1785" s="186">
        <f>IF($K1785="","",INDEX(Zeiterfassung!$D$6:$D$3665,$K1785))</f>
        <v/>
      </c>
      <c r="E1785" s="186">
        <f>IF($K1785="","",INDEX(Zeiterfassung!$E$6:$E$3665,$K1785))</f>
        <v/>
      </c>
      <c r="F1785" s="187">
        <f>IF($K1785="","",INDEX(Zeiterfassung!$F$6:$F$3665,$K1785))</f>
        <v/>
      </c>
      <c r="G1785" s="187">
        <f>IF($K1785="","",INDEX(Zeiterfassung!$G$6:$G$3665,$K1785))</f>
        <v/>
      </c>
      <c r="H1785" s="188">
        <f>IF($K1785="","",INDEX(Zeiterfassung!$H$6:$H$3665,$K1785))</f>
        <v/>
      </c>
      <c r="I1785" s="335">
        <f>IF(B1785=B1784,"",IF($K1785="","",INDEX(Zeiterfassung!$I$6:$I$3665,MATCH(INDEX(Zeiterfassung!$K$6:$K$3665,$K1785),Zeiterfassung!$K$6:$K$3665,0))))</f>
        <v/>
      </c>
      <c r="J1785" s="335">
        <f>IF(B1785=B1784,"",IF($K1785="","",INDEX(Zeiterfassung!$J$6:$J$3665,MATCH(INDEX(Zeiterfassung!$K$6:$K$3665,$K1785),Zeiterfassung!$K$6:$K$3665,0))))</f>
        <v/>
      </c>
      <c r="K1785">
        <f>IFERROR(AGGREGATE(15,6,(ROW(Zeiterfassung!$D$6:$D$3665)-ROW(Zeiterfassung!$D$6)+1)/(Zeiterfassung!$D$6:$D$3665&lt;&gt;""),1780),"")</f>
        <v/>
      </c>
    </row>
    <row r="1786" ht="20" customHeight="1">
      <c r="A1786" s="183">
        <f>IF($K1786="","",WEEKNUM(INDEX(Zeiterfassung!$K$6:$K$3665,$K1786),21))</f>
        <v/>
      </c>
      <c r="B1786" s="184">
        <f>IF($K1786="","",INDEX(Zeiterfassung!$K$6:$K$3665,$K1786))</f>
        <v/>
      </c>
      <c r="C1786" s="185">
        <f>IF($K1786="","",INDEX(Zeiterfassung!$K$6:$K$3665,$K1786))</f>
        <v/>
      </c>
      <c r="D1786" s="186">
        <f>IF($K1786="","",INDEX(Zeiterfassung!$D$6:$D$3665,$K1786))</f>
        <v/>
      </c>
      <c r="E1786" s="186">
        <f>IF($K1786="","",INDEX(Zeiterfassung!$E$6:$E$3665,$K1786))</f>
        <v/>
      </c>
      <c r="F1786" s="187">
        <f>IF($K1786="","",INDEX(Zeiterfassung!$F$6:$F$3665,$K1786))</f>
        <v/>
      </c>
      <c r="G1786" s="187">
        <f>IF($K1786="","",INDEX(Zeiterfassung!$G$6:$G$3665,$K1786))</f>
        <v/>
      </c>
      <c r="H1786" s="188">
        <f>IF($K1786="","",INDEX(Zeiterfassung!$H$6:$H$3665,$K1786))</f>
        <v/>
      </c>
      <c r="I1786" s="335">
        <f>IF(B1786=B1785,"",IF($K1786="","",INDEX(Zeiterfassung!$I$6:$I$3665,MATCH(INDEX(Zeiterfassung!$K$6:$K$3665,$K1786),Zeiterfassung!$K$6:$K$3665,0))))</f>
        <v/>
      </c>
      <c r="J1786" s="335">
        <f>IF(B1786=B1785,"",IF($K1786="","",INDEX(Zeiterfassung!$J$6:$J$3665,MATCH(INDEX(Zeiterfassung!$K$6:$K$3665,$K1786),Zeiterfassung!$K$6:$K$3665,0))))</f>
        <v/>
      </c>
      <c r="K1786">
        <f>IFERROR(AGGREGATE(15,6,(ROW(Zeiterfassung!$D$6:$D$3665)-ROW(Zeiterfassung!$D$6)+1)/(Zeiterfassung!$D$6:$D$3665&lt;&gt;""),1781),"")</f>
        <v/>
      </c>
    </row>
    <row r="1787" ht="20" customHeight="1">
      <c r="A1787" s="183">
        <f>IF($K1787="","",WEEKNUM(INDEX(Zeiterfassung!$K$6:$K$3665,$K1787),21))</f>
        <v/>
      </c>
      <c r="B1787" s="184">
        <f>IF($K1787="","",INDEX(Zeiterfassung!$K$6:$K$3665,$K1787))</f>
        <v/>
      </c>
      <c r="C1787" s="185">
        <f>IF($K1787="","",INDEX(Zeiterfassung!$K$6:$K$3665,$K1787))</f>
        <v/>
      </c>
      <c r="D1787" s="186">
        <f>IF($K1787="","",INDEX(Zeiterfassung!$D$6:$D$3665,$K1787))</f>
        <v/>
      </c>
      <c r="E1787" s="186">
        <f>IF($K1787="","",INDEX(Zeiterfassung!$E$6:$E$3665,$K1787))</f>
        <v/>
      </c>
      <c r="F1787" s="187">
        <f>IF($K1787="","",INDEX(Zeiterfassung!$F$6:$F$3665,$K1787))</f>
        <v/>
      </c>
      <c r="G1787" s="187">
        <f>IF($K1787="","",INDEX(Zeiterfassung!$G$6:$G$3665,$K1787))</f>
        <v/>
      </c>
      <c r="H1787" s="188">
        <f>IF($K1787="","",INDEX(Zeiterfassung!$H$6:$H$3665,$K1787))</f>
        <v/>
      </c>
      <c r="I1787" s="335">
        <f>IF(B1787=B1786,"",IF($K1787="","",INDEX(Zeiterfassung!$I$6:$I$3665,MATCH(INDEX(Zeiterfassung!$K$6:$K$3665,$K1787),Zeiterfassung!$K$6:$K$3665,0))))</f>
        <v/>
      </c>
      <c r="J1787" s="335">
        <f>IF(B1787=B1786,"",IF($K1787="","",INDEX(Zeiterfassung!$J$6:$J$3665,MATCH(INDEX(Zeiterfassung!$K$6:$K$3665,$K1787),Zeiterfassung!$K$6:$K$3665,0))))</f>
        <v/>
      </c>
      <c r="K1787">
        <f>IFERROR(AGGREGATE(15,6,(ROW(Zeiterfassung!$D$6:$D$3665)-ROW(Zeiterfassung!$D$6)+1)/(Zeiterfassung!$D$6:$D$3665&lt;&gt;""),1782),"")</f>
        <v/>
      </c>
    </row>
    <row r="1788" ht="20" customHeight="1">
      <c r="A1788" s="183">
        <f>IF($K1788="","",WEEKNUM(INDEX(Zeiterfassung!$K$6:$K$3665,$K1788),21))</f>
        <v/>
      </c>
      <c r="B1788" s="184">
        <f>IF($K1788="","",INDEX(Zeiterfassung!$K$6:$K$3665,$K1788))</f>
        <v/>
      </c>
      <c r="C1788" s="185">
        <f>IF($K1788="","",INDEX(Zeiterfassung!$K$6:$K$3665,$K1788))</f>
        <v/>
      </c>
      <c r="D1788" s="186">
        <f>IF($K1788="","",INDEX(Zeiterfassung!$D$6:$D$3665,$K1788))</f>
        <v/>
      </c>
      <c r="E1788" s="186">
        <f>IF($K1788="","",INDEX(Zeiterfassung!$E$6:$E$3665,$K1788))</f>
        <v/>
      </c>
      <c r="F1788" s="187">
        <f>IF($K1788="","",INDEX(Zeiterfassung!$F$6:$F$3665,$K1788))</f>
        <v/>
      </c>
      <c r="G1788" s="187">
        <f>IF($K1788="","",INDEX(Zeiterfassung!$G$6:$G$3665,$K1788))</f>
        <v/>
      </c>
      <c r="H1788" s="188">
        <f>IF($K1788="","",INDEX(Zeiterfassung!$H$6:$H$3665,$K1788))</f>
        <v/>
      </c>
      <c r="I1788" s="335">
        <f>IF(B1788=B1787,"",IF($K1788="","",INDEX(Zeiterfassung!$I$6:$I$3665,MATCH(INDEX(Zeiterfassung!$K$6:$K$3665,$K1788),Zeiterfassung!$K$6:$K$3665,0))))</f>
        <v/>
      </c>
      <c r="J1788" s="335">
        <f>IF(B1788=B1787,"",IF($K1788="","",INDEX(Zeiterfassung!$J$6:$J$3665,MATCH(INDEX(Zeiterfassung!$K$6:$K$3665,$K1788),Zeiterfassung!$K$6:$K$3665,0))))</f>
        <v/>
      </c>
      <c r="K1788">
        <f>IFERROR(AGGREGATE(15,6,(ROW(Zeiterfassung!$D$6:$D$3665)-ROW(Zeiterfassung!$D$6)+1)/(Zeiterfassung!$D$6:$D$3665&lt;&gt;""),1783),"")</f>
        <v/>
      </c>
    </row>
    <row r="1789" ht="20" customHeight="1">
      <c r="A1789" s="183">
        <f>IF($K1789="","",WEEKNUM(INDEX(Zeiterfassung!$K$6:$K$3665,$K1789),21))</f>
        <v/>
      </c>
      <c r="B1789" s="184">
        <f>IF($K1789="","",INDEX(Zeiterfassung!$K$6:$K$3665,$K1789))</f>
        <v/>
      </c>
      <c r="C1789" s="185">
        <f>IF($K1789="","",INDEX(Zeiterfassung!$K$6:$K$3665,$K1789))</f>
        <v/>
      </c>
      <c r="D1789" s="186">
        <f>IF($K1789="","",INDEX(Zeiterfassung!$D$6:$D$3665,$K1789))</f>
        <v/>
      </c>
      <c r="E1789" s="186">
        <f>IF($K1789="","",INDEX(Zeiterfassung!$E$6:$E$3665,$K1789))</f>
        <v/>
      </c>
      <c r="F1789" s="187">
        <f>IF($K1789="","",INDEX(Zeiterfassung!$F$6:$F$3665,$K1789))</f>
        <v/>
      </c>
      <c r="G1789" s="187">
        <f>IF($K1789="","",INDEX(Zeiterfassung!$G$6:$G$3665,$K1789))</f>
        <v/>
      </c>
      <c r="H1789" s="188">
        <f>IF($K1789="","",INDEX(Zeiterfassung!$H$6:$H$3665,$K1789))</f>
        <v/>
      </c>
      <c r="I1789" s="335">
        <f>IF(B1789=B1788,"",IF($K1789="","",INDEX(Zeiterfassung!$I$6:$I$3665,MATCH(INDEX(Zeiterfassung!$K$6:$K$3665,$K1789),Zeiterfassung!$K$6:$K$3665,0))))</f>
        <v/>
      </c>
      <c r="J1789" s="335">
        <f>IF(B1789=B1788,"",IF($K1789="","",INDEX(Zeiterfassung!$J$6:$J$3665,MATCH(INDEX(Zeiterfassung!$K$6:$K$3665,$K1789),Zeiterfassung!$K$6:$K$3665,0))))</f>
        <v/>
      </c>
      <c r="K1789">
        <f>IFERROR(AGGREGATE(15,6,(ROW(Zeiterfassung!$D$6:$D$3665)-ROW(Zeiterfassung!$D$6)+1)/(Zeiterfassung!$D$6:$D$3665&lt;&gt;""),1784),"")</f>
        <v/>
      </c>
    </row>
    <row r="1790" ht="20" customHeight="1">
      <c r="A1790" s="183">
        <f>IF($K1790="","",WEEKNUM(INDEX(Zeiterfassung!$K$6:$K$3665,$K1790),21))</f>
        <v/>
      </c>
      <c r="B1790" s="184">
        <f>IF($K1790="","",INDEX(Zeiterfassung!$K$6:$K$3665,$K1790))</f>
        <v/>
      </c>
      <c r="C1790" s="185">
        <f>IF($K1790="","",INDEX(Zeiterfassung!$K$6:$K$3665,$K1790))</f>
        <v/>
      </c>
      <c r="D1790" s="186">
        <f>IF($K1790="","",INDEX(Zeiterfassung!$D$6:$D$3665,$K1790))</f>
        <v/>
      </c>
      <c r="E1790" s="186">
        <f>IF($K1790="","",INDEX(Zeiterfassung!$E$6:$E$3665,$K1790))</f>
        <v/>
      </c>
      <c r="F1790" s="187">
        <f>IF($K1790="","",INDEX(Zeiterfassung!$F$6:$F$3665,$K1790))</f>
        <v/>
      </c>
      <c r="G1790" s="187">
        <f>IF($K1790="","",INDEX(Zeiterfassung!$G$6:$G$3665,$K1790))</f>
        <v/>
      </c>
      <c r="H1790" s="188">
        <f>IF($K1790="","",INDEX(Zeiterfassung!$H$6:$H$3665,$K1790))</f>
        <v/>
      </c>
      <c r="I1790" s="335">
        <f>IF(B1790=B1789,"",IF($K1790="","",INDEX(Zeiterfassung!$I$6:$I$3665,MATCH(INDEX(Zeiterfassung!$K$6:$K$3665,$K1790),Zeiterfassung!$K$6:$K$3665,0))))</f>
        <v/>
      </c>
      <c r="J1790" s="335">
        <f>IF(B1790=B1789,"",IF($K1790="","",INDEX(Zeiterfassung!$J$6:$J$3665,MATCH(INDEX(Zeiterfassung!$K$6:$K$3665,$K1790),Zeiterfassung!$K$6:$K$3665,0))))</f>
        <v/>
      </c>
      <c r="K1790">
        <f>IFERROR(AGGREGATE(15,6,(ROW(Zeiterfassung!$D$6:$D$3665)-ROW(Zeiterfassung!$D$6)+1)/(Zeiterfassung!$D$6:$D$3665&lt;&gt;""),1785),"")</f>
        <v/>
      </c>
    </row>
    <row r="1791" ht="20" customHeight="1">
      <c r="A1791" s="183">
        <f>IF($K1791="","",WEEKNUM(INDEX(Zeiterfassung!$K$6:$K$3665,$K1791),21))</f>
        <v/>
      </c>
      <c r="B1791" s="184">
        <f>IF($K1791="","",INDEX(Zeiterfassung!$K$6:$K$3665,$K1791))</f>
        <v/>
      </c>
      <c r="C1791" s="185">
        <f>IF($K1791="","",INDEX(Zeiterfassung!$K$6:$K$3665,$K1791))</f>
        <v/>
      </c>
      <c r="D1791" s="186">
        <f>IF($K1791="","",INDEX(Zeiterfassung!$D$6:$D$3665,$K1791))</f>
        <v/>
      </c>
      <c r="E1791" s="186">
        <f>IF($K1791="","",INDEX(Zeiterfassung!$E$6:$E$3665,$K1791))</f>
        <v/>
      </c>
      <c r="F1791" s="187">
        <f>IF($K1791="","",INDEX(Zeiterfassung!$F$6:$F$3665,$K1791))</f>
        <v/>
      </c>
      <c r="G1791" s="187">
        <f>IF($K1791="","",INDEX(Zeiterfassung!$G$6:$G$3665,$K1791))</f>
        <v/>
      </c>
      <c r="H1791" s="188">
        <f>IF($K1791="","",INDEX(Zeiterfassung!$H$6:$H$3665,$K1791))</f>
        <v/>
      </c>
      <c r="I1791" s="335">
        <f>IF(B1791=B1790,"",IF($K1791="","",INDEX(Zeiterfassung!$I$6:$I$3665,MATCH(INDEX(Zeiterfassung!$K$6:$K$3665,$K1791),Zeiterfassung!$K$6:$K$3665,0))))</f>
        <v/>
      </c>
      <c r="J1791" s="335">
        <f>IF(B1791=B1790,"",IF($K1791="","",INDEX(Zeiterfassung!$J$6:$J$3665,MATCH(INDEX(Zeiterfassung!$K$6:$K$3665,$K1791),Zeiterfassung!$K$6:$K$3665,0))))</f>
        <v/>
      </c>
      <c r="K1791">
        <f>IFERROR(AGGREGATE(15,6,(ROW(Zeiterfassung!$D$6:$D$3665)-ROW(Zeiterfassung!$D$6)+1)/(Zeiterfassung!$D$6:$D$3665&lt;&gt;""),1786),"")</f>
        <v/>
      </c>
    </row>
    <row r="1792" ht="20" customHeight="1">
      <c r="A1792" s="183">
        <f>IF($K1792="","",WEEKNUM(INDEX(Zeiterfassung!$K$6:$K$3665,$K1792),21))</f>
        <v/>
      </c>
      <c r="B1792" s="184">
        <f>IF($K1792="","",INDEX(Zeiterfassung!$K$6:$K$3665,$K1792))</f>
        <v/>
      </c>
      <c r="C1792" s="185">
        <f>IF($K1792="","",INDEX(Zeiterfassung!$K$6:$K$3665,$K1792))</f>
        <v/>
      </c>
      <c r="D1792" s="186">
        <f>IF($K1792="","",INDEX(Zeiterfassung!$D$6:$D$3665,$K1792))</f>
        <v/>
      </c>
      <c r="E1792" s="186">
        <f>IF($K1792="","",INDEX(Zeiterfassung!$E$6:$E$3665,$K1792))</f>
        <v/>
      </c>
      <c r="F1792" s="187">
        <f>IF($K1792="","",INDEX(Zeiterfassung!$F$6:$F$3665,$K1792))</f>
        <v/>
      </c>
      <c r="G1792" s="187">
        <f>IF($K1792="","",INDEX(Zeiterfassung!$G$6:$G$3665,$K1792))</f>
        <v/>
      </c>
      <c r="H1792" s="188">
        <f>IF($K1792="","",INDEX(Zeiterfassung!$H$6:$H$3665,$K1792))</f>
        <v/>
      </c>
      <c r="I1792" s="335">
        <f>IF(B1792=B1791,"",IF($K1792="","",INDEX(Zeiterfassung!$I$6:$I$3665,MATCH(INDEX(Zeiterfassung!$K$6:$K$3665,$K1792),Zeiterfassung!$K$6:$K$3665,0))))</f>
        <v/>
      </c>
      <c r="J1792" s="335">
        <f>IF(B1792=B1791,"",IF($K1792="","",INDEX(Zeiterfassung!$J$6:$J$3665,MATCH(INDEX(Zeiterfassung!$K$6:$K$3665,$K1792),Zeiterfassung!$K$6:$K$3665,0))))</f>
        <v/>
      </c>
      <c r="K1792">
        <f>IFERROR(AGGREGATE(15,6,(ROW(Zeiterfassung!$D$6:$D$3665)-ROW(Zeiterfassung!$D$6)+1)/(Zeiterfassung!$D$6:$D$3665&lt;&gt;""),1787),"")</f>
        <v/>
      </c>
    </row>
    <row r="1793" ht="20" customHeight="1">
      <c r="A1793" s="183">
        <f>IF($K1793="","",WEEKNUM(INDEX(Zeiterfassung!$K$6:$K$3665,$K1793),21))</f>
        <v/>
      </c>
      <c r="B1793" s="184">
        <f>IF($K1793="","",INDEX(Zeiterfassung!$K$6:$K$3665,$K1793))</f>
        <v/>
      </c>
      <c r="C1793" s="185">
        <f>IF($K1793="","",INDEX(Zeiterfassung!$K$6:$K$3665,$K1793))</f>
        <v/>
      </c>
      <c r="D1793" s="186">
        <f>IF($K1793="","",INDEX(Zeiterfassung!$D$6:$D$3665,$K1793))</f>
        <v/>
      </c>
      <c r="E1793" s="186">
        <f>IF($K1793="","",INDEX(Zeiterfassung!$E$6:$E$3665,$K1793))</f>
        <v/>
      </c>
      <c r="F1793" s="187">
        <f>IF($K1793="","",INDEX(Zeiterfassung!$F$6:$F$3665,$K1793))</f>
        <v/>
      </c>
      <c r="G1793" s="187">
        <f>IF($K1793="","",INDEX(Zeiterfassung!$G$6:$G$3665,$K1793))</f>
        <v/>
      </c>
      <c r="H1793" s="188">
        <f>IF($K1793="","",INDEX(Zeiterfassung!$H$6:$H$3665,$K1793))</f>
        <v/>
      </c>
      <c r="I1793" s="335">
        <f>IF(B1793=B1792,"",IF($K1793="","",INDEX(Zeiterfassung!$I$6:$I$3665,MATCH(INDEX(Zeiterfassung!$K$6:$K$3665,$K1793),Zeiterfassung!$K$6:$K$3665,0))))</f>
        <v/>
      </c>
      <c r="J1793" s="335">
        <f>IF(B1793=B1792,"",IF($K1793="","",INDEX(Zeiterfassung!$J$6:$J$3665,MATCH(INDEX(Zeiterfassung!$K$6:$K$3665,$K1793),Zeiterfassung!$K$6:$K$3665,0))))</f>
        <v/>
      </c>
      <c r="K1793">
        <f>IFERROR(AGGREGATE(15,6,(ROW(Zeiterfassung!$D$6:$D$3665)-ROW(Zeiterfassung!$D$6)+1)/(Zeiterfassung!$D$6:$D$3665&lt;&gt;""),1788),"")</f>
        <v/>
      </c>
    </row>
    <row r="1794" ht="20" customHeight="1">
      <c r="A1794" s="183">
        <f>IF($K1794="","",WEEKNUM(INDEX(Zeiterfassung!$K$6:$K$3665,$K1794),21))</f>
        <v/>
      </c>
      <c r="B1794" s="184">
        <f>IF($K1794="","",INDEX(Zeiterfassung!$K$6:$K$3665,$K1794))</f>
        <v/>
      </c>
      <c r="C1794" s="185">
        <f>IF($K1794="","",INDEX(Zeiterfassung!$K$6:$K$3665,$K1794))</f>
        <v/>
      </c>
      <c r="D1794" s="186">
        <f>IF($K1794="","",INDEX(Zeiterfassung!$D$6:$D$3665,$K1794))</f>
        <v/>
      </c>
      <c r="E1794" s="186">
        <f>IF($K1794="","",INDEX(Zeiterfassung!$E$6:$E$3665,$K1794))</f>
        <v/>
      </c>
      <c r="F1794" s="187">
        <f>IF($K1794="","",INDEX(Zeiterfassung!$F$6:$F$3665,$K1794))</f>
        <v/>
      </c>
      <c r="G1794" s="187">
        <f>IF($K1794="","",INDEX(Zeiterfassung!$G$6:$G$3665,$K1794))</f>
        <v/>
      </c>
      <c r="H1794" s="188">
        <f>IF($K1794="","",INDEX(Zeiterfassung!$H$6:$H$3665,$K1794))</f>
        <v/>
      </c>
      <c r="I1794" s="335">
        <f>IF(B1794=B1793,"",IF($K1794="","",INDEX(Zeiterfassung!$I$6:$I$3665,MATCH(INDEX(Zeiterfassung!$K$6:$K$3665,$K1794),Zeiterfassung!$K$6:$K$3665,0))))</f>
        <v/>
      </c>
      <c r="J1794" s="335">
        <f>IF(B1794=B1793,"",IF($K1794="","",INDEX(Zeiterfassung!$J$6:$J$3665,MATCH(INDEX(Zeiterfassung!$K$6:$K$3665,$K1794),Zeiterfassung!$K$6:$K$3665,0))))</f>
        <v/>
      </c>
      <c r="K1794">
        <f>IFERROR(AGGREGATE(15,6,(ROW(Zeiterfassung!$D$6:$D$3665)-ROW(Zeiterfassung!$D$6)+1)/(Zeiterfassung!$D$6:$D$3665&lt;&gt;""),1789),"")</f>
        <v/>
      </c>
    </row>
    <row r="1795" ht="20" customHeight="1">
      <c r="A1795" s="183">
        <f>IF($K1795="","",WEEKNUM(INDEX(Zeiterfassung!$K$6:$K$3665,$K1795),21))</f>
        <v/>
      </c>
      <c r="B1795" s="184">
        <f>IF($K1795="","",INDEX(Zeiterfassung!$K$6:$K$3665,$K1795))</f>
        <v/>
      </c>
      <c r="C1795" s="185">
        <f>IF($K1795="","",INDEX(Zeiterfassung!$K$6:$K$3665,$K1795))</f>
        <v/>
      </c>
      <c r="D1795" s="186">
        <f>IF($K1795="","",INDEX(Zeiterfassung!$D$6:$D$3665,$K1795))</f>
        <v/>
      </c>
      <c r="E1795" s="186">
        <f>IF($K1795="","",INDEX(Zeiterfassung!$E$6:$E$3665,$K1795))</f>
        <v/>
      </c>
      <c r="F1795" s="187">
        <f>IF($K1795="","",INDEX(Zeiterfassung!$F$6:$F$3665,$K1795))</f>
        <v/>
      </c>
      <c r="G1795" s="187">
        <f>IF($K1795="","",INDEX(Zeiterfassung!$G$6:$G$3665,$K1795))</f>
        <v/>
      </c>
      <c r="H1795" s="188">
        <f>IF($K1795="","",INDEX(Zeiterfassung!$H$6:$H$3665,$K1795))</f>
        <v/>
      </c>
      <c r="I1795" s="335">
        <f>IF(B1795=B1794,"",IF($K1795="","",INDEX(Zeiterfassung!$I$6:$I$3665,MATCH(INDEX(Zeiterfassung!$K$6:$K$3665,$K1795),Zeiterfassung!$K$6:$K$3665,0))))</f>
        <v/>
      </c>
      <c r="J1795" s="335">
        <f>IF(B1795=B1794,"",IF($K1795="","",INDEX(Zeiterfassung!$J$6:$J$3665,MATCH(INDEX(Zeiterfassung!$K$6:$K$3665,$K1795),Zeiterfassung!$K$6:$K$3665,0))))</f>
        <v/>
      </c>
      <c r="K1795">
        <f>IFERROR(AGGREGATE(15,6,(ROW(Zeiterfassung!$D$6:$D$3665)-ROW(Zeiterfassung!$D$6)+1)/(Zeiterfassung!$D$6:$D$3665&lt;&gt;""),1790),"")</f>
        <v/>
      </c>
    </row>
    <row r="1796" ht="20" customHeight="1">
      <c r="A1796" s="183">
        <f>IF($K1796="","",WEEKNUM(INDEX(Zeiterfassung!$K$6:$K$3665,$K1796),21))</f>
        <v/>
      </c>
      <c r="B1796" s="184">
        <f>IF($K1796="","",INDEX(Zeiterfassung!$K$6:$K$3665,$K1796))</f>
        <v/>
      </c>
      <c r="C1796" s="185">
        <f>IF($K1796="","",INDEX(Zeiterfassung!$K$6:$K$3665,$K1796))</f>
        <v/>
      </c>
      <c r="D1796" s="186">
        <f>IF($K1796="","",INDEX(Zeiterfassung!$D$6:$D$3665,$K1796))</f>
        <v/>
      </c>
      <c r="E1796" s="186">
        <f>IF($K1796="","",INDEX(Zeiterfassung!$E$6:$E$3665,$K1796))</f>
        <v/>
      </c>
      <c r="F1796" s="187">
        <f>IF($K1796="","",INDEX(Zeiterfassung!$F$6:$F$3665,$K1796))</f>
        <v/>
      </c>
      <c r="G1796" s="187">
        <f>IF($K1796="","",INDEX(Zeiterfassung!$G$6:$G$3665,$K1796))</f>
        <v/>
      </c>
      <c r="H1796" s="188">
        <f>IF($K1796="","",INDEX(Zeiterfassung!$H$6:$H$3665,$K1796))</f>
        <v/>
      </c>
      <c r="I1796" s="335">
        <f>IF(B1796=B1795,"",IF($K1796="","",INDEX(Zeiterfassung!$I$6:$I$3665,MATCH(INDEX(Zeiterfassung!$K$6:$K$3665,$K1796),Zeiterfassung!$K$6:$K$3665,0))))</f>
        <v/>
      </c>
      <c r="J1796" s="335">
        <f>IF(B1796=B1795,"",IF($K1796="","",INDEX(Zeiterfassung!$J$6:$J$3665,MATCH(INDEX(Zeiterfassung!$K$6:$K$3665,$K1796),Zeiterfassung!$K$6:$K$3665,0))))</f>
        <v/>
      </c>
      <c r="K1796">
        <f>IFERROR(AGGREGATE(15,6,(ROW(Zeiterfassung!$D$6:$D$3665)-ROW(Zeiterfassung!$D$6)+1)/(Zeiterfassung!$D$6:$D$3665&lt;&gt;""),1791),"")</f>
        <v/>
      </c>
    </row>
    <row r="1797" ht="20" customHeight="1">
      <c r="A1797" s="183">
        <f>IF($K1797="","",WEEKNUM(INDEX(Zeiterfassung!$K$6:$K$3665,$K1797),21))</f>
        <v/>
      </c>
      <c r="B1797" s="184">
        <f>IF($K1797="","",INDEX(Zeiterfassung!$K$6:$K$3665,$K1797))</f>
        <v/>
      </c>
      <c r="C1797" s="185">
        <f>IF($K1797="","",INDEX(Zeiterfassung!$K$6:$K$3665,$K1797))</f>
        <v/>
      </c>
      <c r="D1797" s="186">
        <f>IF($K1797="","",INDEX(Zeiterfassung!$D$6:$D$3665,$K1797))</f>
        <v/>
      </c>
      <c r="E1797" s="186">
        <f>IF($K1797="","",INDEX(Zeiterfassung!$E$6:$E$3665,$K1797))</f>
        <v/>
      </c>
      <c r="F1797" s="187">
        <f>IF($K1797="","",INDEX(Zeiterfassung!$F$6:$F$3665,$K1797))</f>
        <v/>
      </c>
      <c r="G1797" s="187">
        <f>IF($K1797="","",INDEX(Zeiterfassung!$G$6:$G$3665,$K1797))</f>
        <v/>
      </c>
      <c r="H1797" s="188">
        <f>IF($K1797="","",INDEX(Zeiterfassung!$H$6:$H$3665,$K1797))</f>
        <v/>
      </c>
      <c r="I1797" s="335">
        <f>IF(B1797=B1796,"",IF($K1797="","",INDEX(Zeiterfassung!$I$6:$I$3665,MATCH(INDEX(Zeiterfassung!$K$6:$K$3665,$K1797),Zeiterfassung!$K$6:$K$3665,0))))</f>
        <v/>
      </c>
      <c r="J1797" s="335">
        <f>IF(B1797=B1796,"",IF($K1797="","",INDEX(Zeiterfassung!$J$6:$J$3665,MATCH(INDEX(Zeiterfassung!$K$6:$K$3665,$K1797),Zeiterfassung!$K$6:$K$3665,0))))</f>
        <v/>
      </c>
      <c r="K1797">
        <f>IFERROR(AGGREGATE(15,6,(ROW(Zeiterfassung!$D$6:$D$3665)-ROW(Zeiterfassung!$D$6)+1)/(Zeiterfassung!$D$6:$D$3665&lt;&gt;""),1792),"")</f>
        <v/>
      </c>
    </row>
    <row r="1798" ht="20" customHeight="1">
      <c r="A1798" s="183">
        <f>IF($K1798="","",WEEKNUM(INDEX(Zeiterfassung!$K$6:$K$3665,$K1798),21))</f>
        <v/>
      </c>
      <c r="B1798" s="184">
        <f>IF($K1798="","",INDEX(Zeiterfassung!$K$6:$K$3665,$K1798))</f>
        <v/>
      </c>
      <c r="C1798" s="185">
        <f>IF($K1798="","",INDEX(Zeiterfassung!$K$6:$K$3665,$K1798))</f>
        <v/>
      </c>
      <c r="D1798" s="186">
        <f>IF($K1798="","",INDEX(Zeiterfassung!$D$6:$D$3665,$K1798))</f>
        <v/>
      </c>
      <c r="E1798" s="186">
        <f>IF($K1798="","",INDEX(Zeiterfassung!$E$6:$E$3665,$K1798))</f>
        <v/>
      </c>
      <c r="F1798" s="187">
        <f>IF($K1798="","",INDEX(Zeiterfassung!$F$6:$F$3665,$K1798))</f>
        <v/>
      </c>
      <c r="G1798" s="187">
        <f>IF($K1798="","",INDEX(Zeiterfassung!$G$6:$G$3665,$K1798))</f>
        <v/>
      </c>
      <c r="H1798" s="188">
        <f>IF($K1798="","",INDEX(Zeiterfassung!$H$6:$H$3665,$K1798))</f>
        <v/>
      </c>
      <c r="I1798" s="335">
        <f>IF(B1798=B1797,"",IF($K1798="","",INDEX(Zeiterfassung!$I$6:$I$3665,MATCH(INDEX(Zeiterfassung!$K$6:$K$3665,$K1798),Zeiterfassung!$K$6:$K$3665,0))))</f>
        <v/>
      </c>
      <c r="J1798" s="335">
        <f>IF(B1798=B1797,"",IF($K1798="","",INDEX(Zeiterfassung!$J$6:$J$3665,MATCH(INDEX(Zeiterfassung!$K$6:$K$3665,$K1798),Zeiterfassung!$K$6:$K$3665,0))))</f>
        <v/>
      </c>
      <c r="K1798">
        <f>IFERROR(AGGREGATE(15,6,(ROW(Zeiterfassung!$D$6:$D$3665)-ROW(Zeiterfassung!$D$6)+1)/(Zeiterfassung!$D$6:$D$3665&lt;&gt;""),1793),"")</f>
        <v/>
      </c>
    </row>
    <row r="1799" ht="20" customHeight="1">
      <c r="A1799" s="183">
        <f>IF($K1799="","",WEEKNUM(INDEX(Zeiterfassung!$K$6:$K$3665,$K1799),21))</f>
        <v/>
      </c>
      <c r="B1799" s="184">
        <f>IF($K1799="","",INDEX(Zeiterfassung!$K$6:$K$3665,$K1799))</f>
        <v/>
      </c>
      <c r="C1799" s="185">
        <f>IF($K1799="","",INDEX(Zeiterfassung!$K$6:$K$3665,$K1799))</f>
        <v/>
      </c>
      <c r="D1799" s="186">
        <f>IF($K1799="","",INDEX(Zeiterfassung!$D$6:$D$3665,$K1799))</f>
        <v/>
      </c>
      <c r="E1799" s="186">
        <f>IF($K1799="","",INDEX(Zeiterfassung!$E$6:$E$3665,$K1799))</f>
        <v/>
      </c>
      <c r="F1799" s="187">
        <f>IF($K1799="","",INDEX(Zeiterfassung!$F$6:$F$3665,$K1799))</f>
        <v/>
      </c>
      <c r="G1799" s="187">
        <f>IF($K1799="","",INDEX(Zeiterfassung!$G$6:$G$3665,$K1799))</f>
        <v/>
      </c>
      <c r="H1799" s="188">
        <f>IF($K1799="","",INDEX(Zeiterfassung!$H$6:$H$3665,$K1799))</f>
        <v/>
      </c>
      <c r="I1799" s="335">
        <f>IF(B1799=B1798,"",IF($K1799="","",INDEX(Zeiterfassung!$I$6:$I$3665,MATCH(INDEX(Zeiterfassung!$K$6:$K$3665,$K1799),Zeiterfassung!$K$6:$K$3665,0))))</f>
        <v/>
      </c>
      <c r="J1799" s="335">
        <f>IF(B1799=B1798,"",IF($K1799="","",INDEX(Zeiterfassung!$J$6:$J$3665,MATCH(INDEX(Zeiterfassung!$K$6:$K$3665,$K1799),Zeiterfassung!$K$6:$K$3665,0))))</f>
        <v/>
      </c>
      <c r="K1799">
        <f>IFERROR(AGGREGATE(15,6,(ROW(Zeiterfassung!$D$6:$D$3665)-ROW(Zeiterfassung!$D$6)+1)/(Zeiterfassung!$D$6:$D$3665&lt;&gt;""),1794),"")</f>
        <v/>
      </c>
    </row>
    <row r="1800" ht="20" customHeight="1">
      <c r="A1800" s="183">
        <f>IF($K1800="","",WEEKNUM(INDEX(Zeiterfassung!$K$6:$K$3665,$K1800),21))</f>
        <v/>
      </c>
      <c r="B1800" s="184">
        <f>IF($K1800="","",INDEX(Zeiterfassung!$K$6:$K$3665,$K1800))</f>
        <v/>
      </c>
      <c r="C1800" s="185">
        <f>IF($K1800="","",INDEX(Zeiterfassung!$K$6:$K$3665,$K1800))</f>
        <v/>
      </c>
      <c r="D1800" s="186">
        <f>IF($K1800="","",INDEX(Zeiterfassung!$D$6:$D$3665,$K1800))</f>
        <v/>
      </c>
      <c r="E1800" s="186">
        <f>IF($K1800="","",INDEX(Zeiterfassung!$E$6:$E$3665,$K1800))</f>
        <v/>
      </c>
      <c r="F1800" s="187">
        <f>IF($K1800="","",INDEX(Zeiterfassung!$F$6:$F$3665,$K1800))</f>
        <v/>
      </c>
      <c r="G1800" s="187">
        <f>IF($K1800="","",INDEX(Zeiterfassung!$G$6:$G$3665,$K1800))</f>
        <v/>
      </c>
      <c r="H1800" s="188">
        <f>IF($K1800="","",INDEX(Zeiterfassung!$H$6:$H$3665,$K1800))</f>
        <v/>
      </c>
      <c r="I1800" s="335">
        <f>IF(B1800=B1799,"",IF($K1800="","",INDEX(Zeiterfassung!$I$6:$I$3665,MATCH(INDEX(Zeiterfassung!$K$6:$K$3665,$K1800),Zeiterfassung!$K$6:$K$3665,0))))</f>
        <v/>
      </c>
      <c r="J1800" s="335">
        <f>IF(B1800=B1799,"",IF($K1800="","",INDEX(Zeiterfassung!$J$6:$J$3665,MATCH(INDEX(Zeiterfassung!$K$6:$K$3665,$K1800),Zeiterfassung!$K$6:$K$3665,0))))</f>
        <v/>
      </c>
      <c r="K1800">
        <f>IFERROR(AGGREGATE(15,6,(ROW(Zeiterfassung!$D$6:$D$3665)-ROW(Zeiterfassung!$D$6)+1)/(Zeiterfassung!$D$6:$D$3665&lt;&gt;""),1795),"")</f>
        <v/>
      </c>
    </row>
    <row r="1801" ht="20" customHeight="1">
      <c r="A1801" s="183">
        <f>IF($K1801="","",WEEKNUM(INDEX(Zeiterfassung!$K$6:$K$3665,$K1801),21))</f>
        <v/>
      </c>
      <c r="B1801" s="184">
        <f>IF($K1801="","",INDEX(Zeiterfassung!$K$6:$K$3665,$K1801))</f>
        <v/>
      </c>
      <c r="C1801" s="185">
        <f>IF($K1801="","",INDEX(Zeiterfassung!$K$6:$K$3665,$K1801))</f>
        <v/>
      </c>
      <c r="D1801" s="186">
        <f>IF($K1801="","",INDEX(Zeiterfassung!$D$6:$D$3665,$K1801))</f>
        <v/>
      </c>
      <c r="E1801" s="186">
        <f>IF($K1801="","",INDEX(Zeiterfassung!$E$6:$E$3665,$K1801))</f>
        <v/>
      </c>
      <c r="F1801" s="187">
        <f>IF($K1801="","",INDEX(Zeiterfassung!$F$6:$F$3665,$K1801))</f>
        <v/>
      </c>
      <c r="G1801" s="187">
        <f>IF($K1801="","",INDEX(Zeiterfassung!$G$6:$G$3665,$K1801))</f>
        <v/>
      </c>
      <c r="H1801" s="188">
        <f>IF($K1801="","",INDEX(Zeiterfassung!$H$6:$H$3665,$K1801))</f>
        <v/>
      </c>
      <c r="I1801" s="335">
        <f>IF(B1801=B1800,"",IF($K1801="","",INDEX(Zeiterfassung!$I$6:$I$3665,MATCH(INDEX(Zeiterfassung!$K$6:$K$3665,$K1801),Zeiterfassung!$K$6:$K$3665,0))))</f>
        <v/>
      </c>
      <c r="J1801" s="335">
        <f>IF(B1801=B1800,"",IF($K1801="","",INDEX(Zeiterfassung!$J$6:$J$3665,MATCH(INDEX(Zeiterfassung!$K$6:$K$3665,$K1801),Zeiterfassung!$K$6:$K$3665,0))))</f>
        <v/>
      </c>
      <c r="K1801">
        <f>IFERROR(AGGREGATE(15,6,(ROW(Zeiterfassung!$D$6:$D$3665)-ROW(Zeiterfassung!$D$6)+1)/(Zeiterfassung!$D$6:$D$3665&lt;&gt;""),1796),"")</f>
        <v/>
      </c>
    </row>
    <row r="1802" ht="20" customHeight="1">
      <c r="A1802" s="183">
        <f>IF($K1802="","",WEEKNUM(INDEX(Zeiterfassung!$K$6:$K$3665,$K1802),21))</f>
        <v/>
      </c>
      <c r="B1802" s="184">
        <f>IF($K1802="","",INDEX(Zeiterfassung!$K$6:$K$3665,$K1802))</f>
        <v/>
      </c>
      <c r="C1802" s="185">
        <f>IF($K1802="","",INDEX(Zeiterfassung!$K$6:$K$3665,$K1802))</f>
        <v/>
      </c>
      <c r="D1802" s="186">
        <f>IF($K1802="","",INDEX(Zeiterfassung!$D$6:$D$3665,$K1802))</f>
        <v/>
      </c>
      <c r="E1802" s="186">
        <f>IF($K1802="","",INDEX(Zeiterfassung!$E$6:$E$3665,$K1802))</f>
        <v/>
      </c>
      <c r="F1802" s="187">
        <f>IF($K1802="","",INDEX(Zeiterfassung!$F$6:$F$3665,$K1802))</f>
        <v/>
      </c>
      <c r="G1802" s="187">
        <f>IF($K1802="","",INDEX(Zeiterfassung!$G$6:$G$3665,$K1802))</f>
        <v/>
      </c>
      <c r="H1802" s="188">
        <f>IF($K1802="","",INDEX(Zeiterfassung!$H$6:$H$3665,$K1802))</f>
        <v/>
      </c>
      <c r="I1802" s="335">
        <f>IF(B1802=B1801,"",IF($K1802="","",INDEX(Zeiterfassung!$I$6:$I$3665,MATCH(INDEX(Zeiterfassung!$K$6:$K$3665,$K1802),Zeiterfassung!$K$6:$K$3665,0))))</f>
        <v/>
      </c>
      <c r="J1802" s="335">
        <f>IF(B1802=B1801,"",IF($K1802="","",INDEX(Zeiterfassung!$J$6:$J$3665,MATCH(INDEX(Zeiterfassung!$K$6:$K$3665,$K1802),Zeiterfassung!$K$6:$K$3665,0))))</f>
        <v/>
      </c>
      <c r="K1802">
        <f>IFERROR(AGGREGATE(15,6,(ROW(Zeiterfassung!$D$6:$D$3665)-ROW(Zeiterfassung!$D$6)+1)/(Zeiterfassung!$D$6:$D$3665&lt;&gt;""),1797),"")</f>
        <v/>
      </c>
    </row>
    <row r="1803" ht="20" customHeight="1">
      <c r="A1803" s="183">
        <f>IF($K1803="","",WEEKNUM(INDEX(Zeiterfassung!$K$6:$K$3665,$K1803),21))</f>
        <v/>
      </c>
      <c r="B1803" s="184">
        <f>IF($K1803="","",INDEX(Zeiterfassung!$K$6:$K$3665,$K1803))</f>
        <v/>
      </c>
      <c r="C1803" s="185">
        <f>IF($K1803="","",INDEX(Zeiterfassung!$K$6:$K$3665,$K1803))</f>
        <v/>
      </c>
      <c r="D1803" s="186">
        <f>IF($K1803="","",INDEX(Zeiterfassung!$D$6:$D$3665,$K1803))</f>
        <v/>
      </c>
      <c r="E1803" s="186">
        <f>IF($K1803="","",INDEX(Zeiterfassung!$E$6:$E$3665,$K1803))</f>
        <v/>
      </c>
      <c r="F1803" s="187">
        <f>IF($K1803="","",INDEX(Zeiterfassung!$F$6:$F$3665,$K1803))</f>
        <v/>
      </c>
      <c r="G1803" s="187">
        <f>IF($K1803="","",INDEX(Zeiterfassung!$G$6:$G$3665,$K1803))</f>
        <v/>
      </c>
      <c r="H1803" s="188">
        <f>IF($K1803="","",INDEX(Zeiterfassung!$H$6:$H$3665,$K1803))</f>
        <v/>
      </c>
      <c r="I1803" s="335">
        <f>IF(B1803=B1802,"",IF($K1803="","",INDEX(Zeiterfassung!$I$6:$I$3665,MATCH(INDEX(Zeiterfassung!$K$6:$K$3665,$K1803),Zeiterfassung!$K$6:$K$3665,0))))</f>
        <v/>
      </c>
      <c r="J1803" s="335">
        <f>IF(B1803=B1802,"",IF($K1803="","",INDEX(Zeiterfassung!$J$6:$J$3665,MATCH(INDEX(Zeiterfassung!$K$6:$K$3665,$K1803),Zeiterfassung!$K$6:$K$3665,0))))</f>
        <v/>
      </c>
      <c r="K1803">
        <f>IFERROR(AGGREGATE(15,6,(ROW(Zeiterfassung!$D$6:$D$3665)-ROW(Zeiterfassung!$D$6)+1)/(Zeiterfassung!$D$6:$D$3665&lt;&gt;""),1798),"")</f>
        <v/>
      </c>
    </row>
    <row r="1804" ht="20" customHeight="1">
      <c r="A1804" s="183">
        <f>IF($K1804="","",WEEKNUM(INDEX(Zeiterfassung!$K$6:$K$3665,$K1804),21))</f>
        <v/>
      </c>
      <c r="B1804" s="184">
        <f>IF($K1804="","",INDEX(Zeiterfassung!$K$6:$K$3665,$K1804))</f>
        <v/>
      </c>
      <c r="C1804" s="185">
        <f>IF($K1804="","",INDEX(Zeiterfassung!$K$6:$K$3665,$K1804))</f>
        <v/>
      </c>
      <c r="D1804" s="186">
        <f>IF($K1804="","",INDEX(Zeiterfassung!$D$6:$D$3665,$K1804))</f>
        <v/>
      </c>
      <c r="E1804" s="186">
        <f>IF($K1804="","",INDEX(Zeiterfassung!$E$6:$E$3665,$K1804))</f>
        <v/>
      </c>
      <c r="F1804" s="187">
        <f>IF($K1804="","",INDEX(Zeiterfassung!$F$6:$F$3665,$K1804))</f>
        <v/>
      </c>
      <c r="G1804" s="187">
        <f>IF($K1804="","",INDEX(Zeiterfassung!$G$6:$G$3665,$K1804))</f>
        <v/>
      </c>
      <c r="H1804" s="188">
        <f>IF($K1804="","",INDEX(Zeiterfassung!$H$6:$H$3665,$K1804))</f>
        <v/>
      </c>
      <c r="I1804" s="335">
        <f>IF(B1804=B1803,"",IF($K1804="","",INDEX(Zeiterfassung!$I$6:$I$3665,MATCH(INDEX(Zeiterfassung!$K$6:$K$3665,$K1804),Zeiterfassung!$K$6:$K$3665,0))))</f>
        <v/>
      </c>
      <c r="J1804" s="335">
        <f>IF(B1804=B1803,"",IF($K1804="","",INDEX(Zeiterfassung!$J$6:$J$3665,MATCH(INDEX(Zeiterfassung!$K$6:$K$3665,$K1804),Zeiterfassung!$K$6:$K$3665,0))))</f>
        <v/>
      </c>
      <c r="K1804">
        <f>IFERROR(AGGREGATE(15,6,(ROW(Zeiterfassung!$D$6:$D$3665)-ROW(Zeiterfassung!$D$6)+1)/(Zeiterfassung!$D$6:$D$3665&lt;&gt;""),1799),"")</f>
        <v/>
      </c>
    </row>
    <row r="1805" ht="20" customHeight="1">
      <c r="A1805" s="183">
        <f>IF($K1805="","",WEEKNUM(INDEX(Zeiterfassung!$K$6:$K$3665,$K1805),21))</f>
        <v/>
      </c>
      <c r="B1805" s="184">
        <f>IF($K1805="","",INDEX(Zeiterfassung!$K$6:$K$3665,$K1805))</f>
        <v/>
      </c>
      <c r="C1805" s="185">
        <f>IF($K1805="","",INDEX(Zeiterfassung!$K$6:$K$3665,$K1805))</f>
        <v/>
      </c>
      <c r="D1805" s="186">
        <f>IF($K1805="","",INDEX(Zeiterfassung!$D$6:$D$3665,$K1805))</f>
        <v/>
      </c>
      <c r="E1805" s="186">
        <f>IF($K1805="","",INDEX(Zeiterfassung!$E$6:$E$3665,$K1805))</f>
        <v/>
      </c>
      <c r="F1805" s="187">
        <f>IF($K1805="","",INDEX(Zeiterfassung!$F$6:$F$3665,$K1805))</f>
        <v/>
      </c>
      <c r="G1805" s="187">
        <f>IF($K1805="","",INDEX(Zeiterfassung!$G$6:$G$3665,$K1805))</f>
        <v/>
      </c>
      <c r="H1805" s="188">
        <f>IF($K1805="","",INDEX(Zeiterfassung!$H$6:$H$3665,$K1805))</f>
        <v/>
      </c>
      <c r="I1805" s="335">
        <f>IF(B1805=B1804,"",IF($K1805="","",INDEX(Zeiterfassung!$I$6:$I$3665,MATCH(INDEX(Zeiterfassung!$K$6:$K$3665,$K1805),Zeiterfassung!$K$6:$K$3665,0))))</f>
        <v/>
      </c>
      <c r="J1805" s="335">
        <f>IF(B1805=B1804,"",IF($K1805="","",INDEX(Zeiterfassung!$J$6:$J$3665,MATCH(INDEX(Zeiterfassung!$K$6:$K$3665,$K1805),Zeiterfassung!$K$6:$K$3665,0))))</f>
        <v/>
      </c>
      <c r="K1805">
        <f>IFERROR(AGGREGATE(15,6,(ROW(Zeiterfassung!$D$6:$D$3665)-ROW(Zeiterfassung!$D$6)+1)/(Zeiterfassung!$D$6:$D$3665&lt;&gt;""),1800),"")</f>
        <v/>
      </c>
    </row>
    <row r="1806" ht="20" customHeight="1">
      <c r="A1806" s="183">
        <f>IF($K1806="","",WEEKNUM(INDEX(Zeiterfassung!$K$6:$K$3665,$K1806),21))</f>
        <v/>
      </c>
      <c r="B1806" s="184">
        <f>IF($K1806="","",INDEX(Zeiterfassung!$K$6:$K$3665,$K1806))</f>
        <v/>
      </c>
      <c r="C1806" s="185">
        <f>IF($K1806="","",INDEX(Zeiterfassung!$K$6:$K$3665,$K1806))</f>
        <v/>
      </c>
      <c r="D1806" s="186">
        <f>IF($K1806="","",INDEX(Zeiterfassung!$D$6:$D$3665,$K1806))</f>
        <v/>
      </c>
      <c r="E1806" s="186">
        <f>IF($K1806="","",INDEX(Zeiterfassung!$E$6:$E$3665,$K1806))</f>
        <v/>
      </c>
      <c r="F1806" s="187">
        <f>IF($K1806="","",INDEX(Zeiterfassung!$F$6:$F$3665,$K1806))</f>
        <v/>
      </c>
      <c r="G1806" s="187">
        <f>IF($K1806="","",INDEX(Zeiterfassung!$G$6:$G$3665,$K1806))</f>
        <v/>
      </c>
      <c r="H1806" s="188">
        <f>IF($K1806="","",INDEX(Zeiterfassung!$H$6:$H$3665,$K1806))</f>
        <v/>
      </c>
      <c r="I1806" s="335">
        <f>IF(B1806=B1805,"",IF($K1806="","",INDEX(Zeiterfassung!$I$6:$I$3665,MATCH(INDEX(Zeiterfassung!$K$6:$K$3665,$K1806),Zeiterfassung!$K$6:$K$3665,0))))</f>
        <v/>
      </c>
      <c r="J1806" s="335">
        <f>IF(B1806=B1805,"",IF($K1806="","",INDEX(Zeiterfassung!$J$6:$J$3665,MATCH(INDEX(Zeiterfassung!$K$6:$K$3665,$K1806),Zeiterfassung!$K$6:$K$3665,0))))</f>
        <v/>
      </c>
      <c r="K1806">
        <f>IFERROR(AGGREGATE(15,6,(ROW(Zeiterfassung!$D$6:$D$3665)-ROW(Zeiterfassung!$D$6)+1)/(Zeiterfassung!$D$6:$D$3665&lt;&gt;""),1801),"")</f>
        <v/>
      </c>
    </row>
    <row r="1807" ht="20" customHeight="1">
      <c r="A1807" s="183">
        <f>IF($K1807="","",WEEKNUM(INDEX(Zeiterfassung!$K$6:$K$3665,$K1807),21))</f>
        <v/>
      </c>
      <c r="B1807" s="184">
        <f>IF($K1807="","",INDEX(Zeiterfassung!$K$6:$K$3665,$K1807))</f>
        <v/>
      </c>
      <c r="C1807" s="185">
        <f>IF($K1807="","",INDEX(Zeiterfassung!$K$6:$K$3665,$K1807))</f>
        <v/>
      </c>
      <c r="D1807" s="186">
        <f>IF($K1807="","",INDEX(Zeiterfassung!$D$6:$D$3665,$K1807))</f>
        <v/>
      </c>
      <c r="E1807" s="186">
        <f>IF($K1807="","",INDEX(Zeiterfassung!$E$6:$E$3665,$K1807))</f>
        <v/>
      </c>
      <c r="F1807" s="187">
        <f>IF($K1807="","",INDEX(Zeiterfassung!$F$6:$F$3665,$K1807))</f>
        <v/>
      </c>
      <c r="G1807" s="187">
        <f>IF($K1807="","",INDEX(Zeiterfassung!$G$6:$G$3665,$K1807))</f>
        <v/>
      </c>
      <c r="H1807" s="188">
        <f>IF($K1807="","",INDEX(Zeiterfassung!$H$6:$H$3665,$K1807))</f>
        <v/>
      </c>
      <c r="I1807" s="335">
        <f>IF(B1807=B1806,"",IF($K1807="","",INDEX(Zeiterfassung!$I$6:$I$3665,MATCH(INDEX(Zeiterfassung!$K$6:$K$3665,$K1807),Zeiterfassung!$K$6:$K$3665,0))))</f>
        <v/>
      </c>
      <c r="J1807" s="335">
        <f>IF(B1807=B1806,"",IF($K1807="","",INDEX(Zeiterfassung!$J$6:$J$3665,MATCH(INDEX(Zeiterfassung!$K$6:$K$3665,$K1807),Zeiterfassung!$K$6:$K$3665,0))))</f>
        <v/>
      </c>
      <c r="K1807">
        <f>IFERROR(AGGREGATE(15,6,(ROW(Zeiterfassung!$D$6:$D$3665)-ROW(Zeiterfassung!$D$6)+1)/(Zeiterfassung!$D$6:$D$3665&lt;&gt;""),1802),"")</f>
        <v/>
      </c>
    </row>
    <row r="1808" ht="20" customHeight="1">
      <c r="A1808" s="183">
        <f>IF($K1808="","",WEEKNUM(INDEX(Zeiterfassung!$K$6:$K$3665,$K1808),21))</f>
        <v/>
      </c>
      <c r="B1808" s="184">
        <f>IF($K1808="","",INDEX(Zeiterfassung!$K$6:$K$3665,$K1808))</f>
        <v/>
      </c>
      <c r="C1808" s="185">
        <f>IF($K1808="","",INDEX(Zeiterfassung!$K$6:$K$3665,$K1808))</f>
        <v/>
      </c>
      <c r="D1808" s="186">
        <f>IF($K1808="","",INDEX(Zeiterfassung!$D$6:$D$3665,$K1808))</f>
        <v/>
      </c>
      <c r="E1808" s="186">
        <f>IF($K1808="","",INDEX(Zeiterfassung!$E$6:$E$3665,$K1808))</f>
        <v/>
      </c>
      <c r="F1808" s="187">
        <f>IF($K1808="","",INDEX(Zeiterfassung!$F$6:$F$3665,$K1808))</f>
        <v/>
      </c>
      <c r="G1808" s="187">
        <f>IF($K1808="","",INDEX(Zeiterfassung!$G$6:$G$3665,$K1808))</f>
        <v/>
      </c>
      <c r="H1808" s="188">
        <f>IF($K1808="","",INDEX(Zeiterfassung!$H$6:$H$3665,$K1808))</f>
        <v/>
      </c>
      <c r="I1808" s="335">
        <f>IF(B1808=B1807,"",IF($K1808="","",INDEX(Zeiterfassung!$I$6:$I$3665,MATCH(INDEX(Zeiterfassung!$K$6:$K$3665,$K1808),Zeiterfassung!$K$6:$K$3665,0))))</f>
        <v/>
      </c>
      <c r="J1808" s="335">
        <f>IF(B1808=B1807,"",IF($K1808="","",INDEX(Zeiterfassung!$J$6:$J$3665,MATCH(INDEX(Zeiterfassung!$K$6:$K$3665,$K1808),Zeiterfassung!$K$6:$K$3665,0))))</f>
        <v/>
      </c>
      <c r="K1808">
        <f>IFERROR(AGGREGATE(15,6,(ROW(Zeiterfassung!$D$6:$D$3665)-ROW(Zeiterfassung!$D$6)+1)/(Zeiterfassung!$D$6:$D$3665&lt;&gt;""),1803),"")</f>
        <v/>
      </c>
    </row>
    <row r="1809" ht="20" customHeight="1">
      <c r="A1809" s="183">
        <f>IF($K1809="","",WEEKNUM(INDEX(Zeiterfassung!$K$6:$K$3665,$K1809),21))</f>
        <v/>
      </c>
      <c r="B1809" s="184">
        <f>IF($K1809="","",INDEX(Zeiterfassung!$K$6:$K$3665,$K1809))</f>
        <v/>
      </c>
      <c r="C1809" s="185">
        <f>IF($K1809="","",INDEX(Zeiterfassung!$K$6:$K$3665,$K1809))</f>
        <v/>
      </c>
      <c r="D1809" s="186">
        <f>IF($K1809="","",INDEX(Zeiterfassung!$D$6:$D$3665,$K1809))</f>
        <v/>
      </c>
      <c r="E1809" s="186">
        <f>IF($K1809="","",INDEX(Zeiterfassung!$E$6:$E$3665,$K1809))</f>
        <v/>
      </c>
      <c r="F1809" s="187">
        <f>IF($K1809="","",INDEX(Zeiterfassung!$F$6:$F$3665,$K1809))</f>
        <v/>
      </c>
      <c r="G1809" s="187">
        <f>IF($K1809="","",INDEX(Zeiterfassung!$G$6:$G$3665,$K1809))</f>
        <v/>
      </c>
      <c r="H1809" s="188">
        <f>IF($K1809="","",INDEX(Zeiterfassung!$H$6:$H$3665,$K1809))</f>
        <v/>
      </c>
      <c r="I1809" s="335">
        <f>IF(B1809=B1808,"",IF($K1809="","",INDEX(Zeiterfassung!$I$6:$I$3665,MATCH(INDEX(Zeiterfassung!$K$6:$K$3665,$K1809),Zeiterfassung!$K$6:$K$3665,0))))</f>
        <v/>
      </c>
      <c r="J1809" s="335">
        <f>IF(B1809=B1808,"",IF($K1809="","",INDEX(Zeiterfassung!$J$6:$J$3665,MATCH(INDEX(Zeiterfassung!$K$6:$K$3665,$K1809),Zeiterfassung!$K$6:$K$3665,0))))</f>
        <v/>
      </c>
      <c r="K1809">
        <f>IFERROR(AGGREGATE(15,6,(ROW(Zeiterfassung!$D$6:$D$3665)-ROW(Zeiterfassung!$D$6)+1)/(Zeiterfassung!$D$6:$D$3665&lt;&gt;""),1804),"")</f>
        <v/>
      </c>
    </row>
    <row r="1810" ht="20" customHeight="1">
      <c r="A1810" s="183">
        <f>IF($K1810="","",WEEKNUM(INDEX(Zeiterfassung!$K$6:$K$3665,$K1810),21))</f>
        <v/>
      </c>
      <c r="B1810" s="184">
        <f>IF($K1810="","",INDEX(Zeiterfassung!$K$6:$K$3665,$K1810))</f>
        <v/>
      </c>
      <c r="C1810" s="185">
        <f>IF($K1810="","",INDEX(Zeiterfassung!$K$6:$K$3665,$K1810))</f>
        <v/>
      </c>
      <c r="D1810" s="186">
        <f>IF($K1810="","",INDEX(Zeiterfassung!$D$6:$D$3665,$K1810))</f>
        <v/>
      </c>
      <c r="E1810" s="186">
        <f>IF($K1810="","",INDEX(Zeiterfassung!$E$6:$E$3665,$K1810))</f>
        <v/>
      </c>
      <c r="F1810" s="187">
        <f>IF($K1810="","",INDEX(Zeiterfassung!$F$6:$F$3665,$K1810))</f>
        <v/>
      </c>
      <c r="G1810" s="187">
        <f>IF($K1810="","",INDEX(Zeiterfassung!$G$6:$G$3665,$K1810))</f>
        <v/>
      </c>
      <c r="H1810" s="188">
        <f>IF($K1810="","",INDEX(Zeiterfassung!$H$6:$H$3665,$K1810))</f>
        <v/>
      </c>
      <c r="I1810" s="335">
        <f>IF(B1810=B1809,"",IF($K1810="","",INDEX(Zeiterfassung!$I$6:$I$3665,MATCH(INDEX(Zeiterfassung!$K$6:$K$3665,$K1810),Zeiterfassung!$K$6:$K$3665,0))))</f>
        <v/>
      </c>
      <c r="J1810" s="335">
        <f>IF(B1810=B1809,"",IF($K1810="","",INDEX(Zeiterfassung!$J$6:$J$3665,MATCH(INDEX(Zeiterfassung!$K$6:$K$3665,$K1810),Zeiterfassung!$K$6:$K$3665,0))))</f>
        <v/>
      </c>
      <c r="K1810">
        <f>IFERROR(AGGREGATE(15,6,(ROW(Zeiterfassung!$D$6:$D$3665)-ROW(Zeiterfassung!$D$6)+1)/(Zeiterfassung!$D$6:$D$3665&lt;&gt;""),1805),"")</f>
        <v/>
      </c>
    </row>
    <row r="1811" ht="20" customHeight="1">
      <c r="A1811" s="183">
        <f>IF($K1811="","",WEEKNUM(INDEX(Zeiterfassung!$K$6:$K$3665,$K1811),21))</f>
        <v/>
      </c>
      <c r="B1811" s="184">
        <f>IF($K1811="","",INDEX(Zeiterfassung!$K$6:$K$3665,$K1811))</f>
        <v/>
      </c>
      <c r="C1811" s="185">
        <f>IF($K1811="","",INDEX(Zeiterfassung!$K$6:$K$3665,$K1811))</f>
        <v/>
      </c>
      <c r="D1811" s="186">
        <f>IF($K1811="","",INDEX(Zeiterfassung!$D$6:$D$3665,$K1811))</f>
        <v/>
      </c>
      <c r="E1811" s="186">
        <f>IF($K1811="","",INDEX(Zeiterfassung!$E$6:$E$3665,$K1811))</f>
        <v/>
      </c>
      <c r="F1811" s="187">
        <f>IF($K1811="","",INDEX(Zeiterfassung!$F$6:$F$3665,$K1811))</f>
        <v/>
      </c>
      <c r="G1811" s="187">
        <f>IF($K1811="","",INDEX(Zeiterfassung!$G$6:$G$3665,$K1811))</f>
        <v/>
      </c>
      <c r="H1811" s="188">
        <f>IF($K1811="","",INDEX(Zeiterfassung!$H$6:$H$3665,$K1811))</f>
        <v/>
      </c>
      <c r="I1811" s="335">
        <f>IF(B1811=B1810,"",IF($K1811="","",INDEX(Zeiterfassung!$I$6:$I$3665,MATCH(INDEX(Zeiterfassung!$K$6:$K$3665,$K1811),Zeiterfassung!$K$6:$K$3665,0))))</f>
        <v/>
      </c>
      <c r="J1811" s="335">
        <f>IF(B1811=B1810,"",IF($K1811="","",INDEX(Zeiterfassung!$J$6:$J$3665,MATCH(INDEX(Zeiterfassung!$K$6:$K$3665,$K1811),Zeiterfassung!$K$6:$K$3665,0))))</f>
        <v/>
      </c>
      <c r="K1811">
        <f>IFERROR(AGGREGATE(15,6,(ROW(Zeiterfassung!$D$6:$D$3665)-ROW(Zeiterfassung!$D$6)+1)/(Zeiterfassung!$D$6:$D$3665&lt;&gt;""),1806),"")</f>
        <v/>
      </c>
    </row>
    <row r="1812" ht="20" customHeight="1">
      <c r="A1812" s="183">
        <f>IF($K1812="","",WEEKNUM(INDEX(Zeiterfassung!$K$6:$K$3665,$K1812),21))</f>
        <v/>
      </c>
      <c r="B1812" s="184">
        <f>IF($K1812="","",INDEX(Zeiterfassung!$K$6:$K$3665,$K1812))</f>
        <v/>
      </c>
      <c r="C1812" s="185">
        <f>IF($K1812="","",INDEX(Zeiterfassung!$K$6:$K$3665,$K1812))</f>
        <v/>
      </c>
      <c r="D1812" s="186">
        <f>IF($K1812="","",INDEX(Zeiterfassung!$D$6:$D$3665,$K1812))</f>
        <v/>
      </c>
      <c r="E1812" s="186">
        <f>IF($K1812="","",INDEX(Zeiterfassung!$E$6:$E$3665,$K1812))</f>
        <v/>
      </c>
      <c r="F1812" s="187">
        <f>IF($K1812="","",INDEX(Zeiterfassung!$F$6:$F$3665,$K1812))</f>
        <v/>
      </c>
      <c r="G1812" s="187">
        <f>IF($K1812="","",INDEX(Zeiterfassung!$G$6:$G$3665,$K1812))</f>
        <v/>
      </c>
      <c r="H1812" s="188">
        <f>IF($K1812="","",INDEX(Zeiterfassung!$H$6:$H$3665,$K1812))</f>
        <v/>
      </c>
      <c r="I1812" s="335">
        <f>IF(B1812=B1811,"",IF($K1812="","",INDEX(Zeiterfassung!$I$6:$I$3665,MATCH(INDEX(Zeiterfassung!$K$6:$K$3665,$K1812),Zeiterfassung!$K$6:$K$3665,0))))</f>
        <v/>
      </c>
      <c r="J1812" s="335">
        <f>IF(B1812=B1811,"",IF($K1812="","",INDEX(Zeiterfassung!$J$6:$J$3665,MATCH(INDEX(Zeiterfassung!$K$6:$K$3665,$K1812),Zeiterfassung!$K$6:$K$3665,0))))</f>
        <v/>
      </c>
      <c r="K1812">
        <f>IFERROR(AGGREGATE(15,6,(ROW(Zeiterfassung!$D$6:$D$3665)-ROW(Zeiterfassung!$D$6)+1)/(Zeiterfassung!$D$6:$D$3665&lt;&gt;""),1807),"")</f>
        <v/>
      </c>
    </row>
    <row r="1813" ht="20" customHeight="1">
      <c r="A1813" s="183">
        <f>IF($K1813="","",WEEKNUM(INDEX(Zeiterfassung!$K$6:$K$3665,$K1813),21))</f>
        <v/>
      </c>
      <c r="B1813" s="184">
        <f>IF($K1813="","",INDEX(Zeiterfassung!$K$6:$K$3665,$K1813))</f>
        <v/>
      </c>
      <c r="C1813" s="185">
        <f>IF($K1813="","",INDEX(Zeiterfassung!$K$6:$K$3665,$K1813))</f>
        <v/>
      </c>
      <c r="D1813" s="186">
        <f>IF($K1813="","",INDEX(Zeiterfassung!$D$6:$D$3665,$K1813))</f>
        <v/>
      </c>
      <c r="E1813" s="186">
        <f>IF($K1813="","",INDEX(Zeiterfassung!$E$6:$E$3665,$K1813))</f>
        <v/>
      </c>
      <c r="F1813" s="187">
        <f>IF($K1813="","",INDEX(Zeiterfassung!$F$6:$F$3665,$K1813))</f>
        <v/>
      </c>
      <c r="G1813" s="187">
        <f>IF($K1813="","",INDEX(Zeiterfassung!$G$6:$G$3665,$K1813))</f>
        <v/>
      </c>
      <c r="H1813" s="188">
        <f>IF($K1813="","",INDEX(Zeiterfassung!$H$6:$H$3665,$K1813))</f>
        <v/>
      </c>
      <c r="I1813" s="335">
        <f>IF(B1813=B1812,"",IF($K1813="","",INDEX(Zeiterfassung!$I$6:$I$3665,MATCH(INDEX(Zeiterfassung!$K$6:$K$3665,$K1813),Zeiterfassung!$K$6:$K$3665,0))))</f>
        <v/>
      </c>
      <c r="J1813" s="335">
        <f>IF(B1813=B1812,"",IF($K1813="","",INDEX(Zeiterfassung!$J$6:$J$3665,MATCH(INDEX(Zeiterfassung!$K$6:$K$3665,$K1813),Zeiterfassung!$K$6:$K$3665,0))))</f>
        <v/>
      </c>
      <c r="K1813">
        <f>IFERROR(AGGREGATE(15,6,(ROW(Zeiterfassung!$D$6:$D$3665)-ROW(Zeiterfassung!$D$6)+1)/(Zeiterfassung!$D$6:$D$3665&lt;&gt;""),1808),"")</f>
        <v/>
      </c>
    </row>
    <row r="1814" ht="20" customHeight="1">
      <c r="A1814" s="183">
        <f>IF($K1814="","",WEEKNUM(INDEX(Zeiterfassung!$K$6:$K$3665,$K1814),21))</f>
        <v/>
      </c>
      <c r="B1814" s="184">
        <f>IF($K1814="","",INDEX(Zeiterfassung!$K$6:$K$3665,$K1814))</f>
        <v/>
      </c>
      <c r="C1814" s="185">
        <f>IF($K1814="","",INDEX(Zeiterfassung!$K$6:$K$3665,$K1814))</f>
        <v/>
      </c>
      <c r="D1814" s="186">
        <f>IF($K1814="","",INDEX(Zeiterfassung!$D$6:$D$3665,$K1814))</f>
        <v/>
      </c>
      <c r="E1814" s="186">
        <f>IF($K1814="","",INDEX(Zeiterfassung!$E$6:$E$3665,$K1814))</f>
        <v/>
      </c>
      <c r="F1814" s="187">
        <f>IF($K1814="","",INDEX(Zeiterfassung!$F$6:$F$3665,$K1814))</f>
        <v/>
      </c>
      <c r="G1814" s="187">
        <f>IF($K1814="","",INDEX(Zeiterfassung!$G$6:$G$3665,$K1814))</f>
        <v/>
      </c>
      <c r="H1814" s="188">
        <f>IF($K1814="","",INDEX(Zeiterfassung!$H$6:$H$3665,$K1814))</f>
        <v/>
      </c>
      <c r="I1814" s="335">
        <f>IF(B1814=B1813,"",IF($K1814="","",INDEX(Zeiterfassung!$I$6:$I$3665,MATCH(INDEX(Zeiterfassung!$K$6:$K$3665,$K1814),Zeiterfassung!$K$6:$K$3665,0))))</f>
        <v/>
      </c>
      <c r="J1814" s="335">
        <f>IF(B1814=B1813,"",IF($K1814="","",INDEX(Zeiterfassung!$J$6:$J$3665,MATCH(INDEX(Zeiterfassung!$K$6:$K$3665,$K1814),Zeiterfassung!$K$6:$K$3665,0))))</f>
        <v/>
      </c>
      <c r="K1814">
        <f>IFERROR(AGGREGATE(15,6,(ROW(Zeiterfassung!$D$6:$D$3665)-ROW(Zeiterfassung!$D$6)+1)/(Zeiterfassung!$D$6:$D$3665&lt;&gt;""),1809),"")</f>
        <v/>
      </c>
    </row>
    <row r="1815" ht="20" customHeight="1">
      <c r="A1815" s="183">
        <f>IF($K1815="","",WEEKNUM(INDEX(Zeiterfassung!$K$6:$K$3665,$K1815),21))</f>
        <v/>
      </c>
      <c r="B1815" s="184">
        <f>IF($K1815="","",INDEX(Zeiterfassung!$K$6:$K$3665,$K1815))</f>
        <v/>
      </c>
      <c r="C1815" s="185">
        <f>IF($K1815="","",INDEX(Zeiterfassung!$K$6:$K$3665,$K1815))</f>
        <v/>
      </c>
      <c r="D1815" s="186">
        <f>IF($K1815="","",INDEX(Zeiterfassung!$D$6:$D$3665,$K1815))</f>
        <v/>
      </c>
      <c r="E1815" s="186">
        <f>IF($K1815="","",INDEX(Zeiterfassung!$E$6:$E$3665,$K1815))</f>
        <v/>
      </c>
      <c r="F1815" s="187">
        <f>IF($K1815="","",INDEX(Zeiterfassung!$F$6:$F$3665,$K1815))</f>
        <v/>
      </c>
      <c r="G1815" s="187">
        <f>IF($K1815="","",INDEX(Zeiterfassung!$G$6:$G$3665,$K1815))</f>
        <v/>
      </c>
      <c r="H1815" s="188">
        <f>IF($K1815="","",INDEX(Zeiterfassung!$H$6:$H$3665,$K1815))</f>
        <v/>
      </c>
      <c r="I1815" s="335">
        <f>IF(B1815=B1814,"",IF($K1815="","",INDEX(Zeiterfassung!$I$6:$I$3665,MATCH(INDEX(Zeiterfassung!$K$6:$K$3665,$K1815),Zeiterfassung!$K$6:$K$3665,0))))</f>
        <v/>
      </c>
      <c r="J1815" s="335">
        <f>IF(B1815=B1814,"",IF($K1815="","",INDEX(Zeiterfassung!$J$6:$J$3665,MATCH(INDEX(Zeiterfassung!$K$6:$K$3665,$K1815),Zeiterfassung!$K$6:$K$3665,0))))</f>
        <v/>
      </c>
      <c r="K1815">
        <f>IFERROR(AGGREGATE(15,6,(ROW(Zeiterfassung!$D$6:$D$3665)-ROW(Zeiterfassung!$D$6)+1)/(Zeiterfassung!$D$6:$D$3665&lt;&gt;""),1810),"")</f>
        <v/>
      </c>
    </row>
    <row r="1816" ht="20" customHeight="1">
      <c r="A1816" s="183">
        <f>IF($K1816="","",WEEKNUM(INDEX(Zeiterfassung!$K$6:$K$3665,$K1816),21))</f>
        <v/>
      </c>
      <c r="B1816" s="184">
        <f>IF($K1816="","",INDEX(Zeiterfassung!$K$6:$K$3665,$K1816))</f>
        <v/>
      </c>
      <c r="C1816" s="185">
        <f>IF($K1816="","",INDEX(Zeiterfassung!$K$6:$K$3665,$K1816))</f>
        <v/>
      </c>
      <c r="D1816" s="186">
        <f>IF($K1816="","",INDEX(Zeiterfassung!$D$6:$D$3665,$K1816))</f>
        <v/>
      </c>
      <c r="E1816" s="186">
        <f>IF($K1816="","",INDEX(Zeiterfassung!$E$6:$E$3665,$K1816))</f>
        <v/>
      </c>
      <c r="F1816" s="187">
        <f>IF($K1816="","",INDEX(Zeiterfassung!$F$6:$F$3665,$K1816))</f>
        <v/>
      </c>
      <c r="G1816" s="187">
        <f>IF($K1816="","",INDEX(Zeiterfassung!$G$6:$G$3665,$K1816))</f>
        <v/>
      </c>
      <c r="H1816" s="188">
        <f>IF($K1816="","",INDEX(Zeiterfassung!$H$6:$H$3665,$K1816))</f>
        <v/>
      </c>
      <c r="I1816" s="335">
        <f>IF(B1816=B1815,"",IF($K1816="","",INDEX(Zeiterfassung!$I$6:$I$3665,MATCH(INDEX(Zeiterfassung!$K$6:$K$3665,$K1816),Zeiterfassung!$K$6:$K$3665,0))))</f>
        <v/>
      </c>
      <c r="J1816" s="335">
        <f>IF(B1816=B1815,"",IF($K1816="","",INDEX(Zeiterfassung!$J$6:$J$3665,MATCH(INDEX(Zeiterfassung!$K$6:$K$3665,$K1816),Zeiterfassung!$K$6:$K$3665,0))))</f>
        <v/>
      </c>
      <c r="K1816">
        <f>IFERROR(AGGREGATE(15,6,(ROW(Zeiterfassung!$D$6:$D$3665)-ROW(Zeiterfassung!$D$6)+1)/(Zeiterfassung!$D$6:$D$3665&lt;&gt;""),1811),"")</f>
        <v/>
      </c>
    </row>
    <row r="1817" ht="20" customHeight="1">
      <c r="A1817" s="183">
        <f>IF($K1817="","",WEEKNUM(INDEX(Zeiterfassung!$K$6:$K$3665,$K1817),21))</f>
        <v/>
      </c>
      <c r="B1817" s="184">
        <f>IF($K1817="","",INDEX(Zeiterfassung!$K$6:$K$3665,$K1817))</f>
        <v/>
      </c>
      <c r="C1817" s="185">
        <f>IF($K1817="","",INDEX(Zeiterfassung!$K$6:$K$3665,$K1817))</f>
        <v/>
      </c>
      <c r="D1817" s="186">
        <f>IF($K1817="","",INDEX(Zeiterfassung!$D$6:$D$3665,$K1817))</f>
        <v/>
      </c>
      <c r="E1817" s="186">
        <f>IF($K1817="","",INDEX(Zeiterfassung!$E$6:$E$3665,$K1817))</f>
        <v/>
      </c>
      <c r="F1817" s="187">
        <f>IF($K1817="","",INDEX(Zeiterfassung!$F$6:$F$3665,$K1817))</f>
        <v/>
      </c>
      <c r="G1817" s="187">
        <f>IF($K1817="","",INDEX(Zeiterfassung!$G$6:$G$3665,$K1817))</f>
        <v/>
      </c>
      <c r="H1817" s="188">
        <f>IF($K1817="","",INDEX(Zeiterfassung!$H$6:$H$3665,$K1817))</f>
        <v/>
      </c>
      <c r="I1817" s="335">
        <f>IF(B1817=B1816,"",IF($K1817="","",INDEX(Zeiterfassung!$I$6:$I$3665,MATCH(INDEX(Zeiterfassung!$K$6:$K$3665,$K1817),Zeiterfassung!$K$6:$K$3665,0))))</f>
        <v/>
      </c>
      <c r="J1817" s="335">
        <f>IF(B1817=B1816,"",IF($K1817="","",INDEX(Zeiterfassung!$J$6:$J$3665,MATCH(INDEX(Zeiterfassung!$K$6:$K$3665,$K1817),Zeiterfassung!$K$6:$K$3665,0))))</f>
        <v/>
      </c>
      <c r="K1817">
        <f>IFERROR(AGGREGATE(15,6,(ROW(Zeiterfassung!$D$6:$D$3665)-ROW(Zeiterfassung!$D$6)+1)/(Zeiterfassung!$D$6:$D$3665&lt;&gt;""),1812),"")</f>
        <v/>
      </c>
    </row>
    <row r="1818" ht="20" customHeight="1">
      <c r="A1818" s="183">
        <f>IF($K1818="","",WEEKNUM(INDEX(Zeiterfassung!$K$6:$K$3665,$K1818),21))</f>
        <v/>
      </c>
      <c r="B1818" s="184">
        <f>IF($K1818="","",INDEX(Zeiterfassung!$K$6:$K$3665,$K1818))</f>
        <v/>
      </c>
      <c r="C1818" s="185">
        <f>IF($K1818="","",INDEX(Zeiterfassung!$K$6:$K$3665,$K1818))</f>
        <v/>
      </c>
      <c r="D1818" s="186">
        <f>IF($K1818="","",INDEX(Zeiterfassung!$D$6:$D$3665,$K1818))</f>
        <v/>
      </c>
      <c r="E1818" s="186">
        <f>IF($K1818="","",INDEX(Zeiterfassung!$E$6:$E$3665,$K1818))</f>
        <v/>
      </c>
      <c r="F1818" s="187">
        <f>IF($K1818="","",INDEX(Zeiterfassung!$F$6:$F$3665,$K1818))</f>
        <v/>
      </c>
      <c r="G1818" s="187">
        <f>IF($K1818="","",INDEX(Zeiterfassung!$G$6:$G$3665,$K1818))</f>
        <v/>
      </c>
      <c r="H1818" s="188">
        <f>IF($K1818="","",INDEX(Zeiterfassung!$H$6:$H$3665,$K1818))</f>
        <v/>
      </c>
      <c r="I1818" s="335">
        <f>IF(B1818=B1817,"",IF($K1818="","",INDEX(Zeiterfassung!$I$6:$I$3665,MATCH(INDEX(Zeiterfassung!$K$6:$K$3665,$K1818),Zeiterfassung!$K$6:$K$3665,0))))</f>
        <v/>
      </c>
      <c r="J1818" s="335">
        <f>IF(B1818=B1817,"",IF($K1818="","",INDEX(Zeiterfassung!$J$6:$J$3665,MATCH(INDEX(Zeiterfassung!$K$6:$K$3665,$K1818),Zeiterfassung!$K$6:$K$3665,0))))</f>
        <v/>
      </c>
      <c r="K1818">
        <f>IFERROR(AGGREGATE(15,6,(ROW(Zeiterfassung!$D$6:$D$3665)-ROW(Zeiterfassung!$D$6)+1)/(Zeiterfassung!$D$6:$D$3665&lt;&gt;""),1813),"")</f>
        <v/>
      </c>
    </row>
    <row r="1819" ht="20" customHeight="1">
      <c r="A1819" s="183">
        <f>IF($K1819="","",WEEKNUM(INDEX(Zeiterfassung!$K$6:$K$3665,$K1819),21))</f>
        <v/>
      </c>
      <c r="B1819" s="184">
        <f>IF($K1819="","",INDEX(Zeiterfassung!$K$6:$K$3665,$K1819))</f>
        <v/>
      </c>
      <c r="C1819" s="185">
        <f>IF($K1819="","",INDEX(Zeiterfassung!$K$6:$K$3665,$K1819))</f>
        <v/>
      </c>
      <c r="D1819" s="186">
        <f>IF($K1819="","",INDEX(Zeiterfassung!$D$6:$D$3665,$K1819))</f>
        <v/>
      </c>
      <c r="E1819" s="186">
        <f>IF($K1819="","",INDEX(Zeiterfassung!$E$6:$E$3665,$K1819))</f>
        <v/>
      </c>
      <c r="F1819" s="187">
        <f>IF($K1819="","",INDEX(Zeiterfassung!$F$6:$F$3665,$K1819))</f>
        <v/>
      </c>
      <c r="G1819" s="187">
        <f>IF($K1819="","",INDEX(Zeiterfassung!$G$6:$G$3665,$K1819))</f>
        <v/>
      </c>
      <c r="H1819" s="188">
        <f>IF($K1819="","",INDEX(Zeiterfassung!$H$6:$H$3665,$K1819))</f>
        <v/>
      </c>
      <c r="I1819" s="335">
        <f>IF(B1819=B1818,"",IF($K1819="","",INDEX(Zeiterfassung!$I$6:$I$3665,MATCH(INDEX(Zeiterfassung!$K$6:$K$3665,$K1819),Zeiterfassung!$K$6:$K$3665,0))))</f>
        <v/>
      </c>
      <c r="J1819" s="335">
        <f>IF(B1819=B1818,"",IF($K1819="","",INDEX(Zeiterfassung!$J$6:$J$3665,MATCH(INDEX(Zeiterfassung!$K$6:$K$3665,$K1819),Zeiterfassung!$K$6:$K$3665,0))))</f>
        <v/>
      </c>
      <c r="K1819">
        <f>IFERROR(AGGREGATE(15,6,(ROW(Zeiterfassung!$D$6:$D$3665)-ROW(Zeiterfassung!$D$6)+1)/(Zeiterfassung!$D$6:$D$3665&lt;&gt;""),1814),"")</f>
        <v/>
      </c>
    </row>
    <row r="1820" ht="20" customHeight="1">
      <c r="A1820" s="183">
        <f>IF($K1820="","",WEEKNUM(INDEX(Zeiterfassung!$K$6:$K$3665,$K1820),21))</f>
        <v/>
      </c>
      <c r="B1820" s="184">
        <f>IF($K1820="","",INDEX(Zeiterfassung!$K$6:$K$3665,$K1820))</f>
        <v/>
      </c>
      <c r="C1820" s="185">
        <f>IF($K1820="","",INDEX(Zeiterfassung!$K$6:$K$3665,$K1820))</f>
        <v/>
      </c>
      <c r="D1820" s="186">
        <f>IF($K1820="","",INDEX(Zeiterfassung!$D$6:$D$3665,$K1820))</f>
        <v/>
      </c>
      <c r="E1820" s="186">
        <f>IF($K1820="","",INDEX(Zeiterfassung!$E$6:$E$3665,$K1820))</f>
        <v/>
      </c>
      <c r="F1820" s="187">
        <f>IF($K1820="","",INDEX(Zeiterfassung!$F$6:$F$3665,$K1820))</f>
        <v/>
      </c>
      <c r="G1820" s="187">
        <f>IF($K1820="","",INDEX(Zeiterfassung!$G$6:$G$3665,$K1820))</f>
        <v/>
      </c>
      <c r="H1820" s="188">
        <f>IF($K1820="","",INDEX(Zeiterfassung!$H$6:$H$3665,$K1820))</f>
        <v/>
      </c>
      <c r="I1820" s="335">
        <f>IF(B1820=B1819,"",IF($K1820="","",INDEX(Zeiterfassung!$I$6:$I$3665,MATCH(INDEX(Zeiterfassung!$K$6:$K$3665,$K1820),Zeiterfassung!$K$6:$K$3665,0))))</f>
        <v/>
      </c>
      <c r="J1820" s="335">
        <f>IF(B1820=B1819,"",IF($K1820="","",INDEX(Zeiterfassung!$J$6:$J$3665,MATCH(INDEX(Zeiterfassung!$K$6:$K$3665,$K1820),Zeiterfassung!$K$6:$K$3665,0))))</f>
        <v/>
      </c>
      <c r="K1820">
        <f>IFERROR(AGGREGATE(15,6,(ROW(Zeiterfassung!$D$6:$D$3665)-ROW(Zeiterfassung!$D$6)+1)/(Zeiterfassung!$D$6:$D$3665&lt;&gt;""),1815),"")</f>
        <v/>
      </c>
    </row>
    <row r="1821" ht="20" customHeight="1">
      <c r="A1821" s="183">
        <f>IF($K1821="","",WEEKNUM(INDEX(Zeiterfassung!$K$6:$K$3665,$K1821),21))</f>
        <v/>
      </c>
      <c r="B1821" s="184">
        <f>IF($K1821="","",INDEX(Zeiterfassung!$K$6:$K$3665,$K1821))</f>
        <v/>
      </c>
      <c r="C1821" s="185">
        <f>IF($K1821="","",INDEX(Zeiterfassung!$K$6:$K$3665,$K1821))</f>
        <v/>
      </c>
      <c r="D1821" s="186">
        <f>IF($K1821="","",INDEX(Zeiterfassung!$D$6:$D$3665,$K1821))</f>
        <v/>
      </c>
      <c r="E1821" s="186">
        <f>IF($K1821="","",INDEX(Zeiterfassung!$E$6:$E$3665,$K1821))</f>
        <v/>
      </c>
      <c r="F1821" s="187">
        <f>IF($K1821="","",INDEX(Zeiterfassung!$F$6:$F$3665,$K1821))</f>
        <v/>
      </c>
      <c r="G1821" s="187">
        <f>IF($K1821="","",INDEX(Zeiterfassung!$G$6:$G$3665,$K1821))</f>
        <v/>
      </c>
      <c r="H1821" s="188">
        <f>IF($K1821="","",INDEX(Zeiterfassung!$H$6:$H$3665,$K1821))</f>
        <v/>
      </c>
      <c r="I1821" s="335">
        <f>IF(B1821=B1820,"",IF($K1821="","",INDEX(Zeiterfassung!$I$6:$I$3665,MATCH(INDEX(Zeiterfassung!$K$6:$K$3665,$K1821),Zeiterfassung!$K$6:$K$3665,0))))</f>
        <v/>
      </c>
      <c r="J1821" s="335">
        <f>IF(B1821=B1820,"",IF($K1821="","",INDEX(Zeiterfassung!$J$6:$J$3665,MATCH(INDEX(Zeiterfassung!$K$6:$K$3665,$K1821),Zeiterfassung!$K$6:$K$3665,0))))</f>
        <v/>
      </c>
      <c r="K1821">
        <f>IFERROR(AGGREGATE(15,6,(ROW(Zeiterfassung!$D$6:$D$3665)-ROW(Zeiterfassung!$D$6)+1)/(Zeiterfassung!$D$6:$D$3665&lt;&gt;""),1816),"")</f>
        <v/>
      </c>
    </row>
    <row r="1822" ht="20" customHeight="1">
      <c r="A1822" s="183">
        <f>IF($K1822="","",WEEKNUM(INDEX(Zeiterfassung!$K$6:$K$3665,$K1822),21))</f>
        <v/>
      </c>
      <c r="B1822" s="184">
        <f>IF($K1822="","",INDEX(Zeiterfassung!$K$6:$K$3665,$K1822))</f>
        <v/>
      </c>
      <c r="C1822" s="185">
        <f>IF($K1822="","",INDEX(Zeiterfassung!$K$6:$K$3665,$K1822))</f>
        <v/>
      </c>
      <c r="D1822" s="186">
        <f>IF($K1822="","",INDEX(Zeiterfassung!$D$6:$D$3665,$K1822))</f>
        <v/>
      </c>
      <c r="E1822" s="186">
        <f>IF($K1822="","",INDEX(Zeiterfassung!$E$6:$E$3665,$K1822))</f>
        <v/>
      </c>
      <c r="F1822" s="187">
        <f>IF($K1822="","",INDEX(Zeiterfassung!$F$6:$F$3665,$K1822))</f>
        <v/>
      </c>
      <c r="G1822" s="187">
        <f>IF($K1822="","",INDEX(Zeiterfassung!$G$6:$G$3665,$K1822))</f>
        <v/>
      </c>
      <c r="H1822" s="188">
        <f>IF($K1822="","",INDEX(Zeiterfassung!$H$6:$H$3665,$K1822))</f>
        <v/>
      </c>
      <c r="I1822" s="335">
        <f>IF(B1822=B1821,"",IF($K1822="","",INDEX(Zeiterfassung!$I$6:$I$3665,MATCH(INDEX(Zeiterfassung!$K$6:$K$3665,$K1822),Zeiterfassung!$K$6:$K$3665,0))))</f>
        <v/>
      </c>
      <c r="J1822" s="335">
        <f>IF(B1822=B1821,"",IF($K1822="","",INDEX(Zeiterfassung!$J$6:$J$3665,MATCH(INDEX(Zeiterfassung!$K$6:$K$3665,$K1822),Zeiterfassung!$K$6:$K$3665,0))))</f>
        <v/>
      </c>
      <c r="K1822">
        <f>IFERROR(AGGREGATE(15,6,(ROW(Zeiterfassung!$D$6:$D$3665)-ROW(Zeiterfassung!$D$6)+1)/(Zeiterfassung!$D$6:$D$3665&lt;&gt;""),1817),"")</f>
        <v/>
      </c>
    </row>
    <row r="1823" ht="20" customHeight="1">
      <c r="A1823" s="183">
        <f>IF($K1823="","",WEEKNUM(INDEX(Zeiterfassung!$K$6:$K$3665,$K1823),21))</f>
        <v/>
      </c>
      <c r="B1823" s="184">
        <f>IF($K1823="","",INDEX(Zeiterfassung!$K$6:$K$3665,$K1823))</f>
        <v/>
      </c>
      <c r="C1823" s="185">
        <f>IF($K1823="","",INDEX(Zeiterfassung!$K$6:$K$3665,$K1823))</f>
        <v/>
      </c>
      <c r="D1823" s="186">
        <f>IF($K1823="","",INDEX(Zeiterfassung!$D$6:$D$3665,$K1823))</f>
        <v/>
      </c>
      <c r="E1823" s="186">
        <f>IF($K1823="","",INDEX(Zeiterfassung!$E$6:$E$3665,$K1823))</f>
        <v/>
      </c>
      <c r="F1823" s="187">
        <f>IF($K1823="","",INDEX(Zeiterfassung!$F$6:$F$3665,$K1823))</f>
        <v/>
      </c>
      <c r="G1823" s="187">
        <f>IF($K1823="","",INDEX(Zeiterfassung!$G$6:$G$3665,$K1823))</f>
        <v/>
      </c>
      <c r="H1823" s="188">
        <f>IF($K1823="","",INDEX(Zeiterfassung!$H$6:$H$3665,$K1823))</f>
        <v/>
      </c>
      <c r="I1823" s="335">
        <f>IF(B1823=B1822,"",IF($K1823="","",INDEX(Zeiterfassung!$I$6:$I$3665,MATCH(INDEX(Zeiterfassung!$K$6:$K$3665,$K1823),Zeiterfassung!$K$6:$K$3665,0))))</f>
        <v/>
      </c>
      <c r="J1823" s="335">
        <f>IF(B1823=B1822,"",IF($K1823="","",INDEX(Zeiterfassung!$J$6:$J$3665,MATCH(INDEX(Zeiterfassung!$K$6:$K$3665,$K1823),Zeiterfassung!$K$6:$K$3665,0))))</f>
        <v/>
      </c>
      <c r="K1823">
        <f>IFERROR(AGGREGATE(15,6,(ROW(Zeiterfassung!$D$6:$D$3665)-ROW(Zeiterfassung!$D$6)+1)/(Zeiterfassung!$D$6:$D$3665&lt;&gt;""),1818),"")</f>
        <v/>
      </c>
    </row>
    <row r="1824" ht="20" customHeight="1">
      <c r="A1824" s="183">
        <f>IF($K1824="","",WEEKNUM(INDEX(Zeiterfassung!$K$6:$K$3665,$K1824),21))</f>
        <v/>
      </c>
      <c r="B1824" s="184">
        <f>IF($K1824="","",INDEX(Zeiterfassung!$K$6:$K$3665,$K1824))</f>
        <v/>
      </c>
      <c r="C1824" s="185">
        <f>IF($K1824="","",INDEX(Zeiterfassung!$K$6:$K$3665,$K1824))</f>
        <v/>
      </c>
      <c r="D1824" s="186">
        <f>IF($K1824="","",INDEX(Zeiterfassung!$D$6:$D$3665,$K1824))</f>
        <v/>
      </c>
      <c r="E1824" s="186">
        <f>IF($K1824="","",INDEX(Zeiterfassung!$E$6:$E$3665,$K1824))</f>
        <v/>
      </c>
      <c r="F1824" s="187">
        <f>IF($K1824="","",INDEX(Zeiterfassung!$F$6:$F$3665,$K1824))</f>
        <v/>
      </c>
      <c r="G1824" s="187">
        <f>IF($K1824="","",INDEX(Zeiterfassung!$G$6:$G$3665,$K1824))</f>
        <v/>
      </c>
      <c r="H1824" s="188">
        <f>IF($K1824="","",INDEX(Zeiterfassung!$H$6:$H$3665,$K1824))</f>
        <v/>
      </c>
      <c r="I1824" s="335">
        <f>IF(B1824=B1823,"",IF($K1824="","",INDEX(Zeiterfassung!$I$6:$I$3665,MATCH(INDEX(Zeiterfassung!$K$6:$K$3665,$K1824),Zeiterfassung!$K$6:$K$3665,0))))</f>
        <v/>
      </c>
      <c r="J1824" s="335">
        <f>IF(B1824=B1823,"",IF($K1824="","",INDEX(Zeiterfassung!$J$6:$J$3665,MATCH(INDEX(Zeiterfassung!$K$6:$K$3665,$K1824),Zeiterfassung!$K$6:$K$3665,0))))</f>
        <v/>
      </c>
      <c r="K1824">
        <f>IFERROR(AGGREGATE(15,6,(ROW(Zeiterfassung!$D$6:$D$3665)-ROW(Zeiterfassung!$D$6)+1)/(Zeiterfassung!$D$6:$D$3665&lt;&gt;""),1819),"")</f>
        <v/>
      </c>
    </row>
    <row r="1825" ht="20" customHeight="1">
      <c r="A1825" s="183">
        <f>IF($K1825="","",WEEKNUM(INDEX(Zeiterfassung!$K$6:$K$3665,$K1825),21))</f>
        <v/>
      </c>
      <c r="B1825" s="184">
        <f>IF($K1825="","",INDEX(Zeiterfassung!$K$6:$K$3665,$K1825))</f>
        <v/>
      </c>
      <c r="C1825" s="185">
        <f>IF($K1825="","",INDEX(Zeiterfassung!$K$6:$K$3665,$K1825))</f>
        <v/>
      </c>
      <c r="D1825" s="186">
        <f>IF($K1825="","",INDEX(Zeiterfassung!$D$6:$D$3665,$K1825))</f>
        <v/>
      </c>
      <c r="E1825" s="186">
        <f>IF($K1825="","",INDEX(Zeiterfassung!$E$6:$E$3665,$K1825))</f>
        <v/>
      </c>
      <c r="F1825" s="187">
        <f>IF($K1825="","",INDEX(Zeiterfassung!$F$6:$F$3665,$K1825))</f>
        <v/>
      </c>
      <c r="G1825" s="187">
        <f>IF($K1825="","",INDEX(Zeiterfassung!$G$6:$G$3665,$K1825))</f>
        <v/>
      </c>
      <c r="H1825" s="188">
        <f>IF($K1825="","",INDEX(Zeiterfassung!$H$6:$H$3665,$K1825))</f>
        <v/>
      </c>
      <c r="I1825" s="335">
        <f>IF(B1825=B1824,"",IF($K1825="","",INDEX(Zeiterfassung!$I$6:$I$3665,MATCH(INDEX(Zeiterfassung!$K$6:$K$3665,$K1825),Zeiterfassung!$K$6:$K$3665,0))))</f>
        <v/>
      </c>
      <c r="J1825" s="335">
        <f>IF(B1825=B1824,"",IF($K1825="","",INDEX(Zeiterfassung!$J$6:$J$3665,MATCH(INDEX(Zeiterfassung!$K$6:$K$3665,$K1825),Zeiterfassung!$K$6:$K$3665,0))))</f>
        <v/>
      </c>
      <c r="K1825">
        <f>IFERROR(AGGREGATE(15,6,(ROW(Zeiterfassung!$D$6:$D$3665)-ROW(Zeiterfassung!$D$6)+1)/(Zeiterfassung!$D$6:$D$3665&lt;&gt;""),1820),"")</f>
        <v/>
      </c>
    </row>
    <row r="1826" ht="20" customHeight="1">
      <c r="A1826" s="183">
        <f>IF($K1826="","",WEEKNUM(INDEX(Zeiterfassung!$K$6:$K$3665,$K1826),21))</f>
        <v/>
      </c>
      <c r="B1826" s="184">
        <f>IF($K1826="","",INDEX(Zeiterfassung!$K$6:$K$3665,$K1826))</f>
        <v/>
      </c>
      <c r="C1826" s="185">
        <f>IF($K1826="","",INDEX(Zeiterfassung!$K$6:$K$3665,$K1826))</f>
        <v/>
      </c>
      <c r="D1826" s="186">
        <f>IF($K1826="","",INDEX(Zeiterfassung!$D$6:$D$3665,$K1826))</f>
        <v/>
      </c>
      <c r="E1826" s="186">
        <f>IF($K1826="","",INDEX(Zeiterfassung!$E$6:$E$3665,$K1826))</f>
        <v/>
      </c>
      <c r="F1826" s="187">
        <f>IF($K1826="","",INDEX(Zeiterfassung!$F$6:$F$3665,$K1826))</f>
        <v/>
      </c>
      <c r="G1826" s="187">
        <f>IF($K1826="","",INDEX(Zeiterfassung!$G$6:$G$3665,$K1826))</f>
        <v/>
      </c>
      <c r="H1826" s="188">
        <f>IF($K1826="","",INDEX(Zeiterfassung!$H$6:$H$3665,$K1826))</f>
        <v/>
      </c>
      <c r="I1826" s="335">
        <f>IF(B1826=B1825,"",IF($K1826="","",INDEX(Zeiterfassung!$I$6:$I$3665,MATCH(INDEX(Zeiterfassung!$K$6:$K$3665,$K1826),Zeiterfassung!$K$6:$K$3665,0))))</f>
        <v/>
      </c>
      <c r="J1826" s="335">
        <f>IF(B1826=B1825,"",IF($K1826="","",INDEX(Zeiterfassung!$J$6:$J$3665,MATCH(INDEX(Zeiterfassung!$K$6:$K$3665,$K1826),Zeiterfassung!$K$6:$K$3665,0))))</f>
        <v/>
      </c>
      <c r="K1826">
        <f>IFERROR(AGGREGATE(15,6,(ROW(Zeiterfassung!$D$6:$D$3665)-ROW(Zeiterfassung!$D$6)+1)/(Zeiterfassung!$D$6:$D$3665&lt;&gt;""),1821),"")</f>
        <v/>
      </c>
    </row>
    <row r="1827" ht="20" customHeight="1">
      <c r="A1827" s="183">
        <f>IF($K1827="","",WEEKNUM(INDEX(Zeiterfassung!$K$6:$K$3665,$K1827),21))</f>
        <v/>
      </c>
      <c r="B1827" s="184">
        <f>IF($K1827="","",INDEX(Zeiterfassung!$K$6:$K$3665,$K1827))</f>
        <v/>
      </c>
      <c r="C1827" s="185">
        <f>IF($K1827="","",INDEX(Zeiterfassung!$K$6:$K$3665,$K1827))</f>
        <v/>
      </c>
      <c r="D1827" s="186">
        <f>IF($K1827="","",INDEX(Zeiterfassung!$D$6:$D$3665,$K1827))</f>
        <v/>
      </c>
      <c r="E1827" s="186">
        <f>IF($K1827="","",INDEX(Zeiterfassung!$E$6:$E$3665,$K1827))</f>
        <v/>
      </c>
      <c r="F1827" s="187">
        <f>IF($K1827="","",INDEX(Zeiterfassung!$F$6:$F$3665,$K1827))</f>
        <v/>
      </c>
      <c r="G1827" s="187">
        <f>IF($K1827="","",INDEX(Zeiterfassung!$G$6:$G$3665,$K1827))</f>
        <v/>
      </c>
      <c r="H1827" s="188">
        <f>IF($K1827="","",INDEX(Zeiterfassung!$H$6:$H$3665,$K1827))</f>
        <v/>
      </c>
      <c r="I1827" s="335">
        <f>IF(B1827=B1826,"",IF($K1827="","",INDEX(Zeiterfassung!$I$6:$I$3665,MATCH(INDEX(Zeiterfassung!$K$6:$K$3665,$K1827),Zeiterfassung!$K$6:$K$3665,0))))</f>
        <v/>
      </c>
      <c r="J1827" s="335">
        <f>IF(B1827=B1826,"",IF($K1827="","",INDEX(Zeiterfassung!$J$6:$J$3665,MATCH(INDEX(Zeiterfassung!$K$6:$K$3665,$K1827),Zeiterfassung!$K$6:$K$3665,0))))</f>
        <v/>
      </c>
      <c r="K1827">
        <f>IFERROR(AGGREGATE(15,6,(ROW(Zeiterfassung!$D$6:$D$3665)-ROW(Zeiterfassung!$D$6)+1)/(Zeiterfassung!$D$6:$D$3665&lt;&gt;""),1822),"")</f>
        <v/>
      </c>
    </row>
    <row r="1828" ht="20" customHeight="1">
      <c r="A1828" s="183">
        <f>IF($K1828="","",WEEKNUM(INDEX(Zeiterfassung!$K$6:$K$3665,$K1828),21))</f>
        <v/>
      </c>
      <c r="B1828" s="184">
        <f>IF($K1828="","",INDEX(Zeiterfassung!$K$6:$K$3665,$K1828))</f>
        <v/>
      </c>
      <c r="C1828" s="185">
        <f>IF($K1828="","",INDEX(Zeiterfassung!$K$6:$K$3665,$K1828))</f>
        <v/>
      </c>
      <c r="D1828" s="186">
        <f>IF($K1828="","",INDEX(Zeiterfassung!$D$6:$D$3665,$K1828))</f>
        <v/>
      </c>
      <c r="E1828" s="186">
        <f>IF($K1828="","",INDEX(Zeiterfassung!$E$6:$E$3665,$K1828))</f>
        <v/>
      </c>
      <c r="F1828" s="187">
        <f>IF($K1828="","",INDEX(Zeiterfassung!$F$6:$F$3665,$K1828))</f>
        <v/>
      </c>
      <c r="G1828" s="187">
        <f>IF($K1828="","",INDEX(Zeiterfassung!$G$6:$G$3665,$K1828))</f>
        <v/>
      </c>
      <c r="H1828" s="188">
        <f>IF($K1828="","",INDEX(Zeiterfassung!$H$6:$H$3665,$K1828))</f>
        <v/>
      </c>
      <c r="I1828" s="335">
        <f>IF(B1828=B1827,"",IF($K1828="","",INDEX(Zeiterfassung!$I$6:$I$3665,MATCH(INDEX(Zeiterfassung!$K$6:$K$3665,$K1828),Zeiterfassung!$K$6:$K$3665,0))))</f>
        <v/>
      </c>
      <c r="J1828" s="335">
        <f>IF(B1828=B1827,"",IF($K1828="","",INDEX(Zeiterfassung!$J$6:$J$3665,MATCH(INDEX(Zeiterfassung!$K$6:$K$3665,$K1828),Zeiterfassung!$K$6:$K$3665,0))))</f>
        <v/>
      </c>
      <c r="K1828">
        <f>IFERROR(AGGREGATE(15,6,(ROW(Zeiterfassung!$D$6:$D$3665)-ROW(Zeiterfassung!$D$6)+1)/(Zeiterfassung!$D$6:$D$3665&lt;&gt;""),1823),"")</f>
        <v/>
      </c>
    </row>
    <row r="1829" ht="20" customHeight="1">
      <c r="A1829" s="183">
        <f>IF($K1829="","",WEEKNUM(INDEX(Zeiterfassung!$K$6:$K$3665,$K1829),21))</f>
        <v/>
      </c>
      <c r="B1829" s="184">
        <f>IF($K1829="","",INDEX(Zeiterfassung!$K$6:$K$3665,$K1829))</f>
        <v/>
      </c>
      <c r="C1829" s="185">
        <f>IF($K1829="","",INDEX(Zeiterfassung!$K$6:$K$3665,$K1829))</f>
        <v/>
      </c>
      <c r="D1829" s="186">
        <f>IF($K1829="","",INDEX(Zeiterfassung!$D$6:$D$3665,$K1829))</f>
        <v/>
      </c>
      <c r="E1829" s="186">
        <f>IF($K1829="","",INDEX(Zeiterfassung!$E$6:$E$3665,$K1829))</f>
        <v/>
      </c>
      <c r="F1829" s="187">
        <f>IF($K1829="","",INDEX(Zeiterfassung!$F$6:$F$3665,$K1829))</f>
        <v/>
      </c>
      <c r="G1829" s="187">
        <f>IF($K1829="","",INDEX(Zeiterfassung!$G$6:$G$3665,$K1829))</f>
        <v/>
      </c>
      <c r="H1829" s="188">
        <f>IF($K1829="","",INDEX(Zeiterfassung!$H$6:$H$3665,$K1829))</f>
        <v/>
      </c>
      <c r="I1829" s="335">
        <f>IF(B1829=B1828,"",IF($K1829="","",INDEX(Zeiterfassung!$I$6:$I$3665,MATCH(INDEX(Zeiterfassung!$K$6:$K$3665,$K1829),Zeiterfassung!$K$6:$K$3665,0))))</f>
        <v/>
      </c>
      <c r="J1829" s="335">
        <f>IF(B1829=B1828,"",IF($K1829="","",INDEX(Zeiterfassung!$J$6:$J$3665,MATCH(INDEX(Zeiterfassung!$K$6:$K$3665,$K1829),Zeiterfassung!$K$6:$K$3665,0))))</f>
        <v/>
      </c>
      <c r="K1829">
        <f>IFERROR(AGGREGATE(15,6,(ROW(Zeiterfassung!$D$6:$D$3665)-ROW(Zeiterfassung!$D$6)+1)/(Zeiterfassung!$D$6:$D$3665&lt;&gt;""),1824),"")</f>
        <v/>
      </c>
    </row>
    <row r="1830" ht="20" customHeight="1">
      <c r="A1830" s="183">
        <f>IF($K1830="","",WEEKNUM(INDEX(Zeiterfassung!$K$6:$K$3665,$K1830),21))</f>
        <v/>
      </c>
      <c r="B1830" s="184">
        <f>IF($K1830="","",INDEX(Zeiterfassung!$K$6:$K$3665,$K1830))</f>
        <v/>
      </c>
      <c r="C1830" s="185">
        <f>IF($K1830="","",INDEX(Zeiterfassung!$K$6:$K$3665,$K1830))</f>
        <v/>
      </c>
      <c r="D1830" s="186">
        <f>IF($K1830="","",INDEX(Zeiterfassung!$D$6:$D$3665,$K1830))</f>
        <v/>
      </c>
      <c r="E1830" s="186">
        <f>IF($K1830="","",INDEX(Zeiterfassung!$E$6:$E$3665,$K1830))</f>
        <v/>
      </c>
      <c r="F1830" s="187">
        <f>IF($K1830="","",INDEX(Zeiterfassung!$F$6:$F$3665,$K1830))</f>
        <v/>
      </c>
      <c r="G1830" s="187">
        <f>IF($K1830="","",INDEX(Zeiterfassung!$G$6:$G$3665,$K1830))</f>
        <v/>
      </c>
      <c r="H1830" s="188">
        <f>IF($K1830="","",INDEX(Zeiterfassung!$H$6:$H$3665,$K1830))</f>
        <v/>
      </c>
      <c r="I1830" s="335">
        <f>IF(B1830=B1829,"",IF($K1830="","",INDEX(Zeiterfassung!$I$6:$I$3665,MATCH(INDEX(Zeiterfassung!$K$6:$K$3665,$K1830),Zeiterfassung!$K$6:$K$3665,0))))</f>
        <v/>
      </c>
      <c r="J1830" s="335">
        <f>IF(B1830=B1829,"",IF($K1830="","",INDEX(Zeiterfassung!$J$6:$J$3665,MATCH(INDEX(Zeiterfassung!$K$6:$K$3665,$K1830),Zeiterfassung!$K$6:$K$3665,0))))</f>
        <v/>
      </c>
      <c r="K1830">
        <f>IFERROR(AGGREGATE(15,6,(ROW(Zeiterfassung!$D$6:$D$3665)-ROW(Zeiterfassung!$D$6)+1)/(Zeiterfassung!$D$6:$D$3665&lt;&gt;""),1825),"")</f>
        <v/>
      </c>
    </row>
    <row r="1831" ht="20" customHeight="1">
      <c r="A1831" s="183">
        <f>IF($K1831="","",WEEKNUM(INDEX(Zeiterfassung!$K$6:$K$3665,$K1831),21))</f>
        <v/>
      </c>
      <c r="B1831" s="184">
        <f>IF($K1831="","",INDEX(Zeiterfassung!$K$6:$K$3665,$K1831))</f>
        <v/>
      </c>
      <c r="C1831" s="185">
        <f>IF($K1831="","",INDEX(Zeiterfassung!$K$6:$K$3665,$K1831))</f>
        <v/>
      </c>
      <c r="D1831" s="186">
        <f>IF($K1831="","",INDEX(Zeiterfassung!$D$6:$D$3665,$K1831))</f>
        <v/>
      </c>
      <c r="E1831" s="186">
        <f>IF($K1831="","",INDEX(Zeiterfassung!$E$6:$E$3665,$K1831))</f>
        <v/>
      </c>
      <c r="F1831" s="187">
        <f>IF($K1831="","",INDEX(Zeiterfassung!$F$6:$F$3665,$K1831))</f>
        <v/>
      </c>
      <c r="G1831" s="187">
        <f>IF($K1831="","",INDEX(Zeiterfassung!$G$6:$G$3665,$K1831))</f>
        <v/>
      </c>
      <c r="H1831" s="188">
        <f>IF($K1831="","",INDEX(Zeiterfassung!$H$6:$H$3665,$K1831))</f>
        <v/>
      </c>
      <c r="I1831" s="335">
        <f>IF(B1831=B1830,"",IF($K1831="","",INDEX(Zeiterfassung!$I$6:$I$3665,MATCH(INDEX(Zeiterfassung!$K$6:$K$3665,$K1831),Zeiterfassung!$K$6:$K$3665,0))))</f>
        <v/>
      </c>
      <c r="J1831" s="335">
        <f>IF(B1831=B1830,"",IF($K1831="","",INDEX(Zeiterfassung!$J$6:$J$3665,MATCH(INDEX(Zeiterfassung!$K$6:$K$3665,$K1831),Zeiterfassung!$K$6:$K$3665,0))))</f>
        <v/>
      </c>
      <c r="K1831">
        <f>IFERROR(AGGREGATE(15,6,(ROW(Zeiterfassung!$D$6:$D$3665)-ROW(Zeiterfassung!$D$6)+1)/(Zeiterfassung!$D$6:$D$3665&lt;&gt;""),1826),"")</f>
        <v/>
      </c>
    </row>
    <row r="1832" ht="20" customHeight="1">
      <c r="A1832" s="183">
        <f>IF($K1832="","",WEEKNUM(INDEX(Zeiterfassung!$K$6:$K$3665,$K1832),21))</f>
        <v/>
      </c>
      <c r="B1832" s="184">
        <f>IF($K1832="","",INDEX(Zeiterfassung!$K$6:$K$3665,$K1832))</f>
        <v/>
      </c>
      <c r="C1832" s="185">
        <f>IF($K1832="","",INDEX(Zeiterfassung!$K$6:$K$3665,$K1832))</f>
        <v/>
      </c>
      <c r="D1832" s="186">
        <f>IF($K1832="","",INDEX(Zeiterfassung!$D$6:$D$3665,$K1832))</f>
        <v/>
      </c>
      <c r="E1832" s="186">
        <f>IF($K1832="","",INDEX(Zeiterfassung!$E$6:$E$3665,$K1832))</f>
        <v/>
      </c>
      <c r="F1832" s="187">
        <f>IF($K1832="","",INDEX(Zeiterfassung!$F$6:$F$3665,$K1832))</f>
        <v/>
      </c>
      <c r="G1832" s="187">
        <f>IF($K1832="","",INDEX(Zeiterfassung!$G$6:$G$3665,$K1832))</f>
        <v/>
      </c>
      <c r="H1832" s="188">
        <f>IF($K1832="","",INDEX(Zeiterfassung!$H$6:$H$3665,$K1832))</f>
        <v/>
      </c>
      <c r="I1832" s="335">
        <f>IF(B1832=B1831,"",IF($K1832="","",INDEX(Zeiterfassung!$I$6:$I$3665,MATCH(INDEX(Zeiterfassung!$K$6:$K$3665,$K1832),Zeiterfassung!$K$6:$K$3665,0))))</f>
        <v/>
      </c>
      <c r="J1832" s="335">
        <f>IF(B1832=B1831,"",IF($K1832="","",INDEX(Zeiterfassung!$J$6:$J$3665,MATCH(INDEX(Zeiterfassung!$K$6:$K$3665,$K1832),Zeiterfassung!$K$6:$K$3665,0))))</f>
        <v/>
      </c>
      <c r="K1832">
        <f>IFERROR(AGGREGATE(15,6,(ROW(Zeiterfassung!$D$6:$D$3665)-ROW(Zeiterfassung!$D$6)+1)/(Zeiterfassung!$D$6:$D$3665&lt;&gt;""),1827),"")</f>
        <v/>
      </c>
    </row>
    <row r="1833" ht="20" customHeight="1">
      <c r="A1833" s="183">
        <f>IF($K1833="","",WEEKNUM(INDEX(Zeiterfassung!$K$6:$K$3665,$K1833),21))</f>
        <v/>
      </c>
      <c r="B1833" s="184">
        <f>IF($K1833="","",INDEX(Zeiterfassung!$K$6:$K$3665,$K1833))</f>
        <v/>
      </c>
      <c r="C1833" s="185">
        <f>IF($K1833="","",INDEX(Zeiterfassung!$K$6:$K$3665,$K1833))</f>
        <v/>
      </c>
      <c r="D1833" s="186">
        <f>IF($K1833="","",INDEX(Zeiterfassung!$D$6:$D$3665,$K1833))</f>
        <v/>
      </c>
      <c r="E1833" s="186">
        <f>IF($K1833="","",INDEX(Zeiterfassung!$E$6:$E$3665,$K1833))</f>
        <v/>
      </c>
      <c r="F1833" s="187">
        <f>IF($K1833="","",INDEX(Zeiterfassung!$F$6:$F$3665,$K1833))</f>
        <v/>
      </c>
      <c r="G1833" s="187">
        <f>IF($K1833="","",INDEX(Zeiterfassung!$G$6:$G$3665,$K1833))</f>
        <v/>
      </c>
      <c r="H1833" s="188">
        <f>IF($K1833="","",INDEX(Zeiterfassung!$H$6:$H$3665,$K1833))</f>
        <v/>
      </c>
      <c r="I1833" s="335">
        <f>IF(B1833=B1832,"",IF($K1833="","",INDEX(Zeiterfassung!$I$6:$I$3665,MATCH(INDEX(Zeiterfassung!$K$6:$K$3665,$K1833),Zeiterfassung!$K$6:$K$3665,0))))</f>
        <v/>
      </c>
      <c r="J1833" s="335">
        <f>IF(B1833=B1832,"",IF($K1833="","",INDEX(Zeiterfassung!$J$6:$J$3665,MATCH(INDEX(Zeiterfassung!$K$6:$K$3665,$K1833),Zeiterfassung!$K$6:$K$3665,0))))</f>
        <v/>
      </c>
      <c r="K1833">
        <f>IFERROR(AGGREGATE(15,6,(ROW(Zeiterfassung!$D$6:$D$3665)-ROW(Zeiterfassung!$D$6)+1)/(Zeiterfassung!$D$6:$D$3665&lt;&gt;""),1828),"")</f>
        <v/>
      </c>
    </row>
    <row r="1834" ht="20" customHeight="1">
      <c r="A1834" s="183">
        <f>IF($K1834="","",WEEKNUM(INDEX(Zeiterfassung!$K$6:$K$3665,$K1834),21))</f>
        <v/>
      </c>
      <c r="B1834" s="184">
        <f>IF($K1834="","",INDEX(Zeiterfassung!$K$6:$K$3665,$K1834))</f>
        <v/>
      </c>
      <c r="C1834" s="185">
        <f>IF($K1834="","",INDEX(Zeiterfassung!$K$6:$K$3665,$K1834))</f>
        <v/>
      </c>
      <c r="D1834" s="186">
        <f>IF($K1834="","",INDEX(Zeiterfassung!$D$6:$D$3665,$K1834))</f>
        <v/>
      </c>
      <c r="E1834" s="186">
        <f>IF($K1834="","",INDEX(Zeiterfassung!$E$6:$E$3665,$K1834))</f>
        <v/>
      </c>
      <c r="F1834" s="187">
        <f>IF($K1834="","",INDEX(Zeiterfassung!$F$6:$F$3665,$K1834))</f>
        <v/>
      </c>
      <c r="G1834" s="187">
        <f>IF($K1834="","",INDEX(Zeiterfassung!$G$6:$G$3665,$K1834))</f>
        <v/>
      </c>
      <c r="H1834" s="188">
        <f>IF($K1834="","",INDEX(Zeiterfassung!$H$6:$H$3665,$K1834))</f>
        <v/>
      </c>
      <c r="I1834" s="335">
        <f>IF(B1834=B1833,"",IF($K1834="","",INDEX(Zeiterfassung!$I$6:$I$3665,MATCH(INDEX(Zeiterfassung!$K$6:$K$3665,$K1834),Zeiterfassung!$K$6:$K$3665,0))))</f>
        <v/>
      </c>
      <c r="J1834" s="335">
        <f>IF(B1834=B1833,"",IF($K1834="","",INDEX(Zeiterfassung!$J$6:$J$3665,MATCH(INDEX(Zeiterfassung!$K$6:$K$3665,$K1834),Zeiterfassung!$K$6:$K$3665,0))))</f>
        <v/>
      </c>
      <c r="K1834">
        <f>IFERROR(AGGREGATE(15,6,(ROW(Zeiterfassung!$D$6:$D$3665)-ROW(Zeiterfassung!$D$6)+1)/(Zeiterfassung!$D$6:$D$3665&lt;&gt;""),1829),"")</f>
        <v/>
      </c>
    </row>
    <row r="1835" ht="20" customHeight="1">
      <c r="A1835" s="183">
        <f>IF($K1835="","",WEEKNUM(INDEX(Zeiterfassung!$K$6:$K$3665,$K1835),21))</f>
        <v/>
      </c>
      <c r="B1835" s="184">
        <f>IF($K1835="","",INDEX(Zeiterfassung!$K$6:$K$3665,$K1835))</f>
        <v/>
      </c>
      <c r="C1835" s="185">
        <f>IF($K1835="","",INDEX(Zeiterfassung!$K$6:$K$3665,$K1835))</f>
        <v/>
      </c>
      <c r="D1835" s="186">
        <f>IF($K1835="","",INDEX(Zeiterfassung!$D$6:$D$3665,$K1835))</f>
        <v/>
      </c>
      <c r="E1835" s="186">
        <f>IF($K1835="","",INDEX(Zeiterfassung!$E$6:$E$3665,$K1835))</f>
        <v/>
      </c>
      <c r="F1835" s="187">
        <f>IF($K1835="","",INDEX(Zeiterfassung!$F$6:$F$3665,$K1835))</f>
        <v/>
      </c>
      <c r="G1835" s="187">
        <f>IF($K1835="","",INDEX(Zeiterfassung!$G$6:$G$3665,$K1835))</f>
        <v/>
      </c>
      <c r="H1835" s="188">
        <f>IF($K1835="","",INDEX(Zeiterfassung!$H$6:$H$3665,$K1835))</f>
        <v/>
      </c>
      <c r="I1835" s="335">
        <f>IF(B1835=B1834,"",IF($K1835="","",INDEX(Zeiterfassung!$I$6:$I$3665,MATCH(INDEX(Zeiterfassung!$K$6:$K$3665,$K1835),Zeiterfassung!$K$6:$K$3665,0))))</f>
        <v/>
      </c>
      <c r="J1835" s="335">
        <f>IF(B1835=B1834,"",IF($K1835="","",INDEX(Zeiterfassung!$J$6:$J$3665,MATCH(INDEX(Zeiterfassung!$K$6:$K$3665,$K1835),Zeiterfassung!$K$6:$K$3665,0))))</f>
        <v/>
      </c>
      <c r="K1835">
        <f>IFERROR(AGGREGATE(15,6,(ROW(Zeiterfassung!$D$6:$D$3665)-ROW(Zeiterfassung!$D$6)+1)/(Zeiterfassung!$D$6:$D$3665&lt;&gt;""),1830),"")</f>
        <v/>
      </c>
    </row>
    <row r="1836" ht="20" customHeight="1">
      <c r="A1836" s="183">
        <f>IF($K1836="","",WEEKNUM(INDEX(Zeiterfassung!$K$6:$K$3665,$K1836),21))</f>
        <v/>
      </c>
      <c r="B1836" s="184">
        <f>IF($K1836="","",INDEX(Zeiterfassung!$K$6:$K$3665,$K1836))</f>
        <v/>
      </c>
      <c r="C1836" s="185">
        <f>IF($K1836="","",INDEX(Zeiterfassung!$K$6:$K$3665,$K1836))</f>
        <v/>
      </c>
      <c r="D1836" s="186">
        <f>IF($K1836="","",INDEX(Zeiterfassung!$D$6:$D$3665,$K1836))</f>
        <v/>
      </c>
      <c r="E1836" s="186">
        <f>IF($K1836="","",INDEX(Zeiterfassung!$E$6:$E$3665,$K1836))</f>
        <v/>
      </c>
      <c r="F1836" s="187">
        <f>IF($K1836="","",INDEX(Zeiterfassung!$F$6:$F$3665,$K1836))</f>
        <v/>
      </c>
      <c r="G1836" s="187">
        <f>IF($K1836="","",INDEX(Zeiterfassung!$G$6:$G$3665,$K1836))</f>
        <v/>
      </c>
      <c r="H1836" s="188">
        <f>IF($K1836="","",INDEX(Zeiterfassung!$H$6:$H$3665,$K1836))</f>
        <v/>
      </c>
      <c r="I1836" s="335">
        <f>IF(B1836=B1835,"",IF($K1836="","",INDEX(Zeiterfassung!$I$6:$I$3665,MATCH(INDEX(Zeiterfassung!$K$6:$K$3665,$K1836),Zeiterfassung!$K$6:$K$3665,0))))</f>
        <v/>
      </c>
      <c r="J1836" s="335">
        <f>IF(B1836=B1835,"",IF($K1836="","",INDEX(Zeiterfassung!$J$6:$J$3665,MATCH(INDEX(Zeiterfassung!$K$6:$K$3665,$K1836),Zeiterfassung!$K$6:$K$3665,0))))</f>
        <v/>
      </c>
      <c r="K1836">
        <f>IFERROR(AGGREGATE(15,6,(ROW(Zeiterfassung!$D$6:$D$3665)-ROW(Zeiterfassung!$D$6)+1)/(Zeiterfassung!$D$6:$D$3665&lt;&gt;""),1831),"")</f>
        <v/>
      </c>
    </row>
    <row r="1837" ht="20" customHeight="1">
      <c r="A1837" s="183">
        <f>IF($K1837="","",WEEKNUM(INDEX(Zeiterfassung!$K$6:$K$3665,$K1837),21))</f>
        <v/>
      </c>
      <c r="B1837" s="184">
        <f>IF($K1837="","",INDEX(Zeiterfassung!$K$6:$K$3665,$K1837))</f>
        <v/>
      </c>
      <c r="C1837" s="185">
        <f>IF($K1837="","",INDEX(Zeiterfassung!$K$6:$K$3665,$K1837))</f>
        <v/>
      </c>
      <c r="D1837" s="186">
        <f>IF($K1837="","",INDEX(Zeiterfassung!$D$6:$D$3665,$K1837))</f>
        <v/>
      </c>
      <c r="E1837" s="186">
        <f>IF($K1837="","",INDEX(Zeiterfassung!$E$6:$E$3665,$K1837))</f>
        <v/>
      </c>
      <c r="F1837" s="187">
        <f>IF($K1837="","",INDEX(Zeiterfassung!$F$6:$F$3665,$K1837))</f>
        <v/>
      </c>
      <c r="G1837" s="187">
        <f>IF($K1837="","",INDEX(Zeiterfassung!$G$6:$G$3665,$K1837))</f>
        <v/>
      </c>
      <c r="H1837" s="188">
        <f>IF($K1837="","",INDEX(Zeiterfassung!$H$6:$H$3665,$K1837))</f>
        <v/>
      </c>
      <c r="I1837" s="335">
        <f>IF(B1837=B1836,"",IF($K1837="","",INDEX(Zeiterfassung!$I$6:$I$3665,MATCH(INDEX(Zeiterfassung!$K$6:$K$3665,$K1837),Zeiterfassung!$K$6:$K$3665,0))))</f>
        <v/>
      </c>
      <c r="J1837" s="335">
        <f>IF(B1837=B1836,"",IF($K1837="","",INDEX(Zeiterfassung!$J$6:$J$3665,MATCH(INDEX(Zeiterfassung!$K$6:$K$3665,$K1837),Zeiterfassung!$K$6:$K$3665,0))))</f>
        <v/>
      </c>
      <c r="K1837">
        <f>IFERROR(AGGREGATE(15,6,(ROW(Zeiterfassung!$D$6:$D$3665)-ROW(Zeiterfassung!$D$6)+1)/(Zeiterfassung!$D$6:$D$3665&lt;&gt;""),1832),"")</f>
        <v/>
      </c>
    </row>
    <row r="1838" ht="20" customHeight="1">
      <c r="A1838" s="183">
        <f>IF($K1838="","",WEEKNUM(INDEX(Zeiterfassung!$K$6:$K$3665,$K1838),21))</f>
        <v/>
      </c>
      <c r="B1838" s="184">
        <f>IF($K1838="","",INDEX(Zeiterfassung!$K$6:$K$3665,$K1838))</f>
        <v/>
      </c>
      <c r="C1838" s="185">
        <f>IF($K1838="","",INDEX(Zeiterfassung!$K$6:$K$3665,$K1838))</f>
        <v/>
      </c>
      <c r="D1838" s="186">
        <f>IF($K1838="","",INDEX(Zeiterfassung!$D$6:$D$3665,$K1838))</f>
        <v/>
      </c>
      <c r="E1838" s="186">
        <f>IF($K1838="","",INDEX(Zeiterfassung!$E$6:$E$3665,$K1838))</f>
        <v/>
      </c>
      <c r="F1838" s="187">
        <f>IF($K1838="","",INDEX(Zeiterfassung!$F$6:$F$3665,$K1838))</f>
        <v/>
      </c>
      <c r="G1838" s="187">
        <f>IF($K1838="","",INDEX(Zeiterfassung!$G$6:$G$3665,$K1838))</f>
        <v/>
      </c>
      <c r="H1838" s="188">
        <f>IF($K1838="","",INDEX(Zeiterfassung!$H$6:$H$3665,$K1838))</f>
        <v/>
      </c>
      <c r="I1838" s="335">
        <f>IF(B1838=B1837,"",IF($K1838="","",INDEX(Zeiterfassung!$I$6:$I$3665,MATCH(INDEX(Zeiterfassung!$K$6:$K$3665,$K1838),Zeiterfassung!$K$6:$K$3665,0))))</f>
        <v/>
      </c>
      <c r="J1838" s="335">
        <f>IF(B1838=B1837,"",IF($K1838="","",INDEX(Zeiterfassung!$J$6:$J$3665,MATCH(INDEX(Zeiterfassung!$K$6:$K$3665,$K1838),Zeiterfassung!$K$6:$K$3665,0))))</f>
        <v/>
      </c>
      <c r="K1838">
        <f>IFERROR(AGGREGATE(15,6,(ROW(Zeiterfassung!$D$6:$D$3665)-ROW(Zeiterfassung!$D$6)+1)/(Zeiterfassung!$D$6:$D$3665&lt;&gt;""),1833),"")</f>
        <v/>
      </c>
    </row>
    <row r="1839" ht="20" customHeight="1">
      <c r="A1839" s="183">
        <f>IF($K1839="","",WEEKNUM(INDEX(Zeiterfassung!$K$6:$K$3665,$K1839),21))</f>
        <v/>
      </c>
      <c r="B1839" s="184">
        <f>IF($K1839="","",INDEX(Zeiterfassung!$K$6:$K$3665,$K1839))</f>
        <v/>
      </c>
      <c r="C1839" s="185">
        <f>IF($K1839="","",INDEX(Zeiterfassung!$K$6:$K$3665,$K1839))</f>
        <v/>
      </c>
      <c r="D1839" s="186">
        <f>IF($K1839="","",INDEX(Zeiterfassung!$D$6:$D$3665,$K1839))</f>
        <v/>
      </c>
      <c r="E1839" s="186">
        <f>IF($K1839="","",INDEX(Zeiterfassung!$E$6:$E$3665,$K1839))</f>
        <v/>
      </c>
      <c r="F1839" s="187">
        <f>IF($K1839="","",INDEX(Zeiterfassung!$F$6:$F$3665,$K1839))</f>
        <v/>
      </c>
      <c r="G1839" s="187">
        <f>IF($K1839="","",INDEX(Zeiterfassung!$G$6:$G$3665,$K1839))</f>
        <v/>
      </c>
      <c r="H1839" s="188">
        <f>IF($K1839="","",INDEX(Zeiterfassung!$H$6:$H$3665,$K1839))</f>
        <v/>
      </c>
      <c r="I1839" s="335">
        <f>IF(B1839=B1838,"",IF($K1839="","",INDEX(Zeiterfassung!$I$6:$I$3665,MATCH(INDEX(Zeiterfassung!$K$6:$K$3665,$K1839),Zeiterfassung!$K$6:$K$3665,0))))</f>
        <v/>
      </c>
      <c r="J1839" s="335">
        <f>IF(B1839=B1838,"",IF($K1839="","",INDEX(Zeiterfassung!$J$6:$J$3665,MATCH(INDEX(Zeiterfassung!$K$6:$K$3665,$K1839),Zeiterfassung!$K$6:$K$3665,0))))</f>
        <v/>
      </c>
      <c r="K1839">
        <f>IFERROR(AGGREGATE(15,6,(ROW(Zeiterfassung!$D$6:$D$3665)-ROW(Zeiterfassung!$D$6)+1)/(Zeiterfassung!$D$6:$D$3665&lt;&gt;""),1834),"")</f>
        <v/>
      </c>
    </row>
    <row r="1840" ht="20" customHeight="1">
      <c r="A1840" s="183">
        <f>IF($K1840="","",WEEKNUM(INDEX(Zeiterfassung!$K$6:$K$3665,$K1840),21))</f>
        <v/>
      </c>
      <c r="B1840" s="184">
        <f>IF($K1840="","",INDEX(Zeiterfassung!$K$6:$K$3665,$K1840))</f>
        <v/>
      </c>
      <c r="C1840" s="185">
        <f>IF($K1840="","",INDEX(Zeiterfassung!$K$6:$K$3665,$K1840))</f>
        <v/>
      </c>
      <c r="D1840" s="186">
        <f>IF($K1840="","",INDEX(Zeiterfassung!$D$6:$D$3665,$K1840))</f>
        <v/>
      </c>
      <c r="E1840" s="186">
        <f>IF($K1840="","",INDEX(Zeiterfassung!$E$6:$E$3665,$K1840))</f>
        <v/>
      </c>
      <c r="F1840" s="187">
        <f>IF($K1840="","",INDEX(Zeiterfassung!$F$6:$F$3665,$K1840))</f>
        <v/>
      </c>
      <c r="G1840" s="187">
        <f>IF($K1840="","",INDEX(Zeiterfassung!$G$6:$G$3665,$K1840))</f>
        <v/>
      </c>
      <c r="H1840" s="188">
        <f>IF($K1840="","",INDEX(Zeiterfassung!$H$6:$H$3665,$K1840))</f>
        <v/>
      </c>
      <c r="I1840" s="335">
        <f>IF(B1840=B1839,"",IF($K1840="","",INDEX(Zeiterfassung!$I$6:$I$3665,MATCH(INDEX(Zeiterfassung!$K$6:$K$3665,$K1840),Zeiterfassung!$K$6:$K$3665,0))))</f>
        <v/>
      </c>
      <c r="J1840" s="335">
        <f>IF(B1840=B1839,"",IF($K1840="","",INDEX(Zeiterfassung!$J$6:$J$3665,MATCH(INDEX(Zeiterfassung!$K$6:$K$3665,$K1840),Zeiterfassung!$K$6:$K$3665,0))))</f>
        <v/>
      </c>
      <c r="K1840">
        <f>IFERROR(AGGREGATE(15,6,(ROW(Zeiterfassung!$D$6:$D$3665)-ROW(Zeiterfassung!$D$6)+1)/(Zeiterfassung!$D$6:$D$3665&lt;&gt;""),1835),"")</f>
        <v/>
      </c>
    </row>
    <row r="1841" ht="20" customHeight="1">
      <c r="A1841" s="183">
        <f>IF($K1841="","",WEEKNUM(INDEX(Zeiterfassung!$K$6:$K$3665,$K1841),21))</f>
        <v/>
      </c>
      <c r="B1841" s="184">
        <f>IF($K1841="","",INDEX(Zeiterfassung!$K$6:$K$3665,$K1841))</f>
        <v/>
      </c>
      <c r="C1841" s="185">
        <f>IF($K1841="","",INDEX(Zeiterfassung!$K$6:$K$3665,$K1841))</f>
        <v/>
      </c>
      <c r="D1841" s="186">
        <f>IF($K1841="","",INDEX(Zeiterfassung!$D$6:$D$3665,$K1841))</f>
        <v/>
      </c>
      <c r="E1841" s="186">
        <f>IF($K1841="","",INDEX(Zeiterfassung!$E$6:$E$3665,$K1841))</f>
        <v/>
      </c>
      <c r="F1841" s="187">
        <f>IF($K1841="","",INDEX(Zeiterfassung!$F$6:$F$3665,$K1841))</f>
        <v/>
      </c>
      <c r="G1841" s="187">
        <f>IF($K1841="","",INDEX(Zeiterfassung!$G$6:$G$3665,$K1841))</f>
        <v/>
      </c>
      <c r="H1841" s="188">
        <f>IF($K1841="","",INDEX(Zeiterfassung!$H$6:$H$3665,$K1841))</f>
        <v/>
      </c>
      <c r="I1841" s="335">
        <f>IF(B1841=B1840,"",IF($K1841="","",INDEX(Zeiterfassung!$I$6:$I$3665,MATCH(INDEX(Zeiterfassung!$K$6:$K$3665,$K1841),Zeiterfassung!$K$6:$K$3665,0))))</f>
        <v/>
      </c>
      <c r="J1841" s="335">
        <f>IF(B1841=B1840,"",IF($K1841="","",INDEX(Zeiterfassung!$J$6:$J$3665,MATCH(INDEX(Zeiterfassung!$K$6:$K$3665,$K1841),Zeiterfassung!$K$6:$K$3665,0))))</f>
        <v/>
      </c>
      <c r="K1841">
        <f>IFERROR(AGGREGATE(15,6,(ROW(Zeiterfassung!$D$6:$D$3665)-ROW(Zeiterfassung!$D$6)+1)/(Zeiterfassung!$D$6:$D$3665&lt;&gt;""),1836),"")</f>
        <v/>
      </c>
    </row>
    <row r="1842" ht="20" customHeight="1">
      <c r="A1842" s="183">
        <f>IF($K1842="","",WEEKNUM(INDEX(Zeiterfassung!$K$6:$K$3665,$K1842),21))</f>
        <v/>
      </c>
      <c r="B1842" s="184">
        <f>IF($K1842="","",INDEX(Zeiterfassung!$K$6:$K$3665,$K1842))</f>
        <v/>
      </c>
      <c r="C1842" s="185">
        <f>IF($K1842="","",INDEX(Zeiterfassung!$K$6:$K$3665,$K1842))</f>
        <v/>
      </c>
      <c r="D1842" s="186">
        <f>IF($K1842="","",INDEX(Zeiterfassung!$D$6:$D$3665,$K1842))</f>
        <v/>
      </c>
      <c r="E1842" s="186">
        <f>IF($K1842="","",INDEX(Zeiterfassung!$E$6:$E$3665,$K1842))</f>
        <v/>
      </c>
      <c r="F1842" s="187">
        <f>IF($K1842="","",INDEX(Zeiterfassung!$F$6:$F$3665,$K1842))</f>
        <v/>
      </c>
      <c r="G1842" s="187">
        <f>IF($K1842="","",INDEX(Zeiterfassung!$G$6:$G$3665,$K1842))</f>
        <v/>
      </c>
      <c r="H1842" s="188">
        <f>IF($K1842="","",INDEX(Zeiterfassung!$H$6:$H$3665,$K1842))</f>
        <v/>
      </c>
      <c r="I1842" s="335">
        <f>IF(B1842=B1841,"",IF($K1842="","",INDEX(Zeiterfassung!$I$6:$I$3665,MATCH(INDEX(Zeiterfassung!$K$6:$K$3665,$K1842),Zeiterfassung!$K$6:$K$3665,0))))</f>
        <v/>
      </c>
      <c r="J1842" s="335">
        <f>IF(B1842=B1841,"",IF($K1842="","",INDEX(Zeiterfassung!$J$6:$J$3665,MATCH(INDEX(Zeiterfassung!$K$6:$K$3665,$K1842),Zeiterfassung!$K$6:$K$3665,0))))</f>
        <v/>
      </c>
      <c r="K1842">
        <f>IFERROR(AGGREGATE(15,6,(ROW(Zeiterfassung!$D$6:$D$3665)-ROW(Zeiterfassung!$D$6)+1)/(Zeiterfassung!$D$6:$D$3665&lt;&gt;""),1837),"")</f>
        <v/>
      </c>
    </row>
    <row r="1843" ht="20" customHeight="1">
      <c r="A1843" s="183">
        <f>IF($K1843="","",WEEKNUM(INDEX(Zeiterfassung!$K$6:$K$3665,$K1843),21))</f>
        <v/>
      </c>
      <c r="B1843" s="184">
        <f>IF($K1843="","",INDEX(Zeiterfassung!$K$6:$K$3665,$K1843))</f>
        <v/>
      </c>
      <c r="C1843" s="185">
        <f>IF($K1843="","",INDEX(Zeiterfassung!$K$6:$K$3665,$K1843))</f>
        <v/>
      </c>
      <c r="D1843" s="186">
        <f>IF($K1843="","",INDEX(Zeiterfassung!$D$6:$D$3665,$K1843))</f>
        <v/>
      </c>
      <c r="E1843" s="186">
        <f>IF($K1843="","",INDEX(Zeiterfassung!$E$6:$E$3665,$K1843))</f>
        <v/>
      </c>
      <c r="F1843" s="187">
        <f>IF($K1843="","",INDEX(Zeiterfassung!$F$6:$F$3665,$K1843))</f>
        <v/>
      </c>
      <c r="G1843" s="187">
        <f>IF($K1843="","",INDEX(Zeiterfassung!$G$6:$G$3665,$K1843))</f>
        <v/>
      </c>
      <c r="H1843" s="188">
        <f>IF($K1843="","",INDEX(Zeiterfassung!$H$6:$H$3665,$K1843))</f>
        <v/>
      </c>
      <c r="I1843" s="335">
        <f>IF(B1843=B1842,"",IF($K1843="","",INDEX(Zeiterfassung!$I$6:$I$3665,MATCH(INDEX(Zeiterfassung!$K$6:$K$3665,$K1843),Zeiterfassung!$K$6:$K$3665,0))))</f>
        <v/>
      </c>
      <c r="J1843" s="335">
        <f>IF(B1843=B1842,"",IF($K1843="","",INDEX(Zeiterfassung!$J$6:$J$3665,MATCH(INDEX(Zeiterfassung!$K$6:$K$3665,$K1843),Zeiterfassung!$K$6:$K$3665,0))))</f>
        <v/>
      </c>
      <c r="K1843">
        <f>IFERROR(AGGREGATE(15,6,(ROW(Zeiterfassung!$D$6:$D$3665)-ROW(Zeiterfassung!$D$6)+1)/(Zeiterfassung!$D$6:$D$3665&lt;&gt;""),1838),"")</f>
        <v/>
      </c>
    </row>
    <row r="1844" ht="20" customHeight="1">
      <c r="A1844" s="183">
        <f>IF($K1844="","",WEEKNUM(INDEX(Zeiterfassung!$K$6:$K$3665,$K1844),21))</f>
        <v/>
      </c>
      <c r="B1844" s="184">
        <f>IF($K1844="","",INDEX(Zeiterfassung!$K$6:$K$3665,$K1844))</f>
        <v/>
      </c>
      <c r="C1844" s="185">
        <f>IF($K1844="","",INDEX(Zeiterfassung!$K$6:$K$3665,$K1844))</f>
        <v/>
      </c>
      <c r="D1844" s="186">
        <f>IF($K1844="","",INDEX(Zeiterfassung!$D$6:$D$3665,$K1844))</f>
        <v/>
      </c>
      <c r="E1844" s="186">
        <f>IF($K1844="","",INDEX(Zeiterfassung!$E$6:$E$3665,$K1844))</f>
        <v/>
      </c>
      <c r="F1844" s="187">
        <f>IF($K1844="","",INDEX(Zeiterfassung!$F$6:$F$3665,$K1844))</f>
        <v/>
      </c>
      <c r="G1844" s="187">
        <f>IF($K1844="","",INDEX(Zeiterfassung!$G$6:$G$3665,$K1844))</f>
        <v/>
      </c>
      <c r="H1844" s="188">
        <f>IF($K1844="","",INDEX(Zeiterfassung!$H$6:$H$3665,$K1844))</f>
        <v/>
      </c>
      <c r="I1844" s="335">
        <f>IF(B1844=B1843,"",IF($K1844="","",INDEX(Zeiterfassung!$I$6:$I$3665,MATCH(INDEX(Zeiterfassung!$K$6:$K$3665,$K1844),Zeiterfassung!$K$6:$K$3665,0))))</f>
        <v/>
      </c>
      <c r="J1844" s="335">
        <f>IF(B1844=B1843,"",IF($K1844="","",INDEX(Zeiterfassung!$J$6:$J$3665,MATCH(INDEX(Zeiterfassung!$K$6:$K$3665,$K1844),Zeiterfassung!$K$6:$K$3665,0))))</f>
        <v/>
      </c>
      <c r="K1844">
        <f>IFERROR(AGGREGATE(15,6,(ROW(Zeiterfassung!$D$6:$D$3665)-ROW(Zeiterfassung!$D$6)+1)/(Zeiterfassung!$D$6:$D$3665&lt;&gt;""),1839),"")</f>
        <v/>
      </c>
    </row>
    <row r="1845" ht="20" customHeight="1">
      <c r="A1845" s="183">
        <f>IF($K1845="","",WEEKNUM(INDEX(Zeiterfassung!$K$6:$K$3665,$K1845),21))</f>
        <v/>
      </c>
      <c r="B1845" s="184">
        <f>IF($K1845="","",INDEX(Zeiterfassung!$K$6:$K$3665,$K1845))</f>
        <v/>
      </c>
      <c r="C1845" s="185">
        <f>IF($K1845="","",INDEX(Zeiterfassung!$K$6:$K$3665,$K1845))</f>
        <v/>
      </c>
      <c r="D1845" s="186">
        <f>IF($K1845="","",INDEX(Zeiterfassung!$D$6:$D$3665,$K1845))</f>
        <v/>
      </c>
      <c r="E1845" s="186">
        <f>IF($K1845="","",INDEX(Zeiterfassung!$E$6:$E$3665,$K1845))</f>
        <v/>
      </c>
      <c r="F1845" s="187">
        <f>IF($K1845="","",INDEX(Zeiterfassung!$F$6:$F$3665,$K1845))</f>
        <v/>
      </c>
      <c r="G1845" s="187">
        <f>IF($K1845="","",INDEX(Zeiterfassung!$G$6:$G$3665,$K1845))</f>
        <v/>
      </c>
      <c r="H1845" s="188">
        <f>IF($K1845="","",INDEX(Zeiterfassung!$H$6:$H$3665,$K1845))</f>
        <v/>
      </c>
      <c r="I1845" s="335">
        <f>IF(B1845=B1844,"",IF($K1845="","",INDEX(Zeiterfassung!$I$6:$I$3665,MATCH(INDEX(Zeiterfassung!$K$6:$K$3665,$K1845),Zeiterfassung!$K$6:$K$3665,0))))</f>
        <v/>
      </c>
      <c r="J1845" s="335">
        <f>IF(B1845=B1844,"",IF($K1845="","",INDEX(Zeiterfassung!$J$6:$J$3665,MATCH(INDEX(Zeiterfassung!$K$6:$K$3665,$K1845),Zeiterfassung!$K$6:$K$3665,0))))</f>
        <v/>
      </c>
      <c r="K1845">
        <f>IFERROR(AGGREGATE(15,6,(ROW(Zeiterfassung!$D$6:$D$3665)-ROW(Zeiterfassung!$D$6)+1)/(Zeiterfassung!$D$6:$D$3665&lt;&gt;""),1840),"")</f>
        <v/>
      </c>
    </row>
    <row r="1846" ht="20" customHeight="1">
      <c r="A1846" s="183">
        <f>IF($K1846="","",WEEKNUM(INDEX(Zeiterfassung!$K$6:$K$3665,$K1846),21))</f>
        <v/>
      </c>
      <c r="B1846" s="184">
        <f>IF($K1846="","",INDEX(Zeiterfassung!$K$6:$K$3665,$K1846))</f>
        <v/>
      </c>
      <c r="C1846" s="185">
        <f>IF($K1846="","",INDEX(Zeiterfassung!$K$6:$K$3665,$K1846))</f>
        <v/>
      </c>
      <c r="D1846" s="186">
        <f>IF($K1846="","",INDEX(Zeiterfassung!$D$6:$D$3665,$K1846))</f>
        <v/>
      </c>
      <c r="E1846" s="186">
        <f>IF($K1846="","",INDEX(Zeiterfassung!$E$6:$E$3665,$K1846))</f>
        <v/>
      </c>
      <c r="F1846" s="187">
        <f>IF($K1846="","",INDEX(Zeiterfassung!$F$6:$F$3665,$K1846))</f>
        <v/>
      </c>
      <c r="G1846" s="187">
        <f>IF($K1846="","",INDEX(Zeiterfassung!$G$6:$G$3665,$K1846))</f>
        <v/>
      </c>
      <c r="H1846" s="188">
        <f>IF($K1846="","",INDEX(Zeiterfassung!$H$6:$H$3665,$K1846))</f>
        <v/>
      </c>
      <c r="I1846" s="335">
        <f>IF(B1846=B1845,"",IF($K1846="","",INDEX(Zeiterfassung!$I$6:$I$3665,MATCH(INDEX(Zeiterfassung!$K$6:$K$3665,$K1846),Zeiterfassung!$K$6:$K$3665,0))))</f>
        <v/>
      </c>
      <c r="J1846" s="335">
        <f>IF(B1846=B1845,"",IF($K1846="","",INDEX(Zeiterfassung!$J$6:$J$3665,MATCH(INDEX(Zeiterfassung!$K$6:$K$3665,$K1846),Zeiterfassung!$K$6:$K$3665,0))))</f>
        <v/>
      </c>
      <c r="K1846">
        <f>IFERROR(AGGREGATE(15,6,(ROW(Zeiterfassung!$D$6:$D$3665)-ROW(Zeiterfassung!$D$6)+1)/(Zeiterfassung!$D$6:$D$3665&lt;&gt;""),1841),"")</f>
        <v/>
      </c>
    </row>
    <row r="1847" ht="20" customHeight="1">
      <c r="A1847" s="183">
        <f>IF($K1847="","",WEEKNUM(INDEX(Zeiterfassung!$K$6:$K$3665,$K1847),21))</f>
        <v/>
      </c>
      <c r="B1847" s="184">
        <f>IF($K1847="","",INDEX(Zeiterfassung!$K$6:$K$3665,$K1847))</f>
        <v/>
      </c>
      <c r="C1847" s="185">
        <f>IF($K1847="","",INDEX(Zeiterfassung!$K$6:$K$3665,$K1847))</f>
        <v/>
      </c>
      <c r="D1847" s="186">
        <f>IF($K1847="","",INDEX(Zeiterfassung!$D$6:$D$3665,$K1847))</f>
        <v/>
      </c>
      <c r="E1847" s="186">
        <f>IF($K1847="","",INDEX(Zeiterfassung!$E$6:$E$3665,$K1847))</f>
        <v/>
      </c>
      <c r="F1847" s="187">
        <f>IF($K1847="","",INDEX(Zeiterfassung!$F$6:$F$3665,$K1847))</f>
        <v/>
      </c>
      <c r="G1847" s="187">
        <f>IF($K1847="","",INDEX(Zeiterfassung!$G$6:$G$3665,$K1847))</f>
        <v/>
      </c>
      <c r="H1847" s="188">
        <f>IF($K1847="","",INDEX(Zeiterfassung!$H$6:$H$3665,$K1847))</f>
        <v/>
      </c>
      <c r="I1847" s="335">
        <f>IF(B1847=B1846,"",IF($K1847="","",INDEX(Zeiterfassung!$I$6:$I$3665,MATCH(INDEX(Zeiterfassung!$K$6:$K$3665,$K1847),Zeiterfassung!$K$6:$K$3665,0))))</f>
        <v/>
      </c>
      <c r="J1847" s="335">
        <f>IF(B1847=B1846,"",IF($K1847="","",INDEX(Zeiterfassung!$J$6:$J$3665,MATCH(INDEX(Zeiterfassung!$K$6:$K$3665,$K1847),Zeiterfassung!$K$6:$K$3665,0))))</f>
        <v/>
      </c>
      <c r="K1847">
        <f>IFERROR(AGGREGATE(15,6,(ROW(Zeiterfassung!$D$6:$D$3665)-ROW(Zeiterfassung!$D$6)+1)/(Zeiterfassung!$D$6:$D$3665&lt;&gt;""),1842),"")</f>
        <v/>
      </c>
    </row>
    <row r="1848" ht="20" customHeight="1">
      <c r="A1848" s="183">
        <f>IF($K1848="","",WEEKNUM(INDEX(Zeiterfassung!$K$6:$K$3665,$K1848),21))</f>
        <v/>
      </c>
      <c r="B1848" s="184">
        <f>IF($K1848="","",INDEX(Zeiterfassung!$K$6:$K$3665,$K1848))</f>
        <v/>
      </c>
      <c r="C1848" s="185">
        <f>IF($K1848="","",INDEX(Zeiterfassung!$K$6:$K$3665,$K1848))</f>
        <v/>
      </c>
      <c r="D1848" s="186">
        <f>IF($K1848="","",INDEX(Zeiterfassung!$D$6:$D$3665,$K1848))</f>
        <v/>
      </c>
      <c r="E1848" s="186">
        <f>IF($K1848="","",INDEX(Zeiterfassung!$E$6:$E$3665,$K1848))</f>
        <v/>
      </c>
      <c r="F1848" s="187">
        <f>IF($K1848="","",INDEX(Zeiterfassung!$F$6:$F$3665,$K1848))</f>
        <v/>
      </c>
      <c r="G1848" s="187">
        <f>IF($K1848="","",INDEX(Zeiterfassung!$G$6:$G$3665,$K1848))</f>
        <v/>
      </c>
      <c r="H1848" s="188">
        <f>IF($K1848="","",INDEX(Zeiterfassung!$H$6:$H$3665,$K1848))</f>
        <v/>
      </c>
      <c r="I1848" s="335">
        <f>IF(B1848=B1847,"",IF($K1848="","",INDEX(Zeiterfassung!$I$6:$I$3665,MATCH(INDEX(Zeiterfassung!$K$6:$K$3665,$K1848),Zeiterfassung!$K$6:$K$3665,0))))</f>
        <v/>
      </c>
      <c r="J1848" s="335">
        <f>IF(B1848=B1847,"",IF($K1848="","",INDEX(Zeiterfassung!$J$6:$J$3665,MATCH(INDEX(Zeiterfassung!$K$6:$K$3665,$K1848),Zeiterfassung!$K$6:$K$3665,0))))</f>
        <v/>
      </c>
      <c r="K1848">
        <f>IFERROR(AGGREGATE(15,6,(ROW(Zeiterfassung!$D$6:$D$3665)-ROW(Zeiterfassung!$D$6)+1)/(Zeiterfassung!$D$6:$D$3665&lt;&gt;""),1843),"")</f>
        <v/>
      </c>
    </row>
    <row r="1849" ht="20" customHeight="1">
      <c r="A1849" s="183">
        <f>IF($K1849="","",WEEKNUM(INDEX(Zeiterfassung!$K$6:$K$3665,$K1849),21))</f>
        <v/>
      </c>
      <c r="B1849" s="184">
        <f>IF($K1849="","",INDEX(Zeiterfassung!$K$6:$K$3665,$K1849))</f>
        <v/>
      </c>
      <c r="C1849" s="185">
        <f>IF($K1849="","",INDEX(Zeiterfassung!$K$6:$K$3665,$K1849))</f>
        <v/>
      </c>
      <c r="D1849" s="186">
        <f>IF($K1849="","",INDEX(Zeiterfassung!$D$6:$D$3665,$K1849))</f>
        <v/>
      </c>
      <c r="E1849" s="186">
        <f>IF($K1849="","",INDEX(Zeiterfassung!$E$6:$E$3665,$K1849))</f>
        <v/>
      </c>
      <c r="F1849" s="187">
        <f>IF($K1849="","",INDEX(Zeiterfassung!$F$6:$F$3665,$K1849))</f>
        <v/>
      </c>
      <c r="G1849" s="187">
        <f>IF($K1849="","",INDEX(Zeiterfassung!$G$6:$G$3665,$K1849))</f>
        <v/>
      </c>
      <c r="H1849" s="188">
        <f>IF($K1849="","",INDEX(Zeiterfassung!$H$6:$H$3665,$K1849))</f>
        <v/>
      </c>
      <c r="I1849" s="335">
        <f>IF(B1849=B1848,"",IF($K1849="","",INDEX(Zeiterfassung!$I$6:$I$3665,MATCH(INDEX(Zeiterfassung!$K$6:$K$3665,$K1849),Zeiterfassung!$K$6:$K$3665,0))))</f>
        <v/>
      </c>
      <c r="J1849" s="335">
        <f>IF(B1849=B1848,"",IF($K1849="","",INDEX(Zeiterfassung!$J$6:$J$3665,MATCH(INDEX(Zeiterfassung!$K$6:$K$3665,$K1849),Zeiterfassung!$K$6:$K$3665,0))))</f>
        <v/>
      </c>
      <c r="K1849">
        <f>IFERROR(AGGREGATE(15,6,(ROW(Zeiterfassung!$D$6:$D$3665)-ROW(Zeiterfassung!$D$6)+1)/(Zeiterfassung!$D$6:$D$3665&lt;&gt;""),1844),"")</f>
        <v/>
      </c>
    </row>
    <row r="1850" ht="20" customHeight="1">
      <c r="A1850" s="183">
        <f>IF($K1850="","",WEEKNUM(INDEX(Zeiterfassung!$K$6:$K$3665,$K1850),21))</f>
        <v/>
      </c>
      <c r="B1850" s="184">
        <f>IF($K1850="","",INDEX(Zeiterfassung!$K$6:$K$3665,$K1850))</f>
        <v/>
      </c>
      <c r="C1850" s="185">
        <f>IF($K1850="","",INDEX(Zeiterfassung!$K$6:$K$3665,$K1850))</f>
        <v/>
      </c>
      <c r="D1850" s="186">
        <f>IF($K1850="","",INDEX(Zeiterfassung!$D$6:$D$3665,$K1850))</f>
        <v/>
      </c>
      <c r="E1850" s="186">
        <f>IF($K1850="","",INDEX(Zeiterfassung!$E$6:$E$3665,$K1850))</f>
        <v/>
      </c>
      <c r="F1850" s="187">
        <f>IF($K1850="","",INDEX(Zeiterfassung!$F$6:$F$3665,$K1850))</f>
        <v/>
      </c>
      <c r="G1850" s="187">
        <f>IF($K1850="","",INDEX(Zeiterfassung!$G$6:$G$3665,$K1850))</f>
        <v/>
      </c>
      <c r="H1850" s="188">
        <f>IF($K1850="","",INDEX(Zeiterfassung!$H$6:$H$3665,$K1850))</f>
        <v/>
      </c>
      <c r="I1850" s="335">
        <f>IF(B1850=B1849,"",IF($K1850="","",INDEX(Zeiterfassung!$I$6:$I$3665,MATCH(INDEX(Zeiterfassung!$K$6:$K$3665,$K1850),Zeiterfassung!$K$6:$K$3665,0))))</f>
        <v/>
      </c>
      <c r="J1850" s="335">
        <f>IF(B1850=B1849,"",IF($K1850="","",INDEX(Zeiterfassung!$J$6:$J$3665,MATCH(INDEX(Zeiterfassung!$K$6:$K$3665,$K1850),Zeiterfassung!$K$6:$K$3665,0))))</f>
        <v/>
      </c>
      <c r="K1850">
        <f>IFERROR(AGGREGATE(15,6,(ROW(Zeiterfassung!$D$6:$D$3665)-ROW(Zeiterfassung!$D$6)+1)/(Zeiterfassung!$D$6:$D$3665&lt;&gt;""),1845),"")</f>
        <v/>
      </c>
    </row>
    <row r="1851" ht="20" customHeight="1">
      <c r="A1851" s="183">
        <f>IF($K1851="","",WEEKNUM(INDEX(Zeiterfassung!$K$6:$K$3665,$K1851),21))</f>
        <v/>
      </c>
      <c r="B1851" s="184">
        <f>IF($K1851="","",INDEX(Zeiterfassung!$K$6:$K$3665,$K1851))</f>
        <v/>
      </c>
      <c r="C1851" s="185">
        <f>IF($K1851="","",INDEX(Zeiterfassung!$K$6:$K$3665,$K1851))</f>
        <v/>
      </c>
      <c r="D1851" s="186">
        <f>IF($K1851="","",INDEX(Zeiterfassung!$D$6:$D$3665,$K1851))</f>
        <v/>
      </c>
      <c r="E1851" s="186">
        <f>IF($K1851="","",INDEX(Zeiterfassung!$E$6:$E$3665,$K1851))</f>
        <v/>
      </c>
      <c r="F1851" s="187">
        <f>IF($K1851="","",INDEX(Zeiterfassung!$F$6:$F$3665,$K1851))</f>
        <v/>
      </c>
      <c r="G1851" s="187">
        <f>IF($K1851="","",INDEX(Zeiterfassung!$G$6:$G$3665,$K1851))</f>
        <v/>
      </c>
      <c r="H1851" s="188">
        <f>IF($K1851="","",INDEX(Zeiterfassung!$H$6:$H$3665,$K1851))</f>
        <v/>
      </c>
      <c r="I1851" s="335">
        <f>IF(B1851=B1850,"",IF($K1851="","",INDEX(Zeiterfassung!$I$6:$I$3665,MATCH(INDEX(Zeiterfassung!$K$6:$K$3665,$K1851),Zeiterfassung!$K$6:$K$3665,0))))</f>
        <v/>
      </c>
      <c r="J1851" s="335">
        <f>IF(B1851=B1850,"",IF($K1851="","",INDEX(Zeiterfassung!$J$6:$J$3665,MATCH(INDEX(Zeiterfassung!$K$6:$K$3665,$K1851),Zeiterfassung!$K$6:$K$3665,0))))</f>
        <v/>
      </c>
      <c r="K1851">
        <f>IFERROR(AGGREGATE(15,6,(ROW(Zeiterfassung!$D$6:$D$3665)-ROW(Zeiterfassung!$D$6)+1)/(Zeiterfassung!$D$6:$D$3665&lt;&gt;""),1846),"")</f>
        <v/>
      </c>
    </row>
    <row r="1852" ht="20" customHeight="1">
      <c r="A1852" s="183">
        <f>IF($K1852="","",WEEKNUM(INDEX(Zeiterfassung!$K$6:$K$3665,$K1852),21))</f>
        <v/>
      </c>
      <c r="B1852" s="184">
        <f>IF($K1852="","",INDEX(Zeiterfassung!$K$6:$K$3665,$K1852))</f>
        <v/>
      </c>
      <c r="C1852" s="185">
        <f>IF($K1852="","",INDEX(Zeiterfassung!$K$6:$K$3665,$K1852))</f>
        <v/>
      </c>
      <c r="D1852" s="186">
        <f>IF($K1852="","",INDEX(Zeiterfassung!$D$6:$D$3665,$K1852))</f>
        <v/>
      </c>
      <c r="E1852" s="186">
        <f>IF($K1852="","",INDEX(Zeiterfassung!$E$6:$E$3665,$K1852))</f>
        <v/>
      </c>
      <c r="F1852" s="187">
        <f>IF($K1852="","",INDEX(Zeiterfassung!$F$6:$F$3665,$K1852))</f>
        <v/>
      </c>
      <c r="G1852" s="187">
        <f>IF($K1852="","",INDEX(Zeiterfassung!$G$6:$G$3665,$K1852))</f>
        <v/>
      </c>
      <c r="H1852" s="188">
        <f>IF($K1852="","",INDEX(Zeiterfassung!$H$6:$H$3665,$K1852))</f>
        <v/>
      </c>
      <c r="I1852" s="335">
        <f>IF(B1852=B1851,"",IF($K1852="","",INDEX(Zeiterfassung!$I$6:$I$3665,MATCH(INDEX(Zeiterfassung!$K$6:$K$3665,$K1852),Zeiterfassung!$K$6:$K$3665,0))))</f>
        <v/>
      </c>
      <c r="J1852" s="335">
        <f>IF(B1852=B1851,"",IF($K1852="","",INDEX(Zeiterfassung!$J$6:$J$3665,MATCH(INDEX(Zeiterfassung!$K$6:$K$3665,$K1852),Zeiterfassung!$K$6:$K$3665,0))))</f>
        <v/>
      </c>
      <c r="K1852">
        <f>IFERROR(AGGREGATE(15,6,(ROW(Zeiterfassung!$D$6:$D$3665)-ROW(Zeiterfassung!$D$6)+1)/(Zeiterfassung!$D$6:$D$3665&lt;&gt;""),1847),"")</f>
        <v/>
      </c>
    </row>
    <row r="1853" ht="20" customHeight="1">
      <c r="A1853" s="183">
        <f>IF($K1853="","",WEEKNUM(INDEX(Zeiterfassung!$K$6:$K$3665,$K1853),21))</f>
        <v/>
      </c>
      <c r="B1853" s="184">
        <f>IF($K1853="","",INDEX(Zeiterfassung!$K$6:$K$3665,$K1853))</f>
        <v/>
      </c>
      <c r="C1853" s="185">
        <f>IF($K1853="","",INDEX(Zeiterfassung!$K$6:$K$3665,$K1853))</f>
        <v/>
      </c>
      <c r="D1853" s="186">
        <f>IF($K1853="","",INDEX(Zeiterfassung!$D$6:$D$3665,$K1853))</f>
        <v/>
      </c>
      <c r="E1853" s="186">
        <f>IF($K1853="","",INDEX(Zeiterfassung!$E$6:$E$3665,$K1853))</f>
        <v/>
      </c>
      <c r="F1853" s="187">
        <f>IF($K1853="","",INDEX(Zeiterfassung!$F$6:$F$3665,$K1853))</f>
        <v/>
      </c>
      <c r="G1853" s="187">
        <f>IF($K1853="","",INDEX(Zeiterfassung!$G$6:$G$3665,$K1853))</f>
        <v/>
      </c>
      <c r="H1853" s="188">
        <f>IF($K1853="","",INDEX(Zeiterfassung!$H$6:$H$3665,$K1853))</f>
        <v/>
      </c>
      <c r="I1853" s="335">
        <f>IF(B1853=B1852,"",IF($K1853="","",INDEX(Zeiterfassung!$I$6:$I$3665,MATCH(INDEX(Zeiterfassung!$K$6:$K$3665,$K1853),Zeiterfassung!$K$6:$K$3665,0))))</f>
        <v/>
      </c>
      <c r="J1853" s="335">
        <f>IF(B1853=B1852,"",IF($K1853="","",INDEX(Zeiterfassung!$J$6:$J$3665,MATCH(INDEX(Zeiterfassung!$K$6:$K$3665,$K1853),Zeiterfassung!$K$6:$K$3665,0))))</f>
        <v/>
      </c>
      <c r="K1853">
        <f>IFERROR(AGGREGATE(15,6,(ROW(Zeiterfassung!$D$6:$D$3665)-ROW(Zeiterfassung!$D$6)+1)/(Zeiterfassung!$D$6:$D$3665&lt;&gt;""),1848),"")</f>
        <v/>
      </c>
    </row>
    <row r="1854" ht="20" customHeight="1">
      <c r="A1854" s="183">
        <f>IF($K1854="","",WEEKNUM(INDEX(Zeiterfassung!$K$6:$K$3665,$K1854),21))</f>
        <v/>
      </c>
      <c r="B1854" s="184">
        <f>IF($K1854="","",INDEX(Zeiterfassung!$K$6:$K$3665,$K1854))</f>
        <v/>
      </c>
      <c r="C1854" s="185">
        <f>IF($K1854="","",INDEX(Zeiterfassung!$K$6:$K$3665,$K1854))</f>
        <v/>
      </c>
      <c r="D1854" s="186">
        <f>IF($K1854="","",INDEX(Zeiterfassung!$D$6:$D$3665,$K1854))</f>
        <v/>
      </c>
      <c r="E1854" s="186">
        <f>IF($K1854="","",INDEX(Zeiterfassung!$E$6:$E$3665,$K1854))</f>
        <v/>
      </c>
      <c r="F1854" s="187">
        <f>IF($K1854="","",INDEX(Zeiterfassung!$F$6:$F$3665,$K1854))</f>
        <v/>
      </c>
      <c r="G1854" s="187">
        <f>IF($K1854="","",INDEX(Zeiterfassung!$G$6:$G$3665,$K1854))</f>
        <v/>
      </c>
      <c r="H1854" s="188">
        <f>IF($K1854="","",INDEX(Zeiterfassung!$H$6:$H$3665,$K1854))</f>
        <v/>
      </c>
      <c r="I1854" s="335">
        <f>IF(B1854=B1853,"",IF($K1854="","",INDEX(Zeiterfassung!$I$6:$I$3665,MATCH(INDEX(Zeiterfassung!$K$6:$K$3665,$K1854),Zeiterfassung!$K$6:$K$3665,0))))</f>
        <v/>
      </c>
      <c r="J1854" s="335">
        <f>IF(B1854=B1853,"",IF($K1854="","",INDEX(Zeiterfassung!$J$6:$J$3665,MATCH(INDEX(Zeiterfassung!$K$6:$K$3665,$K1854),Zeiterfassung!$K$6:$K$3665,0))))</f>
        <v/>
      </c>
      <c r="K1854">
        <f>IFERROR(AGGREGATE(15,6,(ROW(Zeiterfassung!$D$6:$D$3665)-ROW(Zeiterfassung!$D$6)+1)/(Zeiterfassung!$D$6:$D$3665&lt;&gt;""),1849),"")</f>
        <v/>
      </c>
    </row>
    <row r="1855" ht="20" customHeight="1">
      <c r="A1855" s="183">
        <f>IF($K1855="","",WEEKNUM(INDEX(Zeiterfassung!$K$6:$K$3665,$K1855),21))</f>
        <v/>
      </c>
      <c r="B1855" s="184">
        <f>IF($K1855="","",INDEX(Zeiterfassung!$K$6:$K$3665,$K1855))</f>
        <v/>
      </c>
      <c r="C1855" s="185">
        <f>IF($K1855="","",INDEX(Zeiterfassung!$K$6:$K$3665,$K1855))</f>
        <v/>
      </c>
      <c r="D1855" s="186">
        <f>IF($K1855="","",INDEX(Zeiterfassung!$D$6:$D$3665,$K1855))</f>
        <v/>
      </c>
      <c r="E1855" s="186">
        <f>IF($K1855="","",INDEX(Zeiterfassung!$E$6:$E$3665,$K1855))</f>
        <v/>
      </c>
      <c r="F1855" s="187">
        <f>IF($K1855="","",INDEX(Zeiterfassung!$F$6:$F$3665,$K1855))</f>
        <v/>
      </c>
      <c r="G1855" s="187">
        <f>IF($K1855="","",INDEX(Zeiterfassung!$G$6:$G$3665,$K1855))</f>
        <v/>
      </c>
      <c r="H1855" s="188">
        <f>IF($K1855="","",INDEX(Zeiterfassung!$H$6:$H$3665,$K1855))</f>
        <v/>
      </c>
      <c r="I1855" s="335">
        <f>IF(B1855=B1854,"",IF($K1855="","",INDEX(Zeiterfassung!$I$6:$I$3665,MATCH(INDEX(Zeiterfassung!$K$6:$K$3665,$K1855),Zeiterfassung!$K$6:$K$3665,0))))</f>
        <v/>
      </c>
      <c r="J1855" s="335">
        <f>IF(B1855=B1854,"",IF($K1855="","",INDEX(Zeiterfassung!$J$6:$J$3665,MATCH(INDEX(Zeiterfassung!$K$6:$K$3665,$K1855),Zeiterfassung!$K$6:$K$3665,0))))</f>
        <v/>
      </c>
      <c r="K1855">
        <f>IFERROR(AGGREGATE(15,6,(ROW(Zeiterfassung!$D$6:$D$3665)-ROW(Zeiterfassung!$D$6)+1)/(Zeiterfassung!$D$6:$D$3665&lt;&gt;""),1850),"")</f>
        <v/>
      </c>
    </row>
    <row r="1856" ht="20" customHeight="1">
      <c r="A1856" s="183">
        <f>IF($K1856="","",WEEKNUM(INDEX(Zeiterfassung!$K$6:$K$3665,$K1856),21))</f>
        <v/>
      </c>
      <c r="B1856" s="184">
        <f>IF($K1856="","",INDEX(Zeiterfassung!$K$6:$K$3665,$K1856))</f>
        <v/>
      </c>
      <c r="C1856" s="185">
        <f>IF($K1856="","",INDEX(Zeiterfassung!$K$6:$K$3665,$K1856))</f>
        <v/>
      </c>
      <c r="D1856" s="186">
        <f>IF($K1856="","",INDEX(Zeiterfassung!$D$6:$D$3665,$K1856))</f>
        <v/>
      </c>
      <c r="E1856" s="186">
        <f>IF($K1856="","",INDEX(Zeiterfassung!$E$6:$E$3665,$K1856))</f>
        <v/>
      </c>
      <c r="F1856" s="187">
        <f>IF($K1856="","",INDEX(Zeiterfassung!$F$6:$F$3665,$K1856))</f>
        <v/>
      </c>
      <c r="G1856" s="187">
        <f>IF($K1856="","",INDEX(Zeiterfassung!$G$6:$G$3665,$K1856))</f>
        <v/>
      </c>
      <c r="H1856" s="188">
        <f>IF($K1856="","",INDEX(Zeiterfassung!$H$6:$H$3665,$K1856))</f>
        <v/>
      </c>
      <c r="I1856" s="335">
        <f>IF(B1856=B1855,"",IF($K1856="","",INDEX(Zeiterfassung!$I$6:$I$3665,MATCH(INDEX(Zeiterfassung!$K$6:$K$3665,$K1856),Zeiterfassung!$K$6:$K$3665,0))))</f>
        <v/>
      </c>
      <c r="J1856" s="335">
        <f>IF(B1856=B1855,"",IF($K1856="","",INDEX(Zeiterfassung!$J$6:$J$3665,MATCH(INDEX(Zeiterfassung!$K$6:$K$3665,$K1856),Zeiterfassung!$K$6:$K$3665,0))))</f>
        <v/>
      </c>
      <c r="K1856">
        <f>IFERROR(AGGREGATE(15,6,(ROW(Zeiterfassung!$D$6:$D$3665)-ROW(Zeiterfassung!$D$6)+1)/(Zeiterfassung!$D$6:$D$3665&lt;&gt;""),1851),"")</f>
        <v/>
      </c>
    </row>
    <row r="1857" ht="20" customHeight="1">
      <c r="A1857" s="183">
        <f>IF($K1857="","",WEEKNUM(INDEX(Zeiterfassung!$K$6:$K$3665,$K1857),21))</f>
        <v/>
      </c>
      <c r="B1857" s="184">
        <f>IF($K1857="","",INDEX(Zeiterfassung!$K$6:$K$3665,$K1857))</f>
        <v/>
      </c>
      <c r="C1857" s="185">
        <f>IF($K1857="","",INDEX(Zeiterfassung!$K$6:$K$3665,$K1857))</f>
        <v/>
      </c>
      <c r="D1857" s="186">
        <f>IF($K1857="","",INDEX(Zeiterfassung!$D$6:$D$3665,$K1857))</f>
        <v/>
      </c>
      <c r="E1857" s="186">
        <f>IF($K1857="","",INDEX(Zeiterfassung!$E$6:$E$3665,$K1857))</f>
        <v/>
      </c>
      <c r="F1857" s="187">
        <f>IF($K1857="","",INDEX(Zeiterfassung!$F$6:$F$3665,$K1857))</f>
        <v/>
      </c>
      <c r="G1857" s="187">
        <f>IF($K1857="","",INDEX(Zeiterfassung!$G$6:$G$3665,$K1857))</f>
        <v/>
      </c>
      <c r="H1857" s="188">
        <f>IF($K1857="","",INDEX(Zeiterfassung!$H$6:$H$3665,$K1857))</f>
        <v/>
      </c>
      <c r="I1857" s="335">
        <f>IF(B1857=B1856,"",IF($K1857="","",INDEX(Zeiterfassung!$I$6:$I$3665,MATCH(INDEX(Zeiterfassung!$K$6:$K$3665,$K1857),Zeiterfassung!$K$6:$K$3665,0))))</f>
        <v/>
      </c>
      <c r="J1857" s="335">
        <f>IF(B1857=B1856,"",IF($K1857="","",INDEX(Zeiterfassung!$J$6:$J$3665,MATCH(INDEX(Zeiterfassung!$K$6:$K$3665,$K1857),Zeiterfassung!$K$6:$K$3665,0))))</f>
        <v/>
      </c>
      <c r="K1857">
        <f>IFERROR(AGGREGATE(15,6,(ROW(Zeiterfassung!$D$6:$D$3665)-ROW(Zeiterfassung!$D$6)+1)/(Zeiterfassung!$D$6:$D$3665&lt;&gt;""),1852),"")</f>
        <v/>
      </c>
    </row>
    <row r="1858" ht="20" customHeight="1">
      <c r="A1858" s="183">
        <f>IF($K1858="","",WEEKNUM(INDEX(Zeiterfassung!$K$6:$K$3665,$K1858),21))</f>
        <v/>
      </c>
      <c r="B1858" s="184">
        <f>IF($K1858="","",INDEX(Zeiterfassung!$K$6:$K$3665,$K1858))</f>
        <v/>
      </c>
      <c r="C1858" s="185">
        <f>IF($K1858="","",INDEX(Zeiterfassung!$K$6:$K$3665,$K1858))</f>
        <v/>
      </c>
      <c r="D1858" s="186">
        <f>IF($K1858="","",INDEX(Zeiterfassung!$D$6:$D$3665,$K1858))</f>
        <v/>
      </c>
      <c r="E1858" s="186">
        <f>IF($K1858="","",INDEX(Zeiterfassung!$E$6:$E$3665,$K1858))</f>
        <v/>
      </c>
      <c r="F1858" s="187">
        <f>IF($K1858="","",INDEX(Zeiterfassung!$F$6:$F$3665,$K1858))</f>
        <v/>
      </c>
      <c r="G1858" s="187">
        <f>IF($K1858="","",INDEX(Zeiterfassung!$G$6:$G$3665,$K1858))</f>
        <v/>
      </c>
      <c r="H1858" s="188">
        <f>IF($K1858="","",INDEX(Zeiterfassung!$H$6:$H$3665,$K1858))</f>
        <v/>
      </c>
      <c r="I1858" s="335">
        <f>IF(B1858=B1857,"",IF($K1858="","",INDEX(Zeiterfassung!$I$6:$I$3665,MATCH(INDEX(Zeiterfassung!$K$6:$K$3665,$K1858),Zeiterfassung!$K$6:$K$3665,0))))</f>
        <v/>
      </c>
      <c r="J1858" s="335">
        <f>IF(B1858=B1857,"",IF($K1858="","",INDEX(Zeiterfassung!$J$6:$J$3665,MATCH(INDEX(Zeiterfassung!$K$6:$K$3665,$K1858),Zeiterfassung!$K$6:$K$3665,0))))</f>
        <v/>
      </c>
      <c r="K1858">
        <f>IFERROR(AGGREGATE(15,6,(ROW(Zeiterfassung!$D$6:$D$3665)-ROW(Zeiterfassung!$D$6)+1)/(Zeiterfassung!$D$6:$D$3665&lt;&gt;""),1853),"")</f>
        <v/>
      </c>
    </row>
    <row r="1859" ht="20" customHeight="1">
      <c r="A1859" s="183">
        <f>IF($K1859="","",WEEKNUM(INDEX(Zeiterfassung!$K$6:$K$3665,$K1859),21))</f>
        <v/>
      </c>
      <c r="B1859" s="184">
        <f>IF($K1859="","",INDEX(Zeiterfassung!$K$6:$K$3665,$K1859))</f>
        <v/>
      </c>
      <c r="C1859" s="185">
        <f>IF($K1859="","",INDEX(Zeiterfassung!$K$6:$K$3665,$K1859))</f>
        <v/>
      </c>
      <c r="D1859" s="186">
        <f>IF($K1859="","",INDEX(Zeiterfassung!$D$6:$D$3665,$K1859))</f>
        <v/>
      </c>
      <c r="E1859" s="186">
        <f>IF($K1859="","",INDEX(Zeiterfassung!$E$6:$E$3665,$K1859))</f>
        <v/>
      </c>
      <c r="F1859" s="187">
        <f>IF($K1859="","",INDEX(Zeiterfassung!$F$6:$F$3665,$K1859))</f>
        <v/>
      </c>
      <c r="G1859" s="187">
        <f>IF($K1859="","",INDEX(Zeiterfassung!$G$6:$G$3665,$K1859))</f>
        <v/>
      </c>
      <c r="H1859" s="188">
        <f>IF($K1859="","",INDEX(Zeiterfassung!$H$6:$H$3665,$K1859))</f>
        <v/>
      </c>
      <c r="I1859" s="335">
        <f>IF(B1859=B1858,"",IF($K1859="","",INDEX(Zeiterfassung!$I$6:$I$3665,MATCH(INDEX(Zeiterfassung!$K$6:$K$3665,$K1859),Zeiterfassung!$K$6:$K$3665,0))))</f>
        <v/>
      </c>
      <c r="J1859" s="335">
        <f>IF(B1859=B1858,"",IF($K1859="","",INDEX(Zeiterfassung!$J$6:$J$3665,MATCH(INDEX(Zeiterfassung!$K$6:$K$3665,$K1859),Zeiterfassung!$K$6:$K$3665,0))))</f>
        <v/>
      </c>
      <c r="K1859">
        <f>IFERROR(AGGREGATE(15,6,(ROW(Zeiterfassung!$D$6:$D$3665)-ROW(Zeiterfassung!$D$6)+1)/(Zeiterfassung!$D$6:$D$3665&lt;&gt;""),1854),"")</f>
        <v/>
      </c>
    </row>
    <row r="1860" ht="20" customHeight="1">
      <c r="A1860" s="183">
        <f>IF($K1860="","",WEEKNUM(INDEX(Zeiterfassung!$K$6:$K$3665,$K1860),21))</f>
        <v/>
      </c>
      <c r="B1860" s="184">
        <f>IF($K1860="","",INDEX(Zeiterfassung!$K$6:$K$3665,$K1860))</f>
        <v/>
      </c>
      <c r="C1860" s="185">
        <f>IF($K1860="","",INDEX(Zeiterfassung!$K$6:$K$3665,$K1860))</f>
        <v/>
      </c>
      <c r="D1860" s="186">
        <f>IF($K1860="","",INDEX(Zeiterfassung!$D$6:$D$3665,$K1860))</f>
        <v/>
      </c>
      <c r="E1860" s="186">
        <f>IF($K1860="","",INDEX(Zeiterfassung!$E$6:$E$3665,$K1860))</f>
        <v/>
      </c>
      <c r="F1860" s="187">
        <f>IF($K1860="","",INDEX(Zeiterfassung!$F$6:$F$3665,$K1860))</f>
        <v/>
      </c>
      <c r="G1860" s="187">
        <f>IF($K1860="","",INDEX(Zeiterfassung!$G$6:$G$3665,$K1860))</f>
        <v/>
      </c>
      <c r="H1860" s="188">
        <f>IF($K1860="","",INDEX(Zeiterfassung!$H$6:$H$3665,$K1860))</f>
        <v/>
      </c>
      <c r="I1860" s="335">
        <f>IF(B1860=B1859,"",IF($K1860="","",INDEX(Zeiterfassung!$I$6:$I$3665,MATCH(INDEX(Zeiterfassung!$K$6:$K$3665,$K1860),Zeiterfassung!$K$6:$K$3665,0))))</f>
        <v/>
      </c>
      <c r="J1860" s="335">
        <f>IF(B1860=B1859,"",IF($K1860="","",INDEX(Zeiterfassung!$J$6:$J$3665,MATCH(INDEX(Zeiterfassung!$K$6:$K$3665,$K1860),Zeiterfassung!$K$6:$K$3665,0))))</f>
        <v/>
      </c>
      <c r="K1860">
        <f>IFERROR(AGGREGATE(15,6,(ROW(Zeiterfassung!$D$6:$D$3665)-ROW(Zeiterfassung!$D$6)+1)/(Zeiterfassung!$D$6:$D$3665&lt;&gt;""),1855),"")</f>
        <v/>
      </c>
    </row>
    <row r="1861" ht="20" customHeight="1">
      <c r="A1861" s="183">
        <f>IF($K1861="","",WEEKNUM(INDEX(Zeiterfassung!$K$6:$K$3665,$K1861),21))</f>
        <v/>
      </c>
      <c r="B1861" s="184">
        <f>IF($K1861="","",INDEX(Zeiterfassung!$K$6:$K$3665,$K1861))</f>
        <v/>
      </c>
      <c r="C1861" s="185">
        <f>IF($K1861="","",INDEX(Zeiterfassung!$K$6:$K$3665,$K1861))</f>
        <v/>
      </c>
      <c r="D1861" s="186">
        <f>IF($K1861="","",INDEX(Zeiterfassung!$D$6:$D$3665,$K1861))</f>
        <v/>
      </c>
      <c r="E1861" s="186">
        <f>IF($K1861="","",INDEX(Zeiterfassung!$E$6:$E$3665,$K1861))</f>
        <v/>
      </c>
      <c r="F1861" s="187">
        <f>IF($K1861="","",INDEX(Zeiterfassung!$F$6:$F$3665,$K1861))</f>
        <v/>
      </c>
      <c r="G1861" s="187">
        <f>IF($K1861="","",INDEX(Zeiterfassung!$G$6:$G$3665,$K1861))</f>
        <v/>
      </c>
      <c r="H1861" s="188">
        <f>IF($K1861="","",INDEX(Zeiterfassung!$H$6:$H$3665,$K1861))</f>
        <v/>
      </c>
      <c r="I1861" s="335">
        <f>IF(B1861=B1860,"",IF($K1861="","",INDEX(Zeiterfassung!$I$6:$I$3665,MATCH(INDEX(Zeiterfassung!$K$6:$K$3665,$K1861),Zeiterfassung!$K$6:$K$3665,0))))</f>
        <v/>
      </c>
      <c r="J1861" s="335">
        <f>IF(B1861=B1860,"",IF($K1861="","",INDEX(Zeiterfassung!$J$6:$J$3665,MATCH(INDEX(Zeiterfassung!$K$6:$K$3665,$K1861),Zeiterfassung!$K$6:$K$3665,0))))</f>
        <v/>
      </c>
      <c r="K1861">
        <f>IFERROR(AGGREGATE(15,6,(ROW(Zeiterfassung!$D$6:$D$3665)-ROW(Zeiterfassung!$D$6)+1)/(Zeiterfassung!$D$6:$D$3665&lt;&gt;""),1856),"")</f>
        <v/>
      </c>
    </row>
    <row r="1862" ht="20" customHeight="1">
      <c r="A1862" s="183">
        <f>IF($K1862="","",WEEKNUM(INDEX(Zeiterfassung!$K$6:$K$3665,$K1862),21))</f>
        <v/>
      </c>
      <c r="B1862" s="184">
        <f>IF($K1862="","",INDEX(Zeiterfassung!$K$6:$K$3665,$K1862))</f>
        <v/>
      </c>
      <c r="C1862" s="185">
        <f>IF($K1862="","",INDEX(Zeiterfassung!$K$6:$K$3665,$K1862))</f>
        <v/>
      </c>
      <c r="D1862" s="186">
        <f>IF($K1862="","",INDEX(Zeiterfassung!$D$6:$D$3665,$K1862))</f>
        <v/>
      </c>
      <c r="E1862" s="186">
        <f>IF($K1862="","",INDEX(Zeiterfassung!$E$6:$E$3665,$K1862))</f>
        <v/>
      </c>
      <c r="F1862" s="187">
        <f>IF($K1862="","",INDEX(Zeiterfassung!$F$6:$F$3665,$K1862))</f>
        <v/>
      </c>
      <c r="G1862" s="187">
        <f>IF($K1862="","",INDEX(Zeiterfassung!$G$6:$G$3665,$K1862))</f>
        <v/>
      </c>
      <c r="H1862" s="188">
        <f>IF($K1862="","",INDEX(Zeiterfassung!$H$6:$H$3665,$K1862))</f>
        <v/>
      </c>
      <c r="I1862" s="335">
        <f>IF(B1862=B1861,"",IF($K1862="","",INDEX(Zeiterfassung!$I$6:$I$3665,MATCH(INDEX(Zeiterfassung!$K$6:$K$3665,$K1862),Zeiterfassung!$K$6:$K$3665,0))))</f>
        <v/>
      </c>
      <c r="J1862" s="335">
        <f>IF(B1862=B1861,"",IF($K1862="","",INDEX(Zeiterfassung!$J$6:$J$3665,MATCH(INDEX(Zeiterfassung!$K$6:$K$3665,$K1862),Zeiterfassung!$K$6:$K$3665,0))))</f>
        <v/>
      </c>
      <c r="K1862">
        <f>IFERROR(AGGREGATE(15,6,(ROW(Zeiterfassung!$D$6:$D$3665)-ROW(Zeiterfassung!$D$6)+1)/(Zeiterfassung!$D$6:$D$3665&lt;&gt;""),1857),"")</f>
        <v/>
      </c>
    </row>
    <row r="1863" ht="20" customHeight="1">
      <c r="A1863" s="183">
        <f>IF($K1863="","",WEEKNUM(INDEX(Zeiterfassung!$K$6:$K$3665,$K1863),21))</f>
        <v/>
      </c>
      <c r="B1863" s="184">
        <f>IF($K1863="","",INDEX(Zeiterfassung!$K$6:$K$3665,$K1863))</f>
        <v/>
      </c>
      <c r="C1863" s="185">
        <f>IF($K1863="","",INDEX(Zeiterfassung!$K$6:$K$3665,$K1863))</f>
        <v/>
      </c>
      <c r="D1863" s="186">
        <f>IF($K1863="","",INDEX(Zeiterfassung!$D$6:$D$3665,$K1863))</f>
        <v/>
      </c>
      <c r="E1863" s="186">
        <f>IF($K1863="","",INDEX(Zeiterfassung!$E$6:$E$3665,$K1863))</f>
        <v/>
      </c>
      <c r="F1863" s="187">
        <f>IF($K1863="","",INDEX(Zeiterfassung!$F$6:$F$3665,$K1863))</f>
        <v/>
      </c>
      <c r="G1863" s="187">
        <f>IF($K1863="","",INDEX(Zeiterfassung!$G$6:$G$3665,$K1863))</f>
        <v/>
      </c>
      <c r="H1863" s="188">
        <f>IF($K1863="","",INDEX(Zeiterfassung!$H$6:$H$3665,$K1863))</f>
        <v/>
      </c>
      <c r="I1863" s="335">
        <f>IF(B1863=B1862,"",IF($K1863="","",INDEX(Zeiterfassung!$I$6:$I$3665,MATCH(INDEX(Zeiterfassung!$K$6:$K$3665,$K1863),Zeiterfassung!$K$6:$K$3665,0))))</f>
        <v/>
      </c>
      <c r="J1863" s="335">
        <f>IF(B1863=B1862,"",IF($K1863="","",INDEX(Zeiterfassung!$J$6:$J$3665,MATCH(INDEX(Zeiterfassung!$K$6:$K$3665,$K1863),Zeiterfassung!$K$6:$K$3665,0))))</f>
        <v/>
      </c>
      <c r="K1863">
        <f>IFERROR(AGGREGATE(15,6,(ROW(Zeiterfassung!$D$6:$D$3665)-ROW(Zeiterfassung!$D$6)+1)/(Zeiterfassung!$D$6:$D$3665&lt;&gt;""),1858),"")</f>
        <v/>
      </c>
    </row>
    <row r="1864" ht="20" customHeight="1">
      <c r="A1864" s="183">
        <f>IF($K1864="","",WEEKNUM(INDEX(Zeiterfassung!$K$6:$K$3665,$K1864),21))</f>
        <v/>
      </c>
      <c r="B1864" s="184">
        <f>IF($K1864="","",INDEX(Zeiterfassung!$K$6:$K$3665,$K1864))</f>
        <v/>
      </c>
      <c r="C1864" s="185">
        <f>IF($K1864="","",INDEX(Zeiterfassung!$K$6:$K$3665,$K1864))</f>
        <v/>
      </c>
      <c r="D1864" s="186">
        <f>IF($K1864="","",INDEX(Zeiterfassung!$D$6:$D$3665,$K1864))</f>
        <v/>
      </c>
      <c r="E1864" s="186">
        <f>IF($K1864="","",INDEX(Zeiterfassung!$E$6:$E$3665,$K1864))</f>
        <v/>
      </c>
      <c r="F1864" s="187">
        <f>IF($K1864="","",INDEX(Zeiterfassung!$F$6:$F$3665,$K1864))</f>
        <v/>
      </c>
      <c r="G1864" s="187">
        <f>IF($K1864="","",INDEX(Zeiterfassung!$G$6:$G$3665,$K1864))</f>
        <v/>
      </c>
      <c r="H1864" s="188">
        <f>IF($K1864="","",INDEX(Zeiterfassung!$H$6:$H$3665,$K1864))</f>
        <v/>
      </c>
      <c r="I1864" s="335">
        <f>IF(B1864=B1863,"",IF($K1864="","",INDEX(Zeiterfassung!$I$6:$I$3665,MATCH(INDEX(Zeiterfassung!$K$6:$K$3665,$K1864),Zeiterfassung!$K$6:$K$3665,0))))</f>
        <v/>
      </c>
      <c r="J1864" s="335">
        <f>IF(B1864=B1863,"",IF($K1864="","",INDEX(Zeiterfassung!$J$6:$J$3665,MATCH(INDEX(Zeiterfassung!$K$6:$K$3665,$K1864),Zeiterfassung!$K$6:$K$3665,0))))</f>
        <v/>
      </c>
      <c r="K1864">
        <f>IFERROR(AGGREGATE(15,6,(ROW(Zeiterfassung!$D$6:$D$3665)-ROW(Zeiterfassung!$D$6)+1)/(Zeiterfassung!$D$6:$D$3665&lt;&gt;""),1859),"")</f>
        <v/>
      </c>
    </row>
    <row r="1865" ht="20" customHeight="1">
      <c r="A1865" s="183">
        <f>IF($K1865="","",WEEKNUM(INDEX(Zeiterfassung!$K$6:$K$3665,$K1865),21))</f>
        <v/>
      </c>
      <c r="B1865" s="184">
        <f>IF($K1865="","",INDEX(Zeiterfassung!$K$6:$K$3665,$K1865))</f>
        <v/>
      </c>
      <c r="C1865" s="185">
        <f>IF($K1865="","",INDEX(Zeiterfassung!$K$6:$K$3665,$K1865))</f>
        <v/>
      </c>
      <c r="D1865" s="186">
        <f>IF($K1865="","",INDEX(Zeiterfassung!$D$6:$D$3665,$K1865))</f>
        <v/>
      </c>
      <c r="E1865" s="186">
        <f>IF($K1865="","",INDEX(Zeiterfassung!$E$6:$E$3665,$K1865))</f>
        <v/>
      </c>
      <c r="F1865" s="187">
        <f>IF($K1865="","",INDEX(Zeiterfassung!$F$6:$F$3665,$K1865))</f>
        <v/>
      </c>
      <c r="G1865" s="187">
        <f>IF($K1865="","",INDEX(Zeiterfassung!$G$6:$G$3665,$K1865))</f>
        <v/>
      </c>
      <c r="H1865" s="188">
        <f>IF($K1865="","",INDEX(Zeiterfassung!$H$6:$H$3665,$K1865))</f>
        <v/>
      </c>
      <c r="I1865" s="335">
        <f>IF(B1865=B1864,"",IF($K1865="","",INDEX(Zeiterfassung!$I$6:$I$3665,MATCH(INDEX(Zeiterfassung!$K$6:$K$3665,$K1865),Zeiterfassung!$K$6:$K$3665,0))))</f>
        <v/>
      </c>
      <c r="J1865" s="335">
        <f>IF(B1865=B1864,"",IF($K1865="","",INDEX(Zeiterfassung!$J$6:$J$3665,MATCH(INDEX(Zeiterfassung!$K$6:$K$3665,$K1865),Zeiterfassung!$K$6:$K$3665,0))))</f>
        <v/>
      </c>
      <c r="K1865">
        <f>IFERROR(AGGREGATE(15,6,(ROW(Zeiterfassung!$D$6:$D$3665)-ROW(Zeiterfassung!$D$6)+1)/(Zeiterfassung!$D$6:$D$3665&lt;&gt;""),1860),"")</f>
        <v/>
      </c>
    </row>
    <row r="1866" ht="20" customHeight="1">
      <c r="A1866" s="183">
        <f>IF($K1866="","",WEEKNUM(INDEX(Zeiterfassung!$K$6:$K$3665,$K1866),21))</f>
        <v/>
      </c>
      <c r="B1866" s="184">
        <f>IF($K1866="","",INDEX(Zeiterfassung!$K$6:$K$3665,$K1866))</f>
        <v/>
      </c>
      <c r="C1866" s="185">
        <f>IF($K1866="","",INDEX(Zeiterfassung!$K$6:$K$3665,$K1866))</f>
        <v/>
      </c>
      <c r="D1866" s="186">
        <f>IF($K1866="","",INDEX(Zeiterfassung!$D$6:$D$3665,$K1866))</f>
        <v/>
      </c>
      <c r="E1866" s="186">
        <f>IF($K1866="","",INDEX(Zeiterfassung!$E$6:$E$3665,$K1866))</f>
        <v/>
      </c>
      <c r="F1866" s="187">
        <f>IF($K1866="","",INDEX(Zeiterfassung!$F$6:$F$3665,$K1866))</f>
        <v/>
      </c>
      <c r="G1866" s="187">
        <f>IF($K1866="","",INDEX(Zeiterfassung!$G$6:$G$3665,$K1866))</f>
        <v/>
      </c>
      <c r="H1866" s="188">
        <f>IF($K1866="","",INDEX(Zeiterfassung!$H$6:$H$3665,$K1866))</f>
        <v/>
      </c>
      <c r="I1866" s="335">
        <f>IF(B1866=B1865,"",IF($K1866="","",INDEX(Zeiterfassung!$I$6:$I$3665,MATCH(INDEX(Zeiterfassung!$K$6:$K$3665,$K1866),Zeiterfassung!$K$6:$K$3665,0))))</f>
        <v/>
      </c>
      <c r="J1866" s="335">
        <f>IF(B1866=B1865,"",IF($K1866="","",INDEX(Zeiterfassung!$J$6:$J$3665,MATCH(INDEX(Zeiterfassung!$K$6:$K$3665,$K1866),Zeiterfassung!$K$6:$K$3665,0))))</f>
        <v/>
      </c>
      <c r="K1866">
        <f>IFERROR(AGGREGATE(15,6,(ROW(Zeiterfassung!$D$6:$D$3665)-ROW(Zeiterfassung!$D$6)+1)/(Zeiterfassung!$D$6:$D$3665&lt;&gt;""),1861),"")</f>
        <v/>
      </c>
    </row>
    <row r="1867" ht="20" customHeight="1">
      <c r="A1867" s="183">
        <f>IF($K1867="","",WEEKNUM(INDEX(Zeiterfassung!$K$6:$K$3665,$K1867),21))</f>
        <v/>
      </c>
      <c r="B1867" s="184">
        <f>IF($K1867="","",INDEX(Zeiterfassung!$K$6:$K$3665,$K1867))</f>
        <v/>
      </c>
      <c r="C1867" s="185">
        <f>IF($K1867="","",INDEX(Zeiterfassung!$K$6:$K$3665,$K1867))</f>
        <v/>
      </c>
      <c r="D1867" s="186">
        <f>IF($K1867="","",INDEX(Zeiterfassung!$D$6:$D$3665,$K1867))</f>
        <v/>
      </c>
      <c r="E1867" s="186">
        <f>IF($K1867="","",INDEX(Zeiterfassung!$E$6:$E$3665,$K1867))</f>
        <v/>
      </c>
      <c r="F1867" s="187">
        <f>IF($K1867="","",INDEX(Zeiterfassung!$F$6:$F$3665,$K1867))</f>
        <v/>
      </c>
      <c r="G1867" s="187">
        <f>IF($K1867="","",INDEX(Zeiterfassung!$G$6:$G$3665,$K1867))</f>
        <v/>
      </c>
      <c r="H1867" s="188">
        <f>IF($K1867="","",INDEX(Zeiterfassung!$H$6:$H$3665,$K1867))</f>
        <v/>
      </c>
      <c r="I1867" s="335">
        <f>IF(B1867=B1866,"",IF($K1867="","",INDEX(Zeiterfassung!$I$6:$I$3665,MATCH(INDEX(Zeiterfassung!$K$6:$K$3665,$K1867),Zeiterfassung!$K$6:$K$3665,0))))</f>
        <v/>
      </c>
      <c r="J1867" s="335">
        <f>IF(B1867=B1866,"",IF($K1867="","",INDEX(Zeiterfassung!$J$6:$J$3665,MATCH(INDEX(Zeiterfassung!$K$6:$K$3665,$K1867),Zeiterfassung!$K$6:$K$3665,0))))</f>
        <v/>
      </c>
      <c r="K1867">
        <f>IFERROR(AGGREGATE(15,6,(ROW(Zeiterfassung!$D$6:$D$3665)-ROW(Zeiterfassung!$D$6)+1)/(Zeiterfassung!$D$6:$D$3665&lt;&gt;""),1862),"")</f>
        <v/>
      </c>
    </row>
    <row r="1868" ht="20" customHeight="1">
      <c r="A1868" s="183">
        <f>IF($K1868="","",WEEKNUM(INDEX(Zeiterfassung!$K$6:$K$3665,$K1868),21))</f>
        <v/>
      </c>
      <c r="B1868" s="184">
        <f>IF($K1868="","",INDEX(Zeiterfassung!$K$6:$K$3665,$K1868))</f>
        <v/>
      </c>
      <c r="C1868" s="185">
        <f>IF($K1868="","",INDEX(Zeiterfassung!$K$6:$K$3665,$K1868))</f>
        <v/>
      </c>
      <c r="D1868" s="186">
        <f>IF($K1868="","",INDEX(Zeiterfassung!$D$6:$D$3665,$K1868))</f>
        <v/>
      </c>
      <c r="E1868" s="186">
        <f>IF($K1868="","",INDEX(Zeiterfassung!$E$6:$E$3665,$K1868))</f>
        <v/>
      </c>
      <c r="F1868" s="187">
        <f>IF($K1868="","",INDEX(Zeiterfassung!$F$6:$F$3665,$K1868))</f>
        <v/>
      </c>
      <c r="G1868" s="187">
        <f>IF($K1868="","",INDEX(Zeiterfassung!$G$6:$G$3665,$K1868))</f>
        <v/>
      </c>
      <c r="H1868" s="188">
        <f>IF($K1868="","",INDEX(Zeiterfassung!$H$6:$H$3665,$K1868))</f>
        <v/>
      </c>
      <c r="I1868" s="335">
        <f>IF(B1868=B1867,"",IF($K1868="","",INDEX(Zeiterfassung!$I$6:$I$3665,MATCH(INDEX(Zeiterfassung!$K$6:$K$3665,$K1868),Zeiterfassung!$K$6:$K$3665,0))))</f>
        <v/>
      </c>
      <c r="J1868" s="335">
        <f>IF(B1868=B1867,"",IF($K1868="","",INDEX(Zeiterfassung!$J$6:$J$3665,MATCH(INDEX(Zeiterfassung!$K$6:$K$3665,$K1868),Zeiterfassung!$K$6:$K$3665,0))))</f>
        <v/>
      </c>
      <c r="K1868">
        <f>IFERROR(AGGREGATE(15,6,(ROW(Zeiterfassung!$D$6:$D$3665)-ROW(Zeiterfassung!$D$6)+1)/(Zeiterfassung!$D$6:$D$3665&lt;&gt;""),1863),"")</f>
        <v/>
      </c>
    </row>
    <row r="1869" ht="20" customHeight="1">
      <c r="A1869" s="183">
        <f>IF($K1869="","",WEEKNUM(INDEX(Zeiterfassung!$K$6:$K$3665,$K1869),21))</f>
        <v/>
      </c>
      <c r="B1869" s="184">
        <f>IF($K1869="","",INDEX(Zeiterfassung!$K$6:$K$3665,$K1869))</f>
        <v/>
      </c>
      <c r="C1869" s="185">
        <f>IF($K1869="","",INDEX(Zeiterfassung!$K$6:$K$3665,$K1869))</f>
        <v/>
      </c>
      <c r="D1869" s="186">
        <f>IF($K1869="","",INDEX(Zeiterfassung!$D$6:$D$3665,$K1869))</f>
        <v/>
      </c>
      <c r="E1869" s="186">
        <f>IF($K1869="","",INDEX(Zeiterfassung!$E$6:$E$3665,$K1869))</f>
        <v/>
      </c>
      <c r="F1869" s="187">
        <f>IF($K1869="","",INDEX(Zeiterfassung!$F$6:$F$3665,$K1869))</f>
        <v/>
      </c>
      <c r="G1869" s="187">
        <f>IF($K1869="","",INDEX(Zeiterfassung!$G$6:$G$3665,$K1869))</f>
        <v/>
      </c>
      <c r="H1869" s="188">
        <f>IF($K1869="","",INDEX(Zeiterfassung!$H$6:$H$3665,$K1869))</f>
        <v/>
      </c>
      <c r="I1869" s="335">
        <f>IF(B1869=B1868,"",IF($K1869="","",INDEX(Zeiterfassung!$I$6:$I$3665,MATCH(INDEX(Zeiterfassung!$K$6:$K$3665,$K1869),Zeiterfassung!$K$6:$K$3665,0))))</f>
        <v/>
      </c>
      <c r="J1869" s="335">
        <f>IF(B1869=B1868,"",IF($K1869="","",INDEX(Zeiterfassung!$J$6:$J$3665,MATCH(INDEX(Zeiterfassung!$K$6:$K$3665,$K1869),Zeiterfassung!$K$6:$K$3665,0))))</f>
        <v/>
      </c>
      <c r="K1869">
        <f>IFERROR(AGGREGATE(15,6,(ROW(Zeiterfassung!$D$6:$D$3665)-ROW(Zeiterfassung!$D$6)+1)/(Zeiterfassung!$D$6:$D$3665&lt;&gt;""),1864),"")</f>
        <v/>
      </c>
    </row>
    <row r="1870" ht="20" customHeight="1">
      <c r="A1870" s="183">
        <f>IF($K1870="","",WEEKNUM(INDEX(Zeiterfassung!$K$6:$K$3665,$K1870),21))</f>
        <v/>
      </c>
      <c r="B1870" s="184">
        <f>IF($K1870="","",INDEX(Zeiterfassung!$K$6:$K$3665,$K1870))</f>
        <v/>
      </c>
      <c r="C1870" s="185">
        <f>IF($K1870="","",INDEX(Zeiterfassung!$K$6:$K$3665,$K1870))</f>
        <v/>
      </c>
      <c r="D1870" s="186">
        <f>IF($K1870="","",INDEX(Zeiterfassung!$D$6:$D$3665,$K1870))</f>
        <v/>
      </c>
      <c r="E1870" s="186">
        <f>IF($K1870="","",INDEX(Zeiterfassung!$E$6:$E$3665,$K1870))</f>
        <v/>
      </c>
      <c r="F1870" s="187">
        <f>IF($K1870="","",INDEX(Zeiterfassung!$F$6:$F$3665,$K1870))</f>
        <v/>
      </c>
      <c r="G1870" s="187">
        <f>IF($K1870="","",INDEX(Zeiterfassung!$G$6:$G$3665,$K1870))</f>
        <v/>
      </c>
      <c r="H1870" s="188">
        <f>IF($K1870="","",INDEX(Zeiterfassung!$H$6:$H$3665,$K1870))</f>
        <v/>
      </c>
      <c r="I1870" s="335">
        <f>IF(B1870=B1869,"",IF($K1870="","",INDEX(Zeiterfassung!$I$6:$I$3665,MATCH(INDEX(Zeiterfassung!$K$6:$K$3665,$K1870),Zeiterfassung!$K$6:$K$3665,0))))</f>
        <v/>
      </c>
      <c r="J1870" s="335">
        <f>IF(B1870=B1869,"",IF($K1870="","",INDEX(Zeiterfassung!$J$6:$J$3665,MATCH(INDEX(Zeiterfassung!$K$6:$K$3665,$K1870),Zeiterfassung!$K$6:$K$3665,0))))</f>
        <v/>
      </c>
      <c r="K1870">
        <f>IFERROR(AGGREGATE(15,6,(ROW(Zeiterfassung!$D$6:$D$3665)-ROW(Zeiterfassung!$D$6)+1)/(Zeiterfassung!$D$6:$D$3665&lt;&gt;""),1865),"")</f>
        <v/>
      </c>
    </row>
    <row r="1871" ht="20" customHeight="1">
      <c r="A1871" s="183">
        <f>IF($K1871="","",WEEKNUM(INDEX(Zeiterfassung!$K$6:$K$3665,$K1871),21))</f>
        <v/>
      </c>
      <c r="B1871" s="184">
        <f>IF($K1871="","",INDEX(Zeiterfassung!$K$6:$K$3665,$K1871))</f>
        <v/>
      </c>
      <c r="C1871" s="185">
        <f>IF($K1871="","",INDEX(Zeiterfassung!$K$6:$K$3665,$K1871))</f>
        <v/>
      </c>
      <c r="D1871" s="186">
        <f>IF($K1871="","",INDEX(Zeiterfassung!$D$6:$D$3665,$K1871))</f>
        <v/>
      </c>
      <c r="E1871" s="186">
        <f>IF($K1871="","",INDEX(Zeiterfassung!$E$6:$E$3665,$K1871))</f>
        <v/>
      </c>
      <c r="F1871" s="187">
        <f>IF($K1871="","",INDEX(Zeiterfassung!$F$6:$F$3665,$K1871))</f>
        <v/>
      </c>
      <c r="G1871" s="187">
        <f>IF($K1871="","",INDEX(Zeiterfassung!$G$6:$G$3665,$K1871))</f>
        <v/>
      </c>
      <c r="H1871" s="188">
        <f>IF($K1871="","",INDEX(Zeiterfassung!$H$6:$H$3665,$K1871))</f>
        <v/>
      </c>
      <c r="I1871" s="335">
        <f>IF(B1871=B1870,"",IF($K1871="","",INDEX(Zeiterfassung!$I$6:$I$3665,MATCH(INDEX(Zeiterfassung!$K$6:$K$3665,$K1871),Zeiterfassung!$K$6:$K$3665,0))))</f>
        <v/>
      </c>
      <c r="J1871" s="335">
        <f>IF(B1871=B1870,"",IF($K1871="","",INDEX(Zeiterfassung!$J$6:$J$3665,MATCH(INDEX(Zeiterfassung!$K$6:$K$3665,$K1871),Zeiterfassung!$K$6:$K$3665,0))))</f>
        <v/>
      </c>
      <c r="K1871">
        <f>IFERROR(AGGREGATE(15,6,(ROW(Zeiterfassung!$D$6:$D$3665)-ROW(Zeiterfassung!$D$6)+1)/(Zeiterfassung!$D$6:$D$3665&lt;&gt;""),1866),"")</f>
        <v/>
      </c>
    </row>
    <row r="1872" ht="20" customHeight="1">
      <c r="A1872" s="183">
        <f>IF($K1872="","",WEEKNUM(INDEX(Zeiterfassung!$K$6:$K$3665,$K1872),21))</f>
        <v/>
      </c>
      <c r="B1872" s="184">
        <f>IF($K1872="","",INDEX(Zeiterfassung!$K$6:$K$3665,$K1872))</f>
        <v/>
      </c>
      <c r="C1872" s="185">
        <f>IF($K1872="","",INDEX(Zeiterfassung!$K$6:$K$3665,$K1872))</f>
        <v/>
      </c>
      <c r="D1872" s="186">
        <f>IF($K1872="","",INDEX(Zeiterfassung!$D$6:$D$3665,$K1872))</f>
        <v/>
      </c>
      <c r="E1872" s="186">
        <f>IF($K1872="","",INDEX(Zeiterfassung!$E$6:$E$3665,$K1872))</f>
        <v/>
      </c>
      <c r="F1872" s="187">
        <f>IF($K1872="","",INDEX(Zeiterfassung!$F$6:$F$3665,$K1872))</f>
        <v/>
      </c>
      <c r="G1872" s="187">
        <f>IF($K1872="","",INDEX(Zeiterfassung!$G$6:$G$3665,$K1872))</f>
        <v/>
      </c>
      <c r="H1872" s="188">
        <f>IF($K1872="","",INDEX(Zeiterfassung!$H$6:$H$3665,$K1872))</f>
        <v/>
      </c>
      <c r="I1872" s="335">
        <f>IF(B1872=B1871,"",IF($K1872="","",INDEX(Zeiterfassung!$I$6:$I$3665,MATCH(INDEX(Zeiterfassung!$K$6:$K$3665,$K1872),Zeiterfassung!$K$6:$K$3665,0))))</f>
        <v/>
      </c>
      <c r="J1872" s="335">
        <f>IF(B1872=B1871,"",IF($K1872="","",INDEX(Zeiterfassung!$J$6:$J$3665,MATCH(INDEX(Zeiterfassung!$K$6:$K$3665,$K1872),Zeiterfassung!$K$6:$K$3665,0))))</f>
        <v/>
      </c>
      <c r="K1872">
        <f>IFERROR(AGGREGATE(15,6,(ROW(Zeiterfassung!$D$6:$D$3665)-ROW(Zeiterfassung!$D$6)+1)/(Zeiterfassung!$D$6:$D$3665&lt;&gt;""),1867),"")</f>
        <v/>
      </c>
    </row>
    <row r="1873" ht="20" customHeight="1">
      <c r="A1873" s="183">
        <f>IF($K1873="","",WEEKNUM(INDEX(Zeiterfassung!$K$6:$K$3665,$K1873),21))</f>
        <v/>
      </c>
      <c r="B1873" s="184">
        <f>IF($K1873="","",INDEX(Zeiterfassung!$K$6:$K$3665,$K1873))</f>
        <v/>
      </c>
      <c r="C1873" s="185">
        <f>IF($K1873="","",INDEX(Zeiterfassung!$K$6:$K$3665,$K1873))</f>
        <v/>
      </c>
      <c r="D1873" s="186">
        <f>IF($K1873="","",INDEX(Zeiterfassung!$D$6:$D$3665,$K1873))</f>
        <v/>
      </c>
      <c r="E1873" s="186">
        <f>IF($K1873="","",INDEX(Zeiterfassung!$E$6:$E$3665,$K1873))</f>
        <v/>
      </c>
      <c r="F1873" s="187">
        <f>IF($K1873="","",INDEX(Zeiterfassung!$F$6:$F$3665,$K1873))</f>
        <v/>
      </c>
      <c r="G1873" s="187">
        <f>IF($K1873="","",INDEX(Zeiterfassung!$G$6:$G$3665,$K1873))</f>
        <v/>
      </c>
      <c r="H1873" s="188">
        <f>IF($K1873="","",INDEX(Zeiterfassung!$H$6:$H$3665,$K1873))</f>
        <v/>
      </c>
      <c r="I1873" s="335">
        <f>IF(B1873=B1872,"",IF($K1873="","",INDEX(Zeiterfassung!$I$6:$I$3665,MATCH(INDEX(Zeiterfassung!$K$6:$K$3665,$K1873),Zeiterfassung!$K$6:$K$3665,0))))</f>
        <v/>
      </c>
      <c r="J1873" s="335">
        <f>IF(B1873=B1872,"",IF($K1873="","",INDEX(Zeiterfassung!$J$6:$J$3665,MATCH(INDEX(Zeiterfassung!$K$6:$K$3665,$K1873),Zeiterfassung!$K$6:$K$3665,0))))</f>
        <v/>
      </c>
      <c r="K1873">
        <f>IFERROR(AGGREGATE(15,6,(ROW(Zeiterfassung!$D$6:$D$3665)-ROW(Zeiterfassung!$D$6)+1)/(Zeiterfassung!$D$6:$D$3665&lt;&gt;""),1868),"")</f>
        <v/>
      </c>
    </row>
    <row r="1874" ht="20" customHeight="1">
      <c r="A1874" s="183">
        <f>IF($K1874="","",WEEKNUM(INDEX(Zeiterfassung!$K$6:$K$3665,$K1874),21))</f>
        <v/>
      </c>
      <c r="B1874" s="184">
        <f>IF($K1874="","",INDEX(Zeiterfassung!$K$6:$K$3665,$K1874))</f>
        <v/>
      </c>
      <c r="C1874" s="185">
        <f>IF($K1874="","",INDEX(Zeiterfassung!$K$6:$K$3665,$K1874))</f>
        <v/>
      </c>
      <c r="D1874" s="186">
        <f>IF($K1874="","",INDEX(Zeiterfassung!$D$6:$D$3665,$K1874))</f>
        <v/>
      </c>
      <c r="E1874" s="186">
        <f>IF($K1874="","",INDEX(Zeiterfassung!$E$6:$E$3665,$K1874))</f>
        <v/>
      </c>
      <c r="F1874" s="187">
        <f>IF($K1874="","",INDEX(Zeiterfassung!$F$6:$F$3665,$K1874))</f>
        <v/>
      </c>
      <c r="G1874" s="187">
        <f>IF($K1874="","",INDEX(Zeiterfassung!$G$6:$G$3665,$K1874))</f>
        <v/>
      </c>
      <c r="H1874" s="188">
        <f>IF($K1874="","",INDEX(Zeiterfassung!$H$6:$H$3665,$K1874))</f>
        <v/>
      </c>
      <c r="I1874" s="335">
        <f>IF(B1874=B1873,"",IF($K1874="","",INDEX(Zeiterfassung!$I$6:$I$3665,MATCH(INDEX(Zeiterfassung!$K$6:$K$3665,$K1874),Zeiterfassung!$K$6:$K$3665,0))))</f>
        <v/>
      </c>
      <c r="J1874" s="335">
        <f>IF(B1874=B1873,"",IF($K1874="","",INDEX(Zeiterfassung!$J$6:$J$3665,MATCH(INDEX(Zeiterfassung!$K$6:$K$3665,$K1874),Zeiterfassung!$K$6:$K$3665,0))))</f>
        <v/>
      </c>
      <c r="K1874">
        <f>IFERROR(AGGREGATE(15,6,(ROW(Zeiterfassung!$D$6:$D$3665)-ROW(Zeiterfassung!$D$6)+1)/(Zeiterfassung!$D$6:$D$3665&lt;&gt;""),1869),"")</f>
        <v/>
      </c>
    </row>
    <row r="1875" ht="20" customHeight="1">
      <c r="A1875" s="183">
        <f>IF($K1875="","",WEEKNUM(INDEX(Zeiterfassung!$K$6:$K$3665,$K1875),21))</f>
        <v/>
      </c>
      <c r="B1875" s="184">
        <f>IF($K1875="","",INDEX(Zeiterfassung!$K$6:$K$3665,$K1875))</f>
        <v/>
      </c>
      <c r="C1875" s="185">
        <f>IF($K1875="","",INDEX(Zeiterfassung!$K$6:$K$3665,$K1875))</f>
        <v/>
      </c>
      <c r="D1875" s="186">
        <f>IF($K1875="","",INDEX(Zeiterfassung!$D$6:$D$3665,$K1875))</f>
        <v/>
      </c>
      <c r="E1875" s="186">
        <f>IF($K1875="","",INDEX(Zeiterfassung!$E$6:$E$3665,$K1875))</f>
        <v/>
      </c>
      <c r="F1875" s="187">
        <f>IF($K1875="","",INDEX(Zeiterfassung!$F$6:$F$3665,$K1875))</f>
        <v/>
      </c>
      <c r="G1875" s="187">
        <f>IF($K1875="","",INDEX(Zeiterfassung!$G$6:$G$3665,$K1875))</f>
        <v/>
      </c>
      <c r="H1875" s="188">
        <f>IF($K1875="","",INDEX(Zeiterfassung!$H$6:$H$3665,$K1875))</f>
        <v/>
      </c>
      <c r="I1875" s="335">
        <f>IF(B1875=B1874,"",IF($K1875="","",INDEX(Zeiterfassung!$I$6:$I$3665,MATCH(INDEX(Zeiterfassung!$K$6:$K$3665,$K1875),Zeiterfassung!$K$6:$K$3665,0))))</f>
        <v/>
      </c>
      <c r="J1875" s="335">
        <f>IF(B1875=B1874,"",IF($K1875="","",INDEX(Zeiterfassung!$J$6:$J$3665,MATCH(INDEX(Zeiterfassung!$K$6:$K$3665,$K1875),Zeiterfassung!$K$6:$K$3665,0))))</f>
        <v/>
      </c>
      <c r="K1875">
        <f>IFERROR(AGGREGATE(15,6,(ROW(Zeiterfassung!$D$6:$D$3665)-ROW(Zeiterfassung!$D$6)+1)/(Zeiterfassung!$D$6:$D$3665&lt;&gt;""),1870),"")</f>
        <v/>
      </c>
    </row>
    <row r="1876" ht="20" customHeight="1">
      <c r="A1876" s="183">
        <f>IF($K1876="","",WEEKNUM(INDEX(Zeiterfassung!$K$6:$K$3665,$K1876),21))</f>
        <v/>
      </c>
      <c r="B1876" s="184">
        <f>IF($K1876="","",INDEX(Zeiterfassung!$K$6:$K$3665,$K1876))</f>
        <v/>
      </c>
      <c r="C1876" s="185">
        <f>IF($K1876="","",INDEX(Zeiterfassung!$K$6:$K$3665,$K1876))</f>
        <v/>
      </c>
      <c r="D1876" s="186">
        <f>IF($K1876="","",INDEX(Zeiterfassung!$D$6:$D$3665,$K1876))</f>
        <v/>
      </c>
      <c r="E1876" s="186">
        <f>IF($K1876="","",INDEX(Zeiterfassung!$E$6:$E$3665,$K1876))</f>
        <v/>
      </c>
      <c r="F1876" s="187">
        <f>IF($K1876="","",INDEX(Zeiterfassung!$F$6:$F$3665,$K1876))</f>
        <v/>
      </c>
      <c r="G1876" s="187">
        <f>IF($K1876="","",INDEX(Zeiterfassung!$G$6:$G$3665,$K1876))</f>
        <v/>
      </c>
      <c r="H1876" s="188">
        <f>IF($K1876="","",INDEX(Zeiterfassung!$H$6:$H$3665,$K1876))</f>
        <v/>
      </c>
      <c r="I1876" s="335">
        <f>IF(B1876=B1875,"",IF($K1876="","",INDEX(Zeiterfassung!$I$6:$I$3665,MATCH(INDEX(Zeiterfassung!$K$6:$K$3665,$K1876),Zeiterfassung!$K$6:$K$3665,0))))</f>
        <v/>
      </c>
      <c r="J1876" s="335">
        <f>IF(B1876=B1875,"",IF($K1876="","",INDEX(Zeiterfassung!$J$6:$J$3665,MATCH(INDEX(Zeiterfassung!$K$6:$K$3665,$K1876),Zeiterfassung!$K$6:$K$3665,0))))</f>
        <v/>
      </c>
      <c r="K1876">
        <f>IFERROR(AGGREGATE(15,6,(ROW(Zeiterfassung!$D$6:$D$3665)-ROW(Zeiterfassung!$D$6)+1)/(Zeiterfassung!$D$6:$D$3665&lt;&gt;""),1871),"")</f>
        <v/>
      </c>
    </row>
    <row r="1877" ht="20" customHeight="1">
      <c r="A1877" s="183">
        <f>IF($K1877="","",WEEKNUM(INDEX(Zeiterfassung!$K$6:$K$3665,$K1877),21))</f>
        <v/>
      </c>
      <c r="B1877" s="184">
        <f>IF($K1877="","",INDEX(Zeiterfassung!$K$6:$K$3665,$K1877))</f>
        <v/>
      </c>
      <c r="C1877" s="185">
        <f>IF($K1877="","",INDEX(Zeiterfassung!$K$6:$K$3665,$K1877))</f>
        <v/>
      </c>
      <c r="D1877" s="186">
        <f>IF($K1877="","",INDEX(Zeiterfassung!$D$6:$D$3665,$K1877))</f>
        <v/>
      </c>
      <c r="E1877" s="186">
        <f>IF($K1877="","",INDEX(Zeiterfassung!$E$6:$E$3665,$K1877))</f>
        <v/>
      </c>
      <c r="F1877" s="187">
        <f>IF($K1877="","",INDEX(Zeiterfassung!$F$6:$F$3665,$K1877))</f>
        <v/>
      </c>
      <c r="G1877" s="187">
        <f>IF($K1877="","",INDEX(Zeiterfassung!$G$6:$G$3665,$K1877))</f>
        <v/>
      </c>
      <c r="H1877" s="188">
        <f>IF($K1877="","",INDEX(Zeiterfassung!$H$6:$H$3665,$K1877))</f>
        <v/>
      </c>
      <c r="I1877" s="335">
        <f>IF(B1877=B1876,"",IF($K1877="","",INDEX(Zeiterfassung!$I$6:$I$3665,MATCH(INDEX(Zeiterfassung!$K$6:$K$3665,$K1877),Zeiterfassung!$K$6:$K$3665,0))))</f>
        <v/>
      </c>
      <c r="J1877" s="335">
        <f>IF(B1877=B1876,"",IF($K1877="","",INDEX(Zeiterfassung!$J$6:$J$3665,MATCH(INDEX(Zeiterfassung!$K$6:$K$3665,$K1877),Zeiterfassung!$K$6:$K$3665,0))))</f>
        <v/>
      </c>
      <c r="K1877">
        <f>IFERROR(AGGREGATE(15,6,(ROW(Zeiterfassung!$D$6:$D$3665)-ROW(Zeiterfassung!$D$6)+1)/(Zeiterfassung!$D$6:$D$3665&lt;&gt;""),1872),"")</f>
        <v/>
      </c>
    </row>
    <row r="1878" ht="20" customHeight="1">
      <c r="A1878" s="183">
        <f>IF($K1878="","",WEEKNUM(INDEX(Zeiterfassung!$K$6:$K$3665,$K1878),21))</f>
        <v/>
      </c>
      <c r="B1878" s="184">
        <f>IF($K1878="","",INDEX(Zeiterfassung!$K$6:$K$3665,$K1878))</f>
        <v/>
      </c>
      <c r="C1878" s="185">
        <f>IF($K1878="","",INDEX(Zeiterfassung!$K$6:$K$3665,$K1878))</f>
        <v/>
      </c>
      <c r="D1878" s="186">
        <f>IF($K1878="","",INDEX(Zeiterfassung!$D$6:$D$3665,$K1878))</f>
        <v/>
      </c>
      <c r="E1878" s="186">
        <f>IF($K1878="","",INDEX(Zeiterfassung!$E$6:$E$3665,$K1878))</f>
        <v/>
      </c>
      <c r="F1878" s="187">
        <f>IF($K1878="","",INDEX(Zeiterfassung!$F$6:$F$3665,$K1878))</f>
        <v/>
      </c>
      <c r="G1878" s="187">
        <f>IF($K1878="","",INDEX(Zeiterfassung!$G$6:$G$3665,$K1878))</f>
        <v/>
      </c>
      <c r="H1878" s="188">
        <f>IF($K1878="","",INDEX(Zeiterfassung!$H$6:$H$3665,$K1878))</f>
        <v/>
      </c>
      <c r="I1878" s="335">
        <f>IF(B1878=B1877,"",IF($K1878="","",INDEX(Zeiterfassung!$I$6:$I$3665,MATCH(INDEX(Zeiterfassung!$K$6:$K$3665,$K1878),Zeiterfassung!$K$6:$K$3665,0))))</f>
        <v/>
      </c>
      <c r="J1878" s="335">
        <f>IF(B1878=B1877,"",IF($K1878="","",INDEX(Zeiterfassung!$J$6:$J$3665,MATCH(INDEX(Zeiterfassung!$K$6:$K$3665,$K1878),Zeiterfassung!$K$6:$K$3665,0))))</f>
        <v/>
      </c>
      <c r="K1878">
        <f>IFERROR(AGGREGATE(15,6,(ROW(Zeiterfassung!$D$6:$D$3665)-ROW(Zeiterfassung!$D$6)+1)/(Zeiterfassung!$D$6:$D$3665&lt;&gt;""),1873),"")</f>
        <v/>
      </c>
    </row>
    <row r="1879" ht="20" customHeight="1">
      <c r="A1879" s="183">
        <f>IF($K1879="","",WEEKNUM(INDEX(Zeiterfassung!$K$6:$K$3665,$K1879),21))</f>
        <v/>
      </c>
      <c r="B1879" s="184">
        <f>IF($K1879="","",INDEX(Zeiterfassung!$K$6:$K$3665,$K1879))</f>
        <v/>
      </c>
      <c r="C1879" s="185">
        <f>IF($K1879="","",INDEX(Zeiterfassung!$K$6:$K$3665,$K1879))</f>
        <v/>
      </c>
      <c r="D1879" s="186">
        <f>IF($K1879="","",INDEX(Zeiterfassung!$D$6:$D$3665,$K1879))</f>
        <v/>
      </c>
      <c r="E1879" s="186">
        <f>IF($K1879="","",INDEX(Zeiterfassung!$E$6:$E$3665,$K1879))</f>
        <v/>
      </c>
      <c r="F1879" s="187">
        <f>IF($K1879="","",INDEX(Zeiterfassung!$F$6:$F$3665,$K1879))</f>
        <v/>
      </c>
      <c r="G1879" s="187">
        <f>IF($K1879="","",INDEX(Zeiterfassung!$G$6:$G$3665,$K1879))</f>
        <v/>
      </c>
      <c r="H1879" s="188">
        <f>IF($K1879="","",INDEX(Zeiterfassung!$H$6:$H$3665,$K1879))</f>
        <v/>
      </c>
      <c r="I1879" s="335">
        <f>IF(B1879=B1878,"",IF($K1879="","",INDEX(Zeiterfassung!$I$6:$I$3665,MATCH(INDEX(Zeiterfassung!$K$6:$K$3665,$K1879),Zeiterfassung!$K$6:$K$3665,0))))</f>
        <v/>
      </c>
      <c r="J1879" s="335">
        <f>IF(B1879=B1878,"",IF($K1879="","",INDEX(Zeiterfassung!$J$6:$J$3665,MATCH(INDEX(Zeiterfassung!$K$6:$K$3665,$K1879),Zeiterfassung!$K$6:$K$3665,0))))</f>
        <v/>
      </c>
      <c r="K1879">
        <f>IFERROR(AGGREGATE(15,6,(ROW(Zeiterfassung!$D$6:$D$3665)-ROW(Zeiterfassung!$D$6)+1)/(Zeiterfassung!$D$6:$D$3665&lt;&gt;""),1874),"")</f>
        <v/>
      </c>
    </row>
    <row r="1880" ht="20" customHeight="1">
      <c r="A1880" s="183">
        <f>IF($K1880="","",WEEKNUM(INDEX(Zeiterfassung!$K$6:$K$3665,$K1880),21))</f>
        <v/>
      </c>
      <c r="B1880" s="184">
        <f>IF($K1880="","",INDEX(Zeiterfassung!$K$6:$K$3665,$K1880))</f>
        <v/>
      </c>
      <c r="C1880" s="185">
        <f>IF($K1880="","",INDEX(Zeiterfassung!$K$6:$K$3665,$K1880))</f>
        <v/>
      </c>
      <c r="D1880" s="186">
        <f>IF($K1880="","",INDEX(Zeiterfassung!$D$6:$D$3665,$K1880))</f>
        <v/>
      </c>
      <c r="E1880" s="186">
        <f>IF($K1880="","",INDEX(Zeiterfassung!$E$6:$E$3665,$K1880))</f>
        <v/>
      </c>
      <c r="F1880" s="187">
        <f>IF($K1880="","",INDEX(Zeiterfassung!$F$6:$F$3665,$K1880))</f>
        <v/>
      </c>
      <c r="G1880" s="187">
        <f>IF($K1880="","",INDEX(Zeiterfassung!$G$6:$G$3665,$K1880))</f>
        <v/>
      </c>
      <c r="H1880" s="188">
        <f>IF($K1880="","",INDEX(Zeiterfassung!$H$6:$H$3665,$K1880))</f>
        <v/>
      </c>
      <c r="I1880" s="335">
        <f>IF(B1880=B1879,"",IF($K1880="","",INDEX(Zeiterfassung!$I$6:$I$3665,MATCH(INDEX(Zeiterfassung!$K$6:$K$3665,$K1880),Zeiterfassung!$K$6:$K$3665,0))))</f>
        <v/>
      </c>
      <c r="J1880" s="335">
        <f>IF(B1880=B1879,"",IF($K1880="","",INDEX(Zeiterfassung!$J$6:$J$3665,MATCH(INDEX(Zeiterfassung!$K$6:$K$3665,$K1880),Zeiterfassung!$K$6:$K$3665,0))))</f>
        <v/>
      </c>
      <c r="K1880">
        <f>IFERROR(AGGREGATE(15,6,(ROW(Zeiterfassung!$D$6:$D$3665)-ROW(Zeiterfassung!$D$6)+1)/(Zeiterfassung!$D$6:$D$3665&lt;&gt;""),1875),"")</f>
        <v/>
      </c>
    </row>
    <row r="1881" ht="20" customHeight="1">
      <c r="A1881" s="183">
        <f>IF($K1881="","",WEEKNUM(INDEX(Zeiterfassung!$K$6:$K$3665,$K1881),21))</f>
        <v/>
      </c>
      <c r="B1881" s="184">
        <f>IF($K1881="","",INDEX(Zeiterfassung!$K$6:$K$3665,$K1881))</f>
        <v/>
      </c>
      <c r="C1881" s="185">
        <f>IF($K1881="","",INDEX(Zeiterfassung!$K$6:$K$3665,$K1881))</f>
        <v/>
      </c>
      <c r="D1881" s="186">
        <f>IF($K1881="","",INDEX(Zeiterfassung!$D$6:$D$3665,$K1881))</f>
        <v/>
      </c>
      <c r="E1881" s="186">
        <f>IF($K1881="","",INDEX(Zeiterfassung!$E$6:$E$3665,$K1881))</f>
        <v/>
      </c>
      <c r="F1881" s="187">
        <f>IF($K1881="","",INDEX(Zeiterfassung!$F$6:$F$3665,$K1881))</f>
        <v/>
      </c>
      <c r="G1881" s="187">
        <f>IF($K1881="","",INDEX(Zeiterfassung!$G$6:$G$3665,$K1881))</f>
        <v/>
      </c>
      <c r="H1881" s="188">
        <f>IF($K1881="","",INDEX(Zeiterfassung!$H$6:$H$3665,$K1881))</f>
        <v/>
      </c>
      <c r="I1881" s="335">
        <f>IF(B1881=B1880,"",IF($K1881="","",INDEX(Zeiterfassung!$I$6:$I$3665,MATCH(INDEX(Zeiterfassung!$K$6:$K$3665,$K1881),Zeiterfassung!$K$6:$K$3665,0))))</f>
        <v/>
      </c>
      <c r="J1881" s="335">
        <f>IF(B1881=B1880,"",IF($K1881="","",INDEX(Zeiterfassung!$J$6:$J$3665,MATCH(INDEX(Zeiterfassung!$K$6:$K$3665,$K1881),Zeiterfassung!$K$6:$K$3665,0))))</f>
        <v/>
      </c>
      <c r="K1881">
        <f>IFERROR(AGGREGATE(15,6,(ROW(Zeiterfassung!$D$6:$D$3665)-ROW(Zeiterfassung!$D$6)+1)/(Zeiterfassung!$D$6:$D$3665&lt;&gt;""),1876),"")</f>
        <v/>
      </c>
    </row>
    <row r="1882" ht="20" customHeight="1">
      <c r="A1882" s="183">
        <f>IF($K1882="","",WEEKNUM(INDEX(Zeiterfassung!$K$6:$K$3665,$K1882),21))</f>
        <v/>
      </c>
      <c r="B1882" s="184">
        <f>IF($K1882="","",INDEX(Zeiterfassung!$K$6:$K$3665,$K1882))</f>
        <v/>
      </c>
      <c r="C1882" s="185">
        <f>IF($K1882="","",INDEX(Zeiterfassung!$K$6:$K$3665,$K1882))</f>
        <v/>
      </c>
      <c r="D1882" s="186">
        <f>IF($K1882="","",INDEX(Zeiterfassung!$D$6:$D$3665,$K1882))</f>
        <v/>
      </c>
      <c r="E1882" s="186">
        <f>IF($K1882="","",INDEX(Zeiterfassung!$E$6:$E$3665,$K1882))</f>
        <v/>
      </c>
      <c r="F1882" s="187">
        <f>IF($K1882="","",INDEX(Zeiterfassung!$F$6:$F$3665,$K1882))</f>
        <v/>
      </c>
      <c r="G1882" s="187">
        <f>IF($K1882="","",INDEX(Zeiterfassung!$G$6:$G$3665,$K1882))</f>
        <v/>
      </c>
      <c r="H1882" s="188">
        <f>IF($K1882="","",INDEX(Zeiterfassung!$H$6:$H$3665,$K1882))</f>
        <v/>
      </c>
      <c r="I1882" s="335">
        <f>IF(B1882=B1881,"",IF($K1882="","",INDEX(Zeiterfassung!$I$6:$I$3665,MATCH(INDEX(Zeiterfassung!$K$6:$K$3665,$K1882),Zeiterfassung!$K$6:$K$3665,0))))</f>
        <v/>
      </c>
      <c r="J1882" s="335">
        <f>IF(B1882=B1881,"",IF($K1882="","",INDEX(Zeiterfassung!$J$6:$J$3665,MATCH(INDEX(Zeiterfassung!$K$6:$K$3665,$K1882),Zeiterfassung!$K$6:$K$3665,0))))</f>
        <v/>
      </c>
      <c r="K1882">
        <f>IFERROR(AGGREGATE(15,6,(ROW(Zeiterfassung!$D$6:$D$3665)-ROW(Zeiterfassung!$D$6)+1)/(Zeiterfassung!$D$6:$D$3665&lt;&gt;""),1877),"")</f>
        <v/>
      </c>
    </row>
    <row r="1883" ht="20" customHeight="1">
      <c r="A1883" s="183">
        <f>IF($K1883="","",WEEKNUM(INDEX(Zeiterfassung!$K$6:$K$3665,$K1883),21))</f>
        <v/>
      </c>
      <c r="B1883" s="184">
        <f>IF($K1883="","",INDEX(Zeiterfassung!$K$6:$K$3665,$K1883))</f>
        <v/>
      </c>
      <c r="C1883" s="185">
        <f>IF($K1883="","",INDEX(Zeiterfassung!$K$6:$K$3665,$K1883))</f>
        <v/>
      </c>
      <c r="D1883" s="186">
        <f>IF($K1883="","",INDEX(Zeiterfassung!$D$6:$D$3665,$K1883))</f>
        <v/>
      </c>
      <c r="E1883" s="186">
        <f>IF($K1883="","",INDEX(Zeiterfassung!$E$6:$E$3665,$K1883))</f>
        <v/>
      </c>
      <c r="F1883" s="187">
        <f>IF($K1883="","",INDEX(Zeiterfassung!$F$6:$F$3665,$K1883))</f>
        <v/>
      </c>
      <c r="G1883" s="187">
        <f>IF($K1883="","",INDEX(Zeiterfassung!$G$6:$G$3665,$K1883))</f>
        <v/>
      </c>
      <c r="H1883" s="188">
        <f>IF($K1883="","",INDEX(Zeiterfassung!$H$6:$H$3665,$K1883))</f>
        <v/>
      </c>
      <c r="I1883" s="335">
        <f>IF(B1883=B1882,"",IF($K1883="","",INDEX(Zeiterfassung!$I$6:$I$3665,MATCH(INDEX(Zeiterfassung!$K$6:$K$3665,$K1883),Zeiterfassung!$K$6:$K$3665,0))))</f>
        <v/>
      </c>
      <c r="J1883" s="335">
        <f>IF(B1883=B1882,"",IF($K1883="","",INDEX(Zeiterfassung!$J$6:$J$3665,MATCH(INDEX(Zeiterfassung!$K$6:$K$3665,$K1883),Zeiterfassung!$K$6:$K$3665,0))))</f>
        <v/>
      </c>
      <c r="K1883">
        <f>IFERROR(AGGREGATE(15,6,(ROW(Zeiterfassung!$D$6:$D$3665)-ROW(Zeiterfassung!$D$6)+1)/(Zeiterfassung!$D$6:$D$3665&lt;&gt;""),1878),"")</f>
        <v/>
      </c>
    </row>
    <row r="1884" ht="20" customHeight="1">
      <c r="A1884" s="183">
        <f>IF($K1884="","",WEEKNUM(INDEX(Zeiterfassung!$K$6:$K$3665,$K1884),21))</f>
        <v/>
      </c>
      <c r="B1884" s="184">
        <f>IF($K1884="","",INDEX(Zeiterfassung!$K$6:$K$3665,$K1884))</f>
        <v/>
      </c>
      <c r="C1884" s="185">
        <f>IF($K1884="","",INDEX(Zeiterfassung!$K$6:$K$3665,$K1884))</f>
        <v/>
      </c>
      <c r="D1884" s="186">
        <f>IF($K1884="","",INDEX(Zeiterfassung!$D$6:$D$3665,$K1884))</f>
        <v/>
      </c>
      <c r="E1884" s="186">
        <f>IF($K1884="","",INDEX(Zeiterfassung!$E$6:$E$3665,$K1884))</f>
        <v/>
      </c>
      <c r="F1884" s="187">
        <f>IF($K1884="","",INDEX(Zeiterfassung!$F$6:$F$3665,$K1884))</f>
        <v/>
      </c>
      <c r="G1884" s="187">
        <f>IF($K1884="","",INDEX(Zeiterfassung!$G$6:$G$3665,$K1884))</f>
        <v/>
      </c>
      <c r="H1884" s="188">
        <f>IF($K1884="","",INDEX(Zeiterfassung!$H$6:$H$3665,$K1884))</f>
        <v/>
      </c>
      <c r="I1884" s="335">
        <f>IF(B1884=B1883,"",IF($K1884="","",INDEX(Zeiterfassung!$I$6:$I$3665,MATCH(INDEX(Zeiterfassung!$K$6:$K$3665,$K1884),Zeiterfassung!$K$6:$K$3665,0))))</f>
        <v/>
      </c>
      <c r="J1884" s="335">
        <f>IF(B1884=B1883,"",IF($K1884="","",INDEX(Zeiterfassung!$J$6:$J$3665,MATCH(INDEX(Zeiterfassung!$K$6:$K$3665,$K1884),Zeiterfassung!$K$6:$K$3665,0))))</f>
        <v/>
      </c>
      <c r="K1884">
        <f>IFERROR(AGGREGATE(15,6,(ROW(Zeiterfassung!$D$6:$D$3665)-ROW(Zeiterfassung!$D$6)+1)/(Zeiterfassung!$D$6:$D$3665&lt;&gt;""),1879),"")</f>
        <v/>
      </c>
    </row>
    <row r="1885" ht="20" customHeight="1">
      <c r="A1885" s="183">
        <f>IF($K1885="","",WEEKNUM(INDEX(Zeiterfassung!$K$6:$K$3665,$K1885),21))</f>
        <v/>
      </c>
      <c r="B1885" s="184">
        <f>IF($K1885="","",INDEX(Zeiterfassung!$K$6:$K$3665,$K1885))</f>
        <v/>
      </c>
      <c r="C1885" s="185">
        <f>IF($K1885="","",INDEX(Zeiterfassung!$K$6:$K$3665,$K1885))</f>
        <v/>
      </c>
      <c r="D1885" s="186">
        <f>IF($K1885="","",INDEX(Zeiterfassung!$D$6:$D$3665,$K1885))</f>
        <v/>
      </c>
      <c r="E1885" s="186">
        <f>IF($K1885="","",INDEX(Zeiterfassung!$E$6:$E$3665,$K1885))</f>
        <v/>
      </c>
      <c r="F1885" s="187">
        <f>IF($K1885="","",INDEX(Zeiterfassung!$F$6:$F$3665,$K1885))</f>
        <v/>
      </c>
      <c r="G1885" s="187">
        <f>IF($K1885="","",INDEX(Zeiterfassung!$G$6:$G$3665,$K1885))</f>
        <v/>
      </c>
      <c r="H1885" s="188">
        <f>IF($K1885="","",INDEX(Zeiterfassung!$H$6:$H$3665,$K1885))</f>
        <v/>
      </c>
      <c r="I1885" s="335">
        <f>IF(B1885=B1884,"",IF($K1885="","",INDEX(Zeiterfassung!$I$6:$I$3665,MATCH(INDEX(Zeiterfassung!$K$6:$K$3665,$K1885),Zeiterfassung!$K$6:$K$3665,0))))</f>
        <v/>
      </c>
      <c r="J1885" s="335">
        <f>IF(B1885=B1884,"",IF($K1885="","",INDEX(Zeiterfassung!$J$6:$J$3665,MATCH(INDEX(Zeiterfassung!$K$6:$K$3665,$K1885),Zeiterfassung!$K$6:$K$3665,0))))</f>
        <v/>
      </c>
      <c r="K1885">
        <f>IFERROR(AGGREGATE(15,6,(ROW(Zeiterfassung!$D$6:$D$3665)-ROW(Zeiterfassung!$D$6)+1)/(Zeiterfassung!$D$6:$D$3665&lt;&gt;""),1880),"")</f>
        <v/>
      </c>
    </row>
    <row r="1886" ht="20" customHeight="1">
      <c r="A1886" s="183">
        <f>IF($K1886="","",WEEKNUM(INDEX(Zeiterfassung!$K$6:$K$3665,$K1886),21))</f>
        <v/>
      </c>
      <c r="B1886" s="184">
        <f>IF($K1886="","",INDEX(Zeiterfassung!$K$6:$K$3665,$K1886))</f>
        <v/>
      </c>
      <c r="C1886" s="185">
        <f>IF($K1886="","",INDEX(Zeiterfassung!$K$6:$K$3665,$K1886))</f>
        <v/>
      </c>
      <c r="D1886" s="186">
        <f>IF($K1886="","",INDEX(Zeiterfassung!$D$6:$D$3665,$K1886))</f>
        <v/>
      </c>
      <c r="E1886" s="186">
        <f>IF($K1886="","",INDEX(Zeiterfassung!$E$6:$E$3665,$K1886))</f>
        <v/>
      </c>
      <c r="F1886" s="187">
        <f>IF($K1886="","",INDEX(Zeiterfassung!$F$6:$F$3665,$K1886))</f>
        <v/>
      </c>
      <c r="G1886" s="187">
        <f>IF($K1886="","",INDEX(Zeiterfassung!$G$6:$G$3665,$K1886))</f>
        <v/>
      </c>
      <c r="H1886" s="188">
        <f>IF($K1886="","",INDEX(Zeiterfassung!$H$6:$H$3665,$K1886))</f>
        <v/>
      </c>
      <c r="I1886" s="335">
        <f>IF(B1886=B1885,"",IF($K1886="","",INDEX(Zeiterfassung!$I$6:$I$3665,MATCH(INDEX(Zeiterfassung!$K$6:$K$3665,$K1886),Zeiterfassung!$K$6:$K$3665,0))))</f>
        <v/>
      </c>
      <c r="J1886" s="335">
        <f>IF(B1886=B1885,"",IF($K1886="","",INDEX(Zeiterfassung!$J$6:$J$3665,MATCH(INDEX(Zeiterfassung!$K$6:$K$3665,$K1886),Zeiterfassung!$K$6:$K$3665,0))))</f>
        <v/>
      </c>
      <c r="K1886">
        <f>IFERROR(AGGREGATE(15,6,(ROW(Zeiterfassung!$D$6:$D$3665)-ROW(Zeiterfassung!$D$6)+1)/(Zeiterfassung!$D$6:$D$3665&lt;&gt;""),1881),"")</f>
        <v/>
      </c>
    </row>
    <row r="1887" ht="20" customHeight="1">
      <c r="A1887" s="183">
        <f>IF($K1887="","",WEEKNUM(INDEX(Zeiterfassung!$K$6:$K$3665,$K1887),21))</f>
        <v/>
      </c>
      <c r="B1887" s="184">
        <f>IF($K1887="","",INDEX(Zeiterfassung!$K$6:$K$3665,$K1887))</f>
        <v/>
      </c>
      <c r="C1887" s="185">
        <f>IF($K1887="","",INDEX(Zeiterfassung!$K$6:$K$3665,$K1887))</f>
        <v/>
      </c>
      <c r="D1887" s="186">
        <f>IF($K1887="","",INDEX(Zeiterfassung!$D$6:$D$3665,$K1887))</f>
        <v/>
      </c>
      <c r="E1887" s="186">
        <f>IF($K1887="","",INDEX(Zeiterfassung!$E$6:$E$3665,$K1887))</f>
        <v/>
      </c>
      <c r="F1887" s="187">
        <f>IF($K1887="","",INDEX(Zeiterfassung!$F$6:$F$3665,$K1887))</f>
        <v/>
      </c>
      <c r="G1887" s="187">
        <f>IF($K1887="","",INDEX(Zeiterfassung!$G$6:$G$3665,$K1887))</f>
        <v/>
      </c>
      <c r="H1887" s="188">
        <f>IF($K1887="","",INDEX(Zeiterfassung!$H$6:$H$3665,$K1887))</f>
        <v/>
      </c>
      <c r="I1887" s="335">
        <f>IF(B1887=B1886,"",IF($K1887="","",INDEX(Zeiterfassung!$I$6:$I$3665,MATCH(INDEX(Zeiterfassung!$K$6:$K$3665,$K1887),Zeiterfassung!$K$6:$K$3665,0))))</f>
        <v/>
      </c>
      <c r="J1887" s="335">
        <f>IF(B1887=B1886,"",IF($K1887="","",INDEX(Zeiterfassung!$J$6:$J$3665,MATCH(INDEX(Zeiterfassung!$K$6:$K$3665,$K1887),Zeiterfassung!$K$6:$K$3665,0))))</f>
        <v/>
      </c>
      <c r="K1887">
        <f>IFERROR(AGGREGATE(15,6,(ROW(Zeiterfassung!$D$6:$D$3665)-ROW(Zeiterfassung!$D$6)+1)/(Zeiterfassung!$D$6:$D$3665&lt;&gt;""),1882),"")</f>
        <v/>
      </c>
    </row>
    <row r="1888" ht="20" customHeight="1">
      <c r="A1888" s="183">
        <f>IF($K1888="","",WEEKNUM(INDEX(Zeiterfassung!$K$6:$K$3665,$K1888),21))</f>
        <v/>
      </c>
      <c r="B1888" s="184">
        <f>IF($K1888="","",INDEX(Zeiterfassung!$K$6:$K$3665,$K1888))</f>
        <v/>
      </c>
      <c r="C1888" s="185">
        <f>IF($K1888="","",INDEX(Zeiterfassung!$K$6:$K$3665,$K1888))</f>
        <v/>
      </c>
      <c r="D1888" s="186">
        <f>IF($K1888="","",INDEX(Zeiterfassung!$D$6:$D$3665,$K1888))</f>
        <v/>
      </c>
      <c r="E1888" s="186">
        <f>IF($K1888="","",INDEX(Zeiterfassung!$E$6:$E$3665,$K1888))</f>
        <v/>
      </c>
      <c r="F1888" s="187">
        <f>IF($K1888="","",INDEX(Zeiterfassung!$F$6:$F$3665,$K1888))</f>
        <v/>
      </c>
      <c r="G1888" s="187">
        <f>IF($K1888="","",INDEX(Zeiterfassung!$G$6:$G$3665,$K1888))</f>
        <v/>
      </c>
      <c r="H1888" s="188">
        <f>IF($K1888="","",INDEX(Zeiterfassung!$H$6:$H$3665,$K1888))</f>
        <v/>
      </c>
      <c r="I1888" s="335">
        <f>IF(B1888=B1887,"",IF($K1888="","",INDEX(Zeiterfassung!$I$6:$I$3665,MATCH(INDEX(Zeiterfassung!$K$6:$K$3665,$K1888),Zeiterfassung!$K$6:$K$3665,0))))</f>
        <v/>
      </c>
      <c r="J1888" s="335">
        <f>IF(B1888=B1887,"",IF($K1888="","",INDEX(Zeiterfassung!$J$6:$J$3665,MATCH(INDEX(Zeiterfassung!$K$6:$K$3665,$K1888),Zeiterfassung!$K$6:$K$3665,0))))</f>
        <v/>
      </c>
      <c r="K1888">
        <f>IFERROR(AGGREGATE(15,6,(ROW(Zeiterfassung!$D$6:$D$3665)-ROW(Zeiterfassung!$D$6)+1)/(Zeiterfassung!$D$6:$D$3665&lt;&gt;""),1883),"")</f>
        <v/>
      </c>
    </row>
    <row r="1889" ht="20" customHeight="1">
      <c r="A1889" s="183">
        <f>IF($K1889="","",WEEKNUM(INDEX(Zeiterfassung!$K$6:$K$3665,$K1889),21))</f>
        <v/>
      </c>
      <c r="B1889" s="184">
        <f>IF($K1889="","",INDEX(Zeiterfassung!$K$6:$K$3665,$K1889))</f>
        <v/>
      </c>
      <c r="C1889" s="185">
        <f>IF($K1889="","",INDEX(Zeiterfassung!$K$6:$K$3665,$K1889))</f>
        <v/>
      </c>
      <c r="D1889" s="186">
        <f>IF($K1889="","",INDEX(Zeiterfassung!$D$6:$D$3665,$K1889))</f>
        <v/>
      </c>
      <c r="E1889" s="186">
        <f>IF($K1889="","",INDEX(Zeiterfassung!$E$6:$E$3665,$K1889))</f>
        <v/>
      </c>
      <c r="F1889" s="187">
        <f>IF($K1889="","",INDEX(Zeiterfassung!$F$6:$F$3665,$K1889))</f>
        <v/>
      </c>
      <c r="G1889" s="187">
        <f>IF($K1889="","",INDEX(Zeiterfassung!$G$6:$G$3665,$K1889))</f>
        <v/>
      </c>
      <c r="H1889" s="188">
        <f>IF($K1889="","",INDEX(Zeiterfassung!$H$6:$H$3665,$K1889))</f>
        <v/>
      </c>
      <c r="I1889" s="335">
        <f>IF(B1889=B1888,"",IF($K1889="","",INDEX(Zeiterfassung!$I$6:$I$3665,MATCH(INDEX(Zeiterfassung!$K$6:$K$3665,$K1889),Zeiterfassung!$K$6:$K$3665,0))))</f>
        <v/>
      </c>
      <c r="J1889" s="335">
        <f>IF(B1889=B1888,"",IF($K1889="","",INDEX(Zeiterfassung!$J$6:$J$3665,MATCH(INDEX(Zeiterfassung!$K$6:$K$3665,$K1889),Zeiterfassung!$K$6:$K$3665,0))))</f>
        <v/>
      </c>
      <c r="K1889">
        <f>IFERROR(AGGREGATE(15,6,(ROW(Zeiterfassung!$D$6:$D$3665)-ROW(Zeiterfassung!$D$6)+1)/(Zeiterfassung!$D$6:$D$3665&lt;&gt;""),1884),"")</f>
        <v/>
      </c>
    </row>
    <row r="1890" ht="20" customHeight="1">
      <c r="A1890" s="183">
        <f>IF($K1890="","",WEEKNUM(INDEX(Zeiterfassung!$K$6:$K$3665,$K1890),21))</f>
        <v/>
      </c>
      <c r="B1890" s="184">
        <f>IF($K1890="","",INDEX(Zeiterfassung!$K$6:$K$3665,$K1890))</f>
        <v/>
      </c>
      <c r="C1890" s="185">
        <f>IF($K1890="","",INDEX(Zeiterfassung!$K$6:$K$3665,$K1890))</f>
        <v/>
      </c>
      <c r="D1890" s="186">
        <f>IF($K1890="","",INDEX(Zeiterfassung!$D$6:$D$3665,$K1890))</f>
        <v/>
      </c>
      <c r="E1890" s="186">
        <f>IF($K1890="","",INDEX(Zeiterfassung!$E$6:$E$3665,$K1890))</f>
        <v/>
      </c>
      <c r="F1890" s="187">
        <f>IF($K1890="","",INDEX(Zeiterfassung!$F$6:$F$3665,$K1890))</f>
        <v/>
      </c>
      <c r="G1890" s="187">
        <f>IF($K1890="","",INDEX(Zeiterfassung!$G$6:$G$3665,$K1890))</f>
        <v/>
      </c>
      <c r="H1890" s="188">
        <f>IF($K1890="","",INDEX(Zeiterfassung!$H$6:$H$3665,$K1890))</f>
        <v/>
      </c>
      <c r="I1890" s="335">
        <f>IF(B1890=B1889,"",IF($K1890="","",INDEX(Zeiterfassung!$I$6:$I$3665,MATCH(INDEX(Zeiterfassung!$K$6:$K$3665,$K1890),Zeiterfassung!$K$6:$K$3665,0))))</f>
        <v/>
      </c>
      <c r="J1890" s="335">
        <f>IF(B1890=B1889,"",IF($K1890="","",INDEX(Zeiterfassung!$J$6:$J$3665,MATCH(INDEX(Zeiterfassung!$K$6:$K$3665,$K1890),Zeiterfassung!$K$6:$K$3665,0))))</f>
        <v/>
      </c>
      <c r="K1890">
        <f>IFERROR(AGGREGATE(15,6,(ROW(Zeiterfassung!$D$6:$D$3665)-ROW(Zeiterfassung!$D$6)+1)/(Zeiterfassung!$D$6:$D$3665&lt;&gt;""),1885),"")</f>
        <v/>
      </c>
    </row>
    <row r="1891" ht="20" customHeight="1">
      <c r="A1891" s="183">
        <f>IF($K1891="","",WEEKNUM(INDEX(Zeiterfassung!$K$6:$K$3665,$K1891),21))</f>
        <v/>
      </c>
      <c r="B1891" s="184">
        <f>IF($K1891="","",INDEX(Zeiterfassung!$K$6:$K$3665,$K1891))</f>
        <v/>
      </c>
      <c r="C1891" s="185">
        <f>IF($K1891="","",INDEX(Zeiterfassung!$K$6:$K$3665,$K1891))</f>
        <v/>
      </c>
      <c r="D1891" s="186">
        <f>IF($K1891="","",INDEX(Zeiterfassung!$D$6:$D$3665,$K1891))</f>
        <v/>
      </c>
      <c r="E1891" s="186">
        <f>IF($K1891="","",INDEX(Zeiterfassung!$E$6:$E$3665,$K1891))</f>
        <v/>
      </c>
      <c r="F1891" s="187">
        <f>IF($K1891="","",INDEX(Zeiterfassung!$F$6:$F$3665,$K1891))</f>
        <v/>
      </c>
      <c r="G1891" s="187">
        <f>IF($K1891="","",INDEX(Zeiterfassung!$G$6:$G$3665,$K1891))</f>
        <v/>
      </c>
      <c r="H1891" s="188">
        <f>IF($K1891="","",INDEX(Zeiterfassung!$H$6:$H$3665,$K1891))</f>
        <v/>
      </c>
      <c r="I1891" s="335">
        <f>IF(B1891=B1890,"",IF($K1891="","",INDEX(Zeiterfassung!$I$6:$I$3665,MATCH(INDEX(Zeiterfassung!$K$6:$K$3665,$K1891),Zeiterfassung!$K$6:$K$3665,0))))</f>
        <v/>
      </c>
      <c r="J1891" s="335">
        <f>IF(B1891=B1890,"",IF($K1891="","",INDEX(Zeiterfassung!$J$6:$J$3665,MATCH(INDEX(Zeiterfassung!$K$6:$K$3665,$K1891),Zeiterfassung!$K$6:$K$3665,0))))</f>
        <v/>
      </c>
      <c r="K1891">
        <f>IFERROR(AGGREGATE(15,6,(ROW(Zeiterfassung!$D$6:$D$3665)-ROW(Zeiterfassung!$D$6)+1)/(Zeiterfassung!$D$6:$D$3665&lt;&gt;""),1886),"")</f>
        <v/>
      </c>
    </row>
    <row r="1892" ht="20" customHeight="1">
      <c r="A1892" s="183">
        <f>IF($K1892="","",WEEKNUM(INDEX(Zeiterfassung!$K$6:$K$3665,$K1892),21))</f>
        <v/>
      </c>
      <c r="B1892" s="184">
        <f>IF($K1892="","",INDEX(Zeiterfassung!$K$6:$K$3665,$K1892))</f>
        <v/>
      </c>
      <c r="C1892" s="185">
        <f>IF($K1892="","",INDEX(Zeiterfassung!$K$6:$K$3665,$K1892))</f>
        <v/>
      </c>
      <c r="D1892" s="186">
        <f>IF($K1892="","",INDEX(Zeiterfassung!$D$6:$D$3665,$K1892))</f>
        <v/>
      </c>
      <c r="E1892" s="186">
        <f>IF($K1892="","",INDEX(Zeiterfassung!$E$6:$E$3665,$K1892))</f>
        <v/>
      </c>
      <c r="F1892" s="187">
        <f>IF($K1892="","",INDEX(Zeiterfassung!$F$6:$F$3665,$K1892))</f>
        <v/>
      </c>
      <c r="G1892" s="187">
        <f>IF($K1892="","",INDEX(Zeiterfassung!$G$6:$G$3665,$K1892))</f>
        <v/>
      </c>
      <c r="H1892" s="188">
        <f>IF($K1892="","",INDEX(Zeiterfassung!$H$6:$H$3665,$K1892))</f>
        <v/>
      </c>
      <c r="I1892" s="335">
        <f>IF(B1892=B1891,"",IF($K1892="","",INDEX(Zeiterfassung!$I$6:$I$3665,MATCH(INDEX(Zeiterfassung!$K$6:$K$3665,$K1892),Zeiterfassung!$K$6:$K$3665,0))))</f>
        <v/>
      </c>
      <c r="J1892" s="335">
        <f>IF(B1892=B1891,"",IF($K1892="","",INDEX(Zeiterfassung!$J$6:$J$3665,MATCH(INDEX(Zeiterfassung!$K$6:$K$3665,$K1892),Zeiterfassung!$K$6:$K$3665,0))))</f>
        <v/>
      </c>
      <c r="K1892">
        <f>IFERROR(AGGREGATE(15,6,(ROW(Zeiterfassung!$D$6:$D$3665)-ROW(Zeiterfassung!$D$6)+1)/(Zeiterfassung!$D$6:$D$3665&lt;&gt;""),1887),"")</f>
        <v/>
      </c>
    </row>
    <row r="1893" ht="20" customHeight="1">
      <c r="A1893" s="183">
        <f>IF($K1893="","",WEEKNUM(INDEX(Zeiterfassung!$K$6:$K$3665,$K1893),21))</f>
        <v/>
      </c>
      <c r="B1893" s="184">
        <f>IF($K1893="","",INDEX(Zeiterfassung!$K$6:$K$3665,$K1893))</f>
        <v/>
      </c>
      <c r="C1893" s="185">
        <f>IF($K1893="","",INDEX(Zeiterfassung!$K$6:$K$3665,$K1893))</f>
        <v/>
      </c>
      <c r="D1893" s="186">
        <f>IF($K1893="","",INDEX(Zeiterfassung!$D$6:$D$3665,$K1893))</f>
        <v/>
      </c>
      <c r="E1893" s="186">
        <f>IF($K1893="","",INDEX(Zeiterfassung!$E$6:$E$3665,$K1893))</f>
        <v/>
      </c>
      <c r="F1893" s="187">
        <f>IF($K1893="","",INDEX(Zeiterfassung!$F$6:$F$3665,$K1893))</f>
        <v/>
      </c>
      <c r="G1893" s="187">
        <f>IF($K1893="","",INDEX(Zeiterfassung!$G$6:$G$3665,$K1893))</f>
        <v/>
      </c>
      <c r="H1893" s="188">
        <f>IF($K1893="","",INDEX(Zeiterfassung!$H$6:$H$3665,$K1893))</f>
        <v/>
      </c>
      <c r="I1893" s="335">
        <f>IF(B1893=B1892,"",IF($K1893="","",INDEX(Zeiterfassung!$I$6:$I$3665,MATCH(INDEX(Zeiterfassung!$K$6:$K$3665,$K1893),Zeiterfassung!$K$6:$K$3665,0))))</f>
        <v/>
      </c>
      <c r="J1893" s="335">
        <f>IF(B1893=B1892,"",IF($K1893="","",INDEX(Zeiterfassung!$J$6:$J$3665,MATCH(INDEX(Zeiterfassung!$K$6:$K$3665,$K1893),Zeiterfassung!$K$6:$K$3665,0))))</f>
        <v/>
      </c>
      <c r="K1893">
        <f>IFERROR(AGGREGATE(15,6,(ROW(Zeiterfassung!$D$6:$D$3665)-ROW(Zeiterfassung!$D$6)+1)/(Zeiterfassung!$D$6:$D$3665&lt;&gt;""),1888),"")</f>
        <v/>
      </c>
    </row>
    <row r="1894" ht="20" customHeight="1">
      <c r="A1894" s="183">
        <f>IF($K1894="","",WEEKNUM(INDEX(Zeiterfassung!$K$6:$K$3665,$K1894),21))</f>
        <v/>
      </c>
      <c r="B1894" s="184">
        <f>IF($K1894="","",INDEX(Zeiterfassung!$K$6:$K$3665,$K1894))</f>
        <v/>
      </c>
      <c r="C1894" s="185">
        <f>IF($K1894="","",INDEX(Zeiterfassung!$K$6:$K$3665,$K1894))</f>
        <v/>
      </c>
      <c r="D1894" s="186">
        <f>IF($K1894="","",INDEX(Zeiterfassung!$D$6:$D$3665,$K1894))</f>
        <v/>
      </c>
      <c r="E1894" s="186">
        <f>IF($K1894="","",INDEX(Zeiterfassung!$E$6:$E$3665,$K1894))</f>
        <v/>
      </c>
      <c r="F1894" s="187">
        <f>IF($K1894="","",INDEX(Zeiterfassung!$F$6:$F$3665,$K1894))</f>
        <v/>
      </c>
      <c r="G1894" s="187">
        <f>IF($K1894="","",INDEX(Zeiterfassung!$G$6:$G$3665,$K1894))</f>
        <v/>
      </c>
      <c r="H1894" s="188">
        <f>IF($K1894="","",INDEX(Zeiterfassung!$H$6:$H$3665,$K1894))</f>
        <v/>
      </c>
      <c r="I1894" s="335">
        <f>IF(B1894=B1893,"",IF($K1894="","",INDEX(Zeiterfassung!$I$6:$I$3665,MATCH(INDEX(Zeiterfassung!$K$6:$K$3665,$K1894),Zeiterfassung!$K$6:$K$3665,0))))</f>
        <v/>
      </c>
      <c r="J1894" s="335">
        <f>IF(B1894=B1893,"",IF($K1894="","",INDEX(Zeiterfassung!$J$6:$J$3665,MATCH(INDEX(Zeiterfassung!$K$6:$K$3665,$K1894),Zeiterfassung!$K$6:$K$3665,0))))</f>
        <v/>
      </c>
      <c r="K1894">
        <f>IFERROR(AGGREGATE(15,6,(ROW(Zeiterfassung!$D$6:$D$3665)-ROW(Zeiterfassung!$D$6)+1)/(Zeiterfassung!$D$6:$D$3665&lt;&gt;""),1889),"")</f>
        <v/>
      </c>
    </row>
    <row r="1895" ht="20" customHeight="1">
      <c r="A1895" s="183">
        <f>IF($K1895="","",WEEKNUM(INDEX(Zeiterfassung!$K$6:$K$3665,$K1895),21))</f>
        <v/>
      </c>
      <c r="B1895" s="184">
        <f>IF($K1895="","",INDEX(Zeiterfassung!$K$6:$K$3665,$K1895))</f>
        <v/>
      </c>
      <c r="C1895" s="185">
        <f>IF($K1895="","",INDEX(Zeiterfassung!$K$6:$K$3665,$K1895))</f>
        <v/>
      </c>
      <c r="D1895" s="186">
        <f>IF($K1895="","",INDEX(Zeiterfassung!$D$6:$D$3665,$K1895))</f>
        <v/>
      </c>
      <c r="E1895" s="186">
        <f>IF($K1895="","",INDEX(Zeiterfassung!$E$6:$E$3665,$K1895))</f>
        <v/>
      </c>
      <c r="F1895" s="187">
        <f>IF($K1895="","",INDEX(Zeiterfassung!$F$6:$F$3665,$K1895))</f>
        <v/>
      </c>
      <c r="G1895" s="187">
        <f>IF($K1895="","",INDEX(Zeiterfassung!$G$6:$G$3665,$K1895))</f>
        <v/>
      </c>
      <c r="H1895" s="188">
        <f>IF($K1895="","",INDEX(Zeiterfassung!$H$6:$H$3665,$K1895))</f>
        <v/>
      </c>
      <c r="I1895" s="335">
        <f>IF(B1895=B1894,"",IF($K1895="","",INDEX(Zeiterfassung!$I$6:$I$3665,MATCH(INDEX(Zeiterfassung!$K$6:$K$3665,$K1895),Zeiterfassung!$K$6:$K$3665,0))))</f>
        <v/>
      </c>
      <c r="J1895" s="335">
        <f>IF(B1895=B1894,"",IF($K1895="","",INDEX(Zeiterfassung!$J$6:$J$3665,MATCH(INDEX(Zeiterfassung!$K$6:$K$3665,$K1895),Zeiterfassung!$K$6:$K$3665,0))))</f>
        <v/>
      </c>
      <c r="K1895">
        <f>IFERROR(AGGREGATE(15,6,(ROW(Zeiterfassung!$D$6:$D$3665)-ROW(Zeiterfassung!$D$6)+1)/(Zeiterfassung!$D$6:$D$3665&lt;&gt;""),1890),"")</f>
        <v/>
      </c>
    </row>
    <row r="1896" ht="20" customHeight="1">
      <c r="A1896" s="183">
        <f>IF($K1896="","",WEEKNUM(INDEX(Zeiterfassung!$K$6:$K$3665,$K1896),21))</f>
        <v/>
      </c>
      <c r="B1896" s="184">
        <f>IF($K1896="","",INDEX(Zeiterfassung!$K$6:$K$3665,$K1896))</f>
        <v/>
      </c>
      <c r="C1896" s="185">
        <f>IF($K1896="","",INDEX(Zeiterfassung!$K$6:$K$3665,$K1896))</f>
        <v/>
      </c>
      <c r="D1896" s="186">
        <f>IF($K1896="","",INDEX(Zeiterfassung!$D$6:$D$3665,$K1896))</f>
        <v/>
      </c>
      <c r="E1896" s="186">
        <f>IF($K1896="","",INDEX(Zeiterfassung!$E$6:$E$3665,$K1896))</f>
        <v/>
      </c>
      <c r="F1896" s="187">
        <f>IF($K1896="","",INDEX(Zeiterfassung!$F$6:$F$3665,$K1896))</f>
        <v/>
      </c>
      <c r="G1896" s="187">
        <f>IF($K1896="","",INDEX(Zeiterfassung!$G$6:$G$3665,$K1896))</f>
        <v/>
      </c>
      <c r="H1896" s="188">
        <f>IF($K1896="","",INDEX(Zeiterfassung!$H$6:$H$3665,$K1896))</f>
        <v/>
      </c>
      <c r="I1896" s="335">
        <f>IF(B1896=B1895,"",IF($K1896="","",INDEX(Zeiterfassung!$I$6:$I$3665,MATCH(INDEX(Zeiterfassung!$K$6:$K$3665,$K1896),Zeiterfassung!$K$6:$K$3665,0))))</f>
        <v/>
      </c>
      <c r="J1896" s="335">
        <f>IF(B1896=B1895,"",IF($K1896="","",INDEX(Zeiterfassung!$J$6:$J$3665,MATCH(INDEX(Zeiterfassung!$K$6:$K$3665,$K1896),Zeiterfassung!$K$6:$K$3665,0))))</f>
        <v/>
      </c>
      <c r="K1896">
        <f>IFERROR(AGGREGATE(15,6,(ROW(Zeiterfassung!$D$6:$D$3665)-ROW(Zeiterfassung!$D$6)+1)/(Zeiterfassung!$D$6:$D$3665&lt;&gt;""),1891),"")</f>
        <v/>
      </c>
    </row>
    <row r="1897" ht="20" customHeight="1">
      <c r="A1897" s="183">
        <f>IF($K1897="","",WEEKNUM(INDEX(Zeiterfassung!$K$6:$K$3665,$K1897),21))</f>
        <v/>
      </c>
      <c r="B1897" s="184">
        <f>IF($K1897="","",INDEX(Zeiterfassung!$K$6:$K$3665,$K1897))</f>
        <v/>
      </c>
      <c r="C1897" s="185">
        <f>IF($K1897="","",INDEX(Zeiterfassung!$K$6:$K$3665,$K1897))</f>
        <v/>
      </c>
      <c r="D1897" s="186">
        <f>IF($K1897="","",INDEX(Zeiterfassung!$D$6:$D$3665,$K1897))</f>
        <v/>
      </c>
      <c r="E1897" s="186">
        <f>IF($K1897="","",INDEX(Zeiterfassung!$E$6:$E$3665,$K1897))</f>
        <v/>
      </c>
      <c r="F1897" s="187">
        <f>IF($K1897="","",INDEX(Zeiterfassung!$F$6:$F$3665,$K1897))</f>
        <v/>
      </c>
      <c r="G1897" s="187">
        <f>IF($K1897="","",INDEX(Zeiterfassung!$G$6:$G$3665,$K1897))</f>
        <v/>
      </c>
      <c r="H1897" s="188">
        <f>IF($K1897="","",INDEX(Zeiterfassung!$H$6:$H$3665,$K1897))</f>
        <v/>
      </c>
      <c r="I1897" s="335">
        <f>IF(B1897=B1896,"",IF($K1897="","",INDEX(Zeiterfassung!$I$6:$I$3665,MATCH(INDEX(Zeiterfassung!$K$6:$K$3665,$K1897),Zeiterfassung!$K$6:$K$3665,0))))</f>
        <v/>
      </c>
      <c r="J1897" s="335">
        <f>IF(B1897=B1896,"",IF($K1897="","",INDEX(Zeiterfassung!$J$6:$J$3665,MATCH(INDEX(Zeiterfassung!$K$6:$K$3665,$K1897),Zeiterfassung!$K$6:$K$3665,0))))</f>
        <v/>
      </c>
      <c r="K1897">
        <f>IFERROR(AGGREGATE(15,6,(ROW(Zeiterfassung!$D$6:$D$3665)-ROW(Zeiterfassung!$D$6)+1)/(Zeiterfassung!$D$6:$D$3665&lt;&gt;""),1892),"")</f>
        <v/>
      </c>
    </row>
    <row r="1898" ht="20" customHeight="1">
      <c r="A1898" s="183">
        <f>IF($K1898="","",WEEKNUM(INDEX(Zeiterfassung!$K$6:$K$3665,$K1898),21))</f>
        <v/>
      </c>
      <c r="B1898" s="184">
        <f>IF($K1898="","",INDEX(Zeiterfassung!$K$6:$K$3665,$K1898))</f>
        <v/>
      </c>
      <c r="C1898" s="185">
        <f>IF($K1898="","",INDEX(Zeiterfassung!$K$6:$K$3665,$K1898))</f>
        <v/>
      </c>
      <c r="D1898" s="186">
        <f>IF($K1898="","",INDEX(Zeiterfassung!$D$6:$D$3665,$K1898))</f>
        <v/>
      </c>
      <c r="E1898" s="186">
        <f>IF($K1898="","",INDEX(Zeiterfassung!$E$6:$E$3665,$K1898))</f>
        <v/>
      </c>
      <c r="F1898" s="187">
        <f>IF($K1898="","",INDEX(Zeiterfassung!$F$6:$F$3665,$K1898))</f>
        <v/>
      </c>
      <c r="G1898" s="187">
        <f>IF($K1898="","",INDEX(Zeiterfassung!$G$6:$G$3665,$K1898))</f>
        <v/>
      </c>
      <c r="H1898" s="188">
        <f>IF($K1898="","",INDEX(Zeiterfassung!$H$6:$H$3665,$K1898))</f>
        <v/>
      </c>
      <c r="I1898" s="335">
        <f>IF(B1898=B1897,"",IF($K1898="","",INDEX(Zeiterfassung!$I$6:$I$3665,MATCH(INDEX(Zeiterfassung!$K$6:$K$3665,$K1898),Zeiterfassung!$K$6:$K$3665,0))))</f>
        <v/>
      </c>
      <c r="J1898" s="335">
        <f>IF(B1898=B1897,"",IF($K1898="","",INDEX(Zeiterfassung!$J$6:$J$3665,MATCH(INDEX(Zeiterfassung!$K$6:$K$3665,$K1898),Zeiterfassung!$K$6:$K$3665,0))))</f>
        <v/>
      </c>
      <c r="K1898">
        <f>IFERROR(AGGREGATE(15,6,(ROW(Zeiterfassung!$D$6:$D$3665)-ROW(Zeiterfassung!$D$6)+1)/(Zeiterfassung!$D$6:$D$3665&lt;&gt;""),1893),"")</f>
        <v/>
      </c>
    </row>
    <row r="1899" ht="20" customHeight="1">
      <c r="A1899" s="183">
        <f>IF($K1899="","",WEEKNUM(INDEX(Zeiterfassung!$K$6:$K$3665,$K1899),21))</f>
        <v/>
      </c>
      <c r="B1899" s="184">
        <f>IF($K1899="","",INDEX(Zeiterfassung!$K$6:$K$3665,$K1899))</f>
        <v/>
      </c>
      <c r="C1899" s="185">
        <f>IF($K1899="","",INDEX(Zeiterfassung!$K$6:$K$3665,$K1899))</f>
        <v/>
      </c>
      <c r="D1899" s="186">
        <f>IF($K1899="","",INDEX(Zeiterfassung!$D$6:$D$3665,$K1899))</f>
        <v/>
      </c>
      <c r="E1899" s="186">
        <f>IF($K1899="","",INDEX(Zeiterfassung!$E$6:$E$3665,$K1899))</f>
        <v/>
      </c>
      <c r="F1899" s="187">
        <f>IF($K1899="","",INDEX(Zeiterfassung!$F$6:$F$3665,$K1899))</f>
        <v/>
      </c>
      <c r="G1899" s="187">
        <f>IF($K1899="","",INDEX(Zeiterfassung!$G$6:$G$3665,$K1899))</f>
        <v/>
      </c>
      <c r="H1899" s="188">
        <f>IF($K1899="","",INDEX(Zeiterfassung!$H$6:$H$3665,$K1899))</f>
        <v/>
      </c>
      <c r="I1899" s="335">
        <f>IF(B1899=B1898,"",IF($K1899="","",INDEX(Zeiterfassung!$I$6:$I$3665,MATCH(INDEX(Zeiterfassung!$K$6:$K$3665,$K1899),Zeiterfassung!$K$6:$K$3665,0))))</f>
        <v/>
      </c>
      <c r="J1899" s="335">
        <f>IF(B1899=B1898,"",IF($K1899="","",INDEX(Zeiterfassung!$J$6:$J$3665,MATCH(INDEX(Zeiterfassung!$K$6:$K$3665,$K1899),Zeiterfassung!$K$6:$K$3665,0))))</f>
        <v/>
      </c>
      <c r="K1899">
        <f>IFERROR(AGGREGATE(15,6,(ROW(Zeiterfassung!$D$6:$D$3665)-ROW(Zeiterfassung!$D$6)+1)/(Zeiterfassung!$D$6:$D$3665&lt;&gt;""),1894),"")</f>
        <v/>
      </c>
    </row>
    <row r="1900" ht="20" customHeight="1">
      <c r="A1900" s="183">
        <f>IF($K1900="","",WEEKNUM(INDEX(Zeiterfassung!$K$6:$K$3665,$K1900),21))</f>
        <v/>
      </c>
      <c r="B1900" s="184">
        <f>IF($K1900="","",INDEX(Zeiterfassung!$K$6:$K$3665,$K1900))</f>
        <v/>
      </c>
      <c r="C1900" s="185">
        <f>IF($K1900="","",INDEX(Zeiterfassung!$K$6:$K$3665,$K1900))</f>
        <v/>
      </c>
      <c r="D1900" s="186">
        <f>IF($K1900="","",INDEX(Zeiterfassung!$D$6:$D$3665,$K1900))</f>
        <v/>
      </c>
      <c r="E1900" s="186">
        <f>IF($K1900="","",INDEX(Zeiterfassung!$E$6:$E$3665,$K1900))</f>
        <v/>
      </c>
      <c r="F1900" s="187">
        <f>IF($K1900="","",INDEX(Zeiterfassung!$F$6:$F$3665,$K1900))</f>
        <v/>
      </c>
      <c r="G1900" s="187">
        <f>IF($K1900="","",INDEX(Zeiterfassung!$G$6:$G$3665,$K1900))</f>
        <v/>
      </c>
      <c r="H1900" s="188">
        <f>IF($K1900="","",INDEX(Zeiterfassung!$H$6:$H$3665,$K1900))</f>
        <v/>
      </c>
      <c r="I1900" s="335">
        <f>IF(B1900=B1899,"",IF($K1900="","",INDEX(Zeiterfassung!$I$6:$I$3665,MATCH(INDEX(Zeiterfassung!$K$6:$K$3665,$K1900),Zeiterfassung!$K$6:$K$3665,0))))</f>
        <v/>
      </c>
      <c r="J1900" s="335">
        <f>IF(B1900=B1899,"",IF($K1900="","",INDEX(Zeiterfassung!$J$6:$J$3665,MATCH(INDEX(Zeiterfassung!$K$6:$K$3665,$K1900),Zeiterfassung!$K$6:$K$3665,0))))</f>
        <v/>
      </c>
      <c r="K1900">
        <f>IFERROR(AGGREGATE(15,6,(ROW(Zeiterfassung!$D$6:$D$3665)-ROW(Zeiterfassung!$D$6)+1)/(Zeiterfassung!$D$6:$D$3665&lt;&gt;""),1895),"")</f>
        <v/>
      </c>
    </row>
    <row r="1901" ht="20" customHeight="1">
      <c r="A1901" s="183">
        <f>IF($K1901="","",WEEKNUM(INDEX(Zeiterfassung!$K$6:$K$3665,$K1901),21))</f>
        <v/>
      </c>
      <c r="B1901" s="184">
        <f>IF($K1901="","",INDEX(Zeiterfassung!$K$6:$K$3665,$K1901))</f>
        <v/>
      </c>
      <c r="C1901" s="185">
        <f>IF($K1901="","",INDEX(Zeiterfassung!$K$6:$K$3665,$K1901))</f>
        <v/>
      </c>
      <c r="D1901" s="186">
        <f>IF($K1901="","",INDEX(Zeiterfassung!$D$6:$D$3665,$K1901))</f>
        <v/>
      </c>
      <c r="E1901" s="186">
        <f>IF($K1901="","",INDEX(Zeiterfassung!$E$6:$E$3665,$K1901))</f>
        <v/>
      </c>
      <c r="F1901" s="187">
        <f>IF($K1901="","",INDEX(Zeiterfassung!$F$6:$F$3665,$K1901))</f>
        <v/>
      </c>
      <c r="G1901" s="187">
        <f>IF($K1901="","",INDEX(Zeiterfassung!$G$6:$G$3665,$K1901))</f>
        <v/>
      </c>
      <c r="H1901" s="188">
        <f>IF($K1901="","",INDEX(Zeiterfassung!$H$6:$H$3665,$K1901))</f>
        <v/>
      </c>
      <c r="I1901" s="335">
        <f>IF(B1901=B1900,"",IF($K1901="","",INDEX(Zeiterfassung!$I$6:$I$3665,MATCH(INDEX(Zeiterfassung!$K$6:$K$3665,$K1901),Zeiterfassung!$K$6:$K$3665,0))))</f>
        <v/>
      </c>
      <c r="J1901" s="335">
        <f>IF(B1901=B1900,"",IF($K1901="","",INDEX(Zeiterfassung!$J$6:$J$3665,MATCH(INDEX(Zeiterfassung!$K$6:$K$3665,$K1901),Zeiterfassung!$K$6:$K$3665,0))))</f>
        <v/>
      </c>
      <c r="K1901">
        <f>IFERROR(AGGREGATE(15,6,(ROW(Zeiterfassung!$D$6:$D$3665)-ROW(Zeiterfassung!$D$6)+1)/(Zeiterfassung!$D$6:$D$3665&lt;&gt;""),1896),"")</f>
        <v/>
      </c>
    </row>
    <row r="1902" ht="20" customHeight="1">
      <c r="A1902" s="183">
        <f>IF($K1902="","",WEEKNUM(INDEX(Zeiterfassung!$K$6:$K$3665,$K1902),21))</f>
        <v/>
      </c>
      <c r="B1902" s="184">
        <f>IF($K1902="","",INDEX(Zeiterfassung!$K$6:$K$3665,$K1902))</f>
        <v/>
      </c>
      <c r="C1902" s="185">
        <f>IF($K1902="","",INDEX(Zeiterfassung!$K$6:$K$3665,$K1902))</f>
        <v/>
      </c>
      <c r="D1902" s="186">
        <f>IF($K1902="","",INDEX(Zeiterfassung!$D$6:$D$3665,$K1902))</f>
        <v/>
      </c>
      <c r="E1902" s="186">
        <f>IF($K1902="","",INDEX(Zeiterfassung!$E$6:$E$3665,$K1902))</f>
        <v/>
      </c>
      <c r="F1902" s="187">
        <f>IF($K1902="","",INDEX(Zeiterfassung!$F$6:$F$3665,$K1902))</f>
        <v/>
      </c>
      <c r="G1902" s="187">
        <f>IF($K1902="","",INDEX(Zeiterfassung!$G$6:$G$3665,$K1902))</f>
        <v/>
      </c>
      <c r="H1902" s="188">
        <f>IF($K1902="","",INDEX(Zeiterfassung!$H$6:$H$3665,$K1902))</f>
        <v/>
      </c>
      <c r="I1902" s="335">
        <f>IF(B1902=B1901,"",IF($K1902="","",INDEX(Zeiterfassung!$I$6:$I$3665,MATCH(INDEX(Zeiterfassung!$K$6:$K$3665,$K1902),Zeiterfassung!$K$6:$K$3665,0))))</f>
        <v/>
      </c>
      <c r="J1902" s="335">
        <f>IF(B1902=B1901,"",IF($K1902="","",INDEX(Zeiterfassung!$J$6:$J$3665,MATCH(INDEX(Zeiterfassung!$K$6:$K$3665,$K1902),Zeiterfassung!$K$6:$K$3665,0))))</f>
        <v/>
      </c>
      <c r="K1902">
        <f>IFERROR(AGGREGATE(15,6,(ROW(Zeiterfassung!$D$6:$D$3665)-ROW(Zeiterfassung!$D$6)+1)/(Zeiterfassung!$D$6:$D$3665&lt;&gt;""),1897),"")</f>
        <v/>
      </c>
    </row>
    <row r="1903" ht="20" customHeight="1">
      <c r="A1903" s="183">
        <f>IF($K1903="","",WEEKNUM(INDEX(Zeiterfassung!$K$6:$K$3665,$K1903),21))</f>
        <v/>
      </c>
      <c r="B1903" s="184">
        <f>IF($K1903="","",INDEX(Zeiterfassung!$K$6:$K$3665,$K1903))</f>
        <v/>
      </c>
      <c r="C1903" s="185">
        <f>IF($K1903="","",INDEX(Zeiterfassung!$K$6:$K$3665,$K1903))</f>
        <v/>
      </c>
      <c r="D1903" s="186">
        <f>IF($K1903="","",INDEX(Zeiterfassung!$D$6:$D$3665,$K1903))</f>
        <v/>
      </c>
      <c r="E1903" s="186">
        <f>IF($K1903="","",INDEX(Zeiterfassung!$E$6:$E$3665,$K1903))</f>
        <v/>
      </c>
      <c r="F1903" s="187">
        <f>IF($K1903="","",INDEX(Zeiterfassung!$F$6:$F$3665,$K1903))</f>
        <v/>
      </c>
      <c r="G1903" s="187">
        <f>IF($K1903="","",INDEX(Zeiterfassung!$G$6:$G$3665,$K1903))</f>
        <v/>
      </c>
      <c r="H1903" s="188">
        <f>IF($K1903="","",INDEX(Zeiterfassung!$H$6:$H$3665,$K1903))</f>
        <v/>
      </c>
      <c r="I1903" s="335">
        <f>IF(B1903=B1902,"",IF($K1903="","",INDEX(Zeiterfassung!$I$6:$I$3665,MATCH(INDEX(Zeiterfassung!$K$6:$K$3665,$K1903),Zeiterfassung!$K$6:$K$3665,0))))</f>
        <v/>
      </c>
      <c r="J1903" s="335">
        <f>IF(B1903=B1902,"",IF($K1903="","",INDEX(Zeiterfassung!$J$6:$J$3665,MATCH(INDEX(Zeiterfassung!$K$6:$K$3665,$K1903),Zeiterfassung!$K$6:$K$3665,0))))</f>
        <v/>
      </c>
      <c r="K1903">
        <f>IFERROR(AGGREGATE(15,6,(ROW(Zeiterfassung!$D$6:$D$3665)-ROW(Zeiterfassung!$D$6)+1)/(Zeiterfassung!$D$6:$D$3665&lt;&gt;""),1898),"")</f>
        <v/>
      </c>
    </row>
    <row r="1904" ht="20" customHeight="1">
      <c r="A1904" s="183">
        <f>IF($K1904="","",WEEKNUM(INDEX(Zeiterfassung!$K$6:$K$3665,$K1904),21))</f>
        <v/>
      </c>
      <c r="B1904" s="184">
        <f>IF($K1904="","",INDEX(Zeiterfassung!$K$6:$K$3665,$K1904))</f>
        <v/>
      </c>
      <c r="C1904" s="185">
        <f>IF($K1904="","",INDEX(Zeiterfassung!$K$6:$K$3665,$K1904))</f>
        <v/>
      </c>
      <c r="D1904" s="186">
        <f>IF($K1904="","",INDEX(Zeiterfassung!$D$6:$D$3665,$K1904))</f>
        <v/>
      </c>
      <c r="E1904" s="186">
        <f>IF($K1904="","",INDEX(Zeiterfassung!$E$6:$E$3665,$K1904))</f>
        <v/>
      </c>
      <c r="F1904" s="187">
        <f>IF($K1904="","",INDEX(Zeiterfassung!$F$6:$F$3665,$K1904))</f>
        <v/>
      </c>
      <c r="G1904" s="187">
        <f>IF($K1904="","",INDEX(Zeiterfassung!$G$6:$G$3665,$K1904))</f>
        <v/>
      </c>
      <c r="H1904" s="188">
        <f>IF($K1904="","",INDEX(Zeiterfassung!$H$6:$H$3665,$K1904))</f>
        <v/>
      </c>
      <c r="I1904" s="335">
        <f>IF(B1904=B1903,"",IF($K1904="","",INDEX(Zeiterfassung!$I$6:$I$3665,MATCH(INDEX(Zeiterfassung!$K$6:$K$3665,$K1904),Zeiterfassung!$K$6:$K$3665,0))))</f>
        <v/>
      </c>
      <c r="J1904" s="335">
        <f>IF(B1904=B1903,"",IF($K1904="","",INDEX(Zeiterfassung!$J$6:$J$3665,MATCH(INDEX(Zeiterfassung!$K$6:$K$3665,$K1904),Zeiterfassung!$K$6:$K$3665,0))))</f>
        <v/>
      </c>
      <c r="K1904">
        <f>IFERROR(AGGREGATE(15,6,(ROW(Zeiterfassung!$D$6:$D$3665)-ROW(Zeiterfassung!$D$6)+1)/(Zeiterfassung!$D$6:$D$3665&lt;&gt;""),1899),"")</f>
        <v/>
      </c>
    </row>
    <row r="1905" ht="20" customHeight="1">
      <c r="A1905" s="183">
        <f>IF($K1905="","",WEEKNUM(INDEX(Zeiterfassung!$K$6:$K$3665,$K1905),21))</f>
        <v/>
      </c>
      <c r="B1905" s="184">
        <f>IF($K1905="","",INDEX(Zeiterfassung!$K$6:$K$3665,$K1905))</f>
        <v/>
      </c>
      <c r="C1905" s="185">
        <f>IF($K1905="","",INDEX(Zeiterfassung!$K$6:$K$3665,$K1905))</f>
        <v/>
      </c>
      <c r="D1905" s="186">
        <f>IF($K1905="","",INDEX(Zeiterfassung!$D$6:$D$3665,$K1905))</f>
        <v/>
      </c>
      <c r="E1905" s="186">
        <f>IF($K1905="","",INDEX(Zeiterfassung!$E$6:$E$3665,$K1905))</f>
        <v/>
      </c>
      <c r="F1905" s="187">
        <f>IF($K1905="","",INDEX(Zeiterfassung!$F$6:$F$3665,$K1905))</f>
        <v/>
      </c>
      <c r="G1905" s="187">
        <f>IF($K1905="","",INDEX(Zeiterfassung!$G$6:$G$3665,$K1905))</f>
        <v/>
      </c>
      <c r="H1905" s="188">
        <f>IF($K1905="","",INDEX(Zeiterfassung!$H$6:$H$3665,$K1905))</f>
        <v/>
      </c>
      <c r="I1905" s="335">
        <f>IF(B1905=B1904,"",IF($K1905="","",INDEX(Zeiterfassung!$I$6:$I$3665,MATCH(INDEX(Zeiterfassung!$K$6:$K$3665,$K1905),Zeiterfassung!$K$6:$K$3665,0))))</f>
        <v/>
      </c>
      <c r="J1905" s="335">
        <f>IF(B1905=B1904,"",IF($K1905="","",INDEX(Zeiterfassung!$J$6:$J$3665,MATCH(INDEX(Zeiterfassung!$K$6:$K$3665,$K1905),Zeiterfassung!$K$6:$K$3665,0))))</f>
        <v/>
      </c>
      <c r="K1905">
        <f>IFERROR(AGGREGATE(15,6,(ROW(Zeiterfassung!$D$6:$D$3665)-ROW(Zeiterfassung!$D$6)+1)/(Zeiterfassung!$D$6:$D$3665&lt;&gt;""),1900),"")</f>
        <v/>
      </c>
    </row>
    <row r="1906" ht="20" customHeight="1">
      <c r="A1906" s="183">
        <f>IF($K1906="","",WEEKNUM(INDEX(Zeiterfassung!$K$6:$K$3665,$K1906),21))</f>
        <v/>
      </c>
      <c r="B1906" s="184">
        <f>IF($K1906="","",INDEX(Zeiterfassung!$K$6:$K$3665,$K1906))</f>
        <v/>
      </c>
      <c r="C1906" s="185">
        <f>IF($K1906="","",INDEX(Zeiterfassung!$K$6:$K$3665,$K1906))</f>
        <v/>
      </c>
      <c r="D1906" s="186">
        <f>IF($K1906="","",INDEX(Zeiterfassung!$D$6:$D$3665,$K1906))</f>
        <v/>
      </c>
      <c r="E1906" s="186">
        <f>IF($K1906="","",INDEX(Zeiterfassung!$E$6:$E$3665,$K1906))</f>
        <v/>
      </c>
      <c r="F1906" s="187">
        <f>IF($K1906="","",INDEX(Zeiterfassung!$F$6:$F$3665,$K1906))</f>
        <v/>
      </c>
      <c r="G1906" s="187">
        <f>IF($K1906="","",INDEX(Zeiterfassung!$G$6:$G$3665,$K1906))</f>
        <v/>
      </c>
      <c r="H1906" s="188">
        <f>IF($K1906="","",INDEX(Zeiterfassung!$H$6:$H$3665,$K1906))</f>
        <v/>
      </c>
      <c r="I1906" s="335">
        <f>IF(B1906=B1905,"",IF($K1906="","",INDEX(Zeiterfassung!$I$6:$I$3665,MATCH(INDEX(Zeiterfassung!$K$6:$K$3665,$K1906),Zeiterfassung!$K$6:$K$3665,0))))</f>
        <v/>
      </c>
      <c r="J1906" s="335">
        <f>IF(B1906=B1905,"",IF($K1906="","",INDEX(Zeiterfassung!$J$6:$J$3665,MATCH(INDEX(Zeiterfassung!$K$6:$K$3665,$K1906),Zeiterfassung!$K$6:$K$3665,0))))</f>
        <v/>
      </c>
      <c r="K1906">
        <f>IFERROR(AGGREGATE(15,6,(ROW(Zeiterfassung!$D$6:$D$3665)-ROW(Zeiterfassung!$D$6)+1)/(Zeiterfassung!$D$6:$D$3665&lt;&gt;""),1901),"")</f>
        <v/>
      </c>
    </row>
    <row r="1907" ht="20" customHeight="1">
      <c r="A1907" s="183">
        <f>IF($K1907="","",WEEKNUM(INDEX(Zeiterfassung!$K$6:$K$3665,$K1907),21))</f>
        <v/>
      </c>
      <c r="B1907" s="184">
        <f>IF($K1907="","",INDEX(Zeiterfassung!$K$6:$K$3665,$K1907))</f>
        <v/>
      </c>
      <c r="C1907" s="185">
        <f>IF($K1907="","",INDEX(Zeiterfassung!$K$6:$K$3665,$K1907))</f>
        <v/>
      </c>
      <c r="D1907" s="186">
        <f>IF($K1907="","",INDEX(Zeiterfassung!$D$6:$D$3665,$K1907))</f>
        <v/>
      </c>
      <c r="E1907" s="186">
        <f>IF($K1907="","",INDEX(Zeiterfassung!$E$6:$E$3665,$K1907))</f>
        <v/>
      </c>
      <c r="F1907" s="187">
        <f>IF($K1907="","",INDEX(Zeiterfassung!$F$6:$F$3665,$K1907))</f>
        <v/>
      </c>
      <c r="G1907" s="187">
        <f>IF($K1907="","",INDEX(Zeiterfassung!$G$6:$G$3665,$K1907))</f>
        <v/>
      </c>
      <c r="H1907" s="188">
        <f>IF($K1907="","",INDEX(Zeiterfassung!$H$6:$H$3665,$K1907))</f>
        <v/>
      </c>
      <c r="I1907" s="335">
        <f>IF(B1907=B1906,"",IF($K1907="","",INDEX(Zeiterfassung!$I$6:$I$3665,MATCH(INDEX(Zeiterfassung!$K$6:$K$3665,$K1907),Zeiterfassung!$K$6:$K$3665,0))))</f>
        <v/>
      </c>
      <c r="J1907" s="335">
        <f>IF(B1907=B1906,"",IF($K1907="","",INDEX(Zeiterfassung!$J$6:$J$3665,MATCH(INDEX(Zeiterfassung!$K$6:$K$3665,$K1907),Zeiterfassung!$K$6:$K$3665,0))))</f>
        <v/>
      </c>
      <c r="K1907">
        <f>IFERROR(AGGREGATE(15,6,(ROW(Zeiterfassung!$D$6:$D$3665)-ROW(Zeiterfassung!$D$6)+1)/(Zeiterfassung!$D$6:$D$3665&lt;&gt;""),1902),"")</f>
        <v/>
      </c>
    </row>
    <row r="1908" ht="20" customHeight="1">
      <c r="A1908" s="183">
        <f>IF($K1908="","",WEEKNUM(INDEX(Zeiterfassung!$K$6:$K$3665,$K1908),21))</f>
        <v/>
      </c>
      <c r="B1908" s="184">
        <f>IF($K1908="","",INDEX(Zeiterfassung!$K$6:$K$3665,$K1908))</f>
        <v/>
      </c>
      <c r="C1908" s="185">
        <f>IF($K1908="","",INDEX(Zeiterfassung!$K$6:$K$3665,$K1908))</f>
        <v/>
      </c>
      <c r="D1908" s="186">
        <f>IF($K1908="","",INDEX(Zeiterfassung!$D$6:$D$3665,$K1908))</f>
        <v/>
      </c>
      <c r="E1908" s="186">
        <f>IF($K1908="","",INDEX(Zeiterfassung!$E$6:$E$3665,$K1908))</f>
        <v/>
      </c>
      <c r="F1908" s="187">
        <f>IF($K1908="","",INDEX(Zeiterfassung!$F$6:$F$3665,$K1908))</f>
        <v/>
      </c>
      <c r="G1908" s="187">
        <f>IF($K1908="","",INDEX(Zeiterfassung!$G$6:$G$3665,$K1908))</f>
        <v/>
      </c>
      <c r="H1908" s="188">
        <f>IF($K1908="","",INDEX(Zeiterfassung!$H$6:$H$3665,$K1908))</f>
        <v/>
      </c>
      <c r="I1908" s="335">
        <f>IF(B1908=B1907,"",IF($K1908="","",INDEX(Zeiterfassung!$I$6:$I$3665,MATCH(INDEX(Zeiterfassung!$K$6:$K$3665,$K1908),Zeiterfassung!$K$6:$K$3665,0))))</f>
        <v/>
      </c>
      <c r="J1908" s="335">
        <f>IF(B1908=B1907,"",IF($K1908="","",INDEX(Zeiterfassung!$J$6:$J$3665,MATCH(INDEX(Zeiterfassung!$K$6:$K$3665,$K1908),Zeiterfassung!$K$6:$K$3665,0))))</f>
        <v/>
      </c>
      <c r="K1908">
        <f>IFERROR(AGGREGATE(15,6,(ROW(Zeiterfassung!$D$6:$D$3665)-ROW(Zeiterfassung!$D$6)+1)/(Zeiterfassung!$D$6:$D$3665&lt;&gt;""),1903),"")</f>
        <v/>
      </c>
    </row>
    <row r="1909" ht="20" customHeight="1">
      <c r="A1909" s="183">
        <f>IF($K1909="","",WEEKNUM(INDEX(Zeiterfassung!$K$6:$K$3665,$K1909),21))</f>
        <v/>
      </c>
      <c r="B1909" s="184">
        <f>IF($K1909="","",INDEX(Zeiterfassung!$K$6:$K$3665,$K1909))</f>
        <v/>
      </c>
      <c r="C1909" s="185">
        <f>IF($K1909="","",INDEX(Zeiterfassung!$K$6:$K$3665,$K1909))</f>
        <v/>
      </c>
      <c r="D1909" s="186">
        <f>IF($K1909="","",INDEX(Zeiterfassung!$D$6:$D$3665,$K1909))</f>
        <v/>
      </c>
      <c r="E1909" s="186">
        <f>IF($K1909="","",INDEX(Zeiterfassung!$E$6:$E$3665,$K1909))</f>
        <v/>
      </c>
      <c r="F1909" s="187">
        <f>IF($K1909="","",INDEX(Zeiterfassung!$F$6:$F$3665,$K1909))</f>
        <v/>
      </c>
      <c r="G1909" s="187">
        <f>IF($K1909="","",INDEX(Zeiterfassung!$G$6:$G$3665,$K1909))</f>
        <v/>
      </c>
      <c r="H1909" s="188">
        <f>IF($K1909="","",INDEX(Zeiterfassung!$H$6:$H$3665,$K1909))</f>
        <v/>
      </c>
      <c r="I1909" s="335">
        <f>IF(B1909=B1908,"",IF($K1909="","",INDEX(Zeiterfassung!$I$6:$I$3665,MATCH(INDEX(Zeiterfassung!$K$6:$K$3665,$K1909),Zeiterfassung!$K$6:$K$3665,0))))</f>
        <v/>
      </c>
      <c r="J1909" s="335">
        <f>IF(B1909=B1908,"",IF($K1909="","",INDEX(Zeiterfassung!$J$6:$J$3665,MATCH(INDEX(Zeiterfassung!$K$6:$K$3665,$K1909),Zeiterfassung!$K$6:$K$3665,0))))</f>
        <v/>
      </c>
      <c r="K1909">
        <f>IFERROR(AGGREGATE(15,6,(ROW(Zeiterfassung!$D$6:$D$3665)-ROW(Zeiterfassung!$D$6)+1)/(Zeiterfassung!$D$6:$D$3665&lt;&gt;""),1904),"")</f>
        <v/>
      </c>
    </row>
    <row r="1910" ht="20" customHeight="1">
      <c r="A1910" s="183">
        <f>IF($K1910="","",WEEKNUM(INDEX(Zeiterfassung!$K$6:$K$3665,$K1910),21))</f>
        <v/>
      </c>
      <c r="B1910" s="184">
        <f>IF($K1910="","",INDEX(Zeiterfassung!$K$6:$K$3665,$K1910))</f>
        <v/>
      </c>
      <c r="C1910" s="185">
        <f>IF($K1910="","",INDEX(Zeiterfassung!$K$6:$K$3665,$K1910))</f>
        <v/>
      </c>
      <c r="D1910" s="186">
        <f>IF($K1910="","",INDEX(Zeiterfassung!$D$6:$D$3665,$K1910))</f>
        <v/>
      </c>
      <c r="E1910" s="186">
        <f>IF($K1910="","",INDEX(Zeiterfassung!$E$6:$E$3665,$K1910))</f>
        <v/>
      </c>
      <c r="F1910" s="187">
        <f>IF($K1910="","",INDEX(Zeiterfassung!$F$6:$F$3665,$K1910))</f>
        <v/>
      </c>
      <c r="G1910" s="187">
        <f>IF($K1910="","",INDEX(Zeiterfassung!$G$6:$G$3665,$K1910))</f>
        <v/>
      </c>
      <c r="H1910" s="188">
        <f>IF($K1910="","",INDEX(Zeiterfassung!$H$6:$H$3665,$K1910))</f>
        <v/>
      </c>
      <c r="I1910" s="335">
        <f>IF(B1910=B1909,"",IF($K1910="","",INDEX(Zeiterfassung!$I$6:$I$3665,MATCH(INDEX(Zeiterfassung!$K$6:$K$3665,$K1910),Zeiterfassung!$K$6:$K$3665,0))))</f>
        <v/>
      </c>
      <c r="J1910" s="335">
        <f>IF(B1910=B1909,"",IF($K1910="","",INDEX(Zeiterfassung!$J$6:$J$3665,MATCH(INDEX(Zeiterfassung!$K$6:$K$3665,$K1910),Zeiterfassung!$K$6:$K$3665,0))))</f>
        <v/>
      </c>
      <c r="K1910">
        <f>IFERROR(AGGREGATE(15,6,(ROW(Zeiterfassung!$D$6:$D$3665)-ROW(Zeiterfassung!$D$6)+1)/(Zeiterfassung!$D$6:$D$3665&lt;&gt;""),1905),"")</f>
        <v/>
      </c>
    </row>
    <row r="1911" ht="20" customHeight="1">
      <c r="A1911" s="183">
        <f>IF($K1911="","",WEEKNUM(INDEX(Zeiterfassung!$K$6:$K$3665,$K1911),21))</f>
        <v/>
      </c>
      <c r="B1911" s="184">
        <f>IF($K1911="","",INDEX(Zeiterfassung!$K$6:$K$3665,$K1911))</f>
        <v/>
      </c>
      <c r="C1911" s="185">
        <f>IF($K1911="","",INDEX(Zeiterfassung!$K$6:$K$3665,$K1911))</f>
        <v/>
      </c>
      <c r="D1911" s="186">
        <f>IF($K1911="","",INDEX(Zeiterfassung!$D$6:$D$3665,$K1911))</f>
        <v/>
      </c>
      <c r="E1911" s="186">
        <f>IF($K1911="","",INDEX(Zeiterfassung!$E$6:$E$3665,$K1911))</f>
        <v/>
      </c>
      <c r="F1911" s="187">
        <f>IF($K1911="","",INDEX(Zeiterfassung!$F$6:$F$3665,$K1911))</f>
        <v/>
      </c>
      <c r="G1911" s="187">
        <f>IF($K1911="","",INDEX(Zeiterfassung!$G$6:$G$3665,$K1911))</f>
        <v/>
      </c>
      <c r="H1911" s="188">
        <f>IF($K1911="","",INDEX(Zeiterfassung!$H$6:$H$3665,$K1911))</f>
        <v/>
      </c>
      <c r="I1911" s="335">
        <f>IF(B1911=B1910,"",IF($K1911="","",INDEX(Zeiterfassung!$I$6:$I$3665,MATCH(INDEX(Zeiterfassung!$K$6:$K$3665,$K1911),Zeiterfassung!$K$6:$K$3665,0))))</f>
        <v/>
      </c>
      <c r="J1911" s="335">
        <f>IF(B1911=B1910,"",IF($K1911="","",INDEX(Zeiterfassung!$J$6:$J$3665,MATCH(INDEX(Zeiterfassung!$K$6:$K$3665,$K1911),Zeiterfassung!$K$6:$K$3665,0))))</f>
        <v/>
      </c>
      <c r="K1911">
        <f>IFERROR(AGGREGATE(15,6,(ROW(Zeiterfassung!$D$6:$D$3665)-ROW(Zeiterfassung!$D$6)+1)/(Zeiterfassung!$D$6:$D$3665&lt;&gt;""),1906),"")</f>
        <v/>
      </c>
    </row>
    <row r="1912" ht="20" customHeight="1">
      <c r="A1912" s="183">
        <f>IF($K1912="","",WEEKNUM(INDEX(Zeiterfassung!$K$6:$K$3665,$K1912),21))</f>
        <v/>
      </c>
      <c r="B1912" s="184">
        <f>IF($K1912="","",INDEX(Zeiterfassung!$K$6:$K$3665,$K1912))</f>
        <v/>
      </c>
      <c r="C1912" s="185">
        <f>IF($K1912="","",INDEX(Zeiterfassung!$K$6:$K$3665,$K1912))</f>
        <v/>
      </c>
      <c r="D1912" s="186">
        <f>IF($K1912="","",INDEX(Zeiterfassung!$D$6:$D$3665,$K1912))</f>
        <v/>
      </c>
      <c r="E1912" s="186">
        <f>IF($K1912="","",INDEX(Zeiterfassung!$E$6:$E$3665,$K1912))</f>
        <v/>
      </c>
      <c r="F1912" s="187">
        <f>IF($K1912="","",INDEX(Zeiterfassung!$F$6:$F$3665,$K1912))</f>
        <v/>
      </c>
      <c r="G1912" s="187">
        <f>IF($K1912="","",INDEX(Zeiterfassung!$G$6:$G$3665,$K1912))</f>
        <v/>
      </c>
      <c r="H1912" s="188">
        <f>IF($K1912="","",INDEX(Zeiterfassung!$H$6:$H$3665,$K1912))</f>
        <v/>
      </c>
      <c r="I1912" s="335">
        <f>IF(B1912=B1911,"",IF($K1912="","",INDEX(Zeiterfassung!$I$6:$I$3665,MATCH(INDEX(Zeiterfassung!$K$6:$K$3665,$K1912),Zeiterfassung!$K$6:$K$3665,0))))</f>
        <v/>
      </c>
      <c r="J1912" s="335">
        <f>IF(B1912=B1911,"",IF($K1912="","",INDEX(Zeiterfassung!$J$6:$J$3665,MATCH(INDEX(Zeiterfassung!$K$6:$K$3665,$K1912),Zeiterfassung!$K$6:$K$3665,0))))</f>
        <v/>
      </c>
      <c r="K1912">
        <f>IFERROR(AGGREGATE(15,6,(ROW(Zeiterfassung!$D$6:$D$3665)-ROW(Zeiterfassung!$D$6)+1)/(Zeiterfassung!$D$6:$D$3665&lt;&gt;""),1907),"")</f>
        <v/>
      </c>
    </row>
    <row r="1913" ht="20" customHeight="1">
      <c r="A1913" s="183">
        <f>IF($K1913="","",WEEKNUM(INDEX(Zeiterfassung!$K$6:$K$3665,$K1913),21))</f>
        <v/>
      </c>
      <c r="B1913" s="184">
        <f>IF($K1913="","",INDEX(Zeiterfassung!$K$6:$K$3665,$K1913))</f>
        <v/>
      </c>
      <c r="C1913" s="185">
        <f>IF($K1913="","",INDEX(Zeiterfassung!$K$6:$K$3665,$K1913))</f>
        <v/>
      </c>
      <c r="D1913" s="186">
        <f>IF($K1913="","",INDEX(Zeiterfassung!$D$6:$D$3665,$K1913))</f>
        <v/>
      </c>
      <c r="E1913" s="186">
        <f>IF($K1913="","",INDEX(Zeiterfassung!$E$6:$E$3665,$K1913))</f>
        <v/>
      </c>
      <c r="F1913" s="187">
        <f>IF($K1913="","",INDEX(Zeiterfassung!$F$6:$F$3665,$K1913))</f>
        <v/>
      </c>
      <c r="G1913" s="187">
        <f>IF($K1913="","",INDEX(Zeiterfassung!$G$6:$G$3665,$K1913))</f>
        <v/>
      </c>
      <c r="H1913" s="188">
        <f>IF($K1913="","",INDEX(Zeiterfassung!$H$6:$H$3665,$K1913))</f>
        <v/>
      </c>
      <c r="I1913" s="335">
        <f>IF(B1913=B1912,"",IF($K1913="","",INDEX(Zeiterfassung!$I$6:$I$3665,MATCH(INDEX(Zeiterfassung!$K$6:$K$3665,$K1913),Zeiterfassung!$K$6:$K$3665,0))))</f>
        <v/>
      </c>
      <c r="J1913" s="335">
        <f>IF(B1913=B1912,"",IF($K1913="","",INDEX(Zeiterfassung!$J$6:$J$3665,MATCH(INDEX(Zeiterfassung!$K$6:$K$3665,$K1913),Zeiterfassung!$K$6:$K$3665,0))))</f>
        <v/>
      </c>
      <c r="K1913">
        <f>IFERROR(AGGREGATE(15,6,(ROW(Zeiterfassung!$D$6:$D$3665)-ROW(Zeiterfassung!$D$6)+1)/(Zeiterfassung!$D$6:$D$3665&lt;&gt;""),1908),"")</f>
        <v/>
      </c>
    </row>
    <row r="1914" ht="20" customHeight="1">
      <c r="A1914" s="183">
        <f>IF($K1914="","",WEEKNUM(INDEX(Zeiterfassung!$K$6:$K$3665,$K1914),21))</f>
        <v/>
      </c>
      <c r="B1914" s="184">
        <f>IF($K1914="","",INDEX(Zeiterfassung!$K$6:$K$3665,$K1914))</f>
        <v/>
      </c>
      <c r="C1914" s="185">
        <f>IF($K1914="","",INDEX(Zeiterfassung!$K$6:$K$3665,$K1914))</f>
        <v/>
      </c>
      <c r="D1914" s="186">
        <f>IF($K1914="","",INDEX(Zeiterfassung!$D$6:$D$3665,$K1914))</f>
        <v/>
      </c>
      <c r="E1914" s="186">
        <f>IF($K1914="","",INDEX(Zeiterfassung!$E$6:$E$3665,$K1914))</f>
        <v/>
      </c>
      <c r="F1914" s="187">
        <f>IF($K1914="","",INDEX(Zeiterfassung!$F$6:$F$3665,$K1914))</f>
        <v/>
      </c>
      <c r="G1914" s="187">
        <f>IF($K1914="","",INDEX(Zeiterfassung!$G$6:$G$3665,$K1914))</f>
        <v/>
      </c>
      <c r="H1914" s="188">
        <f>IF($K1914="","",INDEX(Zeiterfassung!$H$6:$H$3665,$K1914))</f>
        <v/>
      </c>
      <c r="I1914" s="335">
        <f>IF(B1914=B1913,"",IF($K1914="","",INDEX(Zeiterfassung!$I$6:$I$3665,MATCH(INDEX(Zeiterfassung!$K$6:$K$3665,$K1914),Zeiterfassung!$K$6:$K$3665,0))))</f>
        <v/>
      </c>
      <c r="J1914" s="335">
        <f>IF(B1914=B1913,"",IF($K1914="","",INDEX(Zeiterfassung!$J$6:$J$3665,MATCH(INDEX(Zeiterfassung!$K$6:$K$3665,$K1914),Zeiterfassung!$K$6:$K$3665,0))))</f>
        <v/>
      </c>
      <c r="K1914">
        <f>IFERROR(AGGREGATE(15,6,(ROW(Zeiterfassung!$D$6:$D$3665)-ROW(Zeiterfassung!$D$6)+1)/(Zeiterfassung!$D$6:$D$3665&lt;&gt;""),1909),"")</f>
        <v/>
      </c>
    </row>
    <row r="1915" ht="20" customHeight="1">
      <c r="A1915" s="183">
        <f>IF($K1915="","",WEEKNUM(INDEX(Zeiterfassung!$K$6:$K$3665,$K1915),21))</f>
        <v/>
      </c>
      <c r="B1915" s="184">
        <f>IF($K1915="","",INDEX(Zeiterfassung!$K$6:$K$3665,$K1915))</f>
        <v/>
      </c>
      <c r="C1915" s="185">
        <f>IF($K1915="","",INDEX(Zeiterfassung!$K$6:$K$3665,$K1915))</f>
        <v/>
      </c>
      <c r="D1915" s="186">
        <f>IF($K1915="","",INDEX(Zeiterfassung!$D$6:$D$3665,$K1915))</f>
        <v/>
      </c>
      <c r="E1915" s="186">
        <f>IF($K1915="","",INDEX(Zeiterfassung!$E$6:$E$3665,$K1915))</f>
        <v/>
      </c>
      <c r="F1915" s="187">
        <f>IF($K1915="","",INDEX(Zeiterfassung!$F$6:$F$3665,$K1915))</f>
        <v/>
      </c>
      <c r="G1915" s="187">
        <f>IF($K1915="","",INDEX(Zeiterfassung!$G$6:$G$3665,$K1915))</f>
        <v/>
      </c>
      <c r="H1915" s="188">
        <f>IF($K1915="","",INDEX(Zeiterfassung!$H$6:$H$3665,$K1915))</f>
        <v/>
      </c>
      <c r="I1915" s="335">
        <f>IF(B1915=B1914,"",IF($K1915="","",INDEX(Zeiterfassung!$I$6:$I$3665,MATCH(INDEX(Zeiterfassung!$K$6:$K$3665,$K1915),Zeiterfassung!$K$6:$K$3665,0))))</f>
        <v/>
      </c>
      <c r="J1915" s="335">
        <f>IF(B1915=B1914,"",IF($K1915="","",INDEX(Zeiterfassung!$J$6:$J$3665,MATCH(INDEX(Zeiterfassung!$K$6:$K$3665,$K1915),Zeiterfassung!$K$6:$K$3665,0))))</f>
        <v/>
      </c>
      <c r="K1915">
        <f>IFERROR(AGGREGATE(15,6,(ROW(Zeiterfassung!$D$6:$D$3665)-ROW(Zeiterfassung!$D$6)+1)/(Zeiterfassung!$D$6:$D$3665&lt;&gt;""),1910),"")</f>
        <v/>
      </c>
    </row>
    <row r="1916" ht="20" customHeight="1">
      <c r="A1916" s="183">
        <f>IF($K1916="","",WEEKNUM(INDEX(Zeiterfassung!$K$6:$K$3665,$K1916),21))</f>
        <v/>
      </c>
      <c r="B1916" s="184">
        <f>IF($K1916="","",INDEX(Zeiterfassung!$K$6:$K$3665,$K1916))</f>
        <v/>
      </c>
      <c r="C1916" s="185">
        <f>IF($K1916="","",INDEX(Zeiterfassung!$K$6:$K$3665,$K1916))</f>
        <v/>
      </c>
      <c r="D1916" s="186">
        <f>IF($K1916="","",INDEX(Zeiterfassung!$D$6:$D$3665,$K1916))</f>
        <v/>
      </c>
      <c r="E1916" s="186">
        <f>IF($K1916="","",INDEX(Zeiterfassung!$E$6:$E$3665,$K1916))</f>
        <v/>
      </c>
      <c r="F1916" s="187">
        <f>IF($K1916="","",INDEX(Zeiterfassung!$F$6:$F$3665,$K1916))</f>
        <v/>
      </c>
      <c r="G1916" s="187">
        <f>IF($K1916="","",INDEX(Zeiterfassung!$G$6:$G$3665,$K1916))</f>
        <v/>
      </c>
      <c r="H1916" s="188">
        <f>IF($K1916="","",INDEX(Zeiterfassung!$H$6:$H$3665,$K1916))</f>
        <v/>
      </c>
      <c r="I1916" s="335">
        <f>IF(B1916=B1915,"",IF($K1916="","",INDEX(Zeiterfassung!$I$6:$I$3665,MATCH(INDEX(Zeiterfassung!$K$6:$K$3665,$K1916),Zeiterfassung!$K$6:$K$3665,0))))</f>
        <v/>
      </c>
      <c r="J1916" s="335">
        <f>IF(B1916=B1915,"",IF($K1916="","",INDEX(Zeiterfassung!$J$6:$J$3665,MATCH(INDEX(Zeiterfassung!$K$6:$K$3665,$K1916),Zeiterfassung!$K$6:$K$3665,0))))</f>
        <v/>
      </c>
      <c r="K1916">
        <f>IFERROR(AGGREGATE(15,6,(ROW(Zeiterfassung!$D$6:$D$3665)-ROW(Zeiterfassung!$D$6)+1)/(Zeiterfassung!$D$6:$D$3665&lt;&gt;""),1911),"")</f>
        <v/>
      </c>
    </row>
    <row r="1917" ht="20" customHeight="1">
      <c r="A1917" s="183">
        <f>IF($K1917="","",WEEKNUM(INDEX(Zeiterfassung!$K$6:$K$3665,$K1917),21))</f>
        <v/>
      </c>
      <c r="B1917" s="184">
        <f>IF($K1917="","",INDEX(Zeiterfassung!$K$6:$K$3665,$K1917))</f>
        <v/>
      </c>
      <c r="C1917" s="185">
        <f>IF($K1917="","",INDEX(Zeiterfassung!$K$6:$K$3665,$K1917))</f>
        <v/>
      </c>
      <c r="D1917" s="186">
        <f>IF($K1917="","",INDEX(Zeiterfassung!$D$6:$D$3665,$K1917))</f>
        <v/>
      </c>
      <c r="E1917" s="186">
        <f>IF($K1917="","",INDEX(Zeiterfassung!$E$6:$E$3665,$K1917))</f>
        <v/>
      </c>
      <c r="F1917" s="187">
        <f>IF($K1917="","",INDEX(Zeiterfassung!$F$6:$F$3665,$K1917))</f>
        <v/>
      </c>
      <c r="G1917" s="187">
        <f>IF($K1917="","",INDEX(Zeiterfassung!$G$6:$G$3665,$K1917))</f>
        <v/>
      </c>
      <c r="H1917" s="188">
        <f>IF($K1917="","",INDEX(Zeiterfassung!$H$6:$H$3665,$K1917))</f>
        <v/>
      </c>
      <c r="I1917" s="335">
        <f>IF(B1917=B1916,"",IF($K1917="","",INDEX(Zeiterfassung!$I$6:$I$3665,MATCH(INDEX(Zeiterfassung!$K$6:$K$3665,$K1917),Zeiterfassung!$K$6:$K$3665,0))))</f>
        <v/>
      </c>
      <c r="J1917" s="335">
        <f>IF(B1917=B1916,"",IF($K1917="","",INDEX(Zeiterfassung!$J$6:$J$3665,MATCH(INDEX(Zeiterfassung!$K$6:$K$3665,$K1917),Zeiterfassung!$K$6:$K$3665,0))))</f>
        <v/>
      </c>
      <c r="K1917">
        <f>IFERROR(AGGREGATE(15,6,(ROW(Zeiterfassung!$D$6:$D$3665)-ROW(Zeiterfassung!$D$6)+1)/(Zeiterfassung!$D$6:$D$3665&lt;&gt;""),1912),"")</f>
        <v/>
      </c>
    </row>
    <row r="1918" ht="20" customHeight="1">
      <c r="A1918" s="183">
        <f>IF($K1918="","",WEEKNUM(INDEX(Zeiterfassung!$K$6:$K$3665,$K1918),21))</f>
        <v/>
      </c>
      <c r="B1918" s="184">
        <f>IF($K1918="","",INDEX(Zeiterfassung!$K$6:$K$3665,$K1918))</f>
        <v/>
      </c>
      <c r="C1918" s="185">
        <f>IF($K1918="","",INDEX(Zeiterfassung!$K$6:$K$3665,$K1918))</f>
        <v/>
      </c>
      <c r="D1918" s="186">
        <f>IF($K1918="","",INDEX(Zeiterfassung!$D$6:$D$3665,$K1918))</f>
        <v/>
      </c>
      <c r="E1918" s="186">
        <f>IF($K1918="","",INDEX(Zeiterfassung!$E$6:$E$3665,$K1918))</f>
        <v/>
      </c>
      <c r="F1918" s="187">
        <f>IF($K1918="","",INDEX(Zeiterfassung!$F$6:$F$3665,$K1918))</f>
        <v/>
      </c>
      <c r="G1918" s="187">
        <f>IF($K1918="","",INDEX(Zeiterfassung!$G$6:$G$3665,$K1918))</f>
        <v/>
      </c>
      <c r="H1918" s="188">
        <f>IF($K1918="","",INDEX(Zeiterfassung!$H$6:$H$3665,$K1918))</f>
        <v/>
      </c>
      <c r="I1918" s="335">
        <f>IF(B1918=B1917,"",IF($K1918="","",INDEX(Zeiterfassung!$I$6:$I$3665,MATCH(INDEX(Zeiterfassung!$K$6:$K$3665,$K1918),Zeiterfassung!$K$6:$K$3665,0))))</f>
        <v/>
      </c>
      <c r="J1918" s="335">
        <f>IF(B1918=B1917,"",IF($K1918="","",INDEX(Zeiterfassung!$J$6:$J$3665,MATCH(INDEX(Zeiterfassung!$K$6:$K$3665,$K1918),Zeiterfassung!$K$6:$K$3665,0))))</f>
        <v/>
      </c>
      <c r="K1918">
        <f>IFERROR(AGGREGATE(15,6,(ROW(Zeiterfassung!$D$6:$D$3665)-ROW(Zeiterfassung!$D$6)+1)/(Zeiterfassung!$D$6:$D$3665&lt;&gt;""),1913),"")</f>
        <v/>
      </c>
    </row>
    <row r="1919" ht="20" customHeight="1">
      <c r="A1919" s="183">
        <f>IF($K1919="","",WEEKNUM(INDEX(Zeiterfassung!$K$6:$K$3665,$K1919),21))</f>
        <v/>
      </c>
      <c r="B1919" s="184">
        <f>IF($K1919="","",INDEX(Zeiterfassung!$K$6:$K$3665,$K1919))</f>
        <v/>
      </c>
      <c r="C1919" s="185">
        <f>IF($K1919="","",INDEX(Zeiterfassung!$K$6:$K$3665,$K1919))</f>
        <v/>
      </c>
      <c r="D1919" s="186">
        <f>IF($K1919="","",INDEX(Zeiterfassung!$D$6:$D$3665,$K1919))</f>
        <v/>
      </c>
      <c r="E1919" s="186">
        <f>IF($K1919="","",INDEX(Zeiterfassung!$E$6:$E$3665,$K1919))</f>
        <v/>
      </c>
      <c r="F1919" s="187">
        <f>IF($K1919="","",INDEX(Zeiterfassung!$F$6:$F$3665,$K1919))</f>
        <v/>
      </c>
      <c r="G1919" s="187">
        <f>IF($K1919="","",INDEX(Zeiterfassung!$G$6:$G$3665,$K1919))</f>
        <v/>
      </c>
      <c r="H1919" s="188">
        <f>IF($K1919="","",INDEX(Zeiterfassung!$H$6:$H$3665,$K1919))</f>
        <v/>
      </c>
      <c r="I1919" s="335">
        <f>IF(B1919=B1918,"",IF($K1919="","",INDEX(Zeiterfassung!$I$6:$I$3665,MATCH(INDEX(Zeiterfassung!$K$6:$K$3665,$K1919),Zeiterfassung!$K$6:$K$3665,0))))</f>
        <v/>
      </c>
      <c r="J1919" s="335">
        <f>IF(B1919=B1918,"",IF($K1919="","",INDEX(Zeiterfassung!$J$6:$J$3665,MATCH(INDEX(Zeiterfassung!$K$6:$K$3665,$K1919),Zeiterfassung!$K$6:$K$3665,0))))</f>
        <v/>
      </c>
      <c r="K1919">
        <f>IFERROR(AGGREGATE(15,6,(ROW(Zeiterfassung!$D$6:$D$3665)-ROW(Zeiterfassung!$D$6)+1)/(Zeiterfassung!$D$6:$D$3665&lt;&gt;""),1914),"")</f>
        <v/>
      </c>
    </row>
    <row r="1920" ht="20" customHeight="1">
      <c r="A1920" s="183">
        <f>IF($K1920="","",WEEKNUM(INDEX(Zeiterfassung!$K$6:$K$3665,$K1920),21))</f>
        <v/>
      </c>
      <c r="B1920" s="184">
        <f>IF($K1920="","",INDEX(Zeiterfassung!$K$6:$K$3665,$K1920))</f>
        <v/>
      </c>
      <c r="C1920" s="185">
        <f>IF($K1920="","",INDEX(Zeiterfassung!$K$6:$K$3665,$K1920))</f>
        <v/>
      </c>
      <c r="D1920" s="186">
        <f>IF($K1920="","",INDEX(Zeiterfassung!$D$6:$D$3665,$K1920))</f>
        <v/>
      </c>
      <c r="E1920" s="186">
        <f>IF($K1920="","",INDEX(Zeiterfassung!$E$6:$E$3665,$K1920))</f>
        <v/>
      </c>
      <c r="F1920" s="187">
        <f>IF($K1920="","",INDEX(Zeiterfassung!$F$6:$F$3665,$K1920))</f>
        <v/>
      </c>
      <c r="G1920" s="187">
        <f>IF($K1920="","",INDEX(Zeiterfassung!$G$6:$G$3665,$K1920))</f>
        <v/>
      </c>
      <c r="H1920" s="188">
        <f>IF($K1920="","",INDEX(Zeiterfassung!$H$6:$H$3665,$K1920))</f>
        <v/>
      </c>
      <c r="I1920" s="335">
        <f>IF(B1920=B1919,"",IF($K1920="","",INDEX(Zeiterfassung!$I$6:$I$3665,MATCH(INDEX(Zeiterfassung!$K$6:$K$3665,$K1920),Zeiterfassung!$K$6:$K$3665,0))))</f>
        <v/>
      </c>
      <c r="J1920" s="335">
        <f>IF(B1920=B1919,"",IF($K1920="","",INDEX(Zeiterfassung!$J$6:$J$3665,MATCH(INDEX(Zeiterfassung!$K$6:$K$3665,$K1920),Zeiterfassung!$K$6:$K$3665,0))))</f>
        <v/>
      </c>
      <c r="K1920">
        <f>IFERROR(AGGREGATE(15,6,(ROW(Zeiterfassung!$D$6:$D$3665)-ROW(Zeiterfassung!$D$6)+1)/(Zeiterfassung!$D$6:$D$3665&lt;&gt;""),1915),"")</f>
        <v/>
      </c>
    </row>
    <row r="1921" ht="20" customHeight="1">
      <c r="A1921" s="183">
        <f>IF($K1921="","",WEEKNUM(INDEX(Zeiterfassung!$K$6:$K$3665,$K1921),21))</f>
        <v/>
      </c>
      <c r="B1921" s="184">
        <f>IF($K1921="","",INDEX(Zeiterfassung!$K$6:$K$3665,$K1921))</f>
        <v/>
      </c>
      <c r="C1921" s="185">
        <f>IF($K1921="","",INDEX(Zeiterfassung!$K$6:$K$3665,$K1921))</f>
        <v/>
      </c>
      <c r="D1921" s="186">
        <f>IF($K1921="","",INDEX(Zeiterfassung!$D$6:$D$3665,$K1921))</f>
        <v/>
      </c>
      <c r="E1921" s="186">
        <f>IF($K1921="","",INDEX(Zeiterfassung!$E$6:$E$3665,$K1921))</f>
        <v/>
      </c>
      <c r="F1921" s="187">
        <f>IF($K1921="","",INDEX(Zeiterfassung!$F$6:$F$3665,$K1921))</f>
        <v/>
      </c>
      <c r="G1921" s="187">
        <f>IF($K1921="","",INDEX(Zeiterfassung!$G$6:$G$3665,$K1921))</f>
        <v/>
      </c>
      <c r="H1921" s="188">
        <f>IF($K1921="","",INDEX(Zeiterfassung!$H$6:$H$3665,$K1921))</f>
        <v/>
      </c>
      <c r="I1921" s="335">
        <f>IF(B1921=B1920,"",IF($K1921="","",INDEX(Zeiterfassung!$I$6:$I$3665,MATCH(INDEX(Zeiterfassung!$K$6:$K$3665,$K1921),Zeiterfassung!$K$6:$K$3665,0))))</f>
        <v/>
      </c>
      <c r="J1921" s="335">
        <f>IF(B1921=B1920,"",IF($K1921="","",INDEX(Zeiterfassung!$J$6:$J$3665,MATCH(INDEX(Zeiterfassung!$K$6:$K$3665,$K1921),Zeiterfassung!$K$6:$K$3665,0))))</f>
        <v/>
      </c>
      <c r="K1921">
        <f>IFERROR(AGGREGATE(15,6,(ROW(Zeiterfassung!$D$6:$D$3665)-ROW(Zeiterfassung!$D$6)+1)/(Zeiterfassung!$D$6:$D$3665&lt;&gt;""),1916),"")</f>
        <v/>
      </c>
    </row>
    <row r="1922" ht="20" customHeight="1">
      <c r="A1922" s="183">
        <f>IF($K1922="","",WEEKNUM(INDEX(Zeiterfassung!$K$6:$K$3665,$K1922),21))</f>
        <v/>
      </c>
      <c r="B1922" s="184">
        <f>IF($K1922="","",INDEX(Zeiterfassung!$K$6:$K$3665,$K1922))</f>
        <v/>
      </c>
      <c r="C1922" s="185">
        <f>IF($K1922="","",INDEX(Zeiterfassung!$K$6:$K$3665,$K1922))</f>
        <v/>
      </c>
      <c r="D1922" s="186">
        <f>IF($K1922="","",INDEX(Zeiterfassung!$D$6:$D$3665,$K1922))</f>
        <v/>
      </c>
      <c r="E1922" s="186">
        <f>IF($K1922="","",INDEX(Zeiterfassung!$E$6:$E$3665,$K1922))</f>
        <v/>
      </c>
      <c r="F1922" s="187">
        <f>IF($K1922="","",INDEX(Zeiterfassung!$F$6:$F$3665,$K1922))</f>
        <v/>
      </c>
      <c r="G1922" s="187">
        <f>IF($K1922="","",INDEX(Zeiterfassung!$G$6:$G$3665,$K1922))</f>
        <v/>
      </c>
      <c r="H1922" s="188">
        <f>IF($K1922="","",INDEX(Zeiterfassung!$H$6:$H$3665,$K1922))</f>
        <v/>
      </c>
      <c r="I1922" s="335">
        <f>IF(B1922=B1921,"",IF($K1922="","",INDEX(Zeiterfassung!$I$6:$I$3665,MATCH(INDEX(Zeiterfassung!$K$6:$K$3665,$K1922),Zeiterfassung!$K$6:$K$3665,0))))</f>
        <v/>
      </c>
      <c r="J1922" s="335">
        <f>IF(B1922=B1921,"",IF($K1922="","",INDEX(Zeiterfassung!$J$6:$J$3665,MATCH(INDEX(Zeiterfassung!$K$6:$K$3665,$K1922),Zeiterfassung!$K$6:$K$3665,0))))</f>
        <v/>
      </c>
      <c r="K1922">
        <f>IFERROR(AGGREGATE(15,6,(ROW(Zeiterfassung!$D$6:$D$3665)-ROW(Zeiterfassung!$D$6)+1)/(Zeiterfassung!$D$6:$D$3665&lt;&gt;""),1917),"")</f>
        <v/>
      </c>
    </row>
    <row r="1923" ht="20" customHeight="1">
      <c r="A1923" s="183">
        <f>IF($K1923="","",WEEKNUM(INDEX(Zeiterfassung!$K$6:$K$3665,$K1923),21))</f>
        <v/>
      </c>
      <c r="B1923" s="184">
        <f>IF($K1923="","",INDEX(Zeiterfassung!$K$6:$K$3665,$K1923))</f>
        <v/>
      </c>
      <c r="C1923" s="185">
        <f>IF($K1923="","",INDEX(Zeiterfassung!$K$6:$K$3665,$K1923))</f>
        <v/>
      </c>
      <c r="D1923" s="186">
        <f>IF($K1923="","",INDEX(Zeiterfassung!$D$6:$D$3665,$K1923))</f>
        <v/>
      </c>
      <c r="E1923" s="186">
        <f>IF($K1923="","",INDEX(Zeiterfassung!$E$6:$E$3665,$K1923))</f>
        <v/>
      </c>
      <c r="F1923" s="187">
        <f>IF($K1923="","",INDEX(Zeiterfassung!$F$6:$F$3665,$K1923))</f>
        <v/>
      </c>
      <c r="G1923" s="187">
        <f>IF($K1923="","",INDEX(Zeiterfassung!$G$6:$G$3665,$K1923))</f>
        <v/>
      </c>
      <c r="H1923" s="188">
        <f>IF($K1923="","",INDEX(Zeiterfassung!$H$6:$H$3665,$K1923))</f>
        <v/>
      </c>
      <c r="I1923" s="335">
        <f>IF(B1923=B1922,"",IF($K1923="","",INDEX(Zeiterfassung!$I$6:$I$3665,MATCH(INDEX(Zeiterfassung!$K$6:$K$3665,$K1923),Zeiterfassung!$K$6:$K$3665,0))))</f>
        <v/>
      </c>
      <c r="J1923" s="335">
        <f>IF(B1923=B1922,"",IF($K1923="","",INDEX(Zeiterfassung!$J$6:$J$3665,MATCH(INDEX(Zeiterfassung!$K$6:$K$3665,$K1923),Zeiterfassung!$K$6:$K$3665,0))))</f>
        <v/>
      </c>
      <c r="K1923">
        <f>IFERROR(AGGREGATE(15,6,(ROW(Zeiterfassung!$D$6:$D$3665)-ROW(Zeiterfassung!$D$6)+1)/(Zeiterfassung!$D$6:$D$3665&lt;&gt;""),1918),"")</f>
        <v/>
      </c>
    </row>
    <row r="1924" ht="20" customHeight="1">
      <c r="A1924" s="183">
        <f>IF($K1924="","",WEEKNUM(INDEX(Zeiterfassung!$K$6:$K$3665,$K1924),21))</f>
        <v/>
      </c>
      <c r="B1924" s="184">
        <f>IF($K1924="","",INDEX(Zeiterfassung!$K$6:$K$3665,$K1924))</f>
        <v/>
      </c>
      <c r="C1924" s="185">
        <f>IF($K1924="","",INDEX(Zeiterfassung!$K$6:$K$3665,$K1924))</f>
        <v/>
      </c>
      <c r="D1924" s="186">
        <f>IF($K1924="","",INDEX(Zeiterfassung!$D$6:$D$3665,$K1924))</f>
        <v/>
      </c>
      <c r="E1924" s="186">
        <f>IF($K1924="","",INDEX(Zeiterfassung!$E$6:$E$3665,$K1924))</f>
        <v/>
      </c>
      <c r="F1924" s="187">
        <f>IF($K1924="","",INDEX(Zeiterfassung!$F$6:$F$3665,$K1924))</f>
        <v/>
      </c>
      <c r="G1924" s="187">
        <f>IF($K1924="","",INDEX(Zeiterfassung!$G$6:$G$3665,$K1924))</f>
        <v/>
      </c>
      <c r="H1924" s="188">
        <f>IF($K1924="","",INDEX(Zeiterfassung!$H$6:$H$3665,$K1924))</f>
        <v/>
      </c>
      <c r="I1924" s="335">
        <f>IF(B1924=B1923,"",IF($K1924="","",INDEX(Zeiterfassung!$I$6:$I$3665,MATCH(INDEX(Zeiterfassung!$K$6:$K$3665,$K1924),Zeiterfassung!$K$6:$K$3665,0))))</f>
        <v/>
      </c>
      <c r="J1924" s="335">
        <f>IF(B1924=B1923,"",IF($K1924="","",INDEX(Zeiterfassung!$J$6:$J$3665,MATCH(INDEX(Zeiterfassung!$K$6:$K$3665,$K1924),Zeiterfassung!$K$6:$K$3665,0))))</f>
        <v/>
      </c>
      <c r="K1924">
        <f>IFERROR(AGGREGATE(15,6,(ROW(Zeiterfassung!$D$6:$D$3665)-ROW(Zeiterfassung!$D$6)+1)/(Zeiterfassung!$D$6:$D$3665&lt;&gt;""),1919),"")</f>
        <v/>
      </c>
    </row>
    <row r="1925" ht="20" customHeight="1">
      <c r="A1925" s="183">
        <f>IF($K1925="","",WEEKNUM(INDEX(Zeiterfassung!$K$6:$K$3665,$K1925),21))</f>
        <v/>
      </c>
      <c r="B1925" s="184">
        <f>IF($K1925="","",INDEX(Zeiterfassung!$K$6:$K$3665,$K1925))</f>
        <v/>
      </c>
      <c r="C1925" s="185">
        <f>IF($K1925="","",INDEX(Zeiterfassung!$K$6:$K$3665,$K1925))</f>
        <v/>
      </c>
      <c r="D1925" s="186">
        <f>IF($K1925="","",INDEX(Zeiterfassung!$D$6:$D$3665,$K1925))</f>
        <v/>
      </c>
      <c r="E1925" s="186">
        <f>IF($K1925="","",INDEX(Zeiterfassung!$E$6:$E$3665,$K1925))</f>
        <v/>
      </c>
      <c r="F1925" s="187">
        <f>IF($K1925="","",INDEX(Zeiterfassung!$F$6:$F$3665,$K1925))</f>
        <v/>
      </c>
      <c r="G1925" s="187">
        <f>IF($K1925="","",INDEX(Zeiterfassung!$G$6:$G$3665,$K1925))</f>
        <v/>
      </c>
      <c r="H1925" s="188">
        <f>IF($K1925="","",INDEX(Zeiterfassung!$H$6:$H$3665,$K1925))</f>
        <v/>
      </c>
      <c r="I1925" s="335">
        <f>IF(B1925=B1924,"",IF($K1925="","",INDEX(Zeiterfassung!$I$6:$I$3665,MATCH(INDEX(Zeiterfassung!$K$6:$K$3665,$K1925),Zeiterfassung!$K$6:$K$3665,0))))</f>
        <v/>
      </c>
      <c r="J1925" s="335">
        <f>IF(B1925=B1924,"",IF($K1925="","",INDEX(Zeiterfassung!$J$6:$J$3665,MATCH(INDEX(Zeiterfassung!$K$6:$K$3665,$K1925),Zeiterfassung!$K$6:$K$3665,0))))</f>
        <v/>
      </c>
      <c r="K1925">
        <f>IFERROR(AGGREGATE(15,6,(ROW(Zeiterfassung!$D$6:$D$3665)-ROW(Zeiterfassung!$D$6)+1)/(Zeiterfassung!$D$6:$D$3665&lt;&gt;""),1920),"")</f>
        <v/>
      </c>
    </row>
    <row r="1926" ht="20" customHeight="1">
      <c r="A1926" s="183">
        <f>IF($K1926="","",WEEKNUM(INDEX(Zeiterfassung!$K$6:$K$3665,$K1926),21))</f>
        <v/>
      </c>
      <c r="B1926" s="184">
        <f>IF($K1926="","",INDEX(Zeiterfassung!$K$6:$K$3665,$K1926))</f>
        <v/>
      </c>
      <c r="C1926" s="185">
        <f>IF($K1926="","",INDEX(Zeiterfassung!$K$6:$K$3665,$K1926))</f>
        <v/>
      </c>
      <c r="D1926" s="186">
        <f>IF($K1926="","",INDEX(Zeiterfassung!$D$6:$D$3665,$K1926))</f>
        <v/>
      </c>
      <c r="E1926" s="186">
        <f>IF($K1926="","",INDEX(Zeiterfassung!$E$6:$E$3665,$K1926))</f>
        <v/>
      </c>
      <c r="F1926" s="187">
        <f>IF($K1926="","",INDEX(Zeiterfassung!$F$6:$F$3665,$K1926))</f>
        <v/>
      </c>
      <c r="G1926" s="187">
        <f>IF($K1926="","",INDEX(Zeiterfassung!$G$6:$G$3665,$K1926))</f>
        <v/>
      </c>
      <c r="H1926" s="188">
        <f>IF($K1926="","",INDEX(Zeiterfassung!$H$6:$H$3665,$K1926))</f>
        <v/>
      </c>
      <c r="I1926" s="335">
        <f>IF(B1926=B1925,"",IF($K1926="","",INDEX(Zeiterfassung!$I$6:$I$3665,MATCH(INDEX(Zeiterfassung!$K$6:$K$3665,$K1926),Zeiterfassung!$K$6:$K$3665,0))))</f>
        <v/>
      </c>
      <c r="J1926" s="335">
        <f>IF(B1926=B1925,"",IF($K1926="","",INDEX(Zeiterfassung!$J$6:$J$3665,MATCH(INDEX(Zeiterfassung!$K$6:$K$3665,$K1926),Zeiterfassung!$K$6:$K$3665,0))))</f>
        <v/>
      </c>
      <c r="K1926">
        <f>IFERROR(AGGREGATE(15,6,(ROW(Zeiterfassung!$D$6:$D$3665)-ROW(Zeiterfassung!$D$6)+1)/(Zeiterfassung!$D$6:$D$3665&lt;&gt;""),1921),"")</f>
        <v/>
      </c>
    </row>
    <row r="1927" ht="20" customHeight="1">
      <c r="A1927" s="183">
        <f>IF($K1927="","",WEEKNUM(INDEX(Zeiterfassung!$K$6:$K$3665,$K1927),21))</f>
        <v/>
      </c>
      <c r="B1927" s="184">
        <f>IF($K1927="","",INDEX(Zeiterfassung!$K$6:$K$3665,$K1927))</f>
        <v/>
      </c>
      <c r="C1927" s="185">
        <f>IF($K1927="","",INDEX(Zeiterfassung!$K$6:$K$3665,$K1927))</f>
        <v/>
      </c>
      <c r="D1927" s="186">
        <f>IF($K1927="","",INDEX(Zeiterfassung!$D$6:$D$3665,$K1927))</f>
        <v/>
      </c>
      <c r="E1927" s="186">
        <f>IF($K1927="","",INDEX(Zeiterfassung!$E$6:$E$3665,$K1927))</f>
        <v/>
      </c>
      <c r="F1927" s="187">
        <f>IF($K1927="","",INDEX(Zeiterfassung!$F$6:$F$3665,$K1927))</f>
        <v/>
      </c>
      <c r="G1927" s="187">
        <f>IF($K1927="","",INDEX(Zeiterfassung!$G$6:$G$3665,$K1927))</f>
        <v/>
      </c>
      <c r="H1927" s="188">
        <f>IF($K1927="","",INDEX(Zeiterfassung!$H$6:$H$3665,$K1927))</f>
        <v/>
      </c>
      <c r="I1927" s="335">
        <f>IF(B1927=B1926,"",IF($K1927="","",INDEX(Zeiterfassung!$I$6:$I$3665,MATCH(INDEX(Zeiterfassung!$K$6:$K$3665,$K1927),Zeiterfassung!$K$6:$K$3665,0))))</f>
        <v/>
      </c>
      <c r="J1927" s="335">
        <f>IF(B1927=B1926,"",IF($K1927="","",INDEX(Zeiterfassung!$J$6:$J$3665,MATCH(INDEX(Zeiterfassung!$K$6:$K$3665,$K1927),Zeiterfassung!$K$6:$K$3665,0))))</f>
        <v/>
      </c>
      <c r="K1927">
        <f>IFERROR(AGGREGATE(15,6,(ROW(Zeiterfassung!$D$6:$D$3665)-ROW(Zeiterfassung!$D$6)+1)/(Zeiterfassung!$D$6:$D$3665&lt;&gt;""),1922),"")</f>
        <v/>
      </c>
    </row>
    <row r="1928" ht="20" customHeight="1">
      <c r="A1928" s="183">
        <f>IF($K1928="","",WEEKNUM(INDEX(Zeiterfassung!$K$6:$K$3665,$K1928),21))</f>
        <v/>
      </c>
      <c r="B1928" s="184">
        <f>IF($K1928="","",INDEX(Zeiterfassung!$K$6:$K$3665,$K1928))</f>
        <v/>
      </c>
      <c r="C1928" s="185">
        <f>IF($K1928="","",INDEX(Zeiterfassung!$K$6:$K$3665,$K1928))</f>
        <v/>
      </c>
      <c r="D1928" s="186">
        <f>IF($K1928="","",INDEX(Zeiterfassung!$D$6:$D$3665,$K1928))</f>
        <v/>
      </c>
      <c r="E1928" s="186">
        <f>IF($K1928="","",INDEX(Zeiterfassung!$E$6:$E$3665,$K1928))</f>
        <v/>
      </c>
      <c r="F1928" s="187">
        <f>IF($K1928="","",INDEX(Zeiterfassung!$F$6:$F$3665,$K1928))</f>
        <v/>
      </c>
      <c r="G1928" s="187">
        <f>IF($K1928="","",INDEX(Zeiterfassung!$G$6:$G$3665,$K1928))</f>
        <v/>
      </c>
      <c r="H1928" s="188">
        <f>IF($K1928="","",INDEX(Zeiterfassung!$H$6:$H$3665,$K1928))</f>
        <v/>
      </c>
      <c r="I1928" s="335">
        <f>IF(B1928=B1927,"",IF($K1928="","",INDEX(Zeiterfassung!$I$6:$I$3665,MATCH(INDEX(Zeiterfassung!$K$6:$K$3665,$K1928),Zeiterfassung!$K$6:$K$3665,0))))</f>
        <v/>
      </c>
      <c r="J1928" s="335">
        <f>IF(B1928=B1927,"",IF($K1928="","",INDEX(Zeiterfassung!$J$6:$J$3665,MATCH(INDEX(Zeiterfassung!$K$6:$K$3665,$K1928),Zeiterfassung!$K$6:$K$3665,0))))</f>
        <v/>
      </c>
      <c r="K1928">
        <f>IFERROR(AGGREGATE(15,6,(ROW(Zeiterfassung!$D$6:$D$3665)-ROW(Zeiterfassung!$D$6)+1)/(Zeiterfassung!$D$6:$D$3665&lt;&gt;""),1923),"")</f>
        <v/>
      </c>
    </row>
    <row r="1929" ht="20" customHeight="1">
      <c r="A1929" s="183">
        <f>IF($K1929="","",WEEKNUM(INDEX(Zeiterfassung!$K$6:$K$3665,$K1929),21))</f>
        <v/>
      </c>
      <c r="B1929" s="184">
        <f>IF($K1929="","",INDEX(Zeiterfassung!$K$6:$K$3665,$K1929))</f>
        <v/>
      </c>
      <c r="C1929" s="185">
        <f>IF($K1929="","",INDEX(Zeiterfassung!$K$6:$K$3665,$K1929))</f>
        <v/>
      </c>
      <c r="D1929" s="186">
        <f>IF($K1929="","",INDEX(Zeiterfassung!$D$6:$D$3665,$K1929))</f>
        <v/>
      </c>
      <c r="E1929" s="186">
        <f>IF($K1929="","",INDEX(Zeiterfassung!$E$6:$E$3665,$K1929))</f>
        <v/>
      </c>
      <c r="F1929" s="187">
        <f>IF($K1929="","",INDEX(Zeiterfassung!$F$6:$F$3665,$K1929))</f>
        <v/>
      </c>
      <c r="G1929" s="187">
        <f>IF($K1929="","",INDEX(Zeiterfassung!$G$6:$G$3665,$K1929))</f>
        <v/>
      </c>
      <c r="H1929" s="188">
        <f>IF($K1929="","",INDEX(Zeiterfassung!$H$6:$H$3665,$K1929))</f>
        <v/>
      </c>
      <c r="I1929" s="335">
        <f>IF(B1929=B1928,"",IF($K1929="","",INDEX(Zeiterfassung!$I$6:$I$3665,MATCH(INDEX(Zeiterfassung!$K$6:$K$3665,$K1929),Zeiterfassung!$K$6:$K$3665,0))))</f>
        <v/>
      </c>
      <c r="J1929" s="335">
        <f>IF(B1929=B1928,"",IF($K1929="","",INDEX(Zeiterfassung!$J$6:$J$3665,MATCH(INDEX(Zeiterfassung!$K$6:$K$3665,$K1929),Zeiterfassung!$K$6:$K$3665,0))))</f>
        <v/>
      </c>
      <c r="K1929">
        <f>IFERROR(AGGREGATE(15,6,(ROW(Zeiterfassung!$D$6:$D$3665)-ROW(Zeiterfassung!$D$6)+1)/(Zeiterfassung!$D$6:$D$3665&lt;&gt;""),1924),"")</f>
        <v/>
      </c>
    </row>
    <row r="1930" ht="20" customHeight="1">
      <c r="A1930" s="183">
        <f>IF($K1930="","",WEEKNUM(INDEX(Zeiterfassung!$K$6:$K$3665,$K1930),21))</f>
        <v/>
      </c>
      <c r="B1930" s="184">
        <f>IF($K1930="","",INDEX(Zeiterfassung!$K$6:$K$3665,$K1930))</f>
        <v/>
      </c>
      <c r="C1930" s="185">
        <f>IF($K1930="","",INDEX(Zeiterfassung!$K$6:$K$3665,$K1930))</f>
        <v/>
      </c>
      <c r="D1930" s="186">
        <f>IF($K1930="","",INDEX(Zeiterfassung!$D$6:$D$3665,$K1930))</f>
        <v/>
      </c>
      <c r="E1930" s="186">
        <f>IF($K1930="","",INDEX(Zeiterfassung!$E$6:$E$3665,$K1930))</f>
        <v/>
      </c>
      <c r="F1930" s="187">
        <f>IF($K1930="","",INDEX(Zeiterfassung!$F$6:$F$3665,$K1930))</f>
        <v/>
      </c>
      <c r="G1930" s="187">
        <f>IF($K1930="","",INDEX(Zeiterfassung!$G$6:$G$3665,$K1930))</f>
        <v/>
      </c>
      <c r="H1930" s="188">
        <f>IF($K1930="","",INDEX(Zeiterfassung!$H$6:$H$3665,$K1930))</f>
        <v/>
      </c>
      <c r="I1930" s="335">
        <f>IF(B1930=B1929,"",IF($K1930="","",INDEX(Zeiterfassung!$I$6:$I$3665,MATCH(INDEX(Zeiterfassung!$K$6:$K$3665,$K1930),Zeiterfassung!$K$6:$K$3665,0))))</f>
        <v/>
      </c>
      <c r="J1930" s="335">
        <f>IF(B1930=B1929,"",IF($K1930="","",INDEX(Zeiterfassung!$J$6:$J$3665,MATCH(INDEX(Zeiterfassung!$K$6:$K$3665,$K1930),Zeiterfassung!$K$6:$K$3665,0))))</f>
        <v/>
      </c>
      <c r="K1930">
        <f>IFERROR(AGGREGATE(15,6,(ROW(Zeiterfassung!$D$6:$D$3665)-ROW(Zeiterfassung!$D$6)+1)/(Zeiterfassung!$D$6:$D$3665&lt;&gt;""),1925),"")</f>
        <v/>
      </c>
    </row>
    <row r="1931" ht="20" customHeight="1">
      <c r="A1931" s="183">
        <f>IF($K1931="","",WEEKNUM(INDEX(Zeiterfassung!$K$6:$K$3665,$K1931),21))</f>
        <v/>
      </c>
      <c r="B1931" s="184">
        <f>IF($K1931="","",INDEX(Zeiterfassung!$K$6:$K$3665,$K1931))</f>
        <v/>
      </c>
      <c r="C1931" s="185">
        <f>IF($K1931="","",INDEX(Zeiterfassung!$K$6:$K$3665,$K1931))</f>
        <v/>
      </c>
      <c r="D1931" s="186">
        <f>IF($K1931="","",INDEX(Zeiterfassung!$D$6:$D$3665,$K1931))</f>
        <v/>
      </c>
      <c r="E1931" s="186">
        <f>IF($K1931="","",INDEX(Zeiterfassung!$E$6:$E$3665,$K1931))</f>
        <v/>
      </c>
      <c r="F1931" s="187">
        <f>IF($K1931="","",INDEX(Zeiterfassung!$F$6:$F$3665,$K1931))</f>
        <v/>
      </c>
      <c r="G1931" s="187">
        <f>IF($K1931="","",INDEX(Zeiterfassung!$G$6:$G$3665,$K1931))</f>
        <v/>
      </c>
      <c r="H1931" s="188">
        <f>IF($K1931="","",INDEX(Zeiterfassung!$H$6:$H$3665,$K1931))</f>
        <v/>
      </c>
      <c r="I1931" s="335">
        <f>IF(B1931=B1930,"",IF($K1931="","",INDEX(Zeiterfassung!$I$6:$I$3665,MATCH(INDEX(Zeiterfassung!$K$6:$K$3665,$K1931),Zeiterfassung!$K$6:$K$3665,0))))</f>
        <v/>
      </c>
      <c r="J1931" s="335">
        <f>IF(B1931=B1930,"",IF($K1931="","",INDEX(Zeiterfassung!$J$6:$J$3665,MATCH(INDEX(Zeiterfassung!$K$6:$K$3665,$K1931),Zeiterfassung!$K$6:$K$3665,0))))</f>
        <v/>
      </c>
      <c r="K1931">
        <f>IFERROR(AGGREGATE(15,6,(ROW(Zeiterfassung!$D$6:$D$3665)-ROW(Zeiterfassung!$D$6)+1)/(Zeiterfassung!$D$6:$D$3665&lt;&gt;""),1926),"")</f>
        <v/>
      </c>
    </row>
    <row r="1932" ht="20" customHeight="1">
      <c r="A1932" s="183">
        <f>IF($K1932="","",WEEKNUM(INDEX(Zeiterfassung!$K$6:$K$3665,$K1932),21))</f>
        <v/>
      </c>
      <c r="B1932" s="184">
        <f>IF($K1932="","",INDEX(Zeiterfassung!$K$6:$K$3665,$K1932))</f>
        <v/>
      </c>
      <c r="C1932" s="185">
        <f>IF($K1932="","",INDEX(Zeiterfassung!$K$6:$K$3665,$K1932))</f>
        <v/>
      </c>
      <c r="D1932" s="186">
        <f>IF($K1932="","",INDEX(Zeiterfassung!$D$6:$D$3665,$K1932))</f>
        <v/>
      </c>
      <c r="E1932" s="186">
        <f>IF($K1932="","",INDEX(Zeiterfassung!$E$6:$E$3665,$K1932))</f>
        <v/>
      </c>
      <c r="F1932" s="187">
        <f>IF($K1932="","",INDEX(Zeiterfassung!$F$6:$F$3665,$K1932))</f>
        <v/>
      </c>
      <c r="G1932" s="187">
        <f>IF($K1932="","",INDEX(Zeiterfassung!$G$6:$G$3665,$K1932))</f>
        <v/>
      </c>
      <c r="H1932" s="188">
        <f>IF($K1932="","",INDEX(Zeiterfassung!$H$6:$H$3665,$K1932))</f>
        <v/>
      </c>
      <c r="I1932" s="335">
        <f>IF(B1932=B1931,"",IF($K1932="","",INDEX(Zeiterfassung!$I$6:$I$3665,MATCH(INDEX(Zeiterfassung!$K$6:$K$3665,$K1932),Zeiterfassung!$K$6:$K$3665,0))))</f>
        <v/>
      </c>
      <c r="J1932" s="335">
        <f>IF(B1932=B1931,"",IF($K1932="","",INDEX(Zeiterfassung!$J$6:$J$3665,MATCH(INDEX(Zeiterfassung!$K$6:$K$3665,$K1932),Zeiterfassung!$K$6:$K$3665,0))))</f>
        <v/>
      </c>
      <c r="K1932">
        <f>IFERROR(AGGREGATE(15,6,(ROW(Zeiterfassung!$D$6:$D$3665)-ROW(Zeiterfassung!$D$6)+1)/(Zeiterfassung!$D$6:$D$3665&lt;&gt;""),1927),"")</f>
        <v/>
      </c>
    </row>
    <row r="1933" ht="20" customHeight="1">
      <c r="A1933" s="183">
        <f>IF($K1933="","",WEEKNUM(INDEX(Zeiterfassung!$K$6:$K$3665,$K1933),21))</f>
        <v/>
      </c>
      <c r="B1933" s="184">
        <f>IF($K1933="","",INDEX(Zeiterfassung!$K$6:$K$3665,$K1933))</f>
        <v/>
      </c>
      <c r="C1933" s="185">
        <f>IF($K1933="","",INDEX(Zeiterfassung!$K$6:$K$3665,$K1933))</f>
        <v/>
      </c>
      <c r="D1933" s="186">
        <f>IF($K1933="","",INDEX(Zeiterfassung!$D$6:$D$3665,$K1933))</f>
        <v/>
      </c>
      <c r="E1933" s="186">
        <f>IF($K1933="","",INDEX(Zeiterfassung!$E$6:$E$3665,$K1933))</f>
        <v/>
      </c>
      <c r="F1933" s="187">
        <f>IF($K1933="","",INDEX(Zeiterfassung!$F$6:$F$3665,$K1933))</f>
        <v/>
      </c>
      <c r="G1933" s="187">
        <f>IF($K1933="","",INDEX(Zeiterfassung!$G$6:$G$3665,$K1933))</f>
        <v/>
      </c>
      <c r="H1933" s="188">
        <f>IF($K1933="","",INDEX(Zeiterfassung!$H$6:$H$3665,$K1933))</f>
        <v/>
      </c>
      <c r="I1933" s="335">
        <f>IF(B1933=B1932,"",IF($K1933="","",INDEX(Zeiterfassung!$I$6:$I$3665,MATCH(INDEX(Zeiterfassung!$K$6:$K$3665,$K1933),Zeiterfassung!$K$6:$K$3665,0))))</f>
        <v/>
      </c>
      <c r="J1933" s="335">
        <f>IF(B1933=B1932,"",IF($K1933="","",INDEX(Zeiterfassung!$J$6:$J$3665,MATCH(INDEX(Zeiterfassung!$K$6:$K$3665,$K1933),Zeiterfassung!$K$6:$K$3665,0))))</f>
        <v/>
      </c>
      <c r="K1933">
        <f>IFERROR(AGGREGATE(15,6,(ROW(Zeiterfassung!$D$6:$D$3665)-ROW(Zeiterfassung!$D$6)+1)/(Zeiterfassung!$D$6:$D$3665&lt;&gt;""),1928),"")</f>
        <v/>
      </c>
    </row>
    <row r="1934" ht="20" customHeight="1">
      <c r="A1934" s="183">
        <f>IF($K1934="","",WEEKNUM(INDEX(Zeiterfassung!$K$6:$K$3665,$K1934),21))</f>
        <v/>
      </c>
      <c r="B1934" s="184">
        <f>IF($K1934="","",INDEX(Zeiterfassung!$K$6:$K$3665,$K1934))</f>
        <v/>
      </c>
      <c r="C1934" s="185">
        <f>IF($K1934="","",INDEX(Zeiterfassung!$K$6:$K$3665,$K1934))</f>
        <v/>
      </c>
      <c r="D1934" s="186">
        <f>IF($K1934="","",INDEX(Zeiterfassung!$D$6:$D$3665,$K1934))</f>
        <v/>
      </c>
      <c r="E1934" s="186">
        <f>IF($K1934="","",INDEX(Zeiterfassung!$E$6:$E$3665,$K1934))</f>
        <v/>
      </c>
      <c r="F1934" s="187">
        <f>IF($K1934="","",INDEX(Zeiterfassung!$F$6:$F$3665,$K1934))</f>
        <v/>
      </c>
      <c r="G1934" s="187">
        <f>IF($K1934="","",INDEX(Zeiterfassung!$G$6:$G$3665,$K1934))</f>
        <v/>
      </c>
      <c r="H1934" s="188">
        <f>IF($K1934="","",INDEX(Zeiterfassung!$H$6:$H$3665,$K1934))</f>
        <v/>
      </c>
      <c r="I1934" s="335">
        <f>IF(B1934=B1933,"",IF($K1934="","",INDEX(Zeiterfassung!$I$6:$I$3665,MATCH(INDEX(Zeiterfassung!$K$6:$K$3665,$K1934),Zeiterfassung!$K$6:$K$3665,0))))</f>
        <v/>
      </c>
      <c r="J1934" s="335">
        <f>IF(B1934=B1933,"",IF($K1934="","",INDEX(Zeiterfassung!$J$6:$J$3665,MATCH(INDEX(Zeiterfassung!$K$6:$K$3665,$K1934),Zeiterfassung!$K$6:$K$3665,0))))</f>
        <v/>
      </c>
      <c r="K1934">
        <f>IFERROR(AGGREGATE(15,6,(ROW(Zeiterfassung!$D$6:$D$3665)-ROW(Zeiterfassung!$D$6)+1)/(Zeiterfassung!$D$6:$D$3665&lt;&gt;""),1929),"")</f>
        <v/>
      </c>
    </row>
    <row r="1935" ht="20" customHeight="1">
      <c r="A1935" s="183">
        <f>IF($K1935="","",WEEKNUM(INDEX(Zeiterfassung!$K$6:$K$3665,$K1935),21))</f>
        <v/>
      </c>
      <c r="B1935" s="184">
        <f>IF($K1935="","",INDEX(Zeiterfassung!$K$6:$K$3665,$K1935))</f>
        <v/>
      </c>
      <c r="C1935" s="185">
        <f>IF($K1935="","",INDEX(Zeiterfassung!$K$6:$K$3665,$K1935))</f>
        <v/>
      </c>
      <c r="D1935" s="186">
        <f>IF($K1935="","",INDEX(Zeiterfassung!$D$6:$D$3665,$K1935))</f>
        <v/>
      </c>
      <c r="E1935" s="186">
        <f>IF($K1935="","",INDEX(Zeiterfassung!$E$6:$E$3665,$K1935))</f>
        <v/>
      </c>
      <c r="F1935" s="187">
        <f>IF($K1935="","",INDEX(Zeiterfassung!$F$6:$F$3665,$K1935))</f>
        <v/>
      </c>
      <c r="G1935" s="187">
        <f>IF($K1935="","",INDEX(Zeiterfassung!$G$6:$G$3665,$K1935))</f>
        <v/>
      </c>
      <c r="H1935" s="188">
        <f>IF($K1935="","",INDEX(Zeiterfassung!$H$6:$H$3665,$K1935))</f>
        <v/>
      </c>
      <c r="I1935" s="335">
        <f>IF(B1935=B1934,"",IF($K1935="","",INDEX(Zeiterfassung!$I$6:$I$3665,MATCH(INDEX(Zeiterfassung!$K$6:$K$3665,$K1935),Zeiterfassung!$K$6:$K$3665,0))))</f>
        <v/>
      </c>
      <c r="J1935" s="335">
        <f>IF(B1935=B1934,"",IF($K1935="","",INDEX(Zeiterfassung!$J$6:$J$3665,MATCH(INDEX(Zeiterfassung!$K$6:$K$3665,$K1935),Zeiterfassung!$K$6:$K$3665,0))))</f>
        <v/>
      </c>
      <c r="K1935">
        <f>IFERROR(AGGREGATE(15,6,(ROW(Zeiterfassung!$D$6:$D$3665)-ROW(Zeiterfassung!$D$6)+1)/(Zeiterfassung!$D$6:$D$3665&lt;&gt;""),1930),"")</f>
        <v/>
      </c>
    </row>
    <row r="1936" ht="20" customHeight="1">
      <c r="A1936" s="183">
        <f>IF($K1936="","",WEEKNUM(INDEX(Zeiterfassung!$K$6:$K$3665,$K1936),21))</f>
        <v/>
      </c>
      <c r="B1936" s="184">
        <f>IF($K1936="","",INDEX(Zeiterfassung!$K$6:$K$3665,$K1936))</f>
        <v/>
      </c>
      <c r="C1936" s="185">
        <f>IF($K1936="","",INDEX(Zeiterfassung!$K$6:$K$3665,$K1936))</f>
        <v/>
      </c>
      <c r="D1936" s="186">
        <f>IF($K1936="","",INDEX(Zeiterfassung!$D$6:$D$3665,$K1936))</f>
        <v/>
      </c>
      <c r="E1936" s="186">
        <f>IF($K1936="","",INDEX(Zeiterfassung!$E$6:$E$3665,$K1936))</f>
        <v/>
      </c>
      <c r="F1936" s="187">
        <f>IF($K1936="","",INDEX(Zeiterfassung!$F$6:$F$3665,$K1936))</f>
        <v/>
      </c>
      <c r="G1936" s="187">
        <f>IF($K1936="","",INDEX(Zeiterfassung!$G$6:$G$3665,$K1936))</f>
        <v/>
      </c>
      <c r="H1936" s="188">
        <f>IF($K1936="","",INDEX(Zeiterfassung!$H$6:$H$3665,$K1936))</f>
        <v/>
      </c>
      <c r="I1936" s="335">
        <f>IF(B1936=B1935,"",IF($K1936="","",INDEX(Zeiterfassung!$I$6:$I$3665,MATCH(INDEX(Zeiterfassung!$K$6:$K$3665,$K1936),Zeiterfassung!$K$6:$K$3665,0))))</f>
        <v/>
      </c>
      <c r="J1936" s="335">
        <f>IF(B1936=B1935,"",IF($K1936="","",INDEX(Zeiterfassung!$J$6:$J$3665,MATCH(INDEX(Zeiterfassung!$K$6:$K$3665,$K1936),Zeiterfassung!$K$6:$K$3665,0))))</f>
        <v/>
      </c>
      <c r="K1936">
        <f>IFERROR(AGGREGATE(15,6,(ROW(Zeiterfassung!$D$6:$D$3665)-ROW(Zeiterfassung!$D$6)+1)/(Zeiterfassung!$D$6:$D$3665&lt;&gt;""),1931),"")</f>
        <v/>
      </c>
    </row>
    <row r="1937" ht="20" customHeight="1">
      <c r="A1937" s="183">
        <f>IF($K1937="","",WEEKNUM(INDEX(Zeiterfassung!$K$6:$K$3665,$K1937),21))</f>
        <v/>
      </c>
      <c r="B1937" s="184">
        <f>IF($K1937="","",INDEX(Zeiterfassung!$K$6:$K$3665,$K1937))</f>
        <v/>
      </c>
      <c r="C1937" s="185">
        <f>IF($K1937="","",INDEX(Zeiterfassung!$K$6:$K$3665,$K1937))</f>
        <v/>
      </c>
      <c r="D1937" s="186">
        <f>IF($K1937="","",INDEX(Zeiterfassung!$D$6:$D$3665,$K1937))</f>
        <v/>
      </c>
      <c r="E1937" s="186">
        <f>IF($K1937="","",INDEX(Zeiterfassung!$E$6:$E$3665,$K1937))</f>
        <v/>
      </c>
      <c r="F1937" s="187">
        <f>IF($K1937="","",INDEX(Zeiterfassung!$F$6:$F$3665,$K1937))</f>
        <v/>
      </c>
      <c r="G1937" s="187">
        <f>IF($K1937="","",INDEX(Zeiterfassung!$G$6:$G$3665,$K1937))</f>
        <v/>
      </c>
      <c r="H1937" s="188">
        <f>IF($K1937="","",INDEX(Zeiterfassung!$H$6:$H$3665,$K1937))</f>
        <v/>
      </c>
      <c r="I1937" s="335">
        <f>IF(B1937=B1936,"",IF($K1937="","",INDEX(Zeiterfassung!$I$6:$I$3665,MATCH(INDEX(Zeiterfassung!$K$6:$K$3665,$K1937),Zeiterfassung!$K$6:$K$3665,0))))</f>
        <v/>
      </c>
      <c r="J1937" s="335">
        <f>IF(B1937=B1936,"",IF($K1937="","",INDEX(Zeiterfassung!$J$6:$J$3665,MATCH(INDEX(Zeiterfassung!$K$6:$K$3665,$K1937),Zeiterfassung!$K$6:$K$3665,0))))</f>
        <v/>
      </c>
      <c r="K1937">
        <f>IFERROR(AGGREGATE(15,6,(ROW(Zeiterfassung!$D$6:$D$3665)-ROW(Zeiterfassung!$D$6)+1)/(Zeiterfassung!$D$6:$D$3665&lt;&gt;""),1932),"")</f>
        <v/>
      </c>
    </row>
    <row r="1938" ht="20" customHeight="1">
      <c r="A1938" s="183">
        <f>IF($K1938="","",WEEKNUM(INDEX(Zeiterfassung!$K$6:$K$3665,$K1938),21))</f>
        <v/>
      </c>
      <c r="B1938" s="184">
        <f>IF($K1938="","",INDEX(Zeiterfassung!$K$6:$K$3665,$K1938))</f>
        <v/>
      </c>
      <c r="C1938" s="185">
        <f>IF($K1938="","",INDEX(Zeiterfassung!$K$6:$K$3665,$K1938))</f>
        <v/>
      </c>
      <c r="D1938" s="186">
        <f>IF($K1938="","",INDEX(Zeiterfassung!$D$6:$D$3665,$K1938))</f>
        <v/>
      </c>
      <c r="E1938" s="186">
        <f>IF($K1938="","",INDEX(Zeiterfassung!$E$6:$E$3665,$K1938))</f>
        <v/>
      </c>
      <c r="F1938" s="187">
        <f>IF($K1938="","",INDEX(Zeiterfassung!$F$6:$F$3665,$K1938))</f>
        <v/>
      </c>
      <c r="G1938" s="187">
        <f>IF($K1938="","",INDEX(Zeiterfassung!$G$6:$G$3665,$K1938))</f>
        <v/>
      </c>
      <c r="H1938" s="188">
        <f>IF($K1938="","",INDEX(Zeiterfassung!$H$6:$H$3665,$K1938))</f>
        <v/>
      </c>
      <c r="I1938" s="335">
        <f>IF(B1938=B1937,"",IF($K1938="","",INDEX(Zeiterfassung!$I$6:$I$3665,MATCH(INDEX(Zeiterfassung!$K$6:$K$3665,$K1938),Zeiterfassung!$K$6:$K$3665,0))))</f>
        <v/>
      </c>
      <c r="J1938" s="335">
        <f>IF(B1938=B1937,"",IF($K1938="","",INDEX(Zeiterfassung!$J$6:$J$3665,MATCH(INDEX(Zeiterfassung!$K$6:$K$3665,$K1938),Zeiterfassung!$K$6:$K$3665,0))))</f>
        <v/>
      </c>
      <c r="K1938">
        <f>IFERROR(AGGREGATE(15,6,(ROW(Zeiterfassung!$D$6:$D$3665)-ROW(Zeiterfassung!$D$6)+1)/(Zeiterfassung!$D$6:$D$3665&lt;&gt;""),1933),"")</f>
        <v/>
      </c>
    </row>
    <row r="1939" ht="20" customHeight="1">
      <c r="A1939" s="183">
        <f>IF($K1939="","",WEEKNUM(INDEX(Zeiterfassung!$K$6:$K$3665,$K1939),21))</f>
        <v/>
      </c>
      <c r="B1939" s="184">
        <f>IF($K1939="","",INDEX(Zeiterfassung!$K$6:$K$3665,$K1939))</f>
        <v/>
      </c>
      <c r="C1939" s="185">
        <f>IF($K1939="","",INDEX(Zeiterfassung!$K$6:$K$3665,$K1939))</f>
        <v/>
      </c>
      <c r="D1939" s="186">
        <f>IF($K1939="","",INDEX(Zeiterfassung!$D$6:$D$3665,$K1939))</f>
        <v/>
      </c>
      <c r="E1939" s="186">
        <f>IF($K1939="","",INDEX(Zeiterfassung!$E$6:$E$3665,$K1939))</f>
        <v/>
      </c>
      <c r="F1939" s="187">
        <f>IF($K1939="","",INDEX(Zeiterfassung!$F$6:$F$3665,$K1939))</f>
        <v/>
      </c>
      <c r="G1939" s="187">
        <f>IF($K1939="","",INDEX(Zeiterfassung!$G$6:$G$3665,$K1939))</f>
        <v/>
      </c>
      <c r="H1939" s="188">
        <f>IF($K1939="","",INDEX(Zeiterfassung!$H$6:$H$3665,$K1939))</f>
        <v/>
      </c>
      <c r="I1939" s="335">
        <f>IF(B1939=B1938,"",IF($K1939="","",INDEX(Zeiterfassung!$I$6:$I$3665,MATCH(INDEX(Zeiterfassung!$K$6:$K$3665,$K1939),Zeiterfassung!$K$6:$K$3665,0))))</f>
        <v/>
      </c>
      <c r="J1939" s="335">
        <f>IF(B1939=B1938,"",IF($K1939="","",INDEX(Zeiterfassung!$J$6:$J$3665,MATCH(INDEX(Zeiterfassung!$K$6:$K$3665,$K1939),Zeiterfassung!$K$6:$K$3665,0))))</f>
        <v/>
      </c>
      <c r="K1939">
        <f>IFERROR(AGGREGATE(15,6,(ROW(Zeiterfassung!$D$6:$D$3665)-ROW(Zeiterfassung!$D$6)+1)/(Zeiterfassung!$D$6:$D$3665&lt;&gt;""),1934),"")</f>
        <v/>
      </c>
    </row>
    <row r="1940" ht="20" customHeight="1">
      <c r="A1940" s="183">
        <f>IF($K1940="","",WEEKNUM(INDEX(Zeiterfassung!$K$6:$K$3665,$K1940),21))</f>
        <v/>
      </c>
      <c r="B1940" s="184">
        <f>IF($K1940="","",INDEX(Zeiterfassung!$K$6:$K$3665,$K1940))</f>
        <v/>
      </c>
      <c r="C1940" s="185">
        <f>IF($K1940="","",INDEX(Zeiterfassung!$K$6:$K$3665,$K1940))</f>
        <v/>
      </c>
      <c r="D1940" s="186">
        <f>IF($K1940="","",INDEX(Zeiterfassung!$D$6:$D$3665,$K1940))</f>
        <v/>
      </c>
      <c r="E1940" s="186">
        <f>IF($K1940="","",INDEX(Zeiterfassung!$E$6:$E$3665,$K1940))</f>
        <v/>
      </c>
      <c r="F1940" s="187">
        <f>IF($K1940="","",INDEX(Zeiterfassung!$F$6:$F$3665,$K1940))</f>
        <v/>
      </c>
      <c r="G1940" s="187">
        <f>IF($K1940="","",INDEX(Zeiterfassung!$G$6:$G$3665,$K1940))</f>
        <v/>
      </c>
      <c r="H1940" s="188">
        <f>IF($K1940="","",INDEX(Zeiterfassung!$H$6:$H$3665,$K1940))</f>
        <v/>
      </c>
      <c r="I1940" s="335">
        <f>IF(B1940=B1939,"",IF($K1940="","",INDEX(Zeiterfassung!$I$6:$I$3665,MATCH(INDEX(Zeiterfassung!$K$6:$K$3665,$K1940),Zeiterfassung!$K$6:$K$3665,0))))</f>
        <v/>
      </c>
      <c r="J1940" s="335">
        <f>IF(B1940=B1939,"",IF($K1940="","",INDEX(Zeiterfassung!$J$6:$J$3665,MATCH(INDEX(Zeiterfassung!$K$6:$K$3665,$K1940),Zeiterfassung!$K$6:$K$3665,0))))</f>
        <v/>
      </c>
      <c r="K1940">
        <f>IFERROR(AGGREGATE(15,6,(ROW(Zeiterfassung!$D$6:$D$3665)-ROW(Zeiterfassung!$D$6)+1)/(Zeiterfassung!$D$6:$D$3665&lt;&gt;""),1935),"")</f>
        <v/>
      </c>
    </row>
    <row r="1941" ht="20" customHeight="1">
      <c r="A1941" s="183">
        <f>IF($K1941="","",WEEKNUM(INDEX(Zeiterfassung!$K$6:$K$3665,$K1941),21))</f>
        <v/>
      </c>
      <c r="B1941" s="184">
        <f>IF($K1941="","",INDEX(Zeiterfassung!$K$6:$K$3665,$K1941))</f>
        <v/>
      </c>
      <c r="C1941" s="185">
        <f>IF($K1941="","",INDEX(Zeiterfassung!$K$6:$K$3665,$K1941))</f>
        <v/>
      </c>
      <c r="D1941" s="186">
        <f>IF($K1941="","",INDEX(Zeiterfassung!$D$6:$D$3665,$K1941))</f>
        <v/>
      </c>
      <c r="E1941" s="186">
        <f>IF($K1941="","",INDEX(Zeiterfassung!$E$6:$E$3665,$K1941))</f>
        <v/>
      </c>
      <c r="F1941" s="187">
        <f>IF($K1941="","",INDEX(Zeiterfassung!$F$6:$F$3665,$K1941))</f>
        <v/>
      </c>
      <c r="G1941" s="187">
        <f>IF($K1941="","",INDEX(Zeiterfassung!$G$6:$G$3665,$K1941))</f>
        <v/>
      </c>
      <c r="H1941" s="188">
        <f>IF($K1941="","",INDEX(Zeiterfassung!$H$6:$H$3665,$K1941))</f>
        <v/>
      </c>
      <c r="I1941" s="335">
        <f>IF(B1941=B1940,"",IF($K1941="","",INDEX(Zeiterfassung!$I$6:$I$3665,MATCH(INDEX(Zeiterfassung!$K$6:$K$3665,$K1941),Zeiterfassung!$K$6:$K$3665,0))))</f>
        <v/>
      </c>
      <c r="J1941" s="335">
        <f>IF(B1941=B1940,"",IF($K1941="","",INDEX(Zeiterfassung!$J$6:$J$3665,MATCH(INDEX(Zeiterfassung!$K$6:$K$3665,$K1941),Zeiterfassung!$K$6:$K$3665,0))))</f>
        <v/>
      </c>
      <c r="K1941">
        <f>IFERROR(AGGREGATE(15,6,(ROW(Zeiterfassung!$D$6:$D$3665)-ROW(Zeiterfassung!$D$6)+1)/(Zeiterfassung!$D$6:$D$3665&lt;&gt;""),1936),"")</f>
        <v/>
      </c>
    </row>
    <row r="1942" ht="20" customHeight="1">
      <c r="A1942" s="183">
        <f>IF($K1942="","",WEEKNUM(INDEX(Zeiterfassung!$K$6:$K$3665,$K1942),21))</f>
        <v/>
      </c>
      <c r="B1942" s="184">
        <f>IF($K1942="","",INDEX(Zeiterfassung!$K$6:$K$3665,$K1942))</f>
        <v/>
      </c>
      <c r="C1942" s="185">
        <f>IF($K1942="","",INDEX(Zeiterfassung!$K$6:$K$3665,$K1942))</f>
        <v/>
      </c>
      <c r="D1942" s="186">
        <f>IF($K1942="","",INDEX(Zeiterfassung!$D$6:$D$3665,$K1942))</f>
        <v/>
      </c>
      <c r="E1942" s="186">
        <f>IF($K1942="","",INDEX(Zeiterfassung!$E$6:$E$3665,$K1942))</f>
        <v/>
      </c>
      <c r="F1942" s="187">
        <f>IF($K1942="","",INDEX(Zeiterfassung!$F$6:$F$3665,$K1942))</f>
        <v/>
      </c>
      <c r="G1942" s="187">
        <f>IF($K1942="","",INDEX(Zeiterfassung!$G$6:$G$3665,$K1942))</f>
        <v/>
      </c>
      <c r="H1942" s="188">
        <f>IF($K1942="","",INDEX(Zeiterfassung!$H$6:$H$3665,$K1942))</f>
        <v/>
      </c>
      <c r="I1942" s="335">
        <f>IF(B1942=B1941,"",IF($K1942="","",INDEX(Zeiterfassung!$I$6:$I$3665,MATCH(INDEX(Zeiterfassung!$K$6:$K$3665,$K1942),Zeiterfassung!$K$6:$K$3665,0))))</f>
        <v/>
      </c>
      <c r="J1942" s="335">
        <f>IF(B1942=B1941,"",IF($K1942="","",INDEX(Zeiterfassung!$J$6:$J$3665,MATCH(INDEX(Zeiterfassung!$K$6:$K$3665,$K1942),Zeiterfassung!$K$6:$K$3665,0))))</f>
        <v/>
      </c>
      <c r="K1942">
        <f>IFERROR(AGGREGATE(15,6,(ROW(Zeiterfassung!$D$6:$D$3665)-ROW(Zeiterfassung!$D$6)+1)/(Zeiterfassung!$D$6:$D$3665&lt;&gt;""),1937),"")</f>
        <v/>
      </c>
    </row>
    <row r="1943" ht="20" customHeight="1">
      <c r="A1943" s="183">
        <f>IF($K1943="","",WEEKNUM(INDEX(Zeiterfassung!$K$6:$K$3665,$K1943),21))</f>
        <v/>
      </c>
      <c r="B1943" s="184">
        <f>IF($K1943="","",INDEX(Zeiterfassung!$K$6:$K$3665,$K1943))</f>
        <v/>
      </c>
      <c r="C1943" s="185">
        <f>IF($K1943="","",INDEX(Zeiterfassung!$K$6:$K$3665,$K1943))</f>
        <v/>
      </c>
      <c r="D1943" s="186">
        <f>IF($K1943="","",INDEX(Zeiterfassung!$D$6:$D$3665,$K1943))</f>
        <v/>
      </c>
      <c r="E1943" s="186">
        <f>IF($K1943="","",INDEX(Zeiterfassung!$E$6:$E$3665,$K1943))</f>
        <v/>
      </c>
      <c r="F1943" s="187">
        <f>IF($K1943="","",INDEX(Zeiterfassung!$F$6:$F$3665,$K1943))</f>
        <v/>
      </c>
      <c r="G1943" s="187">
        <f>IF($K1943="","",INDEX(Zeiterfassung!$G$6:$G$3665,$K1943))</f>
        <v/>
      </c>
      <c r="H1943" s="188">
        <f>IF($K1943="","",INDEX(Zeiterfassung!$H$6:$H$3665,$K1943))</f>
        <v/>
      </c>
      <c r="I1943" s="335">
        <f>IF(B1943=B1942,"",IF($K1943="","",INDEX(Zeiterfassung!$I$6:$I$3665,MATCH(INDEX(Zeiterfassung!$K$6:$K$3665,$K1943),Zeiterfassung!$K$6:$K$3665,0))))</f>
        <v/>
      </c>
      <c r="J1943" s="335">
        <f>IF(B1943=B1942,"",IF($K1943="","",INDEX(Zeiterfassung!$J$6:$J$3665,MATCH(INDEX(Zeiterfassung!$K$6:$K$3665,$K1943),Zeiterfassung!$K$6:$K$3665,0))))</f>
        <v/>
      </c>
      <c r="K1943">
        <f>IFERROR(AGGREGATE(15,6,(ROW(Zeiterfassung!$D$6:$D$3665)-ROW(Zeiterfassung!$D$6)+1)/(Zeiterfassung!$D$6:$D$3665&lt;&gt;""),1938),"")</f>
        <v/>
      </c>
    </row>
    <row r="1944" ht="20" customHeight="1">
      <c r="A1944" s="183">
        <f>IF($K1944="","",WEEKNUM(INDEX(Zeiterfassung!$K$6:$K$3665,$K1944),21))</f>
        <v/>
      </c>
      <c r="B1944" s="184">
        <f>IF($K1944="","",INDEX(Zeiterfassung!$K$6:$K$3665,$K1944))</f>
        <v/>
      </c>
      <c r="C1944" s="185">
        <f>IF($K1944="","",INDEX(Zeiterfassung!$K$6:$K$3665,$K1944))</f>
        <v/>
      </c>
      <c r="D1944" s="186">
        <f>IF($K1944="","",INDEX(Zeiterfassung!$D$6:$D$3665,$K1944))</f>
        <v/>
      </c>
      <c r="E1944" s="186">
        <f>IF($K1944="","",INDEX(Zeiterfassung!$E$6:$E$3665,$K1944))</f>
        <v/>
      </c>
      <c r="F1944" s="187">
        <f>IF($K1944="","",INDEX(Zeiterfassung!$F$6:$F$3665,$K1944))</f>
        <v/>
      </c>
      <c r="G1944" s="187">
        <f>IF($K1944="","",INDEX(Zeiterfassung!$G$6:$G$3665,$K1944))</f>
        <v/>
      </c>
      <c r="H1944" s="188">
        <f>IF($K1944="","",INDEX(Zeiterfassung!$H$6:$H$3665,$K1944))</f>
        <v/>
      </c>
      <c r="I1944" s="335">
        <f>IF(B1944=B1943,"",IF($K1944="","",INDEX(Zeiterfassung!$I$6:$I$3665,MATCH(INDEX(Zeiterfassung!$K$6:$K$3665,$K1944),Zeiterfassung!$K$6:$K$3665,0))))</f>
        <v/>
      </c>
      <c r="J1944" s="335">
        <f>IF(B1944=B1943,"",IF($K1944="","",INDEX(Zeiterfassung!$J$6:$J$3665,MATCH(INDEX(Zeiterfassung!$K$6:$K$3665,$K1944),Zeiterfassung!$K$6:$K$3665,0))))</f>
        <v/>
      </c>
      <c r="K1944">
        <f>IFERROR(AGGREGATE(15,6,(ROW(Zeiterfassung!$D$6:$D$3665)-ROW(Zeiterfassung!$D$6)+1)/(Zeiterfassung!$D$6:$D$3665&lt;&gt;""),1939),"")</f>
        <v/>
      </c>
    </row>
    <row r="1945" ht="20" customHeight="1">
      <c r="A1945" s="183">
        <f>IF($K1945="","",WEEKNUM(INDEX(Zeiterfassung!$K$6:$K$3665,$K1945),21))</f>
        <v/>
      </c>
      <c r="B1945" s="184">
        <f>IF($K1945="","",INDEX(Zeiterfassung!$K$6:$K$3665,$K1945))</f>
        <v/>
      </c>
      <c r="C1945" s="185">
        <f>IF($K1945="","",INDEX(Zeiterfassung!$K$6:$K$3665,$K1945))</f>
        <v/>
      </c>
      <c r="D1945" s="186">
        <f>IF($K1945="","",INDEX(Zeiterfassung!$D$6:$D$3665,$K1945))</f>
        <v/>
      </c>
      <c r="E1945" s="186">
        <f>IF($K1945="","",INDEX(Zeiterfassung!$E$6:$E$3665,$K1945))</f>
        <v/>
      </c>
      <c r="F1945" s="187">
        <f>IF($K1945="","",INDEX(Zeiterfassung!$F$6:$F$3665,$K1945))</f>
        <v/>
      </c>
      <c r="G1945" s="187">
        <f>IF($K1945="","",INDEX(Zeiterfassung!$G$6:$G$3665,$K1945))</f>
        <v/>
      </c>
      <c r="H1945" s="188">
        <f>IF($K1945="","",INDEX(Zeiterfassung!$H$6:$H$3665,$K1945))</f>
        <v/>
      </c>
      <c r="I1945" s="335">
        <f>IF(B1945=B1944,"",IF($K1945="","",INDEX(Zeiterfassung!$I$6:$I$3665,MATCH(INDEX(Zeiterfassung!$K$6:$K$3665,$K1945),Zeiterfassung!$K$6:$K$3665,0))))</f>
        <v/>
      </c>
      <c r="J1945" s="335">
        <f>IF(B1945=B1944,"",IF($K1945="","",INDEX(Zeiterfassung!$J$6:$J$3665,MATCH(INDEX(Zeiterfassung!$K$6:$K$3665,$K1945),Zeiterfassung!$K$6:$K$3665,0))))</f>
        <v/>
      </c>
      <c r="K1945">
        <f>IFERROR(AGGREGATE(15,6,(ROW(Zeiterfassung!$D$6:$D$3665)-ROW(Zeiterfassung!$D$6)+1)/(Zeiterfassung!$D$6:$D$3665&lt;&gt;""),1940),"")</f>
        <v/>
      </c>
    </row>
    <row r="1946" ht="20" customHeight="1">
      <c r="A1946" s="183">
        <f>IF($K1946="","",WEEKNUM(INDEX(Zeiterfassung!$K$6:$K$3665,$K1946),21))</f>
        <v/>
      </c>
      <c r="B1946" s="184">
        <f>IF($K1946="","",INDEX(Zeiterfassung!$K$6:$K$3665,$K1946))</f>
        <v/>
      </c>
      <c r="C1946" s="185">
        <f>IF($K1946="","",INDEX(Zeiterfassung!$K$6:$K$3665,$K1946))</f>
        <v/>
      </c>
      <c r="D1946" s="186">
        <f>IF($K1946="","",INDEX(Zeiterfassung!$D$6:$D$3665,$K1946))</f>
        <v/>
      </c>
      <c r="E1946" s="186">
        <f>IF($K1946="","",INDEX(Zeiterfassung!$E$6:$E$3665,$K1946))</f>
        <v/>
      </c>
      <c r="F1946" s="187">
        <f>IF($K1946="","",INDEX(Zeiterfassung!$F$6:$F$3665,$K1946))</f>
        <v/>
      </c>
      <c r="G1946" s="187">
        <f>IF($K1946="","",INDEX(Zeiterfassung!$G$6:$G$3665,$K1946))</f>
        <v/>
      </c>
      <c r="H1946" s="188">
        <f>IF($K1946="","",INDEX(Zeiterfassung!$H$6:$H$3665,$K1946))</f>
        <v/>
      </c>
      <c r="I1946" s="335">
        <f>IF(B1946=B1945,"",IF($K1946="","",INDEX(Zeiterfassung!$I$6:$I$3665,MATCH(INDEX(Zeiterfassung!$K$6:$K$3665,$K1946),Zeiterfassung!$K$6:$K$3665,0))))</f>
        <v/>
      </c>
      <c r="J1946" s="335">
        <f>IF(B1946=B1945,"",IF($K1946="","",INDEX(Zeiterfassung!$J$6:$J$3665,MATCH(INDEX(Zeiterfassung!$K$6:$K$3665,$K1946),Zeiterfassung!$K$6:$K$3665,0))))</f>
        <v/>
      </c>
      <c r="K1946">
        <f>IFERROR(AGGREGATE(15,6,(ROW(Zeiterfassung!$D$6:$D$3665)-ROW(Zeiterfassung!$D$6)+1)/(Zeiterfassung!$D$6:$D$3665&lt;&gt;""),1941),"")</f>
        <v/>
      </c>
    </row>
    <row r="1947" ht="20" customHeight="1">
      <c r="A1947" s="183">
        <f>IF($K1947="","",WEEKNUM(INDEX(Zeiterfassung!$K$6:$K$3665,$K1947),21))</f>
        <v/>
      </c>
      <c r="B1947" s="184">
        <f>IF($K1947="","",INDEX(Zeiterfassung!$K$6:$K$3665,$K1947))</f>
        <v/>
      </c>
      <c r="C1947" s="185">
        <f>IF($K1947="","",INDEX(Zeiterfassung!$K$6:$K$3665,$K1947))</f>
        <v/>
      </c>
      <c r="D1947" s="186">
        <f>IF($K1947="","",INDEX(Zeiterfassung!$D$6:$D$3665,$K1947))</f>
        <v/>
      </c>
      <c r="E1947" s="186">
        <f>IF($K1947="","",INDEX(Zeiterfassung!$E$6:$E$3665,$K1947))</f>
        <v/>
      </c>
      <c r="F1947" s="187">
        <f>IF($K1947="","",INDEX(Zeiterfassung!$F$6:$F$3665,$K1947))</f>
        <v/>
      </c>
      <c r="G1947" s="187">
        <f>IF($K1947="","",INDEX(Zeiterfassung!$G$6:$G$3665,$K1947))</f>
        <v/>
      </c>
      <c r="H1947" s="188">
        <f>IF($K1947="","",INDEX(Zeiterfassung!$H$6:$H$3665,$K1947))</f>
        <v/>
      </c>
      <c r="I1947" s="335">
        <f>IF(B1947=B1946,"",IF($K1947="","",INDEX(Zeiterfassung!$I$6:$I$3665,MATCH(INDEX(Zeiterfassung!$K$6:$K$3665,$K1947),Zeiterfassung!$K$6:$K$3665,0))))</f>
        <v/>
      </c>
      <c r="J1947" s="335">
        <f>IF(B1947=B1946,"",IF($K1947="","",INDEX(Zeiterfassung!$J$6:$J$3665,MATCH(INDEX(Zeiterfassung!$K$6:$K$3665,$K1947),Zeiterfassung!$K$6:$K$3665,0))))</f>
        <v/>
      </c>
      <c r="K1947">
        <f>IFERROR(AGGREGATE(15,6,(ROW(Zeiterfassung!$D$6:$D$3665)-ROW(Zeiterfassung!$D$6)+1)/(Zeiterfassung!$D$6:$D$3665&lt;&gt;""),1942),"")</f>
        <v/>
      </c>
    </row>
    <row r="1948" ht="20" customHeight="1">
      <c r="A1948" s="183">
        <f>IF($K1948="","",WEEKNUM(INDEX(Zeiterfassung!$K$6:$K$3665,$K1948),21))</f>
        <v/>
      </c>
      <c r="B1948" s="184">
        <f>IF($K1948="","",INDEX(Zeiterfassung!$K$6:$K$3665,$K1948))</f>
        <v/>
      </c>
      <c r="C1948" s="185">
        <f>IF($K1948="","",INDEX(Zeiterfassung!$K$6:$K$3665,$K1948))</f>
        <v/>
      </c>
      <c r="D1948" s="186">
        <f>IF($K1948="","",INDEX(Zeiterfassung!$D$6:$D$3665,$K1948))</f>
        <v/>
      </c>
      <c r="E1948" s="186">
        <f>IF($K1948="","",INDEX(Zeiterfassung!$E$6:$E$3665,$K1948))</f>
        <v/>
      </c>
      <c r="F1948" s="187">
        <f>IF($K1948="","",INDEX(Zeiterfassung!$F$6:$F$3665,$K1948))</f>
        <v/>
      </c>
      <c r="G1948" s="187">
        <f>IF($K1948="","",INDEX(Zeiterfassung!$G$6:$G$3665,$K1948))</f>
        <v/>
      </c>
      <c r="H1948" s="188">
        <f>IF($K1948="","",INDEX(Zeiterfassung!$H$6:$H$3665,$K1948))</f>
        <v/>
      </c>
      <c r="I1948" s="335">
        <f>IF(B1948=B1947,"",IF($K1948="","",INDEX(Zeiterfassung!$I$6:$I$3665,MATCH(INDEX(Zeiterfassung!$K$6:$K$3665,$K1948),Zeiterfassung!$K$6:$K$3665,0))))</f>
        <v/>
      </c>
      <c r="J1948" s="335">
        <f>IF(B1948=B1947,"",IF($K1948="","",INDEX(Zeiterfassung!$J$6:$J$3665,MATCH(INDEX(Zeiterfassung!$K$6:$K$3665,$K1948),Zeiterfassung!$K$6:$K$3665,0))))</f>
        <v/>
      </c>
      <c r="K1948">
        <f>IFERROR(AGGREGATE(15,6,(ROW(Zeiterfassung!$D$6:$D$3665)-ROW(Zeiterfassung!$D$6)+1)/(Zeiterfassung!$D$6:$D$3665&lt;&gt;""),1943),"")</f>
        <v/>
      </c>
    </row>
    <row r="1949" ht="20" customHeight="1">
      <c r="A1949" s="183">
        <f>IF($K1949="","",WEEKNUM(INDEX(Zeiterfassung!$K$6:$K$3665,$K1949),21))</f>
        <v/>
      </c>
      <c r="B1949" s="184">
        <f>IF($K1949="","",INDEX(Zeiterfassung!$K$6:$K$3665,$K1949))</f>
        <v/>
      </c>
      <c r="C1949" s="185">
        <f>IF($K1949="","",INDEX(Zeiterfassung!$K$6:$K$3665,$K1949))</f>
        <v/>
      </c>
      <c r="D1949" s="186">
        <f>IF($K1949="","",INDEX(Zeiterfassung!$D$6:$D$3665,$K1949))</f>
        <v/>
      </c>
      <c r="E1949" s="186">
        <f>IF($K1949="","",INDEX(Zeiterfassung!$E$6:$E$3665,$K1949))</f>
        <v/>
      </c>
      <c r="F1949" s="187">
        <f>IF($K1949="","",INDEX(Zeiterfassung!$F$6:$F$3665,$K1949))</f>
        <v/>
      </c>
      <c r="G1949" s="187">
        <f>IF($K1949="","",INDEX(Zeiterfassung!$G$6:$G$3665,$K1949))</f>
        <v/>
      </c>
      <c r="H1949" s="188">
        <f>IF($K1949="","",INDEX(Zeiterfassung!$H$6:$H$3665,$K1949))</f>
        <v/>
      </c>
      <c r="I1949" s="335">
        <f>IF(B1949=B1948,"",IF($K1949="","",INDEX(Zeiterfassung!$I$6:$I$3665,MATCH(INDEX(Zeiterfassung!$K$6:$K$3665,$K1949),Zeiterfassung!$K$6:$K$3665,0))))</f>
        <v/>
      </c>
      <c r="J1949" s="335">
        <f>IF(B1949=B1948,"",IF($K1949="","",INDEX(Zeiterfassung!$J$6:$J$3665,MATCH(INDEX(Zeiterfassung!$K$6:$K$3665,$K1949),Zeiterfassung!$K$6:$K$3665,0))))</f>
        <v/>
      </c>
      <c r="K1949">
        <f>IFERROR(AGGREGATE(15,6,(ROW(Zeiterfassung!$D$6:$D$3665)-ROW(Zeiterfassung!$D$6)+1)/(Zeiterfassung!$D$6:$D$3665&lt;&gt;""),1944),"")</f>
        <v/>
      </c>
    </row>
    <row r="1950" ht="20" customHeight="1">
      <c r="A1950" s="183">
        <f>IF($K1950="","",WEEKNUM(INDEX(Zeiterfassung!$K$6:$K$3665,$K1950),21))</f>
        <v/>
      </c>
      <c r="B1950" s="184">
        <f>IF($K1950="","",INDEX(Zeiterfassung!$K$6:$K$3665,$K1950))</f>
        <v/>
      </c>
      <c r="C1950" s="185">
        <f>IF($K1950="","",INDEX(Zeiterfassung!$K$6:$K$3665,$K1950))</f>
        <v/>
      </c>
      <c r="D1950" s="186">
        <f>IF($K1950="","",INDEX(Zeiterfassung!$D$6:$D$3665,$K1950))</f>
        <v/>
      </c>
      <c r="E1950" s="186">
        <f>IF($K1950="","",INDEX(Zeiterfassung!$E$6:$E$3665,$K1950))</f>
        <v/>
      </c>
      <c r="F1950" s="187">
        <f>IF($K1950="","",INDEX(Zeiterfassung!$F$6:$F$3665,$K1950))</f>
        <v/>
      </c>
      <c r="G1950" s="187">
        <f>IF($K1950="","",INDEX(Zeiterfassung!$G$6:$G$3665,$K1950))</f>
        <v/>
      </c>
      <c r="H1950" s="188">
        <f>IF($K1950="","",INDEX(Zeiterfassung!$H$6:$H$3665,$K1950))</f>
        <v/>
      </c>
      <c r="I1950" s="335">
        <f>IF(B1950=B1949,"",IF($K1950="","",INDEX(Zeiterfassung!$I$6:$I$3665,MATCH(INDEX(Zeiterfassung!$K$6:$K$3665,$K1950),Zeiterfassung!$K$6:$K$3665,0))))</f>
        <v/>
      </c>
      <c r="J1950" s="335">
        <f>IF(B1950=B1949,"",IF($K1950="","",INDEX(Zeiterfassung!$J$6:$J$3665,MATCH(INDEX(Zeiterfassung!$K$6:$K$3665,$K1950),Zeiterfassung!$K$6:$K$3665,0))))</f>
        <v/>
      </c>
      <c r="K1950">
        <f>IFERROR(AGGREGATE(15,6,(ROW(Zeiterfassung!$D$6:$D$3665)-ROW(Zeiterfassung!$D$6)+1)/(Zeiterfassung!$D$6:$D$3665&lt;&gt;""),1945),"")</f>
        <v/>
      </c>
    </row>
    <row r="1951" ht="20" customHeight="1">
      <c r="A1951" s="183">
        <f>IF($K1951="","",WEEKNUM(INDEX(Zeiterfassung!$K$6:$K$3665,$K1951),21))</f>
        <v/>
      </c>
      <c r="B1951" s="184">
        <f>IF($K1951="","",INDEX(Zeiterfassung!$K$6:$K$3665,$K1951))</f>
        <v/>
      </c>
      <c r="C1951" s="185">
        <f>IF($K1951="","",INDEX(Zeiterfassung!$K$6:$K$3665,$K1951))</f>
        <v/>
      </c>
      <c r="D1951" s="186">
        <f>IF($K1951="","",INDEX(Zeiterfassung!$D$6:$D$3665,$K1951))</f>
        <v/>
      </c>
      <c r="E1951" s="186">
        <f>IF($K1951="","",INDEX(Zeiterfassung!$E$6:$E$3665,$K1951))</f>
        <v/>
      </c>
      <c r="F1951" s="187">
        <f>IF($K1951="","",INDEX(Zeiterfassung!$F$6:$F$3665,$K1951))</f>
        <v/>
      </c>
      <c r="G1951" s="187">
        <f>IF($K1951="","",INDEX(Zeiterfassung!$G$6:$G$3665,$K1951))</f>
        <v/>
      </c>
      <c r="H1951" s="188">
        <f>IF($K1951="","",INDEX(Zeiterfassung!$H$6:$H$3665,$K1951))</f>
        <v/>
      </c>
      <c r="I1951" s="335">
        <f>IF(B1951=B1950,"",IF($K1951="","",INDEX(Zeiterfassung!$I$6:$I$3665,MATCH(INDEX(Zeiterfassung!$K$6:$K$3665,$K1951),Zeiterfassung!$K$6:$K$3665,0))))</f>
        <v/>
      </c>
      <c r="J1951" s="335">
        <f>IF(B1951=B1950,"",IF($K1951="","",INDEX(Zeiterfassung!$J$6:$J$3665,MATCH(INDEX(Zeiterfassung!$K$6:$K$3665,$K1951),Zeiterfassung!$K$6:$K$3665,0))))</f>
        <v/>
      </c>
      <c r="K1951">
        <f>IFERROR(AGGREGATE(15,6,(ROW(Zeiterfassung!$D$6:$D$3665)-ROW(Zeiterfassung!$D$6)+1)/(Zeiterfassung!$D$6:$D$3665&lt;&gt;""),1946),"")</f>
        <v/>
      </c>
    </row>
    <row r="1952" ht="20" customHeight="1">
      <c r="A1952" s="183">
        <f>IF($K1952="","",WEEKNUM(INDEX(Zeiterfassung!$K$6:$K$3665,$K1952),21))</f>
        <v/>
      </c>
      <c r="B1952" s="184">
        <f>IF($K1952="","",INDEX(Zeiterfassung!$K$6:$K$3665,$K1952))</f>
        <v/>
      </c>
      <c r="C1952" s="185">
        <f>IF($K1952="","",INDEX(Zeiterfassung!$K$6:$K$3665,$K1952))</f>
        <v/>
      </c>
      <c r="D1952" s="186">
        <f>IF($K1952="","",INDEX(Zeiterfassung!$D$6:$D$3665,$K1952))</f>
        <v/>
      </c>
      <c r="E1952" s="186">
        <f>IF($K1952="","",INDEX(Zeiterfassung!$E$6:$E$3665,$K1952))</f>
        <v/>
      </c>
      <c r="F1952" s="187">
        <f>IF($K1952="","",INDEX(Zeiterfassung!$F$6:$F$3665,$K1952))</f>
        <v/>
      </c>
      <c r="G1952" s="187">
        <f>IF($K1952="","",INDEX(Zeiterfassung!$G$6:$G$3665,$K1952))</f>
        <v/>
      </c>
      <c r="H1952" s="188">
        <f>IF($K1952="","",INDEX(Zeiterfassung!$H$6:$H$3665,$K1952))</f>
        <v/>
      </c>
      <c r="I1952" s="335">
        <f>IF(B1952=B1951,"",IF($K1952="","",INDEX(Zeiterfassung!$I$6:$I$3665,MATCH(INDEX(Zeiterfassung!$K$6:$K$3665,$K1952),Zeiterfassung!$K$6:$K$3665,0))))</f>
        <v/>
      </c>
      <c r="J1952" s="335">
        <f>IF(B1952=B1951,"",IF($K1952="","",INDEX(Zeiterfassung!$J$6:$J$3665,MATCH(INDEX(Zeiterfassung!$K$6:$K$3665,$K1952),Zeiterfassung!$K$6:$K$3665,0))))</f>
        <v/>
      </c>
      <c r="K1952">
        <f>IFERROR(AGGREGATE(15,6,(ROW(Zeiterfassung!$D$6:$D$3665)-ROW(Zeiterfassung!$D$6)+1)/(Zeiterfassung!$D$6:$D$3665&lt;&gt;""),1947),"")</f>
        <v/>
      </c>
    </row>
    <row r="1953" ht="20" customHeight="1">
      <c r="A1953" s="183">
        <f>IF($K1953="","",WEEKNUM(INDEX(Zeiterfassung!$K$6:$K$3665,$K1953),21))</f>
        <v/>
      </c>
      <c r="B1953" s="184">
        <f>IF($K1953="","",INDEX(Zeiterfassung!$K$6:$K$3665,$K1953))</f>
        <v/>
      </c>
      <c r="C1953" s="185">
        <f>IF($K1953="","",INDEX(Zeiterfassung!$K$6:$K$3665,$K1953))</f>
        <v/>
      </c>
      <c r="D1953" s="186">
        <f>IF($K1953="","",INDEX(Zeiterfassung!$D$6:$D$3665,$K1953))</f>
        <v/>
      </c>
      <c r="E1953" s="186">
        <f>IF($K1953="","",INDEX(Zeiterfassung!$E$6:$E$3665,$K1953))</f>
        <v/>
      </c>
      <c r="F1953" s="187">
        <f>IF($K1953="","",INDEX(Zeiterfassung!$F$6:$F$3665,$K1953))</f>
        <v/>
      </c>
      <c r="G1953" s="187">
        <f>IF($K1953="","",INDEX(Zeiterfassung!$G$6:$G$3665,$K1953))</f>
        <v/>
      </c>
      <c r="H1953" s="188">
        <f>IF($K1953="","",INDEX(Zeiterfassung!$H$6:$H$3665,$K1953))</f>
        <v/>
      </c>
      <c r="I1953" s="335">
        <f>IF(B1953=B1952,"",IF($K1953="","",INDEX(Zeiterfassung!$I$6:$I$3665,MATCH(INDEX(Zeiterfassung!$K$6:$K$3665,$K1953),Zeiterfassung!$K$6:$K$3665,0))))</f>
        <v/>
      </c>
      <c r="J1953" s="335">
        <f>IF(B1953=B1952,"",IF($K1953="","",INDEX(Zeiterfassung!$J$6:$J$3665,MATCH(INDEX(Zeiterfassung!$K$6:$K$3665,$K1953),Zeiterfassung!$K$6:$K$3665,0))))</f>
        <v/>
      </c>
      <c r="K1953">
        <f>IFERROR(AGGREGATE(15,6,(ROW(Zeiterfassung!$D$6:$D$3665)-ROW(Zeiterfassung!$D$6)+1)/(Zeiterfassung!$D$6:$D$3665&lt;&gt;""),1948),"")</f>
        <v/>
      </c>
    </row>
    <row r="1954" ht="20" customHeight="1">
      <c r="A1954" s="183">
        <f>IF($K1954="","",WEEKNUM(INDEX(Zeiterfassung!$K$6:$K$3665,$K1954),21))</f>
        <v/>
      </c>
      <c r="B1954" s="184">
        <f>IF($K1954="","",INDEX(Zeiterfassung!$K$6:$K$3665,$K1954))</f>
        <v/>
      </c>
      <c r="C1954" s="185">
        <f>IF($K1954="","",INDEX(Zeiterfassung!$K$6:$K$3665,$K1954))</f>
        <v/>
      </c>
      <c r="D1954" s="186">
        <f>IF($K1954="","",INDEX(Zeiterfassung!$D$6:$D$3665,$K1954))</f>
        <v/>
      </c>
      <c r="E1954" s="186">
        <f>IF($K1954="","",INDEX(Zeiterfassung!$E$6:$E$3665,$K1954))</f>
        <v/>
      </c>
      <c r="F1954" s="187">
        <f>IF($K1954="","",INDEX(Zeiterfassung!$F$6:$F$3665,$K1954))</f>
        <v/>
      </c>
      <c r="G1954" s="187">
        <f>IF($K1954="","",INDEX(Zeiterfassung!$G$6:$G$3665,$K1954))</f>
        <v/>
      </c>
      <c r="H1954" s="188">
        <f>IF($K1954="","",INDEX(Zeiterfassung!$H$6:$H$3665,$K1954))</f>
        <v/>
      </c>
      <c r="I1954" s="335">
        <f>IF(B1954=B1953,"",IF($K1954="","",INDEX(Zeiterfassung!$I$6:$I$3665,MATCH(INDEX(Zeiterfassung!$K$6:$K$3665,$K1954),Zeiterfassung!$K$6:$K$3665,0))))</f>
        <v/>
      </c>
      <c r="J1954" s="335">
        <f>IF(B1954=B1953,"",IF($K1954="","",INDEX(Zeiterfassung!$J$6:$J$3665,MATCH(INDEX(Zeiterfassung!$K$6:$K$3665,$K1954),Zeiterfassung!$K$6:$K$3665,0))))</f>
        <v/>
      </c>
      <c r="K1954">
        <f>IFERROR(AGGREGATE(15,6,(ROW(Zeiterfassung!$D$6:$D$3665)-ROW(Zeiterfassung!$D$6)+1)/(Zeiterfassung!$D$6:$D$3665&lt;&gt;""),1949),"")</f>
        <v/>
      </c>
    </row>
    <row r="1955" ht="20" customHeight="1">
      <c r="A1955" s="183">
        <f>IF($K1955="","",WEEKNUM(INDEX(Zeiterfassung!$K$6:$K$3665,$K1955),21))</f>
        <v/>
      </c>
      <c r="B1955" s="184">
        <f>IF($K1955="","",INDEX(Zeiterfassung!$K$6:$K$3665,$K1955))</f>
        <v/>
      </c>
      <c r="C1955" s="185">
        <f>IF($K1955="","",INDEX(Zeiterfassung!$K$6:$K$3665,$K1955))</f>
        <v/>
      </c>
      <c r="D1955" s="186">
        <f>IF($K1955="","",INDEX(Zeiterfassung!$D$6:$D$3665,$K1955))</f>
        <v/>
      </c>
      <c r="E1955" s="186">
        <f>IF($K1955="","",INDEX(Zeiterfassung!$E$6:$E$3665,$K1955))</f>
        <v/>
      </c>
      <c r="F1955" s="187">
        <f>IF($K1955="","",INDEX(Zeiterfassung!$F$6:$F$3665,$K1955))</f>
        <v/>
      </c>
      <c r="G1955" s="187">
        <f>IF($K1955="","",INDEX(Zeiterfassung!$G$6:$G$3665,$K1955))</f>
        <v/>
      </c>
      <c r="H1955" s="188">
        <f>IF($K1955="","",INDEX(Zeiterfassung!$H$6:$H$3665,$K1955))</f>
        <v/>
      </c>
      <c r="I1955" s="335">
        <f>IF(B1955=B1954,"",IF($K1955="","",INDEX(Zeiterfassung!$I$6:$I$3665,MATCH(INDEX(Zeiterfassung!$K$6:$K$3665,$K1955),Zeiterfassung!$K$6:$K$3665,0))))</f>
        <v/>
      </c>
      <c r="J1955" s="335">
        <f>IF(B1955=B1954,"",IF($K1955="","",INDEX(Zeiterfassung!$J$6:$J$3665,MATCH(INDEX(Zeiterfassung!$K$6:$K$3665,$K1955),Zeiterfassung!$K$6:$K$3665,0))))</f>
        <v/>
      </c>
      <c r="K1955">
        <f>IFERROR(AGGREGATE(15,6,(ROW(Zeiterfassung!$D$6:$D$3665)-ROW(Zeiterfassung!$D$6)+1)/(Zeiterfassung!$D$6:$D$3665&lt;&gt;""),1950),"")</f>
        <v/>
      </c>
    </row>
    <row r="1956" ht="20" customHeight="1">
      <c r="A1956" s="183">
        <f>IF($K1956="","",WEEKNUM(INDEX(Zeiterfassung!$K$6:$K$3665,$K1956),21))</f>
        <v/>
      </c>
      <c r="B1956" s="184">
        <f>IF($K1956="","",INDEX(Zeiterfassung!$K$6:$K$3665,$K1956))</f>
        <v/>
      </c>
      <c r="C1956" s="185">
        <f>IF($K1956="","",INDEX(Zeiterfassung!$K$6:$K$3665,$K1956))</f>
        <v/>
      </c>
      <c r="D1956" s="186">
        <f>IF($K1956="","",INDEX(Zeiterfassung!$D$6:$D$3665,$K1956))</f>
        <v/>
      </c>
      <c r="E1956" s="186">
        <f>IF($K1956="","",INDEX(Zeiterfassung!$E$6:$E$3665,$K1956))</f>
        <v/>
      </c>
      <c r="F1956" s="187">
        <f>IF($K1956="","",INDEX(Zeiterfassung!$F$6:$F$3665,$K1956))</f>
        <v/>
      </c>
      <c r="G1956" s="187">
        <f>IF($K1956="","",INDEX(Zeiterfassung!$G$6:$G$3665,$K1956))</f>
        <v/>
      </c>
      <c r="H1956" s="188">
        <f>IF($K1956="","",INDEX(Zeiterfassung!$H$6:$H$3665,$K1956))</f>
        <v/>
      </c>
      <c r="I1956" s="335">
        <f>IF(B1956=B1955,"",IF($K1956="","",INDEX(Zeiterfassung!$I$6:$I$3665,MATCH(INDEX(Zeiterfassung!$K$6:$K$3665,$K1956),Zeiterfassung!$K$6:$K$3665,0))))</f>
        <v/>
      </c>
      <c r="J1956" s="335">
        <f>IF(B1956=B1955,"",IF($K1956="","",INDEX(Zeiterfassung!$J$6:$J$3665,MATCH(INDEX(Zeiterfassung!$K$6:$K$3665,$K1956),Zeiterfassung!$K$6:$K$3665,0))))</f>
        <v/>
      </c>
      <c r="K1956">
        <f>IFERROR(AGGREGATE(15,6,(ROW(Zeiterfassung!$D$6:$D$3665)-ROW(Zeiterfassung!$D$6)+1)/(Zeiterfassung!$D$6:$D$3665&lt;&gt;""),1951),"")</f>
        <v/>
      </c>
    </row>
    <row r="1957" ht="20" customHeight="1">
      <c r="A1957" s="183">
        <f>IF($K1957="","",WEEKNUM(INDEX(Zeiterfassung!$K$6:$K$3665,$K1957),21))</f>
        <v/>
      </c>
      <c r="B1957" s="184">
        <f>IF($K1957="","",INDEX(Zeiterfassung!$K$6:$K$3665,$K1957))</f>
        <v/>
      </c>
      <c r="C1957" s="185">
        <f>IF($K1957="","",INDEX(Zeiterfassung!$K$6:$K$3665,$K1957))</f>
        <v/>
      </c>
      <c r="D1957" s="186">
        <f>IF($K1957="","",INDEX(Zeiterfassung!$D$6:$D$3665,$K1957))</f>
        <v/>
      </c>
      <c r="E1957" s="186">
        <f>IF($K1957="","",INDEX(Zeiterfassung!$E$6:$E$3665,$K1957))</f>
        <v/>
      </c>
      <c r="F1957" s="187">
        <f>IF($K1957="","",INDEX(Zeiterfassung!$F$6:$F$3665,$K1957))</f>
        <v/>
      </c>
      <c r="G1957" s="187">
        <f>IF($K1957="","",INDEX(Zeiterfassung!$G$6:$G$3665,$K1957))</f>
        <v/>
      </c>
      <c r="H1957" s="188">
        <f>IF($K1957="","",INDEX(Zeiterfassung!$H$6:$H$3665,$K1957))</f>
        <v/>
      </c>
      <c r="I1957" s="335">
        <f>IF(B1957=B1956,"",IF($K1957="","",INDEX(Zeiterfassung!$I$6:$I$3665,MATCH(INDEX(Zeiterfassung!$K$6:$K$3665,$K1957),Zeiterfassung!$K$6:$K$3665,0))))</f>
        <v/>
      </c>
      <c r="J1957" s="335">
        <f>IF(B1957=B1956,"",IF($K1957="","",INDEX(Zeiterfassung!$J$6:$J$3665,MATCH(INDEX(Zeiterfassung!$K$6:$K$3665,$K1957),Zeiterfassung!$K$6:$K$3665,0))))</f>
        <v/>
      </c>
      <c r="K1957">
        <f>IFERROR(AGGREGATE(15,6,(ROW(Zeiterfassung!$D$6:$D$3665)-ROW(Zeiterfassung!$D$6)+1)/(Zeiterfassung!$D$6:$D$3665&lt;&gt;""),1952),"")</f>
        <v/>
      </c>
    </row>
    <row r="1958" ht="20" customHeight="1">
      <c r="A1958" s="183">
        <f>IF($K1958="","",WEEKNUM(INDEX(Zeiterfassung!$K$6:$K$3665,$K1958),21))</f>
        <v/>
      </c>
      <c r="B1958" s="184">
        <f>IF($K1958="","",INDEX(Zeiterfassung!$K$6:$K$3665,$K1958))</f>
        <v/>
      </c>
      <c r="C1958" s="185">
        <f>IF($K1958="","",INDEX(Zeiterfassung!$K$6:$K$3665,$K1958))</f>
        <v/>
      </c>
      <c r="D1958" s="186">
        <f>IF($K1958="","",INDEX(Zeiterfassung!$D$6:$D$3665,$K1958))</f>
        <v/>
      </c>
      <c r="E1958" s="186">
        <f>IF($K1958="","",INDEX(Zeiterfassung!$E$6:$E$3665,$K1958))</f>
        <v/>
      </c>
      <c r="F1958" s="187">
        <f>IF($K1958="","",INDEX(Zeiterfassung!$F$6:$F$3665,$K1958))</f>
        <v/>
      </c>
      <c r="G1958" s="187">
        <f>IF($K1958="","",INDEX(Zeiterfassung!$G$6:$G$3665,$K1958))</f>
        <v/>
      </c>
      <c r="H1958" s="188">
        <f>IF($K1958="","",INDEX(Zeiterfassung!$H$6:$H$3665,$K1958))</f>
        <v/>
      </c>
      <c r="I1958" s="335">
        <f>IF(B1958=B1957,"",IF($K1958="","",INDEX(Zeiterfassung!$I$6:$I$3665,MATCH(INDEX(Zeiterfassung!$K$6:$K$3665,$K1958),Zeiterfassung!$K$6:$K$3665,0))))</f>
        <v/>
      </c>
      <c r="J1958" s="335">
        <f>IF(B1958=B1957,"",IF($K1958="","",INDEX(Zeiterfassung!$J$6:$J$3665,MATCH(INDEX(Zeiterfassung!$K$6:$K$3665,$K1958),Zeiterfassung!$K$6:$K$3665,0))))</f>
        <v/>
      </c>
      <c r="K1958">
        <f>IFERROR(AGGREGATE(15,6,(ROW(Zeiterfassung!$D$6:$D$3665)-ROW(Zeiterfassung!$D$6)+1)/(Zeiterfassung!$D$6:$D$3665&lt;&gt;""),1953),"")</f>
        <v/>
      </c>
    </row>
    <row r="1959" ht="20" customHeight="1">
      <c r="A1959" s="183">
        <f>IF($K1959="","",WEEKNUM(INDEX(Zeiterfassung!$K$6:$K$3665,$K1959),21))</f>
        <v/>
      </c>
      <c r="B1959" s="184">
        <f>IF($K1959="","",INDEX(Zeiterfassung!$K$6:$K$3665,$K1959))</f>
        <v/>
      </c>
      <c r="C1959" s="185">
        <f>IF($K1959="","",INDEX(Zeiterfassung!$K$6:$K$3665,$K1959))</f>
        <v/>
      </c>
      <c r="D1959" s="186">
        <f>IF($K1959="","",INDEX(Zeiterfassung!$D$6:$D$3665,$K1959))</f>
        <v/>
      </c>
      <c r="E1959" s="186">
        <f>IF($K1959="","",INDEX(Zeiterfassung!$E$6:$E$3665,$K1959))</f>
        <v/>
      </c>
      <c r="F1959" s="187">
        <f>IF($K1959="","",INDEX(Zeiterfassung!$F$6:$F$3665,$K1959))</f>
        <v/>
      </c>
      <c r="G1959" s="187">
        <f>IF($K1959="","",INDEX(Zeiterfassung!$G$6:$G$3665,$K1959))</f>
        <v/>
      </c>
      <c r="H1959" s="188">
        <f>IF($K1959="","",INDEX(Zeiterfassung!$H$6:$H$3665,$K1959))</f>
        <v/>
      </c>
      <c r="I1959" s="335">
        <f>IF(B1959=B1958,"",IF($K1959="","",INDEX(Zeiterfassung!$I$6:$I$3665,MATCH(INDEX(Zeiterfassung!$K$6:$K$3665,$K1959),Zeiterfassung!$K$6:$K$3665,0))))</f>
        <v/>
      </c>
      <c r="J1959" s="335">
        <f>IF(B1959=B1958,"",IF($K1959="","",INDEX(Zeiterfassung!$J$6:$J$3665,MATCH(INDEX(Zeiterfassung!$K$6:$K$3665,$K1959),Zeiterfassung!$K$6:$K$3665,0))))</f>
        <v/>
      </c>
      <c r="K1959">
        <f>IFERROR(AGGREGATE(15,6,(ROW(Zeiterfassung!$D$6:$D$3665)-ROW(Zeiterfassung!$D$6)+1)/(Zeiterfassung!$D$6:$D$3665&lt;&gt;""),1954),"")</f>
        <v/>
      </c>
    </row>
    <row r="1960" ht="20" customHeight="1">
      <c r="A1960" s="183">
        <f>IF($K1960="","",WEEKNUM(INDEX(Zeiterfassung!$K$6:$K$3665,$K1960),21))</f>
        <v/>
      </c>
      <c r="B1960" s="184">
        <f>IF($K1960="","",INDEX(Zeiterfassung!$K$6:$K$3665,$K1960))</f>
        <v/>
      </c>
      <c r="C1960" s="185">
        <f>IF($K1960="","",INDEX(Zeiterfassung!$K$6:$K$3665,$K1960))</f>
        <v/>
      </c>
      <c r="D1960" s="186">
        <f>IF($K1960="","",INDEX(Zeiterfassung!$D$6:$D$3665,$K1960))</f>
        <v/>
      </c>
      <c r="E1960" s="186">
        <f>IF($K1960="","",INDEX(Zeiterfassung!$E$6:$E$3665,$K1960))</f>
        <v/>
      </c>
      <c r="F1960" s="187">
        <f>IF($K1960="","",INDEX(Zeiterfassung!$F$6:$F$3665,$K1960))</f>
        <v/>
      </c>
      <c r="G1960" s="187">
        <f>IF($K1960="","",INDEX(Zeiterfassung!$G$6:$G$3665,$K1960))</f>
        <v/>
      </c>
      <c r="H1960" s="188">
        <f>IF($K1960="","",INDEX(Zeiterfassung!$H$6:$H$3665,$K1960))</f>
        <v/>
      </c>
      <c r="I1960" s="335">
        <f>IF(B1960=B1959,"",IF($K1960="","",INDEX(Zeiterfassung!$I$6:$I$3665,MATCH(INDEX(Zeiterfassung!$K$6:$K$3665,$K1960),Zeiterfassung!$K$6:$K$3665,0))))</f>
        <v/>
      </c>
      <c r="J1960" s="335">
        <f>IF(B1960=B1959,"",IF($K1960="","",INDEX(Zeiterfassung!$J$6:$J$3665,MATCH(INDEX(Zeiterfassung!$K$6:$K$3665,$K1960),Zeiterfassung!$K$6:$K$3665,0))))</f>
        <v/>
      </c>
      <c r="K1960">
        <f>IFERROR(AGGREGATE(15,6,(ROW(Zeiterfassung!$D$6:$D$3665)-ROW(Zeiterfassung!$D$6)+1)/(Zeiterfassung!$D$6:$D$3665&lt;&gt;""),1955),"")</f>
        <v/>
      </c>
    </row>
    <row r="1961" ht="20" customHeight="1">
      <c r="A1961" s="183">
        <f>IF($K1961="","",WEEKNUM(INDEX(Zeiterfassung!$K$6:$K$3665,$K1961),21))</f>
        <v/>
      </c>
      <c r="B1961" s="184">
        <f>IF($K1961="","",INDEX(Zeiterfassung!$K$6:$K$3665,$K1961))</f>
        <v/>
      </c>
      <c r="C1961" s="185">
        <f>IF($K1961="","",INDEX(Zeiterfassung!$K$6:$K$3665,$K1961))</f>
        <v/>
      </c>
      <c r="D1961" s="186">
        <f>IF($K1961="","",INDEX(Zeiterfassung!$D$6:$D$3665,$K1961))</f>
        <v/>
      </c>
      <c r="E1961" s="186">
        <f>IF($K1961="","",INDEX(Zeiterfassung!$E$6:$E$3665,$K1961))</f>
        <v/>
      </c>
      <c r="F1961" s="187">
        <f>IF($K1961="","",INDEX(Zeiterfassung!$F$6:$F$3665,$K1961))</f>
        <v/>
      </c>
      <c r="G1961" s="187">
        <f>IF($K1961="","",INDEX(Zeiterfassung!$G$6:$G$3665,$K1961))</f>
        <v/>
      </c>
      <c r="H1961" s="188">
        <f>IF($K1961="","",INDEX(Zeiterfassung!$H$6:$H$3665,$K1961))</f>
        <v/>
      </c>
      <c r="I1961" s="335">
        <f>IF(B1961=B1960,"",IF($K1961="","",INDEX(Zeiterfassung!$I$6:$I$3665,MATCH(INDEX(Zeiterfassung!$K$6:$K$3665,$K1961),Zeiterfassung!$K$6:$K$3665,0))))</f>
        <v/>
      </c>
      <c r="J1961" s="335">
        <f>IF(B1961=B1960,"",IF($K1961="","",INDEX(Zeiterfassung!$J$6:$J$3665,MATCH(INDEX(Zeiterfassung!$K$6:$K$3665,$K1961),Zeiterfassung!$K$6:$K$3665,0))))</f>
        <v/>
      </c>
      <c r="K1961">
        <f>IFERROR(AGGREGATE(15,6,(ROW(Zeiterfassung!$D$6:$D$3665)-ROW(Zeiterfassung!$D$6)+1)/(Zeiterfassung!$D$6:$D$3665&lt;&gt;""),1956),"")</f>
        <v/>
      </c>
    </row>
    <row r="1962" ht="20" customHeight="1">
      <c r="A1962" s="183">
        <f>IF($K1962="","",WEEKNUM(INDEX(Zeiterfassung!$K$6:$K$3665,$K1962),21))</f>
        <v/>
      </c>
      <c r="B1962" s="184">
        <f>IF($K1962="","",INDEX(Zeiterfassung!$K$6:$K$3665,$K1962))</f>
        <v/>
      </c>
      <c r="C1962" s="185">
        <f>IF($K1962="","",INDEX(Zeiterfassung!$K$6:$K$3665,$K1962))</f>
        <v/>
      </c>
      <c r="D1962" s="186">
        <f>IF($K1962="","",INDEX(Zeiterfassung!$D$6:$D$3665,$K1962))</f>
        <v/>
      </c>
      <c r="E1962" s="186">
        <f>IF($K1962="","",INDEX(Zeiterfassung!$E$6:$E$3665,$K1962))</f>
        <v/>
      </c>
      <c r="F1962" s="187">
        <f>IF($K1962="","",INDEX(Zeiterfassung!$F$6:$F$3665,$K1962))</f>
        <v/>
      </c>
      <c r="G1962" s="187">
        <f>IF($K1962="","",INDEX(Zeiterfassung!$G$6:$G$3665,$K1962))</f>
        <v/>
      </c>
      <c r="H1962" s="188">
        <f>IF($K1962="","",INDEX(Zeiterfassung!$H$6:$H$3665,$K1962))</f>
        <v/>
      </c>
      <c r="I1962" s="335">
        <f>IF(B1962=B1961,"",IF($K1962="","",INDEX(Zeiterfassung!$I$6:$I$3665,MATCH(INDEX(Zeiterfassung!$K$6:$K$3665,$K1962),Zeiterfassung!$K$6:$K$3665,0))))</f>
        <v/>
      </c>
      <c r="J1962" s="335">
        <f>IF(B1962=B1961,"",IF($K1962="","",INDEX(Zeiterfassung!$J$6:$J$3665,MATCH(INDEX(Zeiterfassung!$K$6:$K$3665,$K1962),Zeiterfassung!$K$6:$K$3665,0))))</f>
        <v/>
      </c>
      <c r="K1962">
        <f>IFERROR(AGGREGATE(15,6,(ROW(Zeiterfassung!$D$6:$D$3665)-ROW(Zeiterfassung!$D$6)+1)/(Zeiterfassung!$D$6:$D$3665&lt;&gt;""),1957),"")</f>
        <v/>
      </c>
    </row>
    <row r="1963" ht="20" customHeight="1">
      <c r="A1963" s="183">
        <f>IF($K1963="","",WEEKNUM(INDEX(Zeiterfassung!$K$6:$K$3665,$K1963),21))</f>
        <v/>
      </c>
      <c r="B1963" s="184">
        <f>IF($K1963="","",INDEX(Zeiterfassung!$K$6:$K$3665,$K1963))</f>
        <v/>
      </c>
      <c r="C1963" s="185">
        <f>IF($K1963="","",INDEX(Zeiterfassung!$K$6:$K$3665,$K1963))</f>
        <v/>
      </c>
      <c r="D1963" s="186">
        <f>IF($K1963="","",INDEX(Zeiterfassung!$D$6:$D$3665,$K1963))</f>
        <v/>
      </c>
      <c r="E1963" s="186">
        <f>IF($K1963="","",INDEX(Zeiterfassung!$E$6:$E$3665,$K1963))</f>
        <v/>
      </c>
      <c r="F1963" s="187">
        <f>IF($K1963="","",INDEX(Zeiterfassung!$F$6:$F$3665,$K1963))</f>
        <v/>
      </c>
      <c r="G1963" s="187">
        <f>IF($K1963="","",INDEX(Zeiterfassung!$G$6:$G$3665,$K1963))</f>
        <v/>
      </c>
      <c r="H1963" s="188">
        <f>IF($K1963="","",INDEX(Zeiterfassung!$H$6:$H$3665,$K1963))</f>
        <v/>
      </c>
      <c r="I1963" s="335">
        <f>IF(B1963=B1962,"",IF($K1963="","",INDEX(Zeiterfassung!$I$6:$I$3665,MATCH(INDEX(Zeiterfassung!$K$6:$K$3665,$K1963),Zeiterfassung!$K$6:$K$3665,0))))</f>
        <v/>
      </c>
      <c r="J1963" s="335">
        <f>IF(B1963=B1962,"",IF($K1963="","",INDEX(Zeiterfassung!$J$6:$J$3665,MATCH(INDEX(Zeiterfassung!$K$6:$K$3665,$K1963),Zeiterfassung!$K$6:$K$3665,0))))</f>
        <v/>
      </c>
      <c r="K1963">
        <f>IFERROR(AGGREGATE(15,6,(ROW(Zeiterfassung!$D$6:$D$3665)-ROW(Zeiterfassung!$D$6)+1)/(Zeiterfassung!$D$6:$D$3665&lt;&gt;""),1958),"")</f>
        <v/>
      </c>
    </row>
    <row r="1964" ht="20" customHeight="1">
      <c r="A1964" s="183">
        <f>IF($K1964="","",WEEKNUM(INDEX(Zeiterfassung!$K$6:$K$3665,$K1964),21))</f>
        <v/>
      </c>
      <c r="B1964" s="184">
        <f>IF($K1964="","",INDEX(Zeiterfassung!$K$6:$K$3665,$K1964))</f>
        <v/>
      </c>
      <c r="C1964" s="185">
        <f>IF($K1964="","",INDEX(Zeiterfassung!$K$6:$K$3665,$K1964))</f>
        <v/>
      </c>
      <c r="D1964" s="186">
        <f>IF($K1964="","",INDEX(Zeiterfassung!$D$6:$D$3665,$K1964))</f>
        <v/>
      </c>
      <c r="E1964" s="186">
        <f>IF($K1964="","",INDEX(Zeiterfassung!$E$6:$E$3665,$K1964))</f>
        <v/>
      </c>
      <c r="F1964" s="187">
        <f>IF($K1964="","",INDEX(Zeiterfassung!$F$6:$F$3665,$K1964))</f>
        <v/>
      </c>
      <c r="G1964" s="187">
        <f>IF($K1964="","",INDEX(Zeiterfassung!$G$6:$G$3665,$K1964))</f>
        <v/>
      </c>
      <c r="H1964" s="188">
        <f>IF($K1964="","",INDEX(Zeiterfassung!$H$6:$H$3665,$K1964))</f>
        <v/>
      </c>
      <c r="I1964" s="335">
        <f>IF(B1964=B1963,"",IF($K1964="","",INDEX(Zeiterfassung!$I$6:$I$3665,MATCH(INDEX(Zeiterfassung!$K$6:$K$3665,$K1964),Zeiterfassung!$K$6:$K$3665,0))))</f>
        <v/>
      </c>
      <c r="J1964" s="335">
        <f>IF(B1964=B1963,"",IF($K1964="","",INDEX(Zeiterfassung!$J$6:$J$3665,MATCH(INDEX(Zeiterfassung!$K$6:$K$3665,$K1964),Zeiterfassung!$K$6:$K$3665,0))))</f>
        <v/>
      </c>
      <c r="K1964">
        <f>IFERROR(AGGREGATE(15,6,(ROW(Zeiterfassung!$D$6:$D$3665)-ROW(Zeiterfassung!$D$6)+1)/(Zeiterfassung!$D$6:$D$3665&lt;&gt;""),1959),"")</f>
        <v/>
      </c>
    </row>
    <row r="1965" ht="20" customHeight="1">
      <c r="A1965" s="183">
        <f>IF($K1965="","",WEEKNUM(INDEX(Zeiterfassung!$K$6:$K$3665,$K1965),21))</f>
        <v/>
      </c>
      <c r="B1965" s="184">
        <f>IF($K1965="","",INDEX(Zeiterfassung!$K$6:$K$3665,$K1965))</f>
        <v/>
      </c>
      <c r="C1965" s="185">
        <f>IF($K1965="","",INDEX(Zeiterfassung!$K$6:$K$3665,$K1965))</f>
        <v/>
      </c>
      <c r="D1965" s="186">
        <f>IF($K1965="","",INDEX(Zeiterfassung!$D$6:$D$3665,$K1965))</f>
        <v/>
      </c>
      <c r="E1965" s="186">
        <f>IF($K1965="","",INDEX(Zeiterfassung!$E$6:$E$3665,$K1965))</f>
        <v/>
      </c>
      <c r="F1965" s="187">
        <f>IF($K1965="","",INDEX(Zeiterfassung!$F$6:$F$3665,$K1965))</f>
        <v/>
      </c>
      <c r="G1965" s="187">
        <f>IF($K1965="","",INDEX(Zeiterfassung!$G$6:$G$3665,$K1965))</f>
        <v/>
      </c>
      <c r="H1965" s="188">
        <f>IF($K1965="","",INDEX(Zeiterfassung!$H$6:$H$3665,$K1965))</f>
        <v/>
      </c>
      <c r="I1965" s="335">
        <f>IF(B1965=B1964,"",IF($K1965="","",INDEX(Zeiterfassung!$I$6:$I$3665,MATCH(INDEX(Zeiterfassung!$K$6:$K$3665,$K1965),Zeiterfassung!$K$6:$K$3665,0))))</f>
        <v/>
      </c>
      <c r="J1965" s="335">
        <f>IF(B1965=B1964,"",IF($K1965="","",INDEX(Zeiterfassung!$J$6:$J$3665,MATCH(INDEX(Zeiterfassung!$K$6:$K$3665,$K1965),Zeiterfassung!$K$6:$K$3665,0))))</f>
        <v/>
      </c>
      <c r="K1965">
        <f>IFERROR(AGGREGATE(15,6,(ROW(Zeiterfassung!$D$6:$D$3665)-ROW(Zeiterfassung!$D$6)+1)/(Zeiterfassung!$D$6:$D$3665&lt;&gt;""),1960),"")</f>
        <v/>
      </c>
    </row>
    <row r="1966" ht="20" customHeight="1">
      <c r="A1966" s="183">
        <f>IF($K1966="","",WEEKNUM(INDEX(Zeiterfassung!$K$6:$K$3665,$K1966),21))</f>
        <v/>
      </c>
      <c r="B1966" s="184">
        <f>IF($K1966="","",INDEX(Zeiterfassung!$K$6:$K$3665,$K1966))</f>
        <v/>
      </c>
      <c r="C1966" s="185">
        <f>IF($K1966="","",INDEX(Zeiterfassung!$K$6:$K$3665,$K1966))</f>
        <v/>
      </c>
      <c r="D1966" s="186">
        <f>IF($K1966="","",INDEX(Zeiterfassung!$D$6:$D$3665,$K1966))</f>
        <v/>
      </c>
      <c r="E1966" s="186">
        <f>IF($K1966="","",INDEX(Zeiterfassung!$E$6:$E$3665,$K1966))</f>
        <v/>
      </c>
      <c r="F1966" s="187">
        <f>IF($K1966="","",INDEX(Zeiterfassung!$F$6:$F$3665,$K1966))</f>
        <v/>
      </c>
      <c r="G1966" s="187">
        <f>IF($K1966="","",INDEX(Zeiterfassung!$G$6:$G$3665,$K1966))</f>
        <v/>
      </c>
      <c r="H1966" s="188">
        <f>IF($K1966="","",INDEX(Zeiterfassung!$H$6:$H$3665,$K1966))</f>
        <v/>
      </c>
      <c r="I1966" s="335">
        <f>IF(B1966=B1965,"",IF($K1966="","",INDEX(Zeiterfassung!$I$6:$I$3665,MATCH(INDEX(Zeiterfassung!$K$6:$K$3665,$K1966),Zeiterfassung!$K$6:$K$3665,0))))</f>
        <v/>
      </c>
      <c r="J1966" s="335">
        <f>IF(B1966=B1965,"",IF($K1966="","",INDEX(Zeiterfassung!$J$6:$J$3665,MATCH(INDEX(Zeiterfassung!$K$6:$K$3665,$K1966),Zeiterfassung!$K$6:$K$3665,0))))</f>
        <v/>
      </c>
      <c r="K1966">
        <f>IFERROR(AGGREGATE(15,6,(ROW(Zeiterfassung!$D$6:$D$3665)-ROW(Zeiterfassung!$D$6)+1)/(Zeiterfassung!$D$6:$D$3665&lt;&gt;""),1961),"")</f>
        <v/>
      </c>
    </row>
    <row r="1967" ht="20" customHeight="1">
      <c r="A1967" s="183">
        <f>IF($K1967="","",WEEKNUM(INDEX(Zeiterfassung!$K$6:$K$3665,$K1967),21))</f>
        <v/>
      </c>
      <c r="B1967" s="184">
        <f>IF($K1967="","",INDEX(Zeiterfassung!$K$6:$K$3665,$K1967))</f>
        <v/>
      </c>
      <c r="C1967" s="185">
        <f>IF($K1967="","",INDEX(Zeiterfassung!$K$6:$K$3665,$K1967))</f>
        <v/>
      </c>
      <c r="D1967" s="186">
        <f>IF($K1967="","",INDEX(Zeiterfassung!$D$6:$D$3665,$K1967))</f>
        <v/>
      </c>
      <c r="E1967" s="186">
        <f>IF($K1967="","",INDEX(Zeiterfassung!$E$6:$E$3665,$K1967))</f>
        <v/>
      </c>
      <c r="F1967" s="187">
        <f>IF($K1967="","",INDEX(Zeiterfassung!$F$6:$F$3665,$K1967))</f>
        <v/>
      </c>
      <c r="G1967" s="187">
        <f>IF($K1967="","",INDEX(Zeiterfassung!$G$6:$G$3665,$K1967))</f>
        <v/>
      </c>
      <c r="H1967" s="188">
        <f>IF($K1967="","",INDEX(Zeiterfassung!$H$6:$H$3665,$K1967))</f>
        <v/>
      </c>
      <c r="I1967" s="335">
        <f>IF(B1967=B1966,"",IF($K1967="","",INDEX(Zeiterfassung!$I$6:$I$3665,MATCH(INDEX(Zeiterfassung!$K$6:$K$3665,$K1967),Zeiterfassung!$K$6:$K$3665,0))))</f>
        <v/>
      </c>
      <c r="J1967" s="335">
        <f>IF(B1967=B1966,"",IF($K1967="","",INDEX(Zeiterfassung!$J$6:$J$3665,MATCH(INDEX(Zeiterfassung!$K$6:$K$3665,$K1967),Zeiterfassung!$K$6:$K$3665,0))))</f>
        <v/>
      </c>
      <c r="K1967">
        <f>IFERROR(AGGREGATE(15,6,(ROW(Zeiterfassung!$D$6:$D$3665)-ROW(Zeiterfassung!$D$6)+1)/(Zeiterfassung!$D$6:$D$3665&lt;&gt;""),1962),"")</f>
        <v/>
      </c>
    </row>
    <row r="1968" ht="20" customHeight="1">
      <c r="A1968" s="183">
        <f>IF($K1968="","",WEEKNUM(INDEX(Zeiterfassung!$K$6:$K$3665,$K1968),21))</f>
        <v/>
      </c>
      <c r="B1968" s="184">
        <f>IF($K1968="","",INDEX(Zeiterfassung!$K$6:$K$3665,$K1968))</f>
        <v/>
      </c>
      <c r="C1968" s="185">
        <f>IF($K1968="","",INDEX(Zeiterfassung!$K$6:$K$3665,$K1968))</f>
        <v/>
      </c>
      <c r="D1968" s="186">
        <f>IF($K1968="","",INDEX(Zeiterfassung!$D$6:$D$3665,$K1968))</f>
        <v/>
      </c>
      <c r="E1968" s="186">
        <f>IF($K1968="","",INDEX(Zeiterfassung!$E$6:$E$3665,$K1968))</f>
        <v/>
      </c>
      <c r="F1968" s="187">
        <f>IF($K1968="","",INDEX(Zeiterfassung!$F$6:$F$3665,$K1968))</f>
        <v/>
      </c>
      <c r="G1968" s="187">
        <f>IF($K1968="","",INDEX(Zeiterfassung!$G$6:$G$3665,$K1968))</f>
        <v/>
      </c>
      <c r="H1968" s="188">
        <f>IF($K1968="","",INDEX(Zeiterfassung!$H$6:$H$3665,$K1968))</f>
        <v/>
      </c>
      <c r="I1968" s="335">
        <f>IF(B1968=B1967,"",IF($K1968="","",INDEX(Zeiterfassung!$I$6:$I$3665,MATCH(INDEX(Zeiterfassung!$K$6:$K$3665,$K1968),Zeiterfassung!$K$6:$K$3665,0))))</f>
        <v/>
      </c>
      <c r="J1968" s="335">
        <f>IF(B1968=B1967,"",IF($K1968="","",INDEX(Zeiterfassung!$J$6:$J$3665,MATCH(INDEX(Zeiterfassung!$K$6:$K$3665,$K1968),Zeiterfassung!$K$6:$K$3665,0))))</f>
        <v/>
      </c>
      <c r="K1968">
        <f>IFERROR(AGGREGATE(15,6,(ROW(Zeiterfassung!$D$6:$D$3665)-ROW(Zeiterfassung!$D$6)+1)/(Zeiterfassung!$D$6:$D$3665&lt;&gt;""),1963),"")</f>
        <v/>
      </c>
    </row>
    <row r="1969" ht="20" customHeight="1">
      <c r="A1969" s="183">
        <f>IF($K1969="","",WEEKNUM(INDEX(Zeiterfassung!$K$6:$K$3665,$K1969),21))</f>
        <v/>
      </c>
      <c r="B1969" s="184">
        <f>IF($K1969="","",INDEX(Zeiterfassung!$K$6:$K$3665,$K1969))</f>
        <v/>
      </c>
      <c r="C1969" s="185">
        <f>IF($K1969="","",INDEX(Zeiterfassung!$K$6:$K$3665,$K1969))</f>
        <v/>
      </c>
      <c r="D1969" s="186">
        <f>IF($K1969="","",INDEX(Zeiterfassung!$D$6:$D$3665,$K1969))</f>
        <v/>
      </c>
      <c r="E1969" s="186">
        <f>IF($K1969="","",INDEX(Zeiterfassung!$E$6:$E$3665,$K1969))</f>
        <v/>
      </c>
      <c r="F1969" s="187">
        <f>IF($K1969="","",INDEX(Zeiterfassung!$F$6:$F$3665,$K1969))</f>
        <v/>
      </c>
      <c r="G1969" s="187">
        <f>IF($K1969="","",INDEX(Zeiterfassung!$G$6:$G$3665,$K1969))</f>
        <v/>
      </c>
      <c r="H1969" s="188">
        <f>IF($K1969="","",INDEX(Zeiterfassung!$H$6:$H$3665,$K1969))</f>
        <v/>
      </c>
      <c r="I1969" s="335">
        <f>IF(B1969=B1968,"",IF($K1969="","",INDEX(Zeiterfassung!$I$6:$I$3665,MATCH(INDEX(Zeiterfassung!$K$6:$K$3665,$K1969),Zeiterfassung!$K$6:$K$3665,0))))</f>
        <v/>
      </c>
      <c r="J1969" s="335">
        <f>IF(B1969=B1968,"",IF($K1969="","",INDEX(Zeiterfassung!$J$6:$J$3665,MATCH(INDEX(Zeiterfassung!$K$6:$K$3665,$K1969),Zeiterfassung!$K$6:$K$3665,0))))</f>
        <v/>
      </c>
      <c r="K1969">
        <f>IFERROR(AGGREGATE(15,6,(ROW(Zeiterfassung!$D$6:$D$3665)-ROW(Zeiterfassung!$D$6)+1)/(Zeiterfassung!$D$6:$D$3665&lt;&gt;""),1964),"")</f>
        <v/>
      </c>
    </row>
    <row r="1970" ht="20" customHeight="1">
      <c r="A1970" s="183">
        <f>IF($K1970="","",WEEKNUM(INDEX(Zeiterfassung!$K$6:$K$3665,$K1970),21))</f>
        <v/>
      </c>
      <c r="B1970" s="184">
        <f>IF($K1970="","",INDEX(Zeiterfassung!$K$6:$K$3665,$K1970))</f>
        <v/>
      </c>
      <c r="C1970" s="185">
        <f>IF($K1970="","",INDEX(Zeiterfassung!$K$6:$K$3665,$K1970))</f>
        <v/>
      </c>
      <c r="D1970" s="186">
        <f>IF($K1970="","",INDEX(Zeiterfassung!$D$6:$D$3665,$K1970))</f>
        <v/>
      </c>
      <c r="E1970" s="186">
        <f>IF($K1970="","",INDEX(Zeiterfassung!$E$6:$E$3665,$K1970))</f>
        <v/>
      </c>
      <c r="F1970" s="187">
        <f>IF($K1970="","",INDEX(Zeiterfassung!$F$6:$F$3665,$K1970))</f>
        <v/>
      </c>
      <c r="G1970" s="187">
        <f>IF($K1970="","",INDEX(Zeiterfassung!$G$6:$G$3665,$K1970))</f>
        <v/>
      </c>
      <c r="H1970" s="188">
        <f>IF($K1970="","",INDEX(Zeiterfassung!$H$6:$H$3665,$K1970))</f>
        <v/>
      </c>
      <c r="I1970" s="335">
        <f>IF(B1970=B1969,"",IF($K1970="","",INDEX(Zeiterfassung!$I$6:$I$3665,MATCH(INDEX(Zeiterfassung!$K$6:$K$3665,$K1970),Zeiterfassung!$K$6:$K$3665,0))))</f>
        <v/>
      </c>
      <c r="J1970" s="335">
        <f>IF(B1970=B1969,"",IF($K1970="","",INDEX(Zeiterfassung!$J$6:$J$3665,MATCH(INDEX(Zeiterfassung!$K$6:$K$3665,$K1970),Zeiterfassung!$K$6:$K$3665,0))))</f>
        <v/>
      </c>
      <c r="K1970">
        <f>IFERROR(AGGREGATE(15,6,(ROW(Zeiterfassung!$D$6:$D$3665)-ROW(Zeiterfassung!$D$6)+1)/(Zeiterfassung!$D$6:$D$3665&lt;&gt;""),1965),"")</f>
        <v/>
      </c>
    </row>
    <row r="1971" ht="20" customHeight="1">
      <c r="A1971" s="183">
        <f>IF($K1971="","",WEEKNUM(INDEX(Zeiterfassung!$K$6:$K$3665,$K1971),21))</f>
        <v/>
      </c>
      <c r="B1971" s="184">
        <f>IF($K1971="","",INDEX(Zeiterfassung!$K$6:$K$3665,$K1971))</f>
        <v/>
      </c>
      <c r="C1971" s="185">
        <f>IF($K1971="","",INDEX(Zeiterfassung!$K$6:$K$3665,$K1971))</f>
        <v/>
      </c>
      <c r="D1971" s="186">
        <f>IF($K1971="","",INDEX(Zeiterfassung!$D$6:$D$3665,$K1971))</f>
        <v/>
      </c>
      <c r="E1971" s="186">
        <f>IF($K1971="","",INDEX(Zeiterfassung!$E$6:$E$3665,$K1971))</f>
        <v/>
      </c>
      <c r="F1971" s="187">
        <f>IF($K1971="","",INDEX(Zeiterfassung!$F$6:$F$3665,$K1971))</f>
        <v/>
      </c>
      <c r="G1971" s="187">
        <f>IF($K1971="","",INDEX(Zeiterfassung!$G$6:$G$3665,$K1971))</f>
        <v/>
      </c>
      <c r="H1971" s="188">
        <f>IF($K1971="","",INDEX(Zeiterfassung!$H$6:$H$3665,$K1971))</f>
        <v/>
      </c>
      <c r="I1971" s="335">
        <f>IF(B1971=B1970,"",IF($K1971="","",INDEX(Zeiterfassung!$I$6:$I$3665,MATCH(INDEX(Zeiterfassung!$K$6:$K$3665,$K1971),Zeiterfassung!$K$6:$K$3665,0))))</f>
        <v/>
      </c>
      <c r="J1971" s="335">
        <f>IF(B1971=B1970,"",IF($K1971="","",INDEX(Zeiterfassung!$J$6:$J$3665,MATCH(INDEX(Zeiterfassung!$K$6:$K$3665,$K1971),Zeiterfassung!$K$6:$K$3665,0))))</f>
        <v/>
      </c>
      <c r="K1971">
        <f>IFERROR(AGGREGATE(15,6,(ROW(Zeiterfassung!$D$6:$D$3665)-ROW(Zeiterfassung!$D$6)+1)/(Zeiterfassung!$D$6:$D$3665&lt;&gt;""),1966),"")</f>
        <v/>
      </c>
    </row>
    <row r="1972" ht="20" customHeight="1">
      <c r="A1972" s="183">
        <f>IF($K1972="","",WEEKNUM(INDEX(Zeiterfassung!$K$6:$K$3665,$K1972),21))</f>
        <v/>
      </c>
      <c r="B1972" s="184">
        <f>IF($K1972="","",INDEX(Zeiterfassung!$K$6:$K$3665,$K1972))</f>
        <v/>
      </c>
      <c r="C1972" s="185">
        <f>IF($K1972="","",INDEX(Zeiterfassung!$K$6:$K$3665,$K1972))</f>
        <v/>
      </c>
      <c r="D1972" s="186">
        <f>IF($K1972="","",INDEX(Zeiterfassung!$D$6:$D$3665,$K1972))</f>
        <v/>
      </c>
      <c r="E1972" s="186">
        <f>IF($K1972="","",INDEX(Zeiterfassung!$E$6:$E$3665,$K1972))</f>
        <v/>
      </c>
      <c r="F1972" s="187">
        <f>IF($K1972="","",INDEX(Zeiterfassung!$F$6:$F$3665,$K1972))</f>
        <v/>
      </c>
      <c r="G1972" s="187">
        <f>IF($K1972="","",INDEX(Zeiterfassung!$G$6:$G$3665,$K1972))</f>
        <v/>
      </c>
      <c r="H1972" s="188">
        <f>IF($K1972="","",INDEX(Zeiterfassung!$H$6:$H$3665,$K1972))</f>
        <v/>
      </c>
      <c r="I1972" s="335">
        <f>IF(B1972=B1971,"",IF($K1972="","",INDEX(Zeiterfassung!$I$6:$I$3665,MATCH(INDEX(Zeiterfassung!$K$6:$K$3665,$K1972),Zeiterfassung!$K$6:$K$3665,0))))</f>
        <v/>
      </c>
      <c r="J1972" s="335">
        <f>IF(B1972=B1971,"",IF($K1972="","",INDEX(Zeiterfassung!$J$6:$J$3665,MATCH(INDEX(Zeiterfassung!$K$6:$K$3665,$K1972),Zeiterfassung!$K$6:$K$3665,0))))</f>
        <v/>
      </c>
      <c r="K1972">
        <f>IFERROR(AGGREGATE(15,6,(ROW(Zeiterfassung!$D$6:$D$3665)-ROW(Zeiterfassung!$D$6)+1)/(Zeiterfassung!$D$6:$D$3665&lt;&gt;""),1967),"")</f>
        <v/>
      </c>
    </row>
    <row r="1973" ht="20" customHeight="1">
      <c r="A1973" s="183">
        <f>IF($K1973="","",WEEKNUM(INDEX(Zeiterfassung!$K$6:$K$3665,$K1973),21))</f>
        <v/>
      </c>
      <c r="B1973" s="184">
        <f>IF($K1973="","",INDEX(Zeiterfassung!$K$6:$K$3665,$K1973))</f>
        <v/>
      </c>
      <c r="C1973" s="185">
        <f>IF($K1973="","",INDEX(Zeiterfassung!$K$6:$K$3665,$K1973))</f>
        <v/>
      </c>
      <c r="D1973" s="186">
        <f>IF($K1973="","",INDEX(Zeiterfassung!$D$6:$D$3665,$K1973))</f>
        <v/>
      </c>
      <c r="E1973" s="186">
        <f>IF($K1973="","",INDEX(Zeiterfassung!$E$6:$E$3665,$K1973))</f>
        <v/>
      </c>
      <c r="F1973" s="187">
        <f>IF($K1973="","",INDEX(Zeiterfassung!$F$6:$F$3665,$K1973))</f>
        <v/>
      </c>
      <c r="G1973" s="187">
        <f>IF($K1973="","",INDEX(Zeiterfassung!$G$6:$G$3665,$K1973))</f>
        <v/>
      </c>
      <c r="H1973" s="188">
        <f>IF($K1973="","",INDEX(Zeiterfassung!$H$6:$H$3665,$K1973))</f>
        <v/>
      </c>
      <c r="I1973" s="335">
        <f>IF(B1973=B1972,"",IF($K1973="","",INDEX(Zeiterfassung!$I$6:$I$3665,MATCH(INDEX(Zeiterfassung!$K$6:$K$3665,$K1973),Zeiterfassung!$K$6:$K$3665,0))))</f>
        <v/>
      </c>
      <c r="J1973" s="335">
        <f>IF(B1973=B1972,"",IF($K1973="","",INDEX(Zeiterfassung!$J$6:$J$3665,MATCH(INDEX(Zeiterfassung!$K$6:$K$3665,$K1973),Zeiterfassung!$K$6:$K$3665,0))))</f>
        <v/>
      </c>
      <c r="K1973">
        <f>IFERROR(AGGREGATE(15,6,(ROW(Zeiterfassung!$D$6:$D$3665)-ROW(Zeiterfassung!$D$6)+1)/(Zeiterfassung!$D$6:$D$3665&lt;&gt;""),1968),"")</f>
        <v/>
      </c>
    </row>
    <row r="1974" ht="20" customHeight="1">
      <c r="A1974" s="183">
        <f>IF($K1974="","",WEEKNUM(INDEX(Zeiterfassung!$K$6:$K$3665,$K1974),21))</f>
        <v/>
      </c>
      <c r="B1974" s="184">
        <f>IF($K1974="","",INDEX(Zeiterfassung!$K$6:$K$3665,$K1974))</f>
        <v/>
      </c>
      <c r="C1974" s="185">
        <f>IF($K1974="","",INDEX(Zeiterfassung!$K$6:$K$3665,$K1974))</f>
        <v/>
      </c>
      <c r="D1974" s="186">
        <f>IF($K1974="","",INDEX(Zeiterfassung!$D$6:$D$3665,$K1974))</f>
        <v/>
      </c>
      <c r="E1974" s="186">
        <f>IF($K1974="","",INDEX(Zeiterfassung!$E$6:$E$3665,$K1974))</f>
        <v/>
      </c>
      <c r="F1974" s="187">
        <f>IF($K1974="","",INDEX(Zeiterfassung!$F$6:$F$3665,$K1974))</f>
        <v/>
      </c>
      <c r="G1974" s="187">
        <f>IF($K1974="","",INDEX(Zeiterfassung!$G$6:$G$3665,$K1974))</f>
        <v/>
      </c>
      <c r="H1974" s="188">
        <f>IF($K1974="","",INDEX(Zeiterfassung!$H$6:$H$3665,$K1974))</f>
        <v/>
      </c>
      <c r="I1974" s="335">
        <f>IF(B1974=B1973,"",IF($K1974="","",INDEX(Zeiterfassung!$I$6:$I$3665,MATCH(INDEX(Zeiterfassung!$K$6:$K$3665,$K1974),Zeiterfassung!$K$6:$K$3665,0))))</f>
        <v/>
      </c>
      <c r="J1974" s="335">
        <f>IF(B1974=B1973,"",IF($K1974="","",INDEX(Zeiterfassung!$J$6:$J$3665,MATCH(INDEX(Zeiterfassung!$K$6:$K$3665,$K1974),Zeiterfassung!$K$6:$K$3665,0))))</f>
        <v/>
      </c>
      <c r="K1974">
        <f>IFERROR(AGGREGATE(15,6,(ROW(Zeiterfassung!$D$6:$D$3665)-ROW(Zeiterfassung!$D$6)+1)/(Zeiterfassung!$D$6:$D$3665&lt;&gt;""),1969),"")</f>
        <v/>
      </c>
    </row>
    <row r="1975" ht="20" customHeight="1">
      <c r="A1975" s="183">
        <f>IF($K1975="","",WEEKNUM(INDEX(Zeiterfassung!$K$6:$K$3665,$K1975),21))</f>
        <v/>
      </c>
      <c r="B1975" s="184">
        <f>IF($K1975="","",INDEX(Zeiterfassung!$K$6:$K$3665,$K1975))</f>
        <v/>
      </c>
      <c r="C1975" s="185">
        <f>IF($K1975="","",INDEX(Zeiterfassung!$K$6:$K$3665,$K1975))</f>
        <v/>
      </c>
      <c r="D1975" s="186">
        <f>IF($K1975="","",INDEX(Zeiterfassung!$D$6:$D$3665,$K1975))</f>
        <v/>
      </c>
      <c r="E1975" s="186">
        <f>IF($K1975="","",INDEX(Zeiterfassung!$E$6:$E$3665,$K1975))</f>
        <v/>
      </c>
      <c r="F1975" s="187">
        <f>IF($K1975="","",INDEX(Zeiterfassung!$F$6:$F$3665,$K1975))</f>
        <v/>
      </c>
      <c r="G1975" s="187">
        <f>IF($K1975="","",INDEX(Zeiterfassung!$G$6:$G$3665,$K1975))</f>
        <v/>
      </c>
      <c r="H1975" s="188">
        <f>IF($K1975="","",INDEX(Zeiterfassung!$H$6:$H$3665,$K1975))</f>
        <v/>
      </c>
      <c r="I1975" s="335">
        <f>IF(B1975=B1974,"",IF($K1975="","",INDEX(Zeiterfassung!$I$6:$I$3665,MATCH(INDEX(Zeiterfassung!$K$6:$K$3665,$K1975),Zeiterfassung!$K$6:$K$3665,0))))</f>
        <v/>
      </c>
      <c r="J1975" s="335">
        <f>IF(B1975=B1974,"",IF($K1975="","",INDEX(Zeiterfassung!$J$6:$J$3665,MATCH(INDEX(Zeiterfassung!$K$6:$K$3665,$K1975),Zeiterfassung!$K$6:$K$3665,0))))</f>
        <v/>
      </c>
      <c r="K1975">
        <f>IFERROR(AGGREGATE(15,6,(ROW(Zeiterfassung!$D$6:$D$3665)-ROW(Zeiterfassung!$D$6)+1)/(Zeiterfassung!$D$6:$D$3665&lt;&gt;""),1970),"")</f>
        <v/>
      </c>
    </row>
    <row r="1976" ht="20" customHeight="1">
      <c r="A1976" s="183">
        <f>IF($K1976="","",WEEKNUM(INDEX(Zeiterfassung!$K$6:$K$3665,$K1976),21))</f>
        <v/>
      </c>
      <c r="B1976" s="184">
        <f>IF($K1976="","",INDEX(Zeiterfassung!$K$6:$K$3665,$K1976))</f>
        <v/>
      </c>
      <c r="C1976" s="185">
        <f>IF($K1976="","",INDEX(Zeiterfassung!$K$6:$K$3665,$K1976))</f>
        <v/>
      </c>
      <c r="D1976" s="186">
        <f>IF($K1976="","",INDEX(Zeiterfassung!$D$6:$D$3665,$K1976))</f>
        <v/>
      </c>
      <c r="E1976" s="186">
        <f>IF($K1976="","",INDEX(Zeiterfassung!$E$6:$E$3665,$K1976))</f>
        <v/>
      </c>
      <c r="F1976" s="187">
        <f>IF($K1976="","",INDEX(Zeiterfassung!$F$6:$F$3665,$K1976))</f>
        <v/>
      </c>
      <c r="G1976" s="187">
        <f>IF($K1976="","",INDEX(Zeiterfassung!$G$6:$G$3665,$K1976))</f>
        <v/>
      </c>
      <c r="H1976" s="188">
        <f>IF($K1976="","",INDEX(Zeiterfassung!$H$6:$H$3665,$K1976))</f>
        <v/>
      </c>
      <c r="I1976" s="335">
        <f>IF(B1976=B1975,"",IF($K1976="","",INDEX(Zeiterfassung!$I$6:$I$3665,MATCH(INDEX(Zeiterfassung!$K$6:$K$3665,$K1976),Zeiterfassung!$K$6:$K$3665,0))))</f>
        <v/>
      </c>
      <c r="J1976" s="335">
        <f>IF(B1976=B1975,"",IF($K1976="","",INDEX(Zeiterfassung!$J$6:$J$3665,MATCH(INDEX(Zeiterfassung!$K$6:$K$3665,$K1976),Zeiterfassung!$K$6:$K$3665,0))))</f>
        <v/>
      </c>
      <c r="K1976">
        <f>IFERROR(AGGREGATE(15,6,(ROW(Zeiterfassung!$D$6:$D$3665)-ROW(Zeiterfassung!$D$6)+1)/(Zeiterfassung!$D$6:$D$3665&lt;&gt;""),1971),"")</f>
        <v/>
      </c>
    </row>
    <row r="1977" ht="20" customHeight="1">
      <c r="A1977" s="183">
        <f>IF($K1977="","",WEEKNUM(INDEX(Zeiterfassung!$K$6:$K$3665,$K1977),21))</f>
        <v/>
      </c>
      <c r="B1977" s="184">
        <f>IF($K1977="","",INDEX(Zeiterfassung!$K$6:$K$3665,$K1977))</f>
        <v/>
      </c>
      <c r="C1977" s="185">
        <f>IF($K1977="","",INDEX(Zeiterfassung!$K$6:$K$3665,$K1977))</f>
        <v/>
      </c>
      <c r="D1977" s="186">
        <f>IF($K1977="","",INDEX(Zeiterfassung!$D$6:$D$3665,$K1977))</f>
        <v/>
      </c>
      <c r="E1977" s="186">
        <f>IF($K1977="","",INDEX(Zeiterfassung!$E$6:$E$3665,$K1977))</f>
        <v/>
      </c>
      <c r="F1977" s="187">
        <f>IF($K1977="","",INDEX(Zeiterfassung!$F$6:$F$3665,$K1977))</f>
        <v/>
      </c>
      <c r="G1977" s="187">
        <f>IF($K1977="","",INDEX(Zeiterfassung!$G$6:$G$3665,$K1977))</f>
        <v/>
      </c>
      <c r="H1977" s="188">
        <f>IF($K1977="","",INDEX(Zeiterfassung!$H$6:$H$3665,$K1977))</f>
        <v/>
      </c>
      <c r="I1977" s="335">
        <f>IF(B1977=B1976,"",IF($K1977="","",INDEX(Zeiterfassung!$I$6:$I$3665,MATCH(INDEX(Zeiterfassung!$K$6:$K$3665,$K1977),Zeiterfassung!$K$6:$K$3665,0))))</f>
        <v/>
      </c>
      <c r="J1977" s="335">
        <f>IF(B1977=B1976,"",IF($K1977="","",INDEX(Zeiterfassung!$J$6:$J$3665,MATCH(INDEX(Zeiterfassung!$K$6:$K$3665,$K1977),Zeiterfassung!$K$6:$K$3665,0))))</f>
        <v/>
      </c>
      <c r="K1977">
        <f>IFERROR(AGGREGATE(15,6,(ROW(Zeiterfassung!$D$6:$D$3665)-ROW(Zeiterfassung!$D$6)+1)/(Zeiterfassung!$D$6:$D$3665&lt;&gt;""),1972),"")</f>
        <v/>
      </c>
    </row>
    <row r="1978" ht="20" customHeight="1">
      <c r="A1978" s="183">
        <f>IF($K1978="","",WEEKNUM(INDEX(Zeiterfassung!$K$6:$K$3665,$K1978),21))</f>
        <v/>
      </c>
      <c r="B1978" s="184">
        <f>IF($K1978="","",INDEX(Zeiterfassung!$K$6:$K$3665,$K1978))</f>
        <v/>
      </c>
      <c r="C1978" s="185">
        <f>IF($K1978="","",INDEX(Zeiterfassung!$K$6:$K$3665,$K1978))</f>
        <v/>
      </c>
      <c r="D1978" s="186">
        <f>IF($K1978="","",INDEX(Zeiterfassung!$D$6:$D$3665,$K1978))</f>
        <v/>
      </c>
      <c r="E1978" s="186">
        <f>IF($K1978="","",INDEX(Zeiterfassung!$E$6:$E$3665,$K1978))</f>
        <v/>
      </c>
      <c r="F1978" s="187">
        <f>IF($K1978="","",INDEX(Zeiterfassung!$F$6:$F$3665,$K1978))</f>
        <v/>
      </c>
      <c r="G1978" s="187">
        <f>IF($K1978="","",INDEX(Zeiterfassung!$G$6:$G$3665,$K1978))</f>
        <v/>
      </c>
      <c r="H1978" s="188">
        <f>IF($K1978="","",INDEX(Zeiterfassung!$H$6:$H$3665,$K1978))</f>
        <v/>
      </c>
      <c r="I1978" s="335">
        <f>IF(B1978=B1977,"",IF($K1978="","",INDEX(Zeiterfassung!$I$6:$I$3665,MATCH(INDEX(Zeiterfassung!$K$6:$K$3665,$K1978),Zeiterfassung!$K$6:$K$3665,0))))</f>
        <v/>
      </c>
      <c r="J1978" s="335">
        <f>IF(B1978=B1977,"",IF($K1978="","",INDEX(Zeiterfassung!$J$6:$J$3665,MATCH(INDEX(Zeiterfassung!$K$6:$K$3665,$K1978),Zeiterfassung!$K$6:$K$3665,0))))</f>
        <v/>
      </c>
      <c r="K1978">
        <f>IFERROR(AGGREGATE(15,6,(ROW(Zeiterfassung!$D$6:$D$3665)-ROW(Zeiterfassung!$D$6)+1)/(Zeiterfassung!$D$6:$D$3665&lt;&gt;""),1973),"")</f>
        <v/>
      </c>
    </row>
    <row r="1979" ht="20" customHeight="1">
      <c r="A1979" s="183">
        <f>IF($K1979="","",WEEKNUM(INDEX(Zeiterfassung!$K$6:$K$3665,$K1979),21))</f>
        <v/>
      </c>
      <c r="B1979" s="184">
        <f>IF($K1979="","",INDEX(Zeiterfassung!$K$6:$K$3665,$K1979))</f>
        <v/>
      </c>
      <c r="C1979" s="185">
        <f>IF($K1979="","",INDEX(Zeiterfassung!$K$6:$K$3665,$K1979))</f>
        <v/>
      </c>
      <c r="D1979" s="186">
        <f>IF($K1979="","",INDEX(Zeiterfassung!$D$6:$D$3665,$K1979))</f>
        <v/>
      </c>
      <c r="E1979" s="186">
        <f>IF($K1979="","",INDEX(Zeiterfassung!$E$6:$E$3665,$K1979))</f>
        <v/>
      </c>
      <c r="F1979" s="187">
        <f>IF($K1979="","",INDEX(Zeiterfassung!$F$6:$F$3665,$K1979))</f>
        <v/>
      </c>
      <c r="G1979" s="187">
        <f>IF($K1979="","",INDEX(Zeiterfassung!$G$6:$G$3665,$K1979))</f>
        <v/>
      </c>
      <c r="H1979" s="188">
        <f>IF($K1979="","",INDEX(Zeiterfassung!$H$6:$H$3665,$K1979))</f>
        <v/>
      </c>
      <c r="I1979" s="335">
        <f>IF(B1979=B1978,"",IF($K1979="","",INDEX(Zeiterfassung!$I$6:$I$3665,MATCH(INDEX(Zeiterfassung!$K$6:$K$3665,$K1979),Zeiterfassung!$K$6:$K$3665,0))))</f>
        <v/>
      </c>
      <c r="J1979" s="335">
        <f>IF(B1979=B1978,"",IF($K1979="","",INDEX(Zeiterfassung!$J$6:$J$3665,MATCH(INDEX(Zeiterfassung!$K$6:$K$3665,$K1979),Zeiterfassung!$K$6:$K$3665,0))))</f>
        <v/>
      </c>
      <c r="K1979">
        <f>IFERROR(AGGREGATE(15,6,(ROW(Zeiterfassung!$D$6:$D$3665)-ROW(Zeiterfassung!$D$6)+1)/(Zeiterfassung!$D$6:$D$3665&lt;&gt;""),1974),"")</f>
        <v/>
      </c>
    </row>
    <row r="1980" ht="20" customHeight="1">
      <c r="A1980" s="183">
        <f>IF($K1980="","",WEEKNUM(INDEX(Zeiterfassung!$K$6:$K$3665,$K1980),21))</f>
        <v/>
      </c>
      <c r="B1980" s="184">
        <f>IF($K1980="","",INDEX(Zeiterfassung!$K$6:$K$3665,$K1980))</f>
        <v/>
      </c>
      <c r="C1980" s="185">
        <f>IF($K1980="","",INDEX(Zeiterfassung!$K$6:$K$3665,$K1980))</f>
        <v/>
      </c>
      <c r="D1980" s="186">
        <f>IF($K1980="","",INDEX(Zeiterfassung!$D$6:$D$3665,$K1980))</f>
        <v/>
      </c>
      <c r="E1980" s="186">
        <f>IF($K1980="","",INDEX(Zeiterfassung!$E$6:$E$3665,$K1980))</f>
        <v/>
      </c>
      <c r="F1980" s="187">
        <f>IF($K1980="","",INDEX(Zeiterfassung!$F$6:$F$3665,$K1980))</f>
        <v/>
      </c>
      <c r="G1980" s="187">
        <f>IF($K1980="","",INDEX(Zeiterfassung!$G$6:$G$3665,$K1980))</f>
        <v/>
      </c>
      <c r="H1980" s="188">
        <f>IF($K1980="","",INDEX(Zeiterfassung!$H$6:$H$3665,$K1980))</f>
        <v/>
      </c>
      <c r="I1980" s="335">
        <f>IF(B1980=B1979,"",IF($K1980="","",INDEX(Zeiterfassung!$I$6:$I$3665,MATCH(INDEX(Zeiterfassung!$K$6:$K$3665,$K1980),Zeiterfassung!$K$6:$K$3665,0))))</f>
        <v/>
      </c>
      <c r="J1980" s="335">
        <f>IF(B1980=B1979,"",IF($K1980="","",INDEX(Zeiterfassung!$J$6:$J$3665,MATCH(INDEX(Zeiterfassung!$K$6:$K$3665,$K1980),Zeiterfassung!$K$6:$K$3665,0))))</f>
        <v/>
      </c>
      <c r="K1980">
        <f>IFERROR(AGGREGATE(15,6,(ROW(Zeiterfassung!$D$6:$D$3665)-ROW(Zeiterfassung!$D$6)+1)/(Zeiterfassung!$D$6:$D$3665&lt;&gt;""),1975),"")</f>
        <v/>
      </c>
    </row>
    <row r="1981" ht="20" customHeight="1">
      <c r="A1981" s="183">
        <f>IF($K1981="","",WEEKNUM(INDEX(Zeiterfassung!$K$6:$K$3665,$K1981),21))</f>
        <v/>
      </c>
      <c r="B1981" s="184">
        <f>IF($K1981="","",INDEX(Zeiterfassung!$K$6:$K$3665,$K1981))</f>
        <v/>
      </c>
      <c r="C1981" s="185">
        <f>IF($K1981="","",INDEX(Zeiterfassung!$K$6:$K$3665,$K1981))</f>
        <v/>
      </c>
      <c r="D1981" s="186">
        <f>IF($K1981="","",INDEX(Zeiterfassung!$D$6:$D$3665,$K1981))</f>
        <v/>
      </c>
      <c r="E1981" s="186">
        <f>IF($K1981="","",INDEX(Zeiterfassung!$E$6:$E$3665,$K1981))</f>
        <v/>
      </c>
      <c r="F1981" s="187">
        <f>IF($K1981="","",INDEX(Zeiterfassung!$F$6:$F$3665,$K1981))</f>
        <v/>
      </c>
      <c r="G1981" s="187">
        <f>IF($K1981="","",INDEX(Zeiterfassung!$G$6:$G$3665,$K1981))</f>
        <v/>
      </c>
      <c r="H1981" s="188">
        <f>IF($K1981="","",INDEX(Zeiterfassung!$H$6:$H$3665,$K1981))</f>
        <v/>
      </c>
      <c r="I1981" s="335">
        <f>IF(B1981=B1980,"",IF($K1981="","",INDEX(Zeiterfassung!$I$6:$I$3665,MATCH(INDEX(Zeiterfassung!$K$6:$K$3665,$K1981),Zeiterfassung!$K$6:$K$3665,0))))</f>
        <v/>
      </c>
      <c r="J1981" s="335">
        <f>IF(B1981=B1980,"",IF($K1981="","",INDEX(Zeiterfassung!$J$6:$J$3665,MATCH(INDEX(Zeiterfassung!$K$6:$K$3665,$K1981),Zeiterfassung!$K$6:$K$3665,0))))</f>
        <v/>
      </c>
      <c r="K1981">
        <f>IFERROR(AGGREGATE(15,6,(ROW(Zeiterfassung!$D$6:$D$3665)-ROW(Zeiterfassung!$D$6)+1)/(Zeiterfassung!$D$6:$D$3665&lt;&gt;""),1976),"")</f>
        <v/>
      </c>
    </row>
    <row r="1982" ht="20" customHeight="1">
      <c r="A1982" s="183">
        <f>IF($K1982="","",WEEKNUM(INDEX(Zeiterfassung!$K$6:$K$3665,$K1982),21))</f>
        <v/>
      </c>
      <c r="B1982" s="184">
        <f>IF($K1982="","",INDEX(Zeiterfassung!$K$6:$K$3665,$K1982))</f>
        <v/>
      </c>
      <c r="C1982" s="185">
        <f>IF($K1982="","",INDEX(Zeiterfassung!$K$6:$K$3665,$K1982))</f>
        <v/>
      </c>
      <c r="D1982" s="186">
        <f>IF($K1982="","",INDEX(Zeiterfassung!$D$6:$D$3665,$K1982))</f>
        <v/>
      </c>
      <c r="E1982" s="186">
        <f>IF($K1982="","",INDEX(Zeiterfassung!$E$6:$E$3665,$K1982))</f>
        <v/>
      </c>
      <c r="F1982" s="187">
        <f>IF($K1982="","",INDEX(Zeiterfassung!$F$6:$F$3665,$K1982))</f>
        <v/>
      </c>
      <c r="G1982" s="187">
        <f>IF($K1982="","",INDEX(Zeiterfassung!$G$6:$G$3665,$K1982))</f>
        <v/>
      </c>
      <c r="H1982" s="188">
        <f>IF($K1982="","",INDEX(Zeiterfassung!$H$6:$H$3665,$K1982))</f>
        <v/>
      </c>
      <c r="I1982" s="335">
        <f>IF(B1982=B1981,"",IF($K1982="","",INDEX(Zeiterfassung!$I$6:$I$3665,MATCH(INDEX(Zeiterfassung!$K$6:$K$3665,$K1982),Zeiterfassung!$K$6:$K$3665,0))))</f>
        <v/>
      </c>
      <c r="J1982" s="335">
        <f>IF(B1982=B1981,"",IF($K1982="","",INDEX(Zeiterfassung!$J$6:$J$3665,MATCH(INDEX(Zeiterfassung!$K$6:$K$3665,$K1982),Zeiterfassung!$K$6:$K$3665,0))))</f>
        <v/>
      </c>
      <c r="K1982">
        <f>IFERROR(AGGREGATE(15,6,(ROW(Zeiterfassung!$D$6:$D$3665)-ROW(Zeiterfassung!$D$6)+1)/(Zeiterfassung!$D$6:$D$3665&lt;&gt;""),1977),"")</f>
        <v/>
      </c>
    </row>
    <row r="1983" ht="20" customHeight="1">
      <c r="A1983" s="183">
        <f>IF($K1983="","",WEEKNUM(INDEX(Zeiterfassung!$K$6:$K$3665,$K1983),21))</f>
        <v/>
      </c>
      <c r="B1983" s="184">
        <f>IF($K1983="","",INDEX(Zeiterfassung!$K$6:$K$3665,$K1983))</f>
        <v/>
      </c>
      <c r="C1983" s="185">
        <f>IF($K1983="","",INDEX(Zeiterfassung!$K$6:$K$3665,$K1983))</f>
        <v/>
      </c>
      <c r="D1983" s="186">
        <f>IF($K1983="","",INDEX(Zeiterfassung!$D$6:$D$3665,$K1983))</f>
        <v/>
      </c>
      <c r="E1983" s="186">
        <f>IF($K1983="","",INDEX(Zeiterfassung!$E$6:$E$3665,$K1983))</f>
        <v/>
      </c>
      <c r="F1983" s="187">
        <f>IF($K1983="","",INDEX(Zeiterfassung!$F$6:$F$3665,$K1983))</f>
        <v/>
      </c>
      <c r="G1983" s="187">
        <f>IF($K1983="","",INDEX(Zeiterfassung!$G$6:$G$3665,$K1983))</f>
        <v/>
      </c>
      <c r="H1983" s="188">
        <f>IF($K1983="","",INDEX(Zeiterfassung!$H$6:$H$3665,$K1983))</f>
        <v/>
      </c>
      <c r="I1983" s="335">
        <f>IF(B1983=B1982,"",IF($K1983="","",INDEX(Zeiterfassung!$I$6:$I$3665,MATCH(INDEX(Zeiterfassung!$K$6:$K$3665,$K1983),Zeiterfassung!$K$6:$K$3665,0))))</f>
        <v/>
      </c>
      <c r="J1983" s="335">
        <f>IF(B1983=B1982,"",IF($K1983="","",INDEX(Zeiterfassung!$J$6:$J$3665,MATCH(INDEX(Zeiterfassung!$K$6:$K$3665,$K1983),Zeiterfassung!$K$6:$K$3665,0))))</f>
        <v/>
      </c>
      <c r="K1983">
        <f>IFERROR(AGGREGATE(15,6,(ROW(Zeiterfassung!$D$6:$D$3665)-ROW(Zeiterfassung!$D$6)+1)/(Zeiterfassung!$D$6:$D$3665&lt;&gt;""),1978),"")</f>
        <v/>
      </c>
    </row>
    <row r="1984" ht="20" customHeight="1">
      <c r="A1984" s="183">
        <f>IF($K1984="","",WEEKNUM(INDEX(Zeiterfassung!$K$6:$K$3665,$K1984),21))</f>
        <v/>
      </c>
      <c r="B1984" s="184">
        <f>IF($K1984="","",INDEX(Zeiterfassung!$K$6:$K$3665,$K1984))</f>
        <v/>
      </c>
      <c r="C1984" s="185">
        <f>IF($K1984="","",INDEX(Zeiterfassung!$K$6:$K$3665,$K1984))</f>
        <v/>
      </c>
      <c r="D1984" s="186">
        <f>IF($K1984="","",INDEX(Zeiterfassung!$D$6:$D$3665,$K1984))</f>
        <v/>
      </c>
      <c r="E1984" s="186">
        <f>IF($K1984="","",INDEX(Zeiterfassung!$E$6:$E$3665,$K1984))</f>
        <v/>
      </c>
      <c r="F1984" s="187">
        <f>IF($K1984="","",INDEX(Zeiterfassung!$F$6:$F$3665,$K1984))</f>
        <v/>
      </c>
      <c r="G1984" s="187">
        <f>IF($K1984="","",INDEX(Zeiterfassung!$G$6:$G$3665,$K1984))</f>
        <v/>
      </c>
      <c r="H1984" s="188">
        <f>IF($K1984="","",INDEX(Zeiterfassung!$H$6:$H$3665,$K1984))</f>
        <v/>
      </c>
      <c r="I1984" s="335">
        <f>IF(B1984=B1983,"",IF($K1984="","",INDEX(Zeiterfassung!$I$6:$I$3665,MATCH(INDEX(Zeiterfassung!$K$6:$K$3665,$K1984),Zeiterfassung!$K$6:$K$3665,0))))</f>
        <v/>
      </c>
      <c r="J1984" s="335">
        <f>IF(B1984=B1983,"",IF($K1984="","",INDEX(Zeiterfassung!$J$6:$J$3665,MATCH(INDEX(Zeiterfassung!$K$6:$K$3665,$K1984),Zeiterfassung!$K$6:$K$3665,0))))</f>
        <v/>
      </c>
      <c r="K1984">
        <f>IFERROR(AGGREGATE(15,6,(ROW(Zeiterfassung!$D$6:$D$3665)-ROW(Zeiterfassung!$D$6)+1)/(Zeiterfassung!$D$6:$D$3665&lt;&gt;""),1979),"")</f>
        <v/>
      </c>
    </row>
    <row r="1985" ht="20" customHeight="1">
      <c r="A1985" s="183">
        <f>IF($K1985="","",WEEKNUM(INDEX(Zeiterfassung!$K$6:$K$3665,$K1985),21))</f>
        <v/>
      </c>
      <c r="B1985" s="184">
        <f>IF($K1985="","",INDEX(Zeiterfassung!$K$6:$K$3665,$K1985))</f>
        <v/>
      </c>
      <c r="C1985" s="185">
        <f>IF($K1985="","",INDEX(Zeiterfassung!$K$6:$K$3665,$K1985))</f>
        <v/>
      </c>
      <c r="D1985" s="186">
        <f>IF($K1985="","",INDEX(Zeiterfassung!$D$6:$D$3665,$K1985))</f>
        <v/>
      </c>
      <c r="E1985" s="186">
        <f>IF($K1985="","",INDEX(Zeiterfassung!$E$6:$E$3665,$K1985))</f>
        <v/>
      </c>
      <c r="F1985" s="187">
        <f>IF($K1985="","",INDEX(Zeiterfassung!$F$6:$F$3665,$K1985))</f>
        <v/>
      </c>
      <c r="G1985" s="187">
        <f>IF($K1985="","",INDEX(Zeiterfassung!$G$6:$G$3665,$K1985))</f>
        <v/>
      </c>
      <c r="H1985" s="188">
        <f>IF($K1985="","",INDEX(Zeiterfassung!$H$6:$H$3665,$K1985))</f>
        <v/>
      </c>
      <c r="I1985" s="335">
        <f>IF(B1985=B1984,"",IF($K1985="","",INDEX(Zeiterfassung!$I$6:$I$3665,MATCH(INDEX(Zeiterfassung!$K$6:$K$3665,$K1985),Zeiterfassung!$K$6:$K$3665,0))))</f>
        <v/>
      </c>
      <c r="J1985" s="335">
        <f>IF(B1985=B1984,"",IF($K1985="","",INDEX(Zeiterfassung!$J$6:$J$3665,MATCH(INDEX(Zeiterfassung!$K$6:$K$3665,$K1985),Zeiterfassung!$K$6:$K$3665,0))))</f>
        <v/>
      </c>
      <c r="K1985">
        <f>IFERROR(AGGREGATE(15,6,(ROW(Zeiterfassung!$D$6:$D$3665)-ROW(Zeiterfassung!$D$6)+1)/(Zeiterfassung!$D$6:$D$3665&lt;&gt;""),1980),"")</f>
        <v/>
      </c>
    </row>
    <row r="1986" ht="20" customHeight="1">
      <c r="A1986" s="183">
        <f>IF($K1986="","",WEEKNUM(INDEX(Zeiterfassung!$K$6:$K$3665,$K1986),21))</f>
        <v/>
      </c>
      <c r="B1986" s="184">
        <f>IF($K1986="","",INDEX(Zeiterfassung!$K$6:$K$3665,$K1986))</f>
        <v/>
      </c>
      <c r="C1986" s="185">
        <f>IF($K1986="","",INDEX(Zeiterfassung!$K$6:$K$3665,$K1986))</f>
        <v/>
      </c>
      <c r="D1986" s="186">
        <f>IF($K1986="","",INDEX(Zeiterfassung!$D$6:$D$3665,$K1986))</f>
        <v/>
      </c>
      <c r="E1986" s="186">
        <f>IF($K1986="","",INDEX(Zeiterfassung!$E$6:$E$3665,$K1986))</f>
        <v/>
      </c>
      <c r="F1986" s="187">
        <f>IF($K1986="","",INDEX(Zeiterfassung!$F$6:$F$3665,$K1986))</f>
        <v/>
      </c>
      <c r="G1986" s="187">
        <f>IF($K1986="","",INDEX(Zeiterfassung!$G$6:$G$3665,$K1986))</f>
        <v/>
      </c>
      <c r="H1986" s="188">
        <f>IF($K1986="","",INDEX(Zeiterfassung!$H$6:$H$3665,$K1986))</f>
        <v/>
      </c>
      <c r="I1986" s="335">
        <f>IF(B1986=B1985,"",IF($K1986="","",INDEX(Zeiterfassung!$I$6:$I$3665,MATCH(INDEX(Zeiterfassung!$K$6:$K$3665,$K1986),Zeiterfassung!$K$6:$K$3665,0))))</f>
        <v/>
      </c>
      <c r="J1986" s="335">
        <f>IF(B1986=B1985,"",IF($K1986="","",INDEX(Zeiterfassung!$J$6:$J$3665,MATCH(INDEX(Zeiterfassung!$K$6:$K$3665,$K1986),Zeiterfassung!$K$6:$K$3665,0))))</f>
        <v/>
      </c>
      <c r="K1986">
        <f>IFERROR(AGGREGATE(15,6,(ROW(Zeiterfassung!$D$6:$D$3665)-ROW(Zeiterfassung!$D$6)+1)/(Zeiterfassung!$D$6:$D$3665&lt;&gt;""),1981),"")</f>
        <v/>
      </c>
    </row>
    <row r="1987" ht="20" customHeight="1">
      <c r="A1987" s="183">
        <f>IF($K1987="","",WEEKNUM(INDEX(Zeiterfassung!$K$6:$K$3665,$K1987),21))</f>
        <v/>
      </c>
      <c r="B1987" s="184">
        <f>IF($K1987="","",INDEX(Zeiterfassung!$K$6:$K$3665,$K1987))</f>
        <v/>
      </c>
      <c r="C1987" s="185">
        <f>IF($K1987="","",INDEX(Zeiterfassung!$K$6:$K$3665,$K1987))</f>
        <v/>
      </c>
      <c r="D1987" s="186">
        <f>IF($K1987="","",INDEX(Zeiterfassung!$D$6:$D$3665,$K1987))</f>
        <v/>
      </c>
      <c r="E1987" s="186">
        <f>IF($K1987="","",INDEX(Zeiterfassung!$E$6:$E$3665,$K1987))</f>
        <v/>
      </c>
      <c r="F1987" s="187">
        <f>IF($K1987="","",INDEX(Zeiterfassung!$F$6:$F$3665,$K1987))</f>
        <v/>
      </c>
      <c r="G1987" s="187">
        <f>IF($K1987="","",INDEX(Zeiterfassung!$G$6:$G$3665,$K1987))</f>
        <v/>
      </c>
      <c r="H1987" s="188">
        <f>IF($K1987="","",INDEX(Zeiterfassung!$H$6:$H$3665,$K1987))</f>
        <v/>
      </c>
      <c r="I1987" s="335">
        <f>IF(B1987=B1986,"",IF($K1987="","",INDEX(Zeiterfassung!$I$6:$I$3665,MATCH(INDEX(Zeiterfassung!$K$6:$K$3665,$K1987),Zeiterfassung!$K$6:$K$3665,0))))</f>
        <v/>
      </c>
      <c r="J1987" s="335">
        <f>IF(B1987=B1986,"",IF($K1987="","",INDEX(Zeiterfassung!$J$6:$J$3665,MATCH(INDEX(Zeiterfassung!$K$6:$K$3665,$K1987),Zeiterfassung!$K$6:$K$3665,0))))</f>
        <v/>
      </c>
      <c r="K1987">
        <f>IFERROR(AGGREGATE(15,6,(ROW(Zeiterfassung!$D$6:$D$3665)-ROW(Zeiterfassung!$D$6)+1)/(Zeiterfassung!$D$6:$D$3665&lt;&gt;""),1982),"")</f>
        <v/>
      </c>
    </row>
    <row r="1988" ht="20" customHeight="1">
      <c r="A1988" s="183">
        <f>IF($K1988="","",WEEKNUM(INDEX(Zeiterfassung!$K$6:$K$3665,$K1988),21))</f>
        <v/>
      </c>
      <c r="B1988" s="184">
        <f>IF($K1988="","",INDEX(Zeiterfassung!$K$6:$K$3665,$K1988))</f>
        <v/>
      </c>
      <c r="C1988" s="185">
        <f>IF($K1988="","",INDEX(Zeiterfassung!$K$6:$K$3665,$K1988))</f>
        <v/>
      </c>
      <c r="D1988" s="186">
        <f>IF($K1988="","",INDEX(Zeiterfassung!$D$6:$D$3665,$K1988))</f>
        <v/>
      </c>
      <c r="E1988" s="186">
        <f>IF($K1988="","",INDEX(Zeiterfassung!$E$6:$E$3665,$K1988))</f>
        <v/>
      </c>
      <c r="F1988" s="187">
        <f>IF($K1988="","",INDEX(Zeiterfassung!$F$6:$F$3665,$K1988))</f>
        <v/>
      </c>
      <c r="G1988" s="187">
        <f>IF($K1988="","",INDEX(Zeiterfassung!$G$6:$G$3665,$K1988))</f>
        <v/>
      </c>
      <c r="H1988" s="188">
        <f>IF($K1988="","",INDEX(Zeiterfassung!$H$6:$H$3665,$K1988))</f>
        <v/>
      </c>
      <c r="I1988" s="335">
        <f>IF(B1988=B1987,"",IF($K1988="","",INDEX(Zeiterfassung!$I$6:$I$3665,MATCH(INDEX(Zeiterfassung!$K$6:$K$3665,$K1988),Zeiterfassung!$K$6:$K$3665,0))))</f>
        <v/>
      </c>
      <c r="J1988" s="335">
        <f>IF(B1988=B1987,"",IF($K1988="","",INDEX(Zeiterfassung!$J$6:$J$3665,MATCH(INDEX(Zeiterfassung!$K$6:$K$3665,$K1988),Zeiterfassung!$K$6:$K$3665,0))))</f>
        <v/>
      </c>
      <c r="K1988">
        <f>IFERROR(AGGREGATE(15,6,(ROW(Zeiterfassung!$D$6:$D$3665)-ROW(Zeiterfassung!$D$6)+1)/(Zeiterfassung!$D$6:$D$3665&lt;&gt;""),1983),"")</f>
        <v/>
      </c>
    </row>
    <row r="1989" ht="20" customHeight="1">
      <c r="A1989" s="183">
        <f>IF($K1989="","",WEEKNUM(INDEX(Zeiterfassung!$K$6:$K$3665,$K1989),21))</f>
        <v/>
      </c>
      <c r="B1989" s="184">
        <f>IF($K1989="","",INDEX(Zeiterfassung!$K$6:$K$3665,$K1989))</f>
        <v/>
      </c>
      <c r="C1989" s="185">
        <f>IF($K1989="","",INDEX(Zeiterfassung!$K$6:$K$3665,$K1989))</f>
        <v/>
      </c>
      <c r="D1989" s="186">
        <f>IF($K1989="","",INDEX(Zeiterfassung!$D$6:$D$3665,$K1989))</f>
        <v/>
      </c>
      <c r="E1989" s="186">
        <f>IF($K1989="","",INDEX(Zeiterfassung!$E$6:$E$3665,$K1989))</f>
        <v/>
      </c>
      <c r="F1989" s="187">
        <f>IF($K1989="","",INDEX(Zeiterfassung!$F$6:$F$3665,$K1989))</f>
        <v/>
      </c>
      <c r="G1989" s="187">
        <f>IF($K1989="","",INDEX(Zeiterfassung!$G$6:$G$3665,$K1989))</f>
        <v/>
      </c>
      <c r="H1989" s="188">
        <f>IF($K1989="","",INDEX(Zeiterfassung!$H$6:$H$3665,$K1989))</f>
        <v/>
      </c>
      <c r="I1989" s="335">
        <f>IF(B1989=B1988,"",IF($K1989="","",INDEX(Zeiterfassung!$I$6:$I$3665,MATCH(INDEX(Zeiterfassung!$K$6:$K$3665,$K1989),Zeiterfassung!$K$6:$K$3665,0))))</f>
        <v/>
      </c>
      <c r="J1989" s="335">
        <f>IF(B1989=B1988,"",IF($K1989="","",INDEX(Zeiterfassung!$J$6:$J$3665,MATCH(INDEX(Zeiterfassung!$K$6:$K$3665,$K1989),Zeiterfassung!$K$6:$K$3665,0))))</f>
        <v/>
      </c>
      <c r="K1989">
        <f>IFERROR(AGGREGATE(15,6,(ROW(Zeiterfassung!$D$6:$D$3665)-ROW(Zeiterfassung!$D$6)+1)/(Zeiterfassung!$D$6:$D$3665&lt;&gt;""),1984),"")</f>
        <v/>
      </c>
    </row>
    <row r="1990" ht="20" customHeight="1">
      <c r="A1990" s="183">
        <f>IF($K1990="","",WEEKNUM(INDEX(Zeiterfassung!$K$6:$K$3665,$K1990),21))</f>
        <v/>
      </c>
      <c r="B1990" s="184">
        <f>IF($K1990="","",INDEX(Zeiterfassung!$K$6:$K$3665,$K1990))</f>
        <v/>
      </c>
      <c r="C1990" s="185">
        <f>IF($K1990="","",INDEX(Zeiterfassung!$K$6:$K$3665,$K1990))</f>
        <v/>
      </c>
      <c r="D1990" s="186">
        <f>IF($K1990="","",INDEX(Zeiterfassung!$D$6:$D$3665,$K1990))</f>
        <v/>
      </c>
      <c r="E1990" s="186">
        <f>IF($K1990="","",INDEX(Zeiterfassung!$E$6:$E$3665,$K1990))</f>
        <v/>
      </c>
      <c r="F1990" s="187">
        <f>IF($K1990="","",INDEX(Zeiterfassung!$F$6:$F$3665,$K1990))</f>
        <v/>
      </c>
      <c r="G1990" s="187">
        <f>IF($K1990="","",INDEX(Zeiterfassung!$G$6:$G$3665,$K1990))</f>
        <v/>
      </c>
      <c r="H1990" s="188">
        <f>IF($K1990="","",INDEX(Zeiterfassung!$H$6:$H$3665,$K1990))</f>
        <v/>
      </c>
      <c r="I1990" s="335">
        <f>IF(B1990=B1989,"",IF($K1990="","",INDEX(Zeiterfassung!$I$6:$I$3665,MATCH(INDEX(Zeiterfassung!$K$6:$K$3665,$K1990),Zeiterfassung!$K$6:$K$3665,0))))</f>
        <v/>
      </c>
      <c r="J1990" s="335">
        <f>IF(B1990=B1989,"",IF($K1990="","",INDEX(Zeiterfassung!$J$6:$J$3665,MATCH(INDEX(Zeiterfassung!$K$6:$K$3665,$K1990),Zeiterfassung!$K$6:$K$3665,0))))</f>
        <v/>
      </c>
      <c r="K1990">
        <f>IFERROR(AGGREGATE(15,6,(ROW(Zeiterfassung!$D$6:$D$3665)-ROW(Zeiterfassung!$D$6)+1)/(Zeiterfassung!$D$6:$D$3665&lt;&gt;""),1985),"")</f>
        <v/>
      </c>
    </row>
    <row r="1991" ht="20" customHeight="1">
      <c r="A1991" s="183">
        <f>IF($K1991="","",WEEKNUM(INDEX(Zeiterfassung!$K$6:$K$3665,$K1991),21))</f>
        <v/>
      </c>
      <c r="B1991" s="184">
        <f>IF($K1991="","",INDEX(Zeiterfassung!$K$6:$K$3665,$K1991))</f>
        <v/>
      </c>
      <c r="C1991" s="185">
        <f>IF($K1991="","",INDEX(Zeiterfassung!$K$6:$K$3665,$K1991))</f>
        <v/>
      </c>
      <c r="D1991" s="186">
        <f>IF($K1991="","",INDEX(Zeiterfassung!$D$6:$D$3665,$K1991))</f>
        <v/>
      </c>
      <c r="E1991" s="186">
        <f>IF($K1991="","",INDEX(Zeiterfassung!$E$6:$E$3665,$K1991))</f>
        <v/>
      </c>
      <c r="F1991" s="187">
        <f>IF($K1991="","",INDEX(Zeiterfassung!$F$6:$F$3665,$K1991))</f>
        <v/>
      </c>
      <c r="G1991" s="187">
        <f>IF($K1991="","",INDEX(Zeiterfassung!$G$6:$G$3665,$K1991))</f>
        <v/>
      </c>
      <c r="H1991" s="188">
        <f>IF($K1991="","",INDEX(Zeiterfassung!$H$6:$H$3665,$K1991))</f>
        <v/>
      </c>
      <c r="I1991" s="335">
        <f>IF(B1991=B1990,"",IF($K1991="","",INDEX(Zeiterfassung!$I$6:$I$3665,MATCH(INDEX(Zeiterfassung!$K$6:$K$3665,$K1991),Zeiterfassung!$K$6:$K$3665,0))))</f>
        <v/>
      </c>
      <c r="J1991" s="335">
        <f>IF(B1991=B1990,"",IF($K1991="","",INDEX(Zeiterfassung!$J$6:$J$3665,MATCH(INDEX(Zeiterfassung!$K$6:$K$3665,$K1991),Zeiterfassung!$K$6:$K$3665,0))))</f>
        <v/>
      </c>
      <c r="K1991">
        <f>IFERROR(AGGREGATE(15,6,(ROW(Zeiterfassung!$D$6:$D$3665)-ROW(Zeiterfassung!$D$6)+1)/(Zeiterfassung!$D$6:$D$3665&lt;&gt;""),1986),"")</f>
        <v/>
      </c>
    </row>
    <row r="1992" ht="20" customHeight="1">
      <c r="A1992" s="183">
        <f>IF($K1992="","",WEEKNUM(INDEX(Zeiterfassung!$K$6:$K$3665,$K1992),21))</f>
        <v/>
      </c>
      <c r="B1992" s="184">
        <f>IF($K1992="","",INDEX(Zeiterfassung!$K$6:$K$3665,$K1992))</f>
        <v/>
      </c>
      <c r="C1992" s="185">
        <f>IF($K1992="","",INDEX(Zeiterfassung!$K$6:$K$3665,$K1992))</f>
        <v/>
      </c>
      <c r="D1992" s="186">
        <f>IF($K1992="","",INDEX(Zeiterfassung!$D$6:$D$3665,$K1992))</f>
        <v/>
      </c>
      <c r="E1992" s="186">
        <f>IF($K1992="","",INDEX(Zeiterfassung!$E$6:$E$3665,$K1992))</f>
        <v/>
      </c>
      <c r="F1992" s="187">
        <f>IF($K1992="","",INDEX(Zeiterfassung!$F$6:$F$3665,$K1992))</f>
        <v/>
      </c>
      <c r="G1992" s="187">
        <f>IF($K1992="","",INDEX(Zeiterfassung!$G$6:$G$3665,$K1992))</f>
        <v/>
      </c>
      <c r="H1992" s="188">
        <f>IF($K1992="","",INDEX(Zeiterfassung!$H$6:$H$3665,$K1992))</f>
        <v/>
      </c>
      <c r="I1992" s="335">
        <f>IF(B1992=B1991,"",IF($K1992="","",INDEX(Zeiterfassung!$I$6:$I$3665,MATCH(INDEX(Zeiterfassung!$K$6:$K$3665,$K1992),Zeiterfassung!$K$6:$K$3665,0))))</f>
        <v/>
      </c>
      <c r="J1992" s="335">
        <f>IF(B1992=B1991,"",IF($K1992="","",INDEX(Zeiterfassung!$J$6:$J$3665,MATCH(INDEX(Zeiterfassung!$K$6:$K$3665,$K1992),Zeiterfassung!$K$6:$K$3665,0))))</f>
        <v/>
      </c>
      <c r="K1992">
        <f>IFERROR(AGGREGATE(15,6,(ROW(Zeiterfassung!$D$6:$D$3665)-ROW(Zeiterfassung!$D$6)+1)/(Zeiterfassung!$D$6:$D$3665&lt;&gt;""),1987),"")</f>
        <v/>
      </c>
    </row>
    <row r="1993" ht="20" customHeight="1">
      <c r="A1993" s="183">
        <f>IF($K1993="","",WEEKNUM(INDEX(Zeiterfassung!$K$6:$K$3665,$K1993),21))</f>
        <v/>
      </c>
      <c r="B1993" s="184">
        <f>IF($K1993="","",INDEX(Zeiterfassung!$K$6:$K$3665,$K1993))</f>
        <v/>
      </c>
      <c r="C1993" s="185">
        <f>IF($K1993="","",INDEX(Zeiterfassung!$K$6:$K$3665,$K1993))</f>
        <v/>
      </c>
      <c r="D1993" s="186">
        <f>IF($K1993="","",INDEX(Zeiterfassung!$D$6:$D$3665,$K1993))</f>
        <v/>
      </c>
      <c r="E1993" s="186">
        <f>IF($K1993="","",INDEX(Zeiterfassung!$E$6:$E$3665,$K1993))</f>
        <v/>
      </c>
      <c r="F1993" s="187">
        <f>IF($K1993="","",INDEX(Zeiterfassung!$F$6:$F$3665,$K1993))</f>
        <v/>
      </c>
      <c r="G1993" s="187">
        <f>IF($K1993="","",INDEX(Zeiterfassung!$G$6:$G$3665,$K1993))</f>
        <v/>
      </c>
      <c r="H1993" s="188">
        <f>IF($K1993="","",INDEX(Zeiterfassung!$H$6:$H$3665,$K1993))</f>
        <v/>
      </c>
      <c r="I1993" s="335">
        <f>IF(B1993=B1992,"",IF($K1993="","",INDEX(Zeiterfassung!$I$6:$I$3665,MATCH(INDEX(Zeiterfassung!$K$6:$K$3665,$K1993),Zeiterfassung!$K$6:$K$3665,0))))</f>
        <v/>
      </c>
      <c r="J1993" s="335">
        <f>IF(B1993=B1992,"",IF($K1993="","",INDEX(Zeiterfassung!$J$6:$J$3665,MATCH(INDEX(Zeiterfassung!$K$6:$K$3665,$K1993),Zeiterfassung!$K$6:$K$3665,0))))</f>
        <v/>
      </c>
      <c r="K1993">
        <f>IFERROR(AGGREGATE(15,6,(ROW(Zeiterfassung!$D$6:$D$3665)-ROW(Zeiterfassung!$D$6)+1)/(Zeiterfassung!$D$6:$D$3665&lt;&gt;""),1988),"")</f>
        <v/>
      </c>
    </row>
    <row r="1994" ht="20" customHeight="1">
      <c r="A1994" s="183">
        <f>IF($K1994="","",WEEKNUM(INDEX(Zeiterfassung!$K$6:$K$3665,$K1994),21))</f>
        <v/>
      </c>
      <c r="B1994" s="184">
        <f>IF($K1994="","",INDEX(Zeiterfassung!$K$6:$K$3665,$K1994))</f>
        <v/>
      </c>
      <c r="C1994" s="185">
        <f>IF($K1994="","",INDEX(Zeiterfassung!$K$6:$K$3665,$K1994))</f>
        <v/>
      </c>
      <c r="D1994" s="186">
        <f>IF($K1994="","",INDEX(Zeiterfassung!$D$6:$D$3665,$K1994))</f>
        <v/>
      </c>
      <c r="E1994" s="186">
        <f>IF($K1994="","",INDEX(Zeiterfassung!$E$6:$E$3665,$K1994))</f>
        <v/>
      </c>
      <c r="F1994" s="187">
        <f>IF($K1994="","",INDEX(Zeiterfassung!$F$6:$F$3665,$K1994))</f>
        <v/>
      </c>
      <c r="G1994" s="187">
        <f>IF($K1994="","",INDEX(Zeiterfassung!$G$6:$G$3665,$K1994))</f>
        <v/>
      </c>
      <c r="H1994" s="188">
        <f>IF($K1994="","",INDEX(Zeiterfassung!$H$6:$H$3665,$K1994))</f>
        <v/>
      </c>
      <c r="I1994" s="335">
        <f>IF(B1994=B1993,"",IF($K1994="","",INDEX(Zeiterfassung!$I$6:$I$3665,MATCH(INDEX(Zeiterfassung!$K$6:$K$3665,$K1994),Zeiterfassung!$K$6:$K$3665,0))))</f>
        <v/>
      </c>
      <c r="J1994" s="335">
        <f>IF(B1994=B1993,"",IF($K1994="","",INDEX(Zeiterfassung!$J$6:$J$3665,MATCH(INDEX(Zeiterfassung!$K$6:$K$3665,$K1994),Zeiterfassung!$K$6:$K$3665,0))))</f>
        <v/>
      </c>
      <c r="K1994">
        <f>IFERROR(AGGREGATE(15,6,(ROW(Zeiterfassung!$D$6:$D$3665)-ROW(Zeiterfassung!$D$6)+1)/(Zeiterfassung!$D$6:$D$3665&lt;&gt;""),1989),"")</f>
        <v/>
      </c>
    </row>
    <row r="1995" ht="20" customHeight="1">
      <c r="A1995" s="183">
        <f>IF($K1995="","",WEEKNUM(INDEX(Zeiterfassung!$K$6:$K$3665,$K1995),21))</f>
        <v/>
      </c>
      <c r="B1995" s="184">
        <f>IF($K1995="","",INDEX(Zeiterfassung!$K$6:$K$3665,$K1995))</f>
        <v/>
      </c>
      <c r="C1995" s="185">
        <f>IF($K1995="","",INDEX(Zeiterfassung!$K$6:$K$3665,$K1995))</f>
        <v/>
      </c>
      <c r="D1995" s="186">
        <f>IF($K1995="","",INDEX(Zeiterfassung!$D$6:$D$3665,$K1995))</f>
        <v/>
      </c>
      <c r="E1995" s="186">
        <f>IF($K1995="","",INDEX(Zeiterfassung!$E$6:$E$3665,$K1995))</f>
        <v/>
      </c>
      <c r="F1995" s="187">
        <f>IF($K1995="","",INDEX(Zeiterfassung!$F$6:$F$3665,$K1995))</f>
        <v/>
      </c>
      <c r="G1995" s="187">
        <f>IF($K1995="","",INDEX(Zeiterfassung!$G$6:$G$3665,$K1995))</f>
        <v/>
      </c>
      <c r="H1995" s="188">
        <f>IF($K1995="","",INDEX(Zeiterfassung!$H$6:$H$3665,$K1995))</f>
        <v/>
      </c>
      <c r="I1995" s="335">
        <f>IF(B1995=B1994,"",IF($K1995="","",INDEX(Zeiterfassung!$I$6:$I$3665,MATCH(INDEX(Zeiterfassung!$K$6:$K$3665,$K1995),Zeiterfassung!$K$6:$K$3665,0))))</f>
        <v/>
      </c>
      <c r="J1995" s="335">
        <f>IF(B1995=B1994,"",IF($K1995="","",INDEX(Zeiterfassung!$J$6:$J$3665,MATCH(INDEX(Zeiterfassung!$K$6:$K$3665,$K1995),Zeiterfassung!$K$6:$K$3665,0))))</f>
        <v/>
      </c>
      <c r="K1995">
        <f>IFERROR(AGGREGATE(15,6,(ROW(Zeiterfassung!$D$6:$D$3665)-ROW(Zeiterfassung!$D$6)+1)/(Zeiterfassung!$D$6:$D$3665&lt;&gt;""),1990),"")</f>
        <v/>
      </c>
    </row>
    <row r="1996" ht="20" customHeight="1">
      <c r="A1996" s="183">
        <f>IF($K1996="","",WEEKNUM(INDEX(Zeiterfassung!$K$6:$K$3665,$K1996),21))</f>
        <v/>
      </c>
      <c r="B1996" s="184">
        <f>IF($K1996="","",INDEX(Zeiterfassung!$K$6:$K$3665,$K1996))</f>
        <v/>
      </c>
      <c r="C1996" s="185">
        <f>IF($K1996="","",INDEX(Zeiterfassung!$K$6:$K$3665,$K1996))</f>
        <v/>
      </c>
      <c r="D1996" s="186">
        <f>IF($K1996="","",INDEX(Zeiterfassung!$D$6:$D$3665,$K1996))</f>
        <v/>
      </c>
      <c r="E1996" s="186">
        <f>IF($K1996="","",INDEX(Zeiterfassung!$E$6:$E$3665,$K1996))</f>
        <v/>
      </c>
      <c r="F1996" s="187">
        <f>IF($K1996="","",INDEX(Zeiterfassung!$F$6:$F$3665,$K1996))</f>
        <v/>
      </c>
      <c r="G1996" s="187">
        <f>IF($K1996="","",INDEX(Zeiterfassung!$G$6:$G$3665,$K1996))</f>
        <v/>
      </c>
      <c r="H1996" s="188">
        <f>IF($K1996="","",INDEX(Zeiterfassung!$H$6:$H$3665,$K1996))</f>
        <v/>
      </c>
      <c r="I1996" s="335">
        <f>IF(B1996=B1995,"",IF($K1996="","",INDEX(Zeiterfassung!$I$6:$I$3665,MATCH(INDEX(Zeiterfassung!$K$6:$K$3665,$K1996),Zeiterfassung!$K$6:$K$3665,0))))</f>
        <v/>
      </c>
      <c r="J1996" s="335">
        <f>IF(B1996=B1995,"",IF($K1996="","",INDEX(Zeiterfassung!$J$6:$J$3665,MATCH(INDEX(Zeiterfassung!$K$6:$K$3665,$K1996),Zeiterfassung!$K$6:$K$3665,0))))</f>
        <v/>
      </c>
      <c r="K1996">
        <f>IFERROR(AGGREGATE(15,6,(ROW(Zeiterfassung!$D$6:$D$3665)-ROW(Zeiterfassung!$D$6)+1)/(Zeiterfassung!$D$6:$D$3665&lt;&gt;""),1991),"")</f>
        <v/>
      </c>
    </row>
    <row r="1997" ht="20" customHeight="1">
      <c r="A1997" s="183">
        <f>IF($K1997="","",WEEKNUM(INDEX(Zeiterfassung!$K$6:$K$3665,$K1997),21))</f>
        <v/>
      </c>
      <c r="B1997" s="184">
        <f>IF($K1997="","",INDEX(Zeiterfassung!$K$6:$K$3665,$K1997))</f>
        <v/>
      </c>
      <c r="C1997" s="185">
        <f>IF($K1997="","",INDEX(Zeiterfassung!$K$6:$K$3665,$K1997))</f>
        <v/>
      </c>
      <c r="D1997" s="186">
        <f>IF($K1997="","",INDEX(Zeiterfassung!$D$6:$D$3665,$K1997))</f>
        <v/>
      </c>
      <c r="E1997" s="186">
        <f>IF($K1997="","",INDEX(Zeiterfassung!$E$6:$E$3665,$K1997))</f>
        <v/>
      </c>
      <c r="F1997" s="187">
        <f>IF($K1997="","",INDEX(Zeiterfassung!$F$6:$F$3665,$K1997))</f>
        <v/>
      </c>
      <c r="G1997" s="187">
        <f>IF($K1997="","",INDEX(Zeiterfassung!$G$6:$G$3665,$K1997))</f>
        <v/>
      </c>
      <c r="H1997" s="188">
        <f>IF($K1997="","",INDEX(Zeiterfassung!$H$6:$H$3665,$K1997))</f>
        <v/>
      </c>
      <c r="I1997" s="335">
        <f>IF(B1997=B1996,"",IF($K1997="","",INDEX(Zeiterfassung!$I$6:$I$3665,MATCH(INDEX(Zeiterfassung!$K$6:$K$3665,$K1997),Zeiterfassung!$K$6:$K$3665,0))))</f>
        <v/>
      </c>
      <c r="J1997" s="335">
        <f>IF(B1997=B1996,"",IF($K1997="","",INDEX(Zeiterfassung!$J$6:$J$3665,MATCH(INDEX(Zeiterfassung!$K$6:$K$3665,$K1997),Zeiterfassung!$K$6:$K$3665,0))))</f>
        <v/>
      </c>
      <c r="K1997">
        <f>IFERROR(AGGREGATE(15,6,(ROW(Zeiterfassung!$D$6:$D$3665)-ROW(Zeiterfassung!$D$6)+1)/(Zeiterfassung!$D$6:$D$3665&lt;&gt;""),1992),"")</f>
        <v/>
      </c>
    </row>
    <row r="1998" ht="20" customHeight="1">
      <c r="A1998" s="183">
        <f>IF($K1998="","",WEEKNUM(INDEX(Zeiterfassung!$K$6:$K$3665,$K1998),21))</f>
        <v/>
      </c>
      <c r="B1998" s="184">
        <f>IF($K1998="","",INDEX(Zeiterfassung!$K$6:$K$3665,$K1998))</f>
        <v/>
      </c>
      <c r="C1998" s="185">
        <f>IF($K1998="","",INDEX(Zeiterfassung!$K$6:$K$3665,$K1998))</f>
        <v/>
      </c>
      <c r="D1998" s="186">
        <f>IF($K1998="","",INDEX(Zeiterfassung!$D$6:$D$3665,$K1998))</f>
        <v/>
      </c>
      <c r="E1998" s="186">
        <f>IF($K1998="","",INDEX(Zeiterfassung!$E$6:$E$3665,$K1998))</f>
        <v/>
      </c>
      <c r="F1998" s="187">
        <f>IF($K1998="","",INDEX(Zeiterfassung!$F$6:$F$3665,$K1998))</f>
        <v/>
      </c>
      <c r="G1998" s="187">
        <f>IF($K1998="","",INDEX(Zeiterfassung!$G$6:$G$3665,$K1998))</f>
        <v/>
      </c>
      <c r="H1998" s="188">
        <f>IF($K1998="","",INDEX(Zeiterfassung!$H$6:$H$3665,$K1998))</f>
        <v/>
      </c>
      <c r="I1998" s="335">
        <f>IF(B1998=B1997,"",IF($K1998="","",INDEX(Zeiterfassung!$I$6:$I$3665,MATCH(INDEX(Zeiterfassung!$K$6:$K$3665,$K1998),Zeiterfassung!$K$6:$K$3665,0))))</f>
        <v/>
      </c>
      <c r="J1998" s="335">
        <f>IF(B1998=B1997,"",IF($K1998="","",INDEX(Zeiterfassung!$J$6:$J$3665,MATCH(INDEX(Zeiterfassung!$K$6:$K$3665,$K1998),Zeiterfassung!$K$6:$K$3665,0))))</f>
        <v/>
      </c>
      <c r="K1998">
        <f>IFERROR(AGGREGATE(15,6,(ROW(Zeiterfassung!$D$6:$D$3665)-ROW(Zeiterfassung!$D$6)+1)/(Zeiterfassung!$D$6:$D$3665&lt;&gt;""),1993),"")</f>
        <v/>
      </c>
    </row>
    <row r="1999" ht="20" customHeight="1">
      <c r="A1999" s="183">
        <f>IF($K1999="","",WEEKNUM(INDEX(Zeiterfassung!$K$6:$K$3665,$K1999),21))</f>
        <v/>
      </c>
      <c r="B1999" s="184">
        <f>IF($K1999="","",INDEX(Zeiterfassung!$K$6:$K$3665,$K1999))</f>
        <v/>
      </c>
      <c r="C1999" s="185">
        <f>IF($K1999="","",INDEX(Zeiterfassung!$K$6:$K$3665,$K1999))</f>
        <v/>
      </c>
      <c r="D1999" s="186">
        <f>IF($K1999="","",INDEX(Zeiterfassung!$D$6:$D$3665,$K1999))</f>
        <v/>
      </c>
      <c r="E1999" s="186">
        <f>IF($K1999="","",INDEX(Zeiterfassung!$E$6:$E$3665,$K1999))</f>
        <v/>
      </c>
      <c r="F1999" s="187">
        <f>IF($K1999="","",INDEX(Zeiterfassung!$F$6:$F$3665,$K1999))</f>
        <v/>
      </c>
      <c r="G1999" s="187">
        <f>IF($K1999="","",INDEX(Zeiterfassung!$G$6:$G$3665,$K1999))</f>
        <v/>
      </c>
      <c r="H1999" s="188">
        <f>IF($K1999="","",INDEX(Zeiterfassung!$H$6:$H$3665,$K1999))</f>
        <v/>
      </c>
      <c r="I1999" s="335">
        <f>IF(B1999=B1998,"",IF($K1999="","",INDEX(Zeiterfassung!$I$6:$I$3665,MATCH(INDEX(Zeiterfassung!$K$6:$K$3665,$K1999),Zeiterfassung!$K$6:$K$3665,0))))</f>
        <v/>
      </c>
      <c r="J1999" s="335">
        <f>IF(B1999=B1998,"",IF($K1999="","",INDEX(Zeiterfassung!$J$6:$J$3665,MATCH(INDEX(Zeiterfassung!$K$6:$K$3665,$K1999),Zeiterfassung!$K$6:$K$3665,0))))</f>
        <v/>
      </c>
      <c r="K1999">
        <f>IFERROR(AGGREGATE(15,6,(ROW(Zeiterfassung!$D$6:$D$3665)-ROW(Zeiterfassung!$D$6)+1)/(Zeiterfassung!$D$6:$D$3665&lt;&gt;""),1994),"")</f>
        <v/>
      </c>
    </row>
    <row r="2000" ht="20" customHeight="1">
      <c r="A2000" s="183">
        <f>IF($K2000="","",WEEKNUM(INDEX(Zeiterfassung!$K$6:$K$3665,$K2000),21))</f>
        <v/>
      </c>
      <c r="B2000" s="184">
        <f>IF($K2000="","",INDEX(Zeiterfassung!$K$6:$K$3665,$K2000))</f>
        <v/>
      </c>
      <c r="C2000" s="185">
        <f>IF($K2000="","",INDEX(Zeiterfassung!$K$6:$K$3665,$K2000))</f>
        <v/>
      </c>
      <c r="D2000" s="186">
        <f>IF($K2000="","",INDEX(Zeiterfassung!$D$6:$D$3665,$K2000))</f>
        <v/>
      </c>
      <c r="E2000" s="186">
        <f>IF($K2000="","",INDEX(Zeiterfassung!$E$6:$E$3665,$K2000))</f>
        <v/>
      </c>
      <c r="F2000" s="187">
        <f>IF($K2000="","",INDEX(Zeiterfassung!$F$6:$F$3665,$K2000))</f>
        <v/>
      </c>
      <c r="G2000" s="187">
        <f>IF($K2000="","",INDEX(Zeiterfassung!$G$6:$G$3665,$K2000))</f>
        <v/>
      </c>
      <c r="H2000" s="188">
        <f>IF($K2000="","",INDEX(Zeiterfassung!$H$6:$H$3665,$K2000))</f>
        <v/>
      </c>
      <c r="I2000" s="335">
        <f>IF(B2000=B1999,"",IF($K2000="","",INDEX(Zeiterfassung!$I$6:$I$3665,MATCH(INDEX(Zeiterfassung!$K$6:$K$3665,$K2000),Zeiterfassung!$K$6:$K$3665,0))))</f>
        <v/>
      </c>
      <c r="J2000" s="335">
        <f>IF(B2000=B1999,"",IF($K2000="","",INDEX(Zeiterfassung!$J$6:$J$3665,MATCH(INDEX(Zeiterfassung!$K$6:$K$3665,$K2000),Zeiterfassung!$K$6:$K$3665,0))))</f>
        <v/>
      </c>
      <c r="K2000">
        <f>IFERROR(AGGREGATE(15,6,(ROW(Zeiterfassung!$D$6:$D$3665)-ROW(Zeiterfassung!$D$6)+1)/(Zeiterfassung!$D$6:$D$3665&lt;&gt;""),1995),"")</f>
        <v/>
      </c>
    </row>
    <row r="2001" ht="20" customHeight="1">
      <c r="A2001" s="183">
        <f>IF($K2001="","",WEEKNUM(INDEX(Zeiterfassung!$K$6:$K$3665,$K2001),21))</f>
        <v/>
      </c>
      <c r="B2001" s="184">
        <f>IF($K2001="","",INDEX(Zeiterfassung!$K$6:$K$3665,$K2001))</f>
        <v/>
      </c>
      <c r="C2001" s="185">
        <f>IF($K2001="","",INDEX(Zeiterfassung!$K$6:$K$3665,$K2001))</f>
        <v/>
      </c>
      <c r="D2001" s="186">
        <f>IF($K2001="","",INDEX(Zeiterfassung!$D$6:$D$3665,$K2001))</f>
        <v/>
      </c>
      <c r="E2001" s="186">
        <f>IF($K2001="","",INDEX(Zeiterfassung!$E$6:$E$3665,$K2001))</f>
        <v/>
      </c>
      <c r="F2001" s="187">
        <f>IF($K2001="","",INDEX(Zeiterfassung!$F$6:$F$3665,$K2001))</f>
        <v/>
      </c>
      <c r="G2001" s="187">
        <f>IF($K2001="","",INDEX(Zeiterfassung!$G$6:$G$3665,$K2001))</f>
        <v/>
      </c>
      <c r="H2001" s="188">
        <f>IF($K2001="","",INDEX(Zeiterfassung!$H$6:$H$3665,$K2001))</f>
        <v/>
      </c>
      <c r="I2001" s="335">
        <f>IF(B2001=B2000,"",IF($K2001="","",INDEX(Zeiterfassung!$I$6:$I$3665,MATCH(INDEX(Zeiterfassung!$K$6:$K$3665,$K2001),Zeiterfassung!$K$6:$K$3665,0))))</f>
        <v/>
      </c>
      <c r="J2001" s="335">
        <f>IF(B2001=B2000,"",IF($K2001="","",INDEX(Zeiterfassung!$J$6:$J$3665,MATCH(INDEX(Zeiterfassung!$K$6:$K$3665,$K2001),Zeiterfassung!$K$6:$K$3665,0))))</f>
        <v/>
      </c>
      <c r="K2001">
        <f>IFERROR(AGGREGATE(15,6,(ROW(Zeiterfassung!$D$6:$D$3665)-ROW(Zeiterfassung!$D$6)+1)/(Zeiterfassung!$D$6:$D$3665&lt;&gt;""),1996),"")</f>
        <v/>
      </c>
    </row>
    <row r="2002" ht="20" customHeight="1">
      <c r="A2002" s="183">
        <f>IF($K2002="","",WEEKNUM(INDEX(Zeiterfassung!$K$6:$K$3665,$K2002),21))</f>
        <v/>
      </c>
      <c r="B2002" s="184">
        <f>IF($K2002="","",INDEX(Zeiterfassung!$K$6:$K$3665,$K2002))</f>
        <v/>
      </c>
      <c r="C2002" s="185">
        <f>IF($K2002="","",INDEX(Zeiterfassung!$K$6:$K$3665,$K2002))</f>
        <v/>
      </c>
      <c r="D2002" s="186">
        <f>IF($K2002="","",INDEX(Zeiterfassung!$D$6:$D$3665,$K2002))</f>
        <v/>
      </c>
      <c r="E2002" s="186">
        <f>IF($K2002="","",INDEX(Zeiterfassung!$E$6:$E$3665,$K2002))</f>
        <v/>
      </c>
      <c r="F2002" s="187">
        <f>IF($K2002="","",INDEX(Zeiterfassung!$F$6:$F$3665,$K2002))</f>
        <v/>
      </c>
      <c r="G2002" s="187">
        <f>IF($K2002="","",INDEX(Zeiterfassung!$G$6:$G$3665,$K2002))</f>
        <v/>
      </c>
      <c r="H2002" s="188">
        <f>IF($K2002="","",INDEX(Zeiterfassung!$H$6:$H$3665,$K2002))</f>
        <v/>
      </c>
      <c r="I2002" s="335">
        <f>IF(B2002=B2001,"",IF($K2002="","",INDEX(Zeiterfassung!$I$6:$I$3665,MATCH(INDEX(Zeiterfassung!$K$6:$K$3665,$K2002),Zeiterfassung!$K$6:$K$3665,0))))</f>
        <v/>
      </c>
      <c r="J2002" s="335">
        <f>IF(B2002=B2001,"",IF($K2002="","",INDEX(Zeiterfassung!$J$6:$J$3665,MATCH(INDEX(Zeiterfassung!$K$6:$K$3665,$K2002),Zeiterfassung!$K$6:$K$3665,0))))</f>
        <v/>
      </c>
      <c r="K2002">
        <f>IFERROR(AGGREGATE(15,6,(ROW(Zeiterfassung!$D$6:$D$3665)-ROW(Zeiterfassung!$D$6)+1)/(Zeiterfassung!$D$6:$D$3665&lt;&gt;""),1997),"")</f>
        <v/>
      </c>
    </row>
    <row r="2003" ht="20" customHeight="1">
      <c r="A2003" s="183">
        <f>IF($K2003="","",WEEKNUM(INDEX(Zeiterfassung!$K$6:$K$3665,$K2003),21))</f>
        <v/>
      </c>
      <c r="B2003" s="184">
        <f>IF($K2003="","",INDEX(Zeiterfassung!$K$6:$K$3665,$K2003))</f>
        <v/>
      </c>
      <c r="C2003" s="185">
        <f>IF($K2003="","",INDEX(Zeiterfassung!$K$6:$K$3665,$K2003))</f>
        <v/>
      </c>
      <c r="D2003" s="186">
        <f>IF($K2003="","",INDEX(Zeiterfassung!$D$6:$D$3665,$K2003))</f>
        <v/>
      </c>
      <c r="E2003" s="186">
        <f>IF($K2003="","",INDEX(Zeiterfassung!$E$6:$E$3665,$K2003))</f>
        <v/>
      </c>
      <c r="F2003" s="187">
        <f>IF($K2003="","",INDEX(Zeiterfassung!$F$6:$F$3665,$K2003))</f>
        <v/>
      </c>
      <c r="G2003" s="187">
        <f>IF($K2003="","",INDEX(Zeiterfassung!$G$6:$G$3665,$K2003))</f>
        <v/>
      </c>
      <c r="H2003" s="188">
        <f>IF($K2003="","",INDEX(Zeiterfassung!$H$6:$H$3665,$K2003))</f>
        <v/>
      </c>
      <c r="I2003" s="335">
        <f>IF(B2003=B2002,"",IF($K2003="","",INDEX(Zeiterfassung!$I$6:$I$3665,MATCH(INDEX(Zeiterfassung!$K$6:$K$3665,$K2003),Zeiterfassung!$K$6:$K$3665,0))))</f>
        <v/>
      </c>
      <c r="J2003" s="335">
        <f>IF(B2003=B2002,"",IF($K2003="","",INDEX(Zeiterfassung!$J$6:$J$3665,MATCH(INDEX(Zeiterfassung!$K$6:$K$3665,$K2003),Zeiterfassung!$K$6:$K$3665,0))))</f>
        <v/>
      </c>
      <c r="K2003">
        <f>IFERROR(AGGREGATE(15,6,(ROW(Zeiterfassung!$D$6:$D$3665)-ROW(Zeiterfassung!$D$6)+1)/(Zeiterfassung!$D$6:$D$3665&lt;&gt;""),1998),"")</f>
        <v/>
      </c>
    </row>
    <row r="2004" ht="20" customHeight="1">
      <c r="A2004" s="183">
        <f>IF($K2004="","",WEEKNUM(INDEX(Zeiterfassung!$K$6:$K$3665,$K2004),21))</f>
        <v/>
      </c>
      <c r="B2004" s="184">
        <f>IF($K2004="","",INDEX(Zeiterfassung!$K$6:$K$3665,$K2004))</f>
        <v/>
      </c>
      <c r="C2004" s="185">
        <f>IF($K2004="","",INDEX(Zeiterfassung!$K$6:$K$3665,$K2004))</f>
        <v/>
      </c>
      <c r="D2004" s="186">
        <f>IF($K2004="","",INDEX(Zeiterfassung!$D$6:$D$3665,$K2004))</f>
        <v/>
      </c>
      <c r="E2004" s="186">
        <f>IF($K2004="","",INDEX(Zeiterfassung!$E$6:$E$3665,$K2004))</f>
        <v/>
      </c>
      <c r="F2004" s="187">
        <f>IF($K2004="","",INDEX(Zeiterfassung!$F$6:$F$3665,$K2004))</f>
        <v/>
      </c>
      <c r="G2004" s="187">
        <f>IF($K2004="","",INDEX(Zeiterfassung!$G$6:$G$3665,$K2004))</f>
        <v/>
      </c>
      <c r="H2004" s="188">
        <f>IF($K2004="","",INDEX(Zeiterfassung!$H$6:$H$3665,$K2004))</f>
        <v/>
      </c>
      <c r="I2004" s="335">
        <f>IF(B2004=B2003,"",IF($K2004="","",INDEX(Zeiterfassung!$I$6:$I$3665,MATCH(INDEX(Zeiterfassung!$K$6:$K$3665,$K2004),Zeiterfassung!$K$6:$K$3665,0))))</f>
        <v/>
      </c>
      <c r="J2004" s="335">
        <f>IF(B2004=B2003,"",IF($K2004="","",INDEX(Zeiterfassung!$J$6:$J$3665,MATCH(INDEX(Zeiterfassung!$K$6:$K$3665,$K2004),Zeiterfassung!$K$6:$K$3665,0))))</f>
        <v/>
      </c>
      <c r="K2004">
        <f>IFERROR(AGGREGATE(15,6,(ROW(Zeiterfassung!$D$6:$D$3665)-ROW(Zeiterfassung!$D$6)+1)/(Zeiterfassung!$D$6:$D$3665&lt;&gt;""),1999),"")</f>
        <v/>
      </c>
    </row>
    <row r="2005" ht="20" customHeight="1">
      <c r="A2005" s="183">
        <f>IF($K2005="","",WEEKNUM(INDEX(Zeiterfassung!$K$6:$K$3665,$K2005),21))</f>
        <v/>
      </c>
      <c r="B2005" s="184">
        <f>IF($K2005="","",INDEX(Zeiterfassung!$K$6:$K$3665,$K2005))</f>
        <v/>
      </c>
      <c r="C2005" s="185">
        <f>IF($K2005="","",INDEX(Zeiterfassung!$K$6:$K$3665,$K2005))</f>
        <v/>
      </c>
      <c r="D2005" s="186">
        <f>IF($K2005="","",INDEX(Zeiterfassung!$D$6:$D$3665,$K2005))</f>
        <v/>
      </c>
      <c r="E2005" s="186">
        <f>IF($K2005="","",INDEX(Zeiterfassung!$E$6:$E$3665,$K2005))</f>
        <v/>
      </c>
      <c r="F2005" s="187">
        <f>IF($K2005="","",INDEX(Zeiterfassung!$F$6:$F$3665,$K2005))</f>
        <v/>
      </c>
      <c r="G2005" s="187">
        <f>IF($K2005="","",INDEX(Zeiterfassung!$G$6:$G$3665,$K2005))</f>
        <v/>
      </c>
      <c r="H2005" s="188">
        <f>IF($K2005="","",INDEX(Zeiterfassung!$H$6:$H$3665,$K2005))</f>
        <v/>
      </c>
      <c r="I2005" s="335">
        <f>IF(B2005=B2004,"",IF($K2005="","",INDEX(Zeiterfassung!$I$6:$I$3665,MATCH(INDEX(Zeiterfassung!$K$6:$K$3665,$K2005),Zeiterfassung!$K$6:$K$3665,0))))</f>
        <v/>
      </c>
      <c r="J2005" s="335">
        <f>IF(B2005=B2004,"",IF($K2005="","",INDEX(Zeiterfassung!$J$6:$J$3665,MATCH(INDEX(Zeiterfassung!$K$6:$K$3665,$K2005),Zeiterfassung!$K$6:$K$3665,0))))</f>
        <v/>
      </c>
      <c r="K2005">
        <f>IFERROR(AGGREGATE(15,6,(ROW(Zeiterfassung!$D$6:$D$3665)-ROW(Zeiterfassung!$D$6)+1)/(Zeiterfassung!$D$6:$D$3665&lt;&gt;""),2000),"")</f>
        <v/>
      </c>
    </row>
    <row r="2006" ht="20" customHeight="1">
      <c r="A2006" s="183">
        <f>IF($K2006="","",WEEKNUM(INDEX(Zeiterfassung!$K$6:$K$3665,$K2006),21))</f>
        <v/>
      </c>
      <c r="B2006" s="184">
        <f>IF($K2006="","",INDEX(Zeiterfassung!$K$6:$K$3665,$K2006))</f>
        <v/>
      </c>
      <c r="C2006" s="185">
        <f>IF($K2006="","",INDEX(Zeiterfassung!$K$6:$K$3665,$K2006))</f>
        <v/>
      </c>
      <c r="D2006" s="186">
        <f>IF($K2006="","",INDEX(Zeiterfassung!$D$6:$D$3665,$K2006))</f>
        <v/>
      </c>
      <c r="E2006" s="186">
        <f>IF($K2006="","",INDEX(Zeiterfassung!$E$6:$E$3665,$K2006))</f>
        <v/>
      </c>
      <c r="F2006" s="187">
        <f>IF($K2006="","",INDEX(Zeiterfassung!$F$6:$F$3665,$K2006))</f>
        <v/>
      </c>
      <c r="G2006" s="187">
        <f>IF($K2006="","",INDEX(Zeiterfassung!$G$6:$G$3665,$K2006))</f>
        <v/>
      </c>
      <c r="H2006" s="188">
        <f>IF($K2006="","",INDEX(Zeiterfassung!$H$6:$H$3665,$K2006))</f>
        <v/>
      </c>
      <c r="I2006" s="335">
        <f>IF(B2006=B2005,"",IF($K2006="","",INDEX(Zeiterfassung!$I$6:$I$3665,MATCH(INDEX(Zeiterfassung!$K$6:$K$3665,$K2006),Zeiterfassung!$K$6:$K$3665,0))))</f>
        <v/>
      </c>
      <c r="J2006" s="335">
        <f>IF(B2006=B2005,"",IF($K2006="","",INDEX(Zeiterfassung!$J$6:$J$3665,MATCH(INDEX(Zeiterfassung!$K$6:$K$3665,$K2006),Zeiterfassung!$K$6:$K$3665,0))))</f>
        <v/>
      </c>
      <c r="K2006">
        <f>IFERROR(AGGREGATE(15,6,(ROW(Zeiterfassung!$D$6:$D$3665)-ROW(Zeiterfassung!$D$6)+1)/(Zeiterfassung!$D$6:$D$3665&lt;&gt;""),2001),"")</f>
        <v/>
      </c>
    </row>
    <row r="2007" ht="20" customHeight="1">
      <c r="A2007" s="183">
        <f>IF($K2007="","",WEEKNUM(INDEX(Zeiterfassung!$K$6:$K$3665,$K2007),21))</f>
        <v/>
      </c>
      <c r="B2007" s="184">
        <f>IF($K2007="","",INDEX(Zeiterfassung!$K$6:$K$3665,$K2007))</f>
        <v/>
      </c>
      <c r="C2007" s="185">
        <f>IF($K2007="","",INDEX(Zeiterfassung!$K$6:$K$3665,$K2007))</f>
        <v/>
      </c>
      <c r="D2007" s="186">
        <f>IF($K2007="","",INDEX(Zeiterfassung!$D$6:$D$3665,$K2007))</f>
        <v/>
      </c>
      <c r="E2007" s="186">
        <f>IF($K2007="","",INDEX(Zeiterfassung!$E$6:$E$3665,$K2007))</f>
        <v/>
      </c>
      <c r="F2007" s="187">
        <f>IF($K2007="","",INDEX(Zeiterfassung!$F$6:$F$3665,$K2007))</f>
        <v/>
      </c>
      <c r="G2007" s="187">
        <f>IF($K2007="","",INDEX(Zeiterfassung!$G$6:$G$3665,$K2007))</f>
        <v/>
      </c>
      <c r="H2007" s="188">
        <f>IF($K2007="","",INDEX(Zeiterfassung!$H$6:$H$3665,$K2007))</f>
        <v/>
      </c>
      <c r="I2007" s="335">
        <f>IF(B2007=B2006,"",IF($K2007="","",INDEX(Zeiterfassung!$I$6:$I$3665,MATCH(INDEX(Zeiterfassung!$K$6:$K$3665,$K2007),Zeiterfassung!$K$6:$K$3665,0))))</f>
        <v/>
      </c>
      <c r="J2007" s="335">
        <f>IF(B2007=B2006,"",IF($K2007="","",INDEX(Zeiterfassung!$J$6:$J$3665,MATCH(INDEX(Zeiterfassung!$K$6:$K$3665,$K2007),Zeiterfassung!$K$6:$K$3665,0))))</f>
        <v/>
      </c>
      <c r="K2007">
        <f>IFERROR(AGGREGATE(15,6,(ROW(Zeiterfassung!$D$6:$D$3665)-ROW(Zeiterfassung!$D$6)+1)/(Zeiterfassung!$D$6:$D$3665&lt;&gt;""),2002),"")</f>
        <v/>
      </c>
    </row>
    <row r="2008" ht="20" customHeight="1">
      <c r="A2008" s="183">
        <f>IF($K2008="","",WEEKNUM(INDEX(Zeiterfassung!$K$6:$K$3665,$K2008),21))</f>
        <v/>
      </c>
      <c r="B2008" s="184">
        <f>IF($K2008="","",INDEX(Zeiterfassung!$K$6:$K$3665,$K2008))</f>
        <v/>
      </c>
      <c r="C2008" s="185">
        <f>IF($K2008="","",INDEX(Zeiterfassung!$K$6:$K$3665,$K2008))</f>
        <v/>
      </c>
      <c r="D2008" s="186">
        <f>IF($K2008="","",INDEX(Zeiterfassung!$D$6:$D$3665,$K2008))</f>
        <v/>
      </c>
      <c r="E2008" s="186">
        <f>IF($K2008="","",INDEX(Zeiterfassung!$E$6:$E$3665,$K2008))</f>
        <v/>
      </c>
      <c r="F2008" s="187">
        <f>IF($K2008="","",INDEX(Zeiterfassung!$F$6:$F$3665,$K2008))</f>
        <v/>
      </c>
      <c r="G2008" s="187">
        <f>IF($K2008="","",INDEX(Zeiterfassung!$G$6:$G$3665,$K2008))</f>
        <v/>
      </c>
      <c r="H2008" s="188">
        <f>IF($K2008="","",INDEX(Zeiterfassung!$H$6:$H$3665,$K2008))</f>
        <v/>
      </c>
      <c r="I2008" s="335">
        <f>IF(B2008=B2007,"",IF($K2008="","",INDEX(Zeiterfassung!$I$6:$I$3665,MATCH(INDEX(Zeiterfassung!$K$6:$K$3665,$K2008),Zeiterfassung!$K$6:$K$3665,0))))</f>
        <v/>
      </c>
      <c r="J2008" s="335">
        <f>IF(B2008=B2007,"",IF($K2008="","",INDEX(Zeiterfassung!$J$6:$J$3665,MATCH(INDEX(Zeiterfassung!$K$6:$K$3665,$K2008),Zeiterfassung!$K$6:$K$3665,0))))</f>
        <v/>
      </c>
      <c r="K2008">
        <f>IFERROR(AGGREGATE(15,6,(ROW(Zeiterfassung!$D$6:$D$3665)-ROW(Zeiterfassung!$D$6)+1)/(Zeiterfassung!$D$6:$D$3665&lt;&gt;""),2003),"")</f>
        <v/>
      </c>
    </row>
    <row r="2009" ht="20" customHeight="1">
      <c r="A2009" s="183">
        <f>IF($K2009="","",WEEKNUM(INDEX(Zeiterfassung!$K$6:$K$3665,$K2009),21))</f>
        <v/>
      </c>
      <c r="B2009" s="184">
        <f>IF($K2009="","",INDEX(Zeiterfassung!$K$6:$K$3665,$K2009))</f>
        <v/>
      </c>
      <c r="C2009" s="185">
        <f>IF($K2009="","",INDEX(Zeiterfassung!$K$6:$K$3665,$K2009))</f>
        <v/>
      </c>
      <c r="D2009" s="186">
        <f>IF($K2009="","",INDEX(Zeiterfassung!$D$6:$D$3665,$K2009))</f>
        <v/>
      </c>
      <c r="E2009" s="186">
        <f>IF($K2009="","",INDEX(Zeiterfassung!$E$6:$E$3665,$K2009))</f>
        <v/>
      </c>
      <c r="F2009" s="187">
        <f>IF($K2009="","",INDEX(Zeiterfassung!$F$6:$F$3665,$K2009))</f>
        <v/>
      </c>
      <c r="G2009" s="187">
        <f>IF($K2009="","",INDEX(Zeiterfassung!$G$6:$G$3665,$K2009))</f>
        <v/>
      </c>
      <c r="H2009" s="188">
        <f>IF($K2009="","",INDEX(Zeiterfassung!$H$6:$H$3665,$K2009))</f>
        <v/>
      </c>
      <c r="I2009" s="335">
        <f>IF(B2009=B2008,"",IF($K2009="","",INDEX(Zeiterfassung!$I$6:$I$3665,MATCH(INDEX(Zeiterfassung!$K$6:$K$3665,$K2009),Zeiterfassung!$K$6:$K$3665,0))))</f>
        <v/>
      </c>
      <c r="J2009" s="335">
        <f>IF(B2009=B2008,"",IF($K2009="","",INDEX(Zeiterfassung!$J$6:$J$3665,MATCH(INDEX(Zeiterfassung!$K$6:$K$3665,$K2009),Zeiterfassung!$K$6:$K$3665,0))))</f>
        <v/>
      </c>
      <c r="K2009">
        <f>IFERROR(AGGREGATE(15,6,(ROW(Zeiterfassung!$D$6:$D$3665)-ROW(Zeiterfassung!$D$6)+1)/(Zeiterfassung!$D$6:$D$3665&lt;&gt;""),2004),"")</f>
        <v/>
      </c>
    </row>
    <row r="2010" ht="20" customHeight="1">
      <c r="A2010" s="183">
        <f>IF($K2010="","",WEEKNUM(INDEX(Zeiterfassung!$K$6:$K$3665,$K2010),21))</f>
        <v/>
      </c>
      <c r="B2010" s="184">
        <f>IF($K2010="","",INDEX(Zeiterfassung!$K$6:$K$3665,$K2010))</f>
        <v/>
      </c>
      <c r="C2010" s="185">
        <f>IF($K2010="","",INDEX(Zeiterfassung!$K$6:$K$3665,$K2010))</f>
        <v/>
      </c>
      <c r="D2010" s="186">
        <f>IF($K2010="","",INDEX(Zeiterfassung!$D$6:$D$3665,$K2010))</f>
        <v/>
      </c>
      <c r="E2010" s="186">
        <f>IF($K2010="","",INDEX(Zeiterfassung!$E$6:$E$3665,$K2010))</f>
        <v/>
      </c>
      <c r="F2010" s="187">
        <f>IF($K2010="","",INDEX(Zeiterfassung!$F$6:$F$3665,$K2010))</f>
        <v/>
      </c>
      <c r="G2010" s="187">
        <f>IF($K2010="","",INDEX(Zeiterfassung!$G$6:$G$3665,$K2010))</f>
        <v/>
      </c>
      <c r="H2010" s="188">
        <f>IF($K2010="","",INDEX(Zeiterfassung!$H$6:$H$3665,$K2010))</f>
        <v/>
      </c>
      <c r="I2010" s="335">
        <f>IF(B2010=B2009,"",IF($K2010="","",INDEX(Zeiterfassung!$I$6:$I$3665,MATCH(INDEX(Zeiterfassung!$K$6:$K$3665,$K2010),Zeiterfassung!$K$6:$K$3665,0))))</f>
        <v/>
      </c>
      <c r="J2010" s="335">
        <f>IF(B2010=B2009,"",IF($K2010="","",INDEX(Zeiterfassung!$J$6:$J$3665,MATCH(INDEX(Zeiterfassung!$K$6:$K$3665,$K2010),Zeiterfassung!$K$6:$K$3665,0))))</f>
        <v/>
      </c>
      <c r="K2010">
        <f>IFERROR(AGGREGATE(15,6,(ROW(Zeiterfassung!$D$6:$D$3665)-ROW(Zeiterfassung!$D$6)+1)/(Zeiterfassung!$D$6:$D$3665&lt;&gt;""),2005),"")</f>
        <v/>
      </c>
    </row>
    <row r="2011" ht="20" customHeight="1">
      <c r="A2011" s="183">
        <f>IF($K2011="","",WEEKNUM(INDEX(Zeiterfassung!$K$6:$K$3665,$K2011),21))</f>
        <v/>
      </c>
      <c r="B2011" s="184">
        <f>IF($K2011="","",INDEX(Zeiterfassung!$K$6:$K$3665,$K2011))</f>
        <v/>
      </c>
      <c r="C2011" s="185">
        <f>IF($K2011="","",INDEX(Zeiterfassung!$K$6:$K$3665,$K2011))</f>
        <v/>
      </c>
      <c r="D2011" s="186">
        <f>IF($K2011="","",INDEX(Zeiterfassung!$D$6:$D$3665,$K2011))</f>
        <v/>
      </c>
      <c r="E2011" s="186">
        <f>IF($K2011="","",INDEX(Zeiterfassung!$E$6:$E$3665,$K2011))</f>
        <v/>
      </c>
      <c r="F2011" s="187">
        <f>IF($K2011="","",INDEX(Zeiterfassung!$F$6:$F$3665,$K2011))</f>
        <v/>
      </c>
      <c r="G2011" s="187">
        <f>IF($K2011="","",INDEX(Zeiterfassung!$G$6:$G$3665,$K2011))</f>
        <v/>
      </c>
      <c r="H2011" s="188">
        <f>IF($K2011="","",INDEX(Zeiterfassung!$H$6:$H$3665,$K2011))</f>
        <v/>
      </c>
      <c r="I2011" s="335">
        <f>IF(B2011=B2010,"",IF($K2011="","",INDEX(Zeiterfassung!$I$6:$I$3665,MATCH(INDEX(Zeiterfassung!$K$6:$K$3665,$K2011),Zeiterfassung!$K$6:$K$3665,0))))</f>
        <v/>
      </c>
      <c r="J2011" s="335">
        <f>IF(B2011=B2010,"",IF($K2011="","",INDEX(Zeiterfassung!$J$6:$J$3665,MATCH(INDEX(Zeiterfassung!$K$6:$K$3665,$K2011),Zeiterfassung!$K$6:$K$3665,0))))</f>
        <v/>
      </c>
      <c r="K2011">
        <f>IFERROR(AGGREGATE(15,6,(ROW(Zeiterfassung!$D$6:$D$3665)-ROW(Zeiterfassung!$D$6)+1)/(Zeiterfassung!$D$6:$D$3665&lt;&gt;""),2006),"")</f>
        <v/>
      </c>
    </row>
    <row r="2012" ht="20" customHeight="1">
      <c r="A2012" s="183">
        <f>IF($K2012="","",WEEKNUM(INDEX(Zeiterfassung!$K$6:$K$3665,$K2012),21))</f>
        <v/>
      </c>
      <c r="B2012" s="184">
        <f>IF($K2012="","",INDEX(Zeiterfassung!$K$6:$K$3665,$K2012))</f>
        <v/>
      </c>
      <c r="C2012" s="185">
        <f>IF($K2012="","",INDEX(Zeiterfassung!$K$6:$K$3665,$K2012))</f>
        <v/>
      </c>
      <c r="D2012" s="186">
        <f>IF($K2012="","",INDEX(Zeiterfassung!$D$6:$D$3665,$K2012))</f>
        <v/>
      </c>
      <c r="E2012" s="186">
        <f>IF($K2012="","",INDEX(Zeiterfassung!$E$6:$E$3665,$K2012))</f>
        <v/>
      </c>
      <c r="F2012" s="187">
        <f>IF($K2012="","",INDEX(Zeiterfassung!$F$6:$F$3665,$K2012))</f>
        <v/>
      </c>
      <c r="G2012" s="187">
        <f>IF($K2012="","",INDEX(Zeiterfassung!$G$6:$G$3665,$K2012))</f>
        <v/>
      </c>
      <c r="H2012" s="188">
        <f>IF($K2012="","",INDEX(Zeiterfassung!$H$6:$H$3665,$K2012))</f>
        <v/>
      </c>
      <c r="I2012" s="335">
        <f>IF(B2012=B2011,"",IF($K2012="","",INDEX(Zeiterfassung!$I$6:$I$3665,MATCH(INDEX(Zeiterfassung!$K$6:$K$3665,$K2012),Zeiterfassung!$K$6:$K$3665,0))))</f>
        <v/>
      </c>
      <c r="J2012" s="335">
        <f>IF(B2012=B2011,"",IF($K2012="","",INDEX(Zeiterfassung!$J$6:$J$3665,MATCH(INDEX(Zeiterfassung!$K$6:$K$3665,$K2012),Zeiterfassung!$K$6:$K$3665,0))))</f>
        <v/>
      </c>
      <c r="K2012">
        <f>IFERROR(AGGREGATE(15,6,(ROW(Zeiterfassung!$D$6:$D$3665)-ROW(Zeiterfassung!$D$6)+1)/(Zeiterfassung!$D$6:$D$3665&lt;&gt;""),2007),"")</f>
        <v/>
      </c>
    </row>
    <row r="2013" ht="20" customHeight="1">
      <c r="A2013" s="183">
        <f>IF($K2013="","",WEEKNUM(INDEX(Zeiterfassung!$K$6:$K$3665,$K2013),21))</f>
        <v/>
      </c>
      <c r="B2013" s="184">
        <f>IF($K2013="","",INDEX(Zeiterfassung!$K$6:$K$3665,$K2013))</f>
        <v/>
      </c>
      <c r="C2013" s="185">
        <f>IF($K2013="","",INDEX(Zeiterfassung!$K$6:$K$3665,$K2013))</f>
        <v/>
      </c>
      <c r="D2013" s="186">
        <f>IF($K2013="","",INDEX(Zeiterfassung!$D$6:$D$3665,$K2013))</f>
        <v/>
      </c>
      <c r="E2013" s="186">
        <f>IF($K2013="","",INDEX(Zeiterfassung!$E$6:$E$3665,$K2013))</f>
        <v/>
      </c>
      <c r="F2013" s="187">
        <f>IF($K2013="","",INDEX(Zeiterfassung!$F$6:$F$3665,$K2013))</f>
        <v/>
      </c>
      <c r="G2013" s="187">
        <f>IF($K2013="","",INDEX(Zeiterfassung!$G$6:$G$3665,$K2013))</f>
        <v/>
      </c>
      <c r="H2013" s="188">
        <f>IF($K2013="","",INDEX(Zeiterfassung!$H$6:$H$3665,$K2013))</f>
        <v/>
      </c>
      <c r="I2013" s="335">
        <f>IF(B2013=B2012,"",IF($K2013="","",INDEX(Zeiterfassung!$I$6:$I$3665,MATCH(INDEX(Zeiterfassung!$K$6:$K$3665,$K2013),Zeiterfassung!$K$6:$K$3665,0))))</f>
        <v/>
      </c>
      <c r="J2013" s="335">
        <f>IF(B2013=B2012,"",IF($K2013="","",INDEX(Zeiterfassung!$J$6:$J$3665,MATCH(INDEX(Zeiterfassung!$K$6:$K$3665,$K2013),Zeiterfassung!$K$6:$K$3665,0))))</f>
        <v/>
      </c>
      <c r="K2013">
        <f>IFERROR(AGGREGATE(15,6,(ROW(Zeiterfassung!$D$6:$D$3665)-ROW(Zeiterfassung!$D$6)+1)/(Zeiterfassung!$D$6:$D$3665&lt;&gt;""),2008),"")</f>
        <v/>
      </c>
    </row>
    <row r="2014" ht="20" customHeight="1">
      <c r="A2014" s="183">
        <f>IF($K2014="","",WEEKNUM(INDEX(Zeiterfassung!$K$6:$K$3665,$K2014),21))</f>
        <v/>
      </c>
      <c r="B2014" s="184">
        <f>IF($K2014="","",INDEX(Zeiterfassung!$K$6:$K$3665,$K2014))</f>
        <v/>
      </c>
      <c r="C2014" s="185">
        <f>IF($K2014="","",INDEX(Zeiterfassung!$K$6:$K$3665,$K2014))</f>
        <v/>
      </c>
      <c r="D2014" s="186">
        <f>IF($K2014="","",INDEX(Zeiterfassung!$D$6:$D$3665,$K2014))</f>
        <v/>
      </c>
      <c r="E2014" s="186">
        <f>IF($K2014="","",INDEX(Zeiterfassung!$E$6:$E$3665,$K2014))</f>
        <v/>
      </c>
      <c r="F2014" s="187">
        <f>IF($K2014="","",INDEX(Zeiterfassung!$F$6:$F$3665,$K2014))</f>
        <v/>
      </c>
      <c r="G2014" s="187">
        <f>IF($K2014="","",INDEX(Zeiterfassung!$G$6:$G$3665,$K2014))</f>
        <v/>
      </c>
      <c r="H2014" s="188">
        <f>IF($K2014="","",INDEX(Zeiterfassung!$H$6:$H$3665,$K2014))</f>
        <v/>
      </c>
      <c r="I2014" s="335">
        <f>IF(B2014=B2013,"",IF($K2014="","",INDEX(Zeiterfassung!$I$6:$I$3665,MATCH(INDEX(Zeiterfassung!$K$6:$K$3665,$K2014),Zeiterfassung!$K$6:$K$3665,0))))</f>
        <v/>
      </c>
      <c r="J2014" s="335">
        <f>IF(B2014=B2013,"",IF($K2014="","",INDEX(Zeiterfassung!$J$6:$J$3665,MATCH(INDEX(Zeiterfassung!$K$6:$K$3665,$K2014),Zeiterfassung!$K$6:$K$3665,0))))</f>
        <v/>
      </c>
      <c r="K2014">
        <f>IFERROR(AGGREGATE(15,6,(ROW(Zeiterfassung!$D$6:$D$3665)-ROW(Zeiterfassung!$D$6)+1)/(Zeiterfassung!$D$6:$D$3665&lt;&gt;""),2009),"")</f>
        <v/>
      </c>
    </row>
    <row r="2015" ht="20" customHeight="1">
      <c r="A2015" s="183">
        <f>IF($K2015="","",WEEKNUM(INDEX(Zeiterfassung!$K$6:$K$3665,$K2015),21))</f>
        <v/>
      </c>
      <c r="B2015" s="184">
        <f>IF($K2015="","",INDEX(Zeiterfassung!$K$6:$K$3665,$K2015))</f>
        <v/>
      </c>
      <c r="C2015" s="185">
        <f>IF($K2015="","",INDEX(Zeiterfassung!$K$6:$K$3665,$K2015))</f>
        <v/>
      </c>
      <c r="D2015" s="186">
        <f>IF($K2015="","",INDEX(Zeiterfassung!$D$6:$D$3665,$K2015))</f>
        <v/>
      </c>
      <c r="E2015" s="186">
        <f>IF($K2015="","",INDEX(Zeiterfassung!$E$6:$E$3665,$K2015))</f>
        <v/>
      </c>
      <c r="F2015" s="187">
        <f>IF($K2015="","",INDEX(Zeiterfassung!$F$6:$F$3665,$K2015))</f>
        <v/>
      </c>
      <c r="G2015" s="187">
        <f>IF($K2015="","",INDEX(Zeiterfassung!$G$6:$G$3665,$K2015))</f>
        <v/>
      </c>
      <c r="H2015" s="188">
        <f>IF($K2015="","",INDEX(Zeiterfassung!$H$6:$H$3665,$K2015))</f>
        <v/>
      </c>
      <c r="I2015" s="335">
        <f>IF(B2015=B2014,"",IF($K2015="","",INDEX(Zeiterfassung!$I$6:$I$3665,MATCH(INDEX(Zeiterfassung!$K$6:$K$3665,$K2015),Zeiterfassung!$K$6:$K$3665,0))))</f>
        <v/>
      </c>
      <c r="J2015" s="335">
        <f>IF(B2015=B2014,"",IF($K2015="","",INDEX(Zeiterfassung!$J$6:$J$3665,MATCH(INDEX(Zeiterfassung!$K$6:$K$3665,$K2015),Zeiterfassung!$K$6:$K$3665,0))))</f>
        <v/>
      </c>
      <c r="K2015">
        <f>IFERROR(AGGREGATE(15,6,(ROW(Zeiterfassung!$D$6:$D$3665)-ROW(Zeiterfassung!$D$6)+1)/(Zeiterfassung!$D$6:$D$3665&lt;&gt;""),2010),"")</f>
        <v/>
      </c>
    </row>
    <row r="2016" ht="20" customHeight="1">
      <c r="A2016" s="183">
        <f>IF($K2016="","",WEEKNUM(INDEX(Zeiterfassung!$K$6:$K$3665,$K2016),21))</f>
        <v/>
      </c>
      <c r="B2016" s="184">
        <f>IF($K2016="","",INDEX(Zeiterfassung!$K$6:$K$3665,$K2016))</f>
        <v/>
      </c>
      <c r="C2016" s="185">
        <f>IF($K2016="","",INDEX(Zeiterfassung!$K$6:$K$3665,$K2016))</f>
        <v/>
      </c>
      <c r="D2016" s="186">
        <f>IF($K2016="","",INDEX(Zeiterfassung!$D$6:$D$3665,$K2016))</f>
        <v/>
      </c>
      <c r="E2016" s="186">
        <f>IF($K2016="","",INDEX(Zeiterfassung!$E$6:$E$3665,$K2016))</f>
        <v/>
      </c>
      <c r="F2016" s="187">
        <f>IF($K2016="","",INDEX(Zeiterfassung!$F$6:$F$3665,$K2016))</f>
        <v/>
      </c>
      <c r="G2016" s="187">
        <f>IF($K2016="","",INDEX(Zeiterfassung!$G$6:$G$3665,$K2016))</f>
        <v/>
      </c>
      <c r="H2016" s="188">
        <f>IF($K2016="","",INDEX(Zeiterfassung!$H$6:$H$3665,$K2016))</f>
        <v/>
      </c>
      <c r="I2016" s="335">
        <f>IF(B2016=B2015,"",IF($K2016="","",INDEX(Zeiterfassung!$I$6:$I$3665,MATCH(INDEX(Zeiterfassung!$K$6:$K$3665,$K2016),Zeiterfassung!$K$6:$K$3665,0))))</f>
        <v/>
      </c>
      <c r="J2016" s="335">
        <f>IF(B2016=B2015,"",IF($K2016="","",INDEX(Zeiterfassung!$J$6:$J$3665,MATCH(INDEX(Zeiterfassung!$K$6:$K$3665,$K2016),Zeiterfassung!$K$6:$K$3665,0))))</f>
        <v/>
      </c>
      <c r="K2016">
        <f>IFERROR(AGGREGATE(15,6,(ROW(Zeiterfassung!$D$6:$D$3665)-ROW(Zeiterfassung!$D$6)+1)/(Zeiterfassung!$D$6:$D$3665&lt;&gt;""),2011),"")</f>
        <v/>
      </c>
    </row>
    <row r="2017" ht="20" customHeight="1">
      <c r="A2017" s="183">
        <f>IF($K2017="","",WEEKNUM(INDEX(Zeiterfassung!$K$6:$K$3665,$K2017),21))</f>
        <v/>
      </c>
      <c r="B2017" s="184">
        <f>IF($K2017="","",INDEX(Zeiterfassung!$K$6:$K$3665,$K2017))</f>
        <v/>
      </c>
      <c r="C2017" s="185">
        <f>IF($K2017="","",INDEX(Zeiterfassung!$K$6:$K$3665,$K2017))</f>
        <v/>
      </c>
      <c r="D2017" s="186">
        <f>IF($K2017="","",INDEX(Zeiterfassung!$D$6:$D$3665,$K2017))</f>
        <v/>
      </c>
      <c r="E2017" s="186">
        <f>IF($K2017="","",INDEX(Zeiterfassung!$E$6:$E$3665,$K2017))</f>
        <v/>
      </c>
      <c r="F2017" s="187">
        <f>IF($K2017="","",INDEX(Zeiterfassung!$F$6:$F$3665,$K2017))</f>
        <v/>
      </c>
      <c r="G2017" s="187">
        <f>IF($K2017="","",INDEX(Zeiterfassung!$G$6:$G$3665,$K2017))</f>
        <v/>
      </c>
      <c r="H2017" s="188">
        <f>IF($K2017="","",INDEX(Zeiterfassung!$H$6:$H$3665,$K2017))</f>
        <v/>
      </c>
      <c r="I2017" s="335">
        <f>IF(B2017=B2016,"",IF($K2017="","",INDEX(Zeiterfassung!$I$6:$I$3665,MATCH(INDEX(Zeiterfassung!$K$6:$K$3665,$K2017),Zeiterfassung!$K$6:$K$3665,0))))</f>
        <v/>
      </c>
      <c r="J2017" s="335">
        <f>IF(B2017=B2016,"",IF($K2017="","",INDEX(Zeiterfassung!$J$6:$J$3665,MATCH(INDEX(Zeiterfassung!$K$6:$K$3665,$K2017),Zeiterfassung!$K$6:$K$3665,0))))</f>
        <v/>
      </c>
      <c r="K2017">
        <f>IFERROR(AGGREGATE(15,6,(ROW(Zeiterfassung!$D$6:$D$3665)-ROW(Zeiterfassung!$D$6)+1)/(Zeiterfassung!$D$6:$D$3665&lt;&gt;""),2012),"")</f>
        <v/>
      </c>
    </row>
    <row r="2018" ht="20" customHeight="1">
      <c r="A2018" s="183">
        <f>IF($K2018="","",WEEKNUM(INDEX(Zeiterfassung!$K$6:$K$3665,$K2018),21))</f>
        <v/>
      </c>
      <c r="B2018" s="184">
        <f>IF($K2018="","",INDEX(Zeiterfassung!$K$6:$K$3665,$K2018))</f>
        <v/>
      </c>
      <c r="C2018" s="185">
        <f>IF($K2018="","",INDEX(Zeiterfassung!$K$6:$K$3665,$K2018))</f>
        <v/>
      </c>
      <c r="D2018" s="186">
        <f>IF($K2018="","",INDEX(Zeiterfassung!$D$6:$D$3665,$K2018))</f>
        <v/>
      </c>
      <c r="E2018" s="186">
        <f>IF($K2018="","",INDEX(Zeiterfassung!$E$6:$E$3665,$K2018))</f>
        <v/>
      </c>
      <c r="F2018" s="187">
        <f>IF($K2018="","",INDEX(Zeiterfassung!$F$6:$F$3665,$K2018))</f>
        <v/>
      </c>
      <c r="G2018" s="187">
        <f>IF($K2018="","",INDEX(Zeiterfassung!$G$6:$G$3665,$K2018))</f>
        <v/>
      </c>
      <c r="H2018" s="188">
        <f>IF($K2018="","",INDEX(Zeiterfassung!$H$6:$H$3665,$K2018))</f>
        <v/>
      </c>
      <c r="I2018" s="335">
        <f>IF(B2018=B2017,"",IF($K2018="","",INDEX(Zeiterfassung!$I$6:$I$3665,MATCH(INDEX(Zeiterfassung!$K$6:$K$3665,$K2018),Zeiterfassung!$K$6:$K$3665,0))))</f>
        <v/>
      </c>
      <c r="J2018" s="335">
        <f>IF(B2018=B2017,"",IF($K2018="","",INDEX(Zeiterfassung!$J$6:$J$3665,MATCH(INDEX(Zeiterfassung!$K$6:$K$3665,$K2018),Zeiterfassung!$K$6:$K$3665,0))))</f>
        <v/>
      </c>
      <c r="K2018">
        <f>IFERROR(AGGREGATE(15,6,(ROW(Zeiterfassung!$D$6:$D$3665)-ROW(Zeiterfassung!$D$6)+1)/(Zeiterfassung!$D$6:$D$3665&lt;&gt;""),2013),"")</f>
        <v/>
      </c>
    </row>
    <row r="2019" ht="20" customHeight="1">
      <c r="A2019" s="183">
        <f>IF($K2019="","",WEEKNUM(INDEX(Zeiterfassung!$K$6:$K$3665,$K2019),21))</f>
        <v/>
      </c>
      <c r="B2019" s="184">
        <f>IF($K2019="","",INDEX(Zeiterfassung!$K$6:$K$3665,$K2019))</f>
        <v/>
      </c>
      <c r="C2019" s="185">
        <f>IF($K2019="","",INDEX(Zeiterfassung!$K$6:$K$3665,$K2019))</f>
        <v/>
      </c>
      <c r="D2019" s="186">
        <f>IF($K2019="","",INDEX(Zeiterfassung!$D$6:$D$3665,$K2019))</f>
        <v/>
      </c>
      <c r="E2019" s="186">
        <f>IF($K2019="","",INDEX(Zeiterfassung!$E$6:$E$3665,$K2019))</f>
        <v/>
      </c>
      <c r="F2019" s="187">
        <f>IF($K2019="","",INDEX(Zeiterfassung!$F$6:$F$3665,$K2019))</f>
        <v/>
      </c>
      <c r="G2019" s="187">
        <f>IF($K2019="","",INDEX(Zeiterfassung!$G$6:$G$3665,$K2019))</f>
        <v/>
      </c>
      <c r="H2019" s="188">
        <f>IF($K2019="","",INDEX(Zeiterfassung!$H$6:$H$3665,$K2019))</f>
        <v/>
      </c>
      <c r="I2019" s="335">
        <f>IF(B2019=B2018,"",IF($K2019="","",INDEX(Zeiterfassung!$I$6:$I$3665,MATCH(INDEX(Zeiterfassung!$K$6:$K$3665,$K2019),Zeiterfassung!$K$6:$K$3665,0))))</f>
        <v/>
      </c>
      <c r="J2019" s="335">
        <f>IF(B2019=B2018,"",IF($K2019="","",INDEX(Zeiterfassung!$J$6:$J$3665,MATCH(INDEX(Zeiterfassung!$K$6:$K$3665,$K2019),Zeiterfassung!$K$6:$K$3665,0))))</f>
        <v/>
      </c>
      <c r="K2019">
        <f>IFERROR(AGGREGATE(15,6,(ROW(Zeiterfassung!$D$6:$D$3665)-ROW(Zeiterfassung!$D$6)+1)/(Zeiterfassung!$D$6:$D$3665&lt;&gt;""),2014),"")</f>
        <v/>
      </c>
    </row>
    <row r="2020" ht="20" customHeight="1">
      <c r="A2020" s="183">
        <f>IF($K2020="","",WEEKNUM(INDEX(Zeiterfassung!$K$6:$K$3665,$K2020),21))</f>
        <v/>
      </c>
      <c r="B2020" s="184">
        <f>IF($K2020="","",INDEX(Zeiterfassung!$K$6:$K$3665,$K2020))</f>
        <v/>
      </c>
      <c r="C2020" s="185">
        <f>IF($K2020="","",INDEX(Zeiterfassung!$K$6:$K$3665,$K2020))</f>
        <v/>
      </c>
      <c r="D2020" s="186">
        <f>IF($K2020="","",INDEX(Zeiterfassung!$D$6:$D$3665,$K2020))</f>
        <v/>
      </c>
      <c r="E2020" s="186">
        <f>IF($K2020="","",INDEX(Zeiterfassung!$E$6:$E$3665,$K2020))</f>
        <v/>
      </c>
      <c r="F2020" s="187">
        <f>IF($K2020="","",INDEX(Zeiterfassung!$F$6:$F$3665,$K2020))</f>
        <v/>
      </c>
      <c r="G2020" s="187">
        <f>IF($K2020="","",INDEX(Zeiterfassung!$G$6:$G$3665,$K2020))</f>
        <v/>
      </c>
      <c r="H2020" s="188">
        <f>IF($K2020="","",INDEX(Zeiterfassung!$H$6:$H$3665,$K2020))</f>
        <v/>
      </c>
      <c r="I2020" s="335">
        <f>IF(B2020=B2019,"",IF($K2020="","",INDEX(Zeiterfassung!$I$6:$I$3665,MATCH(INDEX(Zeiterfassung!$K$6:$K$3665,$K2020),Zeiterfassung!$K$6:$K$3665,0))))</f>
        <v/>
      </c>
      <c r="J2020" s="335">
        <f>IF(B2020=B2019,"",IF($K2020="","",INDEX(Zeiterfassung!$J$6:$J$3665,MATCH(INDEX(Zeiterfassung!$K$6:$K$3665,$K2020),Zeiterfassung!$K$6:$K$3665,0))))</f>
        <v/>
      </c>
      <c r="K2020">
        <f>IFERROR(AGGREGATE(15,6,(ROW(Zeiterfassung!$D$6:$D$3665)-ROW(Zeiterfassung!$D$6)+1)/(Zeiterfassung!$D$6:$D$3665&lt;&gt;""),2015),"")</f>
        <v/>
      </c>
    </row>
    <row r="2021" ht="20" customHeight="1">
      <c r="A2021" s="183">
        <f>IF($K2021="","",WEEKNUM(INDEX(Zeiterfassung!$K$6:$K$3665,$K2021),21))</f>
        <v/>
      </c>
      <c r="B2021" s="184">
        <f>IF($K2021="","",INDEX(Zeiterfassung!$K$6:$K$3665,$K2021))</f>
        <v/>
      </c>
      <c r="C2021" s="185">
        <f>IF($K2021="","",INDEX(Zeiterfassung!$K$6:$K$3665,$K2021))</f>
        <v/>
      </c>
      <c r="D2021" s="186">
        <f>IF($K2021="","",INDEX(Zeiterfassung!$D$6:$D$3665,$K2021))</f>
        <v/>
      </c>
      <c r="E2021" s="186">
        <f>IF($K2021="","",INDEX(Zeiterfassung!$E$6:$E$3665,$K2021))</f>
        <v/>
      </c>
      <c r="F2021" s="187">
        <f>IF($K2021="","",INDEX(Zeiterfassung!$F$6:$F$3665,$K2021))</f>
        <v/>
      </c>
      <c r="G2021" s="187">
        <f>IF($K2021="","",INDEX(Zeiterfassung!$G$6:$G$3665,$K2021))</f>
        <v/>
      </c>
      <c r="H2021" s="188">
        <f>IF($K2021="","",INDEX(Zeiterfassung!$H$6:$H$3665,$K2021))</f>
        <v/>
      </c>
      <c r="I2021" s="335">
        <f>IF(B2021=B2020,"",IF($K2021="","",INDEX(Zeiterfassung!$I$6:$I$3665,MATCH(INDEX(Zeiterfassung!$K$6:$K$3665,$K2021),Zeiterfassung!$K$6:$K$3665,0))))</f>
        <v/>
      </c>
      <c r="J2021" s="335">
        <f>IF(B2021=B2020,"",IF($K2021="","",INDEX(Zeiterfassung!$J$6:$J$3665,MATCH(INDEX(Zeiterfassung!$K$6:$K$3665,$K2021),Zeiterfassung!$K$6:$K$3665,0))))</f>
        <v/>
      </c>
      <c r="K2021">
        <f>IFERROR(AGGREGATE(15,6,(ROW(Zeiterfassung!$D$6:$D$3665)-ROW(Zeiterfassung!$D$6)+1)/(Zeiterfassung!$D$6:$D$3665&lt;&gt;""),2016),"")</f>
        <v/>
      </c>
    </row>
    <row r="2022" ht="20" customHeight="1">
      <c r="A2022" s="183">
        <f>IF($K2022="","",WEEKNUM(INDEX(Zeiterfassung!$K$6:$K$3665,$K2022),21))</f>
        <v/>
      </c>
      <c r="B2022" s="184">
        <f>IF($K2022="","",INDEX(Zeiterfassung!$K$6:$K$3665,$K2022))</f>
        <v/>
      </c>
      <c r="C2022" s="185">
        <f>IF($K2022="","",INDEX(Zeiterfassung!$K$6:$K$3665,$K2022))</f>
        <v/>
      </c>
      <c r="D2022" s="186">
        <f>IF($K2022="","",INDEX(Zeiterfassung!$D$6:$D$3665,$K2022))</f>
        <v/>
      </c>
      <c r="E2022" s="186">
        <f>IF($K2022="","",INDEX(Zeiterfassung!$E$6:$E$3665,$K2022))</f>
        <v/>
      </c>
      <c r="F2022" s="187">
        <f>IF($K2022="","",INDEX(Zeiterfassung!$F$6:$F$3665,$K2022))</f>
        <v/>
      </c>
      <c r="G2022" s="187">
        <f>IF($K2022="","",INDEX(Zeiterfassung!$G$6:$G$3665,$K2022))</f>
        <v/>
      </c>
      <c r="H2022" s="188">
        <f>IF($K2022="","",INDEX(Zeiterfassung!$H$6:$H$3665,$K2022))</f>
        <v/>
      </c>
      <c r="I2022" s="335">
        <f>IF(B2022=B2021,"",IF($K2022="","",INDEX(Zeiterfassung!$I$6:$I$3665,MATCH(INDEX(Zeiterfassung!$K$6:$K$3665,$K2022),Zeiterfassung!$K$6:$K$3665,0))))</f>
        <v/>
      </c>
      <c r="J2022" s="335">
        <f>IF(B2022=B2021,"",IF($K2022="","",INDEX(Zeiterfassung!$J$6:$J$3665,MATCH(INDEX(Zeiterfassung!$K$6:$K$3665,$K2022),Zeiterfassung!$K$6:$K$3665,0))))</f>
        <v/>
      </c>
      <c r="K2022">
        <f>IFERROR(AGGREGATE(15,6,(ROW(Zeiterfassung!$D$6:$D$3665)-ROW(Zeiterfassung!$D$6)+1)/(Zeiterfassung!$D$6:$D$3665&lt;&gt;""),2017),"")</f>
        <v/>
      </c>
    </row>
    <row r="2023" ht="20" customHeight="1">
      <c r="A2023" s="183">
        <f>IF($K2023="","",WEEKNUM(INDEX(Zeiterfassung!$K$6:$K$3665,$K2023),21))</f>
        <v/>
      </c>
      <c r="B2023" s="184">
        <f>IF($K2023="","",INDEX(Zeiterfassung!$K$6:$K$3665,$K2023))</f>
        <v/>
      </c>
      <c r="C2023" s="185">
        <f>IF($K2023="","",INDEX(Zeiterfassung!$K$6:$K$3665,$K2023))</f>
        <v/>
      </c>
      <c r="D2023" s="186">
        <f>IF($K2023="","",INDEX(Zeiterfassung!$D$6:$D$3665,$K2023))</f>
        <v/>
      </c>
      <c r="E2023" s="186">
        <f>IF($K2023="","",INDEX(Zeiterfassung!$E$6:$E$3665,$K2023))</f>
        <v/>
      </c>
      <c r="F2023" s="187">
        <f>IF($K2023="","",INDEX(Zeiterfassung!$F$6:$F$3665,$K2023))</f>
        <v/>
      </c>
      <c r="G2023" s="187">
        <f>IF($K2023="","",INDEX(Zeiterfassung!$G$6:$G$3665,$K2023))</f>
        <v/>
      </c>
      <c r="H2023" s="188">
        <f>IF($K2023="","",INDEX(Zeiterfassung!$H$6:$H$3665,$K2023))</f>
        <v/>
      </c>
      <c r="I2023" s="335">
        <f>IF(B2023=B2022,"",IF($K2023="","",INDEX(Zeiterfassung!$I$6:$I$3665,MATCH(INDEX(Zeiterfassung!$K$6:$K$3665,$K2023),Zeiterfassung!$K$6:$K$3665,0))))</f>
        <v/>
      </c>
      <c r="J2023" s="335">
        <f>IF(B2023=B2022,"",IF($K2023="","",INDEX(Zeiterfassung!$J$6:$J$3665,MATCH(INDEX(Zeiterfassung!$K$6:$K$3665,$K2023),Zeiterfassung!$K$6:$K$3665,0))))</f>
        <v/>
      </c>
      <c r="K2023">
        <f>IFERROR(AGGREGATE(15,6,(ROW(Zeiterfassung!$D$6:$D$3665)-ROW(Zeiterfassung!$D$6)+1)/(Zeiterfassung!$D$6:$D$3665&lt;&gt;""),2018),"")</f>
        <v/>
      </c>
    </row>
    <row r="2024" ht="20" customHeight="1">
      <c r="A2024" s="183">
        <f>IF($K2024="","",WEEKNUM(INDEX(Zeiterfassung!$K$6:$K$3665,$K2024),21))</f>
        <v/>
      </c>
      <c r="B2024" s="184">
        <f>IF($K2024="","",INDEX(Zeiterfassung!$K$6:$K$3665,$K2024))</f>
        <v/>
      </c>
      <c r="C2024" s="185">
        <f>IF($K2024="","",INDEX(Zeiterfassung!$K$6:$K$3665,$K2024))</f>
        <v/>
      </c>
      <c r="D2024" s="186">
        <f>IF($K2024="","",INDEX(Zeiterfassung!$D$6:$D$3665,$K2024))</f>
        <v/>
      </c>
      <c r="E2024" s="186">
        <f>IF($K2024="","",INDEX(Zeiterfassung!$E$6:$E$3665,$K2024))</f>
        <v/>
      </c>
      <c r="F2024" s="187">
        <f>IF($K2024="","",INDEX(Zeiterfassung!$F$6:$F$3665,$K2024))</f>
        <v/>
      </c>
      <c r="G2024" s="187">
        <f>IF($K2024="","",INDEX(Zeiterfassung!$G$6:$G$3665,$K2024))</f>
        <v/>
      </c>
      <c r="H2024" s="188">
        <f>IF($K2024="","",INDEX(Zeiterfassung!$H$6:$H$3665,$K2024))</f>
        <v/>
      </c>
      <c r="I2024" s="335">
        <f>IF(B2024=B2023,"",IF($K2024="","",INDEX(Zeiterfassung!$I$6:$I$3665,MATCH(INDEX(Zeiterfassung!$K$6:$K$3665,$K2024),Zeiterfassung!$K$6:$K$3665,0))))</f>
        <v/>
      </c>
      <c r="J2024" s="335">
        <f>IF(B2024=B2023,"",IF($K2024="","",INDEX(Zeiterfassung!$J$6:$J$3665,MATCH(INDEX(Zeiterfassung!$K$6:$K$3665,$K2024),Zeiterfassung!$K$6:$K$3665,0))))</f>
        <v/>
      </c>
      <c r="K2024">
        <f>IFERROR(AGGREGATE(15,6,(ROW(Zeiterfassung!$D$6:$D$3665)-ROW(Zeiterfassung!$D$6)+1)/(Zeiterfassung!$D$6:$D$3665&lt;&gt;""),2019),"")</f>
        <v/>
      </c>
    </row>
    <row r="2025" ht="20" customHeight="1">
      <c r="A2025" s="183">
        <f>IF($K2025="","",WEEKNUM(INDEX(Zeiterfassung!$K$6:$K$3665,$K2025),21))</f>
        <v/>
      </c>
      <c r="B2025" s="184">
        <f>IF($K2025="","",INDEX(Zeiterfassung!$K$6:$K$3665,$K2025))</f>
        <v/>
      </c>
      <c r="C2025" s="185">
        <f>IF($K2025="","",INDEX(Zeiterfassung!$K$6:$K$3665,$K2025))</f>
        <v/>
      </c>
      <c r="D2025" s="186">
        <f>IF($K2025="","",INDEX(Zeiterfassung!$D$6:$D$3665,$K2025))</f>
        <v/>
      </c>
      <c r="E2025" s="186">
        <f>IF($K2025="","",INDEX(Zeiterfassung!$E$6:$E$3665,$K2025))</f>
        <v/>
      </c>
      <c r="F2025" s="187">
        <f>IF($K2025="","",INDEX(Zeiterfassung!$F$6:$F$3665,$K2025))</f>
        <v/>
      </c>
      <c r="G2025" s="187">
        <f>IF($K2025="","",INDEX(Zeiterfassung!$G$6:$G$3665,$K2025))</f>
        <v/>
      </c>
      <c r="H2025" s="188">
        <f>IF($K2025="","",INDEX(Zeiterfassung!$H$6:$H$3665,$K2025))</f>
        <v/>
      </c>
      <c r="I2025" s="335">
        <f>IF(B2025=B2024,"",IF($K2025="","",INDEX(Zeiterfassung!$I$6:$I$3665,MATCH(INDEX(Zeiterfassung!$K$6:$K$3665,$K2025),Zeiterfassung!$K$6:$K$3665,0))))</f>
        <v/>
      </c>
      <c r="J2025" s="335">
        <f>IF(B2025=B2024,"",IF($K2025="","",INDEX(Zeiterfassung!$J$6:$J$3665,MATCH(INDEX(Zeiterfassung!$K$6:$K$3665,$K2025),Zeiterfassung!$K$6:$K$3665,0))))</f>
        <v/>
      </c>
      <c r="K2025">
        <f>IFERROR(AGGREGATE(15,6,(ROW(Zeiterfassung!$D$6:$D$3665)-ROW(Zeiterfassung!$D$6)+1)/(Zeiterfassung!$D$6:$D$3665&lt;&gt;""),2020),"")</f>
        <v/>
      </c>
    </row>
    <row r="2026" ht="20" customHeight="1">
      <c r="A2026" s="183">
        <f>IF($K2026="","",WEEKNUM(INDEX(Zeiterfassung!$K$6:$K$3665,$K2026),21))</f>
        <v/>
      </c>
      <c r="B2026" s="184">
        <f>IF($K2026="","",INDEX(Zeiterfassung!$K$6:$K$3665,$K2026))</f>
        <v/>
      </c>
      <c r="C2026" s="185">
        <f>IF($K2026="","",INDEX(Zeiterfassung!$K$6:$K$3665,$K2026))</f>
        <v/>
      </c>
      <c r="D2026" s="186">
        <f>IF($K2026="","",INDEX(Zeiterfassung!$D$6:$D$3665,$K2026))</f>
        <v/>
      </c>
      <c r="E2026" s="186">
        <f>IF($K2026="","",INDEX(Zeiterfassung!$E$6:$E$3665,$K2026))</f>
        <v/>
      </c>
      <c r="F2026" s="187">
        <f>IF($K2026="","",INDEX(Zeiterfassung!$F$6:$F$3665,$K2026))</f>
        <v/>
      </c>
      <c r="G2026" s="187">
        <f>IF($K2026="","",INDEX(Zeiterfassung!$G$6:$G$3665,$K2026))</f>
        <v/>
      </c>
      <c r="H2026" s="188">
        <f>IF($K2026="","",INDEX(Zeiterfassung!$H$6:$H$3665,$K2026))</f>
        <v/>
      </c>
      <c r="I2026" s="335">
        <f>IF(B2026=B2025,"",IF($K2026="","",INDEX(Zeiterfassung!$I$6:$I$3665,MATCH(INDEX(Zeiterfassung!$K$6:$K$3665,$K2026),Zeiterfassung!$K$6:$K$3665,0))))</f>
        <v/>
      </c>
      <c r="J2026" s="335">
        <f>IF(B2026=B2025,"",IF($K2026="","",INDEX(Zeiterfassung!$J$6:$J$3665,MATCH(INDEX(Zeiterfassung!$K$6:$K$3665,$K2026),Zeiterfassung!$K$6:$K$3665,0))))</f>
        <v/>
      </c>
      <c r="K2026">
        <f>IFERROR(AGGREGATE(15,6,(ROW(Zeiterfassung!$D$6:$D$3665)-ROW(Zeiterfassung!$D$6)+1)/(Zeiterfassung!$D$6:$D$3665&lt;&gt;""),2021),"")</f>
        <v/>
      </c>
    </row>
    <row r="2027" ht="20" customHeight="1">
      <c r="A2027" s="183">
        <f>IF($K2027="","",WEEKNUM(INDEX(Zeiterfassung!$K$6:$K$3665,$K2027),21))</f>
        <v/>
      </c>
      <c r="B2027" s="184">
        <f>IF($K2027="","",INDEX(Zeiterfassung!$K$6:$K$3665,$K2027))</f>
        <v/>
      </c>
      <c r="C2027" s="185">
        <f>IF($K2027="","",INDEX(Zeiterfassung!$K$6:$K$3665,$K2027))</f>
        <v/>
      </c>
      <c r="D2027" s="186">
        <f>IF($K2027="","",INDEX(Zeiterfassung!$D$6:$D$3665,$K2027))</f>
        <v/>
      </c>
      <c r="E2027" s="186">
        <f>IF($K2027="","",INDEX(Zeiterfassung!$E$6:$E$3665,$K2027))</f>
        <v/>
      </c>
      <c r="F2027" s="187">
        <f>IF($K2027="","",INDEX(Zeiterfassung!$F$6:$F$3665,$K2027))</f>
        <v/>
      </c>
      <c r="G2027" s="187">
        <f>IF($K2027="","",INDEX(Zeiterfassung!$G$6:$G$3665,$K2027))</f>
        <v/>
      </c>
      <c r="H2027" s="188">
        <f>IF($K2027="","",INDEX(Zeiterfassung!$H$6:$H$3665,$K2027))</f>
        <v/>
      </c>
      <c r="I2027" s="335">
        <f>IF(B2027=B2026,"",IF($K2027="","",INDEX(Zeiterfassung!$I$6:$I$3665,MATCH(INDEX(Zeiterfassung!$K$6:$K$3665,$K2027),Zeiterfassung!$K$6:$K$3665,0))))</f>
        <v/>
      </c>
      <c r="J2027" s="335">
        <f>IF(B2027=B2026,"",IF($K2027="","",INDEX(Zeiterfassung!$J$6:$J$3665,MATCH(INDEX(Zeiterfassung!$K$6:$K$3665,$K2027),Zeiterfassung!$K$6:$K$3665,0))))</f>
        <v/>
      </c>
      <c r="K2027">
        <f>IFERROR(AGGREGATE(15,6,(ROW(Zeiterfassung!$D$6:$D$3665)-ROW(Zeiterfassung!$D$6)+1)/(Zeiterfassung!$D$6:$D$3665&lt;&gt;""),2022),"")</f>
        <v/>
      </c>
    </row>
    <row r="2028" ht="20" customHeight="1">
      <c r="A2028" s="183">
        <f>IF($K2028="","",WEEKNUM(INDEX(Zeiterfassung!$K$6:$K$3665,$K2028),21))</f>
        <v/>
      </c>
      <c r="B2028" s="184">
        <f>IF($K2028="","",INDEX(Zeiterfassung!$K$6:$K$3665,$K2028))</f>
        <v/>
      </c>
      <c r="C2028" s="185">
        <f>IF($K2028="","",INDEX(Zeiterfassung!$K$6:$K$3665,$K2028))</f>
        <v/>
      </c>
      <c r="D2028" s="186">
        <f>IF($K2028="","",INDEX(Zeiterfassung!$D$6:$D$3665,$K2028))</f>
        <v/>
      </c>
      <c r="E2028" s="186">
        <f>IF($K2028="","",INDEX(Zeiterfassung!$E$6:$E$3665,$K2028))</f>
        <v/>
      </c>
      <c r="F2028" s="187">
        <f>IF($K2028="","",INDEX(Zeiterfassung!$F$6:$F$3665,$K2028))</f>
        <v/>
      </c>
      <c r="G2028" s="187">
        <f>IF($K2028="","",INDEX(Zeiterfassung!$G$6:$G$3665,$K2028))</f>
        <v/>
      </c>
      <c r="H2028" s="188">
        <f>IF($K2028="","",INDEX(Zeiterfassung!$H$6:$H$3665,$K2028))</f>
        <v/>
      </c>
      <c r="I2028" s="335">
        <f>IF(B2028=B2027,"",IF($K2028="","",INDEX(Zeiterfassung!$I$6:$I$3665,MATCH(INDEX(Zeiterfassung!$K$6:$K$3665,$K2028),Zeiterfassung!$K$6:$K$3665,0))))</f>
        <v/>
      </c>
      <c r="J2028" s="335">
        <f>IF(B2028=B2027,"",IF($K2028="","",INDEX(Zeiterfassung!$J$6:$J$3665,MATCH(INDEX(Zeiterfassung!$K$6:$K$3665,$K2028),Zeiterfassung!$K$6:$K$3665,0))))</f>
        <v/>
      </c>
      <c r="K2028">
        <f>IFERROR(AGGREGATE(15,6,(ROW(Zeiterfassung!$D$6:$D$3665)-ROW(Zeiterfassung!$D$6)+1)/(Zeiterfassung!$D$6:$D$3665&lt;&gt;""),2023),"")</f>
        <v/>
      </c>
    </row>
    <row r="2029" ht="20" customHeight="1">
      <c r="A2029" s="183">
        <f>IF($K2029="","",WEEKNUM(INDEX(Zeiterfassung!$K$6:$K$3665,$K2029),21))</f>
        <v/>
      </c>
      <c r="B2029" s="184">
        <f>IF($K2029="","",INDEX(Zeiterfassung!$K$6:$K$3665,$K2029))</f>
        <v/>
      </c>
      <c r="C2029" s="185">
        <f>IF($K2029="","",INDEX(Zeiterfassung!$K$6:$K$3665,$K2029))</f>
        <v/>
      </c>
      <c r="D2029" s="186">
        <f>IF($K2029="","",INDEX(Zeiterfassung!$D$6:$D$3665,$K2029))</f>
        <v/>
      </c>
      <c r="E2029" s="186">
        <f>IF($K2029="","",INDEX(Zeiterfassung!$E$6:$E$3665,$K2029))</f>
        <v/>
      </c>
      <c r="F2029" s="187">
        <f>IF($K2029="","",INDEX(Zeiterfassung!$F$6:$F$3665,$K2029))</f>
        <v/>
      </c>
      <c r="G2029" s="187">
        <f>IF($K2029="","",INDEX(Zeiterfassung!$G$6:$G$3665,$K2029))</f>
        <v/>
      </c>
      <c r="H2029" s="188">
        <f>IF($K2029="","",INDEX(Zeiterfassung!$H$6:$H$3665,$K2029))</f>
        <v/>
      </c>
      <c r="I2029" s="335">
        <f>IF(B2029=B2028,"",IF($K2029="","",INDEX(Zeiterfassung!$I$6:$I$3665,MATCH(INDEX(Zeiterfassung!$K$6:$K$3665,$K2029),Zeiterfassung!$K$6:$K$3665,0))))</f>
        <v/>
      </c>
      <c r="J2029" s="335">
        <f>IF(B2029=B2028,"",IF($K2029="","",INDEX(Zeiterfassung!$J$6:$J$3665,MATCH(INDEX(Zeiterfassung!$K$6:$K$3665,$K2029),Zeiterfassung!$K$6:$K$3665,0))))</f>
        <v/>
      </c>
      <c r="K2029">
        <f>IFERROR(AGGREGATE(15,6,(ROW(Zeiterfassung!$D$6:$D$3665)-ROW(Zeiterfassung!$D$6)+1)/(Zeiterfassung!$D$6:$D$3665&lt;&gt;""),2024),"")</f>
        <v/>
      </c>
    </row>
    <row r="2030" ht="20" customHeight="1">
      <c r="A2030" s="183">
        <f>IF($K2030="","",WEEKNUM(INDEX(Zeiterfassung!$K$6:$K$3665,$K2030),21))</f>
        <v/>
      </c>
      <c r="B2030" s="184">
        <f>IF($K2030="","",INDEX(Zeiterfassung!$K$6:$K$3665,$K2030))</f>
        <v/>
      </c>
      <c r="C2030" s="185">
        <f>IF($K2030="","",INDEX(Zeiterfassung!$K$6:$K$3665,$K2030))</f>
        <v/>
      </c>
      <c r="D2030" s="186">
        <f>IF($K2030="","",INDEX(Zeiterfassung!$D$6:$D$3665,$K2030))</f>
        <v/>
      </c>
      <c r="E2030" s="186">
        <f>IF($K2030="","",INDEX(Zeiterfassung!$E$6:$E$3665,$K2030))</f>
        <v/>
      </c>
      <c r="F2030" s="187">
        <f>IF($K2030="","",INDEX(Zeiterfassung!$F$6:$F$3665,$K2030))</f>
        <v/>
      </c>
      <c r="G2030" s="187">
        <f>IF($K2030="","",INDEX(Zeiterfassung!$G$6:$G$3665,$K2030))</f>
        <v/>
      </c>
      <c r="H2030" s="188">
        <f>IF($K2030="","",INDEX(Zeiterfassung!$H$6:$H$3665,$K2030))</f>
        <v/>
      </c>
      <c r="I2030" s="335">
        <f>IF(B2030=B2029,"",IF($K2030="","",INDEX(Zeiterfassung!$I$6:$I$3665,MATCH(INDEX(Zeiterfassung!$K$6:$K$3665,$K2030),Zeiterfassung!$K$6:$K$3665,0))))</f>
        <v/>
      </c>
      <c r="J2030" s="335">
        <f>IF(B2030=B2029,"",IF($K2030="","",INDEX(Zeiterfassung!$J$6:$J$3665,MATCH(INDEX(Zeiterfassung!$K$6:$K$3665,$K2030),Zeiterfassung!$K$6:$K$3665,0))))</f>
        <v/>
      </c>
      <c r="K2030">
        <f>IFERROR(AGGREGATE(15,6,(ROW(Zeiterfassung!$D$6:$D$3665)-ROW(Zeiterfassung!$D$6)+1)/(Zeiterfassung!$D$6:$D$3665&lt;&gt;""),2025),"")</f>
        <v/>
      </c>
    </row>
    <row r="2031" ht="20" customHeight="1">
      <c r="A2031" s="183">
        <f>IF($K2031="","",WEEKNUM(INDEX(Zeiterfassung!$K$6:$K$3665,$K2031),21))</f>
        <v/>
      </c>
      <c r="B2031" s="184">
        <f>IF($K2031="","",INDEX(Zeiterfassung!$K$6:$K$3665,$K2031))</f>
        <v/>
      </c>
      <c r="C2031" s="185">
        <f>IF($K2031="","",INDEX(Zeiterfassung!$K$6:$K$3665,$K2031))</f>
        <v/>
      </c>
      <c r="D2031" s="186">
        <f>IF($K2031="","",INDEX(Zeiterfassung!$D$6:$D$3665,$K2031))</f>
        <v/>
      </c>
      <c r="E2031" s="186">
        <f>IF($K2031="","",INDEX(Zeiterfassung!$E$6:$E$3665,$K2031))</f>
        <v/>
      </c>
      <c r="F2031" s="187">
        <f>IF($K2031="","",INDEX(Zeiterfassung!$F$6:$F$3665,$K2031))</f>
        <v/>
      </c>
      <c r="G2031" s="187">
        <f>IF($K2031="","",INDEX(Zeiterfassung!$G$6:$G$3665,$K2031))</f>
        <v/>
      </c>
      <c r="H2031" s="188">
        <f>IF($K2031="","",INDEX(Zeiterfassung!$H$6:$H$3665,$K2031))</f>
        <v/>
      </c>
      <c r="I2031" s="335">
        <f>IF(B2031=B2030,"",IF($K2031="","",INDEX(Zeiterfassung!$I$6:$I$3665,MATCH(INDEX(Zeiterfassung!$K$6:$K$3665,$K2031),Zeiterfassung!$K$6:$K$3665,0))))</f>
        <v/>
      </c>
      <c r="J2031" s="335">
        <f>IF(B2031=B2030,"",IF($K2031="","",INDEX(Zeiterfassung!$J$6:$J$3665,MATCH(INDEX(Zeiterfassung!$K$6:$K$3665,$K2031),Zeiterfassung!$K$6:$K$3665,0))))</f>
        <v/>
      </c>
      <c r="K2031">
        <f>IFERROR(AGGREGATE(15,6,(ROW(Zeiterfassung!$D$6:$D$3665)-ROW(Zeiterfassung!$D$6)+1)/(Zeiterfassung!$D$6:$D$3665&lt;&gt;""),2026),"")</f>
        <v/>
      </c>
    </row>
    <row r="2032" ht="20" customHeight="1">
      <c r="A2032" s="183">
        <f>IF($K2032="","",WEEKNUM(INDEX(Zeiterfassung!$K$6:$K$3665,$K2032),21))</f>
        <v/>
      </c>
      <c r="B2032" s="184">
        <f>IF($K2032="","",INDEX(Zeiterfassung!$K$6:$K$3665,$K2032))</f>
        <v/>
      </c>
      <c r="C2032" s="185">
        <f>IF($K2032="","",INDEX(Zeiterfassung!$K$6:$K$3665,$K2032))</f>
        <v/>
      </c>
      <c r="D2032" s="186">
        <f>IF($K2032="","",INDEX(Zeiterfassung!$D$6:$D$3665,$K2032))</f>
        <v/>
      </c>
      <c r="E2032" s="186">
        <f>IF($K2032="","",INDEX(Zeiterfassung!$E$6:$E$3665,$K2032))</f>
        <v/>
      </c>
      <c r="F2032" s="187">
        <f>IF($K2032="","",INDEX(Zeiterfassung!$F$6:$F$3665,$K2032))</f>
        <v/>
      </c>
      <c r="G2032" s="187">
        <f>IF($K2032="","",INDEX(Zeiterfassung!$G$6:$G$3665,$K2032))</f>
        <v/>
      </c>
      <c r="H2032" s="188">
        <f>IF($K2032="","",INDEX(Zeiterfassung!$H$6:$H$3665,$K2032))</f>
        <v/>
      </c>
      <c r="I2032" s="335">
        <f>IF(B2032=B2031,"",IF($K2032="","",INDEX(Zeiterfassung!$I$6:$I$3665,MATCH(INDEX(Zeiterfassung!$K$6:$K$3665,$K2032),Zeiterfassung!$K$6:$K$3665,0))))</f>
        <v/>
      </c>
      <c r="J2032" s="335">
        <f>IF(B2032=B2031,"",IF($K2032="","",INDEX(Zeiterfassung!$J$6:$J$3665,MATCH(INDEX(Zeiterfassung!$K$6:$K$3665,$K2032),Zeiterfassung!$K$6:$K$3665,0))))</f>
        <v/>
      </c>
      <c r="K2032">
        <f>IFERROR(AGGREGATE(15,6,(ROW(Zeiterfassung!$D$6:$D$3665)-ROW(Zeiterfassung!$D$6)+1)/(Zeiterfassung!$D$6:$D$3665&lt;&gt;""),2027),"")</f>
        <v/>
      </c>
    </row>
    <row r="2033" ht="20" customHeight="1">
      <c r="A2033" s="183">
        <f>IF($K2033="","",WEEKNUM(INDEX(Zeiterfassung!$K$6:$K$3665,$K2033),21))</f>
        <v/>
      </c>
      <c r="B2033" s="184">
        <f>IF($K2033="","",INDEX(Zeiterfassung!$K$6:$K$3665,$K2033))</f>
        <v/>
      </c>
      <c r="C2033" s="185">
        <f>IF($K2033="","",INDEX(Zeiterfassung!$K$6:$K$3665,$K2033))</f>
        <v/>
      </c>
      <c r="D2033" s="186">
        <f>IF($K2033="","",INDEX(Zeiterfassung!$D$6:$D$3665,$K2033))</f>
        <v/>
      </c>
      <c r="E2033" s="186">
        <f>IF($K2033="","",INDEX(Zeiterfassung!$E$6:$E$3665,$K2033))</f>
        <v/>
      </c>
      <c r="F2033" s="187">
        <f>IF($K2033="","",INDEX(Zeiterfassung!$F$6:$F$3665,$K2033))</f>
        <v/>
      </c>
      <c r="G2033" s="187">
        <f>IF($K2033="","",INDEX(Zeiterfassung!$G$6:$G$3665,$K2033))</f>
        <v/>
      </c>
      <c r="H2033" s="188">
        <f>IF($K2033="","",INDEX(Zeiterfassung!$H$6:$H$3665,$K2033))</f>
        <v/>
      </c>
      <c r="I2033" s="335">
        <f>IF(B2033=B2032,"",IF($K2033="","",INDEX(Zeiterfassung!$I$6:$I$3665,MATCH(INDEX(Zeiterfassung!$K$6:$K$3665,$K2033),Zeiterfassung!$K$6:$K$3665,0))))</f>
        <v/>
      </c>
      <c r="J2033" s="335">
        <f>IF(B2033=B2032,"",IF($K2033="","",INDEX(Zeiterfassung!$J$6:$J$3665,MATCH(INDEX(Zeiterfassung!$K$6:$K$3665,$K2033),Zeiterfassung!$K$6:$K$3665,0))))</f>
        <v/>
      </c>
      <c r="K2033">
        <f>IFERROR(AGGREGATE(15,6,(ROW(Zeiterfassung!$D$6:$D$3665)-ROW(Zeiterfassung!$D$6)+1)/(Zeiterfassung!$D$6:$D$3665&lt;&gt;""),2028),"")</f>
        <v/>
      </c>
    </row>
    <row r="2034" ht="20" customHeight="1">
      <c r="A2034" s="183">
        <f>IF($K2034="","",WEEKNUM(INDEX(Zeiterfassung!$K$6:$K$3665,$K2034),21))</f>
        <v/>
      </c>
      <c r="B2034" s="184">
        <f>IF($K2034="","",INDEX(Zeiterfassung!$K$6:$K$3665,$K2034))</f>
        <v/>
      </c>
      <c r="C2034" s="185">
        <f>IF($K2034="","",INDEX(Zeiterfassung!$K$6:$K$3665,$K2034))</f>
        <v/>
      </c>
      <c r="D2034" s="186">
        <f>IF($K2034="","",INDEX(Zeiterfassung!$D$6:$D$3665,$K2034))</f>
        <v/>
      </c>
      <c r="E2034" s="186">
        <f>IF($K2034="","",INDEX(Zeiterfassung!$E$6:$E$3665,$K2034))</f>
        <v/>
      </c>
      <c r="F2034" s="187">
        <f>IF($K2034="","",INDEX(Zeiterfassung!$F$6:$F$3665,$K2034))</f>
        <v/>
      </c>
      <c r="G2034" s="187">
        <f>IF($K2034="","",INDEX(Zeiterfassung!$G$6:$G$3665,$K2034))</f>
        <v/>
      </c>
      <c r="H2034" s="188">
        <f>IF($K2034="","",INDEX(Zeiterfassung!$H$6:$H$3665,$K2034))</f>
        <v/>
      </c>
      <c r="I2034" s="335">
        <f>IF(B2034=B2033,"",IF($K2034="","",INDEX(Zeiterfassung!$I$6:$I$3665,MATCH(INDEX(Zeiterfassung!$K$6:$K$3665,$K2034),Zeiterfassung!$K$6:$K$3665,0))))</f>
        <v/>
      </c>
      <c r="J2034" s="335">
        <f>IF(B2034=B2033,"",IF($K2034="","",INDEX(Zeiterfassung!$J$6:$J$3665,MATCH(INDEX(Zeiterfassung!$K$6:$K$3665,$K2034),Zeiterfassung!$K$6:$K$3665,0))))</f>
        <v/>
      </c>
      <c r="K2034">
        <f>IFERROR(AGGREGATE(15,6,(ROW(Zeiterfassung!$D$6:$D$3665)-ROW(Zeiterfassung!$D$6)+1)/(Zeiterfassung!$D$6:$D$3665&lt;&gt;""),2029),"")</f>
        <v/>
      </c>
    </row>
    <row r="2035" ht="20" customHeight="1">
      <c r="A2035" s="183">
        <f>IF($K2035="","",WEEKNUM(INDEX(Zeiterfassung!$K$6:$K$3665,$K2035),21))</f>
        <v/>
      </c>
      <c r="B2035" s="184">
        <f>IF($K2035="","",INDEX(Zeiterfassung!$K$6:$K$3665,$K2035))</f>
        <v/>
      </c>
      <c r="C2035" s="185">
        <f>IF($K2035="","",INDEX(Zeiterfassung!$K$6:$K$3665,$K2035))</f>
        <v/>
      </c>
      <c r="D2035" s="186">
        <f>IF($K2035="","",INDEX(Zeiterfassung!$D$6:$D$3665,$K2035))</f>
        <v/>
      </c>
      <c r="E2035" s="186">
        <f>IF($K2035="","",INDEX(Zeiterfassung!$E$6:$E$3665,$K2035))</f>
        <v/>
      </c>
      <c r="F2035" s="187">
        <f>IF($K2035="","",INDEX(Zeiterfassung!$F$6:$F$3665,$K2035))</f>
        <v/>
      </c>
      <c r="G2035" s="187">
        <f>IF($K2035="","",INDEX(Zeiterfassung!$G$6:$G$3665,$K2035))</f>
        <v/>
      </c>
      <c r="H2035" s="188">
        <f>IF($K2035="","",INDEX(Zeiterfassung!$H$6:$H$3665,$K2035))</f>
        <v/>
      </c>
      <c r="I2035" s="335">
        <f>IF(B2035=B2034,"",IF($K2035="","",INDEX(Zeiterfassung!$I$6:$I$3665,MATCH(INDEX(Zeiterfassung!$K$6:$K$3665,$K2035),Zeiterfassung!$K$6:$K$3665,0))))</f>
        <v/>
      </c>
      <c r="J2035" s="335">
        <f>IF(B2035=B2034,"",IF($K2035="","",INDEX(Zeiterfassung!$J$6:$J$3665,MATCH(INDEX(Zeiterfassung!$K$6:$K$3665,$K2035),Zeiterfassung!$K$6:$K$3665,0))))</f>
        <v/>
      </c>
      <c r="K2035">
        <f>IFERROR(AGGREGATE(15,6,(ROW(Zeiterfassung!$D$6:$D$3665)-ROW(Zeiterfassung!$D$6)+1)/(Zeiterfassung!$D$6:$D$3665&lt;&gt;""),2030),"")</f>
        <v/>
      </c>
    </row>
    <row r="2036" ht="20" customHeight="1">
      <c r="A2036" s="183">
        <f>IF($K2036="","",WEEKNUM(INDEX(Zeiterfassung!$K$6:$K$3665,$K2036),21))</f>
        <v/>
      </c>
      <c r="B2036" s="184">
        <f>IF($K2036="","",INDEX(Zeiterfassung!$K$6:$K$3665,$K2036))</f>
        <v/>
      </c>
      <c r="C2036" s="185">
        <f>IF($K2036="","",INDEX(Zeiterfassung!$K$6:$K$3665,$K2036))</f>
        <v/>
      </c>
      <c r="D2036" s="186">
        <f>IF($K2036="","",INDEX(Zeiterfassung!$D$6:$D$3665,$K2036))</f>
        <v/>
      </c>
      <c r="E2036" s="186">
        <f>IF($K2036="","",INDEX(Zeiterfassung!$E$6:$E$3665,$K2036))</f>
        <v/>
      </c>
      <c r="F2036" s="187">
        <f>IF($K2036="","",INDEX(Zeiterfassung!$F$6:$F$3665,$K2036))</f>
        <v/>
      </c>
      <c r="G2036" s="187">
        <f>IF($K2036="","",INDEX(Zeiterfassung!$G$6:$G$3665,$K2036))</f>
        <v/>
      </c>
      <c r="H2036" s="188">
        <f>IF($K2036="","",INDEX(Zeiterfassung!$H$6:$H$3665,$K2036))</f>
        <v/>
      </c>
      <c r="I2036" s="335">
        <f>IF(B2036=B2035,"",IF($K2036="","",INDEX(Zeiterfassung!$I$6:$I$3665,MATCH(INDEX(Zeiterfassung!$K$6:$K$3665,$K2036),Zeiterfassung!$K$6:$K$3665,0))))</f>
        <v/>
      </c>
      <c r="J2036" s="335">
        <f>IF(B2036=B2035,"",IF($K2036="","",INDEX(Zeiterfassung!$J$6:$J$3665,MATCH(INDEX(Zeiterfassung!$K$6:$K$3665,$K2036),Zeiterfassung!$K$6:$K$3665,0))))</f>
        <v/>
      </c>
      <c r="K2036">
        <f>IFERROR(AGGREGATE(15,6,(ROW(Zeiterfassung!$D$6:$D$3665)-ROW(Zeiterfassung!$D$6)+1)/(Zeiterfassung!$D$6:$D$3665&lt;&gt;""),2031),"")</f>
        <v/>
      </c>
    </row>
    <row r="2037" ht="20" customHeight="1">
      <c r="A2037" s="183">
        <f>IF($K2037="","",WEEKNUM(INDEX(Zeiterfassung!$K$6:$K$3665,$K2037),21))</f>
        <v/>
      </c>
      <c r="B2037" s="184">
        <f>IF($K2037="","",INDEX(Zeiterfassung!$K$6:$K$3665,$K2037))</f>
        <v/>
      </c>
      <c r="C2037" s="185">
        <f>IF($K2037="","",INDEX(Zeiterfassung!$K$6:$K$3665,$K2037))</f>
        <v/>
      </c>
      <c r="D2037" s="186">
        <f>IF($K2037="","",INDEX(Zeiterfassung!$D$6:$D$3665,$K2037))</f>
        <v/>
      </c>
      <c r="E2037" s="186">
        <f>IF($K2037="","",INDEX(Zeiterfassung!$E$6:$E$3665,$K2037))</f>
        <v/>
      </c>
      <c r="F2037" s="187">
        <f>IF($K2037="","",INDEX(Zeiterfassung!$F$6:$F$3665,$K2037))</f>
        <v/>
      </c>
      <c r="G2037" s="187">
        <f>IF($K2037="","",INDEX(Zeiterfassung!$G$6:$G$3665,$K2037))</f>
        <v/>
      </c>
      <c r="H2037" s="188">
        <f>IF($K2037="","",INDEX(Zeiterfassung!$H$6:$H$3665,$K2037))</f>
        <v/>
      </c>
      <c r="I2037" s="335">
        <f>IF(B2037=B2036,"",IF($K2037="","",INDEX(Zeiterfassung!$I$6:$I$3665,MATCH(INDEX(Zeiterfassung!$K$6:$K$3665,$K2037),Zeiterfassung!$K$6:$K$3665,0))))</f>
        <v/>
      </c>
      <c r="J2037" s="335">
        <f>IF(B2037=B2036,"",IF($K2037="","",INDEX(Zeiterfassung!$J$6:$J$3665,MATCH(INDEX(Zeiterfassung!$K$6:$K$3665,$K2037),Zeiterfassung!$K$6:$K$3665,0))))</f>
        <v/>
      </c>
      <c r="K2037">
        <f>IFERROR(AGGREGATE(15,6,(ROW(Zeiterfassung!$D$6:$D$3665)-ROW(Zeiterfassung!$D$6)+1)/(Zeiterfassung!$D$6:$D$3665&lt;&gt;""),2032),"")</f>
        <v/>
      </c>
    </row>
    <row r="2038" ht="20" customHeight="1">
      <c r="A2038" s="183">
        <f>IF($K2038="","",WEEKNUM(INDEX(Zeiterfassung!$K$6:$K$3665,$K2038),21))</f>
        <v/>
      </c>
      <c r="B2038" s="184">
        <f>IF($K2038="","",INDEX(Zeiterfassung!$K$6:$K$3665,$K2038))</f>
        <v/>
      </c>
      <c r="C2038" s="185">
        <f>IF($K2038="","",INDEX(Zeiterfassung!$K$6:$K$3665,$K2038))</f>
        <v/>
      </c>
      <c r="D2038" s="186">
        <f>IF($K2038="","",INDEX(Zeiterfassung!$D$6:$D$3665,$K2038))</f>
        <v/>
      </c>
      <c r="E2038" s="186">
        <f>IF($K2038="","",INDEX(Zeiterfassung!$E$6:$E$3665,$K2038))</f>
        <v/>
      </c>
      <c r="F2038" s="187">
        <f>IF($K2038="","",INDEX(Zeiterfassung!$F$6:$F$3665,$K2038))</f>
        <v/>
      </c>
      <c r="G2038" s="187">
        <f>IF($K2038="","",INDEX(Zeiterfassung!$G$6:$G$3665,$K2038))</f>
        <v/>
      </c>
      <c r="H2038" s="188">
        <f>IF($K2038="","",INDEX(Zeiterfassung!$H$6:$H$3665,$K2038))</f>
        <v/>
      </c>
      <c r="I2038" s="335">
        <f>IF(B2038=B2037,"",IF($K2038="","",INDEX(Zeiterfassung!$I$6:$I$3665,MATCH(INDEX(Zeiterfassung!$K$6:$K$3665,$K2038),Zeiterfassung!$K$6:$K$3665,0))))</f>
        <v/>
      </c>
      <c r="J2038" s="335">
        <f>IF(B2038=B2037,"",IF($K2038="","",INDEX(Zeiterfassung!$J$6:$J$3665,MATCH(INDEX(Zeiterfassung!$K$6:$K$3665,$K2038),Zeiterfassung!$K$6:$K$3665,0))))</f>
        <v/>
      </c>
      <c r="K2038">
        <f>IFERROR(AGGREGATE(15,6,(ROW(Zeiterfassung!$D$6:$D$3665)-ROW(Zeiterfassung!$D$6)+1)/(Zeiterfassung!$D$6:$D$3665&lt;&gt;""),2033),"")</f>
        <v/>
      </c>
    </row>
    <row r="2039" ht="20" customHeight="1">
      <c r="A2039" s="183">
        <f>IF($K2039="","",WEEKNUM(INDEX(Zeiterfassung!$K$6:$K$3665,$K2039),21))</f>
        <v/>
      </c>
      <c r="B2039" s="184">
        <f>IF($K2039="","",INDEX(Zeiterfassung!$K$6:$K$3665,$K2039))</f>
        <v/>
      </c>
      <c r="C2039" s="185">
        <f>IF($K2039="","",INDEX(Zeiterfassung!$K$6:$K$3665,$K2039))</f>
        <v/>
      </c>
      <c r="D2039" s="186">
        <f>IF($K2039="","",INDEX(Zeiterfassung!$D$6:$D$3665,$K2039))</f>
        <v/>
      </c>
      <c r="E2039" s="186">
        <f>IF($K2039="","",INDEX(Zeiterfassung!$E$6:$E$3665,$K2039))</f>
        <v/>
      </c>
      <c r="F2039" s="187">
        <f>IF($K2039="","",INDEX(Zeiterfassung!$F$6:$F$3665,$K2039))</f>
        <v/>
      </c>
      <c r="G2039" s="187">
        <f>IF($K2039="","",INDEX(Zeiterfassung!$G$6:$G$3665,$K2039))</f>
        <v/>
      </c>
      <c r="H2039" s="188">
        <f>IF($K2039="","",INDEX(Zeiterfassung!$H$6:$H$3665,$K2039))</f>
        <v/>
      </c>
      <c r="I2039" s="335">
        <f>IF(B2039=B2038,"",IF($K2039="","",INDEX(Zeiterfassung!$I$6:$I$3665,MATCH(INDEX(Zeiterfassung!$K$6:$K$3665,$K2039),Zeiterfassung!$K$6:$K$3665,0))))</f>
        <v/>
      </c>
      <c r="J2039" s="335">
        <f>IF(B2039=B2038,"",IF($K2039="","",INDEX(Zeiterfassung!$J$6:$J$3665,MATCH(INDEX(Zeiterfassung!$K$6:$K$3665,$K2039),Zeiterfassung!$K$6:$K$3665,0))))</f>
        <v/>
      </c>
      <c r="K2039">
        <f>IFERROR(AGGREGATE(15,6,(ROW(Zeiterfassung!$D$6:$D$3665)-ROW(Zeiterfassung!$D$6)+1)/(Zeiterfassung!$D$6:$D$3665&lt;&gt;""),2034),"")</f>
        <v/>
      </c>
    </row>
    <row r="2040" ht="20" customHeight="1">
      <c r="A2040" s="183">
        <f>IF($K2040="","",WEEKNUM(INDEX(Zeiterfassung!$K$6:$K$3665,$K2040),21))</f>
        <v/>
      </c>
      <c r="B2040" s="184">
        <f>IF($K2040="","",INDEX(Zeiterfassung!$K$6:$K$3665,$K2040))</f>
        <v/>
      </c>
      <c r="C2040" s="185">
        <f>IF($K2040="","",INDEX(Zeiterfassung!$K$6:$K$3665,$K2040))</f>
        <v/>
      </c>
      <c r="D2040" s="186">
        <f>IF($K2040="","",INDEX(Zeiterfassung!$D$6:$D$3665,$K2040))</f>
        <v/>
      </c>
      <c r="E2040" s="186">
        <f>IF($K2040="","",INDEX(Zeiterfassung!$E$6:$E$3665,$K2040))</f>
        <v/>
      </c>
      <c r="F2040" s="187">
        <f>IF($K2040="","",INDEX(Zeiterfassung!$F$6:$F$3665,$K2040))</f>
        <v/>
      </c>
      <c r="G2040" s="187">
        <f>IF($K2040="","",INDEX(Zeiterfassung!$G$6:$G$3665,$K2040))</f>
        <v/>
      </c>
      <c r="H2040" s="188">
        <f>IF($K2040="","",INDEX(Zeiterfassung!$H$6:$H$3665,$K2040))</f>
        <v/>
      </c>
      <c r="I2040" s="335">
        <f>IF(B2040=B2039,"",IF($K2040="","",INDEX(Zeiterfassung!$I$6:$I$3665,MATCH(INDEX(Zeiterfassung!$K$6:$K$3665,$K2040),Zeiterfassung!$K$6:$K$3665,0))))</f>
        <v/>
      </c>
      <c r="J2040" s="335">
        <f>IF(B2040=B2039,"",IF($K2040="","",INDEX(Zeiterfassung!$J$6:$J$3665,MATCH(INDEX(Zeiterfassung!$K$6:$K$3665,$K2040),Zeiterfassung!$K$6:$K$3665,0))))</f>
        <v/>
      </c>
      <c r="K2040">
        <f>IFERROR(AGGREGATE(15,6,(ROW(Zeiterfassung!$D$6:$D$3665)-ROW(Zeiterfassung!$D$6)+1)/(Zeiterfassung!$D$6:$D$3665&lt;&gt;""),2035),"")</f>
        <v/>
      </c>
    </row>
    <row r="2041" ht="20" customHeight="1">
      <c r="A2041" s="183">
        <f>IF($K2041="","",WEEKNUM(INDEX(Zeiterfassung!$K$6:$K$3665,$K2041),21))</f>
        <v/>
      </c>
      <c r="B2041" s="184">
        <f>IF($K2041="","",INDEX(Zeiterfassung!$K$6:$K$3665,$K2041))</f>
        <v/>
      </c>
      <c r="C2041" s="185">
        <f>IF($K2041="","",INDEX(Zeiterfassung!$K$6:$K$3665,$K2041))</f>
        <v/>
      </c>
      <c r="D2041" s="186">
        <f>IF($K2041="","",INDEX(Zeiterfassung!$D$6:$D$3665,$K2041))</f>
        <v/>
      </c>
      <c r="E2041" s="186">
        <f>IF($K2041="","",INDEX(Zeiterfassung!$E$6:$E$3665,$K2041))</f>
        <v/>
      </c>
      <c r="F2041" s="187">
        <f>IF($K2041="","",INDEX(Zeiterfassung!$F$6:$F$3665,$K2041))</f>
        <v/>
      </c>
      <c r="G2041" s="187">
        <f>IF($K2041="","",INDEX(Zeiterfassung!$G$6:$G$3665,$K2041))</f>
        <v/>
      </c>
      <c r="H2041" s="188">
        <f>IF($K2041="","",INDEX(Zeiterfassung!$H$6:$H$3665,$K2041))</f>
        <v/>
      </c>
      <c r="I2041" s="335">
        <f>IF(B2041=B2040,"",IF($K2041="","",INDEX(Zeiterfassung!$I$6:$I$3665,MATCH(INDEX(Zeiterfassung!$K$6:$K$3665,$K2041),Zeiterfassung!$K$6:$K$3665,0))))</f>
        <v/>
      </c>
      <c r="J2041" s="335">
        <f>IF(B2041=B2040,"",IF($K2041="","",INDEX(Zeiterfassung!$J$6:$J$3665,MATCH(INDEX(Zeiterfassung!$K$6:$K$3665,$K2041),Zeiterfassung!$K$6:$K$3665,0))))</f>
        <v/>
      </c>
      <c r="K2041">
        <f>IFERROR(AGGREGATE(15,6,(ROW(Zeiterfassung!$D$6:$D$3665)-ROW(Zeiterfassung!$D$6)+1)/(Zeiterfassung!$D$6:$D$3665&lt;&gt;""),2036),"")</f>
        <v/>
      </c>
    </row>
    <row r="2042" ht="20" customHeight="1">
      <c r="A2042" s="183">
        <f>IF($K2042="","",WEEKNUM(INDEX(Zeiterfassung!$K$6:$K$3665,$K2042),21))</f>
        <v/>
      </c>
      <c r="B2042" s="184">
        <f>IF($K2042="","",INDEX(Zeiterfassung!$K$6:$K$3665,$K2042))</f>
        <v/>
      </c>
      <c r="C2042" s="185">
        <f>IF($K2042="","",INDEX(Zeiterfassung!$K$6:$K$3665,$K2042))</f>
        <v/>
      </c>
      <c r="D2042" s="186">
        <f>IF($K2042="","",INDEX(Zeiterfassung!$D$6:$D$3665,$K2042))</f>
        <v/>
      </c>
      <c r="E2042" s="186">
        <f>IF($K2042="","",INDEX(Zeiterfassung!$E$6:$E$3665,$K2042))</f>
        <v/>
      </c>
      <c r="F2042" s="187">
        <f>IF($K2042="","",INDEX(Zeiterfassung!$F$6:$F$3665,$K2042))</f>
        <v/>
      </c>
      <c r="G2042" s="187">
        <f>IF($K2042="","",INDEX(Zeiterfassung!$G$6:$G$3665,$K2042))</f>
        <v/>
      </c>
      <c r="H2042" s="188">
        <f>IF($K2042="","",INDEX(Zeiterfassung!$H$6:$H$3665,$K2042))</f>
        <v/>
      </c>
      <c r="I2042" s="335">
        <f>IF(B2042=B2041,"",IF($K2042="","",INDEX(Zeiterfassung!$I$6:$I$3665,MATCH(INDEX(Zeiterfassung!$K$6:$K$3665,$K2042),Zeiterfassung!$K$6:$K$3665,0))))</f>
        <v/>
      </c>
      <c r="J2042" s="335">
        <f>IF(B2042=B2041,"",IF($K2042="","",INDEX(Zeiterfassung!$J$6:$J$3665,MATCH(INDEX(Zeiterfassung!$K$6:$K$3665,$K2042),Zeiterfassung!$K$6:$K$3665,0))))</f>
        <v/>
      </c>
      <c r="K2042">
        <f>IFERROR(AGGREGATE(15,6,(ROW(Zeiterfassung!$D$6:$D$3665)-ROW(Zeiterfassung!$D$6)+1)/(Zeiterfassung!$D$6:$D$3665&lt;&gt;""),2037),"")</f>
        <v/>
      </c>
    </row>
    <row r="2043" ht="20" customHeight="1">
      <c r="A2043" s="183">
        <f>IF($K2043="","",WEEKNUM(INDEX(Zeiterfassung!$K$6:$K$3665,$K2043),21))</f>
        <v/>
      </c>
      <c r="B2043" s="184">
        <f>IF($K2043="","",INDEX(Zeiterfassung!$K$6:$K$3665,$K2043))</f>
        <v/>
      </c>
      <c r="C2043" s="185">
        <f>IF($K2043="","",INDEX(Zeiterfassung!$K$6:$K$3665,$K2043))</f>
        <v/>
      </c>
      <c r="D2043" s="186">
        <f>IF($K2043="","",INDEX(Zeiterfassung!$D$6:$D$3665,$K2043))</f>
        <v/>
      </c>
      <c r="E2043" s="186">
        <f>IF($K2043="","",INDEX(Zeiterfassung!$E$6:$E$3665,$K2043))</f>
        <v/>
      </c>
      <c r="F2043" s="187">
        <f>IF($K2043="","",INDEX(Zeiterfassung!$F$6:$F$3665,$K2043))</f>
        <v/>
      </c>
      <c r="G2043" s="187">
        <f>IF($K2043="","",INDEX(Zeiterfassung!$G$6:$G$3665,$K2043))</f>
        <v/>
      </c>
      <c r="H2043" s="188">
        <f>IF($K2043="","",INDEX(Zeiterfassung!$H$6:$H$3665,$K2043))</f>
        <v/>
      </c>
      <c r="I2043" s="335">
        <f>IF(B2043=B2042,"",IF($K2043="","",INDEX(Zeiterfassung!$I$6:$I$3665,MATCH(INDEX(Zeiterfassung!$K$6:$K$3665,$K2043),Zeiterfassung!$K$6:$K$3665,0))))</f>
        <v/>
      </c>
      <c r="J2043" s="335">
        <f>IF(B2043=B2042,"",IF($K2043="","",INDEX(Zeiterfassung!$J$6:$J$3665,MATCH(INDEX(Zeiterfassung!$K$6:$K$3665,$K2043),Zeiterfassung!$K$6:$K$3665,0))))</f>
        <v/>
      </c>
      <c r="K2043">
        <f>IFERROR(AGGREGATE(15,6,(ROW(Zeiterfassung!$D$6:$D$3665)-ROW(Zeiterfassung!$D$6)+1)/(Zeiterfassung!$D$6:$D$3665&lt;&gt;""),2038),"")</f>
        <v/>
      </c>
    </row>
    <row r="2044" ht="20" customHeight="1">
      <c r="A2044" s="183">
        <f>IF($K2044="","",WEEKNUM(INDEX(Zeiterfassung!$K$6:$K$3665,$K2044),21))</f>
        <v/>
      </c>
      <c r="B2044" s="184">
        <f>IF($K2044="","",INDEX(Zeiterfassung!$K$6:$K$3665,$K2044))</f>
        <v/>
      </c>
      <c r="C2044" s="185">
        <f>IF($K2044="","",INDEX(Zeiterfassung!$K$6:$K$3665,$K2044))</f>
        <v/>
      </c>
      <c r="D2044" s="186">
        <f>IF($K2044="","",INDEX(Zeiterfassung!$D$6:$D$3665,$K2044))</f>
        <v/>
      </c>
      <c r="E2044" s="186">
        <f>IF($K2044="","",INDEX(Zeiterfassung!$E$6:$E$3665,$K2044))</f>
        <v/>
      </c>
      <c r="F2044" s="187">
        <f>IF($K2044="","",INDEX(Zeiterfassung!$F$6:$F$3665,$K2044))</f>
        <v/>
      </c>
      <c r="G2044" s="187">
        <f>IF($K2044="","",INDEX(Zeiterfassung!$G$6:$G$3665,$K2044))</f>
        <v/>
      </c>
      <c r="H2044" s="188">
        <f>IF($K2044="","",INDEX(Zeiterfassung!$H$6:$H$3665,$K2044))</f>
        <v/>
      </c>
      <c r="I2044" s="335">
        <f>IF(B2044=B2043,"",IF($K2044="","",INDEX(Zeiterfassung!$I$6:$I$3665,MATCH(INDEX(Zeiterfassung!$K$6:$K$3665,$K2044),Zeiterfassung!$K$6:$K$3665,0))))</f>
        <v/>
      </c>
      <c r="J2044" s="335">
        <f>IF(B2044=B2043,"",IF($K2044="","",INDEX(Zeiterfassung!$J$6:$J$3665,MATCH(INDEX(Zeiterfassung!$K$6:$K$3665,$K2044),Zeiterfassung!$K$6:$K$3665,0))))</f>
        <v/>
      </c>
      <c r="K2044">
        <f>IFERROR(AGGREGATE(15,6,(ROW(Zeiterfassung!$D$6:$D$3665)-ROW(Zeiterfassung!$D$6)+1)/(Zeiterfassung!$D$6:$D$3665&lt;&gt;""),2039),"")</f>
        <v/>
      </c>
    </row>
    <row r="2045" ht="20" customHeight="1">
      <c r="A2045" s="183">
        <f>IF($K2045="","",WEEKNUM(INDEX(Zeiterfassung!$K$6:$K$3665,$K2045),21))</f>
        <v/>
      </c>
      <c r="B2045" s="184">
        <f>IF($K2045="","",INDEX(Zeiterfassung!$K$6:$K$3665,$K2045))</f>
        <v/>
      </c>
      <c r="C2045" s="185">
        <f>IF($K2045="","",INDEX(Zeiterfassung!$K$6:$K$3665,$K2045))</f>
        <v/>
      </c>
      <c r="D2045" s="186">
        <f>IF($K2045="","",INDEX(Zeiterfassung!$D$6:$D$3665,$K2045))</f>
        <v/>
      </c>
      <c r="E2045" s="186">
        <f>IF($K2045="","",INDEX(Zeiterfassung!$E$6:$E$3665,$K2045))</f>
        <v/>
      </c>
      <c r="F2045" s="187">
        <f>IF($K2045="","",INDEX(Zeiterfassung!$F$6:$F$3665,$K2045))</f>
        <v/>
      </c>
      <c r="G2045" s="187">
        <f>IF($K2045="","",INDEX(Zeiterfassung!$G$6:$G$3665,$K2045))</f>
        <v/>
      </c>
      <c r="H2045" s="188">
        <f>IF($K2045="","",INDEX(Zeiterfassung!$H$6:$H$3665,$K2045))</f>
        <v/>
      </c>
      <c r="I2045" s="335">
        <f>IF(B2045=B2044,"",IF($K2045="","",INDEX(Zeiterfassung!$I$6:$I$3665,MATCH(INDEX(Zeiterfassung!$K$6:$K$3665,$K2045),Zeiterfassung!$K$6:$K$3665,0))))</f>
        <v/>
      </c>
      <c r="J2045" s="335">
        <f>IF(B2045=B2044,"",IF($K2045="","",INDEX(Zeiterfassung!$J$6:$J$3665,MATCH(INDEX(Zeiterfassung!$K$6:$K$3665,$K2045),Zeiterfassung!$K$6:$K$3665,0))))</f>
        <v/>
      </c>
      <c r="K2045">
        <f>IFERROR(AGGREGATE(15,6,(ROW(Zeiterfassung!$D$6:$D$3665)-ROW(Zeiterfassung!$D$6)+1)/(Zeiterfassung!$D$6:$D$3665&lt;&gt;""),2040),"")</f>
        <v/>
      </c>
    </row>
    <row r="2046" ht="20" customHeight="1">
      <c r="A2046" s="183">
        <f>IF($K2046="","",WEEKNUM(INDEX(Zeiterfassung!$K$6:$K$3665,$K2046),21))</f>
        <v/>
      </c>
      <c r="B2046" s="184">
        <f>IF($K2046="","",INDEX(Zeiterfassung!$K$6:$K$3665,$K2046))</f>
        <v/>
      </c>
      <c r="C2046" s="185">
        <f>IF($K2046="","",INDEX(Zeiterfassung!$K$6:$K$3665,$K2046))</f>
        <v/>
      </c>
      <c r="D2046" s="186">
        <f>IF($K2046="","",INDEX(Zeiterfassung!$D$6:$D$3665,$K2046))</f>
        <v/>
      </c>
      <c r="E2046" s="186">
        <f>IF($K2046="","",INDEX(Zeiterfassung!$E$6:$E$3665,$K2046))</f>
        <v/>
      </c>
      <c r="F2046" s="187">
        <f>IF($K2046="","",INDEX(Zeiterfassung!$F$6:$F$3665,$K2046))</f>
        <v/>
      </c>
      <c r="G2046" s="187">
        <f>IF($K2046="","",INDEX(Zeiterfassung!$G$6:$G$3665,$K2046))</f>
        <v/>
      </c>
      <c r="H2046" s="188">
        <f>IF($K2046="","",INDEX(Zeiterfassung!$H$6:$H$3665,$K2046))</f>
        <v/>
      </c>
      <c r="I2046" s="335">
        <f>IF(B2046=B2045,"",IF($K2046="","",INDEX(Zeiterfassung!$I$6:$I$3665,MATCH(INDEX(Zeiterfassung!$K$6:$K$3665,$K2046),Zeiterfassung!$K$6:$K$3665,0))))</f>
        <v/>
      </c>
      <c r="J2046" s="335">
        <f>IF(B2046=B2045,"",IF($K2046="","",INDEX(Zeiterfassung!$J$6:$J$3665,MATCH(INDEX(Zeiterfassung!$K$6:$K$3665,$K2046),Zeiterfassung!$K$6:$K$3665,0))))</f>
        <v/>
      </c>
      <c r="K2046">
        <f>IFERROR(AGGREGATE(15,6,(ROW(Zeiterfassung!$D$6:$D$3665)-ROW(Zeiterfassung!$D$6)+1)/(Zeiterfassung!$D$6:$D$3665&lt;&gt;""),2041),"")</f>
        <v/>
      </c>
    </row>
    <row r="2047" ht="20" customHeight="1">
      <c r="A2047" s="183">
        <f>IF($K2047="","",WEEKNUM(INDEX(Zeiterfassung!$K$6:$K$3665,$K2047),21))</f>
        <v/>
      </c>
      <c r="B2047" s="184">
        <f>IF($K2047="","",INDEX(Zeiterfassung!$K$6:$K$3665,$K2047))</f>
        <v/>
      </c>
      <c r="C2047" s="185">
        <f>IF($K2047="","",INDEX(Zeiterfassung!$K$6:$K$3665,$K2047))</f>
        <v/>
      </c>
      <c r="D2047" s="186">
        <f>IF($K2047="","",INDEX(Zeiterfassung!$D$6:$D$3665,$K2047))</f>
        <v/>
      </c>
      <c r="E2047" s="186">
        <f>IF($K2047="","",INDEX(Zeiterfassung!$E$6:$E$3665,$K2047))</f>
        <v/>
      </c>
      <c r="F2047" s="187">
        <f>IF($K2047="","",INDEX(Zeiterfassung!$F$6:$F$3665,$K2047))</f>
        <v/>
      </c>
      <c r="G2047" s="187">
        <f>IF($K2047="","",INDEX(Zeiterfassung!$G$6:$G$3665,$K2047))</f>
        <v/>
      </c>
      <c r="H2047" s="188">
        <f>IF($K2047="","",INDEX(Zeiterfassung!$H$6:$H$3665,$K2047))</f>
        <v/>
      </c>
      <c r="I2047" s="335">
        <f>IF(B2047=B2046,"",IF($K2047="","",INDEX(Zeiterfassung!$I$6:$I$3665,MATCH(INDEX(Zeiterfassung!$K$6:$K$3665,$K2047),Zeiterfassung!$K$6:$K$3665,0))))</f>
        <v/>
      </c>
      <c r="J2047" s="335">
        <f>IF(B2047=B2046,"",IF($K2047="","",INDEX(Zeiterfassung!$J$6:$J$3665,MATCH(INDEX(Zeiterfassung!$K$6:$K$3665,$K2047),Zeiterfassung!$K$6:$K$3665,0))))</f>
        <v/>
      </c>
      <c r="K2047">
        <f>IFERROR(AGGREGATE(15,6,(ROW(Zeiterfassung!$D$6:$D$3665)-ROW(Zeiterfassung!$D$6)+1)/(Zeiterfassung!$D$6:$D$3665&lt;&gt;""),2042),"")</f>
        <v/>
      </c>
    </row>
    <row r="2048" ht="20" customHeight="1">
      <c r="A2048" s="183">
        <f>IF($K2048="","",WEEKNUM(INDEX(Zeiterfassung!$K$6:$K$3665,$K2048),21))</f>
        <v/>
      </c>
      <c r="B2048" s="184">
        <f>IF($K2048="","",INDEX(Zeiterfassung!$K$6:$K$3665,$K2048))</f>
        <v/>
      </c>
      <c r="C2048" s="185">
        <f>IF($K2048="","",INDEX(Zeiterfassung!$K$6:$K$3665,$K2048))</f>
        <v/>
      </c>
      <c r="D2048" s="186">
        <f>IF($K2048="","",INDEX(Zeiterfassung!$D$6:$D$3665,$K2048))</f>
        <v/>
      </c>
      <c r="E2048" s="186">
        <f>IF($K2048="","",INDEX(Zeiterfassung!$E$6:$E$3665,$K2048))</f>
        <v/>
      </c>
      <c r="F2048" s="187">
        <f>IF($K2048="","",INDEX(Zeiterfassung!$F$6:$F$3665,$K2048))</f>
        <v/>
      </c>
      <c r="G2048" s="187">
        <f>IF($K2048="","",INDEX(Zeiterfassung!$G$6:$G$3665,$K2048))</f>
        <v/>
      </c>
      <c r="H2048" s="188">
        <f>IF($K2048="","",INDEX(Zeiterfassung!$H$6:$H$3665,$K2048))</f>
        <v/>
      </c>
      <c r="I2048" s="335">
        <f>IF(B2048=B2047,"",IF($K2048="","",INDEX(Zeiterfassung!$I$6:$I$3665,MATCH(INDEX(Zeiterfassung!$K$6:$K$3665,$K2048),Zeiterfassung!$K$6:$K$3665,0))))</f>
        <v/>
      </c>
      <c r="J2048" s="335">
        <f>IF(B2048=B2047,"",IF($K2048="","",INDEX(Zeiterfassung!$J$6:$J$3665,MATCH(INDEX(Zeiterfassung!$K$6:$K$3665,$K2048),Zeiterfassung!$K$6:$K$3665,0))))</f>
        <v/>
      </c>
      <c r="K2048">
        <f>IFERROR(AGGREGATE(15,6,(ROW(Zeiterfassung!$D$6:$D$3665)-ROW(Zeiterfassung!$D$6)+1)/(Zeiterfassung!$D$6:$D$3665&lt;&gt;""),2043),"")</f>
        <v/>
      </c>
    </row>
    <row r="2049" ht="20" customHeight="1">
      <c r="A2049" s="183">
        <f>IF($K2049="","",WEEKNUM(INDEX(Zeiterfassung!$K$6:$K$3665,$K2049),21))</f>
        <v/>
      </c>
      <c r="B2049" s="184">
        <f>IF($K2049="","",INDEX(Zeiterfassung!$K$6:$K$3665,$K2049))</f>
        <v/>
      </c>
      <c r="C2049" s="185">
        <f>IF($K2049="","",INDEX(Zeiterfassung!$K$6:$K$3665,$K2049))</f>
        <v/>
      </c>
      <c r="D2049" s="186">
        <f>IF($K2049="","",INDEX(Zeiterfassung!$D$6:$D$3665,$K2049))</f>
        <v/>
      </c>
      <c r="E2049" s="186">
        <f>IF($K2049="","",INDEX(Zeiterfassung!$E$6:$E$3665,$K2049))</f>
        <v/>
      </c>
      <c r="F2049" s="187">
        <f>IF($K2049="","",INDEX(Zeiterfassung!$F$6:$F$3665,$K2049))</f>
        <v/>
      </c>
      <c r="G2049" s="187">
        <f>IF($K2049="","",INDEX(Zeiterfassung!$G$6:$G$3665,$K2049))</f>
        <v/>
      </c>
      <c r="H2049" s="188">
        <f>IF($K2049="","",INDEX(Zeiterfassung!$H$6:$H$3665,$K2049))</f>
        <v/>
      </c>
      <c r="I2049" s="335">
        <f>IF(B2049=B2048,"",IF($K2049="","",INDEX(Zeiterfassung!$I$6:$I$3665,MATCH(INDEX(Zeiterfassung!$K$6:$K$3665,$K2049),Zeiterfassung!$K$6:$K$3665,0))))</f>
        <v/>
      </c>
      <c r="J2049" s="335">
        <f>IF(B2049=B2048,"",IF($K2049="","",INDEX(Zeiterfassung!$J$6:$J$3665,MATCH(INDEX(Zeiterfassung!$K$6:$K$3665,$K2049),Zeiterfassung!$K$6:$K$3665,0))))</f>
        <v/>
      </c>
      <c r="K2049">
        <f>IFERROR(AGGREGATE(15,6,(ROW(Zeiterfassung!$D$6:$D$3665)-ROW(Zeiterfassung!$D$6)+1)/(Zeiterfassung!$D$6:$D$3665&lt;&gt;""),2044),"")</f>
        <v/>
      </c>
    </row>
    <row r="2050" ht="20" customHeight="1">
      <c r="A2050" s="183">
        <f>IF($K2050="","",WEEKNUM(INDEX(Zeiterfassung!$K$6:$K$3665,$K2050),21))</f>
        <v/>
      </c>
      <c r="B2050" s="184">
        <f>IF($K2050="","",INDEX(Zeiterfassung!$K$6:$K$3665,$K2050))</f>
        <v/>
      </c>
      <c r="C2050" s="185">
        <f>IF($K2050="","",INDEX(Zeiterfassung!$K$6:$K$3665,$K2050))</f>
        <v/>
      </c>
      <c r="D2050" s="186">
        <f>IF($K2050="","",INDEX(Zeiterfassung!$D$6:$D$3665,$K2050))</f>
        <v/>
      </c>
      <c r="E2050" s="186">
        <f>IF($K2050="","",INDEX(Zeiterfassung!$E$6:$E$3665,$K2050))</f>
        <v/>
      </c>
      <c r="F2050" s="187">
        <f>IF($K2050="","",INDEX(Zeiterfassung!$F$6:$F$3665,$K2050))</f>
        <v/>
      </c>
      <c r="G2050" s="187">
        <f>IF($K2050="","",INDEX(Zeiterfassung!$G$6:$G$3665,$K2050))</f>
        <v/>
      </c>
      <c r="H2050" s="188">
        <f>IF($K2050="","",INDEX(Zeiterfassung!$H$6:$H$3665,$K2050))</f>
        <v/>
      </c>
      <c r="I2050" s="335">
        <f>IF(B2050=B2049,"",IF($K2050="","",INDEX(Zeiterfassung!$I$6:$I$3665,MATCH(INDEX(Zeiterfassung!$K$6:$K$3665,$K2050),Zeiterfassung!$K$6:$K$3665,0))))</f>
        <v/>
      </c>
      <c r="J2050" s="335">
        <f>IF(B2050=B2049,"",IF($K2050="","",INDEX(Zeiterfassung!$J$6:$J$3665,MATCH(INDEX(Zeiterfassung!$K$6:$K$3665,$K2050),Zeiterfassung!$K$6:$K$3665,0))))</f>
        <v/>
      </c>
      <c r="K2050">
        <f>IFERROR(AGGREGATE(15,6,(ROW(Zeiterfassung!$D$6:$D$3665)-ROW(Zeiterfassung!$D$6)+1)/(Zeiterfassung!$D$6:$D$3665&lt;&gt;""),2045),"")</f>
        <v/>
      </c>
    </row>
    <row r="2051" ht="20" customHeight="1">
      <c r="A2051" s="183">
        <f>IF($K2051="","",WEEKNUM(INDEX(Zeiterfassung!$K$6:$K$3665,$K2051),21))</f>
        <v/>
      </c>
      <c r="B2051" s="184">
        <f>IF($K2051="","",INDEX(Zeiterfassung!$K$6:$K$3665,$K2051))</f>
        <v/>
      </c>
      <c r="C2051" s="185">
        <f>IF($K2051="","",INDEX(Zeiterfassung!$K$6:$K$3665,$K2051))</f>
        <v/>
      </c>
      <c r="D2051" s="186">
        <f>IF($K2051="","",INDEX(Zeiterfassung!$D$6:$D$3665,$K2051))</f>
        <v/>
      </c>
      <c r="E2051" s="186">
        <f>IF($K2051="","",INDEX(Zeiterfassung!$E$6:$E$3665,$K2051))</f>
        <v/>
      </c>
      <c r="F2051" s="187">
        <f>IF($K2051="","",INDEX(Zeiterfassung!$F$6:$F$3665,$K2051))</f>
        <v/>
      </c>
      <c r="G2051" s="187">
        <f>IF($K2051="","",INDEX(Zeiterfassung!$G$6:$G$3665,$K2051))</f>
        <v/>
      </c>
      <c r="H2051" s="188">
        <f>IF($K2051="","",INDEX(Zeiterfassung!$H$6:$H$3665,$K2051))</f>
        <v/>
      </c>
      <c r="I2051" s="335">
        <f>IF(B2051=B2050,"",IF($K2051="","",INDEX(Zeiterfassung!$I$6:$I$3665,MATCH(INDEX(Zeiterfassung!$K$6:$K$3665,$K2051),Zeiterfassung!$K$6:$K$3665,0))))</f>
        <v/>
      </c>
      <c r="J2051" s="335">
        <f>IF(B2051=B2050,"",IF($K2051="","",INDEX(Zeiterfassung!$J$6:$J$3665,MATCH(INDEX(Zeiterfassung!$K$6:$K$3665,$K2051),Zeiterfassung!$K$6:$K$3665,0))))</f>
        <v/>
      </c>
      <c r="K2051">
        <f>IFERROR(AGGREGATE(15,6,(ROW(Zeiterfassung!$D$6:$D$3665)-ROW(Zeiterfassung!$D$6)+1)/(Zeiterfassung!$D$6:$D$3665&lt;&gt;""),2046),"")</f>
        <v/>
      </c>
    </row>
    <row r="2052" ht="20" customHeight="1">
      <c r="A2052" s="183">
        <f>IF($K2052="","",WEEKNUM(INDEX(Zeiterfassung!$K$6:$K$3665,$K2052),21))</f>
        <v/>
      </c>
      <c r="B2052" s="184">
        <f>IF($K2052="","",INDEX(Zeiterfassung!$K$6:$K$3665,$K2052))</f>
        <v/>
      </c>
      <c r="C2052" s="185">
        <f>IF($K2052="","",INDEX(Zeiterfassung!$K$6:$K$3665,$K2052))</f>
        <v/>
      </c>
      <c r="D2052" s="186">
        <f>IF($K2052="","",INDEX(Zeiterfassung!$D$6:$D$3665,$K2052))</f>
        <v/>
      </c>
      <c r="E2052" s="186">
        <f>IF($K2052="","",INDEX(Zeiterfassung!$E$6:$E$3665,$K2052))</f>
        <v/>
      </c>
      <c r="F2052" s="187">
        <f>IF($K2052="","",INDEX(Zeiterfassung!$F$6:$F$3665,$K2052))</f>
        <v/>
      </c>
      <c r="G2052" s="187">
        <f>IF($K2052="","",INDEX(Zeiterfassung!$G$6:$G$3665,$K2052))</f>
        <v/>
      </c>
      <c r="H2052" s="188">
        <f>IF($K2052="","",INDEX(Zeiterfassung!$H$6:$H$3665,$K2052))</f>
        <v/>
      </c>
      <c r="I2052" s="335">
        <f>IF(B2052=B2051,"",IF($K2052="","",INDEX(Zeiterfassung!$I$6:$I$3665,MATCH(INDEX(Zeiterfassung!$K$6:$K$3665,$K2052),Zeiterfassung!$K$6:$K$3665,0))))</f>
        <v/>
      </c>
      <c r="J2052" s="335">
        <f>IF(B2052=B2051,"",IF($K2052="","",INDEX(Zeiterfassung!$J$6:$J$3665,MATCH(INDEX(Zeiterfassung!$K$6:$K$3665,$K2052),Zeiterfassung!$K$6:$K$3665,0))))</f>
        <v/>
      </c>
      <c r="K2052">
        <f>IFERROR(AGGREGATE(15,6,(ROW(Zeiterfassung!$D$6:$D$3665)-ROW(Zeiterfassung!$D$6)+1)/(Zeiterfassung!$D$6:$D$3665&lt;&gt;""),2047),"")</f>
        <v/>
      </c>
    </row>
    <row r="2053" ht="20" customHeight="1">
      <c r="A2053" s="183">
        <f>IF($K2053="","",WEEKNUM(INDEX(Zeiterfassung!$K$6:$K$3665,$K2053),21))</f>
        <v/>
      </c>
      <c r="B2053" s="184">
        <f>IF($K2053="","",INDEX(Zeiterfassung!$K$6:$K$3665,$K2053))</f>
        <v/>
      </c>
      <c r="C2053" s="185">
        <f>IF($K2053="","",INDEX(Zeiterfassung!$K$6:$K$3665,$K2053))</f>
        <v/>
      </c>
      <c r="D2053" s="186">
        <f>IF($K2053="","",INDEX(Zeiterfassung!$D$6:$D$3665,$K2053))</f>
        <v/>
      </c>
      <c r="E2053" s="186">
        <f>IF($K2053="","",INDEX(Zeiterfassung!$E$6:$E$3665,$K2053))</f>
        <v/>
      </c>
      <c r="F2053" s="187">
        <f>IF($K2053="","",INDEX(Zeiterfassung!$F$6:$F$3665,$K2053))</f>
        <v/>
      </c>
      <c r="G2053" s="187">
        <f>IF($K2053="","",INDEX(Zeiterfassung!$G$6:$G$3665,$K2053))</f>
        <v/>
      </c>
      <c r="H2053" s="188">
        <f>IF($K2053="","",INDEX(Zeiterfassung!$H$6:$H$3665,$K2053))</f>
        <v/>
      </c>
      <c r="I2053" s="335">
        <f>IF(B2053=B2052,"",IF($K2053="","",INDEX(Zeiterfassung!$I$6:$I$3665,MATCH(INDEX(Zeiterfassung!$K$6:$K$3665,$K2053),Zeiterfassung!$K$6:$K$3665,0))))</f>
        <v/>
      </c>
      <c r="J2053" s="335">
        <f>IF(B2053=B2052,"",IF($K2053="","",INDEX(Zeiterfassung!$J$6:$J$3665,MATCH(INDEX(Zeiterfassung!$K$6:$K$3665,$K2053),Zeiterfassung!$K$6:$K$3665,0))))</f>
        <v/>
      </c>
      <c r="K2053">
        <f>IFERROR(AGGREGATE(15,6,(ROW(Zeiterfassung!$D$6:$D$3665)-ROW(Zeiterfassung!$D$6)+1)/(Zeiterfassung!$D$6:$D$3665&lt;&gt;""),2048),"")</f>
        <v/>
      </c>
    </row>
    <row r="2054" ht="20" customHeight="1">
      <c r="A2054" s="183">
        <f>IF($K2054="","",WEEKNUM(INDEX(Zeiterfassung!$K$6:$K$3665,$K2054),21))</f>
        <v/>
      </c>
      <c r="B2054" s="184">
        <f>IF($K2054="","",INDEX(Zeiterfassung!$K$6:$K$3665,$K2054))</f>
        <v/>
      </c>
      <c r="C2054" s="185">
        <f>IF($K2054="","",INDEX(Zeiterfassung!$K$6:$K$3665,$K2054))</f>
        <v/>
      </c>
      <c r="D2054" s="186">
        <f>IF($K2054="","",INDEX(Zeiterfassung!$D$6:$D$3665,$K2054))</f>
        <v/>
      </c>
      <c r="E2054" s="186">
        <f>IF($K2054="","",INDEX(Zeiterfassung!$E$6:$E$3665,$K2054))</f>
        <v/>
      </c>
      <c r="F2054" s="187">
        <f>IF($K2054="","",INDEX(Zeiterfassung!$F$6:$F$3665,$K2054))</f>
        <v/>
      </c>
      <c r="G2054" s="187">
        <f>IF($K2054="","",INDEX(Zeiterfassung!$G$6:$G$3665,$K2054))</f>
        <v/>
      </c>
      <c r="H2054" s="188">
        <f>IF($K2054="","",INDEX(Zeiterfassung!$H$6:$H$3665,$K2054))</f>
        <v/>
      </c>
      <c r="I2054" s="335">
        <f>IF(B2054=B2053,"",IF($K2054="","",INDEX(Zeiterfassung!$I$6:$I$3665,MATCH(INDEX(Zeiterfassung!$K$6:$K$3665,$K2054),Zeiterfassung!$K$6:$K$3665,0))))</f>
        <v/>
      </c>
      <c r="J2054" s="335">
        <f>IF(B2054=B2053,"",IF($K2054="","",INDEX(Zeiterfassung!$J$6:$J$3665,MATCH(INDEX(Zeiterfassung!$K$6:$K$3665,$K2054),Zeiterfassung!$K$6:$K$3665,0))))</f>
        <v/>
      </c>
      <c r="K2054">
        <f>IFERROR(AGGREGATE(15,6,(ROW(Zeiterfassung!$D$6:$D$3665)-ROW(Zeiterfassung!$D$6)+1)/(Zeiterfassung!$D$6:$D$3665&lt;&gt;""),2049),"")</f>
        <v/>
      </c>
    </row>
    <row r="2055" ht="20" customHeight="1">
      <c r="A2055" s="183">
        <f>IF($K2055="","",WEEKNUM(INDEX(Zeiterfassung!$K$6:$K$3665,$K2055),21))</f>
        <v/>
      </c>
      <c r="B2055" s="184">
        <f>IF($K2055="","",INDEX(Zeiterfassung!$K$6:$K$3665,$K2055))</f>
        <v/>
      </c>
      <c r="C2055" s="185">
        <f>IF($K2055="","",INDEX(Zeiterfassung!$K$6:$K$3665,$K2055))</f>
        <v/>
      </c>
      <c r="D2055" s="186">
        <f>IF($K2055="","",INDEX(Zeiterfassung!$D$6:$D$3665,$K2055))</f>
        <v/>
      </c>
      <c r="E2055" s="186">
        <f>IF($K2055="","",INDEX(Zeiterfassung!$E$6:$E$3665,$K2055))</f>
        <v/>
      </c>
      <c r="F2055" s="187">
        <f>IF($K2055="","",INDEX(Zeiterfassung!$F$6:$F$3665,$K2055))</f>
        <v/>
      </c>
      <c r="G2055" s="187">
        <f>IF($K2055="","",INDEX(Zeiterfassung!$G$6:$G$3665,$K2055))</f>
        <v/>
      </c>
      <c r="H2055" s="188">
        <f>IF($K2055="","",INDEX(Zeiterfassung!$H$6:$H$3665,$K2055))</f>
        <v/>
      </c>
      <c r="I2055" s="335">
        <f>IF(B2055=B2054,"",IF($K2055="","",INDEX(Zeiterfassung!$I$6:$I$3665,MATCH(INDEX(Zeiterfassung!$K$6:$K$3665,$K2055),Zeiterfassung!$K$6:$K$3665,0))))</f>
        <v/>
      </c>
      <c r="J2055" s="335">
        <f>IF(B2055=B2054,"",IF($K2055="","",INDEX(Zeiterfassung!$J$6:$J$3665,MATCH(INDEX(Zeiterfassung!$K$6:$K$3665,$K2055),Zeiterfassung!$K$6:$K$3665,0))))</f>
        <v/>
      </c>
      <c r="K2055">
        <f>IFERROR(AGGREGATE(15,6,(ROW(Zeiterfassung!$D$6:$D$3665)-ROW(Zeiterfassung!$D$6)+1)/(Zeiterfassung!$D$6:$D$3665&lt;&gt;""),2050),"")</f>
        <v/>
      </c>
    </row>
    <row r="2056" ht="20" customHeight="1">
      <c r="A2056" s="183">
        <f>IF($K2056="","",WEEKNUM(INDEX(Zeiterfassung!$K$6:$K$3665,$K2056),21))</f>
        <v/>
      </c>
      <c r="B2056" s="184">
        <f>IF($K2056="","",INDEX(Zeiterfassung!$K$6:$K$3665,$K2056))</f>
        <v/>
      </c>
      <c r="C2056" s="185">
        <f>IF($K2056="","",INDEX(Zeiterfassung!$K$6:$K$3665,$K2056))</f>
        <v/>
      </c>
      <c r="D2056" s="186">
        <f>IF($K2056="","",INDEX(Zeiterfassung!$D$6:$D$3665,$K2056))</f>
        <v/>
      </c>
      <c r="E2056" s="186">
        <f>IF($K2056="","",INDEX(Zeiterfassung!$E$6:$E$3665,$K2056))</f>
        <v/>
      </c>
      <c r="F2056" s="187">
        <f>IF($K2056="","",INDEX(Zeiterfassung!$F$6:$F$3665,$K2056))</f>
        <v/>
      </c>
      <c r="G2056" s="187">
        <f>IF($K2056="","",INDEX(Zeiterfassung!$G$6:$G$3665,$K2056))</f>
        <v/>
      </c>
      <c r="H2056" s="188">
        <f>IF($K2056="","",INDEX(Zeiterfassung!$H$6:$H$3665,$K2056))</f>
        <v/>
      </c>
      <c r="I2056" s="335">
        <f>IF(B2056=B2055,"",IF($K2056="","",INDEX(Zeiterfassung!$I$6:$I$3665,MATCH(INDEX(Zeiterfassung!$K$6:$K$3665,$K2056),Zeiterfassung!$K$6:$K$3665,0))))</f>
        <v/>
      </c>
      <c r="J2056" s="335">
        <f>IF(B2056=B2055,"",IF($K2056="","",INDEX(Zeiterfassung!$J$6:$J$3665,MATCH(INDEX(Zeiterfassung!$K$6:$K$3665,$K2056),Zeiterfassung!$K$6:$K$3665,0))))</f>
        <v/>
      </c>
      <c r="K2056">
        <f>IFERROR(AGGREGATE(15,6,(ROW(Zeiterfassung!$D$6:$D$3665)-ROW(Zeiterfassung!$D$6)+1)/(Zeiterfassung!$D$6:$D$3665&lt;&gt;""),2051),"")</f>
        <v/>
      </c>
    </row>
    <row r="2057" ht="20" customHeight="1">
      <c r="A2057" s="183">
        <f>IF($K2057="","",WEEKNUM(INDEX(Zeiterfassung!$K$6:$K$3665,$K2057),21))</f>
        <v/>
      </c>
      <c r="B2057" s="184">
        <f>IF($K2057="","",INDEX(Zeiterfassung!$K$6:$K$3665,$K2057))</f>
        <v/>
      </c>
      <c r="C2057" s="185">
        <f>IF($K2057="","",INDEX(Zeiterfassung!$K$6:$K$3665,$K2057))</f>
        <v/>
      </c>
      <c r="D2057" s="186">
        <f>IF($K2057="","",INDEX(Zeiterfassung!$D$6:$D$3665,$K2057))</f>
        <v/>
      </c>
      <c r="E2057" s="186">
        <f>IF($K2057="","",INDEX(Zeiterfassung!$E$6:$E$3665,$K2057))</f>
        <v/>
      </c>
      <c r="F2057" s="187">
        <f>IF($K2057="","",INDEX(Zeiterfassung!$F$6:$F$3665,$K2057))</f>
        <v/>
      </c>
      <c r="G2057" s="187">
        <f>IF($K2057="","",INDEX(Zeiterfassung!$G$6:$G$3665,$K2057))</f>
        <v/>
      </c>
      <c r="H2057" s="188">
        <f>IF($K2057="","",INDEX(Zeiterfassung!$H$6:$H$3665,$K2057))</f>
        <v/>
      </c>
      <c r="I2057" s="335">
        <f>IF(B2057=B2056,"",IF($K2057="","",INDEX(Zeiterfassung!$I$6:$I$3665,MATCH(INDEX(Zeiterfassung!$K$6:$K$3665,$K2057),Zeiterfassung!$K$6:$K$3665,0))))</f>
        <v/>
      </c>
      <c r="J2057" s="335">
        <f>IF(B2057=B2056,"",IF($K2057="","",INDEX(Zeiterfassung!$J$6:$J$3665,MATCH(INDEX(Zeiterfassung!$K$6:$K$3665,$K2057),Zeiterfassung!$K$6:$K$3665,0))))</f>
        <v/>
      </c>
      <c r="K2057">
        <f>IFERROR(AGGREGATE(15,6,(ROW(Zeiterfassung!$D$6:$D$3665)-ROW(Zeiterfassung!$D$6)+1)/(Zeiterfassung!$D$6:$D$3665&lt;&gt;""),2052),"")</f>
        <v/>
      </c>
    </row>
    <row r="2058" ht="20" customHeight="1">
      <c r="A2058" s="183">
        <f>IF($K2058="","",WEEKNUM(INDEX(Zeiterfassung!$K$6:$K$3665,$K2058),21))</f>
        <v/>
      </c>
      <c r="B2058" s="184">
        <f>IF($K2058="","",INDEX(Zeiterfassung!$K$6:$K$3665,$K2058))</f>
        <v/>
      </c>
      <c r="C2058" s="185">
        <f>IF($K2058="","",INDEX(Zeiterfassung!$K$6:$K$3665,$K2058))</f>
        <v/>
      </c>
      <c r="D2058" s="186">
        <f>IF($K2058="","",INDEX(Zeiterfassung!$D$6:$D$3665,$K2058))</f>
        <v/>
      </c>
      <c r="E2058" s="186">
        <f>IF($K2058="","",INDEX(Zeiterfassung!$E$6:$E$3665,$K2058))</f>
        <v/>
      </c>
      <c r="F2058" s="187">
        <f>IF($K2058="","",INDEX(Zeiterfassung!$F$6:$F$3665,$K2058))</f>
        <v/>
      </c>
      <c r="G2058" s="187">
        <f>IF($K2058="","",INDEX(Zeiterfassung!$G$6:$G$3665,$K2058))</f>
        <v/>
      </c>
      <c r="H2058" s="188">
        <f>IF($K2058="","",INDEX(Zeiterfassung!$H$6:$H$3665,$K2058))</f>
        <v/>
      </c>
      <c r="I2058" s="335">
        <f>IF(B2058=B2057,"",IF($K2058="","",INDEX(Zeiterfassung!$I$6:$I$3665,MATCH(INDEX(Zeiterfassung!$K$6:$K$3665,$K2058),Zeiterfassung!$K$6:$K$3665,0))))</f>
        <v/>
      </c>
      <c r="J2058" s="335">
        <f>IF(B2058=B2057,"",IF($K2058="","",INDEX(Zeiterfassung!$J$6:$J$3665,MATCH(INDEX(Zeiterfassung!$K$6:$K$3665,$K2058),Zeiterfassung!$K$6:$K$3665,0))))</f>
        <v/>
      </c>
      <c r="K2058">
        <f>IFERROR(AGGREGATE(15,6,(ROW(Zeiterfassung!$D$6:$D$3665)-ROW(Zeiterfassung!$D$6)+1)/(Zeiterfassung!$D$6:$D$3665&lt;&gt;""),2053),"")</f>
        <v/>
      </c>
    </row>
    <row r="2059" ht="20" customHeight="1">
      <c r="A2059" s="183">
        <f>IF($K2059="","",WEEKNUM(INDEX(Zeiterfassung!$K$6:$K$3665,$K2059),21))</f>
        <v/>
      </c>
      <c r="B2059" s="184">
        <f>IF($K2059="","",INDEX(Zeiterfassung!$K$6:$K$3665,$K2059))</f>
        <v/>
      </c>
      <c r="C2059" s="185">
        <f>IF($K2059="","",INDEX(Zeiterfassung!$K$6:$K$3665,$K2059))</f>
        <v/>
      </c>
      <c r="D2059" s="186">
        <f>IF($K2059="","",INDEX(Zeiterfassung!$D$6:$D$3665,$K2059))</f>
        <v/>
      </c>
      <c r="E2059" s="186">
        <f>IF($K2059="","",INDEX(Zeiterfassung!$E$6:$E$3665,$K2059))</f>
        <v/>
      </c>
      <c r="F2059" s="187">
        <f>IF($K2059="","",INDEX(Zeiterfassung!$F$6:$F$3665,$K2059))</f>
        <v/>
      </c>
      <c r="G2059" s="187">
        <f>IF($K2059="","",INDEX(Zeiterfassung!$G$6:$G$3665,$K2059))</f>
        <v/>
      </c>
      <c r="H2059" s="188">
        <f>IF($K2059="","",INDEX(Zeiterfassung!$H$6:$H$3665,$K2059))</f>
        <v/>
      </c>
      <c r="I2059" s="335">
        <f>IF(B2059=B2058,"",IF($K2059="","",INDEX(Zeiterfassung!$I$6:$I$3665,MATCH(INDEX(Zeiterfassung!$K$6:$K$3665,$K2059),Zeiterfassung!$K$6:$K$3665,0))))</f>
        <v/>
      </c>
      <c r="J2059" s="335">
        <f>IF(B2059=B2058,"",IF($K2059="","",INDEX(Zeiterfassung!$J$6:$J$3665,MATCH(INDEX(Zeiterfassung!$K$6:$K$3665,$K2059),Zeiterfassung!$K$6:$K$3665,0))))</f>
        <v/>
      </c>
      <c r="K2059">
        <f>IFERROR(AGGREGATE(15,6,(ROW(Zeiterfassung!$D$6:$D$3665)-ROW(Zeiterfassung!$D$6)+1)/(Zeiterfassung!$D$6:$D$3665&lt;&gt;""),2054),"")</f>
        <v/>
      </c>
    </row>
    <row r="2060" ht="20" customHeight="1">
      <c r="A2060" s="183">
        <f>IF($K2060="","",WEEKNUM(INDEX(Zeiterfassung!$K$6:$K$3665,$K2060),21))</f>
        <v/>
      </c>
      <c r="B2060" s="184">
        <f>IF($K2060="","",INDEX(Zeiterfassung!$K$6:$K$3665,$K2060))</f>
        <v/>
      </c>
      <c r="C2060" s="185">
        <f>IF($K2060="","",INDEX(Zeiterfassung!$K$6:$K$3665,$K2060))</f>
        <v/>
      </c>
      <c r="D2060" s="186">
        <f>IF($K2060="","",INDEX(Zeiterfassung!$D$6:$D$3665,$K2060))</f>
        <v/>
      </c>
      <c r="E2060" s="186">
        <f>IF($K2060="","",INDEX(Zeiterfassung!$E$6:$E$3665,$K2060))</f>
        <v/>
      </c>
      <c r="F2060" s="187">
        <f>IF($K2060="","",INDEX(Zeiterfassung!$F$6:$F$3665,$K2060))</f>
        <v/>
      </c>
      <c r="G2060" s="187">
        <f>IF($K2060="","",INDEX(Zeiterfassung!$G$6:$G$3665,$K2060))</f>
        <v/>
      </c>
      <c r="H2060" s="188">
        <f>IF($K2060="","",INDEX(Zeiterfassung!$H$6:$H$3665,$K2060))</f>
        <v/>
      </c>
      <c r="I2060" s="335">
        <f>IF(B2060=B2059,"",IF($K2060="","",INDEX(Zeiterfassung!$I$6:$I$3665,MATCH(INDEX(Zeiterfassung!$K$6:$K$3665,$K2060),Zeiterfassung!$K$6:$K$3665,0))))</f>
        <v/>
      </c>
      <c r="J2060" s="335">
        <f>IF(B2060=B2059,"",IF($K2060="","",INDEX(Zeiterfassung!$J$6:$J$3665,MATCH(INDEX(Zeiterfassung!$K$6:$K$3665,$K2060),Zeiterfassung!$K$6:$K$3665,0))))</f>
        <v/>
      </c>
      <c r="K2060">
        <f>IFERROR(AGGREGATE(15,6,(ROW(Zeiterfassung!$D$6:$D$3665)-ROW(Zeiterfassung!$D$6)+1)/(Zeiterfassung!$D$6:$D$3665&lt;&gt;""),2055),"")</f>
        <v/>
      </c>
    </row>
    <row r="2061" ht="20" customHeight="1">
      <c r="A2061" s="183">
        <f>IF($K2061="","",WEEKNUM(INDEX(Zeiterfassung!$K$6:$K$3665,$K2061),21))</f>
        <v/>
      </c>
      <c r="B2061" s="184">
        <f>IF($K2061="","",INDEX(Zeiterfassung!$K$6:$K$3665,$K2061))</f>
        <v/>
      </c>
      <c r="C2061" s="185">
        <f>IF($K2061="","",INDEX(Zeiterfassung!$K$6:$K$3665,$K2061))</f>
        <v/>
      </c>
      <c r="D2061" s="186">
        <f>IF($K2061="","",INDEX(Zeiterfassung!$D$6:$D$3665,$K2061))</f>
        <v/>
      </c>
      <c r="E2061" s="186">
        <f>IF($K2061="","",INDEX(Zeiterfassung!$E$6:$E$3665,$K2061))</f>
        <v/>
      </c>
      <c r="F2061" s="187">
        <f>IF($K2061="","",INDEX(Zeiterfassung!$F$6:$F$3665,$K2061))</f>
        <v/>
      </c>
      <c r="G2061" s="187">
        <f>IF($K2061="","",INDEX(Zeiterfassung!$G$6:$G$3665,$K2061))</f>
        <v/>
      </c>
      <c r="H2061" s="188">
        <f>IF($K2061="","",INDEX(Zeiterfassung!$H$6:$H$3665,$K2061))</f>
        <v/>
      </c>
      <c r="I2061" s="335">
        <f>IF(B2061=B2060,"",IF($K2061="","",INDEX(Zeiterfassung!$I$6:$I$3665,MATCH(INDEX(Zeiterfassung!$K$6:$K$3665,$K2061),Zeiterfassung!$K$6:$K$3665,0))))</f>
        <v/>
      </c>
      <c r="J2061" s="335">
        <f>IF(B2061=B2060,"",IF($K2061="","",INDEX(Zeiterfassung!$J$6:$J$3665,MATCH(INDEX(Zeiterfassung!$K$6:$K$3665,$K2061),Zeiterfassung!$K$6:$K$3665,0))))</f>
        <v/>
      </c>
      <c r="K2061">
        <f>IFERROR(AGGREGATE(15,6,(ROW(Zeiterfassung!$D$6:$D$3665)-ROW(Zeiterfassung!$D$6)+1)/(Zeiterfassung!$D$6:$D$3665&lt;&gt;""),2056),"")</f>
        <v/>
      </c>
    </row>
    <row r="2062" ht="20" customHeight="1">
      <c r="A2062" s="183">
        <f>IF($K2062="","",WEEKNUM(INDEX(Zeiterfassung!$K$6:$K$3665,$K2062),21))</f>
        <v/>
      </c>
      <c r="B2062" s="184">
        <f>IF($K2062="","",INDEX(Zeiterfassung!$K$6:$K$3665,$K2062))</f>
        <v/>
      </c>
      <c r="C2062" s="185">
        <f>IF($K2062="","",INDEX(Zeiterfassung!$K$6:$K$3665,$K2062))</f>
        <v/>
      </c>
      <c r="D2062" s="186">
        <f>IF($K2062="","",INDEX(Zeiterfassung!$D$6:$D$3665,$K2062))</f>
        <v/>
      </c>
      <c r="E2062" s="186">
        <f>IF($K2062="","",INDEX(Zeiterfassung!$E$6:$E$3665,$K2062))</f>
        <v/>
      </c>
      <c r="F2062" s="187">
        <f>IF($K2062="","",INDEX(Zeiterfassung!$F$6:$F$3665,$K2062))</f>
        <v/>
      </c>
      <c r="G2062" s="187">
        <f>IF($K2062="","",INDEX(Zeiterfassung!$G$6:$G$3665,$K2062))</f>
        <v/>
      </c>
      <c r="H2062" s="188">
        <f>IF($K2062="","",INDEX(Zeiterfassung!$H$6:$H$3665,$K2062))</f>
        <v/>
      </c>
      <c r="I2062" s="335">
        <f>IF(B2062=B2061,"",IF($K2062="","",INDEX(Zeiterfassung!$I$6:$I$3665,MATCH(INDEX(Zeiterfassung!$K$6:$K$3665,$K2062),Zeiterfassung!$K$6:$K$3665,0))))</f>
        <v/>
      </c>
      <c r="J2062" s="335">
        <f>IF(B2062=B2061,"",IF($K2062="","",INDEX(Zeiterfassung!$J$6:$J$3665,MATCH(INDEX(Zeiterfassung!$K$6:$K$3665,$K2062),Zeiterfassung!$K$6:$K$3665,0))))</f>
        <v/>
      </c>
      <c r="K2062">
        <f>IFERROR(AGGREGATE(15,6,(ROW(Zeiterfassung!$D$6:$D$3665)-ROW(Zeiterfassung!$D$6)+1)/(Zeiterfassung!$D$6:$D$3665&lt;&gt;""),2057),"")</f>
        <v/>
      </c>
    </row>
    <row r="2063" ht="20" customHeight="1">
      <c r="A2063" s="183">
        <f>IF($K2063="","",WEEKNUM(INDEX(Zeiterfassung!$K$6:$K$3665,$K2063),21))</f>
        <v/>
      </c>
      <c r="B2063" s="184">
        <f>IF($K2063="","",INDEX(Zeiterfassung!$K$6:$K$3665,$K2063))</f>
        <v/>
      </c>
      <c r="C2063" s="185">
        <f>IF($K2063="","",INDEX(Zeiterfassung!$K$6:$K$3665,$K2063))</f>
        <v/>
      </c>
      <c r="D2063" s="186">
        <f>IF($K2063="","",INDEX(Zeiterfassung!$D$6:$D$3665,$K2063))</f>
        <v/>
      </c>
      <c r="E2063" s="186">
        <f>IF($K2063="","",INDEX(Zeiterfassung!$E$6:$E$3665,$K2063))</f>
        <v/>
      </c>
      <c r="F2063" s="187">
        <f>IF($K2063="","",INDEX(Zeiterfassung!$F$6:$F$3665,$K2063))</f>
        <v/>
      </c>
      <c r="G2063" s="187">
        <f>IF($K2063="","",INDEX(Zeiterfassung!$G$6:$G$3665,$K2063))</f>
        <v/>
      </c>
      <c r="H2063" s="188">
        <f>IF($K2063="","",INDEX(Zeiterfassung!$H$6:$H$3665,$K2063))</f>
        <v/>
      </c>
      <c r="I2063" s="335">
        <f>IF(B2063=B2062,"",IF($K2063="","",INDEX(Zeiterfassung!$I$6:$I$3665,MATCH(INDEX(Zeiterfassung!$K$6:$K$3665,$K2063),Zeiterfassung!$K$6:$K$3665,0))))</f>
        <v/>
      </c>
      <c r="J2063" s="335">
        <f>IF(B2063=B2062,"",IF($K2063="","",INDEX(Zeiterfassung!$J$6:$J$3665,MATCH(INDEX(Zeiterfassung!$K$6:$K$3665,$K2063),Zeiterfassung!$K$6:$K$3665,0))))</f>
        <v/>
      </c>
      <c r="K2063">
        <f>IFERROR(AGGREGATE(15,6,(ROW(Zeiterfassung!$D$6:$D$3665)-ROW(Zeiterfassung!$D$6)+1)/(Zeiterfassung!$D$6:$D$3665&lt;&gt;""),2058),"")</f>
        <v/>
      </c>
    </row>
    <row r="2064" ht="20" customHeight="1">
      <c r="A2064" s="183">
        <f>IF($K2064="","",WEEKNUM(INDEX(Zeiterfassung!$K$6:$K$3665,$K2064),21))</f>
        <v/>
      </c>
      <c r="B2064" s="184">
        <f>IF($K2064="","",INDEX(Zeiterfassung!$K$6:$K$3665,$K2064))</f>
        <v/>
      </c>
      <c r="C2064" s="185">
        <f>IF($K2064="","",INDEX(Zeiterfassung!$K$6:$K$3665,$K2064))</f>
        <v/>
      </c>
      <c r="D2064" s="186">
        <f>IF($K2064="","",INDEX(Zeiterfassung!$D$6:$D$3665,$K2064))</f>
        <v/>
      </c>
      <c r="E2064" s="186">
        <f>IF($K2064="","",INDEX(Zeiterfassung!$E$6:$E$3665,$K2064))</f>
        <v/>
      </c>
      <c r="F2064" s="187">
        <f>IF($K2064="","",INDEX(Zeiterfassung!$F$6:$F$3665,$K2064))</f>
        <v/>
      </c>
      <c r="G2064" s="187">
        <f>IF($K2064="","",INDEX(Zeiterfassung!$G$6:$G$3665,$K2064))</f>
        <v/>
      </c>
      <c r="H2064" s="188">
        <f>IF($K2064="","",INDEX(Zeiterfassung!$H$6:$H$3665,$K2064))</f>
        <v/>
      </c>
      <c r="I2064" s="335">
        <f>IF(B2064=B2063,"",IF($K2064="","",INDEX(Zeiterfassung!$I$6:$I$3665,MATCH(INDEX(Zeiterfassung!$K$6:$K$3665,$K2064),Zeiterfassung!$K$6:$K$3665,0))))</f>
        <v/>
      </c>
      <c r="J2064" s="335">
        <f>IF(B2064=B2063,"",IF($K2064="","",INDEX(Zeiterfassung!$J$6:$J$3665,MATCH(INDEX(Zeiterfassung!$K$6:$K$3665,$K2064),Zeiterfassung!$K$6:$K$3665,0))))</f>
        <v/>
      </c>
      <c r="K2064">
        <f>IFERROR(AGGREGATE(15,6,(ROW(Zeiterfassung!$D$6:$D$3665)-ROW(Zeiterfassung!$D$6)+1)/(Zeiterfassung!$D$6:$D$3665&lt;&gt;""),2059),"")</f>
        <v/>
      </c>
    </row>
    <row r="2065" ht="20" customHeight="1">
      <c r="A2065" s="183">
        <f>IF($K2065="","",WEEKNUM(INDEX(Zeiterfassung!$K$6:$K$3665,$K2065),21))</f>
        <v/>
      </c>
      <c r="B2065" s="184">
        <f>IF($K2065="","",INDEX(Zeiterfassung!$K$6:$K$3665,$K2065))</f>
        <v/>
      </c>
      <c r="C2065" s="185">
        <f>IF($K2065="","",INDEX(Zeiterfassung!$K$6:$K$3665,$K2065))</f>
        <v/>
      </c>
      <c r="D2065" s="186">
        <f>IF($K2065="","",INDEX(Zeiterfassung!$D$6:$D$3665,$K2065))</f>
        <v/>
      </c>
      <c r="E2065" s="186">
        <f>IF($K2065="","",INDEX(Zeiterfassung!$E$6:$E$3665,$K2065))</f>
        <v/>
      </c>
      <c r="F2065" s="187">
        <f>IF($K2065="","",INDEX(Zeiterfassung!$F$6:$F$3665,$K2065))</f>
        <v/>
      </c>
      <c r="G2065" s="187">
        <f>IF($K2065="","",INDEX(Zeiterfassung!$G$6:$G$3665,$K2065))</f>
        <v/>
      </c>
      <c r="H2065" s="188">
        <f>IF($K2065="","",INDEX(Zeiterfassung!$H$6:$H$3665,$K2065))</f>
        <v/>
      </c>
      <c r="I2065" s="335">
        <f>IF(B2065=B2064,"",IF($K2065="","",INDEX(Zeiterfassung!$I$6:$I$3665,MATCH(INDEX(Zeiterfassung!$K$6:$K$3665,$K2065),Zeiterfassung!$K$6:$K$3665,0))))</f>
        <v/>
      </c>
      <c r="J2065" s="335">
        <f>IF(B2065=B2064,"",IF($K2065="","",INDEX(Zeiterfassung!$J$6:$J$3665,MATCH(INDEX(Zeiterfassung!$K$6:$K$3665,$K2065),Zeiterfassung!$K$6:$K$3665,0))))</f>
        <v/>
      </c>
      <c r="K2065">
        <f>IFERROR(AGGREGATE(15,6,(ROW(Zeiterfassung!$D$6:$D$3665)-ROW(Zeiterfassung!$D$6)+1)/(Zeiterfassung!$D$6:$D$3665&lt;&gt;""),2060),"")</f>
        <v/>
      </c>
    </row>
    <row r="2066" ht="20" customHeight="1">
      <c r="A2066" s="183">
        <f>IF($K2066="","",WEEKNUM(INDEX(Zeiterfassung!$K$6:$K$3665,$K2066),21))</f>
        <v/>
      </c>
      <c r="B2066" s="184">
        <f>IF($K2066="","",INDEX(Zeiterfassung!$K$6:$K$3665,$K2066))</f>
        <v/>
      </c>
      <c r="C2066" s="185">
        <f>IF($K2066="","",INDEX(Zeiterfassung!$K$6:$K$3665,$K2066))</f>
        <v/>
      </c>
      <c r="D2066" s="186">
        <f>IF($K2066="","",INDEX(Zeiterfassung!$D$6:$D$3665,$K2066))</f>
        <v/>
      </c>
      <c r="E2066" s="186">
        <f>IF($K2066="","",INDEX(Zeiterfassung!$E$6:$E$3665,$K2066))</f>
        <v/>
      </c>
      <c r="F2066" s="187">
        <f>IF($K2066="","",INDEX(Zeiterfassung!$F$6:$F$3665,$K2066))</f>
        <v/>
      </c>
      <c r="G2066" s="187">
        <f>IF($K2066="","",INDEX(Zeiterfassung!$G$6:$G$3665,$K2066))</f>
        <v/>
      </c>
      <c r="H2066" s="188">
        <f>IF($K2066="","",INDEX(Zeiterfassung!$H$6:$H$3665,$K2066))</f>
        <v/>
      </c>
      <c r="I2066" s="335">
        <f>IF(B2066=B2065,"",IF($K2066="","",INDEX(Zeiterfassung!$I$6:$I$3665,MATCH(INDEX(Zeiterfassung!$K$6:$K$3665,$K2066),Zeiterfassung!$K$6:$K$3665,0))))</f>
        <v/>
      </c>
      <c r="J2066" s="335">
        <f>IF(B2066=B2065,"",IF($K2066="","",INDEX(Zeiterfassung!$J$6:$J$3665,MATCH(INDEX(Zeiterfassung!$K$6:$K$3665,$K2066),Zeiterfassung!$K$6:$K$3665,0))))</f>
        <v/>
      </c>
      <c r="K2066">
        <f>IFERROR(AGGREGATE(15,6,(ROW(Zeiterfassung!$D$6:$D$3665)-ROW(Zeiterfassung!$D$6)+1)/(Zeiterfassung!$D$6:$D$3665&lt;&gt;""),2061),"")</f>
        <v/>
      </c>
    </row>
    <row r="2067" ht="20" customHeight="1">
      <c r="A2067" s="183">
        <f>IF($K2067="","",WEEKNUM(INDEX(Zeiterfassung!$K$6:$K$3665,$K2067),21))</f>
        <v/>
      </c>
      <c r="B2067" s="184">
        <f>IF($K2067="","",INDEX(Zeiterfassung!$K$6:$K$3665,$K2067))</f>
        <v/>
      </c>
      <c r="C2067" s="185">
        <f>IF($K2067="","",INDEX(Zeiterfassung!$K$6:$K$3665,$K2067))</f>
        <v/>
      </c>
      <c r="D2067" s="186">
        <f>IF($K2067="","",INDEX(Zeiterfassung!$D$6:$D$3665,$K2067))</f>
        <v/>
      </c>
      <c r="E2067" s="186">
        <f>IF($K2067="","",INDEX(Zeiterfassung!$E$6:$E$3665,$K2067))</f>
        <v/>
      </c>
      <c r="F2067" s="187">
        <f>IF($K2067="","",INDEX(Zeiterfassung!$F$6:$F$3665,$K2067))</f>
        <v/>
      </c>
      <c r="G2067" s="187">
        <f>IF($K2067="","",INDEX(Zeiterfassung!$G$6:$G$3665,$K2067))</f>
        <v/>
      </c>
      <c r="H2067" s="188">
        <f>IF($K2067="","",INDEX(Zeiterfassung!$H$6:$H$3665,$K2067))</f>
        <v/>
      </c>
      <c r="I2067" s="335">
        <f>IF(B2067=B2066,"",IF($K2067="","",INDEX(Zeiterfassung!$I$6:$I$3665,MATCH(INDEX(Zeiterfassung!$K$6:$K$3665,$K2067),Zeiterfassung!$K$6:$K$3665,0))))</f>
        <v/>
      </c>
      <c r="J2067" s="335">
        <f>IF(B2067=B2066,"",IF($K2067="","",INDEX(Zeiterfassung!$J$6:$J$3665,MATCH(INDEX(Zeiterfassung!$K$6:$K$3665,$K2067),Zeiterfassung!$K$6:$K$3665,0))))</f>
        <v/>
      </c>
      <c r="K2067">
        <f>IFERROR(AGGREGATE(15,6,(ROW(Zeiterfassung!$D$6:$D$3665)-ROW(Zeiterfassung!$D$6)+1)/(Zeiterfassung!$D$6:$D$3665&lt;&gt;""),2062),"")</f>
        <v/>
      </c>
    </row>
    <row r="2068" ht="20" customHeight="1">
      <c r="A2068" s="183">
        <f>IF($K2068="","",WEEKNUM(INDEX(Zeiterfassung!$K$6:$K$3665,$K2068),21))</f>
        <v/>
      </c>
      <c r="B2068" s="184">
        <f>IF($K2068="","",INDEX(Zeiterfassung!$K$6:$K$3665,$K2068))</f>
        <v/>
      </c>
      <c r="C2068" s="185">
        <f>IF($K2068="","",INDEX(Zeiterfassung!$K$6:$K$3665,$K2068))</f>
        <v/>
      </c>
      <c r="D2068" s="186">
        <f>IF($K2068="","",INDEX(Zeiterfassung!$D$6:$D$3665,$K2068))</f>
        <v/>
      </c>
      <c r="E2068" s="186">
        <f>IF($K2068="","",INDEX(Zeiterfassung!$E$6:$E$3665,$K2068))</f>
        <v/>
      </c>
      <c r="F2068" s="187">
        <f>IF($K2068="","",INDEX(Zeiterfassung!$F$6:$F$3665,$K2068))</f>
        <v/>
      </c>
      <c r="G2068" s="187">
        <f>IF($K2068="","",INDEX(Zeiterfassung!$G$6:$G$3665,$K2068))</f>
        <v/>
      </c>
      <c r="H2068" s="188">
        <f>IF($K2068="","",INDEX(Zeiterfassung!$H$6:$H$3665,$K2068))</f>
        <v/>
      </c>
      <c r="I2068" s="335">
        <f>IF(B2068=B2067,"",IF($K2068="","",INDEX(Zeiterfassung!$I$6:$I$3665,MATCH(INDEX(Zeiterfassung!$K$6:$K$3665,$K2068),Zeiterfassung!$K$6:$K$3665,0))))</f>
        <v/>
      </c>
      <c r="J2068" s="335">
        <f>IF(B2068=B2067,"",IF($K2068="","",INDEX(Zeiterfassung!$J$6:$J$3665,MATCH(INDEX(Zeiterfassung!$K$6:$K$3665,$K2068),Zeiterfassung!$K$6:$K$3665,0))))</f>
        <v/>
      </c>
      <c r="K2068">
        <f>IFERROR(AGGREGATE(15,6,(ROW(Zeiterfassung!$D$6:$D$3665)-ROW(Zeiterfassung!$D$6)+1)/(Zeiterfassung!$D$6:$D$3665&lt;&gt;""),2063),"")</f>
        <v/>
      </c>
    </row>
    <row r="2069" ht="20" customHeight="1">
      <c r="A2069" s="183">
        <f>IF($K2069="","",WEEKNUM(INDEX(Zeiterfassung!$K$6:$K$3665,$K2069),21))</f>
        <v/>
      </c>
      <c r="B2069" s="184">
        <f>IF($K2069="","",INDEX(Zeiterfassung!$K$6:$K$3665,$K2069))</f>
        <v/>
      </c>
      <c r="C2069" s="185">
        <f>IF($K2069="","",INDEX(Zeiterfassung!$K$6:$K$3665,$K2069))</f>
        <v/>
      </c>
      <c r="D2069" s="186">
        <f>IF($K2069="","",INDEX(Zeiterfassung!$D$6:$D$3665,$K2069))</f>
        <v/>
      </c>
      <c r="E2069" s="186">
        <f>IF($K2069="","",INDEX(Zeiterfassung!$E$6:$E$3665,$K2069))</f>
        <v/>
      </c>
      <c r="F2069" s="187">
        <f>IF($K2069="","",INDEX(Zeiterfassung!$F$6:$F$3665,$K2069))</f>
        <v/>
      </c>
      <c r="G2069" s="187">
        <f>IF($K2069="","",INDEX(Zeiterfassung!$G$6:$G$3665,$K2069))</f>
        <v/>
      </c>
      <c r="H2069" s="188">
        <f>IF($K2069="","",INDEX(Zeiterfassung!$H$6:$H$3665,$K2069))</f>
        <v/>
      </c>
      <c r="I2069" s="335">
        <f>IF(B2069=B2068,"",IF($K2069="","",INDEX(Zeiterfassung!$I$6:$I$3665,MATCH(INDEX(Zeiterfassung!$K$6:$K$3665,$K2069),Zeiterfassung!$K$6:$K$3665,0))))</f>
        <v/>
      </c>
      <c r="J2069" s="335">
        <f>IF(B2069=B2068,"",IF($K2069="","",INDEX(Zeiterfassung!$J$6:$J$3665,MATCH(INDEX(Zeiterfassung!$K$6:$K$3665,$K2069),Zeiterfassung!$K$6:$K$3665,0))))</f>
        <v/>
      </c>
      <c r="K2069">
        <f>IFERROR(AGGREGATE(15,6,(ROW(Zeiterfassung!$D$6:$D$3665)-ROW(Zeiterfassung!$D$6)+1)/(Zeiterfassung!$D$6:$D$3665&lt;&gt;""),2064),"")</f>
        <v/>
      </c>
    </row>
    <row r="2070" ht="20" customHeight="1">
      <c r="A2070" s="183">
        <f>IF($K2070="","",WEEKNUM(INDEX(Zeiterfassung!$K$6:$K$3665,$K2070),21))</f>
        <v/>
      </c>
      <c r="B2070" s="184">
        <f>IF($K2070="","",INDEX(Zeiterfassung!$K$6:$K$3665,$K2070))</f>
        <v/>
      </c>
      <c r="C2070" s="185">
        <f>IF($K2070="","",INDEX(Zeiterfassung!$K$6:$K$3665,$K2070))</f>
        <v/>
      </c>
      <c r="D2070" s="186">
        <f>IF($K2070="","",INDEX(Zeiterfassung!$D$6:$D$3665,$K2070))</f>
        <v/>
      </c>
      <c r="E2070" s="186">
        <f>IF($K2070="","",INDEX(Zeiterfassung!$E$6:$E$3665,$K2070))</f>
        <v/>
      </c>
      <c r="F2070" s="187">
        <f>IF($K2070="","",INDEX(Zeiterfassung!$F$6:$F$3665,$K2070))</f>
        <v/>
      </c>
      <c r="G2070" s="187">
        <f>IF($K2070="","",INDEX(Zeiterfassung!$G$6:$G$3665,$K2070))</f>
        <v/>
      </c>
      <c r="H2070" s="188">
        <f>IF($K2070="","",INDEX(Zeiterfassung!$H$6:$H$3665,$K2070))</f>
        <v/>
      </c>
      <c r="I2070" s="335">
        <f>IF(B2070=B2069,"",IF($K2070="","",INDEX(Zeiterfassung!$I$6:$I$3665,MATCH(INDEX(Zeiterfassung!$K$6:$K$3665,$K2070),Zeiterfassung!$K$6:$K$3665,0))))</f>
        <v/>
      </c>
      <c r="J2070" s="335">
        <f>IF(B2070=B2069,"",IF($K2070="","",INDEX(Zeiterfassung!$J$6:$J$3665,MATCH(INDEX(Zeiterfassung!$K$6:$K$3665,$K2070),Zeiterfassung!$K$6:$K$3665,0))))</f>
        <v/>
      </c>
      <c r="K2070">
        <f>IFERROR(AGGREGATE(15,6,(ROW(Zeiterfassung!$D$6:$D$3665)-ROW(Zeiterfassung!$D$6)+1)/(Zeiterfassung!$D$6:$D$3665&lt;&gt;""),2065),"")</f>
        <v/>
      </c>
    </row>
    <row r="2071" ht="20" customHeight="1">
      <c r="A2071" s="183">
        <f>IF($K2071="","",WEEKNUM(INDEX(Zeiterfassung!$K$6:$K$3665,$K2071),21))</f>
        <v/>
      </c>
      <c r="B2071" s="184">
        <f>IF($K2071="","",INDEX(Zeiterfassung!$K$6:$K$3665,$K2071))</f>
        <v/>
      </c>
      <c r="C2071" s="185">
        <f>IF($K2071="","",INDEX(Zeiterfassung!$K$6:$K$3665,$K2071))</f>
        <v/>
      </c>
      <c r="D2071" s="186">
        <f>IF($K2071="","",INDEX(Zeiterfassung!$D$6:$D$3665,$K2071))</f>
        <v/>
      </c>
      <c r="E2071" s="186">
        <f>IF($K2071="","",INDEX(Zeiterfassung!$E$6:$E$3665,$K2071))</f>
        <v/>
      </c>
      <c r="F2071" s="187">
        <f>IF($K2071="","",INDEX(Zeiterfassung!$F$6:$F$3665,$K2071))</f>
        <v/>
      </c>
      <c r="G2071" s="187">
        <f>IF($K2071="","",INDEX(Zeiterfassung!$G$6:$G$3665,$K2071))</f>
        <v/>
      </c>
      <c r="H2071" s="188">
        <f>IF($K2071="","",INDEX(Zeiterfassung!$H$6:$H$3665,$K2071))</f>
        <v/>
      </c>
      <c r="I2071" s="335">
        <f>IF(B2071=B2070,"",IF($K2071="","",INDEX(Zeiterfassung!$I$6:$I$3665,MATCH(INDEX(Zeiterfassung!$K$6:$K$3665,$K2071),Zeiterfassung!$K$6:$K$3665,0))))</f>
        <v/>
      </c>
      <c r="J2071" s="335">
        <f>IF(B2071=B2070,"",IF($K2071="","",INDEX(Zeiterfassung!$J$6:$J$3665,MATCH(INDEX(Zeiterfassung!$K$6:$K$3665,$K2071),Zeiterfassung!$K$6:$K$3665,0))))</f>
        <v/>
      </c>
      <c r="K2071">
        <f>IFERROR(AGGREGATE(15,6,(ROW(Zeiterfassung!$D$6:$D$3665)-ROW(Zeiterfassung!$D$6)+1)/(Zeiterfassung!$D$6:$D$3665&lt;&gt;""),2066),"")</f>
        <v/>
      </c>
    </row>
    <row r="2072" ht="20" customHeight="1">
      <c r="A2072" s="183">
        <f>IF($K2072="","",WEEKNUM(INDEX(Zeiterfassung!$K$6:$K$3665,$K2072),21))</f>
        <v/>
      </c>
      <c r="B2072" s="184">
        <f>IF($K2072="","",INDEX(Zeiterfassung!$K$6:$K$3665,$K2072))</f>
        <v/>
      </c>
      <c r="C2072" s="185">
        <f>IF($K2072="","",INDEX(Zeiterfassung!$K$6:$K$3665,$K2072))</f>
        <v/>
      </c>
      <c r="D2072" s="186">
        <f>IF($K2072="","",INDEX(Zeiterfassung!$D$6:$D$3665,$K2072))</f>
        <v/>
      </c>
      <c r="E2072" s="186">
        <f>IF($K2072="","",INDEX(Zeiterfassung!$E$6:$E$3665,$K2072))</f>
        <v/>
      </c>
      <c r="F2072" s="187">
        <f>IF($K2072="","",INDEX(Zeiterfassung!$F$6:$F$3665,$K2072))</f>
        <v/>
      </c>
      <c r="G2072" s="187">
        <f>IF($K2072="","",INDEX(Zeiterfassung!$G$6:$G$3665,$K2072))</f>
        <v/>
      </c>
      <c r="H2072" s="188">
        <f>IF($K2072="","",INDEX(Zeiterfassung!$H$6:$H$3665,$K2072))</f>
        <v/>
      </c>
      <c r="I2072" s="335">
        <f>IF(B2072=B2071,"",IF($K2072="","",INDEX(Zeiterfassung!$I$6:$I$3665,MATCH(INDEX(Zeiterfassung!$K$6:$K$3665,$K2072),Zeiterfassung!$K$6:$K$3665,0))))</f>
        <v/>
      </c>
      <c r="J2072" s="335">
        <f>IF(B2072=B2071,"",IF($K2072="","",INDEX(Zeiterfassung!$J$6:$J$3665,MATCH(INDEX(Zeiterfassung!$K$6:$K$3665,$K2072),Zeiterfassung!$K$6:$K$3665,0))))</f>
        <v/>
      </c>
      <c r="K2072">
        <f>IFERROR(AGGREGATE(15,6,(ROW(Zeiterfassung!$D$6:$D$3665)-ROW(Zeiterfassung!$D$6)+1)/(Zeiterfassung!$D$6:$D$3665&lt;&gt;""),2067),"")</f>
        <v/>
      </c>
    </row>
    <row r="2073" ht="20" customHeight="1">
      <c r="A2073" s="183">
        <f>IF($K2073="","",WEEKNUM(INDEX(Zeiterfassung!$K$6:$K$3665,$K2073),21))</f>
        <v/>
      </c>
      <c r="B2073" s="184">
        <f>IF($K2073="","",INDEX(Zeiterfassung!$K$6:$K$3665,$K2073))</f>
        <v/>
      </c>
      <c r="C2073" s="185">
        <f>IF($K2073="","",INDEX(Zeiterfassung!$K$6:$K$3665,$K2073))</f>
        <v/>
      </c>
      <c r="D2073" s="186">
        <f>IF($K2073="","",INDEX(Zeiterfassung!$D$6:$D$3665,$K2073))</f>
        <v/>
      </c>
      <c r="E2073" s="186">
        <f>IF($K2073="","",INDEX(Zeiterfassung!$E$6:$E$3665,$K2073))</f>
        <v/>
      </c>
      <c r="F2073" s="187">
        <f>IF($K2073="","",INDEX(Zeiterfassung!$F$6:$F$3665,$K2073))</f>
        <v/>
      </c>
      <c r="G2073" s="187">
        <f>IF($K2073="","",INDEX(Zeiterfassung!$G$6:$G$3665,$K2073))</f>
        <v/>
      </c>
      <c r="H2073" s="188">
        <f>IF($K2073="","",INDEX(Zeiterfassung!$H$6:$H$3665,$K2073))</f>
        <v/>
      </c>
      <c r="I2073" s="335">
        <f>IF(B2073=B2072,"",IF($K2073="","",INDEX(Zeiterfassung!$I$6:$I$3665,MATCH(INDEX(Zeiterfassung!$K$6:$K$3665,$K2073),Zeiterfassung!$K$6:$K$3665,0))))</f>
        <v/>
      </c>
      <c r="J2073" s="335">
        <f>IF(B2073=B2072,"",IF($K2073="","",INDEX(Zeiterfassung!$J$6:$J$3665,MATCH(INDEX(Zeiterfassung!$K$6:$K$3665,$K2073),Zeiterfassung!$K$6:$K$3665,0))))</f>
        <v/>
      </c>
      <c r="K2073">
        <f>IFERROR(AGGREGATE(15,6,(ROW(Zeiterfassung!$D$6:$D$3665)-ROW(Zeiterfassung!$D$6)+1)/(Zeiterfassung!$D$6:$D$3665&lt;&gt;""),2068),"")</f>
        <v/>
      </c>
    </row>
    <row r="2074" ht="20" customHeight="1">
      <c r="A2074" s="183">
        <f>IF($K2074="","",WEEKNUM(INDEX(Zeiterfassung!$K$6:$K$3665,$K2074),21))</f>
        <v/>
      </c>
      <c r="B2074" s="184">
        <f>IF($K2074="","",INDEX(Zeiterfassung!$K$6:$K$3665,$K2074))</f>
        <v/>
      </c>
      <c r="C2074" s="185">
        <f>IF($K2074="","",INDEX(Zeiterfassung!$K$6:$K$3665,$K2074))</f>
        <v/>
      </c>
      <c r="D2074" s="186">
        <f>IF($K2074="","",INDEX(Zeiterfassung!$D$6:$D$3665,$K2074))</f>
        <v/>
      </c>
      <c r="E2074" s="186">
        <f>IF($K2074="","",INDEX(Zeiterfassung!$E$6:$E$3665,$K2074))</f>
        <v/>
      </c>
      <c r="F2074" s="187">
        <f>IF($K2074="","",INDEX(Zeiterfassung!$F$6:$F$3665,$K2074))</f>
        <v/>
      </c>
      <c r="G2074" s="187">
        <f>IF($K2074="","",INDEX(Zeiterfassung!$G$6:$G$3665,$K2074))</f>
        <v/>
      </c>
      <c r="H2074" s="188">
        <f>IF($K2074="","",INDEX(Zeiterfassung!$H$6:$H$3665,$K2074))</f>
        <v/>
      </c>
      <c r="I2074" s="335">
        <f>IF(B2074=B2073,"",IF($K2074="","",INDEX(Zeiterfassung!$I$6:$I$3665,MATCH(INDEX(Zeiterfassung!$K$6:$K$3665,$K2074),Zeiterfassung!$K$6:$K$3665,0))))</f>
        <v/>
      </c>
      <c r="J2074" s="335">
        <f>IF(B2074=B2073,"",IF($K2074="","",INDEX(Zeiterfassung!$J$6:$J$3665,MATCH(INDEX(Zeiterfassung!$K$6:$K$3665,$K2074),Zeiterfassung!$K$6:$K$3665,0))))</f>
        <v/>
      </c>
      <c r="K2074">
        <f>IFERROR(AGGREGATE(15,6,(ROW(Zeiterfassung!$D$6:$D$3665)-ROW(Zeiterfassung!$D$6)+1)/(Zeiterfassung!$D$6:$D$3665&lt;&gt;""),2069),"")</f>
        <v/>
      </c>
    </row>
    <row r="2075" ht="20" customHeight="1">
      <c r="A2075" s="183">
        <f>IF($K2075="","",WEEKNUM(INDEX(Zeiterfassung!$K$6:$K$3665,$K2075),21))</f>
        <v/>
      </c>
      <c r="B2075" s="184">
        <f>IF($K2075="","",INDEX(Zeiterfassung!$K$6:$K$3665,$K2075))</f>
        <v/>
      </c>
      <c r="C2075" s="185">
        <f>IF($K2075="","",INDEX(Zeiterfassung!$K$6:$K$3665,$K2075))</f>
        <v/>
      </c>
      <c r="D2075" s="186">
        <f>IF($K2075="","",INDEX(Zeiterfassung!$D$6:$D$3665,$K2075))</f>
        <v/>
      </c>
      <c r="E2075" s="186">
        <f>IF($K2075="","",INDEX(Zeiterfassung!$E$6:$E$3665,$K2075))</f>
        <v/>
      </c>
      <c r="F2075" s="187">
        <f>IF($K2075="","",INDEX(Zeiterfassung!$F$6:$F$3665,$K2075))</f>
        <v/>
      </c>
      <c r="G2075" s="187">
        <f>IF($K2075="","",INDEX(Zeiterfassung!$G$6:$G$3665,$K2075))</f>
        <v/>
      </c>
      <c r="H2075" s="188">
        <f>IF($K2075="","",INDEX(Zeiterfassung!$H$6:$H$3665,$K2075))</f>
        <v/>
      </c>
      <c r="I2075" s="335">
        <f>IF(B2075=B2074,"",IF($K2075="","",INDEX(Zeiterfassung!$I$6:$I$3665,MATCH(INDEX(Zeiterfassung!$K$6:$K$3665,$K2075),Zeiterfassung!$K$6:$K$3665,0))))</f>
        <v/>
      </c>
      <c r="J2075" s="335">
        <f>IF(B2075=B2074,"",IF($K2075="","",INDEX(Zeiterfassung!$J$6:$J$3665,MATCH(INDEX(Zeiterfassung!$K$6:$K$3665,$K2075),Zeiterfassung!$K$6:$K$3665,0))))</f>
        <v/>
      </c>
      <c r="K2075">
        <f>IFERROR(AGGREGATE(15,6,(ROW(Zeiterfassung!$D$6:$D$3665)-ROW(Zeiterfassung!$D$6)+1)/(Zeiterfassung!$D$6:$D$3665&lt;&gt;""),2070),"")</f>
        <v/>
      </c>
    </row>
    <row r="2076" ht="20" customHeight="1">
      <c r="A2076" s="183">
        <f>IF($K2076="","",WEEKNUM(INDEX(Zeiterfassung!$K$6:$K$3665,$K2076),21))</f>
        <v/>
      </c>
      <c r="B2076" s="184">
        <f>IF($K2076="","",INDEX(Zeiterfassung!$K$6:$K$3665,$K2076))</f>
        <v/>
      </c>
      <c r="C2076" s="185">
        <f>IF($K2076="","",INDEX(Zeiterfassung!$K$6:$K$3665,$K2076))</f>
        <v/>
      </c>
      <c r="D2076" s="186">
        <f>IF($K2076="","",INDEX(Zeiterfassung!$D$6:$D$3665,$K2076))</f>
        <v/>
      </c>
      <c r="E2076" s="186">
        <f>IF($K2076="","",INDEX(Zeiterfassung!$E$6:$E$3665,$K2076))</f>
        <v/>
      </c>
      <c r="F2076" s="187">
        <f>IF($K2076="","",INDEX(Zeiterfassung!$F$6:$F$3665,$K2076))</f>
        <v/>
      </c>
      <c r="G2076" s="187">
        <f>IF($K2076="","",INDEX(Zeiterfassung!$G$6:$G$3665,$K2076))</f>
        <v/>
      </c>
      <c r="H2076" s="188">
        <f>IF($K2076="","",INDEX(Zeiterfassung!$H$6:$H$3665,$K2076))</f>
        <v/>
      </c>
      <c r="I2076" s="335">
        <f>IF(B2076=B2075,"",IF($K2076="","",INDEX(Zeiterfassung!$I$6:$I$3665,MATCH(INDEX(Zeiterfassung!$K$6:$K$3665,$K2076),Zeiterfassung!$K$6:$K$3665,0))))</f>
        <v/>
      </c>
      <c r="J2076" s="335">
        <f>IF(B2076=B2075,"",IF($K2076="","",INDEX(Zeiterfassung!$J$6:$J$3665,MATCH(INDEX(Zeiterfassung!$K$6:$K$3665,$K2076),Zeiterfassung!$K$6:$K$3665,0))))</f>
        <v/>
      </c>
      <c r="K2076">
        <f>IFERROR(AGGREGATE(15,6,(ROW(Zeiterfassung!$D$6:$D$3665)-ROW(Zeiterfassung!$D$6)+1)/(Zeiterfassung!$D$6:$D$3665&lt;&gt;""),2071),"")</f>
        <v/>
      </c>
    </row>
    <row r="2077" ht="20" customHeight="1">
      <c r="A2077" s="183">
        <f>IF($K2077="","",WEEKNUM(INDEX(Zeiterfassung!$K$6:$K$3665,$K2077),21))</f>
        <v/>
      </c>
      <c r="B2077" s="184">
        <f>IF($K2077="","",INDEX(Zeiterfassung!$K$6:$K$3665,$K2077))</f>
        <v/>
      </c>
      <c r="C2077" s="185">
        <f>IF($K2077="","",INDEX(Zeiterfassung!$K$6:$K$3665,$K2077))</f>
        <v/>
      </c>
      <c r="D2077" s="186">
        <f>IF($K2077="","",INDEX(Zeiterfassung!$D$6:$D$3665,$K2077))</f>
        <v/>
      </c>
      <c r="E2077" s="186">
        <f>IF($K2077="","",INDEX(Zeiterfassung!$E$6:$E$3665,$K2077))</f>
        <v/>
      </c>
      <c r="F2077" s="187">
        <f>IF($K2077="","",INDEX(Zeiterfassung!$F$6:$F$3665,$K2077))</f>
        <v/>
      </c>
      <c r="G2077" s="187">
        <f>IF($K2077="","",INDEX(Zeiterfassung!$G$6:$G$3665,$K2077))</f>
        <v/>
      </c>
      <c r="H2077" s="188">
        <f>IF($K2077="","",INDEX(Zeiterfassung!$H$6:$H$3665,$K2077))</f>
        <v/>
      </c>
      <c r="I2077" s="335">
        <f>IF(B2077=B2076,"",IF($K2077="","",INDEX(Zeiterfassung!$I$6:$I$3665,MATCH(INDEX(Zeiterfassung!$K$6:$K$3665,$K2077),Zeiterfassung!$K$6:$K$3665,0))))</f>
        <v/>
      </c>
      <c r="J2077" s="335">
        <f>IF(B2077=B2076,"",IF($K2077="","",INDEX(Zeiterfassung!$J$6:$J$3665,MATCH(INDEX(Zeiterfassung!$K$6:$K$3665,$K2077),Zeiterfassung!$K$6:$K$3665,0))))</f>
        <v/>
      </c>
      <c r="K2077">
        <f>IFERROR(AGGREGATE(15,6,(ROW(Zeiterfassung!$D$6:$D$3665)-ROW(Zeiterfassung!$D$6)+1)/(Zeiterfassung!$D$6:$D$3665&lt;&gt;""),2072),"")</f>
        <v/>
      </c>
    </row>
    <row r="2078" ht="20" customHeight="1">
      <c r="A2078" s="183">
        <f>IF($K2078="","",WEEKNUM(INDEX(Zeiterfassung!$K$6:$K$3665,$K2078),21))</f>
        <v/>
      </c>
      <c r="B2078" s="184">
        <f>IF($K2078="","",INDEX(Zeiterfassung!$K$6:$K$3665,$K2078))</f>
        <v/>
      </c>
      <c r="C2078" s="185">
        <f>IF($K2078="","",INDEX(Zeiterfassung!$K$6:$K$3665,$K2078))</f>
        <v/>
      </c>
      <c r="D2078" s="186">
        <f>IF($K2078="","",INDEX(Zeiterfassung!$D$6:$D$3665,$K2078))</f>
        <v/>
      </c>
      <c r="E2078" s="186">
        <f>IF($K2078="","",INDEX(Zeiterfassung!$E$6:$E$3665,$K2078))</f>
        <v/>
      </c>
      <c r="F2078" s="187">
        <f>IF($K2078="","",INDEX(Zeiterfassung!$F$6:$F$3665,$K2078))</f>
        <v/>
      </c>
      <c r="G2078" s="187">
        <f>IF($K2078="","",INDEX(Zeiterfassung!$G$6:$G$3665,$K2078))</f>
        <v/>
      </c>
      <c r="H2078" s="188">
        <f>IF($K2078="","",INDEX(Zeiterfassung!$H$6:$H$3665,$K2078))</f>
        <v/>
      </c>
      <c r="I2078" s="335">
        <f>IF(B2078=B2077,"",IF($K2078="","",INDEX(Zeiterfassung!$I$6:$I$3665,MATCH(INDEX(Zeiterfassung!$K$6:$K$3665,$K2078),Zeiterfassung!$K$6:$K$3665,0))))</f>
        <v/>
      </c>
      <c r="J2078" s="335">
        <f>IF(B2078=B2077,"",IF($K2078="","",INDEX(Zeiterfassung!$J$6:$J$3665,MATCH(INDEX(Zeiterfassung!$K$6:$K$3665,$K2078),Zeiterfassung!$K$6:$K$3665,0))))</f>
        <v/>
      </c>
      <c r="K2078">
        <f>IFERROR(AGGREGATE(15,6,(ROW(Zeiterfassung!$D$6:$D$3665)-ROW(Zeiterfassung!$D$6)+1)/(Zeiterfassung!$D$6:$D$3665&lt;&gt;""),2073),"")</f>
        <v/>
      </c>
    </row>
    <row r="2079" ht="20" customHeight="1">
      <c r="A2079" s="183">
        <f>IF($K2079="","",WEEKNUM(INDEX(Zeiterfassung!$K$6:$K$3665,$K2079),21))</f>
        <v/>
      </c>
      <c r="B2079" s="184">
        <f>IF($K2079="","",INDEX(Zeiterfassung!$K$6:$K$3665,$K2079))</f>
        <v/>
      </c>
      <c r="C2079" s="185">
        <f>IF($K2079="","",INDEX(Zeiterfassung!$K$6:$K$3665,$K2079))</f>
        <v/>
      </c>
      <c r="D2079" s="186">
        <f>IF($K2079="","",INDEX(Zeiterfassung!$D$6:$D$3665,$K2079))</f>
        <v/>
      </c>
      <c r="E2079" s="186">
        <f>IF($K2079="","",INDEX(Zeiterfassung!$E$6:$E$3665,$K2079))</f>
        <v/>
      </c>
      <c r="F2079" s="187">
        <f>IF($K2079="","",INDEX(Zeiterfassung!$F$6:$F$3665,$K2079))</f>
        <v/>
      </c>
      <c r="G2079" s="187">
        <f>IF($K2079="","",INDEX(Zeiterfassung!$G$6:$G$3665,$K2079))</f>
        <v/>
      </c>
      <c r="H2079" s="188">
        <f>IF($K2079="","",INDEX(Zeiterfassung!$H$6:$H$3665,$K2079))</f>
        <v/>
      </c>
      <c r="I2079" s="335">
        <f>IF(B2079=B2078,"",IF($K2079="","",INDEX(Zeiterfassung!$I$6:$I$3665,MATCH(INDEX(Zeiterfassung!$K$6:$K$3665,$K2079),Zeiterfassung!$K$6:$K$3665,0))))</f>
        <v/>
      </c>
      <c r="J2079" s="335">
        <f>IF(B2079=B2078,"",IF($K2079="","",INDEX(Zeiterfassung!$J$6:$J$3665,MATCH(INDEX(Zeiterfassung!$K$6:$K$3665,$K2079),Zeiterfassung!$K$6:$K$3665,0))))</f>
        <v/>
      </c>
      <c r="K2079">
        <f>IFERROR(AGGREGATE(15,6,(ROW(Zeiterfassung!$D$6:$D$3665)-ROW(Zeiterfassung!$D$6)+1)/(Zeiterfassung!$D$6:$D$3665&lt;&gt;""),2074),"")</f>
        <v/>
      </c>
    </row>
    <row r="2080" ht="20" customHeight="1">
      <c r="A2080" s="183">
        <f>IF($K2080="","",WEEKNUM(INDEX(Zeiterfassung!$K$6:$K$3665,$K2080),21))</f>
        <v/>
      </c>
      <c r="B2080" s="184">
        <f>IF($K2080="","",INDEX(Zeiterfassung!$K$6:$K$3665,$K2080))</f>
        <v/>
      </c>
      <c r="C2080" s="185">
        <f>IF($K2080="","",INDEX(Zeiterfassung!$K$6:$K$3665,$K2080))</f>
        <v/>
      </c>
      <c r="D2080" s="186">
        <f>IF($K2080="","",INDEX(Zeiterfassung!$D$6:$D$3665,$K2080))</f>
        <v/>
      </c>
      <c r="E2080" s="186">
        <f>IF($K2080="","",INDEX(Zeiterfassung!$E$6:$E$3665,$K2080))</f>
        <v/>
      </c>
      <c r="F2080" s="187">
        <f>IF($K2080="","",INDEX(Zeiterfassung!$F$6:$F$3665,$K2080))</f>
        <v/>
      </c>
      <c r="G2080" s="187">
        <f>IF($K2080="","",INDEX(Zeiterfassung!$G$6:$G$3665,$K2080))</f>
        <v/>
      </c>
      <c r="H2080" s="188">
        <f>IF($K2080="","",INDEX(Zeiterfassung!$H$6:$H$3665,$K2080))</f>
        <v/>
      </c>
      <c r="I2080" s="335">
        <f>IF(B2080=B2079,"",IF($K2080="","",INDEX(Zeiterfassung!$I$6:$I$3665,MATCH(INDEX(Zeiterfassung!$K$6:$K$3665,$K2080),Zeiterfassung!$K$6:$K$3665,0))))</f>
        <v/>
      </c>
      <c r="J2080" s="335">
        <f>IF(B2080=B2079,"",IF($K2080="","",INDEX(Zeiterfassung!$J$6:$J$3665,MATCH(INDEX(Zeiterfassung!$K$6:$K$3665,$K2080),Zeiterfassung!$K$6:$K$3665,0))))</f>
        <v/>
      </c>
      <c r="K2080">
        <f>IFERROR(AGGREGATE(15,6,(ROW(Zeiterfassung!$D$6:$D$3665)-ROW(Zeiterfassung!$D$6)+1)/(Zeiterfassung!$D$6:$D$3665&lt;&gt;""),2075),"")</f>
        <v/>
      </c>
    </row>
    <row r="2081" ht="20" customHeight="1">
      <c r="A2081" s="183">
        <f>IF($K2081="","",WEEKNUM(INDEX(Zeiterfassung!$K$6:$K$3665,$K2081),21))</f>
        <v/>
      </c>
      <c r="B2081" s="184">
        <f>IF($K2081="","",INDEX(Zeiterfassung!$K$6:$K$3665,$K2081))</f>
        <v/>
      </c>
      <c r="C2081" s="185">
        <f>IF($K2081="","",INDEX(Zeiterfassung!$K$6:$K$3665,$K2081))</f>
        <v/>
      </c>
      <c r="D2081" s="186">
        <f>IF($K2081="","",INDEX(Zeiterfassung!$D$6:$D$3665,$K2081))</f>
        <v/>
      </c>
      <c r="E2081" s="186">
        <f>IF($K2081="","",INDEX(Zeiterfassung!$E$6:$E$3665,$K2081))</f>
        <v/>
      </c>
      <c r="F2081" s="187">
        <f>IF($K2081="","",INDEX(Zeiterfassung!$F$6:$F$3665,$K2081))</f>
        <v/>
      </c>
      <c r="G2081" s="187">
        <f>IF($K2081="","",INDEX(Zeiterfassung!$G$6:$G$3665,$K2081))</f>
        <v/>
      </c>
      <c r="H2081" s="188">
        <f>IF($K2081="","",INDEX(Zeiterfassung!$H$6:$H$3665,$K2081))</f>
        <v/>
      </c>
      <c r="I2081" s="335">
        <f>IF(B2081=B2080,"",IF($K2081="","",INDEX(Zeiterfassung!$I$6:$I$3665,MATCH(INDEX(Zeiterfassung!$K$6:$K$3665,$K2081),Zeiterfassung!$K$6:$K$3665,0))))</f>
        <v/>
      </c>
      <c r="J2081" s="335">
        <f>IF(B2081=B2080,"",IF($K2081="","",INDEX(Zeiterfassung!$J$6:$J$3665,MATCH(INDEX(Zeiterfassung!$K$6:$K$3665,$K2081),Zeiterfassung!$K$6:$K$3665,0))))</f>
        <v/>
      </c>
      <c r="K2081">
        <f>IFERROR(AGGREGATE(15,6,(ROW(Zeiterfassung!$D$6:$D$3665)-ROW(Zeiterfassung!$D$6)+1)/(Zeiterfassung!$D$6:$D$3665&lt;&gt;""),2076),"")</f>
        <v/>
      </c>
    </row>
    <row r="2082" ht="20" customHeight="1">
      <c r="A2082" s="183">
        <f>IF($K2082="","",WEEKNUM(INDEX(Zeiterfassung!$K$6:$K$3665,$K2082),21))</f>
        <v/>
      </c>
      <c r="B2082" s="184">
        <f>IF($K2082="","",INDEX(Zeiterfassung!$K$6:$K$3665,$K2082))</f>
        <v/>
      </c>
      <c r="C2082" s="185">
        <f>IF($K2082="","",INDEX(Zeiterfassung!$K$6:$K$3665,$K2082))</f>
        <v/>
      </c>
      <c r="D2082" s="186">
        <f>IF($K2082="","",INDEX(Zeiterfassung!$D$6:$D$3665,$K2082))</f>
        <v/>
      </c>
      <c r="E2082" s="186">
        <f>IF($K2082="","",INDEX(Zeiterfassung!$E$6:$E$3665,$K2082))</f>
        <v/>
      </c>
      <c r="F2082" s="187">
        <f>IF($K2082="","",INDEX(Zeiterfassung!$F$6:$F$3665,$K2082))</f>
        <v/>
      </c>
      <c r="G2082" s="187">
        <f>IF($K2082="","",INDEX(Zeiterfassung!$G$6:$G$3665,$K2082))</f>
        <v/>
      </c>
      <c r="H2082" s="188">
        <f>IF($K2082="","",INDEX(Zeiterfassung!$H$6:$H$3665,$K2082))</f>
        <v/>
      </c>
      <c r="I2082" s="335">
        <f>IF(B2082=B2081,"",IF($K2082="","",INDEX(Zeiterfassung!$I$6:$I$3665,MATCH(INDEX(Zeiterfassung!$K$6:$K$3665,$K2082),Zeiterfassung!$K$6:$K$3665,0))))</f>
        <v/>
      </c>
      <c r="J2082" s="335">
        <f>IF(B2082=B2081,"",IF($K2082="","",INDEX(Zeiterfassung!$J$6:$J$3665,MATCH(INDEX(Zeiterfassung!$K$6:$K$3665,$K2082),Zeiterfassung!$K$6:$K$3665,0))))</f>
        <v/>
      </c>
      <c r="K2082">
        <f>IFERROR(AGGREGATE(15,6,(ROW(Zeiterfassung!$D$6:$D$3665)-ROW(Zeiterfassung!$D$6)+1)/(Zeiterfassung!$D$6:$D$3665&lt;&gt;""),2077),"")</f>
        <v/>
      </c>
    </row>
    <row r="2083" ht="20" customHeight="1">
      <c r="A2083" s="183">
        <f>IF($K2083="","",WEEKNUM(INDEX(Zeiterfassung!$K$6:$K$3665,$K2083),21))</f>
        <v/>
      </c>
      <c r="B2083" s="184">
        <f>IF($K2083="","",INDEX(Zeiterfassung!$K$6:$K$3665,$K2083))</f>
        <v/>
      </c>
      <c r="C2083" s="185">
        <f>IF($K2083="","",INDEX(Zeiterfassung!$K$6:$K$3665,$K2083))</f>
        <v/>
      </c>
      <c r="D2083" s="186">
        <f>IF($K2083="","",INDEX(Zeiterfassung!$D$6:$D$3665,$K2083))</f>
        <v/>
      </c>
      <c r="E2083" s="186">
        <f>IF($K2083="","",INDEX(Zeiterfassung!$E$6:$E$3665,$K2083))</f>
        <v/>
      </c>
      <c r="F2083" s="187">
        <f>IF($K2083="","",INDEX(Zeiterfassung!$F$6:$F$3665,$K2083))</f>
        <v/>
      </c>
      <c r="G2083" s="187">
        <f>IF($K2083="","",INDEX(Zeiterfassung!$G$6:$G$3665,$K2083))</f>
        <v/>
      </c>
      <c r="H2083" s="188">
        <f>IF($K2083="","",INDEX(Zeiterfassung!$H$6:$H$3665,$K2083))</f>
        <v/>
      </c>
      <c r="I2083" s="335">
        <f>IF(B2083=B2082,"",IF($K2083="","",INDEX(Zeiterfassung!$I$6:$I$3665,MATCH(INDEX(Zeiterfassung!$K$6:$K$3665,$K2083),Zeiterfassung!$K$6:$K$3665,0))))</f>
        <v/>
      </c>
      <c r="J2083" s="335">
        <f>IF(B2083=B2082,"",IF($K2083="","",INDEX(Zeiterfassung!$J$6:$J$3665,MATCH(INDEX(Zeiterfassung!$K$6:$K$3665,$K2083),Zeiterfassung!$K$6:$K$3665,0))))</f>
        <v/>
      </c>
      <c r="K2083">
        <f>IFERROR(AGGREGATE(15,6,(ROW(Zeiterfassung!$D$6:$D$3665)-ROW(Zeiterfassung!$D$6)+1)/(Zeiterfassung!$D$6:$D$3665&lt;&gt;""),2078),"")</f>
        <v/>
      </c>
    </row>
    <row r="2084" ht="20" customHeight="1">
      <c r="A2084" s="183">
        <f>IF($K2084="","",WEEKNUM(INDEX(Zeiterfassung!$K$6:$K$3665,$K2084),21))</f>
        <v/>
      </c>
      <c r="B2084" s="184">
        <f>IF($K2084="","",INDEX(Zeiterfassung!$K$6:$K$3665,$K2084))</f>
        <v/>
      </c>
      <c r="C2084" s="185">
        <f>IF($K2084="","",INDEX(Zeiterfassung!$K$6:$K$3665,$K2084))</f>
        <v/>
      </c>
      <c r="D2084" s="186">
        <f>IF($K2084="","",INDEX(Zeiterfassung!$D$6:$D$3665,$K2084))</f>
        <v/>
      </c>
      <c r="E2084" s="186">
        <f>IF($K2084="","",INDEX(Zeiterfassung!$E$6:$E$3665,$K2084))</f>
        <v/>
      </c>
      <c r="F2084" s="187">
        <f>IF($K2084="","",INDEX(Zeiterfassung!$F$6:$F$3665,$K2084))</f>
        <v/>
      </c>
      <c r="G2084" s="187">
        <f>IF($K2084="","",INDEX(Zeiterfassung!$G$6:$G$3665,$K2084))</f>
        <v/>
      </c>
      <c r="H2084" s="188">
        <f>IF($K2084="","",INDEX(Zeiterfassung!$H$6:$H$3665,$K2084))</f>
        <v/>
      </c>
      <c r="I2084" s="335">
        <f>IF(B2084=B2083,"",IF($K2084="","",INDEX(Zeiterfassung!$I$6:$I$3665,MATCH(INDEX(Zeiterfassung!$K$6:$K$3665,$K2084),Zeiterfassung!$K$6:$K$3665,0))))</f>
        <v/>
      </c>
      <c r="J2084" s="335">
        <f>IF(B2084=B2083,"",IF($K2084="","",INDEX(Zeiterfassung!$J$6:$J$3665,MATCH(INDEX(Zeiterfassung!$K$6:$K$3665,$K2084),Zeiterfassung!$K$6:$K$3665,0))))</f>
        <v/>
      </c>
      <c r="K2084">
        <f>IFERROR(AGGREGATE(15,6,(ROW(Zeiterfassung!$D$6:$D$3665)-ROW(Zeiterfassung!$D$6)+1)/(Zeiterfassung!$D$6:$D$3665&lt;&gt;""),2079),"")</f>
        <v/>
      </c>
    </row>
    <row r="2085" ht="20" customHeight="1">
      <c r="A2085" s="183">
        <f>IF($K2085="","",WEEKNUM(INDEX(Zeiterfassung!$K$6:$K$3665,$K2085),21))</f>
        <v/>
      </c>
      <c r="B2085" s="184">
        <f>IF($K2085="","",INDEX(Zeiterfassung!$K$6:$K$3665,$K2085))</f>
        <v/>
      </c>
      <c r="C2085" s="185">
        <f>IF($K2085="","",INDEX(Zeiterfassung!$K$6:$K$3665,$K2085))</f>
        <v/>
      </c>
      <c r="D2085" s="186">
        <f>IF($K2085="","",INDEX(Zeiterfassung!$D$6:$D$3665,$K2085))</f>
        <v/>
      </c>
      <c r="E2085" s="186">
        <f>IF($K2085="","",INDEX(Zeiterfassung!$E$6:$E$3665,$K2085))</f>
        <v/>
      </c>
      <c r="F2085" s="187">
        <f>IF($K2085="","",INDEX(Zeiterfassung!$F$6:$F$3665,$K2085))</f>
        <v/>
      </c>
      <c r="G2085" s="187">
        <f>IF($K2085="","",INDEX(Zeiterfassung!$G$6:$G$3665,$K2085))</f>
        <v/>
      </c>
      <c r="H2085" s="188">
        <f>IF($K2085="","",INDEX(Zeiterfassung!$H$6:$H$3665,$K2085))</f>
        <v/>
      </c>
      <c r="I2085" s="335">
        <f>IF(B2085=B2084,"",IF($K2085="","",INDEX(Zeiterfassung!$I$6:$I$3665,MATCH(INDEX(Zeiterfassung!$K$6:$K$3665,$K2085),Zeiterfassung!$K$6:$K$3665,0))))</f>
        <v/>
      </c>
      <c r="J2085" s="335">
        <f>IF(B2085=B2084,"",IF($K2085="","",INDEX(Zeiterfassung!$J$6:$J$3665,MATCH(INDEX(Zeiterfassung!$K$6:$K$3665,$K2085),Zeiterfassung!$K$6:$K$3665,0))))</f>
        <v/>
      </c>
      <c r="K2085">
        <f>IFERROR(AGGREGATE(15,6,(ROW(Zeiterfassung!$D$6:$D$3665)-ROW(Zeiterfassung!$D$6)+1)/(Zeiterfassung!$D$6:$D$3665&lt;&gt;""),2080),"")</f>
        <v/>
      </c>
    </row>
    <row r="2086" ht="20" customHeight="1">
      <c r="A2086" s="183">
        <f>IF($K2086="","",WEEKNUM(INDEX(Zeiterfassung!$K$6:$K$3665,$K2086),21))</f>
        <v/>
      </c>
      <c r="B2086" s="184">
        <f>IF($K2086="","",INDEX(Zeiterfassung!$K$6:$K$3665,$K2086))</f>
        <v/>
      </c>
      <c r="C2086" s="185">
        <f>IF($K2086="","",INDEX(Zeiterfassung!$K$6:$K$3665,$K2086))</f>
        <v/>
      </c>
      <c r="D2086" s="186">
        <f>IF($K2086="","",INDEX(Zeiterfassung!$D$6:$D$3665,$K2086))</f>
        <v/>
      </c>
      <c r="E2086" s="186">
        <f>IF($K2086="","",INDEX(Zeiterfassung!$E$6:$E$3665,$K2086))</f>
        <v/>
      </c>
      <c r="F2086" s="187">
        <f>IF($K2086="","",INDEX(Zeiterfassung!$F$6:$F$3665,$K2086))</f>
        <v/>
      </c>
      <c r="G2086" s="187">
        <f>IF($K2086="","",INDEX(Zeiterfassung!$G$6:$G$3665,$K2086))</f>
        <v/>
      </c>
      <c r="H2086" s="188">
        <f>IF($K2086="","",INDEX(Zeiterfassung!$H$6:$H$3665,$K2086))</f>
        <v/>
      </c>
      <c r="I2086" s="335">
        <f>IF(B2086=B2085,"",IF($K2086="","",INDEX(Zeiterfassung!$I$6:$I$3665,MATCH(INDEX(Zeiterfassung!$K$6:$K$3665,$K2086),Zeiterfassung!$K$6:$K$3665,0))))</f>
        <v/>
      </c>
      <c r="J2086" s="335">
        <f>IF(B2086=B2085,"",IF($K2086="","",INDEX(Zeiterfassung!$J$6:$J$3665,MATCH(INDEX(Zeiterfassung!$K$6:$K$3665,$K2086),Zeiterfassung!$K$6:$K$3665,0))))</f>
        <v/>
      </c>
      <c r="K2086">
        <f>IFERROR(AGGREGATE(15,6,(ROW(Zeiterfassung!$D$6:$D$3665)-ROW(Zeiterfassung!$D$6)+1)/(Zeiterfassung!$D$6:$D$3665&lt;&gt;""),2081),"")</f>
        <v/>
      </c>
    </row>
    <row r="2087" ht="20" customHeight="1">
      <c r="A2087" s="183">
        <f>IF($K2087="","",WEEKNUM(INDEX(Zeiterfassung!$K$6:$K$3665,$K2087),21))</f>
        <v/>
      </c>
      <c r="B2087" s="184">
        <f>IF($K2087="","",INDEX(Zeiterfassung!$K$6:$K$3665,$K2087))</f>
        <v/>
      </c>
      <c r="C2087" s="185">
        <f>IF($K2087="","",INDEX(Zeiterfassung!$K$6:$K$3665,$K2087))</f>
        <v/>
      </c>
      <c r="D2087" s="186">
        <f>IF($K2087="","",INDEX(Zeiterfassung!$D$6:$D$3665,$K2087))</f>
        <v/>
      </c>
      <c r="E2087" s="186">
        <f>IF($K2087="","",INDEX(Zeiterfassung!$E$6:$E$3665,$K2087))</f>
        <v/>
      </c>
      <c r="F2087" s="187">
        <f>IF($K2087="","",INDEX(Zeiterfassung!$F$6:$F$3665,$K2087))</f>
        <v/>
      </c>
      <c r="G2087" s="187">
        <f>IF($K2087="","",INDEX(Zeiterfassung!$G$6:$G$3665,$K2087))</f>
        <v/>
      </c>
      <c r="H2087" s="188">
        <f>IF($K2087="","",INDEX(Zeiterfassung!$H$6:$H$3665,$K2087))</f>
        <v/>
      </c>
      <c r="I2087" s="335">
        <f>IF(B2087=B2086,"",IF($K2087="","",INDEX(Zeiterfassung!$I$6:$I$3665,MATCH(INDEX(Zeiterfassung!$K$6:$K$3665,$K2087),Zeiterfassung!$K$6:$K$3665,0))))</f>
        <v/>
      </c>
      <c r="J2087" s="335">
        <f>IF(B2087=B2086,"",IF($K2087="","",INDEX(Zeiterfassung!$J$6:$J$3665,MATCH(INDEX(Zeiterfassung!$K$6:$K$3665,$K2087),Zeiterfassung!$K$6:$K$3665,0))))</f>
        <v/>
      </c>
      <c r="K2087">
        <f>IFERROR(AGGREGATE(15,6,(ROW(Zeiterfassung!$D$6:$D$3665)-ROW(Zeiterfassung!$D$6)+1)/(Zeiterfassung!$D$6:$D$3665&lt;&gt;""),2082),"")</f>
        <v/>
      </c>
    </row>
    <row r="2088" ht="20" customHeight="1">
      <c r="A2088" s="183">
        <f>IF($K2088="","",WEEKNUM(INDEX(Zeiterfassung!$K$6:$K$3665,$K2088),21))</f>
        <v/>
      </c>
      <c r="B2088" s="184">
        <f>IF($K2088="","",INDEX(Zeiterfassung!$K$6:$K$3665,$K2088))</f>
        <v/>
      </c>
      <c r="C2088" s="185">
        <f>IF($K2088="","",INDEX(Zeiterfassung!$K$6:$K$3665,$K2088))</f>
        <v/>
      </c>
      <c r="D2088" s="186">
        <f>IF($K2088="","",INDEX(Zeiterfassung!$D$6:$D$3665,$K2088))</f>
        <v/>
      </c>
      <c r="E2088" s="186">
        <f>IF($K2088="","",INDEX(Zeiterfassung!$E$6:$E$3665,$K2088))</f>
        <v/>
      </c>
      <c r="F2088" s="187">
        <f>IF($K2088="","",INDEX(Zeiterfassung!$F$6:$F$3665,$K2088))</f>
        <v/>
      </c>
      <c r="G2088" s="187">
        <f>IF($K2088="","",INDEX(Zeiterfassung!$G$6:$G$3665,$K2088))</f>
        <v/>
      </c>
      <c r="H2088" s="188">
        <f>IF($K2088="","",INDEX(Zeiterfassung!$H$6:$H$3665,$K2088))</f>
        <v/>
      </c>
      <c r="I2088" s="335">
        <f>IF(B2088=B2087,"",IF($K2088="","",INDEX(Zeiterfassung!$I$6:$I$3665,MATCH(INDEX(Zeiterfassung!$K$6:$K$3665,$K2088),Zeiterfassung!$K$6:$K$3665,0))))</f>
        <v/>
      </c>
      <c r="J2088" s="335">
        <f>IF(B2088=B2087,"",IF($K2088="","",INDEX(Zeiterfassung!$J$6:$J$3665,MATCH(INDEX(Zeiterfassung!$K$6:$K$3665,$K2088),Zeiterfassung!$K$6:$K$3665,0))))</f>
        <v/>
      </c>
      <c r="K2088">
        <f>IFERROR(AGGREGATE(15,6,(ROW(Zeiterfassung!$D$6:$D$3665)-ROW(Zeiterfassung!$D$6)+1)/(Zeiterfassung!$D$6:$D$3665&lt;&gt;""),2083),"")</f>
        <v/>
      </c>
    </row>
    <row r="2089" ht="20" customHeight="1">
      <c r="A2089" s="183">
        <f>IF($K2089="","",WEEKNUM(INDEX(Zeiterfassung!$K$6:$K$3665,$K2089),21))</f>
        <v/>
      </c>
      <c r="B2089" s="184">
        <f>IF($K2089="","",INDEX(Zeiterfassung!$K$6:$K$3665,$K2089))</f>
        <v/>
      </c>
      <c r="C2089" s="185">
        <f>IF($K2089="","",INDEX(Zeiterfassung!$K$6:$K$3665,$K2089))</f>
        <v/>
      </c>
      <c r="D2089" s="186">
        <f>IF($K2089="","",INDEX(Zeiterfassung!$D$6:$D$3665,$K2089))</f>
        <v/>
      </c>
      <c r="E2089" s="186">
        <f>IF($K2089="","",INDEX(Zeiterfassung!$E$6:$E$3665,$K2089))</f>
        <v/>
      </c>
      <c r="F2089" s="187">
        <f>IF($K2089="","",INDEX(Zeiterfassung!$F$6:$F$3665,$K2089))</f>
        <v/>
      </c>
      <c r="G2089" s="187">
        <f>IF($K2089="","",INDEX(Zeiterfassung!$G$6:$G$3665,$K2089))</f>
        <v/>
      </c>
      <c r="H2089" s="188">
        <f>IF($K2089="","",INDEX(Zeiterfassung!$H$6:$H$3665,$K2089))</f>
        <v/>
      </c>
      <c r="I2089" s="335">
        <f>IF(B2089=B2088,"",IF($K2089="","",INDEX(Zeiterfassung!$I$6:$I$3665,MATCH(INDEX(Zeiterfassung!$K$6:$K$3665,$K2089),Zeiterfassung!$K$6:$K$3665,0))))</f>
        <v/>
      </c>
      <c r="J2089" s="335">
        <f>IF(B2089=B2088,"",IF($K2089="","",INDEX(Zeiterfassung!$J$6:$J$3665,MATCH(INDEX(Zeiterfassung!$K$6:$K$3665,$K2089),Zeiterfassung!$K$6:$K$3665,0))))</f>
        <v/>
      </c>
      <c r="K2089">
        <f>IFERROR(AGGREGATE(15,6,(ROW(Zeiterfassung!$D$6:$D$3665)-ROW(Zeiterfassung!$D$6)+1)/(Zeiterfassung!$D$6:$D$3665&lt;&gt;""),2084),"")</f>
        <v/>
      </c>
    </row>
    <row r="2090" ht="20" customHeight="1">
      <c r="A2090" s="183">
        <f>IF($K2090="","",WEEKNUM(INDEX(Zeiterfassung!$K$6:$K$3665,$K2090),21))</f>
        <v/>
      </c>
      <c r="B2090" s="184">
        <f>IF($K2090="","",INDEX(Zeiterfassung!$K$6:$K$3665,$K2090))</f>
        <v/>
      </c>
      <c r="C2090" s="185">
        <f>IF($K2090="","",INDEX(Zeiterfassung!$K$6:$K$3665,$K2090))</f>
        <v/>
      </c>
      <c r="D2090" s="186">
        <f>IF($K2090="","",INDEX(Zeiterfassung!$D$6:$D$3665,$K2090))</f>
        <v/>
      </c>
      <c r="E2090" s="186">
        <f>IF($K2090="","",INDEX(Zeiterfassung!$E$6:$E$3665,$K2090))</f>
        <v/>
      </c>
      <c r="F2090" s="187">
        <f>IF($K2090="","",INDEX(Zeiterfassung!$F$6:$F$3665,$K2090))</f>
        <v/>
      </c>
      <c r="G2090" s="187">
        <f>IF($K2090="","",INDEX(Zeiterfassung!$G$6:$G$3665,$K2090))</f>
        <v/>
      </c>
      <c r="H2090" s="188">
        <f>IF($K2090="","",INDEX(Zeiterfassung!$H$6:$H$3665,$K2090))</f>
        <v/>
      </c>
      <c r="I2090" s="335">
        <f>IF(B2090=B2089,"",IF($K2090="","",INDEX(Zeiterfassung!$I$6:$I$3665,MATCH(INDEX(Zeiterfassung!$K$6:$K$3665,$K2090),Zeiterfassung!$K$6:$K$3665,0))))</f>
        <v/>
      </c>
      <c r="J2090" s="335">
        <f>IF(B2090=B2089,"",IF($K2090="","",INDEX(Zeiterfassung!$J$6:$J$3665,MATCH(INDEX(Zeiterfassung!$K$6:$K$3665,$K2090),Zeiterfassung!$K$6:$K$3665,0))))</f>
        <v/>
      </c>
      <c r="K2090">
        <f>IFERROR(AGGREGATE(15,6,(ROW(Zeiterfassung!$D$6:$D$3665)-ROW(Zeiterfassung!$D$6)+1)/(Zeiterfassung!$D$6:$D$3665&lt;&gt;""),2085),"")</f>
        <v/>
      </c>
    </row>
    <row r="2091" ht="20" customHeight="1">
      <c r="A2091" s="183">
        <f>IF($K2091="","",WEEKNUM(INDEX(Zeiterfassung!$K$6:$K$3665,$K2091),21))</f>
        <v/>
      </c>
      <c r="B2091" s="184">
        <f>IF($K2091="","",INDEX(Zeiterfassung!$K$6:$K$3665,$K2091))</f>
        <v/>
      </c>
      <c r="C2091" s="185">
        <f>IF($K2091="","",INDEX(Zeiterfassung!$K$6:$K$3665,$K2091))</f>
        <v/>
      </c>
      <c r="D2091" s="186">
        <f>IF($K2091="","",INDEX(Zeiterfassung!$D$6:$D$3665,$K2091))</f>
        <v/>
      </c>
      <c r="E2091" s="186">
        <f>IF($K2091="","",INDEX(Zeiterfassung!$E$6:$E$3665,$K2091))</f>
        <v/>
      </c>
      <c r="F2091" s="187">
        <f>IF($K2091="","",INDEX(Zeiterfassung!$F$6:$F$3665,$K2091))</f>
        <v/>
      </c>
      <c r="G2091" s="187">
        <f>IF($K2091="","",INDEX(Zeiterfassung!$G$6:$G$3665,$K2091))</f>
        <v/>
      </c>
      <c r="H2091" s="188">
        <f>IF($K2091="","",INDEX(Zeiterfassung!$H$6:$H$3665,$K2091))</f>
        <v/>
      </c>
      <c r="I2091" s="335">
        <f>IF(B2091=B2090,"",IF($K2091="","",INDEX(Zeiterfassung!$I$6:$I$3665,MATCH(INDEX(Zeiterfassung!$K$6:$K$3665,$K2091),Zeiterfassung!$K$6:$K$3665,0))))</f>
        <v/>
      </c>
      <c r="J2091" s="335">
        <f>IF(B2091=B2090,"",IF($K2091="","",INDEX(Zeiterfassung!$J$6:$J$3665,MATCH(INDEX(Zeiterfassung!$K$6:$K$3665,$K2091),Zeiterfassung!$K$6:$K$3665,0))))</f>
        <v/>
      </c>
      <c r="K2091">
        <f>IFERROR(AGGREGATE(15,6,(ROW(Zeiterfassung!$D$6:$D$3665)-ROW(Zeiterfassung!$D$6)+1)/(Zeiterfassung!$D$6:$D$3665&lt;&gt;""),2086),"")</f>
        <v/>
      </c>
    </row>
    <row r="2092" ht="20" customHeight="1">
      <c r="A2092" s="183">
        <f>IF($K2092="","",WEEKNUM(INDEX(Zeiterfassung!$K$6:$K$3665,$K2092),21))</f>
        <v/>
      </c>
      <c r="B2092" s="184">
        <f>IF($K2092="","",INDEX(Zeiterfassung!$K$6:$K$3665,$K2092))</f>
        <v/>
      </c>
      <c r="C2092" s="185">
        <f>IF($K2092="","",INDEX(Zeiterfassung!$K$6:$K$3665,$K2092))</f>
        <v/>
      </c>
      <c r="D2092" s="186">
        <f>IF($K2092="","",INDEX(Zeiterfassung!$D$6:$D$3665,$K2092))</f>
        <v/>
      </c>
      <c r="E2092" s="186">
        <f>IF($K2092="","",INDEX(Zeiterfassung!$E$6:$E$3665,$K2092))</f>
        <v/>
      </c>
      <c r="F2092" s="187">
        <f>IF($K2092="","",INDEX(Zeiterfassung!$F$6:$F$3665,$K2092))</f>
        <v/>
      </c>
      <c r="G2092" s="187">
        <f>IF($K2092="","",INDEX(Zeiterfassung!$G$6:$G$3665,$K2092))</f>
        <v/>
      </c>
      <c r="H2092" s="188">
        <f>IF($K2092="","",INDEX(Zeiterfassung!$H$6:$H$3665,$K2092))</f>
        <v/>
      </c>
      <c r="I2092" s="335">
        <f>IF(B2092=B2091,"",IF($K2092="","",INDEX(Zeiterfassung!$I$6:$I$3665,MATCH(INDEX(Zeiterfassung!$K$6:$K$3665,$K2092),Zeiterfassung!$K$6:$K$3665,0))))</f>
        <v/>
      </c>
      <c r="J2092" s="335">
        <f>IF(B2092=B2091,"",IF($K2092="","",INDEX(Zeiterfassung!$J$6:$J$3665,MATCH(INDEX(Zeiterfassung!$K$6:$K$3665,$K2092),Zeiterfassung!$K$6:$K$3665,0))))</f>
        <v/>
      </c>
      <c r="K2092">
        <f>IFERROR(AGGREGATE(15,6,(ROW(Zeiterfassung!$D$6:$D$3665)-ROW(Zeiterfassung!$D$6)+1)/(Zeiterfassung!$D$6:$D$3665&lt;&gt;""),2087),"")</f>
        <v/>
      </c>
    </row>
    <row r="2093" ht="20" customHeight="1">
      <c r="A2093" s="183">
        <f>IF($K2093="","",WEEKNUM(INDEX(Zeiterfassung!$K$6:$K$3665,$K2093),21))</f>
        <v/>
      </c>
      <c r="B2093" s="184">
        <f>IF($K2093="","",INDEX(Zeiterfassung!$K$6:$K$3665,$K2093))</f>
        <v/>
      </c>
      <c r="C2093" s="185">
        <f>IF($K2093="","",INDEX(Zeiterfassung!$K$6:$K$3665,$K2093))</f>
        <v/>
      </c>
      <c r="D2093" s="186">
        <f>IF($K2093="","",INDEX(Zeiterfassung!$D$6:$D$3665,$K2093))</f>
        <v/>
      </c>
      <c r="E2093" s="186">
        <f>IF($K2093="","",INDEX(Zeiterfassung!$E$6:$E$3665,$K2093))</f>
        <v/>
      </c>
      <c r="F2093" s="187">
        <f>IF($K2093="","",INDEX(Zeiterfassung!$F$6:$F$3665,$K2093))</f>
        <v/>
      </c>
      <c r="G2093" s="187">
        <f>IF($K2093="","",INDEX(Zeiterfassung!$G$6:$G$3665,$K2093))</f>
        <v/>
      </c>
      <c r="H2093" s="188">
        <f>IF($K2093="","",INDEX(Zeiterfassung!$H$6:$H$3665,$K2093))</f>
        <v/>
      </c>
      <c r="I2093" s="335">
        <f>IF(B2093=B2092,"",IF($K2093="","",INDEX(Zeiterfassung!$I$6:$I$3665,MATCH(INDEX(Zeiterfassung!$K$6:$K$3665,$K2093),Zeiterfassung!$K$6:$K$3665,0))))</f>
        <v/>
      </c>
      <c r="J2093" s="335">
        <f>IF(B2093=B2092,"",IF($K2093="","",INDEX(Zeiterfassung!$J$6:$J$3665,MATCH(INDEX(Zeiterfassung!$K$6:$K$3665,$K2093),Zeiterfassung!$K$6:$K$3665,0))))</f>
        <v/>
      </c>
      <c r="K2093">
        <f>IFERROR(AGGREGATE(15,6,(ROW(Zeiterfassung!$D$6:$D$3665)-ROW(Zeiterfassung!$D$6)+1)/(Zeiterfassung!$D$6:$D$3665&lt;&gt;""),2088),"")</f>
        <v/>
      </c>
    </row>
    <row r="2094" ht="20" customHeight="1">
      <c r="A2094" s="183">
        <f>IF($K2094="","",WEEKNUM(INDEX(Zeiterfassung!$K$6:$K$3665,$K2094),21))</f>
        <v/>
      </c>
      <c r="B2094" s="184">
        <f>IF($K2094="","",INDEX(Zeiterfassung!$K$6:$K$3665,$K2094))</f>
        <v/>
      </c>
      <c r="C2094" s="185">
        <f>IF($K2094="","",INDEX(Zeiterfassung!$K$6:$K$3665,$K2094))</f>
        <v/>
      </c>
      <c r="D2094" s="186">
        <f>IF($K2094="","",INDEX(Zeiterfassung!$D$6:$D$3665,$K2094))</f>
        <v/>
      </c>
      <c r="E2094" s="186">
        <f>IF($K2094="","",INDEX(Zeiterfassung!$E$6:$E$3665,$K2094))</f>
        <v/>
      </c>
      <c r="F2094" s="187">
        <f>IF($K2094="","",INDEX(Zeiterfassung!$F$6:$F$3665,$K2094))</f>
        <v/>
      </c>
      <c r="G2094" s="187">
        <f>IF($K2094="","",INDEX(Zeiterfassung!$G$6:$G$3665,$K2094))</f>
        <v/>
      </c>
      <c r="H2094" s="188">
        <f>IF($K2094="","",INDEX(Zeiterfassung!$H$6:$H$3665,$K2094))</f>
        <v/>
      </c>
      <c r="I2094" s="335">
        <f>IF(B2094=B2093,"",IF($K2094="","",INDEX(Zeiterfassung!$I$6:$I$3665,MATCH(INDEX(Zeiterfassung!$K$6:$K$3665,$K2094),Zeiterfassung!$K$6:$K$3665,0))))</f>
        <v/>
      </c>
      <c r="J2094" s="335">
        <f>IF(B2094=B2093,"",IF($K2094="","",INDEX(Zeiterfassung!$J$6:$J$3665,MATCH(INDEX(Zeiterfassung!$K$6:$K$3665,$K2094),Zeiterfassung!$K$6:$K$3665,0))))</f>
        <v/>
      </c>
      <c r="K2094">
        <f>IFERROR(AGGREGATE(15,6,(ROW(Zeiterfassung!$D$6:$D$3665)-ROW(Zeiterfassung!$D$6)+1)/(Zeiterfassung!$D$6:$D$3665&lt;&gt;""),2089),"")</f>
        <v/>
      </c>
    </row>
    <row r="2095" ht="20" customHeight="1">
      <c r="A2095" s="183">
        <f>IF($K2095="","",WEEKNUM(INDEX(Zeiterfassung!$K$6:$K$3665,$K2095),21))</f>
        <v/>
      </c>
      <c r="B2095" s="184">
        <f>IF($K2095="","",INDEX(Zeiterfassung!$K$6:$K$3665,$K2095))</f>
        <v/>
      </c>
      <c r="C2095" s="185">
        <f>IF($K2095="","",INDEX(Zeiterfassung!$K$6:$K$3665,$K2095))</f>
        <v/>
      </c>
      <c r="D2095" s="186">
        <f>IF($K2095="","",INDEX(Zeiterfassung!$D$6:$D$3665,$K2095))</f>
        <v/>
      </c>
      <c r="E2095" s="186">
        <f>IF($K2095="","",INDEX(Zeiterfassung!$E$6:$E$3665,$K2095))</f>
        <v/>
      </c>
      <c r="F2095" s="187">
        <f>IF($K2095="","",INDEX(Zeiterfassung!$F$6:$F$3665,$K2095))</f>
        <v/>
      </c>
      <c r="G2095" s="187">
        <f>IF($K2095="","",INDEX(Zeiterfassung!$G$6:$G$3665,$K2095))</f>
        <v/>
      </c>
      <c r="H2095" s="188">
        <f>IF($K2095="","",INDEX(Zeiterfassung!$H$6:$H$3665,$K2095))</f>
        <v/>
      </c>
      <c r="I2095" s="335">
        <f>IF(B2095=B2094,"",IF($K2095="","",INDEX(Zeiterfassung!$I$6:$I$3665,MATCH(INDEX(Zeiterfassung!$K$6:$K$3665,$K2095),Zeiterfassung!$K$6:$K$3665,0))))</f>
        <v/>
      </c>
      <c r="J2095" s="335">
        <f>IF(B2095=B2094,"",IF($K2095="","",INDEX(Zeiterfassung!$J$6:$J$3665,MATCH(INDEX(Zeiterfassung!$K$6:$K$3665,$K2095),Zeiterfassung!$K$6:$K$3665,0))))</f>
        <v/>
      </c>
      <c r="K2095">
        <f>IFERROR(AGGREGATE(15,6,(ROW(Zeiterfassung!$D$6:$D$3665)-ROW(Zeiterfassung!$D$6)+1)/(Zeiterfassung!$D$6:$D$3665&lt;&gt;""),2090),"")</f>
        <v/>
      </c>
    </row>
    <row r="2096" ht="20" customHeight="1">
      <c r="A2096" s="183">
        <f>IF($K2096="","",WEEKNUM(INDEX(Zeiterfassung!$K$6:$K$3665,$K2096),21))</f>
        <v/>
      </c>
      <c r="B2096" s="184">
        <f>IF($K2096="","",INDEX(Zeiterfassung!$K$6:$K$3665,$K2096))</f>
        <v/>
      </c>
      <c r="C2096" s="185">
        <f>IF($K2096="","",INDEX(Zeiterfassung!$K$6:$K$3665,$K2096))</f>
        <v/>
      </c>
      <c r="D2096" s="186">
        <f>IF($K2096="","",INDEX(Zeiterfassung!$D$6:$D$3665,$K2096))</f>
        <v/>
      </c>
      <c r="E2096" s="186">
        <f>IF($K2096="","",INDEX(Zeiterfassung!$E$6:$E$3665,$K2096))</f>
        <v/>
      </c>
      <c r="F2096" s="187">
        <f>IF($K2096="","",INDEX(Zeiterfassung!$F$6:$F$3665,$K2096))</f>
        <v/>
      </c>
      <c r="G2096" s="187">
        <f>IF($K2096="","",INDEX(Zeiterfassung!$G$6:$G$3665,$K2096))</f>
        <v/>
      </c>
      <c r="H2096" s="188">
        <f>IF($K2096="","",INDEX(Zeiterfassung!$H$6:$H$3665,$K2096))</f>
        <v/>
      </c>
      <c r="I2096" s="335">
        <f>IF(B2096=B2095,"",IF($K2096="","",INDEX(Zeiterfassung!$I$6:$I$3665,MATCH(INDEX(Zeiterfassung!$K$6:$K$3665,$K2096),Zeiterfassung!$K$6:$K$3665,0))))</f>
        <v/>
      </c>
      <c r="J2096" s="335">
        <f>IF(B2096=B2095,"",IF($K2096="","",INDEX(Zeiterfassung!$J$6:$J$3665,MATCH(INDEX(Zeiterfassung!$K$6:$K$3665,$K2096),Zeiterfassung!$K$6:$K$3665,0))))</f>
        <v/>
      </c>
      <c r="K2096">
        <f>IFERROR(AGGREGATE(15,6,(ROW(Zeiterfassung!$D$6:$D$3665)-ROW(Zeiterfassung!$D$6)+1)/(Zeiterfassung!$D$6:$D$3665&lt;&gt;""),2091),"")</f>
        <v/>
      </c>
    </row>
    <row r="2097" ht="20" customHeight="1">
      <c r="A2097" s="183">
        <f>IF($K2097="","",WEEKNUM(INDEX(Zeiterfassung!$K$6:$K$3665,$K2097),21))</f>
        <v/>
      </c>
      <c r="B2097" s="184">
        <f>IF($K2097="","",INDEX(Zeiterfassung!$K$6:$K$3665,$K2097))</f>
        <v/>
      </c>
      <c r="C2097" s="185">
        <f>IF($K2097="","",INDEX(Zeiterfassung!$K$6:$K$3665,$K2097))</f>
        <v/>
      </c>
      <c r="D2097" s="186">
        <f>IF($K2097="","",INDEX(Zeiterfassung!$D$6:$D$3665,$K2097))</f>
        <v/>
      </c>
      <c r="E2097" s="186">
        <f>IF($K2097="","",INDEX(Zeiterfassung!$E$6:$E$3665,$K2097))</f>
        <v/>
      </c>
      <c r="F2097" s="187">
        <f>IF($K2097="","",INDEX(Zeiterfassung!$F$6:$F$3665,$K2097))</f>
        <v/>
      </c>
      <c r="G2097" s="187">
        <f>IF($K2097="","",INDEX(Zeiterfassung!$G$6:$G$3665,$K2097))</f>
        <v/>
      </c>
      <c r="H2097" s="188">
        <f>IF($K2097="","",INDEX(Zeiterfassung!$H$6:$H$3665,$K2097))</f>
        <v/>
      </c>
      <c r="I2097" s="335">
        <f>IF(B2097=B2096,"",IF($K2097="","",INDEX(Zeiterfassung!$I$6:$I$3665,MATCH(INDEX(Zeiterfassung!$K$6:$K$3665,$K2097),Zeiterfassung!$K$6:$K$3665,0))))</f>
        <v/>
      </c>
      <c r="J2097" s="335">
        <f>IF(B2097=B2096,"",IF($K2097="","",INDEX(Zeiterfassung!$J$6:$J$3665,MATCH(INDEX(Zeiterfassung!$K$6:$K$3665,$K2097),Zeiterfassung!$K$6:$K$3665,0))))</f>
        <v/>
      </c>
      <c r="K2097">
        <f>IFERROR(AGGREGATE(15,6,(ROW(Zeiterfassung!$D$6:$D$3665)-ROW(Zeiterfassung!$D$6)+1)/(Zeiterfassung!$D$6:$D$3665&lt;&gt;""),2092),"")</f>
        <v/>
      </c>
    </row>
    <row r="2098" ht="20" customHeight="1">
      <c r="A2098" s="183">
        <f>IF($K2098="","",WEEKNUM(INDEX(Zeiterfassung!$K$6:$K$3665,$K2098),21))</f>
        <v/>
      </c>
      <c r="B2098" s="184">
        <f>IF($K2098="","",INDEX(Zeiterfassung!$K$6:$K$3665,$K2098))</f>
        <v/>
      </c>
      <c r="C2098" s="185">
        <f>IF($K2098="","",INDEX(Zeiterfassung!$K$6:$K$3665,$K2098))</f>
        <v/>
      </c>
      <c r="D2098" s="186">
        <f>IF($K2098="","",INDEX(Zeiterfassung!$D$6:$D$3665,$K2098))</f>
        <v/>
      </c>
      <c r="E2098" s="186">
        <f>IF($K2098="","",INDEX(Zeiterfassung!$E$6:$E$3665,$K2098))</f>
        <v/>
      </c>
      <c r="F2098" s="187">
        <f>IF($K2098="","",INDEX(Zeiterfassung!$F$6:$F$3665,$K2098))</f>
        <v/>
      </c>
      <c r="G2098" s="187">
        <f>IF($K2098="","",INDEX(Zeiterfassung!$G$6:$G$3665,$K2098))</f>
        <v/>
      </c>
      <c r="H2098" s="188">
        <f>IF($K2098="","",INDEX(Zeiterfassung!$H$6:$H$3665,$K2098))</f>
        <v/>
      </c>
      <c r="I2098" s="335">
        <f>IF(B2098=B2097,"",IF($K2098="","",INDEX(Zeiterfassung!$I$6:$I$3665,MATCH(INDEX(Zeiterfassung!$K$6:$K$3665,$K2098),Zeiterfassung!$K$6:$K$3665,0))))</f>
        <v/>
      </c>
      <c r="J2098" s="335">
        <f>IF(B2098=B2097,"",IF($K2098="","",INDEX(Zeiterfassung!$J$6:$J$3665,MATCH(INDEX(Zeiterfassung!$K$6:$K$3665,$K2098),Zeiterfassung!$K$6:$K$3665,0))))</f>
        <v/>
      </c>
      <c r="K2098">
        <f>IFERROR(AGGREGATE(15,6,(ROW(Zeiterfassung!$D$6:$D$3665)-ROW(Zeiterfassung!$D$6)+1)/(Zeiterfassung!$D$6:$D$3665&lt;&gt;""),2093),"")</f>
        <v/>
      </c>
    </row>
    <row r="2099" ht="20" customHeight="1">
      <c r="A2099" s="183">
        <f>IF($K2099="","",WEEKNUM(INDEX(Zeiterfassung!$K$6:$K$3665,$K2099),21))</f>
        <v/>
      </c>
      <c r="B2099" s="184">
        <f>IF($K2099="","",INDEX(Zeiterfassung!$K$6:$K$3665,$K2099))</f>
        <v/>
      </c>
      <c r="C2099" s="185">
        <f>IF($K2099="","",INDEX(Zeiterfassung!$K$6:$K$3665,$K2099))</f>
        <v/>
      </c>
      <c r="D2099" s="186">
        <f>IF($K2099="","",INDEX(Zeiterfassung!$D$6:$D$3665,$K2099))</f>
        <v/>
      </c>
      <c r="E2099" s="186">
        <f>IF($K2099="","",INDEX(Zeiterfassung!$E$6:$E$3665,$K2099))</f>
        <v/>
      </c>
      <c r="F2099" s="187">
        <f>IF($K2099="","",INDEX(Zeiterfassung!$F$6:$F$3665,$K2099))</f>
        <v/>
      </c>
      <c r="G2099" s="187">
        <f>IF($K2099="","",INDEX(Zeiterfassung!$G$6:$G$3665,$K2099))</f>
        <v/>
      </c>
      <c r="H2099" s="188">
        <f>IF($K2099="","",INDEX(Zeiterfassung!$H$6:$H$3665,$K2099))</f>
        <v/>
      </c>
      <c r="I2099" s="335">
        <f>IF(B2099=B2098,"",IF($K2099="","",INDEX(Zeiterfassung!$I$6:$I$3665,MATCH(INDEX(Zeiterfassung!$K$6:$K$3665,$K2099),Zeiterfassung!$K$6:$K$3665,0))))</f>
        <v/>
      </c>
      <c r="J2099" s="335">
        <f>IF(B2099=B2098,"",IF($K2099="","",INDEX(Zeiterfassung!$J$6:$J$3665,MATCH(INDEX(Zeiterfassung!$K$6:$K$3665,$K2099),Zeiterfassung!$K$6:$K$3665,0))))</f>
        <v/>
      </c>
      <c r="K2099">
        <f>IFERROR(AGGREGATE(15,6,(ROW(Zeiterfassung!$D$6:$D$3665)-ROW(Zeiterfassung!$D$6)+1)/(Zeiterfassung!$D$6:$D$3665&lt;&gt;""),2094),"")</f>
        <v/>
      </c>
    </row>
    <row r="2100" ht="20" customHeight="1">
      <c r="A2100" s="183">
        <f>IF($K2100="","",WEEKNUM(INDEX(Zeiterfassung!$K$6:$K$3665,$K2100),21))</f>
        <v/>
      </c>
      <c r="B2100" s="184">
        <f>IF($K2100="","",INDEX(Zeiterfassung!$K$6:$K$3665,$K2100))</f>
        <v/>
      </c>
      <c r="C2100" s="185">
        <f>IF($K2100="","",INDEX(Zeiterfassung!$K$6:$K$3665,$K2100))</f>
        <v/>
      </c>
      <c r="D2100" s="186">
        <f>IF($K2100="","",INDEX(Zeiterfassung!$D$6:$D$3665,$K2100))</f>
        <v/>
      </c>
      <c r="E2100" s="186">
        <f>IF($K2100="","",INDEX(Zeiterfassung!$E$6:$E$3665,$K2100))</f>
        <v/>
      </c>
      <c r="F2100" s="187">
        <f>IF($K2100="","",INDEX(Zeiterfassung!$F$6:$F$3665,$K2100))</f>
        <v/>
      </c>
      <c r="G2100" s="187">
        <f>IF($K2100="","",INDEX(Zeiterfassung!$G$6:$G$3665,$K2100))</f>
        <v/>
      </c>
      <c r="H2100" s="188">
        <f>IF($K2100="","",INDEX(Zeiterfassung!$H$6:$H$3665,$K2100))</f>
        <v/>
      </c>
      <c r="I2100" s="335">
        <f>IF(B2100=B2099,"",IF($K2100="","",INDEX(Zeiterfassung!$I$6:$I$3665,MATCH(INDEX(Zeiterfassung!$K$6:$K$3665,$K2100),Zeiterfassung!$K$6:$K$3665,0))))</f>
        <v/>
      </c>
      <c r="J2100" s="335">
        <f>IF(B2100=B2099,"",IF($K2100="","",INDEX(Zeiterfassung!$J$6:$J$3665,MATCH(INDEX(Zeiterfassung!$K$6:$K$3665,$K2100),Zeiterfassung!$K$6:$K$3665,0))))</f>
        <v/>
      </c>
      <c r="K2100">
        <f>IFERROR(AGGREGATE(15,6,(ROW(Zeiterfassung!$D$6:$D$3665)-ROW(Zeiterfassung!$D$6)+1)/(Zeiterfassung!$D$6:$D$3665&lt;&gt;""),2095),"")</f>
        <v/>
      </c>
    </row>
    <row r="2101" ht="20" customHeight="1">
      <c r="A2101" s="183">
        <f>IF($K2101="","",WEEKNUM(INDEX(Zeiterfassung!$K$6:$K$3665,$K2101),21))</f>
        <v/>
      </c>
      <c r="B2101" s="184">
        <f>IF($K2101="","",INDEX(Zeiterfassung!$K$6:$K$3665,$K2101))</f>
        <v/>
      </c>
      <c r="C2101" s="185">
        <f>IF($K2101="","",INDEX(Zeiterfassung!$K$6:$K$3665,$K2101))</f>
        <v/>
      </c>
      <c r="D2101" s="186">
        <f>IF($K2101="","",INDEX(Zeiterfassung!$D$6:$D$3665,$K2101))</f>
        <v/>
      </c>
      <c r="E2101" s="186">
        <f>IF($K2101="","",INDEX(Zeiterfassung!$E$6:$E$3665,$K2101))</f>
        <v/>
      </c>
      <c r="F2101" s="187">
        <f>IF($K2101="","",INDEX(Zeiterfassung!$F$6:$F$3665,$K2101))</f>
        <v/>
      </c>
      <c r="G2101" s="187">
        <f>IF($K2101="","",INDEX(Zeiterfassung!$G$6:$G$3665,$K2101))</f>
        <v/>
      </c>
      <c r="H2101" s="188">
        <f>IF($K2101="","",INDEX(Zeiterfassung!$H$6:$H$3665,$K2101))</f>
        <v/>
      </c>
      <c r="I2101" s="335">
        <f>IF(B2101=B2100,"",IF($K2101="","",INDEX(Zeiterfassung!$I$6:$I$3665,MATCH(INDEX(Zeiterfassung!$K$6:$K$3665,$K2101),Zeiterfassung!$K$6:$K$3665,0))))</f>
        <v/>
      </c>
      <c r="J2101" s="335">
        <f>IF(B2101=B2100,"",IF($K2101="","",INDEX(Zeiterfassung!$J$6:$J$3665,MATCH(INDEX(Zeiterfassung!$K$6:$K$3665,$K2101),Zeiterfassung!$K$6:$K$3665,0))))</f>
        <v/>
      </c>
      <c r="K2101">
        <f>IFERROR(AGGREGATE(15,6,(ROW(Zeiterfassung!$D$6:$D$3665)-ROW(Zeiterfassung!$D$6)+1)/(Zeiterfassung!$D$6:$D$3665&lt;&gt;""),2096),"")</f>
        <v/>
      </c>
    </row>
    <row r="2102" ht="20" customHeight="1">
      <c r="A2102" s="183">
        <f>IF($K2102="","",WEEKNUM(INDEX(Zeiterfassung!$K$6:$K$3665,$K2102),21))</f>
        <v/>
      </c>
      <c r="B2102" s="184">
        <f>IF($K2102="","",INDEX(Zeiterfassung!$K$6:$K$3665,$K2102))</f>
        <v/>
      </c>
      <c r="C2102" s="185">
        <f>IF($K2102="","",INDEX(Zeiterfassung!$K$6:$K$3665,$K2102))</f>
        <v/>
      </c>
      <c r="D2102" s="186">
        <f>IF($K2102="","",INDEX(Zeiterfassung!$D$6:$D$3665,$K2102))</f>
        <v/>
      </c>
      <c r="E2102" s="186">
        <f>IF($K2102="","",INDEX(Zeiterfassung!$E$6:$E$3665,$K2102))</f>
        <v/>
      </c>
      <c r="F2102" s="187">
        <f>IF($K2102="","",INDEX(Zeiterfassung!$F$6:$F$3665,$K2102))</f>
        <v/>
      </c>
      <c r="G2102" s="187">
        <f>IF($K2102="","",INDEX(Zeiterfassung!$G$6:$G$3665,$K2102))</f>
        <v/>
      </c>
      <c r="H2102" s="188">
        <f>IF($K2102="","",INDEX(Zeiterfassung!$H$6:$H$3665,$K2102))</f>
        <v/>
      </c>
      <c r="I2102" s="335">
        <f>IF(B2102=B2101,"",IF($K2102="","",INDEX(Zeiterfassung!$I$6:$I$3665,MATCH(INDEX(Zeiterfassung!$K$6:$K$3665,$K2102),Zeiterfassung!$K$6:$K$3665,0))))</f>
        <v/>
      </c>
      <c r="J2102" s="335">
        <f>IF(B2102=B2101,"",IF($K2102="","",INDEX(Zeiterfassung!$J$6:$J$3665,MATCH(INDEX(Zeiterfassung!$K$6:$K$3665,$K2102),Zeiterfassung!$K$6:$K$3665,0))))</f>
        <v/>
      </c>
      <c r="K2102">
        <f>IFERROR(AGGREGATE(15,6,(ROW(Zeiterfassung!$D$6:$D$3665)-ROW(Zeiterfassung!$D$6)+1)/(Zeiterfassung!$D$6:$D$3665&lt;&gt;""),2097),"")</f>
        <v/>
      </c>
    </row>
    <row r="2103" ht="20" customHeight="1">
      <c r="A2103" s="183">
        <f>IF($K2103="","",WEEKNUM(INDEX(Zeiterfassung!$K$6:$K$3665,$K2103),21))</f>
        <v/>
      </c>
      <c r="B2103" s="184">
        <f>IF($K2103="","",INDEX(Zeiterfassung!$K$6:$K$3665,$K2103))</f>
        <v/>
      </c>
      <c r="C2103" s="185">
        <f>IF($K2103="","",INDEX(Zeiterfassung!$K$6:$K$3665,$K2103))</f>
        <v/>
      </c>
      <c r="D2103" s="186">
        <f>IF($K2103="","",INDEX(Zeiterfassung!$D$6:$D$3665,$K2103))</f>
        <v/>
      </c>
      <c r="E2103" s="186">
        <f>IF($K2103="","",INDEX(Zeiterfassung!$E$6:$E$3665,$K2103))</f>
        <v/>
      </c>
      <c r="F2103" s="187">
        <f>IF($K2103="","",INDEX(Zeiterfassung!$F$6:$F$3665,$K2103))</f>
        <v/>
      </c>
      <c r="G2103" s="187">
        <f>IF($K2103="","",INDEX(Zeiterfassung!$G$6:$G$3665,$K2103))</f>
        <v/>
      </c>
      <c r="H2103" s="188">
        <f>IF($K2103="","",INDEX(Zeiterfassung!$H$6:$H$3665,$K2103))</f>
        <v/>
      </c>
      <c r="I2103" s="335">
        <f>IF(B2103=B2102,"",IF($K2103="","",INDEX(Zeiterfassung!$I$6:$I$3665,MATCH(INDEX(Zeiterfassung!$K$6:$K$3665,$K2103),Zeiterfassung!$K$6:$K$3665,0))))</f>
        <v/>
      </c>
      <c r="J2103" s="335">
        <f>IF(B2103=B2102,"",IF($K2103="","",INDEX(Zeiterfassung!$J$6:$J$3665,MATCH(INDEX(Zeiterfassung!$K$6:$K$3665,$K2103),Zeiterfassung!$K$6:$K$3665,0))))</f>
        <v/>
      </c>
      <c r="K2103">
        <f>IFERROR(AGGREGATE(15,6,(ROW(Zeiterfassung!$D$6:$D$3665)-ROW(Zeiterfassung!$D$6)+1)/(Zeiterfassung!$D$6:$D$3665&lt;&gt;""),2098),"")</f>
        <v/>
      </c>
    </row>
    <row r="2104" ht="20" customHeight="1">
      <c r="A2104" s="183">
        <f>IF($K2104="","",WEEKNUM(INDEX(Zeiterfassung!$K$6:$K$3665,$K2104),21))</f>
        <v/>
      </c>
      <c r="B2104" s="184">
        <f>IF($K2104="","",INDEX(Zeiterfassung!$K$6:$K$3665,$K2104))</f>
        <v/>
      </c>
      <c r="C2104" s="185">
        <f>IF($K2104="","",INDEX(Zeiterfassung!$K$6:$K$3665,$K2104))</f>
        <v/>
      </c>
      <c r="D2104" s="186">
        <f>IF($K2104="","",INDEX(Zeiterfassung!$D$6:$D$3665,$K2104))</f>
        <v/>
      </c>
      <c r="E2104" s="186">
        <f>IF($K2104="","",INDEX(Zeiterfassung!$E$6:$E$3665,$K2104))</f>
        <v/>
      </c>
      <c r="F2104" s="187">
        <f>IF($K2104="","",INDEX(Zeiterfassung!$F$6:$F$3665,$K2104))</f>
        <v/>
      </c>
      <c r="G2104" s="187">
        <f>IF($K2104="","",INDEX(Zeiterfassung!$G$6:$G$3665,$K2104))</f>
        <v/>
      </c>
      <c r="H2104" s="188">
        <f>IF($K2104="","",INDEX(Zeiterfassung!$H$6:$H$3665,$K2104))</f>
        <v/>
      </c>
      <c r="I2104" s="335">
        <f>IF(B2104=B2103,"",IF($K2104="","",INDEX(Zeiterfassung!$I$6:$I$3665,MATCH(INDEX(Zeiterfassung!$K$6:$K$3665,$K2104),Zeiterfassung!$K$6:$K$3665,0))))</f>
        <v/>
      </c>
      <c r="J2104" s="335">
        <f>IF(B2104=B2103,"",IF($K2104="","",INDEX(Zeiterfassung!$J$6:$J$3665,MATCH(INDEX(Zeiterfassung!$K$6:$K$3665,$K2104),Zeiterfassung!$K$6:$K$3665,0))))</f>
        <v/>
      </c>
      <c r="K2104">
        <f>IFERROR(AGGREGATE(15,6,(ROW(Zeiterfassung!$D$6:$D$3665)-ROW(Zeiterfassung!$D$6)+1)/(Zeiterfassung!$D$6:$D$3665&lt;&gt;""),2099),"")</f>
        <v/>
      </c>
    </row>
    <row r="2105" ht="20" customHeight="1">
      <c r="A2105" s="183">
        <f>IF($K2105="","",WEEKNUM(INDEX(Zeiterfassung!$K$6:$K$3665,$K2105),21))</f>
        <v/>
      </c>
      <c r="B2105" s="184">
        <f>IF($K2105="","",INDEX(Zeiterfassung!$K$6:$K$3665,$K2105))</f>
        <v/>
      </c>
      <c r="C2105" s="185">
        <f>IF($K2105="","",INDEX(Zeiterfassung!$K$6:$K$3665,$K2105))</f>
        <v/>
      </c>
      <c r="D2105" s="186">
        <f>IF($K2105="","",INDEX(Zeiterfassung!$D$6:$D$3665,$K2105))</f>
        <v/>
      </c>
      <c r="E2105" s="186">
        <f>IF($K2105="","",INDEX(Zeiterfassung!$E$6:$E$3665,$K2105))</f>
        <v/>
      </c>
      <c r="F2105" s="187">
        <f>IF($K2105="","",INDEX(Zeiterfassung!$F$6:$F$3665,$K2105))</f>
        <v/>
      </c>
      <c r="G2105" s="187">
        <f>IF($K2105="","",INDEX(Zeiterfassung!$G$6:$G$3665,$K2105))</f>
        <v/>
      </c>
      <c r="H2105" s="188">
        <f>IF($K2105="","",INDEX(Zeiterfassung!$H$6:$H$3665,$K2105))</f>
        <v/>
      </c>
      <c r="I2105" s="335">
        <f>IF(B2105=B2104,"",IF($K2105="","",INDEX(Zeiterfassung!$I$6:$I$3665,MATCH(INDEX(Zeiterfassung!$K$6:$K$3665,$K2105),Zeiterfassung!$K$6:$K$3665,0))))</f>
        <v/>
      </c>
      <c r="J2105" s="335">
        <f>IF(B2105=B2104,"",IF($K2105="","",INDEX(Zeiterfassung!$J$6:$J$3665,MATCH(INDEX(Zeiterfassung!$K$6:$K$3665,$K2105),Zeiterfassung!$K$6:$K$3665,0))))</f>
        <v/>
      </c>
      <c r="K2105">
        <f>IFERROR(AGGREGATE(15,6,(ROW(Zeiterfassung!$D$6:$D$3665)-ROW(Zeiterfassung!$D$6)+1)/(Zeiterfassung!$D$6:$D$3665&lt;&gt;""),2100),"")</f>
        <v/>
      </c>
    </row>
    <row r="2106" ht="20" customHeight="1">
      <c r="A2106" s="183">
        <f>IF($K2106="","",WEEKNUM(INDEX(Zeiterfassung!$K$6:$K$3665,$K2106),21))</f>
        <v/>
      </c>
      <c r="B2106" s="184">
        <f>IF($K2106="","",INDEX(Zeiterfassung!$K$6:$K$3665,$K2106))</f>
        <v/>
      </c>
      <c r="C2106" s="185">
        <f>IF($K2106="","",INDEX(Zeiterfassung!$K$6:$K$3665,$K2106))</f>
        <v/>
      </c>
      <c r="D2106" s="186">
        <f>IF($K2106="","",INDEX(Zeiterfassung!$D$6:$D$3665,$K2106))</f>
        <v/>
      </c>
      <c r="E2106" s="186">
        <f>IF($K2106="","",INDEX(Zeiterfassung!$E$6:$E$3665,$K2106))</f>
        <v/>
      </c>
      <c r="F2106" s="187">
        <f>IF($K2106="","",INDEX(Zeiterfassung!$F$6:$F$3665,$K2106))</f>
        <v/>
      </c>
      <c r="G2106" s="187">
        <f>IF($K2106="","",INDEX(Zeiterfassung!$G$6:$G$3665,$K2106))</f>
        <v/>
      </c>
      <c r="H2106" s="188">
        <f>IF($K2106="","",INDEX(Zeiterfassung!$H$6:$H$3665,$K2106))</f>
        <v/>
      </c>
      <c r="I2106" s="335">
        <f>IF(B2106=B2105,"",IF($K2106="","",INDEX(Zeiterfassung!$I$6:$I$3665,MATCH(INDEX(Zeiterfassung!$K$6:$K$3665,$K2106),Zeiterfassung!$K$6:$K$3665,0))))</f>
        <v/>
      </c>
      <c r="J2106" s="335">
        <f>IF(B2106=B2105,"",IF($K2106="","",INDEX(Zeiterfassung!$J$6:$J$3665,MATCH(INDEX(Zeiterfassung!$K$6:$K$3665,$K2106),Zeiterfassung!$K$6:$K$3665,0))))</f>
        <v/>
      </c>
      <c r="K2106">
        <f>IFERROR(AGGREGATE(15,6,(ROW(Zeiterfassung!$D$6:$D$3665)-ROW(Zeiterfassung!$D$6)+1)/(Zeiterfassung!$D$6:$D$3665&lt;&gt;""),2101),"")</f>
        <v/>
      </c>
    </row>
    <row r="2107" ht="20" customHeight="1">
      <c r="A2107" s="183">
        <f>IF($K2107="","",WEEKNUM(INDEX(Zeiterfassung!$K$6:$K$3665,$K2107),21))</f>
        <v/>
      </c>
      <c r="B2107" s="184">
        <f>IF($K2107="","",INDEX(Zeiterfassung!$K$6:$K$3665,$K2107))</f>
        <v/>
      </c>
      <c r="C2107" s="185">
        <f>IF($K2107="","",INDEX(Zeiterfassung!$K$6:$K$3665,$K2107))</f>
        <v/>
      </c>
      <c r="D2107" s="186">
        <f>IF($K2107="","",INDEX(Zeiterfassung!$D$6:$D$3665,$K2107))</f>
        <v/>
      </c>
      <c r="E2107" s="186">
        <f>IF($K2107="","",INDEX(Zeiterfassung!$E$6:$E$3665,$K2107))</f>
        <v/>
      </c>
      <c r="F2107" s="187">
        <f>IF($K2107="","",INDEX(Zeiterfassung!$F$6:$F$3665,$K2107))</f>
        <v/>
      </c>
      <c r="G2107" s="187">
        <f>IF($K2107="","",INDEX(Zeiterfassung!$G$6:$G$3665,$K2107))</f>
        <v/>
      </c>
      <c r="H2107" s="188">
        <f>IF($K2107="","",INDEX(Zeiterfassung!$H$6:$H$3665,$K2107))</f>
        <v/>
      </c>
      <c r="I2107" s="335">
        <f>IF(B2107=B2106,"",IF($K2107="","",INDEX(Zeiterfassung!$I$6:$I$3665,MATCH(INDEX(Zeiterfassung!$K$6:$K$3665,$K2107),Zeiterfassung!$K$6:$K$3665,0))))</f>
        <v/>
      </c>
      <c r="J2107" s="335">
        <f>IF(B2107=B2106,"",IF($K2107="","",INDEX(Zeiterfassung!$J$6:$J$3665,MATCH(INDEX(Zeiterfassung!$K$6:$K$3665,$K2107),Zeiterfassung!$K$6:$K$3665,0))))</f>
        <v/>
      </c>
      <c r="K2107">
        <f>IFERROR(AGGREGATE(15,6,(ROW(Zeiterfassung!$D$6:$D$3665)-ROW(Zeiterfassung!$D$6)+1)/(Zeiterfassung!$D$6:$D$3665&lt;&gt;""),2102),"")</f>
        <v/>
      </c>
    </row>
    <row r="2108" ht="20" customHeight="1">
      <c r="A2108" s="183">
        <f>IF($K2108="","",WEEKNUM(INDEX(Zeiterfassung!$K$6:$K$3665,$K2108),21))</f>
        <v/>
      </c>
      <c r="B2108" s="184">
        <f>IF($K2108="","",INDEX(Zeiterfassung!$K$6:$K$3665,$K2108))</f>
        <v/>
      </c>
      <c r="C2108" s="185">
        <f>IF($K2108="","",INDEX(Zeiterfassung!$K$6:$K$3665,$K2108))</f>
        <v/>
      </c>
      <c r="D2108" s="186">
        <f>IF($K2108="","",INDEX(Zeiterfassung!$D$6:$D$3665,$K2108))</f>
        <v/>
      </c>
      <c r="E2108" s="186">
        <f>IF($K2108="","",INDEX(Zeiterfassung!$E$6:$E$3665,$K2108))</f>
        <v/>
      </c>
      <c r="F2108" s="187">
        <f>IF($K2108="","",INDEX(Zeiterfassung!$F$6:$F$3665,$K2108))</f>
        <v/>
      </c>
      <c r="G2108" s="187">
        <f>IF($K2108="","",INDEX(Zeiterfassung!$G$6:$G$3665,$K2108))</f>
        <v/>
      </c>
      <c r="H2108" s="188">
        <f>IF($K2108="","",INDEX(Zeiterfassung!$H$6:$H$3665,$K2108))</f>
        <v/>
      </c>
      <c r="I2108" s="335">
        <f>IF(B2108=B2107,"",IF($K2108="","",INDEX(Zeiterfassung!$I$6:$I$3665,MATCH(INDEX(Zeiterfassung!$K$6:$K$3665,$K2108),Zeiterfassung!$K$6:$K$3665,0))))</f>
        <v/>
      </c>
      <c r="J2108" s="335">
        <f>IF(B2108=B2107,"",IF($K2108="","",INDEX(Zeiterfassung!$J$6:$J$3665,MATCH(INDEX(Zeiterfassung!$K$6:$K$3665,$K2108),Zeiterfassung!$K$6:$K$3665,0))))</f>
        <v/>
      </c>
      <c r="K2108">
        <f>IFERROR(AGGREGATE(15,6,(ROW(Zeiterfassung!$D$6:$D$3665)-ROW(Zeiterfassung!$D$6)+1)/(Zeiterfassung!$D$6:$D$3665&lt;&gt;""),2103),"")</f>
        <v/>
      </c>
    </row>
    <row r="2109" ht="20" customHeight="1">
      <c r="A2109" s="183">
        <f>IF($K2109="","",WEEKNUM(INDEX(Zeiterfassung!$K$6:$K$3665,$K2109),21))</f>
        <v/>
      </c>
      <c r="B2109" s="184">
        <f>IF($K2109="","",INDEX(Zeiterfassung!$K$6:$K$3665,$K2109))</f>
        <v/>
      </c>
      <c r="C2109" s="185">
        <f>IF($K2109="","",INDEX(Zeiterfassung!$K$6:$K$3665,$K2109))</f>
        <v/>
      </c>
      <c r="D2109" s="186">
        <f>IF($K2109="","",INDEX(Zeiterfassung!$D$6:$D$3665,$K2109))</f>
        <v/>
      </c>
      <c r="E2109" s="186">
        <f>IF($K2109="","",INDEX(Zeiterfassung!$E$6:$E$3665,$K2109))</f>
        <v/>
      </c>
      <c r="F2109" s="187">
        <f>IF($K2109="","",INDEX(Zeiterfassung!$F$6:$F$3665,$K2109))</f>
        <v/>
      </c>
      <c r="G2109" s="187">
        <f>IF($K2109="","",INDEX(Zeiterfassung!$G$6:$G$3665,$K2109))</f>
        <v/>
      </c>
      <c r="H2109" s="188">
        <f>IF($K2109="","",INDEX(Zeiterfassung!$H$6:$H$3665,$K2109))</f>
        <v/>
      </c>
      <c r="I2109" s="335">
        <f>IF(B2109=B2108,"",IF($K2109="","",INDEX(Zeiterfassung!$I$6:$I$3665,MATCH(INDEX(Zeiterfassung!$K$6:$K$3665,$K2109),Zeiterfassung!$K$6:$K$3665,0))))</f>
        <v/>
      </c>
      <c r="J2109" s="335">
        <f>IF(B2109=B2108,"",IF($K2109="","",INDEX(Zeiterfassung!$J$6:$J$3665,MATCH(INDEX(Zeiterfassung!$K$6:$K$3665,$K2109),Zeiterfassung!$K$6:$K$3665,0))))</f>
        <v/>
      </c>
      <c r="K2109">
        <f>IFERROR(AGGREGATE(15,6,(ROW(Zeiterfassung!$D$6:$D$3665)-ROW(Zeiterfassung!$D$6)+1)/(Zeiterfassung!$D$6:$D$3665&lt;&gt;""),2104),"")</f>
        <v/>
      </c>
    </row>
    <row r="2110" ht="20" customHeight="1">
      <c r="A2110" s="183">
        <f>IF($K2110="","",WEEKNUM(INDEX(Zeiterfassung!$K$6:$K$3665,$K2110),21))</f>
        <v/>
      </c>
      <c r="B2110" s="184">
        <f>IF($K2110="","",INDEX(Zeiterfassung!$K$6:$K$3665,$K2110))</f>
        <v/>
      </c>
      <c r="C2110" s="185">
        <f>IF($K2110="","",INDEX(Zeiterfassung!$K$6:$K$3665,$K2110))</f>
        <v/>
      </c>
      <c r="D2110" s="186">
        <f>IF($K2110="","",INDEX(Zeiterfassung!$D$6:$D$3665,$K2110))</f>
        <v/>
      </c>
      <c r="E2110" s="186">
        <f>IF($K2110="","",INDEX(Zeiterfassung!$E$6:$E$3665,$K2110))</f>
        <v/>
      </c>
      <c r="F2110" s="187">
        <f>IF($K2110="","",INDEX(Zeiterfassung!$F$6:$F$3665,$K2110))</f>
        <v/>
      </c>
      <c r="G2110" s="187">
        <f>IF($K2110="","",INDEX(Zeiterfassung!$G$6:$G$3665,$K2110))</f>
        <v/>
      </c>
      <c r="H2110" s="188">
        <f>IF($K2110="","",INDEX(Zeiterfassung!$H$6:$H$3665,$K2110))</f>
        <v/>
      </c>
      <c r="I2110" s="335">
        <f>IF(B2110=B2109,"",IF($K2110="","",INDEX(Zeiterfassung!$I$6:$I$3665,MATCH(INDEX(Zeiterfassung!$K$6:$K$3665,$K2110),Zeiterfassung!$K$6:$K$3665,0))))</f>
        <v/>
      </c>
      <c r="J2110" s="335">
        <f>IF(B2110=B2109,"",IF($K2110="","",INDEX(Zeiterfassung!$J$6:$J$3665,MATCH(INDEX(Zeiterfassung!$K$6:$K$3665,$K2110),Zeiterfassung!$K$6:$K$3665,0))))</f>
        <v/>
      </c>
      <c r="K2110">
        <f>IFERROR(AGGREGATE(15,6,(ROW(Zeiterfassung!$D$6:$D$3665)-ROW(Zeiterfassung!$D$6)+1)/(Zeiterfassung!$D$6:$D$3665&lt;&gt;""),2105),"")</f>
        <v/>
      </c>
    </row>
    <row r="2111" ht="20" customHeight="1">
      <c r="A2111" s="183">
        <f>IF($K2111="","",WEEKNUM(INDEX(Zeiterfassung!$K$6:$K$3665,$K2111),21))</f>
        <v/>
      </c>
      <c r="B2111" s="184">
        <f>IF($K2111="","",INDEX(Zeiterfassung!$K$6:$K$3665,$K2111))</f>
        <v/>
      </c>
      <c r="C2111" s="185">
        <f>IF($K2111="","",INDEX(Zeiterfassung!$K$6:$K$3665,$K2111))</f>
        <v/>
      </c>
      <c r="D2111" s="186">
        <f>IF($K2111="","",INDEX(Zeiterfassung!$D$6:$D$3665,$K2111))</f>
        <v/>
      </c>
      <c r="E2111" s="186">
        <f>IF($K2111="","",INDEX(Zeiterfassung!$E$6:$E$3665,$K2111))</f>
        <v/>
      </c>
      <c r="F2111" s="187">
        <f>IF($K2111="","",INDEX(Zeiterfassung!$F$6:$F$3665,$K2111))</f>
        <v/>
      </c>
      <c r="G2111" s="187">
        <f>IF($K2111="","",INDEX(Zeiterfassung!$G$6:$G$3665,$K2111))</f>
        <v/>
      </c>
      <c r="H2111" s="188">
        <f>IF($K2111="","",INDEX(Zeiterfassung!$H$6:$H$3665,$K2111))</f>
        <v/>
      </c>
      <c r="I2111" s="335">
        <f>IF(B2111=B2110,"",IF($K2111="","",INDEX(Zeiterfassung!$I$6:$I$3665,MATCH(INDEX(Zeiterfassung!$K$6:$K$3665,$K2111),Zeiterfassung!$K$6:$K$3665,0))))</f>
        <v/>
      </c>
      <c r="J2111" s="335">
        <f>IF(B2111=B2110,"",IF($K2111="","",INDEX(Zeiterfassung!$J$6:$J$3665,MATCH(INDEX(Zeiterfassung!$K$6:$K$3665,$K2111),Zeiterfassung!$K$6:$K$3665,0))))</f>
        <v/>
      </c>
      <c r="K2111">
        <f>IFERROR(AGGREGATE(15,6,(ROW(Zeiterfassung!$D$6:$D$3665)-ROW(Zeiterfassung!$D$6)+1)/(Zeiterfassung!$D$6:$D$3665&lt;&gt;""),2106),"")</f>
        <v/>
      </c>
    </row>
    <row r="2112" ht="20" customHeight="1">
      <c r="A2112" s="183">
        <f>IF($K2112="","",WEEKNUM(INDEX(Zeiterfassung!$K$6:$K$3665,$K2112),21))</f>
        <v/>
      </c>
      <c r="B2112" s="184">
        <f>IF($K2112="","",INDEX(Zeiterfassung!$K$6:$K$3665,$K2112))</f>
        <v/>
      </c>
      <c r="C2112" s="185">
        <f>IF($K2112="","",INDEX(Zeiterfassung!$K$6:$K$3665,$K2112))</f>
        <v/>
      </c>
      <c r="D2112" s="186">
        <f>IF($K2112="","",INDEX(Zeiterfassung!$D$6:$D$3665,$K2112))</f>
        <v/>
      </c>
      <c r="E2112" s="186">
        <f>IF($K2112="","",INDEX(Zeiterfassung!$E$6:$E$3665,$K2112))</f>
        <v/>
      </c>
      <c r="F2112" s="187">
        <f>IF($K2112="","",INDEX(Zeiterfassung!$F$6:$F$3665,$K2112))</f>
        <v/>
      </c>
      <c r="G2112" s="187">
        <f>IF($K2112="","",INDEX(Zeiterfassung!$G$6:$G$3665,$K2112))</f>
        <v/>
      </c>
      <c r="H2112" s="188">
        <f>IF($K2112="","",INDEX(Zeiterfassung!$H$6:$H$3665,$K2112))</f>
        <v/>
      </c>
      <c r="I2112" s="335">
        <f>IF(B2112=B2111,"",IF($K2112="","",INDEX(Zeiterfassung!$I$6:$I$3665,MATCH(INDEX(Zeiterfassung!$K$6:$K$3665,$K2112),Zeiterfassung!$K$6:$K$3665,0))))</f>
        <v/>
      </c>
      <c r="J2112" s="335">
        <f>IF(B2112=B2111,"",IF($K2112="","",INDEX(Zeiterfassung!$J$6:$J$3665,MATCH(INDEX(Zeiterfassung!$K$6:$K$3665,$K2112),Zeiterfassung!$K$6:$K$3665,0))))</f>
        <v/>
      </c>
      <c r="K2112">
        <f>IFERROR(AGGREGATE(15,6,(ROW(Zeiterfassung!$D$6:$D$3665)-ROW(Zeiterfassung!$D$6)+1)/(Zeiterfassung!$D$6:$D$3665&lt;&gt;""),2107),"")</f>
        <v/>
      </c>
    </row>
    <row r="2113" ht="20" customHeight="1">
      <c r="A2113" s="183">
        <f>IF($K2113="","",WEEKNUM(INDEX(Zeiterfassung!$K$6:$K$3665,$K2113),21))</f>
        <v/>
      </c>
      <c r="B2113" s="184">
        <f>IF($K2113="","",INDEX(Zeiterfassung!$K$6:$K$3665,$K2113))</f>
        <v/>
      </c>
      <c r="C2113" s="185">
        <f>IF($K2113="","",INDEX(Zeiterfassung!$K$6:$K$3665,$K2113))</f>
        <v/>
      </c>
      <c r="D2113" s="186">
        <f>IF($K2113="","",INDEX(Zeiterfassung!$D$6:$D$3665,$K2113))</f>
        <v/>
      </c>
      <c r="E2113" s="186">
        <f>IF($K2113="","",INDEX(Zeiterfassung!$E$6:$E$3665,$K2113))</f>
        <v/>
      </c>
      <c r="F2113" s="187">
        <f>IF($K2113="","",INDEX(Zeiterfassung!$F$6:$F$3665,$K2113))</f>
        <v/>
      </c>
      <c r="G2113" s="187">
        <f>IF($K2113="","",INDEX(Zeiterfassung!$G$6:$G$3665,$K2113))</f>
        <v/>
      </c>
      <c r="H2113" s="188">
        <f>IF($K2113="","",INDEX(Zeiterfassung!$H$6:$H$3665,$K2113))</f>
        <v/>
      </c>
      <c r="I2113" s="335">
        <f>IF(B2113=B2112,"",IF($K2113="","",INDEX(Zeiterfassung!$I$6:$I$3665,MATCH(INDEX(Zeiterfassung!$K$6:$K$3665,$K2113),Zeiterfassung!$K$6:$K$3665,0))))</f>
        <v/>
      </c>
      <c r="J2113" s="335">
        <f>IF(B2113=B2112,"",IF($K2113="","",INDEX(Zeiterfassung!$J$6:$J$3665,MATCH(INDEX(Zeiterfassung!$K$6:$K$3665,$K2113),Zeiterfassung!$K$6:$K$3665,0))))</f>
        <v/>
      </c>
      <c r="K2113">
        <f>IFERROR(AGGREGATE(15,6,(ROW(Zeiterfassung!$D$6:$D$3665)-ROW(Zeiterfassung!$D$6)+1)/(Zeiterfassung!$D$6:$D$3665&lt;&gt;""),2108),"")</f>
        <v/>
      </c>
    </row>
    <row r="2114" ht="20" customHeight="1">
      <c r="A2114" s="183">
        <f>IF($K2114="","",WEEKNUM(INDEX(Zeiterfassung!$K$6:$K$3665,$K2114),21))</f>
        <v/>
      </c>
      <c r="B2114" s="184">
        <f>IF($K2114="","",INDEX(Zeiterfassung!$K$6:$K$3665,$K2114))</f>
        <v/>
      </c>
      <c r="C2114" s="185">
        <f>IF($K2114="","",INDEX(Zeiterfassung!$K$6:$K$3665,$K2114))</f>
        <v/>
      </c>
      <c r="D2114" s="186">
        <f>IF($K2114="","",INDEX(Zeiterfassung!$D$6:$D$3665,$K2114))</f>
        <v/>
      </c>
      <c r="E2114" s="186">
        <f>IF($K2114="","",INDEX(Zeiterfassung!$E$6:$E$3665,$K2114))</f>
        <v/>
      </c>
      <c r="F2114" s="187">
        <f>IF($K2114="","",INDEX(Zeiterfassung!$F$6:$F$3665,$K2114))</f>
        <v/>
      </c>
      <c r="G2114" s="187">
        <f>IF($K2114="","",INDEX(Zeiterfassung!$G$6:$G$3665,$K2114))</f>
        <v/>
      </c>
      <c r="H2114" s="188">
        <f>IF($K2114="","",INDEX(Zeiterfassung!$H$6:$H$3665,$K2114))</f>
        <v/>
      </c>
      <c r="I2114" s="335">
        <f>IF(B2114=B2113,"",IF($K2114="","",INDEX(Zeiterfassung!$I$6:$I$3665,MATCH(INDEX(Zeiterfassung!$K$6:$K$3665,$K2114),Zeiterfassung!$K$6:$K$3665,0))))</f>
        <v/>
      </c>
      <c r="J2114" s="335">
        <f>IF(B2114=B2113,"",IF($K2114="","",INDEX(Zeiterfassung!$J$6:$J$3665,MATCH(INDEX(Zeiterfassung!$K$6:$K$3665,$K2114),Zeiterfassung!$K$6:$K$3665,0))))</f>
        <v/>
      </c>
      <c r="K2114">
        <f>IFERROR(AGGREGATE(15,6,(ROW(Zeiterfassung!$D$6:$D$3665)-ROW(Zeiterfassung!$D$6)+1)/(Zeiterfassung!$D$6:$D$3665&lt;&gt;""),2109),"")</f>
        <v/>
      </c>
    </row>
    <row r="2115" ht="20" customHeight="1">
      <c r="A2115" s="183">
        <f>IF($K2115="","",WEEKNUM(INDEX(Zeiterfassung!$K$6:$K$3665,$K2115),21))</f>
        <v/>
      </c>
      <c r="B2115" s="184">
        <f>IF($K2115="","",INDEX(Zeiterfassung!$K$6:$K$3665,$K2115))</f>
        <v/>
      </c>
      <c r="C2115" s="185">
        <f>IF($K2115="","",INDEX(Zeiterfassung!$K$6:$K$3665,$K2115))</f>
        <v/>
      </c>
      <c r="D2115" s="186">
        <f>IF($K2115="","",INDEX(Zeiterfassung!$D$6:$D$3665,$K2115))</f>
        <v/>
      </c>
      <c r="E2115" s="186">
        <f>IF($K2115="","",INDEX(Zeiterfassung!$E$6:$E$3665,$K2115))</f>
        <v/>
      </c>
      <c r="F2115" s="187">
        <f>IF($K2115="","",INDEX(Zeiterfassung!$F$6:$F$3665,$K2115))</f>
        <v/>
      </c>
      <c r="G2115" s="187">
        <f>IF($K2115="","",INDEX(Zeiterfassung!$G$6:$G$3665,$K2115))</f>
        <v/>
      </c>
      <c r="H2115" s="188">
        <f>IF($K2115="","",INDEX(Zeiterfassung!$H$6:$H$3665,$K2115))</f>
        <v/>
      </c>
      <c r="I2115" s="335">
        <f>IF(B2115=B2114,"",IF($K2115="","",INDEX(Zeiterfassung!$I$6:$I$3665,MATCH(INDEX(Zeiterfassung!$K$6:$K$3665,$K2115),Zeiterfassung!$K$6:$K$3665,0))))</f>
        <v/>
      </c>
      <c r="J2115" s="335">
        <f>IF(B2115=B2114,"",IF($K2115="","",INDEX(Zeiterfassung!$J$6:$J$3665,MATCH(INDEX(Zeiterfassung!$K$6:$K$3665,$K2115),Zeiterfassung!$K$6:$K$3665,0))))</f>
        <v/>
      </c>
      <c r="K2115">
        <f>IFERROR(AGGREGATE(15,6,(ROW(Zeiterfassung!$D$6:$D$3665)-ROW(Zeiterfassung!$D$6)+1)/(Zeiterfassung!$D$6:$D$3665&lt;&gt;""),2110),"")</f>
        <v/>
      </c>
    </row>
    <row r="2116" ht="20" customHeight="1">
      <c r="A2116" s="183">
        <f>IF($K2116="","",WEEKNUM(INDEX(Zeiterfassung!$K$6:$K$3665,$K2116),21))</f>
        <v/>
      </c>
      <c r="B2116" s="184">
        <f>IF($K2116="","",INDEX(Zeiterfassung!$K$6:$K$3665,$K2116))</f>
        <v/>
      </c>
      <c r="C2116" s="185">
        <f>IF($K2116="","",INDEX(Zeiterfassung!$K$6:$K$3665,$K2116))</f>
        <v/>
      </c>
      <c r="D2116" s="186">
        <f>IF($K2116="","",INDEX(Zeiterfassung!$D$6:$D$3665,$K2116))</f>
        <v/>
      </c>
      <c r="E2116" s="186">
        <f>IF($K2116="","",INDEX(Zeiterfassung!$E$6:$E$3665,$K2116))</f>
        <v/>
      </c>
      <c r="F2116" s="187">
        <f>IF($K2116="","",INDEX(Zeiterfassung!$F$6:$F$3665,$K2116))</f>
        <v/>
      </c>
      <c r="G2116" s="187">
        <f>IF($K2116="","",INDEX(Zeiterfassung!$G$6:$G$3665,$K2116))</f>
        <v/>
      </c>
      <c r="H2116" s="188">
        <f>IF($K2116="","",INDEX(Zeiterfassung!$H$6:$H$3665,$K2116))</f>
        <v/>
      </c>
      <c r="I2116" s="335">
        <f>IF(B2116=B2115,"",IF($K2116="","",INDEX(Zeiterfassung!$I$6:$I$3665,MATCH(INDEX(Zeiterfassung!$K$6:$K$3665,$K2116),Zeiterfassung!$K$6:$K$3665,0))))</f>
        <v/>
      </c>
      <c r="J2116" s="335">
        <f>IF(B2116=B2115,"",IF($K2116="","",INDEX(Zeiterfassung!$J$6:$J$3665,MATCH(INDEX(Zeiterfassung!$K$6:$K$3665,$K2116),Zeiterfassung!$K$6:$K$3665,0))))</f>
        <v/>
      </c>
      <c r="K2116">
        <f>IFERROR(AGGREGATE(15,6,(ROW(Zeiterfassung!$D$6:$D$3665)-ROW(Zeiterfassung!$D$6)+1)/(Zeiterfassung!$D$6:$D$3665&lt;&gt;""),2111),"")</f>
        <v/>
      </c>
    </row>
    <row r="2117" ht="20" customHeight="1">
      <c r="A2117" s="183">
        <f>IF($K2117="","",WEEKNUM(INDEX(Zeiterfassung!$K$6:$K$3665,$K2117),21))</f>
        <v/>
      </c>
      <c r="B2117" s="184">
        <f>IF($K2117="","",INDEX(Zeiterfassung!$K$6:$K$3665,$K2117))</f>
        <v/>
      </c>
      <c r="C2117" s="185">
        <f>IF($K2117="","",INDEX(Zeiterfassung!$K$6:$K$3665,$K2117))</f>
        <v/>
      </c>
      <c r="D2117" s="186">
        <f>IF($K2117="","",INDEX(Zeiterfassung!$D$6:$D$3665,$K2117))</f>
        <v/>
      </c>
      <c r="E2117" s="186">
        <f>IF($K2117="","",INDEX(Zeiterfassung!$E$6:$E$3665,$K2117))</f>
        <v/>
      </c>
      <c r="F2117" s="187">
        <f>IF($K2117="","",INDEX(Zeiterfassung!$F$6:$F$3665,$K2117))</f>
        <v/>
      </c>
      <c r="G2117" s="187">
        <f>IF($K2117="","",INDEX(Zeiterfassung!$G$6:$G$3665,$K2117))</f>
        <v/>
      </c>
      <c r="H2117" s="188">
        <f>IF($K2117="","",INDEX(Zeiterfassung!$H$6:$H$3665,$K2117))</f>
        <v/>
      </c>
      <c r="I2117" s="335">
        <f>IF(B2117=B2116,"",IF($K2117="","",INDEX(Zeiterfassung!$I$6:$I$3665,MATCH(INDEX(Zeiterfassung!$K$6:$K$3665,$K2117),Zeiterfassung!$K$6:$K$3665,0))))</f>
        <v/>
      </c>
      <c r="J2117" s="335">
        <f>IF(B2117=B2116,"",IF($K2117="","",INDEX(Zeiterfassung!$J$6:$J$3665,MATCH(INDEX(Zeiterfassung!$K$6:$K$3665,$K2117),Zeiterfassung!$K$6:$K$3665,0))))</f>
        <v/>
      </c>
      <c r="K2117">
        <f>IFERROR(AGGREGATE(15,6,(ROW(Zeiterfassung!$D$6:$D$3665)-ROW(Zeiterfassung!$D$6)+1)/(Zeiterfassung!$D$6:$D$3665&lt;&gt;""),2112),"")</f>
        <v/>
      </c>
    </row>
    <row r="2118" ht="20" customHeight="1">
      <c r="A2118" s="183">
        <f>IF($K2118="","",WEEKNUM(INDEX(Zeiterfassung!$K$6:$K$3665,$K2118),21))</f>
        <v/>
      </c>
      <c r="B2118" s="184">
        <f>IF($K2118="","",INDEX(Zeiterfassung!$K$6:$K$3665,$K2118))</f>
        <v/>
      </c>
      <c r="C2118" s="185">
        <f>IF($K2118="","",INDEX(Zeiterfassung!$K$6:$K$3665,$K2118))</f>
        <v/>
      </c>
      <c r="D2118" s="186">
        <f>IF($K2118="","",INDEX(Zeiterfassung!$D$6:$D$3665,$K2118))</f>
        <v/>
      </c>
      <c r="E2118" s="186">
        <f>IF($K2118="","",INDEX(Zeiterfassung!$E$6:$E$3665,$K2118))</f>
        <v/>
      </c>
      <c r="F2118" s="187">
        <f>IF($K2118="","",INDEX(Zeiterfassung!$F$6:$F$3665,$K2118))</f>
        <v/>
      </c>
      <c r="G2118" s="187">
        <f>IF($K2118="","",INDEX(Zeiterfassung!$G$6:$G$3665,$K2118))</f>
        <v/>
      </c>
      <c r="H2118" s="188">
        <f>IF($K2118="","",INDEX(Zeiterfassung!$H$6:$H$3665,$K2118))</f>
        <v/>
      </c>
      <c r="I2118" s="335">
        <f>IF(B2118=B2117,"",IF($K2118="","",INDEX(Zeiterfassung!$I$6:$I$3665,MATCH(INDEX(Zeiterfassung!$K$6:$K$3665,$K2118),Zeiterfassung!$K$6:$K$3665,0))))</f>
        <v/>
      </c>
      <c r="J2118" s="335">
        <f>IF(B2118=B2117,"",IF($K2118="","",INDEX(Zeiterfassung!$J$6:$J$3665,MATCH(INDEX(Zeiterfassung!$K$6:$K$3665,$K2118),Zeiterfassung!$K$6:$K$3665,0))))</f>
        <v/>
      </c>
      <c r="K2118">
        <f>IFERROR(AGGREGATE(15,6,(ROW(Zeiterfassung!$D$6:$D$3665)-ROW(Zeiterfassung!$D$6)+1)/(Zeiterfassung!$D$6:$D$3665&lt;&gt;""),2113),"")</f>
        <v/>
      </c>
    </row>
    <row r="2119" ht="20" customHeight="1">
      <c r="A2119" s="183">
        <f>IF($K2119="","",WEEKNUM(INDEX(Zeiterfassung!$K$6:$K$3665,$K2119),21))</f>
        <v/>
      </c>
      <c r="B2119" s="184">
        <f>IF($K2119="","",INDEX(Zeiterfassung!$K$6:$K$3665,$K2119))</f>
        <v/>
      </c>
      <c r="C2119" s="185">
        <f>IF($K2119="","",INDEX(Zeiterfassung!$K$6:$K$3665,$K2119))</f>
        <v/>
      </c>
      <c r="D2119" s="186">
        <f>IF($K2119="","",INDEX(Zeiterfassung!$D$6:$D$3665,$K2119))</f>
        <v/>
      </c>
      <c r="E2119" s="186">
        <f>IF($K2119="","",INDEX(Zeiterfassung!$E$6:$E$3665,$K2119))</f>
        <v/>
      </c>
      <c r="F2119" s="187">
        <f>IF($K2119="","",INDEX(Zeiterfassung!$F$6:$F$3665,$K2119))</f>
        <v/>
      </c>
      <c r="G2119" s="187">
        <f>IF($K2119="","",INDEX(Zeiterfassung!$G$6:$G$3665,$K2119))</f>
        <v/>
      </c>
      <c r="H2119" s="188">
        <f>IF($K2119="","",INDEX(Zeiterfassung!$H$6:$H$3665,$K2119))</f>
        <v/>
      </c>
      <c r="I2119" s="335">
        <f>IF(B2119=B2118,"",IF($K2119="","",INDEX(Zeiterfassung!$I$6:$I$3665,MATCH(INDEX(Zeiterfassung!$K$6:$K$3665,$K2119),Zeiterfassung!$K$6:$K$3665,0))))</f>
        <v/>
      </c>
      <c r="J2119" s="335">
        <f>IF(B2119=B2118,"",IF($K2119="","",INDEX(Zeiterfassung!$J$6:$J$3665,MATCH(INDEX(Zeiterfassung!$K$6:$K$3665,$K2119),Zeiterfassung!$K$6:$K$3665,0))))</f>
        <v/>
      </c>
      <c r="K2119">
        <f>IFERROR(AGGREGATE(15,6,(ROW(Zeiterfassung!$D$6:$D$3665)-ROW(Zeiterfassung!$D$6)+1)/(Zeiterfassung!$D$6:$D$3665&lt;&gt;""),2114),"")</f>
        <v/>
      </c>
    </row>
    <row r="2120" ht="20" customHeight="1">
      <c r="A2120" s="183">
        <f>IF($K2120="","",WEEKNUM(INDEX(Zeiterfassung!$K$6:$K$3665,$K2120),21))</f>
        <v/>
      </c>
      <c r="B2120" s="184">
        <f>IF($K2120="","",INDEX(Zeiterfassung!$K$6:$K$3665,$K2120))</f>
        <v/>
      </c>
      <c r="C2120" s="185">
        <f>IF($K2120="","",INDEX(Zeiterfassung!$K$6:$K$3665,$K2120))</f>
        <v/>
      </c>
      <c r="D2120" s="186">
        <f>IF($K2120="","",INDEX(Zeiterfassung!$D$6:$D$3665,$K2120))</f>
        <v/>
      </c>
      <c r="E2120" s="186">
        <f>IF($K2120="","",INDEX(Zeiterfassung!$E$6:$E$3665,$K2120))</f>
        <v/>
      </c>
      <c r="F2120" s="187">
        <f>IF($K2120="","",INDEX(Zeiterfassung!$F$6:$F$3665,$K2120))</f>
        <v/>
      </c>
      <c r="G2120" s="187">
        <f>IF($K2120="","",INDEX(Zeiterfassung!$G$6:$G$3665,$K2120))</f>
        <v/>
      </c>
      <c r="H2120" s="188">
        <f>IF($K2120="","",INDEX(Zeiterfassung!$H$6:$H$3665,$K2120))</f>
        <v/>
      </c>
      <c r="I2120" s="335">
        <f>IF(B2120=B2119,"",IF($K2120="","",INDEX(Zeiterfassung!$I$6:$I$3665,MATCH(INDEX(Zeiterfassung!$K$6:$K$3665,$K2120),Zeiterfassung!$K$6:$K$3665,0))))</f>
        <v/>
      </c>
      <c r="J2120" s="335">
        <f>IF(B2120=B2119,"",IF($K2120="","",INDEX(Zeiterfassung!$J$6:$J$3665,MATCH(INDEX(Zeiterfassung!$K$6:$K$3665,$K2120),Zeiterfassung!$K$6:$K$3665,0))))</f>
        <v/>
      </c>
      <c r="K2120">
        <f>IFERROR(AGGREGATE(15,6,(ROW(Zeiterfassung!$D$6:$D$3665)-ROW(Zeiterfassung!$D$6)+1)/(Zeiterfassung!$D$6:$D$3665&lt;&gt;""),2115),"")</f>
        <v/>
      </c>
    </row>
    <row r="2121" ht="20" customHeight="1">
      <c r="A2121" s="183">
        <f>IF($K2121="","",WEEKNUM(INDEX(Zeiterfassung!$K$6:$K$3665,$K2121),21))</f>
        <v/>
      </c>
      <c r="B2121" s="184">
        <f>IF($K2121="","",INDEX(Zeiterfassung!$K$6:$K$3665,$K2121))</f>
        <v/>
      </c>
      <c r="C2121" s="185">
        <f>IF($K2121="","",INDEX(Zeiterfassung!$K$6:$K$3665,$K2121))</f>
        <v/>
      </c>
      <c r="D2121" s="186">
        <f>IF($K2121="","",INDEX(Zeiterfassung!$D$6:$D$3665,$K2121))</f>
        <v/>
      </c>
      <c r="E2121" s="186">
        <f>IF($K2121="","",INDEX(Zeiterfassung!$E$6:$E$3665,$K2121))</f>
        <v/>
      </c>
      <c r="F2121" s="187">
        <f>IF($K2121="","",INDEX(Zeiterfassung!$F$6:$F$3665,$K2121))</f>
        <v/>
      </c>
      <c r="G2121" s="187">
        <f>IF($K2121="","",INDEX(Zeiterfassung!$G$6:$G$3665,$K2121))</f>
        <v/>
      </c>
      <c r="H2121" s="188">
        <f>IF($K2121="","",INDEX(Zeiterfassung!$H$6:$H$3665,$K2121))</f>
        <v/>
      </c>
      <c r="I2121" s="335">
        <f>IF(B2121=B2120,"",IF($K2121="","",INDEX(Zeiterfassung!$I$6:$I$3665,MATCH(INDEX(Zeiterfassung!$K$6:$K$3665,$K2121),Zeiterfassung!$K$6:$K$3665,0))))</f>
        <v/>
      </c>
      <c r="J2121" s="335">
        <f>IF(B2121=B2120,"",IF($K2121="","",INDEX(Zeiterfassung!$J$6:$J$3665,MATCH(INDEX(Zeiterfassung!$K$6:$K$3665,$K2121),Zeiterfassung!$K$6:$K$3665,0))))</f>
        <v/>
      </c>
      <c r="K2121">
        <f>IFERROR(AGGREGATE(15,6,(ROW(Zeiterfassung!$D$6:$D$3665)-ROW(Zeiterfassung!$D$6)+1)/(Zeiterfassung!$D$6:$D$3665&lt;&gt;""),2116),"")</f>
        <v/>
      </c>
    </row>
    <row r="2122" ht="20" customHeight="1">
      <c r="A2122" s="183">
        <f>IF($K2122="","",WEEKNUM(INDEX(Zeiterfassung!$K$6:$K$3665,$K2122),21))</f>
        <v/>
      </c>
      <c r="B2122" s="184">
        <f>IF($K2122="","",INDEX(Zeiterfassung!$K$6:$K$3665,$K2122))</f>
        <v/>
      </c>
      <c r="C2122" s="185">
        <f>IF($K2122="","",INDEX(Zeiterfassung!$K$6:$K$3665,$K2122))</f>
        <v/>
      </c>
      <c r="D2122" s="186">
        <f>IF($K2122="","",INDEX(Zeiterfassung!$D$6:$D$3665,$K2122))</f>
        <v/>
      </c>
      <c r="E2122" s="186">
        <f>IF($K2122="","",INDEX(Zeiterfassung!$E$6:$E$3665,$K2122))</f>
        <v/>
      </c>
      <c r="F2122" s="187">
        <f>IF($K2122="","",INDEX(Zeiterfassung!$F$6:$F$3665,$K2122))</f>
        <v/>
      </c>
      <c r="G2122" s="187">
        <f>IF($K2122="","",INDEX(Zeiterfassung!$G$6:$G$3665,$K2122))</f>
        <v/>
      </c>
      <c r="H2122" s="188">
        <f>IF($K2122="","",INDEX(Zeiterfassung!$H$6:$H$3665,$K2122))</f>
        <v/>
      </c>
      <c r="I2122" s="335">
        <f>IF(B2122=B2121,"",IF($K2122="","",INDEX(Zeiterfassung!$I$6:$I$3665,MATCH(INDEX(Zeiterfassung!$K$6:$K$3665,$K2122),Zeiterfassung!$K$6:$K$3665,0))))</f>
        <v/>
      </c>
      <c r="J2122" s="335">
        <f>IF(B2122=B2121,"",IF($K2122="","",INDEX(Zeiterfassung!$J$6:$J$3665,MATCH(INDEX(Zeiterfassung!$K$6:$K$3665,$K2122),Zeiterfassung!$K$6:$K$3665,0))))</f>
        <v/>
      </c>
      <c r="K2122">
        <f>IFERROR(AGGREGATE(15,6,(ROW(Zeiterfassung!$D$6:$D$3665)-ROW(Zeiterfassung!$D$6)+1)/(Zeiterfassung!$D$6:$D$3665&lt;&gt;""),2117),"")</f>
        <v/>
      </c>
    </row>
    <row r="2123" ht="20" customHeight="1">
      <c r="A2123" s="183">
        <f>IF($K2123="","",WEEKNUM(INDEX(Zeiterfassung!$K$6:$K$3665,$K2123),21))</f>
        <v/>
      </c>
      <c r="B2123" s="184">
        <f>IF($K2123="","",INDEX(Zeiterfassung!$K$6:$K$3665,$K2123))</f>
        <v/>
      </c>
      <c r="C2123" s="185">
        <f>IF($K2123="","",INDEX(Zeiterfassung!$K$6:$K$3665,$K2123))</f>
        <v/>
      </c>
      <c r="D2123" s="186">
        <f>IF($K2123="","",INDEX(Zeiterfassung!$D$6:$D$3665,$K2123))</f>
        <v/>
      </c>
      <c r="E2123" s="186">
        <f>IF($K2123="","",INDEX(Zeiterfassung!$E$6:$E$3665,$K2123))</f>
        <v/>
      </c>
      <c r="F2123" s="187">
        <f>IF($K2123="","",INDEX(Zeiterfassung!$F$6:$F$3665,$K2123))</f>
        <v/>
      </c>
      <c r="G2123" s="187">
        <f>IF($K2123="","",INDEX(Zeiterfassung!$G$6:$G$3665,$K2123))</f>
        <v/>
      </c>
      <c r="H2123" s="188">
        <f>IF($K2123="","",INDEX(Zeiterfassung!$H$6:$H$3665,$K2123))</f>
        <v/>
      </c>
      <c r="I2123" s="335">
        <f>IF(B2123=B2122,"",IF($K2123="","",INDEX(Zeiterfassung!$I$6:$I$3665,MATCH(INDEX(Zeiterfassung!$K$6:$K$3665,$K2123),Zeiterfassung!$K$6:$K$3665,0))))</f>
        <v/>
      </c>
      <c r="J2123" s="335">
        <f>IF(B2123=B2122,"",IF($K2123="","",INDEX(Zeiterfassung!$J$6:$J$3665,MATCH(INDEX(Zeiterfassung!$K$6:$K$3665,$K2123),Zeiterfassung!$K$6:$K$3665,0))))</f>
        <v/>
      </c>
      <c r="K2123">
        <f>IFERROR(AGGREGATE(15,6,(ROW(Zeiterfassung!$D$6:$D$3665)-ROW(Zeiterfassung!$D$6)+1)/(Zeiterfassung!$D$6:$D$3665&lt;&gt;""),2118),"")</f>
        <v/>
      </c>
    </row>
    <row r="2124" ht="20" customHeight="1">
      <c r="A2124" s="183">
        <f>IF($K2124="","",WEEKNUM(INDEX(Zeiterfassung!$K$6:$K$3665,$K2124),21))</f>
        <v/>
      </c>
      <c r="B2124" s="184">
        <f>IF($K2124="","",INDEX(Zeiterfassung!$K$6:$K$3665,$K2124))</f>
        <v/>
      </c>
      <c r="C2124" s="185">
        <f>IF($K2124="","",INDEX(Zeiterfassung!$K$6:$K$3665,$K2124))</f>
        <v/>
      </c>
      <c r="D2124" s="186">
        <f>IF($K2124="","",INDEX(Zeiterfassung!$D$6:$D$3665,$K2124))</f>
        <v/>
      </c>
      <c r="E2124" s="186">
        <f>IF($K2124="","",INDEX(Zeiterfassung!$E$6:$E$3665,$K2124))</f>
        <v/>
      </c>
      <c r="F2124" s="187">
        <f>IF($K2124="","",INDEX(Zeiterfassung!$F$6:$F$3665,$K2124))</f>
        <v/>
      </c>
      <c r="G2124" s="187">
        <f>IF($K2124="","",INDEX(Zeiterfassung!$G$6:$G$3665,$K2124))</f>
        <v/>
      </c>
      <c r="H2124" s="188">
        <f>IF($K2124="","",INDEX(Zeiterfassung!$H$6:$H$3665,$K2124))</f>
        <v/>
      </c>
      <c r="I2124" s="335">
        <f>IF(B2124=B2123,"",IF($K2124="","",INDEX(Zeiterfassung!$I$6:$I$3665,MATCH(INDEX(Zeiterfassung!$K$6:$K$3665,$K2124),Zeiterfassung!$K$6:$K$3665,0))))</f>
        <v/>
      </c>
      <c r="J2124" s="335">
        <f>IF(B2124=B2123,"",IF($K2124="","",INDEX(Zeiterfassung!$J$6:$J$3665,MATCH(INDEX(Zeiterfassung!$K$6:$K$3665,$K2124),Zeiterfassung!$K$6:$K$3665,0))))</f>
        <v/>
      </c>
      <c r="K2124">
        <f>IFERROR(AGGREGATE(15,6,(ROW(Zeiterfassung!$D$6:$D$3665)-ROW(Zeiterfassung!$D$6)+1)/(Zeiterfassung!$D$6:$D$3665&lt;&gt;""),2119),"")</f>
        <v/>
      </c>
    </row>
    <row r="2125" ht="20" customHeight="1">
      <c r="A2125" s="183">
        <f>IF($K2125="","",WEEKNUM(INDEX(Zeiterfassung!$K$6:$K$3665,$K2125),21))</f>
        <v/>
      </c>
      <c r="B2125" s="184">
        <f>IF($K2125="","",INDEX(Zeiterfassung!$K$6:$K$3665,$K2125))</f>
        <v/>
      </c>
      <c r="C2125" s="185">
        <f>IF($K2125="","",INDEX(Zeiterfassung!$K$6:$K$3665,$K2125))</f>
        <v/>
      </c>
      <c r="D2125" s="186">
        <f>IF($K2125="","",INDEX(Zeiterfassung!$D$6:$D$3665,$K2125))</f>
        <v/>
      </c>
      <c r="E2125" s="186">
        <f>IF($K2125="","",INDEX(Zeiterfassung!$E$6:$E$3665,$K2125))</f>
        <v/>
      </c>
      <c r="F2125" s="187">
        <f>IF($K2125="","",INDEX(Zeiterfassung!$F$6:$F$3665,$K2125))</f>
        <v/>
      </c>
      <c r="G2125" s="187">
        <f>IF($K2125="","",INDEX(Zeiterfassung!$G$6:$G$3665,$K2125))</f>
        <v/>
      </c>
      <c r="H2125" s="188">
        <f>IF($K2125="","",INDEX(Zeiterfassung!$H$6:$H$3665,$K2125))</f>
        <v/>
      </c>
      <c r="I2125" s="335">
        <f>IF(B2125=B2124,"",IF($K2125="","",INDEX(Zeiterfassung!$I$6:$I$3665,MATCH(INDEX(Zeiterfassung!$K$6:$K$3665,$K2125),Zeiterfassung!$K$6:$K$3665,0))))</f>
        <v/>
      </c>
      <c r="J2125" s="335">
        <f>IF(B2125=B2124,"",IF($K2125="","",INDEX(Zeiterfassung!$J$6:$J$3665,MATCH(INDEX(Zeiterfassung!$K$6:$K$3665,$K2125),Zeiterfassung!$K$6:$K$3665,0))))</f>
        <v/>
      </c>
      <c r="K2125">
        <f>IFERROR(AGGREGATE(15,6,(ROW(Zeiterfassung!$D$6:$D$3665)-ROW(Zeiterfassung!$D$6)+1)/(Zeiterfassung!$D$6:$D$3665&lt;&gt;""),2120),"")</f>
        <v/>
      </c>
    </row>
    <row r="2126" ht="20" customHeight="1">
      <c r="A2126" s="183">
        <f>IF($K2126="","",WEEKNUM(INDEX(Zeiterfassung!$K$6:$K$3665,$K2126),21))</f>
        <v/>
      </c>
      <c r="B2126" s="184">
        <f>IF($K2126="","",INDEX(Zeiterfassung!$K$6:$K$3665,$K2126))</f>
        <v/>
      </c>
      <c r="C2126" s="185">
        <f>IF($K2126="","",INDEX(Zeiterfassung!$K$6:$K$3665,$K2126))</f>
        <v/>
      </c>
      <c r="D2126" s="186">
        <f>IF($K2126="","",INDEX(Zeiterfassung!$D$6:$D$3665,$K2126))</f>
        <v/>
      </c>
      <c r="E2126" s="186">
        <f>IF($K2126="","",INDEX(Zeiterfassung!$E$6:$E$3665,$K2126))</f>
        <v/>
      </c>
      <c r="F2126" s="187">
        <f>IF($K2126="","",INDEX(Zeiterfassung!$F$6:$F$3665,$K2126))</f>
        <v/>
      </c>
      <c r="G2126" s="187">
        <f>IF($K2126="","",INDEX(Zeiterfassung!$G$6:$G$3665,$K2126))</f>
        <v/>
      </c>
      <c r="H2126" s="188">
        <f>IF($K2126="","",INDEX(Zeiterfassung!$H$6:$H$3665,$K2126))</f>
        <v/>
      </c>
      <c r="I2126" s="335">
        <f>IF(B2126=B2125,"",IF($K2126="","",INDEX(Zeiterfassung!$I$6:$I$3665,MATCH(INDEX(Zeiterfassung!$K$6:$K$3665,$K2126),Zeiterfassung!$K$6:$K$3665,0))))</f>
        <v/>
      </c>
      <c r="J2126" s="335">
        <f>IF(B2126=B2125,"",IF($K2126="","",INDEX(Zeiterfassung!$J$6:$J$3665,MATCH(INDEX(Zeiterfassung!$K$6:$K$3665,$K2126),Zeiterfassung!$K$6:$K$3665,0))))</f>
        <v/>
      </c>
      <c r="K2126">
        <f>IFERROR(AGGREGATE(15,6,(ROW(Zeiterfassung!$D$6:$D$3665)-ROW(Zeiterfassung!$D$6)+1)/(Zeiterfassung!$D$6:$D$3665&lt;&gt;""),2121),"")</f>
        <v/>
      </c>
    </row>
    <row r="2127" ht="20" customHeight="1">
      <c r="A2127" s="183">
        <f>IF($K2127="","",WEEKNUM(INDEX(Zeiterfassung!$K$6:$K$3665,$K2127),21))</f>
        <v/>
      </c>
      <c r="B2127" s="184">
        <f>IF($K2127="","",INDEX(Zeiterfassung!$K$6:$K$3665,$K2127))</f>
        <v/>
      </c>
      <c r="C2127" s="185">
        <f>IF($K2127="","",INDEX(Zeiterfassung!$K$6:$K$3665,$K2127))</f>
        <v/>
      </c>
      <c r="D2127" s="186">
        <f>IF($K2127="","",INDEX(Zeiterfassung!$D$6:$D$3665,$K2127))</f>
        <v/>
      </c>
      <c r="E2127" s="186">
        <f>IF($K2127="","",INDEX(Zeiterfassung!$E$6:$E$3665,$K2127))</f>
        <v/>
      </c>
      <c r="F2127" s="187">
        <f>IF($K2127="","",INDEX(Zeiterfassung!$F$6:$F$3665,$K2127))</f>
        <v/>
      </c>
      <c r="G2127" s="187">
        <f>IF($K2127="","",INDEX(Zeiterfassung!$G$6:$G$3665,$K2127))</f>
        <v/>
      </c>
      <c r="H2127" s="188">
        <f>IF($K2127="","",INDEX(Zeiterfassung!$H$6:$H$3665,$K2127))</f>
        <v/>
      </c>
      <c r="I2127" s="335">
        <f>IF(B2127=B2126,"",IF($K2127="","",INDEX(Zeiterfassung!$I$6:$I$3665,MATCH(INDEX(Zeiterfassung!$K$6:$K$3665,$K2127),Zeiterfassung!$K$6:$K$3665,0))))</f>
        <v/>
      </c>
      <c r="J2127" s="335">
        <f>IF(B2127=B2126,"",IF($K2127="","",INDEX(Zeiterfassung!$J$6:$J$3665,MATCH(INDEX(Zeiterfassung!$K$6:$K$3665,$K2127),Zeiterfassung!$K$6:$K$3665,0))))</f>
        <v/>
      </c>
      <c r="K2127">
        <f>IFERROR(AGGREGATE(15,6,(ROW(Zeiterfassung!$D$6:$D$3665)-ROW(Zeiterfassung!$D$6)+1)/(Zeiterfassung!$D$6:$D$3665&lt;&gt;""),2122),"")</f>
        <v/>
      </c>
    </row>
    <row r="2128" ht="20" customHeight="1">
      <c r="A2128" s="183">
        <f>IF($K2128="","",WEEKNUM(INDEX(Zeiterfassung!$K$6:$K$3665,$K2128),21))</f>
        <v/>
      </c>
      <c r="B2128" s="184">
        <f>IF($K2128="","",INDEX(Zeiterfassung!$K$6:$K$3665,$K2128))</f>
        <v/>
      </c>
      <c r="C2128" s="185">
        <f>IF($K2128="","",INDEX(Zeiterfassung!$K$6:$K$3665,$K2128))</f>
        <v/>
      </c>
      <c r="D2128" s="186">
        <f>IF($K2128="","",INDEX(Zeiterfassung!$D$6:$D$3665,$K2128))</f>
        <v/>
      </c>
      <c r="E2128" s="186">
        <f>IF($K2128="","",INDEX(Zeiterfassung!$E$6:$E$3665,$K2128))</f>
        <v/>
      </c>
      <c r="F2128" s="187">
        <f>IF($K2128="","",INDEX(Zeiterfassung!$F$6:$F$3665,$K2128))</f>
        <v/>
      </c>
      <c r="G2128" s="187">
        <f>IF($K2128="","",INDEX(Zeiterfassung!$G$6:$G$3665,$K2128))</f>
        <v/>
      </c>
      <c r="H2128" s="188">
        <f>IF($K2128="","",INDEX(Zeiterfassung!$H$6:$H$3665,$K2128))</f>
        <v/>
      </c>
      <c r="I2128" s="335">
        <f>IF(B2128=B2127,"",IF($K2128="","",INDEX(Zeiterfassung!$I$6:$I$3665,MATCH(INDEX(Zeiterfassung!$K$6:$K$3665,$K2128),Zeiterfassung!$K$6:$K$3665,0))))</f>
        <v/>
      </c>
      <c r="J2128" s="335">
        <f>IF(B2128=B2127,"",IF($K2128="","",INDEX(Zeiterfassung!$J$6:$J$3665,MATCH(INDEX(Zeiterfassung!$K$6:$K$3665,$K2128),Zeiterfassung!$K$6:$K$3665,0))))</f>
        <v/>
      </c>
      <c r="K2128">
        <f>IFERROR(AGGREGATE(15,6,(ROW(Zeiterfassung!$D$6:$D$3665)-ROW(Zeiterfassung!$D$6)+1)/(Zeiterfassung!$D$6:$D$3665&lt;&gt;""),2123),"")</f>
        <v/>
      </c>
    </row>
    <row r="2129" ht="20" customHeight="1">
      <c r="A2129" s="183">
        <f>IF($K2129="","",WEEKNUM(INDEX(Zeiterfassung!$K$6:$K$3665,$K2129),21))</f>
        <v/>
      </c>
      <c r="B2129" s="184">
        <f>IF($K2129="","",INDEX(Zeiterfassung!$K$6:$K$3665,$K2129))</f>
        <v/>
      </c>
      <c r="C2129" s="185">
        <f>IF($K2129="","",INDEX(Zeiterfassung!$K$6:$K$3665,$K2129))</f>
        <v/>
      </c>
      <c r="D2129" s="186">
        <f>IF($K2129="","",INDEX(Zeiterfassung!$D$6:$D$3665,$K2129))</f>
        <v/>
      </c>
      <c r="E2129" s="186">
        <f>IF($K2129="","",INDEX(Zeiterfassung!$E$6:$E$3665,$K2129))</f>
        <v/>
      </c>
      <c r="F2129" s="187">
        <f>IF($K2129="","",INDEX(Zeiterfassung!$F$6:$F$3665,$K2129))</f>
        <v/>
      </c>
      <c r="G2129" s="187">
        <f>IF($K2129="","",INDEX(Zeiterfassung!$G$6:$G$3665,$K2129))</f>
        <v/>
      </c>
      <c r="H2129" s="188">
        <f>IF($K2129="","",INDEX(Zeiterfassung!$H$6:$H$3665,$K2129))</f>
        <v/>
      </c>
      <c r="I2129" s="335">
        <f>IF(B2129=B2128,"",IF($K2129="","",INDEX(Zeiterfassung!$I$6:$I$3665,MATCH(INDEX(Zeiterfassung!$K$6:$K$3665,$K2129),Zeiterfassung!$K$6:$K$3665,0))))</f>
        <v/>
      </c>
      <c r="J2129" s="335">
        <f>IF(B2129=B2128,"",IF($K2129="","",INDEX(Zeiterfassung!$J$6:$J$3665,MATCH(INDEX(Zeiterfassung!$K$6:$K$3665,$K2129),Zeiterfassung!$K$6:$K$3665,0))))</f>
        <v/>
      </c>
      <c r="K2129">
        <f>IFERROR(AGGREGATE(15,6,(ROW(Zeiterfassung!$D$6:$D$3665)-ROW(Zeiterfassung!$D$6)+1)/(Zeiterfassung!$D$6:$D$3665&lt;&gt;""),2124),"")</f>
        <v/>
      </c>
    </row>
    <row r="2130" ht="20" customHeight="1">
      <c r="A2130" s="183">
        <f>IF($K2130="","",WEEKNUM(INDEX(Zeiterfassung!$K$6:$K$3665,$K2130),21))</f>
        <v/>
      </c>
      <c r="B2130" s="184">
        <f>IF($K2130="","",INDEX(Zeiterfassung!$K$6:$K$3665,$K2130))</f>
        <v/>
      </c>
      <c r="C2130" s="185">
        <f>IF($K2130="","",INDEX(Zeiterfassung!$K$6:$K$3665,$K2130))</f>
        <v/>
      </c>
      <c r="D2130" s="186">
        <f>IF($K2130="","",INDEX(Zeiterfassung!$D$6:$D$3665,$K2130))</f>
        <v/>
      </c>
      <c r="E2130" s="186">
        <f>IF($K2130="","",INDEX(Zeiterfassung!$E$6:$E$3665,$K2130))</f>
        <v/>
      </c>
      <c r="F2130" s="187">
        <f>IF($K2130="","",INDEX(Zeiterfassung!$F$6:$F$3665,$K2130))</f>
        <v/>
      </c>
      <c r="G2130" s="187">
        <f>IF($K2130="","",INDEX(Zeiterfassung!$G$6:$G$3665,$K2130))</f>
        <v/>
      </c>
      <c r="H2130" s="188">
        <f>IF($K2130="","",INDEX(Zeiterfassung!$H$6:$H$3665,$K2130))</f>
        <v/>
      </c>
      <c r="I2130" s="335">
        <f>IF(B2130=B2129,"",IF($K2130="","",INDEX(Zeiterfassung!$I$6:$I$3665,MATCH(INDEX(Zeiterfassung!$K$6:$K$3665,$K2130),Zeiterfassung!$K$6:$K$3665,0))))</f>
        <v/>
      </c>
      <c r="J2130" s="335">
        <f>IF(B2130=B2129,"",IF($K2130="","",INDEX(Zeiterfassung!$J$6:$J$3665,MATCH(INDEX(Zeiterfassung!$K$6:$K$3665,$K2130),Zeiterfassung!$K$6:$K$3665,0))))</f>
        <v/>
      </c>
      <c r="K2130">
        <f>IFERROR(AGGREGATE(15,6,(ROW(Zeiterfassung!$D$6:$D$3665)-ROW(Zeiterfassung!$D$6)+1)/(Zeiterfassung!$D$6:$D$3665&lt;&gt;""),2125),"")</f>
        <v/>
      </c>
    </row>
    <row r="2131" ht="20" customHeight="1">
      <c r="A2131" s="183">
        <f>IF($K2131="","",WEEKNUM(INDEX(Zeiterfassung!$K$6:$K$3665,$K2131),21))</f>
        <v/>
      </c>
      <c r="B2131" s="184">
        <f>IF($K2131="","",INDEX(Zeiterfassung!$K$6:$K$3665,$K2131))</f>
        <v/>
      </c>
      <c r="C2131" s="185">
        <f>IF($K2131="","",INDEX(Zeiterfassung!$K$6:$K$3665,$K2131))</f>
        <v/>
      </c>
      <c r="D2131" s="186">
        <f>IF($K2131="","",INDEX(Zeiterfassung!$D$6:$D$3665,$K2131))</f>
        <v/>
      </c>
      <c r="E2131" s="186">
        <f>IF($K2131="","",INDEX(Zeiterfassung!$E$6:$E$3665,$K2131))</f>
        <v/>
      </c>
      <c r="F2131" s="187">
        <f>IF($K2131="","",INDEX(Zeiterfassung!$F$6:$F$3665,$K2131))</f>
        <v/>
      </c>
      <c r="G2131" s="187">
        <f>IF($K2131="","",INDEX(Zeiterfassung!$G$6:$G$3665,$K2131))</f>
        <v/>
      </c>
      <c r="H2131" s="188">
        <f>IF($K2131="","",INDEX(Zeiterfassung!$H$6:$H$3665,$K2131))</f>
        <v/>
      </c>
      <c r="I2131" s="335">
        <f>IF(B2131=B2130,"",IF($K2131="","",INDEX(Zeiterfassung!$I$6:$I$3665,MATCH(INDEX(Zeiterfassung!$K$6:$K$3665,$K2131),Zeiterfassung!$K$6:$K$3665,0))))</f>
        <v/>
      </c>
      <c r="J2131" s="335">
        <f>IF(B2131=B2130,"",IF($K2131="","",INDEX(Zeiterfassung!$J$6:$J$3665,MATCH(INDEX(Zeiterfassung!$K$6:$K$3665,$K2131),Zeiterfassung!$K$6:$K$3665,0))))</f>
        <v/>
      </c>
      <c r="K2131">
        <f>IFERROR(AGGREGATE(15,6,(ROW(Zeiterfassung!$D$6:$D$3665)-ROW(Zeiterfassung!$D$6)+1)/(Zeiterfassung!$D$6:$D$3665&lt;&gt;""),2126),"")</f>
        <v/>
      </c>
    </row>
    <row r="2132" ht="20" customHeight="1">
      <c r="A2132" s="183">
        <f>IF($K2132="","",WEEKNUM(INDEX(Zeiterfassung!$K$6:$K$3665,$K2132),21))</f>
        <v/>
      </c>
      <c r="B2132" s="184">
        <f>IF($K2132="","",INDEX(Zeiterfassung!$K$6:$K$3665,$K2132))</f>
        <v/>
      </c>
      <c r="C2132" s="185">
        <f>IF($K2132="","",INDEX(Zeiterfassung!$K$6:$K$3665,$K2132))</f>
        <v/>
      </c>
      <c r="D2132" s="186">
        <f>IF($K2132="","",INDEX(Zeiterfassung!$D$6:$D$3665,$K2132))</f>
        <v/>
      </c>
      <c r="E2132" s="186">
        <f>IF($K2132="","",INDEX(Zeiterfassung!$E$6:$E$3665,$K2132))</f>
        <v/>
      </c>
      <c r="F2132" s="187">
        <f>IF($K2132="","",INDEX(Zeiterfassung!$F$6:$F$3665,$K2132))</f>
        <v/>
      </c>
      <c r="G2132" s="187">
        <f>IF($K2132="","",INDEX(Zeiterfassung!$G$6:$G$3665,$K2132))</f>
        <v/>
      </c>
      <c r="H2132" s="188">
        <f>IF($K2132="","",INDEX(Zeiterfassung!$H$6:$H$3665,$K2132))</f>
        <v/>
      </c>
      <c r="I2132" s="335">
        <f>IF(B2132=B2131,"",IF($K2132="","",INDEX(Zeiterfassung!$I$6:$I$3665,MATCH(INDEX(Zeiterfassung!$K$6:$K$3665,$K2132),Zeiterfassung!$K$6:$K$3665,0))))</f>
        <v/>
      </c>
      <c r="J2132" s="335">
        <f>IF(B2132=B2131,"",IF($K2132="","",INDEX(Zeiterfassung!$J$6:$J$3665,MATCH(INDEX(Zeiterfassung!$K$6:$K$3665,$K2132),Zeiterfassung!$K$6:$K$3665,0))))</f>
        <v/>
      </c>
      <c r="K2132">
        <f>IFERROR(AGGREGATE(15,6,(ROW(Zeiterfassung!$D$6:$D$3665)-ROW(Zeiterfassung!$D$6)+1)/(Zeiterfassung!$D$6:$D$3665&lt;&gt;""),2127),"")</f>
        <v/>
      </c>
    </row>
    <row r="2133" ht="20" customHeight="1">
      <c r="A2133" s="183">
        <f>IF($K2133="","",WEEKNUM(INDEX(Zeiterfassung!$K$6:$K$3665,$K2133),21))</f>
        <v/>
      </c>
      <c r="B2133" s="184">
        <f>IF($K2133="","",INDEX(Zeiterfassung!$K$6:$K$3665,$K2133))</f>
        <v/>
      </c>
      <c r="C2133" s="185">
        <f>IF($K2133="","",INDEX(Zeiterfassung!$K$6:$K$3665,$K2133))</f>
        <v/>
      </c>
      <c r="D2133" s="186">
        <f>IF($K2133="","",INDEX(Zeiterfassung!$D$6:$D$3665,$K2133))</f>
        <v/>
      </c>
      <c r="E2133" s="186">
        <f>IF($K2133="","",INDEX(Zeiterfassung!$E$6:$E$3665,$K2133))</f>
        <v/>
      </c>
      <c r="F2133" s="187">
        <f>IF($K2133="","",INDEX(Zeiterfassung!$F$6:$F$3665,$K2133))</f>
        <v/>
      </c>
      <c r="G2133" s="187">
        <f>IF($K2133="","",INDEX(Zeiterfassung!$G$6:$G$3665,$K2133))</f>
        <v/>
      </c>
      <c r="H2133" s="188">
        <f>IF($K2133="","",INDEX(Zeiterfassung!$H$6:$H$3665,$K2133))</f>
        <v/>
      </c>
      <c r="I2133" s="335">
        <f>IF(B2133=B2132,"",IF($K2133="","",INDEX(Zeiterfassung!$I$6:$I$3665,MATCH(INDEX(Zeiterfassung!$K$6:$K$3665,$K2133),Zeiterfassung!$K$6:$K$3665,0))))</f>
        <v/>
      </c>
      <c r="J2133" s="335">
        <f>IF(B2133=B2132,"",IF($K2133="","",INDEX(Zeiterfassung!$J$6:$J$3665,MATCH(INDEX(Zeiterfassung!$K$6:$K$3665,$K2133),Zeiterfassung!$K$6:$K$3665,0))))</f>
        <v/>
      </c>
      <c r="K2133">
        <f>IFERROR(AGGREGATE(15,6,(ROW(Zeiterfassung!$D$6:$D$3665)-ROW(Zeiterfassung!$D$6)+1)/(Zeiterfassung!$D$6:$D$3665&lt;&gt;""),2128),"")</f>
        <v/>
      </c>
    </row>
    <row r="2134" ht="20" customHeight="1">
      <c r="A2134" s="183">
        <f>IF($K2134="","",WEEKNUM(INDEX(Zeiterfassung!$K$6:$K$3665,$K2134),21))</f>
        <v/>
      </c>
      <c r="B2134" s="184">
        <f>IF($K2134="","",INDEX(Zeiterfassung!$K$6:$K$3665,$K2134))</f>
        <v/>
      </c>
      <c r="C2134" s="185">
        <f>IF($K2134="","",INDEX(Zeiterfassung!$K$6:$K$3665,$K2134))</f>
        <v/>
      </c>
      <c r="D2134" s="186">
        <f>IF($K2134="","",INDEX(Zeiterfassung!$D$6:$D$3665,$K2134))</f>
        <v/>
      </c>
      <c r="E2134" s="186">
        <f>IF($K2134="","",INDEX(Zeiterfassung!$E$6:$E$3665,$K2134))</f>
        <v/>
      </c>
      <c r="F2134" s="187">
        <f>IF($K2134="","",INDEX(Zeiterfassung!$F$6:$F$3665,$K2134))</f>
        <v/>
      </c>
      <c r="G2134" s="187">
        <f>IF($K2134="","",INDEX(Zeiterfassung!$G$6:$G$3665,$K2134))</f>
        <v/>
      </c>
      <c r="H2134" s="188">
        <f>IF($K2134="","",INDEX(Zeiterfassung!$H$6:$H$3665,$K2134))</f>
        <v/>
      </c>
      <c r="I2134" s="335">
        <f>IF(B2134=B2133,"",IF($K2134="","",INDEX(Zeiterfassung!$I$6:$I$3665,MATCH(INDEX(Zeiterfassung!$K$6:$K$3665,$K2134),Zeiterfassung!$K$6:$K$3665,0))))</f>
        <v/>
      </c>
      <c r="J2134" s="335">
        <f>IF(B2134=B2133,"",IF($K2134="","",INDEX(Zeiterfassung!$J$6:$J$3665,MATCH(INDEX(Zeiterfassung!$K$6:$K$3665,$K2134),Zeiterfassung!$K$6:$K$3665,0))))</f>
        <v/>
      </c>
      <c r="K2134">
        <f>IFERROR(AGGREGATE(15,6,(ROW(Zeiterfassung!$D$6:$D$3665)-ROW(Zeiterfassung!$D$6)+1)/(Zeiterfassung!$D$6:$D$3665&lt;&gt;""),2129),"")</f>
        <v/>
      </c>
    </row>
    <row r="2135" ht="20" customHeight="1">
      <c r="A2135" s="183">
        <f>IF($K2135="","",WEEKNUM(INDEX(Zeiterfassung!$K$6:$K$3665,$K2135),21))</f>
        <v/>
      </c>
      <c r="B2135" s="184">
        <f>IF($K2135="","",INDEX(Zeiterfassung!$K$6:$K$3665,$K2135))</f>
        <v/>
      </c>
      <c r="C2135" s="185">
        <f>IF($K2135="","",INDEX(Zeiterfassung!$K$6:$K$3665,$K2135))</f>
        <v/>
      </c>
      <c r="D2135" s="186">
        <f>IF($K2135="","",INDEX(Zeiterfassung!$D$6:$D$3665,$K2135))</f>
        <v/>
      </c>
      <c r="E2135" s="186">
        <f>IF($K2135="","",INDEX(Zeiterfassung!$E$6:$E$3665,$K2135))</f>
        <v/>
      </c>
      <c r="F2135" s="187">
        <f>IF($K2135="","",INDEX(Zeiterfassung!$F$6:$F$3665,$K2135))</f>
        <v/>
      </c>
      <c r="G2135" s="187">
        <f>IF($K2135="","",INDEX(Zeiterfassung!$G$6:$G$3665,$K2135))</f>
        <v/>
      </c>
      <c r="H2135" s="188">
        <f>IF($K2135="","",INDEX(Zeiterfassung!$H$6:$H$3665,$K2135))</f>
        <v/>
      </c>
      <c r="I2135" s="335">
        <f>IF(B2135=B2134,"",IF($K2135="","",INDEX(Zeiterfassung!$I$6:$I$3665,MATCH(INDEX(Zeiterfassung!$K$6:$K$3665,$K2135),Zeiterfassung!$K$6:$K$3665,0))))</f>
        <v/>
      </c>
      <c r="J2135" s="335">
        <f>IF(B2135=B2134,"",IF($K2135="","",INDEX(Zeiterfassung!$J$6:$J$3665,MATCH(INDEX(Zeiterfassung!$K$6:$K$3665,$K2135),Zeiterfassung!$K$6:$K$3665,0))))</f>
        <v/>
      </c>
      <c r="K2135">
        <f>IFERROR(AGGREGATE(15,6,(ROW(Zeiterfassung!$D$6:$D$3665)-ROW(Zeiterfassung!$D$6)+1)/(Zeiterfassung!$D$6:$D$3665&lt;&gt;""),2130),"")</f>
        <v/>
      </c>
    </row>
    <row r="2136" ht="20" customHeight="1">
      <c r="A2136" s="183">
        <f>IF($K2136="","",WEEKNUM(INDEX(Zeiterfassung!$K$6:$K$3665,$K2136),21))</f>
        <v/>
      </c>
      <c r="B2136" s="184">
        <f>IF($K2136="","",INDEX(Zeiterfassung!$K$6:$K$3665,$K2136))</f>
        <v/>
      </c>
      <c r="C2136" s="185">
        <f>IF($K2136="","",INDEX(Zeiterfassung!$K$6:$K$3665,$K2136))</f>
        <v/>
      </c>
      <c r="D2136" s="186">
        <f>IF($K2136="","",INDEX(Zeiterfassung!$D$6:$D$3665,$K2136))</f>
        <v/>
      </c>
      <c r="E2136" s="186">
        <f>IF($K2136="","",INDEX(Zeiterfassung!$E$6:$E$3665,$K2136))</f>
        <v/>
      </c>
      <c r="F2136" s="187">
        <f>IF($K2136="","",INDEX(Zeiterfassung!$F$6:$F$3665,$K2136))</f>
        <v/>
      </c>
      <c r="G2136" s="187">
        <f>IF($K2136="","",INDEX(Zeiterfassung!$G$6:$G$3665,$K2136))</f>
        <v/>
      </c>
      <c r="H2136" s="188">
        <f>IF($K2136="","",INDEX(Zeiterfassung!$H$6:$H$3665,$K2136))</f>
        <v/>
      </c>
      <c r="I2136" s="335">
        <f>IF(B2136=B2135,"",IF($K2136="","",INDEX(Zeiterfassung!$I$6:$I$3665,MATCH(INDEX(Zeiterfassung!$K$6:$K$3665,$K2136),Zeiterfassung!$K$6:$K$3665,0))))</f>
        <v/>
      </c>
      <c r="J2136" s="335">
        <f>IF(B2136=B2135,"",IF($K2136="","",INDEX(Zeiterfassung!$J$6:$J$3665,MATCH(INDEX(Zeiterfassung!$K$6:$K$3665,$K2136),Zeiterfassung!$K$6:$K$3665,0))))</f>
        <v/>
      </c>
      <c r="K2136">
        <f>IFERROR(AGGREGATE(15,6,(ROW(Zeiterfassung!$D$6:$D$3665)-ROW(Zeiterfassung!$D$6)+1)/(Zeiterfassung!$D$6:$D$3665&lt;&gt;""),2131),"")</f>
        <v/>
      </c>
    </row>
    <row r="2137" ht="20" customHeight="1">
      <c r="A2137" s="183">
        <f>IF($K2137="","",WEEKNUM(INDEX(Zeiterfassung!$K$6:$K$3665,$K2137),21))</f>
        <v/>
      </c>
      <c r="B2137" s="184">
        <f>IF($K2137="","",INDEX(Zeiterfassung!$K$6:$K$3665,$K2137))</f>
        <v/>
      </c>
      <c r="C2137" s="185">
        <f>IF($K2137="","",INDEX(Zeiterfassung!$K$6:$K$3665,$K2137))</f>
        <v/>
      </c>
      <c r="D2137" s="186">
        <f>IF($K2137="","",INDEX(Zeiterfassung!$D$6:$D$3665,$K2137))</f>
        <v/>
      </c>
      <c r="E2137" s="186">
        <f>IF($K2137="","",INDEX(Zeiterfassung!$E$6:$E$3665,$K2137))</f>
        <v/>
      </c>
      <c r="F2137" s="187">
        <f>IF($K2137="","",INDEX(Zeiterfassung!$F$6:$F$3665,$K2137))</f>
        <v/>
      </c>
      <c r="G2137" s="187">
        <f>IF($K2137="","",INDEX(Zeiterfassung!$G$6:$G$3665,$K2137))</f>
        <v/>
      </c>
      <c r="H2137" s="188">
        <f>IF($K2137="","",INDEX(Zeiterfassung!$H$6:$H$3665,$K2137))</f>
        <v/>
      </c>
      <c r="I2137" s="335">
        <f>IF(B2137=B2136,"",IF($K2137="","",INDEX(Zeiterfassung!$I$6:$I$3665,MATCH(INDEX(Zeiterfassung!$K$6:$K$3665,$K2137),Zeiterfassung!$K$6:$K$3665,0))))</f>
        <v/>
      </c>
      <c r="J2137" s="335">
        <f>IF(B2137=B2136,"",IF($K2137="","",INDEX(Zeiterfassung!$J$6:$J$3665,MATCH(INDEX(Zeiterfassung!$K$6:$K$3665,$K2137),Zeiterfassung!$K$6:$K$3665,0))))</f>
        <v/>
      </c>
      <c r="K2137">
        <f>IFERROR(AGGREGATE(15,6,(ROW(Zeiterfassung!$D$6:$D$3665)-ROW(Zeiterfassung!$D$6)+1)/(Zeiterfassung!$D$6:$D$3665&lt;&gt;""),2132),"")</f>
        <v/>
      </c>
    </row>
    <row r="2138" ht="20" customHeight="1">
      <c r="A2138" s="183">
        <f>IF($K2138="","",WEEKNUM(INDEX(Zeiterfassung!$K$6:$K$3665,$K2138),21))</f>
        <v/>
      </c>
      <c r="B2138" s="184">
        <f>IF($K2138="","",INDEX(Zeiterfassung!$K$6:$K$3665,$K2138))</f>
        <v/>
      </c>
      <c r="C2138" s="185">
        <f>IF($K2138="","",INDEX(Zeiterfassung!$K$6:$K$3665,$K2138))</f>
        <v/>
      </c>
      <c r="D2138" s="186">
        <f>IF($K2138="","",INDEX(Zeiterfassung!$D$6:$D$3665,$K2138))</f>
        <v/>
      </c>
      <c r="E2138" s="186">
        <f>IF($K2138="","",INDEX(Zeiterfassung!$E$6:$E$3665,$K2138))</f>
        <v/>
      </c>
      <c r="F2138" s="187">
        <f>IF($K2138="","",INDEX(Zeiterfassung!$F$6:$F$3665,$K2138))</f>
        <v/>
      </c>
      <c r="G2138" s="187">
        <f>IF($K2138="","",INDEX(Zeiterfassung!$G$6:$G$3665,$K2138))</f>
        <v/>
      </c>
      <c r="H2138" s="188">
        <f>IF($K2138="","",INDEX(Zeiterfassung!$H$6:$H$3665,$K2138))</f>
        <v/>
      </c>
      <c r="I2138" s="335">
        <f>IF(B2138=B2137,"",IF($K2138="","",INDEX(Zeiterfassung!$I$6:$I$3665,MATCH(INDEX(Zeiterfassung!$K$6:$K$3665,$K2138),Zeiterfassung!$K$6:$K$3665,0))))</f>
        <v/>
      </c>
      <c r="J2138" s="335">
        <f>IF(B2138=B2137,"",IF($K2138="","",INDEX(Zeiterfassung!$J$6:$J$3665,MATCH(INDEX(Zeiterfassung!$K$6:$K$3665,$K2138),Zeiterfassung!$K$6:$K$3665,0))))</f>
        <v/>
      </c>
      <c r="K2138">
        <f>IFERROR(AGGREGATE(15,6,(ROW(Zeiterfassung!$D$6:$D$3665)-ROW(Zeiterfassung!$D$6)+1)/(Zeiterfassung!$D$6:$D$3665&lt;&gt;""),2133),"")</f>
        <v/>
      </c>
    </row>
    <row r="2139" ht="20" customHeight="1">
      <c r="A2139" s="183">
        <f>IF($K2139="","",WEEKNUM(INDEX(Zeiterfassung!$K$6:$K$3665,$K2139),21))</f>
        <v/>
      </c>
      <c r="B2139" s="184">
        <f>IF($K2139="","",INDEX(Zeiterfassung!$K$6:$K$3665,$K2139))</f>
        <v/>
      </c>
      <c r="C2139" s="185">
        <f>IF($K2139="","",INDEX(Zeiterfassung!$K$6:$K$3665,$K2139))</f>
        <v/>
      </c>
      <c r="D2139" s="186">
        <f>IF($K2139="","",INDEX(Zeiterfassung!$D$6:$D$3665,$K2139))</f>
        <v/>
      </c>
      <c r="E2139" s="186">
        <f>IF($K2139="","",INDEX(Zeiterfassung!$E$6:$E$3665,$K2139))</f>
        <v/>
      </c>
      <c r="F2139" s="187">
        <f>IF($K2139="","",INDEX(Zeiterfassung!$F$6:$F$3665,$K2139))</f>
        <v/>
      </c>
      <c r="G2139" s="187">
        <f>IF($K2139="","",INDEX(Zeiterfassung!$G$6:$G$3665,$K2139))</f>
        <v/>
      </c>
      <c r="H2139" s="188">
        <f>IF($K2139="","",INDEX(Zeiterfassung!$H$6:$H$3665,$K2139))</f>
        <v/>
      </c>
      <c r="I2139" s="335">
        <f>IF(B2139=B2138,"",IF($K2139="","",INDEX(Zeiterfassung!$I$6:$I$3665,MATCH(INDEX(Zeiterfassung!$K$6:$K$3665,$K2139),Zeiterfassung!$K$6:$K$3665,0))))</f>
        <v/>
      </c>
      <c r="J2139" s="335">
        <f>IF(B2139=B2138,"",IF($K2139="","",INDEX(Zeiterfassung!$J$6:$J$3665,MATCH(INDEX(Zeiterfassung!$K$6:$K$3665,$K2139),Zeiterfassung!$K$6:$K$3665,0))))</f>
        <v/>
      </c>
      <c r="K2139">
        <f>IFERROR(AGGREGATE(15,6,(ROW(Zeiterfassung!$D$6:$D$3665)-ROW(Zeiterfassung!$D$6)+1)/(Zeiterfassung!$D$6:$D$3665&lt;&gt;""),2134),"")</f>
        <v/>
      </c>
    </row>
    <row r="2140" ht="20" customHeight="1">
      <c r="A2140" s="183">
        <f>IF($K2140="","",WEEKNUM(INDEX(Zeiterfassung!$K$6:$K$3665,$K2140),21))</f>
        <v/>
      </c>
      <c r="B2140" s="184">
        <f>IF($K2140="","",INDEX(Zeiterfassung!$K$6:$K$3665,$K2140))</f>
        <v/>
      </c>
      <c r="C2140" s="185">
        <f>IF($K2140="","",INDEX(Zeiterfassung!$K$6:$K$3665,$K2140))</f>
        <v/>
      </c>
      <c r="D2140" s="186">
        <f>IF($K2140="","",INDEX(Zeiterfassung!$D$6:$D$3665,$K2140))</f>
        <v/>
      </c>
      <c r="E2140" s="186">
        <f>IF($K2140="","",INDEX(Zeiterfassung!$E$6:$E$3665,$K2140))</f>
        <v/>
      </c>
      <c r="F2140" s="187">
        <f>IF($K2140="","",INDEX(Zeiterfassung!$F$6:$F$3665,$K2140))</f>
        <v/>
      </c>
      <c r="G2140" s="187">
        <f>IF($K2140="","",INDEX(Zeiterfassung!$G$6:$G$3665,$K2140))</f>
        <v/>
      </c>
      <c r="H2140" s="188">
        <f>IF($K2140="","",INDEX(Zeiterfassung!$H$6:$H$3665,$K2140))</f>
        <v/>
      </c>
      <c r="I2140" s="335">
        <f>IF(B2140=B2139,"",IF($K2140="","",INDEX(Zeiterfassung!$I$6:$I$3665,MATCH(INDEX(Zeiterfassung!$K$6:$K$3665,$K2140),Zeiterfassung!$K$6:$K$3665,0))))</f>
        <v/>
      </c>
      <c r="J2140" s="335">
        <f>IF(B2140=B2139,"",IF($K2140="","",INDEX(Zeiterfassung!$J$6:$J$3665,MATCH(INDEX(Zeiterfassung!$K$6:$K$3665,$K2140),Zeiterfassung!$K$6:$K$3665,0))))</f>
        <v/>
      </c>
      <c r="K2140">
        <f>IFERROR(AGGREGATE(15,6,(ROW(Zeiterfassung!$D$6:$D$3665)-ROW(Zeiterfassung!$D$6)+1)/(Zeiterfassung!$D$6:$D$3665&lt;&gt;""),2135),"")</f>
        <v/>
      </c>
    </row>
    <row r="2141" ht="20" customHeight="1">
      <c r="A2141" s="183">
        <f>IF($K2141="","",WEEKNUM(INDEX(Zeiterfassung!$K$6:$K$3665,$K2141),21))</f>
        <v/>
      </c>
      <c r="B2141" s="184">
        <f>IF($K2141="","",INDEX(Zeiterfassung!$K$6:$K$3665,$K2141))</f>
        <v/>
      </c>
      <c r="C2141" s="185">
        <f>IF($K2141="","",INDEX(Zeiterfassung!$K$6:$K$3665,$K2141))</f>
        <v/>
      </c>
      <c r="D2141" s="186">
        <f>IF($K2141="","",INDEX(Zeiterfassung!$D$6:$D$3665,$K2141))</f>
        <v/>
      </c>
      <c r="E2141" s="186">
        <f>IF($K2141="","",INDEX(Zeiterfassung!$E$6:$E$3665,$K2141))</f>
        <v/>
      </c>
      <c r="F2141" s="187">
        <f>IF($K2141="","",INDEX(Zeiterfassung!$F$6:$F$3665,$K2141))</f>
        <v/>
      </c>
      <c r="G2141" s="187">
        <f>IF($K2141="","",INDEX(Zeiterfassung!$G$6:$G$3665,$K2141))</f>
        <v/>
      </c>
      <c r="H2141" s="188">
        <f>IF($K2141="","",INDEX(Zeiterfassung!$H$6:$H$3665,$K2141))</f>
        <v/>
      </c>
      <c r="I2141" s="335">
        <f>IF(B2141=B2140,"",IF($K2141="","",INDEX(Zeiterfassung!$I$6:$I$3665,MATCH(INDEX(Zeiterfassung!$K$6:$K$3665,$K2141),Zeiterfassung!$K$6:$K$3665,0))))</f>
        <v/>
      </c>
      <c r="J2141" s="335">
        <f>IF(B2141=B2140,"",IF($K2141="","",INDEX(Zeiterfassung!$J$6:$J$3665,MATCH(INDEX(Zeiterfassung!$K$6:$K$3665,$K2141),Zeiterfassung!$K$6:$K$3665,0))))</f>
        <v/>
      </c>
      <c r="K2141">
        <f>IFERROR(AGGREGATE(15,6,(ROW(Zeiterfassung!$D$6:$D$3665)-ROW(Zeiterfassung!$D$6)+1)/(Zeiterfassung!$D$6:$D$3665&lt;&gt;""),2136),"")</f>
        <v/>
      </c>
    </row>
    <row r="2142" ht="20" customHeight="1">
      <c r="A2142" s="183">
        <f>IF($K2142="","",WEEKNUM(INDEX(Zeiterfassung!$K$6:$K$3665,$K2142),21))</f>
        <v/>
      </c>
      <c r="B2142" s="184">
        <f>IF($K2142="","",INDEX(Zeiterfassung!$K$6:$K$3665,$K2142))</f>
        <v/>
      </c>
      <c r="C2142" s="185">
        <f>IF($K2142="","",INDEX(Zeiterfassung!$K$6:$K$3665,$K2142))</f>
        <v/>
      </c>
      <c r="D2142" s="186">
        <f>IF($K2142="","",INDEX(Zeiterfassung!$D$6:$D$3665,$K2142))</f>
        <v/>
      </c>
      <c r="E2142" s="186">
        <f>IF($K2142="","",INDEX(Zeiterfassung!$E$6:$E$3665,$K2142))</f>
        <v/>
      </c>
      <c r="F2142" s="187">
        <f>IF($K2142="","",INDEX(Zeiterfassung!$F$6:$F$3665,$K2142))</f>
        <v/>
      </c>
      <c r="G2142" s="187">
        <f>IF($K2142="","",INDEX(Zeiterfassung!$G$6:$G$3665,$K2142))</f>
        <v/>
      </c>
      <c r="H2142" s="188">
        <f>IF($K2142="","",INDEX(Zeiterfassung!$H$6:$H$3665,$K2142))</f>
        <v/>
      </c>
      <c r="I2142" s="335">
        <f>IF(B2142=B2141,"",IF($K2142="","",INDEX(Zeiterfassung!$I$6:$I$3665,MATCH(INDEX(Zeiterfassung!$K$6:$K$3665,$K2142),Zeiterfassung!$K$6:$K$3665,0))))</f>
        <v/>
      </c>
      <c r="J2142" s="335">
        <f>IF(B2142=B2141,"",IF($K2142="","",INDEX(Zeiterfassung!$J$6:$J$3665,MATCH(INDEX(Zeiterfassung!$K$6:$K$3665,$K2142),Zeiterfassung!$K$6:$K$3665,0))))</f>
        <v/>
      </c>
      <c r="K2142">
        <f>IFERROR(AGGREGATE(15,6,(ROW(Zeiterfassung!$D$6:$D$3665)-ROW(Zeiterfassung!$D$6)+1)/(Zeiterfassung!$D$6:$D$3665&lt;&gt;""),2137),"")</f>
        <v/>
      </c>
    </row>
    <row r="2143" ht="20" customHeight="1">
      <c r="A2143" s="183">
        <f>IF($K2143="","",WEEKNUM(INDEX(Zeiterfassung!$K$6:$K$3665,$K2143),21))</f>
        <v/>
      </c>
      <c r="B2143" s="184">
        <f>IF($K2143="","",INDEX(Zeiterfassung!$K$6:$K$3665,$K2143))</f>
        <v/>
      </c>
      <c r="C2143" s="185">
        <f>IF($K2143="","",INDEX(Zeiterfassung!$K$6:$K$3665,$K2143))</f>
        <v/>
      </c>
      <c r="D2143" s="186">
        <f>IF($K2143="","",INDEX(Zeiterfassung!$D$6:$D$3665,$K2143))</f>
        <v/>
      </c>
      <c r="E2143" s="186">
        <f>IF($K2143="","",INDEX(Zeiterfassung!$E$6:$E$3665,$K2143))</f>
        <v/>
      </c>
      <c r="F2143" s="187">
        <f>IF($K2143="","",INDEX(Zeiterfassung!$F$6:$F$3665,$K2143))</f>
        <v/>
      </c>
      <c r="G2143" s="187">
        <f>IF($K2143="","",INDEX(Zeiterfassung!$G$6:$G$3665,$K2143))</f>
        <v/>
      </c>
      <c r="H2143" s="188">
        <f>IF($K2143="","",INDEX(Zeiterfassung!$H$6:$H$3665,$K2143))</f>
        <v/>
      </c>
      <c r="I2143" s="335">
        <f>IF(B2143=B2142,"",IF($K2143="","",INDEX(Zeiterfassung!$I$6:$I$3665,MATCH(INDEX(Zeiterfassung!$K$6:$K$3665,$K2143),Zeiterfassung!$K$6:$K$3665,0))))</f>
        <v/>
      </c>
      <c r="J2143" s="335">
        <f>IF(B2143=B2142,"",IF($K2143="","",INDEX(Zeiterfassung!$J$6:$J$3665,MATCH(INDEX(Zeiterfassung!$K$6:$K$3665,$K2143),Zeiterfassung!$K$6:$K$3665,0))))</f>
        <v/>
      </c>
      <c r="K2143">
        <f>IFERROR(AGGREGATE(15,6,(ROW(Zeiterfassung!$D$6:$D$3665)-ROW(Zeiterfassung!$D$6)+1)/(Zeiterfassung!$D$6:$D$3665&lt;&gt;""),2138),"")</f>
        <v/>
      </c>
    </row>
    <row r="2144" ht="20" customHeight="1">
      <c r="A2144" s="183">
        <f>IF($K2144="","",WEEKNUM(INDEX(Zeiterfassung!$K$6:$K$3665,$K2144),21))</f>
        <v/>
      </c>
      <c r="B2144" s="184">
        <f>IF($K2144="","",INDEX(Zeiterfassung!$K$6:$K$3665,$K2144))</f>
        <v/>
      </c>
      <c r="C2144" s="185">
        <f>IF($K2144="","",INDEX(Zeiterfassung!$K$6:$K$3665,$K2144))</f>
        <v/>
      </c>
      <c r="D2144" s="186">
        <f>IF($K2144="","",INDEX(Zeiterfassung!$D$6:$D$3665,$K2144))</f>
        <v/>
      </c>
      <c r="E2144" s="186">
        <f>IF($K2144="","",INDEX(Zeiterfassung!$E$6:$E$3665,$K2144))</f>
        <v/>
      </c>
      <c r="F2144" s="187">
        <f>IF($K2144="","",INDEX(Zeiterfassung!$F$6:$F$3665,$K2144))</f>
        <v/>
      </c>
      <c r="G2144" s="187">
        <f>IF($K2144="","",INDEX(Zeiterfassung!$G$6:$G$3665,$K2144))</f>
        <v/>
      </c>
      <c r="H2144" s="188">
        <f>IF($K2144="","",INDEX(Zeiterfassung!$H$6:$H$3665,$K2144))</f>
        <v/>
      </c>
      <c r="I2144" s="335">
        <f>IF(B2144=B2143,"",IF($K2144="","",INDEX(Zeiterfassung!$I$6:$I$3665,MATCH(INDEX(Zeiterfassung!$K$6:$K$3665,$K2144),Zeiterfassung!$K$6:$K$3665,0))))</f>
        <v/>
      </c>
      <c r="J2144" s="335">
        <f>IF(B2144=B2143,"",IF($K2144="","",INDEX(Zeiterfassung!$J$6:$J$3665,MATCH(INDEX(Zeiterfassung!$K$6:$K$3665,$K2144),Zeiterfassung!$K$6:$K$3665,0))))</f>
        <v/>
      </c>
      <c r="K2144">
        <f>IFERROR(AGGREGATE(15,6,(ROW(Zeiterfassung!$D$6:$D$3665)-ROW(Zeiterfassung!$D$6)+1)/(Zeiterfassung!$D$6:$D$3665&lt;&gt;""),2139),"")</f>
        <v/>
      </c>
    </row>
    <row r="2145" ht="20" customHeight="1">
      <c r="A2145" s="183">
        <f>IF($K2145="","",WEEKNUM(INDEX(Zeiterfassung!$K$6:$K$3665,$K2145),21))</f>
        <v/>
      </c>
      <c r="B2145" s="184">
        <f>IF($K2145="","",INDEX(Zeiterfassung!$K$6:$K$3665,$K2145))</f>
        <v/>
      </c>
      <c r="C2145" s="185">
        <f>IF($K2145="","",INDEX(Zeiterfassung!$K$6:$K$3665,$K2145))</f>
        <v/>
      </c>
      <c r="D2145" s="186">
        <f>IF($K2145="","",INDEX(Zeiterfassung!$D$6:$D$3665,$K2145))</f>
        <v/>
      </c>
      <c r="E2145" s="186">
        <f>IF($K2145="","",INDEX(Zeiterfassung!$E$6:$E$3665,$K2145))</f>
        <v/>
      </c>
      <c r="F2145" s="187">
        <f>IF($K2145="","",INDEX(Zeiterfassung!$F$6:$F$3665,$K2145))</f>
        <v/>
      </c>
      <c r="G2145" s="187">
        <f>IF($K2145="","",INDEX(Zeiterfassung!$G$6:$G$3665,$K2145))</f>
        <v/>
      </c>
      <c r="H2145" s="188">
        <f>IF($K2145="","",INDEX(Zeiterfassung!$H$6:$H$3665,$K2145))</f>
        <v/>
      </c>
      <c r="I2145" s="335">
        <f>IF(B2145=B2144,"",IF($K2145="","",INDEX(Zeiterfassung!$I$6:$I$3665,MATCH(INDEX(Zeiterfassung!$K$6:$K$3665,$K2145),Zeiterfassung!$K$6:$K$3665,0))))</f>
        <v/>
      </c>
      <c r="J2145" s="335">
        <f>IF(B2145=B2144,"",IF($K2145="","",INDEX(Zeiterfassung!$J$6:$J$3665,MATCH(INDEX(Zeiterfassung!$K$6:$K$3665,$K2145),Zeiterfassung!$K$6:$K$3665,0))))</f>
        <v/>
      </c>
      <c r="K2145">
        <f>IFERROR(AGGREGATE(15,6,(ROW(Zeiterfassung!$D$6:$D$3665)-ROW(Zeiterfassung!$D$6)+1)/(Zeiterfassung!$D$6:$D$3665&lt;&gt;""),2140),"")</f>
        <v/>
      </c>
    </row>
    <row r="2146" ht="20" customHeight="1">
      <c r="A2146" s="183">
        <f>IF($K2146="","",WEEKNUM(INDEX(Zeiterfassung!$K$6:$K$3665,$K2146),21))</f>
        <v/>
      </c>
      <c r="B2146" s="184">
        <f>IF($K2146="","",INDEX(Zeiterfassung!$K$6:$K$3665,$K2146))</f>
        <v/>
      </c>
      <c r="C2146" s="185">
        <f>IF($K2146="","",INDEX(Zeiterfassung!$K$6:$K$3665,$K2146))</f>
        <v/>
      </c>
      <c r="D2146" s="186">
        <f>IF($K2146="","",INDEX(Zeiterfassung!$D$6:$D$3665,$K2146))</f>
        <v/>
      </c>
      <c r="E2146" s="186">
        <f>IF($K2146="","",INDEX(Zeiterfassung!$E$6:$E$3665,$K2146))</f>
        <v/>
      </c>
      <c r="F2146" s="187">
        <f>IF($K2146="","",INDEX(Zeiterfassung!$F$6:$F$3665,$K2146))</f>
        <v/>
      </c>
      <c r="G2146" s="187">
        <f>IF($K2146="","",INDEX(Zeiterfassung!$G$6:$G$3665,$K2146))</f>
        <v/>
      </c>
      <c r="H2146" s="188">
        <f>IF($K2146="","",INDEX(Zeiterfassung!$H$6:$H$3665,$K2146))</f>
        <v/>
      </c>
      <c r="I2146" s="335">
        <f>IF(B2146=B2145,"",IF($K2146="","",INDEX(Zeiterfassung!$I$6:$I$3665,MATCH(INDEX(Zeiterfassung!$K$6:$K$3665,$K2146),Zeiterfassung!$K$6:$K$3665,0))))</f>
        <v/>
      </c>
      <c r="J2146" s="335">
        <f>IF(B2146=B2145,"",IF($K2146="","",INDEX(Zeiterfassung!$J$6:$J$3665,MATCH(INDEX(Zeiterfassung!$K$6:$K$3665,$K2146),Zeiterfassung!$K$6:$K$3665,0))))</f>
        <v/>
      </c>
      <c r="K2146">
        <f>IFERROR(AGGREGATE(15,6,(ROW(Zeiterfassung!$D$6:$D$3665)-ROW(Zeiterfassung!$D$6)+1)/(Zeiterfassung!$D$6:$D$3665&lt;&gt;""),2141),"")</f>
        <v/>
      </c>
    </row>
    <row r="2147" ht="20" customHeight="1">
      <c r="A2147" s="183">
        <f>IF($K2147="","",WEEKNUM(INDEX(Zeiterfassung!$K$6:$K$3665,$K2147),21))</f>
        <v/>
      </c>
      <c r="B2147" s="184">
        <f>IF($K2147="","",INDEX(Zeiterfassung!$K$6:$K$3665,$K2147))</f>
        <v/>
      </c>
      <c r="C2147" s="185">
        <f>IF($K2147="","",INDEX(Zeiterfassung!$K$6:$K$3665,$K2147))</f>
        <v/>
      </c>
      <c r="D2147" s="186">
        <f>IF($K2147="","",INDEX(Zeiterfassung!$D$6:$D$3665,$K2147))</f>
        <v/>
      </c>
      <c r="E2147" s="186">
        <f>IF($K2147="","",INDEX(Zeiterfassung!$E$6:$E$3665,$K2147))</f>
        <v/>
      </c>
      <c r="F2147" s="187">
        <f>IF($K2147="","",INDEX(Zeiterfassung!$F$6:$F$3665,$K2147))</f>
        <v/>
      </c>
      <c r="G2147" s="187">
        <f>IF($K2147="","",INDEX(Zeiterfassung!$G$6:$G$3665,$K2147))</f>
        <v/>
      </c>
      <c r="H2147" s="188">
        <f>IF($K2147="","",INDEX(Zeiterfassung!$H$6:$H$3665,$K2147))</f>
        <v/>
      </c>
      <c r="I2147" s="335">
        <f>IF(B2147=B2146,"",IF($K2147="","",INDEX(Zeiterfassung!$I$6:$I$3665,MATCH(INDEX(Zeiterfassung!$K$6:$K$3665,$K2147),Zeiterfassung!$K$6:$K$3665,0))))</f>
        <v/>
      </c>
      <c r="J2147" s="335">
        <f>IF(B2147=B2146,"",IF($K2147="","",INDEX(Zeiterfassung!$J$6:$J$3665,MATCH(INDEX(Zeiterfassung!$K$6:$K$3665,$K2147),Zeiterfassung!$K$6:$K$3665,0))))</f>
        <v/>
      </c>
      <c r="K2147">
        <f>IFERROR(AGGREGATE(15,6,(ROW(Zeiterfassung!$D$6:$D$3665)-ROW(Zeiterfassung!$D$6)+1)/(Zeiterfassung!$D$6:$D$3665&lt;&gt;""),2142),"")</f>
        <v/>
      </c>
    </row>
    <row r="2148" ht="20" customHeight="1">
      <c r="A2148" s="183">
        <f>IF($K2148="","",WEEKNUM(INDEX(Zeiterfassung!$K$6:$K$3665,$K2148),21))</f>
        <v/>
      </c>
      <c r="B2148" s="184">
        <f>IF($K2148="","",INDEX(Zeiterfassung!$K$6:$K$3665,$K2148))</f>
        <v/>
      </c>
      <c r="C2148" s="185">
        <f>IF($K2148="","",INDEX(Zeiterfassung!$K$6:$K$3665,$K2148))</f>
        <v/>
      </c>
      <c r="D2148" s="186">
        <f>IF($K2148="","",INDEX(Zeiterfassung!$D$6:$D$3665,$K2148))</f>
        <v/>
      </c>
      <c r="E2148" s="186">
        <f>IF($K2148="","",INDEX(Zeiterfassung!$E$6:$E$3665,$K2148))</f>
        <v/>
      </c>
      <c r="F2148" s="187">
        <f>IF($K2148="","",INDEX(Zeiterfassung!$F$6:$F$3665,$K2148))</f>
        <v/>
      </c>
      <c r="G2148" s="187">
        <f>IF($K2148="","",INDEX(Zeiterfassung!$G$6:$G$3665,$K2148))</f>
        <v/>
      </c>
      <c r="H2148" s="188">
        <f>IF($K2148="","",INDEX(Zeiterfassung!$H$6:$H$3665,$K2148))</f>
        <v/>
      </c>
      <c r="I2148" s="335">
        <f>IF(B2148=B2147,"",IF($K2148="","",INDEX(Zeiterfassung!$I$6:$I$3665,MATCH(INDEX(Zeiterfassung!$K$6:$K$3665,$K2148),Zeiterfassung!$K$6:$K$3665,0))))</f>
        <v/>
      </c>
      <c r="J2148" s="335">
        <f>IF(B2148=B2147,"",IF($K2148="","",INDEX(Zeiterfassung!$J$6:$J$3665,MATCH(INDEX(Zeiterfassung!$K$6:$K$3665,$K2148),Zeiterfassung!$K$6:$K$3665,0))))</f>
        <v/>
      </c>
      <c r="K2148">
        <f>IFERROR(AGGREGATE(15,6,(ROW(Zeiterfassung!$D$6:$D$3665)-ROW(Zeiterfassung!$D$6)+1)/(Zeiterfassung!$D$6:$D$3665&lt;&gt;""),2143),"")</f>
        <v/>
      </c>
    </row>
    <row r="2149" ht="20" customHeight="1">
      <c r="A2149" s="183">
        <f>IF($K2149="","",WEEKNUM(INDEX(Zeiterfassung!$K$6:$K$3665,$K2149),21))</f>
        <v/>
      </c>
      <c r="B2149" s="184">
        <f>IF($K2149="","",INDEX(Zeiterfassung!$K$6:$K$3665,$K2149))</f>
        <v/>
      </c>
      <c r="C2149" s="185">
        <f>IF($K2149="","",INDEX(Zeiterfassung!$K$6:$K$3665,$K2149))</f>
        <v/>
      </c>
      <c r="D2149" s="186">
        <f>IF($K2149="","",INDEX(Zeiterfassung!$D$6:$D$3665,$K2149))</f>
        <v/>
      </c>
      <c r="E2149" s="186">
        <f>IF($K2149="","",INDEX(Zeiterfassung!$E$6:$E$3665,$K2149))</f>
        <v/>
      </c>
      <c r="F2149" s="187">
        <f>IF($K2149="","",INDEX(Zeiterfassung!$F$6:$F$3665,$K2149))</f>
        <v/>
      </c>
      <c r="G2149" s="187">
        <f>IF($K2149="","",INDEX(Zeiterfassung!$G$6:$G$3665,$K2149))</f>
        <v/>
      </c>
      <c r="H2149" s="188">
        <f>IF($K2149="","",INDEX(Zeiterfassung!$H$6:$H$3665,$K2149))</f>
        <v/>
      </c>
      <c r="I2149" s="335">
        <f>IF(B2149=B2148,"",IF($K2149="","",INDEX(Zeiterfassung!$I$6:$I$3665,MATCH(INDEX(Zeiterfassung!$K$6:$K$3665,$K2149),Zeiterfassung!$K$6:$K$3665,0))))</f>
        <v/>
      </c>
      <c r="J2149" s="335">
        <f>IF(B2149=B2148,"",IF($K2149="","",INDEX(Zeiterfassung!$J$6:$J$3665,MATCH(INDEX(Zeiterfassung!$K$6:$K$3665,$K2149),Zeiterfassung!$K$6:$K$3665,0))))</f>
        <v/>
      </c>
      <c r="K2149">
        <f>IFERROR(AGGREGATE(15,6,(ROW(Zeiterfassung!$D$6:$D$3665)-ROW(Zeiterfassung!$D$6)+1)/(Zeiterfassung!$D$6:$D$3665&lt;&gt;""),2144),"")</f>
        <v/>
      </c>
    </row>
    <row r="2150" ht="20" customHeight="1">
      <c r="A2150" s="183">
        <f>IF($K2150="","",WEEKNUM(INDEX(Zeiterfassung!$K$6:$K$3665,$K2150),21))</f>
        <v/>
      </c>
      <c r="B2150" s="184">
        <f>IF($K2150="","",INDEX(Zeiterfassung!$K$6:$K$3665,$K2150))</f>
        <v/>
      </c>
      <c r="C2150" s="185">
        <f>IF($K2150="","",INDEX(Zeiterfassung!$K$6:$K$3665,$K2150))</f>
        <v/>
      </c>
      <c r="D2150" s="186">
        <f>IF($K2150="","",INDEX(Zeiterfassung!$D$6:$D$3665,$K2150))</f>
        <v/>
      </c>
      <c r="E2150" s="186">
        <f>IF($K2150="","",INDEX(Zeiterfassung!$E$6:$E$3665,$K2150))</f>
        <v/>
      </c>
      <c r="F2150" s="187">
        <f>IF($K2150="","",INDEX(Zeiterfassung!$F$6:$F$3665,$K2150))</f>
        <v/>
      </c>
      <c r="G2150" s="187">
        <f>IF($K2150="","",INDEX(Zeiterfassung!$G$6:$G$3665,$K2150))</f>
        <v/>
      </c>
      <c r="H2150" s="188">
        <f>IF($K2150="","",INDEX(Zeiterfassung!$H$6:$H$3665,$K2150))</f>
        <v/>
      </c>
      <c r="I2150" s="335">
        <f>IF(B2150=B2149,"",IF($K2150="","",INDEX(Zeiterfassung!$I$6:$I$3665,MATCH(INDEX(Zeiterfassung!$K$6:$K$3665,$K2150),Zeiterfassung!$K$6:$K$3665,0))))</f>
        <v/>
      </c>
      <c r="J2150" s="335">
        <f>IF(B2150=B2149,"",IF($K2150="","",INDEX(Zeiterfassung!$J$6:$J$3665,MATCH(INDEX(Zeiterfassung!$K$6:$K$3665,$K2150),Zeiterfassung!$K$6:$K$3665,0))))</f>
        <v/>
      </c>
      <c r="K2150">
        <f>IFERROR(AGGREGATE(15,6,(ROW(Zeiterfassung!$D$6:$D$3665)-ROW(Zeiterfassung!$D$6)+1)/(Zeiterfassung!$D$6:$D$3665&lt;&gt;""),2145),"")</f>
        <v/>
      </c>
    </row>
    <row r="2151" ht="20" customHeight="1">
      <c r="A2151" s="183">
        <f>IF($K2151="","",WEEKNUM(INDEX(Zeiterfassung!$K$6:$K$3665,$K2151),21))</f>
        <v/>
      </c>
      <c r="B2151" s="184">
        <f>IF($K2151="","",INDEX(Zeiterfassung!$K$6:$K$3665,$K2151))</f>
        <v/>
      </c>
      <c r="C2151" s="185">
        <f>IF($K2151="","",INDEX(Zeiterfassung!$K$6:$K$3665,$K2151))</f>
        <v/>
      </c>
      <c r="D2151" s="186">
        <f>IF($K2151="","",INDEX(Zeiterfassung!$D$6:$D$3665,$K2151))</f>
        <v/>
      </c>
      <c r="E2151" s="186">
        <f>IF($K2151="","",INDEX(Zeiterfassung!$E$6:$E$3665,$K2151))</f>
        <v/>
      </c>
      <c r="F2151" s="187">
        <f>IF($K2151="","",INDEX(Zeiterfassung!$F$6:$F$3665,$K2151))</f>
        <v/>
      </c>
      <c r="G2151" s="187">
        <f>IF($K2151="","",INDEX(Zeiterfassung!$G$6:$G$3665,$K2151))</f>
        <v/>
      </c>
      <c r="H2151" s="188">
        <f>IF($K2151="","",INDEX(Zeiterfassung!$H$6:$H$3665,$K2151))</f>
        <v/>
      </c>
      <c r="I2151" s="335">
        <f>IF(B2151=B2150,"",IF($K2151="","",INDEX(Zeiterfassung!$I$6:$I$3665,MATCH(INDEX(Zeiterfassung!$K$6:$K$3665,$K2151),Zeiterfassung!$K$6:$K$3665,0))))</f>
        <v/>
      </c>
      <c r="J2151" s="335">
        <f>IF(B2151=B2150,"",IF($K2151="","",INDEX(Zeiterfassung!$J$6:$J$3665,MATCH(INDEX(Zeiterfassung!$K$6:$K$3665,$K2151),Zeiterfassung!$K$6:$K$3665,0))))</f>
        <v/>
      </c>
      <c r="K2151">
        <f>IFERROR(AGGREGATE(15,6,(ROW(Zeiterfassung!$D$6:$D$3665)-ROW(Zeiterfassung!$D$6)+1)/(Zeiterfassung!$D$6:$D$3665&lt;&gt;""),2146),"")</f>
        <v/>
      </c>
    </row>
    <row r="2152" ht="20" customHeight="1">
      <c r="A2152" s="183">
        <f>IF($K2152="","",WEEKNUM(INDEX(Zeiterfassung!$K$6:$K$3665,$K2152),21))</f>
        <v/>
      </c>
      <c r="B2152" s="184">
        <f>IF($K2152="","",INDEX(Zeiterfassung!$K$6:$K$3665,$K2152))</f>
        <v/>
      </c>
      <c r="C2152" s="185">
        <f>IF($K2152="","",INDEX(Zeiterfassung!$K$6:$K$3665,$K2152))</f>
        <v/>
      </c>
      <c r="D2152" s="186">
        <f>IF($K2152="","",INDEX(Zeiterfassung!$D$6:$D$3665,$K2152))</f>
        <v/>
      </c>
      <c r="E2152" s="186">
        <f>IF($K2152="","",INDEX(Zeiterfassung!$E$6:$E$3665,$K2152))</f>
        <v/>
      </c>
      <c r="F2152" s="187">
        <f>IF($K2152="","",INDEX(Zeiterfassung!$F$6:$F$3665,$K2152))</f>
        <v/>
      </c>
      <c r="G2152" s="187">
        <f>IF($K2152="","",INDEX(Zeiterfassung!$G$6:$G$3665,$K2152))</f>
        <v/>
      </c>
      <c r="H2152" s="188">
        <f>IF($K2152="","",INDEX(Zeiterfassung!$H$6:$H$3665,$K2152))</f>
        <v/>
      </c>
      <c r="I2152" s="335">
        <f>IF(B2152=B2151,"",IF($K2152="","",INDEX(Zeiterfassung!$I$6:$I$3665,MATCH(INDEX(Zeiterfassung!$K$6:$K$3665,$K2152),Zeiterfassung!$K$6:$K$3665,0))))</f>
        <v/>
      </c>
      <c r="J2152" s="335">
        <f>IF(B2152=B2151,"",IF($K2152="","",INDEX(Zeiterfassung!$J$6:$J$3665,MATCH(INDEX(Zeiterfassung!$K$6:$K$3665,$K2152),Zeiterfassung!$K$6:$K$3665,0))))</f>
        <v/>
      </c>
      <c r="K2152">
        <f>IFERROR(AGGREGATE(15,6,(ROW(Zeiterfassung!$D$6:$D$3665)-ROW(Zeiterfassung!$D$6)+1)/(Zeiterfassung!$D$6:$D$3665&lt;&gt;""),2147),"")</f>
        <v/>
      </c>
    </row>
    <row r="2153" ht="20" customHeight="1">
      <c r="A2153" s="183">
        <f>IF($K2153="","",WEEKNUM(INDEX(Zeiterfassung!$K$6:$K$3665,$K2153),21))</f>
        <v/>
      </c>
      <c r="B2153" s="184">
        <f>IF($K2153="","",INDEX(Zeiterfassung!$K$6:$K$3665,$K2153))</f>
        <v/>
      </c>
      <c r="C2153" s="185">
        <f>IF($K2153="","",INDEX(Zeiterfassung!$K$6:$K$3665,$K2153))</f>
        <v/>
      </c>
      <c r="D2153" s="186">
        <f>IF($K2153="","",INDEX(Zeiterfassung!$D$6:$D$3665,$K2153))</f>
        <v/>
      </c>
      <c r="E2153" s="186">
        <f>IF($K2153="","",INDEX(Zeiterfassung!$E$6:$E$3665,$K2153))</f>
        <v/>
      </c>
      <c r="F2153" s="187">
        <f>IF($K2153="","",INDEX(Zeiterfassung!$F$6:$F$3665,$K2153))</f>
        <v/>
      </c>
      <c r="G2153" s="187">
        <f>IF($K2153="","",INDEX(Zeiterfassung!$G$6:$G$3665,$K2153))</f>
        <v/>
      </c>
      <c r="H2153" s="188">
        <f>IF($K2153="","",INDEX(Zeiterfassung!$H$6:$H$3665,$K2153))</f>
        <v/>
      </c>
      <c r="I2153" s="335">
        <f>IF(B2153=B2152,"",IF($K2153="","",INDEX(Zeiterfassung!$I$6:$I$3665,MATCH(INDEX(Zeiterfassung!$K$6:$K$3665,$K2153),Zeiterfassung!$K$6:$K$3665,0))))</f>
        <v/>
      </c>
      <c r="J2153" s="335">
        <f>IF(B2153=B2152,"",IF($K2153="","",INDEX(Zeiterfassung!$J$6:$J$3665,MATCH(INDEX(Zeiterfassung!$K$6:$K$3665,$K2153),Zeiterfassung!$K$6:$K$3665,0))))</f>
        <v/>
      </c>
      <c r="K2153">
        <f>IFERROR(AGGREGATE(15,6,(ROW(Zeiterfassung!$D$6:$D$3665)-ROW(Zeiterfassung!$D$6)+1)/(Zeiterfassung!$D$6:$D$3665&lt;&gt;""),2148),"")</f>
        <v/>
      </c>
    </row>
    <row r="2154" ht="20" customHeight="1">
      <c r="A2154" s="183">
        <f>IF($K2154="","",WEEKNUM(INDEX(Zeiterfassung!$K$6:$K$3665,$K2154),21))</f>
        <v/>
      </c>
      <c r="B2154" s="184">
        <f>IF($K2154="","",INDEX(Zeiterfassung!$K$6:$K$3665,$K2154))</f>
        <v/>
      </c>
      <c r="C2154" s="185">
        <f>IF($K2154="","",INDEX(Zeiterfassung!$K$6:$K$3665,$K2154))</f>
        <v/>
      </c>
      <c r="D2154" s="186">
        <f>IF($K2154="","",INDEX(Zeiterfassung!$D$6:$D$3665,$K2154))</f>
        <v/>
      </c>
      <c r="E2154" s="186">
        <f>IF($K2154="","",INDEX(Zeiterfassung!$E$6:$E$3665,$K2154))</f>
        <v/>
      </c>
      <c r="F2154" s="187">
        <f>IF($K2154="","",INDEX(Zeiterfassung!$F$6:$F$3665,$K2154))</f>
        <v/>
      </c>
      <c r="G2154" s="187">
        <f>IF($K2154="","",INDEX(Zeiterfassung!$G$6:$G$3665,$K2154))</f>
        <v/>
      </c>
      <c r="H2154" s="188">
        <f>IF($K2154="","",INDEX(Zeiterfassung!$H$6:$H$3665,$K2154))</f>
        <v/>
      </c>
      <c r="I2154" s="335">
        <f>IF(B2154=B2153,"",IF($K2154="","",INDEX(Zeiterfassung!$I$6:$I$3665,MATCH(INDEX(Zeiterfassung!$K$6:$K$3665,$K2154),Zeiterfassung!$K$6:$K$3665,0))))</f>
        <v/>
      </c>
      <c r="J2154" s="335">
        <f>IF(B2154=B2153,"",IF($K2154="","",INDEX(Zeiterfassung!$J$6:$J$3665,MATCH(INDEX(Zeiterfassung!$K$6:$K$3665,$K2154),Zeiterfassung!$K$6:$K$3665,0))))</f>
        <v/>
      </c>
      <c r="K2154">
        <f>IFERROR(AGGREGATE(15,6,(ROW(Zeiterfassung!$D$6:$D$3665)-ROW(Zeiterfassung!$D$6)+1)/(Zeiterfassung!$D$6:$D$3665&lt;&gt;""),2149),"")</f>
        <v/>
      </c>
    </row>
    <row r="2155" ht="20" customHeight="1">
      <c r="A2155" s="183">
        <f>IF($K2155="","",WEEKNUM(INDEX(Zeiterfassung!$K$6:$K$3665,$K2155),21))</f>
        <v/>
      </c>
      <c r="B2155" s="184">
        <f>IF($K2155="","",INDEX(Zeiterfassung!$K$6:$K$3665,$K2155))</f>
        <v/>
      </c>
      <c r="C2155" s="185">
        <f>IF($K2155="","",INDEX(Zeiterfassung!$K$6:$K$3665,$K2155))</f>
        <v/>
      </c>
      <c r="D2155" s="186">
        <f>IF($K2155="","",INDEX(Zeiterfassung!$D$6:$D$3665,$K2155))</f>
        <v/>
      </c>
      <c r="E2155" s="186">
        <f>IF($K2155="","",INDEX(Zeiterfassung!$E$6:$E$3665,$K2155))</f>
        <v/>
      </c>
      <c r="F2155" s="187">
        <f>IF($K2155="","",INDEX(Zeiterfassung!$F$6:$F$3665,$K2155))</f>
        <v/>
      </c>
      <c r="G2155" s="187">
        <f>IF($K2155="","",INDEX(Zeiterfassung!$G$6:$G$3665,$K2155))</f>
        <v/>
      </c>
      <c r="H2155" s="188">
        <f>IF($K2155="","",INDEX(Zeiterfassung!$H$6:$H$3665,$K2155))</f>
        <v/>
      </c>
      <c r="I2155" s="335">
        <f>IF(B2155=B2154,"",IF($K2155="","",INDEX(Zeiterfassung!$I$6:$I$3665,MATCH(INDEX(Zeiterfassung!$K$6:$K$3665,$K2155),Zeiterfassung!$K$6:$K$3665,0))))</f>
        <v/>
      </c>
      <c r="J2155" s="335">
        <f>IF(B2155=B2154,"",IF($K2155="","",INDEX(Zeiterfassung!$J$6:$J$3665,MATCH(INDEX(Zeiterfassung!$K$6:$K$3665,$K2155),Zeiterfassung!$K$6:$K$3665,0))))</f>
        <v/>
      </c>
      <c r="K2155">
        <f>IFERROR(AGGREGATE(15,6,(ROW(Zeiterfassung!$D$6:$D$3665)-ROW(Zeiterfassung!$D$6)+1)/(Zeiterfassung!$D$6:$D$3665&lt;&gt;""),2150),"")</f>
        <v/>
      </c>
    </row>
    <row r="2156" ht="20" customHeight="1">
      <c r="A2156" s="183">
        <f>IF($K2156="","",WEEKNUM(INDEX(Zeiterfassung!$K$6:$K$3665,$K2156),21))</f>
        <v/>
      </c>
      <c r="B2156" s="184">
        <f>IF($K2156="","",INDEX(Zeiterfassung!$K$6:$K$3665,$K2156))</f>
        <v/>
      </c>
      <c r="C2156" s="185">
        <f>IF($K2156="","",INDEX(Zeiterfassung!$K$6:$K$3665,$K2156))</f>
        <v/>
      </c>
      <c r="D2156" s="186">
        <f>IF($K2156="","",INDEX(Zeiterfassung!$D$6:$D$3665,$K2156))</f>
        <v/>
      </c>
      <c r="E2156" s="186">
        <f>IF($K2156="","",INDEX(Zeiterfassung!$E$6:$E$3665,$K2156))</f>
        <v/>
      </c>
      <c r="F2156" s="187">
        <f>IF($K2156="","",INDEX(Zeiterfassung!$F$6:$F$3665,$K2156))</f>
        <v/>
      </c>
      <c r="G2156" s="187">
        <f>IF($K2156="","",INDEX(Zeiterfassung!$G$6:$G$3665,$K2156))</f>
        <v/>
      </c>
      <c r="H2156" s="188">
        <f>IF($K2156="","",INDEX(Zeiterfassung!$H$6:$H$3665,$K2156))</f>
        <v/>
      </c>
      <c r="I2156" s="335">
        <f>IF(B2156=B2155,"",IF($K2156="","",INDEX(Zeiterfassung!$I$6:$I$3665,MATCH(INDEX(Zeiterfassung!$K$6:$K$3665,$K2156),Zeiterfassung!$K$6:$K$3665,0))))</f>
        <v/>
      </c>
      <c r="J2156" s="335">
        <f>IF(B2156=B2155,"",IF($K2156="","",INDEX(Zeiterfassung!$J$6:$J$3665,MATCH(INDEX(Zeiterfassung!$K$6:$K$3665,$K2156),Zeiterfassung!$K$6:$K$3665,0))))</f>
        <v/>
      </c>
      <c r="K2156">
        <f>IFERROR(AGGREGATE(15,6,(ROW(Zeiterfassung!$D$6:$D$3665)-ROW(Zeiterfassung!$D$6)+1)/(Zeiterfassung!$D$6:$D$3665&lt;&gt;""),2151),"")</f>
        <v/>
      </c>
    </row>
    <row r="2157" ht="20" customHeight="1">
      <c r="A2157" s="183">
        <f>IF($K2157="","",WEEKNUM(INDEX(Zeiterfassung!$K$6:$K$3665,$K2157),21))</f>
        <v/>
      </c>
      <c r="B2157" s="184">
        <f>IF($K2157="","",INDEX(Zeiterfassung!$K$6:$K$3665,$K2157))</f>
        <v/>
      </c>
      <c r="C2157" s="185">
        <f>IF($K2157="","",INDEX(Zeiterfassung!$K$6:$K$3665,$K2157))</f>
        <v/>
      </c>
      <c r="D2157" s="186">
        <f>IF($K2157="","",INDEX(Zeiterfassung!$D$6:$D$3665,$K2157))</f>
        <v/>
      </c>
      <c r="E2157" s="186">
        <f>IF($K2157="","",INDEX(Zeiterfassung!$E$6:$E$3665,$K2157))</f>
        <v/>
      </c>
      <c r="F2157" s="187">
        <f>IF($K2157="","",INDEX(Zeiterfassung!$F$6:$F$3665,$K2157))</f>
        <v/>
      </c>
      <c r="G2157" s="187">
        <f>IF($K2157="","",INDEX(Zeiterfassung!$G$6:$G$3665,$K2157))</f>
        <v/>
      </c>
      <c r="H2157" s="188">
        <f>IF($K2157="","",INDEX(Zeiterfassung!$H$6:$H$3665,$K2157))</f>
        <v/>
      </c>
      <c r="I2157" s="335">
        <f>IF(B2157=B2156,"",IF($K2157="","",INDEX(Zeiterfassung!$I$6:$I$3665,MATCH(INDEX(Zeiterfassung!$K$6:$K$3665,$K2157),Zeiterfassung!$K$6:$K$3665,0))))</f>
        <v/>
      </c>
      <c r="J2157" s="335">
        <f>IF(B2157=B2156,"",IF($K2157="","",INDEX(Zeiterfassung!$J$6:$J$3665,MATCH(INDEX(Zeiterfassung!$K$6:$K$3665,$K2157),Zeiterfassung!$K$6:$K$3665,0))))</f>
        <v/>
      </c>
      <c r="K2157">
        <f>IFERROR(AGGREGATE(15,6,(ROW(Zeiterfassung!$D$6:$D$3665)-ROW(Zeiterfassung!$D$6)+1)/(Zeiterfassung!$D$6:$D$3665&lt;&gt;""),2152),"")</f>
        <v/>
      </c>
    </row>
    <row r="2158" ht="20" customHeight="1">
      <c r="A2158" s="183">
        <f>IF($K2158="","",WEEKNUM(INDEX(Zeiterfassung!$K$6:$K$3665,$K2158),21))</f>
        <v/>
      </c>
      <c r="B2158" s="184">
        <f>IF($K2158="","",INDEX(Zeiterfassung!$K$6:$K$3665,$K2158))</f>
        <v/>
      </c>
      <c r="C2158" s="185">
        <f>IF($K2158="","",INDEX(Zeiterfassung!$K$6:$K$3665,$K2158))</f>
        <v/>
      </c>
      <c r="D2158" s="186">
        <f>IF($K2158="","",INDEX(Zeiterfassung!$D$6:$D$3665,$K2158))</f>
        <v/>
      </c>
      <c r="E2158" s="186">
        <f>IF($K2158="","",INDEX(Zeiterfassung!$E$6:$E$3665,$K2158))</f>
        <v/>
      </c>
      <c r="F2158" s="187">
        <f>IF($K2158="","",INDEX(Zeiterfassung!$F$6:$F$3665,$K2158))</f>
        <v/>
      </c>
      <c r="G2158" s="187">
        <f>IF($K2158="","",INDEX(Zeiterfassung!$G$6:$G$3665,$K2158))</f>
        <v/>
      </c>
      <c r="H2158" s="188">
        <f>IF($K2158="","",INDEX(Zeiterfassung!$H$6:$H$3665,$K2158))</f>
        <v/>
      </c>
      <c r="I2158" s="335">
        <f>IF(B2158=B2157,"",IF($K2158="","",INDEX(Zeiterfassung!$I$6:$I$3665,MATCH(INDEX(Zeiterfassung!$K$6:$K$3665,$K2158),Zeiterfassung!$K$6:$K$3665,0))))</f>
        <v/>
      </c>
      <c r="J2158" s="335">
        <f>IF(B2158=B2157,"",IF($K2158="","",INDEX(Zeiterfassung!$J$6:$J$3665,MATCH(INDEX(Zeiterfassung!$K$6:$K$3665,$K2158),Zeiterfassung!$K$6:$K$3665,0))))</f>
        <v/>
      </c>
      <c r="K2158">
        <f>IFERROR(AGGREGATE(15,6,(ROW(Zeiterfassung!$D$6:$D$3665)-ROW(Zeiterfassung!$D$6)+1)/(Zeiterfassung!$D$6:$D$3665&lt;&gt;""),2153),"")</f>
        <v/>
      </c>
    </row>
    <row r="2159" ht="20" customHeight="1">
      <c r="A2159" s="183">
        <f>IF($K2159="","",WEEKNUM(INDEX(Zeiterfassung!$K$6:$K$3665,$K2159),21))</f>
        <v/>
      </c>
      <c r="B2159" s="184">
        <f>IF($K2159="","",INDEX(Zeiterfassung!$K$6:$K$3665,$K2159))</f>
        <v/>
      </c>
      <c r="C2159" s="185">
        <f>IF($K2159="","",INDEX(Zeiterfassung!$K$6:$K$3665,$K2159))</f>
        <v/>
      </c>
      <c r="D2159" s="186">
        <f>IF($K2159="","",INDEX(Zeiterfassung!$D$6:$D$3665,$K2159))</f>
        <v/>
      </c>
      <c r="E2159" s="186">
        <f>IF($K2159="","",INDEX(Zeiterfassung!$E$6:$E$3665,$K2159))</f>
        <v/>
      </c>
      <c r="F2159" s="187">
        <f>IF($K2159="","",INDEX(Zeiterfassung!$F$6:$F$3665,$K2159))</f>
        <v/>
      </c>
      <c r="G2159" s="187">
        <f>IF($K2159="","",INDEX(Zeiterfassung!$G$6:$G$3665,$K2159))</f>
        <v/>
      </c>
      <c r="H2159" s="188">
        <f>IF($K2159="","",INDEX(Zeiterfassung!$H$6:$H$3665,$K2159))</f>
        <v/>
      </c>
      <c r="I2159" s="335">
        <f>IF(B2159=B2158,"",IF($K2159="","",INDEX(Zeiterfassung!$I$6:$I$3665,MATCH(INDEX(Zeiterfassung!$K$6:$K$3665,$K2159),Zeiterfassung!$K$6:$K$3665,0))))</f>
        <v/>
      </c>
      <c r="J2159" s="335">
        <f>IF(B2159=B2158,"",IF($K2159="","",INDEX(Zeiterfassung!$J$6:$J$3665,MATCH(INDEX(Zeiterfassung!$K$6:$K$3665,$K2159),Zeiterfassung!$K$6:$K$3665,0))))</f>
        <v/>
      </c>
      <c r="K2159">
        <f>IFERROR(AGGREGATE(15,6,(ROW(Zeiterfassung!$D$6:$D$3665)-ROW(Zeiterfassung!$D$6)+1)/(Zeiterfassung!$D$6:$D$3665&lt;&gt;""),2154),"")</f>
        <v/>
      </c>
    </row>
    <row r="2160" ht="20" customHeight="1">
      <c r="A2160" s="183">
        <f>IF($K2160="","",WEEKNUM(INDEX(Zeiterfassung!$K$6:$K$3665,$K2160),21))</f>
        <v/>
      </c>
      <c r="B2160" s="184">
        <f>IF($K2160="","",INDEX(Zeiterfassung!$K$6:$K$3665,$K2160))</f>
        <v/>
      </c>
      <c r="C2160" s="185">
        <f>IF($K2160="","",INDEX(Zeiterfassung!$K$6:$K$3665,$K2160))</f>
        <v/>
      </c>
      <c r="D2160" s="186">
        <f>IF($K2160="","",INDEX(Zeiterfassung!$D$6:$D$3665,$K2160))</f>
        <v/>
      </c>
      <c r="E2160" s="186">
        <f>IF($K2160="","",INDEX(Zeiterfassung!$E$6:$E$3665,$K2160))</f>
        <v/>
      </c>
      <c r="F2160" s="187">
        <f>IF($K2160="","",INDEX(Zeiterfassung!$F$6:$F$3665,$K2160))</f>
        <v/>
      </c>
      <c r="G2160" s="187">
        <f>IF($K2160="","",INDEX(Zeiterfassung!$G$6:$G$3665,$K2160))</f>
        <v/>
      </c>
      <c r="H2160" s="188">
        <f>IF($K2160="","",INDEX(Zeiterfassung!$H$6:$H$3665,$K2160))</f>
        <v/>
      </c>
      <c r="I2160" s="335">
        <f>IF(B2160=B2159,"",IF($K2160="","",INDEX(Zeiterfassung!$I$6:$I$3665,MATCH(INDEX(Zeiterfassung!$K$6:$K$3665,$K2160),Zeiterfassung!$K$6:$K$3665,0))))</f>
        <v/>
      </c>
      <c r="J2160" s="335">
        <f>IF(B2160=B2159,"",IF($K2160="","",INDEX(Zeiterfassung!$J$6:$J$3665,MATCH(INDEX(Zeiterfassung!$K$6:$K$3665,$K2160),Zeiterfassung!$K$6:$K$3665,0))))</f>
        <v/>
      </c>
      <c r="K2160">
        <f>IFERROR(AGGREGATE(15,6,(ROW(Zeiterfassung!$D$6:$D$3665)-ROW(Zeiterfassung!$D$6)+1)/(Zeiterfassung!$D$6:$D$3665&lt;&gt;""),2155),"")</f>
        <v/>
      </c>
    </row>
    <row r="2161" ht="20" customHeight="1">
      <c r="A2161" s="183">
        <f>IF($K2161="","",WEEKNUM(INDEX(Zeiterfassung!$K$6:$K$3665,$K2161),21))</f>
        <v/>
      </c>
      <c r="B2161" s="184">
        <f>IF($K2161="","",INDEX(Zeiterfassung!$K$6:$K$3665,$K2161))</f>
        <v/>
      </c>
      <c r="C2161" s="185">
        <f>IF($K2161="","",INDEX(Zeiterfassung!$K$6:$K$3665,$K2161))</f>
        <v/>
      </c>
      <c r="D2161" s="186">
        <f>IF($K2161="","",INDEX(Zeiterfassung!$D$6:$D$3665,$K2161))</f>
        <v/>
      </c>
      <c r="E2161" s="186">
        <f>IF($K2161="","",INDEX(Zeiterfassung!$E$6:$E$3665,$K2161))</f>
        <v/>
      </c>
      <c r="F2161" s="187">
        <f>IF($K2161="","",INDEX(Zeiterfassung!$F$6:$F$3665,$K2161))</f>
        <v/>
      </c>
      <c r="G2161" s="187">
        <f>IF($K2161="","",INDEX(Zeiterfassung!$G$6:$G$3665,$K2161))</f>
        <v/>
      </c>
      <c r="H2161" s="188">
        <f>IF($K2161="","",INDEX(Zeiterfassung!$H$6:$H$3665,$K2161))</f>
        <v/>
      </c>
      <c r="I2161" s="335">
        <f>IF(B2161=B2160,"",IF($K2161="","",INDEX(Zeiterfassung!$I$6:$I$3665,MATCH(INDEX(Zeiterfassung!$K$6:$K$3665,$K2161),Zeiterfassung!$K$6:$K$3665,0))))</f>
        <v/>
      </c>
      <c r="J2161" s="335">
        <f>IF(B2161=B2160,"",IF($K2161="","",INDEX(Zeiterfassung!$J$6:$J$3665,MATCH(INDEX(Zeiterfassung!$K$6:$K$3665,$K2161),Zeiterfassung!$K$6:$K$3665,0))))</f>
        <v/>
      </c>
      <c r="K2161">
        <f>IFERROR(AGGREGATE(15,6,(ROW(Zeiterfassung!$D$6:$D$3665)-ROW(Zeiterfassung!$D$6)+1)/(Zeiterfassung!$D$6:$D$3665&lt;&gt;""),2156),"")</f>
        <v/>
      </c>
    </row>
    <row r="2162" ht="20" customHeight="1">
      <c r="A2162" s="183">
        <f>IF($K2162="","",WEEKNUM(INDEX(Zeiterfassung!$K$6:$K$3665,$K2162),21))</f>
        <v/>
      </c>
      <c r="B2162" s="184">
        <f>IF($K2162="","",INDEX(Zeiterfassung!$K$6:$K$3665,$K2162))</f>
        <v/>
      </c>
      <c r="C2162" s="185">
        <f>IF($K2162="","",INDEX(Zeiterfassung!$K$6:$K$3665,$K2162))</f>
        <v/>
      </c>
      <c r="D2162" s="186">
        <f>IF($K2162="","",INDEX(Zeiterfassung!$D$6:$D$3665,$K2162))</f>
        <v/>
      </c>
      <c r="E2162" s="186">
        <f>IF($K2162="","",INDEX(Zeiterfassung!$E$6:$E$3665,$K2162))</f>
        <v/>
      </c>
      <c r="F2162" s="187">
        <f>IF($K2162="","",INDEX(Zeiterfassung!$F$6:$F$3665,$K2162))</f>
        <v/>
      </c>
      <c r="G2162" s="187">
        <f>IF($K2162="","",INDEX(Zeiterfassung!$G$6:$G$3665,$K2162))</f>
        <v/>
      </c>
      <c r="H2162" s="188">
        <f>IF($K2162="","",INDEX(Zeiterfassung!$H$6:$H$3665,$K2162))</f>
        <v/>
      </c>
      <c r="I2162" s="335">
        <f>IF(B2162=B2161,"",IF($K2162="","",INDEX(Zeiterfassung!$I$6:$I$3665,MATCH(INDEX(Zeiterfassung!$K$6:$K$3665,$K2162),Zeiterfassung!$K$6:$K$3665,0))))</f>
        <v/>
      </c>
      <c r="J2162" s="335">
        <f>IF(B2162=B2161,"",IF($K2162="","",INDEX(Zeiterfassung!$J$6:$J$3665,MATCH(INDEX(Zeiterfassung!$K$6:$K$3665,$K2162),Zeiterfassung!$K$6:$K$3665,0))))</f>
        <v/>
      </c>
      <c r="K2162">
        <f>IFERROR(AGGREGATE(15,6,(ROW(Zeiterfassung!$D$6:$D$3665)-ROW(Zeiterfassung!$D$6)+1)/(Zeiterfassung!$D$6:$D$3665&lt;&gt;""),2157),"")</f>
        <v/>
      </c>
    </row>
    <row r="2163" ht="20" customHeight="1">
      <c r="A2163" s="183">
        <f>IF($K2163="","",WEEKNUM(INDEX(Zeiterfassung!$K$6:$K$3665,$K2163),21))</f>
        <v/>
      </c>
      <c r="B2163" s="184">
        <f>IF($K2163="","",INDEX(Zeiterfassung!$K$6:$K$3665,$K2163))</f>
        <v/>
      </c>
      <c r="C2163" s="185">
        <f>IF($K2163="","",INDEX(Zeiterfassung!$K$6:$K$3665,$K2163))</f>
        <v/>
      </c>
      <c r="D2163" s="186">
        <f>IF($K2163="","",INDEX(Zeiterfassung!$D$6:$D$3665,$K2163))</f>
        <v/>
      </c>
      <c r="E2163" s="186">
        <f>IF($K2163="","",INDEX(Zeiterfassung!$E$6:$E$3665,$K2163))</f>
        <v/>
      </c>
      <c r="F2163" s="187">
        <f>IF($K2163="","",INDEX(Zeiterfassung!$F$6:$F$3665,$K2163))</f>
        <v/>
      </c>
      <c r="G2163" s="187">
        <f>IF($K2163="","",INDEX(Zeiterfassung!$G$6:$G$3665,$K2163))</f>
        <v/>
      </c>
      <c r="H2163" s="188">
        <f>IF($K2163="","",INDEX(Zeiterfassung!$H$6:$H$3665,$K2163))</f>
        <v/>
      </c>
      <c r="I2163" s="335">
        <f>IF(B2163=B2162,"",IF($K2163="","",INDEX(Zeiterfassung!$I$6:$I$3665,MATCH(INDEX(Zeiterfassung!$K$6:$K$3665,$K2163),Zeiterfassung!$K$6:$K$3665,0))))</f>
        <v/>
      </c>
      <c r="J2163" s="335">
        <f>IF(B2163=B2162,"",IF($K2163="","",INDEX(Zeiterfassung!$J$6:$J$3665,MATCH(INDEX(Zeiterfassung!$K$6:$K$3665,$K2163),Zeiterfassung!$K$6:$K$3665,0))))</f>
        <v/>
      </c>
      <c r="K2163">
        <f>IFERROR(AGGREGATE(15,6,(ROW(Zeiterfassung!$D$6:$D$3665)-ROW(Zeiterfassung!$D$6)+1)/(Zeiterfassung!$D$6:$D$3665&lt;&gt;""),2158),"")</f>
        <v/>
      </c>
    </row>
    <row r="2164" ht="20" customHeight="1">
      <c r="A2164" s="183">
        <f>IF($K2164="","",WEEKNUM(INDEX(Zeiterfassung!$K$6:$K$3665,$K2164),21))</f>
        <v/>
      </c>
      <c r="B2164" s="184">
        <f>IF($K2164="","",INDEX(Zeiterfassung!$K$6:$K$3665,$K2164))</f>
        <v/>
      </c>
      <c r="C2164" s="185">
        <f>IF($K2164="","",INDEX(Zeiterfassung!$K$6:$K$3665,$K2164))</f>
        <v/>
      </c>
      <c r="D2164" s="186">
        <f>IF($K2164="","",INDEX(Zeiterfassung!$D$6:$D$3665,$K2164))</f>
        <v/>
      </c>
      <c r="E2164" s="186">
        <f>IF($K2164="","",INDEX(Zeiterfassung!$E$6:$E$3665,$K2164))</f>
        <v/>
      </c>
      <c r="F2164" s="187">
        <f>IF($K2164="","",INDEX(Zeiterfassung!$F$6:$F$3665,$K2164))</f>
        <v/>
      </c>
      <c r="G2164" s="187">
        <f>IF($K2164="","",INDEX(Zeiterfassung!$G$6:$G$3665,$K2164))</f>
        <v/>
      </c>
      <c r="H2164" s="188">
        <f>IF($K2164="","",INDEX(Zeiterfassung!$H$6:$H$3665,$K2164))</f>
        <v/>
      </c>
      <c r="I2164" s="335">
        <f>IF(B2164=B2163,"",IF($K2164="","",INDEX(Zeiterfassung!$I$6:$I$3665,MATCH(INDEX(Zeiterfassung!$K$6:$K$3665,$K2164),Zeiterfassung!$K$6:$K$3665,0))))</f>
        <v/>
      </c>
      <c r="J2164" s="335">
        <f>IF(B2164=B2163,"",IF($K2164="","",INDEX(Zeiterfassung!$J$6:$J$3665,MATCH(INDEX(Zeiterfassung!$K$6:$K$3665,$K2164),Zeiterfassung!$K$6:$K$3665,0))))</f>
        <v/>
      </c>
      <c r="K2164">
        <f>IFERROR(AGGREGATE(15,6,(ROW(Zeiterfassung!$D$6:$D$3665)-ROW(Zeiterfassung!$D$6)+1)/(Zeiterfassung!$D$6:$D$3665&lt;&gt;""),2159),"")</f>
        <v/>
      </c>
    </row>
    <row r="2165" ht="20" customHeight="1">
      <c r="A2165" s="183">
        <f>IF($K2165="","",WEEKNUM(INDEX(Zeiterfassung!$K$6:$K$3665,$K2165),21))</f>
        <v/>
      </c>
      <c r="B2165" s="184">
        <f>IF($K2165="","",INDEX(Zeiterfassung!$K$6:$K$3665,$K2165))</f>
        <v/>
      </c>
      <c r="C2165" s="185">
        <f>IF($K2165="","",INDEX(Zeiterfassung!$K$6:$K$3665,$K2165))</f>
        <v/>
      </c>
      <c r="D2165" s="186">
        <f>IF($K2165="","",INDEX(Zeiterfassung!$D$6:$D$3665,$K2165))</f>
        <v/>
      </c>
      <c r="E2165" s="186">
        <f>IF($K2165="","",INDEX(Zeiterfassung!$E$6:$E$3665,$K2165))</f>
        <v/>
      </c>
      <c r="F2165" s="187">
        <f>IF($K2165="","",INDEX(Zeiterfassung!$F$6:$F$3665,$K2165))</f>
        <v/>
      </c>
      <c r="G2165" s="187">
        <f>IF($K2165="","",INDEX(Zeiterfassung!$G$6:$G$3665,$K2165))</f>
        <v/>
      </c>
      <c r="H2165" s="188">
        <f>IF($K2165="","",INDEX(Zeiterfassung!$H$6:$H$3665,$K2165))</f>
        <v/>
      </c>
      <c r="I2165" s="335">
        <f>IF(B2165=B2164,"",IF($K2165="","",INDEX(Zeiterfassung!$I$6:$I$3665,MATCH(INDEX(Zeiterfassung!$K$6:$K$3665,$K2165),Zeiterfassung!$K$6:$K$3665,0))))</f>
        <v/>
      </c>
      <c r="J2165" s="335">
        <f>IF(B2165=B2164,"",IF($K2165="","",INDEX(Zeiterfassung!$J$6:$J$3665,MATCH(INDEX(Zeiterfassung!$K$6:$K$3665,$K2165),Zeiterfassung!$K$6:$K$3665,0))))</f>
        <v/>
      </c>
      <c r="K2165">
        <f>IFERROR(AGGREGATE(15,6,(ROW(Zeiterfassung!$D$6:$D$3665)-ROW(Zeiterfassung!$D$6)+1)/(Zeiterfassung!$D$6:$D$3665&lt;&gt;""),2160),"")</f>
        <v/>
      </c>
    </row>
    <row r="2166" ht="20" customHeight="1">
      <c r="A2166" s="183">
        <f>IF($K2166="","",WEEKNUM(INDEX(Zeiterfassung!$K$6:$K$3665,$K2166),21))</f>
        <v/>
      </c>
      <c r="B2166" s="184">
        <f>IF($K2166="","",INDEX(Zeiterfassung!$K$6:$K$3665,$K2166))</f>
        <v/>
      </c>
      <c r="C2166" s="185">
        <f>IF($K2166="","",INDEX(Zeiterfassung!$K$6:$K$3665,$K2166))</f>
        <v/>
      </c>
      <c r="D2166" s="186">
        <f>IF($K2166="","",INDEX(Zeiterfassung!$D$6:$D$3665,$K2166))</f>
        <v/>
      </c>
      <c r="E2166" s="186">
        <f>IF($K2166="","",INDEX(Zeiterfassung!$E$6:$E$3665,$K2166))</f>
        <v/>
      </c>
      <c r="F2166" s="187">
        <f>IF($K2166="","",INDEX(Zeiterfassung!$F$6:$F$3665,$K2166))</f>
        <v/>
      </c>
      <c r="G2166" s="187">
        <f>IF($K2166="","",INDEX(Zeiterfassung!$G$6:$G$3665,$K2166))</f>
        <v/>
      </c>
      <c r="H2166" s="188">
        <f>IF($K2166="","",INDEX(Zeiterfassung!$H$6:$H$3665,$K2166))</f>
        <v/>
      </c>
      <c r="I2166" s="335">
        <f>IF(B2166=B2165,"",IF($K2166="","",INDEX(Zeiterfassung!$I$6:$I$3665,MATCH(INDEX(Zeiterfassung!$K$6:$K$3665,$K2166),Zeiterfassung!$K$6:$K$3665,0))))</f>
        <v/>
      </c>
      <c r="J2166" s="335">
        <f>IF(B2166=B2165,"",IF($K2166="","",INDEX(Zeiterfassung!$J$6:$J$3665,MATCH(INDEX(Zeiterfassung!$K$6:$K$3665,$K2166),Zeiterfassung!$K$6:$K$3665,0))))</f>
        <v/>
      </c>
      <c r="K2166">
        <f>IFERROR(AGGREGATE(15,6,(ROW(Zeiterfassung!$D$6:$D$3665)-ROW(Zeiterfassung!$D$6)+1)/(Zeiterfassung!$D$6:$D$3665&lt;&gt;""),2161),"")</f>
        <v/>
      </c>
    </row>
    <row r="2167" ht="20" customHeight="1">
      <c r="A2167" s="183">
        <f>IF($K2167="","",WEEKNUM(INDEX(Zeiterfassung!$K$6:$K$3665,$K2167),21))</f>
        <v/>
      </c>
      <c r="B2167" s="184">
        <f>IF($K2167="","",INDEX(Zeiterfassung!$K$6:$K$3665,$K2167))</f>
        <v/>
      </c>
      <c r="C2167" s="185">
        <f>IF($K2167="","",INDEX(Zeiterfassung!$K$6:$K$3665,$K2167))</f>
        <v/>
      </c>
      <c r="D2167" s="186">
        <f>IF($K2167="","",INDEX(Zeiterfassung!$D$6:$D$3665,$K2167))</f>
        <v/>
      </c>
      <c r="E2167" s="186">
        <f>IF($K2167="","",INDEX(Zeiterfassung!$E$6:$E$3665,$K2167))</f>
        <v/>
      </c>
      <c r="F2167" s="187">
        <f>IF($K2167="","",INDEX(Zeiterfassung!$F$6:$F$3665,$K2167))</f>
        <v/>
      </c>
      <c r="G2167" s="187">
        <f>IF($K2167="","",INDEX(Zeiterfassung!$G$6:$G$3665,$K2167))</f>
        <v/>
      </c>
      <c r="H2167" s="188">
        <f>IF($K2167="","",INDEX(Zeiterfassung!$H$6:$H$3665,$K2167))</f>
        <v/>
      </c>
      <c r="I2167" s="335">
        <f>IF(B2167=B2166,"",IF($K2167="","",INDEX(Zeiterfassung!$I$6:$I$3665,MATCH(INDEX(Zeiterfassung!$K$6:$K$3665,$K2167),Zeiterfassung!$K$6:$K$3665,0))))</f>
        <v/>
      </c>
      <c r="J2167" s="335">
        <f>IF(B2167=B2166,"",IF($K2167="","",INDEX(Zeiterfassung!$J$6:$J$3665,MATCH(INDEX(Zeiterfassung!$K$6:$K$3665,$K2167),Zeiterfassung!$K$6:$K$3665,0))))</f>
        <v/>
      </c>
      <c r="K2167">
        <f>IFERROR(AGGREGATE(15,6,(ROW(Zeiterfassung!$D$6:$D$3665)-ROW(Zeiterfassung!$D$6)+1)/(Zeiterfassung!$D$6:$D$3665&lt;&gt;""),2162),"")</f>
        <v/>
      </c>
    </row>
    <row r="2168" ht="20" customHeight="1">
      <c r="A2168" s="183">
        <f>IF($K2168="","",WEEKNUM(INDEX(Zeiterfassung!$K$6:$K$3665,$K2168),21))</f>
        <v/>
      </c>
      <c r="B2168" s="184">
        <f>IF($K2168="","",INDEX(Zeiterfassung!$K$6:$K$3665,$K2168))</f>
        <v/>
      </c>
      <c r="C2168" s="185">
        <f>IF($K2168="","",INDEX(Zeiterfassung!$K$6:$K$3665,$K2168))</f>
        <v/>
      </c>
      <c r="D2168" s="186">
        <f>IF($K2168="","",INDEX(Zeiterfassung!$D$6:$D$3665,$K2168))</f>
        <v/>
      </c>
      <c r="E2168" s="186">
        <f>IF($K2168="","",INDEX(Zeiterfassung!$E$6:$E$3665,$K2168))</f>
        <v/>
      </c>
      <c r="F2168" s="187">
        <f>IF($K2168="","",INDEX(Zeiterfassung!$F$6:$F$3665,$K2168))</f>
        <v/>
      </c>
      <c r="G2168" s="187">
        <f>IF($K2168="","",INDEX(Zeiterfassung!$G$6:$G$3665,$K2168))</f>
        <v/>
      </c>
      <c r="H2168" s="188">
        <f>IF($K2168="","",INDEX(Zeiterfassung!$H$6:$H$3665,$K2168))</f>
        <v/>
      </c>
      <c r="I2168" s="335">
        <f>IF(B2168=B2167,"",IF($K2168="","",INDEX(Zeiterfassung!$I$6:$I$3665,MATCH(INDEX(Zeiterfassung!$K$6:$K$3665,$K2168),Zeiterfassung!$K$6:$K$3665,0))))</f>
        <v/>
      </c>
      <c r="J2168" s="335">
        <f>IF(B2168=B2167,"",IF($K2168="","",INDEX(Zeiterfassung!$J$6:$J$3665,MATCH(INDEX(Zeiterfassung!$K$6:$K$3665,$K2168),Zeiterfassung!$K$6:$K$3665,0))))</f>
        <v/>
      </c>
      <c r="K2168">
        <f>IFERROR(AGGREGATE(15,6,(ROW(Zeiterfassung!$D$6:$D$3665)-ROW(Zeiterfassung!$D$6)+1)/(Zeiterfassung!$D$6:$D$3665&lt;&gt;""),2163),"")</f>
        <v/>
      </c>
    </row>
    <row r="2169" ht="20" customHeight="1">
      <c r="A2169" s="183">
        <f>IF($K2169="","",WEEKNUM(INDEX(Zeiterfassung!$K$6:$K$3665,$K2169),21))</f>
        <v/>
      </c>
      <c r="B2169" s="184">
        <f>IF($K2169="","",INDEX(Zeiterfassung!$K$6:$K$3665,$K2169))</f>
        <v/>
      </c>
      <c r="C2169" s="185">
        <f>IF($K2169="","",INDEX(Zeiterfassung!$K$6:$K$3665,$K2169))</f>
        <v/>
      </c>
      <c r="D2169" s="186">
        <f>IF($K2169="","",INDEX(Zeiterfassung!$D$6:$D$3665,$K2169))</f>
        <v/>
      </c>
      <c r="E2169" s="186">
        <f>IF($K2169="","",INDEX(Zeiterfassung!$E$6:$E$3665,$K2169))</f>
        <v/>
      </c>
      <c r="F2169" s="187">
        <f>IF($K2169="","",INDEX(Zeiterfassung!$F$6:$F$3665,$K2169))</f>
        <v/>
      </c>
      <c r="G2169" s="187">
        <f>IF($K2169="","",INDEX(Zeiterfassung!$G$6:$G$3665,$K2169))</f>
        <v/>
      </c>
      <c r="H2169" s="188">
        <f>IF($K2169="","",INDEX(Zeiterfassung!$H$6:$H$3665,$K2169))</f>
        <v/>
      </c>
      <c r="I2169" s="335">
        <f>IF(B2169=B2168,"",IF($K2169="","",INDEX(Zeiterfassung!$I$6:$I$3665,MATCH(INDEX(Zeiterfassung!$K$6:$K$3665,$K2169),Zeiterfassung!$K$6:$K$3665,0))))</f>
        <v/>
      </c>
      <c r="J2169" s="335">
        <f>IF(B2169=B2168,"",IF($K2169="","",INDEX(Zeiterfassung!$J$6:$J$3665,MATCH(INDEX(Zeiterfassung!$K$6:$K$3665,$K2169),Zeiterfassung!$K$6:$K$3665,0))))</f>
        <v/>
      </c>
      <c r="K2169">
        <f>IFERROR(AGGREGATE(15,6,(ROW(Zeiterfassung!$D$6:$D$3665)-ROW(Zeiterfassung!$D$6)+1)/(Zeiterfassung!$D$6:$D$3665&lt;&gt;""),2164),"")</f>
        <v/>
      </c>
    </row>
    <row r="2170" ht="20" customHeight="1">
      <c r="A2170" s="183">
        <f>IF($K2170="","",WEEKNUM(INDEX(Zeiterfassung!$K$6:$K$3665,$K2170),21))</f>
        <v/>
      </c>
      <c r="B2170" s="184">
        <f>IF($K2170="","",INDEX(Zeiterfassung!$K$6:$K$3665,$K2170))</f>
        <v/>
      </c>
      <c r="C2170" s="185">
        <f>IF($K2170="","",INDEX(Zeiterfassung!$K$6:$K$3665,$K2170))</f>
        <v/>
      </c>
      <c r="D2170" s="186">
        <f>IF($K2170="","",INDEX(Zeiterfassung!$D$6:$D$3665,$K2170))</f>
        <v/>
      </c>
      <c r="E2170" s="186">
        <f>IF($K2170="","",INDEX(Zeiterfassung!$E$6:$E$3665,$K2170))</f>
        <v/>
      </c>
      <c r="F2170" s="187">
        <f>IF($K2170="","",INDEX(Zeiterfassung!$F$6:$F$3665,$K2170))</f>
        <v/>
      </c>
      <c r="G2170" s="187">
        <f>IF($K2170="","",INDEX(Zeiterfassung!$G$6:$G$3665,$K2170))</f>
        <v/>
      </c>
      <c r="H2170" s="188">
        <f>IF($K2170="","",INDEX(Zeiterfassung!$H$6:$H$3665,$K2170))</f>
        <v/>
      </c>
      <c r="I2170" s="335">
        <f>IF(B2170=B2169,"",IF($K2170="","",INDEX(Zeiterfassung!$I$6:$I$3665,MATCH(INDEX(Zeiterfassung!$K$6:$K$3665,$K2170),Zeiterfassung!$K$6:$K$3665,0))))</f>
        <v/>
      </c>
      <c r="J2170" s="335">
        <f>IF(B2170=B2169,"",IF($K2170="","",INDEX(Zeiterfassung!$J$6:$J$3665,MATCH(INDEX(Zeiterfassung!$K$6:$K$3665,$K2170),Zeiterfassung!$K$6:$K$3665,0))))</f>
        <v/>
      </c>
      <c r="K2170">
        <f>IFERROR(AGGREGATE(15,6,(ROW(Zeiterfassung!$D$6:$D$3665)-ROW(Zeiterfassung!$D$6)+1)/(Zeiterfassung!$D$6:$D$3665&lt;&gt;""),2165),"")</f>
        <v/>
      </c>
    </row>
    <row r="2171" ht="20" customHeight="1">
      <c r="A2171" s="183">
        <f>IF($K2171="","",WEEKNUM(INDEX(Zeiterfassung!$K$6:$K$3665,$K2171),21))</f>
        <v/>
      </c>
      <c r="B2171" s="184">
        <f>IF($K2171="","",INDEX(Zeiterfassung!$K$6:$K$3665,$K2171))</f>
        <v/>
      </c>
      <c r="C2171" s="185">
        <f>IF($K2171="","",INDEX(Zeiterfassung!$K$6:$K$3665,$K2171))</f>
        <v/>
      </c>
      <c r="D2171" s="186">
        <f>IF($K2171="","",INDEX(Zeiterfassung!$D$6:$D$3665,$K2171))</f>
        <v/>
      </c>
      <c r="E2171" s="186">
        <f>IF($K2171="","",INDEX(Zeiterfassung!$E$6:$E$3665,$K2171))</f>
        <v/>
      </c>
      <c r="F2171" s="187">
        <f>IF($K2171="","",INDEX(Zeiterfassung!$F$6:$F$3665,$K2171))</f>
        <v/>
      </c>
      <c r="G2171" s="187">
        <f>IF($K2171="","",INDEX(Zeiterfassung!$G$6:$G$3665,$K2171))</f>
        <v/>
      </c>
      <c r="H2171" s="188">
        <f>IF($K2171="","",INDEX(Zeiterfassung!$H$6:$H$3665,$K2171))</f>
        <v/>
      </c>
      <c r="I2171" s="335">
        <f>IF(B2171=B2170,"",IF($K2171="","",INDEX(Zeiterfassung!$I$6:$I$3665,MATCH(INDEX(Zeiterfassung!$K$6:$K$3665,$K2171),Zeiterfassung!$K$6:$K$3665,0))))</f>
        <v/>
      </c>
      <c r="J2171" s="335">
        <f>IF(B2171=B2170,"",IF($K2171="","",INDEX(Zeiterfassung!$J$6:$J$3665,MATCH(INDEX(Zeiterfassung!$K$6:$K$3665,$K2171),Zeiterfassung!$K$6:$K$3665,0))))</f>
        <v/>
      </c>
      <c r="K2171">
        <f>IFERROR(AGGREGATE(15,6,(ROW(Zeiterfassung!$D$6:$D$3665)-ROW(Zeiterfassung!$D$6)+1)/(Zeiterfassung!$D$6:$D$3665&lt;&gt;""),2166),"")</f>
        <v/>
      </c>
    </row>
    <row r="2172" ht="20" customHeight="1">
      <c r="A2172" s="183">
        <f>IF($K2172="","",WEEKNUM(INDEX(Zeiterfassung!$K$6:$K$3665,$K2172),21))</f>
        <v/>
      </c>
      <c r="B2172" s="184">
        <f>IF($K2172="","",INDEX(Zeiterfassung!$K$6:$K$3665,$K2172))</f>
        <v/>
      </c>
      <c r="C2172" s="185">
        <f>IF($K2172="","",INDEX(Zeiterfassung!$K$6:$K$3665,$K2172))</f>
        <v/>
      </c>
      <c r="D2172" s="186">
        <f>IF($K2172="","",INDEX(Zeiterfassung!$D$6:$D$3665,$K2172))</f>
        <v/>
      </c>
      <c r="E2172" s="186">
        <f>IF($K2172="","",INDEX(Zeiterfassung!$E$6:$E$3665,$K2172))</f>
        <v/>
      </c>
      <c r="F2172" s="187">
        <f>IF($K2172="","",INDEX(Zeiterfassung!$F$6:$F$3665,$K2172))</f>
        <v/>
      </c>
      <c r="G2172" s="187">
        <f>IF($K2172="","",INDEX(Zeiterfassung!$G$6:$G$3665,$K2172))</f>
        <v/>
      </c>
      <c r="H2172" s="188">
        <f>IF($K2172="","",INDEX(Zeiterfassung!$H$6:$H$3665,$K2172))</f>
        <v/>
      </c>
      <c r="I2172" s="335">
        <f>IF(B2172=B2171,"",IF($K2172="","",INDEX(Zeiterfassung!$I$6:$I$3665,MATCH(INDEX(Zeiterfassung!$K$6:$K$3665,$K2172),Zeiterfassung!$K$6:$K$3665,0))))</f>
        <v/>
      </c>
      <c r="J2172" s="335">
        <f>IF(B2172=B2171,"",IF($K2172="","",INDEX(Zeiterfassung!$J$6:$J$3665,MATCH(INDEX(Zeiterfassung!$K$6:$K$3665,$K2172),Zeiterfassung!$K$6:$K$3665,0))))</f>
        <v/>
      </c>
      <c r="K2172">
        <f>IFERROR(AGGREGATE(15,6,(ROW(Zeiterfassung!$D$6:$D$3665)-ROW(Zeiterfassung!$D$6)+1)/(Zeiterfassung!$D$6:$D$3665&lt;&gt;""),2167),"")</f>
        <v/>
      </c>
    </row>
    <row r="2173" ht="20" customHeight="1">
      <c r="A2173" s="183">
        <f>IF($K2173="","",WEEKNUM(INDEX(Zeiterfassung!$K$6:$K$3665,$K2173),21))</f>
        <v/>
      </c>
      <c r="B2173" s="184">
        <f>IF($K2173="","",INDEX(Zeiterfassung!$K$6:$K$3665,$K2173))</f>
        <v/>
      </c>
      <c r="C2173" s="185">
        <f>IF($K2173="","",INDEX(Zeiterfassung!$K$6:$K$3665,$K2173))</f>
        <v/>
      </c>
      <c r="D2173" s="186">
        <f>IF($K2173="","",INDEX(Zeiterfassung!$D$6:$D$3665,$K2173))</f>
        <v/>
      </c>
      <c r="E2173" s="186">
        <f>IF($K2173="","",INDEX(Zeiterfassung!$E$6:$E$3665,$K2173))</f>
        <v/>
      </c>
      <c r="F2173" s="187">
        <f>IF($K2173="","",INDEX(Zeiterfassung!$F$6:$F$3665,$K2173))</f>
        <v/>
      </c>
      <c r="G2173" s="187">
        <f>IF($K2173="","",INDEX(Zeiterfassung!$G$6:$G$3665,$K2173))</f>
        <v/>
      </c>
      <c r="H2173" s="188">
        <f>IF($K2173="","",INDEX(Zeiterfassung!$H$6:$H$3665,$K2173))</f>
        <v/>
      </c>
      <c r="I2173" s="335">
        <f>IF(B2173=B2172,"",IF($K2173="","",INDEX(Zeiterfassung!$I$6:$I$3665,MATCH(INDEX(Zeiterfassung!$K$6:$K$3665,$K2173),Zeiterfassung!$K$6:$K$3665,0))))</f>
        <v/>
      </c>
      <c r="J2173" s="335">
        <f>IF(B2173=B2172,"",IF($K2173="","",INDEX(Zeiterfassung!$J$6:$J$3665,MATCH(INDEX(Zeiterfassung!$K$6:$K$3665,$K2173),Zeiterfassung!$K$6:$K$3665,0))))</f>
        <v/>
      </c>
      <c r="K2173">
        <f>IFERROR(AGGREGATE(15,6,(ROW(Zeiterfassung!$D$6:$D$3665)-ROW(Zeiterfassung!$D$6)+1)/(Zeiterfassung!$D$6:$D$3665&lt;&gt;""),2168),"")</f>
        <v/>
      </c>
    </row>
    <row r="2174" ht="20" customHeight="1">
      <c r="A2174" s="183">
        <f>IF($K2174="","",WEEKNUM(INDEX(Zeiterfassung!$K$6:$K$3665,$K2174),21))</f>
        <v/>
      </c>
      <c r="B2174" s="184">
        <f>IF($K2174="","",INDEX(Zeiterfassung!$K$6:$K$3665,$K2174))</f>
        <v/>
      </c>
      <c r="C2174" s="185">
        <f>IF($K2174="","",INDEX(Zeiterfassung!$K$6:$K$3665,$K2174))</f>
        <v/>
      </c>
      <c r="D2174" s="186">
        <f>IF($K2174="","",INDEX(Zeiterfassung!$D$6:$D$3665,$K2174))</f>
        <v/>
      </c>
      <c r="E2174" s="186">
        <f>IF($K2174="","",INDEX(Zeiterfassung!$E$6:$E$3665,$K2174))</f>
        <v/>
      </c>
      <c r="F2174" s="187">
        <f>IF($K2174="","",INDEX(Zeiterfassung!$F$6:$F$3665,$K2174))</f>
        <v/>
      </c>
      <c r="G2174" s="187">
        <f>IF($K2174="","",INDEX(Zeiterfassung!$G$6:$G$3665,$K2174))</f>
        <v/>
      </c>
      <c r="H2174" s="188">
        <f>IF($K2174="","",INDEX(Zeiterfassung!$H$6:$H$3665,$K2174))</f>
        <v/>
      </c>
      <c r="I2174" s="335">
        <f>IF(B2174=B2173,"",IF($K2174="","",INDEX(Zeiterfassung!$I$6:$I$3665,MATCH(INDEX(Zeiterfassung!$K$6:$K$3665,$K2174),Zeiterfassung!$K$6:$K$3665,0))))</f>
        <v/>
      </c>
      <c r="J2174" s="335">
        <f>IF(B2174=B2173,"",IF($K2174="","",INDEX(Zeiterfassung!$J$6:$J$3665,MATCH(INDEX(Zeiterfassung!$K$6:$K$3665,$K2174),Zeiterfassung!$K$6:$K$3665,0))))</f>
        <v/>
      </c>
      <c r="K2174">
        <f>IFERROR(AGGREGATE(15,6,(ROW(Zeiterfassung!$D$6:$D$3665)-ROW(Zeiterfassung!$D$6)+1)/(Zeiterfassung!$D$6:$D$3665&lt;&gt;""),2169),"")</f>
        <v/>
      </c>
    </row>
    <row r="2175" ht="20" customHeight="1">
      <c r="A2175" s="183">
        <f>IF($K2175="","",WEEKNUM(INDEX(Zeiterfassung!$K$6:$K$3665,$K2175),21))</f>
        <v/>
      </c>
      <c r="B2175" s="184">
        <f>IF($K2175="","",INDEX(Zeiterfassung!$K$6:$K$3665,$K2175))</f>
        <v/>
      </c>
      <c r="C2175" s="185">
        <f>IF($K2175="","",INDEX(Zeiterfassung!$K$6:$K$3665,$K2175))</f>
        <v/>
      </c>
      <c r="D2175" s="186">
        <f>IF($K2175="","",INDEX(Zeiterfassung!$D$6:$D$3665,$K2175))</f>
        <v/>
      </c>
      <c r="E2175" s="186">
        <f>IF($K2175="","",INDEX(Zeiterfassung!$E$6:$E$3665,$K2175))</f>
        <v/>
      </c>
      <c r="F2175" s="187">
        <f>IF($K2175="","",INDEX(Zeiterfassung!$F$6:$F$3665,$K2175))</f>
        <v/>
      </c>
      <c r="G2175" s="187">
        <f>IF($K2175="","",INDEX(Zeiterfassung!$G$6:$G$3665,$K2175))</f>
        <v/>
      </c>
      <c r="H2175" s="188">
        <f>IF($K2175="","",INDEX(Zeiterfassung!$H$6:$H$3665,$K2175))</f>
        <v/>
      </c>
      <c r="I2175" s="335">
        <f>IF(B2175=B2174,"",IF($K2175="","",INDEX(Zeiterfassung!$I$6:$I$3665,MATCH(INDEX(Zeiterfassung!$K$6:$K$3665,$K2175),Zeiterfassung!$K$6:$K$3665,0))))</f>
        <v/>
      </c>
      <c r="J2175" s="335">
        <f>IF(B2175=B2174,"",IF($K2175="","",INDEX(Zeiterfassung!$J$6:$J$3665,MATCH(INDEX(Zeiterfassung!$K$6:$K$3665,$K2175),Zeiterfassung!$K$6:$K$3665,0))))</f>
        <v/>
      </c>
      <c r="K2175">
        <f>IFERROR(AGGREGATE(15,6,(ROW(Zeiterfassung!$D$6:$D$3665)-ROW(Zeiterfassung!$D$6)+1)/(Zeiterfassung!$D$6:$D$3665&lt;&gt;""),2170),"")</f>
        <v/>
      </c>
    </row>
    <row r="2176" ht="20" customHeight="1">
      <c r="A2176" s="183">
        <f>IF($K2176="","",WEEKNUM(INDEX(Zeiterfassung!$K$6:$K$3665,$K2176),21))</f>
        <v/>
      </c>
      <c r="B2176" s="184">
        <f>IF($K2176="","",INDEX(Zeiterfassung!$K$6:$K$3665,$K2176))</f>
        <v/>
      </c>
      <c r="C2176" s="185">
        <f>IF($K2176="","",INDEX(Zeiterfassung!$K$6:$K$3665,$K2176))</f>
        <v/>
      </c>
      <c r="D2176" s="186">
        <f>IF($K2176="","",INDEX(Zeiterfassung!$D$6:$D$3665,$K2176))</f>
        <v/>
      </c>
      <c r="E2176" s="186">
        <f>IF($K2176="","",INDEX(Zeiterfassung!$E$6:$E$3665,$K2176))</f>
        <v/>
      </c>
      <c r="F2176" s="187">
        <f>IF($K2176="","",INDEX(Zeiterfassung!$F$6:$F$3665,$K2176))</f>
        <v/>
      </c>
      <c r="G2176" s="187">
        <f>IF($K2176="","",INDEX(Zeiterfassung!$G$6:$G$3665,$K2176))</f>
        <v/>
      </c>
      <c r="H2176" s="188">
        <f>IF($K2176="","",INDEX(Zeiterfassung!$H$6:$H$3665,$K2176))</f>
        <v/>
      </c>
      <c r="I2176" s="335">
        <f>IF(B2176=B2175,"",IF($K2176="","",INDEX(Zeiterfassung!$I$6:$I$3665,MATCH(INDEX(Zeiterfassung!$K$6:$K$3665,$K2176),Zeiterfassung!$K$6:$K$3665,0))))</f>
        <v/>
      </c>
      <c r="J2176" s="335">
        <f>IF(B2176=B2175,"",IF($K2176="","",INDEX(Zeiterfassung!$J$6:$J$3665,MATCH(INDEX(Zeiterfassung!$K$6:$K$3665,$K2176),Zeiterfassung!$K$6:$K$3665,0))))</f>
        <v/>
      </c>
      <c r="K2176">
        <f>IFERROR(AGGREGATE(15,6,(ROW(Zeiterfassung!$D$6:$D$3665)-ROW(Zeiterfassung!$D$6)+1)/(Zeiterfassung!$D$6:$D$3665&lt;&gt;""),2171),"")</f>
        <v/>
      </c>
    </row>
    <row r="2177" ht="20" customHeight="1">
      <c r="A2177" s="183">
        <f>IF($K2177="","",WEEKNUM(INDEX(Zeiterfassung!$K$6:$K$3665,$K2177),21))</f>
        <v/>
      </c>
      <c r="B2177" s="184">
        <f>IF($K2177="","",INDEX(Zeiterfassung!$K$6:$K$3665,$K2177))</f>
        <v/>
      </c>
      <c r="C2177" s="185">
        <f>IF($K2177="","",INDEX(Zeiterfassung!$K$6:$K$3665,$K2177))</f>
        <v/>
      </c>
      <c r="D2177" s="186">
        <f>IF($K2177="","",INDEX(Zeiterfassung!$D$6:$D$3665,$K2177))</f>
        <v/>
      </c>
      <c r="E2177" s="186">
        <f>IF($K2177="","",INDEX(Zeiterfassung!$E$6:$E$3665,$K2177))</f>
        <v/>
      </c>
      <c r="F2177" s="187">
        <f>IF($K2177="","",INDEX(Zeiterfassung!$F$6:$F$3665,$K2177))</f>
        <v/>
      </c>
      <c r="G2177" s="187">
        <f>IF($K2177="","",INDEX(Zeiterfassung!$G$6:$G$3665,$K2177))</f>
        <v/>
      </c>
      <c r="H2177" s="188">
        <f>IF($K2177="","",INDEX(Zeiterfassung!$H$6:$H$3665,$K2177))</f>
        <v/>
      </c>
      <c r="I2177" s="335">
        <f>IF(B2177=B2176,"",IF($K2177="","",INDEX(Zeiterfassung!$I$6:$I$3665,MATCH(INDEX(Zeiterfassung!$K$6:$K$3665,$K2177),Zeiterfassung!$K$6:$K$3665,0))))</f>
        <v/>
      </c>
      <c r="J2177" s="335">
        <f>IF(B2177=B2176,"",IF($K2177="","",INDEX(Zeiterfassung!$J$6:$J$3665,MATCH(INDEX(Zeiterfassung!$K$6:$K$3665,$K2177),Zeiterfassung!$K$6:$K$3665,0))))</f>
        <v/>
      </c>
      <c r="K2177">
        <f>IFERROR(AGGREGATE(15,6,(ROW(Zeiterfassung!$D$6:$D$3665)-ROW(Zeiterfassung!$D$6)+1)/(Zeiterfassung!$D$6:$D$3665&lt;&gt;""),2172),"")</f>
        <v/>
      </c>
    </row>
    <row r="2178" ht="20" customHeight="1">
      <c r="A2178" s="183">
        <f>IF($K2178="","",WEEKNUM(INDEX(Zeiterfassung!$K$6:$K$3665,$K2178),21))</f>
        <v/>
      </c>
      <c r="B2178" s="184">
        <f>IF($K2178="","",INDEX(Zeiterfassung!$K$6:$K$3665,$K2178))</f>
        <v/>
      </c>
      <c r="C2178" s="185">
        <f>IF($K2178="","",INDEX(Zeiterfassung!$K$6:$K$3665,$K2178))</f>
        <v/>
      </c>
      <c r="D2178" s="186">
        <f>IF($K2178="","",INDEX(Zeiterfassung!$D$6:$D$3665,$K2178))</f>
        <v/>
      </c>
      <c r="E2178" s="186">
        <f>IF($K2178="","",INDEX(Zeiterfassung!$E$6:$E$3665,$K2178))</f>
        <v/>
      </c>
      <c r="F2178" s="187">
        <f>IF($K2178="","",INDEX(Zeiterfassung!$F$6:$F$3665,$K2178))</f>
        <v/>
      </c>
      <c r="G2178" s="187">
        <f>IF($K2178="","",INDEX(Zeiterfassung!$G$6:$G$3665,$K2178))</f>
        <v/>
      </c>
      <c r="H2178" s="188">
        <f>IF($K2178="","",INDEX(Zeiterfassung!$H$6:$H$3665,$K2178))</f>
        <v/>
      </c>
      <c r="I2178" s="335">
        <f>IF(B2178=B2177,"",IF($K2178="","",INDEX(Zeiterfassung!$I$6:$I$3665,MATCH(INDEX(Zeiterfassung!$K$6:$K$3665,$K2178),Zeiterfassung!$K$6:$K$3665,0))))</f>
        <v/>
      </c>
      <c r="J2178" s="335">
        <f>IF(B2178=B2177,"",IF($K2178="","",INDEX(Zeiterfassung!$J$6:$J$3665,MATCH(INDEX(Zeiterfassung!$K$6:$K$3665,$K2178),Zeiterfassung!$K$6:$K$3665,0))))</f>
        <v/>
      </c>
      <c r="K2178">
        <f>IFERROR(AGGREGATE(15,6,(ROW(Zeiterfassung!$D$6:$D$3665)-ROW(Zeiterfassung!$D$6)+1)/(Zeiterfassung!$D$6:$D$3665&lt;&gt;""),2173),"")</f>
        <v/>
      </c>
    </row>
    <row r="2179" ht="20" customHeight="1">
      <c r="A2179" s="183">
        <f>IF($K2179="","",WEEKNUM(INDEX(Zeiterfassung!$K$6:$K$3665,$K2179),21))</f>
        <v/>
      </c>
      <c r="B2179" s="184">
        <f>IF($K2179="","",INDEX(Zeiterfassung!$K$6:$K$3665,$K2179))</f>
        <v/>
      </c>
      <c r="C2179" s="185">
        <f>IF($K2179="","",INDEX(Zeiterfassung!$K$6:$K$3665,$K2179))</f>
        <v/>
      </c>
      <c r="D2179" s="186">
        <f>IF($K2179="","",INDEX(Zeiterfassung!$D$6:$D$3665,$K2179))</f>
        <v/>
      </c>
      <c r="E2179" s="186">
        <f>IF($K2179="","",INDEX(Zeiterfassung!$E$6:$E$3665,$K2179))</f>
        <v/>
      </c>
      <c r="F2179" s="187">
        <f>IF($K2179="","",INDEX(Zeiterfassung!$F$6:$F$3665,$K2179))</f>
        <v/>
      </c>
      <c r="G2179" s="187">
        <f>IF($K2179="","",INDEX(Zeiterfassung!$G$6:$G$3665,$K2179))</f>
        <v/>
      </c>
      <c r="H2179" s="188">
        <f>IF($K2179="","",INDEX(Zeiterfassung!$H$6:$H$3665,$K2179))</f>
        <v/>
      </c>
      <c r="I2179" s="335">
        <f>IF(B2179=B2178,"",IF($K2179="","",INDEX(Zeiterfassung!$I$6:$I$3665,MATCH(INDEX(Zeiterfassung!$K$6:$K$3665,$K2179),Zeiterfassung!$K$6:$K$3665,0))))</f>
        <v/>
      </c>
      <c r="J2179" s="335">
        <f>IF(B2179=B2178,"",IF($K2179="","",INDEX(Zeiterfassung!$J$6:$J$3665,MATCH(INDEX(Zeiterfassung!$K$6:$K$3665,$K2179),Zeiterfassung!$K$6:$K$3665,0))))</f>
        <v/>
      </c>
      <c r="K2179">
        <f>IFERROR(AGGREGATE(15,6,(ROW(Zeiterfassung!$D$6:$D$3665)-ROW(Zeiterfassung!$D$6)+1)/(Zeiterfassung!$D$6:$D$3665&lt;&gt;""),2174),"")</f>
        <v/>
      </c>
    </row>
    <row r="2180" ht="20" customHeight="1">
      <c r="A2180" s="183">
        <f>IF($K2180="","",WEEKNUM(INDEX(Zeiterfassung!$K$6:$K$3665,$K2180),21))</f>
        <v/>
      </c>
      <c r="B2180" s="184">
        <f>IF($K2180="","",INDEX(Zeiterfassung!$K$6:$K$3665,$K2180))</f>
        <v/>
      </c>
      <c r="C2180" s="185">
        <f>IF($K2180="","",INDEX(Zeiterfassung!$K$6:$K$3665,$K2180))</f>
        <v/>
      </c>
      <c r="D2180" s="186">
        <f>IF($K2180="","",INDEX(Zeiterfassung!$D$6:$D$3665,$K2180))</f>
        <v/>
      </c>
      <c r="E2180" s="186">
        <f>IF($K2180="","",INDEX(Zeiterfassung!$E$6:$E$3665,$K2180))</f>
        <v/>
      </c>
      <c r="F2180" s="187">
        <f>IF($K2180="","",INDEX(Zeiterfassung!$F$6:$F$3665,$K2180))</f>
        <v/>
      </c>
      <c r="G2180" s="187">
        <f>IF($K2180="","",INDEX(Zeiterfassung!$G$6:$G$3665,$K2180))</f>
        <v/>
      </c>
      <c r="H2180" s="188">
        <f>IF($K2180="","",INDEX(Zeiterfassung!$H$6:$H$3665,$K2180))</f>
        <v/>
      </c>
      <c r="I2180" s="335">
        <f>IF(B2180=B2179,"",IF($K2180="","",INDEX(Zeiterfassung!$I$6:$I$3665,MATCH(INDEX(Zeiterfassung!$K$6:$K$3665,$K2180),Zeiterfassung!$K$6:$K$3665,0))))</f>
        <v/>
      </c>
      <c r="J2180" s="335">
        <f>IF(B2180=B2179,"",IF($K2180="","",INDEX(Zeiterfassung!$J$6:$J$3665,MATCH(INDEX(Zeiterfassung!$K$6:$K$3665,$K2180),Zeiterfassung!$K$6:$K$3665,0))))</f>
        <v/>
      </c>
      <c r="K2180">
        <f>IFERROR(AGGREGATE(15,6,(ROW(Zeiterfassung!$D$6:$D$3665)-ROW(Zeiterfassung!$D$6)+1)/(Zeiterfassung!$D$6:$D$3665&lt;&gt;""),2175),"")</f>
        <v/>
      </c>
    </row>
    <row r="2181" ht="20" customHeight="1">
      <c r="A2181" s="183">
        <f>IF($K2181="","",WEEKNUM(INDEX(Zeiterfassung!$K$6:$K$3665,$K2181),21))</f>
        <v/>
      </c>
      <c r="B2181" s="184">
        <f>IF($K2181="","",INDEX(Zeiterfassung!$K$6:$K$3665,$K2181))</f>
        <v/>
      </c>
      <c r="C2181" s="185">
        <f>IF($K2181="","",INDEX(Zeiterfassung!$K$6:$K$3665,$K2181))</f>
        <v/>
      </c>
      <c r="D2181" s="186">
        <f>IF($K2181="","",INDEX(Zeiterfassung!$D$6:$D$3665,$K2181))</f>
        <v/>
      </c>
      <c r="E2181" s="186">
        <f>IF($K2181="","",INDEX(Zeiterfassung!$E$6:$E$3665,$K2181))</f>
        <v/>
      </c>
      <c r="F2181" s="187">
        <f>IF($K2181="","",INDEX(Zeiterfassung!$F$6:$F$3665,$K2181))</f>
        <v/>
      </c>
      <c r="G2181" s="187">
        <f>IF($K2181="","",INDEX(Zeiterfassung!$G$6:$G$3665,$K2181))</f>
        <v/>
      </c>
      <c r="H2181" s="188">
        <f>IF($K2181="","",INDEX(Zeiterfassung!$H$6:$H$3665,$K2181))</f>
        <v/>
      </c>
      <c r="I2181" s="335">
        <f>IF(B2181=B2180,"",IF($K2181="","",INDEX(Zeiterfassung!$I$6:$I$3665,MATCH(INDEX(Zeiterfassung!$K$6:$K$3665,$K2181),Zeiterfassung!$K$6:$K$3665,0))))</f>
        <v/>
      </c>
      <c r="J2181" s="335">
        <f>IF(B2181=B2180,"",IF($K2181="","",INDEX(Zeiterfassung!$J$6:$J$3665,MATCH(INDEX(Zeiterfassung!$K$6:$K$3665,$K2181),Zeiterfassung!$K$6:$K$3665,0))))</f>
        <v/>
      </c>
      <c r="K2181">
        <f>IFERROR(AGGREGATE(15,6,(ROW(Zeiterfassung!$D$6:$D$3665)-ROW(Zeiterfassung!$D$6)+1)/(Zeiterfassung!$D$6:$D$3665&lt;&gt;""),2176),"")</f>
        <v/>
      </c>
    </row>
    <row r="2182" ht="20" customHeight="1">
      <c r="A2182" s="183">
        <f>IF($K2182="","",WEEKNUM(INDEX(Zeiterfassung!$K$6:$K$3665,$K2182),21))</f>
        <v/>
      </c>
      <c r="B2182" s="184">
        <f>IF($K2182="","",INDEX(Zeiterfassung!$K$6:$K$3665,$K2182))</f>
        <v/>
      </c>
      <c r="C2182" s="185">
        <f>IF($K2182="","",INDEX(Zeiterfassung!$K$6:$K$3665,$K2182))</f>
        <v/>
      </c>
      <c r="D2182" s="186">
        <f>IF($K2182="","",INDEX(Zeiterfassung!$D$6:$D$3665,$K2182))</f>
        <v/>
      </c>
      <c r="E2182" s="186">
        <f>IF($K2182="","",INDEX(Zeiterfassung!$E$6:$E$3665,$K2182))</f>
        <v/>
      </c>
      <c r="F2182" s="187">
        <f>IF($K2182="","",INDEX(Zeiterfassung!$F$6:$F$3665,$K2182))</f>
        <v/>
      </c>
      <c r="G2182" s="187">
        <f>IF($K2182="","",INDEX(Zeiterfassung!$G$6:$G$3665,$K2182))</f>
        <v/>
      </c>
      <c r="H2182" s="188">
        <f>IF($K2182="","",INDEX(Zeiterfassung!$H$6:$H$3665,$K2182))</f>
        <v/>
      </c>
      <c r="I2182" s="335">
        <f>IF(B2182=B2181,"",IF($K2182="","",INDEX(Zeiterfassung!$I$6:$I$3665,MATCH(INDEX(Zeiterfassung!$K$6:$K$3665,$K2182),Zeiterfassung!$K$6:$K$3665,0))))</f>
        <v/>
      </c>
      <c r="J2182" s="335">
        <f>IF(B2182=B2181,"",IF($K2182="","",INDEX(Zeiterfassung!$J$6:$J$3665,MATCH(INDEX(Zeiterfassung!$K$6:$K$3665,$K2182),Zeiterfassung!$K$6:$K$3665,0))))</f>
        <v/>
      </c>
      <c r="K2182">
        <f>IFERROR(AGGREGATE(15,6,(ROW(Zeiterfassung!$D$6:$D$3665)-ROW(Zeiterfassung!$D$6)+1)/(Zeiterfassung!$D$6:$D$3665&lt;&gt;""),2177),"")</f>
        <v/>
      </c>
    </row>
    <row r="2183" ht="20" customHeight="1">
      <c r="A2183" s="183">
        <f>IF($K2183="","",WEEKNUM(INDEX(Zeiterfassung!$K$6:$K$3665,$K2183),21))</f>
        <v/>
      </c>
      <c r="B2183" s="184">
        <f>IF($K2183="","",INDEX(Zeiterfassung!$K$6:$K$3665,$K2183))</f>
        <v/>
      </c>
      <c r="C2183" s="185">
        <f>IF($K2183="","",INDEX(Zeiterfassung!$K$6:$K$3665,$K2183))</f>
        <v/>
      </c>
      <c r="D2183" s="186">
        <f>IF($K2183="","",INDEX(Zeiterfassung!$D$6:$D$3665,$K2183))</f>
        <v/>
      </c>
      <c r="E2183" s="186">
        <f>IF($K2183="","",INDEX(Zeiterfassung!$E$6:$E$3665,$K2183))</f>
        <v/>
      </c>
      <c r="F2183" s="187">
        <f>IF($K2183="","",INDEX(Zeiterfassung!$F$6:$F$3665,$K2183))</f>
        <v/>
      </c>
      <c r="G2183" s="187">
        <f>IF($K2183="","",INDEX(Zeiterfassung!$G$6:$G$3665,$K2183))</f>
        <v/>
      </c>
      <c r="H2183" s="188">
        <f>IF($K2183="","",INDEX(Zeiterfassung!$H$6:$H$3665,$K2183))</f>
        <v/>
      </c>
      <c r="I2183" s="335">
        <f>IF(B2183=B2182,"",IF($K2183="","",INDEX(Zeiterfassung!$I$6:$I$3665,MATCH(INDEX(Zeiterfassung!$K$6:$K$3665,$K2183),Zeiterfassung!$K$6:$K$3665,0))))</f>
        <v/>
      </c>
      <c r="J2183" s="335">
        <f>IF(B2183=B2182,"",IF($K2183="","",INDEX(Zeiterfassung!$J$6:$J$3665,MATCH(INDEX(Zeiterfassung!$K$6:$K$3665,$K2183),Zeiterfassung!$K$6:$K$3665,0))))</f>
        <v/>
      </c>
      <c r="K2183">
        <f>IFERROR(AGGREGATE(15,6,(ROW(Zeiterfassung!$D$6:$D$3665)-ROW(Zeiterfassung!$D$6)+1)/(Zeiterfassung!$D$6:$D$3665&lt;&gt;""),2178),"")</f>
        <v/>
      </c>
    </row>
    <row r="2184" ht="20" customHeight="1">
      <c r="A2184" s="183">
        <f>IF($K2184="","",WEEKNUM(INDEX(Zeiterfassung!$K$6:$K$3665,$K2184),21))</f>
        <v/>
      </c>
      <c r="B2184" s="184">
        <f>IF($K2184="","",INDEX(Zeiterfassung!$K$6:$K$3665,$K2184))</f>
        <v/>
      </c>
      <c r="C2184" s="185">
        <f>IF($K2184="","",INDEX(Zeiterfassung!$K$6:$K$3665,$K2184))</f>
        <v/>
      </c>
      <c r="D2184" s="186">
        <f>IF($K2184="","",INDEX(Zeiterfassung!$D$6:$D$3665,$K2184))</f>
        <v/>
      </c>
      <c r="E2184" s="186">
        <f>IF($K2184="","",INDEX(Zeiterfassung!$E$6:$E$3665,$K2184))</f>
        <v/>
      </c>
      <c r="F2184" s="187">
        <f>IF($K2184="","",INDEX(Zeiterfassung!$F$6:$F$3665,$K2184))</f>
        <v/>
      </c>
      <c r="G2184" s="187">
        <f>IF($K2184="","",INDEX(Zeiterfassung!$G$6:$G$3665,$K2184))</f>
        <v/>
      </c>
      <c r="H2184" s="188">
        <f>IF($K2184="","",INDEX(Zeiterfassung!$H$6:$H$3665,$K2184))</f>
        <v/>
      </c>
      <c r="I2184" s="335">
        <f>IF(B2184=B2183,"",IF($K2184="","",INDEX(Zeiterfassung!$I$6:$I$3665,MATCH(INDEX(Zeiterfassung!$K$6:$K$3665,$K2184),Zeiterfassung!$K$6:$K$3665,0))))</f>
        <v/>
      </c>
      <c r="J2184" s="335">
        <f>IF(B2184=B2183,"",IF($K2184="","",INDEX(Zeiterfassung!$J$6:$J$3665,MATCH(INDEX(Zeiterfassung!$K$6:$K$3665,$K2184),Zeiterfassung!$K$6:$K$3665,0))))</f>
        <v/>
      </c>
      <c r="K2184">
        <f>IFERROR(AGGREGATE(15,6,(ROW(Zeiterfassung!$D$6:$D$3665)-ROW(Zeiterfassung!$D$6)+1)/(Zeiterfassung!$D$6:$D$3665&lt;&gt;""),2179),"")</f>
        <v/>
      </c>
    </row>
    <row r="2185" ht="20" customHeight="1">
      <c r="A2185" s="183">
        <f>IF($K2185="","",WEEKNUM(INDEX(Zeiterfassung!$K$6:$K$3665,$K2185),21))</f>
        <v/>
      </c>
      <c r="B2185" s="184">
        <f>IF($K2185="","",INDEX(Zeiterfassung!$K$6:$K$3665,$K2185))</f>
        <v/>
      </c>
      <c r="C2185" s="185">
        <f>IF($K2185="","",INDEX(Zeiterfassung!$K$6:$K$3665,$K2185))</f>
        <v/>
      </c>
      <c r="D2185" s="186">
        <f>IF($K2185="","",INDEX(Zeiterfassung!$D$6:$D$3665,$K2185))</f>
        <v/>
      </c>
      <c r="E2185" s="186">
        <f>IF($K2185="","",INDEX(Zeiterfassung!$E$6:$E$3665,$K2185))</f>
        <v/>
      </c>
      <c r="F2185" s="187">
        <f>IF($K2185="","",INDEX(Zeiterfassung!$F$6:$F$3665,$K2185))</f>
        <v/>
      </c>
      <c r="G2185" s="187">
        <f>IF($K2185="","",INDEX(Zeiterfassung!$G$6:$G$3665,$K2185))</f>
        <v/>
      </c>
      <c r="H2185" s="188">
        <f>IF($K2185="","",INDEX(Zeiterfassung!$H$6:$H$3665,$K2185))</f>
        <v/>
      </c>
      <c r="I2185" s="335">
        <f>IF(B2185=B2184,"",IF($K2185="","",INDEX(Zeiterfassung!$I$6:$I$3665,MATCH(INDEX(Zeiterfassung!$K$6:$K$3665,$K2185),Zeiterfassung!$K$6:$K$3665,0))))</f>
        <v/>
      </c>
      <c r="J2185" s="335">
        <f>IF(B2185=B2184,"",IF($K2185="","",INDEX(Zeiterfassung!$J$6:$J$3665,MATCH(INDEX(Zeiterfassung!$K$6:$K$3665,$K2185),Zeiterfassung!$K$6:$K$3665,0))))</f>
        <v/>
      </c>
      <c r="K2185">
        <f>IFERROR(AGGREGATE(15,6,(ROW(Zeiterfassung!$D$6:$D$3665)-ROW(Zeiterfassung!$D$6)+1)/(Zeiterfassung!$D$6:$D$3665&lt;&gt;""),2180),"")</f>
        <v/>
      </c>
    </row>
    <row r="2186" ht="20" customHeight="1">
      <c r="A2186" s="183">
        <f>IF($K2186="","",WEEKNUM(INDEX(Zeiterfassung!$K$6:$K$3665,$K2186),21))</f>
        <v/>
      </c>
      <c r="B2186" s="184">
        <f>IF($K2186="","",INDEX(Zeiterfassung!$K$6:$K$3665,$K2186))</f>
        <v/>
      </c>
      <c r="C2186" s="185">
        <f>IF($K2186="","",INDEX(Zeiterfassung!$K$6:$K$3665,$K2186))</f>
        <v/>
      </c>
      <c r="D2186" s="186">
        <f>IF($K2186="","",INDEX(Zeiterfassung!$D$6:$D$3665,$K2186))</f>
        <v/>
      </c>
      <c r="E2186" s="186">
        <f>IF($K2186="","",INDEX(Zeiterfassung!$E$6:$E$3665,$K2186))</f>
        <v/>
      </c>
      <c r="F2186" s="187">
        <f>IF($K2186="","",INDEX(Zeiterfassung!$F$6:$F$3665,$K2186))</f>
        <v/>
      </c>
      <c r="G2186" s="187">
        <f>IF($K2186="","",INDEX(Zeiterfassung!$G$6:$G$3665,$K2186))</f>
        <v/>
      </c>
      <c r="H2186" s="188">
        <f>IF($K2186="","",INDEX(Zeiterfassung!$H$6:$H$3665,$K2186))</f>
        <v/>
      </c>
      <c r="I2186" s="335">
        <f>IF(B2186=B2185,"",IF($K2186="","",INDEX(Zeiterfassung!$I$6:$I$3665,MATCH(INDEX(Zeiterfassung!$K$6:$K$3665,$K2186),Zeiterfassung!$K$6:$K$3665,0))))</f>
        <v/>
      </c>
      <c r="J2186" s="335">
        <f>IF(B2186=B2185,"",IF($K2186="","",INDEX(Zeiterfassung!$J$6:$J$3665,MATCH(INDEX(Zeiterfassung!$K$6:$K$3665,$K2186),Zeiterfassung!$K$6:$K$3665,0))))</f>
        <v/>
      </c>
      <c r="K2186">
        <f>IFERROR(AGGREGATE(15,6,(ROW(Zeiterfassung!$D$6:$D$3665)-ROW(Zeiterfassung!$D$6)+1)/(Zeiterfassung!$D$6:$D$3665&lt;&gt;""),2181),"")</f>
        <v/>
      </c>
    </row>
    <row r="2187" ht="20" customHeight="1">
      <c r="A2187" s="183">
        <f>IF($K2187="","",WEEKNUM(INDEX(Zeiterfassung!$K$6:$K$3665,$K2187),21))</f>
        <v/>
      </c>
      <c r="B2187" s="184">
        <f>IF($K2187="","",INDEX(Zeiterfassung!$K$6:$K$3665,$K2187))</f>
        <v/>
      </c>
      <c r="C2187" s="185">
        <f>IF($K2187="","",INDEX(Zeiterfassung!$K$6:$K$3665,$K2187))</f>
        <v/>
      </c>
      <c r="D2187" s="186">
        <f>IF($K2187="","",INDEX(Zeiterfassung!$D$6:$D$3665,$K2187))</f>
        <v/>
      </c>
      <c r="E2187" s="186">
        <f>IF($K2187="","",INDEX(Zeiterfassung!$E$6:$E$3665,$K2187))</f>
        <v/>
      </c>
      <c r="F2187" s="187">
        <f>IF($K2187="","",INDEX(Zeiterfassung!$F$6:$F$3665,$K2187))</f>
        <v/>
      </c>
      <c r="G2187" s="187">
        <f>IF($K2187="","",INDEX(Zeiterfassung!$G$6:$G$3665,$K2187))</f>
        <v/>
      </c>
      <c r="H2187" s="188">
        <f>IF($K2187="","",INDEX(Zeiterfassung!$H$6:$H$3665,$K2187))</f>
        <v/>
      </c>
      <c r="I2187" s="335">
        <f>IF(B2187=B2186,"",IF($K2187="","",INDEX(Zeiterfassung!$I$6:$I$3665,MATCH(INDEX(Zeiterfassung!$K$6:$K$3665,$K2187),Zeiterfassung!$K$6:$K$3665,0))))</f>
        <v/>
      </c>
      <c r="J2187" s="335">
        <f>IF(B2187=B2186,"",IF($K2187="","",INDEX(Zeiterfassung!$J$6:$J$3665,MATCH(INDEX(Zeiterfassung!$K$6:$K$3665,$K2187),Zeiterfassung!$K$6:$K$3665,0))))</f>
        <v/>
      </c>
      <c r="K2187">
        <f>IFERROR(AGGREGATE(15,6,(ROW(Zeiterfassung!$D$6:$D$3665)-ROW(Zeiterfassung!$D$6)+1)/(Zeiterfassung!$D$6:$D$3665&lt;&gt;""),2182),"")</f>
        <v/>
      </c>
    </row>
    <row r="2188" ht="20" customHeight="1">
      <c r="A2188" s="183">
        <f>IF($K2188="","",WEEKNUM(INDEX(Zeiterfassung!$K$6:$K$3665,$K2188),21))</f>
        <v/>
      </c>
      <c r="B2188" s="184">
        <f>IF($K2188="","",INDEX(Zeiterfassung!$K$6:$K$3665,$K2188))</f>
        <v/>
      </c>
      <c r="C2188" s="185">
        <f>IF($K2188="","",INDEX(Zeiterfassung!$K$6:$K$3665,$K2188))</f>
        <v/>
      </c>
      <c r="D2188" s="186">
        <f>IF($K2188="","",INDEX(Zeiterfassung!$D$6:$D$3665,$K2188))</f>
        <v/>
      </c>
      <c r="E2188" s="186">
        <f>IF($K2188="","",INDEX(Zeiterfassung!$E$6:$E$3665,$K2188))</f>
        <v/>
      </c>
      <c r="F2188" s="187">
        <f>IF($K2188="","",INDEX(Zeiterfassung!$F$6:$F$3665,$K2188))</f>
        <v/>
      </c>
      <c r="G2188" s="187">
        <f>IF($K2188="","",INDEX(Zeiterfassung!$G$6:$G$3665,$K2188))</f>
        <v/>
      </c>
      <c r="H2188" s="188">
        <f>IF($K2188="","",INDEX(Zeiterfassung!$H$6:$H$3665,$K2188))</f>
        <v/>
      </c>
      <c r="I2188" s="335">
        <f>IF(B2188=B2187,"",IF($K2188="","",INDEX(Zeiterfassung!$I$6:$I$3665,MATCH(INDEX(Zeiterfassung!$K$6:$K$3665,$K2188),Zeiterfassung!$K$6:$K$3665,0))))</f>
        <v/>
      </c>
      <c r="J2188" s="335">
        <f>IF(B2188=B2187,"",IF($K2188="","",INDEX(Zeiterfassung!$J$6:$J$3665,MATCH(INDEX(Zeiterfassung!$K$6:$K$3665,$K2188),Zeiterfassung!$K$6:$K$3665,0))))</f>
        <v/>
      </c>
      <c r="K2188">
        <f>IFERROR(AGGREGATE(15,6,(ROW(Zeiterfassung!$D$6:$D$3665)-ROW(Zeiterfassung!$D$6)+1)/(Zeiterfassung!$D$6:$D$3665&lt;&gt;""),2183),"")</f>
        <v/>
      </c>
    </row>
    <row r="2189" ht="20" customHeight="1">
      <c r="A2189" s="183">
        <f>IF($K2189="","",WEEKNUM(INDEX(Zeiterfassung!$K$6:$K$3665,$K2189),21))</f>
        <v/>
      </c>
      <c r="B2189" s="184">
        <f>IF($K2189="","",INDEX(Zeiterfassung!$K$6:$K$3665,$K2189))</f>
        <v/>
      </c>
      <c r="C2189" s="185">
        <f>IF($K2189="","",INDEX(Zeiterfassung!$K$6:$K$3665,$K2189))</f>
        <v/>
      </c>
      <c r="D2189" s="186">
        <f>IF($K2189="","",INDEX(Zeiterfassung!$D$6:$D$3665,$K2189))</f>
        <v/>
      </c>
      <c r="E2189" s="186">
        <f>IF($K2189="","",INDEX(Zeiterfassung!$E$6:$E$3665,$K2189))</f>
        <v/>
      </c>
      <c r="F2189" s="187">
        <f>IF($K2189="","",INDEX(Zeiterfassung!$F$6:$F$3665,$K2189))</f>
        <v/>
      </c>
      <c r="G2189" s="187">
        <f>IF($K2189="","",INDEX(Zeiterfassung!$G$6:$G$3665,$K2189))</f>
        <v/>
      </c>
      <c r="H2189" s="188">
        <f>IF($K2189="","",INDEX(Zeiterfassung!$H$6:$H$3665,$K2189))</f>
        <v/>
      </c>
      <c r="I2189" s="335">
        <f>IF(B2189=B2188,"",IF($K2189="","",INDEX(Zeiterfassung!$I$6:$I$3665,MATCH(INDEX(Zeiterfassung!$K$6:$K$3665,$K2189),Zeiterfassung!$K$6:$K$3665,0))))</f>
        <v/>
      </c>
      <c r="J2189" s="335">
        <f>IF(B2189=B2188,"",IF($K2189="","",INDEX(Zeiterfassung!$J$6:$J$3665,MATCH(INDEX(Zeiterfassung!$K$6:$K$3665,$K2189),Zeiterfassung!$K$6:$K$3665,0))))</f>
        <v/>
      </c>
      <c r="K2189">
        <f>IFERROR(AGGREGATE(15,6,(ROW(Zeiterfassung!$D$6:$D$3665)-ROW(Zeiterfassung!$D$6)+1)/(Zeiterfassung!$D$6:$D$3665&lt;&gt;""),2184),"")</f>
        <v/>
      </c>
    </row>
    <row r="2190" ht="20" customHeight="1">
      <c r="A2190" s="183">
        <f>IF($K2190="","",WEEKNUM(INDEX(Zeiterfassung!$K$6:$K$3665,$K2190),21))</f>
        <v/>
      </c>
      <c r="B2190" s="184">
        <f>IF($K2190="","",INDEX(Zeiterfassung!$K$6:$K$3665,$K2190))</f>
        <v/>
      </c>
      <c r="C2190" s="185">
        <f>IF($K2190="","",INDEX(Zeiterfassung!$K$6:$K$3665,$K2190))</f>
        <v/>
      </c>
      <c r="D2190" s="186">
        <f>IF($K2190="","",INDEX(Zeiterfassung!$D$6:$D$3665,$K2190))</f>
        <v/>
      </c>
      <c r="E2190" s="186">
        <f>IF($K2190="","",INDEX(Zeiterfassung!$E$6:$E$3665,$K2190))</f>
        <v/>
      </c>
      <c r="F2190" s="187">
        <f>IF($K2190="","",INDEX(Zeiterfassung!$F$6:$F$3665,$K2190))</f>
        <v/>
      </c>
      <c r="G2190" s="187">
        <f>IF($K2190="","",INDEX(Zeiterfassung!$G$6:$G$3665,$K2190))</f>
        <v/>
      </c>
      <c r="H2190" s="188">
        <f>IF($K2190="","",INDEX(Zeiterfassung!$H$6:$H$3665,$K2190))</f>
        <v/>
      </c>
      <c r="I2190" s="335">
        <f>IF(B2190=B2189,"",IF($K2190="","",INDEX(Zeiterfassung!$I$6:$I$3665,MATCH(INDEX(Zeiterfassung!$K$6:$K$3665,$K2190),Zeiterfassung!$K$6:$K$3665,0))))</f>
        <v/>
      </c>
      <c r="J2190" s="335">
        <f>IF(B2190=B2189,"",IF($K2190="","",INDEX(Zeiterfassung!$J$6:$J$3665,MATCH(INDEX(Zeiterfassung!$K$6:$K$3665,$K2190),Zeiterfassung!$K$6:$K$3665,0))))</f>
        <v/>
      </c>
      <c r="K2190">
        <f>IFERROR(AGGREGATE(15,6,(ROW(Zeiterfassung!$D$6:$D$3665)-ROW(Zeiterfassung!$D$6)+1)/(Zeiterfassung!$D$6:$D$3665&lt;&gt;""),2185),"")</f>
        <v/>
      </c>
    </row>
    <row r="2191" ht="20" customHeight="1">
      <c r="A2191" s="183">
        <f>IF($K2191="","",WEEKNUM(INDEX(Zeiterfassung!$K$6:$K$3665,$K2191),21))</f>
        <v/>
      </c>
      <c r="B2191" s="184">
        <f>IF($K2191="","",INDEX(Zeiterfassung!$K$6:$K$3665,$K2191))</f>
        <v/>
      </c>
      <c r="C2191" s="185">
        <f>IF($K2191="","",INDEX(Zeiterfassung!$K$6:$K$3665,$K2191))</f>
        <v/>
      </c>
      <c r="D2191" s="186">
        <f>IF($K2191="","",INDEX(Zeiterfassung!$D$6:$D$3665,$K2191))</f>
        <v/>
      </c>
      <c r="E2191" s="186">
        <f>IF($K2191="","",INDEX(Zeiterfassung!$E$6:$E$3665,$K2191))</f>
        <v/>
      </c>
      <c r="F2191" s="187">
        <f>IF($K2191="","",INDEX(Zeiterfassung!$F$6:$F$3665,$K2191))</f>
        <v/>
      </c>
      <c r="G2191" s="187">
        <f>IF($K2191="","",INDEX(Zeiterfassung!$G$6:$G$3665,$K2191))</f>
        <v/>
      </c>
      <c r="H2191" s="188">
        <f>IF($K2191="","",INDEX(Zeiterfassung!$H$6:$H$3665,$K2191))</f>
        <v/>
      </c>
      <c r="I2191" s="335">
        <f>IF(B2191=B2190,"",IF($K2191="","",INDEX(Zeiterfassung!$I$6:$I$3665,MATCH(INDEX(Zeiterfassung!$K$6:$K$3665,$K2191),Zeiterfassung!$K$6:$K$3665,0))))</f>
        <v/>
      </c>
      <c r="J2191" s="335">
        <f>IF(B2191=B2190,"",IF($K2191="","",INDEX(Zeiterfassung!$J$6:$J$3665,MATCH(INDEX(Zeiterfassung!$K$6:$K$3665,$K2191),Zeiterfassung!$K$6:$K$3665,0))))</f>
        <v/>
      </c>
      <c r="K2191">
        <f>IFERROR(AGGREGATE(15,6,(ROW(Zeiterfassung!$D$6:$D$3665)-ROW(Zeiterfassung!$D$6)+1)/(Zeiterfassung!$D$6:$D$3665&lt;&gt;""),2186),"")</f>
        <v/>
      </c>
    </row>
    <row r="2192" ht="20" customHeight="1">
      <c r="A2192" s="183">
        <f>IF($K2192="","",WEEKNUM(INDEX(Zeiterfassung!$K$6:$K$3665,$K2192),21))</f>
        <v/>
      </c>
      <c r="B2192" s="184">
        <f>IF($K2192="","",INDEX(Zeiterfassung!$K$6:$K$3665,$K2192))</f>
        <v/>
      </c>
      <c r="C2192" s="185">
        <f>IF($K2192="","",INDEX(Zeiterfassung!$K$6:$K$3665,$K2192))</f>
        <v/>
      </c>
      <c r="D2192" s="186">
        <f>IF($K2192="","",INDEX(Zeiterfassung!$D$6:$D$3665,$K2192))</f>
        <v/>
      </c>
      <c r="E2192" s="186">
        <f>IF($K2192="","",INDEX(Zeiterfassung!$E$6:$E$3665,$K2192))</f>
        <v/>
      </c>
      <c r="F2192" s="187">
        <f>IF($K2192="","",INDEX(Zeiterfassung!$F$6:$F$3665,$K2192))</f>
        <v/>
      </c>
      <c r="G2192" s="187">
        <f>IF($K2192="","",INDEX(Zeiterfassung!$G$6:$G$3665,$K2192))</f>
        <v/>
      </c>
      <c r="H2192" s="188">
        <f>IF($K2192="","",INDEX(Zeiterfassung!$H$6:$H$3665,$K2192))</f>
        <v/>
      </c>
      <c r="I2192" s="335">
        <f>IF(B2192=B2191,"",IF($K2192="","",INDEX(Zeiterfassung!$I$6:$I$3665,MATCH(INDEX(Zeiterfassung!$K$6:$K$3665,$K2192),Zeiterfassung!$K$6:$K$3665,0))))</f>
        <v/>
      </c>
      <c r="J2192" s="335">
        <f>IF(B2192=B2191,"",IF($K2192="","",INDEX(Zeiterfassung!$J$6:$J$3665,MATCH(INDEX(Zeiterfassung!$K$6:$K$3665,$K2192),Zeiterfassung!$K$6:$K$3665,0))))</f>
        <v/>
      </c>
      <c r="K2192">
        <f>IFERROR(AGGREGATE(15,6,(ROW(Zeiterfassung!$D$6:$D$3665)-ROW(Zeiterfassung!$D$6)+1)/(Zeiterfassung!$D$6:$D$3665&lt;&gt;""),2187),"")</f>
        <v/>
      </c>
    </row>
    <row r="2193" ht="20" customHeight="1">
      <c r="A2193" s="183">
        <f>IF($K2193="","",WEEKNUM(INDEX(Zeiterfassung!$K$6:$K$3665,$K2193),21))</f>
        <v/>
      </c>
      <c r="B2193" s="184">
        <f>IF($K2193="","",INDEX(Zeiterfassung!$K$6:$K$3665,$K2193))</f>
        <v/>
      </c>
      <c r="C2193" s="185">
        <f>IF($K2193="","",INDEX(Zeiterfassung!$K$6:$K$3665,$K2193))</f>
        <v/>
      </c>
      <c r="D2193" s="186">
        <f>IF($K2193="","",INDEX(Zeiterfassung!$D$6:$D$3665,$K2193))</f>
        <v/>
      </c>
      <c r="E2193" s="186">
        <f>IF($K2193="","",INDEX(Zeiterfassung!$E$6:$E$3665,$K2193))</f>
        <v/>
      </c>
      <c r="F2193" s="187">
        <f>IF($K2193="","",INDEX(Zeiterfassung!$F$6:$F$3665,$K2193))</f>
        <v/>
      </c>
      <c r="G2193" s="187">
        <f>IF($K2193="","",INDEX(Zeiterfassung!$G$6:$G$3665,$K2193))</f>
        <v/>
      </c>
      <c r="H2193" s="188">
        <f>IF($K2193="","",INDEX(Zeiterfassung!$H$6:$H$3665,$K2193))</f>
        <v/>
      </c>
      <c r="I2193" s="335">
        <f>IF(B2193=B2192,"",IF($K2193="","",INDEX(Zeiterfassung!$I$6:$I$3665,MATCH(INDEX(Zeiterfassung!$K$6:$K$3665,$K2193),Zeiterfassung!$K$6:$K$3665,0))))</f>
        <v/>
      </c>
      <c r="J2193" s="335">
        <f>IF(B2193=B2192,"",IF($K2193="","",INDEX(Zeiterfassung!$J$6:$J$3665,MATCH(INDEX(Zeiterfassung!$K$6:$K$3665,$K2193),Zeiterfassung!$K$6:$K$3665,0))))</f>
        <v/>
      </c>
      <c r="K2193">
        <f>IFERROR(AGGREGATE(15,6,(ROW(Zeiterfassung!$D$6:$D$3665)-ROW(Zeiterfassung!$D$6)+1)/(Zeiterfassung!$D$6:$D$3665&lt;&gt;""),2188),"")</f>
        <v/>
      </c>
    </row>
    <row r="2194" ht="20" customHeight="1">
      <c r="A2194" s="183">
        <f>IF($K2194="","",WEEKNUM(INDEX(Zeiterfassung!$K$6:$K$3665,$K2194),21))</f>
        <v/>
      </c>
      <c r="B2194" s="184">
        <f>IF($K2194="","",INDEX(Zeiterfassung!$K$6:$K$3665,$K2194))</f>
        <v/>
      </c>
      <c r="C2194" s="185">
        <f>IF($K2194="","",INDEX(Zeiterfassung!$K$6:$K$3665,$K2194))</f>
        <v/>
      </c>
      <c r="D2194" s="186">
        <f>IF($K2194="","",INDEX(Zeiterfassung!$D$6:$D$3665,$K2194))</f>
        <v/>
      </c>
      <c r="E2194" s="186">
        <f>IF($K2194="","",INDEX(Zeiterfassung!$E$6:$E$3665,$K2194))</f>
        <v/>
      </c>
      <c r="F2194" s="187">
        <f>IF($K2194="","",INDEX(Zeiterfassung!$F$6:$F$3665,$K2194))</f>
        <v/>
      </c>
      <c r="G2194" s="187">
        <f>IF($K2194="","",INDEX(Zeiterfassung!$G$6:$G$3665,$K2194))</f>
        <v/>
      </c>
      <c r="H2194" s="188">
        <f>IF($K2194="","",INDEX(Zeiterfassung!$H$6:$H$3665,$K2194))</f>
        <v/>
      </c>
      <c r="I2194" s="335">
        <f>IF(B2194=B2193,"",IF($K2194="","",INDEX(Zeiterfassung!$I$6:$I$3665,MATCH(INDEX(Zeiterfassung!$K$6:$K$3665,$K2194),Zeiterfassung!$K$6:$K$3665,0))))</f>
        <v/>
      </c>
      <c r="J2194" s="335">
        <f>IF(B2194=B2193,"",IF($K2194="","",INDEX(Zeiterfassung!$J$6:$J$3665,MATCH(INDEX(Zeiterfassung!$K$6:$K$3665,$K2194),Zeiterfassung!$K$6:$K$3665,0))))</f>
        <v/>
      </c>
      <c r="K2194">
        <f>IFERROR(AGGREGATE(15,6,(ROW(Zeiterfassung!$D$6:$D$3665)-ROW(Zeiterfassung!$D$6)+1)/(Zeiterfassung!$D$6:$D$3665&lt;&gt;""),2189),"")</f>
        <v/>
      </c>
    </row>
    <row r="2195" ht="20" customHeight="1">
      <c r="A2195" s="183">
        <f>IF($K2195="","",WEEKNUM(INDEX(Zeiterfassung!$K$6:$K$3665,$K2195),21))</f>
        <v/>
      </c>
      <c r="B2195" s="184">
        <f>IF($K2195="","",INDEX(Zeiterfassung!$K$6:$K$3665,$K2195))</f>
        <v/>
      </c>
      <c r="C2195" s="185">
        <f>IF($K2195="","",INDEX(Zeiterfassung!$K$6:$K$3665,$K2195))</f>
        <v/>
      </c>
      <c r="D2195" s="186">
        <f>IF($K2195="","",INDEX(Zeiterfassung!$D$6:$D$3665,$K2195))</f>
        <v/>
      </c>
      <c r="E2195" s="186">
        <f>IF($K2195="","",INDEX(Zeiterfassung!$E$6:$E$3665,$K2195))</f>
        <v/>
      </c>
      <c r="F2195" s="187">
        <f>IF($K2195="","",INDEX(Zeiterfassung!$F$6:$F$3665,$K2195))</f>
        <v/>
      </c>
      <c r="G2195" s="187">
        <f>IF($K2195="","",INDEX(Zeiterfassung!$G$6:$G$3665,$K2195))</f>
        <v/>
      </c>
      <c r="H2195" s="188">
        <f>IF($K2195="","",INDEX(Zeiterfassung!$H$6:$H$3665,$K2195))</f>
        <v/>
      </c>
      <c r="I2195" s="335">
        <f>IF(B2195=B2194,"",IF($K2195="","",INDEX(Zeiterfassung!$I$6:$I$3665,MATCH(INDEX(Zeiterfassung!$K$6:$K$3665,$K2195),Zeiterfassung!$K$6:$K$3665,0))))</f>
        <v/>
      </c>
      <c r="J2195" s="335">
        <f>IF(B2195=B2194,"",IF($K2195="","",INDEX(Zeiterfassung!$J$6:$J$3665,MATCH(INDEX(Zeiterfassung!$K$6:$K$3665,$K2195),Zeiterfassung!$K$6:$K$3665,0))))</f>
        <v/>
      </c>
      <c r="K2195">
        <f>IFERROR(AGGREGATE(15,6,(ROW(Zeiterfassung!$D$6:$D$3665)-ROW(Zeiterfassung!$D$6)+1)/(Zeiterfassung!$D$6:$D$3665&lt;&gt;""),2190),"")</f>
        <v/>
      </c>
    </row>
    <row r="2196" ht="20" customHeight="1">
      <c r="A2196" s="183">
        <f>IF($K2196="","",WEEKNUM(INDEX(Zeiterfassung!$K$6:$K$3665,$K2196),21))</f>
        <v/>
      </c>
      <c r="B2196" s="184">
        <f>IF($K2196="","",INDEX(Zeiterfassung!$K$6:$K$3665,$K2196))</f>
        <v/>
      </c>
      <c r="C2196" s="185">
        <f>IF($K2196="","",INDEX(Zeiterfassung!$K$6:$K$3665,$K2196))</f>
        <v/>
      </c>
      <c r="D2196" s="186">
        <f>IF($K2196="","",INDEX(Zeiterfassung!$D$6:$D$3665,$K2196))</f>
        <v/>
      </c>
      <c r="E2196" s="186">
        <f>IF($K2196="","",INDEX(Zeiterfassung!$E$6:$E$3665,$K2196))</f>
        <v/>
      </c>
      <c r="F2196" s="187">
        <f>IF($K2196="","",INDEX(Zeiterfassung!$F$6:$F$3665,$K2196))</f>
        <v/>
      </c>
      <c r="G2196" s="187">
        <f>IF($K2196="","",INDEX(Zeiterfassung!$G$6:$G$3665,$K2196))</f>
        <v/>
      </c>
      <c r="H2196" s="188">
        <f>IF($K2196="","",INDEX(Zeiterfassung!$H$6:$H$3665,$K2196))</f>
        <v/>
      </c>
      <c r="I2196" s="335">
        <f>IF(B2196=B2195,"",IF($K2196="","",INDEX(Zeiterfassung!$I$6:$I$3665,MATCH(INDEX(Zeiterfassung!$K$6:$K$3665,$K2196),Zeiterfassung!$K$6:$K$3665,0))))</f>
        <v/>
      </c>
      <c r="J2196" s="335">
        <f>IF(B2196=B2195,"",IF($K2196="","",INDEX(Zeiterfassung!$J$6:$J$3665,MATCH(INDEX(Zeiterfassung!$K$6:$K$3665,$K2196),Zeiterfassung!$K$6:$K$3665,0))))</f>
        <v/>
      </c>
      <c r="K2196">
        <f>IFERROR(AGGREGATE(15,6,(ROW(Zeiterfassung!$D$6:$D$3665)-ROW(Zeiterfassung!$D$6)+1)/(Zeiterfassung!$D$6:$D$3665&lt;&gt;""),2191),"")</f>
        <v/>
      </c>
    </row>
    <row r="2197" ht="20" customHeight="1">
      <c r="A2197" s="183">
        <f>IF($K2197="","",WEEKNUM(INDEX(Zeiterfassung!$K$6:$K$3665,$K2197),21))</f>
        <v/>
      </c>
      <c r="B2197" s="184">
        <f>IF($K2197="","",INDEX(Zeiterfassung!$K$6:$K$3665,$K2197))</f>
        <v/>
      </c>
      <c r="C2197" s="185">
        <f>IF($K2197="","",INDEX(Zeiterfassung!$K$6:$K$3665,$K2197))</f>
        <v/>
      </c>
      <c r="D2197" s="186">
        <f>IF($K2197="","",INDEX(Zeiterfassung!$D$6:$D$3665,$K2197))</f>
        <v/>
      </c>
      <c r="E2197" s="186">
        <f>IF($K2197="","",INDEX(Zeiterfassung!$E$6:$E$3665,$K2197))</f>
        <v/>
      </c>
      <c r="F2197" s="187">
        <f>IF($K2197="","",INDEX(Zeiterfassung!$F$6:$F$3665,$K2197))</f>
        <v/>
      </c>
      <c r="G2197" s="187">
        <f>IF($K2197="","",INDEX(Zeiterfassung!$G$6:$G$3665,$K2197))</f>
        <v/>
      </c>
      <c r="H2197" s="188">
        <f>IF($K2197="","",INDEX(Zeiterfassung!$H$6:$H$3665,$K2197))</f>
        <v/>
      </c>
      <c r="I2197" s="335">
        <f>IF(B2197=B2196,"",IF($K2197="","",INDEX(Zeiterfassung!$I$6:$I$3665,MATCH(INDEX(Zeiterfassung!$K$6:$K$3665,$K2197),Zeiterfassung!$K$6:$K$3665,0))))</f>
        <v/>
      </c>
      <c r="J2197" s="335">
        <f>IF(B2197=B2196,"",IF($K2197="","",INDEX(Zeiterfassung!$J$6:$J$3665,MATCH(INDEX(Zeiterfassung!$K$6:$K$3665,$K2197),Zeiterfassung!$K$6:$K$3665,0))))</f>
        <v/>
      </c>
      <c r="K2197">
        <f>IFERROR(AGGREGATE(15,6,(ROW(Zeiterfassung!$D$6:$D$3665)-ROW(Zeiterfassung!$D$6)+1)/(Zeiterfassung!$D$6:$D$3665&lt;&gt;""),2192),"")</f>
        <v/>
      </c>
    </row>
    <row r="2198" ht="20" customHeight="1">
      <c r="A2198" s="183">
        <f>IF($K2198="","",WEEKNUM(INDEX(Zeiterfassung!$K$6:$K$3665,$K2198),21))</f>
        <v/>
      </c>
      <c r="B2198" s="184">
        <f>IF($K2198="","",INDEX(Zeiterfassung!$K$6:$K$3665,$K2198))</f>
        <v/>
      </c>
      <c r="C2198" s="185">
        <f>IF($K2198="","",INDEX(Zeiterfassung!$K$6:$K$3665,$K2198))</f>
        <v/>
      </c>
      <c r="D2198" s="186">
        <f>IF($K2198="","",INDEX(Zeiterfassung!$D$6:$D$3665,$K2198))</f>
        <v/>
      </c>
      <c r="E2198" s="186">
        <f>IF($K2198="","",INDEX(Zeiterfassung!$E$6:$E$3665,$K2198))</f>
        <v/>
      </c>
      <c r="F2198" s="187">
        <f>IF($K2198="","",INDEX(Zeiterfassung!$F$6:$F$3665,$K2198))</f>
        <v/>
      </c>
      <c r="G2198" s="187">
        <f>IF($K2198="","",INDEX(Zeiterfassung!$G$6:$G$3665,$K2198))</f>
        <v/>
      </c>
      <c r="H2198" s="188">
        <f>IF($K2198="","",INDEX(Zeiterfassung!$H$6:$H$3665,$K2198))</f>
        <v/>
      </c>
      <c r="I2198" s="335">
        <f>IF(B2198=B2197,"",IF($K2198="","",INDEX(Zeiterfassung!$I$6:$I$3665,MATCH(INDEX(Zeiterfassung!$K$6:$K$3665,$K2198),Zeiterfassung!$K$6:$K$3665,0))))</f>
        <v/>
      </c>
      <c r="J2198" s="335">
        <f>IF(B2198=B2197,"",IF($K2198="","",INDEX(Zeiterfassung!$J$6:$J$3665,MATCH(INDEX(Zeiterfassung!$K$6:$K$3665,$K2198),Zeiterfassung!$K$6:$K$3665,0))))</f>
        <v/>
      </c>
      <c r="K2198">
        <f>IFERROR(AGGREGATE(15,6,(ROW(Zeiterfassung!$D$6:$D$3665)-ROW(Zeiterfassung!$D$6)+1)/(Zeiterfassung!$D$6:$D$3665&lt;&gt;""),2193),"")</f>
        <v/>
      </c>
    </row>
    <row r="2199" ht="20" customHeight="1">
      <c r="A2199" s="183">
        <f>IF($K2199="","",WEEKNUM(INDEX(Zeiterfassung!$K$6:$K$3665,$K2199),21))</f>
        <v/>
      </c>
      <c r="B2199" s="184">
        <f>IF($K2199="","",INDEX(Zeiterfassung!$K$6:$K$3665,$K2199))</f>
        <v/>
      </c>
      <c r="C2199" s="185">
        <f>IF($K2199="","",INDEX(Zeiterfassung!$K$6:$K$3665,$K2199))</f>
        <v/>
      </c>
      <c r="D2199" s="186">
        <f>IF($K2199="","",INDEX(Zeiterfassung!$D$6:$D$3665,$K2199))</f>
        <v/>
      </c>
      <c r="E2199" s="186">
        <f>IF($K2199="","",INDEX(Zeiterfassung!$E$6:$E$3665,$K2199))</f>
        <v/>
      </c>
      <c r="F2199" s="187">
        <f>IF($K2199="","",INDEX(Zeiterfassung!$F$6:$F$3665,$K2199))</f>
        <v/>
      </c>
      <c r="G2199" s="187">
        <f>IF($K2199="","",INDEX(Zeiterfassung!$G$6:$G$3665,$K2199))</f>
        <v/>
      </c>
      <c r="H2199" s="188">
        <f>IF($K2199="","",INDEX(Zeiterfassung!$H$6:$H$3665,$K2199))</f>
        <v/>
      </c>
      <c r="I2199" s="335">
        <f>IF(B2199=B2198,"",IF($K2199="","",INDEX(Zeiterfassung!$I$6:$I$3665,MATCH(INDEX(Zeiterfassung!$K$6:$K$3665,$K2199),Zeiterfassung!$K$6:$K$3665,0))))</f>
        <v/>
      </c>
      <c r="J2199" s="335">
        <f>IF(B2199=B2198,"",IF($K2199="","",INDEX(Zeiterfassung!$J$6:$J$3665,MATCH(INDEX(Zeiterfassung!$K$6:$K$3665,$K2199),Zeiterfassung!$K$6:$K$3665,0))))</f>
        <v/>
      </c>
      <c r="K2199">
        <f>IFERROR(AGGREGATE(15,6,(ROW(Zeiterfassung!$D$6:$D$3665)-ROW(Zeiterfassung!$D$6)+1)/(Zeiterfassung!$D$6:$D$3665&lt;&gt;""),2194),"")</f>
        <v/>
      </c>
    </row>
    <row r="2200" ht="20" customHeight="1">
      <c r="A2200" s="183">
        <f>IF($K2200="","",WEEKNUM(INDEX(Zeiterfassung!$K$6:$K$3665,$K2200),21))</f>
        <v/>
      </c>
      <c r="B2200" s="184">
        <f>IF($K2200="","",INDEX(Zeiterfassung!$K$6:$K$3665,$K2200))</f>
        <v/>
      </c>
      <c r="C2200" s="185">
        <f>IF($K2200="","",INDEX(Zeiterfassung!$K$6:$K$3665,$K2200))</f>
        <v/>
      </c>
      <c r="D2200" s="186">
        <f>IF($K2200="","",INDEX(Zeiterfassung!$D$6:$D$3665,$K2200))</f>
        <v/>
      </c>
      <c r="E2200" s="186">
        <f>IF($K2200="","",INDEX(Zeiterfassung!$E$6:$E$3665,$K2200))</f>
        <v/>
      </c>
      <c r="F2200" s="187">
        <f>IF($K2200="","",INDEX(Zeiterfassung!$F$6:$F$3665,$K2200))</f>
        <v/>
      </c>
      <c r="G2200" s="187">
        <f>IF($K2200="","",INDEX(Zeiterfassung!$G$6:$G$3665,$K2200))</f>
        <v/>
      </c>
      <c r="H2200" s="188">
        <f>IF($K2200="","",INDEX(Zeiterfassung!$H$6:$H$3665,$K2200))</f>
        <v/>
      </c>
      <c r="I2200" s="335">
        <f>IF(B2200=B2199,"",IF($K2200="","",INDEX(Zeiterfassung!$I$6:$I$3665,MATCH(INDEX(Zeiterfassung!$K$6:$K$3665,$K2200),Zeiterfassung!$K$6:$K$3665,0))))</f>
        <v/>
      </c>
      <c r="J2200" s="335">
        <f>IF(B2200=B2199,"",IF($K2200="","",INDEX(Zeiterfassung!$J$6:$J$3665,MATCH(INDEX(Zeiterfassung!$K$6:$K$3665,$K2200),Zeiterfassung!$K$6:$K$3665,0))))</f>
        <v/>
      </c>
      <c r="K2200">
        <f>IFERROR(AGGREGATE(15,6,(ROW(Zeiterfassung!$D$6:$D$3665)-ROW(Zeiterfassung!$D$6)+1)/(Zeiterfassung!$D$6:$D$3665&lt;&gt;""),2195),"")</f>
        <v/>
      </c>
    </row>
    <row r="2201" ht="20" customHeight="1">
      <c r="A2201" s="183">
        <f>IF($K2201="","",WEEKNUM(INDEX(Zeiterfassung!$K$6:$K$3665,$K2201),21))</f>
        <v/>
      </c>
      <c r="B2201" s="184">
        <f>IF($K2201="","",INDEX(Zeiterfassung!$K$6:$K$3665,$K2201))</f>
        <v/>
      </c>
      <c r="C2201" s="185">
        <f>IF($K2201="","",INDEX(Zeiterfassung!$K$6:$K$3665,$K2201))</f>
        <v/>
      </c>
      <c r="D2201" s="186">
        <f>IF($K2201="","",INDEX(Zeiterfassung!$D$6:$D$3665,$K2201))</f>
        <v/>
      </c>
      <c r="E2201" s="186">
        <f>IF($K2201="","",INDEX(Zeiterfassung!$E$6:$E$3665,$K2201))</f>
        <v/>
      </c>
      <c r="F2201" s="187">
        <f>IF($K2201="","",INDEX(Zeiterfassung!$F$6:$F$3665,$K2201))</f>
        <v/>
      </c>
      <c r="G2201" s="187">
        <f>IF($K2201="","",INDEX(Zeiterfassung!$G$6:$G$3665,$K2201))</f>
        <v/>
      </c>
      <c r="H2201" s="188">
        <f>IF($K2201="","",INDEX(Zeiterfassung!$H$6:$H$3665,$K2201))</f>
        <v/>
      </c>
      <c r="I2201" s="335">
        <f>IF(B2201=B2200,"",IF($K2201="","",INDEX(Zeiterfassung!$I$6:$I$3665,MATCH(INDEX(Zeiterfassung!$K$6:$K$3665,$K2201),Zeiterfassung!$K$6:$K$3665,0))))</f>
        <v/>
      </c>
      <c r="J2201" s="335">
        <f>IF(B2201=B2200,"",IF($K2201="","",INDEX(Zeiterfassung!$J$6:$J$3665,MATCH(INDEX(Zeiterfassung!$K$6:$K$3665,$K2201),Zeiterfassung!$K$6:$K$3665,0))))</f>
        <v/>
      </c>
      <c r="K2201">
        <f>IFERROR(AGGREGATE(15,6,(ROW(Zeiterfassung!$D$6:$D$3665)-ROW(Zeiterfassung!$D$6)+1)/(Zeiterfassung!$D$6:$D$3665&lt;&gt;""),2196),"")</f>
        <v/>
      </c>
    </row>
    <row r="2202" ht="20" customHeight="1">
      <c r="A2202" s="183">
        <f>IF($K2202="","",WEEKNUM(INDEX(Zeiterfassung!$K$6:$K$3665,$K2202),21))</f>
        <v/>
      </c>
      <c r="B2202" s="184">
        <f>IF($K2202="","",INDEX(Zeiterfassung!$K$6:$K$3665,$K2202))</f>
        <v/>
      </c>
      <c r="C2202" s="185">
        <f>IF($K2202="","",INDEX(Zeiterfassung!$K$6:$K$3665,$K2202))</f>
        <v/>
      </c>
      <c r="D2202" s="186">
        <f>IF($K2202="","",INDEX(Zeiterfassung!$D$6:$D$3665,$K2202))</f>
        <v/>
      </c>
      <c r="E2202" s="186">
        <f>IF($K2202="","",INDEX(Zeiterfassung!$E$6:$E$3665,$K2202))</f>
        <v/>
      </c>
      <c r="F2202" s="187">
        <f>IF($K2202="","",INDEX(Zeiterfassung!$F$6:$F$3665,$K2202))</f>
        <v/>
      </c>
      <c r="G2202" s="187">
        <f>IF($K2202="","",INDEX(Zeiterfassung!$G$6:$G$3665,$K2202))</f>
        <v/>
      </c>
      <c r="H2202" s="188">
        <f>IF($K2202="","",INDEX(Zeiterfassung!$H$6:$H$3665,$K2202))</f>
        <v/>
      </c>
      <c r="I2202" s="335">
        <f>IF(B2202=B2201,"",IF($K2202="","",INDEX(Zeiterfassung!$I$6:$I$3665,MATCH(INDEX(Zeiterfassung!$K$6:$K$3665,$K2202),Zeiterfassung!$K$6:$K$3665,0))))</f>
        <v/>
      </c>
      <c r="J2202" s="335">
        <f>IF(B2202=B2201,"",IF($K2202="","",INDEX(Zeiterfassung!$J$6:$J$3665,MATCH(INDEX(Zeiterfassung!$K$6:$K$3665,$K2202),Zeiterfassung!$K$6:$K$3665,0))))</f>
        <v/>
      </c>
      <c r="K2202">
        <f>IFERROR(AGGREGATE(15,6,(ROW(Zeiterfassung!$D$6:$D$3665)-ROW(Zeiterfassung!$D$6)+1)/(Zeiterfassung!$D$6:$D$3665&lt;&gt;""),2197),"")</f>
        <v/>
      </c>
    </row>
    <row r="2203" ht="20" customHeight="1">
      <c r="A2203" s="183">
        <f>IF($K2203="","",WEEKNUM(INDEX(Zeiterfassung!$K$6:$K$3665,$K2203),21))</f>
        <v/>
      </c>
      <c r="B2203" s="184">
        <f>IF($K2203="","",INDEX(Zeiterfassung!$K$6:$K$3665,$K2203))</f>
        <v/>
      </c>
      <c r="C2203" s="185">
        <f>IF($K2203="","",INDEX(Zeiterfassung!$K$6:$K$3665,$K2203))</f>
        <v/>
      </c>
      <c r="D2203" s="186">
        <f>IF($K2203="","",INDEX(Zeiterfassung!$D$6:$D$3665,$K2203))</f>
        <v/>
      </c>
      <c r="E2203" s="186">
        <f>IF($K2203="","",INDEX(Zeiterfassung!$E$6:$E$3665,$K2203))</f>
        <v/>
      </c>
      <c r="F2203" s="187">
        <f>IF($K2203="","",INDEX(Zeiterfassung!$F$6:$F$3665,$K2203))</f>
        <v/>
      </c>
      <c r="G2203" s="187">
        <f>IF($K2203="","",INDEX(Zeiterfassung!$G$6:$G$3665,$K2203))</f>
        <v/>
      </c>
      <c r="H2203" s="188">
        <f>IF($K2203="","",INDEX(Zeiterfassung!$H$6:$H$3665,$K2203))</f>
        <v/>
      </c>
      <c r="I2203" s="335">
        <f>IF(B2203=B2202,"",IF($K2203="","",INDEX(Zeiterfassung!$I$6:$I$3665,MATCH(INDEX(Zeiterfassung!$K$6:$K$3665,$K2203),Zeiterfassung!$K$6:$K$3665,0))))</f>
        <v/>
      </c>
      <c r="J2203" s="335">
        <f>IF(B2203=B2202,"",IF($K2203="","",INDEX(Zeiterfassung!$J$6:$J$3665,MATCH(INDEX(Zeiterfassung!$K$6:$K$3665,$K2203),Zeiterfassung!$K$6:$K$3665,0))))</f>
        <v/>
      </c>
      <c r="K2203">
        <f>IFERROR(AGGREGATE(15,6,(ROW(Zeiterfassung!$D$6:$D$3665)-ROW(Zeiterfassung!$D$6)+1)/(Zeiterfassung!$D$6:$D$3665&lt;&gt;""),2198),"")</f>
        <v/>
      </c>
    </row>
    <row r="2204" ht="20" customHeight="1">
      <c r="A2204" s="183">
        <f>IF($K2204="","",WEEKNUM(INDEX(Zeiterfassung!$K$6:$K$3665,$K2204),21))</f>
        <v/>
      </c>
      <c r="B2204" s="184">
        <f>IF($K2204="","",INDEX(Zeiterfassung!$K$6:$K$3665,$K2204))</f>
        <v/>
      </c>
      <c r="C2204" s="185">
        <f>IF($K2204="","",INDEX(Zeiterfassung!$K$6:$K$3665,$K2204))</f>
        <v/>
      </c>
      <c r="D2204" s="186">
        <f>IF($K2204="","",INDEX(Zeiterfassung!$D$6:$D$3665,$K2204))</f>
        <v/>
      </c>
      <c r="E2204" s="186">
        <f>IF($K2204="","",INDEX(Zeiterfassung!$E$6:$E$3665,$K2204))</f>
        <v/>
      </c>
      <c r="F2204" s="187">
        <f>IF($K2204="","",INDEX(Zeiterfassung!$F$6:$F$3665,$K2204))</f>
        <v/>
      </c>
      <c r="G2204" s="187">
        <f>IF($K2204="","",INDEX(Zeiterfassung!$G$6:$G$3665,$K2204))</f>
        <v/>
      </c>
      <c r="H2204" s="188">
        <f>IF($K2204="","",INDEX(Zeiterfassung!$H$6:$H$3665,$K2204))</f>
        <v/>
      </c>
      <c r="I2204" s="335">
        <f>IF(B2204=B2203,"",IF($K2204="","",INDEX(Zeiterfassung!$I$6:$I$3665,MATCH(INDEX(Zeiterfassung!$K$6:$K$3665,$K2204),Zeiterfassung!$K$6:$K$3665,0))))</f>
        <v/>
      </c>
      <c r="J2204" s="335">
        <f>IF(B2204=B2203,"",IF($K2204="","",INDEX(Zeiterfassung!$J$6:$J$3665,MATCH(INDEX(Zeiterfassung!$K$6:$K$3665,$K2204),Zeiterfassung!$K$6:$K$3665,0))))</f>
        <v/>
      </c>
      <c r="K2204">
        <f>IFERROR(AGGREGATE(15,6,(ROW(Zeiterfassung!$D$6:$D$3665)-ROW(Zeiterfassung!$D$6)+1)/(Zeiterfassung!$D$6:$D$3665&lt;&gt;""),2199),"")</f>
        <v/>
      </c>
    </row>
    <row r="2205" ht="20" customHeight="1">
      <c r="A2205" s="183">
        <f>IF($K2205="","",WEEKNUM(INDEX(Zeiterfassung!$K$6:$K$3665,$K2205),21))</f>
        <v/>
      </c>
      <c r="B2205" s="184">
        <f>IF($K2205="","",INDEX(Zeiterfassung!$K$6:$K$3665,$K2205))</f>
        <v/>
      </c>
      <c r="C2205" s="185">
        <f>IF($K2205="","",INDEX(Zeiterfassung!$K$6:$K$3665,$K2205))</f>
        <v/>
      </c>
      <c r="D2205" s="186">
        <f>IF($K2205="","",INDEX(Zeiterfassung!$D$6:$D$3665,$K2205))</f>
        <v/>
      </c>
      <c r="E2205" s="186">
        <f>IF($K2205="","",INDEX(Zeiterfassung!$E$6:$E$3665,$K2205))</f>
        <v/>
      </c>
      <c r="F2205" s="187">
        <f>IF($K2205="","",INDEX(Zeiterfassung!$F$6:$F$3665,$K2205))</f>
        <v/>
      </c>
      <c r="G2205" s="187">
        <f>IF($K2205="","",INDEX(Zeiterfassung!$G$6:$G$3665,$K2205))</f>
        <v/>
      </c>
      <c r="H2205" s="188">
        <f>IF($K2205="","",INDEX(Zeiterfassung!$H$6:$H$3665,$K2205))</f>
        <v/>
      </c>
      <c r="I2205" s="335">
        <f>IF(B2205=B2204,"",IF($K2205="","",INDEX(Zeiterfassung!$I$6:$I$3665,MATCH(INDEX(Zeiterfassung!$K$6:$K$3665,$K2205),Zeiterfassung!$K$6:$K$3665,0))))</f>
        <v/>
      </c>
      <c r="J2205" s="335">
        <f>IF(B2205=B2204,"",IF($K2205="","",INDEX(Zeiterfassung!$J$6:$J$3665,MATCH(INDEX(Zeiterfassung!$K$6:$K$3665,$K2205),Zeiterfassung!$K$6:$K$3665,0))))</f>
        <v/>
      </c>
      <c r="K2205">
        <f>IFERROR(AGGREGATE(15,6,(ROW(Zeiterfassung!$D$6:$D$3665)-ROW(Zeiterfassung!$D$6)+1)/(Zeiterfassung!$D$6:$D$3665&lt;&gt;""),2200),"")</f>
        <v/>
      </c>
    </row>
    <row r="2206" ht="20" customHeight="1">
      <c r="A2206" s="183">
        <f>IF($K2206="","",WEEKNUM(INDEX(Zeiterfassung!$K$6:$K$3665,$K2206),21))</f>
        <v/>
      </c>
      <c r="B2206" s="184">
        <f>IF($K2206="","",INDEX(Zeiterfassung!$K$6:$K$3665,$K2206))</f>
        <v/>
      </c>
      <c r="C2206" s="185">
        <f>IF($K2206="","",INDEX(Zeiterfassung!$K$6:$K$3665,$K2206))</f>
        <v/>
      </c>
      <c r="D2206" s="186">
        <f>IF($K2206="","",INDEX(Zeiterfassung!$D$6:$D$3665,$K2206))</f>
        <v/>
      </c>
      <c r="E2206" s="186">
        <f>IF($K2206="","",INDEX(Zeiterfassung!$E$6:$E$3665,$K2206))</f>
        <v/>
      </c>
      <c r="F2206" s="187">
        <f>IF($K2206="","",INDEX(Zeiterfassung!$F$6:$F$3665,$K2206))</f>
        <v/>
      </c>
      <c r="G2206" s="187">
        <f>IF($K2206="","",INDEX(Zeiterfassung!$G$6:$G$3665,$K2206))</f>
        <v/>
      </c>
      <c r="H2206" s="188">
        <f>IF($K2206="","",INDEX(Zeiterfassung!$H$6:$H$3665,$K2206))</f>
        <v/>
      </c>
      <c r="I2206" s="335">
        <f>IF(B2206=B2205,"",IF($K2206="","",INDEX(Zeiterfassung!$I$6:$I$3665,MATCH(INDEX(Zeiterfassung!$K$6:$K$3665,$K2206),Zeiterfassung!$K$6:$K$3665,0))))</f>
        <v/>
      </c>
      <c r="J2206" s="335">
        <f>IF(B2206=B2205,"",IF($K2206="","",INDEX(Zeiterfassung!$J$6:$J$3665,MATCH(INDEX(Zeiterfassung!$K$6:$K$3665,$K2206),Zeiterfassung!$K$6:$K$3665,0))))</f>
        <v/>
      </c>
      <c r="K2206">
        <f>IFERROR(AGGREGATE(15,6,(ROW(Zeiterfassung!$D$6:$D$3665)-ROW(Zeiterfassung!$D$6)+1)/(Zeiterfassung!$D$6:$D$3665&lt;&gt;""),2201),"")</f>
        <v/>
      </c>
    </row>
    <row r="2207" ht="20" customHeight="1">
      <c r="A2207" s="183">
        <f>IF($K2207="","",WEEKNUM(INDEX(Zeiterfassung!$K$6:$K$3665,$K2207),21))</f>
        <v/>
      </c>
      <c r="B2207" s="184">
        <f>IF($K2207="","",INDEX(Zeiterfassung!$K$6:$K$3665,$K2207))</f>
        <v/>
      </c>
      <c r="C2207" s="185">
        <f>IF($K2207="","",INDEX(Zeiterfassung!$K$6:$K$3665,$K2207))</f>
        <v/>
      </c>
      <c r="D2207" s="186">
        <f>IF($K2207="","",INDEX(Zeiterfassung!$D$6:$D$3665,$K2207))</f>
        <v/>
      </c>
      <c r="E2207" s="186">
        <f>IF($K2207="","",INDEX(Zeiterfassung!$E$6:$E$3665,$K2207))</f>
        <v/>
      </c>
      <c r="F2207" s="187">
        <f>IF($K2207="","",INDEX(Zeiterfassung!$F$6:$F$3665,$K2207))</f>
        <v/>
      </c>
      <c r="G2207" s="187">
        <f>IF($K2207="","",INDEX(Zeiterfassung!$G$6:$G$3665,$K2207))</f>
        <v/>
      </c>
      <c r="H2207" s="188">
        <f>IF($K2207="","",INDEX(Zeiterfassung!$H$6:$H$3665,$K2207))</f>
        <v/>
      </c>
      <c r="I2207" s="335">
        <f>IF(B2207=B2206,"",IF($K2207="","",INDEX(Zeiterfassung!$I$6:$I$3665,MATCH(INDEX(Zeiterfassung!$K$6:$K$3665,$K2207),Zeiterfassung!$K$6:$K$3665,0))))</f>
        <v/>
      </c>
      <c r="J2207" s="335">
        <f>IF(B2207=B2206,"",IF($K2207="","",INDEX(Zeiterfassung!$J$6:$J$3665,MATCH(INDEX(Zeiterfassung!$K$6:$K$3665,$K2207),Zeiterfassung!$K$6:$K$3665,0))))</f>
        <v/>
      </c>
      <c r="K2207">
        <f>IFERROR(AGGREGATE(15,6,(ROW(Zeiterfassung!$D$6:$D$3665)-ROW(Zeiterfassung!$D$6)+1)/(Zeiterfassung!$D$6:$D$3665&lt;&gt;""),2202),"")</f>
        <v/>
      </c>
    </row>
    <row r="2208" ht="20" customHeight="1">
      <c r="A2208" s="183">
        <f>IF($K2208="","",WEEKNUM(INDEX(Zeiterfassung!$K$6:$K$3665,$K2208),21))</f>
        <v/>
      </c>
      <c r="B2208" s="184">
        <f>IF($K2208="","",INDEX(Zeiterfassung!$K$6:$K$3665,$K2208))</f>
        <v/>
      </c>
      <c r="C2208" s="185">
        <f>IF($K2208="","",INDEX(Zeiterfassung!$K$6:$K$3665,$K2208))</f>
        <v/>
      </c>
      <c r="D2208" s="186">
        <f>IF($K2208="","",INDEX(Zeiterfassung!$D$6:$D$3665,$K2208))</f>
        <v/>
      </c>
      <c r="E2208" s="186">
        <f>IF($K2208="","",INDEX(Zeiterfassung!$E$6:$E$3665,$K2208))</f>
        <v/>
      </c>
      <c r="F2208" s="187">
        <f>IF($K2208="","",INDEX(Zeiterfassung!$F$6:$F$3665,$K2208))</f>
        <v/>
      </c>
      <c r="G2208" s="187">
        <f>IF($K2208="","",INDEX(Zeiterfassung!$G$6:$G$3665,$K2208))</f>
        <v/>
      </c>
      <c r="H2208" s="188">
        <f>IF($K2208="","",INDEX(Zeiterfassung!$H$6:$H$3665,$K2208))</f>
        <v/>
      </c>
      <c r="I2208" s="335">
        <f>IF(B2208=B2207,"",IF($K2208="","",INDEX(Zeiterfassung!$I$6:$I$3665,MATCH(INDEX(Zeiterfassung!$K$6:$K$3665,$K2208),Zeiterfassung!$K$6:$K$3665,0))))</f>
        <v/>
      </c>
      <c r="J2208" s="335">
        <f>IF(B2208=B2207,"",IF($K2208="","",INDEX(Zeiterfassung!$J$6:$J$3665,MATCH(INDEX(Zeiterfassung!$K$6:$K$3665,$K2208),Zeiterfassung!$K$6:$K$3665,0))))</f>
        <v/>
      </c>
      <c r="K2208">
        <f>IFERROR(AGGREGATE(15,6,(ROW(Zeiterfassung!$D$6:$D$3665)-ROW(Zeiterfassung!$D$6)+1)/(Zeiterfassung!$D$6:$D$3665&lt;&gt;""),2203),"")</f>
        <v/>
      </c>
    </row>
    <row r="2209" ht="20" customHeight="1">
      <c r="A2209" s="183">
        <f>IF($K2209="","",WEEKNUM(INDEX(Zeiterfassung!$K$6:$K$3665,$K2209),21))</f>
        <v/>
      </c>
      <c r="B2209" s="184">
        <f>IF($K2209="","",INDEX(Zeiterfassung!$K$6:$K$3665,$K2209))</f>
        <v/>
      </c>
      <c r="C2209" s="185">
        <f>IF($K2209="","",INDEX(Zeiterfassung!$K$6:$K$3665,$K2209))</f>
        <v/>
      </c>
      <c r="D2209" s="186">
        <f>IF($K2209="","",INDEX(Zeiterfassung!$D$6:$D$3665,$K2209))</f>
        <v/>
      </c>
      <c r="E2209" s="186">
        <f>IF($K2209="","",INDEX(Zeiterfassung!$E$6:$E$3665,$K2209))</f>
        <v/>
      </c>
      <c r="F2209" s="187">
        <f>IF($K2209="","",INDEX(Zeiterfassung!$F$6:$F$3665,$K2209))</f>
        <v/>
      </c>
      <c r="G2209" s="187">
        <f>IF($K2209="","",INDEX(Zeiterfassung!$G$6:$G$3665,$K2209))</f>
        <v/>
      </c>
      <c r="H2209" s="188">
        <f>IF($K2209="","",INDEX(Zeiterfassung!$H$6:$H$3665,$K2209))</f>
        <v/>
      </c>
      <c r="I2209" s="335">
        <f>IF(B2209=B2208,"",IF($K2209="","",INDEX(Zeiterfassung!$I$6:$I$3665,MATCH(INDEX(Zeiterfassung!$K$6:$K$3665,$K2209),Zeiterfassung!$K$6:$K$3665,0))))</f>
        <v/>
      </c>
      <c r="J2209" s="335">
        <f>IF(B2209=B2208,"",IF($K2209="","",INDEX(Zeiterfassung!$J$6:$J$3665,MATCH(INDEX(Zeiterfassung!$K$6:$K$3665,$K2209),Zeiterfassung!$K$6:$K$3665,0))))</f>
        <v/>
      </c>
      <c r="K2209">
        <f>IFERROR(AGGREGATE(15,6,(ROW(Zeiterfassung!$D$6:$D$3665)-ROW(Zeiterfassung!$D$6)+1)/(Zeiterfassung!$D$6:$D$3665&lt;&gt;""),2204),"")</f>
        <v/>
      </c>
    </row>
    <row r="2210" ht="20" customHeight="1">
      <c r="A2210" s="183">
        <f>IF($K2210="","",WEEKNUM(INDEX(Zeiterfassung!$K$6:$K$3665,$K2210),21))</f>
        <v/>
      </c>
      <c r="B2210" s="184">
        <f>IF($K2210="","",INDEX(Zeiterfassung!$K$6:$K$3665,$K2210))</f>
        <v/>
      </c>
      <c r="C2210" s="185">
        <f>IF($K2210="","",INDEX(Zeiterfassung!$K$6:$K$3665,$K2210))</f>
        <v/>
      </c>
      <c r="D2210" s="186">
        <f>IF($K2210="","",INDEX(Zeiterfassung!$D$6:$D$3665,$K2210))</f>
        <v/>
      </c>
      <c r="E2210" s="186">
        <f>IF($K2210="","",INDEX(Zeiterfassung!$E$6:$E$3665,$K2210))</f>
        <v/>
      </c>
      <c r="F2210" s="187">
        <f>IF($K2210="","",INDEX(Zeiterfassung!$F$6:$F$3665,$K2210))</f>
        <v/>
      </c>
      <c r="G2210" s="187">
        <f>IF($K2210="","",INDEX(Zeiterfassung!$G$6:$G$3665,$K2210))</f>
        <v/>
      </c>
      <c r="H2210" s="188">
        <f>IF($K2210="","",INDEX(Zeiterfassung!$H$6:$H$3665,$K2210))</f>
        <v/>
      </c>
      <c r="I2210" s="335">
        <f>IF(B2210=B2209,"",IF($K2210="","",INDEX(Zeiterfassung!$I$6:$I$3665,MATCH(INDEX(Zeiterfassung!$K$6:$K$3665,$K2210),Zeiterfassung!$K$6:$K$3665,0))))</f>
        <v/>
      </c>
      <c r="J2210" s="335">
        <f>IF(B2210=B2209,"",IF($K2210="","",INDEX(Zeiterfassung!$J$6:$J$3665,MATCH(INDEX(Zeiterfassung!$K$6:$K$3665,$K2210),Zeiterfassung!$K$6:$K$3665,0))))</f>
        <v/>
      </c>
      <c r="K2210">
        <f>IFERROR(AGGREGATE(15,6,(ROW(Zeiterfassung!$D$6:$D$3665)-ROW(Zeiterfassung!$D$6)+1)/(Zeiterfassung!$D$6:$D$3665&lt;&gt;""),2205),"")</f>
        <v/>
      </c>
    </row>
    <row r="2211" ht="20" customHeight="1">
      <c r="A2211" s="183">
        <f>IF($K2211="","",WEEKNUM(INDEX(Zeiterfassung!$K$6:$K$3665,$K2211),21))</f>
        <v/>
      </c>
      <c r="B2211" s="184">
        <f>IF($K2211="","",INDEX(Zeiterfassung!$K$6:$K$3665,$K2211))</f>
        <v/>
      </c>
      <c r="C2211" s="185">
        <f>IF($K2211="","",INDEX(Zeiterfassung!$K$6:$K$3665,$K2211))</f>
        <v/>
      </c>
      <c r="D2211" s="186">
        <f>IF($K2211="","",INDEX(Zeiterfassung!$D$6:$D$3665,$K2211))</f>
        <v/>
      </c>
      <c r="E2211" s="186">
        <f>IF($K2211="","",INDEX(Zeiterfassung!$E$6:$E$3665,$K2211))</f>
        <v/>
      </c>
      <c r="F2211" s="187">
        <f>IF($K2211="","",INDEX(Zeiterfassung!$F$6:$F$3665,$K2211))</f>
        <v/>
      </c>
      <c r="G2211" s="187">
        <f>IF($K2211="","",INDEX(Zeiterfassung!$G$6:$G$3665,$K2211))</f>
        <v/>
      </c>
      <c r="H2211" s="188">
        <f>IF($K2211="","",INDEX(Zeiterfassung!$H$6:$H$3665,$K2211))</f>
        <v/>
      </c>
      <c r="I2211" s="335">
        <f>IF(B2211=B2210,"",IF($K2211="","",INDEX(Zeiterfassung!$I$6:$I$3665,MATCH(INDEX(Zeiterfassung!$K$6:$K$3665,$K2211),Zeiterfassung!$K$6:$K$3665,0))))</f>
        <v/>
      </c>
      <c r="J2211" s="335">
        <f>IF(B2211=B2210,"",IF($K2211="","",INDEX(Zeiterfassung!$J$6:$J$3665,MATCH(INDEX(Zeiterfassung!$K$6:$K$3665,$K2211),Zeiterfassung!$K$6:$K$3665,0))))</f>
        <v/>
      </c>
      <c r="K2211">
        <f>IFERROR(AGGREGATE(15,6,(ROW(Zeiterfassung!$D$6:$D$3665)-ROW(Zeiterfassung!$D$6)+1)/(Zeiterfassung!$D$6:$D$3665&lt;&gt;""),2206),"")</f>
        <v/>
      </c>
    </row>
    <row r="2212" ht="20" customHeight="1">
      <c r="A2212" s="183">
        <f>IF($K2212="","",WEEKNUM(INDEX(Zeiterfassung!$K$6:$K$3665,$K2212),21))</f>
        <v/>
      </c>
      <c r="B2212" s="184">
        <f>IF($K2212="","",INDEX(Zeiterfassung!$K$6:$K$3665,$K2212))</f>
        <v/>
      </c>
      <c r="C2212" s="185">
        <f>IF($K2212="","",INDEX(Zeiterfassung!$K$6:$K$3665,$K2212))</f>
        <v/>
      </c>
      <c r="D2212" s="186">
        <f>IF($K2212="","",INDEX(Zeiterfassung!$D$6:$D$3665,$K2212))</f>
        <v/>
      </c>
      <c r="E2212" s="186">
        <f>IF($K2212="","",INDEX(Zeiterfassung!$E$6:$E$3665,$K2212))</f>
        <v/>
      </c>
      <c r="F2212" s="187">
        <f>IF($K2212="","",INDEX(Zeiterfassung!$F$6:$F$3665,$K2212))</f>
        <v/>
      </c>
      <c r="G2212" s="187">
        <f>IF($K2212="","",INDEX(Zeiterfassung!$G$6:$G$3665,$K2212))</f>
        <v/>
      </c>
      <c r="H2212" s="188">
        <f>IF($K2212="","",INDEX(Zeiterfassung!$H$6:$H$3665,$K2212))</f>
        <v/>
      </c>
      <c r="I2212" s="335">
        <f>IF(B2212=B2211,"",IF($K2212="","",INDEX(Zeiterfassung!$I$6:$I$3665,MATCH(INDEX(Zeiterfassung!$K$6:$K$3665,$K2212),Zeiterfassung!$K$6:$K$3665,0))))</f>
        <v/>
      </c>
      <c r="J2212" s="335">
        <f>IF(B2212=B2211,"",IF($K2212="","",INDEX(Zeiterfassung!$J$6:$J$3665,MATCH(INDEX(Zeiterfassung!$K$6:$K$3665,$K2212),Zeiterfassung!$K$6:$K$3665,0))))</f>
        <v/>
      </c>
      <c r="K2212">
        <f>IFERROR(AGGREGATE(15,6,(ROW(Zeiterfassung!$D$6:$D$3665)-ROW(Zeiterfassung!$D$6)+1)/(Zeiterfassung!$D$6:$D$3665&lt;&gt;""),2207),"")</f>
        <v/>
      </c>
    </row>
    <row r="2213" ht="20" customHeight="1">
      <c r="A2213" s="183">
        <f>IF($K2213="","",WEEKNUM(INDEX(Zeiterfassung!$K$6:$K$3665,$K2213),21))</f>
        <v/>
      </c>
      <c r="B2213" s="184">
        <f>IF($K2213="","",INDEX(Zeiterfassung!$K$6:$K$3665,$K2213))</f>
        <v/>
      </c>
      <c r="C2213" s="185">
        <f>IF($K2213="","",INDEX(Zeiterfassung!$K$6:$K$3665,$K2213))</f>
        <v/>
      </c>
      <c r="D2213" s="186">
        <f>IF($K2213="","",INDEX(Zeiterfassung!$D$6:$D$3665,$K2213))</f>
        <v/>
      </c>
      <c r="E2213" s="186">
        <f>IF($K2213="","",INDEX(Zeiterfassung!$E$6:$E$3665,$K2213))</f>
        <v/>
      </c>
      <c r="F2213" s="187">
        <f>IF($K2213="","",INDEX(Zeiterfassung!$F$6:$F$3665,$K2213))</f>
        <v/>
      </c>
      <c r="G2213" s="187">
        <f>IF($K2213="","",INDEX(Zeiterfassung!$G$6:$G$3665,$K2213))</f>
        <v/>
      </c>
      <c r="H2213" s="188">
        <f>IF($K2213="","",INDEX(Zeiterfassung!$H$6:$H$3665,$K2213))</f>
        <v/>
      </c>
      <c r="I2213" s="335">
        <f>IF(B2213=B2212,"",IF($K2213="","",INDEX(Zeiterfassung!$I$6:$I$3665,MATCH(INDEX(Zeiterfassung!$K$6:$K$3665,$K2213),Zeiterfassung!$K$6:$K$3665,0))))</f>
        <v/>
      </c>
      <c r="J2213" s="335">
        <f>IF(B2213=B2212,"",IF($K2213="","",INDEX(Zeiterfassung!$J$6:$J$3665,MATCH(INDEX(Zeiterfassung!$K$6:$K$3665,$K2213),Zeiterfassung!$K$6:$K$3665,0))))</f>
        <v/>
      </c>
      <c r="K2213">
        <f>IFERROR(AGGREGATE(15,6,(ROW(Zeiterfassung!$D$6:$D$3665)-ROW(Zeiterfassung!$D$6)+1)/(Zeiterfassung!$D$6:$D$3665&lt;&gt;""),2208),"")</f>
        <v/>
      </c>
    </row>
    <row r="2214" ht="20" customHeight="1">
      <c r="A2214" s="183">
        <f>IF($K2214="","",WEEKNUM(INDEX(Zeiterfassung!$K$6:$K$3665,$K2214),21))</f>
        <v/>
      </c>
      <c r="B2214" s="184">
        <f>IF($K2214="","",INDEX(Zeiterfassung!$K$6:$K$3665,$K2214))</f>
        <v/>
      </c>
      <c r="C2214" s="185">
        <f>IF($K2214="","",INDEX(Zeiterfassung!$K$6:$K$3665,$K2214))</f>
        <v/>
      </c>
      <c r="D2214" s="186">
        <f>IF($K2214="","",INDEX(Zeiterfassung!$D$6:$D$3665,$K2214))</f>
        <v/>
      </c>
      <c r="E2214" s="186">
        <f>IF($K2214="","",INDEX(Zeiterfassung!$E$6:$E$3665,$K2214))</f>
        <v/>
      </c>
      <c r="F2214" s="187">
        <f>IF($K2214="","",INDEX(Zeiterfassung!$F$6:$F$3665,$K2214))</f>
        <v/>
      </c>
      <c r="G2214" s="187">
        <f>IF($K2214="","",INDEX(Zeiterfassung!$G$6:$G$3665,$K2214))</f>
        <v/>
      </c>
      <c r="H2214" s="188">
        <f>IF($K2214="","",INDEX(Zeiterfassung!$H$6:$H$3665,$K2214))</f>
        <v/>
      </c>
      <c r="I2214" s="335">
        <f>IF(B2214=B2213,"",IF($K2214="","",INDEX(Zeiterfassung!$I$6:$I$3665,MATCH(INDEX(Zeiterfassung!$K$6:$K$3665,$K2214),Zeiterfassung!$K$6:$K$3665,0))))</f>
        <v/>
      </c>
      <c r="J2214" s="335">
        <f>IF(B2214=B2213,"",IF($K2214="","",INDEX(Zeiterfassung!$J$6:$J$3665,MATCH(INDEX(Zeiterfassung!$K$6:$K$3665,$K2214),Zeiterfassung!$K$6:$K$3665,0))))</f>
        <v/>
      </c>
      <c r="K2214">
        <f>IFERROR(AGGREGATE(15,6,(ROW(Zeiterfassung!$D$6:$D$3665)-ROW(Zeiterfassung!$D$6)+1)/(Zeiterfassung!$D$6:$D$3665&lt;&gt;""),2209),"")</f>
        <v/>
      </c>
    </row>
    <row r="2215" ht="20" customHeight="1">
      <c r="A2215" s="183">
        <f>IF($K2215="","",WEEKNUM(INDEX(Zeiterfassung!$K$6:$K$3665,$K2215),21))</f>
        <v/>
      </c>
      <c r="B2215" s="184">
        <f>IF($K2215="","",INDEX(Zeiterfassung!$K$6:$K$3665,$K2215))</f>
        <v/>
      </c>
      <c r="C2215" s="185">
        <f>IF($K2215="","",INDEX(Zeiterfassung!$K$6:$K$3665,$K2215))</f>
        <v/>
      </c>
      <c r="D2215" s="186">
        <f>IF($K2215="","",INDEX(Zeiterfassung!$D$6:$D$3665,$K2215))</f>
        <v/>
      </c>
      <c r="E2215" s="186">
        <f>IF($K2215="","",INDEX(Zeiterfassung!$E$6:$E$3665,$K2215))</f>
        <v/>
      </c>
      <c r="F2215" s="187">
        <f>IF($K2215="","",INDEX(Zeiterfassung!$F$6:$F$3665,$K2215))</f>
        <v/>
      </c>
      <c r="G2215" s="187">
        <f>IF($K2215="","",INDEX(Zeiterfassung!$G$6:$G$3665,$K2215))</f>
        <v/>
      </c>
      <c r="H2215" s="188">
        <f>IF($K2215="","",INDEX(Zeiterfassung!$H$6:$H$3665,$K2215))</f>
        <v/>
      </c>
      <c r="I2215" s="335">
        <f>IF(B2215=B2214,"",IF($K2215="","",INDEX(Zeiterfassung!$I$6:$I$3665,MATCH(INDEX(Zeiterfassung!$K$6:$K$3665,$K2215),Zeiterfassung!$K$6:$K$3665,0))))</f>
        <v/>
      </c>
      <c r="J2215" s="335">
        <f>IF(B2215=B2214,"",IF($K2215="","",INDEX(Zeiterfassung!$J$6:$J$3665,MATCH(INDEX(Zeiterfassung!$K$6:$K$3665,$K2215),Zeiterfassung!$K$6:$K$3665,0))))</f>
        <v/>
      </c>
      <c r="K2215">
        <f>IFERROR(AGGREGATE(15,6,(ROW(Zeiterfassung!$D$6:$D$3665)-ROW(Zeiterfassung!$D$6)+1)/(Zeiterfassung!$D$6:$D$3665&lt;&gt;""),2210),"")</f>
        <v/>
      </c>
    </row>
    <row r="2216" ht="20" customHeight="1">
      <c r="A2216" s="183">
        <f>IF($K2216="","",WEEKNUM(INDEX(Zeiterfassung!$K$6:$K$3665,$K2216),21))</f>
        <v/>
      </c>
      <c r="B2216" s="184">
        <f>IF($K2216="","",INDEX(Zeiterfassung!$K$6:$K$3665,$K2216))</f>
        <v/>
      </c>
      <c r="C2216" s="185">
        <f>IF($K2216="","",INDEX(Zeiterfassung!$K$6:$K$3665,$K2216))</f>
        <v/>
      </c>
      <c r="D2216" s="186">
        <f>IF($K2216="","",INDEX(Zeiterfassung!$D$6:$D$3665,$K2216))</f>
        <v/>
      </c>
      <c r="E2216" s="186">
        <f>IF($K2216="","",INDEX(Zeiterfassung!$E$6:$E$3665,$K2216))</f>
        <v/>
      </c>
      <c r="F2216" s="187">
        <f>IF($K2216="","",INDEX(Zeiterfassung!$F$6:$F$3665,$K2216))</f>
        <v/>
      </c>
      <c r="G2216" s="187">
        <f>IF($K2216="","",INDEX(Zeiterfassung!$G$6:$G$3665,$K2216))</f>
        <v/>
      </c>
      <c r="H2216" s="188">
        <f>IF($K2216="","",INDEX(Zeiterfassung!$H$6:$H$3665,$K2216))</f>
        <v/>
      </c>
      <c r="I2216" s="335">
        <f>IF(B2216=B2215,"",IF($K2216="","",INDEX(Zeiterfassung!$I$6:$I$3665,MATCH(INDEX(Zeiterfassung!$K$6:$K$3665,$K2216),Zeiterfassung!$K$6:$K$3665,0))))</f>
        <v/>
      </c>
      <c r="J2216" s="335">
        <f>IF(B2216=B2215,"",IF($K2216="","",INDEX(Zeiterfassung!$J$6:$J$3665,MATCH(INDEX(Zeiterfassung!$K$6:$K$3665,$K2216),Zeiterfassung!$K$6:$K$3665,0))))</f>
        <v/>
      </c>
      <c r="K2216">
        <f>IFERROR(AGGREGATE(15,6,(ROW(Zeiterfassung!$D$6:$D$3665)-ROW(Zeiterfassung!$D$6)+1)/(Zeiterfassung!$D$6:$D$3665&lt;&gt;""),2211),"")</f>
        <v/>
      </c>
    </row>
    <row r="2217" ht="20" customHeight="1">
      <c r="A2217" s="183">
        <f>IF($K2217="","",WEEKNUM(INDEX(Zeiterfassung!$K$6:$K$3665,$K2217),21))</f>
        <v/>
      </c>
      <c r="B2217" s="184">
        <f>IF($K2217="","",INDEX(Zeiterfassung!$K$6:$K$3665,$K2217))</f>
        <v/>
      </c>
      <c r="C2217" s="185">
        <f>IF($K2217="","",INDEX(Zeiterfassung!$K$6:$K$3665,$K2217))</f>
        <v/>
      </c>
      <c r="D2217" s="186">
        <f>IF($K2217="","",INDEX(Zeiterfassung!$D$6:$D$3665,$K2217))</f>
        <v/>
      </c>
      <c r="E2217" s="186">
        <f>IF($K2217="","",INDEX(Zeiterfassung!$E$6:$E$3665,$K2217))</f>
        <v/>
      </c>
      <c r="F2217" s="187">
        <f>IF($K2217="","",INDEX(Zeiterfassung!$F$6:$F$3665,$K2217))</f>
        <v/>
      </c>
      <c r="G2217" s="187">
        <f>IF($K2217="","",INDEX(Zeiterfassung!$G$6:$G$3665,$K2217))</f>
        <v/>
      </c>
      <c r="H2217" s="188">
        <f>IF($K2217="","",INDEX(Zeiterfassung!$H$6:$H$3665,$K2217))</f>
        <v/>
      </c>
      <c r="I2217" s="335">
        <f>IF(B2217=B2216,"",IF($K2217="","",INDEX(Zeiterfassung!$I$6:$I$3665,MATCH(INDEX(Zeiterfassung!$K$6:$K$3665,$K2217),Zeiterfassung!$K$6:$K$3665,0))))</f>
        <v/>
      </c>
      <c r="J2217" s="335">
        <f>IF(B2217=B2216,"",IF($K2217="","",INDEX(Zeiterfassung!$J$6:$J$3665,MATCH(INDEX(Zeiterfassung!$K$6:$K$3665,$K2217),Zeiterfassung!$K$6:$K$3665,0))))</f>
        <v/>
      </c>
      <c r="K2217">
        <f>IFERROR(AGGREGATE(15,6,(ROW(Zeiterfassung!$D$6:$D$3665)-ROW(Zeiterfassung!$D$6)+1)/(Zeiterfassung!$D$6:$D$3665&lt;&gt;""),2212),"")</f>
        <v/>
      </c>
    </row>
    <row r="2218" ht="20" customHeight="1">
      <c r="A2218" s="183">
        <f>IF($K2218="","",WEEKNUM(INDEX(Zeiterfassung!$K$6:$K$3665,$K2218),21))</f>
        <v/>
      </c>
      <c r="B2218" s="184">
        <f>IF($K2218="","",INDEX(Zeiterfassung!$K$6:$K$3665,$K2218))</f>
        <v/>
      </c>
      <c r="C2218" s="185">
        <f>IF($K2218="","",INDEX(Zeiterfassung!$K$6:$K$3665,$K2218))</f>
        <v/>
      </c>
      <c r="D2218" s="186">
        <f>IF($K2218="","",INDEX(Zeiterfassung!$D$6:$D$3665,$K2218))</f>
        <v/>
      </c>
      <c r="E2218" s="186">
        <f>IF($K2218="","",INDEX(Zeiterfassung!$E$6:$E$3665,$K2218))</f>
        <v/>
      </c>
      <c r="F2218" s="187">
        <f>IF($K2218="","",INDEX(Zeiterfassung!$F$6:$F$3665,$K2218))</f>
        <v/>
      </c>
      <c r="G2218" s="187">
        <f>IF($K2218="","",INDEX(Zeiterfassung!$G$6:$G$3665,$K2218))</f>
        <v/>
      </c>
      <c r="H2218" s="188">
        <f>IF($K2218="","",INDEX(Zeiterfassung!$H$6:$H$3665,$K2218))</f>
        <v/>
      </c>
      <c r="I2218" s="335">
        <f>IF(B2218=B2217,"",IF($K2218="","",INDEX(Zeiterfassung!$I$6:$I$3665,MATCH(INDEX(Zeiterfassung!$K$6:$K$3665,$K2218),Zeiterfassung!$K$6:$K$3665,0))))</f>
        <v/>
      </c>
      <c r="J2218" s="335">
        <f>IF(B2218=B2217,"",IF($K2218="","",INDEX(Zeiterfassung!$J$6:$J$3665,MATCH(INDEX(Zeiterfassung!$K$6:$K$3665,$K2218),Zeiterfassung!$K$6:$K$3665,0))))</f>
        <v/>
      </c>
      <c r="K2218">
        <f>IFERROR(AGGREGATE(15,6,(ROW(Zeiterfassung!$D$6:$D$3665)-ROW(Zeiterfassung!$D$6)+1)/(Zeiterfassung!$D$6:$D$3665&lt;&gt;""),2213),"")</f>
        <v/>
      </c>
    </row>
    <row r="2219" ht="20" customHeight="1">
      <c r="A2219" s="183">
        <f>IF($K2219="","",WEEKNUM(INDEX(Zeiterfassung!$K$6:$K$3665,$K2219),21))</f>
        <v/>
      </c>
      <c r="B2219" s="184">
        <f>IF($K2219="","",INDEX(Zeiterfassung!$K$6:$K$3665,$K2219))</f>
        <v/>
      </c>
      <c r="C2219" s="185">
        <f>IF($K2219="","",INDEX(Zeiterfassung!$K$6:$K$3665,$K2219))</f>
        <v/>
      </c>
      <c r="D2219" s="186">
        <f>IF($K2219="","",INDEX(Zeiterfassung!$D$6:$D$3665,$K2219))</f>
        <v/>
      </c>
      <c r="E2219" s="186">
        <f>IF($K2219="","",INDEX(Zeiterfassung!$E$6:$E$3665,$K2219))</f>
        <v/>
      </c>
      <c r="F2219" s="187">
        <f>IF($K2219="","",INDEX(Zeiterfassung!$F$6:$F$3665,$K2219))</f>
        <v/>
      </c>
      <c r="G2219" s="187">
        <f>IF($K2219="","",INDEX(Zeiterfassung!$G$6:$G$3665,$K2219))</f>
        <v/>
      </c>
      <c r="H2219" s="188">
        <f>IF($K2219="","",INDEX(Zeiterfassung!$H$6:$H$3665,$K2219))</f>
        <v/>
      </c>
      <c r="I2219" s="335">
        <f>IF(B2219=B2218,"",IF($K2219="","",INDEX(Zeiterfassung!$I$6:$I$3665,MATCH(INDEX(Zeiterfassung!$K$6:$K$3665,$K2219),Zeiterfassung!$K$6:$K$3665,0))))</f>
        <v/>
      </c>
      <c r="J2219" s="335">
        <f>IF(B2219=B2218,"",IF($K2219="","",INDEX(Zeiterfassung!$J$6:$J$3665,MATCH(INDEX(Zeiterfassung!$K$6:$K$3665,$K2219),Zeiterfassung!$K$6:$K$3665,0))))</f>
        <v/>
      </c>
      <c r="K2219">
        <f>IFERROR(AGGREGATE(15,6,(ROW(Zeiterfassung!$D$6:$D$3665)-ROW(Zeiterfassung!$D$6)+1)/(Zeiterfassung!$D$6:$D$3665&lt;&gt;""),2214),"")</f>
        <v/>
      </c>
    </row>
    <row r="2220" ht="20" customHeight="1">
      <c r="A2220" s="183">
        <f>IF($K2220="","",WEEKNUM(INDEX(Zeiterfassung!$K$6:$K$3665,$K2220),21))</f>
        <v/>
      </c>
      <c r="B2220" s="184">
        <f>IF($K2220="","",INDEX(Zeiterfassung!$K$6:$K$3665,$K2220))</f>
        <v/>
      </c>
      <c r="C2220" s="185">
        <f>IF($K2220="","",INDEX(Zeiterfassung!$K$6:$K$3665,$K2220))</f>
        <v/>
      </c>
      <c r="D2220" s="186">
        <f>IF($K2220="","",INDEX(Zeiterfassung!$D$6:$D$3665,$K2220))</f>
        <v/>
      </c>
      <c r="E2220" s="186">
        <f>IF($K2220="","",INDEX(Zeiterfassung!$E$6:$E$3665,$K2220))</f>
        <v/>
      </c>
      <c r="F2220" s="187">
        <f>IF($K2220="","",INDEX(Zeiterfassung!$F$6:$F$3665,$K2220))</f>
        <v/>
      </c>
      <c r="G2220" s="187">
        <f>IF($K2220="","",INDEX(Zeiterfassung!$G$6:$G$3665,$K2220))</f>
        <v/>
      </c>
      <c r="H2220" s="188">
        <f>IF($K2220="","",INDEX(Zeiterfassung!$H$6:$H$3665,$K2220))</f>
        <v/>
      </c>
      <c r="I2220" s="335">
        <f>IF(B2220=B2219,"",IF($K2220="","",INDEX(Zeiterfassung!$I$6:$I$3665,MATCH(INDEX(Zeiterfassung!$K$6:$K$3665,$K2220),Zeiterfassung!$K$6:$K$3665,0))))</f>
        <v/>
      </c>
      <c r="J2220" s="335">
        <f>IF(B2220=B2219,"",IF($K2220="","",INDEX(Zeiterfassung!$J$6:$J$3665,MATCH(INDEX(Zeiterfassung!$K$6:$K$3665,$K2220),Zeiterfassung!$K$6:$K$3665,0))))</f>
        <v/>
      </c>
      <c r="K2220">
        <f>IFERROR(AGGREGATE(15,6,(ROW(Zeiterfassung!$D$6:$D$3665)-ROW(Zeiterfassung!$D$6)+1)/(Zeiterfassung!$D$6:$D$3665&lt;&gt;""),2215),"")</f>
        <v/>
      </c>
    </row>
    <row r="2221" ht="20" customHeight="1">
      <c r="A2221" s="183">
        <f>IF($K2221="","",WEEKNUM(INDEX(Zeiterfassung!$K$6:$K$3665,$K2221),21))</f>
        <v/>
      </c>
      <c r="B2221" s="184">
        <f>IF($K2221="","",INDEX(Zeiterfassung!$K$6:$K$3665,$K2221))</f>
        <v/>
      </c>
      <c r="C2221" s="185">
        <f>IF($K2221="","",INDEX(Zeiterfassung!$K$6:$K$3665,$K2221))</f>
        <v/>
      </c>
      <c r="D2221" s="186">
        <f>IF($K2221="","",INDEX(Zeiterfassung!$D$6:$D$3665,$K2221))</f>
        <v/>
      </c>
      <c r="E2221" s="186">
        <f>IF($K2221="","",INDEX(Zeiterfassung!$E$6:$E$3665,$K2221))</f>
        <v/>
      </c>
      <c r="F2221" s="187">
        <f>IF($K2221="","",INDEX(Zeiterfassung!$F$6:$F$3665,$K2221))</f>
        <v/>
      </c>
      <c r="G2221" s="187">
        <f>IF($K2221="","",INDEX(Zeiterfassung!$G$6:$G$3665,$K2221))</f>
        <v/>
      </c>
      <c r="H2221" s="188">
        <f>IF($K2221="","",INDEX(Zeiterfassung!$H$6:$H$3665,$K2221))</f>
        <v/>
      </c>
      <c r="I2221" s="335">
        <f>IF(B2221=B2220,"",IF($K2221="","",INDEX(Zeiterfassung!$I$6:$I$3665,MATCH(INDEX(Zeiterfassung!$K$6:$K$3665,$K2221),Zeiterfassung!$K$6:$K$3665,0))))</f>
        <v/>
      </c>
      <c r="J2221" s="335">
        <f>IF(B2221=B2220,"",IF($K2221="","",INDEX(Zeiterfassung!$J$6:$J$3665,MATCH(INDEX(Zeiterfassung!$K$6:$K$3665,$K2221),Zeiterfassung!$K$6:$K$3665,0))))</f>
        <v/>
      </c>
      <c r="K2221">
        <f>IFERROR(AGGREGATE(15,6,(ROW(Zeiterfassung!$D$6:$D$3665)-ROW(Zeiterfassung!$D$6)+1)/(Zeiterfassung!$D$6:$D$3665&lt;&gt;""),2216),"")</f>
        <v/>
      </c>
    </row>
    <row r="2222" ht="20" customHeight="1">
      <c r="A2222" s="183">
        <f>IF($K2222="","",WEEKNUM(INDEX(Zeiterfassung!$K$6:$K$3665,$K2222),21))</f>
        <v/>
      </c>
      <c r="B2222" s="184">
        <f>IF($K2222="","",INDEX(Zeiterfassung!$K$6:$K$3665,$K2222))</f>
        <v/>
      </c>
      <c r="C2222" s="185">
        <f>IF($K2222="","",INDEX(Zeiterfassung!$K$6:$K$3665,$K2222))</f>
        <v/>
      </c>
      <c r="D2222" s="186">
        <f>IF($K2222="","",INDEX(Zeiterfassung!$D$6:$D$3665,$K2222))</f>
        <v/>
      </c>
      <c r="E2222" s="186">
        <f>IF($K2222="","",INDEX(Zeiterfassung!$E$6:$E$3665,$K2222))</f>
        <v/>
      </c>
      <c r="F2222" s="187">
        <f>IF($K2222="","",INDEX(Zeiterfassung!$F$6:$F$3665,$K2222))</f>
        <v/>
      </c>
      <c r="G2222" s="187">
        <f>IF($K2222="","",INDEX(Zeiterfassung!$G$6:$G$3665,$K2222))</f>
        <v/>
      </c>
      <c r="H2222" s="188">
        <f>IF($K2222="","",INDEX(Zeiterfassung!$H$6:$H$3665,$K2222))</f>
        <v/>
      </c>
      <c r="I2222" s="335">
        <f>IF(B2222=B2221,"",IF($K2222="","",INDEX(Zeiterfassung!$I$6:$I$3665,MATCH(INDEX(Zeiterfassung!$K$6:$K$3665,$K2222),Zeiterfassung!$K$6:$K$3665,0))))</f>
        <v/>
      </c>
      <c r="J2222" s="335">
        <f>IF(B2222=B2221,"",IF($K2222="","",INDEX(Zeiterfassung!$J$6:$J$3665,MATCH(INDEX(Zeiterfassung!$K$6:$K$3665,$K2222),Zeiterfassung!$K$6:$K$3665,0))))</f>
        <v/>
      </c>
      <c r="K2222">
        <f>IFERROR(AGGREGATE(15,6,(ROW(Zeiterfassung!$D$6:$D$3665)-ROW(Zeiterfassung!$D$6)+1)/(Zeiterfassung!$D$6:$D$3665&lt;&gt;""),2217),"")</f>
        <v/>
      </c>
    </row>
    <row r="2223" ht="20" customHeight="1">
      <c r="A2223" s="183">
        <f>IF($K2223="","",WEEKNUM(INDEX(Zeiterfassung!$K$6:$K$3665,$K2223),21))</f>
        <v/>
      </c>
      <c r="B2223" s="184">
        <f>IF($K2223="","",INDEX(Zeiterfassung!$K$6:$K$3665,$K2223))</f>
        <v/>
      </c>
      <c r="C2223" s="185">
        <f>IF($K2223="","",INDEX(Zeiterfassung!$K$6:$K$3665,$K2223))</f>
        <v/>
      </c>
      <c r="D2223" s="186">
        <f>IF($K2223="","",INDEX(Zeiterfassung!$D$6:$D$3665,$K2223))</f>
        <v/>
      </c>
      <c r="E2223" s="186">
        <f>IF($K2223="","",INDEX(Zeiterfassung!$E$6:$E$3665,$K2223))</f>
        <v/>
      </c>
      <c r="F2223" s="187">
        <f>IF($K2223="","",INDEX(Zeiterfassung!$F$6:$F$3665,$K2223))</f>
        <v/>
      </c>
      <c r="G2223" s="187">
        <f>IF($K2223="","",INDEX(Zeiterfassung!$G$6:$G$3665,$K2223))</f>
        <v/>
      </c>
      <c r="H2223" s="188">
        <f>IF($K2223="","",INDEX(Zeiterfassung!$H$6:$H$3665,$K2223))</f>
        <v/>
      </c>
      <c r="I2223" s="335">
        <f>IF(B2223=B2222,"",IF($K2223="","",INDEX(Zeiterfassung!$I$6:$I$3665,MATCH(INDEX(Zeiterfassung!$K$6:$K$3665,$K2223),Zeiterfassung!$K$6:$K$3665,0))))</f>
        <v/>
      </c>
      <c r="J2223" s="335">
        <f>IF(B2223=B2222,"",IF($K2223="","",INDEX(Zeiterfassung!$J$6:$J$3665,MATCH(INDEX(Zeiterfassung!$K$6:$K$3665,$K2223),Zeiterfassung!$K$6:$K$3665,0))))</f>
        <v/>
      </c>
      <c r="K2223">
        <f>IFERROR(AGGREGATE(15,6,(ROW(Zeiterfassung!$D$6:$D$3665)-ROW(Zeiterfassung!$D$6)+1)/(Zeiterfassung!$D$6:$D$3665&lt;&gt;""),2218),"")</f>
        <v/>
      </c>
    </row>
    <row r="2224" ht="20" customHeight="1">
      <c r="A2224" s="183">
        <f>IF($K2224="","",WEEKNUM(INDEX(Zeiterfassung!$K$6:$K$3665,$K2224),21))</f>
        <v/>
      </c>
      <c r="B2224" s="184">
        <f>IF($K2224="","",INDEX(Zeiterfassung!$K$6:$K$3665,$K2224))</f>
        <v/>
      </c>
      <c r="C2224" s="185">
        <f>IF($K2224="","",INDEX(Zeiterfassung!$K$6:$K$3665,$K2224))</f>
        <v/>
      </c>
      <c r="D2224" s="186">
        <f>IF($K2224="","",INDEX(Zeiterfassung!$D$6:$D$3665,$K2224))</f>
        <v/>
      </c>
      <c r="E2224" s="186">
        <f>IF($K2224="","",INDEX(Zeiterfassung!$E$6:$E$3665,$K2224))</f>
        <v/>
      </c>
      <c r="F2224" s="187">
        <f>IF($K2224="","",INDEX(Zeiterfassung!$F$6:$F$3665,$K2224))</f>
        <v/>
      </c>
      <c r="G2224" s="187">
        <f>IF($K2224="","",INDEX(Zeiterfassung!$G$6:$G$3665,$K2224))</f>
        <v/>
      </c>
      <c r="H2224" s="188">
        <f>IF($K2224="","",INDEX(Zeiterfassung!$H$6:$H$3665,$K2224))</f>
        <v/>
      </c>
      <c r="I2224" s="335">
        <f>IF(B2224=B2223,"",IF($K2224="","",INDEX(Zeiterfassung!$I$6:$I$3665,MATCH(INDEX(Zeiterfassung!$K$6:$K$3665,$K2224),Zeiterfassung!$K$6:$K$3665,0))))</f>
        <v/>
      </c>
      <c r="J2224" s="335">
        <f>IF(B2224=B2223,"",IF($K2224="","",INDEX(Zeiterfassung!$J$6:$J$3665,MATCH(INDEX(Zeiterfassung!$K$6:$K$3665,$K2224),Zeiterfassung!$K$6:$K$3665,0))))</f>
        <v/>
      </c>
      <c r="K2224">
        <f>IFERROR(AGGREGATE(15,6,(ROW(Zeiterfassung!$D$6:$D$3665)-ROW(Zeiterfassung!$D$6)+1)/(Zeiterfassung!$D$6:$D$3665&lt;&gt;""),2219),"")</f>
        <v/>
      </c>
    </row>
    <row r="2225" ht="20" customHeight="1">
      <c r="A2225" s="183">
        <f>IF($K2225="","",WEEKNUM(INDEX(Zeiterfassung!$K$6:$K$3665,$K2225),21))</f>
        <v/>
      </c>
      <c r="B2225" s="184">
        <f>IF($K2225="","",INDEX(Zeiterfassung!$K$6:$K$3665,$K2225))</f>
        <v/>
      </c>
      <c r="C2225" s="185">
        <f>IF($K2225="","",INDEX(Zeiterfassung!$K$6:$K$3665,$K2225))</f>
        <v/>
      </c>
      <c r="D2225" s="186">
        <f>IF($K2225="","",INDEX(Zeiterfassung!$D$6:$D$3665,$K2225))</f>
        <v/>
      </c>
      <c r="E2225" s="186">
        <f>IF($K2225="","",INDEX(Zeiterfassung!$E$6:$E$3665,$K2225))</f>
        <v/>
      </c>
      <c r="F2225" s="187">
        <f>IF($K2225="","",INDEX(Zeiterfassung!$F$6:$F$3665,$K2225))</f>
        <v/>
      </c>
      <c r="G2225" s="187">
        <f>IF($K2225="","",INDEX(Zeiterfassung!$G$6:$G$3665,$K2225))</f>
        <v/>
      </c>
      <c r="H2225" s="188">
        <f>IF($K2225="","",INDEX(Zeiterfassung!$H$6:$H$3665,$K2225))</f>
        <v/>
      </c>
      <c r="I2225" s="335">
        <f>IF(B2225=B2224,"",IF($K2225="","",INDEX(Zeiterfassung!$I$6:$I$3665,MATCH(INDEX(Zeiterfassung!$K$6:$K$3665,$K2225),Zeiterfassung!$K$6:$K$3665,0))))</f>
        <v/>
      </c>
      <c r="J2225" s="335">
        <f>IF(B2225=B2224,"",IF($K2225="","",INDEX(Zeiterfassung!$J$6:$J$3665,MATCH(INDEX(Zeiterfassung!$K$6:$K$3665,$K2225),Zeiterfassung!$K$6:$K$3665,0))))</f>
        <v/>
      </c>
      <c r="K2225">
        <f>IFERROR(AGGREGATE(15,6,(ROW(Zeiterfassung!$D$6:$D$3665)-ROW(Zeiterfassung!$D$6)+1)/(Zeiterfassung!$D$6:$D$3665&lt;&gt;""),2220),"")</f>
        <v/>
      </c>
    </row>
    <row r="2226" ht="20" customHeight="1">
      <c r="A2226" s="183">
        <f>IF($K2226="","",WEEKNUM(INDEX(Zeiterfassung!$K$6:$K$3665,$K2226),21))</f>
        <v/>
      </c>
      <c r="B2226" s="184">
        <f>IF($K2226="","",INDEX(Zeiterfassung!$K$6:$K$3665,$K2226))</f>
        <v/>
      </c>
      <c r="C2226" s="185">
        <f>IF($K2226="","",INDEX(Zeiterfassung!$K$6:$K$3665,$K2226))</f>
        <v/>
      </c>
      <c r="D2226" s="186">
        <f>IF($K2226="","",INDEX(Zeiterfassung!$D$6:$D$3665,$K2226))</f>
        <v/>
      </c>
      <c r="E2226" s="186">
        <f>IF($K2226="","",INDEX(Zeiterfassung!$E$6:$E$3665,$K2226))</f>
        <v/>
      </c>
      <c r="F2226" s="187">
        <f>IF($K2226="","",INDEX(Zeiterfassung!$F$6:$F$3665,$K2226))</f>
        <v/>
      </c>
      <c r="G2226" s="187">
        <f>IF($K2226="","",INDEX(Zeiterfassung!$G$6:$G$3665,$K2226))</f>
        <v/>
      </c>
      <c r="H2226" s="188">
        <f>IF($K2226="","",INDEX(Zeiterfassung!$H$6:$H$3665,$K2226))</f>
        <v/>
      </c>
      <c r="I2226" s="335">
        <f>IF(B2226=B2225,"",IF($K2226="","",INDEX(Zeiterfassung!$I$6:$I$3665,MATCH(INDEX(Zeiterfassung!$K$6:$K$3665,$K2226),Zeiterfassung!$K$6:$K$3665,0))))</f>
        <v/>
      </c>
      <c r="J2226" s="335">
        <f>IF(B2226=B2225,"",IF($K2226="","",INDEX(Zeiterfassung!$J$6:$J$3665,MATCH(INDEX(Zeiterfassung!$K$6:$K$3665,$K2226),Zeiterfassung!$K$6:$K$3665,0))))</f>
        <v/>
      </c>
      <c r="K2226">
        <f>IFERROR(AGGREGATE(15,6,(ROW(Zeiterfassung!$D$6:$D$3665)-ROW(Zeiterfassung!$D$6)+1)/(Zeiterfassung!$D$6:$D$3665&lt;&gt;""),2221),"")</f>
        <v/>
      </c>
    </row>
    <row r="2227" ht="20" customHeight="1">
      <c r="A2227" s="183">
        <f>IF($K2227="","",WEEKNUM(INDEX(Zeiterfassung!$K$6:$K$3665,$K2227),21))</f>
        <v/>
      </c>
      <c r="B2227" s="184">
        <f>IF($K2227="","",INDEX(Zeiterfassung!$K$6:$K$3665,$K2227))</f>
        <v/>
      </c>
      <c r="C2227" s="185">
        <f>IF($K2227="","",INDEX(Zeiterfassung!$K$6:$K$3665,$K2227))</f>
        <v/>
      </c>
      <c r="D2227" s="186">
        <f>IF($K2227="","",INDEX(Zeiterfassung!$D$6:$D$3665,$K2227))</f>
        <v/>
      </c>
      <c r="E2227" s="186">
        <f>IF($K2227="","",INDEX(Zeiterfassung!$E$6:$E$3665,$K2227))</f>
        <v/>
      </c>
      <c r="F2227" s="187">
        <f>IF($K2227="","",INDEX(Zeiterfassung!$F$6:$F$3665,$K2227))</f>
        <v/>
      </c>
      <c r="G2227" s="187">
        <f>IF($K2227="","",INDEX(Zeiterfassung!$G$6:$G$3665,$K2227))</f>
        <v/>
      </c>
      <c r="H2227" s="188">
        <f>IF($K2227="","",INDEX(Zeiterfassung!$H$6:$H$3665,$K2227))</f>
        <v/>
      </c>
      <c r="I2227" s="335">
        <f>IF(B2227=B2226,"",IF($K2227="","",INDEX(Zeiterfassung!$I$6:$I$3665,MATCH(INDEX(Zeiterfassung!$K$6:$K$3665,$K2227),Zeiterfassung!$K$6:$K$3665,0))))</f>
        <v/>
      </c>
      <c r="J2227" s="335">
        <f>IF(B2227=B2226,"",IF($K2227="","",INDEX(Zeiterfassung!$J$6:$J$3665,MATCH(INDEX(Zeiterfassung!$K$6:$K$3665,$K2227),Zeiterfassung!$K$6:$K$3665,0))))</f>
        <v/>
      </c>
      <c r="K2227">
        <f>IFERROR(AGGREGATE(15,6,(ROW(Zeiterfassung!$D$6:$D$3665)-ROW(Zeiterfassung!$D$6)+1)/(Zeiterfassung!$D$6:$D$3665&lt;&gt;""),2222),"")</f>
        <v/>
      </c>
    </row>
    <row r="2228" ht="20" customHeight="1">
      <c r="A2228" s="183">
        <f>IF($K2228="","",WEEKNUM(INDEX(Zeiterfassung!$K$6:$K$3665,$K2228),21))</f>
        <v/>
      </c>
      <c r="B2228" s="184">
        <f>IF($K2228="","",INDEX(Zeiterfassung!$K$6:$K$3665,$K2228))</f>
        <v/>
      </c>
      <c r="C2228" s="185">
        <f>IF($K2228="","",INDEX(Zeiterfassung!$K$6:$K$3665,$K2228))</f>
        <v/>
      </c>
      <c r="D2228" s="186">
        <f>IF($K2228="","",INDEX(Zeiterfassung!$D$6:$D$3665,$K2228))</f>
        <v/>
      </c>
      <c r="E2228" s="186">
        <f>IF($K2228="","",INDEX(Zeiterfassung!$E$6:$E$3665,$K2228))</f>
        <v/>
      </c>
      <c r="F2228" s="187">
        <f>IF($K2228="","",INDEX(Zeiterfassung!$F$6:$F$3665,$K2228))</f>
        <v/>
      </c>
      <c r="G2228" s="187">
        <f>IF($K2228="","",INDEX(Zeiterfassung!$G$6:$G$3665,$K2228))</f>
        <v/>
      </c>
      <c r="H2228" s="188">
        <f>IF($K2228="","",INDEX(Zeiterfassung!$H$6:$H$3665,$K2228))</f>
        <v/>
      </c>
      <c r="I2228" s="335">
        <f>IF(B2228=B2227,"",IF($K2228="","",INDEX(Zeiterfassung!$I$6:$I$3665,MATCH(INDEX(Zeiterfassung!$K$6:$K$3665,$K2228),Zeiterfassung!$K$6:$K$3665,0))))</f>
        <v/>
      </c>
      <c r="J2228" s="335">
        <f>IF(B2228=B2227,"",IF($K2228="","",INDEX(Zeiterfassung!$J$6:$J$3665,MATCH(INDEX(Zeiterfassung!$K$6:$K$3665,$K2228),Zeiterfassung!$K$6:$K$3665,0))))</f>
        <v/>
      </c>
      <c r="K2228">
        <f>IFERROR(AGGREGATE(15,6,(ROW(Zeiterfassung!$D$6:$D$3665)-ROW(Zeiterfassung!$D$6)+1)/(Zeiterfassung!$D$6:$D$3665&lt;&gt;""),2223),"")</f>
        <v/>
      </c>
    </row>
    <row r="2229" ht="20" customHeight="1">
      <c r="A2229" s="183">
        <f>IF($K2229="","",WEEKNUM(INDEX(Zeiterfassung!$K$6:$K$3665,$K2229),21))</f>
        <v/>
      </c>
      <c r="B2229" s="184">
        <f>IF($K2229="","",INDEX(Zeiterfassung!$K$6:$K$3665,$K2229))</f>
        <v/>
      </c>
      <c r="C2229" s="185">
        <f>IF($K2229="","",INDEX(Zeiterfassung!$K$6:$K$3665,$K2229))</f>
        <v/>
      </c>
      <c r="D2229" s="186">
        <f>IF($K2229="","",INDEX(Zeiterfassung!$D$6:$D$3665,$K2229))</f>
        <v/>
      </c>
      <c r="E2229" s="186">
        <f>IF($K2229="","",INDEX(Zeiterfassung!$E$6:$E$3665,$K2229))</f>
        <v/>
      </c>
      <c r="F2229" s="187">
        <f>IF($K2229="","",INDEX(Zeiterfassung!$F$6:$F$3665,$K2229))</f>
        <v/>
      </c>
      <c r="G2229" s="187">
        <f>IF($K2229="","",INDEX(Zeiterfassung!$G$6:$G$3665,$K2229))</f>
        <v/>
      </c>
      <c r="H2229" s="188">
        <f>IF($K2229="","",INDEX(Zeiterfassung!$H$6:$H$3665,$K2229))</f>
        <v/>
      </c>
      <c r="I2229" s="335">
        <f>IF(B2229=B2228,"",IF($K2229="","",INDEX(Zeiterfassung!$I$6:$I$3665,MATCH(INDEX(Zeiterfassung!$K$6:$K$3665,$K2229),Zeiterfassung!$K$6:$K$3665,0))))</f>
        <v/>
      </c>
      <c r="J2229" s="335">
        <f>IF(B2229=B2228,"",IF($K2229="","",INDEX(Zeiterfassung!$J$6:$J$3665,MATCH(INDEX(Zeiterfassung!$K$6:$K$3665,$K2229),Zeiterfassung!$K$6:$K$3665,0))))</f>
        <v/>
      </c>
      <c r="K2229">
        <f>IFERROR(AGGREGATE(15,6,(ROW(Zeiterfassung!$D$6:$D$3665)-ROW(Zeiterfassung!$D$6)+1)/(Zeiterfassung!$D$6:$D$3665&lt;&gt;""),2224),"")</f>
        <v/>
      </c>
    </row>
    <row r="2230" ht="20" customHeight="1">
      <c r="A2230" s="183">
        <f>IF($K2230="","",WEEKNUM(INDEX(Zeiterfassung!$K$6:$K$3665,$K2230),21))</f>
        <v/>
      </c>
      <c r="B2230" s="184">
        <f>IF($K2230="","",INDEX(Zeiterfassung!$K$6:$K$3665,$K2230))</f>
        <v/>
      </c>
      <c r="C2230" s="185">
        <f>IF($K2230="","",INDEX(Zeiterfassung!$K$6:$K$3665,$K2230))</f>
        <v/>
      </c>
      <c r="D2230" s="186">
        <f>IF($K2230="","",INDEX(Zeiterfassung!$D$6:$D$3665,$K2230))</f>
        <v/>
      </c>
      <c r="E2230" s="186">
        <f>IF($K2230="","",INDEX(Zeiterfassung!$E$6:$E$3665,$K2230))</f>
        <v/>
      </c>
      <c r="F2230" s="187">
        <f>IF($K2230="","",INDEX(Zeiterfassung!$F$6:$F$3665,$K2230))</f>
        <v/>
      </c>
      <c r="G2230" s="187">
        <f>IF($K2230="","",INDEX(Zeiterfassung!$G$6:$G$3665,$K2230))</f>
        <v/>
      </c>
      <c r="H2230" s="188">
        <f>IF($K2230="","",INDEX(Zeiterfassung!$H$6:$H$3665,$K2230))</f>
        <v/>
      </c>
      <c r="I2230" s="335">
        <f>IF(B2230=B2229,"",IF($K2230="","",INDEX(Zeiterfassung!$I$6:$I$3665,MATCH(INDEX(Zeiterfassung!$K$6:$K$3665,$K2230),Zeiterfassung!$K$6:$K$3665,0))))</f>
        <v/>
      </c>
      <c r="J2230" s="335">
        <f>IF(B2230=B2229,"",IF($K2230="","",INDEX(Zeiterfassung!$J$6:$J$3665,MATCH(INDEX(Zeiterfassung!$K$6:$K$3665,$K2230),Zeiterfassung!$K$6:$K$3665,0))))</f>
        <v/>
      </c>
      <c r="K2230">
        <f>IFERROR(AGGREGATE(15,6,(ROW(Zeiterfassung!$D$6:$D$3665)-ROW(Zeiterfassung!$D$6)+1)/(Zeiterfassung!$D$6:$D$3665&lt;&gt;""),2225),"")</f>
        <v/>
      </c>
    </row>
    <row r="2231" ht="20" customHeight="1">
      <c r="A2231" s="183">
        <f>IF($K2231="","",WEEKNUM(INDEX(Zeiterfassung!$K$6:$K$3665,$K2231),21))</f>
        <v/>
      </c>
      <c r="B2231" s="184">
        <f>IF($K2231="","",INDEX(Zeiterfassung!$K$6:$K$3665,$K2231))</f>
        <v/>
      </c>
      <c r="C2231" s="185">
        <f>IF($K2231="","",INDEX(Zeiterfassung!$K$6:$K$3665,$K2231))</f>
        <v/>
      </c>
      <c r="D2231" s="186">
        <f>IF($K2231="","",INDEX(Zeiterfassung!$D$6:$D$3665,$K2231))</f>
        <v/>
      </c>
      <c r="E2231" s="186">
        <f>IF($K2231="","",INDEX(Zeiterfassung!$E$6:$E$3665,$K2231))</f>
        <v/>
      </c>
      <c r="F2231" s="187">
        <f>IF($K2231="","",INDEX(Zeiterfassung!$F$6:$F$3665,$K2231))</f>
        <v/>
      </c>
      <c r="G2231" s="187">
        <f>IF($K2231="","",INDEX(Zeiterfassung!$G$6:$G$3665,$K2231))</f>
        <v/>
      </c>
      <c r="H2231" s="188">
        <f>IF($K2231="","",INDEX(Zeiterfassung!$H$6:$H$3665,$K2231))</f>
        <v/>
      </c>
      <c r="I2231" s="335">
        <f>IF(B2231=B2230,"",IF($K2231="","",INDEX(Zeiterfassung!$I$6:$I$3665,MATCH(INDEX(Zeiterfassung!$K$6:$K$3665,$K2231),Zeiterfassung!$K$6:$K$3665,0))))</f>
        <v/>
      </c>
      <c r="J2231" s="335">
        <f>IF(B2231=B2230,"",IF($K2231="","",INDEX(Zeiterfassung!$J$6:$J$3665,MATCH(INDEX(Zeiterfassung!$K$6:$K$3665,$K2231),Zeiterfassung!$K$6:$K$3665,0))))</f>
        <v/>
      </c>
      <c r="K2231">
        <f>IFERROR(AGGREGATE(15,6,(ROW(Zeiterfassung!$D$6:$D$3665)-ROW(Zeiterfassung!$D$6)+1)/(Zeiterfassung!$D$6:$D$3665&lt;&gt;""),2226),"")</f>
        <v/>
      </c>
    </row>
    <row r="2232" ht="20" customHeight="1">
      <c r="A2232" s="183">
        <f>IF($K2232="","",WEEKNUM(INDEX(Zeiterfassung!$K$6:$K$3665,$K2232),21))</f>
        <v/>
      </c>
      <c r="B2232" s="184">
        <f>IF($K2232="","",INDEX(Zeiterfassung!$K$6:$K$3665,$K2232))</f>
        <v/>
      </c>
      <c r="C2232" s="185">
        <f>IF($K2232="","",INDEX(Zeiterfassung!$K$6:$K$3665,$K2232))</f>
        <v/>
      </c>
      <c r="D2232" s="186">
        <f>IF($K2232="","",INDEX(Zeiterfassung!$D$6:$D$3665,$K2232))</f>
        <v/>
      </c>
      <c r="E2232" s="186">
        <f>IF($K2232="","",INDEX(Zeiterfassung!$E$6:$E$3665,$K2232))</f>
        <v/>
      </c>
      <c r="F2232" s="187">
        <f>IF($K2232="","",INDEX(Zeiterfassung!$F$6:$F$3665,$K2232))</f>
        <v/>
      </c>
      <c r="G2232" s="187">
        <f>IF($K2232="","",INDEX(Zeiterfassung!$G$6:$G$3665,$K2232))</f>
        <v/>
      </c>
      <c r="H2232" s="188">
        <f>IF($K2232="","",INDEX(Zeiterfassung!$H$6:$H$3665,$K2232))</f>
        <v/>
      </c>
      <c r="I2232" s="335">
        <f>IF(B2232=B2231,"",IF($K2232="","",INDEX(Zeiterfassung!$I$6:$I$3665,MATCH(INDEX(Zeiterfassung!$K$6:$K$3665,$K2232),Zeiterfassung!$K$6:$K$3665,0))))</f>
        <v/>
      </c>
      <c r="J2232" s="335">
        <f>IF(B2232=B2231,"",IF($K2232="","",INDEX(Zeiterfassung!$J$6:$J$3665,MATCH(INDEX(Zeiterfassung!$K$6:$K$3665,$K2232),Zeiterfassung!$K$6:$K$3665,0))))</f>
        <v/>
      </c>
      <c r="K2232">
        <f>IFERROR(AGGREGATE(15,6,(ROW(Zeiterfassung!$D$6:$D$3665)-ROW(Zeiterfassung!$D$6)+1)/(Zeiterfassung!$D$6:$D$3665&lt;&gt;""),2227),"")</f>
        <v/>
      </c>
    </row>
    <row r="2233" ht="20" customHeight="1">
      <c r="A2233" s="183">
        <f>IF($K2233="","",WEEKNUM(INDEX(Zeiterfassung!$K$6:$K$3665,$K2233),21))</f>
        <v/>
      </c>
      <c r="B2233" s="184">
        <f>IF($K2233="","",INDEX(Zeiterfassung!$K$6:$K$3665,$K2233))</f>
        <v/>
      </c>
      <c r="C2233" s="185">
        <f>IF($K2233="","",INDEX(Zeiterfassung!$K$6:$K$3665,$K2233))</f>
        <v/>
      </c>
      <c r="D2233" s="186">
        <f>IF($K2233="","",INDEX(Zeiterfassung!$D$6:$D$3665,$K2233))</f>
        <v/>
      </c>
      <c r="E2233" s="186">
        <f>IF($K2233="","",INDEX(Zeiterfassung!$E$6:$E$3665,$K2233))</f>
        <v/>
      </c>
      <c r="F2233" s="187">
        <f>IF($K2233="","",INDEX(Zeiterfassung!$F$6:$F$3665,$K2233))</f>
        <v/>
      </c>
      <c r="G2233" s="187">
        <f>IF($K2233="","",INDEX(Zeiterfassung!$G$6:$G$3665,$K2233))</f>
        <v/>
      </c>
      <c r="H2233" s="188">
        <f>IF($K2233="","",INDEX(Zeiterfassung!$H$6:$H$3665,$K2233))</f>
        <v/>
      </c>
      <c r="I2233" s="335">
        <f>IF(B2233=B2232,"",IF($K2233="","",INDEX(Zeiterfassung!$I$6:$I$3665,MATCH(INDEX(Zeiterfassung!$K$6:$K$3665,$K2233),Zeiterfassung!$K$6:$K$3665,0))))</f>
        <v/>
      </c>
      <c r="J2233" s="335">
        <f>IF(B2233=B2232,"",IF($K2233="","",INDEX(Zeiterfassung!$J$6:$J$3665,MATCH(INDEX(Zeiterfassung!$K$6:$K$3665,$K2233),Zeiterfassung!$K$6:$K$3665,0))))</f>
        <v/>
      </c>
      <c r="K2233">
        <f>IFERROR(AGGREGATE(15,6,(ROW(Zeiterfassung!$D$6:$D$3665)-ROW(Zeiterfassung!$D$6)+1)/(Zeiterfassung!$D$6:$D$3665&lt;&gt;""),2228),"")</f>
        <v/>
      </c>
    </row>
    <row r="2234" ht="20" customHeight="1">
      <c r="A2234" s="183">
        <f>IF($K2234="","",WEEKNUM(INDEX(Zeiterfassung!$K$6:$K$3665,$K2234),21))</f>
        <v/>
      </c>
      <c r="B2234" s="184">
        <f>IF($K2234="","",INDEX(Zeiterfassung!$K$6:$K$3665,$K2234))</f>
        <v/>
      </c>
      <c r="C2234" s="185">
        <f>IF($K2234="","",INDEX(Zeiterfassung!$K$6:$K$3665,$K2234))</f>
        <v/>
      </c>
      <c r="D2234" s="186">
        <f>IF($K2234="","",INDEX(Zeiterfassung!$D$6:$D$3665,$K2234))</f>
        <v/>
      </c>
      <c r="E2234" s="186">
        <f>IF($K2234="","",INDEX(Zeiterfassung!$E$6:$E$3665,$K2234))</f>
        <v/>
      </c>
      <c r="F2234" s="187">
        <f>IF($K2234="","",INDEX(Zeiterfassung!$F$6:$F$3665,$K2234))</f>
        <v/>
      </c>
      <c r="G2234" s="187">
        <f>IF($K2234="","",INDEX(Zeiterfassung!$G$6:$G$3665,$K2234))</f>
        <v/>
      </c>
      <c r="H2234" s="188">
        <f>IF($K2234="","",INDEX(Zeiterfassung!$H$6:$H$3665,$K2234))</f>
        <v/>
      </c>
      <c r="I2234" s="335">
        <f>IF(B2234=B2233,"",IF($K2234="","",INDEX(Zeiterfassung!$I$6:$I$3665,MATCH(INDEX(Zeiterfassung!$K$6:$K$3665,$K2234),Zeiterfassung!$K$6:$K$3665,0))))</f>
        <v/>
      </c>
      <c r="J2234" s="335">
        <f>IF(B2234=B2233,"",IF($K2234="","",INDEX(Zeiterfassung!$J$6:$J$3665,MATCH(INDEX(Zeiterfassung!$K$6:$K$3665,$K2234),Zeiterfassung!$K$6:$K$3665,0))))</f>
        <v/>
      </c>
      <c r="K2234">
        <f>IFERROR(AGGREGATE(15,6,(ROW(Zeiterfassung!$D$6:$D$3665)-ROW(Zeiterfassung!$D$6)+1)/(Zeiterfassung!$D$6:$D$3665&lt;&gt;""),2229),"")</f>
        <v/>
      </c>
    </row>
    <row r="2235" ht="20" customHeight="1">
      <c r="A2235" s="183">
        <f>IF($K2235="","",WEEKNUM(INDEX(Zeiterfassung!$K$6:$K$3665,$K2235),21))</f>
        <v/>
      </c>
      <c r="B2235" s="184">
        <f>IF($K2235="","",INDEX(Zeiterfassung!$K$6:$K$3665,$K2235))</f>
        <v/>
      </c>
      <c r="C2235" s="185">
        <f>IF($K2235="","",INDEX(Zeiterfassung!$K$6:$K$3665,$K2235))</f>
        <v/>
      </c>
      <c r="D2235" s="186">
        <f>IF($K2235="","",INDEX(Zeiterfassung!$D$6:$D$3665,$K2235))</f>
        <v/>
      </c>
      <c r="E2235" s="186">
        <f>IF($K2235="","",INDEX(Zeiterfassung!$E$6:$E$3665,$K2235))</f>
        <v/>
      </c>
      <c r="F2235" s="187">
        <f>IF($K2235="","",INDEX(Zeiterfassung!$F$6:$F$3665,$K2235))</f>
        <v/>
      </c>
      <c r="G2235" s="187">
        <f>IF($K2235="","",INDEX(Zeiterfassung!$G$6:$G$3665,$K2235))</f>
        <v/>
      </c>
      <c r="H2235" s="188">
        <f>IF($K2235="","",INDEX(Zeiterfassung!$H$6:$H$3665,$K2235))</f>
        <v/>
      </c>
      <c r="I2235" s="335">
        <f>IF(B2235=B2234,"",IF($K2235="","",INDEX(Zeiterfassung!$I$6:$I$3665,MATCH(INDEX(Zeiterfassung!$K$6:$K$3665,$K2235),Zeiterfassung!$K$6:$K$3665,0))))</f>
        <v/>
      </c>
      <c r="J2235" s="335">
        <f>IF(B2235=B2234,"",IF($K2235="","",INDEX(Zeiterfassung!$J$6:$J$3665,MATCH(INDEX(Zeiterfassung!$K$6:$K$3665,$K2235),Zeiterfassung!$K$6:$K$3665,0))))</f>
        <v/>
      </c>
      <c r="K2235">
        <f>IFERROR(AGGREGATE(15,6,(ROW(Zeiterfassung!$D$6:$D$3665)-ROW(Zeiterfassung!$D$6)+1)/(Zeiterfassung!$D$6:$D$3665&lt;&gt;""),2230),"")</f>
        <v/>
      </c>
    </row>
    <row r="2236" ht="20" customHeight="1">
      <c r="A2236" s="183">
        <f>IF($K2236="","",WEEKNUM(INDEX(Zeiterfassung!$K$6:$K$3665,$K2236),21))</f>
        <v/>
      </c>
      <c r="B2236" s="184">
        <f>IF($K2236="","",INDEX(Zeiterfassung!$K$6:$K$3665,$K2236))</f>
        <v/>
      </c>
      <c r="C2236" s="185">
        <f>IF($K2236="","",INDEX(Zeiterfassung!$K$6:$K$3665,$K2236))</f>
        <v/>
      </c>
      <c r="D2236" s="186">
        <f>IF($K2236="","",INDEX(Zeiterfassung!$D$6:$D$3665,$K2236))</f>
        <v/>
      </c>
      <c r="E2236" s="186">
        <f>IF($K2236="","",INDEX(Zeiterfassung!$E$6:$E$3665,$K2236))</f>
        <v/>
      </c>
      <c r="F2236" s="187">
        <f>IF($K2236="","",INDEX(Zeiterfassung!$F$6:$F$3665,$K2236))</f>
        <v/>
      </c>
      <c r="G2236" s="187">
        <f>IF($K2236="","",INDEX(Zeiterfassung!$G$6:$G$3665,$K2236))</f>
        <v/>
      </c>
      <c r="H2236" s="188">
        <f>IF($K2236="","",INDEX(Zeiterfassung!$H$6:$H$3665,$K2236))</f>
        <v/>
      </c>
      <c r="I2236" s="335">
        <f>IF(B2236=B2235,"",IF($K2236="","",INDEX(Zeiterfassung!$I$6:$I$3665,MATCH(INDEX(Zeiterfassung!$K$6:$K$3665,$K2236),Zeiterfassung!$K$6:$K$3665,0))))</f>
        <v/>
      </c>
      <c r="J2236" s="335">
        <f>IF(B2236=B2235,"",IF($K2236="","",INDEX(Zeiterfassung!$J$6:$J$3665,MATCH(INDEX(Zeiterfassung!$K$6:$K$3665,$K2236),Zeiterfassung!$K$6:$K$3665,0))))</f>
        <v/>
      </c>
      <c r="K2236">
        <f>IFERROR(AGGREGATE(15,6,(ROW(Zeiterfassung!$D$6:$D$3665)-ROW(Zeiterfassung!$D$6)+1)/(Zeiterfassung!$D$6:$D$3665&lt;&gt;""),2231),"")</f>
        <v/>
      </c>
    </row>
    <row r="2237" ht="20" customHeight="1">
      <c r="A2237" s="183">
        <f>IF($K2237="","",WEEKNUM(INDEX(Zeiterfassung!$K$6:$K$3665,$K2237),21))</f>
        <v/>
      </c>
      <c r="B2237" s="184">
        <f>IF($K2237="","",INDEX(Zeiterfassung!$K$6:$K$3665,$K2237))</f>
        <v/>
      </c>
      <c r="C2237" s="185">
        <f>IF($K2237="","",INDEX(Zeiterfassung!$K$6:$K$3665,$K2237))</f>
        <v/>
      </c>
      <c r="D2237" s="186">
        <f>IF($K2237="","",INDEX(Zeiterfassung!$D$6:$D$3665,$K2237))</f>
        <v/>
      </c>
      <c r="E2237" s="186">
        <f>IF($K2237="","",INDEX(Zeiterfassung!$E$6:$E$3665,$K2237))</f>
        <v/>
      </c>
      <c r="F2237" s="187">
        <f>IF($K2237="","",INDEX(Zeiterfassung!$F$6:$F$3665,$K2237))</f>
        <v/>
      </c>
      <c r="G2237" s="187">
        <f>IF($K2237="","",INDEX(Zeiterfassung!$G$6:$G$3665,$K2237))</f>
        <v/>
      </c>
      <c r="H2237" s="188">
        <f>IF($K2237="","",INDEX(Zeiterfassung!$H$6:$H$3665,$K2237))</f>
        <v/>
      </c>
      <c r="I2237" s="335">
        <f>IF(B2237=B2236,"",IF($K2237="","",INDEX(Zeiterfassung!$I$6:$I$3665,MATCH(INDEX(Zeiterfassung!$K$6:$K$3665,$K2237),Zeiterfassung!$K$6:$K$3665,0))))</f>
        <v/>
      </c>
      <c r="J2237" s="335">
        <f>IF(B2237=B2236,"",IF($K2237="","",INDEX(Zeiterfassung!$J$6:$J$3665,MATCH(INDEX(Zeiterfassung!$K$6:$K$3665,$K2237),Zeiterfassung!$K$6:$K$3665,0))))</f>
        <v/>
      </c>
      <c r="K2237">
        <f>IFERROR(AGGREGATE(15,6,(ROW(Zeiterfassung!$D$6:$D$3665)-ROW(Zeiterfassung!$D$6)+1)/(Zeiterfassung!$D$6:$D$3665&lt;&gt;""),2232),"")</f>
        <v/>
      </c>
    </row>
    <row r="2238" ht="20" customHeight="1">
      <c r="A2238" s="183">
        <f>IF($K2238="","",WEEKNUM(INDEX(Zeiterfassung!$K$6:$K$3665,$K2238),21))</f>
        <v/>
      </c>
      <c r="B2238" s="184">
        <f>IF($K2238="","",INDEX(Zeiterfassung!$K$6:$K$3665,$K2238))</f>
        <v/>
      </c>
      <c r="C2238" s="185">
        <f>IF($K2238="","",INDEX(Zeiterfassung!$K$6:$K$3665,$K2238))</f>
        <v/>
      </c>
      <c r="D2238" s="186">
        <f>IF($K2238="","",INDEX(Zeiterfassung!$D$6:$D$3665,$K2238))</f>
        <v/>
      </c>
      <c r="E2238" s="186">
        <f>IF($K2238="","",INDEX(Zeiterfassung!$E$6:$E$3665,$K2238))</f>
        <v/>
      </c>
      <c r="F2238" s="187">
        <f>IF($K2238="","",INDEX(Zeiterfassung!$F$6:$F$3665,$K2238))</f>
        <v/>
      </c>
      <c r="G2238" s="187">
        <f>IF($K2238="","",INDEX(Zeiterfassung!$G$6:$G$3665,$K2238))</f>
        <v/>
      </c>
      <c r="H2238" s="188">
        <f>IF($K2238="","",INDEX(Zeiterfassung!$H$6:$H$3665,$K2238))</f>
        <v/>
      </c>
      <c r="I2238" s="335">
        <f>IF(B2238=B2237,"",IF($K2238="","",INDEX(Zeiterfassung!$I$6:$I$3665,MATCH(INDEX(Zeiterfassung!$K$6:$K$3665,$K2238),Zeiterfassung!$K$6:$K$3665,0))))</f>
        <v/>
      </c>
      <c r="J2238" s="335">
        <f>IF(B2238=B2237,"",IF($K2238="","",INDEX(Zeiterfassung!$J$6:$J$3665,MATCH(INDEX(Zeiterfassung!$K$6:$K$3665,$K2238),Zeiterfassung!$K$6:$K$3665,0))))</f>
        <v/>
      </c>
      <c r="K2238">
        <f>IFERROR(AGGREGATE(15,6,(ROW(Zeiterfassung!$D$6:$D$3665)-ROW(Zeiterfassung!$D$6)+1)/(Zeiterfassung!$D$6:$D$3665&lt;&gt;""),2233),"")</f>
        <v/>
      </c>
    </row>
    <row r="2239" ht="20" customHeight="1">
      <c r="A2239" s="183">
        <f>IF($K2239="","",WEEKNUM(INDEX(Zeiterfassung!$K$6:$K$3665,$K2239),21))</f>
        <v/>
      </c>
      <c r="B2239" s="184">
        <f>IF($K2239="","",INDEX(Zeiterfassung!$K$6:$K$3665,$K2239))</f>
        <v/>
      </c>
      <c r="C2239" s="185">
        <f>IF($K2239="","",INDEX(Zeiterfassung!$K$6:$K$3665,$K2239))</f>
        <v/>
      </c>
      <c r="D2239" s="186">
        <f>IF($K2239="","",INDEX(Zeiterfassung!$D$6:$D$3665,$K2239))</f>
        <v/>
      </c>
      <c r="E2239" s="186">
        <f>IF($K2239="","",INDEX(Zeiterfassung!$E$6:$E$3665,$K2239))</f>
        <v/>
      </c>
      <c r="F2239" s="187">
        <f>IF($K2239="","",INDEX(Zeiterfassung!$F$6:$F$3665,$K2239))</f>
        <v/>
      </c>
      <c r="G2239" s="187">
        <f>IF($K2239="","",INDEX(Zeiterfassung!$G$6:$G$3665,$K2239))</f>
        <v/>
      </c>
      <c r="H2239" s="188">
        <f>IF($K2239="","",INDEX(Zeiterfassung!$H$6:$H$3665,$K2239))</f>
        <v/>
      </c>
      <c r="I2239" s="335">
        <f>IF(B2239=B2238,"",IF($K2239="","",INDEX(Zeiterfassung!$I$6:$I$3665,MATCH(INDEX(Zeiterfassung!$K$6:$K$3665,$K2239),Zeiterfassung!$K$6:$K$3665,0))))</f>
        <v/>
      </c>
      <c r="J2239" s="335">
        <f>IF(B2239=B2238,"",IF($K2239="","",INDEX(Zeiterfassung!$J$6:$J$3665,MATCH(INDEX(Zeiterfassung!$K$6:$K$3665,$K2239),Zeiterfassung!$K$6:$K$3665,0))))</f>
        <v/>
      </c>
      <c r="K2239">
        <f>IFERROR(AGGREGATE(15,6,(ROW(Zeiterfassung!$D$6:$D$3665)-ROW(Zeiterfassung!$D$6)+1)/(Zeiterfassung!$D$6:$D$3665&lt;&gt;""),2234),"")</f>
        <v/>
      </c>
    </row>
    <row r="2240" ht="20" customHeight="1">
      <c r="A2240" s="183">
        <f>IF($K2240="","",WEEKNUM(INDEX(Zeiterfassung!$K$6:$K$3665,$K2240),21))</f>
        <v/>
      </c>
      <c r="B2240" s="184">
        <f>IF($K2240="","",INDEX(Zeiterfassung!$K$6:$K$3665,$K2240))</f>
        <v/>
      </c>
      <c r="C2240" s="185">
        <f>IF($K2240="","",INDEX(Zeiterfassung!$K$6:$K$3665,$K2240))</f>
        <v/>
      </c>
      <c r="D2240" s="186">
        <f>IF($K2240="","",INDEX(Zeiterfassung!$D$6:$D$3665,$K2240))</f>
        <v/>
      </c>
      <c r="E2240" s="186">
        <f>IF($K2240="","",INDEX(Zeiterfassung!$E$6:$E$3665,$K2240))</f>
        <v/>
      </c>
      <c r="F2240" s="187">
        <f>IF($K2240="","",INDEX(Zeiterfassung!$F$6:$F$3665,$K2240))</f>
        <v/>
      </c>
      <c r="G2240" s="187">
        <f>IF($K2240="","",INDEX(Zeiterfassung!$G$6:$G$3665,$K2240))</f>
        <v/>
      </c>
      <c r="H2240" s="188">
        <f>IF($K2240="","",INDEX(Zeiterfassung!$H$6:$H$3665,$K2240))</f>
        <v/>
      </c>
      <c r="I2240" s="335">
        <f>IF(B2240=B2239,"",IF($K2240="","",INDEX(Zeiterfassung!$I$6:$I$3665,MATCH(INDEX(Zeiterfassung!$K$6:$K$3665,$K2240),Zeiterfassung!$K$6:$K$3665,0))))</f>
        <v/>
      </c>
      <c r="J2240" s="335">
        <f>IF(B2240=B2239,"",IF($K2240="","",INDEX(Zeiterfassung!$J$6:$J$3665,MATCH(INDEX(Zeiterfassung!$K$6:$K$3665,$K2240),Zeiterfassung!$K$6:$K$3665,0))))</f>
        <v/>
      </c>
      <c r="K2240">
        <f>IFERROR(AGGREGATE(15,6,(ROW(Zeiterfassung!$D$6:$D$3665)-ROW(Zeiterfassung!$D$6)+1)/(Zeiterfassung!$D$6:$D$3665&lt;&gt;""),2235),"")</f>
        <v/>
      </c>
    </row>
    <row r="2241" ht="20" customHeight="1">
      <c r="A2241" s="183">
        <f>IF($K2241="","",WEEKNUM(INDEX(Zeiterfassung!$K$6:$K$3665,$K2241),21))</f>
        <v/>
      </c>
      <c r="B2241" s="184">
        <f>IF($K2241="","",INDEX(Zeiterfassung!$K$6:$K$3665,$K2241))</f>
        <v/>
      </c>
      <c r="C2241" s="185">
        <f>IF($K2241="","",INDEX(Zeiterfassung!$K$6:$K$3665,$K2241))</f>
        <v/>
      </c>
      <c r="D2241" s="186">
        <f>IF($K2241="","",INDEX(Zeiterfassung!$D$6:$D$3665,$K2241))</f>
        <v/>
      </c>
      <c r="E2241" s="186">
        <f>IF($K2241="","",INDEX(Zeiterfassung!$E$6:$E$3665,$K2241))</f>
        <v/>
      </c>
      <c r="F2241" s="187">
        <f>IF($K2241="","",INDEX(Zeiterfassung!$F$6:$F$3665,$K2241))</f>
        <v/>
      </c>
      <c r="G2241" s="187">
        <f>IF($K2241="","",INDEX(Zeiterfassung!$G$6:$G$3665,$K2241))</f>
        <v/>
      </c>
      <c r="H2241" s="188">
        <f>IF($K2241="","",INDEX(Zeiterfassung!$H$6:$H$3665,$K2241))</f>
        <v/>
      </c>
      <c r="I2241" s="335">
        <f>IF(B2241=B2240,"",IF($K2241="","",INDEX(Zeiterfassung!$I$6:$I$3665,MATCH(INDEX(Zeiterfassung!$K$6:$K$3665,$K2241),Zeiterfassung!$K$6:$K$3665,0))))</f>
        <v/>
      </c>
      <c r="J2241" s="335">
        <f>IF(B2241=B2240,"",IF($K2241="","",INDEX(Zeiterfassung!$J$6:$J$3665,MATCH(INDEX(Zeiterfassung!$K$6:$K$3665,$K2241),Zeiterfassung!$K$6:$K$3665,0))))</f>
        <v/>
      </c>
      <c r="K2241">
        <f>IFERROR(AGGREGATE(15,6,(ROW(Zeiterfassung!$D$6:$D$3665)-ROW(Zeiterfassung!$D$6)+1)/(Zeiterfassung!$D$6:$D$3665&lt;&gt;""),2236),"")</f>
        <v/>
      </c>
    </row>
    <row r="2242" ht="20" customHeight="1">
      <c r="A2242" s="183">
        <f>IF($K2242="","",WEEKNUM(INDEX(Zeiterfassung!$K$6:$K$3665,$K2242),21))</f>
        <v/>
      </c>
      <c r="B2242" s="184">
        <f>IF($K2242="","",INDEX(Zeiterfassung!$K$6:$K$3665,$K2242))</f>
        <v/>
      </c>
      <c r="C2242" s="185">
        <f>IF($K2242="","",INDEX(Zeiterfassung!$K$6:$K$3665,$K2242))</f>
        <v/>
      </c>
      <c r="D2242" s="186">
        <f>IF($K2242="","",INDEX(Zeiterfassung!$D$6:$D$3665,$K2242))</f>
        <v/>
      </c>
      <c r="E2242" s="186">
        <f>IF($K2242="","",INDEX(Zeiterfassung!$E$6:$E$3665,$K2242))</f>
        <v/>
      </c>
      <c r="F2242" s="187">
        <f>IF($K2242="","",INDEX(Zeiterfassung!$F$6:$F$3665,$K2242))</f>
        <v/>
      </c>
      <c r="G2242" s="187">
        <f>IF($K2242="","",INDEX(Zeiterfassung!$G$6:$G$3665,$K2242))</f>
        <v/>
      </c>
      <c r="H2242" s="188">
        <f>IF($K2242="","",INDEX(Zeiterfassung!$H$6:$H$3665,$K2242))</f>
        <v/>
      </c>
      <c r="I2242" s="335">
        <f>IF(B2242=B2241,"",IF($K2242="","",INDEX(Zeiterfassung!$I$6:$I$3665,MATCH(INDEX(Zeiterfassung!$K$6:$K$3665,$K2242),Zeiterfassung!$K$6:$K$3665,0))))</f>
        <v/>
      </c>
      <c r="J2242" s="335">
        <f>IF(B2242=B2241,"",IF($K2242="","",INDEX(Zeiterfassung!$J$6:$J$3665,MATCH(INDEX(Zeiterfassung!$K$6:$K$3665,$K2242),Zeiterfassung!$K$6:$K$3665,0))))</f>
        <v/>
      </c>
      <c r="K2242">
        <f>IFERROR(AGGREGATE(15,6,(ROW(Zeiterfassung!$D$6:$D$3665)-ROW(Zeiterfassung!$D$6)+1)/(Zeiterfassung!$D$6:$D$3665&lt;&gt;""),2237),"")</f>
        <v/>
      </c>
    </row>
    <row r="2243" ht="20" customHeight="1">
      <c r="A2243" s="183">
        <f>IF($K2243="","",WEEKNUM(INDEX(Zeiterfassung!$K$6:$K$3665,$K2243),21))</f>
        <v/>
      </c>
      <c r="B2243" s="184">
        <f>IF($K2243="","",INDEX(Zeiterfassung!$K$6:$K$3665,$K2243))</f>
        <v/>
      </c>
      <c r="C2243" s="185">
        <f>IF($K2243="","",INDEX(Zeiterfassung!$K$6:$K$3665,$K2243))</f>
        <v/>
      </c>
      <c r="D2243" s="186">
        <f>IF($K2243="","",INDEX(Zeiterfassung!$D$6:$D$3665,$K2243))</f>
        <v/>
      </c>
      <c r="E2243" s="186">
        <f>IF($K2243="","",INDEX(Zeiterfassung!$E$6:$E$3665,$K2243))</f>
        <v/>
      </c>
      <c r="F2243" s="187">
        <f>IF($K2243="","",INDEX(Zeiterfassung!$F$6:$F$3665,$K2243))</f>
        <v/>
      </c>
      <c r="G2243" s="187">
        <f>IF($K2243="","",INDEX(Zeiterfassung!$G$6:$G$3665,$K2243))</f>
        <v/>
      </c>
      <c r="H2243" s="188">
        <f>IF($K2243="","",INDEX(Zeiterfassung!$H$6:$H$3665,$K2243))</f>
        <v/>
      </c>
      <c r="I2243" s="335">
        <f>IF(B2243=B2242,"",IF($K2243="","",INDEX(Zeiterfassung!$I$6:$I$3665,MATCH(INDEX(Zeiterfassung!$K$6:$K$3665,$K2243),Zeiterfassung!$K$6:$K$3665,0))))</f>
        <v/>
      </c>
      <c r="J2243" s="335">
        <f>IF(B2243=B2242,"",IF($K2243="","",INDEX(Zeiterfassung!$J$6:$J$3665,MATCH(INDEX(Zeiterfassung!$K$6:$K$3665,$K2243),Zeiterfassung!$K$6:$K$3665,0))))</f>
        <v/>
      </c>
      <c r="K2243">
        <f>IFERROR(AGGREGATE(15,6,(ROW(Zeiterfassung!$D$6:$D$3665)-ROW(Zeiterfassung!$D$6)+1)/(Zeiterfassung!$D$6:$D$3665&lt;&gt;""),2238),"")</f>
        <v/>
      </c>
    </row>
    <row r="2244" ht="20" customHeight="1">
      <c r="A2244" s="183">
        <f>IF($K2244="","",WEEKNUM(INDEX(Zeiterfassung!$K$6:$K$3665,$K2244),21))</f>
        <v/>
      </c>
      <c r="B2244" s="184">
        <f>IF($K2244="","",INDEX(Zeiterfassung!$K$6:$K$3665,$K2244))</f>
        <v/>
      </c>
      <c r="C2244" s="185">
        <f>IF($K2244="","",INDEX(Zeiterfassung!$K$6:$K$3665,$K2244))</f>
        <v/>
      </c>
      <c r="D2244" s="186">
        <f>IF($K2244="","",INDEX(Zeiterfassung!$D$6:$D$3665,$K2244))</f>
        <v/>
      </c>
      <c r="E2244" s="186">
        <f>IF($K2244="","",INDEX(Zeiterfassung!$E$6:$E$3665,$K2244))</f>
        <v/>
      </c>
      <c r="F2244" s="187">
        <f>IF($K2244="","",INDEX(Zeiterfassung!$F$6:$F$3665,$K2244))</f>
        <v/>
      </c>
      <c r="G2244" s="187">
        <f>IF($K2244="","",INDEX(Zeiterfassung!$G$6:$G$3665,$K2244))</f>
        <v/>
      </c>
      <c r="H2244" s="188">
        <f>IF($K2244="","",INDEX(Zeiterfassung!$H$6:$H$3665,$K2244))</f>
        <v/>
      </c>
      <c r="I2244" s="335">
        <f>IF(B2244=B2243,"",IF($K2244="","",INDEX(Zeiterfassung!$I$6:$I$3665,MATCH(INDEX(Zeiterfassung!$K$6:$K$3665,$K2244),Zeiterfassung!$K$6:$K$3665,0))))</f>
        <v/>
      </c>
      <c r="J2244" s="335">
        <f>IF(B2244=B2243,"",IF($K2244="","",INDEX(Zeiterfassung!$J$6:$J$3665,MATCH(INDEX(Zeiterfassung!$K$6:$K$3665,$K2244),Zeiterfassung!$K$6:$K$3665,0))))</f>
        <v/>
      </c>
      <c r="K2244">
        <f>IFERROR(AGGREGATE(15,6,(ROW(Zeiterfassung!$D$6:$D$3665)-ROW(Zeiterfassung!$D$6)+1)/(Zeiterfassung!$D$6:$D$3665&lt;&gt;""),2239),"")</f>
        <v/>
      </c>
    </row>
    <row r="2245" ht="20" customHeight="1">
      <c r="A2245" s="183">
        <f>IF($K2245="","",WEEKNUM(INDEX(Zeiterfassung!$K$6:$K$3665,$K2245),21))</f>
        <v/>
      </c>
      <c r="B2245" s="184">
        <f>IF($K2245="","",INDEX(Zeiterfassung!$K$6:$K$3665,$K2245))</f>
        <v/>
      </c>
      <c r="C2245" s="185">
        <f>IF($K2245="","",INDEX(Zeiterfassung!$K$6:$K$3665,$K2245))</f>
        <v/>
      </c>
      <c r="D2245" s="186">
        <f>IF($K2245="","",INDEX(Zeiterfassung!$D$6:$D$3665,$K2245))</f>
        <v/>
      </c>
      <c r="E2245" s="186">
        <f>IF($K2245="","",INDEX(Zeiterfassung!$E$6:$E$3665,$K2245))</f>
        <v/>
      </c>
      <c r="F2245" s="187">
        <f>IF($K2245="","",INDEX(Zeiterfassung!$F$6:$F$3665,$K2245))</f>
        <v/>
      </c>
      <c r="G2245" s="187">
        <f>IF($K2245="","",INDEX(Zeiterfassung!$G$6:$G$3665,$K2245))</f>
        <v/>
      </c>
      <c r="H2245" s="188">
        <f>IF($K2245="","",INDEX(Zeiterfassung!$H$6:$H$3665,$K2245))</f>
        <v/>
      </c>
      <c r="I2245" s="335">
        <f>IF(B2245=B2244,"",IF($K2245="","",INDEX(Zeiterfassung!$I$6:$I$3665,MATCH(INDEX(Zeiterfassung!$K$6:$K$3665,$K2245),Zeiterfassung!$K$6:$K$3665,0))))</f>
        <v/>
      </c>
      <c r="J2245" s="335">
        <f>IF(B2245=B2244,"",IF($K2245="","",INDEX(Zeiterfassung!$J$6:$J$3665,MATCH(INDEX(Zeiterfassung!$K$6:$K$3665,$K2245),Zeiterfassung!$K$6:$K$3665,0))))</f>
        <v/>
      </c>
      <c r="K2245">
        <f>IFERROR(AGGREGATE(15,6,(ROW(Zeiterfassung!$D$6:$D$3665)-ROW(Zeiterfassung!$D$6)+1)/(Zeiterfassung!$D$6:$D$3665&lt;&gt;""),2240),"")</f>
        <v/>
      </c>
    </row>
    <row r="2246" ht="20" customHeight="1">
      <c r="A2246" s="183">
        <f>IF($K2246="","",WEEKNUM(INDEX(Zeiterfassung!$K$6:$K$3665,$K2246),21))</f>
        <v/>
      </c>
      <c r="B2246" s="184">
        <f>IF($K2246="","",INDEX(Zeiterfassung!$K$6:$K$3665,$K2246))</f>
        <v/>
      </c>
      <c r="C2246" s="185">
        <f>IF($K2246="","",INDEX(Zeiterfassung!$K$6:$K$3665,$K2246))</f>
        <v/>
      </c>
      <c r="D2246" s="186">
        <f>IF($K2246="","",INDEX(Zeiterfassung!$D$6:$D$3665,$K2246))</f>
        <v/>
      </c>
      <c r="E2246" s="186">
        <f>IF($K2246="","",INDEX(Zeiterfassung!$E$6:$E$3665,$K2246))</f>
        <v/>
      </c>
      <c r="F2246" s="187">
        <f>IF($K2246="","",INDEX(Zeiterfassung!$F$6:$F$3665,$K2246))</f>
        <v/>
      </c>
      <c r="G2246" s="187">
        <f>IF($K2246="","",INDEX(Zeiterfassung!$G$6:$G$3665,$K2246))</f>
        <v/>
      </c>
      <c r="H2246" s="188">
        <f>IF($K2246="","",INDEX(Zeiterfassung!$H$6:$H$3665,$K2246))</f>
        <v/>
      </c>
      <c r="I2246" s="335">
        <f>IF(B2246=B2245,"",IF($K2246="","",INDEX(Zeiterfassung!$I$6:$I$3665,MATCH(INDEX(Zeiterfassung!$K$6:$K$3665,$K2246),Zeiterfassung!$K$6:$K$3665,0))))</f>
        <v/>
      </c>
      <c r="J2246" s="335">
        <f>IF(B2246=B2245,"",IF($K2246="","",INDEX(Zeiterfassung!$J$6:$J$3665,MATCH(INDEX(Zeiterfassung!$K$6:$K$3665,$K2246),Zeiterfassung!$K$6:$K$3665,0))))</f>
        <v/>
      </c>
      <c r="K2246">
        <f>IFERROR(AGGREGATE(15,6,(ROW(Zeiterfassung!$D$6:$D$3665)-ROW(Zeiterfassung!$D$6)+1)/(Zeiterfassung!$D$6:$D$3665&lt;&gt;""),2241),"")</f>
        <v/>
      </c>
    </row>
    <row r="2247" ht="20" customHeight="1">
      <c r="A2247" s="183">
        <f>IF($K2247="","",WEEKNUM(INDEX(Zeiterfassung!$K$6:$K$3665,$K2247),21))</f>
        <v/>
      </c>
      <c r="B2247" s="184">
        <f>IF($K2247="","",INDEX(Zeiterfassung!$K$6:$K$3665,$K2247))</f>
        <v/>
      </c>
      <c r="C2247" s="185">
        <f>IF($K2247="","",INDEX(Zeiterfassung!$K$6:$K$3665,$K2247))</f>
        <v/>
      </c>
      <c r="D2247" s="186">
        <f>IF($K2247="","",INDEX(Zeiterfassung!$D$6:$D$3665,$K2247))</f>
        <v/>
      </c>
      <c r="E2247" s="186">
        <f>IF($K2247="","",INDEX(Zeiterfassung!$E$6:$E$3665,$K2247))</f>
        <v/>
      </c>
      <c r="F2247" s="187">
        <f>IF($K2247="","",INDEX(Zeiterfassung!$F$6:$F$3665,$K2247))</f>
        <v/>
      </c>
      <c r="G2247" s="187">
        <f>IF($K2247="","",INDEX(Zeiterfassung!$G$6:$G$3665,$K2247))</f>
        <v/>
      </c>
      <c r="H2247" s="188">
        <f>IF($K2247="","",INDEX(Zeiterfassung!$H$6:$H$3665,$K2247))</f>
        <v/>
      </c>
      <c r="I2247" s="335">
        <f>IF(B2247=B2246,"",IF($K2247="","",INDEX(Zeiterfassung!$I$6:$I$3665,MATCH(INDEX(Zeiterfassung!$K$6:$K$3665,$K2247),Zeiterfassung!$K$6:$K$3665,0))))</f>
        <v/>
      </c>
      <c r="J2247" s="335">
        <f>IF(B2247=B2246,"",IF($K2247="","",INDEX(Zeiterfassung!$J$6:$J$3665,MATCH(INDEX(Zeiterfassung!$K$6:$K$3665,$K2247),Zeiterfassung!$K$6:$K$3665,0))))</f>
        <v/>
      </c>
      <c r="K2247">
        <f>IFERROR(AGGREGATE(15,6,(ROW(Zeiterfassung!$D$6:$D$3665)-ROW(Zeiterfassung!$D$6)+1)/(Zeiterfassung!$D$6:$D$3665&lt;&gt;""),2242),"")</f>
        <v/>
      </c>
    </row>
    <row r="2248" ht="20" customHeight="1">
      <c r="A2248" s="183">
        <f>IF($K2248="","",WEEKNUM(INDEX(Zeiterfassung!$K$6:$K$3665,$K2248),21))</f>
        <v/>
      </c>
      <c r="B2248" s="184">
        <f>IF($K2248="","",INDEX(Zeiterfassung!$K$6:$K$3665,$K2248))</f>
        <v/>
      </c>
      <c r="C2248" s="185">
        <f>IF($K2248="","",INDEX(Zeiterfassung!$K$6:$K$3665,$K2248))</f>
        <v/>
      </c>
      <c r="D2248" s="186">
        <f>IF($K2248="","",INDEX(Zeiterfassung!$D$6:$D$3665,$K2248))</f>
        <v/>
      </c>
      <c r="E2248" s="186">
        <f>IF($K2248="","",INDEX(Zeiterfassung!$E$6:$E$3665,$K2248))</f>
        <v/>
      </c>
      <c r="F2248" s="187">
        <f>IF($K2248="","",INDEX(Zeiterfassung!$F$6:$F$3665,$K2248))</f>
        <v/>
      </c>
      <c r="G2248" s="187">
        <f>IF($K2248="","",INDEX(Zeiterfassung!$G$6:$G$3665,$K2248))</f>
        <v/>
      </c>
      <c r="H2248" s="188">
        <f>IF($K2248="","",INDEX(Zeiterfassung!$H$6:$H$3665,$K2248))</f>
        <v/>
      </c>
      <c r="I2248" s="335">
        <f>IF(B2248=B2247,"",IF($K2248="","",INDEX(Zeiterfassung!$I$6:$I$3665,MATCH(INDEX(Zeiterfassung!$K$6:$K$3665,$K2248),Zeiterfassung!$K$6:$K$3665,0))))</f>
        <v/>
      </c>
      <c r="J2248" s="335">
        <f>IF(B2248=B2247,"",IF($K2248="","",INDEX(Zeiterfassung!$J$6:$J$3665,MATCH(INDEX(Zeiterfassung!$K$6:$K$3665,$K2248),Zeiterfassung!$K$6:$K$3665,0))))</f>
        <v/>
      </c>
      <c r="K2248">
        <f>IFERROR(AGGREGATE(15,6,(ROW(Zeiterfassung!$D$6:$D$3665)-ROW(Zeiterfassung!$D$6)+1)/(Zeiterfassung!$D$6:$D$3665&lt;&gt;""),2243),"")</f>
        <v/>
      </c>
    </row>
    <row r="2249" ht="20" customHeight="1">
      <c r="A2249" s="183">
        <f>IF($K2249="","",WEEKNUM(INDEX(Zeiterfassung!$K$6:$K$3665,$K2249),21))</f>
        <v/>
      </c>
      <c r="B2249" s="184">
        <f>IF($K2249="","",INDEX(Zeiterfassung!$K$6:$K$3665,$K2249))</f>
        <v/>
      </c>
      <c r="C2249" s="185">
        <f>IF($K2249="","",INDEX(Zeiterfassung!$K$6:$K$3665,$K2249))</f>
        <v/>
      </c>
      <c r="D2249" s="186">
        <f>IF($K2249="","",INDEX(Zeiterfassung!$D$6:$D$3665,$K2249))</f>
        <v/>
      </c>
      <c r="E2249" s="186">
        <f>IF($K2249="","",INDEX(Zeiterfassung!$E$6:$E$3665,$K2249))</f>
        <v/>
      </c>
      <c r="F2249" s="187">
        <f>IF($K2249="","",INDEX(Zeiterfassung!$F$6:$F$3665,$K2249))</f>
        <v/>
      </c>
      <c r="G2249" s="187">
        <f>IF($K2249="","",INDEX(Zeiterfassung!$G$6:$G$3665,$K2249))</f>
        <v/>
      </c>
      <c r="H2249" s="188">
        <f>IF($K2249="","",INDEX(Zeiterfassung!$H$6:$H$3665,$K2249))</f>
        <v/>
      </c>
      <c r="I2249" s="335">
        <f>IF(B2249=B2248,"",IF($K2249="","",INDEX(Zeiterfassung!$I$6:$I$3665,MATCH(INDEX(Zeiterfassung!$K$6:$K$3665,$K2249),Zeiterfassung!$K$6:$K$3665,0))))</f>
        <v/>
      </c>
      <c r="J2249" s="335">
        <f>IF(B2249=B2248,"",IF($K2249="","",INDEX(Zeiterfassung!$J$6:$J$3665,MATCH(INDEX(Zeiterfassung!$K$6:$K$3665,$K2249),Zeiterfassung!$K$6:$K$3665,0))))</f>
        <v/>
      </c>
      <c r="K2249">
        <f>IFERROR(AGGREGATE(15,6,(ROW(Zeiterfassung!$D$6:$D$3665)-ROW(Zeiterfassung!$D$6)+1)/(Zeiterfassung!$D$6:$D$3665&lt;&gt;""),2244),"")</f>
        <v/>
      </c>
    </row>
    <row r="2250" ht="20" customHeight="1">
      <c r="A2250" s="183">
        <f>IF($K2250="","",WEEKNUM(INDEX(Zeiterfassung!$K$6:$K$3665,$K2250),21))</f>
        <v/>
      </c>
      <c r="B2250" s="184">
        <f>IF($K2250="","",INDEX(Zeiterfassung!$K$6:$K$3665,$K2250))</f>
        <v/>
      </c>
      <c r="C2250" s="185">
        <f>IF($K2250="","",INDEX(Zeiterfassung!$K$6:$K$3665,$K2250))</f>
        <v/>
      </c>
      <c r="D2250" s="186">
        <f>IF($K2250="","",INDEX(Zeiterfassung!$D$6:$D$3665,$K2250))</f>
        <v/>
      </c>
      <c r="E2250" s="186">
        <f>IF($K2250="","",INDEX(Zeiterfassung!$E$6:$E$3665,$K2250))</f>
        <v/>
      </c>
      <c r="F2250" s="187">
        <f>IF($K2250="","",INDEX(Zeiterfassung!$F$6:$F$3665,$K2250))</f>
        <v/>
      </c>
      <c r="G2250" s="187">
        <f>IF($K2250="","",INDEX(Zeiterfassung!$G$6:$G$3665,$K2250))</f>
        <v/>
      </c>
      <c r="H2250" s="188">
        <f>IF($K2250="","",INDEX(Zeiterfassung!$H$6:$H$3665,$K2250))</f>
        <v/>
      </c>
      <c r="I2250" s="335">
        <f>IF(B2250=B2249,"",IF($K2250="","",INDEX(Zeiterfassung!$I$6:$I$3665,MATCH(INDEX(Zeiterfassung!$K$6:$K$3665,$K2250),Zeiterfassung!$K$6:$K$3665,0))))</f>
        <v/>
      </c>
      <c r="J2250" s="335">
        <f>IF(B2250=B2249,"",IF($K2250="","",INDEX(Zeiterfassung!$J$6:$J$3665,MATCH(INDEX(Zeiterfassung!$K$6:$K$3665,$K2250),Zeiterfassung!$K$6:$K$3665,0))))</f>
        <v/>
      </c>
      <c r="K2250">
        <f>IFERROR(AGGREGATE(15,6,(ROW(Zeiterfassung!$D$6:$D$3665)-ROW(Zeiterfassung!$D$6)+1)/(Zeiterfassung!$D$6:$D$3665&lt;&gt;""),2245),"")</f>
        <v/>
      </c>
    </row>
    <row r="2251" ht="20" customHeight="1">
      <c r="A2251" s="183">
        <f>IF($K2251="","",WEEKNUM(INDEX(Zeiterfassung!$K$6:$K$3665,$K2251),21))</f>
        <v/>
      </c>
      <c r="B2251" s="184">
        <f>IF($K2251="","",INDEX(Zeiterfassung!$K$6:$K$3665,$K2251))</f>
        <v/>
      </c>
      <c r="C2251" s="185">
        <f>IF($K2251="","",INDEX(Zeiterfassung!$K$6:$K$3665,$K2251))</f>
        <v/>
      </c>
      <c r="D2251" s="186">
        <f>IF($K2251="","",INDEX(Zeiterfassung!$D$6:$D$3665,$K2251))</f>
        <v/>
      </c>
      <c r="E2251" s="186">
        <f>IF($K2251="","",INDEX(Zeiterfassung!$E$6:$E$3665,$K2251))</f>
        <v/>
      </c>
      <c r="F2251" s="187">
        <f>IF($K2251="","",INDEX(Zeiterfassung!$F$6:$F$3665,$K2251))</f>
        <v/>
      </c>
      <c r="G2251" s="187">
        <f>IF($K2251="","",INDEX(Zeiterfassung!$G$6:$G$3665,$K2251))</f>
        <v/>
      </c>
      <c r="H2251" s="188">
        <f>IF($K2251="","",INDEX(Zeiterfassung!$H$6:$H$3665,$K2251))</f>
        <v/>
      </c>
      <c r="I2251" s="335">
        <f>IF(B2251=B2250,"",IF($K2251="","",INDEX(Zeiterfassung!$I$6:$I$3665,MATCH(INDEX(Zeiterfassung!$K$6:$K$3665,$K2251),Zeiterfassung!$K$6:$K$3665,0))))</f>
        <v/>
      </c>
      <c r="J2251" s="335">
        <f>IF(B2251=B2250,"",IF($K2251="","",INDEX(Zeiterfassung!$J$6:$J$3665,MATCH(INDEX(Zeiterfassung!$K$6:$K$3665,$K2251),Zeiterfassung!$K$6:$K$3665,0))))</f>
        <v/>
      </c>
      <c r="K2251">
        <f>IFERROR(AGGREGATE(15,6,(ROW(Zeiterfassung!$D$6:$D$3665)-ROW(Zeiterfassung!$D$6)+1)/(Zeiterfassung!$D$6:$D$3665&lt;&gt;""),2246),"")</f>
        <v/>
      </c>
    </row>
    <row r="2252" ht="20" customHeight="1">
      <c r="A2252" s="183">
        <f>IF($K2252="","",WEEKNUM(INDEX(Zeiterfassung!$K$6:$K$3665,$K2252),21))</f>
        <v/>
      </c>
      <c r="B2252" s="184">
        <f>IF($K2252="","",INDEX(Zeiterfassung!$K$6:$K$3665,$K2252))</f>
        <v/>
      </c>
      <c r="C2252" s="185">
        <f>IF($K2252="","",INDEX(Zeiterfassung!$K$6:$K$3665,$K2252))</f>
        <v/>
      </c>
      <c r="D2252" s="186">
        <f>IF($K2252="","",INDEX(Zeiterfassung!$D$6:$D$3665,$K2252))</f>
        <v/>
      </c>
      <c r="E2252" s="186">
        <f>IF($K2252="","",INDEX(Zeiterfassung!$E$6:$E$3665,$K2252))</f>
        <v/>
      </c>
      <c r="F2252" s="187">
        <f>IF($K2252="","",INDEX(Zeiterfassung!$F$6:$F$3665,$K2252))</f>
        <v/>
      </c>
      <c r="G2252" s="187">
        <f>IF($K2252="","",INDEX(Zeiterfassung!$G$6:$G$3665,$K2252))</f>
        <v/>
      </c>
      <c r="H2252" s="188">
        <f>IF($K2252="","",INDEX(Zeiterfassung!$H$6:$H$3665,$K2252))</f>
        <v/>
      </c>
      <c r="I2252" s="335">
        <f>IF(B2252=B2251,"",IF($K2252="","",INDEX(Zeiterfassung!$I$6:$I$3665,MATCH(INDEX(Zeiterfassung!$K$6:$K$3665,$K2252),Zeiterfassung!$K$6:$K$3665,0))))</f>
        <v/>
      </c>
      <c r="J2252" s="335">
        <f>IF(B2252=B2251,"",IF($K2252="","",INDEX(Zeiterfassung!$J$6:$J$3665,MATCH(INDEX(Zeiterfassung!$K$6:$K$3665,$K2252),Zeiterfassung!$K$6:$K$3665,0))))</f>
        <v/>
      </c>
      <c r="K2252">
        <f>IFERROR(AGGREGATE(15,6,(ROW(Zeiterfassung!$D$6:$D$3665)-ROW(Zeiterfassung!$D$6)+1)/(Zeiterfassung!$D$6:$D$3665&lt;&gt;""),2247),"")</f>
        <v/>
      </c>
    </row>
    <row r="2253" ht="20" customHeight="1">
      <c r="A2253" s="183">
        <f>IF($K2253="","",WEEKNUM(INDEX(Zeiterfassung!$K$6:$K$3665,$K2253),21))</f>
        <v/>
      </c>
      <c r="B2253" s="184">
        <f>IF($K2253="","",INDEX(Zeiterfassung!$K$6:$K$3665,$K2253))</f>
        <v/>
      </c>
      <c r="C2253" s="185">
        <f>IF($K2253="","",INDEX(Zeiterfassung!$K$6:$K$3665,$K2253))</f>
        <v/>
      </c>
      <c r="D2253" s="186">
        <f>IF($K2253="","",INDEX(Zeiterfassung!$D$6:$D$3665,$K2253))</f>
        <v/>
      </c>
      <c r="E2253" s="186">
        <f>IF($K2253="","",INDEX(Zeiterfassung!$E$6:$E$3665,$K2253))</f>
        <v/>
      </c>
      <c r="F2253" s="187">
        <f>IF($K2253="","",INDEX(Zeiterfassung!$F$6:$F$3665,$K2253))</f>
        <v/>
      </c>
      <c r="G2253" s="187">
        <f>IF($K2253="","",INDEX(Zeiterfassung!$G$6:$G$3665,$K2253))</f>
        <v/>
      </c>
      <c r="H2253" s="188">
        <f>IF($K2253="","",INDEX(Zeiterfassung!$H$6:$H$3665,$K2253))</f>
        <v/>
      </c>
      <c r="I2253" s="335">
        <f>IF(B2253=B2252,"",IF($K2253="","",INDEX(Zeiterfassung!$I$6:$I$3665,MATCH(INDEX(Zeiterfassung!$K$6:$K$3665,$K2253),Zeiterfassung!$K$6:$K$3665,0))))</f>
        <v/>
      </c>
      <c r="J2253" s="335">
        <f>IF(B2253=B2252,"",IF($K2253="","",INDEX(Zeiterfassung!$J$6:$J$3665,MATCH(INDEX(Zeiterfassung!$K$6:$K$3665,$K2253),Zeiterfassung!$K$6:$K$3665,0))))</f>
        <v/>
      </c>
      <c r="K2253">
        <f>IFERROR(AGGREGATE(15,6,(ROW(Zeiterfassung!$D$6:$D$3665)-ROW(Zeiterfassung!$D$6)+1)/(Zeiterfassung!$D$6:$D$3665&lt;&gt;""),2248),"")</f>
        <v/>
      </c>
    </row>
    <row r="2254" ht="20" customHeight="1">
      <c r="A2254" s="183">
        <f>IF($K2254="","",WEEKNUM(INDEX(Zeiterfassung!$K$6:$K$3665,$K2254),21))</f>
        <v/>
      </c>
      <c r="B2254" s="184">
        <f>IF($K2254="","",INDEX(Zeiterfassung!$K$6:$K$3665,$K2254))</f>
        <v/>
      </c>
      <c r="C2254" s="185">
        <f>IF($K2254="","",INDEX(Zeiterfassung!$K$6:$K$3665,$K2254))</f>
        <v/>
      </c>
      <c r="D2254" s="186">
        <f>IF($K2254="","",INDEX(Zeiterfassung!$D$6:$D$3665,$K2254))</f>
        <v/>
      </c>
      <c r="E2254" s="186">
        <f>IF($K2254="","",INDEX(Zeiterfassung!$E$6:$E$3665,$K2254))</f>
        <v/>
      </c>
      <c r="F2254" s="187">
        <f>IF($K2254="","",INDEX(Zeiterfassung!$F$6:$F$3665,$K2254))</f>
        <v/>
      </c>
      <c r="G2254" s="187">
        <f>IF($K2254="","",INDEX(Zeiterfassung!$G$6:$G$3665,$K2254))</f>
        <v/>
      </c>
      <c r="H2254" s="188">
        <f>IF($K2254="","",INDEX(Zeiterfassung!$H$6:$H$3665,$K2254))</f>
        <v/>
      </c>
      <c r="I2254" s="335">
        <f>IF(B2254=B2253,"",IF($K2254="","",INDEX(Zeiterfassung!$I$6:$I$3665,MATCH(INDEX(Zeiterfassung!$K$6:$K$3665,$K2254),Zeiterfassung!$K$6:$K$3665,0))))</f>
        <v/>
      </c>
      <c r="J2254" s="335">
        <f>IF(B2254=B2253,"",IF($K2254="","",INDEX(Zeiterfassung!$J$6:$J$3665,MATCH(INDEX(Zeiterfassung!$K$6:$K$3665,$K2254),Zeiterfassung!$K$6:$K$3665,0))))</f>
        <v/>
      </c>
      <c r="K2254">
        <f>IFERROR(AGGREGATE(15,6,(ROW(Zeiterfassung!$D$6:$D$3665)-ROW(Zeiterfassung!$D$6)+1)/(Zeiterfassung!$D$6:$D$3665&lt;&gt;""),2249),"")</f>
        <v/>
      </c>
    </row>
    <row r="2255" ht="20" customHeight="1">
      <c r="A2255" s="183">
        <f>IF($K2255="","",WEEKNUM(INDEX(Zeiterfassung!$K$6:$K$3665,$K2255),21))</f>
        <v/>
      </c>
      <c r="B2255" s="184">
        <f>IF($K2255="","",INDEX(Zeiterfassung!$K$6:$K$3665,$K2255))</f>
        <v/>
      </c>
      <c r="C2255" s="185">
        <f>IF($K2255="","",INDEX(Zeiterfassung!$K$6:$K$3665,$K2255))</f>
        <v/>
      </c>
      <c r="D2255" s="186">
        <f>IF($K2255="","",INDEX(Zeiterfassung!$D$6:$D$3665,$K2255))</f>
        <v/>
      </c>
      <c r="E2255" s="186">
        <f>IF($K2255="","",INDEX(Zeiterfassung!$E$6:$E$3665,$K2255))</f>
        <v/>
      </c>
      <c r="F2255" s="187">
        <f>IF($K2255="","",INDEX(Zeiterfassung!$F$6:$F$3665,$K2255))</f>
        <v/>
      </c>
      <c r="G2255" s="187">
        <f>IF($K2255="","",INDEX(Zeiterfassung!$G$6:$G$3665,$K2255))</f>
        <v/>
      </c>
      <c r="H2255" s="188">
        <f>IF($K2255="","",INDEX(Zeiterfassung!$H$6:$H$3665,$K2255))</f>
        <v/>
      </c>
      <c r="I2255" s="335">
        <f>IF(B2255=B2254,"",IF($K2255="","",INDEX(Zeiterfassung!$I$6:$I$3665,MATCH(INDEX(Zeiterfassung!$K$6:$K$3665,$K2255),Zeiterfassung!$K$6:$K$3665,0))))</f>
        <v/>
      </c>
      <c r="J2255" s="335">
        <f>IF(B2255=B2254,"",IF($K2255="","",INDEX(Zeiterfassung!$J$6:$J$3665,MATCH(INDEX(Zeiterfassung!$K$6:$K$3665,$K2255),Zeiterfassung!$K$6:$K$3665,0))))</f>
        <v/>
      </c>
      <c r="K2255">
        <f>IFERROR(AGGREGATE(15,6,(ROW(Zeiterfassung!$D$6:$D$3665)-ROW(Zeiterfassung!$D$6)+1)/(Zeiterfassung!$D$6:$D$3665&lt;&gt;""),2250),"")</f>
        <v/>
      </c>
    </row>
    <row r="2256" ht="20" customHeight="1">
      <c r="A2256" s="183">
        <f>IF($K2256="","",WEEKNUM(INDEX(Zeiterfassung!$K$6:$K$3665,$K2256),21))</f>
        <v/>
      </c>
      <c r="B2256" s="184">
        <f>IF($K2256="","",INDEX(Zeiterfassung!$K$6:$K$3665,$K2256))</f>
        <v/>
      </c>
      <c r="C2256" s="185">
        <f>IF($K2256="","",INDEX(Zeiterfassung!$K$6:$K$3665,$K2256))</f>
        <v/>
      </c>
      <c r="D2256" s="186">
        <f>IF($K2256="","",INDEX(Zeiterfassung!$D$6:$D$3665,$K2256))</f>
        <v/>
      </c>
      <c r="E2256" s="186">
        <f>IF($K2256="","",INDEX(Zeiterfassung!$E$6:$E$3665,$K2256))</f>
        <v/>
      </c>
      <c r="F2256" s="187">
        <f>IF($K2256="","",INDEX(Zeiterfassung!$F$6:$F$3665,$K2256))</f>
        <v/>
      </c>
      <c r="G2256" s="187">
        <f>IF($K2256="","",INDEX(Zeiterfassung!$G$6:$G$3665,$K2256))</f>
        <v/>
      </c>
      <c r="H2256" s="188">
        <f>IF($K2256="","",INDEX(Zeiterfassung!$H$6:$H$3665,$K2256))</f>
        <v/>
      </c>
      <c r="I2256" s="335">
        <f>IF(B2256=B2255,"",IF($K2256="","",INDEX(Zeiterfassung!$I$6:$I$3665,MATCH(INDEX(Zeiterfassung!$K$6:$K$3665,$K2256),Zeiterfassung!$K$6:$K$3665,0))))</f>
        <v/>
      </c>
      <c r="J2256" s="335">
        <f>IF(B2256=B2255,"",IF($K2256="","",INDEX(Zeiterfassung!$J$6:$J$3665,MATCH(INDEX(Zeiterfassung!$K$6:$K$3665,$K2256),Zeiterfassung!$K$6:$K$3665,0))))</f>
        <v/>
      </c>
      <c r="K2256">
        <f>IFERROR(AGGREGATE(15,6,(ROW(Zeiterfassung!$D$6:$D$3665)-ROW(Zeiterfassung!$D$6)+1)/(Zeiterfassung!$D$6:$D$3665&lt;&gt;""),2251),"")</f>
        <v/>
      </c>
    </row>
    <row r="2257" ht="20" customHeight="1">
      <c r="A2257" s="183">
        <f>IF($K2257="","",WEEKNUM(INDEX(Zeiterfassung!$K$6:$K$3665,$K2257),21))</f>
        <v/>
      </c>
      <c r="B2257" s="184">
        <f>IF($K2257="","",INDEX(Zeiterfassung!$K$6:$K$3665,$K2257))</f>
        <v/>
      </c>
      <c r="C2257" s="185">
        <f>IF($K2257="","",INDEX(Zeiterfassung!$K$6:$K$3665,$K2257))</f>
        <v/>
      </c>
      <c r="D2257" s="186">
        <f>IF($K2257="","",INDEX(Zeiterfassung!$D$6:$D$3665,$K2257))</f>
        <v/>
      </c>
      <c r="E2257" s="186">
        <f>IF($K2257="","",INDEX(Zeiterfassung!$E$6:$E$3665,$K2257))</f>
        <v/>
      </c>
      <c r="F2257" s="187">
        <f>IF($K2257="","",INDEX(Zeiterfassung!$F$6:$F$3665,$K2257))</f>
        <v/>
      </c>
      <c r="G2257" s="187">
        <f>IF($K2257="","",INDEX(Zeiterfassung!$G$6:$G$3665,$K2257))</f>
        <v/>
      </c>
      <c r="H2257" s="188">
        <f>IF($K2257="","",INDEX(Zeiterfassung!$H$6:$H$3665,$K2257))</f>
        <v/>
      </c>
      <c r="I2257" s="335">
        <f>IF(B2257=B2256,"",IF($K2257="","",INDEX(Zeiterfassung!$I$6:$I$3665,MATCH(INDEX(Zeiterfassung!$K$6:$K$3665,$K2257),Zeiterfassung!$K$6:$K$3665,0))))</f>
        <v/>
      </c>
      <c r="J2257" s="335">
        <f>IF(B2257=B2256,"",IF($K2257="","",INDEX(Zeiterfassung!$J$6:$J$3665,MATCH(INDEX(Zeiterfassung!$K$6:$K$3665,$K2257),Zeiterfassung!$K$6:$K$3665,0))))</f>
        <v/>
      </c>
      <c r="K2257">
        <f>IFERROR(AGGREGATE(15,6,(ROW(Zeiterfassung!$D$6:$D$3665)-ROW(Zeiterfassung!$D$6)+1)/(Zeiterfassung!$D$6:$D$3665&lt;&gt;""),2252),"")</f>
        <v/>
      </c>
    </row>
    <row r="2258" ht="20" customHeight="1">
      <c r="A2258" s="183">
        <f>IF($K2258="","",WEEKNUM(INDEX(Zeiterfassung!$K$6:$K$3665,$K2258),21))</f>
        <v/>
      </c>
      <c r="B2258" s="184">
        <f>IF($K2258="","",INDEX(Zeiterfassung!$K$6:$K$3665,$K2258))</f>
        <v/>
      </c>
      <c r="C2258" s="185">
        <f>IF($K2258="","",INDEX(Zeiterfassung!$K$6:$K$3665,$K2258))</f>
        <v/>
      </c>
      <c r="D2258" s="186">
        <f>IF($K2258="","",INDEX(Zeiterfassung!$D$6:$D$3665,$K2258))</f>
        <v/>
      </c>
      <c r="E2258" s="186">
        <f>IF($K2258="","",INDEX(Zeiterfassung!$E$6:$E$3665,$K2258))</f>
        <v/>
      </c>
      <c r="F2258" s="187">
        <f>IF($K2258="","",INDEX(Zeiterfassung!$F$6:$F$3665,$K2258))</f>
        <v/>
      </c>
      <c r="G2258" s="187">
        <f>IF($K2258="","",INDEX(Zeiterfassung!$G$6:$G$3665,$K2258))</f>
        <v/>
      </c>
      <c r="H2258" s="188">
        <f>IF($K2258="","",INDEX(Zeiterfassung!$H$6:$H$3665,$K2258))</f>
        <v/>
      </c>
      <c r="I2258" s="335">
        <f>IF(B2258=B2257,"",IF($K2258="","",INDEX(Zeiterfassung!$I$6:$I$3665,MATCH(INDEX(Zeiterfassung!$K$6:$K$3665,$K2258),Zeiterfassung!$K$6:$K$3665,0))))</f>
        <v/>
      </c>
      <c r="J2258" s="335">
        <f>IF(B2258=B2257,"",IF($K2258="","",INDEX(Zeiterfassung!$J$6:$J$3665,MATCH(INDEX(Zeiterfassung!$K$6:$K$3665,$K2258),Zeiterfassung!$K$6:$K$3665,0))))</f>
        <v/>
      </c>
      <c r="K2258">
        <f>IFERROR(AGGREGATE(15,6,(ROW(Zeiterfassung!$D$6:$D$3665)-ROW(Zeiterfassung!$D$6)+1)/(Zeiterfassung!$D$6:$D$3665&lt;&gt;""),2253),"")</f>
        <v/>
      </c>
    </row>
    <row r="2259" ht="20" customHeight="1">
      <c r="A2259" s="183">
        <f>IF($K2259="","",WEEKNUM(INDEX(Zeiterfassung!$K$6:$K$3665,$K2259),21))</f>
        <v/>
      </c>
      <c r="B2259" s="184">
        <f>IF($K2259="","",INDEX(Zeiterfassung!$K$6:$K$3665,$K2259))</f>
        <v/>
      </c>
      <c r="C2259" s="185">
        <f>IF($K2259="","",INDEX(Zeiterfassung!$K$6:$K$3665,$K2259))</f>
        <v/>
      </c>
      <c r="D2259" s="186">
        <f>IF($K2259="","",INDEX(Zeiterfassung!$D$6:$D$3665,$K2259))</f>
        <v/>
      </c>
      <c r="E2259" s="186">
        <f>IF($K2259="","",INDEX(Zeiterfassung!$E$6:$E$3665,$K2259))</f>
        <v/>
      </c>
      <c r="F2259" s="187">
        <f>IF($K2259="","",INDEX(Zeiterfassung!$F$6:$F$3665,$K2259))</f>
        <v/>
      </c>
      <c r="G2259" s="187">
        <f>IF($K2259="","",INDEX(Zeiterfassung!$G$6:$G$3665,$K2259))</f>
        <v/>
      </c>
      <c r="H2259" s="188">
        <f>IF($K2259="","",INDEX(Zeiterfassung!$H$6:$H$3665,$K2259))</f>
        <v/>
      </c>
      <c r="I2259" s="335">
        <f>IF(B2259=B2258,"",IF($K2259="","",INDEX(Zeiterfassung!$I$6:$I$3665,MATCH(INDEX(Zeiterfassung!$K$6:$K$3665,$K2259),Zeiterfassung!$K$6:$K$3665,0))))</f>
        <v/>
      </c>
      <c r="J2259" s="335">
        <f>IF(B2259=B2258,"",IF($K2259="","",INDEX(Zeiterfassung!$J$6:$J$3665,MATCH(INDEX(Zeiterfassung!$K$6:$K$3665,$K2259),Zeiterfassung!$K$6:$K$3665,0))))</f>
        <v/>
      </c>
      <c r="K2259">
        <f>IFERROR(AGGREGATE(15,6,(ROW(Zeiterfassung!$D$6:$D$3665)-ROW(Zeiterfassung!$D$6)+1)/(Zeiterfassung!$D$6:$D$3665&lt;&gt;""),2254),"")</f>
        <v/>
      </c>
    </row>
    <row r="2260" ht="20" customHeight="1">
      <c r="A2260" s="183">
        <f>IF($K2260="","",WEEKNUM(INDEX(Zeiterfassung!$K$6:$K$3665,$K2260),21))</f>
        <v/>
      </c>
      <c r="B2260" s="184">
        <f>IF($K2260="","",INDEX(Zeiterfassung!$K$6:$K$3665,$K2260))</f>
        <v/>
      </c>
      <c r="C2260" s="185">
        <f>IF($K2260="","",INDEX(Zeiterfassung!$K$6:$K$3665,$K2260))</f>
        <v/>
      </c>
      <c r="D2260" s="186">
        <f>IF($K2260="","",INDEX(Zeiterfassung!$D$6:$D$3665,$K2260))</f>
        <v/>
      </c>
      <c r="E2260" s="186">
        <f>IF($K2260="","",INDEX(Zeiterfassung!$E$6:$E$3665,$K2260))</f>
        <v/>
      </c>
      <c r="F2260" s="187">
        <f>IF($K2260="","",INDEX(Zeiterfassung!$F$6:$F$3665,$K2260))</f>
        <v/>
      </c>
      <c r="G2260" s="187">
        <f>IF($K2260="","",INDEX(Zeiterfassung!$G$6:$G$3665,$K2260))</f>
        <v/>
      </c>
      <c r="H2260" s="188">
        <f>IF($K2260="","",INDEX(Zeiterfassung!$H$6:$H$3665,$K2260))</f>
        <v/>
      </c>
      <c r="I2260" s="335">
        <f>IF(B2260=B2259,"",IF($K2260="","",INDEX(Zeiterfassung!$I$6:$I$3665,MATCH(INDEX(Zeiterfassung!$K$6:$K$3665,$K2260),Zeiterfassung!$K$6:$K$3665,0))))</f>
        <v/>
      </c>
      <c r="J2260" s="335">
        <f>IF(B2260=B2259,"",IF($K2260="","",INDEX(Zeiterfassung!$J$6:$J$3665,MATCH(INDEX(Zeiterfassung!$K$6:$K$3665,$K2260),Zeiterfassung!$K$6:$K$3665,0))))</f>
        <v/>
      </c>
      <c r="K2260">
        <f>IFERROR(AGGREGATE(15,6,(ROW(Zeiterfassung!$D$6:$D$3665)-ROW(Zeiterfassung!$D$6)+1)/(Zeiterfassung!$D$6:$D$3665&lt;&gt;""),2255),"")</f>
        <v/>
      </c>
    </row>
    <row r="2261" ht="20" customHeight="1">
      <c r="A2261" s="183">
        <f>IF($K2261="","",WEEKNUM(INDEX(Zeiterfassung!$K$6:$K$3665,$K2261),21))</f>
        <v/>
      </c>
      <c r="B2261" s="184">
        <f>IF($K2261="","",INDEX(Zeiterfassung!$K$6:$K$3665,$K2261))</f>
        <v/>
      </c>
      <c r="C2261" s="185">
        <f>IF($K2261="","",INDEX(Zeiterfassung!$K$6:$K$3665,$K2261))</f>
        <v/>
      </c>
      <c r="D2261" s="186">
        <f>IF($K2261="","",INDEX(Zeiterfassung!$D$6:$D$3665,$K2261))</f>
        <v/>
      </c>
      <c r="E2261" s="186">
        <f>IF($K2261="","",INDEX(Zeiterfassung!$E$6:$E$3665,$K2261))</f>
        <v/>
      </c>
      <c r="F2261" s="187">
        <f>IF($K2261="","",INDEX(Zeiterfassung!$F$6:$F$3665,$K2261))</f>
        <v/>
      </c>
      <c r="G2261" s="187">
        <f>IF($K2261="","",INDEX(Zeiterfassung!$G$6:$G$3665,$K2261))</f>
        <v/>
      </c>
      <c r="H2261" s="188">
        <f>IF($K2261="","",INDEX(Zeiterfassung!$H$6:$H$3665,$K2261))</f>
        <v/>
      </c>
      <c r="I2261" s="335">
        <f>IF(B2261=B2260,"",IF($K2261="","",INDEX(Zeiterfassung!$I$6:$I$3665,MATCH(INDEX(Zeiterfassung!$K$6:$K$3665,$K2261),Zeiterfassung!$K$6:$K$3665,0))))</f>
        <v/>
      </c>
      <c r="J2261" s="335">
        <f>IF(B2261=B2260,"",IF($K2261="","",INDEX(Zeiterfassung!$J$6:$J$3665,MATCH(INDEX(Zeiterfassung!$K$6:$K$3665,$K2261),Zeiterfassung!$K$6:$K$3665,0))))</f>
        <v/>
      </c>
      <c r="K2261">
        <f>IFERROR(AGGREGATE(15,6,(ROW(Zeiterfassung!$D$6:$D$3665)-ROW(Zeiterfassung!$D$6)+1)/(Zeiterfassung!$D$6:$D$3665&lt;&gt;""),2256),"")</f>
        <v/>
      </c>
    </row>
    <row r="2262" ht="20" customHeight="1">
      <c r="A2262" s="183">
        <f>IF($K2262="","",WEEKNUM(INDEX(Zeiterfassung!$K$6:$K$3665,$K2262),21))</f>
        <v/>
      </c>
      <c r="B2262" s="184">
        <f>IF($K2262="","",INDEX(Zeiterfassung!$K$6:$K$3665,$K2262))</f>
        <v/>
      </c>
      <c r="C2262" s="185">
        <f>IF($K2262="","",INDEX(Zeiterfassung!$K$6:$K$3665,$K2262))</f>
        <v/>
      </c>
      <c r="D2262" s="186">
        <f>IF($K2262="","",INDEX(Zeiterfassung!$D$6:$D$3665,$K2262))</f>
        <v/>
      </c>
      <c r="E2262" s="186">
        <f>IF($K2262="","",INDEX(Zeiterfassung!$E$6:$E$3665,$K2262))</f>
        <v/>
      </c>
      <c r="F2262" s="187">
        <f>IF($K2262="","",INDEX(Zeiterfassung!$F$6:$F$3665,$K2262))</f>
        <v/>
      </c>
      <c r="G2262" s="187">
        <f>IF($K2262="","",INDEX(Zeiterfassung!$G$6:$G$3665,$K2262))</f>
        <v/>
      </c>
      <c r="H2262" s="188">
        <f>IF($K2262="","",INDEX(Zeiterfassung!$H$6:$H$3665,$K2262))</f>
        <v/>
      </c>
      <c r="I2262" s="335">
        <f>IF(B2262=B2261,"",IF($K2262="","",INDEX(Zeiterfassung!$I$6:$I$3665,MATCH(INDEX(Zeiterfassung!$K$6:$K$3665,$K2262),Zeiterfassung!$K$6:$K$3665,0))))</f>
        <v/>
      </c>
      <c r="J2262" s="335">
        <f>IF(B2262=B2261,"",IF($K2262="","",INDEX(Zeiterfassung!$J$6:$J$3665,MATCH(INDEX(Zeiterfassung!$K$6:$K$3665,$K2262),Zeiterfassung!$K$6:$K$3665,0))))</f>
        <v/>
      </c>
      <c r="K2262">
        <f>IFERROR(AGGREGATE(15,6,(ROW(Zeiterfassung!$D$6:$D$3665)-ROW(Zeiterfassung!$D$6)+1)/(Zeiterfassung!$D$6:$D$3665&lt;&gt;""),2257),"")</f>
        <v/>
      </c>
    </row>
    <row r="2263" ht="20" customHeight="1">
      <c r="A2263" s="183">
        <f>IF($K2263="","",WEEKNUM(INDEX(Zeiterfassung!$K$6:$K$3665,$K2263),21))</f>
        <v/>
      </c>
      <c r="B2263" s="184">
        <f>IF($K2263="","",INDEX(Zeiterfassung!$K$6:$K$3665,$K2263))</f>
        <v/>
      </c>
      <c r="C2263" s="185">
        <f>IF($K2263="","",INDEX(Zeiterfassung!$K$6:$K$3665,$K2263))</f>
        <v/>
      </c>
      <c r="D2263" s="186">
        <f>IF($K2263="","",INDEX(Zeiterfassung!$D$6:$D$3665,$K2263))</f>
        <v/>
      </c>
      <c r="E2263" s="186">
        <f>IF($K2263="","",INDEX(Zeiterfassung!$E$6:$E$3665,$K2263))</f>
        <v/>
      </c>
      <c r="F2263" s="187">
        <f>IF($K2263="","",INDEX(Zeiterfassung!$F$6:$F$3665,$K2263))</f>
        <v/>
      </c>
      <c r="G2263" s="187">
        <f>IF($K2263="","",INDEX(Zeiterfassung!$G$6:$G$3665,$K2263))</f>
        <v/>
      </c>
      <c r="H2263" s="188">
        <f>IF($K2263="","",INDEX(Zeiterfassung!$H$6:$H$3665,$K2263))</f>
        <v/>
      </c>
      <c r="I2263" s="335">
        <f>IF(B2263=B2262,"",IF($K2263="","",INDEX(Zeiterfassung!$I$6:$I$3665,MATCH(INDEX(Zeiterfassung!$K$6:$K$3665,$K2263),Zeiterfassung!$K$6:$K$3665,0))))</f>
        <v/>
      </c>
      <c r="J2263" s="335">
        <f>IF(B2263=B2262,"",IF($K2263="","",INDEX(Zeiterfassung!$J$6:$J$3665,MATCH(INDEX(Zeiterfassung!$K$6:$K$3665,$K2263),Zeiterfassung!$K$6:$K$3665,0))))</f>
        <v/>
      </c>
      <c r="K2263">
        <f>IFERROR(AGGREGATE(15,6,(ROW(Zeiterfassung!$D$6:$D$3665)-ROW(Zeiterfassung!$D$6)+1)/(Zeiterfassung!$D$6:$D$3665&lt;&gt;""),2258),"")</f>
        <v/>
      </c>
    </row>
    <row r="2264" ht="20" customHeight="1">
      <c r="A2264" s="183">
        <f>IF($K2264="","",WEEKNUM(INDEX(Zeiterfassung!$K$6:$K$3665,$K2264),21))</f>
        <v/>
      </c>
      <c r="B2264" s="184">
        <f>IF($K2264="","",INDEX(Zeiterfassung!$K$6:$K$3665,$K2264))</f>
        <v/>
      </c>
      <c r="C2264" s="185">
        <f>IF($K2264="","",INDEX(Zeiterfassung!$K$6:$K$3665,$K2264))</f>
        <v/>
      </c>
      <c r="D2264" s="186">
        <f>IF($K2264="","",INDEX(Zeiterfassung!$D$6:$D$3665,$K2264))</f>
        <v/>
      </c>
      <c r="E2264" s="186">
        <f>IF($K2264="","",INDEX(Zeiterfassung!$E$6:$E$3665,$K2264))</f>
        <v/>
      </c>
      <c r="F2264" s="187">
        <f>IF($K2264="","",INDEX(Zeiterfassung!$F$6:$F$3665,$K2264))</f>
        <v/>
      </c>
      <c r="G2264" s="187">
        <f>IF($K2264="","",INDEX(Zeiterfassung!$G$6:$G$3665,$K2264))</f>
        <v/>
      </c>
      <c r="H2264" s="188">
        <f>IF($K2264="","",INDEX(Zeiterfassung!$H$6:$H$3665,$K2264))</f>
        <v/>
      </c>
      <c r="I2264" s="335">
        <f>IF(B2264=B2263,"",IF($K2264="","",INDEX(Zeiterfassung!$I$6:$I$3665,MATCH(INDEX(Zeiterfassung!$K$6:$K$3665,$K2264),Zeiterfassung!$K$6:$K$3665,0))))</f>
        <v/>
      </c>
      <c r="J2264" s="335">
        <f>IF(B2264=B2263,"",IF($K2264="","",INDEX(Zeiterfassung!$J$6:$J$3665,MATCH(INDEX(Zeiterfassung!$K$6:$K$3665,$K2264),Zeiterfassung!$K$6:$K$3665,0))))</f>
        <v/>
      </c>
      <c r="K2264">
        <f>IFERROR(AGGREGATE(15,6,(ROW(Zeiterfassung!$D$6:$D$3665)-ROW(Zeiterfassung!$D$6)+1)/(Zeiterfassung!$D$6:$D$3665&lt;&gt;""),2259),"")</f>
        <v/>
      </c>
    </row>
    <row r="2265" ht="20" customHeight="1">
      <c r="A2265" s="183">
        <f>IF($K2265="","",WEEKNUM(INDEX(Zeiterfassung!$K$6:$K$3665,$K2265),21))</f>
        <v/>
      </c>
      <c r="B2265" s="184">
        <f>IF($K2265="","",INDEX(Zeiterfassung!$K$6:$K$3665,$K2265))</f>
        <v/>
      </c>
      <c r="C2265" s="185">
        <f>IF($K2265="","",INDEX(Zeiterfassung!$K$6:$K$3665,$K2265))</f>
        <v/>
      </c>
      <c r="D2265" s="186">
        <f>IF($K2265="","",INDEX(Zeiterfassung!$D$6:$D$3665,$K2265))</f>
        <v/>
      </c>
      <c r="E2265" s="186">
        <f>IF($K2265="","",INDEX(Zeiterfassung!$E$6:$E$3665,$K2265))</f>
        <v/>
      </c>
      <c r="F2265" s="187">
        <f>IF($K2265="","",INDEX(Zeiterfassung!$F$6:$F$3665,$K2265))</f>
        <v/>
      </c>
      <c r="G2265" s="187">
        <f>IF($K2265="","",INDEX(Zeiterfassung!$G$6:$G$3665,$K2265))</f>
        <v/>
      </c>
      <c r="H2265" s="188">
        <f>IF($K2265="","",INDEX(Zeiterfassung!$H$6:$H$3665,$K2265))</f>
        <v/>
      </c>
      <c r="I2265" s="335">
        <f>IF(B2265=B2264,"",IF($K2265="","",INDEX(Zeiterfassung!$I$6:$I$3665,MATCH(INDEX(Zeiterfassung!$K$6:$K$3665,$K2265),Zeiterfassung!$K$6:$K$3665,0))))</f>
        <v/>
      </c>
      <c r="J2265" s="335">
        <f>IF(B2265=B2264,"",IF($K2265="","",INDEX(Zeiterfassung!$J$6:$J$3665,MATCH(INDEX(Zeiterfassung!$K$6:$K$3665,$K2265),Zeiterfassung!$K$6:$K$3665,0))))</f>
        <v/>
      </c>
      <c r="K2265">
        <f>IFERROR(AGGREGATE(15,6,(ROW(Zeiterfassung!$D$6:$D$3665)-ROW(Zeiterfassung!$D$6)+1)/(Zeiterfassung!$D$6:$D$3665&lt;&gt;""),2260),"")</f>
        <v/>
      </c>
    </row>
    <row r="2266" ht="20" customHeight="1">
      <c r="A2266" s="183">
        <f>IF($K2266="","",WEEKNUM(INDEX(Zeiterfassung!$K$6:$K$3665,$K2266),21))</f>
        <v/>
      </c>
      <c r="B2266" s="184">
        <f>IF($K2266="","",INDEX(Zeiterfassung!$K$6:$K$3665,$K2266))</f>
        <v/>
      </c>
      <c r="C2266" s="185">
        <f>IF($K2266="","",INDEX(Zeiterfassung!$K$6:$K$3665,$K2266))</f>
        <v/>
      </c>
      <c r="D2266" s="186">
        <f>IF($K2266="","",INDEX(Zeiterfassung!$D$6:$D$3665,$K2266))</f>
        <v/>
      </c>
      <c r="E2266" s="186">
        <f>IF($K2266="","",INDEX(Zeiterfassung!$E$6:$E$3665,$K2266))</f>
        <v/>
      </c>
      <c r="F2266" s="187">
        <f>IF($K2266="","",INDEX(Zeiterfassung!$F$6:$F$3665,$K2266))</f>
        <v/>
      </c>
      <c r="G2266" s="187">
        <f>IF($K2266="","",INDEX(Zeiterfassung!$G$6:$G$3665,$K2266))</f>
        <v/>
      </c>
      <c r="H2266" s="188">
        <f>IF($K2266="","",INDEX(Zeiterfassung!$H$6:$H$3665,$K2266))</f>
        <v/>
      </c>
      <c r="I2266" s="335">
        <f>IF(B2266=B2265,"",IF($K2266="","",INDEX(Zeiterfassung!$I$6:$I$3665,MATCH(INDEX(Zeiterfassung!$K$6:$K$3665,$K2266),Zeiterfassung!$K$6:$K$3665,0))))</f>
        <v/>
      </c>
      <c r="J2266" s="335">
        <f>IF(B2266=B2265,"",IF($K2266="","",INDEX(Zeiterfassung!$J$6:$J$3665,MATCH(INDEX(Zeiterfassung!$K$6:$K$3665,$K2266),Zeiterfassung!$K$6:$K$3665,0))))</f>
        <v/>
      </c>
      <c r="K2266">
        <f>IFERROR(AGGREGATE(15,6,(ROW(Zeiterfassung!$D$6:$D$3665)-ROW(Zeiterfassung!$D$6)+1)/(Zeiterfassung!$D$6:$D$3665&lt;&gt;""),2261),"")</f>
        <v/>
      </c>
    </row>
    <row r="2267" ht="20" customHeight="1">
      <c r="A2267" s="183">
        <f>IF($K2267="","",WEEKNUM(INDEX(Zeiterfassung!$K$6:$K$3665,$K2267),21))</f>
        <v/>
      </c>
      <c r="B2267" s="184">
        <f>IF($K2267="","",INDEX(Zeiterfassung!$K$6:$K$3665,$K2267))</f>
        <v/>
      </c>
      <c r="C2267" s="185">
        <f>IF($K2267="","",INDEX(Zeiterfassung!$K$6:$K$3665,$K2267))</f>
        <v/>
      </c>
      <c r="D2267" s="186">
        <f>IF($K2267="","",INDEX(Zeiterfassung!$D$6:$D$3665,$K2267))</f>
        <v/>
      </c>
      <c r="E2267" s="186">
        <f>IF($K2267="","",INDEX(Zeiterfassung!$E$6:$E$3665,$K2267))</f>
        <v/>
      </c>
      <c r="F2267" s="187">
        <f>IF($K2267="","",INDEX(Zeiterfassung!$F$6:$F$3665,$K2267))</f>
        <v/>
      </c>
      <c r="G2267" s="187">
        <f>IF($K2267="","",INDEX(Zeiterfassung!$G$6:$G$3665,$K2267))</f>
        <v/>
      </c>
      <c r="H2267" s="188">
        <f>IF($K2267="","",INDEX(Zeiterfassung!$H$6:$H$3665,$K2267))</f>
        <v/>
      </c>
      <c r="I2267" s="335">
        <f>IF(B2267=B2266,"",IF($K2267="","",INDEX(Zeiterfassung!$I$6:$I$3665,MATCH(INDEX(Zeiterfassung!$K$6:$K$3665,$K2267),Zeiterfassung!$K$6:$K$3665,0))))</f>
        <v/>
      </c>
      <c r="J2267" s="335">
        <f>IF(B2267=B2266,"",IF($K2267="","",INDEX(Zeiterfassung!$J$6:$J$3665,MATCH(INDEX(Zeiterfassung!$K$6:$K$3665,$K2267),Zeiterfassung!$K$6:$K$3665,0))))</f>
        <v/>
      </c>
      <c r="K2267">
        <f>IFERROR(AGGREGATE(15,6,(ROW(Zeiterfassung!$D$6:$D$3665)-ROW(Zeiterfassung!$D$6)+1)/(Zeiterfassung!$D$6:$D$3665&lt;&gt;""),2262),"")</f>
        <v/>
      </c>
    </row>
    <row r="2268" ht="20" customHeight="1">
      <c r="A2268" s="183">
        <f>IF($K2268="","",WEEKNUM(INDEX(Zeiterfassung!$K$6:$K$3665,$K2268),21))</f>
        <v/>
      </c>
      <c r="B2268" s="184">
        <f>IF($K2268="","",INDEX(Zeiterfassung!$K$6:$K$3665,$K2268))</f>
        <v/>
      </c>
      <c r="C2268" s="185">
        <f>IF($K2268="","",INDEX(Zeiterfassung!$K$6:$K$3665,$K2268))</f>
        <v/>
      </c>
      <c r="D2268" s="186">
        <f>IF($K2268="","",INDEX(Zeiterfassung!$D$6:$D$3665,$K2268))</f>
        <v/>
      </c>
      <c r="E2268" s="186">
        <f>IF($K2268="","",INDEX(Zeiterfassung!$E$6:$E$3665,$K2268))</f>
        <v/>
      </c>
      <c r="F2268" s="187">
        <f>IF($K2268="","",INDEX(Zeiterfassung!$F$6:$F$3665,$K2268))</f>
        <v/>
      </c>
      <c r="G2268" s="187">
        <f>IF($K2268="","",INDEX(Zeiterfassung!$G$6:$G$3665,$K2268))</f>
        <v/>
      </c>
      <c r="H2268" s="188">
        <f>IF($K2268="","",INDEX(Zeiterfassung!$H$6:$H$3665,$K2268))</f>
        <v/>
      </c>
      <c r="I2268" s="335">
        <f>IF(B2268=B2267,"",IF($K2268="","",INDEX(Zeiterfassung!$I$6:$I$3665,MATCH(INDEX(Zeiterfassung!$K$6:$K$3665,$K2268),Zeiterfassung!$K$6:$K$3665,0))))</f>
        <v/>
      </c>
      <c r="J2268" s="335">
        <f>IF(B2268=B2267,"",IF($K2268="","",INDEX(Zeiterfassung!$J$6:$J$3665,MATCH(INDEX(Zeiterfassung!$K$6:$K$3665,$K2268),Zeiterfassung!$K$6:$K$3665,0))))</f>
        <v/>
      </c>
      <c r="K2268">
        <f>IFERROR(AGGREGATE(15,6,(ROW(Zeiterfassung!$D$6:$D$3665)-ROW(Zeiterfassung!$D$6)+1)/(Zeiterfassung!$D$6:$D$3665&lt;&gt;""),2263),"")</f>
        <v/>
      </c>
    </row>
    <row r="2269" ht="20" customHeight="1">
      <c r="A2269" s="183">
        <f>IF($K2269="","",WEEKNUM(INDEX(Zeiterfassung!$K$6:$K$3665,$K2269),21))</f>
        <v/>
      </c>
      <c r="B2269" s="184">
        <f>IF($K2269="","",INDEX(Zeiterfassung!$K$6:$K$3665,$K2269))</f>
        <v/>
      </c>
      <c r="C2269" s="185">
        <f>IF($K2269="","",INDEX(Zeiterfassung!$K$6:$K$3665,$K2269))</f>
        <v/>
      </c>
      <c r="D2269" s="186">
        <f>IF($K2269="","",INDEX(Zeiterfassung!$D$6:$D$3665,$K2269))</f>
        <v/>
      </c>
      <c r="E2269" s="186">
        <f>IF($K2269="","",INDEX(Zeiterfassung!$E$6:$E$3665,$K2269))</f>
        <v/>
      </c>
      <c r="F2269" s="187">
        <f>IF($K2269="","",INDEX(Zeiterfassung!$F$6:$F$3665,$K2269))</f>
        <v/>
      </c>
      <c r="G2269" s="187">
        <f>IF($K2269="","",INDEX(Zeiterfassung!$G$6:$G$3665,$K2269))</f>
        <v/>
      </c>
      <c r="H2269" s="188">
        <f>IF($K2269="","",INDEX(Zeiterfassung!$H$6:$H$3665,$K2269))</f>
        <v/>
      </c>
      <c r="I2269" s="335">
        <f>IF(B2269=B2268,"",IF($K2269="","",INDEX(Zeiterfassung!$I$6:$I$3665,MATCH(INDEX(Zeiterfassung!$K$6:$K$3665,$K2269),Zeiterfassung!$K$6:$K$3665,0))))</f>
        <v/>
      </c>
      <c r="J2269" s="335">
        <f>IF(B2269=B2268,"",IF($K2269="","",INDEX(Zeiterfassung!$J$6:$J$3665,MATCH(INDEX(Zeiterfassung!$K$6:$K$3665,$K2269),Zeiterfassung!$K$6:$K$3665,0))))</f>
        <v/>
      </c>
      <c r="K2269">
        <f>IFERROR(AGGREGATE(15,6,(ROW(Zeiterfassung!$D$6:$D$3665)-ROW(Zeiterfassung!$D$6)+1)/(Zeiterfassung!$D$6:$D$3665&lt;&gt;""),2264),"")</f>
        <v/>
      </c>
    </row>
    <row r="2270" ht="20" customHeight="1">
      <c r="A2270" s="183">
        <f>IF($K2270="","",WEEKNUM(INDEX(Zeiterfassung!$K$6:$K$3665,$K2270),21))</f>
        <v/>
      </c>
      <c r="B2270" s="184">
        <f>IF($K2270="","",INDEX(Zeiterfassung!$K$6:$K$3665,$K2270))</f>
        <v/>
      </c>
      <c r="C2270" s="185">
        <f>IF($K2270="","",INDEX(Zeiterfassung!$K$6:$K$3665,$K2270))</f>
        <v/>
      </c>
      <c r="D2270" s="186">
        <f>IF($K2270="","",INDEX(Zeiterfassung!$D$6:$D$3665,$K2270))</f>
        <v/>
      </c>
      <c r="E2270" s="186">
        <f>IF($K2270="","",INDEX(Zeiterfassung!$E$6:$E$3665,$K2270))</f>
        <v/>
      </c>
      <c r="F2270" s="187">
        <f>IF($K2270="","",INDEX(Zeiterfassung!$F$6:$F$3665,$K2270))</f>
        <v/>
      </c>
      <c r="G2270" s="187">
        <f>IF($K2270="","",INDEX(Zeiterfassung!$G$6:$G$3665,$K2270))</f>
        <v/>
      </c>
      <c r="H2270" s="188">
        <f>IF($K2270="","",INDEX(Zeiterfassung!$H$6:$H$3665,$K2270))</f>
        <v/>
      </c>
      <c r="I2270" s="335">
        <f>IF(B2270=B2269,"",IF($K2270="","",INDEX(Zeiterfassung!$I$6:$I$3665,MATCH(INDEX(Zeiterfassung!$K$6:$K$3665,$K2270),Zeiterfassung!$K$6:$K$3665,0))))</f>
        <v/>
      </c>
      <c r="J2270" s="335">
        <f>IF(B2270=B2269,"",IF($K2270="","",INDEX(Zeiterfassung!$J$6:$J$3665,MATCH(INDEX(Zeiterfassung!$K$6:$K$3665,$K2270),Zeiterfassung!$K$6:$K$3665,0))))</f>
        <v/>
      </c>
      <c r="K2270">
        <f>IFERROR(AGGREGATE(15,6,(ROW(Zeiterfassung!$D$6:$D$3665)-ROW(Zeiterfassung!$D$6)+1)/(Zeiterfassung!$D$6:$D$3665&lt;&gt;""),2265),"")</f>
        <v/>
      </c>
    </row>
    <row r="2271" ht="20" customHeight="1">
      <c r="A2271" s="183">
        <f>IF($K2271="","",WEEKNUM(INDEX(Zeiterfassung!$K$6:$K$3665,$K2271),21))</f>
        <v/>
      </c>
      <c r="B2271" s="184">
        <f>IF($K2271="","",INDEX(Zeiterfassung!$K$6:$K$3665,$K2271))</f>
        <v/>
      </c>
      <c r="C2271" s="185">
        <f>IF($K2271="","",INDEX(Zeiterfassung!$K$6:$K$3665,$K2271))</f>
        <v/>
      </c>
      <c r="D2271" s="186">
        <f>IF($K2271="","",INDEX(Zeiterfassung!$D$6:$D$3665,$K2271))</f>
        <v/>
      </c>
      <c r="E2271" s="186">
        <f>IF($K2271="","",INDEX(Zeiterfassung!$E$6:$E$3665,$K2271))</f>
        <v/>
      </c>
      <c r="F2271" s="187">
        <f>IF($K2271="","",INDEX(Zeiterfassung!$F$6:$F$3665,$K2271))</f>
        <v/>
      </c>
      <c r="G2271" s="187">
        <f>IF($K2271="","",INDEX(Zeiterfassung!$G$6:$G$3665,$K2271))</f>
        <v/>
      </c>
      <c r="H2271" s="188">
        <f>IF($K2271="","",INDEX(Zeiterfassung!$H$6:$H$3665,$K2271))</f>
        <v/>
      </c>
      <c r="I2271" s="335">
        <f>IF(B2271=B2270,"",IF($K2271="","",INDEX(Zeiterfassung!$I$6:$I$3665,MATCH(INDEX(Zeiterfassung!$K$6:$K$3665,$K2271),Zeiterfassung!$K$6:$K$3665,0))))</f>
        <v/>
      </c>
      <c r="J2271" s="335">
        <f>IF(B2271=B2270,"",IF($K2271="","",INDEX(Zeiterfassung!$J$6:$J$3665,MATCH(INDEX(Zeiterfassung!$K$6:$K$3665,$K2271),Zeiterfassung!$K$6:$K$3665,0))))</f>
        <v/>
      </c>
      <c r="K2271">
        <f>IFERROR(AGGREGATE(15,6,(ROW(Zeiterfassung!$D$6:$D$3665)-ROW(Zeiterfassung!$D$6)+1)/(Zeiterfassung!$D$6:$D$3665&lt;&gt;""),2266),"")</f>
        <v/>
      </c>
    </row>
    <row r="2272" ht="20" customHeight="1">
      <c r="A2272" s="183">
        <f>IF($K2272="","",WEEKNUM(INDEX(Zeiterfassung!$K$6:$K$3665,$K2272),21))</f>
        <v/>
      </c>
      <c r="B2272" s="184">
        <f>IF($K2272="","",INDEX(Zeiterfassung!$K$6:$K$3665,$K2272))</f>
        <v/>
      </c>
      <c r="C2272" s="185">
        <f>IF($K2272="","",INDEX(Zeiterfassung!$K$6:$K$3665,$K2272))</f>
        <v/>
      </c>
      <c r="D2272" s="186">
        <f>IF($K2272="","",INDEX(Zeiterfassung!$D$6:$D$3665,$K2272))</f>
        <v/>
      </c>
      <c r="E2272" s="186">
        <f>IF($K2272="","",INDEX(Zeiterfassung!$E$6:$E$3665,$K2272))</f>
        <v/>
      </c>
      <c r="F2272" s="187">
        <f>IF($K2272="","",INDEX(Zeiterfassung!$F$6:$F$3665,$K2272))</f>
        <v/>
      </c>
      <c r="G2272" s="187">
        <f>IF($K2272="","",INDEX(Zeiterfassung!$G$6:$G$3665,$K2272))</f>
        <v/>
      </c>
      <c r="H2272" s="188">
        <f>IF($K2272="","",INDEX(Zeiterfassung!$H$6:$H$3665,$K2272))</f>
        <v/>
      </c>
      <c r="I2272" s="335">
        <f>IF(B2272=B2271,"",IF($K2272="","",INDEX(Zeiterfassung!$I$6:$I$3665,MATCH(INDEX(Zeiterfassung!$K$6:$K$3665,$K2272),Zeiterfassung!$K$6:$K$3665,0))))</f>
        <v/>
      </c>
      <c r="J2272" s="335">
        <f>IF(B2272=B2271,"",IF($K2272="","",INDEX(Zeiterfassung!$J$6:$J$3665,MATCH(INDEX(Zeiterfassung!$K$6:$K$3665,$K2272),Zeiterfassung!$K$6:$K$3665,0))))</f>
        <v/>
      </c>
      <c r="K2272">
        <f>IFERROR(AGGREGATE(15,6,(ROW(Zeiterfassung!$D$6:$D$3665)-ROW(Zeiterfassung!$D$6)+1)/(Zeiterfassung!$D$6:$D$3665&lt;&gt;""),2267),"")</f>
        <v/>
      </c>
    </row>
    <row r="2273" ht="20" customHeight="1">
      <c r="A2273" s="183">
        <f>IF($K2273="","",WEEKNUM(INDEX(Zeiterfassung!$K$6:$K$3665,$K2273),21))</f>
        <v/>
      </c>
      <c r="B2273" s="184">
        <f>IF($K2273="","",INDEX(Zeiterfassung!$K$6:$K$3665,$K2273))</f>
        <v/>
      </c>
      <c r="C2273" s="185">
        <f>IF($K2273="","",INDEX(Zeiterfassung!$K$6:$K$3665,$K2273))</f>
        <v/>
      </c>
      <c r="D2273" s="186">
        <f>IF($K2273="","",INDEX(Zeiterfassung!$D$6:$D$3665,$K2273))</f>
        <v/>
      </c>
      <c r="E2273" s="186">
        <f>IF($K2273="","",INDEX(Zeiterfassung!$E$6:$E$3665,$K2273))</f>
        <v/>
      </c>
      <c r="F2273" s="187">
        <f>IF($K2273="","",INDEX(Zeiterfassung!$F$6:$F$3665,$K2273))</f>
        <v/>
      </c>
      <c r="G2273" s="187">
        <f>IF($K2273="","",INDEX(Zeiterfassung!$G$6:$G$3665,$K2273))</f>
        <v/>
      </c>
      <c r="H2273" s="188">
        <f>IF($K2273="","",INDEX(Zeiterfassung!$H$6:$H$3665,$K2273))</f>
        <v/>
      </c>
      <c r="I2273" s="335">
        <f>IF(B2273=B2272,"",IF($K2273="","",INDEX(Zeiterfassung!$I$6:$I$3665,MATCH(INDEX(Zeiterfassung!$K$6:$K$3665,$K2273),Zeiterfassung!$K$6:$K$3665,0))))</f>
        <v/>
      </c>
      <c r="J2273" s="335">
        <f>IF(B2273=B2272,"",IF($K2273="","",INDEX(Zeiterfassung!$J$6:$J$3665,MATCH(INDEX(Zeiterfassung!$K$6:$K$3665,$K2273),Zeiterfassung!$K$6:$K$3665,0))))</f>
        <v/>
      </c>
      <c r="K2273">
        <f>IFERROR(AGGREGATE(15,6,(ROW(Zeiterfassung!$D$6:$D$3665)-ROW(Zeiterfassung!$D$6)+1)/(Zeiterfassung!$D$6:$D$3665&lt;&gt;""),2268),"")</f>
        <v/>
      </c>
    </row>
    <row r="2274" ht="20" customHeight="1">
      <c r="A2274" s="183">
        <f>IF($K2274="","",WEEKNUM(INDEX(Zeiterfassung!$K$6:$K$3665,$K2274),21))</f>
        <v/>
      </c>
      <c r="B2274" s="184">
        <f>IF($K2274="","",INDEX(Zeiterfassung!$K$6:$K$3665,$K2274))</f>
        <v/>
      </c>
      <c r="C2274" s="185">
        <f>IF($K2274="","",INDEX(Zeiterfassung!$K$6:$K$3665,$K2274))</f>
        <v/>
      </c>
      <c r="D2274" s="186">
        <f>IF($K2274="","",INDEX(Zeiterfassung!$D$6:$D$3665,$K2274))</f>
        <v/>
      </c>
      <c r="E2274" s="186">
        <f>IF($K2274="","",INDEX(Zeiterfassung!$E$6:$E$3665,$K2274))</f>
        <v/>
      </c>
      <c r="F2274" s="187">
        <f>IF($K2274="","",INDEX(Zeiterfassung!$F$6:$F$3665,$K2274))</f>
        <v/>
      </c>
      <c r="G2274" s="187">
        <f>IF($K2274="","",INDEX(Zeiterfassung!$G$6:$G$3665,$K2274))</f>
        <v/>
      </c>
      <c r="H2274" s="188">
        <f>IF($K2274="","",INDEX(Zeiterfassung!$H$6:$H$3665,$K2274))</f>
        <v/>
      </c>
      <c r="I2274" s="335">
        <f>IF(B2274=B2273,"",IF($K2274="","",INDEX(Zeiterfassung!$I$6:$I$3665,MATCH(INDEX(Zeiterfassung!$K$6:$K$3665,$K2274),Zeiterfassung!$K$6:$K$3665,0))))</f>
        <v/>
      </c>
      <c r="J2274" s="335">
        <f>IF(B2274=B2273,"",IF($K2274="","",INDEX(Zeiterfassung!$J$6:$J$3665,MATCH(INDEX(Zeiterfassung!$K$6:$K$3665,$K2274),Zeiterfassung!$K$6:$K$3665,0))))</f>
        <v/>
      </c>
      <c r="K2274">
        <f>IFERROR(AGGREGATE(15,6,(ROW(Zeiterfassung!$D$6:$D$3665)-ROW(Zeiterfassung!$D$6)+1)/(Zeiterfassung!$D$6:$D$3665&lt;&gt;""),2269),"")</f>
        <v/>
      </c>
    </row>
    <row r="2275" ht="20" customHeight="1">
      <c r="A2275" s="183">
        <f>IF($K2275="","",WEEKNUM(INDEX(Zeiterfassung!$K$6:$K$3665,$K2275),21))</f>
        <v/>
      </c>
      <c r="B2275" s="184">
        <f>IF($K2275="","",INDEX(Zeiterfassung!$K$6:$K$3665,$K2275))</f>
        <v/>
      </c>
      <c r="C2275" s="185">
        <f>IF($K2275="","",INDEX(Zeiterfassung!$K$6:$K$3665,$K2275))</f>
        <v/>
      </c>
      <c r="D2275" s="186">
        <f>IF($K2275="","",INDEX(Zeiterfassung!$D$6:$D$3665,$K2275))</f>
        <v/>
      </c>
      <c r="E2275" s="186">
        <f>IF($K2275="","",INDEX(Zeiterfassung!$E$6:$E$3665,$K2275))</f>
        <v/>
      </c>
      <c r="F2275" s="187">
        <f>IF($K2275="","",INDEX(Zeiterfassung!$F$6:$F$3665,$K2275))</f>
        <v/>
      </c>
      <c r="G2275" s="187">
        <f>IF($K2275="","",INDEX(Zeiterfassung!$G$6:$G$3665,$K2275))</f>
        <v/>
      </c>
      <c r="H2275" s="188">
        <f>IF($K2275="","",INDEX(Zeiterfassung!$H$6:$H$3665,$K2275))</f>
        <v/>
      </c>
      <c r="I2275" s="335">
        <f>IF(B2275=B2274,"",IF($K2275="","",INDEX(Zeiterfassung!$I$6:$I$3665,MATCH(INDEX(Zeiterfassung!$K$6:$K$3665,$K2275),Zeiterfassung!$K$6:$K$3665,0))))</f>
        <v/>
      </c>
      <c r="J2275" s="335">
        <f>IF(B2275=B2274,"",IF($K2275="","",INDEX(Zeiterfassung!$J$6:$J$3665,MATCH(INDEX(Zeiterfassung!$K$6:$K$3665,$K2275),Zeiterfassung!$K$6:$K$3665,0))))</f>
        <v/>
      </c>
      <c r="K2275">
        <f>IFERROR(AGGREGATE(15,6,(ROW(Zeiterfassung!$D$6:$D$3665)-ROW(Zeiterfassung!$D$6)+1)/(Zeiterfassung!$D$6:$D$3665&lt;&gt;""),2270),"")</f>
        <v/>
      </c>
    </row>
    <row r="2276" ht="20" customHeight="1">
      <c r="A2276" s="183">
        <f>IF($K2276="","",WEEKNUM(INDEX(Zeiterfassung!$K$6:$K$3665,$K2276),21))</f>
        <v/>
      </c>
      <c r="B2276" s="184">
        <f>IF($K2276="","",INDEX(Zeiterfassung!$K$6:$K$3665,$K2276))</f>
        <v/>
      </c>
      <c r="C2276" s="185">
        <f>IF($K2276="","",INDEX(Zeiterfassung!$K$6:$K$3665,$K2276))</f>
        <v/>
      </c>
      <c r="D2276" s="186">
        <f>IF($K2276="","",INDEX(Zeiterfassung!$D$6:$D$3665,$K2276))</f>
        <v/>
      </c>
      <c r="E2276" s="186">
        <f>IF($K2276="","",INDEX(Zeiterfassung!$E$6:$E$3665,$K2276))</f>
        <v/>
      </c>
      <c r="F2276" s="187">
        <f>IF($K2276="","",INDEX(Zeiterfassung!$F$6:$F$3665,$K2276))</f>
        <v/>
      </c>
      <c r="G2276" s="187">
        <f>IF($K2276="","",INDEX(Zeiterfassung!$G$6:$G$3665,$K2276))</f>
        <v/>
      </c>
      <c r="H2276" s="188">
        <f>IF($K2276="","",INDEX(Zeiterfassung!$H$6:$H$3665,$K2276))</f>
        <v/>
      </c>
      <c r="I2276" s="335">
        <f>IF(B2276=B2275,"",IF($K2276="","",INDEX(Zeiterfassung!$I$6:$I$3665,MATCH(INDEX(Zeiterfassung!$K$6:$K$3665,$K2276),Zeiterfassung!$K$6:$K$3665,0))))</f>
        <v/>
      </c>
      <c r="J2276" s="335">
        <f>IF(B2276=B2275,"",IF($K2276="","",INDEX(Zeiterfassung!$J$6:$J$3665,MATCH(INDEX(Zeiterfassung!$K$6:$K$3665,$K2276),Zeiterfassung!$K$6:$K$3665,0))))</f>
        <v/>
      </c>
      <c r="K2276">
        <f>IFERROR(AGGREGATE(15,6,(ROW(Zeiterfassung!$D$6:$D$3665)-ROW(Zeiterfassung!$D$6)+1)/(Zeiterfassung!$D$6:$D$3665&lt;&gt;""),2271),"")</f>
        <v/>
      </c>
    </row>
    <row r="2277" ht="20" customHeight="1">
      <c r="A2277" s="183">
        <f>IF($K2277="","",WEEKNUM(INDEX(Zeiterfassung!$K$6:$K$3665,$K2277),21))</f>
        <v/>
      </c>
      <c r="B2277" s="184">
        <f>IF($K2277="","",INDEX(Zeiterfassung!$K$6:$K$3665,$K2277))</f>
        <v/>
      </c>
      <c r="C2277" s="185">
        <f>IF($K2277="","",INDEX(Zeiterfassung!$K$6:$K$3665,$K2277))</f>
        <v/>
      </c>
      <c r="D2277" s="186">
        <f>IF($K2277="","",INDEX(Zeiterfassung!$D$6:$D$3665,$K2277))</f>
        <v/>
      </c>
      <c r="E2277" s="186">
        <f>IF($K2277="","",INDEX(Zeiterfassung!$E$6:$E$3665,$K2277))</f>
        <v/>
      </c>
      <c r="F2277" s="187">
        <f>IF($K2277="","",INDEX(Zeiterfassung!$F$6:$F$3665,$K2277))</f>
        <v/>
      </c>
      <c r="G2277" s="187">
        <f>IF($K2277="","",INDEX(Zeiterfassung!$G$6:$G$3665,$K2277))</f>
        <v/>
      </c>
      <c r="H2277" s="188">
        <f>IF($K2277="","",INDEX(Zeiterfassung!$H$6:$H$3665,$K2277))</f>
        <v/>
      </c>
      <c r="I2277" s="335">
        <f>IF(B2277=B2276,"",IF($K2277="","",INDEX(Zeiterfassung!$I$6:$I$3665,MATCH(INDEX(Zeiterfassung!$K$6:$K$3665,$K2277),Zeiterfassung!$K$6:$K$3665,0))))</f>
        <v/>
      </c>
      <c r="J2277" s="335">
        <f>IF(B2277=B2276,"",IF($K2277="","",INDEX(Zeiterfassung!$J$6:$J$3665,MATCH(INDEX(Zeiterfassung!$K$6:$K$3665,$K2277),Zeiterfassung!$K$6:$K$3665,0))))</f>
        <v/>
      </c>
      <c r="K2277">
        <f>IFERROR(AGGREGATE(15,6,(ROW(Zeiterfassung!$D$6:$D$3665)-ROW(Zeiterfassung!$D$6)+1)/(Zeiterfassung!$D$6:$D$3665&lt;&gt;""),2272),"")</f>
        <v/>
      </c>
    </row>
    <row r="2278" ht="20" customHeight="1">
      <c r="A2278" s="183">
        <f>IF($K2278="","",WEEKNUM(INDEX(Zeiterfassung!$K$6:$K$3665,$K2278),21))</f>
        <v/>
      </c>
      <c r="B2278" s="184">
        <f>IF($K2278="","",INDEX(Zeiterfassung!$K$6:$K$3665,$K2278))</f>
        <v/>
      </c>
      <c r="C2278" s="185">
        <f>IF($K2278="","",INDEX(Zeiterfassung!$K$6:$K$3665,$K2278))</f>
        <v/>
      </c>
      <c r="D2278" s="186">
        <f>IF($K2278="","",INDEX(Zeiterfassung!$D$6:$D$3665,$K2278))</f>
        <v/>
      </c>
      <c r="E2278" s="186">
        <f>IF($K2278="","",INDEX(Zeiterfassung!$E$6:$E$3665,$K2278))</f>
        <v/>
      </c>
      <c r="F2278" s="187">
        <f>IF($K2278="","",INDEX(Zeiterfassung!$F$6:$F$3665,$K2278))</f>
        <v/>
      </c>
      <c r="G2278" s="187">
        <f>IF($K2278="","",INDEX(Zeiterfassung!$G$6:$G$3665,$K2278))</f>
        <v/>
      </c>
      <c r="H2278" s="188">
        <f>IF($K2278="","",INDEX(Zeiterfassung!$H$6:$H$3665,$K2278))</f>
        <v/>
      </c>
      <c r="I2278" s="335">
        <f>IF(B2278=B2277,"",IF($K2278="","",INDEX(Zeiterfassung!$I$6:$I$3665,MATCH(INDEX(Zeiterfassung!$K$6:$K$3665,$K2278),Zeiterfassung!$K$6:$K$3665,0))))</f>
        <v/>
      </c>
      <c r="J2278" s="335">
        <f>IF(B2278=B2277,"",IF($K2278="","",INDEX(Zeiterfassung!$J$6:$J$3665,MATCH(INDEX(Zeiterfassung!$K$6:$K$3665,$K2278),Zeiterfassung!$K$6:$K$3665,0))))</f>
        <v/>
      </c>
      <c r="K2278">
        <f>IFERROR(AGGREGATE(15,6,(ROW(Zeiterfassung!$D$6:$D$3665)-ROW(Zeiterfassung!$D$6)+1)/(Zeiterfassung!$D$6:$D$3665&lt;&gt;""),2273),"")</f>
        <v/>
      </c>
    </row>
    <row r="2279" ht="20" customHeight="1">
      <c r="A2279" s="183">
        <f>IF($K2279="","",WEEKNUM(INDEX(Zeiterfassung!$K$6:$K$3665,$K2279),21))</f>
        <v/>
      </c>
      <c r="B2279" s="184">
        <f>IF($K2279="","",INDEX(Zeiterfassung!$K$6:$K$3665,$K2279))</f>
        <v/>
      </c>
      <c r="C2279" s="185">
        <f>IF($K2279="","",INDEX(Zeiterfassung!$K$6:$K$3665,$K2279))</f>
        <v/>
      </c>
      <c r="D2279" s="186">
        <f>IF($K2279="","",INDEX(Zeiterfassung!$D$6:$D$3665,$K2279))</f>
        <v/>
      </c>
      <c r="E2279" s="186">
        <f>IF($K2279="","",INDEX(Zeiterfassung!$E$6:$E$3665,$K2279))</f>
        <v/>
      </c>
      <c r="F2279" s="187">
        <f>IF($K2279="","",INDEX(Zeiterfassung!$F$6:$F$3665,$K2279))</f>
        <v/>
      </c>
      <c r="G2279" s="187">
        <f>IF($K2279="","",INDEX(Zeiterfassung!$G$6:$G$3665,$K2279))</f>
        <v/>
      </c>
      <c r="H2279" s="188">
        <f>IF($K2279="","",INDEX(Zeiterfassung!$H$6:$H$3665,$K2279))</f>
        <v/>
      </c>
      <c r="I2279" s="335">
        <f>IF(B2279=B2278,"",IF($K2279="","",INDEX(Zeiterfassung!$I$6:$I$3665,MATCH(INDEX(Zeiterfassung!$K$6:$K$3665,$K2279),Zeiterfassung!$K$6:$K$3665,0))))</f>
        <v/>
      </c>
      <c r="J2279" s="335">
        <f>IF(B2279=B2278,"",IF($K2279="","",INDEX(Zeiterfassung!$J$6:$J$3665,MATCH(INDEX(Zeiterfassung!$K$6:$K$3665,$K2279),Zeiterfassung!$K$6:$K$3665,0))))</f>
        <v/>
      </c>
      <c r="K2279">
        <f>IFERROR(AGGREGATE(15,6,(ROW(Zeiterfassung!$D$6:$D$3665)-ROW(Zeiterfassung!$D$6)+1)/(Zeiterfassung!$D$6:$D$3665&lt;&gt;""),2274),"")</f>
        <v/>
      </c>
    </row>
    <row r="2280" ht="20" customHeight="1">
      <c r="A2280" s="183">
        <f>IF($K2280="","",WEEKNUM(INDEX(Zeiterfassung!$K$6:$K$3665,$K2280),21))</f>
        <v/>
      </c>
      <c r="B2280" s="184">
        <f>IF($K2280="","",INDEX(Zeiterfassung!$K$6:$K$3665,$K2280))</f>
        <v/>
      </c>
      <c r="C2280" s="185">
        <f>IF($K2280="","",INDEX(Zeiterfassung!$K$6:$K$3665,$K2280))</f>
        <v/>
      </c>
      <c r="D2280" s="186">
        <f>IF($K2280="","",INDEX(Zeiterfassung!$D$6:$D$3665,$K2280))</f>
        <v/>
      </c>
      <c r="E2280" s="186">
        <f>IF($K2280="","",INDEX(Zeiterfassung!$E$6:$E$3665,$K2280))</f>
        <v/>
      </c>
      <c r="F2280" s="187">
        <f>IF($K2280="","",INDEX(Zeiterfassung!$F$6:$F$3665,$K2280))</f>
        <v/>
      </c>
      <c r="G2280" s="187">
        <f>IF($K2280="","",INDEX(Zeiterfassung!$G$6:$G$3665,$K2280))</f>
        <v/>
      </c>
      <c r="H2280" s="188">
        <f>IF($K2280="","",INDEX(Zeiterfassung!$H$6:$H$3665,$K2280))</f>
        <v/>
      </c>
      <c r="I2280" s="335">
        <f>IF(B2280=B2279,"",IF($K2280="","",INDEX(Zeiterfassung!$I$6:$I$3665,MATCH(INDEX(Zeiterfassung!$K$6:$K$3665,$K2280),Zeiterfassung!$K$6:$K$3665,0))))</f>
        <v/>
      </c>
      <c r="J2280" s="335">
        <f>IF(B2280=B2279,"",IF($K2280="","",INDEX(Zeiterfassung!$J$6:$J$3665,MATCH(INDEX(Zeiterfassung!$K$6:$K$3665,$K2280),Zeiterfassung!$K$6:$K$3665,0))))</f>
        <v/>
      </c>
      <c r="K2280">
        <f>IFERROR(AGGREGATE(15,6,(ROW(Zeiterfassung!$D$6:$D$3665)-ROW(Zeiterfassung!$D$6)+1)/(Zeiterfassung!$D$6:$D$3665&lt;&gt;""),2275),"")</f>
        <v/>
      </c>
    </row>
    <row r="2281" ht="20" customHeight="1">
      <c r="A2281" s="183">
        <f>IF($K2281="","",WEEKNUM(INDEX(Zeiterfassung!$K$6:$K$3665,$K2281),21))</f>
        <v/>
      </c>
      <c r="B2281" s="184">
        <f>IF($K2281="","",INDEX(Zeiterfassung!$K$6:$K$3665,$K2281))</f>
        <v/>
      </c>
      <c r="C2281" s="185">
        <f>IF($K2281="","",INDEX(Zeiterfassung!$K$6:$K$3665,$K2281))</f>
        <v/>
      </c>
      <c r="D2281" s="186">
        <f>IF($K2281="","",INDEX(Zeiterfassung!$D$6:$D$3665,$K2281))</f>
        <v/>
      </c>
      <c r="E2281" s="186">
        <f>IF($K2281="","",INDEX(Zeiterfassung!$E$6:$E$3665,$K2281))</f>
        <v/>
      </c>
      <c r="F2281" s="187">
        <f>IF($K2281="","",INDEX(Zeiterfassung!$F$6:$F$3665,$K2281))</f>
        <v/>
      </c>
      <c r="G2281" s="187">
        <f>IF($K2281="","",INDEX(Zeiterfassung!$G$6:$G$3665,$K2281))</f>
        <v/>
      </c>
      <c r="H2281" s="188">
        <f>IF($K2281="","",INDEX(Zeiterfassung!$H$6:$H$3665,$K2281))</f>
        <v/>
      </c>
      <c r="I2281" s="335">
        <f>IF(B2281=B2280,"",IF($K2281="","",INDEX(Zeiterfassung!$I$6:$I$3665,MATCH(INDEX(Zeiterfassung!$K$6:$K$3665,$K2281),Zeiterfassung!$K$6:$K$3665,0))))</f>
        <v/>
      </c>
      <c r="J2281" s="335">
        <f>IF(B2281=B2280,"",IF($K2281="","",INDEX(Zeiterfassung!$J$6:$J$3665,MATCH(INDEX(Zeiterfassung!$K$6:$K$3665,$K2281),Zeiterfassung!$K$6:$K$3665,0))))</f>
        <v/>
      </c>
      <c r="K2281">
        <f>IFERROR(AGGREGATE(15,6,(ROW(Zeiterfassung!$D$6:$D$3665)-ROW(Zeiterfassung!$D$6)+1)/(Zeiterfassung!$D$6:$D$3665&lt;&gt;""),2276),"")</f>
        <v/>
      </c>
    </row>
    <row r="2282" ht="20" customHeight="1">
      <c r="A2282" s="183">
        <f>IF($K2282="","",WEEKNUM(INDEX(Zeiterfassung!$K$6:$K$3665,$K2282),21))</f>
        <v/>
      </c>
      <c r="B2282" s="184">
        <f>IF($K2282="","",INDEX(Zeiterfassung!$K$6:$K$3665,$K2282))</f>
        <v/>
      </c>
      <c r="C2282" s="185">
        <f>IF($K2282="","",INDEX(Zeiterfassung!$K$6:$K$3665,$K2282))</f>
        <v/>
      </c>
      <c r="D2282" s="186">
        <f>IF($K2282="","",INDEX(Zeiterfassung!$D$6:$D$3665,$K2282))</f>
        <v/>
      </c>
      <c r="E2282" s="186">
        <f>IF($K2282="","",INDEX(Zeiterfassung!$E$6:$E$3665,$K2282))</f>
        <v/>
      </c>
      <c r="F2282" s="187">
        <f>IF($K2282="","",INDEX(Zeiterfassung!$F$6:$F$3665,$K2282))</f>
        <v/>
      </c>
      <c r="G2282" s="187">
        <f>IF($K2282="","",INDEX(Zeiterfassung!$G$6:$G$3665,$K2282))</f>
        <v/>
      </c>
      <c r="H2282" s="188">
        <f>IF($K2282="","",INDEX(Zeiterfassung!$H$6:$H$3665,$K2282))</f>
        <v/>
      </c>
      <c r="I2282" s="335">
        <f>IF(B2282=B2281,"",IF($K2282="","",INDEX(Zeiterfassung!$I$6:$I$3665,MATCH(INDEX(Zeiterfassung!$K$6:$K$3665,$K2282),Zeiterfassung!$K$6:$K$3665,0))))</f>
        <v/>
      </c>
      <c r="J2282" s="335">
        <f>IF(B2282=B2281,"",IF($K2282="","",INDEX(Zeiterfassung!$J$6:$J$3665,MATCH(INDEX(Zeiterfassung!$K$6:$K$3665,$K2282),Zeiterfassung!$K$6:$K$3665,0))))</f>
        <v/>
      </c>
      <c r="K2282">
        <f>IFERROR(AGGREGATE(15,6,(ROW(Zeiterfassung!$D$6:$D$3665)-ROW(Zeiterfassung!$D$6)+1)/(Zeiterfassung!$D$6:$D$3665&lt;&gt;""),2277),"")</f>
        <v/>
      </c>
    </row>
    <row r="2283" ht="20" customHeight="1">
      <c r="A2283" s="183">
        <f>IF($K2283="","",WEEKNUM(INDEX(Zeiterfassung!$K$6:$K$3665,$K2283),21))</f>
        <v/>
      </c>
      <c r="B2283" s="184">
        <f>IF($K2283="","",INDEX(Zeiterfassung!$K$6:$K$3665,$K2283))</f>
        <v/>
      </c>
      <c r="C2283" s="185">
        <f>IF($K2283="","",INDEX(Zeiterfassung!$K$6:$K$3665,$K2283))</f>
        <v/>
      </c>
      <c r="D2283" s="186">
        <f>IF($K2283="","",INDEX(Zeiterfassung!$D$6:$D$3665,$K2283))</f>
        <v/>
      </c>
      <c r="E2283" s="186">
        <f>IF($K2283="","",INDEX(Zeiterfassung!$E$6:$E$3665,$K2283))</f>
        <v/>
      </c>
      <c r="F2283" s="187">
        <f>IF($K2283="","",INDEX(Zeiterfassung!$F$6:$F$3665,$K2283))</f>
        <v/>
      </c>
      <c r="G2283" s="187">
        <f>IF($K2283="","",INDEX(Zeiterfassung!$G$6:$G$3665,$K2283))</f>
        <v/>
      </c>
      <c r="H2283" s="188">
        <f>IF($K2283="","",INDEX(Zeiterfassung!$H$6:$H$3665,$K2283))</f>
        <v/>
      </c>
      <c r="I2283" s="335">
        <f>IF(B2283=B2282,"",IF($K2283="","",INDEX(Zeiterfassung!$I$6:$I$3665,MATCH(INDEX(Zeiterfassung!$K$6:$K$3665,$K2283),Zeiterfassung!$K$6:$K$3665,0))))</f>
        <v/>
      </c>
      <c r="J2283" s="335">
        <f>IF(B2283=B2282,"",IF($K2283="","",INDEX(Zeiterfassung!$J$6:$J$3665,MATCH(INDEX(Zeiterfassung!$K$6:$K$3665,$K2283),Zeiterfassung!$K$6:$K$3665,0))))</f>
        <v/>
      </c>
      <c r="K2283">
        <f>IFERROR(AGGREGATE(15,6,(ROW(Zeiterfassung!$D$6:$D$3665)-ROW(Zeiterfassung!$D$6)+1)/(Zeiterfassung!$D$6:$D$3665&lt;&gt;""),2278),"")</f>
        <v/>
      </c>
    </row>
    <row r="2284" ht="20" customHeight="1">
      <c r="A2284" s="183">
        <f>IF($K2284="","",WEEKNUM(INDEX(Zeiterfassung!$K$6:$K$3665,$K2284),21))</f>
        <v/>
      </c>
      <c r="B2284" s="184">
        <f>IF($K2284="","",INDEX(Zeiterfassung!$K$6:$K$3665,$K2284))</f>
        <v/>
      </c>
      <c r="C2284" s="185">
        <f>IF($K2284="","",INDEX(Zeiterfassung!$K$6:$K$3665,$K2284))</f>
        <v/>
      </c>
      <c r="D2284" s="186">
        <f>IF($K2284="","",INDEX(Zeiterfassung!$D$6:$D$3665,$K2284))</f>
        <v/>
      </c>
      <c r="E2284" s="186">
        <f>IF($K2284="","",INDEX(Zeiterfassung!$E$6:$E$3665,$K2284))</f>
        <v/>
      </c>
      <c r="F2284" s="187">
        <f>IF($K2284="","",INDEX(Zeiterfassung!$F$6:$F$3665,$K2284))</f>
        <v/>
      </c>
      <c r="G2284" s="187">
        <f>IF($K2284="","",INDEX(Zeiterfassung!$G$6:$G$3665,$K2284))</f>
        <v/>
      </c>
      <c r="H2284" s="188">
        <f>IF($K2284="","",INDEX(Zeiterfassung!$H$6:$H$3665,$K2284))</f>
        <v/>
      </c>
      <c r="I2284" s="335">
        <f>IF(B2284=B2283,"",IF($K2284="","",INDEX(Zeiterfassung!$I$6:$I$3665,MATCH(INDEX(Zeiterfassung!$K$6:$K$3665,$K2284),Zeiterfassung!$K$6:$K$3665,0))))</f>
        <v/>
      </c>
      <c r="J2284" s="335">
        <f>IF(B2284=B2283,"",IF($K2284="","",INDEX(Zeiterfassung!$J$6:$J$3665,MATCH(INDEX(Zeiterfassung!$K$6:$K$3665,$K2284),Zeiterfassung!$K$6:$K$3665,0))))</f>
        <v/>
      </c>
      <c r="K2284">
        <f>IFERROR(AGGREGATE(15,6,(ROW(Zeiterfassung!$D$6:$D$3665)-ROW(Zeiterfassung!$D$6)+1)/(Zeiterfassung!$D$6:$D$3665&lt;&gt;""),2279),"")</f>
        <v/>
      </c>
    </row>
    <row r="2285" ht="20" customHeight="1">
      <c r="A2285" s="183">
        <f>IF($K2285="","",WEEKNUM(INDEX(Zeiterfassung!$K$6:$K$3665,$K2285),21))</f>
        <v/>
      </c>
      <c r="B2285" s="184">
        <f>IF($K2285="","",INDEX(Zeiterfassung!$K$6:$K$3665,$K2285))</f>
        <v/>
      </c>
      <c r="C2285" s="185">
        <f>IF($K2285="","",INDEX(Zeiterfassung!$K$6:$K$3665,$K2285))</f>
        <v/>
      </c>
      <c r="D2285" s="186">
        <f>IF($K2285="","",INDEX(Zeiterfassung!$D$6:$D$3665,$K2285))</f>
        <v/>
      </c>
      <c r="E2285" s="186">
        <f>IF($K2285="","",INDEX(Zeiterfassung!$E$6:$E$3665,$K2285))</f>
        <v/>
      </c>
      <c r="F2285" s="187">
        <f>IF($K2285="","",INDEX(Zeiterfassung!$F$6:$F$3665,$K2285))</f>
        <v/>
      </c>
      <c r="G2285" s="187">
        <f>IF($K2285="","",INDEX(Zeiterfassung!$G$6:$G$3665,$K2285))</f>
        <v/>
      </c>
      <c r="H2285" s="188">
        <f>IF($K2285="","",INDEX(Zeiterfassung!$H$6:$H$3665,$K2285))</f>
        <v/>
      </c>
      <c r="I2285" s="335">
        <f>IF(B2285=B2284,"",IF($K2285="","",INDEX(Zeiterfassung!$I$6:$I$3665,MATCH(INDEX(Zeiterfassung!$K$6:$K$3665,$K2285),Zeiterfassung!$K$6:$K$3665,0))))</f>
        <v/>
      </c>
      <c r="J2285" s="335">
        <f>IF(B2285=B2284,"",IF($K2285="","",INDEX(Zeiterfassung!$J$6:$J$3665,MATCH(INDEX(Zeiterfassung!$K$6:$K$3665,$K2285),Zeiterfassung!$K$6:$K$3665,0))))</f>
        <v/>
      </c>
      <c r="K2285">
        <f>IFERROR(AGGREGATE(15,6,(ROW(Zeiterfassung!$D$6:$D$3665)-ROW(Zeiterfassung!$D$6)+1)/(Zeiterfassung!$D$6:$D$3665&lt;&gt;""),2280),"")</f>
        <v/>
      </c>
    </row>
    <row r="2286" ht="20" customHeight="1">
      <c r="A2286" s="183">
        <f>IF($K2286="","",WEEKNUM(INDEX(Zeiterfassung!$K$6:$K$3665,$K2286),21))</f>
        <v/>
      </c>
      <c r="B2286" s="184">
        <f>IF($K2286="","",INDEX(Zeiterfassung!$K$6:$K$3665,$K2286))</f>
        <v/>
      </c>
      <c r="C2286" s="185">
        <f>IF($K2286="","",INDEX(Zeiterfassung!$K$6:$K$3665,$K2286))</f>
        <v/>
      </c>
      <c r="D2286" s="186">
        <f>IF($K2286="","",INDEX(Zeiterfassung!$D$6:$D$3665,$K2286))</f>
        <v/>
      </c>
      <c r="E2286" s="186">
        <f>IF($K2286="","",INDEX(Zeiterfassung!$E$6:$E$3665,$K2286))</f>
        <v/>
      </c>
      <c r="F2286" s="187">
        <f>IF($K2286="","",INDEX(Zeiterfassung!$F$6:$F$3665,$K2286))</f>
        <v/>
      </c>
      <c r="G2286" s="187">
        <f>IF($K2286="","",INDEX(Zeiterfassung!$G$6:$G$3665,$K2286))</f>
        <v/>
      </c>
      <c r="H2286" s="188">
        <f>IF($K2286="","",INDEX(Zeiterfassung!$H$6:$H$3665,$K2286))</f>
        <v/>
      </c>
      <c r="I2286" s="335">
        <f>IF(B2286=B2285,"",IF($K2286="","",INDEX(Zeiterfassung!$I$6:$I$3665,MATCH(INDEX(Zeiterfassung!$K$6:$K$3665,$K2286),Zeiterfassung!$K$6:$K$3665,0))))</f>
        <v/>
      </c>
      <c r="J2286" s="335">
        <f>IF(B2286=B2285,"",IF($K2286="","",INDEX(Zeiterfassung!$J$6:$J$3665,MATCH(INDEX(Zeiterfassung!$K$6:$K$3665,$K2286),Zeiterfassung!$K$6:$K$3665,0))))</f>
        <v/>
      </c>
      <c r="K2286">
        <f>IFERROR(AGGREGATE(15,6,(ROW(Zeiterfassung!$D$6:$D$3665)-ROW(Zeiterfassung!$D$6)+1)/(Zeiterfassung!$D$6:$D$3665&lt;&gt;""),2281),"")</f>
        <v/>
      </c>
    </row>
    <row r="2287" ht="20" customHeight="1">
      <c r="A2287" s="183">
        <f>IF($K2287="","",WEEKNUM(INDEX(Zeiterfassung!$K$6:$K$3665,$K2287),21))</f>
        <v/>
      </c>
      <c r="B2287" s="184">
        <f>IF($K2287="","",INDEX(Zeiterfassung!$K$6:$K$3665,$K2287))</f>
        <v/>
      </c>
      <c r="C2287" s="185">
        <f>IF($K2287="","",INDEX(Zeiterfassung!$K$6:$K$3665,$K2287))</f>
        <v/>
      </c>
      <c r="D2287" s="186">
        <f>IF($K2287="","",INDEX(Zeiterfassung!$D$6:$D$3665,$K2287))</f>
        <v/>
      </c>
      <c r="E2287" s="186">
        <f>IF($K2287="","",INDEX(Zeiterfassung!$E$6:$E$3665,$K2287))</f>
        <v/>
      </c>
      <c r="F2287" s="187">
        <f>IF($K2287="","",INDEX(Zeiterfassung!$F$6:$F$3665,$K2287))</f>
        <v/>
      </c>
      <c r="G2287" s="187">
        <f>IF($K2287="","",INDEX(Zeiterfassung!$G$6:$G$3665,$K2287))</f>
        <v/>
      </c>
      <c r="H2287" s="188">
        <f>IF($K2287="","",INDEX(Zeiterfassung!$H$6:$H$3665,$K2287))</f>
        <v/>
      </c>
      <c r="I2287" s="335">
        <f>IF(B2287=B2286,"",IF($K2287="","",INDEX(Zeiterfassung!$I$6:$I$3665,MATCH(INDEX(Zeiterfassung!$K$6:$K$3665,$K2287),Zeiterfassung!$K$6:$K$3665,0))))</f>
        <v/>
      </c>
      <c r="J2287" s="335">
        <f>IF(B2287=B2286,"",IF($K2287="","",INDEX(Zeiterfassung!$J$6:$J$3665,MATCH(INDEX(Zeiterfassung!$K$6:$K$3665,$K2287),Zeiterfassung!$K$6:$K$3665,0))))</f>
        <v/>
      </c>
      <c r="K2287">
        <f>IFERROR(AGGREGATE(15,6,(ROW(Zeiterfassung!$D$6:$D$3665)-ROW(Zeiterfassung!$D$6)+1)/(Zeiterfassung!$D$6:$D$3665&lt;&gt;""),2282),"")</f>
        <v/>
      </c>
    </row>
    <row r="2288" ht="20" customHeight="1">
      <c r="A2288" s="183">
        <f>IF($K2288="","",WEEKNUM(INDEX(Zeiterfassung!$K$6:$K$3665,$K2288),21))</f>
        <v/>
      </c>
      <c r="B2288" s="184">
        <f>IF($K2288="","",INDEX(Zeiterfassung!$K$6:$K$3665,$K2288))</f>
        <v/>
      </c>
      <c r="C2288" s="185">
        <f>IF($K2288="","",INDEX(Zeiterfassung!$K$6:$K$3665,$K2288))</f>
        <v/>
      </c>
      <c r="D2288" s="186">
        <f>IF($K2288="","",INDEX(Zeiterfassung!$D$6:$D$3665,$K2288))</f>
        <v/>
      </c>
      <c r="E2288" s="186">
        <f>IF($K2288="","",INDEX(Zeiterfassung!$E$6:$E$3665,$K2288))</f>
        <v/>
      </c>
      <c r="F2288" s="187">
        <f>IF($K2288="","",INDEX(Zeiterfassung!$F$6:$F$3665,$K2288))</f>
        <v/>
      </c>
      <c r="G2288" s="187">
        <f>IF($K2288="","",INDEX(Zeiterfassung!$G$6:$G$3665,$K2288))</f>
        <v/>
      </c>
      <c r="H2288" s="188">
        <f>IF($K2288="","",INDEX(Zeiterfassung!$H$6:$H$3665,$K2288))</f>
        <v/>
      </c>
      <c r="I2288" s="335">
        <f>IF(B2288=B2287,"",IF($K2288="","",INDEX(Zeiterfassung!$I$6:$I$3665,MATCH(INDEX(Zeiterfassung!$K$6:$K$3665,$K2288),Zeiterfassung!$K$6:$K$3665,0))))</f>
        <v/>
      </c>
      <c r="J2288" s="335">
        <f>IF(B2288=B2287,"",IF($K2288="","",INDEX(Zeiterfassung!$J$6:$J$3665,MATCH(INDEX(Zeiterfassung!$K$6:$K$3665,$K2288),Zeiterfassung!$K$6:$K$3665,0))))</f>
        <v/>
      </c>
      <c r="K2288">
        <f>IFERROR(AGGREGATE(15,6,(ROW(Zeiterfassung!$D$6:$D$3665)-ROW(Zeiterfassung!$D$6)+1)/(Zeiterfassung!$D$6:$D$3665&lt;&gt;""),2283),"")</f>
        <v/>
      </c>
    </row>
    <row r="2289" ht="20" customHeight="1">
      <c r="A2289" s="183">
        <f>IF($K2289="","",WEEKNUM(INDEX(Zeiterfassung!$K$6:$K$3665,$K2289),21))</f>
        <v/>
      </c>
      <c r="B2289" s="184">
        <f>IF($K2289="","",INDEX(Zeiterfassung!$K$6:$K$3665,$K2289))</f>
        <v/>
      </c>
      <c r="C2289" s="185">
        <f>IF($K2289="","",INDEX(Zeiterfassung!$K$6:$K$3665,$K2289))</f>
        <v/>
      </c>
      <c r="D2289" s="186">
        <f>IF($K2289="","",INDEX(Zeiterfassung!$D$6:$D$3665,$K2289))</f>
        <v/>
      </c>
      <c r="E2289" s="186">
        <f>IF($K2289="","",INDEX(Zeiterfassung!$E$6:$E$3665,$K2289))</f>
        <v/>
      </c>
      <c r="F2289" s="187">
        <f>IF($K2289="","",INDEX(Zeiterfassung!$F$6:$F$3665,$K2289))</f>
        <v/>
      </c>
      <c r="G2289" s="187">
        <f>IF($K2289="","",INDEX(Zeiterfassung!$G$6:$G$3665,$K2289))</f>
        <v/>
      </c>
      <c r="H2289" s="188">
        <f>IF($K2289="","",INDEX(Zeiterfassung!$H$6:$H$3665,$K2289))</f>
        <v/>
      </c>
      <c r="I2289" s="335">
        <f>IF(B2289=B2288,"",IF($K2289="","",INDEX(Zeiterfassung!$I$6:$I$3665,MATCH(INDEX(Zeiterfassung!$K$6:$K$3665,$K2289),Zeiterfassung!$K$6:$K$3665,0))))</f>
        <v/>
      </c>
      <c r="J2289" s="335">
        <f>IF(B2289=B2288,"",IF($K2289="","",INDEX(Zeiterfassung!$J$6:$J$3665,MATCH(INDEX(Zeiterfassung!$K$6:$K$3665,$K2289),Zeiterfassung!$K$6:$K$3665,0))))</f>
        <v/>
      </c>
      <c r="K2289">
        <f>IFERROR(AGGREGATE(15,6,(ROW(Zeiterfassung!$D$6:$D$3665)-ROW(Zeiterfassung!$D$6)+1)/(Zeiterfassung!$D$6:$D$3665&lt;&gt;""),2284),"")</f>
        <v/>
      </c>
    </row>
    <row r="2290" ht="20" customHeight="1">
      <c r="A2290" s="183">
        <f>IF($K2290="","",WEEKNUM(INDEX(Zeiterfassung!$K$6:$K$3665,$K2290),21))</f>
        <v/>
      </c>
      <c r="B2290" s="184">
        <f>IF($K2290="","",INDEX(Zeiterfassung!$K$6:$K$3665,$K2290))</f>
        <v/>
      </c>
      <c r="C2290" s="185">
        <f>IF($K2290="","",INDEX(Zeiterfassung!$K$6:$K$3665,$K2290))</f>
        <v/>
      </c>
      <c r="D2290" s="186">
        <f>IF($K2290="","",INDEX(Zeiterfassung!$D$6:$D$3665,$K2290))</f>
        <v/>
      </c>
      <c r="E2290" s="186">
        <f>IF($K2290="","",INDEX(Zeiterfassung!$E$6:$E$3665,$K2290))</f>
        <v/>
      </c>
      <c r="F2290" s="187">
        <f>IF($K2290="","",INDEX(Zeiterfassung!$F$6:$F$3665,$K2290))</f>
        <v/>
      </c>
      <c r="G2290" s="187">
        <f>IF($K2290="","",INDEX(Zeiterfassung!$G$6:$G$3665,$K2290))</f>
        <v/>
      </c>
      <c r="H2290" s="188">
        <f>IF($K2290="","",INDEX(Zeiterfassung!$H$6:$H$3665,$K2290))</f>
        <v/>
      </c>
      <c r="I2290" s="335">
        <f>IF(B2290=B2289,"",IF($K2290="","",INDEX(Zeiterfassung!$I$6:$I$3665,MATCH(INDEX(Zeiterfassung!$K$6:$K$3665,$K2290),Zeiterfassung!$K$6:$K$3665,0))))</f>
        <v/>
      </c>
      <c r="J2290" s="335">
        <f>IF(B2290=B2289,"",IF($K2290="","",INDEX(Zeiterfassung!$J$6:$J$3665,MATCH(INDEX(Zeiterfassung!$K$6:$K$3665,$K2290),Zeiterfassung!$K$6:$K$3665,0))))</f>
        <v/>
      </c>
      <c r="K2290">
        <f>IFERROR(AGGREGATE(15,6,(ROW(Zeiterfassung!$D$6:$D$3665)-ROW(Zeiterfassung!$D$6)+1)/(Zeiterfassung!$D$6:$D$3665&lt;&gt;""),2285),"")</f>
        <v/>
      </c>
    </row>
    <row r="2291" ht="20" customHeight="1">
      <c r="A2291" s="183">
        <f>IF($K2291="","",WEEKNUM(INDEX(Zeiterfassung!$K$6:$K$3665,$K2291),21))</f>
        <v/>
      </c>
      <c r="B2291" s="184">
        <f>IF($K2291="","",INDEX(Zeiterfassung!$K$6:$K$3665,$K2291))</f>
        <v/>
      </c>
      <c r="C2291" s="185">
        <f>IF($K2291="","",INDEX(Zeiterfassung!$K$6:$K$3665,$K2291))</f>
        <v/>
      </c>
      <c r="D2291" s="186">
        <f>IF($K2291="","",INDEX(Zeiterfassung!$D$6:$D$3665,$K2291))</f>
        <v/>
      </c>
      <c r="E2291" s="186">
        <f>IF($K2291="","",INDEX(Zeiterfassung!$E$6:$E$3665,$K2291))</f>
        <v/>
      </c>
      <c r="F2291" s="187">
        <f>IF($K2291="","",INDEX(Zeiterfassung!$F$6:$F$3665,$K2291))</f>
        <v/>
      </c>
      <c r="G2291" s="187">
        <f>IF($K2291="","",INDEX(Zeiterfassung!$G$6:$G$3665,$K2291))</f>
        <v/>
      </c>
      <c r="H2291" s="188">
        <f>IF($K2291="","",INDEX(Zeiterfassung!$H$6:$H$3665,$K2291))</f>
        <v/>
      </c>
      <c r="I2291" s="335">
        <f>IF(B2291=B2290,"",IF($K2291="","",INDEX(Zeiterfassung!$I$6:$I$3665,MATCH(INDEX(Zeiterfassung!$K$6:$K$3665,$K2291),Zeiterfassung!$K$6:$K$3665,0))))</f>
        <v/>
      </c>
      <c r="J2291" s="335">
        <f>IF(B2291=B2290,"",IF($K2291="","",INDEX(Zeiterfassung!$J$6:$J$3665,MATCH(INDEX(Zeiterfassung!$K$6:$K$3665,$K2291),Zeiterfassung!$K$6:$K$3665,0))))</f>
        <v/>
      </c>
      <c r="K2291">
        <f>IFERROR(AGGREGATE(15,6,(ROW(Zeiterfassung!$D$6:$D$3665)-ROW(Zeiterfassung!$D$6)+1)/(Zeiterfassung!$D$6:$D$3665&lt;&gt;""),2286),"")</f>
        <v/>
      </c>
    </row>
    <row r="2292" ht="20" customHeight="1">
      <c r="A2292" s="183">
        <f>IF($K2292="","",WEEKNUM(INDEX(Zeiterfassung!$K$6:$K$3665,$K2292),21))</f>
        <v/>
      </c>
      <c r="B2292" s="184">
        <f>IF($K2292="","",INDEX(Zeiterfassung!$K$6:$K$3665,$K2292))</f>
        <v/>
      </c>
      <c r="C2292" s="185">
        <f>IF($K2292="","",INDEX(Zeiterfassung!$K$6:$K$3665,$K2292))</f>
        <v/>
      </c>
      <c r="D2292" s="186">
        <f>IF($K2292="","",INDEX(Zeiterfassung!$D$6:$D$3665,$K2292))</f>
        <v/>
      </c>
      <c r="E2292" s="186">
        <f>IF($K2292="","",INDEX(Zeiterfassung!$E$6:$E$3665,$K2292))</f>
        <v/>
      </c>
      <c r="F2292" s="187">
        <f>IF($K2292="","",INDEX(Zeiterfassung!$F$6:$F$3665,$K2292))</f>
        <v/>
      </c>
      <c r="G2292" s="187">
        <f>IF($K2292="","",INDEX(Zeiterfassung!$G$6:$G$3665,$K2292))</f>
        <v/>
      </c>
      <c r="H2292" s="188">
        <f>IF($K2292="","",INDEX(Zeiterfassung!$H$6:$H$3665,$K2292))</f>
        <v/>
      </c>
      <c r="I2292" s="335">
        <f>IF(B2292=B2291,"",IF($K2292="","",INDEX(Zeiterfassung!$I$6:$I$3665,MATCH(INDEX(Zeiterfassung!$K$6:$K$3665,$K2292),Zeiterfassung!$K$6:$K$3665,0))))</f>
        <v/>
      </c>
      <c r="J2292" s="335">
        <f>IF(B2292=B2291,"",IF($K2292="","",INDEX(Zeiterfassung!$J$6:$J$3665,MATCH(INDEX(Zeiterfassung!$K$6:$K$3665,$K2292),Zeiterfassung!$K$6:$K$3665,0))))</f>
        <v/>
      </c>
      <c r="K2292">
        <f>IFERROR(AGGREGATE(15,6,(ROW(Zeiterfassung!$D$6:$D$3665)-ROW(Zeiterfassung!$D$6)+1)/(Zeiterfassung!$D$6:$D$3665&lt;&gt;""),2287),"")</f>
        <v/>
      </c>
    </row>
    <row r="2293" ht="20" customHeight="1">
      <c r="A2293" s="183">
        <f>IF($K2293="","",WEEKNUM(INDEX(Zeiterfassung!$K$6:$K$3665,$K2293),21))</f>
        <v/>
      </c>
      <c r="B2293" s="184">
        <f>IF($K2293="","",INDEX(Zeiterfassung!$K$6:$K$3665,$K2293))</f>
        <v/>
      </c>
      <c r="C2293" s="185">
        <f>IF($K2293="","",INDEX(Zeiterfassung!$K$6:$K$3665,$K2293))</f>
        <v/>
      </c>
      <c r="D2293" s="186">
        <f>IF($K2293="","",INDEX(Zeiterfassung!$D$6:$D$3665,$K2293))</f>
        <v/>
      </c>
      <c r="E2293" s="186">
        <f>IF($K2293="","",INDEX(Zeiterfassung!$E$6:$E$3665,$K2293))</f>
        <v/>
      </c>
      <c r="F2293" s="187">
        <f>IF($K2293="","",INDEX(Zeiterfassung!$F$6:$F$3665,$K2293))</f>
        <v/>
      </c>
      <c r="G2293" s="187">
        <f>IF($K2293="","",INDEX(Zeiterfassung!$G$6:$G$3665,$K2293))</f>
        <v/>
      </c>
      <c r="H2293" s="188">
        <f>IF($K2293="","",INDEX(Zeiterfassung!$H$6:$H$3665,$K2293))</f>
        <v/>
      </c>
      <c r="I2293" s="335">
        <f>IF(B2293=B2292,"",IF($K2293="","",INDEX(Zeiterfassung!$I$6:$I$3665,MATCH(INDEX(Zeiterfassung!$K$6:$K$3665,$K2293),Zeiterfassung!$K$6:$K$3665,0))))</f>
        <v/>
      </c>
      <c r="J2293" s="335">
        <f>IF(B2293=B2292,"",IF($K2293="","",INDEX(Zeiterfassung!$J$6:$J$3665,MATCH(INDEX(Zeiterfassung!$K$6:$K$3665,$K2293),Zeiterfassung!$K$6:$K$3665,0))))</f>
        <v/>
      </c>
      <c r="K2293">
        <f>IFERROR(AGGREGATE(15,6,(ROW(Zeiterfassung!$D$6:$D$3665)-ROW(Zeiterfassung!$D$6)+1)/(Zeiterfassung!$D$6:$D$3665&lt;&gt;""),2288),"")</f>
        <v/>
      </c>
    </row>
    <row r="2294" ht="20" customHeight="1">
      <c r="A2294" s="183">
        <f>IF($K2294="","",WEEKNUM(INDEX(Zeiterfassung!$K$6:$K$3665,$K2294),21))</f>
        <v/>
      </c>
      <c r="B2294" s="184">
        <f>IF($K2294="","",INDEX(Zeiterfassung!$K$6:$K$3665,$K2294))</f>
        <v/>
      </c>
      <c r="C2294" s="185">
        <f>IF($K2294="","",INDEX(Zeiterfassung!$K$6:$K$3665,$K2294))</f>
        <v/>
      </c>
      <c r="D2294" s="186">
        <f>IF($K2294="","",INDEX(Zeiterfassung!$D$6:$D$3665,$K2294))</f>
        <v/>
      </c>
      <c r="E2294" s="186">
        <f>IF($K2294="","",INDEX(Zeiterfassung!$E$6:$E$3665,$K2294))</f>
        <v/>
      </c>
      <c r="F2294" s="187">
        <f>IF($K2294="","",INDEX(Zeiterfassung!$F$6:$F$3665,$K2294))</f>
        <v/>
      </c>
      <c r="G2294" s="187">
        <f>IF($K2294="","",INDEX(Zeiterfassung!$G$6:$G$3665,$K2294))</f>
        <v/>
      </c>
      <c r="H2294" s="188">
        <f>IF($K2294="","",INDEX(Zeiterfassung!$H$6:$H$3665,$K2294))</f>
        <v/>
      </c>
      <c r="I2294" s="335">
        <f>IF(B2294=B2293,"",IF($K2294="","",INDEX(Zeiterfassung!$I$6:$I$3665,MATCH(INDEX(Zeiterfassung!$K$6:$K$3665,$K2294),Zeiterfassung!$K$6:$K$3665,0))))</f>
        <v/>
      </c>
      <c r="J2294" s="335">
        <f>IF(B2294=B2293,"",IF($K2294="","",INDEX(Zeiterfassung!$J$6:$J$3665,MATCH(INDEX(Zeiterfassung!$K$6:$K$3665,$K2294),Zeiterfassung!$K$6:$K$3665,0))))</f>
        <v/>
      </c>
      <c r="K2294">
        <f>IFERROR(AGGREGATE(15,6,(ROW(Zeiterfassung!$D$6:$D$3665)-ROW(Zeiterfassung!$D$6)+1)/(Zeiterfassung!$D$6:$D$3665&lt;&gt;""),2289),"")</f>
        <v/>
      </c>
    </row>
    <row r="2295" ht="20" customHeight="1">
      <c r="A2295" s="183">
        <f>IF($K2295="","",WEEKNUM(INDEX(Zeiterfassung!$K$6:$K$3665,$K2295),21))</f>
        <v/>
      </c>
      <c r="B2295" s="184">
        <f>IF($K2295="","",INDEX(Zeiterfassung!$K$6:$K$3665,$K2295))</f>
        <v/>
      </c>
      <c r="C2295" s="185">
        <f>IF($K2295="","",INDEX(Zeiterfassung!$K$6:$K$3665,$K2295))</f>
        <v/>
      </c>
      <c r="D2295" s="186">
        <f>IF($K2295="","",INDEX(Zeiterfassung!$D$6:$D$3665,$K2295))</f>
        <v/>
      </c>
      <c r="E2295" s="186">
        <f>IF($K2295="","",INDEX(Zeiterfassung!$E$6:$E$3665,$K2295))</f>
        <v/>
      </c>
      <c r="F2295" s="187">
        <f>IF($K2295="","",INDEX(Zeiterfassung!$F$6:$F$3665,$K2295))</f>
        <v/>
      </c>
      <c r="G2295" s="187">
        <f>IF($K2295="","",INDEX(Zeiterfassung!$G$6:$G$3665,$K2295))</f>
        <v/>
      </c>
      <c r="H2295" s="188">
        <f>IF($K2295="","",INDEX(Zeiterfassung!$H$6:$H$3665,$K2295))</f>
        <v/>
      </c>
      <c r="I2295" s="335">
        <f>IF(B2295=B2294,"",IF($K2295="","",INDEX(Zeiterfassung!$I$6:$I$3665,MATCH(INDEX(Zeiterfassung!$K$6:$K$3665,$K2295),Zeiterfassung!$K$6:$K$3665,0))))</f>
        <v/>
      </c>
      <c r="J2295" s="335">
        <f>IF(B2295=B2294,"",IF($K2295="","",INDEX(Zeiterfassung!$J$6:$J$3665,MATCH(INDEX(Zeiterfassung!$K$6:$K$3665,$K2295),Zeiterfassung!$K$6:$K$3665,0))))</f>
        <v/>
      </c>
      <c r="K2295">
        <f>IFERROR(AGGREGATE(15,6,(ROW(Zeiterfassung!$D$6:$D$3665)-ROW(Zeiterfassung!$D$6)+1)/(Zeiterfassung!$D$6:$D$3665&lt;&gt;""),2290),"")</f>
        <v/>
      </c>
    </row>
    <row r="2296" ht="20" customHeight="1">
      <c r="A2296" s="183">
        <f>IF($K2296="","",WEEKNUM(INDEX(Zeiterfassung!$K$6:$K$3665,$K2296),21))</f>
        <v/>
      </c>
      <c r="B2296" s="184">
        <f>IF($K2296="","",INDEX(Zeiterfassung!$K$6:$K$3665,$K2296))</f>
        <v/>
      </c>
      <c r="C2296" s="185">
        <f>IF($K2296="","",INDEX(Zeiterfassung!$K$6:$K$3665,$K2296))</f>
        <v/>
      </c>
      <c r="D2296" s="186">
        <f>IF($K2296="","",INDEX(Zeiterfassung!$D$6:$D$3665,$K2296))</f>
        <v/>
      </c>
      <c r="E2296" s="186">
        <f>IF($K2296="","",INDEX(Zeiterfassung!$E$6:$E$3665,$K2296))</f>
        <v/>
      </c>
      <c r="F2296" s="187">
        <f>IF($K2296="","",INDEX(Zeiterfassung!$F$6:$F$3665,$K2296))</f>
        <v/>
      </c>
      <c r="G2296" s="187">
        <f>IF($K2296="","",INDEX(Zeiterfassung!$G$6:$G$3665,$K2296))</f>
        <v/>
      </c>
      <c r="H2296" s="188">
        <f>IF($K2296="","",INDEX(Zeiterfassung!$H$6:$H$3665,$K2296))</f>
        <v/>
      </c>
      <c r="I2296" s="335">
        <f>IF(B2296=B2295,"",IF($K2296="","",INDEX(Zeiterfassung!$I$6:$I$3665,MATCH(INDEX(Zeiterfassung!$K$6:$K$3665,$K2296),Zeiterfassung!$K$6:$K$3665,0))))</f>
        <v/>
      </c>
      <c r="J2296" s="335">
        <f>IF(B2296=B2295,"",IF($K2296="","",INDEX(Zeiterfassung!$J$6:$J$3665,MATCH(INDEX(Zeiterfassung!$K$6:$K$3665,$K2296),Zeiterfassung!$K$6:$K$3665,0))))</f>
        <v/>
      </c>
      <c r="K2296">
        <f>IFERROR(AGGREGATE(15,6,(ROW(Zeiterfassung!$D$6:$D$3665)-ROW(Zeiterfassung!$D$6)+1)/(Zeiterfassung!$D$6:$D$3665&lt;&gt;""),2291),"")</f>
        <v/>
      </c>
    </row>
    <row r="2297" ht="20" customHeight="1">
      <c r="A2297" s="183">
        <f>IF($K2297="","",WEEKNUM(INDEX(Zeiterfassung!$K$6:$K$3665,$K2297),21))</f>
        <v/>
      </c>
      <c r="B2297" s="184">
        <f>IF($K2297="","",INDEX(Zeiterfassung!$K$6:$K$3665,$K2297))</f>
        <v/>
      </c>
      <c r="C2297" s="185">
        <f>IF($K2297="","",INDEX(Zeiterfassung!$K$6:$K$3665,$K2297))</f>
        <v/>
      </c>
      <c r="D2297" s="186">
        <f>IF($K2297="","",INDEX(Zeiterfassung!$D$6:$D$3665,$K2297))</f>
        <v/>
      </c>
      <c r="E2297" s="186">
        <f>IF($K2297="","",INDEX(Zeiterfassung!$E$6:$E$3665,$K2297))</f>
        <v/>
      </c>
      <c r="F2297" s="187">
        <f>IF($K2297="","",INDEX(Zeiterfassung!$F$6:$F$3665,$K2297))</f>
        <v/>
      </c>
      <c r="G2297" s="187">
        <f>IF($K2297="","",INDEX(Zeiterfassung!$G$6:$G$3665,$K2297))</f>
        <v/>
      </c>
      <c r="H2297" s="188">
        <f>IF($K2297="","",INDEX(Zeiterfassung!$H$6:$H$3665,$K2297))</f>
        <v/>
      </c>
      <c r="I2297" s="335">
        <f>IF(B2297=B2296,"",IF($K2297="","",INDEX(Zeiterfassung!$I$6:$I$3665,MATCH(INDEX(Zeiterfassung!$K$6:$K$3665,$K2297),Zeiterfassung!$K$6:$K$3665,0))))</f>
        <v/>
      </c>
      <c r="J2297" s="335">
        <f>IF(B2297=B2296,"",IF($K2297="","",INDEX(Zeiterfassung!$J$6:$J$3665,MATCH(INDEX(Zeiterfassung!$K$6:$K$3665,$K2297),Zeiterfassung!$K$6:$K$3665,0))))</f>
        <v/>
      </c>
      <c r="K2297">
        <f>IFERROR(AGGREGATE(15,6,(ROW(Zeiterfassung!$D$6:$D$3665)-ROW(Zeiterfassung!$D$6)+1)/(Zeiterfassung!$D$6:$D$3665&lt;&gt;""),2292),"")</f>
        <v/>
      </c>
    </row>
    <row r="2298" ht="20" customHeight="1">
      <c r="A2298" s="183">
        <f>IF($K2298="","",WEEKNUM(INDEX(Zeiterfassung!$K$6:$K$3665,$K2298),21))</f>
        <v/>
      </c>
      <c r="B2298" s="184">
        <f>IF($K2298="","",INDEX(Zeiterfassung!$K$6:$K$3665,$K2298))</f>
        <v/>
      </c>
      <c r="C2298" s="185">
        <f>IF($K2298="","",INDEX(Zeiterfassung!$K$6:$K$3665,$K2298))</f>
        <v/>
      </c>
      <c r="D2298" s="186">
        <f>IF($K2298="","",INDEX(Zeiterfassung!$D$6:$D$3665,$K2298))</f>
        <v/>
      </c>
      <c r="E2298" s="186">
        <f>IF($K2298="","",INDEX(Zeiterfassung!$E$6:$E$3665,$K2298))</f>
        <v/>
      </c>
      <c r="F2298" s="187">
        <f>IF($K2298="","",INDEX(Zeiterfassung!$F$6:$F$3665,$K2298))</f>
        <v/>
      </c>
      <c r="G2298" s="187">
        <f>IF($K2298="","",INDEX(Zeiterfassung!$G$6:$G$3665,$K2298))</f>
        <v/>
      </c>
      <c r="H2298" s="188">
        <f>IF($K2298="","",INDEX(Zeiterfassung!$H$6:$H$3665,$K2298))</f>
        <v/>
      </c>
      <c r="I2298" s="335">
        <f>IF(B2298=B2297,"",IF($K2298="","",INDEX(Zeiterfassung!$I$6:$I$3665,MATCH(INDEX(Zeiterfassung!$K$6:$K$3665,$K2298),Zeiterfassung!$K$6:$K$3665,0))))</f>
        <v/>
      </c>
      <c r="J2298" s="335">
        <f>IF(B2298=B2297,"",IF($K2298="","",INDEX(Zeiterfassung!$J$6:$J$3665,MATCH(INDEX(Zeiterfassung!$K$6:$K$3665,$K2298),Zeiterfassung!$K$6:$K$3665,0))))</f>
        <v/>
      </c>
      <c r="K2298">
        <f>IFERROR(AGGREGATE(15,6,(ROW(Zeiterfassung!$D$6:$D$3665)-ROW(Zeiterfassung!$D$6)+1)/(Zeiterfassung!$D$6:$D$3665&lt;&gt;""),2293),"")</f>
        <v/>
      </c>
    </row>
    <row r="2299" ht="20" customHeight="1">
      <c r="A2299" s="183">
        <f>IF($K2299="","",WEEKNUM(INDEX(Zeiterfassung!$K$6:$K$3665,$K2299),21))</f>
        <v/>
      </c>
      <c r="B2299" s="184">
        <f>IF($K2299="","",INDEX(Zeiterfassung!$K$6:$K$3665,$K2299))</f>
        <v/>
      </c>
      <c r="C2299" s="185">
        <f>IF($K2299="","",INDEX(Zeiterfassung!$K$6:$K$3665,$K2299))</f>
        <v/>
      </c>
      <c r="D2299" s="186">
        <f>IF($K2299="","",INDEX(Zeiterfassung!$D$6:$D$3665,$K2299))</f>
        <v/>
      </c>
      <c r="E2299" s="186">
        <f>IF($K2299="","",INDEX(Zeiterfassung!$E$6:$E$3665,$K2299))</f>
        <v/>
      </c>
      <c r="F2299" s="187">
        <f>IF($K2299="","",INDEX(Zeiterfassung!$F$6:$F$3665,$K2299))</f>
        <v/>
      </c>
      <c r="G2299" s="187">
        <f>IF($K2299="","",INDEX(Zeiterfassung!$G$6:$G$3665,$K2299))</f>
        <v/>
      </c>
      <c r="H2299" s="188">
        <f>IF($K2299="","",INDEX(Zeiterfassung!$H$6:$H$3665,$K2299))</f>
        <v/>
      </c>
      <c r="I2299" s="335">
        <f>IF(B2299=B2298,"",IF($K2299="","",INDEX(Zeiterfassung!$I$6:$I$3665,MATCH(INDEX(Zeiterfassung!$K$6:$K$3665,$K2299),Zeiterfassung!$K$6:$K$3665,0))))</f>
        <v/>
      </c>
      <c r="J2299" s="335">
        <f>IF(B2299=B2298,"",IF($K2299="","",INDEX(Zeiterfassung!$J$6:$J$3665,MATCH(INDEX(Zeiterfassung!$K$6:$K$3665,$K2299),Zeiterfassung!$K$6:$K$3665,0))))</f>
        <v/>
      </c>
      <c r="K2299">
        <f>IFERROR(AGGREGATE(15,6,(ROW(Zeiterfassung!$D$6:$D$3665)-ROW(Zeiterfassung!$D$6)+1)/(Zeiterfassung!$D$6:$D$3665&lt;&gt;""),2294),"")</f>
        <v/>
      </c>
    </row>
    <row r="2300" ht="20" customHeight="1">
      <c r="A2300" s="183">
        <f>IF($K2300="","",WEEKNUM(INDEX(Zeiterfassung!$K$6:$K$3665,$K2300),21))</f>
        <v/>
      </c>
      <c r="B2300" s="184">
        <f>IF($K2300="","",INDEX(Zeiterfassung!$K$6:$K$3665,$K2300))</f>
        <v/>
      </c>
      <c r="C2300" s="185">
        <f>IF($K2300="","",INDEX(Zeiterfassung!$K$6:$K$3665,$K2300))</f>
        <v/>
      </c>
      <c r="D2300" s="186">
        <f>IF($K2300="","",INDEX(Zeiterfassung!$D$6:$D$3665,$K2300))</f>
        <v/>
      </c>
      <c r="E2300" s="186">
        <f>IF($K2300="","",INDEX(Zeiterfassung!$E$6:$E$3665,$K2300))</f>
        <v/>
      </c>
      <c r="F2300" s="187">
        <f>IF($K2300="","",INDEX(Zeiterfassung!$F$6:$F$3665,$K2300))</f>
        <v/>
      </c>
      <c r="G2300" s="187">
        <f>IF($K2300="","",INDEX(Zeiterfassung!$G$6:$G$3665,$K2300))</f>
        <v/>
      </c>
      <c r="H2300" s="188">
        <f>IF($K2300="","",INDEX(Zeiterfassung!$H$6:$H$3665,$K2300))</f>
        <v/>
      </c>
      <c r="I2300" s="335">
        <f>IF(B2300=B2299,"",IF($K2300="","",INDEX(Zeiterfassung!$I$6:$I$3665,MATCH(INDEX(Zeiterfassung!$K$6:$K$3665,$K2300),Zeiterfassung!$K$6:$K$3665,0))))</f>
        <v/>
      </c>
      <c r="J2300" s="335">
        <f>IF(B2300=B2299,"",IF($K2300="","",INDEX(Zeiterfassung!$J$6:$J$3665,MATCH(INDEX(Zeiterfassung!$K$6:$K$3665,$K2300),Zeiterfassung!$K$6:$K$3665,0))))</f>
        <v/>
      </c>
      <c r="K2300">
        <f>IFERROR(AGGREGATE(15,6,(ROW(Zeiterfassung!$D$6:$D$3665)-ROW(Zeiterfassung!$D$6)+1)/(Zeiterfassung!$D$6:$D$3665&lt;&gt;""),2295),"")</f>
        <v/>
      </c>
    </row>
    <row r="2301" ht="20" customHeight="1">
      <c r="A2301" s="183">
        <f>IF($K2301="","",WEEKNUM(INDEX(Zeiterfassung!$K$6:$K$3665,$K2301),21))</f>
        <v/>
      </c>
      <c r="B2301" s="184">
        <f>IF($K2301="","",INDEX(Zeiterfassung!$K$6:$K$3665,$K2301))</f>
        <v/>
      </c>
      <c r="C2301" s="185">
        <f>IF($K2301="","",INDEX(Zeiterfassung!$K$6:$K$3665,$K2301))</f>
        <v/>
      </c>
      <c r="D2301" s="186">
        <f>IF($K2301="","",INDEX(Zeiterfassung!$D$6:$D$3665,$K2301))</f>
        <v/>
      </c>
      <c r="E2301" s="186">
        <f>IF($K2301="","",INDEX(Zeiterfassung!$E$6:$E$3665,$K2301))</f>
        <v/>
      </c>
      <c r="F2301" s="187">
        <f>IF($K2301="","",INDEX(Zeiterfassung!$F$6:$F$3665,$K2301))</f>
        <v/>
      </c>
      <c r="G2301" s="187">
        <f>IF($K2301="","",INDEX(Zeiterfassung!$G$6:$G$3665,$K2301))</f>
        <v/>
      </c>
      <c r="H2301" s="188">
        <f>IF($K2301="","",INDEX(Zeiterfassung!$H$6:$H$3665,$K2301))</f>
        <v/>
      </c>
      <c r="I2301" s="335">
        <f>IF(B2301=B2300,"",IF($K2301="","",INDEX(Zeiterfassung!$I$6:$I$3665,MATCH(INDEX(Zeiterfassung!$K$6:$K$3665,$K2301),Zeiterfassung!$K$6:$K$3665,0))))</f>
        <v/>
      </c>
      <c r="J2301" s="335">
        <f>IF(B2301=B2300,"",IF($K2301="","",INDEX(Zeiterfassung!$J$6:$J$3665,MATCH(INDEX(Zeiterfassung!$K$6:$K$3665,$K2301),Zeiterfassung!$K$6:$K$3665,0))))</f>
        <v/>
      </c>
      <c r="K2301">
        <f>IFERROR(AGGREGATE(15,6,(ROW(Zeiterfassung!$D$6:$D$3665)-ROW(Zeiterfassung!$D$6)+1)/(Zeiterfassung!$D$6:$D$3665&lt;&gt;""),2296),"")</f>
        <v/>
      </c>
    </row>
    <row r="2302" ht="20" customHeight="1">
      <c r="A2302" s="183">
        <f>IF($K2302="","",WEEKNUM(INDEX(Zeiterfassung!$K$6:$K$3665,$K2302),21))</f>
        <v/>
      </c>
      <c r="B2302" s="184">
        <f>IF($K2302="","",INDEX(Zeiterfassung!$K$6:$K$3665,$K2302))</f>
        <v/>
      </c>
      <c r="C2302" s="185">
        <f>IF($K2302="","",INDEX(Zeiterfassung!$K$6:$K$3665,$K2302))</f>
        <v/>
      </c>
      <c r="D2302" s="186">
        <f>IF($K2302="","",INDEX(Zeiterfassung!$D$6:$D$3665,$K2302))</f>
        <v/>
      </c>
      <c r="E2302" s="186">
        <f>IF($K2302="","",INDEX(Zeiterfassung!$E$6:$E$3665,$K2302))</f>
        <v/>
      </c>
      <c r="F2302" s="187">
        <f>IF($K2302="","",INDEX(Zeiterfassung!$F$6:$F$3665,$K2302))</f>
        <v/>
      </c>
      <c r="G2302" s="187">
        <f>IF($K2302="","",INDEX(Zeiterfassung!$G$6:$G$3665,$K2302))</f>
        <v/>
      </c>
      <c r="H2302" s="188">
        <f>IF($K2302="","",INDEX(Zeiterfassung!$H$6:$H$3665,$K2302))</f>
        <v/>
      </c>
      <c r="I2302" s="335">
        <f>IF(B2302=B2301,"",IF($K2302="","",INDEX(Zeiterfassung!$I$6:$I$3665,MATCH(INDEX(Zeiterfassung!$K$6:$K$3665,$K2302),Zeiterfassung!$K$6:$K$3665,0))))</f>
        <v/>
      </c>
      <c r="J2302" s="335">
        <f>IF(B2302=B2301,"",IF($K2302="","",INDEX(Zeiterfassung!$J$6:$J$3665,MATCH(INDEX(Zeiterfassung!$K$6:$K$3665,$K2302),Zeiterfassung!$K$6:$K$3665,0))))</f>
        <v/>
      </c>
      <c r="K2302">
        <f>IFERROR(AGGREGATE(15,6,(ROW(Zeiterfassung!$D$6:$D$3665)-ROW(Zeiterfassung!$D$6)+1)/(Zeiterfassung!$D$6:$D$3665&lt;&gt;""),2297),"")</f>
        <v/>
      </c>
    </row>
    <row r="2303" ht="20" customHeight="1">
      <c r="A2303" s="183">
        <f>IF($K2303="","",WEEKNUM(INDEX(Zeiterfassung!$K$6:$K$3665,$K2303),21))</f>
        <v/>
      </c>
      <c r="B2303" s="184">
        <f>IF($K2303="","",INDEX(Zeiterfassung!$K$6:$K$3665,$K2303))</f>
        <v/>
      </c>
      <c r="C2303" s="185">
        <f>IF($K2303="","",INDEX(Zeiterfassung!$K$6:$K$3665,$K2303))</f>
        <v/>
      </c>
      <c r="D2303" s="186">
        <f>IF($K2303="","",INDEX(Zeiterfassung!$D$6:$D$3665,$K2303))</f>
        <v/>
      </c>
      <c r="E2303" s="186">
        <f>IF($K2303="","",INDEX(Zeiterfassung!$E$6:$E$3665,$K2303))</f>
        <v/>
      </c>
      <c r="F2303" s="187">
        <f>IF($K2303="","",INDEX(Zeiterfassung!$F$6:$F$3665,$K2303))</f>
        <v/>
      </c>
      <c r="G2303" s="187">
        <f>IF($K2303="","",INDEX(Zeiterfassung!$G$6:$G$3665,$K2303))</f>
        <v/>
      </c>
      <c r="H2303" s="188">
        <f>IF($K2303="","",INDEX(Zeiterfassung!$H$6:$H$3665,$K2303))</f>
        <v/>
      </c>
      <c r="I2303" s="335">
        <f>IF(B2303=B2302,"",IF($K2303="","",INDEX(Zeiterfassung!$I$6:$I$3665,MATCH(INDEX(Zeiterfassung!$K$6:$K$3665,$K2303),Zeiterfassung!$K$6:$K$3665,0))))</f>
        <v/>
      </c>
      <c r="J2303" s="335">
        <f>IF(B2303=B2302,"",IF($K2303="","",INDEX(Zeiterfassung!$J$6:$J$3665,MATCH(INDEX(Zeiterfassung!$K$6:$K$3665,$K2303),Zeiterfassung!$K$6:$K$3665,0))))</f>
        <v/>
      </c>
      <c r="K2303">
        <f>IFERROR(AGGREGATE(15,6,(ROW(Zeiterfassung!$D$6:$D$3665)-ROW(Zeiterfassung!$D$6)+1)/(Zeiterfassung!$D$6:$D$3665&lt;&gt;""),2298),"")</f>
        <v/>
      </c>
    </row>
    <row r="2304" ht="20" customHeight="1">
      <c r="A2304" s="183">
        <f>IF($K2304="","",WEEKNUM(INDEX(Zeiterfassung!$K$6:$K$3665,$K2304),21))</f>
        <v/>
      </c>
      <c r="B2304" s="184">
        <f>IF($K2304="","",INDEX(Zeiterfassung!$K$6:$K$3665,$K2304))</f>
        <v/>
      </c>
      <c r="C2304" s="185">
        <f>IF($K2304="","",INDEX(Zeiterfassung!$K$6:$K$3665,$K2304))</f>
        <v/>
      </c>
      <c r="D2304" s="186">
        <f>IF($K2304="","",INDEX(Zeiterfassung!$D$6:$D$3665,$K2304))</f>
        <v/>
      </c>
      <c r="E2304" s="186">
        <f>IF($K2304="","",INDEX(Zeiterfassung!$E$6:$E$3665,$K2304))</f>
        <v/>
      </c>
      <c r="F2304" s="187">
        <f>IF($K2304="","",INDEX(Zeiterfassung!$F$6:$F$3665,$K2304))</f>
        <v/>
      </c>
      <c r="G2304" s="187">
        <f>IF($K2304="","",INDEX(Zeiterfassung!$G$6:$G$3665,$K2304))</f>
        <v/>
      </c>
      <c r="H2304" s="188">
        <f>IF($K2304="","",INDEX(Zeiterfassung!$H$6:$H$3665,$K2304))</f>
        <v/>
      </c>
      <c r="I2304" s="335">
        <f>IF(B2304=B2303,"",IF($K2304="","",INDEX(Zeiterfassung!$I$6:$I$3665,MATCH(INDEX(Zeiterfassung!$K$6:$K$3665,$K2304),Zeiterfassung!$K$6:$K$3665,0))))</f>
        <v/>
      </c>
      <c r="J2304" s="335">
        <f>IF(B2304=B2303,"",IF($K2304="","",INDEX(Zeiterfassung!$J$6:$J$3665,MATCH(INDEX(Zeiterfassung!$K$6:$K$3665,$K2304),Zeiterfassung!$K$6:$K$3665,0))))</f>
        <v/>
      </c>
      <c r="K2304">
        <f>IFERROR(AGGREGATE(15,6,(ROW(Zeiterfassung!$D$6:$D$3665)-ROW(Zeiterfassung!$D$6)+1)/(Zeiterfassung!$D$6:$D$3665&lt;&gt;""),2299),"")</f>
        <v/>
      </c>
    </row>
    <row r="2305" ht="20" customHeight="1">
      <c r="A2305" s="183">
        <f>IF($K2305="","",WEEKNUM(INDEX(Zeiterfassung!$K$6:$K$3665,$K2305),21))</f>
        <v/>
      </c>
      <c r="B2305" s="184">
        <f>IF($K2305="","",INDEX(Zeiterfassung!$K$6:$K$3665,$K2305))</f>
        <v/>
      </c>
      <c r="C2305" s="185">
        <f>IF($K2305="","",INDEX(Zeiterfassung!$K$6:$K$3665,$K2305))</f>
        <v/>
      </c>
      <c r="D2305" s="186">
        <f>IF($K2305="","",INDEX(Zeiterfassung!$D$6:$D$3665,$K2305))</f>
        <v/>
      </c>
      <c r="E2305" s="186">
        <f>IF($K2305="","",INDEX(Zeiterfassung!$E$6:$E$3665,$K2305))</f>
        <v/>
      </c>
      <c r="F2305" s="187">
        <f>IF($K2305="","",INDEX(Zeiterfassung!$F$6:$F$3665,$K2305))</f>
        <v/>
      </c>
      <c r="G2305" s="187">
        <f>IF($K2305="","",INDEX(Zeiterfassung!$G$6:$G$3665,$K2305))</f>
        <v/>
      </c>
      <c r="H2305" s="188">
        <f>IF($K2305="","",INDEX(Zeiterfassung!$H$6:$H$3665,$K2305))</f>
        <v/>
      </c>
      <c r="I2305" s="335">
        <f>IF(B2305=B2304,"",IF($K2305="","",INDEX(Zeiterfassung!$I$6:$I$3665,MATCH(INDEX(Zeiterfassung!$K$6:$K$3665,$K2305),Zeiterfassung!$K$6:$K$3665,0))))</f>
        <v/>
      </c>
      <c r="J2305" s="335">
        <f>IF(B2305=B2304,"",IF($K2305="","",INDEX(Zeiterfassung!$J$6:$J$3665,MATCH(INDEX(Zeiterfassung!$K$6:$K$3665,$K2305),Zeiterfassung!$K$6:$K$3665,0))))</f>
        <v/>
      </c>
      <c r="K2305">
        <f>IFERROR(AGGREGATE(15,6,(ROW(Zeiterfassung!$D$6:$D$3665)-ROW(Zeiterfassung!$D$6)+1)/(Zeiterfassung!$D$6:$D$3665&lt;&gt;""),2300),"")</f>
        <v/>
      </c>
    </row>
    <row r="2306" ht="20" customHeight="1">
      <c r="A2306" s="183">
        <f>IF($K2306="","",WEEKNUM(INDEX(Zeiterfassung!$K$6:$K$3665,$K2306),21))</f>
        <v/>
      </c>
      <c r="B2306" s="184">
        <f>IF($K2306="","",INDEX(Zeiterfassung!$K$6:$K$3665,$K2306))</f>
        <v/>
      </c>
      <c r="C2306" s="185">
        <f>IF($K2306="","",INDEX(Zeiterfassung!$K$6:$K$3665,$K2306))</f>
        <v/>
      </c>
      <c r="D2306" s="186">
        <f>IF($K2306="","",INDEX(Zeiterfassung!$D$6:$D$3665,$K2306))</f>
        <v/>
      </c>
      <c r="E2306" s="186">
        <f>IF($K2306="","",INDEX(Zeiterfassung!$E$6:$E$3665,$K2306))</f>
        <v/>
      </c>
      <c r="F2306" s="187">
        <f>IF($K2306="","",INDEX(Zeiterfassung!$F$6:$F$3665,$K2306))</f>
        <v/>
      </c>
      <c r="G2306" s="187">
        <f>IF($K2306="","",INDEX(Zeiterfassung!$G$6:$G$3665,$K2306))</f>
        <v/>
      </c>
      <c r="H2306" s="188">
        <f>IF($K2306="","",INDEX(Zeiterfassung!$H$6:$H$3665,$K2306))</f>
        <v/>
      </c>
      <c r="I2306" s="335">
        <f>IF(B2306=B2305,"",IF($K2306="","",INDEX(Zeiterfassung!$I$6:$I$3665,MATCH(INDEX(Zeiterfassung!$K$6:$K$3665,$K2306),Zeiterfassung!$K$6:$K$3665,0))))</f>
        <v/>
      </c>
      <c r="J2306" s="335">
        <f>IF(B2306=B2305,"",IF($K2306="","",INDEX(Zeiterfassung!$J$6:$J$3665,MATCH(INDEX(Zeiterfassung!$K$6:$K$3665,$K2306),Zeiterfassung!$K$6:$K$3665,0))))</f>
        <v/>
      </c>
      <c r="K2306">
        <f>IFERROR(AGGREGATE(15,6,(ROW(Zeiterfassung!$D$6:$D$3665)-ROW(Zeiterfassung!$D$6)+1)/(Zeiterfassung!$D$6:$D$3665&lt;&gt;""),2301),"")</f>
        <v/>
      </c>
    </row>
    <row r="2307" ht="20" customHeight="1">
      <c r="A2307" s="183">
        <f>IF($K2307="","",WEEKNUM(INDEX(Zeiterfassung!$K$6:$K$3665,$K2307),21))</f>
        <v/>
      </c>
      <c r="B2307" s="184">
        <f>IF($K2307="","",INDEX(Zeiterfassung!$K$6:$K$3665,$K2307))</f>
        <v/>
      </c>
      <c r="C2307" s="185">
        <f>IF($K2307="","",INDEX(Zeiterfassung!$K$6:$K$3665,$K2307))</f>
        <v/>
      </c>
      <c r="D2307" s="186">
        <f>IF($K2307="","",INDEX(Zeiterfassung!$D$6:$D$3665,$K2307))</f>
        <v/>
      </c>
      <c r="E2307" s="186">
        <f>IF($K2307="","",INDEX(Zeiterfassung!$E$6:$E$3665,$K2307))</f>
        <v/>
      </c>
      <c r="F2307" s="187">
        <f>IF($K2307="","",INDEX(Zeiterfassung!$F$6:$F$3665,$K2307))</f>
        <v/>
      </c>
      <c r="G2307" s="187">
        <f>IF($K2307="","",INDEX(Zeiterfassung!$G$6:$G$3665,$K2307))</f>
        <v/>
      </c>
      <c r="H2307" s="188">
        <f>IF($K2307="","",INDEX(Zeiterfassung!$H$6:$H$3665,$K2307))</f>
        <v/>
      </c>
      <c r="I2307" s="335">
        <f>IF(B2307=B2306,"",IF($K2307="","",INDEX(Zeiterfassung!$I$6:$I$3665,MATCH(INDEX(Zeiterfassung!$K$6:$K$3665,$K2307),Zeiterfassung!$K$6:$K$3665,0))))</f>
        <v/>
      </c>
      <c r="J2307" s="335">
        <f>IF(B2307=B2306,"",IF($K2307="","",INDEX(Zeiterfassung!$J$6:$J$3665,MATCH(INDEX(Zeiterfassung!$K$6:$K$3665,$K2307),Zeiterfassung!$K$6:$K$3665,0))))</f>
        <v/>
      </c>
      <c r="K2307">
        <f>IFERROR(AGGREGATE(15,6,(ROW(Zeiterfassung!$D$6:$D$3665)-ROW(Zeiterfassung!$D$6)+1)/(Zeiterfassung!$D$6:$D$3665&lt;&gt;""),2302),"")</f>
        <v/>
      </c>
    </row>
    <row r="2308" ht="20" customHeight="1">
      <c r="A2308" s="183">
        <f>IF($K2308="","",WEEKNUM(INDEX(Zeiterfassung!$K$6:$K$3665,$K2308),21))</f>
        <v/>
      </c>
      <c r="B2308" s="184">
        <f>IF($K2308="","",INDEX(Zeiterfassung!$K$6:$K$3665,$K2308))</f>
        <v/>
      </c>
      <c r="C2308" s="185">
        <f>IF($K2308="","",INDEX(Zeiterfassung!$K$6:$K$3665,$K2308))</f>
        <v/>
      </c>
      <c r="D2308" s="186">
        <f>IF($K2308="","",INDEX(Zeiterfassung!$D$6:$D$3665,$K2308))</f>
        <v/>
      </c>
      <c r="E2308" s="186">
        <f>IF($K2308="","",INDEX(Zeiterfassung!$E$6:$E$3665,$K2308))</f>
        <v/>
      </c>
      <c r="F2308" s="187">
        <f>IF($K2308="","",INDEX(Zeiterfassung!$F$6:$F$3665,$K2308))</f>
        <v/>
      </c>
      <c r="G2308" s="187">
        <f>IF($K2308="","",INDEX(Zeiterfassung!$G$6:$G$3665,$K2308))</f>
        <v/>
      </c>
      <c r="H2308" s="188">
        <f>IF($K2308="","",INDEX(Zeiterfassung!$H$6:$H$3665,$K2308))</f>
        <v/>
      </c>
      <c r="I2308" s="335">
        <f>IF(B2308=B2307,"",IF($K2308="","",INDEX(Zeiterfassung!$I$6:$I$3665,MATCH(INDEX(Zeiterfassung!$K$6:$K$3665,$K2308),Zeiterfassung!$K$6:$K$3665,0))))</f>
        <v/>
      </c>
      <c r="J2308" s="335">
        <f>IF(B2308=B2307,"",IF($K2308="","",INDEX(Zeiterfassung!$J$6:$J$3665,MATCH(INDEX(Zeiterfassung!$K$6:$K$3665,$K2308),Zeiterfassung!$K$6:$K$3665,0))))</f>
        <v/>
      </c>
      <c r="K2308">
        <f>IFERROR(AGGREGATE(15,6,(ROW(Zeiterfassung!$D$6:$D$3665)-ROW(Zeiterfassung!$D$6)+1)/(Zeiterfassung!$D$6:$D$3665&lt;&gt;""),2303),"")</f>
        <v/>
      </c>
    </row>
    <row r="2309" ht="20" customHeight="1">
      <c r="A2309" s="183">
        <f>IF($K2309="","",WEEKNUM(INDEX(Zeiterfassung!$K$6:$K$3665,$K2309),21))</f>
        <v/>
      </c>
      <c r="B2309" s="184">
        <f>IF($K2309="","",INDEX(Zeiterfassung!$K$6:$K$3665,$K2309))</f>
        <v/>
      </c>
      <c r="C2309" s="185">
        <f>IF($K2309="","",INDEX(Zeiterfassung!$K$6:$K$3665,$K2309))</f>
        <v/>
      </c>
      <c r="D2309" s="186">
        <f>IF($K2309="","",INDEX(Zeiterfassung!$D$6:$D$3665,$K2309))</f>
        <v/>
      </c>
      <c r="E2309" s="186">
        <f>IF($K2309="","",INDEX(Zeiterfassung!$E$6:$E$3665,$K2309))</f>
        <v/>
      </c>
      <c r="F2309" s="187">
        <f>IF($K2309="","",INDEX(Zeiterfassung!$F$6:$F$3665,$K2309))</f>
        <v/>
      </c>
      <c r="G2309" s="187">
        <f>IF($K2309="","",INDEX(Zeiterfassung!$G$6:$G$3665,$K2309))</f>
        <v/>
      </c>
      <c r="H2309" s="188">
        <f>IF($K2309="","",INDEX(Zeiterfassung!$H$6:$H$3665,$K2309))</f>
        <v/>
      </c>
      <c r="I2309" s="335">
        <f>IF(B2309=B2308,"",IF($K2309="","",INDEX(Zeiterfassung!$I$6:$I$3665,MATCH(INDEX(Zeiterfassung!$K$6:$K$3665,$K2309),Zeiterfassung!$K$6:$K$3665,0))))</f>
        <v/>
      </c>
      <c r="J2309" s="335">
        <f>IF(B2309=B2308,"",IF($K2309="","",INDEX(Zeiterfassung!$J$6:$J$3665,MATCH(INDEX(Zeiterfassung!$K$6:$K$3665,$K2309),Zeiterfassung!$K$6:$K$3665,0))))</f>
        <v/>
      </c>
      <c r="K2309">
        <f>IFERROR(AGGREGATE(15,6,(ROW(Zeiterfassung!$D$6:$D$3665)-ROW(Zeiterfassung!$D$6)+1)/(Zeiterfassung!$D$6:$D$3665&lt;&gt;""),2304),"")</f>
        <v/>
      </c>
    </row>
    <row r="2310" ht="20" customHeight="1">
      <c r="A2310" s="183">
        <f>IF($K2310="","",WEEKNUM(INDEX(Zeiterfassung!$K$6:$K$3665,$K2310),21))</f>
        <v/>
      </c>
      <c r="B2310" s="184">
        <f>IF($K2310="","",INDEX(Zeiterfassung!$K$6:$K$3665,$K2310))</f>
        <v/>
      </c>
      <c r="C2310" s="185">
        <f>IF($K2310="","",INDEX(Zeiterfassung!$K$6:$K$3665,$K2310))</f>
        <v/>
      </c>
      <c r="D2310" s="186">
        <f>IF($K2310="","",INDEX(Zeiterfassung!$D$6:$D$3665,$K2310))</f>
        <v/>
      </c>
      <c r="E2310" s="186">
        <f>IF($K2310="","",INDEX(Zeiterfassung!$E$6:$E$3665,$K2310))</f>
        <v/>
      </c>
      <c r="F2310" s="187">
        <f>IF($K2310="","",INDEX(Zeiterfassung!$F$6:$F$3665,$K2310))</f>
        <v/>
      </c>
      <c r="G2310" s="187">
        <f>IF($K2310="","",INDEX(Zeiterfassung!$G$6:$G$3665,$K2310))</f>
        <v/>
      </c>
      <c r="H2310" s="188">
        <f>IF($K2310="","",INDEX(Zeiterfassung!$H$6:$H$3665,$K2310))</f>
        <v/>
      </c>
      <c r="I2310" s="335">
        <f>IF(B2310=B2309,"",IF($K2310="","",INDEX(Zeiterfassung!$I$6:$I$3665,MATCH(INDEX(Zeiterfassung!$K$6:$K$3665,$K2310),Zeiterfassung!$K$6:$K$3665,0))))</f>
        <v/>
      </c>
      <c r="J2310" s="335">
        <f>IF(B2310=B2309,"",IF($K2310="","",INDEX(Zeiterfassung!$J$6:$J$3665,MATCH(INDEX(Zeiterfassung!$K$6:$K$3665,$K2310),Zeiterfassung!$K$6:$K$3665,0))))</f>
        <v/>
      </c>
      <c r="K2310">
        <f>IFERROR(AGGREGATE(15,6,(ROW(Zeiterfassung!$D$6:$D$3665)-ROW(Zeiterfassung!$D$6)+1)/(Zeiterfassung!$D$6:$D$3665&lt;&gt;""),2305),"")</f>
        <v/>
      </c>
    </row>
    <row r="2311" ht="20" customHeight="1">
      <c r="A2311" s="183">
        <f>IF($K2311="","",WEEKNUM(INDEX(Zeiterfassung!$K$6:$K$3665,$K2311),21))</f>
        <v/>
      </c>
      <c r="B2311" s="184">
        <f>IF($K2311="","",INDEX(Zeiterfassung!$K$6:$K$3665,$K2311))</f>
        <v/>
      </c>
      <c r="C2311" s="185">
        <f>IF($K2311="","",INDEX(Zeiterfassung!$K$6:$K$3665,$K2311))</f>
        <v/>
      </c>
      <c r="D2311" s="186">
        <f>IF($K2311="","",INDEX(Zeiterfassung!$D$6:$D$3665,$K2311))</f>
        <v/>
      </c>
      <c r="E2311" s="186">
        <f>IF($K2311="","",INDEX(Zeiterfassung!$E$6:$E$3665,$K2311))</f>
        <v/>
      </c>
      <c r="F2311" s="187">
        <f>IF($K2311="","",INDEX(Zeiterfassung!$F$6:$F$3665,$K2311))</f>
        <v/>
      </c>
      <c r="G2311" s="187">
        <f>IF($K2311="","",INDEX(Zeiterfassung!$G$6:$G$3665,$K2311))</f>
        <v/>
      </c>
      <c r="H2311" s="188">
        <f>IF($K2311="","",INDEX(Zeiterfassung!$H$6:$H$3665,$K2311))</f>
        <v/>
      </c>
      <c r="I2311" s="335">
        <f>IF(B2311=B2310,"",IF($K2311="","",INDEX(Zeiterfassung!$I$6:$I$3665,MATCH(INDEX(Zeiterfassung!$K$6:$K$3665,$K2311),Zeiterfassung!$K$6:$K$3665,0))))</f>
        <v/>
      </c>
      <c r="J2311" s="335">
        <f>IF(B2311=B2310,"",IF($K2311="","",INDEX(Zeiterfassung!$J$6:$J$3665,MATCH(INDEX(Zeiterfassung!$K$6:$K$3665,$K2311),Zeiterfassung!$K$6:$K$3665,0))))</f>
        <v/>
      </c>
      <c r="K2311">
        <f>IFERROR(AGGREGATE(15,6,(ROW(Zeiterfassung!$D$6:$D$3665)-ROW(Zeiterfassung!$D$6)+1)/(Zeiterfassung!$D$6:$D$3665&lt;&gt;""),2306),"")</f>
        <v/>
      </c>
    </row>
    <row r="2312" ht="20" customHeight="1">
      <c r="A2312" s="183">
        <f>IF($K2312="","",WEEKNUM(INDEX(Zeiterfassung!$K$6:$K$3665,$K2312),21))</f>
        <v/>
      </c>
      <c r="B2312" s="184">
        <f>IF($K2312="","",INDEX(Zeiterfassung!$K$6:$K$3665,$K2312))</f>
        <v/>
      </c>
      <c r="C2312" s="185">
        <f>IF($K2312="","",INDEX(Zeiterfassung!$K$6:$K$3665,$K2312))</f>
        <v/>
      </c>
      <c r="D2312" s="186">
        <f>IF($K2312="","",INDEX(Zeiterfassung!$D$6:$D$3665,$K2312))</f>
        <v/>
      </c>
      <c r="E2312" s="186">
        <f>IF($K2312="","",INDEX(Zeiterfassung!$E$6:$E$3665,$K2312))</f>
        <v/>
      </c>
      <c r="F2312" s="187">
        <f>IF($K2312="","",INDEX(Zeiterfassung!$F$6:$F$3665,$K2312))</f>
        <v/>
      </c>
      <c r="G2312" s="187">
        <f>IF($K2312="","",INDEX(Zeiterfassung!$G$6:$G$3665,$K2312))</f>
        <v/>
      </c>
      <c r="H2312" s="188">
        <f>IF($K2312="","",INDEX(Zeiterfassung!$H$6:$H$3665,$K2312))</f>
        <v/>
      </c>
      <c r="I2312" s="335">
        <f>IF(B2312=B2311,"",IF($K2312="","",INDEX(Zeiterfassung!$I$6:$I$3665,MATCH(INDEX(Zeiterfassung!$K$6:$K$3665,$K2312),Zeiterfassung!$K$6:$K$3665,0))))</f>
        <v/>
      </c>
      <c r="J2312" s="335">
        <f>IF(B2312=B2311,"",IF($K2312="","",INDEX(Zeiterfassung!$J$6:$J$3665,MATCH(INDEX(Zeiterfassung!$K$6:$K$3665,$K2312),Zeiterfassung!$K$6:$K$3665,0))))</f>
        <v/>
      </c>
      <c r="K2312">
        <f>IFERROR(AGGREGATE(15,6,(ROW(Zeiterfassung!$D$6:$D$3665)-ROW(Zeiterfassung!$D$6)+1)/(Zeiterfassung!$D$6:$D$3665&lt;&gt;""),2307),"")</f>
        <v/>
      </c>
    </row>
    <row r="2313" ht="20" customHeight="1">
      <c r="A2313" s="183">
        <f>IF($K2313="","",WEEKNUM(INDEX(Zeiterfassung!$K$6:$K$3665,$K2313),21))</f>
        <v/>
      </c>
      <c r="B2313" s="184">
        <f>IF($K2313="","",INDEX(Zeiterfassung!$K$6:$K$3665,$K2313))</f>
        <v/>
      </c>
      <c r="C2313" s="185">
        <f>IF($K2313="","",INDEX(Zeiterfassung!$K$6:$K$3665,$K2313))</f>
        <v/>
      </c>
      <c r="D2313" s="186">
        <f>IF($K2313="","",INDEX(Zeiterfassung!$D$6:$D$3665,$K2313))</f>
        <v/>
      </c>
      <c r="E2313" s="186">
        <f>IF($K2313="","",INDEX(Zeiterfassung!$E$6:$E$3665,$K2313))</f>
        <v/>
      </c>
      <c r="F2313" s="187">
        <f>IF($K2313="","",INDEX(Zeiterfassung!$F$6:$F$3665,$K2313))</f>
        <v/>
      </c>
      <c r="G2313" s="187">
        <f>IF($K2313="","",INDEX(Zeiterfassung!$G$6:$G$3665,$K2313))</f>
        <v/>
      </c>
      <c r="H2313" s="188">
        <f>IF($K2313="","",INDEX(Zeiterfassung!$H$6:$H$3665,$K2313))</f>
        <v/>
      </c>
      <c r="I2313" s="335">
        <f>IF(B2313=B2312,"",IF($K2313="","",INDEX(Zeiterfassung!$I$6:$I$3665,MATCH(INDEX(Zeiterfassung!$K$6:$K$3665,$K2313),Zeiterfassung!$K$6:$K$3665,0))))</f>
        <v/>
      </c>
      <c r="J2313" s="335">
        <f>IF(B2313=B2312,"",IF($K2313="","",INDEX(Zeiterfassung!$J$6:$J$3665,MATCH(INDEX(Zeiterfassung!$K$6:$K$3665,$K2313),Zeiterfassung!$K$6:$K$3665,0))))</f>
        <v/>
      </c>
      <c r="K2313">
        <f>IFERROR(AGGREGATE(15,6,(ROW(Zeiterfassung!$D$6:$D$3665)-ROW(Zeiterfassung!$D$6)+1)/(Zeiterfassung!$D$6:$D$3665&lt;&gt;""),2308),"")</f>
        <v/>
      </c>
    </row>
    <row r="2314" ht="20" customHeight="1">
      <c r="A2314" s="183">
        <f>IF($K2314="","",WEEKNUM(INDEX(Zeiterfassung!$K$6:$K$3665,$K2314),21))</f>
        <v/>
      </c>
      <c r="B2314" s="184">
        <f>IF($K2314="","",INDEX(Zeiterfassung!$K$6:$K$3665,$K2314))</f>
        <v/>
      </c>
      <c r="C2314" s="185">
        <f>IF($K2314="","",INDEX(Zeiterfassung!$K$6:$K$3665,$K2314))</f>
        <v/>
      </c>
      <c r="D2314" s="186">
        <f>IF($K2314="","",INDEX(Zeiterfassung!$D$6:$D$3665,$K2314))</f>
        <v/>
      </c>
      <c r="E2314" s="186">
        <f>IF($K2314="","",INDEX(Zeiterfassung!$E$6:$E$3665,$K2314))</f>
        <v/>
      </c>
      <c r="F2314" s="187">
        <f>IF($K2314="","",INDEX(Zeiterfassung!$F$6:$F$3665,$K2314))</f>
        <v/>
      </c>
      <c r="G2314" s="187">
        <f>IF($K2314="","",INDEX(Zeiterfassung!$G$6:$G$3665,$K2314))</f>
        <v/>
      </c>
      <c r="H2314" s="188">
        <f>IF($K2314="","",INDEX(Zeiterfassung!$H$6:$H$3665,$K2314))</f>
        <v/>
      </c>
      <c r="I2314" s="335">
        <f>IF(B2314=B2313,"",IF($K2314="","",INDEX(Zeiterfassung!$I$6:$I$3665,MATCH(INDEX(Zeiterfassung!$K$6:$K$3665,$K2314),Zeiterfassung!$K$6:$K$3665,0))))</f>
        <v/>
      </c>
      <c r="J2314" s="335">
        <f>IF(B2314=B2313,"",IF($K2314="","",INDEX(Zeiterfassung!$J$6:$J$3665,MATCH(INDEX(Zeiterfassung!$K$6:$K$3665,$K2314),Zeiterfassung!$K$6:$K$3665,0))))</f>
        <v/>
      </c>
      <c r="K2314">
        <f>IFERROR(AGGREGATE(15,6,(ROW(Zeiterfassung!$D$6:$D$3665)-ROW(Zeiterfassung!$D$6)+1)/(Zeiterfassung!$D$6:$D$3665&lt;&gt;""),2309),"")</f>
        <v/>
      </c>
    </row>
    <row r="2315" ht="20" customHeight="1">
      <c r="A2315" s="183">
        <f>IF($K2315="","",WEEKNUM(INDEX(Zeiterfassung!$K$6:$K$3665,$K2315),21))</f>
        <v/>
      </c>
      <c r="B2315" s="184">
        <f>IF($K2315="","",INDEX(Zeiterfassung!$K$6:$K$3665,$K2315))</f>
        <v/>
      </c>
      <c r="C2315" s="185">
        <f>IF($K2315="","",INDEX(Zeiterfassung!$K$6:$K$3665,$K2315))</f>
        <v/>
      </c>
      <c r="D2315" s="186">
        <f>IF($K2315="","",INDEX(Zeiterfassung!$D$6:$D$3665,$K2315))</f>
        <v/>
      </c>
      <c r="E2315" s="186">
        <f>IF($K2315="","",INDEX(Zeiterfassung!$E$6:$E$3665,$K2315))</f>
        <v/>
      </c>
      <c r="F2315" s="187">
        <f>IF($K2315="","",INDEX(Zeiterfassung!$F$6:$F$3665,$K2315))</f>
        <v/>
      </c>
      <c r="G2315" s="187">
        <f>IF($K2315="","",INDEX(Zeiterfassung!$G$6:$G$3665,$K2315))</f>
        <v/>
      </c>
      <c r="H2315" s="188">
        <f>IF($K2315="","",INDEX(Zeiterfassung!$H$6:$H$3665,$K2315))</f>
        <v/>
      </c>
      <c r="I2315" s="335">
        <f>IF(B2315=B2314,"",IF($K2315="","",INDEX(Zeiterfassung!$I$6:$I$3665,MATCH(INDEX(Zeiterfassung!$K$6:$K$3665,$K2315),Zeiterfassung!$K$6:$K$3665,0))))</f>
        <v/>
      </c>
      <c r="J2315" s="335">
        <f>IF(B2315=B2314,"",IF($K2315="","",INDEX(Zeiterfassung!$J$6:$J$3665,MATCH(INDEX(Zeiterfassung!$K$6:$K$3665,$K2315),Zeiterfassung!$K$6:$K$3665,0))))</f>
        <v/>
      </c>
      <c r="K2315">
        <f>IFERROR(AGGREGATE(15,6,(ROW(Zeiterfassung!$D$6:$D$3665)-ROW(Zeiterfassung!$D$6)+1)/(Zeiterfassung!$D$6:$D$3665&lt;&gt;""),2310),"")</f>
        <v/>
      </c>
    </row>
    <row r="2316" ht="20" customHeight="1">
      <c r="A2316" s="183">
        <f>IF($K2316="","",WEEKNUM(INDEX(Zeiterfassung!$K$6:$K$3665,$K2316),21))</f>
        <v/>
      </c>
      <c r="B2316" s="184">
        <f>IF($K2316="","",INDEX(Zeiterfassung!$K$6:$K$3665,$K2316))</f>
        <v/>
      </c>
      <c r="C2316" s="185">
        <f>IF($K2316="","",INDEX(Zeiterfassung!$K$6:$K$3665,$K2316))</f>
        <v/>
      </c>
      <c r="D2316" s="186">
        <f>IF($K2316="","",INDEX(Zeiterfassung!$D$6:$D$3665,$K2316))</f>
        <v/>
      </c>
      <c r="E2316" s="186">
        <f>IF($K2316="","",INDEX(Zeiterfassung!$E$6:$E$3665,$K2316))</f>
        <v/>
      </c>
      <c r="F2316" s="187">
        <f>IF($K2316="","",INDEX(Zeiterfassung!$F$6:$F$3665,$K2316))</f>
        <v/>
      </c>
      <c r="G2316" s="187">
        <f>IF($K2316="","",INDEX(Zeiterfassung!$G$6:$G$3665,$K2316))</f>
        <v/>
      </c>
      <c r="H2316" s="188">
        <f>IF($K2316="","",INDEX(Zeiterfassung!$H$6:$H$3665,$K2316))</f>
        <v/>
      </c>
      <c r="I2316" s="335">
        <f>IF(B2316=B2315,"",IF($K2316="","",INDEX(Zeiterfassung!$I$6:$I$3665,MATCH(INDEX(Zeiterfassung!$K$6:$K$3665,$K2316),Zeiterfassung!$K$6:$K$3665,0))))</f>
        <v/>
      </c>
      <c r="J2316" s="335">
        <f>IF(B2316=B2315,"",IF($K2316="","",INDEX(Zeiterfassung!$J$6:$J$3665,MATCH(INDEX(Zeiterfassung!$K$6:$K$3665,$K2316),Zeiterfassung!$K$6:$K$3665,0))))</f>
        <v/>
      </c>
      <c r="K2316">
        <f>IFERROR(AGGREGATE(15,6,(ROW(Zeiterfassung!$D$6:$D$3665)-ROW(Zeiterfassung!$D$6)+1)/(Zeiterfassung!$D$6:$D$3665&lt;&gt;""),2311),"")</f>
        <v/>
      </c>
    </row>
    <row r="2317" ht="20" customHeight="1">
      <c r="A2317" s="183">
        <f>IF($K2317="","",WEEKNUM(INDEX(Zeiterfassung!$K$6:$K$3665,$K2317),21))</f>
        <v/>
      </c>
      <c r="B2317" s="184">
        <f>IF($K2317="","",INDEX(Zeiterfassung!$K$6:$K$3665,$K2317))</f>
        <v/>
      </c>
      <c r="C2317" s="185">
        <f>IF($K2317="","",INDEX(Zeiterfassung!$K$6:$K$3665,$K2317))</f>
        <v/>
      </c>
      <c r="D2317" s="186">
        <f>IF($K2317="","",INDEX(Zeiterfassung!$D$6:$D$3665,$K2317))</f>
        <v/>
      </c>
      <c r="E2317" s="186">
        <f>IF($K2317="","",INDEX(Zeiterfassung!$E$6:$E$3665,$K2317))</f>
        <v/>
      </c>
      <c r="F2317" s="187">
        <f>IF($K2317="","",INDEX(Zeiterfassung!$F$6:$F$3665,$K2317))</f>
        <v/>
      </c>
      <c r="G2317" s="187">
        <f>IF($K2317="","",INDEX(Zeiterfassung!$G$6:$G$3665,$K2317))</f>
        <v/>
      </c>
      <c r="H2317" s="188">
        <f>IF($K2317="","",INDEX(Zeiterfassung!$H$6:$H$3665,$K2317))</f>
        <v/>
      </c>
      <c r="I2317" s="335">
        <f>IF(B2317=B2316,"",IF($K2317="","",INDEX(Zeiterfassung!$I$6:$I$3665,MATCH(INDEX(Zeiterfassung!$K$6:$K$3665,$K2317),Zeiterfassung!$K$6:$K$3665,0))))</f>
        <v/>
      </c>
      <c r="J2317" s="335">
        <f>IF(B2317=B2316,"",IF($K2317="","",INDEX(Zeiterfassung!$J$6:$J$3665,MATCH(INDEX(Zeiterfassung!$K$6:$K$3665,$K2317),Zeiterfassung!$K$6:$K$3665,0))))</f>
        <v/>
      </c>
      <c r="K2317">
        <f>IFERROR(AGGREGATE(15,6,(ROW(Zeiterfassung!$D$6:$D$3665)-ROW(Zeiterfassung!$D$6)+1)/(Zeiterfassung!$D$6:$D$3665&lt;&gt;""),2312),"")</f>
        <v/>
      </c>
    </row>
    <row r="2318" ht="20" customHeight="1">
      <c r="A2318" s="183">
        <f>IF($K2318="","",WEEKNUM(INDEX(Zeiterfassung!$K$6:$K$3665,$K2318),21))</f>
        <v/>
      </c>
      <c r="B2318" s="184">
        <f>IF($K2318="","",INDEX(Zeiterfassung!$K$6:$K$3665,$K2318))</f>
        <v/>
      </c>
      <c r="C2318" s="185">
        <f>IF($K2318="","",INDEX(Zeiterfassung!$K$6:$K$3665,$K2318))</f>
        <v/>
      </c>
      <c r="D2318" s="186">
        <f>IF($K2318="","",INDEX(Zeiterfassung!$D$6:$D$3665,$K2318))</f>
        <v/>
      </c>
      <c r="E2318" s="186">
        <f>IF($K2318="","",INDEX(Zeiterfassung!$E$6:$E$3665,$K2318))</f>
        <v/>
      </c>
      <c r="F2318" s="187">
        <f>IF($K2318="","",INDEX(Zeiterfassung!$F$6:$F$3665,$K2318))</f>
        <v/>
      </c>
      <c r="G2318" s="187">
        <f>IF($K2318="","",INDEX(Zeiterfassung!$G$6:$G$3665,$K2318))</f>
        <v/>
      </c>
      <c r="H2318" s="188">
        <f>IF($K2318="","",INDEX(Zeiterfassung!$H$6:$H$3665,$K2318))</f>
        <v/>
      </c>
      <c r="I2318" s="335">
        <f>IF(B2318=B2317,"",IF($K2318="","",INDEX(Zeiterfassung!$I$6:$I$3665,MATCH(INDEX(Zeiterfassung!$K$6:$K$3665,$K2318),Zeiterfassung!$K$6:$K$3665,0))))</f>
        <v/>
      </c>
      <c r="J2318" s="335">
        <f>IF(B2318=B2317,"",IF($K2318="","",INDEX(Zeiterfassung!$J$6:$J$3665,MATCH(INDEX(Zeiterfassung!$K$6:$K$3665,$K2318),Zeiterfassung!$K$6:$K$3665,0))))</f>
        <v/>
      </c>
      <c r="K2318">
        <f>IFERROR(AGGREGATE(15,6,(ROW(Zeiterfassung!$D$6:$D$3665)-ROW(Zeiterfassung!$D$6)+1)/(Zeiterfassung!$D$6:$D$3665&lt;&gt;""),2313),"")</f>
        <v/>
      </c>
    </row>
    <row r="2319" ht="20" customHeight="1">
      <c r="A2319" s="183">
        <f>IF($K2319="","",WEEKNUM(INDEX(Zeiterfassung!$K$6:$K$3665,$K2319),21))</f>
        <v/>
      </c>
      <c r="B2319" s="184">
        <f>IF($K2319="","",INDEX(Zeiterfassung!$K$6:$K$3665,$K2319))</f>
        <v/>
      </c>
      <c r="C2319" s="185">
        <f>IF($K2319="","",INDEX(Zeiterfassung!$K$6:$K$3665,$K2319))</f>
        <v/>
      </c>
      <c r="D2319" s="186">
        <f>IF($K2319="","",INDEX(Zeiterfassung!$D$6:$D$3665,$K2319))</f>
        <v/>
      </c>
      <c r="E2319" s="186">
        <f>IF($K2319="","",INDEX(Zeiterfassung!$E$6:$E$3665,$K2319))</f>
        <v/>
      </c>
      <c r="F2319" s="187">
        <f>IF($K2319="","",INDEX(Zeiterfassung!$F$6:$F$3665,$K2319))</f>
        <v/>
      </c>
      <c r="G2319" s="187">
        <f>IF($K2319="","",INDEX(Zeiterfassung!$G$6:$G$3665,$K2319))</f>
        <v/>
      </c>
      <c r="H2319" s="188">
        <f>IF($K2319="","",INDEX(Zeiterfassung!$H$6:$H$3665,$K2319))</f>
        <v/>
      </c>
      <c r="I2319" s="335">
        <f>IF(B2319=B2318,"",IF($K2319="","",INDEX(Zeiterfassung!$I$6:$I$3665,MATCH(INDEX(Zeiterfassung!$K$6:$K$3665,$K2319),Zeiterfassung!$K$6:$K$3665,0))))</f>
        <v/>
      </c>
      <c r="J2319" s="335">
        <f>IF(B2319=B2318,"",IF($K2319="","",INDEX(Zeiterfassung!$J$6:$J$3665,MATCH(INDEX(Zeiterfassung!$K$6:$K$3665,$K2319),Zeiterfassung!$K$6:$K$3665,0))))</f>
        <v/>
      </c>
      <c r="K2319">
        <f>IFERROR(AGGREGATE(15,6,(ROW(Zeiterfassung!$D$6:$D$3665)-ROW(Zeiterfassung!$D$6)+1)/(Zeiterfassung!$D$6:$D$3665&lt;&gt;""),2314),"")</f>
        <v/>
      </c>
    </row>
    <row r="2320" ht="20" customHeight="1">
      <c r="A2320" s="183">
        <f>IF($K2320="","",WEEKNUM(INDEX(Zeiterfassung!$K$6:$K$3665,$K2320),21))</f>
        <v/>
      </c>
      <c r="B2320" s="184">
        <f>IF($K2320="","",INDEX(Zeiterfassung!$K$6:$K$3665,$K2320))</f>
        <v/>
      </c>
      <c r="C2320" s="185">
        <f>IF($K2320="","",INDEX(Zeiterfassung!$K$6:$K$3665,$K2320))</f>
        <v/>
      </c>
      <c r="D2320" s="186">
        <f>IF($K2320="","",INDEX(Zeiterfassung!$D$6:$D$3665,$K2320))</f>
        <v/>
      </c>
      <c r="E2320" s="186">
        <f>IF($K2320="","",INDEX(Zeiterfassung!$E$6:$E$3665,$K2320))</f>
        <v/>
      </c>
      <c r="F2320" s="187">
        <f>IF($K2320="","",INDEX(Zeiterfassung!$F$6:$F$3665,$K2320))</f>
        <v/>
      </c>
      <c r="G2320" s="187">
        <f>IF($K2320="","",INDEX(Zeiterfassung!$G$6:$G$3665,$K2320))</f>
        <v/>
      </c>
      <c r="H2320" s="188">
        <f>IF($K2320="","",INDEX(Zeiterfassung!$H$6:$H$3665,$K2320))</f>
        <v/>
      </c>
      <c r="I2320" s="335">
        <f>IF(B2320=B2319,"",IF($K2320="","",INDEX(Zeiterfassung!$I$6:$I$3665,MATCH(INDEX(Zeiterfassung!$K$6:$K$3665,$K2320),Zeiterfassung!$K$6:$K$3665,0))))</f>
        <v/>
      </c>
      <c r="J2320" s="335">
        <f>IF(B2320=B2319,"",IF($K2320="","",INDEX(Zeiterfassung!$J$6:$J$3665,MATCH(INDEX(Zeiterfassung!$K$6:$K$3665,$K2320),Zeiterfassung!$K$6:$K$3665,0))))</f>
        <v/>
      </c>
      <c r="K2320">
        <f>IFERROR(AGGREGATE(15,6,(ROW(Zeiterfassung!$D$6:$D$3665)-ROW(Zeiterfassung!$D$6)+1)/(Zeiterfassung!$D$6:$D$3665&lt;&gt;""),2315),"")</f>
        <v/>
      </c>
    </row>
    <row r="2321" ht="20" customHeight="1">
      <c r="A2321" s="183">
        <f>IF($K2321="","",WEEKNUM(INDEX(Zeiterfassung!$K$6:$K$3665,$K2321),21))</f>
        <v/>
      </c>
      <c r="B2321" s="184">
        <f>IF($K2321="","",INDEX(Zeiterfassung!$K$6:$K$3665,$K2321))</f>
        <v/>
      </c>
      <c r="C2321" s="185">
        <f>IF($K2321="","",INDEX(Zeiterfassung!$K$6:$K$3665,$K2321))</f>
        <v/>
      </c>
      <c r="D2321" s="186">
        <f>IF($K2321="","",INDEX(Zeiterfassung!$D$6:$D$3665,$K2321))</f>
        <v/>
      </c>
      <c r="E2321" s="186">
        <f>IF($K2321="","",INDEX(Zeiterfassung!$E$6:$E$3665,$K2321))</f>
        <v/>
      </c>
      <c r="F2321" s="187">
        <f>IF($K2321="","",INDEX(Zeiterfassung!$F$6:$F$3665,$K2321))</f>
        <v/>
      </c>
      <c r="G2321" s="187">
        <f>IF($K2321="","",INDEX(Zeiterfassung!$G$6:$G$3665,$K2321))</f>
        <v/>
      </c>
      <c r="H2321" s="188">
        <f>IF($K2321="","",INDEX(Zeiterfassung!$H$6:$H$3665,$K2321))</f>
        <v/>
      </c>
      <c r="I2321" s="335">
        <f>IF(B2321=B2320,"",IF($K2321="","",INDEX(Zeiterfassung!$I$6:$I$3665,MATCH(INDEX(Zeiterfassung!$K$6:$K$3665,$K2321),Zeiterfassung!$K$6:$K$3665,0))))</f>
        <v/>
      </c>
      <c r="J2321" s="335">
        <f>IF(B2321=B2320,"",IF($K2321="","",INDEX(Zeiterfassung!$J$6:$J$3665,MATCH(INDEX(Zeiterfassung!$K$6:$K$3665,$K2321),Zeiterfassung!$K$6:$K$3665,0))))</f>
        <v/>
      </c>
      <c r="K2321">
        <f>IFERROR(AGGREGATE(15,6,(ROW(Zeiterfassung!$D$6:$D$3665)-ROW(Zeiterfassung!$D$6)+1)/(Zeiterfassung!$D$6:$D$3665&lt;&gt;""),2316),"")</f>
        <v/>
      </c>
    </row>
    <row r="2322" ht="20" customHeight="1">
      <c r="A2322" s="183">
        <f>IF($K2322="","",WEEKNUM(INDEX(Zeiterfassung!$K$6:$K$3665,$K2322),21))</f>
        <v/>
      </c>
      <c r="B2322" s="184">
        <f>IF($K2322="","",INDEX(Zeiterfassung!$K$6:$K$3665,$K2322))</f>
        <v/>
      </c>
      <c r="C2322" s="185">
        <f>IF($K2322="","",INDEX(Zeiterfassung!$K$6:$K$3665,$K2322))</f>
        <v/>
      </c>
      <c r="D2322" s="186">
        <f>IF($K2322="","",INDEX(Zeiterfassung!$D$6:$D$3665,$K2322))</f>
        <v/>
      </c>
      <c r="E2322" s="186">
        <f>IF($K2322="","",INDEX(Zeiterfassung!$E$6:$E$3665,$K2322))</f>
        <v/>
      </c>
      <c r="F2322" s="187">
        <f>IF($K2322="","",INDEX(Zeiterfassung!$F$6:$F$3665,$K2322))</f>
        <v/>
      </c>
      <c r="G2322" s="187">
        <f>IF($K2322="","",INDEX(Zeiterfassung!$G$6:$G$3665,$K2322))</f>
        <v/>
      </c>
      <c r="H2322" s="188">
        <f>IF($K2322="","",INDEX(Zeiterfassung!$H$6:$H$3665,$K2322))</f>
        <v/>
      </c>
      <c r="I2322" s="335">
        <f>IF(B2322=B2321,"",IF($K2322="","",INDEX(Zeiterfassung!$I$6:$I$3665,MATCH(INDEX(Zeiterfassung!$K$6:$K$3665,$K2322),Zeiterfassung!$K$6:$K$3665,0))))</f>
        <v/>
      </c>
      <c r="J2322" s="335">
        <f>IF(B2322=B2321,"",IF($K2322="","",INDEX(Zeiterfassung!$J$6:$J$3665,MATCH(INDEX(Zeiterfassung!$K$6:$K$3665,$K2322),Zeiterfassung!$K$6:$K$3665,0))))</f>
        <v/>
      </c>
      <c r="K2322">
        <f>IFERROR(AGGREGATE(15,6,(ROW(Zeiterfassung!$D$6:$D$3665)-ROW(Zeiterfassung!$D$6)+1)/(Zeiterfassung!$D$6:$D$3665&lt;&gt;""),2317),"")</f>
        <v/>
      </c>
    </row>
    <row r="2323" ht="20" customHeight="1">
      <c r="A2323" s="183">
        <f>IF($K2323="","",WEEKNUM(INDEX(Zeiterfassung!$K$6:$K$3665,$K2323),21))</f>
        <v/>
      </c>
      <c r="B2323" s="184">
        <f>IF($K2323="","",INDEX(Zeiterfassung!$K$6:$K$3665,$K2323))</f>
        <v/>
      </c>
      <c r="C2323" s="185">
        <f>IF($K2323="","",INDEX(Zeiterfassung!$K$6:$K$3665,$K2323))</f>
        <v/>
      </c>
      <c r="D2323" s="186">
        <f>IF($K2323="","",INDEX(Zeiterfassung!$D$6:$D$3665,$K2323))</f>
        <v/>
      </c>
      <c r="E2323" s="186">
        <f>IF($K2323="","",INDEX(Zeiterfassung!$E$6:$E$3665,$K2323))</f>
        <v/>
      </c>
      <c r="F2323" s="187">
        <f>IF($K2323="","",INDEX(Zeiterfassung!$F$6:$F$3665,$K2323))</f>
        <v/>
      </c>
      <c r="G2323" s="187">
        <f>IF($K2323="","",INDEX(Zeiterfassung!$G$6:$G$3665,$K2323))</f>
        <v/>
      </c>
      <c r="H2323" s="188">
        <f>IF($K2323="","",INDEX(Zeiterfassung!$H$6:$H$3665,$K2323))</f>
        <v/>
      </c>
      <c r="I2323" s="335">
        <f>IF(B2323=B2322,"",IF($K2323="","",INDEX(Zeiterfassung!$I$6:$I$3665,MATCH(INDEX(Zeiterfassung!$K$6:$K$3665,$K2323),Zeiterfassung!$K$6:$K$3665,0))))</f>
        <v/>
      </c>
      <c r="J2323" s="335">
        <f>IF(B2323=B2322,"",IF($K2323="","",INDEX(Zeiterfassung!$J$6:$J$3665,MATCH(INDEX(Zeiterfassung!$K$6:$K$3665,$K2323),Zeiterfassung!$K$6:$K$3665,0))))</f>
        <v/>
      </c>
      <c r="K2323">
        <f>IFERROR(AGGREGATE(15,6,(ROW(Zeiterfassung!$D$6:$D$3665)-ROW(Zeiterfassung!$D$6)+1)/(Zeiterfassung!$D$6:$D$3665&lt;&gt;""),2318),"")</f>
        <v/>
      </c>
    </row>
    <row r="2324" ht="20" customHeight="1">
      <c r="A2324" s="183">
        <f>IF($K2324="","",WEEKNUM(INDEX(Zeiterfassung!$K$6:$K$3665,$K2324),21))</f>
        <v/>
      </c>
      <c r="B2324" s="184">
        <f>IF($K2324="","",INDEX(Zeiterfassung!$K$6:$K$3665,$K2324))</f>
        <v/>
      </c>
      <c r="C2324" s="185">
        <f>IF($K2324="","",INDEX(Zeiterfassung!$K$6:$K$3665,$K2324))</f>
        <v/>
      </c>
      <c r="D2324" s="186">
        <f>IF($K2324="","",INDEX(Zeiterfassung!$D$6:$D$3665,$K2324))</f>
        <v/>
      </c>
      <c r="E2324" s="186">
        <f>IF($K2324="","",INDEX(Zeiterfassung!$E$6:$E$3665,$K2324))</f>
        <v/>
      </c>
      <c r="F2324" s="187">
        <f>IF($K2324="","",INDEX(Zeiterfassung!$F$6:$F$3665,$K2324))</f>
        <v/>
      </c>
      <c r="G2324" s="187">
        <f>IF($K2324="","",INDEX(Zeiterfassung!$G$6:$G$3665,$K2324))</f>
        <v/>
      </c>
      <c r="H2324" s="188">
        <f>IF($K2324="","",INDEX(Zeiterfassung!$H$6:$H$3665,$K2324))</f>
        <v/>
      </c>
      <c r="I2324" s="335">
        <f>IF(B2324=B2323,"",IF($K2324="","",INDEX(Zeiterfassung!$I$6:$I$3665,MATCH(INDEX(Zeiterfassung!$K$6:$K$3665,$K2324),Zeiterfassung!$K$6:$K$3665,0))))</f>
        <v/>
      </c>
      <c r="J2324" s="335">
        <f>IF(B2324=B2323,"",IF($K2324="","",INDEX(Zeiterfassung!$J$6:$J$3665,MATCH(INDEX(Zeiterfassung!$K$6:$K$3665,$K2324),Zeiterfassung!$K$6:$K$3665,0))))</f>
        <v/>
      </c>
      <c r="K2324">
        <f>IFERROR(AGGREGATE(15,6,(ROW(Zeiterfassung!$D$6:$D$3665)-ROW(Zeiterfassung!$D$6)+1)/(Zeiterfassung!$D$6:$D$3665&lt;&gt;""),2319),"")</f>
        <v/>
      </c>
    </row>
    <row r="2325" ht="20" customHeight="1">
      <c r="A2325" s="183">
        <f>IF($K2325="","",WEEKNUM(INDEX(Zeiterfassung!$K$6:$K$3665,$K2325),21))</f>
        <v/>
      </c>
      <c r="B2325" s="184">
        <f>IF($K2325="","",INDEX(Zeiterfassung!$K$6:$K$3665,$K2325))</f>
        <v/>
      </c>
      <c r="C2325" s="185">
        <f>IF($K2325="","",INDEX(Zeiterfassung!$K$6:$K$3665,$K2325))</f>
        <v/>
      </c>
      <c r="D2325" s="186">
        <f>IF($K2325="","",INDEX(Zeiterfassung!$D$6:$D$3665,$K2325))</f>
        <v/>
      </c>
      <c r="E2325" s="186">
        <f>IF($K2325="","",INDEX(Zeiterfassung!$E$6:$E$3665,$K2325))</f>
        <v/>
      </c>
      <c r="F2325" s="187">
        <f>IF($K2325="","",INDEX(Zeiterfassung!$F$6:$F$3665,$K2325))</f>
        <v/>
      </c>
      <c r="G2325" s="187">
        <f>IF($K2325="","",INDEX(Zeiterfassung!$G$6:$G$3665,$K2325))</f>
        <v/>
      </c>
      <c r="H2325" s="188">
        <f>IF($K2325="","",INDEX(Zeiterfassung!$H$6:$H$3665,$K2325))</f>
        <v/>
      </c>
      <c r="I2325" s="335">
        <f>IF(B2325=B2324,"",IF($K2325="","",INDEX(Zeiterfassung!$I$6:$I$3665,MATCH(INDEX(Zeiterfassung!$K$6:$K$3665,$K2325),Zeiterfassung!$K$6:$K$3665,0))))</f>
        <v/>
      </c>
      <c r="J2325" s="335">
        <f>IF(B2325=B2324,"",IF($K2325="","",INDEX(Zeiterfassung!$J$6:$J$3665,MATCH(INDEX(Zeiterfassung!$K$6:$K$3665,$K2325),Zeiterfassung!$K$6:$K$3665,0))))</f>
        <v/>
      </c>
      <c r="K2325">
        <f>IFERROR(AGGREGATE(15,6,(ROW(Zeiterfassung!$D$6:$D$3665)-ROW(Zeiterfassung!$D$6)+1)/(Zeiterfassung!$D$6:$D$3665&lt;&gt;""),2320),"")</f>
        <v/>
      </c>
    </row>
    <row r="2326" ht="20" customHeight="1">
      <c r="A2326" s="183">
        <f>IF($K2326="","",WEEKNUM(INDEX(Zeiterfassung!$K$6:$K$3665,$K2326),21))</f>
        <v/>
      </c>
      <c r="B2326" s="184">
        <f>IF($K2326="","",INDEX(Zeiterfassung!$K$6:$K$3665,$K2326))</f>
        <v/>
      </c>
      <c r="C2326" s="185">
        <f>IF($K2326="","",INDEX(Zeiterfassung!$K$6:$K$3665,$K2326))</f>
        <v/>
      </c>
      <c r="D2326" s="186">
        <f>IF($K2326="","",INDEX(Zeiterfassung!$D$6:$D$3665,$K2326))</f>
        <v/>
      </c>
      <c r="E2326" s="186">
        <f>IF($K2326="","",INDEX(Zeiterfassung!$E$6:$E$3665,$K2326))</f>
        <v/>
      </c>
      <c r="F2326" s="187">
        <f>IF($K2326="","",INDEX(Zeiterfassung!$F$6:$F$3665,$K2326))</f>
        <v/>
      </c>
      <c r="G2326" s="187">
        <f>IF($K2326="","",INDEX(Zeiterfassung!$G$6:$G$3665,$K2326))</f>
        <v/>
      </c>
      <c r="H2326" s="188">
        <f>IF($K2326="","",INDEX(Zeiterfassung!$H$6:$H$3665,$K2326))</f>
        <v/>
      </c>
      <c r="I2326" s="335">
        <f>IF(B2326=B2325,"",IF($K2326="","",INDEX(Zeiterfassung!$I$6:$I$3665,MATCH(INDEX(Zeiterfassung!$K$6:$K$3665,$K2326),Zeiterfassung!$K$6:$K$3665,0))))</f>
        <v/>
      </c>
      <c r="J2326" s="335">
        <f>IF(B2326=B2325,"",IF($K2326="","",INDEX(Zeiterfassung!$J$6:$J$3665,MATCH(INDEX(Zeiterfassung!$K$6:$K$3665,$K2326),Zeiterfassung!$K$6:$K$3665,0))))</f>
        <v/>
      </c>
      <c r="K2326">
        <f>IFERROR(AGGREGATE(15,6,(ROW(Zeiterfassung!$D$6:$D$3665)-ROW(Zeiterfassung!$D$6)+1)/(Zeiterfassung!$D$6:$D$3665&lt;&gt;""),2321),"")</f>
        <v/>
      </c>
    </row>
    <row r="2327" ht="20" customHeight="1">
      <c r="A2327" s="183">
        <f>IF($K2327="","",WEEKNUM(INDEX(Zeiterfassung!$K$6:$K$3665,$K2327),21))</f>
        <v/>
      </c>
      <c r="B2327" s="184">
        <f>IF($K2327="","",INDEX(Zeiterfassung!$K$6:$K$3665,$K2327))</f>
        <v/>
      </c>
      <c r="C2327" s="185">
        <f>IF($K2327="","",INDEX(Zeiterfassung!$K$6:$K$3665,$K2327))</f>
        <v/>
      </c>
      <c r="D2327" s="186">
        <f>IF($K2327="","",INDEX(Zeiterfassung!$D$6:$D$3665,$K2327))</f>
        <v/>
      </c>
      <c r="E2327" s="186">
        <f>IF($K2327="","",INDEX(Zeiterfassung!$E$6:$E$3665,$K2327))</f>
        <v/>
      </c>
      <c r="F2327" s="187">
        <f>IF($K2327="","",INDEX(Zeiterfassung!$F$6:$F$3665,$K2327))</f>
        <v/>
      </c>
      <c r="G2327" s="187">
        <f>IF($K2327="","",INDEX(Zeiterfassung!$G$6:$G$3665,$K2327))</f>
        <v/>
      </c>
      <c r="H2327" s="188">
        <f>IF($K2327="","",INDEX(Zeiterfassung!$H$6:$H$3665,$K2327))</f>
        <v/>
      </c>
      <c r="I2327" s="335">
        <f>IF(B2327=B2326,"",IF($K2327="","",INDEX(Zeiterfassung!$I$6:$I$3665,MATCH(INDEX(Zeiterfassung!$K$6:$K$3665,$K2327),Zeiterfassung!$K$6:$K$3665,0))))</f>
        <v/>
      </c>
      <c r="J2327" s="335">
        <f>IF(B2327=B2326,"",IF($K2327="","",INDEX(Zeiterfassung!$J$6:$J$3665,MATCH(INDEX(Zeiterfassung!$K$6:$K$3665,$K2327),Zeiterfassung!$K$6:$K$3665,0))))</f>
        <v/>
      </c>
      <c r="K2327">
        <f>IFERROR(AGGREGATE(15,6,(ROW(Zeiterfassung!$D$6:$D$3665)-ROW(Zeiterfassung!$D$6)+1)/(Zeiterfassung!$D$6:$D$3665&lt;&gt;""),2322),"")</f>
        <v/>
      </c>
    </row>
    <row r="2328" ht="20" customHeight="1">
      <c r="A2328" s="183">
        <f>IF($K2328="","",WEEKNUM(INDEX(Zeiterfassung!$K$6:$K$3665,$K2328),21))</f>
        <v/>
      </c>
      <c r="B2328" s="184">
        <f>IF($K2328="","",INDEX(Zeiterfassung!$K$6:$K$3665,$K2328))</f>
        <v/>
      </c>
      <c r="C2328" s="185">
        <f>IF($K2328="","",INDEX(Zeiterfassung!$K$6:$K$3665,$K2328))</f>
        <v/>
      </c>
      <c r="D2328" s="186">
        <f>IF($K2328="","",INDEX(Zeiterfassung!$D$6:$D$3665,$K2328))</f>
        <v/>
      </c>
      <c r="E2328" s="186">
        <f>IF($K2328="","",INDEX(Zeiterfassung!$E$6:$E$3665,$K2328))</f>
        <v/>
      </c>
      <c r="F2328" s="187">
        <f>IF($K2328="","",INDEX(Zeiterfassung!$F$6:$F$3665,$K2328))</f>
        <v/>
      </c>
      <c r="G2328" s="187">
        <f>IF($K2328="","",INDEX(Zeiterfassung!$G$6:$G$3665,$K2328))</f>
        <v/>
      </c>
      <c r="H2328" s="188">
        <f>IF($K2328="","",INDEX(Zeiterfassung!$H$6:$H$3665,$K2328))</f>
        <v/>
      </c>
      <c r="I2328" s="335">
        <f>IF(B2328=B2327,"",IF($K2328="","",INDEX(Zeiterfassung!$I$6:$I$3665,MATCH(INDEX(Zeiterfassung!$K$6:$K$3665,$K2328),Zeiterfassung!$K$6:$K$3665,0))))</f>
        <v/>
      </c>
      <c r="J2328" s="335">
        <f>IF(B2328=B2327,"",IF($K2328="","",INDEX(Zeiterfassung!$J$6:$J$3665,MATCH(INDEX(Zeiterfassung!$K$6:$K$3665,$K2328),Zeiterfassung!$K$6:$K$3665,0))))</f>
        <v/>
      </c>
      <c r="K2328">
        <f>IFERROR(AGGREGATE(15,6,(ROW(Zeiterfassung!$D$6:$D$3665)-ROW(Zeiterfassung!$D$6)+1)/(Zeiterfassung!$D$6:$D$3665&lt;&gt;""),2323),"")</f>
        <v/>
      </c>
    </row>
    <row r="2329" ht="20" customHeight="1">
      <c r="A2329" s="183">
        <f>IF($K2329="","",WEEKNUM(INDEX(Zeiterfassung!$K$6:$K$3665,$K2329),21))</f>
        <v/>
      </c>
      <c r="B2329" s="184">
        <f>IF($K2329="","",INDEX(Zeiterfassung!$K$6:$K$3665,$K2329))</f>
        <v/>
      </c>
      <c r="C2329" s="185">
        <f>IF($K2329="","",INDEX(Zeiterfassung!$K$6:$K$3665,$K2329))</f>
        <v/>
      </c>
      <c r="D2329" s="186">
        <f>IF($K2329="","",INDEX(Zeiterfassung!$D$6:$D$3665,$K2329))</f>
        <v/>
      </c>
      <c r="E2329" s="186">
        <f>IF($K2329="","",INDEX(Zeiterfassung!$E$6:$E$3665,$K2329))</f>
        <v/>
      </c>
      <c r="F2329" s="187">
        <f>IF($K2329="","",INDEX(Zeiterfassung!$F$6:$F$3665,$K2329))</f>
        <v/>
      </c>
      <c r="G2329" s="187">
        <f>IF($K2329="","",INDEX(Zeiterfassung!$G$6:$G$3665,$K2329))</f>
        <v/>
      </c>
      <c r="H2329" s="188">
        <f>IF($K2329="","",INDEX(Zeiterfassung!$H$6:$H$3665,$K2329))</f>
        <v/>
      </c>
      <c r="I2329" s="335">
        <f>IF(B2329=B2328,"",IF($K2329="","",INDEX(Zeiterfassung!$I$6:$I$3665,MATCH(INDEX(Zeiterfassung!$K$6:$K$3665,$K2329),Zeiterfassung!$K$6:$K$3665,0))))</f>
        <v/>
      </c>
      <c r="J2329" s="335">
        <f>IF(B2329=B2328,"",IF($K2329="","",INDEX(Zeiterfassung!$J$6:$J$3665,MATCH(INDEX(Zeiterfassung!$K$6:$K$3665,$K2329),Zeiterfassung!$K$6:$K$3665,0))))</f>
        <v/>
      </c>
      <c r="K2329">
        <f>IFERROR(AGGREGATE(15,6,(ROW(Zeiterfassung!$D$6:$D$3665)-ROW(Zeiterfassung!$D$6)+1)/(Zeiterfassung!$D$6:$D$3665&lt;&gt;""),2324),"")</f>
        <v/>
      </c>
    </row>
    <row r="2330" ht="20" customHeight="1">
      <c r="A2330" s="183">
        <f>IF($K2330="","",WEEKNUM(INDEX(Zeiterfassung!$K$6:$K$3665,$K2330),21))</f>
        <v/>
      </c>
      <c r="B2330" s="184">
        <f>IF($K2330="","",INDEX(Zeiterfassung!$K$6:$K$3665,$K2330))</f>
        <v/>
      </c>
      <c r="C2330" s="185">
        <f>IF($K2330="","",INDEX(Zeiterfassung!$K$6:$K$3665,$K2330))</f>
        <v/>
      </c>
      <c r="D2330" s="186">
        <f>IF($K2330="","",INDEX(Zeiterfassung!$D$6:$D$3665,$K2330))</f>
        <v/>
      </c>
      <c r="E2330" s="186">
        <f>IF($K2330="","",INDEX(Zeiterfassung!$E$6:$E$3665,$K2330))</f>
        <v/>
      </c>
      <c r="F2330" s="187">
        <f>IF($K2330="","",INDEX(Zeiterfassung!$F$6:$F$3665,$K2330))</f>
        <v/>
      </c>
      <c r="G2330" s="187">
        <f>IF($K2330="","",INDEX(Zeiterfassung!$G$6:$G$3665,$K2330))</f>
        <v/>
      </c>
      <c r="H2330" s="188">
        <f>IF($K2330="","",INDEX(Zeiterfassung!$H$6:$H$3665,$K2330))</f>
        <v/>
      </c>
      <c r="I2330" s="335">
        <f>IF(B2330=B2329,"",IF($K2330="","",INDEX(Zeiterfassung!$I$6:$I$3665,MATCH(INDEX(Zeiterfassung!$K$6:$K$3665,$K2330),Zeiterfassung!$K$6:$K$3665,0))))</f>
        <v/>
      </c>
      <c r="J2330" s="335">
        <f>IF(B2330=B2329,"",IF($K2330="","",INDEX(Zeiterfassung!$J$6:$J$3665,MATCH(INDEX(Zeiterfassung!$K$6:$K$3665,$K2330),Zeiterfassung!$K$6:$K$3665,0))))</f>
        <v/>
      </c>
      <c r="K2330">
        <f>IFERROR(AGGREGATE(15,6,(ROW(Zeiterfassung!$D$6:$D$3665)-ROW(Zeiterfassung!$D$6)+1)/(Zeiterfassung!$D$6:$D$3665&lt;&gt;""),2325),"")</f>
        <v/>
      </c>
    </row>
    <row r="2331" ht="20" customHeight="1">
      <c r="A2331" s="183">
        <f>IF($K2331="","",WEEKNUM(INDEX(Zeiterfassung!$K$6:$K$3665,$K2331),21))</f>
        <v/>
      </c>
      <c r="B2331" s="184">
        <f>IF($K2331="","",INDEX(Zeiterfassung!$K$6:$K$3665,$K2331))</f>
        <v/>
      </c>
      <c r="C2331" s="185">
        <f>IF($K2331="","",INDEX(Zeiterfassung!$K$6:$K$3665,$K2331))</f>
        <v/>
      </c>
      <c r="D2331" s="186">
        <f>IF($K2331="","",INDEX(Zeiterfassung!$D$6:$D$3665,$K2331))</f>
        <v/>
      </c>
      <c r="E2331" s="186">
        <f>IF($K2331="","",INDEX(Zeiterfassung!$E$6:$E$3665,$K2331))</f>
        <v/>
      </c>
      <c r="F2331" s="187">
        <f>IF($K2331="","",INDEX(Zeiterfassung!$F$6:$F$3665,$K2331))</f>
        <v/>
      </c>
      <c r="G2331" s="187">
        <f>IF($K2331="","",INDEX(Zeiterfassung!$G$6:$G$3665,$K2331))</f>
        <v/>
      </c>
      <c r="H2331" s="188">
        <f>IF($K2331="","",INDEX(Zeiterfassung!$H$6:$H$3665,$K2331))</f>
        <v/>
      </c>
      <c r="I2331" s="335">
        <f>IF(B2331=B2330,"",IF($K2331="","",INDEX(Zeiterfassung!$I$6:$I$3665,MATCH(INDEX(Zeiterfassung!$K$6:$K$3665,$K2331),Zeiterfassung!$K$6:$K$3665,0))))</f>
        <v/>
      </c>
      <c r="J2331" s="335">
        <f>IF(B2331=B2330,"",IF($K2331="","",INDEX(Zeiterfassung!$J$6:$J$3665,MATCH(INDEX(Zeiterfassung!$K$6:$K$3665,$K2331),Zeiterfassung!$K$6:$K$3665,0))))</f>
        <v/>
      </c>
      <c r="K2331">
        <f>IFERROR(AGGREGATE(15,6,(ROW(Zeiterfassung!$D$6:$D$3665)-ROW(Zeiterfassung!$D$6)+1)/(Zeiterfassung!$D$6:$D$3665&lt;&gt;""),2326),"")</f>
        <v/>
      </c>
    </row>
    <row r="2332" ht="20" customHeight="1">
      <c r="A2332" s="183">
        <f>IF($K2332="","",WEEKNUM(INDEX(Zeiterfassung!$K$6:$K$3665,$K2332),21))</f>
        <v/>
      </c>
      <c r="B2332" s="184">
        <f>IF($K2332="","",INDEX(Zeiterfassung!$K$6:$K$3665,$K2332))</f>
        <v/>
      </c>
      <c r="C2332" s="185">
        <f>IF($K2332="","",INDEX(Zeiterfassung!$K$6:$K$3665,$K2332))</f>
        <v/>
      </c>
      <c r="D2332" s="186">
        <f>IF($K2332="","",INDEX(Zeiterfassung!$D$6:$D$3665,$K2332))</f>
        <v/>
      </c>
      <c r="E2332" s="186">
        <f>IF($K2332="","",INDEX(Zeiterfassung!$E$6:$E$3665,$K2332))</f>
        <v/>
      </c>
      <c r="F2332" s="187">
        <f>IF($K2332="","",INDEX(Zeiterfassung!$F$6:$F$3665,$K2332))</f>
        <v/>
      </c>
      <c r="G2332" s="187">
        <f>IF($K2332="","",INDEX(Zeiterfassung!$G$6:$G$3665,$K2332))</f>
        <v/>
      </c>
      <c r="H2332" s="188">
        <f>IF($K2332="","",INDEX(Zeiterfassung!$H$6:$H$3665,$K2332))</f>
        <v/>
      </c>
      <c r="I2332" s="335">
        <f>IF(B2332=B2331,"",IF($K2332="","",INDEX(Zeiterfassung!$I$6:$I$3665,MATCH(INDEX(Zeiterfassung!$K$6:$K$3665,$K2332),Zeiterfassung!$K$6:$K$3665,0))))</f>
        <v/>
      </c>
      <c r="J2332" s="335">
        <f>IF(B2332=B2331,"",IF($K2332="","",INDEX(Zeiterfassung!$J$6:$J$3665,MATCH(INDEX(Zeiterfassung!$K$6:$K$3665,$K2332),Zeiterfassung!$K$6:$K$3665,0))))</f>
        <v/>
      </c>
      <c r="K2332">
        <f>IFERROR(AGGREGATE(15,6,(ROW(Zeiterfassung!$D$6:$D$3665)-ROW(Zeiterfassung!$D$6)+1)/(Zeiterfassung!$D$6:$D$3665&lt;&gt;""),2327),"")</f>
        <v/>
      </c>
    </row>
    <row r="2333" ht="20" customHeight="1">
      <c r="A2333" s="183">
        <f>IF($K2333="","",WEEKNUM(INDEX(Zeiterfassung!$K$6:$K$3665,$K2333),21))</f>
        <v/>
      </c>
      <c r="B2333" s="184">
        <f>IF($K2333="","",INDEX(Zeiterfassung!$K$6:$K$3665,$K2333))</f>
        <v/>
      </c>
      <c r="C2333" s="185">
        <f>IF($K2333="","",INDEX(Zeiterfassung!$K$6:$K$3665,$K2333))</f>
        <v/>
      </c>
      <c r="D2333" s="186">
        <f>IF($K2333="","",INDEX(Zeiterfassung!$D$6:$D$3665,$K2333))</f>
        <v/>
      </c>
      <c r="E2333" s="186">
        <f>IF($K2333="","",INDEX(Zeiterfassung!$E$6:$E$3665,$K2333))</f>
        <v/>
      </c>
      <c r="F2333" s="187">
        <f>IF($K2333="","",INDEX(Zeiterfassung!$F$6:$F$3665,$K2333))</f>
        <v/>
      </c>
      <c r="G2333" s="187">
        <f>IF($K2333="","",INDEX(Zeiterfassung!$G$6:$G$3665,$K2333))</f>
        <v/>
      </c>
      <c r="H2333" s="188">
        <f>IF($K2333="","",INDEX(Zeiterfassung!$H$6:$H$3665,$K2333))</f>
        <v/>
      </c>
      <c r="I2333" s="335">
        <f>IF(B2333=B2332,"",IF($K2333="","",INDEX(Zeiterfassung!$I$6:$I$3665,MATCH(INDEX(Zeiterfassung!$K$6:$K$3665,$K2333),Zeiterfassung!$K$6:$K$3665,0))))</f>
        <v/>
      </c>
      <c r="J2333" s="335">
        <f>IF(B2333=B2332,"",IF($K2333="","",INDEX(Zeiterfassung!$J$6:$J$3665,MATCH(INDEX(Zeiterfassung!$K$6:$K$3665,$K2333),Zeiterfassung!$K$6:$K$3665,0))))</f>
        <v/>
      </c>
      <c r="K2333">
        <f>IFERROR(AGGREGATE(15,6,(ROW(Zeiterfassung!$D$6:$D$3665)-ROW(Zeiterfassung!$D$6)+1)/(Zeiterfassung!$D$6:$D$3665&lt;&gt;""),2328),"")</f>
        <v/>
      </c>
    </row>
    <row r="2334" ht="20" customHeight="1">
      <c r="A2334" s="183">
        <f>IF($K2334="","",WEEKNUM(INDEX(Zeiterfassung!$K$6:$K$3665,$K2334),21))</f>
        <v/>
      </c>
      <c r="B2334" s="184">
        <f>IF($K2334="","",INDEX(Zeiterfassung!$K$6:$K$3665,$K2334))</f>
        <v/>
      </c>
      <c r="C2334" s="185">
        <f>IF($K2334="","",INDEX(Zeiterfassung!$K$6:$K$3665,$K2334))</f>
        <v/>
      </c>
      <c r="D2334" s="186">
        <f>IF($K2334="","",INDEX(Zeiterfassung!$D$6:$D$3665,$K2334))</f>
        <v/>
      </c>
      <c r="E2334" s="186">
        <f>IF($K2334="","",INDEX(Zeiterfassung!$E$6:$E$3665,$K2334))</f>
        <v/>
      </c>
      <c r="F2334" s="187">
        <f>IF($K2334="","",INDEX(Zeiterfassung!$F$6:$F$3665,$K2334))</f>
        <v/>
      </c>
      <c r="G2334" s="187">
        <f>IF($K2334="","",INDEX(Zeiterfassung!$G$6:$G$3665,$K2334))</f>
        <v/>
      </c>
      <c r="H2334" s="188">
        <f>IF($K2334="","",INDEX(Zeiterfassung!$H$6:$H$3665,$K2334))</f>
        <v/>
      </c>
      <c r="I2334" s="335">
        <f>IF(B2334=B2333,"",IF($K2334="","",INDEX(Zeiterfassung!$I$6:$I$3665,MATCH(INDEX(Zeiterfassung!$K$6:$K$3665,$K2334),Zeiterfassung!$K$6:$K$3665,0))))</f>
        <v/>
      </c>
      <c r="J2334" s="335">
        <f>IF(B2334=B2333,"",IF($K2334="","",INDEX(Zeiterfassung!$J$6:$J$3665,MATCH(INDEX(Zeiterfassung!$K$6:$K$3665,$K2334),Zeiterfassung!$K$6:$K$3665,0))))</f>
        <v/>
      </c>
      <c r="K2334">
        <f>IFERROR(AGGREGATE(15,6,(ROW(Zeiterfassung!$D$6:$D$3665)-ROW(Zeiterfassung!$D$6)+1)/(Zeiterfassung!$D$6:$D$3665&lt;&gt;""),2329),"")</f>
        <v/>
      </c>
    </row>
    <row r="2335" ht="20" customHeight="1">
      <c r="A2335" s="183">
        <f>IF($K2335="","",WEEKNUM(INDEX(Zeiterfassung!$K$6:$K$3665,$K2335),21))</f>
        <v/>
      </c>
      <c r="B2335" s="184">
        <f>IF($K2335="","",INDEX(Zeiterfassung!$K$6:$K$3665,$K2335))</f>
        <v/>
      </c>
      <c r="C2335" s="185">
        <f>IF($K2335="","",INDEX(Zeiterfassung!$K$6:$K$3665,$K2335))</f>
        <v/>
      </c>
      <c r="D2335" s="186">
        <f>IF($K2335="","",INDEX(Zeiterfassung!$D$6:$D$3665,$K2335))</f>
        <v/>
      </c>
      <c r="E2335" s="186">
        <f>IF($K2335="","",INDEX(Zeiterfassung!$E$6:$E$3665,$K2335))</f>
        <v/>
      </c>
      <c r="F2335" s="187">
        <f>IF($K2335="","",INDEX(Zeiterfassung!$F$6:$F$3665,$K2335))</f>
        <v/>
      </c>
      <c r="G2335" s="187">
        <f>IF($K2335="","",INDEX(Zeiterfassung!$G$6:$G$3665,$K2335))</f>
        <v/>
      </c>
      <c r="H2335" s="188">
        <f>IF($K2335="","",INDEX(Zeiterfassung!$H$6:$H$3665,$K2335))</f>
        <v/>
      </c>
      <c r="I2335" s="335">
        <f>IF(B2335=B2334,"",IF($K2335="","",INDEX(Zeiterfassung!$I$6:$I$3665,MATCH(INDEX(Zeiterfassung!$K$6:$K$3665,$K2335),Zeiterfassung!$K$6:$K$3665,0))))</f>
        <v/>
      </c>
      <c r="J2335" s="335">
        <f>IF(B2335=B2334,"",IF($K2335="","",INDEX(Zeiterfassung!$J$6:$J$3665,MATCH(INDEX(Zeiterfassung!$K$6:$K$3665,$K2335),Zeiterfassung!$K$6:$K$3665,0))))</f>
        <v/>
      </c>
      <c r="K2335">
        <f>IFERROR(AGGREGATE(15,6,(ROW(Zeiterfassung!$D$6:$D$3665)-ROW(Zeiterfassung!$D$6)+1)/(Zeiterfassung!$D$6:$D$3665&lt;&gt;""),2330),"")</f>
        <v/>
      </c>
    </row>
    <row r="2336" ht="20" customHeight="1">
      <c r="A2336" s="183">
        <f>IF($K2336="","",WEEKNUM(INDEX(Zeiterfassung!$K$6:$K$3665,$K2336),21))</f>
        <v/>
      </c>
      <c r="B2336" s="184">
        <f>IF($K2336="","",INDEX(Zeiterfassung!$K$6:$K$3665,$K2336))</f>
        <v/>
      </c>
      <c r="C2336" s="185">
        <f>IF($K2336="","",INDEX(Zeiterfassung!$K$6:$K$3665,$K2336))</f>
        <v/>
      </c>
      <c r="D2336" s="186">
        <f>IF($K2336="","",INDEX(Zeiterfassung!$D$6:$D$3665,$K2336))</f>
        <v/>
      </c>
      <c r="E2336" s="186">
        <f>IF($K2336="","",INDEX(Zeiterfassung!$E$6:$E$3665,$K2336))</f>
        <v/>
      </c>
      <c r="F2336" s="187">
        <f>IF($K2336="","",INDEX(Zeiterfassung!$F$6:$F$3665,$K2336))</f>
        <v/>
      </c>
      <c r="G2336" s="187">
        <f>IF($K2336="","",INDEX(Zeiterfassung!$G$6:$G$3665,$K2336))</f>
        <v/>
      </c>
      <c r="H2336" s="188">
        <f>IF($K2336="","",INDEX(Zeiterfassung!$H$6:$H$3665,$K2336))</f>
        <v/>
      </c>
      <c r="I2336" s="335">
        <f>IF(B2336=B2335,"",IF($K2336="","",INDEX(Zeiterfassung!$I$6:$I$3665,MATCH(INDEX(Zeiterfassung!$K$6:$K$3665,$K2336),Zeiterfassung!$K$6:$K$3665,0))))</f>
        <v/>
      </c>
      <c r="J2336" s="335">
        <f>IF(B2336=B2335,"",IF($K2336="","",INDEX(Zeiterfassung!$J$6:$J$3665,MATCH(INDEX(Zeiterfassung!$K$6:$K$3665,$K2336),Zeiterfassung!$K$6:$K$3665,0))))</f>
        <v/>
      </c>
      <c r="K2336">
        <f>IFERROR(AGGREGATE(15,6,(ROW(Zeiterfassung!$D$6:$D$3665)-ROW(Zeiterfassung!$D$6)+1)/(Zeiterfassung!$D$6:$D$3665&lt;&gt;""),2331),"")</f>
        <v/>
      </c>
    </row>
    <row r="2337" ht="20" customHeight="1">
      <c r="A2337" s="183">
        <f>IF($K2337="","",WEEKNUM(INDEX(Zeiterfassung!$K$6:$K$3665,$K2337),21))</f>
        <v/>
      </c>
      <c r="B2337" s="184">
        <f>IF($K2337="","",INDEX(Zeiterfassung!$K$6:$K$3665,$K2337))</f>
        <v/>
      </c>
      <c r="C2337" s="185">
        <f>IF($K2337="","",INDEX(Zeiterfassung!$K$6:$K$3665,$K2337))</f>
        <v/>
      </c>
      <c r="D2337" s="186">
        <f>IF($K2337="","",INDEX(Zeiterfassung!$D$6:$D$3665,$K2337))</f>
        <v/>
      </c>
      <c r="E2337" s="186">
        <f>IF($K2337="","",INDEX(Zeiterfassung!$E$6:$E$3665,$K2337))</f>
        <v/>
      </c>
      <c r="F2337" s="187">
        <f>IF($K2337="","",INDEX(Zeiterfassung!$F$6:$F$3665,$K2337))</f>
        <v/>
      </c>
      <c r="G2337" s="187">
        <f>IF($K2337="","",INDEX(Zeiterfassung!$G$6:$G$3665,$K2337))</f>
        <v/>
      </c>
      <c r="H2337" s="188">
        <f>IF($K2337="","",INDEX(Zeiterfassung!$H$6:$H$3665,$K2337))</f>
        <v/>
      </c>
      <c r="I2337" s="335">
        <f>IF(B2337=B2336,"",IF($K2337="","",INDEX(Zeiterfassung!$I$6:$I$3665,MATCH(INDEX(Zeiterfassung!$K$6:$K$3665,$K2337),Zeiterfassung!$K$6:$K$3665,0))))</f>
        <v/>
      </c>
      <c r="J2337" s="335">
        <f>IF(B2337=B2336,"",IF($K2337="","",INDEX(Zeiterfassung!$J$6:$J$3665,MATCH(INDEX(Zeiterfassung!$K$6:$K$3665,$K2337),Zeiterfassung!$K$6:$K$3665,0))))</f>
        <v/>
      </c>
      <c r="K2337">
        <f>IFERROR(AGGREGATE(15,6,(ROW(Zeiterfassung!$D$6:$D$3665)-ROW(Zeiterfassung!$D$6)+1)/(Zeiterfassung!$D$6:$D$3665&lt;&gt;""),2332),"")</f>
        <v/>
      </c>
    </row>
    <row r="2338" ht="20" customHeight="1">
      <c r="A2338" s="183">
        <f>IF($K2338="","",WEEKNUM(INDEX(Zeiterfassung!$K$6:$K$3665,$K2338),21))</f>
        <v/>
      </c>
      <c r="B2338" s="184">
        <f>IF($K2338="","",INDEX(Zeiterfassung!$K$6:$K$3665,$K2338))</f>
        <v/>
      </c>
      <c r="C2338" s="185">
        <f>IF($K2338="","",INDEX(Zeiterfassung!$K$6:$K$3665,$K2338))</f>
        <v/>
      </c>
      <c r="D2338" s="186">
        <f>IF($K2338="","",INDEX(Zeiterfassung!$D$6:$D$3665,$K2338))</f>
        <v/>
      </c>
      <c r="E2338" s="186">
        <f>IF($K2338="","",INDEX(Zeiterfassung!$E$6:$E$3665,$K2338))</f>
        <v/>
      </c>
      <c r="F2338" s="187">
        <f>IF($K2338="","",INDEX(Zeiterfassung!$F$6:$F$3665,$K2338))</f>
        <v/>
      </c>
      <c r="G2338" s="187">
        <f>IF($K2338="","",INDEX(Zeiterfassung!$G$6:$G$3665,$K2338))</f>
        <v/>
      </c>
      <c r="H2338" s="188">
        <f>IF($K2338="","",INDEX(Zeiterfassung!$H$6:$H$3665,$K2338))</f>
        <v/>
      </c>
      <c r="I2338" s="335">
        <f>IF(B2338=B2337,"",IF($K2338="","",INDEX(Zeiterfassung!$I$6:$I$3665,MATCH(INDEX(Zeiterfassung!$K$6:$K$3665,$K2338),Zeiterfassung!$K$6:$K$3665,0))))</f>
        <v/>
      </c>
      <c r="J2338" s="335">
        <f>IF(B2338=B2337,"",IF($K2338="","",INDEX(Zeiterfassung!$J$6:$J$3665,MATCH(INDEX(Zeiterfassung!$K$6:$K$3665,$K2338),Zeiterfassung!$K$6:$K$3665,0))))</f>
        <v/>
      </c>
      <c r="K2338">
        <f>IFERROR(AGGREGATE(15,6,(ROW(Zeiterfassung!$D$6:$D$3665)-ROW(Zeiterfassung!$D$6)+1)/(Zeiterfassung!$D$6:$D$3665&lt;&gt;""),2333),"")</f>
        <v/>
      </c>
    </row>
    <row r="2339" ht="20" customHeight="1">
      <c r="A2339" s="183">
        <f>IF($K2339="","",WEEKNUM(INDEX(Zeiterfassung!$K$6:$K$3665,$K2339),21))</f>
        <v/>
      </c>
      <c r="B2339" s="184">
        <f>IF($K2339="","",INDEX(Zeiterfassung!$K$6:$K$3665,$K2339))</f>
        <v/>
      </c>
      <c r="C2339" s="185">
        <f>IF($K2339="","",INDEX(Zeiterfassung!$K$6:$K$3665,$K2339))</f>
        <v/>
      </c>
      <c r="D2339" s="186">
        <f>IF($K2339="","",INDEX(Zeiterfassung!$D$6:$D$3665,$K2339))</f>
        <v/>
      </c>
      <c r="E2339" s="186">
        <f>IF($K2339="","",INDEX(Zeiterfassung!$E$6:$E$3665,$K2339))</f>
        <v/>
      </c>
      <c r="F2339" s="187">
        <f>IF($K2339="","",INDEX(Zeiterfassung!$F$6:$F$3665,$K2339))</f>
        <v/>
      </c>
      <c r="G2339" s="187">
        <f>IF($K2339="","",INDEX(Zeiterfassung!$G$6:$G$3665,$K2339))</f>
        <v/>
      </c>
      <c r="H2339" s="188">
        <f>IF($K2339="","",INDEX(Zeiterfassung!$H$6:$H$3665,$K2339))</f>
        <v/>
      </c>
      <c r="I2339" s="335">
        <f>IF(B2339=B2338,"",IF($K2339="","",INDEX(Zeiterfassung!$I$6:$I$3665,MATCH(INDEX(Zeiterfassung!$K$6:$K$3665,$K2339),Zeiterfassung!$K$6:$K$3665,0))))</f>
        <v/>
      </c>
      <c r="J2339" s="335">
        <f>IF(B2339=B2338,"",IF($K2339="","",INDEX(Zeiterfassung!$J$6:$J$3665,MATCH(INDEX(Zeiterfassung!$K$6:$K$3665,$K2339),Zeiterfassung!$K$6:$K$3665,0))))</f>
        <v/>
      </c>
      <c r="K2339">
        <f>IFERROR(AGGREGATE(15,6,(ROW(Zeiterfassung!$D$6:$D$3665)-ROW(Zeiterfassung!$D$6)+1)/(Zeiterfassung!$D$6:$D$3665&lt;&gt;""),2334),"")</f>
        <v/>
      </c>
    </row>
    <row r="2340" ht="20" customHeight="1">
      <c r="A2340" s="183">
        <f>IF($K2340="","",WEEKNUM(INDEX(Zeiterfassung!$K$6:$K$3665,$K2340),21))</f>
        <v/>
      </c>
      <c r="B2340" s="184">
        <f>IF($K2340="","",INDEX(Zeiterfassung!$K$6:$K$3665,$K2340))</f>
        <v/>
      </c>
      <c r="C2340" s="185">
        <f>IF($K2340="","",INDEX(Zeiterfassung!$K$6:$K$3665,$K2340))</f>
        <v/>
      </c>
      <c r="D2340" s="186">
        <f>IF($K2340="","",INDEX(Zeiterfassung!$D$6:$D$3665,$K2340))</f>
        <v/>
      </c>
      <c r="E2340" s="186">
        <f>IF($K2340="","",INDEX(Zeiterfassung!$E$6:$E$3665,$K2340))</f>
        <v/>
      </c>
      <c r="F2340" s="187">
        <f>IF($K2340="","",INDEX(Zeiterfassung!$F$6:$F$3665,$K2340))</f>
        <v/>
      </c>
      <c r="G2340" s="187">
        <f>IF($K2340="","",INDEX(Zeiterfassung!$G$6:$G$3665,$K2340))</f>
        <v/>
      </c>
      <c r="H2340" s="188">
        <f>IF($K2340="","",INDEX(Zeiterfassung!$H$6:$H$3665,$K2340))</f>
        <v/>
      </c>
      <c r="I2340" s="335">
        <f>IF(B2340=B2339,"",IF($K2340="","",INDEX(Zeiterfassung!$I$6:$I$3665,MATCH(INDEX(Zeiterfassung!$K$6:$K$3665,$K2340),Zeiterfassung!$K$6:$K$3665,0))))</f>
        <v/>
      </c>
      <c r="J2340" s="335">
        <f>IF(B2340=B2339,"",IF($K2340="","",INDEX(Zeiterfassung!$J$6:$J$3665,MATCH(INDEX(Zeiterfassung!$K$6:$K$3665,$K2340),Zeiterfassung!$K$6:$K$3665,0))))</f>
        <v/>
      </c>
      <c r="K2340">
        <f>IFERROR(AGGREGATE(15,6,(ROW(Zeiterfassung!$D$6:$D$3665)-ROW(Zeiterfassung!$D$6)+1)/(Zeiterfassung!$D$6:$D$3665&lt;&gt;""),2335),"")</f>
        <v/>
      </c>
    </row>
    <row r="2341" ht="20" customHeight="1">
      <c r="A2341" s="183">
        <f>IF($K2341="","",WEEKNUM(INDEX(Zeiterfassung!$K$6:$K$3665,$K2341),21))</f>
        <v/>
      </c>
      <c r="B2341" s="184">
        <f>IF($K2341="","",INDEX(Zeiterfassung!$K$6:$K$3665,$K2341))</f>
        <v/>
      </c>
      <c r="C2341" s="185">
        <f>IF($K2341="","",INDEX(Zeiterfassung!$K$6:$K$3665,$K2341))</f>
        <v/>
      </c>
      <c r="D2341" s="186">
        <f>IF($K2341="","",INDEX(Zeiterfassung!$D$6:$D$3665,$K2341))</f>
        <v/>
      </c>
      <c r="E2341" s="186">
        <f>IF($K2341="","",INDEX(Zeiterfassung!$E$6:$E$3665,$K2341))</f>
        <v/>
      </c>
      <c r="F2341" s="187">
        <f>IF($K2341="","",INDEX(Zeiterfassung!$F$6:$F$3665,$K2341))</f>
        <v/>
      </c>
      <c r="G2341" s="187">
        <f>IF($K2341="","",INDEX(Zeiterfassung!$G$6:$G$3665,$K2341))</f>
        <v/>
      </c>
      <c r="H2341" s="188">
        <f>IF($K2341="","",INDEX(Zeiterfassung!$H$6:$H$3665,$K2341))</f>
        <v/>
      </c>
      <c r="I2341" s="335">
        <f>IF(B2341=B2340,"",IF($K2341="","",INDEX(Zeiterfassung!$I$6:$I$3665,MATCH(INDEX(Zeiterfassung!$K$6:$K$3665,$K2341),Zeiterfassung!$K$6:$K$3665,0))))</f>
        <v/>
      </c>
      <c r="J2341" s="335">
        <f>IF(B2341=B2340,"",IF($K2341="","",INDEX(Zeiterfassung!$J$6:$J$3665,MATCH(INDEX(Zeiterfassung!$K$6:$K$3665,$K2341),Zeiterfassung!$K$6:$K$3665,0))))</f>
        <v/>
      </c>
      <c r="K2341">
        <f>IFERROR(AGGREGATE(15,6,(ROW(Zeiterfassung!$D$6:$D$3665)-ROW(Zeiterfassung!$D$6)+1)/(Zeiterfassung!$D$6:$D$3665&lt;&gt;""),2336),"")</f>
        <v/>
      </c>
    </row>
    <row r="2342" ht="20" customHeight="1">
      <c r="A2342" s="183">
        <f>IF($K2342="","",WEEKNUM(INDEX(Zeiterfassung!$K$6:$K$3665,$K2342),21))</f>
        <v/>
      </c>
      <c r="B2342" s="184">
        <f>IF($K2342="","",INDEX(Zeiterfassung!$K$6:$K$3665,$K2342))</f>
        <v/>
      </c>
      <c r="C2342" s="185">
        <f>IF($K2342="","",INDEX(Zeiterfassung!$K$6:$K$3665,$K2342))</f>
        <v/>
      </c>
      <c r="D2342" s="186">
        <f>IF($K2342="","",INDEX(Zeiterfassung!$D$6:$D$3665,$K2342))</f>
        <v/>
      </c>
      <c r="E2342" s="186">
        <f>IF($K2342="","",INDEX(Zeiterfassung!$E$6:$E$3665,$K2342))</f>
        <v/>
      </c>
      <c r="F2342" s="187">
        <f>IF($K2342="","",INDEX(Zeiterfassung!$F$6:$F$3665,$K2342))</f>
        <v/>
      </c>
      <c r="G2342" s="187">
        <f>IF($K2342="","",INDEX(Zeiterfassung!$G$6:$G$3665,$K2342))</f>
        <v/>
      </c>
      <c r="H2342" s="188">
        <f>IF($K2342="","",INDEX(Zeiterfassung!$H$6:$H$3665,$K2342))</f>
        <v/>
      </c>
      <c r="I2342" s="335">
        <f>IF(B2342=B2341,"",IF($K2342="","",INDEX(Zeiterfassung!$I$6:$I$3665,MATCH(INDEX(Zeiterfassung!$K$6:$K$3665,$K2342),Zeiterfassung!$K$6:$K$3665,0))))</f>
        <v/>
      </c>
      <c r="J2342" s="335">
        <f>IF(B2342=B2341,"",IF($K2342="","",INDEX(Zeiterfassung!$J$6:$J$3665,MATCH(INDEX(Zeiterfassung!$K$6:$K$3665,$K2342),Zeiterfassung!$K$6:$K$3665,0))))</f>
        <v/>
      </c>
      <c r="K2342">
        <f>IFERROR(AGGREGATE(15,6,(ROW(Zeiterfassung!$D$6:$D$3665)-ROW(Zeiterfassung!$D$6)+1)/(Zeiterfassung!$D$6:$D$3665&lt;&gt;""),2337),"")</f>
        <v/>
      </c>
    </row>
    <row r="2343" ht="20" customHeight="1">
      <c r="A2343" s="183">
        <f>IF($K2343="","",WEEKNUM(INDEX(Zeiterfassung!$K$6:$K$3665,$K2343),21))</f>
        <v/>
      </c>
      <c r="B2343" s="184">
        <f>IF($K2343="","",INDEX(Zeiterfassung!$K$6:$K$3665,$K2343))</f>
        <v/>
      </c>
      <c r="C2343" s="185">
        <f>IF($K2343="","",INDEX(Zeiterfassung!$K$6:$K$3665,$K2343))</f>
        <v/>
      </c>
      <c r="D2343" s="186">
        <f>IF($K2343="","",INDEX(Zeiterfassung!$D$6:$D$3665,$K2343))</f>
        <v/>
      </c>
      <c r="E2343" s="186">
        <f>IF($K2343="","",INDEX(Zeiterfassung!$E$6:$E$3665,$K2343))</f>
        <v/>
      </c>
      <c r="F2343" s="187">
        <f>IF($K2343="","",INDEX(Zeiterfassung!$F$6:$F$3665,$K2343))</f>
        <v/>
      </c>
      <c r="G2343" s="187">
        <f>IF($K2343="","",INDEX(Zeiterfassung!$G$6:$G$3665,$K2343))</f>
        <v/>
      </c>
      <c r="H2343" s="188">
        <f>IF($K2343="","",INDEX(Zeiterfassung!$H$6:$H$3665,$K2343))</f>
        <v/>
      </c>
      <c r="I2343" s="335">
        <f>IF(B2343=B2342,"",IF($K2343="","",INDEX(Zeiterfassung!$I$6:$I$3665,MATCH(INDEX(Zeiterfassung!$K$6:$K$3665,$K2343),Zeiterfassung!$K$6:$K$3665,0))))</f>
        <v/>
      </c>
      <c r="J2343" s="335">
        <f>IF(B2343=B2342,"",IF($K2343="","",INDEX(Zeiterfassung!$J$6:$J$3665,MATCH(INDEX(Zeiterfassung!$K$6:$K$3665,$K2343),Zeiterfassung!$K$6:$K$3665,0))))</f>
        <v/>
      </c>
      <c r="K2343">
        <f>IFERROR(AGGREGATE(15,6,(ROW(Zeiterfassung!$D$6:$D$3665)-ROW(Zeiterfassung!$D$6)+1)/(Zeiterfassung!$D$6:$D$3665&lt;&gt;""),2338),"")</f>
        <v/>
      </c>
    </row>
    <row r="2344" ht="20" customHeight="1">
      <c r="A2344" s="183">
        <f>IF($K2344="","",WEEKNUM(INDEX(Zeiterfassung!$K$6:$K$3665,$K2344),21))</f>
        <v/>
      </c>
      <c r="B2344" s="184">
        <f>IF($K2344="","",INDEX(Zeiterfassung!$K$6:$K$3665,$K2344))</f>
        <v/>
      </c>
      <c r="C2344" s="185">
        <f>IF($K2344="","",INDEX(Zeiterfassung!$K$6:$K$3665,$K2344))</f>
        <v/>
      </c>
      <c r="D2344" s="186">
        <f>IF($K2344="","",INDEX(Zeiterfassung!$D$6:$D$3665,$K2344))</f>
        <v/>
      </c>
      <c r="E2344" s="186">
        <f>IF($K2344="","",INDEX(Zeiterfassung!$E$6:$E$3665,$K2344))</f>
        <v/>
      </c>
      <c r="F2344" s="187">
        <f>IF($K2344="","",INDEX(Zeiterfassung!$F$6:$F$3665,$K2344))</f>
        <v/>
      </c>
      <c r="G2344" s="187">
        <f>IF($K2344="","",INDEX(Zeiterfassung!$G$6:$G$3665,$K2344))</f>
        <v/>
      </c>
      <c r="H2344" s="188">
        <f>IF($K2344="","",INDEX(Zeiterfassung!$H$6:$H$3665,$K2344))</f>
        <v/>
      </c>
      <c r="I2344" s="335">
        <f>IF(B2344=B2343,"",IF($K2344="","",INDEX(Zeiterfassung!$I$6:$I$3665,MATCH(INDEX(Zeiterfassung!$K$6:$K$3665,$K2344),Zeiterfassung!$K$6:$K$3665,0))))</f>
        <v/>
      </c>
      <c r="J2344" s="335">
        <f>IF(B2344=B2343,"",IF($K2344="","",INDEX(Zeiterfassung!$J$6:$J$3665,MATCH(INDEX(Zeiterfassung!$K$6:$K$3665,$K2344),Zeiterfassung!$K$6:$K$3665,0))))</f>
        <v/>
      </c>
      <c r="K2344">
        <f>IFERROR(AGGREGATE(15,6,(ROW(Zeiterfassung!$D$6:$D$3665)-ROW(Zeiterfassung!$D$6)+1)/(Zeiterfassung!$D$6:$D$3665&lt;&gt;""),2339),"")</f>
        <v/>
      </c>
    </row>
    <row r="2345" ht="20" customHeight="1">
      <c r="A2345" s="183">
        <f>IF($K2345="","",WEEKNUM(INDEX(Zeiterfassung!$K$6:$K$3665,$K2345),21))</f>
        <v/>
      </c>
      <c r="B2345" s="184">
        <f>IF($K2345="","",INDEX(Zeiterfassung!$K$6:$K$3665,$K2345))</f>
        <v/>
      </c>
      <c r="C2345" s="185">
        <f>IF($K2345="","",INDEX(Zeiterfassung!$K$6:$K$3665,$K2345))</f>
        <v/>
      </c>
      <c r="D2345" s="186">
        <f>IF($K2345="","",INDEX(Zeiterfassung!$D$6:$D$3665,$K2345))</f>
        <v/>
      </c>
      <c r="E2345" s="186">
        <f>IF($K2345="","",INDEX(Zeiterfassung!$E$6:$E$3665,$K2345))</f>
        <v/>
      </c>
      <c r="F2345" s="187">
        <f>IF($K2345="","",INDEX(Zeiterfassung!$F$6:$F$3665,$K2345))</f>
        <v/>
      </c>
      <c r="G2345" s="187">
        <f>IF($K2345="","",INDEX(Zeiterfassung!$G$6:$G$3665,$K2345))</f>
        <v/>
      </c>
      <c r="H2345" s="188">
        <f>IF($K2345="","",INDEX(Zeiterfassung!$H$6:$H$3665,$K2345))</f>
        <v/>
      </c>
      <c r="I2345" s="335">
        <f>IF(B2345=B2344,"",IF($K2345="","",INDEX(Zeiterfassung!$I$6:$I$3665,MATCH(INDEX(Zeiterfassung!$K$6:$K$3665,$K2345),Zeiterfassung!$K$6:$K$3665,0))))</f>
        <v/>
      </c>
      <c r="J2345" s="335">
        <f>IF(B2345=B2344,"",IF($K2345="","",INDEX(Zeiterfassung!$J$6:$J$3665,MATCH(INDEX(Zeiterfassung!$K$6:$K$3665,$K2345),Zeiterfassung!$K$6:$K$3665,0))))</f>
        <v/>
      </c>
      <c r="K2345">
        <f>IFERROR(AGGREGATE(15,6,(ROW(Zeiterfassung!$D$6:$D$3665)-ROW(Zeiterfassung!$D$6)+1)/(Zeiterfassung!$D$6:$D$3665&lt;&gt;""),2340),"")</f>
        <v/>
      </c>
    </row>
    <row r="2346" ht="20" customHeight="1">
      <c r="A2346" s="183">
        <f>IF($K2346="","",WEEKNUM(INDEX(Zeiterfassung!$K$6:$K$3665,$K2346),21))</f>
        <v/>
      </c>
      <c r="B2346" s="184">
        <f>IF($K2346="","",INDEX(Zeiterfassung!$K$6:$K$3665,$K2346))</f>
        <v/>
      </c>
      <c r="C2346" s="185">
        <f>IF($K2346="","",INDEX(Zeiterfassung!$K$6:$K$3665,$K2346))</f>
        <v/>
      </c>
      <c r="D2346" s="186">
        <f>IF($K2346="","",INDEX(Zeiterfassung!$D$6:$D$3665,$K2346))</f>
        <v/>
      </c>
      <c r="E2346" s="186">
        <f>IF($K2346="","",INDEX(Zeiterfassung!$E$6:$E$3665,$K2346))</f>
        <v/>
      </c>
      <c r="F2346" s="187">
        <f>IF($K2346="","",INDEX(Zeiterfassung!$F$6:$F$3665,$K2346))</f>
        <v/>
      </c>
      <c r="G2346" s="187">
        <f>IF($K2346="","",INDEX(Zeiterfassung!$G$6:$G$3665,$K2346))</f>
        <v/>
      </c>
      <c r="H2346" s="188">
        <f>IF($K2346="","",INDEX(Zeiterfassung!$H$6:$H$3665,$K2346))</f>
        <v/>
      </c>
      <c r="I2346" s="335">
        <f>IF(B2346=B2345,"",IF($K2346="","",INDEX(Zeiterfassung!$I$6:$I$3665,MATCH(INDEX(Zeiterfassung!$K$6:$K$3665,$K2346),Zeiterfassung!$K$6:$K$3665,0))))</f>
        <v/>
      </c>
      <c r="J2346" s="335">
        <f>IF(B2346=B2345,"",IF($K2346="","",INDEX(Zeiterfassung!$J$6:$J$3665,MATCH(INDEX(Zeiterfassung!$K$6:$K$3665,$K2346),Zeiterfassung!$K$6:$K$3665,0))))</f>
        <v/>
      </c>
      <c r="K2346">
        <f>IFERROR(AGGREGATE(15,6,(ROW(Zeiterfassung!$D$6:$D$3665)-ROW(Zeiterfassung!$D$6)+1)/(Zeiterfassung!$D$6:$D$3665&lt;&gt;""),2341),"")</f>
        <v/>
      </c>
    </row>
    <row r="2347" ht="20" customHeight="1">
      <c r="A2347" s="183">
        <f>IF($K2347="","",WEEKNUM(INDEX(Zeiterfassung!$K$6:$K$3665,$K2347),21))</f>
        <v/>
      </c>
      <c r="B2347" s="184">
        <f>IF($K2347="","",INDEX(Zeiterfassung!$K$6:$K$3665,$K2347))</f>
        <v/>
      </c>
      <c r="C2347" s="185">
        <f>IF($K2347="","",INDEX(Zeiterfassung!$K$6:$K$3665,$K2347))</f>
        <v/>
      </c>
      <c r="D2347" s="186">
        <f>IF($K2347="","",INDEX(Zeiterfassung!$D$6:$D$3665,$K2347))</f>
        <v/>
      </c>
      <c r="E2347" s="186">
        <f>IF($K2347="","",INDEX(Zeiterfassung!$E$6:$E$3665,$K2347))</f>
        <v/>
      </c>
      <c r="F2347" s="187">
        <f>IF($K2347="","",INDEX(Zeiterfassung!$F$6:$F$3665,$K2347))</f>
        <v/>
      </c>
      <c r="G2347" s="187">
        <f>IF($K2347="","",INDEX(Zeiterfassung!$G$6:$G$3665,$K2347))</f>
        <v/>
      </c>
      <c r="H2347" s="188">
        <f>IF($K2347="","",INDEX(Zeiterfassung!$H$6:$H$3665,$K2347))</f>
        <v/>
      </c>
      <c r="I2347" s="335">
        <f>IF(B2347=B2346,"",IF($K2347="","",INDEX(Zeiterfassung!$I$6:$I$3665,MATCH(INDEX(Zeiterfassung!$K$6:$K$3665,$K2347),Zeiterfassung!$K$6:$K$3665,0))))</f>
        <v/>
      </c>
      <c r="J2347" s="335">
        <f>IF(B2347=B2346,"",IF($K2347="","",INDEX(Zeiterfassung!$J$6:$J$3665,MATCH(INDEX(Zeiterfassung!$K$6:$K$3665,$K2347),Zeiterfassung!$K$6:$K$3665,0))))</f>
        <v/>
      </c>
      <c r="K2347">
        <f>IFERROR(AGGREGATE(15,6,(ROW(Zeiterfassung!$D$6:$D$3665)-ROW(Zeiterfassung!$D$6)+1)/(Zeiterfassung!$D$6:$D$3665&lt;&gt;""),2342),"")</f>
        <v/>
      </c>
    </row>
    <row r="2348" ht="20" customHeight="1">
      <c r="A2348" s="183">
        <f>IF($K2348="","",WEEKNUM(INDEX(Zeiterfassung!$K$6:$K$3665,$K2348),21))</f>
        <v/>
      </c>
      <c r="B2348" s="184">
        <f>IF($K2348="","",INDEX(Zeiterfassung!$K$6:$K$3665,$K2348))</f>
        <v/>
      </c>
      <c r="C2348" s="185">
        <f>IF($K2348="","",INDEX(Zeiterfassung!$K$6:$K$3665,$K2348))</f>
        <v/>
      </c>
      <c r="D2348" s="186">
        <f>IF($K2348="","",INDEX(Zeiterfassung!$D$6:$D$3665,$K2348))</f>
        <v/>
      </c>
      <c r="E2348" s="186">
        <f>IF($K2348="","",INDEX(Zeiterfassung!$E$6:$E$3665,$K2348))</f>
        <v/>
      </c>
      <c r="F2348" s="187">
        <f>IF($K2348="","",INDEX(Zeiterfassung!$F$6:$F$3665,$K2348))</f>
        <v/>
      </c>
      <c r="G2348" s="187">
        <f>IF($K2348="","",INDEX(Zeiterfassung!$G$6:$G$3665,$K2348))</f>
        <v/>
      </c>
      <c r="H2348" s="188">
        <f>IF($K2348="","",INDEX(Zeiterfassung!$H$6:$H$3665,$K2348))</f>
        <v/>
      </c>
      <c r="I2348" s="335">
        <f>IF(B2348=B2347,"",IF($K2348="","",INDEX(Zeiterfassung!$I$6:$I$3665,MATCH(INDEX(Zeiterfassung!$K$6:$K$3665,$K2348),Zeiterfassung!$K$6:$K$3665,0))))</f>
        <v/>
      </c>
      <c r="J2348" s="335">
        <f>IF(B2348=B2347,"",IF($K2348="","",INDEX(Zeiterfassung!$J$6:$J$3665,MATCH(INDEX(Zeiterfassung!$K$6:$K$3665,$K2348),Zeiterfassung!$K$6:$K$3665,0))))</f>
        <v/>
      </c>
      <c r="K2348">
        <f>IFERROR(AGGREGATE(15,6,(ROW(Zeiterfassung!$D$6:$D$3665)-ROW(Zeiterfassung!$D$6)+1)/(Zeiterfassung!$D$6:$D$3665&lt;&gt;""),2343),"")</f>
        <v/>
      </c>
    </row>
    <row r="2349" ht="20" customHeight="1">
      <c r="A2349" s="183">
        <f>IF($K2349="","",WEEKNUM(INDEX(Zeiterfassung!$K$6:$K$3665,$K2349),21))</f>
        <v/>
      </c>
      <c r="B2349" s="184">
        <f>IF($K2349="","",INDEX(Zeiterfassung!$K$6:$K$3665,$K2349))</f>
        <v/>
      </c>
      <c r="C2349" s="185">
        <f>IF($K2349="","",INDEX(Zeiterfassung!$K$6:$K$3665,$K2349))</f>
        <v/>
      </c>
      <c r="D2349" s="186">
        <f>IF($K2349="","",INDEX(Zeiterfassung!$D$6:$D$3665,$K2349))</f>
        <v/>
      </c>
      <c r="E2349" s="186">
        <f>IF($K2349="","",INDEX(Zeiterfassung!$E$6:$E$3665,$K2349))</f>
        <v/>
      </c>
      <c r="F2349" s="187">
        <f>IF($K2349="","",INDEX(Zeiterfassung!$F$6:$F$3665,$K2349))</f>
        <v/>
      </c>
      <c r="G2349" s="187">
        <f>IF($K2349="","",INDEX(Zeiterfassung!$G$6:$G$3665,$K2349))</f>
        <v/>
      </c>
      <c r="H2349" s="188">
        <f>IF($K2349="","",INDEX(Zeiterfassung!$H$6:$H$3665,$K2349))</f>
        <v/>
      </c>
      <c r="I2349" s="335">
        <f>IF(B2349=B2348,"",IF($K2349="","",INDEX(Zeiterfassung!$I$6:$I$3665,MATCH(INDEX(Zeiterfassung!$K$6:$K$3665,$K2349),Zeiterfassung!$K$6:$K$3665,0))))</f>
        <v/>
      </c>
      <c r="J2349" s="335">
        <f>IF(B2349=B2348,"",IF($K2349="","",INDEX(Zeiterfassung!$J$6:$J$3665,MATCH(INDEX(Zeiterfassung!$K$6:$K$3665,$K2349),Zeiterfassung!$K$6:$K$3665,0))))</f>
        <v/>
      </c>
      <c r="K2349">
        <f>IFERROR(AGGREGATE(15,6,(ROW(Zeiterfassung!$D$6:$D$3665)-ROW(Zeiterfassung!$D$6)+1)/(Zeiterfassung!$D$6:$D$3665&lt;&gt;""),2344),"")</f>
        <v/>
      </c>
    </row>
    <row r="2350" ht="20" customHeight="1">
      <c r="A2350" s="183">
        <f>IF($K2350="","",WEEKNUM(INDEX(Zeiterfassung!$K$6:$K$3665,$K2350),21))</f>
        <v/>
      </c>
      <c r="B2350" s="184">
        <f>IF($K2350="","",INDEX(Zeiterfassung!$K$6:$K$3665,$K2350))</f>
        <v/>
      </c>
      <c r="C2350" s="185">
        <f>IF($K2350="","",INDEX(Zeiterfassung!$K$6:$K$3665,$K2350))</f>
        <v/>
      </c>
      <c r="D2350" s="186">
        <f>IF($K2350="","",INDEX(Zeiterfassung!$D$6:$D$3665,$K2350))</f>
        <v/>
      </c>
      <c r="E2350" s="186">
        <f>IF($K2350="","",INDEX(Zeiterfassung!$E$6:$E$3665,$K2350))</f>
        <v/>
      </c>
      <c r="F2350" s="187">
        <f>IF($K2350="","",INDEX(Zeiterfassung!$F$6:$F$3665,$K2350))</f>
        <v/>
      </c>
      <c r="G2350" s="187">
        <f>IF($K2350="","",INDEX(Zeiterfassung!$G$6:$G$3665,$K2350))</f>
        <v/>
      </c>
      <c r="H2350" s="188">
        <f>IF($K2350="","",INDEX(Zeiterfassung!$H$6:$H$3665,$K2350))</f>
        <v/>
      </c>
      <c r="I2350" s="335">
        <f>IF(B2350=B2349,"",IF($K2350="","",INDEX(Zeiterfassung!$I$6:$I$3665,MATCH(INDEX(Zeiterfassung!$K$6:$K$3665,$K2350),Zeiterfassung!$K$6:$K$3665,0))))</f>
        <v/>
      </c>
      <c r="J2350" s="335">
        <f>IF(B2350=B2349,"",IF($K2350="","",INDEX(Zeiterfassung!$J$6:$J$3665,MATCH(INDEX(Zeiterfassung!$K$6:$K$3665,$K2350),Zeiterfassung!$K$6:$K$3665,0))))</f>
        <v/>
      </c>
      <c r="K2350">
        <f>IFERROR(AGGREGATE(15,6,(ROW(Zeiterfassung!$D$6:$D$3665)-ROW(Zeiterfassung!$D$6)+1)/(Zeiterfassung!$D$6:$D$3665&lt;&gt;""),2345),"")</f>
        <v/>
      </c>
    </row>
    <row r="2351" ht="20" customHeight="1">
      <c r="A2351" s="183">
        <f>IF($K2351="","",WEEKNUM(INDEX(Zeiterfassung!$K$6:$K$3665,$K2351),21))</f>
        <v/>
      </c>
      <c r="B2351" s="184">
        <f>IF($K2351="","",INDEX(Zeiterfassung!$K$6:$K$3665,$K2351))</f>
        <v/>
      </c>
      <c r="C2351" s="185">
        <f>IF($K2351="","",INDEX(Zeiterfassung!$K$6:$K$3665,$K2351))</f>
        <v/>
      </c>
      <c r="D2351" s="186">
        <f>IF($K2351="","",INDEX(Zeiterfassung!$D$6:$D$3665,$K2351))</f>
        <v/>
      </c>
      <c r="E2351" s="186">
        <f>IF($K2351="","",INDEX(Zeiterfassung!$E$6:$E$3665,$K2351))</f>
        <v/>
      </c>
      <c r="F2351" s="187">
        <f>IF($K2351="","",INDEX(Zeiterfassung!$F$6:$F$3665,$K2351))</f>
        <v/>
      </c>
      <c r="G2351" s="187">
        <f>IF($K2351="","",INDEX(Zeiterfassung!$G$6:$G$3665,$K2351))</f>
        <v/>
      </c>
      <c r="H2351" s="188">
        <f>IF($K2351="","",INDEX(Zeiterfassung!$H$6:$H$3665,$K2351))</f>
        <v/>
      </c>
      <c r="I2351" s="335">
        <f>IF(B2351=B2350,"",IF($K2351="","",INDEX(Zeiterfassung!$I$6:$I$3665,MATCH(INDEX(Zeiterfassung!$K$6:$K$3665,$K2351),Zeiterfassung!$K$6:$K$3665,0))))</f>
        <v/>
      </c>
      <c r="J2351" s="335">
        <f>IF(B2351=B2350,"",IF($K2351="","",INDEX(Zeiterfassung!$J$6:$J$3665,MATCH(INDEX(Zeiterfassung!$K$6:$K$3665,$K2351),Zeiterfassung!$K$6:$K$3665,0))))</f>
        <v/>
      </c>
      <c r="K2351">
        <f>IFERROR(AGGREGATE(15,6,(ROW(Zeiterfassung!$D$6:$D$3665)-ROW(Zeiterfassung!$D$6)+1)/(Zeiterfassung!$D$6:$D$3665&lt;&gt;""),2346),"")</f>
        <v/>
      </c>
    </row>
    <row r="2352" ht="20" customHeight="1">
      <c r="A2352" s="183">
        <f>IF($K2352="","",WEEKNUM(INDEX(Zeiterfassung!$K$6:$K$3665,$K2352),21))</f>
        <v/>
      </c>
      <c r="B2352" s="184">
        <f>IF($K2352="","",INDEX(Zeiterfassung!$K$6:$K$3665,$K2352))</f>
        <v/>
      </c>
      <c r="C2352" s="185">
        <f>IF($K2352="","",INDEX(Zeiterfassung!$K$6:$K$3665,$K2352))</f>
        <v/>
      </c>
      <c r="D2352" s="186">
        <f>IF($K2352="","",INDEX(Zeiterfassung!$D$6:$D$3665,$K2352))</f>
        <v/>
      </c>
      <c r="E2352" s="186">
        <f>IF($K2352="","",INDEX(Zeiterfassung!$E$6:$E$3665,$K2352))</f>
        <v/>
      </c>
      <c r="F2352" s="187">
        <f>IF($K2352="","",INDEX(Zeiterfassung!$F$6:$F$3665,$K2352))</f>
        <v/>
      </c>
      <c r="G2352" s="187">
        <f>IF($K2352="","",INDEX(Zeiterfassung!$G$6:$G$3665,$K2352))</f>
        <v/>
      </c>
      <c r="H2352" s="188">
        <f>IF($K2352="","",INDEX(Zeiterfassung!$H$6:$H$3665,$K2352))</f>
        <v/>
      </c>
      <c r="I2352" s="335">
        <f>IF(B2352=B2351,"",IF($K2352="","",INDEX(Zeiterfassung!$I$6:$I$3665,MATCH(INDEX(Zeiterfassung!$K$6:$K$3665,$K2352),Zeiterfassung!$K$6:$K$3665,0))))</f>
        <v/>
      </c>
      <c r="J2352" s="335">
        <f>IF(B2352=B2351,"",IF($K2352="","",INDEX(Zeiterfassung!$J$6:$J$3665,MATCH(INDEX(Zeiterfassung!$K$6:$K$3665,$K2352),Zeiterfassung!$K$6:$K$3665,0))))</f>
        <v/>
      </c>
      <c r="K2352">
        <f>IFERROR(AGGREGATE(15,6,(ROW(Zeiterfassung!$D$6:$D$3665)-ROW(Zeiterfassung!$D$6)+1)/(Zeiterfassung!$D$6:$D$3665&lt;&gt;""),2347),"")</f>
        <v/>
      </c>
    </row>
    <row r="2353" ht="20" customHeight="1">
      <c r="A2353" s="183">
        <f>IF($K2353="","",WEEKNUM(INDEX(Zeiterfassung!$K$6:$K$3665,$K2353),21))</f>
        <v/>
      </c>
      <c r="B2353" s="184">
        <f>IF($K2353="","",INDEX(Zeiterfassung!$K$6:$K$3665,$K2353))</f>
        <v/>
      </c>
      <c r="C2353" s="185">
        <f>IF($K2353="","",INDEX(Zeiterfassung!$K$6:$K$3665,$K2353))</f>
        <v/>
      </c>
      <c r="D2353" s="186">
        <f>IF($K2353="","",INDEX(Zeiterfassung!$D$6:$D$3665,$K2353))</f>
        <v/>
      </c>
      <c r="E2353" s="186">
        <f>IF($K2353="","",INDEX(Zeiterfassung!$E$6:$E$3665,$K2353))</f>
        <v/>
      </c>
      <c r="F2353" s="187">
        <f>IF($K2353="","",INDEX(Zeiterfassung!$F$6:$F$3665,$K2353))</f>
        <v/>
      </c>
      <c r="G2353" s="187">
        <f>IF($K2353="","",INDEX(Zeiterfassung!$G$6:$G$3665,$K2353))</f>
        <v/>
      </c>
      <c r="H2353" s="188">
        <f>IF($K2353="","",INDEX(Zeiterfassung!$H$6:$H$3665,$K2353))</f>
        <v/>
      </c>
      <c r="I2353" s="335">
        <f>IF(B2353=B2352,"",IF($K2353="","",INDEX(Zeiterfassung!$I$6:$I$3665,MATCH(INDEX(Zeiterfassung!$K$6:$K$3665,$K2353),Zeiterfassung!$K$6:$K$3665,0))))</f>
        <v/>
      </c>
      <c r="J2353" s="335">
        <f>IF(B2353=B2352,"",IF($K2353="","",INDEX(Zeiterfassung!$J$6:$J$3665,MATCH(INDEX(Zeiterfassung!$K$6:$K$3665,$K2353),Zeiterfassung!$K$6:$K$3665,0))))</f>
        <v/>
      </c>
      <c r="K2353">
        <f>IFERROR(AGGREGATE(15,6,(ROW(Zeiterfassung!$D$6:$D$3665)-ROW(Zeiterfassung!$D$6)+1)/(Zeiterfassung!$D$6:$D$3665&lt;&gt;""),2348),"")</f>
        <v/>
      </c>
    </row>
    <row r="2354" ht="20" customHeight="1">
      <c r="A2354" s="183">
        <f>IF($K2354="","",WEEKNUM(INDEX(Zeiterfassung!$K$6:$K$3665,$K2354),21))</f>
        <v/>
      </c>
      <c r="B2354" s="184">
        <f>IF($K2354="","",INDEX(Zeiterfassung!$K$6:$K$3665,$K2354))</f>
        <v/>
      </c>
      <c r="C2354" s="185">
        <f>IF($K2354="","",INDEX(Zeiterfassung!$K$6:$K$3665,$K2354))</f>
        <v/>
      </c>
      <c r="D2354" s="186">
        <f>IF($K2354="","",INDEX(Zeiterfassung!$D$6:$D$3665,$K2354))</f>
        <v/>
      </c>
      <c r="E2354" s="186">
        <f>IF($K2354="","",INDEX(Zeiterfassung!$E$6:$E$3665,$K2354))</f>
        <v/>
      </c>
      <c r="F2354" s="187">
        <f>IF($K2354="","",INDEX(Zeiterfassung!$F$6:$F$3665,$K2354))</f>
        <v/>
      </c>
      <c r="G2354" s="187">
        <f>IF($K2354="","",INDEX(Zeiterfassung!$G$6:$G$3665,$K2354))</f>
        <v/>
      </c>
      <c r="H2354" s="188">
        <f>IF($K2354="","",INDEX(Zeiterfassung!$H$6:$H$3665,$K2354))</f>
        <v/>
      </c>
      <c r="I2354" s="335">
        <f>IF(B2354=B2353,"",IF($K2354="","",INDEX(Zeiterfassung!$I$6:$I$3665,MATCH(INDEX(Zeiterfassung!$K$6:$K$3665,$K2354),Zeiterfassung!$K$6:$K$3665,0))))</f>
        <v/>
      </c>
      <c r="J2354" s="335">
        <f>IF(B2354=B2353,"",IF($K2354="","",INDEX(Zeiterfassung!$J$6:$J$3665,MATCH(INDEX(Zeiterfassung!$K$6:$K$3665,$K2354),Zeiterfassung!$K$6:$K$3665,0))))</f>
        <v/>
      </c>
      <c r="K2354">
        <f>IFERROR(AGGREGATE(15,6,(ROW(Zeiterfassung!$D$6:$D$3665)-ROW(Zeiterfassung!$D$6)+1)/(Zeiterfassung!$D$6:$D$3665&lt;&gt;""),2349),"")</f>
        <v/>
      </c>
    </row>
    <row r="2355" ht="20" customHeight="1">
      <c r="A2355" s="183">
        <f>IF($K2355="","",WEEKNUM(INDEX(Zeiterfassung!$K$6:$K$3665,$K2355),21))</f>
        <v/>
      </c>
      <c r="B2355" s="184">
        <f>IF($K2355="","",INDEX(Zeiterfassung!$K$6:$K$3665,$K2355))</f>
        <v/>
      </c>
      <c r="C2355" s="185">
        <f>IF($K2355="","",INDEX(Zeiterfassung!$K$6:$K$3665,$K2355))</f>
        <v/>
      </c>
      <c r="D2355" s="186">
        <f>IF($K2355="","",INDEX(Zeiterfassung!$D$6:$D$3665,$K2355))</f>
        <v/>
      </c>
      <c r="E2355" s="186">
        <f>IF($K2355="","",INDEX(Zeiterfassung!$E$6:$E$3665,$K2355))</f>
        <v/>
      </c>
      <c r="F2355" s="187">
        <f>IF($K2355="","",INDEX(Zeiterfassung!$F$6:$F$3665,$K2355))</f>
        <v/>
      </c>
      <c r="G2355" s="187">
        <f>IF($K2355="","",INDEX(Zeiterfassung!$G$6:$G$3665,$K2355))</f>
        <v/>
      </c>
      <c r="H2355" s="188">
        <f>IF($K2355="","",INDEX(Zeiterfassung!$H$6:$H$3665,$K2355))</f>
        <v/>
      </c>
      <c r="I2355" s="335">
        <f>IF(B2355=B2354,"",IF($K2355="","",INDEX(Zeiterfassung!$I$6:$I$3665,MATCH(INDEX(Zeiterfassung!$K$6:$K$3665,$K2355),Zeiterfassung!$K$6:$K$3665,0))))</f>
        <v/>
      </c>
      <c r="J2355" s="335">
        <f>IF(B2355=B2354,"",IF($K2355="","",INDEX(Zeiterfassung!$J$6:$J$3665,MATCH(INDEX(Zeiterfassung!$K$6:$K$3665,$K2355),Zeiterfassung!$K$6:$K$3665,0))))</f>
        <v/>
      </c>
      <c r="K2355">
        <f>IFERROR(AGGREGATE(15,6,(ROW(Zeiterfassung!$D$6:$D$3665)-ROW(Zeiterfassung!$D$6)+1)/(Zeiterfassung!$D$6:$D$3665&lt;&gt;""),2350),"")</f>
        <v/>
      </c>
    </row>
    <row r="2356" ht="20" customHeight="1">
      <c r="A2356" s="183">
        <f>IF($K2356="","",WEEKNUM(INDEX(Zeiterfassung!$K$6:$K$3665,$K2356),21))</f>
        <v/>
      </c>
      <c r="B2356" s="184">
        <f>IF($K2356="","",INDEX(Zeiterfassung!$K$6:$K$3665,$K2356))</f>
        <v/>
      </c>
      <c r="C2356" s="185">
        <f>IF($K2356="","",INDEX(Zeiterfassung!$K$6:$K$3665,$K2356))</f>
        <v/>
      </c>
      <c r="D2356" s="186">
        <f>IF($K2356="","",INDEX(Zeiterfassung!$D$6:$D$3665,$K2356))</f>
        <v/>
      </c>
      <c r="E2356" s="186">
        <f>IF($K2356="","",INDEX(Zeiterfassung!$E$6:$E$3665,$K2356))</f>
        <v/>
      </c>
      <c r="F2356" s="187">
        <f>IF($K2356="","",INDEX(Zeiterfassung!$F$6:$F$3665,$K2356))</f>
        <v/>
      </c>
      <c r="G2356" s="187">
        <f>IF($K2356="","",INDEX(Zeiterfassung!$G$6:$G$3665,$K2356))</f>
        <v/>
      </c>
      <c r="H2356" s="188">
        <f>IF($K2356="","",INDEX(Zeiterfassung!$H$6:$H$3665,$K2356))</f>
        <v/>
      </c>
      <c r="I2356" s="335">
        <f>IF(B2356=B2355,"",IF($K2356="","",INDEX(Zeiterfassung!$I$6:$I$3665,MATCH(INDEX(Zeiterfassung!$K$6:$K$3665,$K2356),Zeiterfassung!$K$6:$K$3665,0))))</f>
        <v/>
      </c>
      <c r="J2356" s="335">
        <f>IF(B2356=B2355,"",IF($K2356="","",INDEX(Zeiterfassung!$J$6:$J$3665,MATCH(INDEX(Zeiterfassung!$K$6:$K$3665,$K2356),Zeiterfassung!$K$6:$K$3665,0))))</f>
        <v/>
      </c>
      <c r="K2356">
        <f>IFERROR(AGGREGATE(15,6,(ROW(Zeiterfassung!$D$6:$D$3665)-ROW(Zeiterfassung!$D$6)+1)/(Zeiterfassung!$D$6:$D$3665&lt;&gt;""),2351),"")</f>
        <v/>
      </c>
    </row>
    <row r="2357" ht="20" customHeight="1">
      <c r="A2357" s="183">
        <f>IF($K2357="","",WEEKNUM(INDEX(Zeiterfassung!$K$6:$K$3665,$K2357),21))</f>
        <v/>
      </c>
      <c r="B2357" s="184">
        <f>IF($K2357="","",INDEX(Zeiterfassung!$K$6:$K$3665,$K2357))</f>
        <v/>
      </c>
      <c r="C2357" s="185">
        <f>IF($K2357="","",INDEX(Zeiterfassung!$K$6:$K$3665,$K2357))</f>
        <v/>
      </c>
      <c r="D2357" s="186">
        <f>IF($K2357="","",INDEX(Zeiterfassung!$D$6:$D$3665,$K2357))</f>
        <v/>
      </c>
      <c r="E2357" s="186">
        <f>IF($K2357="","",INDEX(Zeiterfassung!$E$6:$E$3665,$K2357))</f>
        <v/>
      </c>
      <c r="F2357" s="187">
        <f>IF($K2357="","",INDEX(Zeiterfassung!$F$6:$F$3665,$K2357))</f>
        <v/>
      </c>
      <c r="G2357" s="187">
        <f>IF($K2357="","",INDEX(Zeiterfassung!$G$6:$G$3665,$K2357))</f>
        <v/>
      </c>
      <c r="H2357" s="188">
        <f>IF($K2357="","",INDEX(Zeiterfassung!$H$6:$H$3665,$K2357))</f>
        <v/>
      </c>
      <c r="I2357" s="335">
        <f>IF(B2357=B2356,"",IF($K2357="","",INDEX(Zeiterfassung!$I$6:$I$3665,MATCH(INDEX(Zeiterfassung!$K$6:$K$3665,$K2357),Zeiterfassung!$K$6:$K$3665,0))))</f>
        <v/>
      </c>
      <c r="J2357" s="335">
        <f>IF(B2357=B2356,"",IF($K2357="","",INDEX(Zeiterfassung!$J$6:$J$3665,MATCH(INDEX(Zeiterfassung!$K$6:$K$3665,$K2357),Zeiterfassung!$K$6:$K$3665,0))))</f>
        <v/>
      </c>
      <c r="K2357">
        <f>IFERROR(AGGREGATE(15,6,(ROW(Zeiterfassung!$D$6:$D$3665)-ROW(Zeiterfassung!$D$6)+1)/(Zeiterfassung!$D$6:$D$3665&lt;&gt;""),2352),"")</f>
        <v/>
      </c>
    </row>
    <row r="2358" ht="20" customHeight="1">
      <c r="A2358" s="183">
        <f>IF($K2358="","",WEEKNUM(INDEX(Zeiterfassung!$K$6:$K$3665,$K2358),21))</f>
        <v/>
      </c>
      <c r="B2358" s="184">
        <f>IF($K2358="","",INDEX(Zeiterfassung!$K$6:$K$3665,$K2358))</f>
        <v/>
      </c>
      <c r="C2358" s="185">
        <f>IF($K2358="","",INDEX(Zeiterfassung!$K$6:$K$3665,$K2358))</f>
        <v/>
      </c>
      <c r="D2358" s="186">
        <f>IF($K2358="","",INDEX(Zeiterfassung!$D$6:$D$3665,$K2358))</f>
        <v/>
      </c>
      <c r="E2358" s="186">
        <f>IF($K2358="","",INDEX(Zeiterfassung!$E$6:$E$3665,$K2358))</f>
        <v/>
      </c>
      <c r="F2358" s="187">
        <f>IF($K2358="","",INDEX(Zeiterfassung!$F$6:$F$3665,$K2358))</f>
        <v/>
      </c>
      <c r="G2358" s="187">
        <f>IF($K2358="","",INDEX(Zeiterfassung!$G$6:$G$3665,$K2358))</f>
        <v/>
      </c>
      <c r="H2358" s="188">
        <f>IF($K2358="","",INDEX(Zeiterfassung!$H$6:$H$3665,$K2358))</f>
        <v/>
      </c>
      <c r="I2358" s="335">
        <f>IF(B2358=B2357,"",IF($K2358="","",INDEX(Zeiterfassung!$I$6:$I$3665,MATCH(INDEX(Zeiterfassung!$K$6:$K$3665,$K2358),Zeiterfassung!$K$6:$K$3665,0))))</f>
        <v/>
      </c>
      <c r="J2358" s="335">
        <f>IF(B2358=B2357,"",IF($K2358="","",INDEX(Zeiterfassung!$J$6:$J$3665,MATCH(INDEX(Zeiterfassung!$K$6:$K$3665,$K2358),Zeiterfassung!$K$6:$K$3665,0))))</f>
        <v/>
      </c>
      <c r="K2358">
        <f>IFERROR(AGGREGATE(15,6,(ROW(Zeiterfassung!$D$6:$D$3665)-ROW(Zeiterfassung!$D$6)+1)/(Zeiterfassung!$D$6:$D$3665&lt;&gt;""),2353),"")</f>
        <v/>
      </c>
    </row>
    <row r="2359" ht="20" customHeight="1">
      <c r="A2359" s="183">
        <f>IF($K2359="","",WEEKNUM(INDEX(Zeiterfassung!$K$6:$K$3665,$K2359),21))</f>
        <v/>
      </c>
      <c r="B2359" s="184">
        <f>IF($K2359="","",INDEX(Zeiterfassung!$K$6:$K$3665,$K2359))</f>
        <v/>
      </c>
      <c r="C2359" s="185">
        <f>IF($K2359="","",INDEX(Zeiterfassung!$K$6:$K$3665,$K2359))</f>
        <v/>
      </c>
      <c r="D2359" s="186">
        <f>IF($K2359="","",INDEX(Zeiterfassung!$D$6:$D$3665,$K2359))</f>
        <v/>
      </c>
      <c r="E2359" s="186">
        <f>IF($K2359="","",INDEX(Zeiterfassung!$E$6:$E$3665,$K2359))</f>
        <v/>
      </c>
      <c r="F2359" s="187">
        <f>IF($K2359="","",INDEX(Zeiterfassung!$F$6:$F$3665,$K2359))</f>
        <v/>
      </c>
      <c r="G2359" s="187">
        <f>IF($K2359="","",INDEX(Zeiterfassung!$G$6:$G$3665,$K2359))</f>
        <v/>
      </c>
      <c r="H2359" s="188">
        <f>IF($K2359="","",INDEX(Zeiterfassung!$H$6:$H$3665,$K2359))</f>
        <v/>
      </c>
      <c r="I2359" s="335">
        <f>IF(B2359=B2358,"",IF($K2359="","",INDEX(Zeiterfassung!$I$6:$I$3665,MATCH(INDEX(Zeiterfassung!$K$6:$K$3665,$K2359),Zeiterfassung!$K$6:$K$3665,0))))</f>
        <v/>
      </c>
      <c r="J2359" s="335">
        <f>IF(B2359=B2358,"",IF($K2359="","",INDEX(Zeiterfassung!$J$6:$J$3665,MATCH(INDEX(Zeiterfassung!$K$6:$K$3665,$K2359),Zeiterfassung!$K$6:$K$3665,0))))</f>
        <v/>
      </c>
      <c r="K2359">
        <f>IFERROR(AGGREGATE(15,6,(ROW(Zeiterfassung!$D$6:$D$3665)-ROW(Zeiterfassung!$D$6)+1)/(Zeiterfassung!$D$6:$D$3665&lt;&gt;""),2354),"")</f>
        <v/>
      </c>
    </row>
    <row r="2360" ht="20" customHeight="1">
      <c r="A2360" s="183">
        <f>IF($K2360="","",WEEKNUM(INDEX(Zeiterfassung!$K$6:$K$3665,$K2360),21))</f>
        <v/>
      </c>
      <c r="B2360" s="184">
        <f>IF($K2360="","",INDEX(Zeiterfassung!$K$6:$K$3665,$K2360))</f>
        <v/>
      </c>
      <c r="C2360" s="185">
        <f>IF($K2360="","",INDEX(Zeiterfassung!$K$6:$K$3665,$K2360))</f>
        <v/>
      </c>
      <c r="D2360" s="186">
        <f>IF($K2360="","",INDEX(Zeiterfassung!$D$6:$D$3665,$K2360))</f>
        <v/>
      </c>
      <c r="E2360" s="186">
        <f>IF($K2360="","",INDEX(Zeiterfassung!$E$6:$E$3665,$K2360))</f>
        <v/>
      </c>
      <c r="F2360" s="187">
        <f>IF($K2360="","",INDEX(Zeiterfassung!$F$6:$F$3665,$K2360))</f>
        <v/>
      </c>
      <c r="G2360" s="187">
        <f>IF($K2360="","",INDEX(Zeiterfassung!$G$6:$G$3665,$K2360))</f>
        <v/>
      </c>
      <c r="H2360" s="188">
        <f>IF($K2360="","",INDEX(Zeiterfassung!$H$6:$H$3665,$K2360))</f>
        <v/>
      </c>
      <c r="I2360" s="335">
        <f>IF(B2360=B2359,"",IF($K2360="","",INDEX(Zeiterfassung!$I$6:$I$3665,MATCH(INDEX(Zeiterfassung!$K$6:$K$3665,$K2360),Zeiterfassung!$K$6:$K$3665,0))))</f>
        <v/>
      </c>
      <c r="J2360" s="335">
        <f>IF(B2360=B2359,"",IF($K2360="","",INDEX(Zeiterfassung!$J$6:$J$3665,MATCH(INDEX(Zeiterfassung!$K$6:$K$3665,$K2360),Zeiterfassung!$K$6:$K$3665,0))))</f>
        <v/>
      </c>
      <c r="K2360">
        <f>IFERROR(AGGREGATE(15,6,(ROW(Zeiterfassung!$D$6:$D$3665)-ROW(Zeiterfassung!$D$6)+1)/(Zeiterfassung!$D$6:$D$3665&lt;&gt;""),2355),"")</f>
        <v/>
      </c>
    </row>
    <row r="2361" ht="20" customHeight="1">
      <c r="A2361" s="183">
        <f>IF($K2361="","",WEEKNUM(INDEX(Zeiterfassung!$K$6:$K$3665,$K2361),21))</f>
        <v/>
      </c>
      <c r="B2361" s="184">
        <f>IF($K2361="","",INDEX(Zeiterfassung!$K$6:$K$3665,$K2361))</f>
        <v/>
      </c>
      <c r="C2361" s="185">
        <f>IF($K2361="","",INDEX(Zeiterfassung!$K$6:$K$3665,$K2361))</f>
        <v/>
      </c>
      <c r="D2361" s="186">
        <f>IF($K2361="","",INDEX(Zeiterfassung!$D$6:$D$3665,$K2361))</f>
        <v/>
      </c>
      <c r="E2361" s="186">
        <f>IF($K2361="","",INDEX(Zeiterfassung!$E$6:$E$3665,$K2361))</f>
        <v/>
      </c>
      <c r="F2361" s="187">
        <f>IF($K2361="","",INDEX(Zeiterfassung!$F$6:$F$3665,$K2361))</f>
        <v/>
      </c>
      <c r="G2361" s="187">
        <f>IF($K2361="","",INDEX(Zeiterfassung!$G$6:$G$3665,$K2361))</f>
        <v/>
      </c>
      <c r="H2361" s="188">
        <f>IF($K2361="","",INDEX(Zeiterfassung!$H$6:$H$3665,$K2361))</f>
        <v/>
      </c>
      <c r="I2361" s="335">
        <f>IF(B2361=B2360,"",IF($K2361="","",INDEX(Zeiterfassung!$I$6:$I$3665,MATCH(INDEX(Zeiterfassung!$K$6:$K$3665,$K2361),Zeiterfassung!$K$6:$K$3665,0))))</f>
        <v/>
      </c>
      <c r="J2361" s="335">
        <f>IF(B2361=B2360,"",IF($K2361="","",INDEX(Zeiterfassung!$J$6:$J$3665,MATCH(INDEX(Zeiterfassung!$K$6:$K$3665,$K2361),Zeiterfassung!$K$6:$K$3665,0))))</f>
        <v/>
      </c>
      <c r="K2361">
        <f>IFERROR(AGGREGATE(15,6,(ROW(Zeiterfassung!$D$6:$D$3665)-ROW(Zeiterfassung!$D$6)+1)/(Zeiterfassung!$D$6:$D$3665&lt;&gt;""),2356),"")</f>
        <v/>
      </c>
    </row>
    <row r="2362" ht="20" customHeight="1">
      <c r="A2362" s="183">
        <f>IF($K2362="","",WEEKNUM(INDEX(Zeiterfassung!$K$6:$K$3665,$K2362),21))</f>
        <v/>
      </c>
      <c r="B2362" s="184">
        <f>IF($K2362="","",INDEX(Zeiterfassung!$K$6:$K$3665,$K2362))</f>
        <v/>
      </c>
      <c r="C2362" s="185">
        <f>IF($K2362="","",INDEX(Zeiterfassung!$K$6:$K$3665,$K2362))</f>
        <v/>
      </c>
      <c r="D2362" s="186">
        <f>IF($K2362="","",INDEX(Zeiterfassung!$D$6:$D$3665,$K2362))</f>
        <v/>
      </c>
      <c r="E2362" s="186">
        <f>IF($K2362="","",INDEX(Zeiterfassung!$E$6:$E$3665,$K2362))</f>
        <v/>
      </c>
      <c r="F2362" s="187">
        <f>IF($K2362="","",INDEX(Zeiterfassung!$F$6:$F$3665,$K2362))</f>
        <v/>
      </c>
      <c r="G2362" s="187">
        <f>IF($K2362="","",INDEX(Zeiterfassung!$G$6:$G$3665,$K2362))</f>
        <v/>
      </c>
      <c r="H2362" s="188">
        <f>IF($K2362="","",INDEX(Zeiterfassung!$H$6:$H$3665,$K2362))</f>
        <v/>
      </c>
      <c r="I2362" s="335">
        <f>IF(B2362=B2361,"",IF($K2362="","",INDEX(Zeiterfassung!$I$6:$I$3665,MATCH(INDEX(Zeiterfassung!$K$6:$K$3665,$K2362),Zeiterfassung!$K$6:$K$3665,0))))</f>
        <v/>
      </c>
      <c r="J2362" s="335">
        <f>IF(B2362=B2361,"",IF($K2362="","",INDEX(Zeiterfassung!$J$6:$J$3665,MATCH(INDEX(Zeiterfassung!$K$6:$K$3665,$K2362),Zeiterfassung!$K$6:$K$3665,0))))</f>
        <v/>
      </c>
      <c r="K2362">
        <f>IFERROR(AGGREGATE(15,6,(ROW(Zeiterfassung!$D$6:$D$3665)-ROW(Zeiterfassung!$D$6)+1)/(Zeiterfassung!$D$6:$D$3665&lt;&gt;""),2357),"")</f>
        <v/>
      </c>
    </row>
    <row r="2363" ht="20" customHeight="1">
      <c r="A2363" s="183">
        <f>IF($K2363="","",WEEKNUM(INDEX(Zeiterfassung!$K$6:$K$3665,$K2363),21))</f>
        <v/>
      </c>
      <c r="B2363" s="184">
        <f>IF($K2363="","",INDEX(Zeiterfassung!$K$6:$K$3665,$K2363))</f>
        <v/>
      </c>
      <c r="C2363" s="185">
        <f>IF($K2363="","",INDEX(Zeiterfassung!$K$6:$K$3665,$K2363))</f>
        <v/>
      </c>
      <c r="D2363" s="186">
        <f>IF($K2363="","",INDEX(Zeiterfassung!$D$6:$D$3665,$K2363))</f>
        <v/>
      </c>
      <c r="E2363" s="186">
        <f>IF($K2363="","",INDEX(Zeiterfassung!$E$6:$E$3665,$K2363))</f>
        <v/>
      </c>
      <c r="F2363" s="187">
        <f>IF($K2363="","",INDEX(Zeiterfassung!$F$6:$F$3665,$K2363))</f>
        <v/>
      </c>
      <c r="G2363" s="187">
        <f>IF($K2363="","",INDEX(Zeiterfassung!$G$6:$G$3665,$K2363))</f>
        <v/>
      </c>
      <c r="H2363" s="188">
        <f>IF($K2363="","",INDEX(Zeiterfassung!$H$6:$H$3665,$K2363))</f>
        <v/>
      </c>
      <c r="I2363" s="335">
        <f>IF(B2363=B2362,"",IF($K2363="","",INDEX(Zeiterfassung!$I$6:$I$3665,MATCH(INDEX(Zeiterfassung!$K$6:$K$3665,$K2363),Zeiterfassung!$K$6:$K$3665,0))))</f>
        <v/>
      </c>
      <c r="J2363" s="335">
        <f>IF(B2363=B2362,"",IF($K2363="","",INDEX(Zeiterfassung!$J$6:$J$3665,MATCH(INDEX(Zeiterfassung!$K$6:$K$3665,$K2363),Zeiterfassung!$K$6:$K$3665,0))))</f>
        <v/>
      </c>
      <c r="K2363">
        <f>IFERROR(AGGREGATE(15,6,(ROW(Zeiterfassung!$D$6:$D$3665)-ROW(Zeiterfassung!$D$6)+1)/(Zeiterfassung!$D$6:$D$3665&lt;&gt;""),2358),"")</f>
        <v/>
      </c>
    </row>
    <row r="2364" ht="20" customHeight="1">
      <c r="A2364" s="183">
        <f>IF($K2364="","",WEEKNUM(INDEX(Zeiterfassung!$K$6:$K$3665,$K2364),21))</f>
        <v/>
      </c>
      <c r="B2364" s="184">
        <f>IF($K2364="","",INDEX(Zeiterfassung!$K$6:$K$3665,$K2364))</f>
        <v/>
      </c>
      <c r="C2364" s="185">
        <f>IF($K2364="","",INDEX(Zeiterfassung!$K$6:$K$3665,$K2364))</f>
        <v/>
      </c>
      <c r="D2364" s="186">
        <f>IF($K2364="","",INDEX(Zeiterfassung!$D$6:$D$3665,$K2364))</f>
        <v/>
      </c>
      <c r="E2364" s="186">
        <f>IF($K2364="","",INDEX(Zeiterfassung!$E$6:$E$3665,$K2364))</f>
        <v/>
      </c>
      <c r="F2364" s="187">
        <f>IF($K2364="","",INDEX(Zeiterfassung!$F$6:$F$3665,$K2364))</f>
        <v/>
      </c>
      <c r="G2364" s="187">
        <f>IF($K2364="","",INDEX(Zeiterfassung!$G$6:$G$3665,$K2364))</f>
        <v/>
      </c>
      <c r="H2364" s="188">
        <f>IF($K2364="","",INDEX(Zeiterfassung!$H$6:$H$3665,$K2364))</f>
        <v/>
      </c>
      <c r="I2364" s="335">
        <f>IF(B2364=B2363,"",IF($K2364="","",INDEX(Zeiterfassung!$I$6:$I$3665,MATCH(INDEX(Zeiterfassung!$K$6:$K$3665,$K2364),Zeiterfassung!$K$6:$K$3665,0))))</f>
        <v/>
      </c>
      <c r="J2364" s="335">
        <f>IF(B2364=B2363,"",IF($K2364="","",INDEX(Zeiterfassung!$J$6:$J$3665,MATCH(INDEX(Zeiterfassung!$K$6:$K$3665,$K2364),Zeiterfassung!$K$6:$K$3665,0))))</f>
        <v/>
      </c>
      <c r="K2364">
        <f>IFERROR(AGGREGATE(15,6,(ROW(Zeiterfassung!$D$6:$D$3665)-ROW(Zeiterfassung!$D$6)+1)/(Zeiterfassung!$D$6:$D$3665&lt;&gt;""),2359),"")</f>
        <v/>
      </c>
    </row>
    <row r="2365" ht="20" customHeight="1">
      <c r="A2365" s="183">
        <f>IF($K2365="","",WEEKNUM(INDEX(Zeiterfassung!$K$6:$K$3665,$K2365),21))</f>
        <v/>
      </c>
      <c r="B2365" s="184">
        <f>IF($K2365="","",INDEX(Zeiterfassung!$K$6:$K$3665,$K2365))</f>
        <v/>
      </c>
      <c r="C2365" s="185">
        <f>IF($K2365="","",INDEX(Zeiterfassung!$K$6:$K$3665,$K2365))</f>
        <v/>
      </c>
      <c r="D2365" s="186">
        <f>IF($K2365="","",INDEX(Zeiterfassung!$D$6:$D$3665,$K2365))</f>
        <v/>
      </c>
      <c r="E2365" s="186">
        <f>IF($K2365="","",INDEX(Zeiterfassung!$E$6:$E$3665,$K2365))</f>
        <v/>
      </c>
      <c r="F2365" s="187">
        <f>IF($K2365="","",INDEX(Zeiterfassung!$F$6:$F$3665,$K2365))</f>
        <v/>
      </c>
      <c r="G2365" s="187">
        <f>IF($K2365="","",INDEX(Zeiterfassung!$G$6:$G$3665,$K2365))</f>
        <v/>
      </c>
      <c r="H2365" s="188">
        <f>IF($K2365="","",INDEX(Zeiterfassung!$H$6:$H$3665,$K2365))</f>
        <v/>
      </c>
      <c r="I2365" s="335">
        <f>IF(B2365=B2364,"",IF($K2365="","",INDEX(Zeiterfassung!$I$6:$I$3665,MATCH(INDEX(Zeiterfassung!$K$6:$K$3665,$K2365),Zeiterfassung!$K$6:$K$3665,0))))</f>
        <v/>
      </c>
      <c r="J2365" s="335">
        <f>IF(B2365=B2364,"",IF($K2365="","",INDEX(Zeiterfassung!$J$6:$J$3665,MATCH(INDEX(Zeiterfassung!$K$6:$K$3665,$K2365),Zeiterfassung!$K$6:$K$3665,0))))</f>
        <v/>
      </c>
      <c r="K2365">
        <f>IFERROR(AGGREGATE(15,6,(ROW(Zeiterfassung!$D$6:$D$3665)-ROW(Zeiterfassung!$D$6)+1)/(Zeiterfassung!$D$6:$D$3665&lt;&gt;""),2360),"")</f>
        <v/>
      </c>
    </row>
    <row r="2366" ht="20" customHeight="1">
      <c r="A2366" s="183">
        <f>IF($K2366="","",WEEKNUM(INDEX(Zeiterfassung!$K$6:$K$3665,$K2366),21))</f>
        <v/>
      </c>
      <c r="B2366" s="184">
        <f>IF($K2366="","",INDEX(Zeiterfassung!$K$6:$K$3665,$K2366))</f>
        <v/>
      </c>
      <c r="C2366" s="185">
        <f>IF($K2366="","",INDEX(Zeiterfassung!$K$6:$K$3665,$K2366))</f>
        <v/>
      </c>
      <c r="D2366" s="186">
        <f>IF($K2366="","",INDEX(Zeiterfassung!$D$6:$D$3665,$K2366))</f>
        <v/>
      </c>
      <c r="E2366" s="186">
        <f>IF($K2366="","",INDEX(Zeiterfassung!$E$6:$E$3665,$K2366))</f>
        <v/>
      </c>
      <c r="F2366" s="187">
        <f>IF($K2366="","",INDEX(Zeiterfassung!$F$6:$F$3665,$K2366))</f>
        <v/>
      </c>
      <c r="G2366" s="187">
        <f>IF($K2366="","",INDEX(Zeiterfassung!$G$6:$G$3665,$K2366))</f>
        <v/>
      </c>
      <c r="H2366" s="188">
        <f>IF($K2366="","",INDEX(Zeiterfassung!$H$6:$H$3665,$K2366))</f>
        <v/>
      </c>
      <c r="I2366" s="335">
        <f>IF(B2366=B2365,"",IF($K2366="","",INDEX(Zeiterfassung!$I$6:$I$3665,MATCH(INDEX(Zeiterfassung!$K$6:$K$3665,$K2366),Zeiterfassung!$K$6:$K$3665,0))))</f>
        <v/>
      </c>
      <c r="J2366" s="335">
        <f>IF(B2366=B2365,"",IF($K2366="","",INDEX(Zeiterfassung!$J$6:$J$3665,MATCH(INDEX(Zeiterfassung!$K$6:$K$3665,$K2366),Zeiterfassung!$K$6:$K$3665,0))))</f>
        <v/>
      </c>
      <c r="K2366">
        <f>IFERROR(AGGREGATE(15,6,(ROW(Zeiterfassung!$D$6:$D$3665)-ROW(Zeiterfassung!$D$6)+1)/(Zeiterfassung!$D$6:$D$3665&lt;&gt;""),2361),"")</f>
        <v/>
      </c>
    </row>
    <row r="2367" ht="20" customHeight="1">
      <c r="A2367" s="183">
        <f>IF($K2367="","",WEEKNUM(INDEX(Zeiterfassung!$K$6:$K$3665,$K2367),21))</f>
        <v/>
      </c>
      <c r="B2367" s="184">
        <f>IF($K2367="","",INDEX(Zeiterfassung!$K$6:$K$3665,$K2367))</f>
        <v/>
      </c>
      <c r="C2367" s="185">
        <f>IF($K2367="","",INDEX(Zeiterfassung!$K$6:$K$3665,$K2367))</f>
        <v/>
      </c>
      <c r="D2367" s="186">
        <f>IF($K2367="","",INDEX(Zeiterfassung!$D$6:$D$3665,$K2367))</f>
        <v/>
      </c>
      <c r="E2367" s="186">
        <f>IF($K2367="","",INDEX(Zeiterfassung!$E$6:$E$3665,$K2367))</f>
        <v/>
      </c>
      <c r="F2367" s="187">
        <f>IF($K2367="","",INDEX(Zeiterfassung!$F$6:$F$3665,$K2367))</f>
        <v/>
      </c>
      <c r="G2367" s="187">
        <f>IF($K2367="","",INDEX(Zeiterfassung!$G$6:$G$3665,$K2367))</f>
        <v/>
      </c>
      <c r="H2367" s="188">
        <f>IF($K2367="","",INDEX(Zeiterfassung!$H$6:$H$3665,$K2367))</f>
        <v/>
      </c>
      <c r="I2367" s="335">
        <f>IF(B2367=B2366,"",IF($K2367="","",INDEX(Zeiterfassung!$I$6:$I$3665,MATCH(INDEX(Zeiterfassung!$K$6:$K$3665,$K2367),Zeiterfassung!$K$6:$K$3665,0))))</f>
        <v/>
      </c>
      <c r="J2367" s="335">
        <f>IF(B2367=B2366,"",IF($K2367="","",INDEX(Zeiterfassung!$J$6:$J$3665,MATCH(INDEX(Zeiterfassung!$K$6:$K$3665,$K2367),Zeiterfassung!$K$6:$K$3665,0))))</f>
        <v/>
      </c>
      <c r="K2367">
        <f>IFERROR(AGGREGATE(15,6,(ROW(Zeiterfassung!$D$6:$D$3665)-ROW(Zeiterfassung!$D$6)+1)/(Zeiterfassung!$D$6:$D$3665&lt;&gt;""),2362),"")</f>
        <v/>
      </c>
    </row>
    <row r="2368" ht="20" customHeight="1">
      <c r="A2368" s="183">
        <f>IF($K2368="","",WEEKNUM(INDEX(Zeiterfassung!$K$6:$K$3665,$K2368),21))</f>
        <v/>
      </c>
      <c r="B2368" s="184">
        <f>IF($K2368="","",INDEX(Zeiterfassung!$K$6:$K$3665,$K2368))</f>
        <v/>
      </c>
      <c r="C2368" s="185">
        <f>IF($K2368="","",INDEX(Zeiterfassung!$K$6:$K$3665,$K2368))</f>
        <v/>
      </c>
      <c r="D2368" s="186">
        <f>IF($K2368="","",INDEX(Zeiterfassung!$D$6:$D$3665,$K2368))</f>
        <v/>
      </c>
      <c r="E2368" s="186">
        <f>IF($K2368="","",INDEX(Zeiterfassung!$E$6:$E$3665,$K2368))</f>
        <v/>
      </c>
      <c r="F2368" s="187">
        <f>IF($K2368="","",INDEX(Zeiterfassung!$F$6:$F$3665,$K2368))</f>
        <v/>
      </c>
      <c r="G2368" s="187">
        <f>IF($K2368="","",INDEX(Zeiterfassung!$G$6:$G$3665,$K2368))</f>
        <v/>
      </c>
      <c r="H2368" s="188">
        <f>IF($K2368="","",INDEX(Zeiterfassung!$H$6:$H$3665,$K2368))</f>
        <v/>
      </c>
      <c r="I2368" s="335">
        <f>IF(B2368=B2367,"",IF($K2368="","",INDEX(Zeiterfassung!$I$6:$I$3665,MATCH(INDEX(Zeiterfassung!$K$6:$K$3665,$K2368),Zeiterfassung!$K$6:$K$3665,0))))</f>
        <v/>
      </c>
      <c r="J2368" s="335">
        <f>IF(B2368=B2367,"",IF($K2368="","",INDEX(Zeiterfassung!$J$6:$J$3665,MATCH(INDEX(Zeiterfassung!$K$6:$K$3665,$K2368),Zeiterfassung!$K$6:$K$3665,0))))</f>
        <v/>
      </c>
      <c r="K2368">
        <f>IFERROR(AGGREGATE(15,6,(ROW(Zeiterfassung!$D$6:$D$3665)-ROW(Zeiterfassung!$D$6)+1)/(Zeiterfassung!$D$6:$D$3665&lt;&gt;""),2363),"")</f>
        <v/>
      </c>
    </row>
    <row r="2369" ht="20" customHeight="1">
      <c r="A2369" s="183">
        <f>IF($K2369="","",WEEKNUM(INDEX(Zeiterfassung!$K$6:$K$3665,$K2369),21))</f>
        <v/>
      </c>
      <c r="B2369" s="184">
        <f>IF($K2369="","",INDEX(Zeiterfassung!$K$6:$K$3665,$K2369))</f>
        <v/>
      </c>
      <c r="C2369" s="185">
        <f>IF($K2369="","",INDEX(Zeiterfassung!$K$6:$K$3665,$K2369))</f>
        <v/>
      </c>
      <c r="D2369" s="186">
        <f>IF($K2369="","",INDEX(Zeiterfassung!$D$6:$D$3665,$K2369))</f>
        <v/>
      </c>
      <c r="E2369" s="186">
        <f>IF($K2369="","",INDEX(Zeiterfassung!$E$6:$E$3665,$K2369))</f>
        <v/>
      </c>
      <c r="F2369" s="187">
        <f>IF($K2369="","",INDEX(Zeiterfassung!$F$6:$F$3665,$K2369))</f>
        <v/>
      </c>
      <c r="G2369" s="187">
        <f>IF($K2369="","",INDEX(Zeiterfassung!$G$6:$G$3665,$K2369))</f>
        <v/>
      </c>
      <c r="H2369" s="188">
        <f>IF($K2369="","",INDEX(Zeiterfassung!$H$6:$H$3665,$K2369))</f>
        <v/>
      </c>
      <c r="I2369" s="335">
        <f>IF(B2369=B2368,"",IF($K2369="","",INDEX(Zeiterfassung!$I$6:$I$3665,MATCH(INDEX(Zeiterfassung!$K$6:$K$3665,$K2369),Zeiterfassung!$K$6:$K$3665,0))))</f>
        <v/>
      </c>
      <c r="J2369" s="335">
        <f>IF(B2369=B2368,"",IF($K2369="","",INDEX(Zeiterfassung!$J$6:$J$3665,MATCH(INDEX(Zeiterfassung!$K$6:$K$3665,$K2369),Zeiterfassung!$K$6:$K$3665,0))))</f>
        <v/>
      </c>
      <c r="K2369">
        <f>IFERROR(AGGREGATE(15,6,(ROW(Zeiterfassung!$D$6:$D$3665)-ROW(Zeiterfassung!$D$6)+1)/(Zeiterfassung!$D$6:$D$3665&lt;&gt;""),2364),"")</f>
        <v/>
      </c>
    </row>
    <row r="2370" ht="20" customHeight="1">
      <c r="A2370" s="183">
        <f>IF($K2370="","",WEEKNUM(INDEX(Zeiterfassung!$K$6:$K$3665,$K2370),21))</f>
        <v/>
      </c>
      <c r="B2370" s="184">
        <f>IF($K2370="","",INDEX(Zeiterfassung!$K$6:$K$3665,$K2370))</f>
        <v/>
      </c>
      <c r="C2370" s="185">
        <f>IF($K2370="","",INDEX(Zeiterfassung!$K$6:$K$3665,$K2370))</f>
        <v/>
      </c>
      <c r="D2370" s="186">
        <f>IF($K2370="","",INDEX(Zeiterfassung!$D$6:$D$3665,$K2370))</f>
        <v/>
      </c>
      <c r="E2370" s="186">
        <f>IF($K2370="","",INDEX(Zeiterfassung!$E$6:$E$3665,$K2370))</f>
        <v/>
      </c>
      <c r="F2370" s="187">
        <f>IF($K2370="","",INDEX(Zeiterfassung!$F$6:$F$3665,$K2370))</f>
        <v/>
      </c>
      <c r="G2370" s="187">
        <f>IF($K2370="","",INDEX(Zeiterfassung!$G$6:$G$3665,$K2370))</f>
        <v/>
      </c>
      <c r="H2370" s="188">
        <f>IF($K2370="","",INDEX(Zeiterfassung!$H$6:$H$3665,$K2370))</f>
        <v/>
      </c>
      <c r="I2370" s="335">
        <f>IF(B2370=B2369,"",IF($K2370="","",INDEX(Zeiterfassung!$I$6:$I$3665,MATCH(INDEX(Zeiterfassung!$K$6:$K$3665,$K2370),Zeiterfassung!$K$6:$K$3665,0))))</f>
        <v/>
      </c>
      <c r="J2370" s="335">
        <f>IF(B2370=B2369,"",IF($K2370="","",INDEX(Zeiterfassung!$J$6:$J$3665,MATCH(INDEX(Zeiterfassung!$K$6:$K$3665,$K2370),Zeiterfassung!$K$6:$K$3665,0))))</f>
        <v/>
      </c>
      <c r="K2370">
        <f>IFERROR(AGGREGATE(15,6,(ROW(Zeiterfassung!$D$6:$D$3665)-ROW(Zeiterfassung!$D$6)+1)/(Zeiterfassung!$D$6:$D$3665&lt;&gt;""),2365),"")</f>
        <v/>
      </c>
    </row>
    <row r="2371" ht="20" customHeight="1">
      <c r="A2371" s="183">
        <f>IF($K2371="","",WEEKNUM(INDEX(Zeiterfassung!$K$6:$K$3665,$K2371),21))</f>
        <v/>
      </c>
      <c r="B2371" s="184">
        <f>IF($K2371="","",INDEX(Zeiterfassung!$K$6:$K$3665,$K2371))</f>
        <v/>
      </c>
      <c r="C2371" s="185">
        <f>IF($K2371="","",INDEX(Zeiterfassung!$K$6:$K$3665,$K2371))</f>
        <v/>
      </c>
      <c r="D2371" s="186">
        <f>IF($K2371="","",INDEX(Zeiterfassung!$D$6:$D$3665,$K2371))</f>
        <v/>
      </c>
      <c r="E2371" s="186">
        <f>IF($K2371="","",INDEX(Zeiterfassung!$E$6:$E$3665,$K2371))</f>
        <v/>
      </c>
      <c r="F2371" s="187">
        <f>IF($K2371="","",INDEX(Zeiterfassung!$F$6:$F$3665,$K2371))</f>
        <v/>
      </c>
      <c r="G2371" s="187">
        <f>IF($K2371="","",INDEX(Zeiterfassung!$G$6:$G$3665,$K2371))</f>
        <v/>
      </c>
      <c r="H2371" s="188">
        <f>IF($K2371="","",INDEX(Zeiterfassung!$H$6:$H$3665,$K2371))</f>
        <v/>
      </c>
      <c r="I2371" s="335">
        <f>IF(B2371=B2370,"",IF($K2371="","",INDEX(Zeiterfassung!$I$6:$I$3665,MATCH(INDEX(Zeiterfassung!$K$6:$K$3665,$K2371),Zeiterfassung!$K$6:$K$3665,0))))</f>
        <v/>
      </c>
      <c r="J2371" s="335">
        <f>IF(B2371=B2370,"",IF($K2371="","",INDEX(Zeiterfassung!$J$6:$J$3665,MATCH(INDEX(Zeiterfassung!$K$6:$K$3665,$K2371),Zeiterfassung!$K$6:$K$3665,0))))</f>
        <v/>
      </c>
      <c r="K2371">
        <f>IFERROR(AGGREGATE(15,6,(ROW(Zeiterfassung!$D$6:$D$3665)-ROW(Zeiterfassung!$D$6)+1)/(Zeiterfassung!$D$6:$D$3665&lt;&gt;""),2366),"")</f>
        <v/>
      </c>
    </row>
    <row r="2372" ht="20" customHeight="1">
      <c r="A2372" s="183">
        <f>IF($K2372="","",WEEKNUM(INDEX(Zeiterfassung!$K$6:$K$3665,$K2372),21))</f>
        <v/>
      </c>
      <c r="B2372" s="184">
        <f>IF($K2372="","",INDEX(Zeiterfassung!$K$6:$K$3665,$K2372))</f>
        <v/>
      </c>
      <c r="C2372" s="185">
        <f>IF($K2372="","",INDEX(Zeiterfassung!$K$6:$K$3665,$K2372))</f>
        <v/>
      </c>
      <c r="D2372" s="186">
        <f>IF($K2372="","",INDEX(Zeiterfassung!$D$6:$D$3665,$K2372))</f>
        <v/>
      </c>
      <c r="E2372" s="186">
        <f>IF($K2372="","",INDEX(Zeiterfassung!$E$6:$E$3665,$K2372))</f>
        <v/>
      </c>
      <c r="F2372" s="187">
        <f>IF($K2372="","",INDEX(Zeiterfassung!$F$6:$F$3665,$K2372))</f>
        <v/>
      </c>
      <c r="G2372" s="187">
        <f>IF($K2372="","",INDEX(Zeiterfassung!$G$6:$G$3665,$K2372))</f>
        <v/>
      </c>
      <c r="H2372" s="188">
        <f>IF($K2372="","",INDEX(Zeiterfassung!$H$6:$H$3665,$K2372))</f>
        <v/>
      </c>
      <c r="I2372" s="335">
        <f>IF(B2372=B2371,"",IF($K2372="","",INDEX(Zeiterfassung!$I$6:$I$3665,MATCH(INDEX(Zeiterfassung!$K$6:$K$3665,$K2372),Zeiterfassung!$K$6:$K$3665,0))))</f>
        <v/>
      </c>
      <c r="J2372" s="335">
        <f>IF(B2372=B2371,"",IF($K2372="","",INDEX(Zeiterfassung!$J$6:$J$3665,MATCH(INDEX(Zeiterfassung!$K$6:$K$3665,$K2372),Zeiterfassung!$K$6:$K$3665,0))))</f>
        <v/>
      </c>
      <c r="K2372">
        <f>IFERROR(AGGREGATE(15,6,(ROW(Zeiterfassung!$D$6:$D$3665)-ROW(Zeiterfassung!$D$6)+1)/(Zeiterfassung!$D$6:$D$3665&lt;&gt;""),2367),"")</f>
        <v/>
      </c>
    </row>
    <row r="2373" ht="20" customHeight="1">
      <c r="A2373" s="183">
        <f>IF($K2373="","",WEEKNUM(INDEX(Zeiterfassung!$K$6:$K$3665,$K2373),21))</f>
        <v/>
      </c>
      <c r="B2373" s="184">
        <f>IF($K2373="","",INDEX(Zeiterfassung!$K$6:$K$3665,$K2373))</f>
        <v/>
      </c>
      <c r="C2373" s="185">
        <f>IF($K2373="","",INDEX(Zeiterfassung!$K$6:$K$3665,$K2373))</f>
        <v/>
      </c>
      <c r="D2373" s="186">
        <f>IF($K2373="","",INDEX(Zeiterfassung!$D$6:$D$3665,$K2373))</f>
        <v/>
      </c>
      <c r="E2373" s="186">
        <f>IF($K2373="","",INDEX(Zeiterfassung!$E$6:$E$3665,$K2373))</f>
        <v/>
      </c>
      <c r="F2373" s="187">
        <f>IF($K2373="","",INDEX(Zeiterfassung!$F$6:$F$3665,$K2373))</f>
        <v/>
      </c>
      <c r="G2373" s="187">
        <f>IF($K2373="","",INDEX(Zeiterfassung!$G$6:$G$3665,$K2373))</f>
        <v/>
      </c>
      <c r="H2373" s="188">
        <f>IF($K2373="","",INDEX(Zeiterfassung!$H$6:$H$3665,$K2373))</f>
        <v/>
      </c>
      <c r="I2373" s="335">
        <f>IF(B2373=B2372,"",IF($K2373="","",INDEX(Zeiterfassung!$I$6:$I$3665,MATCH(INDEX(Zeiterfassung!$K$6:$K$3665,$K2373),Zeiterfassung!$K$6:$K$3665,0))))</f>
        <v/>
      </c>
      <c r="J2373" s="335">
        <f>IF(B2373=B2372,"",IF($K2373="","",INDEX(Zeiterfassung!$J$6:$J$3665,MATCH(INDEX(Zeiterfassung!$K$6:$K$3665,$K2373),Zeiterfassung!$K$6:$K$3665,0))))</f>
        <v/>
      </c>
      <c r="K2373">
        <f>IFERROR(AGGREGATE(15,6,(ROW(Zeiterfassung!$D$6:$D$3665)-ROW(Zeiterfassung!$D$6)+1)/(Zeiterfassung!$D$6:$D$3665&lt;&gt;""),2368),"")</f>
        <v/>
      </c>
    </row>
    <row r="2374" ht="20" customHeight="1">
      <c r="A2374" s="183">
        <f>IF($K2374="","",WEEKNUM(INDEX(Zeiterfassung!$K$6:$K$3665,$K2374),21))</f>
        <v/>
      </c>
      <c r="B2374" s="184">
        <f>IF($K2374="","",INDEX(Zeiterfassung!$K$6:$K$3665,$K2374))</f>
        <v/>
      </c>
      <c r="C2374" s="185">
        <f>IF($K2374="","",INDEX(Zeiterfassung!$K$6:$K$3665,$K2374))</f>
        <v/>
      </c>
      <c r="D2374" s="186">
        <f>IF($K2374="","",INDEX(Zeiterfassung!$D$6:$D$3665,$K2374))</f>
        <v/>
      </c>
      <c r="E2374" s="186">
        <f>IF($K2374="","",INDEX(Zeiterfassung!$E$6:$E$3665,$K2374))</f>
        <v/>
      </c>
      <c r="F2374" s="187">
        <f>IF($K2374="","",INDEX(Zeiterfassung!$F$6:$F$3665,$K2374))</f>
        <v/>
      </c>
      <c r="G2374" s="187">
        <f>IF($K2374="","",INDEX(Zeiterfassung!$G$6:$G$3665,$K2374))</f>
        <v/>
      </c>
      <c r="H2374" s="188">
        <f>IF($K2374="","",INDEX(Zeiterfassung!$H$6:$H$3665,$K2374))</f>
        <v/>
      </c>
      <c r="I2374" s="335">
        <f>IF(B2374=B2373,"",IF($K2374="","",INDEX(Zeiterfassung!$I$6:$I$3665,MATCH(INDEX(Zeiterfassung!$K$6:$K$3665,$K2374),Zeiterfassung!$K$6:$K$3665,0))))</f>
        <v/>
      </c>
      <c r="J2374" s="335">
        <f>IF(B2374=B2373,"",IF($K2374="","",INDEX(Zeiterfassung!$J$6:$J$3665,MATCH(INDEX(Zeiterfassung!$K$6:$K$3665,$K2374),Zeiterfassung!$K$6:$K$3665,0))))</f>
        <v/>
      </c>
      <c r="K2374">
        <f>IFERROR(AGGREGATE(15,6,(ROW(Zeiterfassung!$D$6:$D$3665)-ROW(Zeiterfassung!$D$6)+1)/(Zeiterfassung!$D$6:$D$3665&lt;&gt;""),2369),"")</f>
        <v/>
      </c>
    </row>
    <row r="2375" ht="20" customHeight="1">
      <c r="A2375" s="183">
        <f>IF($K2375="","",WEEKNUM(INDEX(Zeiterfassung!$K$6:$K$3665,$K2375),21))</f>
        <v/>
      </c>
      <c r="B2375" s="184">
        <f>IF($K2375="","",INDEX(Zeiterfassung!$K$6:$K$3665,$K2375))</f>
        <v/>
      </c>
      <c r="C2375" s="185">
        <f>IF($K2375="","",INDEX(Zeiterfassung!$K$6:$K$3665,$K2375))</f>
        <v/>
      </c>
      <c r="D2375" s="186">
        <f>IF($K2375="","",INDEX(Zeiterfassung!$D$6:$D$3665,$K2375))</f>
        <v/>
      </c>
      <c r="E2375" s="186">
        <f>IF($K2375="","",INDEX(Zeiterfassung!$E$6:$E$3665,$K2375))</f>
        <v/>
      </c>
      <c r="F2375" s="187">
        <f>IF($K2375="","",INDEX(Zeiterfassung!$F$6:$F$3665,$K2375))</f>
        <v/>
      </c>
      <c r="G2375" s="187">
        <f>IF($K2375="","",INDEX(Zeiterfassung!$G$6:$G$3665,$K2375))</f>
        <v/>
      </c>
      <c r="H2375" s="188">
        <f>IF($K2375="","",INDEX(Zeiterfassung!$H$6:$H$3665,$K2375))</f>
        <v/>
      </c>
      <c r="I2375" s="335">
        <f>IF(B2375=B2374,"",IF($K2375="","",INDEX(Zeiterfassung!$I$6:$I$3665,MATCH(INDEX(Zeiterfassung!$K$6:$K$3665,$K2375),Zeiterfassung!$K$6:$K$3665,0))))</f>
        <v/>
      </c>
      <c r="J2375" s="335">
        <f>IF(B2375=B2374,"",IF($K2375="","",INDEX(Zeiterfassung!$J$6:$J$3665,MATCH(INDEX(Zeiterfassung!$K$6:$K$3665,$K2375),Zeiterfassung!$K$6:$K$3665,0))))</f>
        <v/>
      </c>
      <c r="K2375">
        <f>IFERROR(AGGREGATE(15,6,(ROW(Zeiterfassung!$D$6:$D$3665)-ROW(Zeiterfassung!$D$6)+1)/(Zeiterfassung!$D$6:$D$3665&lt;&gt;""),2370),"")</f>
        <v/>
      </c>
    </row>
    <row r="2376" ht="20" customHeight="1">
      <c r="A2376" s="183">
        <f>IF($K2376="","",WEEKNUM(INDEX(Zeiterfassung!$K$6:$K$3665,$K2376),21))</f>
        <v/>
      </c>
      <c r="B2376" s="184">
        <f>IF($K2376="","",INDEX(Zeiterfassung!$K$6:$K$3665,$K2376))</f>
        <v/>
      </c>
      <c r="C2376" s="185">
        <f>IF($K2376="","",INDEX(Zeiterfassung!$K$6:$K$3665,$K2376))</f>
        <v/>
      </c>
      <c r="D2376" s="186">
        <f>IF($K2376="","",INDEX(Zeiterfassung!$D$6:$D$3665,$K2376))</f>
        <v/>
      </c>
      <c r="E2376" s="186">
        <f>IF($K2376="","",INDEX(Zeiterfassung!$E$6:$E$3665,$K2376))</f>
        <v/>
      </c>
      <c r="F2376" s="187">
        <f>IF($K2376="","",INDEX(Zeiterfassung!$F$6:$F$3665,$K2376))</f>
        <v/>
      </c>
      <c r="G2376" s="187">
        <f>IF($K2376="","",INDEX(Zeiterfassung!$G$6:$G$3665,$K2376))</f>
        <v/>
      </c>
      <c r="H2376" s="188">
        <f>IF($K2376="","",INDEX(Zeiterfassung!$H$6:$H$3665,$K2376))</f>
        <v/>
      </c>
      <c r="I2376" s="335">
        <f>IF(B2376=B2375,"",IF($K2376="","",INDEX(Zeiterfassung!$I$6:$I$3665,MATCH(INDEX(Zeiterfassung!$K$6:$K$3665,$K2376),Zeiterfassung!$K$6:$K$3665,0))))</f>
        <v/>
      </c>
      <c r="J2376" s="335">
        <f>IF(B2376=B2375,"",IF($K2376="","",INDEX(Zeiterfassung!$J$6:$J$3665,MATCH(INDEX(Zeiterfassung!$K$6:$K$3665,$K2376),Zeiterfassung!$K$6:$K$3665,0))))</f>
        <v/>
      </c>
      <c r="K2376">
        <f>IFERROR(AGGREGATE(15,6,(ROW(Zeiterfassung!$D$6:$D$3665)-ROW(Zeiterfassung!$D$6)+1)/(Zeiterfassung!$D$6:$D$3665&lt;&gt;""),2371),"")</f>
        <v/>
      </c>
    </row>
    <row r="2377" ht="20" customHeight="1">
      <c r="A2377" s="183">
        <f>IF($K2377="","",WEEKNUM(INDEX(Zeiterfassung!$K$6:$K$3665,$K2377),21))</f>
        <v/>
      </c>
      <c r="B2377" s="184">
        <f>IF($K2377="","",INDEX(Zeiterfassung!$K$6:$K$3665,$K2377))</f>
        <v/>
      </c>
      <c r="C2377" s="185">
        <f>IF($K2377="","",INDEX(Zeiterfassung!$K$6:$K$3665,$K2377))</f>
        <v/>
      </c>
      <c r="D2377" s="186">
        <f>IF($K2377="","",INDEX(Zeiterfassung!$D$6:$D$3665,$K2377))</f>
        <v/>
      </c>
      <c r="E2377" s="186">
        <f>IF($K2377="","",INDEX(Zeiterfassung!$E$6:$E$3665,$K2377))</f>
        <v/>
      </c>
      <c r="F2377" s="187">
        <f>IF($K2377="","",INDEX(Zeiterfassung!$F$6:$F$3665,$K2377))</f>
        <v/>
      </c>
      <c r="G2377" s="187">
        <f>IF($K2377="","",INDEX(Zeiterfassung!$G$6:$G$3665,$K2377))</f>
        <v/>
      </c>
      <c r="H2377" s="188">
        <f>IF($K2377="","",INDEX(Zeiterfassung!$H$6:$H$3665,$K2377))</f>
        <v/>
      </c>
      <c r="I2377" s="335">
        <f>IF(B2377=B2376,"",IF($K2377="","",INDEX(Zeiterfassung!$I$6:$I$3665,MATCH(INDEX(Zeiterfassung!$K$6:$K$3665,$K2377),Zeiterfassung!$K$6:$K$3665,0))))</f>
        <v/>
      </c>
      <c r="J2377" s="335">
        <f>IF(B2377=B2376,"",IF($K2377="","",INDEX(Zeiterfassung!$J$6:$J$3665,MATCH(INDEX(Zeiterfassung!$K$6:$K$3665,$K2377),Zeiterfassung!$K$6:$K$3665,0))))</f>
        <v/>
      </c>
      <c r="K2377">
        <f>IFERROR(AGGREGATE(15,6,(ROW(Zeiterfassung!$D$6:$D$3665)-ROW(Zeiterfassung!$D$6)+1)/(Zeiterfassung!$D$6:$D$3665&lt;&gt;""),2372),"")</f>
        <v/>
      </c>
    </row>
    <row r="2378" ht="20" customHeight="1">
      <c r="A2378" s="183">
        <f>IF($K2378="","",WEEKNUM(INDEX(Zeiterfassung!$K$6:$K$3665,$K2378),21))</f>
        <v/>
      </c>
      <c r="B2378" s="184">
        <f>IF($K2378="","",INDEX(Zeiterfassung!$K$6:$K$3665,$K2378))</f>
        <v/>
      </c>
      <c r="C2378" s="185">
        <f>IF($K2378="","",INDEX(Zeiterfassung!$K$6:$K$3665,$K2378))</f>
        <v/>
      </c>
      <c r="D2378" s="186">
        <f>IF($K2378="","",INDEX(Zeiterfassung!$D$6:$D$3665,$K2378))</f>
        <v/>
      </c>
      <c r="E2378" s="186">
        <f>IF($K2378="","",INDEX(Zeiterfassung!$E$6:$E$3665,$K2378))</f>
        <v/>
      </c>
      <c r="F2378" s="187">
        <f>IF($K2378="","",INDEX(Zeiterfassung!$F$6:$F$3665,$K2378))</f>
        <v/>
      </c>
      <c r="G2378" s="187">
        <f>IF($K2378="","",INDEX(Zeiterfassung!$G$6:$G$3665,$K2378))</f>
        <v/>
      </c>
      <c r="H2378" s="188">
        <f>IF($K2378="","",INDEX(Zeiterfassung!$H$6:$H$3665,$K2378))</f>
        <v/>
      </c>
      <c r="I2378" s="335">
        <f>IF(B2378=B2377,"",IF($K2378="","",INDEX(Zeiterfassung!$I$6:$I$3665,MATCH(INDEX(Zeiterfassung!$K$6:$K$3665,$K2378),Zeiterfassung!$K$6:$K$3665,0))))</f>
        <v/>
      </c>
      <c r="J2378" s="335">
        <f>IF(B2378=B2377,"",IF($K2378="","",INDEX(Zeiterfassung!$J$6:$J$3665,MATCH(INDEX(Zeiterfassung!$K$6:$K$3665,$K2378),Zeiterfassung!$K$6:$K$3665,0))))</f>
        <v/>
      </c>
      <c r="K2378">
        <f>IFERROR(AGGREGATE(15,6,(ROW(Zeiterfassung!$D$6:$D$3665)-ROW(Zeiterfassung!$D$6)+1)/(Zeiterfassung!$D$6:$D$3665&lt;&gt;""),2373),"")</f>
        <v/>
      </c>
    </row>
    <row r="2379" ht="20" customHeight="1">
      <c r="A2379" s="183">
        <f>IF($K2379="","",WEEKNUM(INDEX(Zeiterfassung!$K$6:$K$3665,$K2379),21))</f>
        <v/>
      </c>
      <c r="B2379" s="184">
        <f>IF($K2379="","",INDEX(Zeiterfassung!$K$6:$K$3665,$K2379))</f>
        <v/>
      </c>
      <c r="C2379" s="185">
        <f>IF($K2379="","",INDEX(Zeiterfassung!$K$6:$K$3665,$K2379))</f>
        <v/>
      </c>
      <c r="D2379" s="186">
        <f>IF($K2379="","",INDEX(Zeiterfassung!$D$6:$D$3665,$K2379))</f>
        <v/>
      </c>
      <c r="E2379" s="186">
        <f>IF($K2379="","",INDEX(Zeiterfassung!$E$6:$E$3665,$K2379))</f>
        <v/>
      </c>
      <c r="F2379" s="187">
        <f>IF($K2379="","",INDEX(Zeiterfassung!$F$6:$F$3665,$K2379))</f>
        <v/>
      </c>
      <c r="G2379" s="187">
        <f>IF($K2379="","",INDEX(Zeiterfassung!$G$6:$G$3665,$K2379))</f>
        <v/>
      </c>
      <c r="H2379" s="188">
        <f>IF($K2379="","",INDEX(Zeiterfassung!$H$6:$H$3665,$K2379))</f>
        <v/>
      </c>
      <c r="I2379" s="335">
        <f>IF(B2379=B2378,"",IF($K2379="","",INDEX(Zeiterfassung!$I$6:$I$3665,MATCH(INDEX(Zeiterfassung!$K$6:$K$3665,$K2379),Zeiterfassung!$K$6:$K$3665,0))))</f>
        <v/>
      </c>
      <c r="J2379" s="335">
        <f>IF(B2379=B2378,"",IF($K2379="","",INDEX(Zeiterfassung!$J$6:$J$3665,MATCH(INDEX(Zeiterfassung!$K$6:$K$3665,$K2379),Zeiterfassung!$K$6:$K$3665,0))))</f>
        <v/>
      </c>
      <c r="K2379">
        <f>IFERROR(AGGREGATE(15,6,(ROW(Zeiterfassung!$D$6:$D$3665)-ROW(Zeiterfassung!$D$6)+1)/(Zeiterfassung!$D$6:$D$3665&lt;&gt;""),2374),"")</f>
        <v/>
      </c>
    </row>
    <row r="2380" ht="20" customHeight="1">
      <c r="A2380" s="183">
        <f>IF($K2380="","",WEEKNUM(INDEX(Zeiterfassung!$K$6:$K$3665,$K2380),21))</f>
        <v/>
      </c>
      <c r="B2380" s="184">
        <f>IF($K2380="","",INDEX(Zeiterfassung!$K$6:$K$3665,$K2380))</f>
        <v/>
      </c>
      <c r="C2380" s="185">
        <f>IF($K2380="","",INDEX(Zeiterfassung!$K$6:$K$3665,$K2380))</f>
        <v/>
      </c>
      <c r="D2380" s="186">
        <f>IF($K2380="","",INDEX(Zeiterfassung!$D$6:$D$3665,$K2380))</f>
        <v/>
      </c>
      <c r="E2380" s="186">
        <f>IF($K2380="","",INDEX(Zeiterfassung!$E$6:$E$3665,$K2380))</f>
        <v/>
      </c>
      <c r="F2380" s="187">
        <f>IF($K2380="","",INDEX(Zeiterfassung!$F$6:$F$3665,$K2380))</f>
        <v/>
      </c>
      <c r="G2380" s="187">
        <f>IF($K2380="","",INDEX(Zeiterfassung!$G$6:$G$3665,$K2380))</f>
        <v/>
      </c>
      <c r="H2380" s="188">
        <f>IF($K2380="","",INDEX(Zeiterfassung!$H$6:$H$3665,$K2380))</f>
        <v/>
      </c>
      <c r="I2380" s="335">
        <f>IF(B2380=B2379,"",IF($K2380="","",INDEX(Zeiterfassung!$I$6:$I$3665,MATCH(INDEX(Zeiterfassung!$K$6:$K$3665,$K2380),Zeiterfassung!$K$6:$K$3665,0))))</f>
        <v/>
      </c>
      <c r="J2380" s="335">
        <f>IF(B2380=B2379,"",IF($K2380="","",INDEX(Zeiterfassung!$J$6:$J$3665,MATCH(INDEX(Zeiterfassung!$K$6:$K$3665,$K2380),Zeiterfassung!$K$6:$K$3665,0))))</f>
        <v/>
      </c>
      <c r="K2380">
        <f>IFERROR(AGGREGATE(15,6,(ROW(Zeiterfassung!$D$6:$D$3665)-ROW(Zeiterfassung!$D$6)+1)/(Zeiterfassung!$D$6:$D$3665&lt;&gt;""),2375),"")</f>
        <v/>
      </c>
    </row>
    <row r="2381" ht="20" customHeight="1">
      <c r="A2381" s="183">
        <f>IF($K2381="","",WEEKNUM(INDEX(Zeiterfassung!$K$6:$K$3665,$K2381),21))</f>
        <v/>
      </c>
      <c r="B2381" s="184">
        <f>IF($K2381="","",INDEX(Zeiterfassung!$K$6:$K$3665,$K2381))</f>
        <v/>
      </c>
      <c r="C2381" s="185">
        <f>IF($K2381="","",INDEX(Zeiterfassung!$K$6:$K$3665,$K2381))</f>
        <v/>
      </c>
      <c r="D2381" s="186">
        <f>IF($K2381="","",INDEX(Zeiterfassung!$D$6:$D$3665,$K2381))</f>
        <v/>
      </c>
      <c r="E2381" s="186">
        <f>IF($K2381="","",INDEX(Zeiterfassung!$E$6:$E$3665,$K2381))</f>
        <v/>
      </c>
      <c r="F2381" s="187">
        <f>IF($K2381="","",INDEX(Zeiterfassung!$F$6:$F$3665,$K2381))</f>
        <v/>
      </c>
      <c r="G2381" s="187">
        <f>IF($K2381="","",INDEX(Zeiterfassung!$G$6:$G$3665,$K2381))</f>
        <v/>
      </c>
      <c r="H2381" s="188">
        <f>IF($K2381="","",INDEX(Zeiterfassung!$H$6:$H$3665,$K2381))</f>
        <v/>
      </c>
      <c r="I2381" s="335">
        <f>IF(B2381=B2380,"",IF($K2381="","",INDEX(Zeiterfassung!$I$6:$I$3665,MATCH(INDEX(Zeiterfassung!$K$6:$K$3665,$K2381),Zeiterfassung!$K$6:$K$3665,0))))</f>
        <v/>
      </c>
      <c r="J2381" s="335">
        <f>IF(B2381=B2380,"",IF($K2381="","",INDEX(Zeiterfassung!$J$6:$J$3665,MATCH(INDEX(Zeiterfassung!$K$6:$K$3665,$K2381),Zeiterfassung!$K$6:$K$3665,0))))</f>
        <v/>
      </c>
      <c r="K2381">
        <f>IFERROR(AGGREGATE(15,6,(ROW(Zeiterfassung!$D$6:$D$3665)-ROW(Zeiterfassung!$D$6)+1)/(Zeiterfassung!$D$6:$D$3665&lt;&gt;""),2376),"")</f>
        <v/>
      </c>
    </row>
    <row r="2382" ht="20" customHeight="1">
      <c r="A2382" s="183">
        <f>IF($K2382="","",WEEKNUM(INDEX(Zeiterfassung!$K$6:$K$3665,$K2382),21))</f>
        <v/>
      </c>
      <c r="B2382" s="184">
        <f>IF($K2382="","",INDEX(Zeiterfassung!$K$6:$K$3665,$K2382))</f>
        <v/>
      </c>
      <c r="C2382" s="185">
        <f>IF($K2382="","",INDEX(Zeiterfassung!$K$6:$K$3665,$K2382))</f>
        <v/>
      </c>
      <c r="D2382" s="186">
        <f>IF($K2382="","",INDEX(Zeiterfassung!$D$6:$D$3665,$K2382))</f>
        <v/>
      </c>
      <c r="E2382" s="186">
        <f>IF($K2382="","",INDEX(Zeiterfassung!$E$6:$E$3665,$K2382))</f>
        <v/>
      </c>
      <c r="F2382" s="187">
        <f>IF($K2382="","",INDEX(Zeiterfassung!$F$6:$F$3665,$K2382))</f>
        <v/>
      </c>
      <c r="G2382" s="187">
        <f>IF($K2382="","",INDEX(Zeiterfassung!$G$6:$G$3665,$K2382))</f>
        <v/>
      </c>
      <c r="H2382" s="188">
        <f>IF($K2382="","",INDEX(Zeiterfassung!$H$6:$H$3665,$K2382))</f>
        <v/>
      </c>
      <c r="I2382" s="335">
        <f>IF(B2382=B2381,"",IF($K2382="","",INDEX(Zeiterfassung!$I$6:$I$3665,MATCH(INDEX(Zeiterfassung!$K$6:$K$3665,$K2382),Zeiterfassung!$K$6:$K$3665,0))))</f>
        <v/>
      </c>
      <c r="J2382" s="335">
        <f>IF(B2382=B2381,"",IF($K2382="","",INDEX(Zeiterfassung!$J$6:$J$3665,MATCH(INDEX(Zeiterfassung!$K$6:$K$3665,$K2382),Zeiterfassung!$K$6:$K$3665,0))))</f>
        <v/>
      </c>
      <c r="K2382">
        <f>IFERROR(AGGREGATE(15,6,(ROW(Zeiterfassung!$D$6:$D$3665)-ROW(Zeiterfassung!$D$6)+1)/(Zeiterfassung!$D$6:$D$3665&lt;&gt;""),2377),"")</f>
        <v/>
      </c>
    </row>
    <row r="2383" ht="20" customHeight="1">
      <c r="A2383" s="183">
        <f>IF($K2383="","",WEEKNUM(INDEX(Zeiterfassung!$K$6:$K$3665,$K2383),21))</f>
        <v/>
      </c>
      <c r="B2383" s="184">
        <f>IF($K2383="","",INDEX(Zeiterfassung!$K$6:$K$3665,$K2383))</f>
        <v/>
      </c>
      <c r="C2383" s="185">
        <f>IF($K2383="","",INDEX(Zeiterfassung!$K$6:$K$3665,$K2383))</f>
        <v/>
      </c>
      <c r="D2383" s="186">
        <f>IF($K2383="","",INDEX(Zeiterfassung!$D$6:$D$3665,$K2383))</f>
        <v/>
      </c>
      <c r="E2383" s="186">
        <f>IF($K2383="","",INDEX(Zeiterfassung!$E$6:$E$3665,$K2383))</f>
        <v/>
      </c>
      <c r="F2383" s="187">
        <f>IF($K2383="","",INDEX(Zeiterfassung!$F$6:$F$3665,$K2383))</f>
        <v/>
      </c>
      <c r="G2383" s="187">
        <f>IF($K2383="","",INDEX(Zeiterfassung!$G$6:$G$3665,$K2383))</f>
        <v/>
      </c>
      <c r="H2383" s="188">
        <f>IF($K2383="","",INDEX(Zeiterfassung!$H$6:$H$3665,$K2383))</f>
        <v/>
      </c>
      <c r="I2383" s="335">
        <f>IF(B2383=B2382,"",IF($K2383="","",INDEX(Zeiterfassung!$I$6:$I$3665,MATCH(INDEX(Zeiterfassung!$K$6:$K$3665,$K2383),Zeiterfassung!$K$6:$K$3665,0))))</f>
        <v/>
      </c>
      <c r="J2383" s="335">
        <f>IF(B2383=B2382,"",IF($K2383="","",INDEX(Zeiterfassung!$J$6:$J$3665,MATCH(INDEX(Zeiterfassung!$K$6:$K$3665,$K2383),Zeiterfassung!$K$6:$K$3665,0))))</f>
        <v/>
      </c>
      <c r="K2383">
        <f>IFERROR(AGGREGATE(15,6,(ROW(Zeiterfassung!$D$6:$D$3665)-ROW(Zeiterfassung!$D$6)+1)/(Zeiterfassung!$D$6:$D$3665&lt;&gt;""),2378),"")</f>
        <v/>
      </c>
    </row>
    <row r="2384" ht="20" customHeight="1">
      <c r="A2384" s="183">
        <f>IF($K2384="","",WEEKNUM(INDEX(Zeiterfassung!$K$6:$K$3665,$K2384),21))</f>
        <v/>
      </c>
      <c r="B2384" s="184">
        <f>IF($K2384="","",INDEX(Zeiterfassung!$K$6:$K$3665,$K2384))</f>
        <v/>
      </c>
      <c r="C2384" s="185">
        <f>IF($K2384="","",INDEX(Zeiterfassung!$K$6:$K$3665,$K2384))</f>
        <v/>
      </c>
      <c r="D2384" s="186">
        <f>IF($K2384="","",INDEX(Zeiterfassung!$D$6:$D$3665,$K2384))</f>
        <v/>
      </c>
      <c r="E2384" s="186">
        <f>IF($K2384="","",INDEX(Zeiterfassung!$E$6:$E$3665,$K2384))</f>
        <v/>
      </c>
      <c r="F2384" s="187">
        <f>IF($K2384="","",INDEX(Zeiterfassung!$F$6:$F$3665,$K2384))</f>
        <v/>
      </c>
      <c r="G2384" s="187">
        <f>IF($K2384="","",INDEX(Zeiterfassung!$G$6:$G$3665,$K2384))</f>
        <v/>
      </c>
      <c r="H2384" s="188">
        <f>IF($K2384="","",INDEX(Zeiterfassung!$H$6:$H$3665,$K2384))</f>
        <v/>
      </c>
      <c r="I2384" s="335">
        <f>IF(B2384=B2383,"",IF($K2384="","",INDEX(Zeiterfassung!$I$6:$I$3665,MATCH(INDEX(Zeiterfassung!$K$6:$K$3665,$K2384),Zeiterfassung!$K$6:$K$3665,0))))</f>
        <v/>
      </c>
      <c r="J2384" s="335">
        <f>IF(B2384=B2383,"",IF($K2384="","",INDEX(Zeiterfassung!$J$6:$J$3665,MATCH(INDEX(Zeiterfassung!$K$6:$K$3665,$K2384),Zeiterfassung!$K$6:$K$3665,0))))</f>
        <v/>
      </c>
      <c r="K2384">
        <f>IFERROR(AGGREGATE(15,6,(ROW(Zeiterfassung!$D$6:$D$3665)-ROW(Zeiterfassung!$D$6)+1)/(Zeiterfassung!$D$6:$D$3665&lt;&gt;""),2379),"")</f>
        <v/>
      </c>
    </row>
    <row r="2385" ht="20" customHeight="1">
      <c r="A2385" s="183">
        <f>IF($K2385="","",WEEKNUM(INDEX(Zeiterfassung!$K$6:$K$3665,$K2385),21))</f>
        <v/>
      </c>
      <c r="B2385" s="184">
        <f>IF($K2385="","",INDEX(Zeiterfassung!$K$6:$K$3665,$K2385))</f>
        <v/>
      </c>
      <c r="C2385" s="185">
        <f>IF($K2385="","",INDEX(Zeiterfassung!$K$6:$K$3665,$K2385))</f>
        <v/>
      </c>
      <c r="D2385" s="186">
        <f>IF($K2385="","",INDEX(Zeiterfassung!$D$6:$D$3665,$K2385))</f>
        <v/>
      </c>
      <c r="E2385" s="186">
        <f>IF($K2385="","",INDEX(Zeiterfassung!$E$6:$E$3665,$K2385))</f>
        <v/>
      </c>
      <c r="F2385" s="187">
        <f>IF($K2385="","",INDEX(Zeiterfassung!$F$6:$F$3665,$K2385))</f>
        <v/>
      </c>
      <c r="G2385" s="187">
        <f>IF($K2385="","",INDEX(Zeiterfassung!$G$6:$G$3665,$K2385))</f>
        <v/>
      </c>
      <c r="H2385" s="188">
        <f>IF($K2385="","",INDEX(Zeiterfassung!$H$6:$H$3665,$K2385))</f>
        <v/>
      </c>
      <c r="I2385" s="335">
        <f>IF(B2385=B2384,"",IF($K2385="","",INDEX(Zeiterfassung!$I$6:$I$3665,MATCH(INDEX(Zeiterfassung!$K$6:$K$3665,$K2385),Zeiterfassung!$K$6:$K$3665,0))))</f>
        <v/>
      </c>
      <c r="J2385" s="335">
        <f>IF(B2385=B2384,"",IF($K2385="","",INDEX(Zeiterfassung!$J$6:$J$3665,MATCH(INDEX(Zeiterfassung!$K$6:$K$3665,$K2385),Zeiterfassung!$K$6:$K$3665,0))))</f>
        <v/>
      </c>
      <c r="K2385">
        <f>IFERROR(AGGREGATE(15,6,(ROW(Zeiterfassung!$D$6:$D$3665)-ROW(Zeiterfassung!$D$6)+1)/(Zeiterfassung!$D$6:$D$3665&lt;&gt;""),2380),"")</f>
        <v/>
      </c>
    </row>
    <row r="2386" ht="20" customHeight="1">
      <c r="A2386" s="183">
        <f>IF($K2386="","",WEEKNUM(INDEX(Zeiterfassung!$K$6:$K$3665,$K2386),21))</f>
        <v/>
      </c>
      <c r="B2386" s="184">
        <f>IF($K2386="","",INDEX(Zeiterfassung!$K$6:$K$3665,$K2386))</f>
        <v/>
      </c>
      <c r="C2386" s="185">
        <f>IF($K2386="","",INDEX(Zeiterfassung!$K$6:$K$3665,$K2386))</f>
        <v/>
      </c>
      <c r="D2386" s="186">
        <f>IF($K2386="","",INDEX(Zeiterfassung!$D$6:$D$3665,$K2386))</f>
        <v/>
      </c>
      <c r="E2386" s="186">
        <f>IF($K2386="","",INDEX(Zeiterfassung!$E$6:$E$3665,$K2386))</f>
        <v/>
      </c>
      <c r="F2386" s="187">
        <f>IF($K2386="","",INDEX(Zeiterfassung!$F$6:$F$3665,$K2386))</f>
        <v/>
      </c>
      <c r="G2386" s="187">
        <f>IF($K2386="","",INDEX(Zeiterfassung!$G$6:$G$3665,$K2386))</f>
        <v/>
      </c>
      <c r="H2386" s="188">
        <f>IF($K2386="","",INDEX(Zeiterfassung!$H$6:$H$3665,$K2386))</f>
        <v/>
      </c>
      <c r="I2386" s="335">
        <f>IF(B2386=B2385,"",IF($K2386="","",INDEX(Zeiterfassung!$I$6:$I$3665,MATCH(INDEX(Zeiterfassung!$K$6:$K$3665,$K2386),Zeiterfassung!$K$6:$K$3665,0))))</f>
        <v/>
      </c>
      <c r="J2386" s="335">
        <f>IF(B2386=B2385,"",IF($K2386="","",INDEX(Zeiterfassung!$J$6:$J$3665,MATCH(INDEX(Zeiterfassung!$K$6:$K$3665,$K2386),Zeiterfassung!$K$6:$K$3665,0))))</f>
        <v/>
      </c>
      <c r="K2386">
        <f>IFERROR(AGGREGATE(15,6,(ROW(Zeiterfassung!$D$6:$D$3665)-ROW(Zeiterfassung!$D$6)+1)/(Zeiterfassung!$D$6:$D$3665&lt;&gt;""),2381),"")</f>
        <v/>
      </c>
    </row>
    <row r="2387" ht="20" customHeight="1">
      <c r="A2387" s="183">
        <f>IF($K2387="","",WEEKNUM(INDEX(Zeiterfassung!$K$6:$K$3665,$K2387),21))</f>
        <v/>
      </c>
      <c r="B2387" s="184">
        <f>IF($K2387="","",INDEX(Zeiterfassung!$K$6:$K$3665,$K2387))</f>
        <v/>
      </c>
      <c r="C2387" s="185">
        <f>IF($K2387="","",INDEX(Zeiterfassung!$K$6:$K$3665,$K2387))</f>
        <v/>
      </c>
      <c r="D2387" s="186">
        <f>IF($K2387="","",INDEX(Zeiterfassung!$D$6:$D$3665,$K2387))</f>
        <v/>
      </c>
      <c r="E2387" s="186">
        <f>IF($K2387="","",INDEX(Zeiterfassung!$E$6:$E$3665,$K2387))</f>
        <v/>
      </c>
      <c r="F2387" s="187">
        <f>IF($K2387="","",INDEX(Zeiterfassung!$F$6:$F$3665,$K2387))</f>
        <v/>
      </c>
      <c r="G2387" s="187">
        <f>IF($K2387="","",INDEX(Zeiterfassung!$G$6:$G$3665,$K2387))</f>
        <v/>
      </c>
      <c r="H2387" s="188">
        <f>IF($K2387="","",INDEX(Zeiterfassung!$H$6:$H$3665,$K2387))</f>
        <v/>
      </c>
      <c r="I2387" s="335">
        <f>IF(B2387=B2386,"",IF($K2387="","",INDEX(Zeiterfassung!$I$6:$I$3665,MATCH(INDEX(Zeiterfassung!$K$6:$K$3665,$K2387),Zeiterfassung!$K$6:$K$3665,0))))</f>
        <v/>
      </c>
      <c r="J2387" s="335">
        <f>IF(B2387=B2386,"",IF($K2387="","",INDEX(Zeiterfassung!$J$6:$J$3665,MATCH(INDEX(Zeiterfassung!$K$6:$K$3665,$K2387),Zeiterfassung!$K$6:$K$3665,0))))</f>
        <v/>
      </c>
      <c r="K2387">
        <f>IFERROR(AGGREGATE(15,6,(ROW(Zeiterfassung!$D$6:$D$3665)-ROW(Zeiterfassung!$D$6)+1)/(Zeiterfassung!$D$6:$D$3665&lt;&gt;""),2382),"")</f>
        <v/>
      </c>
    </row>
    <row r="2388" ht="20" customHeight="1">
      <c r="A2388" s="183">
        <f>IF($K2388="","",WEEKNUM(INDEX(Zeiterfassung!$K$6:$K$3665,$K2388),21))</f>
        <v/>
      </c>
      <c r="B2388" s="184">
        <f>IF($K2388="","",INDEX(Zeiterfassung!$K$6:$K$3665,$K2388))</f>
        <v/>
      </c>
      <c r="C2388" s="185">
        <f>IF($K2388="","",INDEX(Zeiterfassung!$K$6:$K$3665,$K2388))</f>
        <v/>
      </c>
      <c r="D2388" s="186">
        <f>IF($K2388="","",INDEX(Zeiterfassung!$D$6:$D$3665,$K2388))</f>
        <v/>
      </c>
      <c r="E2388" s="186">
        <f>IF($K2388="","",INDEX(Zeiterfassung!$E$6:$E$3665,$K2388))</f>
        <v/>
      </c>
      <c r="F2388" s="187">
        <f>IF($K2388="","",INDEX(Zeiterfassung!$F$6:$F$3665,$K2388))</f>
        <v/>
      </c>
      <c r="G2388" s="187">
        <f>IF($K2388="","",INDEX(Zeiterfassung!$G$6:$G$3665,$K2388))</f>
        <v/>
      </c>
      <c r="H2388" s="188">
        <f>IF($K2388="","",INDEX(Zeiterfassung!$H$6:$H$3665,$K2388))</f>
        <v/>
      </c>
      <c r="I2388" s="335">
        <f>IF(B2388=B2387,"",IF($K2388="","",INDEX(Zeiterfassung!$I$6:$I$3665,MATCH(INDEX(Zeiterfassung!$K$6:$K$3665,$K2388),Zeiterfassung!$K$6:$K$3665,0))))</f>
        <v/>
      </c>
      <c r="J2388" s="335">
        <f>IF(B2388=B2387,"",IF($K2388="","",INDEX(Zeiterfassung!$J$6:$J$3665,MATCH(INDEX(Zeiterfassung!$K$6:$K$3665,$K2388),Zeiterfassung!$K$6:$K$3665,0))))</f>
        <v/>
      </c>
      <c r="K2388">
        <f>IFERROR(AGGREGATE(15,6,(ROW(Zeiterfassung!$D$6:$D$3665)-ROW(Zeiterfassung!$D$6)+1)/(Zeiterfassung!$D$6:$D$3665&lt;&gt;""),2383),"")</f>
        <v/>
      </c>
    </row>
    <row r="2389" ht="20" customHeight="1">
      <c r="A2389" s="183">
        <f>IF($K2389="","",WEEKNUM(INDEX(Zeiterfassung!$K$6:$K$3665,$K2389),21))</f>
        <v/>
      </c>
      <c r="B2389" s="184">
        <f>IF($K2389="","",INDEX(Zeiterfassung!$K$6:$K$3665,$K2389))</f>
        <v/>
      </c>
      <c r="C2389" s="185">
        <f>IF($K2389="","",INDEX(Zeiterfassung!$K$6:$K$3665,$K2389))</f>
        <v/>
      </c>
      <c r="D2389" s="186">
        <f>IF($K2389="","",INDEX(Zeiterfassung!$D$6:$D$3665,$K2389))</f>
        <v/>
      </c>
      <c r="E2389" s="186">
        <f>IF($K2389="","",INDEX(Zeiterfassung!$E$6:$E$3665,$K2389))</f>
        <v/>
      </c>
      <c r="F2389" s="187">
        <f>IF($K2389="","",INDEX(Zeiterfassung!$F$6:$F$3665,$K2389))</f>
        <v/>
      </c>
      <c r="G2389" s="187">
        <f>IF($K2389="","",INDEX(Zeiterfassung!$G$6:$G$3665,$K2389))</f>
        <v/>
      </c>
      <c r="H2389" s="188">
        <f>IF($K2389="","",INDEX(Zeiterfassung!$H$6:$H$3665,$K2389))</f>
        <v/>
      </c>
      <c r="I2389" s="335">
        <f>IF(B2389=B2388,"",IF($K2389="","",INDEX(Zeiterfassung!$I$6:$I$3665,MATCH(INDEX(Zeiterfassung!$K$6:$K$3665,$K2389),Zeiterfassung!$K$6:$K$3665,0))))</f>
        <v/>
      </c>
      <c r="J2389" s="335">
        <f>IF(B2389=B2388,"",IF($K2389="","",INDEX(Zeiterfassung!$J$6:$J$3665,MATCH(INDEX(Zeiterfassung!$K$6:$K$3665,$K2389),Zeiterfassung!$K$6:$K$3665,0))))</f>
        <v/>
      </c>
      <c r="K2389">
        <f>IFERROR(AGGREGATE(15,6,(ROW(Zeiterfassung!$D$6:$D$3665)-ROW(Zeiterfassung!$D$6)+1)/(Zeiterfassung!$D$6:$D$3665&lt;&gt;""),2384),"")</f>
        <v/>
      </c>
    </row>
    <row r="2390" ht="20" customHeight="1">
      <c r="A2390" s="183">
        <f>IF($K2390="","",WEEKNUM(INDEX(Zeiterfassung!$K$6:$K$3665,$K2390),21))</f>
        <v/>
      </c>
      <c r="B2390" s="184">
        <f>IF($K2390="","",INDEX(Zeiterfassung!$K$6:$K$3665,$K2390))</f>
        <v/>
      </c>
      <c r="C2390" s="185">
        <f>IF($K2390="","",INDEX(Zeiterfassung!$K$6:$K$3665,$K2390))</f>
        <v/>
      </c>
      <c r="D2390" s="186">
        <f>IF($K2390="","",INDEX(Zeiterfassung!$D$6:$D$3665,$K2390))</f>
        <v/>
      </c>
      <c r="E2390" s="186">
        <f>IF($K2390="","",INDEX(Zeiterfassung!$E$6:$E$3665,$K2390))</f>
        <v/>
      </c>
      <c r="F2390" s="187">
        <f>IF($K2390="","",INDEX(Zeiterfassung!$F$6:$F$3665,$K2390))</f>
        <v/>
      </c>
      <c r="G2390" s="187">
        <f>IF($K2390="","",INDEX(Zeiterfassung!$G$6:$G$3665,$K2390))</f>
        <v/>
      </c>
      <c r="H2390" s="188">
        <f>IF($K2390="","",INDEX(Zeiterfassung!$H$6:$H$3665,$K2390))</f>
        <v/>
      </c>
      <c r="I2390" s="335">
        <f>IF(B2390=B2389,"",IF($K2390="","",INDEX(Zeiterfassung!$I$6:$I$3665,MATCH(INDEX(Zeiterfassung!$K$6:$K$3665,$K2390),Zeiterfassung!$K$6:$K$3665,0))))</f>
        <v/>
      </c>
      <c r="J2390" s="335">
        <f>IF(B2390=B2389,"",IF($K2390="","",INDEX(Zeiterfassung!$J$6:$J$3665,MATCH(INDEX(Zeiterfassung!$K$6:$K$3665,$K2390),Zeiterfassung!$K$6:$K$3665,0))))</f>
        <v/>
      </c>
      <c r="K2390">
        <f>IFERROR(AGGREGATE(15,6,(ROW(Zeiterfassung!$D$6:$D$3665)-ROW(Zeiterfassung!$D$6)+1)/(Zeiterfassung!$D$6:$D$3665&lt;&gt;""),2385),"")</f>
        <v/>
      </c>
    </row>
    <row r="2391" ht="20" customHeight="1">
      <c r="A2391" s="183">
        <f>IF($K2391="","",WEEKNUM(INDEX(Zeiterfassung!$K$6:$K$3665,$K2391),21))</f>
        <v/>
      </c>
      <c r="B2391" s="184">
        <f>IF($K2391="","",INDEX(Zeiterfassung!$K$6:$K$3665,$K2391))</f>
        <v/>
      </c>
      <c r="C2391" s="185">
        <f>IF($K2391="","",INDEX(Zeiterfassung!$K$6:$K$3665,$K2391))</f>
        <v/>
      </c>
      <c r="D2391" s="186">
        <f>IF($K2391="","",INDEX(Zeiterfassung!$D$6:$D$3665,$K2391))</f>
        <v/>
      </c>
      <c r="E2391" s="186">
        <f>IF($K2391="","",INDEX(Zeiterfassung!$E$6:$E$3665,$K2391))</f>
        <v/>
      </c>
      <c r="F2391" s="187">
        <f>IF($K2391="","",INDEX(Zeiterfassung!$F$6:$F$3665,$K2391))</f>
        <v/>
      </c>
      <c r="G2391" s="187">
        <f>IF($K2391="","",INDEX(Zeiterfassung!$G$6:$G$3665,$K2391))</f>
        <v/>
      </c>
      <c r="H2391" s="188">
        <f>IF($K2391="","",INDEX(Zeiterfassung!$H$6:$H$3665,$K2391))</f>
        <v/>
      </c>
      <c r="I2391" s="335">
        <f>IF(B2391=B2390,"",IF($K2391="","",INDEX(Zeiterfassung!$I$6:$I$3665,MATCH(INDEX(Zeiterfassung!$K$6:$K$3665,$K2391),Zeiterfassung!$K$6:$K$3665,0))))</f>
        <v/>
      </c>
      <c r="J2391" s="335">
        <f>IF(B2391=B2390,"",IF($K2391="","",INDEX(Zeiterfassung!$J$6:$J$3665,MATCH(INDEX(Zeiterfassung!$K$6:$K$3665,$K2391),Zeiterfassung!$K$6:$K$3665,0))))</f>
        <v/>
      </c>
      <c r="K2391">
        <f>IFERROR(AGGREGATE(15,6,(ROW(Zeiterfassung!$D$6:$D$3665)-ROW(Zeiterfassung!$D$6)+1)/(Zeiterfassung!$D$6:$D$3665&lt;&gt;""),2386),"")</f>
        <v/>
      </c>
    </row>
    <row r="2392" ht="20" customHeight="1">
      <c r="A2392" s="183">
        <f>IF($K2392="","",WEEKNUM(INDEX(Zeiterfassung!$K$6:$K$3665,$K2392),21))</f>
        <v/>
      </c>
      <c r="B2392" s="184">
        <f>IF($K2392="","",INDEX(Zeiterfassung!$K$6:$K$3665,$K2392))</f>
        <v/>
      </c>
      <c r="C2392" s="185">
        <f>IF($K2392="","",INDEX(Zeiterfassung!$K$6:$K$3665,$K2392))</f>
        <v/>
      </c>
      <c r="D2392" s="186">
        <f>IF($K2392="","",INDEX(Zeiterfassung!$D$6:$D$3665,$K2392))</f>
        <v/>
      </c>
      <c r="E2392" s="186">
        <f>IF($K2392="","",INDEX(Zeiterfassung!$E$6:$E$3665,$K2392))</f>
        <v/>
      </c>
      <c r="F2392" s="187">
        <f>IF($K2392="","",INDEX(Zeiterfassung!$F$6:$F$3665,$K2392))</f>
        <v/>
      </c>
      <c r="G2392" s="187">
        <f>IF($K2392="","",INDEX(Zeiterfassung!$G$6:$G$3665,$K2392))</f>
        <v/>
      </c>
      <c r="H2392" s="188">
        <f>IF($K2392="","",INDEX(Zeiterfassung!$H$6:$H$3665,$K2392))</f>
        <v/>
      </c>
      <c r="I2392" s="335">
        <f>IF(B2392=B2391,"",IF($K2392="","",INDEX(Zeiterfassung!$I$6:$I$3665,MATCH(INDEX(Zeiterfassung!$K$6:$K$3665,$K2392),Zeiterfassung!$K$6:$K$3665,0))))</f>
        <v/>
      </c>
      <c r="J2392" s="335">
        <f>IF(B2392=B2391,"",IF($K2392="","",INDEX(Zeiterfassung!$J$6:$J$3665,MATCH(INDEX(Zeiterfassung!$K$6:$K$3665,$K2392),Zeiterfassung!$K$6:$K$3665,0))))</f>
        <v/>
      </c>
      <c r="K2392">
        <f>IFERROR(AGGREGATE(15,6,(ROW(Zeiterfassung!$D$6:$D$3665)-ROW(Zeiterfassung!$D$6)+1)/(Zeiterfassung!$D$6:$D$3665&lt;&gt;""),2387),"")</f>
        <v/>
      </c>
    </row>
    <row r="2393" ht="20" customHeight="1">
      <c r="A2393" s="183">
        <f>IF($K2393="","",WEEKNUM(INDEX(Zeiterfassung!$K$6:$K$3665,$K2393),21))</f>
        <v/>
      </c>
      <c r="B2393" s="184">
        <f>IF($K2393="","",INDEX(Zeiterfassung!$K$6:$K$3665,$K2393))</f>
        <v/>
      </c>
      <c r="C2393" s="185">
        <f>IF($K2393="","",INDEX(Zeiterfassung!$K$6:$K$3665,$K2393))</f>
        <v/>
      </c>
      <c r="D2393" s="186">
        <f>IF($K2393="","",INDEX(Zeiterfassung!$D$6:$D$3665,$K2393))</f>
        <v/>
      </c>
      <c r="E2393" s="186">
        <f>IF($K2393="","",INDEX(Zeiterfassung!$E$6:$E$3665,$K2393))</f>
        <v/>
      </c>
      <c r="F2393" s="187">
        <f>IF($K2393="","",INDEX(Zeiterfassung!$F$6:$F$3665,$K2393))</f>
        <v/>
      </c>
      <c r="G2393" s="187">
        <f>IF($K2393="","",INDEX(Zeiterfassung!$G$6:$G$3665,$K2393))</f>
        <v/>
      </c>
      <c r="H2393" s="188">
        <f>IF($K2393="","",INDEX(Zeiterfassung!$H$6:$H$3665,$K2393))</f>
        <v/>
      </c>
      <c r="I2393" s="335">
        <f>IF(B2393=B2392,"",IF($K2393="","",INDEX(Zeiterfassung!$I$6:$I$3665,MATCH(INDEX(Zeiterfassung!$K$6:$K$3665,$K2393),Zeiterfassung!$K$6:$K$3665,0))))</f>
        <v/>
      </c>
      <c r="J2393" s="335">
        <f>IF(B2393=B2392,"",IF($K2393="","",INDEX(Zeiterfassung!$J$6:$J$3665,MATCH(INDEX(Zeiterfassung!$K$6:$K$3665,$K2393),Zeiterfassung!$K$6:$K$3665,0))))</f>
        <v/>
      </c>
      <c r="K2393">
        <f>IFERROR(AGGREGATE(15,6,(ROW(Zeiterfassung!$D$6:$D$3665)-ROW(Zeiterfassung!$D$6)+1)/(Zeiterfassung!$D$6:$D$3665&lt;&gt;""),2388),"")</f>
        <v/>
      </c>
    </row>
    <row r="2394" ht="20" customHeight="1">
      <c r="A2394" s="183">
        <f>IF($K2394="","",WEEKNUM(INDEX(Zeiterfassung!$K$6:$K$3665,$K2394),21))</f>
        <v/>
      </c>
      <c r="B2394" s="184">
        <f>IF($K2394="","",INDEX(Zeiterfassung!$K$6:$K$3665,$K2394))</f>
        <v/>
      </c>
      <c r="C2394" s="185">
        <f>IF($K2394="","",INDEX(Zeiterfassung!$K$6:$K$3665,$K2394))</f>
        <v/>
      </c>
      <c r="D2394" s="186">
        <f>IF($K2394="","",INDEX(Zeiterfassung!$D$6:$D$3665,$K2394))</f>
        <v/>
      </c>
      <c r="E2394" s="186">
        <f>IF($K2394="","",INDEX(Zeiterfassung!$E$6:$E$3665,$K2394))</f>
        <v/>
      </c>
      <c r="F2394" s="187">
        <f>IF($K2394="","",INDEX(Zeiterfassung!$F$6:$F$3665,$K2394))</f>
        <v/>
      </c>
      <c r="G2394" s="187">
        <f>IF($K2394="","",INDEX(Zeiterfassung!$G$6:$G$3665,$K2394))</f>
        <v/>
      </c>
      <c r="H2394" s="188">
        <f>IF($K2394="","",INDEX(Zeiterfassung!$H$6:$H$3665,$K2394))</f>
        <v/>
      </c>
      <c r="I2394" s="335">
        <f>IF(B2394=B2393,"",IF($K2394="","",INDEX(Zeiterfassung!$I$6:$I$3665,MATCH(INDEX(Zeiterfassung!$K$6:$K$3665,$K2394),Zeiterfassung!$K$6:$K$3665,0))))</f>
        <v/>
      </c>
      <c r="J2394" s="335">
        <f>IF(B2394=B2393,"",IF($K2394="","",INDEX(Zeiterfassung!$J$6:$J$3665,MATCH(INDEX(Zeiterfassung!$K$6:$K$3665,$K2394),Zeiterfassung!$K$6:$K$3665,0))))</f>
        <v/>
      </c>
      <c r="K2394">
        <f>IFERROR(AGGREGATE(15,6,(ROW(Zeiterfassung!$D$6:$D$3665)-ROW(Zeiterfassung!$D$6)+1)/(Zeiterfassung!$D$6:$D$3665&lt;&gt;""),2389),"")</f>
        <v/>
      </c>
    </row>
    <row r="2395" ht="20" customHeight="1">
      <c r="A2395" s="183">
        <f>IF($K2395="","",WEEKNUM(INDEX(Zeiterfassung!$K$6:$K$3665,$K2395),21))</f>
        <v/>
      </c>
      <c r="B2395" s="184">
        <f>IF($K2395="","",INDEX(Zeiterfassung!$K$6:$K$3665,$K2395))</f>
        <v/>
      </c>
      <c r="C2395" s="185">
        <f>IF($K2395="","",INDEX(Zeiterfassung!$K$6:$K$3665,$K2395))</f>
        <v/>
      </c>
      <c r="D2395" s="186">
        <f>IF($K2395="","",INDEX(Zeiterfassung!$D$6:$D$3665,$K2395))</f>
        <v/>
      </c>
      <c r="E2395" s="186">
        <f>IF($K2395="","",INDEX(Zeiterfassung!$E$6:$E$3665,$K2395))</f>
        <v/>
      </c>
      <c r="F2395" s="187">
        <f>IF($K2395="","",INDEX(Zeiterfassung!$F$6:$F$3665,$K2395))</f>
        <v/>
      </c>
      <c r="G2395" s="187">
        <f>IF($K2395="","",INDEX(Zeiterfassung!$G$6:$G$3665,$K2395))</f>
        <v/>
      </c>
      <c r="H2395" s="188">
        <f>IF($K2395="","",INDEX(Zeiterfassung!$H$6:$H$3665,$K2395))</f>
        <v/>
      </c>
      <c r="I2395" s="335">
        <f>IF(B2395=B2394,"",IF($K2395="","",INDEX(Zeiterfassung!$I$6:$I$3665,MATCH(INDEX(Zeiterfassung!$K$6:$K$3665,$K2395),Zeiterfassung!$K$6:$K$3665,0))))</f>
        <v/>
      </c>
      <c r="J2395" s="335">
        <f>IF(B2395=B2394,"",IF($K2395="","",INDEX(Zeiterfassung!$J$6:$J$3665,MATCH(INDEX(Zeiterfassung!$K$6:$K$3665,$K2395),Zeiterfassung!$K$6:$K$3665,0))))</f>
        <v/>
      </c>
      <c r="K2395">
        <f>IFERROR(AGGREGATE(15,6,(ROW(Zeiterfassung!$D$6:$D$3665)-ROW(Zeiterfassung!$D$6)+1)/(Zeiterfassung!$D$6:$D$3665&lt;&gt;""),2390),"")</f>
        <v/>
      </c>
    </row>
    <row r="2396" ht="20" customHeight="1">
      <c r="A2396" s="183">
        <f>IF($K2396="","",WEEKNUM(INDEX(Zeiterfassung!$K$6:$K$3665,$K2396),21))</f>
        <v/>
      </c>
      <c r="B2396" s="184">
        <f>IF($K2396="","",INDEX(Zeiterfassung!$K$6:$K$3665,$K2396))</f>
        <v/>
      </c>
      <c r="C2396" s="185">
        <f>IF($K2396="","",INDEX(Zeiterfassung!$K$6:$K$3665,$K2396))</f>
        <v/>
      </c>
      <c r="D2396" s="186">
        <f>IF($K2396="","",INDEX(Zeiterfassung!$D$6:$D$3665,$K2396))</f>
        <v/>
      </c>
      <c r="E2396" s="186">
        <f>IF($K2396="","",INDEX(Zeiterfassung!$E$6:$E$3665,$K2396))</f>
        <v/>
      </c>
      <c r="F2396" s="187">
        <f>IF($K2396="","",INDEX(Zeiterfassung!$F$6:$F$3665,$K2396))</f>
        <v/>
      </c>
      <c r="G2396" s="187">
        <f>IF($K2396="","",INDEX(Zeiterfassung!$G$6:$G$3665,$K2396))</f>
        <v/>
      </c>
      <c r="H2396" s="188">
        <f>IF($K2396="","",INDEX(Zeiterfassung!$H$6:$H$3665,$K2396))</f>
        <v/>
      </c>
      <c r="I2396" s="335">
        <f>IF(B2396=B2395,"",IF($K2396="","",INDEX(Zeiterfassung!$I$6:$I$3665,MATCH(INDEX(Zeiterfassung!$K$6:$K$3665,$K2396),Zeiterfassung!$K$6:$K$3665,0))))</f>
        <v/>
      </c>
      <c r="J2396" s="335">
        <f>IF(B2396=B2395,"",IF($K2396="","",INDEX(Zeiterfassung!$J$6:$J$3665,MATCH(INDEX(Zeiterfassung!$K$6:$K$3665,$K2396),Zeiterfassung!$K$6:$K$3665,0))))</f>
        <v/>
      </c>
      <c r="K2396">
        <f>IFERROR(AGGREGATE(15,6,(ROW(Zeiterfassung!$D$6:$D$3665)-ROW(Zeiterfassung!$D$6)+1)/(Zeiterfassung!$D$6:$D$3665&lt;&gt;""),2391),"")</f>
        <v/>
      </c>
    </row>
    <row r="2397" ht="20" customHeight="1">
      <c r="A2397" s="183">
        <f>IF($K2397="","",WEEKNUM(INDEX(Zeiterfassung!$K$6:$K$3665,$K2397),21))</f>
        <v/>
      </c>
      <c r="B2397" s="184">
        <f>IF($K2397="","",INDEX(Zeiterfassung!$K$6:$K$3665,$K2397))</f>
        <v/>
      </c>
      <c r="C2397" s="185">
        <f>IF($K2397="","",INDEX(Zeiterfassung!$K$6:$K$3665,$K2397))</f>
        <v/>
      </c>
      <c r="D2397" s="186">
        <f>IF($K2397="","",INDEX(Zeiterfassung!$D$6:$D$3665,$K2397))</f>
        <v/>
      </c>
      <c r="E2397" s="186">
        <f>IF($K2397="","",INDEX(Zeiterfassung!$E$6:$E$3665,$K2397))</f>
        <v/>
      </c>
      <c r="F2397" s="187">
        <f>IF($K2397="","",INDEX(Zeiterfassung!$F$6:$F$3665,$K2397))</f>
        <v/>
      </c>
      <c r="G2397" s="187">
        <f>IF($K2397="","",INDEX(Zeiterfassung!$G$6:$G$3665,$K2397))</f>
        <v/>
      </c>
      <c r="H2397" s="188">
        <f>IF($K2397="","",INDEX(Zeiterfassung!$H$6:$H$3665,$K2397))</f>
        <v/>
      </c>
      <c r="I2397" s="335">
        <f>IF(B2397=B2396,"",IF($K2397="","",INDEX(Zeiterfassung!$I$6:$I$3665,MATCH(INDEX(Zeiterfassung!$K$6:$K$3665,$K2397),Zeiterfassung!$K$6:$K$3665,0))))</f>
        <v/>
      </c>
      <c r="J2397" s="335">
        <f>IF(B2397=B2396,"",IF($K2397="","",INDEX(Zeiterfassung!$J$6:$J$3665,MATCH(INDEX(Zeiterfassung!$K$6:$K$3665,$K2397),Zeiterfassung!$K$6:$K$3665,0))))</f>
        <v/>
      </c>
      <c r="K2397">
        <f>IFERROR(AGGREGATE(15,6,(ROW(Zeiterfassung!$D$6:$D$3665)-ROW(Zeiterfassung!$D$6)+1)/(Zeiterfassung!$D$6:$D$3665&lt;&gt;""),2392),"")</f>
        <v/>
      </c>
    </row>
    <row r="2398" ht="20" customHeight="1">
      <c r="A2398" s="183">
        <f>IF($K2398="","",WEEKNUM(INDEX(Zeiterfassung!$K$6:$K$3665,$K2398),21))</f>
        <v/>
      </c>
      <c r="B2398" s="184">
        <f>IF($K2398="","",INDEX(Zeiterfassung!$K$6:$K$3665,$K2398))</f>
        <v/>
      </c>
      <c r="C2398" s="185">
        <f>IF($K2398="","",INDEX(Zeiterfassung!$K$6:$K$3665,$K2398))</f>
        <v/>
      </c>
      <c r="D2398" s="186">
        <f>IF($K2398="","",INDEX(Zeiterfassung!$D$6:$D$3665,$K2398))</f>
        <v/>
      </c>
      <c r="E2398" s="186">
        <f>IF($K2398="","",INDEX(Zeiterfassung!$E$6:$E$3665,$K2398))</f>
        <v/>
      </c>
      <c r="F2398" s="187">
        <f>IF($K2398="","",INDEX(Zeiterfassung!$F$6:$F$3665,$K2398))</f>
        <v/>
      </c>
      <c r="G2398" s="187">
        <f>IF($K2398="","",INDEX(Zeiterfassung!$G$6:$G$3665,$K2398))</f>
        <v/>
      </c>
      <c r="H2398" s="188">
        <f>IF($K2398="","",INDEX(Zeiterfassung!$H$6:$H$3665,$K2398))</f>
        <v/>
      </c>
      <c r="I2398" s="335">
        <f>IF(B2398=B2397,"",IF($K2398="","",INDEX(Zeiterfassung!$I$6:$I$3665,MATCH(INDEX(Zeiterfassung!$K$6:$K$3665,$K2398),Zeiterfassung!$K$6:$K$3665,0))))</f>
        <v/>
      </c>
      <c r="J2398" s="335">
        <f>IF(B2398=B2397,"",IF($K2398="","",INDEX(Zeiterfassung!$J$6:$J$3665,MATCH(INDEX(Zeiterfassung!$K$6:$K$3665,$K2398),Zeiterfassung!$K$6:$K$3665,0))))</f>
        <v/>
      </c>
      <c r="K2398">
        <f>IFERROR(AGGREGATE(15,6,(ROW(Zeiterfassung!$D$6:$D$3665)-ROW(Zeiterfassung!$D$6)+1)/(Zeiterfassung!$D$6:$D$3665&lt;&gt;""),2393),"")</f>
        <v/>
      </c>
    </row>
    <row r="2399" ht="20" customHeight="1">
      <c r="A2399" s="183">
        <f>IF($K2399="","",WEEKNUM(INDEX(Zeiterfassung!$K$6:$K$3665,$K2399),21))</f>
        <v/>
      </c>
      <c r="B2399" s="184">
        <f>IF($K2399="","",INDEX(Zeiterfassung!$K$6:$K$3665,$K2399))</f>
        <v/>
      </c>
      <c r="C2399" s="185">
        <f>IF($K2399="","",INDEX(Zeiterfassung!$K$6:$K$3665,$K2399))</f>
        <v/>
      </c>
      <c r="D2399" s="186">
        <f>IF($K2399="","",INDEX(Zeiterfassung!$D$6:$D$3665,$K2399))</f>
        <v/>
      </c>
      <c r="E2399" s="186">
        <f>IF($K2399="","",INDEX(Zeiterfassung!$E$6:$E$3665,$K2399))</f>
        <v/>
      </c>
      <c r="F2399" s="187">
        <f>IF($K2399="","",INDEX(Zeiterfassung!$F$6:$F$3665,$K2399))</f>
        <v/>
      </c>
      <c r="G2399" s="187">
        <f>IF($K2399="","",INDEX(Zeiterfassung!$G$6:$G$3665,$K2399))</f>
        <v/>
      </c>
      <c r="H2399" s="188">
        <f>IF($K2399="","",INDEX(Zeiterfassung!$H$6:$H$3665,$K2399))</f>
        <v/>
      </c>
      <c r="I2399" s="335">
        <f>IF(B2399=B2398,"",IF($K2399="","",INDEX(Zeiterfassung!$I$6:$I$3665,MATCH(INDEX(Zeiterfassung!$K$6:$K$3665,$K2399),Zeiterfassung!$K$6:$K$3665,0))))</f>
        <v/>
      </c>
      <c r="J2399" s="335">
        <f>IF(B2399=B2398,"",IF($K2399="","",INDEX(Zeiterfassung!$J$6:$J$3665,MATCH(INDEX(Zeiterfassung!$K$6:$K$3665,$K2399),Zeiterfassung!$K$6:$K$3665,0))))</f>
        <v/>
      </c>
      <c r="K2399">
        <f>IFERROR(AGGREGATE(15,6,(ROW(Zeiterfassung!$D$6:$D$3665)-ROW(Zeiterfassung!$D$6)+1)/(Zeiterfassung!$D$6:$D$3665&lt;&gt;""),2394),"")</f>
        <v/>
      </c>
    </row>
    <row r="2400" ht="20" customHeight="1">
      <c r="A2400" s="183">
        <f>IF($K2400="","",WEEKNUM(INDEX(Zeiterfassung!$K$6:$K$3665,$K2400),21))</f>
        <v/>
      </c>
      <c r="B2400" s="184">
        <f>IF($K2400="","",INDEX(Zeiterfassung!$K$6:$K$3665,$K2400))</f>
        <v/>
      </c>
      <c r="C2400" s="185">
        <f>IF($K2400="","",INDEX(Zeiterfassung!$K$6:$K$3665,$K2400))</f>
        <v/>
      </c>
      <c r="D2400" s="186">
        <f>IF($K2400="","",INDEX(Zeiterfassung!$D$6:$D$3665,$K2400))</f>
        <v/>
      </c>
      <c r="E2400" s="186">
        <f>IF($K2400="","",INDEX(Zeiterfassung!$E$6:$E$3665,$K2400))</f>
        <v/>
      </c>
      <c r="F2400" s="187">
        <f>IF($K2400="","",INDEX(Zeiterfassung!$F$6:$F$3665,$K2400))</f>
        <v/>
      </c>
      <c r="G2400" s="187">
        <f>IF($K2400="","",INDEX(Zeiterfassung!$G$6:$G$3665,$K2400))</f>
        <v/>
      </c>
      <c r="H2400" s="188">
        <f>IF($K2400="","",INDEX(Zeiterfassung!$H$6:$H$3665,$K2400))</f>
        <v/>
      </c>
      <c r="I2400" s="335">
        <f>IF(B2400=B2399,"",IF($K2400="","",INDEX(Zeiterfassung!$I$6:$I$3665,MATCH(INDEX(Zeiterfassung!$K$6:$K$3665,$K2400),Zeiterfassung!$K$6:$K$3665,0))))</f>
        <v/>
      </c>
      <c r="J2400" s="335">
        <f>IF(B2400=B2399,"",IF($K2400="","",INDEX(Zeiterfassung!$J$6:$J$3665,MATCH(INDEX(Zeiterfassung!$K$6:$K$3665,$K2400),Zeiterfassung!$K$6:$K$3665,0))))</f>
        <v/>
      </c>
      <c r="K2400">
        <f>IFERROR(AGGREGATE(15,6,(ROW(Zeiterfassung!$D$6:$D$3665)-ROW(Zeiterfassung!$D$6)+1)/(Zeiterfassung!$D$6:$D$3665&lt;&gt;""),2395),"")</f>
        <v/>
      </c>
    </row>
    <row r="2401" ht="20" customHeight="1">
      <c r="A2401" s="183">
        <f>IF($K2401="","",WEEKNUM(INDEX(Zeiterfassung!$K$6:$K$3665,$K2401),21))</f>
        <v/>
      </c>
      <c r="B2401" s="184">
        <f>IF($K2401="","",INDEX(Zeiterfassung!$K$6:$K$3665,$K2401))</f>
        <v/>
      </c>
      <c r="C2401" s="185">
        <f>IF($K2401="","",INDEX(Zeiterfassung!$K$6:$K$3665,$K2401))</f>
        <v/>
      </c>
      <c r="D2401" s="186">
        <f>IF($K2401="","",INDEX(Zeiterfassung!$D$6:$D$3665,$K2401))</f>
        <v/>
      </c>
      <c r="E2401" s="186">
        <f>IF($K2401="","",INDEX(Zeiterfassung!$E$6:$E$3665,$K2401))</f>
        <v/>
      </c>
      <c r="F2401" s="187">
        <f>IF($K2401="","",INDEX(Zeiterfassung!$F$6:$F$3665,$K2401))</f>
        <v/>
      </c>
      <c r="G2401" s="187">
        <f>IF($K2401="","",INDEX(Zeiterfassung!$G$6:$G$3665,$K2401))</f>
        <v/>
      </c>
      <c r="H2401" s="188">
        <f>IF($K2401="","",INDEX(Zeiterfassung!$H$6:$H$3665,$K2401))</f>
        <v/>
      </c>
      <c r="I2401" s="335">
        <f>IF(B2401=B2400,"",IF($K2401="","",INDEX(Zeiterfassung!$I$6:$I$3665,MATCH(INDEX(Zeiterfassung!$K$6:$K$3665,$K2401),Zeiterfassung!$K$6:$K$3665,0))))</f>
        <v/>
      </c>
      <c r="J2401" s="335">
        <f>IF(B2401=B2400,"",IF($K2401="","",INDEX(Zeiterfassung!$J$6:$J$3665,MATCH(INDEX(Zeiterfassung!$K$6:$K$3665,$K2401),Zeiterfassung!$K$6:$K$3665,0))))</f>
        <v/>
      </c>
      <c r="K2401">
        <f>IFERROR(AGGREGATE(15,6,(ROW(Zeiterfassung!$D$6:$D$3665)-ROW(Zeiterfassung!$D$6)+1)/(Zeiterfassung!$D$6:$D$3665&lt;&gt;""),2396),"")</f>
        <v/>
      </c>
    </row>
    <row r="2402" ht="20" customHeight="1">
      <c r="A2402" s="183">
        <f>IF($K2402="","",WEEKNUM(INDEX(Zeiterfassung!$K$6:$K$3665,$K2402),21))</f>
        <v/>
      </c>
      <c r="B2402" s="184">
        <f>IF($K2402="","",INDEX(Zeiterfassung!$K$6:$K$3665,$K2402))</f>
        <v/>
      </c>
      <c r="C2402" s="185">
        <f>IF($K2402="","",INDEX(Zeiterfassung!$K$6:$K$3665,$K2402))</f>
        <v/>
      </c>
      <c r="D2402" s="186">
        <f>IF($K2402="","",INDEX(Zeiterfassung!$D$6:$D$3665,$K2402))</f>
        <v/>
      </c>
      <c r="E2402" s="186">
        <f>IF($K2402="","",INDEX(Zeiterfassung!$E$6:$E$3665,$K2402))</f>
        <v/>
      </c>
      <c r="F2402" s="187">
        <f>IF($K2402="","",INDEX(Zeiterfassung!$F$6:$F$3665,$K2402))</f>
        <v/>
      </c>
      <c r="G2402" s="187">
        <f>IF($K2402="","",INDEX(Zeiterfassung!$G$6:$G$3665,$K2402))</f>
        <v/>
      </c>
      <c r="H2402" s="188">
        <f>IF($K2402="","",INDEX(Zeiterfassung!$H$6:$H$3665,$K2402))</f>
        <v/>
      </c>
      <c r="I2402" s="335">
        <f>IF(B2402=B2401,"",IF($K2402="","",INDEX(Zeiterfassung!$I$6:$I$3665,MATCH(INDEX(Zeiterfassung!$K$6:$K$3665,$K2402),Zeiterfassung!$K$6:$K$3665,0))))</f>
        <v/>
      </c>
      <c r="J2402" s="335">
        <f>IF(B2402=B2401,"",IF($K2402="","",INDEX(Zeiterfassung!$J$6:$J$3665,MATCH(INDEX(Zeiterfassung!$K$6:$K$3665,$K2402),Zeiterfassung!$K$6:$K$3665,0))))</f>
        <v/>
      </c>
      <c r="K2402">
        <f>IFERROR(AGGREGATE(15,6,(ROW(Zeiterfassung!$D$6:$D$3665)-ROW(Zeiterfassung!$D$6)+1)/(Zeiterfassung!$D$6:$D$3665&lt;&gt;""),2397),"")</f>
        <v/>
      </c>
    </row>
    <row r="2403" ht="20" customHeight="1">
      <c r="A2403" s="183">
        <f>IF($K2403="","",WEEKNUM(INDEX(Zeiterfassung!$K$6:$K$3665,$K2403),21))</f>
        <v/>
      </c>
      <c r="B2403" s="184">
        <f>IF($K2403="","",INDEX(Zeiterfassung!$K$6:$K$3665,$K2403))</f>
        <v/>
      </c>
      <c r="C2403" s="185">
        <f>IF($K2403="","",INDEX(Zeiterfassung!$K$6:$K$3665,$K2403))</f>
        <v/>
      </c>
      <c r="D2403" s="186">
        <f>IF($K2403="","",INDEX(Zeiterfassung!$D$6:$D$3665,$K2403))</f>
        <v/>
      </c>
      <c r="E2403" s="186">
        <f>IF($K2403="","",INDEX(Zeiterfassung!$E$6:$E$3665,$K2403))</f>
        <v/>
      </c>
      <c r="F2403" s="187">
        <f>IF($K2403="","",INDEX(Zeiterfassung!$F$6:$F$3665,$K2403))</f>
        <v/>
      </c>
      <c r="G2403" s="187">
        <f>IF($K2403="","",INDEX(Zeiterfassung!$G$6:$G$3665,$K2403))</f>
        <v/>
      </c>
      <c r="H2403" s="188">
        <f>IF($K2403="","",INDEX(Zeiterfassung!$H$6:$H$3665,$K2403))</f>
        <v/>
      </c>
      <c r="I2403" s="335">
        <f>IF(B2403=B2402,"",IF($K2403="","",INDEX(Zeiterfassung!$I$6:$I$3665,MATCH(INDEX(Zeiterfassung!$K$6:$K$3665,$K2403),Zeiterfassung!$K$6:$K$3665,0))))</f>
        <v/>
      </c>
      <c r="J2403" s="335">
        <f>IF(B2403=B2402,"",IF($K2403="","",INDEX(Zeiterfassung!$J$6:$J$3665,MATCH(INDEX(Zeiterfassung!$K$6:$K$3665,$K2403),Zeiterfassung!$K$6:$K$3665,0))))</f>
        <v/>
      </c>
      <c r="K2403">
        <f>IFERROR(AGGREGATE(15,6,(ROW(Zeiterfassung!$D$6:$D$3665)-ROW(Zeiterfassung!$D$6)+1)/(Zeiterfassung!$D$6:$D$3665&lt;&gt;""),2398),"")</f>
        <v/>
      </c>
    </row>
    <row r="2404" ht="20" customHeight="1">
      <c r="A2404" s="183">
        <f>IF($K2404="","",WEEKNUM(INDEX(Zeiterfassung!$K$6:$K$3665,$K2404),21))</f>
        <v/>
      </c>
      <c r="B2404" s="184">
        <f>IF($K2404="","",INDEX(Zeiterfassung!$K$6:$K$3665,$K2404))</f>
        <v/>
      </c>
      <c r="C2404" s="185">
        <f>IF($K2404="","",INDEX(Zeiterfassung!$K$6:$K$3665,$K2404))</f>
        <v/>
      </c>
      <c r="D2404" s="186">
        <f>IF($K2404="","",INDEX(Zeiterfassung!$D$6:$D$3665,$K2404))</f>
        <v/>
      </c>
      <c r="E2404" s="186">
        <f>IF($K2404="","",INDEX(Zeiterfassung!$E$6:$E$3665,$K2404))</f>
        <v/>
      </c>
      <c r="F2404" s="187">
        <f>IF($K2404="","",INDEX(Zeiterfassung!$F$6:$F$3665,$K2404))</f>
        <v/>
      </c>
      <c r="G2404" s="187">
        <f>IF($K2404="","",INDEX(Zeiterfassung!$G$6:$G$3665,$K2404))</f>
        <v/>
      </c>
      <c r="H2404" s="188">
        <f>IF($K2404="","",INDEX(Zeiterfassung!$H$6:$H$3665,$K2404))</f>
        <v/>
      </c>
      <c r="I2404" s="335">
        <f>IF(B2404=B2403,"",IF($K2404="","",INDEX(Zeiterfassung!$I$6:$I$3665,MATCH(INDEX(Zeiterfassung!$K$6:$K$3665,$K2404),Zeiterfassung!$K$6:$K$3665,0))))</f>
        <v/>
      </c>
      <c r="J2404" s="335">
        <f>IF(B2404=B2403,"",IF($K2404="","",INDEX(Zeiterfassung!$J$6:$J$3665,MATCH(INDEX(Zeiterfassung!$K$6:$K$3665,$K2404),Zeiterfassung!$K$6:$K$3665,0))))</f>
        <v/>
      </c>
      <c r="K2404">
        <f>IFERROR(AGGREGATE(15,6,(ROW(Zeiterfassung!$D$6:$D$3665)-ROW(Zeiterfassung!$D$6)+1)/(Zeiterfassung!$D$6:$D$3665&lt;&gt;""),2399),"")</f>
        <v/>
      </c>
    </row>
    <row r="2405" ht="20" customHeight="1">
      <c r="A2405" s="183">
        <f>IF($K2405="","",WEEKNUM(INDEX(Zeiterfassung!$K$6:$K$3665,$K2405),21))</f>
        <v/>
      </c>
      <c r="B2405" s="184">
        <f>IF($K2405="","",INDEX(Zeiterfassung!$K$6:$K$3665,$K2405))</f>
        <v/>
      </c>
      <c r="C2405" s="185">
        <f>IF($K2405="","",INDEX(Zeiterfassung!$K$6:$K$3665,$K2405))</f>
        <v/>
      </c>
      <c r="D2405" s="186">
        <f>IF($K2405="","",INDEX(Zeiterfassung!$D$6:$D$3665,$K2405))</f>
        <v/>
      </c>
      <c r="E2405" s="186">
        <f>IF($K2405="","",INDEX(Zeiterfassung!$E$6:$E$3665,$K2405))</f>
        <v/>
      </c>
      <c r="F2405" s="187">
        <f>IF($K2405="","",INDEX(Zeiterfassung!$F$6:$F$3665,$K2405))</f>
        <v/>
      </c>
      <c r="G2405" s="187">
        <f>IF($K2405="","",INDEX(Zeiterfassung!$G$6:$G$3665,$K2405))</f>
        <v/>
      </c>
      <c r="H2405" s="188">
        <f>IF($K2405="","",INDEX(Zeiterfassung!$H$6:$H$3665,$K2405))</f>
        <v/>
      </c>
      <c r="I2405" s="335">
        <f>IF(B2405=B2404,"",IF($K2405="","",INDEX(Zeiterfassung!$I$6:$I$3665,MATCH(INDEX(Zeiterfassung!$K$6:$K$3665,$K2405),Zeiterfassung!$K$6:$K$3665,0))))</f>
        <v/>
      </c>
      <c r="J2405" s="335">
        <f>IF(B2405=B2404,"",IF($K2405="","",INDEX(Zeiterfassung!$J$6:$J$3665,MATCH(INDEX(Zeiterfassung!$K$6:$K$3665,$K2405),Zeiterfassung!$K$6:$K$3665,0))))</f>
        <v/>
      </c>
      <c r="K2405">
        <f>IFERROR(AGGREGATE(15,6,(ROW(Zeiterfassung!$D$6:$D$3665)-ROW(Zeiterfassung!$D$6)+1)/(Zeiterfassung!$D$6:$D$3665&lt;&gt;""),2400),"")</f>
        <v/>
      </c>
    </row>
    <row r="2406" ht="20" customHeight="1">
      <c r="A2406" s="183">
        <f>IF($K2406="","",WEEKNUM(INDEX(Zeiterfassung!$K$6:$K$3665,$K2406),21))</f>
        <v/>
      </c>
      <c r="B2406" s="184">
        <f>IF($K2406="","",INDEX(Zeiterfassung!$K$6:$K$3665,$K2406))</f>
        <v/>
      </c>
      <c r="C2406" s="185">
        <f>IF($K2406="","",INDEX(Zeiterfassung!$K$6:$K$3665,$K2406))</f>
        <v/>
      </c>
      <c r="D2406" s="186">
        <f>IF($K2406="","",INDEX(Zeiterfassung!$D$6:$D$3665,$K2406))</f>
        <v/>
      </c>
      <c r="E2406" s="186">
        <f>IF($K2406="","",INDEX(Zeiterfassung!$E$6:$E$3665,$K2406))</f>
        <v/>
      </c>
      <c r="F2406" s="187">
        <f>IF($K2406="","",INDEX(Zeiterfassung!$F$6:$F$3665,$K2406))</f>
        <v/>
      </c>
      <c r="G2406" s="187">
        <f>IF($K2406="","",INDEX(Zeiterfassung!$G$6:$G$3665,$K2406))</f>
        <v/>
      </c>
      <c r="H2406" s="188">
        <f>IF($K2406="","",INDEX(Zeiterfassung!$H$6:$H$3665,$K2406))</f>
        <v/>
      </c>
      <c r="I2406" s="335">
        <f>IF(B2406=B2405,"",IF($K2406="","",INDEX(Zeiterfassung!$I$6:$I$3665,MATCH(INDEX(Zeiterfassung!$K$6:$K$3665,$K2406),Zeiterfassung!$K$6:$K$3665,0))))</f>
        <v/>
      </c>
      <c r="J2406" s="335">
        <f>IF(B2406=B2405,"",IF($K2406="","",INDEX(Zeiterfassung!$J$6:$J$3665,MATCH(INDEX(Zeiterfassung!$K$6:$K$3665,$K2406),Zeiterfassung!$K$6:$K$3665,0))))</f>
        <v/>
      </c>
      <c r="K2406">
        <f>IFERROR(AGGREGATE(15,6,(ROW(Zeiterfassung!$D$6:$D$3665)-ROW(Zeiterfassung!$D$6)+1)/(Zeiterfassung!$D$6:$D$3665&lt;&gt;""),2401),"")</f>
        <v/>
      </c>
    </row>
    <row r="2407" ht="20" customHeight="1">
      <c r="A2407" s="183">
        <f>IF($K2407="","",WEEKNUM(INDEX(Zeiterfassung!$K$6:$K$3665,$K2407),21))</f>
        <v/>
      </c>
      <c r="B2407" s="184">
        <f>IF($K2407="","",INDEX(Zeiterfassung!$K$6:$K$3665,$K2407))</f>
        <v/>
      </c>
      <c r="C2407" s="185">
        <f>IF($K2407="","",INDEX(Zeiterfassung!$K$6:$K$3665,$K2407))</f>
        <v/>
      </c>
      <c r="D2407" s="186">
        <f>IF($K2407="","",INDEX(Zeiterfassung!$D$6:$D$3665,$K2407))</f>
        <v/>
      </c>
      <c r="E2407" s="186">
        <f>IF($K2407="","",INDEX(Zeiterfassung!$E$6:$E$3665,$K2407))</f>
        <v/>
      </c>
      <c r="F2407" s="187">
        <f>IF($K2407="","",INDEX(Zeiterfassung!$F$6:$F$3665,$K2407))</f>
        <v/>
      </c>
      <c r="G2407" s="187">
        <f>IF($K2407="","",INDEX(Zeiterfassung!$G$6:$G$3665,$K2407))</f>
        <v/>
      </c>
      <c r="H2407" s="188">
        <f>IF($K2407="","",INDEX(Zeiterfassung!$H$6:$H$3665,$K2407))</f>
        <v/>
      </c>
      <c r="I2407" s="335">
        <f>IF(B2407=B2406,"",IF($K2407="","",INDEX(Zeiterfassung!$I$6:$I$3665,MATCH(INDEX(Zeiterfassung!$K$6:$K$3665,$K2407),Zeiterfassung!$K$6:$K$3665,0))))</f>
        <v/>
      </c>
      <c r="J2407" s="335">
        <f>IF(B2407=B2406,"",IF($K2407="","",INDEX(Zeiterfassung!$J$6:$J$3665,MATCH(INDEX(Zeiterfassung!$K$6:$K$3665,$K2407),Zeiterfassung!$K$6:$K$3665,0))))</f>
        <v/>
      </c>
      <c r="K2407">
        <f>IFERROR(AGGREGATE(15,6,(ROW(Zeiterfassung!$D$6:$D$3665)-ROW(Zeiterfassung!$D$6)+1)/(Zeiterfassung!$D$6:$D$3665&lt;&gt;""),2402),"")</f>
        <v/>
      </c>
    </row>
    <row r="2408" ht="20" customHeight="1">
      <c r="A2408" s="183">
        <f>IF($K2408="","",WEEKNUM(INDEX(Zeiterfassung!$K$6:$K$3665,$K2408),21))</f>
        <v/>
      </c>
      <c r="B2408" s="184">
        <f>IF($K2408="","",INDEX(Zeiterfassung!$K$6:$K$3665,$K2408))</f>
        <v/>
      </c>
      <c r="C2408" s="185">
        <f>IF($K2408="","",INDEX(Zeiterfassung!$K$6:$K$3665,$K2408))</f>
        <v/>
      </c>
      <c r="D2408" s="186">
        <f>IF($K2408="","",INDEX(Zeiterfassung!$D$6:$D$3665,$K2408))</f>
        <v/>
      </c>
      <c r="E2408" s="186">
        <f>IF($K2408="","",INDEX(Zeiterfassung!$E$6:$E$3665,$K2408))</f>
        <v/>
      </c>
      <c r="F2408" s="187">
        <f>IF($K2408="","",INDEX(Zeiterfassung!$F$6:$F$3665,$K2408))</f>
        <v/>
      </c>
      <c r="G2408" s="187">
        <f>IF($K2408="","",INDEX(Zeiterfassung!$G$6:$G$3665,$K2408))</f>
        <v/>
      </c>
      <c r="H2408" s="188">
        <f>IF($K2408="","",INDEX(Zeiterfassung!$H$6:$H$3665,$K2408))</f>
        <v/>
      </c>
      <c r="I2408" s="335">
        <f>IF(B2408=B2407,"",IF($K2408="","",INDEX(Zeiterfassung!$I$6:$I$3665,MATCH(INDEX(Zeiterfassung!$K$6:$K$3665,$K2408),Zeiterfassung!$K$6:$K$3665,0))))</f>
        <v/>
      </c>
      <c r="J2408" s="335">
        <f>IF(B2408=B2407,"",IF($K2408="","",INDEX(Zeiterfassung!$J$6:$J$3665,MATCH(INDEX(Zeiterfassung!$K$6:$K$3665,$K2408),Zeiterfassung!$K$6:$K$3665,0))))</f>
        <v/>
      </c>
      <c r="K2408">
        <f>IFERROR(AGGREGATE(15,6,(ROW(Zeiterfassung!$D$6:$D$3665)-ROW(Zeiterfassung!$D$6)+1)/(Zeiterfassung!$D$6:$D$3665&lt;&gt;""),2403),"")</f>
        <v/>
      </c>
    </row>
    <row r="2409" ht="20" customHeight="1">
      <c r="A2409" s="183">
        <f>IF($K2409="","",WEEKNUM(INDEX(Zeiterfassung!$K$6:$K$3665,$K2409),21))</f>
        <v/>
      </c>
      <c r="B2409" s="184">
        <f>IF($K2409="","",INDEX(Zeiterfassung!$K$6:$K$3665,$K2409))</f>
        <v/>
      </c>
      <c r="C2409" s="185">
        <f>IF($K2409="","",INDEX(Zeiterfassung!$K$6:$K$3665,$K2409))</f>
        <v/>
      </c>
      <c r="D2409" s="186">
        <f>IF($K2409="","",INDEX(Zeiterfassung!$D$6:$D$3665,$K2409))</f>
        <v/>
      </c>
      <c r="E2409" s="186">
        <f>IF($K2409="","",INDEX(Zeiterfassung!$E$6:$E$3665,$K2409))</f>
        <v/>
      </c>
      <c r="F2409" s="187">
        <f>IF($K2409="","",INDEX(Zeiterfassung!$F$6:$F$3665,$K2409))</f>
        <v/>
      </c>
      <c r="G2409" s="187">
        <f>IF($K2409="","",INDEX(Zeiterfassung!$G$6:$G$3665,$K2409))</f>
        <v/>
      </c>
      <c r="H2409" s="188">
        <f>IF($K2409="","",INDEX(Zeiterfassung!$H$6:$H$3665,$K2409))</f>
        <v/>
      </c>
      <c r="I2409" s="335">
        <f>IF(B2409=B2408,"",IF($K2409="","",INDEX(Zeiterfassung!$I$6:$I$3665,MATCH(INDEX(Zeiterfassung!$K$6:$K$3665,$K2409),Zeiterfassung!$K$6:$K$3665,0))))</f>
        <v/>
      </c>
      <c r="J2409" s="335">
        <f>IF(B2409=B2408,"",IF($K2409="","",INDEX(Zeiterfassung!$J$6:$J$3665,MATCH(INDEX(Zeiterfassung!$K$6:$K$3665,$K2409),Zeiterfassung!$K$6:$K$3665,0))))</f>
        <v/>
      </c>
      <c r="K2409">
        <f>IFERROR(AGGREGATE(15,6,(ROW(Zeiterfassung!$D$6:$D$3665)-ROW(Zeiterfassung!$D$6)+1)/(Zeiterfassung!$D$6:$D$3665&lt;&gt;""),2404),"")</f>
        <v/>
      </c>
    </row>
    <row r="2410" ht="20" customHeight="1">
      <c r="A2410" s="183">
        <f>IF($K2410="","",WEEKNUM(INDEX(Zeiterfassung!$K$6:$K$3665,$K2410),21))</f>
        <v/>
      </c>
      <c r="B2410" s="184">
        <f>IF($K2410="","",INDEX(Zeiterfassung!$K$6:$K$3665,$K2410))</f>
        <v/>
      </c>
      <c r="C2410" s="185">
        <f>IF($K2410="","",INDEX(Zeiterfassung!$K$6:$K$3665,$K2410))</f>
        <v/>
      </c>
      <c r="D2410" s="186">
        <f>IF($K2410="","",INDEX(Zeiterfassung!$D$6:$D$3665,$K2410))</f>
        <v/>
      </c>
      <c r="E2410" s="186">
        <f>IF($K2410="","",INDEX(Zeiterfassung!$E$6:$E$3665,$K2410))</f>
        <v/>
      </c>
      <c r="F2410" s="187">
        <f>IF($K2410="","",INDEX(Zeiterfassung!$F$6:$F$3665,$K2410))</f>
        <v/>
      </c>
      <c r="G2410" s="187">
        <f>IF($K2410="","",INDEX(Zeiterfassung!$G$6:$G$3665,$K2410))</f>
        <v/>
      </c>
      <c r="H2410" s="188">
        <f>IF($K2410="","",INDEX(Zeiterfassung!$H$6:$H$3665,$K2410))</f>
        <v/>
      </c>
      <c r="I2410" s="335">
        <f>IF(B2410=B2409,"",IF($K2410="","",INDEX(Zeiterfassung!$I$6:$I$3665,MATCH(INDEX(Zeiterfassung!$K$6:$K$3665,$K2410),Zeiterfassung!$K$6:$K$3665,0))))</f>
        <v/>
      </c>
      <c r="J2410" s="335">
        <f>IF(B2410=B2409,"",IF($K2410="","",INDEX(Zeiterfassung!$J$6:$J$3665,MATCH(INDEX(Zeiterfassung!$K$6:$K$3665,$K2410),Zeiterfassung!$K$6:$K$3665,0))))</f>
        <v/>
      </c>
      <c r="K2410">
        <f>IFERROR(AGGREGATE(15,6,(ROW(Zeiterfassung!$D$6:$D$3665)-ROW(Zeiterfassung!$D$6)+1)/(Zeiterfassung!$D$6:$D$3665&lt;&gt;""),2405),"")</f>
        <v/>
      </c>
    </row>
    <row r="2411" ht="20" customHeight="1">
      <c r="A2411" s="183">
        <f>IF($K2411="","",WEEKNUM(INDEX(Zeiterfassung!$K$6:$K$3665,$K2411),21))</f>
        <v/>
      </c>
      <c r="B2411" s="184">
        <f>IF($K2411="","",INDEX(Zeiterfassung!$K$6:$K$3665,$K2411))</f>
        <v/>
      </c>
      <c r="C2411" s="185">
        <f>IF($K2411="","",INDEX(Zeiterfassung!$K$6:$K$3665,$K2411))</f>
        <v/>
      </c>
      <c r="D2411" s="186">
        <f>IF($K2411="","",INDEX(Zeiterfassung!$D$6:$D$3665,$K2411))</f>
        <v/>
      </c>
      <c r="E2411" s="186">
        <f>IF($K2411="","",INDEX(Zeiterfassung!$E$6:$E$3665,$K2411))</f>
        <v/>
      </c>
      <c r="F2411" s="187">
        <f>IF($K2411="","",INDEX(Zeiterfassung!$F$6:$F$3665,$K2411))</f>
        <v/>
      </c>
      <c r="G2411" s="187">
        <f>IF($K2411="","",INDEX(Zeiterfassung!$G$6:$G$3665,$K2411))</f>
        <v/>
      </c>
      <c r="H2411" s="188">
        <f>IF($K2411="","",INDEX(Zeiterfassung!$H$6:$H$3665,$K2411))</f>
        <v/>
      </c>
      <c r="I2411" s="335">
        <f>IF(B2411=B2410,"",IF($K2411="","",INDEX(Zeiterfassung!$I$6:$I$3665,MATCH(INDEX(Zeiterfassung!$K$6:$K$3665,$K2411),Zeiterfassung!$K$6:$K$3665,0))))</f>
        <v/>
      </c>
      <c r="J2411" s="335">
        <f>IF(B2411=B2410,"",IF($K2411="","",INDEX(Zeiterfassung!$J$6:$J$3665,MATCH(INDEX(Zeiterfassung!$K$6:$K$3665,$K2411),Zeiterfassung!$K$6:$K$3665,0))))</f>
        <v/>
      </c>
      <c r="K2411">
        <f>IFERROR(AGGREGATE(15,6,(ROW(Zeiterfassung!$D$6:$D$3665)-ROW(Zeiterfassung!$D$6)+1)/(Zeiterfassung!$D$6:$D$3665&lt;&gt;""),2406),"")</f>
        <v/>
      </c>
    </row>
    <row r="2412" ht="20" customHeight="1">
      <c r="A2412" s="183">
        <f>IF($K2412="","",WEEKNUM(INDEX(Zeiterfassung!$K$6:$K$3665,$K2412),21))</f>
        <v/>
      </c>
      <c r="B2412" s="184">
        <f>IF($K2412="","",INDEX(Zeiterfassung!$K$6:$K$3665,$K2412))</f>
        <v/>
      </c>
      <c r="C2412" s="185">
        <f>IF($K2412="","",INDEX(Zeiterfassung!$K$6:$K$3665,$K2412))</f>
        <v/>
      </c>
      <c r="D2412" s="186">
        <f>IF($K2412="","",INDEX(Zeiterfassung!$D$6:$D$3665,$K2412))</f>
        <v/>
      </c>
      <c r="E2412" s="186">
        <f>IF($K2412="","",INDEX(Zeiterfassung!$E$6:$E$3665,$K2412))</f>
        <v/>
      </c>
      <c r="F2412" s="187">
        <f>IF($K2412="","",INDEX(Zeiterfassung!$F$6:$F$3665,$K2412))</f>
        <v/>
      </c>
      <c r="G2412" s="187">
        <f>IF($K2412="","",INDEX(Zeiterfassung!$G$6:$G$3665,$K2412))</f>
        <v/>
      </c>
      <c r="H2412" s="188">
        <f>IF($K2412="","",INDEX(Zeiterfassung!$H$6:$H$3665,$K2412))</f>
        <v/>
      </c>
      <c r="I2412" s="335">
        <f>IF(B2412=B2411,"",IF($K2412="","",INDEX(Zeiterfassung!$I$6:$I$3665,MATCH(INDEX(Zeiterfassung!$K$6:$K$3665,$K2412),Zeiterfassung!$K$6:$K$3665,0))))</f>
        <v/>
      </c>
      <c r="J2412" s="335">
        <f>IF(B2412=B2411,"",IF($K2412="","",INDEX(Zeiterfassung!$J$6:$J$3665,MATCH(INDEX(Zeiterfassung!$K$6:$K$3665,$K2412),Zeiterfassung!$K$6:$K$3665,0))))</f>
        <v/>
      </c>
      <c r="K2412">
        <f>IFERROR(AGGREGATE(15,6,(ROW(Zeiterfassung!$D$6:$D$3665)-ROW(Zeiterfassung!$D$6)+1)/(Zeiterfassung!$D$6:$D$3665&lt;&gt;""),2407),"")</f>
        <v/>
      </c>
    </row>
    <row r="2413" ht="20" customHeight="1">
      <c r="A2413" s="183">
        <f>IF($K2413="","",WEEKNUM(INDEX(Zeiterfassung!$K$6:$K$3665,$K2413),21))</f>
        <v/>
      </c>
      <c r="B2413" s="184">
        <f>IF($K2413="","",INDEX(Zeiterfassung!$K$6:$K$3665,$K2413))</f>
        <v/>
      </c>
      <c r="C2413" s="185">
        <f>IF($K2413="","",INDEX(Zeiterfassung!$K$6:$K$3665,$K2413))</f>
        <v/>
      </c>
      <c r="D2413" s="186">
        <f>IF($K2413="","",INDEX(Zeiterfassung!$D$6:$D$3665,$K2413))</f>
        <v/>
      </c>
      <c r="E2413" s="186">
        <f>IF($K2413="","",INDEX(Zeiterfassung!$E$6:$E$3665,$K2413))</f>
        <v/>
      </c>
      <c r="F2413" s="187">
        <f>IF($K2413="","",INDEX(Zeiterfassung!$F$6:$F$3665,$K2413))</f>
        <v/>
      </c>
      <c r="G2413" s="187">
        <f>IF($K2413="","",INDEX(Zeiterfassung!$G$6:$G$3665,$K2413))</f>
        <v/>
      </c>
      <c r="H2413" s="188">
        <f>IF($K2413="","",INDEX(Zeiterfassung!$H$6:$H$3665,$K2413))</f>
        <v/>
      </c>
      <c r="I2413" s="335">
        <f>IF(B2413=B2412,"",IF($K2413="","",INDEX(Zeiterfassung!$I$6:$I$3665,MATCH(INDEX(Zeiterfassung!$K$6:$K$3665,$K2413),Zeiterfassung!$K$6:$K$3665,0))))</f>
        <v/>
      </c>
      <c r="J2413" s="335">
        <f>IF(B2413=B2412,"",IF($K2413="","",INDEX(Zeiterfassung!$J$6:$J$3665,MATCH(INDEX(Zeiterfassung!$K$6:$K$3665,$K2413),Zeiterfassung!$K$6:$K$3665,0))))</f>
        <v/>
      </c>
      <c r="K2413">
        <f>IFERROR(AGGREGATE(15,6,(ROW(Zeiterfassung!$D$6:$D$3665)-ROW(Zeiterfassung!$D$6)+1)/(Zeiterfassung!$D$6:$D$3665&lt;&gt;""),2408),"")</f>
        <v/>
      </c>
    </row>
    <row r="2414" ht="20" customHeight="1">
      <c r="A2414" s="183">
        <f>IF($K2414="","",WEEKNUM(INDEX(Zeiterfassung!$K$6:$K$3665,$K2414),21))</f>
        <v/>
      </c>
      <c r="B2414" s="184">
        <f>IF($K2414="","",INDEX(Zeiterfassung!$K$6:$K$3665,$K2414))</f>
        <v/>
      </c>
      <c r="C2414" s="185">
        <f>IF($K2414="","",INDEX(Zeiterfassung!$K$6:$K$3665,$K2414))</f>
        <v/>
      </c>
      <c r="D2414" s="186">
        <f>IF($K2414="","",INDEX(Zeiterfassung!$D$6:$D$3665,$K2414))</f>
        <v/>
      </c>
      <c r="E2414" s="186">
        <f>IF($K2414="","",INDEX(Zeiterfassung!$E$6:$E$3665,$K2414))</f>
        <v/>
      </c>
      <c r="F2414" s="187">
        <f>IF($K2414="","",INDEX(Zeiterfassung!$F$6:$F$3665,$K2414))</f>
        <v/>
      </c>
      <c r="G2414" s="187">
        <f>IF($K2414="","",INDEX(Zeiterfassung!$G$6:$G$3665,$K2414))</f>
        <v/>
      </c>
      <c r="H2414" s="188">
        <f>IF($K2414="","",INDEX(Zeiterfassung!$H$6:$H$3665,$K2414))</f>
        <v/>
      </c>
      <c r="I2414" s="335">
        <f>IF(B2414=B2413,"",IF($K2414="","",INDEX(Zeiterfassung!$I$6:$I$3665,MATCH(INDEX(Zeiterfassung!$K$6:$K$3665,$K2414),Zeiterfassung!$K$6:$K$3665,0))))</f>
        <v/>
      </c>
      <c r="J2414" s="335">
        <f>IF(B2414=B2413,"",IF($K2414="","",INDEX(Zeiterfassung!$J$6:$J$3665,MATCH(INDEX(Zeiterfassung!$K$6:$K$3665,$K2414),Zeiterfassung!$K$6:$K$3665,0))))</f>
        <v/>
      </c>
      <c r="K2414">
        <f>IFERROR(AGGREGATE(15,6,(ROW(Zeiterfassung!$D$6:$D$3665)-ROW(Zeiterfassung!$D$6)+1)/(Zeiterfassung!$D$6:$D$3665&lt;&gt;""),2409),"")</f>
        <v/>
      </c>
    </row>
    <row r="2415" ht="20" customHeight="1">
      <c r="A2415" s="183">
        <f>IF($K2415="","",WEEKNUM(INDEX(Zeiterfassung!$K$6:$K$3665,$K2415),21))</f>
        <v/>
      </c>
      <c r="B2415" s="184">
        <f>IF($K2415="","",INDEX(Zeiterfassung!$K$6:$K$3665,$K2415))</f>
        <v/>
      </c>
      <c r="C2415" s="185">
        <f>IF($K2415="","",INDEX(Zeiterfassung!$K$6:$K$3665,$K2415))</f>
        <v/>
      </c>
      <c r="D2415" s="186">
        <f>IF($K2415="","",INDEX(Zeiterfassung!$D$6:$D$3665,$K2415))</f>
        <v/>
      </c>
      <c r="E2415" s="186">
        <f>IF($K2415="","",INDEX(Zeiterfassung!$E$6:$E$3665,$K2415))</f>
        <v/>
      </c>
      <c r="F2415" s="187">
        <f>IF($K2415="","",INDEX(Zeiterfassung!$F$6:$F$3665,$K2415))</f>
        <v/>
      </c>
      <c r="G2415" s="187">
        <f>IF($K2415="","",INDEX(Zeiterfassung!$G$6:$G$3665,$K2415))</f>
        <v/>
      </c>
      <c r="H2415" s="188">
        <f>IF($K2415="","",INDEX(Zeiterfassung!$H$6:$H$3665,$K2415))</f>
        <v/>
      </c>
      <c r="I2415" s="335">
        <f>IF(B2415=B2414,"",IF($K2415="","",INDEX(Zeiterfassung!$I$6:$I$3665,MATCH(INDEX(Zeiterfassung!$K$6:$K$3665,$K2415),Zeiterfassung!$K$6:$K$3665,0))))</f>
        <v/>
      </c>
      <c r="J2415" s="335">
        <f>IF(B2415=B2414,"",IF($K2415="","",INDEX(Zeiterfassung!$J$6:$J$3665,MATCH(INDEX(Zeiterfassung!$K$6:$K$3665,$K2415),Zeiterfassung!$K$6:$K$3665,0))))</f>
        <v/>
      </c>
      <c r="K2415">
        <f>IFERROR(AGGREGATE(15,6,(ROW(Zeiterfassung!$D$6:$D$3665)-ROW(Zeiterfassung!$D$6)+1)/(Zeiterfassung!$D$6:$D$3665&lt;&gt;""),2410),"")</f>
        <v/>
      </c>
    </row>
    <row r="2416" ht="20" customHeight="1">
      <c r="A2416" s="183">
        <f>IF($K2416="","",WEEKNUM(INDEX(Zeiterfassung!$K$6:$K$3665,$K2416),21))</f>
        <v/>
      </c>
      <c r="B2416" s="184">
        <f>IF($K2416="","",INDEX(Zeiterfassung!$K$6:$K$3665,$K2416))</f>
        <v/>
      </c>
      <c r="C2416" s="185">
        <f>IF($K2416="","",INDEX(Zeiterfassung!$K$6:$K$3665,$K2416))</f>
        <v/>
      </c>
      <c r="D2416" s="186">
        <f>IF($K2416="","",INDEX(Zeiterfassung!$D$6:$D$3665,$K2416))</f>
        <v/>
      </c>
      <c r="E2416" s="186">
        <f>IF($K2416="","",INDEX(Zeiterfassung!$E$6:$E$3665,$K2416))</f>
        <v/>
      </c>
      <c r="F2416" s="187">
        <f>IF($K2416="","",INDEX(Zeiterfassung!$F$6:$F$3665,$K2416))</f>
        <v/>
      </c>
      <c r="G2416" s="187">
        <f>IF($K2416="","",INDEX(Zeiterfassung!$G$6:$G$3665,$K2416))</f>
        <v/>
      </c>
      <c r="H2416" s="188">
        <f>IF($K2416="","",INDEX(Zeiterfassung!$H$6:$H$3665,$K2416))</f>
        <v/>
      </c>
      <c r="I2416" s="335">
        <f>IF(B2416=B2415,"",IF($K2416="","",INDEX(Zeiterfassung!$I$6:$I$3665,MATCH(INDEX(Zeiterfassung!$K$6:$K$3665,$K2416),Zeiterfassung!$K$6:$K$3665,0))))</f>
        <v/>
      </c>
      <c r="J2416" s="335">
        <f>IF(B2416=B2415,"",IF($K2416="","",INDEX(Zeiterfassung!$J$6:$J$3665,MATCH(INDEX(Zeiterfassung!$K$6:$K$3665,$K2416),Zeiterfassung!$K$6:$K$3665,0))))</f>
        <v/>
      </c>
      <c r="K2416">
        <f>IFERROR(AGGREGATE(15,6,(ROW(Zeiterfassung!$D$6:$D$3665)-ROW(Zeiterfassung!$D$6)+1)/(Zeiterfassung!$D$6:$D$3665&lt;&gt;""),2411),"")</f>
        <v/>
      </c>
    </row>
    <row r="2417" ht="20" customHeight="1">
      <c r="A2417" s="183">
        <f>IF($K2417="","",WEEKNUM(INDEX(Zeiterfassung!$K$6:$K$3665,$K2417),21))</f>
        <v/>
      </c>
      <c r="B2417" s="184">
        <f>IF($K2417="","",INDEX(Zeiterfassung!$K$6:$K$3665,$K2417))</f>
        <v/>
      </c>
      <c r="C2417" s="185">
        <f>IF($K2417="","",INDEX(Zeiterfassung!$K$6:$K$3665,$K2417))</f>
        <v/>
      </c>
      <c r="D2417" s="186">
        <f>IF($K2417="","",INDEX(Zeiterfassung!$D$6:$D$3665,$K2417))</f>
        <v/>
      </c>
      <c r="E2417" s="186">
        <f>IF($K2417="","",INDEX(Zeiterfassung!$E$6:$E$3665,$K2417))</f>
        <v/>
      </c>
      <c r="F2417" s="187">
        <f>IF($K2417="","",INDEX(Zeiterfassung!$F$6:$F$3665,$K2417))</f>
        <v/>
      </c>
      <c r="G2417" s="187">
        <f>IF($K2417="","",INDEX(Zeiterfassung!$G$6:$G$3665,$K2417))</f>
        <v/>
      </c>
      <c r="H2417" s="188">
        <f>IF($K2417="","",INDEX(Zeiterfassung!$H$6:$H$3665,$K2417))</f>
        <v/>
      </c>
      <c r="I2417" s="335">
        <f>IF(B2417=B2416,"",IF($K2417="","",INDEX(Zeiterfassung!$I$6:$I$3665,MATCH(INDEX(Zeiterfassung!$K$6:$K$3665,$K2417),Zeiterfassung!$K$6:$K$3665,0))))</f>
        <v/>
      </c>
      <c r="J2417" s="335">
        <f>IF(B2417=B2416,"",IF($K2417="","",INDEX(Zeiterfassung!$J$6:$J$3665,MATCH(INDEX(Zeiterfassung!$K$6:$K$3665,$K2417),Zeiterfassung!$K$6:$K$3665,0))))</f>
        <v/>
      </c>
      <c r="K2417">
        <f>IFERROR(AGGREGATE(15,6,(ROW(Zeiterfassung!$D$6:$D$3665)-ROW(Zeiterfassung!$D$6)+1)/(Zeiterfassung!$D$6:$D$3665&lt;&gt;""),2412),"")</f>
        <v/>
      </c>
    </row>
    <row r="2418" ht="20" customHeight="1">
      <c r="A2418" s="183">
        <f>IF($K2418="","",WEEKNUM(INDEX(Zeiterfassung!$K$6:$K$3665,$K2418),21))</f>
        <v/>
      </c>
      <c r="B2418" s="184">
        <f>IF($K2418="","",INDEX(Zeiterfassung!$K$6:$K$3665,$K2418))</f>
        <v/>
      </c>
      <c r="C2418" s="185">
        <f>IF($K2418="","",INDEX(Zeiterfassung!$K$6:$K$3665,$K2418))</f>
        <v/>
      </c>
      <c r="D2418" s="186">
        <f>IF($K2418="","",INDEX(Zeiterfassung!$D$6:$D$3665,$K2418))</f>
        <v/>
      </c>
      <c r="E2418" s="186">
        <f>IF($K2418="","",INDEX(Zeiterfassung!$E$6:$E$3665,$K2418))</f>
        <v/>
      </c>
      <c r="F2418" s="187">
        <f>IF($K2418="","",INDEX(Zeiterfassung!$F$6:$F$3665,$K2418))</f>
        <v/>
      </c>
      <c r="G2418" s="187">
        <f>IF($K2418="","",INDEX(Zeiterfassung!$G$6:$G$3665,$K2418))</f>
        <v/>
      </c>
      <c r="H2418" s="188">
        <f>IF($K2418="","",INDEX(Zeiterfassung!$H$6:$H$3665,$K2418))</f>
        <v/>
      </c>
      <c r="I2418" s="335">
        <f>IF(B2418=B2417,"",IF($K2418="","",INDEX(Zeiterfassung!$I$6:$I$3665,MATCH(INDEX(Zeiterfassung!$K$6:$K$3665,$K2418),Zeiterfassung!$K$6:$K$3665,0))))</f>
        <v/>
      </c>
      <c r="J2418" s="335">
        <f>IF(B2418=B2417,"",IF($K2418="","",INDEX(Zeiterfassung!$J$6:$J$3665,MATCH(INDEX(Zeiterfassung!$K$6:$K$3665,$K2418),Zeiterfassung!$K$6:$K$3665,0))))</f>
        <v/>
      </c>
      <c r="K2418">
        <f>IFERROR(AGGREGATE(15,6,(ROW(Zeiterfassung!$D$6:$D$3665)-ROW(Zeiterfassung!$D$6)+1)/(Zeiterfassung!$D$6:$D$3665&lt;&gt;""),2413),"")</f>
        <v/>
      </c>
    </row>
    <row r="2419" ht="20" customHeight="1">
      <c r="A2419" s="183">
        <f>IF($K2419="","",WEEKNUM(INDEX(Zeiterfassung!$K$6:$K$3665,$K2419),21))</f>
        <v/>
      </c>
      <c r="B2419" s="184">
        <f>IF($K2419="","",INDEX(Zeiterfassung!$K$6:$K$3665,$K2419))</f>
        <v/>
      </c>
      <c r="C2419" s="185">
        <f>IF($K2419="","",INDEX(Zeiterfassung!$K$6:$K$3665,$K2419))</f>
        <v/>
      </c>
      <c r="D2419" s="186">
        <f>IF($K2419="","",INDEX(Zeiterfassung!$D$6:$D$3665,$K2419))</f>
        <v/>
      </c>
      <c r="E2419" s="186">
        <f>IF($K2419="","",INDEX(Zeiterfassung!$E$6:$E$3665,$K2419))</f>
        <v/>
      </c>
      <c r="F2419" s="187">
        <f>IF($K2419="","",INDEX(Zeiterfassung!$F$6:$F$3665,$K2419))</f>
        <v/>
      </c>
      <c r="G2419" s="187">
        <f>IF($K2419="","",INDEX(Zeiterfassung!$G$6:$G$3665,$K2419))</f>
        <v/>
      </c>
      <c r="H2419" s="188">
        <f>IF($K2419="","",INDEX(Zeiterfassung!$H$6:$H$3665,$K2419))</f>
        <v/>
      </c>
      <c r="I2419" s="335">
        <f>IF(B2419=B2418,"",IF($K2419="","",INDEX(Zeiterfassung!$I$6:$I$3665,MATCH(INDEX(Zeiterfassung!$K$6:$K$3665,$K2419),Zeiterfassung!$K$6:$K$3665,0))))</f>
        <v/>
      </c>
      <c r="J2419" s="335">
        <f>IF(B2419=B2418,"",IF($K2419="","",INDEX(Zeiterfassung!$J$6:$J$3665,MATCH(INDEX(Zeiterfassung!$K$6:$K$3665,$K2419),Zeiterfassung!$K$6:$K$3665,0))))</f>
        <v/>
      </c>
      <c r="K2419">
        <f>IFERROR(AGGREGATE(15,6,(ROW(Zeiterfassung!$D$6:$D$3665)-ROW(Zeiterfassung!$D$6)+1)/(Zeiterfassung!$D$6:$D$3665&lt;&gt;""),2414),"")</f>
        <v/>
      </c>
    </row>
    <row r="2420" ht="20" customHeight="1">
      <c r="A2420" s="183">
        <f>IF($K2420="","",WEEKNUM(INDEX(Zeiterfassung!$K$6:$K$3665,$K2420),21))</f>
        <v/>
      </c>
      <c r="B2420" s="184">
        <f>IF($K2420="","",INDEX(Zeiterfassung!$K$6:$K$3665,$K2420))</f>
        <v/>
      </c>
      <c r="C2420" s="185">
        <f>IF($K2420="","",INDEX(Zeiterfassung!$K$6:$K$3665,$K2420))</f>
        <v/>
      </c>
      <c r="D2420" s="186">
        <f>IF($K2420="","",INDEX(Zeiterfassung!$D$6:$D$3665,$K2420))</f>
        <v/>
      </c>
      <c r="E2420" s="186">
        <f>IF($K2420="","",INDEX(Zeiterfassung!$E$6:$E$3665,$K2420))</f>
        <v/>
      </c>
      <c r="F2420" s="187">
        <f>IF($K2420="","",INDEX(Zeiterfassung!$F$6:$F$3665,$K2420))</f>
        <v/>
      </c>
      <c r="G2420" s="187">
        <f>IF($K2420="","",INDEX(Zeiterfassung!$G$6:$G$3665,$K2420))</f>
        <v/>
      </c>
      <c r="H2420" s="188">
        <f>IF($K2420="","",INDEX(Zeiterfassung!$H$6:$H$3665,$K2420))</f>
        <v/>
      </c>
      <c r="I2420" s="335">
        <f>IF(B2420=B2419,"",IF($K2420="","",INDEX(Zeiterfassung!$I$6:$I$3665,MATCH(INDEX(Zeiterfassung!$K$6:$K$3665,$K2420),Zeiterfassung!$K$6:$K$3665,0))))</f>
        <v/>
      </c>
      <c r="J2420" s="335">
        <f>IF(B2420=B2419,"",IF($K2420="","",INDEX(Zeiterfassung!$J$6:$J$3665,MATCH(INDEX(Zeiterfassung!$K$6:$K$3665,$K2420),Zeiterfassung!$K$6:$K$3665,0))))</f>
        <v/>
      </c>
      <c r="K2420">
        <f>IFERROR(AGGREGATE(15,6,(ROW(Zeiterfassung!$D$6:$D$3665)-ROW(Zeiterfassung!$D$6)+1)/(Zeiterfassung!$D$6:$D$3665&lt;&gt;""),2415),"")</f>
        <v/>
      </c>
    </row>
    <row r="2421" ht="20" customHeight="1">
      <c r="A2421" s="183">
        <f>IF($K2421="","",WEEKNUM(INDEX(Zeiterfassung!$K$6:$K$3665,$K2421),21))</f>
        <v/>
      </c>
      <c r="B2421" s="184">
        <f>IF($K2421="","",INDEX(Zeiterfassung!$K$6:$K$3665,$K2421))</f>
        <v/>
      </c>
      <c r="C2421" s="185">
        <f>IF($K2421="","",INDEX(Zeiterfassung!$K$6:$K$3665,$K2421))</f>
        <v/>
      </c>
      <c r="D2421" s="186">
        <f>IF($K2421="","",INDEX(Zeiterfassung!$D$6:$D$3665,$K2421))</f>
        <v/>
      </c>
      <c r="E2421" s="186">
        <f>IF($K2421="","",INDEX(Zeiterfassung!$E$6:$E$3665,$K2421))</f>
        <v/>
      </c>
      <c r="F2421" s="187">
        <f>IF($K2421="","",INDEX(Zeiterfassung!$F$6:$F$3665,$K2421))</f>
        <v/>
      </c>
      <c r="G2421" s="187">
        <f>IF($K2421="","",INDEX(Zeiterfassung!$G$6:$G$3665,$K2421))</f>
        <v/>
      </c>
      <c r="H2421" s="188">
        <f>IF($K2421="","",INDEX(Zeiterfassung!$H$6:$H$3665,$K2421))</f>
        <v/>
      </c>
      <c r="I2421" s="335">
        <f>IF(B2421=B2420,"",IF($K2421="","",INDEX(Zeiterfassung!$I$6:$I$3665,MATCH(INDEX(Zeiterfassung!$K$6:$K$3665,$K2421),Zeiterfassung!$K$6:$K$3665,0))))</f>
        <v/>
      </c>
      <c r="J2421" s="335">
        <f>IF(B2421=B2420,"",IF($K2421="","",INDEX(Zeiterfassung!$J$6:$J$3665,MATCH(INDEX(Zeiterfassung!$K$6:$K$3665,$K2421),Zeiterfassung!$K$6:$K$3665,0))))</f>
        <v/>
      </c>
      <c r="K2421">
        <f>IFERROR(AGGREGATE(15,6,(ROW(Zeiterfassung!$D$6:$D$3665)-ROW(Zeiterfassung!$D$6)+1)/(Zeiterfassung!$D$6:$D$3665&lt;&gt;""),2416),"")</f>
        <v/>
      </c>
    </row>
    <row r="2422" ht="20" customHeight="1">
      <c r="A2422" s="183">
        <f>IF($K2422="","",WEEKNUM(INDEX(Zeiterfassung!$K$6:$K$3665,$K2422),21))</f>
        <v/>
      </c>
      <c r="B2422" s="184">
        <f>IF($K2422="","",INDEX(Zeiterfassung!$K$6:$K$3665,$K2422))</f>
        <v/>
      </c>
      <c r="C2422" s="185">
        <f>IF($K2422="","",INDEX(Zeiterfassung!$K$6:$K$3665,$K2422))</f>
        <v/>
      </c>
      <c r="D2422" s="186">
        <f>IF($K2422="","",INDEX(Zeiterfassung!$D$6:$D$3665,$K2422))</f>
        <v/>
      </c>
      <c r="E2422" s="186">
        <f>IF($K2422="","",INDEX(Zeiterfassung!$E$6:$E$3665,$K2422))</f>
        <v/>
      </c>
      <c r="F2422" s="187">
        <f>IF($K2422="","",INDEX(Zeiterfassung!$F$6:$F$3665,$K2422))</f>
        <v/>
      </c>
      <c r="G2422" s="187">
        <f>IF($K2422="","",INDEX(Zeiterfassung!$G$6:$G$3665,$K2422))</f>
        <v/>
      </c>
      <c r="H2422" s="188">
        <f>IF($K2422="","",INDEX(Zeiterfassung!$H$6:$H$3665,$K2422))</f>
        <v/>
      </c>
      <c r="I2422" s="335">
        <f>IF(B2422=B2421,"",IF($K2422="","",INDEX(Zeiterfassung!$I$6:$I$3665,MATCH(INDEX(Zeiterfassung!$K$6:$K$3665,$K2422),Zeiterfassung!$K$6:$K$3665,0))))</f>
        <v/>
      </c>
      <c r="J2422" s="335">
        <f>IF(B2422=B2421,"",IF($K2422="","",INDEX(Zeiterfassung!$J$6:$J$3665,MATCH(INDEX(Zeiterfassung!$K$6:$K$3665,$K2422),Zeiterfassung!$K$6:$K$3665,0))))</f>
        <v/>
      </c>
      <c r="K2422">
        <f>IFERROR(AGGREGATE(15,6,(ROW(Zeiterfassung!$D$6:$D$3665)-ROW(Zeiterfassung!$D$6)+1)/(Zeiterfassung!$D$6:$D$3665&lt;&gt;""),2417),"")</f>
        <v/>
      </c>
    </row>
    <row r="2423" ht="20" customHeight="1">
      <c r="A2423" s="183">
        <f>IF($K2423="","",WEEKNUM(INDEX(Zeiterfassung!$K$6:$K$3665,$K2423),21))</f>
        <v/>
      </c>
      <c r="B2423" s="184">
        <f>IF($K2423="","",INDEX(Zeiterfassung!$K$6:$K$3665,$K2423))</f>
        <v/>
      </c>
      <c r="C2423" s="185">
        <f>IF($K2423="","",INDEX(Zeiterfassung!$K$6:$K$3665,$K2423))</f>
        <v/>
      </c>
      <c r="D2423" s="186">
        <f>IF($K2423="","",INDEX(Zeiterfassung!$D$6:$D$3665,$K2423))</f>
        <v/>
      </c>
      <c r="E2423" s="186">
        <f>IF($K2423="","",INDEX(Zeiterfassung!$E$6:$E$3665,$K2423))</f>
        <v/>
      </c>
      <c r="F2423" s="187">
        <f>IF($K2423="","",INDEX(Zeiterfassung!$F$6:$F$3665,$K2423))</f>
        <v/>
      </c>
      <c r="G2423" s="187">
        <f>IF($K2423="","",INDEX(Zeiterfassung!$G$6:$G$3665,$K2423))</f>
        <v/>
      </c>
      <c r="H2423" s="188">
        <f>IF($K2423="","",INDEX(Zeiterfassung!$H$6:$H$3665,$K2423))</f>
        <v/>
      </c>
      <c r="I2423" s="335">
        <f>IF(B2423=B2422,"",IF($K2423="","",INDEX(Zeiterfassung!$I$6:$I$3665,MATCH(INDEX(Zeiterfassung!$K$6:$K$3665,$K2423),Zeiterfassung!$K$6:$K$3665,0))))</f>
        <v/>
      </c>
      <c r="J2423" s="335">
        <f>IF(B2423=B2422,"",IF($K2423="","",INDEX(Zeiterfassung!$J$6:$J$3665,MATCH(INDEX(Zeiterfassung!$K$6:$K$3665,$K2423),Zeiterfassung!$K$6:$K$3665,0))))</f>
        <v/>
      </c>
      <c r="K2423">
        <f>IFERROR(AGGREGATE(15,6,(ROW(Zeiterfassung!$D$6:$D$3665)-ROW(Zeiterfassung!$D$6)+1)/(Zeiterfassung!$D$6:$D$3665&lt;&gt;""),2418),"")</f>
        <v/>
      </c>
    </row>
    <row r="2424" ht="20" customHeight="1">
      <c r="A2424" s="183">
        <f>IF($K2424="","",WEEKNUM(INDEX(Zeiterfassung!$K$6:$K$3665,$K2424),21))</f>
        <v/>
      </c>
      <c r="B2424" s="184">
        <f>IF($K2424="","",INDEX(Zeiterfassung!$K$6:$K$3665,$K2424))</f>
        <v/>
      </c>
      <c r="C2424" s="185">
        <f>IF($K2424="","",INDEX(Zeiterfassung!$K$6:$K$3665,$K2424))</f>
        <v/>
      </c>
      <c r="D2424" s="186">
        <f>IF($K2424="","",INDEX(Zeiterfassung!$D$6:$D$3665,$K2424))</f>
        <v/>
      </c>
      <c r="E2424" s="186">
        <f>IF($K2424="","",INDEX(Zeiterfassung!$E$6:$E$3665,$K2424))</f>
        <v/>
      </c>
      <c r="F2424" s="187">
        <f>IF($K2424="","",INDEX(Zeiterfassung!$F$6:$F$3665,$K2424))</f>
        <v/>
      </c>
      <c r="G2424" s="187">
        <f>IF($K2424="","",INDEX(Zeiterfassung!$G$6:$G$3665,$K2424))</f>
        <v/>
      </c>
      <c r="H2424" s="188">
        <f>IF($K2424="","",INDEX(Zeiterfassung!$H$6:$H$3665,$K2424))</f>
        <v/>
      </c>
      <c r="I2424" s="335">
        <f>IF(B2424=B2423,"",IF($K2424="","",INDEX(Zeiterfassung!$I$6:$I$3665,MATCH(INDEX(Zeiterfassung!$K$6:$K$3665,$K2424),Zeiterfassung!$K$6:$K$3665,0))))</f>
        <v/>
      </c>
      <c r="J2424" s="335">
        <f>IF(B2424=B2423,"",IF($K2424="","",INDEX(Zeiterfassung!$J$6:$J$3665,MATCH(INDEX(Zeiterfassung!$K$6:$K$3665,$K2424),Zeiterfassung!$K$6:$K$3665,0))))</f>
        <v/>
      </c>
      <c r="K2424">
        <f>IFERROR(AGGREGATE(15,6,(ROW(Zeiterfassung!$D$6:$D$3665)-ROW(Zeiterfassung!$D$6)+1)/(Zeiterfassung!$D$6:$D$3665&lt;&gt;""),2419),"")</f>
        <v/>
      </c>
    </row>
    <row r="2425" ht="20" customHeight="1">
      <c r="A2425" s="183">
        <f>IF($K2425="","",WEEKNUM(INDEX(Zeiterfassung!$K$6:$K$3665,$K2425),21))</f>
        <v/>
      </c>
      <c r="B2425" s="184">
        <f>IF($K2425="","",INDEX(Zeiterfassung!$K$6:$K$3665,$K2425))</f>
        <v/>
      </c>
      <c r="C2425" s="185">
        <f>IF($K2425="","",INDEX(Zeiterfassung!$K$6:$K$3665,$K2425))</f>
        <v/>
      </c>
      <c r="D2425" s="186">
        <f>IF($K2425="","",INDEX(Zeiterfassung!$D$6:$D$3665,$K2425))</f>
        <v/>
      </c>
      <c r="E2425" s="186">
        <f>IF($K2425="","",INDEX(Zeiterfassung!$E$6:$E$3665,$K2425))</f>
        <v/>
      </c>
      <c r="F2425" s="187">
        <f>IF($K2425="","",INDEX(Zeiterfassung!$F$6:$F$3665,$K2425))</f>
        <v/>
      </c>
      <c r="G2425" s="187">
        <f>IF($K2425="","",INDEX(Zeiterfassung!$G$6:$G$3665,$K2425))</f>
        <v/>
      </c>
      <c r="H2425" s="188">
        <f>IF($K2425="","",INDEX(Zeiterfassung!$H$6:$H$3665,$K2425))</f>
        <v/>
      </c>
      <c r="I2425" s="335">
        <f>IF(B2425=B2424,"",IF($K2425="","",INDEX(Zeiterfassung!$I$6:$I$3665,MATCH(INDEX(Zeiterfassung!$K$6:$K$3665,$K2425),Zeiterfassung!$K$6:$K$3665,0))))</f>
        <v/>
      </c>
      <c r="J2425" s="335">
        <f>IF(B2425=B2424,"",IF($K2425="","",INDEX(Zeiterfassung!$J$6:$J$3665,MATCH(INDEX(Zeiterfassung!$K$6:$K$3665,$K2425),Zeiterfassung!$K$6:$K$3665,0))))</f>
        <v/>
      </c>
      <c r="K2425">
        <f>IFERROR(AGGREGATE(15,6,(ROW(Zeiterfassung!$D$6:$D$3665)-ROW(Zeiterfassung!$D$6)+1)/(Zeiterfassung!$D$6:$D$3665&lt;&gt;""),2420),"")</f>
        <v/>
      </c>
    </row>
    <row r="2426" ht="20" customHeight="1">
      <c r="A2426" s="183">
        <f>IF($K2426="","",WEEKNUM(INDEX(Zeiterfassung!$K$6:$K$3665,$K2426),21))</f>
        <v/>
      </c>
      <c r="B2426" s="184">
        <f>IF($K2426="","",INDEX(Zeiterfassung!$K$6:$K$3665,$K2426))</f>
        <v/>
      </c>
      <c r="C2426" s="185">
        <f>IF($K2426="","",INDEX(Zeiterfassung!$K$6:$K$3665,$K2426))</f>
        <v/>
      </c>
      <c r="D2426" s="186">
        <f>IF($K2426="","",INDEX(Zeiterfassung!$D$6:$D$3665,$K2426))</f>
        <v/>
      </c>
      <c r="E2426" s="186">
        <f>IF($K2426="","",INDEX(Zeiterfassung!$E$6:$E$3665,$K2426))</f>
        <v/>
      </c>
      <c r="F2426" s="187">
        <f>IF($K2426="","",INDEX(Zeiterfassung!$F$6:$F$3665,$K2426))</f>
        <v/>
      </c>
      <c r="G2426" s="187">
        <f>IF($K2426="","",INDEX(Zeiterfassung!$G$6:$G$3665,$K2426))</f>
        <v/>
      </c>
      <c r="H2426" s="188">
        <f>IF($K2426="","",INDEX(Zeiterfassung!$H$6:$H$3665,$K2426))</f>
        <v/>
      </c>
      <c r="I2426" s="335">
        <f>IF(B2426=B2425,"",IF($K2426="","",INDEX(Zeiterfassung!$I$6:$I$3665,MATCH(INDEX(Zeiterfassung!$K$6:$K$3665,$K2426),Zeiterfassung!$K$6:$K$3665,0))))</f>
        <v/>
      </c>
      <c r="J2426" s="335">
        <f>IF(B2426=B2425,"",IF($K2426="","",INDEX(Zeiterfassung!$J$6:$J$3665,MATCH(INDEX(Zeiterfassung!$K$6:$K$3665,$K2426),Zeiterfassung!$K$6:$K$3665,0))))</f>
        <v/>
      </c>
      <c r="K2426">
        <f>IFERROR(AGGREGATE(15,6,(ROW(Zeiterfassung!$D$6:$D$3665)-ROW(Zeiterfassung!$D$6)+1)/(Zeiterfassung!$D$6:$D$3665&lt;&gt;""),2421),"")</f>
        <v/>
      </c>
    </row>
    <row r="2427" ht="20" customHeight="1">
      <c r="A2427" s="183">
        <f>IF($K2427="","",WEEKNUM(INDEX(Zeiterfassung!$K$6:$K$3665,$K2427),21))</f>
        <v/>
      </c>
      <c r="B2427" s="184">
        <f>IF($K2427="","",INDEX(Zeiterfassung!$K$6:$K$3665,$K2427))</f>
        <v/>
      </c>
      <c r="C2427" s="185">
        <f>IF($K2427="","",INDEX(Zeiterfassung!$K$6:$K$3665,$K2427))</f>
        <v/>
      </c>
      <c r="D2427" s="186">
        <f>IF($K2427="","",INDEX(Zeiterfassung!$D$6:$D$3665,$K2427))</f>
        <v/>
      </c>
      <c r="E2427" s="186">
        <f>IF($K2427="","",INDEX(Zeiterfassung!$E$6:$E$3665,$K2427))</f>
        <v/>
      </c>
      <c r="F2427" s="187">
        <f>IF($K2427="","",INDEX(Zeiterfassung!$F$6:$F$3665,$K2427))</f>
        <v/>
      </c>
      <c r="G2427" s="187">
        <f>IF($K2427="","",INDEX(Zeiterfassung!$G$6:$G$3665,$K2427))</f>
        <v/>
      </c>
      <c r="H2427" s="188">
        <f>IF($K2427="","",INDEX(Zeiterfassung!$H$6:$H$3665,$K2427))</f>
        <v/>
      </c>
      <c r="I2427" s="335">
        <f>IF(B2427=B2426,"",IF($K2427="","",INDEX(Zeiterfassung!$I$6:$I$3665,MATCH(INDEX(Zeiterfassung!$K$6:$K$3665,$K2427),Zeiterfassung!$K$6:$K$3665,0))))</f>
        <v/>
      </c>
      <c r="J2427" s="335">
        <f>IF(B2427=B2426,"",IF($K2427="","",INDEX(Zeiterfassung!$J$6:$J$3665,MATCH(INDEX(Zeiterfassung!$K$6:$K$3665,$K2427),Zeiterfassung!$K$6:$K$3665,0))))</f>
        <v/>
      </c>
      <c r="K2427">
        <f>IFERROR(AGGREGATE(15,6,(ROW(Zeiterfassung!$D$6:$D$3665)-ROW(Zeiterfassung!$D$6)+1)/(Zeiterfassung!$D$6:$D$3665&lt;&gt;""),2422),"")</f>
        <v/>
      </c>
    </row>
    <row r="2428" ht="20" customHeight="1">
      <c r="A2428" s="183">
        <f>IF($K2428="","",WEEKNUM(INDEX(Zeiterfassung!$K$6:$K$3665,$K2428),21))</f>
        <v/>
      </c>
      <c r="B2428" s="184">
        <f>IF($K2428="","",INDEX(Zeiterfassung!$K$6:$K$3665,$K2428))</f>
        <v/>
      </c>
      <c r="C2428" s="185">
        <f>IF($K2428="","",INDEX(Zeiterfassung!$K$6:$K$3665,$K2428))</f>
        <v/>
      </c>
      <c r="D2428" s="186">
        <f>IF($K2428="","",INDEX(Zeiterfassung!$D$6:$D$3665,$K2428))</f>
        <v/>
      </c>
      <c r="E2428" s="186">
        <f>IF($K2428="","",INDEX(Zeiterfassung!$E$6:$E$3665,$K2428))</f>
        <v/>
      </c>
      <c r="F2428" s="187">
        <f>IF($K2428="","",INDEX(Zeiterfassung!$F$6:$F$3665,$K2428))</f>
        <v/>
      </c>
      <c r="G2428" s="187">
        <f>IF($K2428="","",INDEX(Zeiterfassung!$G$6:$G$3665,$K2428))</f>
        <v/>
      </c>
      <c r="H2428" s="188">
        <f>IF($K2428="","",INDEX(Zeiterfassung!$H$6:$H$3665,$K2428))</f>
        <v/>
      </c>
      <c r="I2428" s="335">
        <f>IF(B2428=B2427,"",IF($K2428="","",INDEX(Zeiterfassung!$I$6:$I$3665,MATCH(INDEX(Zeiterfassung!$K$6:$K$3665,$K2428),Zeiterfassung!$K$6:$K$3665,0))))</f>
        <v/>
      </c>
      <c r="J2428" s="335">
        <f>IF(B2428=B2427,"",IF($K2428="","",INDEX(Zeiterfassung!$J$6:$J$3665,MATCH(INDEX(Zeiterfassung!$K$6:$K$3665,$K2428),Zeiterfassung!$K$6:$K$3665,0))))</f>
        <v/>
      </c>
      <c r="K2428">
        <f>IFERROR(AGGREGATE(15,6,(ROW(Zeiterfassung!$D$6:$D$3665)-ROW(Zeiterfassung!$D$6)+1)/(Zeiterfassung!$D$6:$D$3665&lt;&gt;""),2423),"")</f>
        <v/>
      </c>
    </row>
    <row r="2429" ht="20" customHeight="1">
      <c r="A2429" s="183">
        <f>IF($K2429="","",WEEKNUM(INDEX(Zeiterfassung!$K$6:$K$3665,$K2429),21))</f>
        <v/>
      </c>
      <c r="B2429" s="184">
        <f>IF($K2429="","",INDEX(Zeiterfassung!$K$6:$K$3665,$K2429))</f>
        <v/>
      </c>
      <c r="C2429" s="185">
        <f>IF($K2429="","",INDEX(Zeiterfassung!$K$6:$K$3665,$K2429))</f>
        <v/>
      </c>
      <c r="D2429" s="186">
        <f>IF($K2429="","",INDEX(Zeiterfassung!$D$6:$D$3665,$K2429))</f>
        <v/>
      </c>
      <c r="E2429" s="186">
        <f>IF($K2429="","",INDEX(Zeiterfassung!$E$6:$E$3665,$K2429))</f>
        <v/>
      </c>
      <c r="F2429" s="187">
        <f>IF($K2429="","",INDEX(Zeiterfassung!$F$6:$F$3665,$K2429))</f>
        <v/>
      </c>
      <c r="G2429" s="187">
        <f>IF($K2429="","",INDEX(Zeiterfassung!$G$6:$G$3665,$K2429))</f>
        <v/>
      </c>
      <c r="H2429" s="188">
        <f>IF($K2429="","",INDEX(Zeiterfassung!$H$6:$H$3665,$K2429))</f>
        <v/>
      </c>
      <c r="I2429" s="335">
        <f>IF(B2429=B2428,"",IF($K2429="","",INDEX(Zeiterfassung!$I$6:$I$3665,MATCH(INDEX(Zeiterfassung!$K$6:$K$3665,$K2429),Zeiterfassung!$K$6:$K$3665,0))))</f>
        <v/>
      </c>
      <c r="J2429" s="335">
        <f>IF(B2429=B2428,"",IF($K2429="","",INDEX(Zeiterfassung!$J$6:$J$3665,MATCH(INDEX(Zeiterfassung!$K$6:$K$3665,$K2429),Zeiterfassung!$K$6:$K$3665,0))))</f>
        <v/>
      </c>
      <c r="K2429">
        <f>IFERROR(AGGREGATE(15,6,(ROW(Zeiterfassung!$D$6:$D$3665)-ROW(Zeiterfassung!$D$6)+1)/(Zeiterfassung!$D$6:$D$3665&lt;&gt;""),2424),"")</f>
        <v/>
      </c>
    </row>
    <row r="2430" ht="20" customHeight="1">
      <c r="A2430" s="183">
        <f>IF($K2430="","",WEEKNUM(INDEX(Zeiterfassung!$K$6:$K$3665,$K2430),21))</f>
        <v/>
      </c>
      <c r="B2430" s="184">
        <f>IF($K2430="","",INDEX(Zeiterfassung!$K$6:$K$3665,$K2430))</f>
        <v/>
      </c>
      <c r="C2430" s="185">
        <f>IF($K2430="","",INDEX(Zeiterfassung!$K$6:$K$3665,$K2430))</f>
        <v/>
      </c>
      <c r="D2430" s="186">
        <f>IF($K2430="","",INDEX(Zeiterfassung!$D$6:$D$3665,$K2430))</f>
        <v/>
      </c>
      <c r="E2430" s="186">
        <f>IF($K2430="","",INDEX(Zeiterfassung!$E$6:$E$3665,$K2430))</f>
        <v/>
      </c>
      <c r="F2430" s="187">
        <f>IF($K2430="","",INDEX(Zeiterfassung!$F$6:$F$3665,$K2430))</f>
        <v/>
      </c>
      <c r="G2430" s="187">
        <f>IF($K2430="","",INDEX(Zeiterfassung!$G$6:$G$3665,$K2430))</f>
        <v/>
      </c>
      <c r="H2430" s="188">
        <f>IF($K2430="","",INDEX(Zeiterfassung!$H$6:$H$3665,$K2430))</f>
        <v/>
      </c>
      <c r="I2430" s="335">
        <f>IF(B2430=B2429,"",IF($K2430="","",INDEX(Zeiterfassung!$I$6:$I$3665,MATCH(INDEX(Zeiterfassung!$K$6:$K$3665,$K2430),Zeiterfassung!$K$6:$K$3665,0))))</f>
        <v/>
      </c>
      <c r="J2430" s="335">
        <f>IF(B2430=B2429,"",IF($K2430="","",INDEX(Zeiterfassung!$J$6:$J$3665,MATCH(INDEX(Zeiterfassung!$K$6:$K$3665,$K2430),Zeiterfassung!$K$6:$K$3665,0))))</f>
        <v/>
      </c>
      <c r="K2430">
        <f>IFERROR(AGGREGATE(15,6,(ROW(Zeiterfassung!$D$6:$D$3665)-ROW(Zeiterfassung!$D$6)+1)/(Zeiterfassung!$D$6:$D$3665&lt;&gt;""),2425),"")</f>
        <v/>
      </c>
    </row>
    <row r="2431" ht="20" customHeight="1">
      <c r="A2431" s="183">
        <f>IF($K2431="","",WEEKNUM(INDEX(Zeiterfassung!$K$6:$K$3665,$K2431),21))</f>
        <v/>
      </c>
      <c r="B2431" s="184">
        <f>IF($K2431="","",INDEX(Zeiterfassung!$K$6:$K$3665,$K2431))</f>
        <v/>
      </c>
      <c r="C2431" s="185">
        <f>IF($K2431="","",INDEX(Zeiterfassung!$K$6:$K$3665,$K2431))</f>
        <v/>
      </c>
      <c r="D2431" s="186">
        <f>IF($K2431="","",INDEX(Zeiterfassung!$D$6:$D$3665,$K2431))</f>
        <v/>
      </c>
      <c r="E2431" s="186">
        <f>IF($K2431="","",INDEX(Zeiterfassung!$E$6:$E$3665,$K2431))</f>
        <v/>
      </c>
      <c r="F2431" s="187">
        <f>IF($K2431="","",INDEX(Zeiterfassung!$F$6:$F$3665,$K2431))</f>
        <v/>
      </c>
      <c r="G2431" s="187">
        <f>IF($K2431="","",INDEX(Zeiterfassung!$G$6:$G$3665,$K2431))</f>
        <v/>
      </c>
      <c r="H2431" s="188">
        <f>IF($K2431="","",INDEX(Zeiterfassung!$H$6:$H$3665,$K2431))</f>
        <v/>
      </c>
      <c r="I2431" s="335">
        <f>IF(B2431=B2430,"",IF($K2431="","",INDEX(Zeiterfassung!$I$6:$I$3665,MATCH(INDEX(Zeiterfassung!$K$6:$K$3665,$K2431),Zeiterfassung!$K$6:$K$3665,0))))</f>
        <v/>
      </c>
      <c r="J2431" s="335">
        <f>IF(B2431=B2430,"",IF($K2431="","",INDEX(Zeiterfassung!$J$6:$J$3665,MATCH(INDEX(Zeiterfassung!$K$6:$K$3665,$K2431),Zeiterfassung!$K$6:$K$3665,0))))</f>
        <v/>
      </c>
      <c r="K2431">
        <f>IFERROR(AGGREGATE(15,6,(ROW(Zeiterfassung!$D$6:$D$3665)-ROW(Zeiterfassung!$D$6)+1)/(Zeiterfassung!$D$6:$D$3665&lt;&gt;""),2426),"")</f>
        <v/>
      </c>
    </row>
    <row r="2432" ht="20" customHeight="1">
      <c r="A2432" s="183">
        <f>IF($K2432="","",WEEKNUM(INDEX(Zeiterfassung!$K$6:$K$3665,$K2432),21))</f>
        <v/>
      </c>
      <c r="B2432" s="184">
        <f>IF($K2432="","",INDEX(Zeiterfassung!$K$6:$K$3665,$K2432))</f>
        <v/>
      </c>
      <c r="C2432" s="185">
        <f>IF($K2432="","",INDEX(Zeiterfassung!$K$6:$K$3665,$K2432))</f>
        <v/>
      </c>
      <c r="D2432" s="186">
        <f>IF($K2432="","",INDEX(Zeiterfassung!$D$6:$D$3665,$K2432))</f>
        <v/>
      </c>
      <c r="E2432" s="186">
        <f>IF($K2432="","",INDEX(Zeiterfassung!$E$6:$E$3665,$K2432))</f>
        <v/>
      </c>
      <c r="F2432" s="187">
        <f>IF($K2432="","",INDEX(Zeiterfassung!$F$6:$F$3665,$K2432))</f>
        <v/>
      </c>
      <c r="G2432" s="187">
        <f>IF($K2432="","",INDEX(Zeiterfassung!$G$6:$G$3665,$K2432))</f>
        <v/>
      </c>
      <c r="H2432" s="188">
        <f>IF($K2432="","",INDEX(Zeiterfassung!$H$6:$H$3665,$K2432))</f>
        <v/>
      </c>
      <c r="I2432" s="335">
        <f>IF(B2432=B2431,"",IF($K2432="","",INDEX(Zeiterfassung!$I$6:$I$3665,MATCH(INDEX(Zeiterfassung!$K$6:$K$3665,$K2432),Zeiterfassung!$K$6:$K$3665,0))))</f>
        <v/>
      </c>
      <c r="J2432" s="335">
        <f>IF(B2432=B2431,"",IF($K2432="","",INDEX(Zeiterfassung!$J$6:$J$3665,MATCH(INDEX(Zeiterfassung!$K$6:$K$3665,$K2432),Zeiterfassung!$K$6:$K$3665,0))))</f>
        <v/>
      </c>
      <c r="K2432">
        <f>IFERROR(AGGREGATE(15,6,(ROW(Zeiterfassung!$D$6:$D$3665)-ROW(Zeiterfassung!$D$6)+1)/(Zeiterfassung!$D$6:$D$3665&lt;&gt;""),2427),"")</f>
        <v/>
      </c>
    </row>
    <row r="2433" ht="20" customHeight="1">
      <c r="A2433" s="183">
        <f>IF($K2433="","",WEEKNUM(INDEX(Zeiterfassung!$K$6:$K$3665,$K2433),21))</f>
        <v/>
      </c>
      <c r="B2433" s="184">
        <f>IF($K2433="","",INDEX(Zeiterfassung!$K$6:$K$3665,$K2433))</f>
        <v/>
      </c>
      <c r="C2433" s="185">
        <f>IF($K2433="","",INDEX(Zeiterfassung!$K$6:$K$3665,$K2433))</f>
        <v/>
      </c>
      <c r="D2433" s="186">
        <f>IF($K2433="","",INDEX(Zeiterfassung!$D$6:$D$3665,$K2433))</f>
        <v/>
      </c>
      <c r="E2433" s="186">
        <f>IF($K2433="","",INDEX(Zeiterfassung!$E$6:$E$3665,$K2433))</f>
        <v/>
      </c>
      <c r="F2433" s="187">
        <f>IF($K2433="","",INDEX(Zeiterfassung!$F$6:$F$3665,$K2433))</f>
        <v/>
      </c>
      <c r="G2433" s="187">
        <f>IF($K2433="","",INDEX(Zeiterfassung!$G$6:$G$3665,$K2433))</f>
        <v/>
      </c>
      <c r="H2433" s="188">
        <f>IF($K2433="","",INDEX(Zeiterfassung!$H$6:$H$3665,$K2433))</f>
        <v/>
      </c>
      <c r="I2433" s="335">
        <f>IF(B2433=B2432,"",IF($K2433="","",INDEX(Zeiterfassung!$I$6:$I$3665,MATCH(INDEX(Zeiterfassung!$K$6:$K$3665,$K2433),Zeiterfassung!$K$6:$K$3665,0))))</f>
        <v/>
      </c>
      <c r="J2433" s="335">
        <f>IF(B2433=B2432,"",IF($K2433="","",INDEX(Zeiterfassung!$J$6:$J$3665,MATCH(INDEX(Zeiterfassung!$K$6:$K$3665,$K2433),Zeiterfassung!$K$6:$K$3665,0))))</f>
        <v/>
      </c>
      <c r="K2433">
        <f>IFERROR(AGGREGATE(15,6,(ROW(Zeiterfassung!$D$6:$D$3665)-ROW(Zeiterfassung!$D$6)+1)/(Zeiterfassung!$D$6:$D$3665&lt;&gt;""),2428),"")</f>
        <v/>
      </c>
    </row>
    <row r="2434" ht="20" customHeight="1">
      <c r="A2434" s="183">
        <f>IF($K2434="","",WEEKNUM(INDEX(Zeiterfassung!$K$6:$K$3665,$K2434),21))</f>
        <v/>
      </c>
      <c r="B2434" s="184">
        <f>IF($K2434="","",INDEX(Zeiterfassung!$K$6:$K$3665,$K2434))</f>
        <v/>
      </c>
      <c r="C2434" s="185">
        <f>IF($K2434="","",INDEX(Zeiterfassung!$K$6:$K$3665,$K2434))</f>
        <v/>
      </c>
      <c r="D2434" s="186">
        <f>IF($K2434="","",INDEX(Zeiterfassung!$D$6:$D$3665,$K2434))</f>
        <v/>
      </c>
      <c r="E2434" s="186">
        <f>IF($K2434="","",INDEX(Zeiterfassung!$E$6:$E$3665,$K2434))</f>
        <v/>
      </c>
      <c r="F2434" s="187">
        <f>IF($K2434="","",INDEX(Zeiterfassung!$F$6:$F$3665,$K2434))</f>
        <v/>
      </c>
      <c r="G2434" s="187">
        <f>IF($K2434="","",INDEX(Zeiterfassung!$G$6:$G$3665,$K2434))</f>
        <v/>
      </c>
      <c r="H2434" s="188">
        <f>IF($K2434="","",INDEX(Zeiterfassung!$H$6:$H$3665,$K2434))</f>
        <v/>
      </c>
      <c r="I2434" s="335">
        <f>IF(B2434=B2433,"",IF($K2434="","",INDEX(Zeiterfassung!$I$6:$I$3665,MATCH(INDEX(Zeiterfassung!$K$6:$K$3665,$K2434),Zeiterfassung!$K$6:$K$3665,0))))</f>
        <v/>
      </c>
      <c r="J2434" s="335">
        <f>IF(B2434=B2433,"",IF($K2434="","",INDEX(Zeiterfassung!$J$6:$J$3665,MATCH(INDEX(Zeiterfassung!$K$6:$K$3665,$K2434),Zeiterfassung!$K$6:$K$3665,0))))</f>
        <v/>
      </c>
      <c r="K2434">
        <f>IFERROR(AGGREGATE(15,6,(ROW(Zeiterfassung!$D$6:$D$3665)-ROW(Zeiterfassung!$D$6)+1)/(Zeiterfassung!$D$6:$D$3665&lt;&gt;""),2429),"")</f>
        <v/>
      </c>
    </row>
    <row r="2435" ht="20" customHeight="1">
      <c r="A2435" s="183">
        <f>IF($K2435="","",WEEKNUM(INDEX(Zeiterfassung!$K$6:$K$3665,$K2435),21))</f>
        <v/>
      </c>
      <c r="B2435" s="184">
        <f>IF($K2435="","",INDEX(Zeiterfassung!$K$6:$K$3665,$K2435))</f>
        <v/>
      </c>
      <c r="C2435" s="185">
        <f>IF($K2435="","",INDEX(Zeiterfassung!$K$6:$K$3665,$K2435))</f>
        <v/>
      </c>
      <c r="D2435" s="186">
        <f>IF($K2435="","",INDEX(Zeiterfassung!$D$6:$D$3665,$K2435))</f>
        <v/>
      </c>
      <c r="E2435" s="186">
        <f>IF($K2435="","",INDEX(Zeiterfassung!$E$6:$E$3665,$K2435))</f>
        <v/>
      </c>
      <c r="F2435" s="187">
        <f>IF($K2435="","",INDEX(Zeiterfassung!$F$6:$F$3665,$K2435))</f>
        <v/>
      </c>
      <c r="G2435" s="187">
        <f>IF($K2435="","",INDEX(Zeiterfassung!$G$6:$G$3665,$K2435))</f>
        <v/>
      </c>
      <c r="H2435" s="188">
        <f>IF($K2435="","",INDEX(Zeiterfassung!$H$6:$H$3665,$K2435))</f>
        <v/>
      </c>
      <c r="I2435" s="335">
        <f>IF(B2435=B2434,"",IF($K2435="","",INDEX(Zeiterfassung!$I$6:$I$3665,MATCH(INDEX(Zeiterfassung!$K$6:$K$3665,$K2435),Zeiterfassung!$K$6:$K$3665,0))))</f>
        <v/>
      </c>
      <c r="J2435" s="335">
        <f>IF(B2435=B2434,"",IF($K2435="","",INDEX(Zeiterfassung!$J$6:$J$3665,MATCH(INDEX(Zeiterfassung!$K$6:$K$3665,$K2435),Zeiterfassung!$K$6:$K$3665,0))))</f>
        <v/>
      </c>
      <c r="K2435">
        <f>IFERROR(AGGREGATE(15,6,(ROW(Zeiterfassung!$D$6:$D$3665)-ROW(Zeiterfassung!$D$6)+1)/(Zeiterfassung!$D$6:$D$3665&lt;&gt;""),2430),"")</f>
        <v/>
      </c>
    </row>
    <row r="2436" ht="20" customHeight="1">
      <c r="A2436" s="183">
        <f>IF($K2436="","",WEEKNUM(INDEX(Zeiterfassung!$K$6:$K$3665,$K2436),21))</f>
        <v/>
      </c>
      <c r="B2436" s="184">
        <f>IF($K2436="","",INDEX(Zeiterfassung!$K$6:$K$3665,$K2436))</f>
        <v/>
      </c>
      <c r="C2436" s="185">
        <f>IF($K2436="","",INDEX(Zeiterfassung!$K$6:$K$3665,$K2436))</f>
        <v/>
      </c>
      <c r="D2436" s="186">
        <f>IF($K2436="","",INDEX(Zeiterfassung!$D$6:$D$3665,$K2436))</f>
        <v/>
      </c>
      <c r="E2436" s="186">
        <f>IF($K2436="","",INDEX(Zeiterfassung!$E$6:$E$3665,$K2436))</f>
        <v/>
      </c>
      <c r="F2436" s="187">
        <f>IF($K2436="","",INDEX(Zeiterfassung!$F$6:$F$3665,$K2436))</f>
        <v/>
      </c>
      <c r="G2436" s="187">
        <f>IF($K2436="","",INDEX(Zeiterfassung!$G$6:$G$3665,$K2436))</f>
        <v/>
      </c>
      <c r="H2436" s="188">
        <f>IF($K2436="","",INDEX(Zeiterfassung!$H$6:$H$3665,$K2436))</f>
        <v/>
      </c>
      <c r="I2436" s="335">
        <f>IF(B2436=B2435,"",IF($K2436="","",INDEX(Zeiterfassung!$I$6:$I$3665,MATCH(INDEX(Zeiterfassung!$K$6:$K$3665,$K2436),Zeiterfassung!$K$6:$K$3665,0))))</f>
        <v/>
      </c>
      <c r="J2436" s="335">
        <f>IF(B2436=B2435,"",IF($K2436="","",INDEX(Zeiterfassung!$J$6:$J$3665,MATCH(INDEX(Zeiterfassung!$K$6:$K$3665,$K2436),Zeiterfassung!$K$6:$K$3665,0))))</f>
        <v/>
      </c>
      <c r="K2436">
        <f>IFERROR(AGGREGATE(15,6,(ROW(Zeiterfassung!$D$6:$D$3665)-ROW(Zeiterfassung!$D$6)+1)/(Zeiterfassung!$D$6:$D$3665&lt;&gt;""),2431),"")</f>
        <v/>
      </c>
    </row>
    <row r="2437" ht="20" customHeight="1">
      <c r="A2437" s="183">
        <f>IF($K2437="","",WEEKNUM(INDEX(Zeiterfassung!$K$6:$K$3665,$K2437),21))</f>
        <v/>
      </c>
      <c r="B2437" s="184">
        <f>IF($K2437="","",INDEX(Zeiterfassung!$K$6:$K$3665,$K2437))</f>
        <v/>
      </c>
      <c r="C2437" s="185">
        <f>IF($K2437="","",INDEX(Zeiterfassung!$K$6:$K$3665,$K2437))</f>
        <v/>
      </c>
      <c r="D2437" s="186">
        <f>IF($K2437="","",INDEX(Zeiterfassung!$D$6:$D$3665,$K2437))</f>
        <v/>
      </c>
      <c r="E2437" s="186">
        <f>IF($K2437="","",INDEX(Zeiterfassung!$E$6:$E$3665,$K2437))</f>
        <v/>
      </c>
      <c r="F2437" s="187">
        <f>IF($K2437="","",INDEX(Zeiterfassung!$F$6:$F$3665,$K2437))</f>
        <v/>
      </c>
      <c r="G2437" s="187">
        <f>IF($K2437="","",INDEX(Zeiterfassung!$G$6:$G$3665,$K2437))</f>
        <v/>
      </c>
      <c r="H2437" s="188">
        <f>IF($K2437="","",INDEX(Zeiterfassung!$H$6:$H$3665,$K2437))</f>
        <v/>
      </c>
      <c r="I2437" s="335">
        <f>IF(B2437=B2436,"",IF($K2437="","",INDEX(Zeiterfassung!$I$6:$I$3665,MATCH(INDEX(Zeiterfassung!$K$6:$K$3665,$K2437),Zeiterfassung!$K$6:$K$3665,0))))</f>
        <v/>
      </c>
      <c r="J2437" s="335">
        <f>IF(B2437=B2436,"",IF($K2437="","",INDEX(Zeiterfassung!$J$6:$J$3665,MATCH(INDEX(Zeiterfassung!$K$6:$K$3665,$K2437),Zeiterfassung!$K$6:$K$3665,0))))</f>
        <v/>
      </c>
      <c r="K2437">
        <f>IFERROR(AGGREGATE(15,6,(ROW(Zeiterfassung!$D$6:$D$3665)-ROW(Zeiterfassung!$D$6)+1)/(Zeiterfassung!$D$6:$D$3665&lt;&gt;""),2432),"")</f>
        <v/>
      </c>
    </row>
    <row r="2438" ht="20" customHeight="1">
      <c r="A2438" s="183">
        <f>IF($K2438="","",WEEKNUM(INDEX(Zeiterfassung!$K$6:$K$3665,$K2438),21))</f>
        <v/>
      </c>
      <c r="B2438" s="184">
        <f>IF($K2438="","",INDEX(Zeiterfassung!$K$6:$K$3665,$K2438))</f>
        <v/>
      </c>
      <c r="C2438" s="185">
        <f>IF($K2438="","",INDEX(Zeiterfassung!$K$6:$K$3665,$K2438))</f>
        <v/>
      </c>
      <c r="D2438" s="186">
        <f>IF($K2438="","",INDEX(Zeiterfassung!$D$6:$D$3665,$K2438))</f>
        <v/>
      </c>
      <c r="E2438" s="186">
        <f>IF($K2438="","",INDEX(Zeiterfassung!$E$6:$E$3665,$K2438))</f>
        <v/>
      </c>
      <c r="F2438" s="187">
        <f>IF($K2438="","",INDEX(Zeiterfassung!$F$6:$F$3665,$K2438))</f>
        <v/>
      </c>
      <c r="G2438" s="187">
        <f>IF($K2438="","",INDEX(Zeiterfassung!$G$6:$G$3665,$K2438))</f>
        <v/>
      </c>
      <c r="H2438" s="188">
        <f>IF($K2438="","",INDEX(Zeiterfassung!$H$6:$H$3665,$K2438))</f>
        <v/>
      </c>
      <c r="I2438" s="335">
        <f>IF(B2438=B2437,"",IF($K2438="","",INDEX(Zeiterfassung!$I$6:$I$3665,MATCH(INDEX(Zeiterfassung!$K$6:$K$3665,$K2438),Zeiterfassung!$K$6:$K$3665,0))))</f>
        <v/>
      </c>
      <c r="J2438" s="335">
        <f>IF(B2438=B2437,"",IF($K2438="","",INDEX(Zeiterfassung!$J$6:$J$3665,MATCH(INDEX(Zeiterfassung!$K$6:$K$3665,$K2438),Zeiterfassung!$K$6:$K$3665,0))))</f>
        <v/>
      </c>
      <c r="K2438">
        <f>IFERROR(AGGREGATE(15,6,(ROW(Zeiterfassung!$D$6:$D$3665)-ROW(Zeiterfassung!$D$6)+1)/(Zeiterfassung!$D$6:$D$3665&lt;&gt;""),2433),"")</f>
        <v/>
      </c>
    </row>
    <row r="2439" ht="20" customHeight="1">
      <c r="A2439" s="183">
        <f>IF($K2439="","",WEEKNUM(INDEX(Zeiterfassung!$K$6:$K$3665,$K2439),21))</f>
        <v/>
      </c>
      <c r="B2439" s="184">
        <f>IF($K2439="","",INDEX(Zeiterfassung!$K$6:$K$3665,$K2439))</f>
        <v/>
      </c>
      <c r="C2439" s="185">
        <f>IF($K2439="","",INDEX(Zeiterfassung!$K$6:$K$3665,$K2439))</f>
        <v/>
      </c>
      <c r="D2439" s="186">
        <f>IF($K2439="","",INDEX(Zeiterfassung!$D$6:$D$3665,$K2439))</f>
        <v/>
      </c>
      <c r="E2439" s="186">
        <f>IF($K2439="","",INDEX(Zeiterfassung!$E$6:$E$3665,$K2439))</f>
        <v/>
      </c>
      <c r="F2439" s="187">
        <f>IF($K2439="","",INDEX(Zeiterfassung!$F$6:$F$3665,$K2439))</f>
        <v/>
      </c>
      <c r="G2439" s="187">
        <f>IF($K2439="","",INDEX(Zeiterfassung!$G$6:$G$3665,$K2439))</f>
        <v/>
      </c>
      <c r="H2439" s="188">
        <f>IF($K2439="","",INDEX(Zeiterfassung!$H$6:$H$3665,$K2439))</f>
        <v/>
      </c>
      <c r="I2439" s="335">
        <f>IF(B2439=B2438,"",IF($K2439="","",INDEX(Zeiterfassung!$I$6:$I$3665,MATCH(INDEX(Zeiterfassung!$K$6:$K$3665,$K2439),Zeiterfassung!$K$6:$K$3665,0))))</f>
        <v/>
      </c>
      <c r="J2439" s="335">
        <f>IF(B2439=B2438,"",IF($K2439="","",INDEX(Zeiterfassung!$J$6:$J$3665,MATCH(INDEX(Zeiterfassung!$K$6:$K$3665,$K2439),Zeiterfassung!$K$6:$K$3665,0))))</f>
        <v/>
      </c>
      <c r="K2439">
        <f>IFERROR(AGGREGATE(15,6,(ROW(Zeiterfassung!$D$6:$D$3665)-ROW(Zeiterfassung!$D$6)+1)/(Zeiterfassung!$D$6:$D$3665&lt;&gt;""),2434),"")</f>
        <v/>
      </c>
    </row>
    <row r="2440" ht="20" customHeight="1">
      <c r="A2440" s="183">
        <f>IF($K2440="","",WEEKNUM(INDEX(Zeiterfassung!$K$6:$K$3665,$K2440),21))</f>
        <v/>
      </c>
      <c r="B2440" s="184">
        <f>IF($K2440="","",INDEX(Zeiterfassung!$K$6:$K$3665,$K2440))</f>
        <v/>
      </c>
      <c r="C2440" s="185">
        <f>IF($K2440="","",INDEX(Zeiterfassung!$K$6:$K$3665,$K2440))</f>
        <v/>
      </c>
      <c r="D2440" s="186">
        <f>IF($K2440="","",INDEX(Zeiterfassung!$D$6:$D$3665,$K2440))</f>
        <v/>
      </c>
      <c r="E2440" s="186">
        <f>IF($K2440="","",INDEX(Zeiterfassung!$E$6:$E$3665,$K2440))</f>
        <v/>
      </c>
      <c r="F2440" s="187">
        <f>IF($K2440="","",INDEX(Zeiterfassung!$F$6:$F$3665,$K2440))</f>
        <v/>
      </c>
      <c r="G2440" s="187">
        <f>IF($K2440="","",INDEX(Zeiterfassung!$G$6:$G$3665,$K2440))</f>
        <v/>
      </c>
      <c r="H2440" s="188">
        <f>IF($K2440="","",INDEX(Zeiterfassung!$H$6:$H$3665,$K2440))</f>
        <v/>
      </c>
      <c r="I2440" s="335">
        <f>IF(B2440=B2439,"",IF($K2440="","",INDEX(Zeiterfassung!$I$6:$I$3665,MATCH(INDEX(Zeiterfassung!$K$6:$K$3665,$K2440),Zeiterfassung!$K$6:$K$3665,0))))</f>
        <v/>
      </c>
      <c r="J2440" s="335">
        <f>IF(B2440=B2439,"",IF($K2440="","",INDEX(Zeiterfassung!$J$6:$J$3665,MATCH(INDEX(Zeiterfassung!$K$6:$K$3665,$K2440),Zeiterfassung!$K$6:$K$3665,0))))</f>
        <v/>
      </c>
      <c r="K2440">
        <f>IFERROR(AGGREGATE(15,6,(ROW(Zeiterfassung!$D$6:$D$3665)-ROW(Zeiterfassung!$D$6)+1)/(Zeiterfassung!$D$6:$D$3665&lt;&gt;""),2435),"")</f>
        <v/>
      </c>
    </row>
    <row r="2441" ht="20" customHeight="1">
      <c r="A2441" s="183">
        <f>IF($K2441="","",WEEKNUM(INDEX(Zeiterfassung!$K$6:$K$3665,$K2441),21))</f>
        <v/>
      </c>
      <c r="B2441" s="184">
        <f>IF($K2441="","",INDEX(Zeiterfassung!$K$6:$K$3665,$K2441))</f>
        <v/>
      </c>
      <c r="C2441" s="185">
        <f>IF($K2441="","",INDEX(Zeiterfassung!$K$6:$K$3665,$K2441))</f>
        <v/>
      </c>
      <c r="D2441" s="186">
        <f>IF($K2441="","",INDEX(Zeiterfassung!$D$6:$D$3665,$K2441))</f>
        <v/>
      </c>
      <c r="E2441" s="186">
        <f>IF($K2441="","",INDEX(Zeiterfassung!$E$6:$E$3665,$K2441))</f>
        <v/>
      </c>
      <c r="F2441" s="187">
        <f>IF($K2441="","",INDEX(Zeiterfassung!$F$6:$F$3665,$K2441))</f>
        <v/>
      </c>
      <c r="G2441" s="187">
        <f>IF($K2441="","",INDEX(Zeiterfassung!$G$6:$G$3665,$K2441))</f>
        <v/>
      </c>
      <c r="H2441" s="188">
        <f>IF($K2441="","",INDEX(Zeiterfassung!$H$6:$H$3665,$K2441))</f>
        <v/>
      </c>
      <c r="I2441" s="335">
        <f>IF(B2441=B2440,"",IF($K2441="","",INDEX(Zeiterfassung!$I$6:$I$3665,MATCH(INDEX(Zeiterfassung!$K$6:$K$3665,$K2441),Zeiterfassung!$K$6:$K$3665,0))))</f>
        <v/>
      </c>
      <c r="J2441" s="335">
        <f>IF(B2441=B2440,"",IF($K2441="","",INDEX(Zeiterfassung!$J$6:$J$3665,MATCH(INDEX(Zeiterfassung!$K$6:$K$3665,$K2441),Zeiterfassung!$K$6:$K$3665,0))))</f>
        <v/>
      </c>
      <c r="K2441">
        <f>IFERROR(AGGREGATE(15,6,(ROW(Zeiterfassung!$D$6:$D$3665)-ROW(Zeiterfassung!$D$6)+1)/(Zeiterfassung!$D$6:$D$3665&lt;&gt;""),2436),"")</f>
        <v/>
      </c>
    </row>
    <row r="2442" ht="20" customHeight="1">
      <c r="A2442" s="183">
        <f>IF($K2442="","",WEEKNUM(INDEX(Zeiterfassung!$K$6:$K$3665,$K2442),21))</f>
        <v/>
      </c>
      <c r="B2442" s="184">
        <f>IF($K2442="","",INDEX(Zeiterfassung!$K$6:$K$3665,$K2442))</f>
        <v/>
      </c>
      <c r="C2442" s="185">
        <f>IF($K2442="","",INDEX(Zeiterfassung!$K$6:$K$3665,$K2442))</f>
        <v/>
      </c>
      <c r="D2442" s="186">
        <f>IF($K2442="","",INDEX(Zeiterfassung!$D$6:$D$3665,$K2442))</f>
        <v/>
      </c>
      <c r="E2442" s="186">
        <f>IF($K2442="","",INDEX(Zeiterfassung!$E$6:$E$3665,$K2442))</f>
        <v/>
      </c>
      <c r="F2442" s="187">
        <f>IF($K2442="","",INDEX(Zeiterfassung!$F$6:$F$3665,$K2442))</f>
        <v/>
      </c>
      <c r="G2442" s="187">
        <f>IF($K2442="","",INDEX(Zeiterfassung!$G$6:$G$3665,$K2442))</f>
        <v/>
      </c>
      <c r="H2442" s="188">
        <f>IF($K2442="","",INDEX(Zeiterfassung!$H$6:$H$3665,$K2442))</f>
        <v/>
      </c>
      <c r="I2442" s="335">
        <f>IF(B2442=B2441,"",IF($K2442="","",INDEX(Zeiterfassung!$I$6:$I$3665,MATCH(INDEX(Zeiterfassung!$K$6:$K$3665,$K2442),Zeiterfassung!$K$6:$K$3665,0))))</f>
        <v/>
      </c>
      <c r="J2442" s="335">
        <f>IF(B2442=B2441,"",IF($K2442="","",INDEX(Zeiterfassung!$J$6:$J$3665,MATCH(INDEX(Zeiterfassung!$K$6:$K$3665,$K2442),Zeiterfassung!$K$6:$K$3665,0))))</f>
        <v/>
      </c>
      <c r="K2442">
        <f>IFERROR(AGGREGATE(15,6,(ROW(Zeiterfassung!$D$6:$D$3665)-ROW(Zeiterfassung!$D$6)+1)/(Zeiterfassung!$D$6:$D$3665&lt;&gt;""),2437),"")</f>
        <v/>
      </c>
    </row>
    <row r="2443" ht="20" customHeight="1">
      <c r="A2443" s="183">
        <f>IF($K2443="","",WEEKNUM(INDEX(Zeiterfassung!$K$6:$K$3665,$K2443),21))</f>
        <v/>
      </c>
      <c r="B2443" s="184">
        <f>IF($K2443="","",INDEX(Zeiterfassung!$K$6:$K$3665,$K2443))</f>
        <v/>
      </c>
      <c r="C2443" s="185">
        <f>IF($K2443="","",INDEX(Zeiterfassung!$K$6:$K$3665,$K2443))</f>
        <v/>
      </c>
      <c r="D2443" s="186">
        <f>IF($K2443="","",INDEX(Zeiterfassung!$D$6:$D$3665,$K2443))</f>
        <v/>
      </c>
      <c r="E2443" s="186">
        <f>IF($K2443="","",INDEX(Zeiterfassung!$E$6:$E$3665,$K2443))</f>
        <v/>
      </c>
      <c r="F2443" s="187">
        <f>IF($K2443="","",INDEX(Zeiterfassung!$F$6:$F$3665,$K2443))</f>
        <v/>
      </c>
      <c r="G2443" s="187">
        <f>IF($K2443="","",INDEX(Zeiterfassung!$G$6:$G$3665,$K2443))</f>
        <v/>
      </c>
      <c r="H2443" s="188">
        <f>IF($K2443="","",INDEX(Zeiterfassung!$H$6:$H$3665,$K2443))</f>
        <v/>
      </c>
      <c r="I2443" s="335">
        <f>IF(B2443=B2442,"",IF($K2443="","",INDEX(Zeiterfassung!$I$6:$I$3665,MATCH(INDEX(Zeiterfassung!$K$6:$K$3665,$K2443),Zeiterfassung!$K$6:$K$3665,0))))</f>
        <v/>
      </c>
      <c r="J2443" s="335">
        <f>IF(B2443=B2442,"",IF($K2443="","",INDEX(Zeiterfassung!$J$6:$J$3665,MATCH(INDEX(Zeiterfassung!$K$6:$K$3665,$K2443),Zeiterfassung!$K$6:$K$3665,0))))</f>
        <v/>
      </c>
      <c r="K2443">
        <f>IFERROR(AGGREGATE(15,6,(ROW(Zeiterfassung!$D$6:$D$3665)-ROW(Zeiterfassung!$D$6)+1)/(Zeiterfassung!$D$6:$D$3665&lt;&gt;""),2438),"")</f>
        <v/>
      </c>
    </row>
    <row r="2444" ht="20" customHeight="1">
      <c r="A2444" s="183">
        <f>IF($K2444="","",WEEKNUM(INDEX(Zeiterfassung!$K$6:$K$3665,$K2444),21))</f>
        <v/>
      </c>
      <c r="B2444" s="184">
        <f>IF($K2444="","",INDEX(Zeiterfassung!$K$6:$K$3665,$K2444))</f>
        <v/>
      </c>
      <c r="C2444" s="185">
        <f>IF($K2444="","",INDEX(Zeiterfassung!$K$6:$K$3665,$K2444))</f>
        <v/>
      </c>
      <c r="D2444" s="186">
        <f>IF($K2444="","",INDEX(Zeiterfassung!$D$6:$D$3665,$K2444))</f>
        <v/>
      </c>
      <c r="E2444" s="186">
        <f>IF($K2444="","",INDEX(Zeiterfassung!$E$6:$E$3665,$K2444))</f>
        <v/>
      </c>
      <c r="F2444" s="187">
        <f>IF($K2444="","",INDEX(Zeiterfassung!$F$6:$F$3665,$K2444))</f>
        <v/>
      </c>
      <c r="G2444" s="187">
        <f>IF($K2444="","",INDEX(Zeiterfassung!$G$6:$G$3665,$K2444))</f>
        <v/>
      </c>
      <c r="H2444" s="188">
        <f>IF($K2444="","",INDEX(Zeiterfassung!$H$6:$H$3665,$K2444))</f>
        <v/>
      </c>
      <c r="I2444" s="335">
        <f>IF(B2444=B2443,"",IF($K2444="","",INDEX(Zeiterfassung!$I$6:$I$3665,MATCH(INDEX(Zeiterfassung!$K$6:$K$3665,$K2444),Zeiterfassung!$K$6:$K$3665,0))))</f>
        <v/>
      </c>
      <c r="J2444" s="335">
        <f>IF(B2444=B2443,"",IF($K2444="","",INDEX(Zeiterfassung!$J$6:$J$3665,MATCH(INDEX(Zeiterfassung!$K$6:$K$3665,$K2444),Zeiterfassung!$K$6:$K$3665,0))))</f>
        <v/>
      </c>
      <c r="K2444">
        <f>IFERROR(AGGREGATE(15,6,(ROW(Zeiterfassung!$D$6:$D$3665)-ROW(Zeiterfassung!$D$6)+1)/(Zeiterfassung!$D$6:$D$3665&lt;&gt;""),2439),"")</f>
        <v/>
      </c>
    </row>
    <row r="2445" ht="20" customHeight="1">
      <c r="A2445" s="183">
        <f>IF($K2445="","",WEEKNUM(INDEX(Zeiterfassung!$K$6:$K$3665,$K2445),21))</f>
        <v/>
      </c>
      <c r="B2445" s="184">
        <f>IF($K2445="","",INDEX(Zeiterfassung!$K$6:$K$3665,$K2445))</f>
        <v/>
      </c>
      <c r="C2445" s="185">
        <f>IF($K2445="","",INDEX(Zeiterfassung!$K$6:$K$3665,$K2445))</f>
        <v/>
      </c>
      <c r="D2445" s="186">
        <f>IF($K2445="","",INDEX(Zeiterfassung!$D$6:$D$3665,$K2445))</f>
        <v/>
      </c>
      <c r="E2445" s="186">
        <f>IF($K2445="","",INDEX(Zeiterfassung!$E$6:$E$3665,$K2445))</f>
        <v/>
      </c>
      <c r="F2445" s="187">
        <f>IF($K2445="","",INDEX(Zeiterfassung!$F$6:$F$3665,$K2445))</f>
        <v/>
      </c>
      <c r="G2445" s="187">
        <f>IF($K2445="","",INDEX(Zeiterfassung!$G$6:$G$3665,$K2445))</f>
        <v/>
      </c>
      <c r="H2445" s="188">
        <f>IF($K2445="","",INDEX(Zeiterfassung!$H$6:$H$3665,$K2445))</f>
        <v/>
      </c>
      <c r="I2445" s="335">
        <f>IF(B2445=B2444,"",IF($K2445="","",INDEX(Zeiterfassung!$I$6:$I$3665,MATCH(INDEX(Zeiterfassung!$K$6:$K$3665,$K2445),Zeiterfassung!$K$6:$K$3665,0))))</f>
        <v/>
      </c>
      <c r="J2445" s="335">
        <f>IF(B2445=B2444,"",IF($K2445="","",INDEX(Zeiterfassung!$J$6:$J$3665,MATCH(INDEX(Zeiterfassung!$K$6:$K$3665,$K2445),Zeiterfassung!$K$6:$K$3665,0))))</f>
        <v/>
      </c>
      <c r="K2445">
        <f>IFERROR(AGGREGATE(15,6,(ROW(Zeiterfassung!$D$6:$D$3665)-ROW(Zeiterfassung!$D$6)+1)/(Zeiterfassung!$D$6:$D$3665&lt;&gt;""),2440),"")</f>
        <v/>
      </c>
    </row>
    <row r="2446" ht="20" customHeight="1">
      <c r="A2446" s="183">
        <f>IF($K2446="","",WEEKNUM(INDEX(Zeiterfassung!$K$6:$K$3665,$K2446),21))</f>
        <v/>
      </c>
      <c r="B2446" s="184">
        <f>IF($K2446="","",INDEX(Zeiterfassung!$K$6:$K$3665,$K2446))</f>
        <v/>
      </c>
      <c r="C2446" s="185">
        <f>IF($K2446="","",INDEX(Zeiterfassung!$K$6:$K$3665,$K2446))</f>
        <v/>
      </c>
      <c r="D2446" s="186">
        <f>IF($K2446="","",INDEX(Zeiterfassung!$D$6:$D$3665,$K2446))</f>
        <v/>
      </c>
      <c r="E2446" s="186">
        <f>IF($K2446="","",INDEX(Zeiterfassung!$E$6:$E$3665,$K2446))</f>
        <v/>
      </c>
      <c r="F2446" s="187">
        <f>IF($K2446="","",INDEX(Zeiterfassung!$F$6:$F$3665,$K2446))</f>
        <v/>
      </c>
      <c r="G2446" s="187">
        <f>IF($K2446="","",INDEX(Zeiterfassung!$G$6:$G$3665,$K2446))</f>
        <v/>
      </c>
      <c r="H2446" s="188">
        <f>IF($K2446="","",INDEX(Zeiterfassung!$H$6:$H$3665,$K2446))</f>
        <v/>
      </c>
      <c r="I2446" s="335">
        <f>IF(B2446=B2445,"",IF($K2446="","",INDEX(Zeiterfassung!$I$6:$I$3665,MATCH(INDEX(Zeiterfassung!$K$6:$K$3665,$K2446),Zeiterfassung!$K$6:$K$3665,0))))</f>
        <v/>
      </c>
      <c r="J2446" s="335">
        <f>IF(B2446=B2445,"",IF($K2446="","",INDEX(Zeiterfassung!$J$6:$J$3665,MATCH(INDEX(Zeiterfassung!$K$6:$K$3665,$K2446),Zeiterfassung!$K$6:$K$3665,0))))</f>
        <v/>
      </c>
      <c r="K2446">
        <f>IFERROR(AGGREGATE(15,6,(ROW(Zeiterfassung!$D$6:$D$3665)-ROW(Zeiterfassung!$D$6)+1)/(Zeiterfassung!$D$6:$D$3665&lt;&gt;""),2441),"")</f>
        <v/>
      </c>
    </row>
    <row r="2447" ht="20" customHeight="1">
      <c r="A2447" s="183">
        <f>IF($K2447="","",WEEKNUM(INDEX(Zeiterfassung!$K$6:$K$3665,$K2447),21))</f>
        <v/>
      </c>
      <c r="B2447" s="184">
        <f>IF($K2447="","",INDEX(Zeiterfassung!$K$6:$K$3665,$K2447))</f>
        <v/>
      </c>
      <c r="C2447" s="185">
        <f>IF($K2447="","",INDEX(Zeiterfassung!$K$6:$K$3665,$K2447))</f>
        <v/>
      </c>
      <c r="D2447" s="186">
        <f>IF($K2447="","",INDEX(Zeiterfassung!$D$6:$D$3665,$K2447))</f>
        <v/>
      </c>
      <c r="E2447" s="186">
        <f>IF($K2447="","",INDEX(Zeiterfassung!$E$6:$E$3665,$K2447))</f>
        <v/>
      </c>
      <c r="F2447" s="187">
        <f>IF($K2447="","",INDEX(Zeiterfassung!$F$6:$F$3665,$K2447))</f>
        <v/>
      </c>
      <c r="G2447" s="187">
        <f>IF($K2447="","",INDEX(Zeiterfassung!$G$6:$G$3665,$K2447))</f>
        <v/>
      </c>
      <c r="H2447" s="188">
        <f>IF($K2447="","",INDEX(Zeiterfassung!$H$6:$H$3665,$K2447))</f>
        <v/>
      </c>
      <c r="I2447" s="335">
        <f>IF(B2447=B2446,"",IF($K2447="","",INDEX(Zeiterfassung!$I$6:$I$3665,MATCH(INDEX(Zeiterfassung!$K$6:$K$3665,$K2447),Zeiterfassung!$K$6:$K$3665,0))))</f>
        <v/>
      </c>
      <c r="J2447" s="335">
        <f>IF(B2447=B2446,"",IF($K2447="","",INDEX(Zeiterfassung!$J$6:$J$3665,MATCH(INDEX(Zeiterfassung!$K$6:$K$3665,$K2447),Zeiterfassung!$K$6:$K$3665,0))))</f>
        <v/>
      </c>
      <c r="K2447">
        <f>IFERROR(AGGREGATE(15,6,(ROW(Zeiterfassung!$D$6:$D$3665)-ROW(Zeiterfassung!$D$6)+1)/(Zeiterfassung!$D$6:$D$3665&lt;&gt;""),2442),"")</f>
        <v/>
      </c>
    </row>
    <row r="2448" ht="20" customHeight="1">
      <c r="A2448" s="183">
        <f>IF($K2448="","",WEEKNUM(INDEX(Zeiterfassung!$K$6:$K$3665,$K2448),21))</f>
        <v/>
      </c>
      <c r="B2448" s="184">
        <f>IF($K2448="","",INDEX(Zeiterfassung!$K$6:$K$3665,$K2448))</f>
        <v/>
      </c>
      <c r="C2448" s="185">
        <f>IF($K2448="","",INDEX(Zeiterfassung!$K$6:$K$3665,$K2448))</f>
        <v/>
      </c>
      <c r="D2448" s="186">
        <f>IF($K2448="","",INDEX(Zeiterfassung!$D$6:$D$3665,$K2448))</f>
        <v/>
      </c>
      <c r="E2448" s="186">
        <f>IF($K2448="","",INDEX(Zeiterfassung!$E$6:$E$3665,$K2448))</f>
        <v/>
      </c>
      <c r="F2448" s="187">
        <f>IF($K2448="","",INDEX(Zeiterfassung!$F$6:$F$3665,$K2448))</f>
        <v/>
      </c>
      <c r="G2448" s="187">
        <f>IF($K2448="","",INDEX(Zeiterfassung!$G$6:$G$3665,$K2448))</f>
        <v/>
      </c>
      <c r="H2448" s="188">
        <f>IF($K2448="","",INDEX(Zeiterfassung!$H$6:$H$3665,$K2448))</f>
        <v/>
      </c>
      <c r="I2448" s="335">
        <f>IF(B2448=B2447,"",IF($K2448="","",INDEX(Zeiterfassung!$I$6:$I$3665,MATCH(INDEX(Zeiterfassung!$K$6:$K$3665,$K2448),Zeiterfassung!$K$6:$K$3665,0))))</f>
        <v/>
      </c>
      <c r="J2448" s="335">
        <f>IF(B2448=B2447,"",IF($K2448="","",INDEX(Zeiterfassung!$J$6:$J$3665,MATCH(INDEX(Zeiterfassung!$K$6:$K$3665,$K2448),Zeiterfassung!$K$6:$K$3665,0))))</f>
        <v/>
      </c>
      <c r="K2448">
        <f>IFERROR(AGGREGATE(15,6,(ROW(Zeiterfassung!$D$6:$D$3665)-ROW(Zeiterfassung!$D$6)+1)/(Zeiterfassung!$D$6:$D$3665&lt;&gt;""),2443),"")</f>
        <v/>
      </c>
    </row>
    <row r="2449" ht="20" customHeight="1">
      <c r="A2449" s="183">
        <f>IF($K2449="","",WEEKNUM(INDEX(Zeiterfassung!$K$6:$K$3665,$K2449),21))</f>
        <v/>
      </c>
      <c r="B2449" s="184">
        <f>IF($K2449="","",INDEX(Zeiterfassung!$K$6:$K$3665,$K2449))</f>
        <v/>
      </c>
      <c r="C2449" s="185">
        <f>IF($K2449="","",INDEX(Zeiterfassung!$K$6:$K$3665,$K2449))</f>
        <v/>
      </c>
      <c r="D2449" s="186">
        <f>IF($K2449="","",INDEX(Zeiterfassung!$D$6:$D$3665,$K2449))</f>
        <v/>
      </c>
      <c r="E2449" s="186">
        <f>IF($K2449="","",INDEX(Zeiterfassung!$E$6:$E$3665,$K2449))</f>
        <v/>
      </c>
      <c r="F2449" s="187">
        <f>IF($K2449="","",INDEX(Zeiterfassung!$F$6:$F$3665,$K2449))</f>
        <v/>
      </c>
      <c r="G2449" s="187">
        <f>IF($K2449="","",INDEX(Zeiterfassung!$G$6:$G$3665,$K2449))</f>
        <v/>
      </c>
      <c r="H2449" s="188">
        <f>IF($K2449="","",INDEX(Zeiterfassung!$H$6:$H$3665,$K2449))</f>
        <v/>
      </c>
      <c r="I2449" s="335">
        <f>IF(B2449=B2448,"",IF($K2449="","",INDEX(Zeiterfassung!$I$6:$I$3665,MATCH(INDEX(Zeiterfassung!$K$6:$K$3665,$K2449),Zeiterfassung!$K$6:$K$3665,0))))</f>
        <v/>
      </c>
      <c r="J2449" s="335">
        <f>IF(B2449=B2448,"",IF($K2449="","",INDEX(Zeiterfassung!$J$6:$J$3665,MATCH(INDEX(Zeiterfassung!$K$6:$K$3665,$K2449),Zeiterfassung!$K$6:$K$3665,0))))</f>
        <v/>
      </c>
      <c r="K2449">
        <f>IFERROR(AGGREGATE(15,6,(ROW(Zeiterfassung!$D$6:$D$3665)-ROW(Zeiterfassung!$D$6)+1)/(Zeiterfassung!$D$6:$D$3665&lt;&gt;""),2444),"")</f>
        <v/>
      </c>
    </row>
    <row r="2450" ht="20" customHeight="1">
      <c r="A2450" s="183">
        <f>IF($K2450="","",WEEKNUM(INDEX(Zeiterfassung!$K$6:$K$3665,$K2450),21))</f>
        <v/>
      </c>
      <c r="B2450" s="184">
        <f>IF($K2450="","",INDEX(Zeiterfassung!$K$6:$K$3665,$K2450))</f>
        <v/>
      </c>
      <c r="C2450" s="185">
        <f>IF($K2450="","",INDEX(Zeiterfassung!$K$6:$K$3665,$K2450))</f>
        <v/>
      </c>
      <c r="D2450" s="186">
        <f>IF($K2450="","",INDEX(Zeiterfassung!$D$6:$D$3665,$K2450))</f>
        <v/>
      </c>
      <c r="E2450" s="186">
        <f>IF($K2450="","",INDEX(Zeiterfassung!$E$6:$E$3665,$K2450))</f>
        <v/>
      </c>
      <c r="F2450" s="187">
        <f>IF($K2450="","",INDEX(Zeiterfassung!$F$6:$F$3665,$K2450))</f>
        <v/>
      </c>
      <c r="G2450" s="187">
        <f>IF($K2450="","",INDEX(Zeiterfassung!$G$6:$G$3665,$K2450))</f>
        <v/>
      </c>
      <c r="H2450" s="188">
        <f>IF($K2450="","",INDEX(Zeiterfassung!$H$6:$H$3665,$K2450))</f>
        <v/>
      </c>
      <c r="I2450" s="335">
        <f>IF(B2450=B2449,"",IF($K2450="","",INDEX(Zeiterfassung!$I$6:$I$3665,MATCH(INDEX(Zeiterfassung!$K$6:$K$3665,$K2450),Zeiterfassung!$K$6:$K$3665,0))))</f>
        <v/>
      </c>
      <c r="J2450" s="335">
        <f>IF(B2450=B2449,"",IF($K2450="","",INDEX(Zeiterfassung!$J$6:$J$3665,MATCH(INDEX(Zeiterfassung!$K$6:$K$3665,$K2450),Zeiterfassung!$K$6:$K$3665,0))))</f>
        <v/>
      </c>
      <c r="K2450">
        <f>IFERROR(AGGREGATE(15,6,(ROW(Zeiterfassung!$D$6:$D$3665)-ROW(Zeiterfassung!$D$6)+1)/(Zeiterfassung!$D$6:$D$3665&lt;&gt;""),2445),"")</f>
        <v/>
      </c>
    </row>
    <row r="2451" ht="20" customHeight="1">
      <c r="A2451" s="183">
        <f>IF($K2451="","",WEEKNUM(INDEX(Zeiterfassung!$K$6:$K$3665,$K2451),21))</f>
        <v/>
      </c>
      <c r="B2451" s="184">
        <f>IF($K2451="","",INDEX(Zeiterfassung!$K$6:$K$3665,$K2451))</f>
        <v/>
      </c>
      <c r="C2451" s="185">
        <f>IF($K2451="","",INDEX(Zeiterfassung!$K$6:$K$3665,$K2451))</f>
        <v/>
      </c>
      <c r="D2451" s="186">
        <f>IF($K2451="","",INDEX(Zeiterfassung!$D$6:$D$3665,$K2451))</f>
        <v/>
      </c>
      <c r="E2451" s="186">
        <f>IF($K2451="","",INDEX(Zeiterfassung!$E$6:$E$3665,$K2451))</f>
        <v/>
      </c>
      <c r="F2451" s="187">
        <f>IF($K2451="","",INDEX(Zeiterfassung!$F$6:$F$3665,$K2451))</f>
        <v/>
      </c>
      <c r="G2451" s="187">
        <f>IF($K2451="","",INDEX(Zeiterfassung!$G$6:$G$3665,$K2451))</f>
        <v/>
      </c>
      <c r="H2451" s="188">
        <f>IF($K2451="","",INDEX(Zeiterfassung!$H$6:$H$3665,$K2451))</f>
        <v/>
      </c>
      <c r="I2451" s="335">
        <f>IF(B2451=B2450,"",IF($K2451="","",INDEX(Zeiterfassung!$I$6:$I$3665,MATCH(INDEX(Zeiterfassung!$K$6:$K$3665,$K2451),Zeiterfassung!$K$6:$K$3665,0))))</f>
        <v/>
      </c>
      <c r="J2451" s="335">
        <f>IF(B2451=B2450,"",IF($K2451="","",INDEX(Zeiterfassung!$J$6:$J$3665,MATCH(INDEX(Zeiterfassung!$K$6:$K$3665,$K2451),Zeiterfassung!$K$6:$K$3665,0))))</f>
        <v/>
      </c>
      <c r="K2451">
        <f>IFERROR(AGGREGATE(15,6,(ROW(Zeiterfassung!$D$6:$D$3665)-ROW(Zeiterfassung!$D$6)+1)/(Zeiterfassung!$D$6:$D$3665&lt;&gt;""),2446),"")</f>
        <v/>
      </c>
    </row>
    <row r="2452" ht="20" customHeight="1">
      <c r="A2452" s="183">
        <f>IF($K2452="","",WEEKNUM(INDEX(Zeiterfassung!$K$6:$K$3665,$K2452),21))</f>
        <v/>
      </c>
      <c r="B2452" s="184">
        <f>IF($K2452="","",INDEX(Zeiterfassung!$K$6:$K$3665,$K2452))</f>
        <v/>
      </c>
      <c r="C2452" s="185">
        <f>IF($K2452="","",INDEX(Zeiterfassung!$K$6:$K$3665,$K2452))</f>
        <v/>
      </c>
      <c r="D2452" s="186">
        <f>IF($K2452="","",INDEX(Zeiterfassung!$D$6:$D$3665,$K2452))</f>
        <v/>
      </c>
      <c r="E2452" s="186">
        <f>IF($K2452="","",INDEX(Zeiterfassung!$E$6:$E$3665,$K2452))</f>
        <v/>
      </c>
      <c r="F2452" s="187">
        <f>IF($K2452="","",INDEX(Zeiterfassung!$F$6:$F$3665,$K2452))</f>
        <v/>
      </c>
      <c r="G2452" s="187">
        <f>IF($K2452="","",INDEX(Zeiterfassung!$G$6:$G$3665,$K2452))</f>
        <v/>
      </c>
      <c r="H2452" s="188">
        <f>IF($K2452="","",INDEX(Zeiterfassung!$H$6:$H$3665,$K2452))</f>
        <v/>
      </c>
      <c r="I2452" s="335">
        <f>IF(B2452=B2451,"",IF($K2452="","",INDEX(Zeiterfassung!$I$6:$I$3665,MATCH(INDEX(Zeiterfassung!$K$6:$K$3665,$K2452),Zeiterfassung!$K$6:$K$3665,0))))</f>
        <v/>
      </c>
      <c r="J2452" s="335">
        <f>IF(B2452=B2451,"",IF($K2452="","",INDEX(Zeiterfassung!$J$6:$J$3665,MATCH(INDEX(Zeiterfassung!$K$6:$K$3665,$K2452),Zeiterfassung!$K$6:$K$3665,0))))</f>
        <v/>
      </c>
      <c r="K2452">
        <f>IFERROR(AGGREGATE(15,6,(ROW(Zeiterfassung!$D$6:$D$3665)-ROW(Zeiterfassung!$D$6)+1)/(Zeiterfassung!$D$6:$D$3665&lt;&gt;""),2447),"")</f>
        <v/>
      </c>
    </row>
    <row r="2453" ht="20" customHeight="1">
      <c r="A2453" s="183">
        <f>IF($K2453="","",WEEKNUM(INDEX(Zeiterfassung!$K$6:$K$3665,$K2453),21))</f>
        <v/>
      </c>
      <c r="B2453" s="184">
        <f>IF($K2453="","",INDEX(Zeiterfassung!$K$6:$K$3665,$K2453))</f>
        <v/>
      </c>
      <c r="C2453" s="185">
        <f>IF($K2453="","",INDEX(Zeiterfassung!$K$6:$K$3665,$K2453))</f>
        <v/>
      </c>
      <c r="D2453" s="186">
        <f>IF($K2453="","",INDEX(Zeiterfassung!$D$6:$D$3665,$K2453))</f>
        <v/>
      </c>
      <c r="E2453" s="186">
        <f>IF($K2453="","",INDEX(Zeiterfassung!$E$6:$E$3665,$K2453))</f>
        <v/>
      </c>
      <c r="F2453" s="187">
        <f>IF($K2453="","",INDEX(Zeiterfassung!$F$6:$F$3665,$K2453))</f>
        <v/>
      </c>
      <c r="G2453" s="187">
        <f>IF($K2453="","",INDEX(Zeiterfassung!$G$6:$G$3665,$K2453))</f>
        <v/>
      </c>
      <c r="H2453" s="188">
        <f>IF($K2453="","",INDEX(Zeiterfassung!$H$6:$H$3665,$K2453))</f>
        <v/>
      </c>
      <c r="I2453" s="335">
        <f>IF(B2453=B2452,"",IF($K2453="","",INDEX(Zeiterfassung!$I$6:$I$3665,MATCH(INDEX(Zeiterfassung!$K$6:$K$3665,$K2453),Zeiterfassung!$K$6:$K$3665,0))))</f>
        <v/>
      </c>
      <c r="J2453" s="335">
        <f>IF(B2453=B2452,"",IF($K2453="","",INDEX(Zeiterfassung!$J$6:$J$3665,MATCH(INDEX(Zeiterfassung!$K$6:$K$3665,$K2453),Zeiterfassung!$K$6:$K$3665,0))))</f>
        <v/>
      </c>
      <c r="K2453">
        <f>IFERROR(AGGREGATE(15,6,(ROW(Zeiterfassung!$D$6:$D$3665)-ROW(Zeiterfassung!$D$6)+1)/(Zeiterfassung!$D$6:$D$3665&lt;&gt;""),2448),"")</f>
        <v/>
      </c>
    </row>
    <row r="2454" ht="20" customHeight="1">
      <c r="A2454" s="183">
        <f>IF($K2454="","",WEEKNUM(INDEX(Zeiterfassung!$K$6:$K$3665,$K2454),21))</f>
        <v/>
      </c>
      <c r="B2454" s="184">
        <f>IF($K2454="","",INDEX(Zeiterfassung!$K$6:$K$3665,$K2454))</f>
        <v/>
      </c>
      <c r="C2454" s="185">
        <f>IF($K2454="","",INDEX(Zeiterfassung!$K$6:$K$3665,$K2454))</f>
        <v/>
      </c>
      <c r="D2454" s="186">
        <f>IF($K2454="","",INDEX(Zeiterfassung!$D$6:$D$3665,$K2454))</f>
        <v/>
      </c>
      <c r="E2454" s="186">
        <f>IF($K2454="","",INDEX(Zeiterfassung!$E$6:$E$3665,$K2454))</f>
        <v/>
      </c>
      <c r="F2454" s="187">
        <f>IF($K2454="","",INDEX(Zeiterfassung!$F$6:$F$3665,$K2454))</f>
        <v/>
      </c>
      <c r="G2454" s="187">
        <f>IF($K2454="","",INDEX(Zeiterfassung!$G$6:$G$3665,$K2454))</f>
        <v/>
      </c>
      <c r="H2454" s="188">
        <f>IF($K2454="","",INDEX(Zeiterfassung!$H$6:$H$3665,$K2454))</f>
        <v/>
      </c>
      <c r="I2454" s="335">
        <f>IF(B2454=B2453,"",IF($K2454="","",INDEX(Zeiterfassung!$I$6:$I$3665,MATCH(INDEX(Zeiterfassung!$K$6:$K$3665,$K2454),Zeiterfassung!$K$6:$K$3665,0))))</f>
        <v/>
      </c>
      <c r="J2454" s="335">
        <f>IF(B2454=B2453,"",IF($K2454="","",INDEX(Zeiterfassung!$J$6:$J$3665,MATCH(INDEX(Zeiterfassung!$K$6:$K$3665,$K2454),Zeiterfassung!$K$6:$K$3665,0))))</f>
        <v/>
      </c>
      <c r="K2454">
        <f>IFERROR(AGGREGATE(15,6,(ROW(Zeiterfassung!$D$6:$D$3665)-ROW(Zeiterfassung!$D$6)+1)/(Zeiterfassung!$D$6:$D$3665&lt;&gt;""),2449),"")</f>
        <v/>
      </c>
    </row>
    <row r="2455" ht="20" customHeight="1">
      <c r="A2455" s="183">
        <f>IF($K2455="","",WEEKNUM(INDEX(Zeiterfassung!$K$6:$K$3665,$K2455),21))</f>
        <v/>
      </c>
      <c r="B2455" s="184">
        <f>IF($K2455="","",INDEX(Zeiterfassung!$K$6:$K$3665,$K2455))</f>
        <v/>
      </c>
      <c r="C2455" s="185">
        <f>IF($K2455="","",INDEX(Zeiterfassung!$K$6:$K$3665,$K2455))</f>
        <v/>
      </c>
      <c r="D2455" s="186">
        <f>IF($K2455="","",INDEX(Zeiterfassung!$D$6:$D$3665,$K2455))</f>
        <v/>
      </c>
      <c r="E2455" s="186">
        <f>IF($K2455="","",INDEX(Zeiterfassung!$E$6:$E$3665,$K2455))</f>
        <v/>
      </c>
      <c r="F2455" s="187">
        <f>IF($K2455="","",INDEX(Zeiterfassung!$F$6:$F$3665,$K2455))</f>
        <v/>
      </c>
      <c r="G2455" s="187">
        <f>IF($K2455="","",INDEX(Zeiterfassung!$G$6:$G$3665,$K2455))</f>
        <v/>
      </c>
      <c r="H2455" s="188">
        <f>IF($K2455="","",INDEX(Zeiterfassung!$H$6:$H$3665,$K2455))</f>
        <v/>
      </c>
      <c r="I2455" s="335">
        <f>IF(B2455=B2454,"",IF($K2455="","",INDEX(Zeiterfassung!$I$6:$I$3665,MATCH(INDEX(Zeiterfassung!$K$6:$K$3665,$K2455),Zeiterfassung!$K$6:$K$3665,0))))</f>
        <v/>
      </c>
      <c r="J2455" s="335">
        <f>IF(B2455=B2454,"",IF($K2455="","",INDEX(Zeiterfassung!$J$6:$J$3665,MATCH(INDEX(Zeiterfassung!$K$6:$K$3665,$K2455),Zeiterfassung!$K$6:$K$3665,0))))</f>
        <v/>
      </c>
      <c r="K2455">
        <f>IFERROR(AGGREGATE(15,6,(ROW(Zeiterfassung!$D$6:$D$3665)-ROW(Zeiterfassung!$D$6)+1)/(Zeiterfassung!$D$6:$D$3665&lt;&gt;""),2450),"")</f>
        <v/>
      </c>
    </row>
    <row r="2456" ht="20" customHeight="1">
      <c r="A2456" s="183">
        <f>IF($K2456="","",WEEKNUM(INDEX(Zeiterfassung!$K$6:$K$3665,$K2456),21))</f>
        <v/>
      </c>
      <c r="B2456" s="184">
        <f>IF($K2456="","",INDEX(Zeiterfassung!$K$6:$K$3665,$K2456))</f>
        <v/>
      </c>
      <c r="C2456" s="185">
        <f>IF($K2456="","",INDEX(Zeiterfassung!$K$6:$K$3665,$K2456))</f>
        <v/>
      </c>
      <c r="D2456" s="186">
        <f>IF($K2456="","",INDEX(Zeiterfassung!$D$6:$D$3665,$K2456))</f>
        <v/>
      </c>
      <c r="E2456" s="186">
        <f>IF($K2456="","",INDEX(Zeiterfassung!$E$6:$E$3665,$K2456))</f>
        <v/>
      </c>
      <c r="F2456" s="187">
        <f>IF($K2456="","",INDEX(Zeiterfassung!$F$6:$F$3665,$K2456))</f>
        <v/>
      </c>
      <c r="G2456" s="187">
        <f>IF($K2456="","",INDEX(Zeiterfassung!$G$6:$G$3665,$K2456))</f>
        <v/>
      </c>
      <c r="H2456" s="188">
        <f>IF($K2456="","",INDEX(Zeiterfassung!$H$6:$H$3665,$K2456))</f>
        <v/>
      </c>
      <c r="I2456" s="335">
        <f>IF(B2456=B2455,"",IF($K2456="","",INDEX(Zeiterfassung!$I$6:$I$3665,MATCH(INDEX(Zeiterfassung!$K$6:$K$3665,$K2456),Zeiterfassung!$K$6:$K$3665,0))))</f>
        <v/>
      </c>
      <c r="J2456" s="335">
        <f>IF(B2456=B2455,"",IF($K2456="","",INDEX(Zeiterfassung!$J$6:$J$3665,MATCH(INDEX(Zeiterfassung!$K$6:$K$3665,$K2456),Zeiterfassung!$K$6:$K$3665,0))))</f>
        <v/>
      </c>
      <c r="K2456">
        <f>IFERROR(AGGREGATE(15,6,(ROW(Zeiterfassung!$D$6:$D$3665)-ROW(Zeiterfassung!$D$6)+1)/(Zeiterfassung!$D$6:$D$3665&lt;&gt;""),2451),"")</f>
        <v/>
      </c>
    </row>
    <row r="2457" ht="20" customHeight="1">
      <c r="A2457" s="183">
        <f>IF($K2457="","",WEEKNUM(INDEX(Zeiterfassung!$K$6:$K$3665,$K2457),21))</f>
        <v/>
      </c>
      <c r="B2457" s="184">
        <f>IF($K2457="","",INDEX(Zeiterfassung!$K$6:$K$3665,$K2457))</f>
        <v/>
      </c>
      <c r="C2457" s="185">
        <f>IF($K2457="","",INDEX(Zeiterfassung!$K$6:$K$3665,$K2457))</f>
        <v/>
      </c>
      <c r="D2457" s="186">
        <f>IF($K2457="","",INDEX(Zeiterfassung!$D$6:$D$3665,$K2457))</f>
        <v/>
      </c>
      <c r="E2457" s="186">
        <f>IF($K2457="","",INDEX(Zeiterfassung!$E$6:$E$3665,$K2457))</f>
        <v/>
      </c>
      <c r="F2457" s="187">
        <f>IF($K2457="","",INDEX(Zeiterfassung!$F$6:$F$3665,$K2457))</f>
        <v/>
      </c>
      <c r="G2457" s="187">
        <f>IF($K2457="","",INDEX(Zeiterfassung!$G$6:$G$3665,$K2457))</f>
        <v/>
      </c>
      <c r="H2457" s="188">
        <f>IF($K2457="","",INDEX(Zeiterfassung!$H$6:$H$3665,$K2457))</f>
        <v/>
      </c>
      <c r="I2457" s="335">
        <f>IF(B2457=B2456,"",IF($K2457="","",INDEX(Zeiterfassung!$I$6:$I$3665,MATCH(INDEX(Zeiterfassung!$K$6:$K$3665,$K2457),Zeiterfassung!$K$6:$K$3665,0))))</f>
        <v/>
      </c>
      <c r="J2457" s="335">
        <f>IF(B2457=B2456,"",IF($K2457="","",INDEX(Zeiterfassung!$J$6:$J$3665,MATCH(INDEX(Zeiterfassung!$K$6:$K$3665,$K2457),Zeiterfassung!$K$6:$K$3665,0))))</f>
        <v/>
      </c>
      <c r="K2457">
        <f>IFERROR(AGGREGATE(15,6,(ROW(Zeiterfassung!$D$6:$D$3665)-ROW(Zeiterfassung!$D$6)+1)/(Zeiterfassung!$D$6:$D$3665&lt;&gt;""),2452),"")</f>
        <v/>
      </c>
    </row>
    <row r="2458" ht="20" customHeight="1">
      <c r="A2458" s="183">
        <f>IF($K2458="","",WEEKNUM(INDEX(Zeiterfassung!$K$6:$K$3665,$K2458),21))</f>
        <v/>
      </c>
      <c r="B2458" s="184">
        <f>IF($K2458="","",INDEX(Zeiterfassung!$K$6:$K$3665,$K2458))</f>
        <v/>
      </c>
      <c r="C2458" s="185">
        <f>IF($K2458="","",INDEX(Zeiterfassung!$K$6:$K$3665,$K2458))</f>
        <v/>
      </c>
      <c r="D2458" s="186">
        <f>IF($K2458="","",INDEX(Zeiterfassung!$D$6:$D$3665,$K2458))</f>
        <v/>
      </c>
      <c r="E2458" s="186">
        <f>IF($K2458="","",INDEX(Zeiterfassung!$E$6:$E$3665,$K2458))</f>
        <v/>
      </c>
      <c r="F2458" s="187">
        <f>IF($K2458="","",INDEX(Zeiterfassung!$F$6:$F$3665,$K2458))</f>
        <v/>
      </c>
      <c r="G2458" s="187">
        <f>IF($K2458="","",INDEX(Zeiterfassung!$G$6:$G$3665,$K2458))</f>
        <v/>
      </c>
      <c r="H2458" s="188">
        <f>IF($K2458="","",INDEX(Zeiterfassung!$H$6:$H$3665,$K2458))</f>
        <v/>
      </c>
      <c r="I2458" s="335">
        <f>IF(B2458=B2457,"",IF($K2458="","",INDEX(Zeiterfassung!$I$6:$I$3665,MATCH(INDEX(Zeiterfassung!$K$6:$K$3665,$K2458),Zeiterfassung!$K$6:$K$3665,0))))</f>
        <v/>
      </c>
      <c r="J2458" s="335">
        <f>IF(B2458=B2457,"",IF($K2458="","",INDEX(Zeiterfassung!$J$6:$J$3665,MATCH(INDEX(Zeiterfassung!$K$6:$K$3665,$K2458),Zeiterfassung!$K$6:$K$3665,0))))</f>
        <v/>
      </c>
      <c r="K2458">
        <f>IFERROR(AGGREGATE(15,6,(ROW(Zeiterfassung!$D$6:$D$3665)-ROW(Zeiterfassung!$D$6)+1)/(Zeiterfassung!$D$6:$D$3665&lt;&gt;""),2453),"")</f>
        <v/>
      </c>
    </row>
    <row r="2459" ht="20" customHeight="1">
      <c r="A2459" s="183">
        <f>IF($K2459="","",WEEKNUM(INDEX(Zeiterfassung!$K$6:$K$3665,$K2459),21))</f>
        <v/>
      </c>
      <c r="B2459" s="184">
        <f>IF($K2459="","",INDEX(Zeiterfassung!$K$6:$K$3665,$K2459))</f>
        <v/>
      </c>
      <c r="C2459" s="185">
        <f>IF($K2459="","",INDEX(Zeiterfassung!$K$6:$K$3665,$K2459))</f>
        <v/>
      </c>
      <c r="D2459" s="186">
        <f>IF($K2459="","",INDEX(Zeiterfassung!$D$6:$D$3665,$K2459))</f>
        <v/>
      </c>
      <c r="E2459" s="186">
        <f>IF($K2459="","",INDEX(Zeiterfassung!$E$6:$E$3665,$K2459))</f>
        <v/>
      </c>
      <c r="F2459" s="187">
        <f>IF($K2459="","",INDEX(Zeiterfassung!$F$6:$F$3665,$K2459))</f>
        <v/>
      </c>
      <c r="G2459" s="187">
        <f>IF($K2459="","",INDEX(Zeiterfassung!$G$6:$G$3665,$K2459))</f>
        <v/>
      </c>
      <c r="H2459" s="188">
        <f>IF($K2459="","",INDEX(Zeiterfassung!$H$6:$H$3665,$K2459))</f>
        <v/>
      </c>
      <c r="I2459" s="335">
        <f>IF(B2459=B2458,"",IF($K2459="","",INDEX(Zeiterfassung!$I$6:$I$3665,MATCH(INDEX(Zeiterfassung!$K$6:$K$3665,$K2459),Zeiterfassung!$K$6:$K$3665,0))))</f>
        <v/>
      </c>
      <c r="J2459" s="335">
        <f>IF(B2459=B2458,"",IF($K2459="","",INDEX(Zeiterfassung!$J$6:$J$3665,MATCH(INDEX(Zeiterfassung!$K$6:$K$3665,$K2459),Zeiterfassung!$K$6:$K$3665,0))))</f>
        <v/>
      </c>
      <c r="K2459">
        <f>IFERROR(AGGREGATE(15,6,(ROW(Zeiterfassung!$D$6:$D$3665)-ROW(Zeiterfassung!$D$6)+1)/(Zeiterfassung!$D$6:$D$3665&lt;&gt;""),2454),"")</f>
        <v/>
      </c>
    </row>
    <row r="2460" ht="20" customHeight="1">
      <c r="A2460" s="183">
        <f>IF($K2460="","",WEEKNUM(INDEX(Zeiterfassung!$K$6:$K$3665,$K2460),21))</f>
        <v/>
      </c>
      <c r="B2460" s="184">
        <f>IF($K2460="","",INDEX(Zeiterfassung!$K$6:$K$3665,$K2460))</f>
        <v/>
      </c>
      <c r="C2460" s="185">
        <f>IF($K2460="","",INDEX(Zeiterfassung!$K$6:$K$3665,$K2460))</f>
        <v/>
      </c>
      <c r="D2460" s="186">
        <f>IF($K2460="","",INDEX(Zeiterfassung!$D$6:$D$3665,$K2460))</f>
        <v/>
      </c>
      <c r="E2460" s="186">
        <f>IF($K2460="","",INDEX(Zeiterfassung!$E$6:$E$3665,$K2460))</f>
        <v/>
      </c>
      <c r="F2460" s="187">
        <f>IF($K2460="","",INDEX(Zeiterfassung!$F$6:$F$3665,$K2460))</f>
        <v/>
      </c>
      <c r="G2460" s="187">
        <f>IF($K2460="","",INDEX(Zeiterfassung!$G$6:$G$3665,$K2460))</f>
        <v/>
      </c>
      <c r="H2460" s="188">
        <f>IF($K2460="","",INDEX(Zeiterfassung!$H$6:$H$3665,$K2460))</f>
        <v/>
      </c>
      <c r="I2460" s="335">
        <f>IF(B2460=B2459,"",IF($K2460="","",INDEX(Zeiterfassung!$I$6:$I$3665,MATCH(INDEX(Zeiterfassung!$K$6:$K$3665,$K2460),Zeiterfassung!$K$6:$K$3665,0))))</f>
        <v/>
      </c>
      <c r="J2460" s="335">
        <f>IF(B2460=B2459,"",IF($K2460="","",INDEX(Zeiterfassung!$J$6:$J$3665,MATCH(INDEX(Zeiterfassung!$K$6:$K$3665,$K2460),Zeiterfassung!$K$6:$K$3665,0))))</f>
        <v/>
      </c>
      <c r="K2460">
        <f>IFERROR(AGGREGATE(15,6,(ROW(Zeiterfassung!$D$6:$D$3665)-ROW(Zeiterfassung!$D$6)+1)/(Zeiterfassung!$D$6:$D$3665&lt;&gt;""),2455),"")</f>
        <v/>
      </c>
    </row>
    <row r="2461" ht="20" customHeight="1">
      <c r="A2461" s="183">
        <f>IF($K2461="","",WEEKNUM(INDEX(Zeiterfassung!$K$6:$K$3665,$K2461),21))</f>
        <v/>
      </c>
      <c r="B2461" s="184">
        <f>IF($K2461="","",INDEX(Zeiterfassung!$K$6:$K$3665,$K2461))</f>
        <v/>
      </c>
      <c r="C2461" s="185">
        <f>IF($K2461="","",INDEX(Zeiterfassung!$K$6:$K$3665,$K2461))</f>
        <v/>
      </c>
      <c r="D2461" s="186">
        <f>IF($K2461="","",INDEX(Zeiterfassung!$D$6:$D$3665,$K2461))</f>
        <v/>
      </c>
      <c r="E2461" s="186">
        <f>IF($K2461="","",INDEX(Zeiterfassung!$E$6:$E$3665,$K2461))</f>
        <v/>
      </c>
      <c r="F2461" s="187">
        <f>IF($K2461="","",INDEX(Zeiterfassung!$F$6:$F$3665,$K2461))</f>
        <v/>
      </c>
      <c r="G2461" s="187">
        <f>IF($K2461="","",INDEX(Zeiterfassung!$G$6:$G$3665,$K2461))</f>
        <v/>
      </c>
      <c r="H2461" s="188">
        <f>IF($K2461="","",INDEX(Zeiterfassung!$H$6:$H$3665,$K2461))</f>
        <v/>
      </c>
      <c r="I2461" s="335">
        <f>IF(B2461=B2460,"",IF($K2461="","",INDEX(Zeiterfassung!$I$6:$I$3665,MATCH(INDEX(Zeiterfassung!$K$6:$K$3665,$K2461),Zeiterfassung!$K$6:$K$3665,0))))</f>
        <v/>
      </c>
      <c r="J2461" s="335">
        <f>IF(B2461=B2460,"",IF($K2461="","",INDEX(Zeiterfassung!$J$6:$J$3665,MATCH(INDEX(Zeiterfassung!$K$6:$K$3665,$K2461),Zeiterfassung!$K$6:$K$3665,0))))</f>
        <v/>
      </c>
      <c r="K2461">
        <f>IFERROR(AGGREGATE(15,6,(ROW(Zeiterfassung!$D$6:$D$3665)-ROW(Zeiterfassung!$D$6)+1)/(Zeiterfassung!$D$6:$D$3665&lt;&gt;""),2456),"")</f>
        <v/>
      </c>
    </row>
    <row r="2462" ht="20" customHeight="1">
      <c r="A2462" s="183">
        <f>IF($K2462="","",WEEKNUM(INDEX(Zeiterfassung!$K$6:$K$3665,$K2462),21))</f>
        <v/>
      </c>
      <c r="B2462" s="184">
        <f>IF($K2462="","",INDEX(Zeiterfassung!$K$6:$K$3665,$K2462))</f>
        <v/>
      </c>
      <c r="C2462" s="185">
        <f>IF($K2462="","",INDEX(Zeiterfassung!$K$6:$K$3665,$K2462))</f>
        <v/>
      </c>
      <c r="D2462" s="186">
        <f>IF($K2462="","",INDEX(Zeiterfassung!$D$6:$D$3665,$K2462))</f>
        <v/>
      </c>
      <c r="E2462" s="186">
        <f>IF($K2462="","",INDEX(Zeiterfassung!$E$6:$E$3665,$K2462))</f>
        <v/>
      </c>
      <c r="F2462" s="187">
        <f>IF($K2462="","",INDEX(Zeiterfassung!$F$6:$F$3665,$K2462))</f>
        <v/>
      </c>
      <c r="G2462" s="187">
        <f>IF($K2462="","",INDEX(Zeiterfassung!$G$6:$G$3665,$K2462))</f>
        <v/>
      </c>
      <c r="H2462" s="188">
        <f>IF($K2462="","",INDEX(Zeiterfassung!$H$6:$H$3665,$K2462))</f>
        <v/>
      </c>
      <c r="I2462" s="335">
        <f>IF(B2462=B2461,"",IF($K2462="","",INDEX(Zeiterfassung!$I$6:$I$3665,MATCH(INDEX(Zeiterfassung!$K$6:$K$3665,$K2462),Zeiterfassung!$K$6:$K$3665,0))))</f>
        <v/>
      </c>
      <c r="J2462" s="335">
        <f>IF(B2462=B2461,"",IF($K2462="","",INDEX(Zeiterfassung!$J$6:$J$3665,MATCH(INDEX(Zeiterfassung!$K$6:$K$3665,$K2462),Zeiterfassung!$K$6:$K$3665,0))))</f>
        <v/>
      </c>
      <c r="K2462">
        <f>IFERROR(AGGREGATE(15,6,(ROW(Zeiterfassung!$D$6:$D$3665)-ROW(Zeiterfassung!$D$6)+1)/(Zeiterfassung!$D$6:$D$3665&lt;&gt;""),2457),"")</f>
        <v/>
      </c>
    </row>
    <row r="2463" ht="20" customHeight="1">
      <c r="A2463" s="183">
        <f>IF($K2463="","",WEEKNUM(INDEX(Zeiterfassung!$K$6:$K$3665,$K2463),21))</f>
        <v/>
      </c>
      <c r="B2463" s="184">
        <f>IF($K2463="","",INDEX(Zeiterfassung!$K$6:$K$3665,$K2463))</f>
        <v/>
      </c>
      <c r="C2463" s="185">
        <f>IF($K2463="","",INDEX(Zeiterfassung!$K$6:$K$3665,$K2463))</f>
        <v/>
      </c>
      <c r="D2463" s="186">
        <f>IF($K2463="","",INDEX(Zeiterfassung!$D$6:$D$3665,$K2463))</f>
        <v/>
      </c>
      <c r="E2463" s="186">
        <f>IF($K2463="","",INDEX(Zeiterfassung!$E$6:$E$3665,$K2463))</f>
        <v/>
      </c>
      <c r="F2463" s="187">
        <f>IF($K2463="","",INDEX(Zeiterfassung!$F$6:$F$3665,$K2463))</f>
        <v/>
      </c>
      <c r="G2463" s="187">
        <f>IF($K2463="","",INDEX(Zeiterfassung!$G$6:$G$3665,$K2463))</f>
        <v/>
      </c>
      <c r="H2463" s="188">
        <f>IF($K2463="","",INDEX(Zeiterfassung!$H$6:$H$3665,$K2463))</f>
        <v/>
      </c>
      <c r="I2463" s="335">
        <f>IF(B2463=B2462,"",IF($K2463="","",INDEX(Zeiterfassung!$I$6:$I$3665,MATCH(INDEX(Zeiterfassung!$K$6:$K$3665,$K2463),Zeiterfassung!$K$6:$K$3665,0))))</f>
        <v/>
      </c>
      <c r="J2463" s="335">
        <f>IF(B2463=B2462,"",IF($K2463="","",INDEX(Zeiterfassung!$J$6:$J$3665,MATCH(INDEX(Zeiterfassung!$K$6:$K$3665,$K2463),Zeiterfassung!$K$6:$K$3665,0))))</f>
        <v/>
      </c>
      <c r="K2463">
        <f>IFERROR(AGGREGATE(15,6,(ROW(Zeiterfassung!$D$6:$D$3665)-ROW(Zeiterfassung!$D$6)+1)/(Zeiterfassung!$D$6:$D$3665&lt;&gt;""),2458),"")</f>
        <v/>
      </c>
    </row>
    <row r="2464" ht="20" customHeight="1">
      <c r="A2464" s="183">
        <f>IF($K2464="","",WEEKNUM(INDEX(Zeiterfassung!$K$6:$K$3665,$K2464),21))</f>
        <v/>
      </c>
      <c r="B2464" s="184">
        <f>IF($K2464="","",INDEX(Zeiterfassung!$K$6:$K$3665,$K2464))</f>
        <v/>
      </c>
      <c r="C2464" s="185">
        <f>IF($K2464="","",INDEX(Zeiterfassung!$K$6:$K$3665,$K2464))</f>
        <v/>
      </c>
      <c r="D2464" s="186">
        <f>IF($K2464="","",INDEX(Zeiterfassung!$D$6:$D$3665,$K2464))</f>
        <v/>
      </c>
      <c r="E2464" s="186">
        <f>IF($K2464="","",INDEX(Zeiterfassung!$E$6:$E$3665,$K2464))</f>
        <v/>
      </c>
      <c r="F2464" s="187">
        <f>IF($K2464="","",INDEX(Zeiterfassung!$F$6:$F$3665,$K2464))</f>
        <v/>
      </c>
      <c r="G2464" s="187">
        <f>IF($K2464="","",INDEX(Zeiterfassung!$G$6:$G$3665,$K2464))</f>
        <v/>
      </c>
      <c r="H2464" s="188">
        <f>IF($K2464="","",INDEX(Zeiterfassung!$H$6:$H$3665,$K2464))</f>
        <v/>
      </c>
      <c r="I2464" s="335">
        <f>IF(B2464=B2463,"",IF($K2464="","",INDEX(Zeiterfassung!$I$6:$I$3665,MATCH(INDEX(Zeiterfassung!$K$6:$K$3665,$K2464),Zeiterfassung!$K$6:$K$3665,0))))</f>
        <v/>
      </c>
      <c r="J2464" s="335">
        <f>IF(B2464=B2463,"",IF($K2464="","",INDEX(Zeiterfassung!$J$6:$J$3665,MATCH(INDEX(Zeiterfassung!$K$6:$K$3665,$K2464),Zeiterfassung!$K$6:$K$3665,0))))</f>
        <v/>
      </c>
      <c r="K2464">
        <f>IFERROR(AGGREGATE(15,6,(ROW(Zeiterfassung!$D$6:$D$3665)-ROW(Zeiterfassung!$D$6)+1)/(Zeiterfassung!$D$6:$D$3665&lt;&gt;""),2459),"")</f>
        <v/>
      </c>
    </row>
    <row r="2465" ht="20" customHeight="1">
      <c r="A2465" s="183">
        <f>IF($K2465="","",WEEKNUM(INDEX(Zeiterfassung!$K$6:$K$3665,$K2465),21))</f>
        <v/>
      </c>
      <c r="B2465" s="184">
        <f>IF($K2465="","",INDEX(Zeiterfassung!$K$6:$K$3665,$K2465))</f>
        <v/>
      </c>
      <c r="C2465" s="185">
        <f>IF($K2465="","",INDEX(Zeiterfassung!$K$6:$K$3665,$K2465))</f>
        <v/>
      </c>
      <c r="D2465" s="186">
        <f>IF($K2465="","",INDEX(Zeiterfassung!$D$6:$D$3665,$K2465))</f>
        <v/>
      </c>
      <c r="E2465" s="186">
        <f>IF($K2465="","",INDEX(Zeiterfassung!$E$6:$E$3665,$K2465))</f>
        <v/>
      </c>
      <c r="F2465" s="187">
        <f>IF($K2465="","",INDEX(Zeiterfassung!$F$6:$F$3665,$K2465))</f>
        <v/>
      </c>
      <c r="G2465" s="187">
        <f>IF($K2465="","",INDEX(Zeiterfassung!$G$6:$G$3665,$K2465))</f>
        <v/>
      </c>
      <c r="H2465" s="188">
        <f>IF($K2465="","",INDEX(Zeiterfassung!$H$6:$H$3665,$K2465))</f>
        <v/>
      </c>
      <c r="I2465" s="335">
        <f>IF(B2465=B2464,"",IF($K2465="","",INDEX(Zeiterfassung!$I$6:$I$3665,MATCH(INDEX(Zeiterfassung!$K$6:$K$3665,$K2465),Zeiterfassung!$K$6:$K$3665,0))))</f>
        <v/>
      </c>
      <c r="J2465" s="335">
        <f>IF(B2465=B2464,"",IF($K2465="","",INDEX(Zeiterfassung!$J$6:$J$3665,MATCH(INDEX(Zeiterfassung!$K$6:$K$3665,$K2465),Zeiterfassung!$K$6:$K$3665,0))))</f>
        <v/>
      </c>
      <c r="K2465">
        <f>IFERROR(AGGREGATE(15,6,(ROW(Zeiterfassung!$D$6:$D$3665)-ROW(Zeiterfassung!$D$6)+1)/(Zeiterfassung!$D$6:$D$3665&lt;&gt;""),2460),"")</f>
        <v/>
      </c>
    </row>
    <row r="2466" ht="20" customHeight="1">
      <c r="A2466" s="183">
        <f>IF($K2466="","",WEEKNUM(INDEX(Zeiterfassung!$K$6:$K$3665,$K2466),21))</f>
        <v/>
      </c>
      <c r="B2466" s="184">
        <f>IF($K2466="","",INDEX(Zeiterfassung!$K$6:$K$3665,$K2466))</f>
        <v/>
      </c>
      <c r="C2466" s="185">
        <f>IF($K2466="","",INDEX(Zeiterfassung!$K$6:$K$3665,$K2466))</f>
        <v/>
      </c>
      <c r="D2466" s="186">
        <f>IF($K2466="","",INDEX(Zeiterfassung!$D$6:$D$3665,$K2466))</f>
        <v/>
      </c>
      <c r="E2466" s="186">
        <f>IF($K2466="","",INDEX(Zeiterfassung!$E$6:$E$3665,$K2466))</f>
        <v/>
      </c>
      <c r="F2466" s="187">
        <f>IF($K2466="","",INDEX(Zeiterfassung!$F$6:$F$3665,$K2466))</f>
        <v/>
      </c>
      <c r="G2466" s="187">
        <f>IF($K2466="","",INDEX(Zeiterfassung!$G$6:$G$3665,$K2466))</f>
        <v/>
      </c>
      <c r="H2466" s="188">
        <f>IF($K2466="","",INDEX(Zeiterfassung!$H$6:$H$3665,$K2466))</f>
        <v/>
      </c>
      <c r="I2466" s="335">
        <f>IF(B2466=B2465,"",IF($K2466="","",INDEX(Zeiterfassung!$I$6:$I$3665,MATCH(INDEX(Zeiterfassung!$K$6:$K$3665,$K2466),Zeiterfassung!$K$6:$K$3665,0))))</f>
        <v/>
      </c>
      <c r="J2466" s="335">
        <f>IF(B2466=B2465,"",IF($K2466="","",INDEX(Zeiterfassung!$J$6:$J$3665,MATCH(INDEX(Zeiterfassung!$K$6:$K$3665,$K2466),Zeiterfassung!$K$6:$K$3665,0))))</f>
        <v/>
      </c>
      <c r="K2466">
        <f>IFERROR(AGGREGATE(15,6,(ROW(Zeiterfassung!$D$6:$D$3665)-ROW(Zeiterfassung!$D$6)+1)/(Zeiterfassung!$D$6:$D$3665&lt;&gt;""),2461),"")</f>
        <v/>
      </c>
    </row>
    <row r="2467" ht="20" customHeight="1">
      <c r="A2467" s="183">
        <f>IF($K2467="","",WEEKNUM(INDEX(Zeiterfassung!$K$6:$K$3665,$K2467),21))</f>
        <v/>
      </c>
      <c r="B2467" s="184">
        <f>IF($K2467="","",INDEX(Zeiterfassung!$K$6:$K$3665,$K2467))</f>
        <v/>
      </c>
      <c r="C2467" s="185">
        <f>IF($K2467="","",INDEX(Zeiterfassung!$K$6:$K$3665,$K2467))</f>
        <v/>
      </c>
      <c r="D2467" s="186">
        <f>IF($K2467="","",INDEX(Zeiterfassung!$D$6:$D$3665,$K2467))</f>
        <v/>
      </c>
      <c r="E2467" s="186">
        <f>IF($K2467="","",INDEX(Zeiterfassung!$E$6:$E$3665,$K2467))</f>
        <v/>
      </c>
      <c r="F2467" s="187">
        <f>IF($K2467="","",INDEX(Zeiterfassung!$F$6:$F$3665,$K2467))</f>
        <v/>
      </c>
      <c r="G2467" s="187">
        <f>IF($K2467="","",INDEX(Zeiterfassung!$G$6:$G$3665,$K2467))</f>
        <v/>
      </c>
      <c r="H2467" s="188">
        <f>IF($K2467="","",INDEX(Zeiterfassung!$H$6:$H$3665,$K2467))</f>
        <v/>
      </c>
      <c r="I2467" s="335">
        <f>IF(B2467=B2466,"",IF($K2467="","",INDEX(Zeiterfassung!$I$6:$I$3665,MATCH(INDEX(Zeiterfassung!$K$6:$K$3665,$K2467),Zeiterfassung!$K$6:$K$3665,0))))</f>
        <v/>
      </c>
      <c r="J2467" s="335">
        <f>IF(B2467=B2466,"",IF($K2467="","",INDEX(Zeiterfassung!$J$6:$J$3665,MATCH(INDEX(Zeiterfassung!$K$6:$K$3665,$K2467),Zeiterfassung!$K$6:$K$3665,0))))</f>
        <v/>
      </c>
      <c r="K2467">
        <f>IFERROR(AGGREGATE(15,6,(ROW(Zeiterfassung!$D$6:$D$3665)-ROW(Zeiterfassung!$D$6)+1)/(Zeiterfassung!$D$6:$D$3665&lt;&gt;""),2462),"")</f>
        <v/>
      </c>
    </row>
    <row r="2468" ht="20" customHeight="1">
      <c r="A2468" s="183">
        <f>IF($K2468="","",WEEKNUM(INDEX(Zeiterfassung!$K$6:$K$3665,$K2468),21))</f>
        <v/>
      </c>
      <c r="B2468" s="184">
        <f>IF($K2468="","",INDEX(Zeiterfassung!$K$6:$K$3665,$K2468))</f>
        <v/>
      </c>
      <c r="C2468" s="185">
        <f>IF($K2468="","",INDEX(Zeiterfassung!$K$6:$K$3665,$K2468))</f>
        <v/>
      </c>
      <c r="D2468" s="186">
        <f>IF($K2468="","",INDEX(Zeiterfassung!$D$6:$D$3665,$K2468))</f>
        <v/>
      </c>
      <c r="E2468" s="186">
        <f>IF($K2468="","",INDEX(Zeiterfassung!$E$6:$E$3665,$K2468))</f>
        <v/>
      </c>
      <c r="F2468" s="187">
        <f>IF($K2468="","",INDEX(Zeiterfassung!$F$6:$F$3665,$K2468))</f>
        <v/>
      </c>
      <c r="G2468" s="187">
        <f>IF($K2468="","",INDEX(Zeiterfassung!$G$6:$G$3665,$K2468))</f>
        <v/>
      </c>
      <c r="H2468" s="188">
        <f>IF($K2468="","",INDEX(Zeiterfassung!$H$6:$H$3665,$K2468))</f>
        <v/>
      </c>
      <c r="I2468" s="335">
        <f>IF(B2468=B2467,"",IF($K2468="","",INDEX(Zeiterfassung!$I$6:$I$3665,MATCH(INDEX(Zeiterfassung!$K$6:$K$3665,$K2468),Zeiterfassung!$K$6:$K$3665,0))))</f>
        <v/>
      </c>
      <c r="J2468" s="335">
        <f>IF(B2468=B2467,"",IF($K2468="","",INDEX(Zeiterfassung!$J$6:$J$3665,MATCH(INDEX(Zeiterfassung!$K$6:$K$3665,$K2468),Zeiterfassung!$K$6:$K$3665,0))))</f>
        <v/>
      </c>
      <c r="K2468">
        <f>IFERROR(AGGREGATE(15,6,(ROW(Zeiterfassung!$D$6:$D$3665)-ROW(Zeiterfassung!$D$6)+1)/(Zeiterfassung!$D$6:$D$3665&lt;&gt;""),2463),"")</f>
        <v/>
      </c>
    </row>
    <row r="2469" ht="20" customHeight="1">
      <c r="A2469" s="183">
        <f>IF($K2469="","",WEEKNUM(INDEX(Zeiterfassung!$K$6:$K$3665,$K2469),21))</f>
        <v/>
      </c>
      <c r="B2469" s="184">
        <f>IF($K2469="","",INDEX(Zeiterfassung!$K$6:$K$3665,$K2469))</f>
        <v/>
      </c>
      <c r="C2469" s="185">
        <f>IF($K2469="","",INDEX(Zeiterfassung!$K$6:$K$3665,$K2469))</f>
        <v/>
      </c>
      <c r="D2469" s="186">
        <f>IF($K2469="","",INDEX(Zeiterfassung!$D$6:$D$3665,$K2469))</f>
        <v/>
      </c>
      <c r="E2469" s="186">
        <f>IF($K2469="","",INDEX(Zeiterfassung!$E$6:$E$3665,$K2469))</f>
        <v/>
      </c>
      <c r="F2469" s="187">
        <f>IF($K2469="","",INDEX(Zeiterfassung!$F$6:$F$3665,$K2469))</f>
        <v/>
      </c>
      <c r="G2469" s="187">
        <f>IF($K2469="","",INDEX(Zeiterfassung!$G$6:$G$3665,$K2469))</f>
        <v/>
      </c>
      <c r="H2469" s="188">
        <f>IF($K2469="","",INDEX(Zeiterfassung!$H$6:$H$3665,$K2469))</f>
        <v/>
      </c>
      <c r="I2469" s="335">
        <f>IF(B2469=B2468,"",IF($K2469="","",INDEX(Zeiterfassung!$I$6:$I$3665,MATCH(INDEX(Zeiterfassung!$K$6:$K$3665,$K2469),Zeiterfassung!$K$6:$K$3665,0))))</f>
        <v/>
      </c>
      <c r="J2469" s="335">
        <f>IF(B2469=B2468,"",IF($K2469="","",INDEX(Zeiterfassung!$J$6:$J$3665,MATCH(INDEX(Zeiterfassung!$K$6:$K$3665,$K2469),Zeiterfassung!$K$6:$K$3665,0))))</f>
        <v/>
      </c>
      <c r="K2469">
        <f>IFERROR(AGGREGATE(15,6,(ROW(Zeiterfassung!$D$6:$D$3665)-ROW(Zeiterfassung!$D$6)+1)/(Zeiterfassung!$D$6:$D$3665&lt;&gt;""),2464),"")</f>
        <v/>
      </c>
    </row>
    <row r="2470" ht="20" customHeight="1">
      <c r="A2470" s="183">
        <f>IF($K2470="","",WEEKNUM(INDEX(Zeiterfassung!$K$6:$K$3665,$K2470),21))</f>
        <v/>
      </c>
      <c r="B2470" s="184">
        <f>IF($K2470="","",INDEX(Zeiterfassung!$K$6:$K$3665,$K2470))</f>
        <v/>
      </c>
      <c r="C2470" s="185">
        <f>IF($K2470="","",INDEX(Zeiterfassung!$K$6:$K$3665,$K2470))</f>
        <v/>
      </c>
      <c r="D2470" s="186">
        <f>IF($K2470="","",INDEX(Zeiterfassung!$D$6:$D$3665,$K2470))</f>
        <v/>
      </c>
      <c r="E2470" s="186">
        <f>IF($K2470="","",INDEX(Zeiterfassung!$E$6:$E$3665,$K2470))</f>
        <v/>
      </c>
      <c r="F2470" s="187">
        <f>IF($K2470="","",INDEX(Zeiterfassung!$F$6:$F$3665,$K2470))</f>
        <v/>
      </c>
      <c r="G2470" s="187">
        <f>IF($K2470="","",INDEX(Zeiterfassung!$G$6:$G$3665,$K2470))</f>
        <v/>
      </c>
      <c r="H2470" s="188">
        <f>IF($K2470="","",INDEX(Zeiterfassung!$H$6:$H$3665,$K2470))</f>
        <v/>
      </c>
      <c r="I2470" s="335">
        <f>IF(B2470=B2469,"",IF($K2470="","",INDEX(Zeiterfassung!$I$6:$I$3665,MATCH(INDEX(Zeiterfassung!$K$6:$K$3665,$K2470),Zeiterfassung!$K$6:$K$3665,0))))</f>
        <v/>
      </c>
      <c r="J2470" s="335">
        <f>IF(B2470=B2469,"",IF($K2470="","",INDEX(Zeiterfassung!$J$6:$J$3665,MATCH(INDEX(Zeiterfassung!$K$6:$K$3665,$K2470),Zeiterfassung!$K$6:$K$3665,0))))</f>
        <v/>
      </c>
      <c r="K2470">
        <f>IFERROR(AGGREGATE(15,6,(ROW(Zeiterfassung!$D$6:$D$3665)-ROW(Zeiterfassung!$D$6)+1)/(Zeiterfassung!$D$6:$D$3665&lt;&gt;""),2465),"")</f>
        <v/>
      </c>
    </row>
    <row r="2471" ht="20" customHeight="1">
      <c r="A2471" s="183">
        <f>IF($K2471="","",WEEKNUM(INDEX(Zeiterfassung!$K$6:$K$3665,$K2471),21))</f>
        <v/>
      </c>
      <c r="B2471" s="184">
        <f>IF($K2471="","",INDEX(Zeiterfassung!$K$6:$K$3665,$K2471))</f>
        <v/>
      </c>
      <c r="C2471" s="185">
        <f>IF($K2471="","",INDEX(Zeiterfassung!$K$6:$K$3665,$K2471))</f>
        <v/>
      </c>
      <c r="D2471" s="186">
        <f>IF($K2471="","",INDEX(Zeiterfassung!$D$6:$D$3665,$K2471))</f>
        <v/>
      </c>
      <c r="E2471" s="186">
        <f>IF($K2471="","",INDEX(Zeiterfassung!$E$6:$E$3665,$K2471))</f>
        <v/>
      </c>
      <c r="F2471" s="187">
        <f>IF($K2471="","",INDEX(Zeiterfassung!$F$6:$F$3665,$K2471))</f>
        <v/>
      </c>
      <c r="G2471" s="187">
        <f>IF($K2471="","",INDEX(Zeiterfassung!$G$6:$G$3665,$K2471))</f>
        <v/>
      </c>
      <c r="H2471" s="188">
        <f>IF($K2471="","",INDEX(Zeiterfassung!$H$6:$H$3665,$K2471))</f>
        <v/>
      </c>
      <c r="I2471" s="335">
        <f>IF(B2471=B2470,"",IF($K2471="","",INDEX(Zeiterfassung!$I$6:$I$3665,MATCH(INDEX(Zeiterfassung!$K$6:$K$3665,$K2471),Zeiterfassung!$K$6:$K$3665,0))))</f>
        <v/>
      </c>
      <c r="J2471" s="335">
        <f>IF(B2471=B2470,"",IF($K2471="","",INDEX(Zeiterfassung!$J$6:$J$3665,MATCH(INDEX(Zeiterfassung!$K$6:$K$3665,$K2471),Zeiterfassung!$K$6:$K$3665,0))))</f>
        <v/>
      </c>
      <c r="K2471">
        <f>IFERROR(AGGREGATE(15,6,(ROW(Zeiterfassung!$D$6:$D$3665)-ROW(Zeiterfassung!$D$6)+1)/(Zeiterfassung!$D$6:$D$3665&lt;&gt;""),2466),"")</f>
        <v/>
      </c>
    </row>
    <row r="2472" ht="20" customHeight="1">
      <c r="A2472" s="183">
        <f>IF($K2472="","",WEEKNUM(INDEX(Zeiterfassung!$K$6:$K$3665,$K2472),21))</f>
        <v/>
      </c>
      <c r="B2472" s="184">
        <f>IF($K2472="","",INDEX(Zeiterfassung!$K$6:$K$3665,$K2472))</f>
        <v/>
      </c>
      <c r="C2472" s="185">
        <f>IF($K2472="","",INDEX(Zeiterfassung!$K$6:$K$3665,$K2472))</f>
        <v/>
      </c>
      <c r="D2472" s="186">
        <f>IF($K2472="","",INDEX(Zeiterfassung!$D$6:$D$3665,$K2472))</f>
        <v/>
      </c>
      <c r="E2472" s="186">
        <f>IF($K2472="","",INDEX(Zeiterfassung!$E$6:$E$3665,$K2472))</f>
        <v/>
      </c>
      <c r="F2472" s="187">
        <f>IF($K2472="","",INDEX(Zeiterfassung!$F$6:$F$3665,$K2472))</f>
        <v/>
      </c>
      <c r="G2472" s="187">
        <f>IF($K2472="","",INDEX(Zeiterfassung!$G$6:$G$3665,$K2472))</f>
        <v/>
      </c>
      <c r="H2472" s="188">
        <f>IF($K2472="","",INDEX(Zeiterfassung!$H$6:$H$3665,$K2472))</f>
        <v/>
      </c>
      <c r="I2472" s="335">
        <f>IF(B2472=B2471,"",IF($K2472="","",INDEX(Zeiterfassung!$I$6:$I$3665,MATCH(INDEX(Zeiterfassung!$K$6:$K$3665,$K2472),Zeiterfassung!$K$6:$K$3665,0))))</f>
        <v/>
      </c>
      <c r="J2472" s="335">
        <f>IF(B2472=B2471,"",IF($K2472="","",INDEX(Zeiterfassung!$J$6:$J$3665,MATCH(INDEX(Zeiterfassung!$K$6:$K$3665,$K2472),Zeiterfassung!$K$6:$K$3665,0))))</f>
        <v/>
      </c>
      <c r="K2472">
        <f>IFERROR(AGGREGATE(15,6,(ROW(Zeiterfassung!$D$6:$D$3665)-ROW(Zeiterfassung!$D$6)+1)/(Zeiterfassung!$D$6:$D$3665&lt;&gt;""),2467),"")</f>
        <v/>
      </c>
    </row>
    <row r="2473" ht="20" customHeight="1">
      <c r="A2473" s="183">
        <f>IF($K2473="","",WEEKNUM(INDEX(Zeiterfassung!$K$6:$K$3665,$K2473),21))</f>
        <v/>
      </c>
      <c r="B2473" s="184">
        <f>IF($K2473="","",INDEX(Zeiterfassung!$K$6:$K$3665,$K2473))</f>
        <v/>
      </c>
      <c r="C2473" s="185">
        <f>IF($K2473="","",INDEX(Zeiterfassung!$K$6:$K$3665,$K2473))</f>
        <v/>
      </c>
      <c r="D2473" s="186">
        <f>IF($K2473="","",INDEX(Zeiterfassung!$D$6:$D$3665,$K2473))</f>
        <v/>
      </c>
      <c r="E2473" s="186">
        <f>IF($K2473="","",INDEX(Zeiterfassung!$E$6:$E$3665,$K2473))</f>
        <v/>
      </c>
      <c r="F2473" s="187">
        <f>IF($K2473="","",INDEX(Zeiterfassung!$F$6:$F$3665,$K2473))</f>
        <v/>
      </c>
      <c r="G2473" s="187">
        <f>IF($K2473="","",INDEX(Zeiterfassung!$G$6:$G$3665,$K2473))</f>
        <v/>
      </c>
      <c r="H2473" s="188">
        <f>IF($K2473="","",INDEX(Zeiterfassung!$H$6:$H$3665,$K2473))</f>
        <v/>
      </c>
      <c r="I2473" s="335">
        <f>IF(B2473=B2472,"",IF($K2473="","",INDEX(Zeiterfassung!$I$6:$I$3665,MATCH(INDEX(Zeiterfassung!$K$6:$K$3665,$K2473),Zeiterfassung!$K$6:$K$3665,0))))</f>
        <v/>
      </c>
      <c r="J2473" s="335">
        <f>IF(B2473=B2472,"",IF($K2473="","",INDEX(Zeiterfassung!$J$6:$J$3665,MATCH(INDEX(Zeiterfassung!$K$6:$K$3665,$K2473),Zeiterfassung!$K$6:$K$3665,0))))</f>
        <v/>
      </c>
      <c r="K2473">
        <f>IFERROR(AGGREGATE(15,6,(ROW(Zeiterfassung!$D$6:$D$3665)-ROW(Zeiterfassung!$D$6)+1)/(Zeiterfassung!$D$6:$D$3665&lt;&gt;""),2468),"")</f>
        <v/>
      </c>
    </row>
    <row r="2474" ht="20" customHeight="1">
      <c r="A2474" s="183">
        <f>IF($K2474="","",WEEKNUM(INDEX(Zeiterfassung!$K$6:$K$3665,$K2474),21))</f>
        <v/>
      </c>
      <c r="B2474" s="184">
        <f>IF($K2474="","",INDEX(Zeiterfassung!$K$6:$K$3665,$K2474))</f>
        <v/>
      </c>
      <c r="C2474" s="185">
        <f>IF($K2474="","",INDEX(Zeiterfassung!$K$6:$K$3665,$K2474))</f>
        <v/>
      </c>
      <c r="D2474" s="186">
        <f>IF($K2474="","",INDEX(Zeiterfassung!$D$6:$D$3665,$K2474))</f>
        <v/>
      </c>
      <c r="E2474" s="186">
        <f>IF($K2474="","",INDEX(Zeiterfassung!$E$6:$E$3665,$K2474))</f>
        <v/>
      </c>
      <c r="F2474" s="187">
        <f>IF($K2474="","",INDEX(Zeiterfassung!$F$6:$F$3665,$K2474))</f>
        <v/>
      </c>
      <c r="G2474" s="187">
        <f>IF($K2474="","",INDEX(Zeiterfassung!$G$6:$G$3665,$K2474))</f>
        <v/>
      </c>
      <c r="H2474" s="188">
        <f>IF($K2474="","",INDEX(Zeiterfassung!$H$6:$H$3665,$K2474))</f>
        <v/>
      </c>
      <c r="I2474" s="335">
        <f>IF(B2474=B2473,"",IF($K2474="","",INDEX(Zeiterfassung!$I$6:$I$3665,MATCH(INDEX(Zeiterfassung!$K$6:$K$3665,$K2474),Zeiterfassung!$K$6:$K$3665,0))))</f>
        <v/>
      </c>
      <c r="J2474" s="335">
        <f>IF(B2474=B2473,"",IF($K2474="","",INDEX(Zeiterfassung!$J$6:$J$3665,MATCH(INDEX(Zeiterfassung!$K$6:$K$3665,$K2474),Zeiterfassung!$K$6:$K$3665,0))))</f>
        <v/>
      </c>
      <c r="K2474">
        <f>IFERROR(AGGREGATE(15,6,(ROW(Zeiterfassung!$D$6:$D$3665)-ROW(Zeiterfassung!$D$6)+1)/(Zeiterfassung!$D$6:$D$3665&lt;&gt;""),2469),"")</f>
        <v/>
      </c>
    </row>
    <row r="2475" ht="20" customHeight="1">
      <c r="A2475" s="183">
        <f>IF($K2475="","",WEEKNUM(INDEX(Zeiterfassung!$K$6:$K$3665,$K2475),21))</f>
        <v/>
      </c>
      <c r="B2475" s="184">
        <f>IF($K2475="","",INDEX(Zeiterfassung!$K$6:$K$3665,$K2475))</f>
        <v/>
      </c>
      <c r="C2475" s="185">
        <f>IF($K2475="","",INDEX(Zeiterfassung!$K$6:$K$3665,$K2475))</f>
        <v/>
      </c>
      <c r="D2475" s="186">
        <f>IF($K2475="","",INDEX(Zeiterfassung!$D$6:$D$3665,$K2475))</f>
        <v/>
      </c>
      <c r="E2475" s="186">
        <f>IF($K2475="","",INDEX(Zeiterfassung!$E$6:$E$3665,$K2475))</f>
        <v/>
      </c>
      <c r="F2475" s="187">
        <f>IF($K2475="","",INDEX(Zeiterfassung!$F$6:$F$3665,$K2475))</f>
        <v/>
      </c>
      <c r="G2475" s="187">
        <f>IF($K2475="","",INDEX(Zeiterfassung!$G$6:$G$3665,$K2475))</f>
        <v/>
      </c>
      <c r="H2475" s="188">
        <f>IF($K2475="","",INDEX(Zeiterfassung!$H$6:$H$3665,$K2475))</f>
        <v/>
      </c>
      <c r="I2475" s="335">
        <f>IF(B2475=B2474,"",IF($K2475="","",INDEX(Zeiterfassung!$I$6:$I$3665,MATCH(INDEX(Zeiterfassung!$K$6:$K$3665,$K2475),Zeiterfassung!$K$6:$K$3665,0))))</f>
        <v/>
      </c>
      <c r="J2475" s="335">
        <f>IF(B2475=B2474,"",IF($K2475="","",INDEX(Zeiterfassung!$J$6:$J$3665,MATCH(INDEX(Zeiterfassung!$K$6:$K$3665,$K2475),Zeiterfassung!$K$6:$K$3665,0))))</f>
        <v/>
      </c>
      <c r="K2475">
        <f>IFERROR(AGGREGATE(15,6,(ROW(Zeiterfassung!$D$6:$D$3665)-ROW(Zeiterfassung!$D$6)+1)/(Zeiterfassung!$D$6:$D$3665&lt;&gt;""),2470),"")</f>
        <v/>
      </c>
    </row>
    <row r="2476" ht="20" customHeight="1">
      <c r="A2476" s="183">
        <f>IF($K2476="","",WEEKNUM(INDEX(Zeiterfassung!$K$6:$K$3665,$K2476),21))</f>
        <v/>
      </c>
      <c r="B2476" s="184">
        <f>IF($K2476="","",INDEX(Zeiterfassung!$K$6:$K$3665,$K2476))</f>
        <v/>
      </c>
      <c r="C2476" s="185">
        <f>IF($K2476="","",INDEX(Zeiterfassung!$K$6:$K$3665,$K2476))</f>
        <v/>
      </c>
      <c r="D2476" s="186">
        <f>IF($K2476="","",INDEX(Zeiterfassung!$D$6:$D$3665,$K2476))</f>
        <v/>
      </c>
      <c r="E2476" s="186">
        <f>IF($K2476="","",INDEX(Zeiterfassung!$E$6:$E$3665,$K2476))</f>
        <v/>
      </c>
      <c r="F2476" s="187">
        <f>IF($K2476="","",INDEX(Zeiterfassung!$F$6:$F$3665,$K2476))</f>
        <v/>
      </c>
      <c r="G2476" s="187">
        <f>IF($K2476="","",INDEX(Zeiterfassung!$G$6:$G$3665,$K2476))</f>
        <v/>
      </c>
      <c r="H2476" s="188">
        <f>IF($K2476="","",INDEX(Zeiterfassung!$H$6:$H$3665,$K2476))</f>
        <v/>
      </c>
      <c r="I2476" s="335">
        <f>IF(B2476=B2475,"",IF($K2476="","",INDEX(Zeiterfassung!$I$6:$I$3665,MATCH(INDEX(Zeiterfassung!$K$6:$K$3665,$K2476),Zeiterfassung!$K$6:$K$3665,0))))</f>
        <v/>
      </c>
      <c r="J2476" s="335">
        <f>IF(B2476=B2475,"",IF($K2476="","",INDEX(Zeiterfassung!$J$6:$J$3665,MATCH(INDEX(Zeiterfassung!$K$6:$K$3665,$K2476),Zeiterfassung!$K$6:$K$3665,0))))</f>
        <v/>
      </c>
      <c r="K2476">
        <f>IFERROR(AGGREGATE(15,6,(ROW(Zeiterfassung!$D$6:$D$3665)-ROW(Zeiterfassung!$D$6)+1)/(Zeiterfassung!$D$6:$D$3665&lt;&gt;""),2471),"")</f>
        <v/>
      </c>
    </row>
    <row r="2477" ht="20" customHeight="1">
      <c r="A2477" s="183">
        <f>IF($K2477="","",WEEKNUM(INDEX(Zeiterfassung!$K$6:$K$3665,$K2477),21))</f>
        <v/>
      </c>
      <c r="B2477" s="184">
        <f>IF($K2477="","",INDEX(Zeiterfassung!$K$6:$K$3665,$K2477))</f>
        <v/>
      </c>
      <c r="C2477" s="185">
        <f>IF($K2477="","",INDEX(Zeiterfassung!$K$6:$K$3665,$K2477))</f>
        <v/>
      </c>
      <c r="D2477" s="186">
        <f>IF($K2477="","",INDEX(Zeiterfassung!$D$6:$D$3665,$K2477))</f>
        <v/>
      </c>
      <c r="E2477" s="186">
        <f>IF($K2477="","",INDEX(Zeiterfassung!$E$6:$E$3665,$K2477))</f>
        <v/>
      </c>
      <c r="F2477" s="187">
        <f>IF($K2477="","",INDEX(Zeiterfassung!$F$6:$F$3665,$K2477))</f>
        <v/>
      </c>
      <c r="G2477" s="187">
        <f>IF($K2477="","",INDEX(Zeiterfassung!$G$6:$G$3665,$K2477))</f>
        <v/>
      </c>
      <c r="H2477" s="188">
        <f>IF($K2477="","",INDEX(Zeiterfassung!$H$6:$H$3665,$K2477))</f>
        <v/>
      </c>
      <c r="I2477" s="335">
        <f>IF(B2477=B2476,"",IF($K2477="","",INDEX(Zeiterfassung!$I$6:$I$3665,MATCH(INDEX(Zeiterfassung!$K$6:$K$3665,$K2477),Zeiterfassung!$K$6:$K$3665,0))))</f>
        <v/>
      </c>
      <c r="J2477" s="335">
        <f>IF(B2477=B2476,"",IF($K2477="","",INDEX(Zeiterfassung!$J$6:$J$3665,MATCH(INDEX(Zeiterfassung!$K$6:$K$3665,$K2477),Zeiterfassung!$K$6:$K$3665,0))))</f>
        <v/>
      </c>
      <c r="K2477">
        <f>IFERROR(AGGREGATE(15,6,(ROW(Zeiterfassung!$D$6:$D$3665)-ROW(Zeiterfassung!$D$6)+1)/(Zeiterfassung!$D$6:$D$3665&lt;&gt;""),2472),"")</f>
        <v/>
      </c>
    </row>
    <row r="2478" ht="20" customHeight="1">
      <c r="A2478" s="183">
        <f>IF($K2478="","",WEEKNUM(INDEX(Zeiterfassung!$K$6:$K$3665,$K2478),21))</f>
        <v/>
      </c>
      <c r="B2478" s="184">
        <f>IF($K2478="","",INDEX(Zeiterfassung!$K$6:$K$3665,$K2478))</f>
        <v/>
      </c>
      <c r="C2478" s="185">
        <f>IF($K2478="","",INDEX(Zeiterfassung!$K$6:$K$3665,$K2478))</f>
        <v/>
      </c>
      <c r="D2478" s="186">
        <f>IF($K2478="","",INDEX(Zeiterfassung!$D$6:$D$3665,$K2478))</f>
        <v/>
      </c>
      <c r="E2478" s="186">
        <f>IF($K2478="","",INDEX(Zeiterfassung!$E$6:$E$3665,$K2478))</f>
        <v/>
      </c>
      <c r="F2478" s="187">
        <f>IF($K2478="","",INDEX(Zeiterfassung!$F$6:$F$3665,$K2478))</f>
        <v/>
      </c>
      <c r="G2478" s="187">
        <f>IF($K2478="","",INDEX(Zeiterfassung!$G$6:$G$3665,$K2478))</f>
        <v/>
      </c>
      <c r="H2478" s="188">
        <f>IF($K2478="","",INDEX(Zeiterfassung!$H$6:$H$3665,$K2478))</f>
        <v/>
      </c>
      <c r="I2478" s="335">
        <f>IF(B2478=B2477,"",IF($K2478="","",INDEX(Zeiterfassung!$I$6:$I$3665,MATCH(INDEX(Zeiterfassung!$K$6:$K$3665,$K2478),Zeiterfassung!$K$6:$K$3665,0))))</f>
        <v/>
      </c>
      <c r="J2478" s="335">
        <f>IF(B2478=B2477,"",IF($K2478="","",INDEX(Zeiterfassung!$J$6:$J$3665,MATCH(INDEX(Zeiterfassung!$K$6:$K$3665,$K2478),Zeiterfassung!$K$6:$K$3665,0))))</f>
        <v/>
      </c>
      <c r="K2478">
        <f>IFERROR(AGGREGATE(15,6,(ROW(Zeiterfassung!$D$6:$D$3665)-ROW(Zeiterfassung!$D$6)+1)/(Zeiterfassung!$D$6:$D$3665&lt;&gt;""),2473),"")</f>
        <v/>
      </c>
    </row>
    <row r="2479" ht="20" customHeight="1">
      <c r="A2479" s="183">
        <f>IF($K2479="","",WEEKNUM(INDEX(Zeiterfassung!$K$6:$K$3665,$K2479),21))</f>
        <v/>
      </c>
      <c r="B2479" s="184">
        <f>IF($K2479="","",INDEX(Zeiterfassung!$K$6:$K$3665,$K2479))</f>
        <v/>
      </c>
      <c r="C2479" s="185">
        <f>IF($K2479="","",INDEX(Zeiterfassung!$K$6:$K$3665,$K2479))</f>
        <v/>
      </c>
      <c r="D2479" s="186">
        <f>IF($K2479="","",INDEX(Zeiterfassung!$D$6:$D$3665,$K2479))</f>
        <v/>
      </c>
      <c r="E2479" s="186">
        <f>IF($K2479="","",INDEX(Zeiterfassung!$E$6:$E$3665,$K2479))</f>
        <v/>
      </c>
      <c r="F2479" s="187">
        <f>IF($K2479="","",INDEX(Zeiterfassung!$F$6:$F$3665,$K2479))</f>
        <v/>
      </c>
      <c r="G2479" s="187">
        <f>IF($K2479="","",INDEX(Zeiterfassung!$G$6:$G$3665,$K2479))</f>
        <v/>
      </c>
      <c r="H2479" s="188">
        <f>IF($K2479="","",INDEX(Zeiterfassung!$H$6:$H$3665,$K2479))</f>
        <v/>
      </c>
      <c r="I2479" s="335">
        <f>IF(B2479=B2478,"",IF($K2479="","",INDEX(Zeiterfassung!$I$6:$I$3665,MATCH(INDEX(Zeiterfassung!$K$6:$K$3665,$K2479),Zeiterfassung!$K$6:$K$3665,0))))</f>
        <v/>
      </c>
      <c r="J2479" s="335">
        <f>IF(B2479=B2478,"",IF($K2479="","",INDEX(Zeiterfassung!$J$6:$J$3665,MATCH(INDEX(Zeiterfassung!$K$6:$K$3665,$K2479),Zeiterfassung!$K$6:$K$3665,0))))</f>
        <v/>
      </c>
      <c r="K2479">
        <f>IFERROR(AGGREGATE(15,6,(ROW(Zeiterfassung!$D$6:$D$3665)-ROW(Zeiterfassung!$D$6)+1)/(Zeiterfassung!$D$6:$D$3665&lt;&gt;""),2474),"")</f>
        <v/>
      </c>
    </row>
    <row r="2480" ht="20" customHeight="1">
      <c r="A2480" s="183">
        <f>IF($K2480="","",WEEKNUM(INDEX(Zeiterfassung!$K$6:$K$3665,$K2480),21))</f>
        <v/>
      </c>
      <c r="B2480" s="184">
        <f>IF($K2480="","",INDEX(Zeiterfassung!$K$6:$K$3665,$K2480))</f>
        <v/>
      </c>
      <c r="C2480" s="185">
        <f>IF($K2480="","",INDEX(Zeiterfassung!$K$6:$K$3665,$K2480))</f>
        <v/>
      </c>
      <c r="D2480" s="186">
        <f>IF($K2480="","",INDEX(Zeiterfassung!$D$6:$D$3665,$K2480))</f>
        <v/>
      </c>
      <c r="E2480" s="186">
        <f>IF($K2480="","",INDEX(Zeiterfassung!$E$6:$E$3665,$K2480))</f>
        <v/>
      </c>
      <c r="F2480" s="187">
        <f>IF($K2480="","",INDEX(Zeiterfassung!$F$6:$F$3665,$K2480))</f>
        <v/>
      </c>
      <c r="G2480" s="187">
        <f>IF($K2480="","",INDEX(Zeiterfassung!$G$6:$G$3665,$K2480))</f>
        <v/>
      </c>
      <c r="H2480" s="188">
        <f>IF($K2480="","",INDEX(Zeiterfassung!$H$6:$H$3665,$K2480))</f>
        <v/>
      </c>
      <c r="I2480" s="335">
        <f>IF(B2480=B2479,"",IF($K2480="","",INDEX(Zeiterfassung!$I$6:$I$3665,MATCH(INDEX(Zeiterfassung!$K$6:$K$3665,$K2480),Zeiterfassung!$K$6:$K$3665,0))))</f>
        <v/>
      </c>
      <c r="J2480" s="335">
        <f>IF(B2480=B2479,"",IF($K2480="","",INDEX(Zeiterfassung!$J$6:$J$3665,MATCH(INDEX(Zeiterfassung!$K$6:$K$3665,$K2480),Zeiterfassung!$K$6:$K$3665,0))))</f>
        <v/>
      </c>
      <c r="K2480">
        <f>IFERROR(AGGREGATE(15,6,(ROW(Zeiterfassung!$D$6:$D$3665)-ROW(Zeiterfassung!$D$6)+1)/(Zeiterfassung!$D$6:$D$3665&lt;&gt;""),2475),"")</f>
        <v/>
      </c>
    </row>
    <row r="2481" ht="20" customHeight="1">
      <c r="A2481" s="183">
        <f>IF($K2481="","",WEEKNUM(INDEX(Zeiterfassung!$K$6:$K$3665,$K2481),21))</f>
        <v/>
      </c>
      <c r="B2481" s="184">
        <f>IF($K2481="","",INDEX(Zeiterfassung!$K$6:$K$3665,$K2481))</f>
        <v/>
      </c>
      <c r="C2481" s="185">
        <f>IF($K2481="","",INDEX(Zeiterfassung!$K$6:$K$3665,$K2481))</f>
        <v/>
      </c>
      <c r="D2481" s="186">
        <f>IF($K2481="","",INDEX(Zeiterfassung!$D$6:$D$3665,$K2481))</f>
        <v/>
      </c>
      <c r="E2481" s="186">
        <f>IF($K2481="","",INDEX(Zeiterfassung!$E$6:$E$3665,$K2481))</f>
        <v/>
      </c>
      <c r="F2481" s="187">
        <f>IF($K2481="","",INDEX(Zeiterfassung!$F$6:$F$3665,$K2481))</f>
        <v/>
      </c>
      <c r="G2481" s="187">
        <f>IF($K2481="","",INDEX(Zeiterfassung!$G$6:$G$3665,$K2481))</f>
        <v/>
      </c>
      <c r="H2481" s="188">
        <f>IF($K2481="","",INDEX(Zeiterfassung!$H$6:$H$3665,$K2481))</f>
        <v/>
      </c>
      <c r="I2481" s="335">
        <f>IF(B2481=B2480,"",IF($K2481="","",INDEX(Zeiterfassung!$I$6:$I$3665,MATCH(INDEX(Zeiterfassung!$K$6:$K$3665,$K2481),Zeiterfassung!$K$6:$K$3665,0))))</f>
        <v/>
      </c>
      <c r="J2481" s="335">
        <f>IF(B2481=B2480,"",IF($K2481="","",INDEX(Zeiterfassung!$J$6:$J$3665,MATCH(INDEX(Zeiterfassung!$K$6:$K$3665,$K2481),Zeiterfassung!$K$6:$K$3665,0))))</f>
        <v/>
      </c>
      <c r="K2481">
        <f>IFERROR(AGGREGATE(15,6,(ROW(Zeiterfassung!$D$6:$D$3665)-ROW(Zeiterfassung!$D$6)+1)/(Zeiterfassung!$D$6:$D$3665&lt;&gt;""),2476),"")</f>
        <v/>
      </c>
    </row>
    <row r="2482" ht="20" customHeight="1">
      <c r="A2482" s="183">
        <f>IF($K2482="","",WEEKNUM(INDEX(Zeiterfassung!$K$6:$K$3665,$K2482),21))</f>
        <v/>
      </c>
      <c r="B2482" s="184">
        <f>IF($K2482="","",INDEX(Zeiterfassung!$K$6:$K$3665,$K2482))</f>
        <v/>
      </c>
      <c r="C2482" s="185">
        <f>IF($K2482="","",INDEX(Zeiterfassung!$K$6:$K$3665,$K2482))</f>
        <v/>
      </c>
      <c r="D2482" s="186">
        <f>IF($K2482="","",INDEX(Zeiterfassung!$D$6:$D$3665,$K2482))</f>
        <v/>
      </c>
      <c r="E2482" s="186">
        <f>IF($K2482="","",INDEX(Zeiterfassung!$E$6:$E$3665,$K2482))</f>
        <v/>
      </c>
      <c r="F2482" s="187">
        <f>IF($K2482="","",INDEX(Zeiterfassung!$F$6:$F$3665,$K2482))</f>
        <v/>
      </c>
      <c r="G2482" s="187">
        <f>IF($K2482="","",INDEX(Zeiterfassung!$G$6:$G$3665,$K2482))</f>
        <v/>
      </c>
      <c r="H2482" s="188">
        <f>IF($K2482="","",INDEX(Zeiterfassung!$H$6:$H$3665,$K2482))</f>
        <v/>
      </c>
      <c r="I2482" s="335">
        <f>IF(B2482=B2481,"",IF($K2482="","",INDEX(Zeiterfassung!$I$6:$I$3665,MATCH(INDEX(Zeiterfassung!$K$6:$K$3665,$K2482),Zeiterfassung!$K$6:$K$3665,0))))</f>
        <v/>
      </c>
      <c r="J2482" s="335">
        <f>IF(B2482=B2481,"",IF($K2482="","",INDEX(Zeiterfassung!$J$6:$J$3665,MATCH(INDEX(Zeiterfassung!$K$6:$K$3665,$K2482),Zeiterfassung!$K$6:$K$3665,0))))</f>
        <v/>
      </c>
      <c r="K2482">
        <f>IFERROR(AGGREGATE(15,6,(ROW(Zeiterfassung!$D$6:$D$3665)-ROW(Zeiterfassung!$D$6)+1)/(Zeiterfassung!$D$6:$D$3665&lt;&gt;""),2477),"")</f>
        <v/>
      </c>
    </row>
    <row r="2483" ht="20" customHeight="1">
      <c r="A2483" s="183">
        <f>IF($K2483="","",WEEKNUM(INDEX(Zeiterfassung!$K$6:$K$3665,$K2483),21))</f>
        <v/>
      </c>
      <c r="B2483" s="184">
        <f>IF($K2483="","",INDEX(Zeiterfassung!$K$6:$K$3665,$K2483))</f>
        <v/>
      </c>
      <c r="C2483" s="185">
        <f>IF($K2483="","",INDEX(Zeiterfassung!$K$6:$K$3665,$K2483))</f>
        <v/>
      </c>
      <c r="D2483" s="186">
        <f>IF($K2483="","",INDEX(Zeiterfassung!$D$6:$D$3665,$K2483))</f>
        <v/>
      </c>
      <c r="E2483" s="186">
        <f>IF($K2483="","",INDEX(Zeiterfassung!$E$6:$E$3665,$K2483))</f>
        <v/>
      </c>
      <c r="F2483" s="187">
        <f>IF($K2483="","",INDEX(Zeiterfassung!$F$6:$F$3665,$K2483))</f>
        <v/>
      </c>
      <c r="G2483" s="187">
        <f>IF($K2483="","",INDEX(Zeiterfassung!$G$6:$G$3665,$K2483))</f>
        <v/>
      </c>
      <c r="H2483" s="188">
        <f>IF($K2483="","",INDEX(Zeiterfassung!$H$6:$H$3665,$K2483))</f>
        <v/>
      </c>
      <c r="I2483" s="335">
        <f>IF(B2483=B2482,"",IF($K2483="","",INDEX(Zeiterfassung!$I$6:$I$3665,MATCH(INDEX(Zeiterfassung!$K$6:$K$3665,$K2483),Zeiterfassung!$K$6:$K$3665,0))))</f>
        <v/>
      </c>
      <c r="J2483" s="335">
        <f>IF(B2483=B2482,"",IF($K2483="","",INDEX(Zeiterfassung!$J$6:$J$3665,MATCH(INDEX(Zeiterfassung!$K$6:$K$3665,$K2483),Zeiterfassung!$K$6:$K$3665,0))))</f>
        <v/>
      </c>
      <c r="K2483">
        <f>IFERROR(AGGREGATE(15,6,(ROW(Zeiterfassung!$D$6:$D$3665)-ROW(Zeiterfassung!$D$6)+1)/(Zeiterfassung!$D$6:$D$3665&lt;&gt;""),2478),"")</f>
        <v/>
      </c>
    </row>
    <row r="2484" ht="20" customHeight="1">
      <c r="A2484" s="183">
        <f>IF($K2484="","",WEEKNUM(INDEX(Zeiterfassung!$K$6:$K$3665,$K2484),21))</f>
        <v/>
      </c>
      <c r="B2484" s="184">
        <f>IF($K2484="","",INDEX(Zeiterfassung!$K$6:$K$3665,$K2484))</f>
        <v/>
      </c>
      <c r="C2484" s="185">
        <f>IF($K2484="","",INDEX(Zeiterfassung!$K$6:$K$3665,$K2484))</f>
        <v/>
      </c>
      <c r="D2484" s="186">
        <f>IF($K2484="","",INDEX(Zeiterfassung!$D$6:$D$3665,$K2484))</f>
        <v/>
      </c>
      <c r="E2484" s="186">
        <f>IF($K2484="","",INDEX(Zeiterfassung!$E$6:$E$3665,$K2484))</f>
        <v/>
      </c>
      <c r="F2484" s="187">
        <f>IF($K2484="","",INDEX(Zeiterfassung!$F$6:$F$3665,$K2484))</f>
        <v/>
      </c>
      <c r="G2484" s="187">
        <f>IF($K2484="","",INDEX(Zeiterfassung!$G$6:$G$3665,$K2484))</f>
        <v/>
      </c>
      <c r="H2484" s="188">
        <f>IF($K2484="","",INDEX(Zeiterfassung!$H$6:$H$3665,$K2484))</f>
        <v/>
      </c>
      <c r="I2484" s="335">
        <f>IF(B2484=B2483,"",IF($K2484="","",INDEX(Zeiterfassung!$I$6:$I$3665,MATCH(INDEX(Zeiterfassung!$K$6:$K$3665,$K2484),Zeiterfassung!$K$6:$K$3665,0))))</f>
        <v/>
      </c>
      <c r="J2484" s="335">
        <f>IF(B2484=B2483,"",IF($K2484="","",INDEX(Zeiterfassung!$J$6:$J$3665,MATCH(INDEX(Zeiterfassung!$K$6:$K$3665,$K2484),Zeiterfassung!$K$6:$K$3665,0))))</f>
        <v/>
      </c>
      <c r="K2484">
        <f>IFERROR(AGGREGATE(15,6,(ROW(Zeiterfassung!$D$6:$D$3665)-ROW(Zeiterfassung!$D$6)+1)/(Zeiterfassung!$D$6:$D$3665&lt;&gt;""),2479),"")</f>
        <v/>
      </c>
    </row>
    <row r="2485" ht="20" customHeight="1">
      <c r="A2485" s="183">
        <f>IF($K2485="","",WEEKNUM(INDEX(Zeiterfassung!$K$6:$K$3665,$K2485),21))</f>
        <v/>
      </c>
      <c r="B2485" s="184">
        <f>IF($K2485="","",INDEX(Zeiterfassung!$K$6:$K$3665,$K2485))</f>
        <v/>
      </c>
      <c r="C2485" s="185">
        <f>IF($K2485="","",INDEX(Zeiterfassung!$K$6:$K$3665,$K2485))</f>
        <v/>
      </c>
      <c r="D2485" s="186">
        <f>IF($K2485="","",INDEX(Zeiterfassung!$D$6:$D$3665,$K2485))</f>
        <v/>
      </c>
      <c r="E2485" s="186">
        <f>IF($K2485="","",INDEX(Zeiterfassung!$E$6:$E$3665,$K2485))</f>
        <v/>
      </c>
      <c r="F2485" s="187">
        <f>IF($K2485="","",INDEX(Zeiterfassung!$F$6:$F$3665,$K2485))</f>
        <v/>
      </c>
      <c r="G2485" s="187">
        <f>IF($K2485="","",INDEX(Zeiterfassung!$G$6:$G$3665,$K2485))</f>
        <v/>
      </c>
      <c r="H2485" s="188">
        <f>IF($K2485="","",INDEX(Zeiterfassung!$H$6:$H$3665,$K2485))</f>
        <v/>
      </c>
      <c r="I2485" s="335">
        <f>IF(B2485=B2484,"",IF($K2485="","",INDEX(Zeiterfassung!$I$6:$I$3665,MATCH(INDEX(Zeiterfassung!$K$6:$K$3665,$K2485),Zeiterfassung!$K$6:$K$3665,0))))</f>
        <v/>
      </c>
      <c r="J2485" s="335">
        <f>IF(B2485=B2484,"",IF($K2485="","",INDEX(Zeiterfassung!$J$6:$J$3665,MATCH(INDEX(Zeiterfassung!$K$6:$K$3665,$K2485),Zeiterfassung!$K$6:$K$3665,0))))</f>
        <v/>
      </c>
      <c r="K2485">
        <f>IFERROR(AGGREGATE(15,6,(ROW(Zeiterfassung!$D$6:$D$3665)-ROW(Zeiterfassung!$D$6)+1)/(Zeiterfassung!$D$6:$D$3665&lt;&gt;""),2480),"")</f>
        <v/>
      </c>
    </row>
    <row r="2486" ht="20" customHeight="1">
      <c r="A2486" s="183">
        <f>IF($K2486="","",WEEKNUM(INDEX(Zeiterfassung!$K$6:$K$3665,$K2486),21))</f>
        <v/>
      </c>
      <c r="B2486" s="184">
        <f>IF($K2486="","",INDEX(Zeiterfassung!$K$6:$K$3665,$K2486))</f>
        <v/>
      </c>
      <c r="C2486" s="185">
        <f>IF($K2486="","",INDEX(Zeiterfassung!$K$6:$K$3665,$K2486))</f>
        <v/>
      </c>
      <c r="D2486" s="186">
        <f>IF($K2486="","",INDEX(Zeiterfassung!$D$6:$D$3665,$K2486))</f>
        <v/>
      </c>
      <c r="E2486" s="186">
        <f>IF($K2486="","",INDEX(Zeiterfassung!$E$6:$E$3665,$K2486))</f>
        <v/>
      </c>
      <c r="F2486" s="187">
        <f>IF($K2486="","",INDEX(Zeiterfassung!$F$6:$F$3665,$K2486))</f>
        <v/>
      </c>
      <c r="G2486" s="187">
        <f>IF($K2486="","",INDEX(Zeiterfassung!$G$6:$G$3665,$K2486))</f>
        <v/>
      </c>
      <c r="H2486" s="188">
        <f>IF($K2486="","",INDEX(Zeiterfassung!$H$6:$H$3665,$K2486))</f>
        <v/>
      </c>
      <c r="I2486" s="335">
        <f>IF(B2486=B2485,"",IF($K2486="","",INDEX(Zeiterfassung!$I$6:$I$3665,MATCH(INDEX(Zeiterfassung!$K$6:$K$3665,$K2486),Zeiterfassung!$K$6:$K$3665,0))))</f>
        <v/>
      </c>
      <c r="J2486" s="335">
        <f>IF(B2486=B2485,"",IF($K2486="","",INDEX(Zeiterfassung!$J$6:$J$3665,MATCH(INDEX(Zeiterfassung!$K$6:$K$3665,$K2486),Zeiterfassung!$K$6:$K$3665,0))))</f>
        <v/>
      </c>
      <c r="K2486">
        <f>IFERROR(AGGREGATE(15,6,(ROW(Zeiterfassung!$D$6:$D$3665)-ROW(Zeiterfassung!$D$6)+1)/(Zeiterfassung!$D$6:$D$3665&lt;&gt;""),2481),"")</f>
        <v/>
      </c>
    </row>
    <row r="2487" ht="20" customHeight="1">
      <c r="A2487" s="183">
        <f>IF($K2487="","",WEEKNUM(INDEX(Zeiterfassung!$K$6:$K$3665,$K2487),21))</f>
        <v/>
      </c>
      <c r="B2487" s="184">
        <f>IF($K2487="","",INDEX(Zeiterfassung!$K$6:$K$3665,$K2487))</f>
        <v/>
      </c>
      <c r="C2487" s="185">
        <f>IF($K2487="","",INDEX(Zeiterfassung!$K$6:$K$3665,$K2487))</f>
        <v/>
      </c>
      <c r="D2487" s="186">
        <f>IF($K2487="","",INDEX(Zeiterfassung!$D$6:$D$3665,$K2487))</f>
        <v/>
      </c>
      <c r="E2487" s="186">
        <f>IF($K2487="","",INDEX(Zeiterfassung!$E$6:$E$3665,$K2487))</f>
        <v/>
      </c>
      <c r="F2487" s="187">
        <f>IF($K2487="","",INDEX(Zeiterfassung!$F$6:$F$3665,$K2487))</f>
        <v/>
      </c>
      <c r="G2487" s="187">
        <f>IF($K2487="","",INDEX(Zeiterfassung!$G$6:$G$3665,$K2487))</f>
        <v/>
      </c>
      <c r="H2487" s="188">
        <f>IF($K2487="","",INDEX(Zeiterfassung!$H$6:$H$3665,$K2487))</f>
        <v/>
      </c>
      <c r="I2487" s="335">
        <f>IF(B2487=B2486,"",IF($K2487="","",INDEX(Zeiterfassung!$I$6:$I$3665,MATCH(INDEX(Zeiterfassung!$K$6:$K$3665,$K2487),Zeiterfassung!$K$6:$K$3665,0))))</f>
        <v/>
      </c>
      <c r="J2487" s="335">
        <f>IF(B2487=B2486,"",IF($K2487="","",INDEX(Zeiterfassung!$J$6:$J$3665,MATCH(INDEX(Zeiterfassung!$K$6:$K$3665,$K2487),Zeiterfassung!$K$6:$K$3665,0))))</f>
        <v/>
      </c>
      <c r="K2487">
        <f>IFERROR(AGGREGATE(15,6,(ROW(Zeiterfassung!$D$6:$D$3665)-ROW(Zeiterfassung!$D$6)+1)/(Zeiterfassung!$D$6:$D$3665&lt;&gt;""),2482),"")</f>
        <v/>
      </c>
    </row>
    <row r="2488" ht="20" customHeight="1">
      <c r="A2488" s="183">
        <f>IF($K2488="","",WEEKNUM(INDEX(Zeiterfassung!$K$6:$K$3665,$K2488),21))</f>
        <v/>
      </c>
      <c r="B2488" s="184">
        <f>IF($K2488="","",INDEX(Zeiterfassung!$K$6:$K$3665,$K2488))</f>
        <v/>
      </c>
      <c r="C2488" s="185">
        <f>IF($K2488="","",INDEX(Zeiterfassung!$K$6:$K$3665,$K2488))</f>
        <v/>
      </c>
      <c r="D2488" s="186">
        <f>IF($K2488="","",INDEX(Zeiterfassung!$D$6:$D$3665,$K2488))</f>
        <v/>
      </c>
      <c r="E2488" s="186">
        <f>IF($K2488="","",INDEX(Zeiterfassung!$E$6:$E$3665,$K2488))</f>
        <v/>
      </c>
      <c r="F2488" s="187">
        <f>IF($K2488="","",INDEX(Zeiterfassung!$F$6:$F$3665,$K2488))</f>
        <v/>
      </c>
      <c r="G2488" s="187">
        <f>IF($K2488="","",INDEX(Zeiterfassung!$G$6:$G$3665,$K2488))</f>
        <v/>
      </c>
      <c r="H2488" s="188">
        <f>IF($K2488="","",INDEX(Zeiterfassung!$H$6:$H$3665,$K2488))</f>
        <v/>
      </c>
      <c r="I2488" s="335">
        <f>IF(B2488=B2487,"",IF($K2488="","",INDEX(Zeiterfassung!$I$6:$I$3665,MATCH(INDEX(Zeiterfassung!$K$6:$K$3665,$K2488),Zeiterfassung!$K$6:$K$3665,0))))</f>
        <v/>
      </c>
      <c r="J2488" s="335">
        <f>IF(B2488=B2487,"",IF($K2488="","",INDEX(Zeiterfassung!$J$6:$J$3665,MATCH(INDEX(Zeiterfassung!$K$6:$K$3665,$K2488),Zeiterfassung!$K$6:$K$3665,0))))</f>
        <v/>
      </c>
      <c r="K2488">
        <f>IFERROR(AGGREGATE(15,6,(ROW(Zeiterfassung!$D$6:$D$3665)-ROW(Zeiterfassung!$D$6)+1)/(Zeiterfassung!$D$6:$D$3665&lt;&gt;""),2483),"")</f>
        <v/>
      </c>
    </row>
    <row r="2489" ht="20" customHeight="1">
      <c r="A2489" s="183">
        <f>IF($K2489="","",WEEKNUM(INDEX(Zeiterfassung!$K$6:$K$3665,$K2489),21))</f>
        <v/>
      </c>
      <c r="B2489" s="184">
        <f>IF($K2489="","",INDEX(Zeiterfassung!$K$6:$K$3665,$K2489))</f>
        <v/>
      </c>
      <c r="C2489" s="185">
        <f>IF($K2489="","",INDEX(Zeiterfassung!$K$6:$K$3665,$K2489))</f>
        <v/>
      </c>
      <c r="D2489" s="186">
        <f>IF($K2489="","",INDEX(Zeiterfassung!$D$6:$D$3665,$K2489))</f>
        <v/>
      </c>
      <c r="E2489" s="186">
        <f>IF($K2489="","",INDEX(Zeiterfassung!$E$6:$E$3665,$K2489))</f>
        <v/>
      </c>
      <c r="F2489" s="187">
        <f>IF($K2489="","",INDEX(Zeiterfassung!$F$6:$F$3665,$K2489))</f>
        <v/>
      </c>
      <c r="G2489" s="187">
        <f>IF($K2489="","",INDEX(Zeiterfassung!$G$6:$G$3665,$K2489))</f>
        <v/>
      </c>
      <c r="H2489" s="188">
        <f>IF($K2489="","",INDEX(Zeiterfassung!$H$6:$H$3665,$K2489))</f>
        <v/>
      </c>
      <c r="I2489" s="335">
        <f>IF(B2489=B2488,"",IF($K2489="","",INDEX(Zeiterfassung!$I$6:$I$3665,MATCH(INDEX(Zeiterfassung!$K$6:$K$3665,$K2489),Zeiterfassung!$K$6:$K$3665,0))))</f>
        <v/>
      </c>
      <c r="J2489" s="335">
        <f>IF(B2489=B2488,"",IF($K2489="","",INDEX(Zeiterfassung!$J$6:$J$3665,MATCH(INDEX(Zeiterfassung!$K$6:$K$3665,$K2489),Zeiterfassung!$K$6:$K$3665,0))))</f>
        <v/>
      </c>
      <c r="K2489">
        <f>IFERROR(AGGREGATE(15,6,(ROW(Zeiterfassung!$D$6:$D$3665)-ROW(Zeiterfassung!$D$6)+1)/(Zeiterfassung!$D$6:$D$3665&lt;&gt;""),2484),"")</f>
        <v/>
      </c>
    </row>
    <row r="2490" ht="20" customHeight="1">
      <c r="A2490" s="183">
        <f>IF($K2490="","",WEEKNUM(INDEX(Zeiterfassung!$K$6:$K$3665,$K2490),21))</f>
        <v/>
      </c>
      <c r="B2490" s="184">
        <f>IF($K2490="","",INDEX(Zeiterfassung!$K$6:$K$3665,$K2490))</f>
        <v/>
      </c>
      <c r="C2490" s="185">
        <f>IF($K2490="","",INDEX(Zeiterfassung!$K$6:$K$3665,$K2490))</f>
        <v/>
      </c>
      <c r="D2490" s="186">
        <f>IF($K2490="","",INDEX(Zeiterfassung!$D$6:$D$3665,$K2490))</f>
        <v/>
      </c>
      <c r="E2490" s="186">
        <f>IF($K2490="","",INDEX(Zeiterfassung!$E$6:$E$3665,$K2490))</f>
        <v/>
      </c>
      <c r="F2490" s="187">
        <f>IF($K2490="","",INDEX(Zeiterfassung!$F$6:$F$3665,$K2490))</f>
        <v/>
      </c>
      <c r="G2490" s="187">
        <f>IF($K2490="","",INDEX(Zeiterfassung!$G$6:$G$3665,$K2490))</f>
        <v/>
      </c>
      <c r="H2490" s="188">
        <f>IF($K2490="","",INDEX(Zeiterfassung!$H$6:$H$3665,$K2490))</f>
        <v/>
      </c>
      <c r="I2490" s="335">
        <f>IF(B2490=B2489,"",IF($K2490="","",INDEX(Zeiterfassung!$I$6:$I$3665,MATCH(INDEX(Zeiterfassung!$K$6:$K$3665,$K2490),Zeiterfassung!$K$6:$K$3665,0))))</f>
        <v/>
      </c>
      <c r="J2490" s="335">
        <f>IF(B2490=B2489,"",IF($K2490="","",INDEX(Zeiterfassung!$J$6:$J$3665,MATCH(INDEX(Zeiterfassung!$K$6:$K$3665,$K2490),Zeiterfassung!$K$6:$K$3665,0))))</f>
        <v/>
      </c>
      <c r="K2490">
        <f>IFERROR(AGGREGATE(15,6,(ROW(Zeiterfassung!$D$6:$D$3665)-ROW(Zeiterfassung!$D$6)+1)/(Zeiterfassung!$D$6:$D$3665&lt;&gt;""),2485),"")</f>
        <v/>
      </c>
    </row>
    <row r="2491" ht="20" customHeight="1">
      <c r="A2491" s="183">
        <f>IF($K2491="","",WEEKNUM(INDEX(Zeiterfassung!$K$6:$K$3665,$K2491),21))</f>
        <v/>
      </c>
      <c r="B2491" s="184">
        <f>IF($K2491="","",INDEX(Zeiterfassung!$K$6:$K$3665,$K2491))</f>
        <v/>
      </c>
      <c r="C2491" s="185">
        <f>IF($K2491="","",INDEX(Zeiterfassung!$K$6:$K$3665,$K2491))</f>
        <v/>
      </c>
      <c r="D2491" s="186">
        <f>IF($K2491="","",INDEX(Zeiterfassung!$D$6:$D$3665,$K2491))</f>
        <v/>
      </c>
      <c r="E2491" s="186">
        <f>IF($K2491="","",INDEX(Zeiterfassung!$E$6:$E$3665,$K2491))</f>
        <v/>
      </c>
      <c r="F2491" s="187">
        <f>IF($K2491="","",INDEX(Zeiterfassung!$F$6:$F$3665,$K2491))</f>
        <v/>
      </c>
      <c r="G2491" s="187">
        <f>IF($K2491="","",INDEX(Zeiterfassung!$G$6:$G$3665,$K2491))</f>
        <v/>
      </c>
      <c r="H2491" s="188">
        <f>IF($K2491="","",INDEX(Zeiterfassung!$H$6:$H$3665,$K2491))</f>
        <v/>
      </c>
      <c r="I2491" s="335">
        <f>IF(B2491=B2490,"",IF($K2491="","",INDEX(Zeiterfassung!$I$6:$I$3665,MATCH(INDEX(Zeiterfassung!$K$6:$K$3665,$K2491),Zeiterfassung!$K$6:$K$3665,0))))</f>
        <v/>
      </c>
      <c r="J2491" s="335">
        <f>IF(B2491=B2490,"",IF($K2491="","",INDEX(Zeiterfassung!$J$6:$J$3665,MATCH(INDEX(Zeiterfassung!$K$6:$K$3665,$K2491),Zeiterfassung!$K$6:$K$3665,0))))</f>
        <v/>
      </c>
      <c r="K2491">
        <f>IFERROR(AGGREGATE(15,6,(ROW(Zeiterfassung!$D$6:$D$3665)-ROW(Zeiterfassung!$D$6)+1)/(Zeiterfassung!$D$6:$D$3665&lt;&gt;""),2486),"")</f>
        <v/>
      </c>
    </row>
    <row r="2492" ht="20" customHeight="1">
      <c r="A2492" s="183">
        <f>IF($K2492="","",WEEKNUM(INDEX(Zeiterfassung!$K$6:$K$3665,$K2492),21))</f>
        <v/>
      </c>
      <c r="B2492" s="184">
        <f>IF($K2492="","",INDEX(Zeiterfassung!$K$6:$K$3665,$K2492))</f>
        <v/>
      </c>
      <c r="C2492" s="185">
        <f>IF($K2492="","",INDEX(Zeiterfassung!$K$6:$K$3665,$K2492))</f>
        <v/>
      </c>
      <c r="D2492" s="186">
        <f>IF($K2492="","",INDEX(Zeiterfassung!$D$6:$D$3665,$K2492))</f>
        <v/>
      </c>
      <c r="E2492" s="186">
        <f>IF($K2492="","",INDEX(Zeiterfassung!$E$6:$E$3665,$K2492))</f>
        <v/>
      </c>
      <c r="F2492" s="187">
        <f>IF($K2492="","",INDEX(Zeiterfassung!$F$6:$F$3665,$K2492))</f>
        <v/>
      </c>
      <c r="G2492" s="187">
        <f>IF($K2492="","",INDEX(Zeiterfassung!$G$6:$G$3665,$K2492))</f>
        <v/>
      </c>
      <c r="H2492" s="188">
        <f>IF($K2492="","",INDEX(Zeiterfassung!$H$6:$H$3665,$K2492))</f>
        <v/>
      </c>
      <c r="I2492" s="335">
        <f>IF(B2492=B2491,"",IF($K2492="","",INDEX(Zeiterfassung!$I$6:$I$3665,MATCH(INDEX(Zeiterfassung!$K$6:$K$3665,$K2492),Zeiterfassung!$K$6:$K$3665,0))))</f>
        <v/>
      </c>
      <c r="J2492" s="335">
        <f>IF(B2492=B2491,"",IF($K2492="","",INDEX(Zeiterfassung!$J$6:$J$3665,MATCH(INDEX(Zeiterfassung!$K$6:$K$3665,$K2492),Zeiterfassung!$K$6:$K$3665,0))))</f>
        <v/>
      </c>
      <c r="K2492">
        <f>IFERROR(AGGREGATE(15,6,(ROW(Zeiterfassung!$D$6:$D$3665)-ROW(Zeiterfassung!$D$6)+1)/(Zeiterfassung!$D$6:$D$3665&lt;&gt;""),2487),"")</f>
        <v/>
      </c>
    </row>
    <row r="2493" ht="20" customHeight="1">
      <c r="A2493" s="183">
        <f>IF($K2493="","",WEEKNUM(INDEX(Zeiterfassung!$K$6:$K$3665,$K2493),21))</f>
        <v/>
      </c>
      <c r="B2493" s="184">
        <f>IF($K2493="","",INDEX(Zeiterfassung!$K$6:$K$3665,$K2493))</f>
        <v/>
      </c>
      <c r="C2493" s="185">
        <f>IF($K2493="","",INDEX(Zeiterfassung!$K$6:$K$3665,$K2493))</f>
        <v/>
      </c>
      <c r="D2493" s="186">
        <f>IF($K2493="","",INDEX(Zeiterfassung!$D$6:$D$3665,$K2493))</f>
        <v/>
      </c>
      <c r="E2493" s="186">
        <f>IF($K2493="","",INDEX(Zeiterfassung!$E$6:$E$3665,$K2493))</f>
        <v/>
      </c>
      <c r="F2493" s="187">
        <f>IF($K2493="","",INDEX(Zeiterfassung!$F$6:$F$3665,$K2493))</f>
        <v/>
      </c>
      <c r="G2493" s="187">
        <f>IF($K2493="","",INDEX(Zeiterfassung!$G$6:$G$3665,$K2493))</f>
        <v/>
      </c>
      <c r="H2493" s="188">
        <f>IF($K2493="","",INDEX(Zeiterfassung!$H$6:$H$3665,$K2493))</f>
        <v/>
      </c>
      <c r="I2493" s="335">
        <f>IF(B2493=B2492,"",IF($K2493="","",INDEX(Zeiterfassung!$I$6:$I$3665,MATCH(INDEX(Zeiterfassung!$K$6:$K$3665,$K2493),Zeiterfassung!$K$6:$K$3665,0))))</f>
        <v/>
      </c>
      <c r="J2493" s="335">
        <f>IF(B2493=B2492,"",IF($K2493="","",INDEX(Zeiterfassung!$J$6:$J$3665,MATCH(INDEX(Zeiterfassung!$K$6:$K$3665,$K2493),Zeiterfassung!$K$6:$K$3665,0))))</f>
        <v/>
      </c>
      <c r="K2493">
        <f>IFERROR(AGGREGATE(15,6,(ROW(Zeiterfassung!$D$6:$D$3665)-ROW(Zeiterfassung!$D$6)+1)/(Zeiterfassung!$D$6:$D$3665&lt;&gt;""),2488),"")</f>
        <v/>
      </c>
    </row>
    <row r="2494" ht="20" customHeight="1">
      <c r="A2494" s="183">
        <f>IF($K2494="","",WEEKNUM(INDEX(Zeiterfassung!$K$6:$K$3665,$K2494),21))</f>
        <v/>
      </c>
      <c r="B2494" s="184">
        <f>IF($K2494="","",INDEX(Zeiterfassung!$K$6:$K$3665,$K2494))</f>
        <v/>
      </c>
      <c r="C2494" s="185">
        <f>IF($K2494="","",INDEX(Zeiterfassung!$K$6:$K$3665,$K2494))</f>
        <v/>
      </c>
      <c r="D2494" s="186">
        <f>IF($K2494="","",INDEX(Zeiterfassung!$D$6:$D$3665,$K2494))</f>
        <v/>
      </c>
      <c r="E2494" s="186">
        <f>IF($K2494="","",INDEX(Zeiterfassung!$E$6:$E$3665,$K2494))</f>
        <v/>
      </c>
      <c r="F2494" s="187">
        <f>IF($K2494="","",INDEX(Zeiterfassung!$F$6:$F$3665,$K2494))</f>
        <v/>
      </c>
      <c r="G2494" s="187">
        <f>IF($K2494="","",INDEX(Zeiterfassung!$G$6:$G$3665,$K2494))</f>
        <v/>
      </c>
      <c r="H2494" s="188">
        <f>IF($K2494="","",INDEX(Zeiterfassung!$H$6:$H$3665,$K2494))</f>
        <v/>
      </c>
      <c r="I2494" s="335">
        <f>IF(B2494=B2493,"",IF($K2494="","",INDEX(Zeiterfassung!$I$6:$I$3665,MATCH(INDEX(Zeiterfassung!$K$6:$K$3665,$K2494),Zeiterfassung!$K$6:$K$3665,0))))</f>
        <v/>
      </c>
      <c r="J2494" s="335">
        <f>IF(B2494=B2493,"",IF($K2494="","",INDEX(Zeiterfassung!$J$6:$J$3665,MATCH(INDEX(Zeiterfassung!$K$6:$K$3665,$K2494),Zeiterfassung!$K$6:$K$3665,0))))</f>
        <v/>
      </c>
      <c r="K2494">
        <f>IFERROR(AGGREGATE(15,6,(ROW(Zeiterfassung!$D$6:$D$3665)-ROW(Zeiterfassung!$D$6)+1)/(Zeiterfassung!$D$6:$D$3665&lt;&gt;""),2489),"")</f>
        <v/>
      </c>
    </row>
    <row r="2495" ht="20" customHeight="1">
      <c r="A2495" s="183">
        <f>IF($K2495="","",WEEKNUM(INDEX(Zeiterfassung!$K$6:$K$3665,$K2495),21))</f>
        <v/>
      </c>
      <c r="B2495" s="184">
        <f>IF($K2495="","",INDEX(Zeiterfassung!$K$6:$K$3665,$K2495))</f>
        <v/>
      </c>
      <c r="C2495" s="185">
        <f>IF($K2495="","",INDEX(Zeiterfassung!$K$6:$K$3665,$K2495))</f>
        <v/>
      </c>
      <c r="D2495" s="186">
        <f>IF($K2495="","",INDEX(Zeiterfassung!$D$6:$D$3665,$K2495))</f>
        <v/>
      </c>
      <c r="E2495" s="186">
        <f>IF($K2495="","",INDEX(Zeiterfassung!$E$6:$E$3665,$K2495))</f>
        <v/>
      </c>
      <c r="F2495" s="187">
        <f>IF($K2495="","",INDEX(Zeiterfassung!$F$6:$F$3665,$K2495))</f>
        <v/>
      </c>
      <c r="G2495" s="187">
        <f>IF($K2495="","",INDEX(Zeiterfassung!$G$6:$G$3665,$K2495))</f>
        <v/>
      </c>
      <c r="H2495" s="188">
        <f>IF($K2495="","",INDEX(Zeiterfassung!$H$6:$H$3665,$K2495))</f>
        <v/>
      </c>
      <c r="I2495" s="335">
        <f>IF(B2495=B2494,"",IF($K2495="","",INDEX(Zeiterfassung!$I$6:$I$3665,MATCH(INDEX(Zeiterfassung!$K$6:$K$3665,$K2495),Zeiterfassung!$K$6:$K$3665,0))))</f>
        <v/>
      </c>
      <c r="J2495" s="335">
        <f>IF(B2495=B2494,"",IF($K2495="","",INDEX(Zeiterfassung!$J$6:$J$3665,MATCH(INDEX(Zeiterfassung!$K$6:$K$3665,$K2495),Zeiterfassung!$K$6:$K$3665,0))))</f>
        <v/>
      </c>
      <c r="K2495">
        <f>IFERROR(AGGREGATE(15,6,(ROW(Zeiterfassung!$D$6:$D$3665)-ROW(Zeiterfassung!$D$6)+1)/(Zeiterfassung!$D$6:$D$3665&lt;&gt;""),2490),"")</f>
        <v/>
      </c>
    </row>
    <row r="2496" ht="20" customHeight="1">
      <c r="A2496" s="183">
        <f>IF($K2496="","",WEEKNUM(INDEX(Zeiterfassung!$K$6:$K$3665,$K2496),21))</f>
        <v/>
      </c>
      <c r="B2496" s="184">
        <f>IF($K2496="","",INDEX(Zeiterfassung!$K$6:$K$3665,$K2496))</f>
        <v/>
      </c>
      <c r="C2496" s="185">
        <f>IF($K2496="","",INDEX(Zeiterfassung!$K$6:$K$3665,$K2496))</f>
        <v/>
      </c>
      <c r="D2496" s="186">
        <f>IF($K2496="","",INDEX(Zeiterfassung!$D$6:$D$3665,$K2496))</f>
        <v/>
      </c>
      <c r="E2496" s="186">
        <f>IF($K2496="","",INDEX(Zeiterfassung!$E$6:$E$3665,$K2496))</f>
        <v/>
      </c>
      <c r="F2496" s="187">
        <f>IF($K2496="","",INDEX(Zeiterfassung!$F$6:$F$3665,$K2496))</f>
        <v/>
      </c>
      <c r="G2496" s="187">
        <f>IF($K2496="","",INDEX(Zeiterfassung!$G$6:$G$3665,$K2496))</f>
        <v/>
      </c>
      <c r="H2496" s="188">
        <f>IF($K2496="","",INDEX(Zeiterfassung!$H$6:$H$3665,$K2496))</f>
        <v/>
      </c>
      <c r="I2496" s="335">
        <f>IF(B2496=B2495,"",IF($K2496="","",INDEX(Zeiterfassung!$I$6:$I$3665,MATCH(INDEX(Zeiterfassung!$K$6:$K$3665,$K2496),Zeiterfassung!$K$6:$K$3665,0))))</f>
        <v/>
      </c>
      <c r="J2496" s="335">
        <f>IF(B2496=B2495,"",IF($K2496="","",INDEX(Zeiterfassung!$J$6:$J$3665,MATCH(INDEX(Zeiterfassung!$K$6:$K$3665,$K2496),Zeiterfassung!$K$6:$K$3665,0))))</f>
        <v/>
      </c>
      <c r="K2496">
        <f>IFERROR(AGGREGATE(15,6,(ROW(Zeiterfassung!$D$6:$D$3665)-ROW(Zeiterfassung!$D$6)+1)/(Zeiterfassung!$D$6:$D$3665&lt;&gt;""),2491),"")</f>
        <v/>
      </c>
    </row>
    <row r="2497" ht="20" customHeight="1">
      <c r="A2497" s="183">
        <f>IF($K2497="","",WEEKNUM(INDEX(Zeiterfassung!$K$6:$K$3665,$K2497),21))</f>
        <v/>
      </c>
      <c r="B2497" s="184">
        <f>IF($K2497="","",INDEX(Zeiterfassung!$K$6:$K$3665,$K2497))</f>
        <v/>
      </c>
      <c r="C2497" s="185">
        <f>IF($K2497="","",INDEX(Zeiterfassung!$K$6:$K$3665,$K2497))</f>
        <v/>
      </c>
      <c r="D2497" s="186">
        <f>IF($K2497="","",INDEX(Zeiterfassung!$D$6:$D$3665,$K2497))</f>
        <v/>
      </c>
      <c r="E2497" s="186">
        <f>IF($K2497="","",INDEX(Zeiterfassung!$E$6:$E$3665,$K2497))</f>
        <v/>
      </c>
      <c r="F2497" s="187">
        <f>IF($K2497="","",INDEX(Zeiterfassung!$F$6:$F$3665,$K2497))</f>
        <v/>
      </c>
      <c r="G2497" s="187">
        <f>IF($K2497="","",INDEX(Zeiterfassung!$G$6:$G$3665,$K2497))</f>
        <v/>
      </c>
      <c r="H2497" s="188">
        <f>IF($K2497="","",INDEX(Zeiterfassung!$H$6:$H$3665,$K2497))</f>
        <v/>
      </c>
      <c r="I2497" s="335">
        <f>IF(B2497=B2496,"",IF($K2497="","",INDEX(Zeiterfassung!$I$6:$I$3665,MATCH(INDEX(Zeiterfassung!$K$6:$K$3665,$K2497),Zeiterfassung!$K$6:$K$3665,0))))</f>
        <v/>
      </c>
      <c r="J2497" s="335">
        <f>IF(B2497=B2496,"",IF($K2497="","",INDEX(Zeiterfassung!$J$6:$J$3665,MATCH(INDEX(Zeiterfassung!$K$6:$K$3665,$K2497),Zeiterfassung!$K$6:$K$3665,0))))</f>
        <v/>
      </c>
      <c r="K2497">
        <f>IFERROR(AGGREGATE(15,6,(ROW(Zeiterfassung!$D$6:$D$3665)-ROW(Zeiterfassung!$D$6)+1)/(Zeiterfassung!$D$6:$D$3665&lt;&gt;""),2492),"")</f>
        <v/>
      </c>
    </row>
    <row r="2498" ht="20" customHeight="1">
      <c r="A2498" s="183">
        <f>IF($K2498="","",WEEKNUM(INDEX(Zeiterfassung!$K$6:$K$3665,$K2498),21))</f>
        <v/>
      </c>
      <c r="B2498" s="184">
        <f>IF($K2498="","",INDEX(Zeiterfassung!$K$6:$K$3665,$K2498))</f>
        <v/>
      </c>
      <c r="C2498" s="185">
        <f>IF($K2498="","",INDEX(Zeiterfassung!$K$6:$K$3665,$K2498))</f>
        <v/>
      </c>
      <c r="D2498" s="186">
        <f>IF($K2498="","",INDEX(Zeiterfassung!$D$6:$D$3665,$K2498))</f>
        <v/>
      </c>
      <c r="E2498" s="186">
        <f>IF($K2498="","",INDEX(Zeiterfassung!$E$6:$E$3665,$K2498))</f>
        <v/>
      </c>
      <c r="F2498" s="187">
        <f>IF($K2498="","",INDEX(Zeiterfassung!$F$6:$F$3665,$K2498))</f>
        <v/>
      </c>
      <c r="G2498" s="187">
        <f>IF($K2498="","",INDEX(Zeiterfassung!$G$6:$G$3665,$K2498))</f>
        <v/>
      </c>
      <c r="H2498" s="188">
        <f>IF($K2498="","",INDEX(Zeiterfassung!$H$6:$H$3665,$K2498))</f>
        <v/>
      </c>
      <c r="I2498" s="335">
        <f>IF(B2498=B2497,"",IF($K2498="","",INDEX(Zeiterfassung!$I$6:$I$3665,MATCH(INDEX(Zeiterfassung!$K$6:$K$3665,$K2498),Zeiterfassung!$K$6:$K$3665,0))))</f>
        <v/>
      </c>
      <c r="J2498" s="335">
        <f>IF(B2498=B2497,"",IF($K2498="","",INDEX(Zeiterfassung!$J$6:$J$3665,MATCH(INDEX(Zeiterfassung!$K$6:$K$3665,$K2498),Zeiterfassung!$K$6:$K$3665,0))))</f>
        <v/>
      </c>
      <c r="K2498">
        <f>IFERROR(AGGREGATE(15,6,(ROW(Zeiterfassung!$D$6:$D$3665)-ROW(Zeiterfassung!$D$6)+1)/(Zeiterfassung!$D$6:$D$3665&lt;&gt;""),2493),"")</f>
        <v/>
      </c>
    </row>
    <row r="2499" ht="20" customHeight="1">
      <c r="A2499" s="183">
        <f>IF($K2499="","",WEEKNUM(INDEX(Zeiterfassung!$K$6:$K$3665,$K2499),21))</f>
        <v/>
      </c>
      <c r="B2499" s="184">
        <f>IF($K2499="","",INDEX(Zeiterfassung!$K$6:$K$3665,$K2499))</f>
        <v/>
      </c>
      <c r="C2499" s="185">
        <f>IF($K2499="","",INDEX(Zeiterfassung!$K$6:$K$3665,$K2499))</f>
        <v/>
      </c>
      <c r="D2499" s="186">
        <f>IF($K2499="","",INDEX(Zeiterfassung!$D$6:$D$3665,$K2499))</f>
        <v/>
      </c>
      <c r="E2499" s="186">
        <f>IF($K2499="","",INDEX(Zeiterfassung!$E$6:$E$3665,$K2499))</f>
        <v/>
      </c>
      <c r="F2499" s="187">
        <f>IF($K2499="","",INDEX(Zeiterfassung!$F$6:$F$3665,$K2499))</f>
        <v/>
      </c>
      <c r="G2499" s="187">
        <f>IF($K2499="","",INDEX(Zeiterfassung!$G$6:$G$3665,$K2499))</f>
        <v/>
      </c>
      <c r="H2499" s="188">
        <f>IF($K2499="","",INDEX(Zeiterfassung!$H$6:$H$3665,$K2499))</f>
        <v/>
      </c>
      <c r="I2499" s="335">
        <f>IF(B2499=B2498,"",IF($K2499="","",INDEX(Zeiterfassung!$I$6:$I$3665,MATCH(INDEX(Zeiterfassung!$K$6:$K$3665,$K2499),Zeiterfassung!$K$6:$K$3665,0))))</f>
        <v/>
      </c>
      <c r="J2499" s="335">
        <f>IF(B2499=B2498,"",IF($K2499="","",INDEX(Zeiterfassung!$J$6:$J$3665,MATCH(INDEX(Zeiterfassung!$K$6:$K$3665,$K2499),Zeiterfassung!$K$6:$K$3665,0))))</f>
        <v/>
      </c>
      <c r="K2499">
        <f>IFERROR(AGGREGATE(15,6,(ROW(Zeiterfassung!$D$6:$D$3665)-ROW(Zeiterfassung!$D$6)+1)/(Zeiterfassung!$D$6:$D$3665&lt;&gt;""),2494),"")</f>
        <v/>
      </c>
    </row>
    <row r="2500" ht="20" customHeight="1">
      <c r="A2500" s="183">
        <f>IF($K2500="","",WEEKNUM(INDEX(Zeiterfassung!$K$6:$K$3665,$K2500),21))</f>
        <v/>
      </c>
      <c r="B2500" s="184">
        <f>IF($K2500="","",INDEX(Zeiterfassung!$K$6:$K$3665,$K2500))</f>
        <v/>
      </c>
      <c r="C2500" s="185">
        <f>IF($K2500="","",INDEX(Zeiterfassung!$K$6:$K$3665,$K2500))</f>
        <v/>
      </c>
      <c r="D2500" s="186">
        <f>IF($K2500="","",INDEX(Zeiterfassung!$D$6:$D$3665,$K2500))</f>
        <v/>
      </c>
      <c r="E2500" s="186">
        <f>IF($K2500="","",INDEX(Zeiterfassung!$E$6:$E$3665,$K2500))</f>
        <v/>
      </c>
      <c r="F2500" s="187">
        <f>IF($K2500="","",INDEX(Zeiterfassung!$F$6:$F$3665,$K2500))</f>
        <v/>
      </c>
      <c r="G2500" s="187">
        <f>IF($K2500="","",INDEX(Zeiterfassung!$G$6:$G$3665,$K2500))</f>
        <v/>
      </c>
      <c r="H2500" s="188">
        <f>IF($K2500="","",INDEX(Zeiterfassung!$H$6:$H$3665,$K2500))</f>
        <v/>
      </c>
      <c r="I2500" s="335">
        <f>IF(B2500=B2499,"",IF($K2500="","",INDEX(Zeiterfassung!$I$6:$I$3665,MATCH(INDEX(Zeiterfassung!$K$6:$K$3665,$K2500),Zeiterfassung!$K$6:$K$3665,0))))</f>
        <v/>
      </c>
      <c r="J2500" s="335">
        <f>IF(B2500=B2499,"",IF($K2500="","",INDEX(Zeiterfassung!$J$6:$J$3665,MATCH(INDEX(Zeiterfassung!$K$6:$K$3665,$K2500),Zeiterfassung!$K$6:$K$3665,0))))</f>
        <v/>
      </c>
      <c r="K2500">
        <f>IFERROR(AGGREGATE(15,6,(ROW(Zeiterfassung!$D$6:$D$3665)-ROW(Zeiterfassung!$D$6)+1)/(Zeiterfassung!$D$6:$D$3665&lt;&gt;""),2495),"")</f>
        <v/>
      </c>
    </row>
    <row r="2501" ht="20" customHeight="1">
      <c r="A2501" s="183">
        <f>IF($K2501="","",WEEKNUM(INDEX(Zeiterfassung!$K$6:$K$3665,$K2501),21))</f>
        <v/>
      </c>
      <c r="B2501" s="184">
        <f>IF($K2501="","",INDEX(Zeiterfassung!$K$6:$K$3665,$K2501))</f>
        <v/>
      </c>
      <c r="C2501" s="185">
        <f>IF($K2501="","",INDEX(Zeiterfassung!$K$6:$K$3665,$K2501))</f>
        <v/>
      </c>
      <c r="D2501" s="186">
        <f>IF($K2501="","",INDEX(Zeiterfassung!$D$6:$D$3665,$K2501))</f>
        <v/>
      </c>
      <c r="E2501" s="186">
        <f>IF($K2501="","",INDEX(Zeiterfassung!$E$6:$E$3665,$K2501))</f>
        <v/>
      </c>
      <c r="F2501" s="187">
        <f>IF($K2501="","",INDEX(Zeiterfassung!$F$6:$F$3665,$K2501))</f>
        <v/>
      </c>
      <c r="G2501" s="187">
        <f>IF($K2501="","",INDEX(Zeiterfassung!$G$6:$G$3665,$K2501))</f>
        <v/>
      </c>
      <c r="H2501" s="188">
        <f>IF($K2501="","",INDEX(Zeiterfassung!$H$6:$H$3665,$K2501))</f>
        <v/>
      </c>
      <c r="I2501" s="335">
        <f>IF(B2501=B2500,"",IF($K2501="","",INDEX(Zeiterfassung!$I$6:$I$3665,MATCH(INDEX(Zeiterfassung!$K$6:$K$3665,$K2501),Zeiterfassung!$K$6:$K$3665,0))))</f>
        <v/>
      </c>
      <c r="J2501" s="335">
        <f>IF(B2501=B2500,"",IF($K2501="","",INDEX(Zeiterfassung!$J$6:$J$3665,MATCH(INDEX(Zeiterfassung!$K$6:$K$3665,$K2501),Zeiterfassung!$K$6:$K$3665,0))))</f>
        <v/>
      </c>
      <c r="K2501">
        <f>IFERROR(AGGREGATE(15,6,(ROW(Zeiterfassung!$D$6:$D$3665)-ROW(Zeiterfassung!$D$6)+1)/(Zeiterfassung!$D$6:$D$3665&lt;&gt;""),2496),"")</f>
        <v/>
      </c>
    </row>
    <row r="2502" ht="20" customHeight="1">
      <c r="A2502" s="183">
        <f>IF($K2502="","",WEEKNUM(INDEX(Zeiterfassung!$K$6:$K$3665,$K2502),21))</f>
        <v/>
      </c>
      <c r="B2502" s="184">
        <f>IF($K2502="","",INDEX(Zeiterfassung!$K$6:$K$3665,$K2502))</f>
        <v/>
      </c>
      <c r="C2502" s="185">
        <f>IF($K2502="","",INDEX(Zeiterfassung!$K$6:$K$3665,$K2502))</f>
        <v/>
      </c>
      <c r="D2502" s="186">
        <f>IF($K2502="","",INDEX(Zeiterfassung!$D$6:$D$3665,$K2502))</f>
        <v/>
      </c>
      <c r="E2502" s="186">
        <f>IF($K2502="","",INDEX(Zeiterfassung!$E$6:$E$3665,$K2502))</f>
        <v/>
      </c>
      <c r="F2502" s="187">
        <f>IF($K2502="","",INDEX(Zeiterfassung!$F$6:$F$3665,$K2502))</f>
        <v/>
      </c>
      <c r="G2502" s="187">
        <f>IF($K2502="","",INDEX(Zeiterfassung!$G$6:$G$3665,$K2502))</f>
        <v/>
      </c>
      <c r="H2502" s="188">
        <f>IF($K2502="","",INDEX(Zeiterfassung!$H$6:$H$3665,$K2502))</f>
        <v/>
      </c>
      <c r="I2502" s="335">
        <f>IF(B2502=B2501,"",IF($K2502="","",INDEX(Zeiterfassung!$I$6:$I$3665,MATCH(INDEX(Zeiterfassung!$K$6:$K$3665,$K2502),Zeiterfassung!$K$6:$K$3665,0))))</f>
        <v/>
      </c>
      <c r="J2502" s="335">
        <f>IF(B2502=B2501,"",IF($K2502="","",INDEX(Zeiterfassung!$J$6:$J$3665,MATCH(INDEX(Zeiterfassung!$K$6:$K$3665,$K2502),Zeiterfassung!$K$6:$K$3665,0))))</f>
        <v/>
      </c>
      <c r="K2502">
        <f>IFERROR(AGGREGATE(15,6,(ROW(Zeiterfassung!$D$6:$D$3665)-ROW(Zeiterfassung!$D$6)+1)/(Zeiterfassung!$D$6:$D$3665&lt;&gt;""),2497),"")</f>
        <v/>
      </c>
    </row>
    <row r="2503" ht="20" customHeight="1">
      <c r="A2503" s="183">
        <f>IF($K2503="","",WEEKNUM(INDEX(Zeiterfassung!$K$6:$K$3665,$K2503),21))</f>
        <v/>
      </c>
      <c r="B2503" s="184">
        <f>IF($K2503="","",INDEX(Zeiterfassung!$K$6:$K$3665,$K2503))</f>
        <v/>
      </c>
      <c r="C2503" s="185">
        <f>IF($K2503="","",INDEX(Zeiterfassung!$K$6:$K$3665,$K2503))</f>
        <v/>
      </c>
      <c r="D2503" s="186">
        <f>IF($K2503="","",INDEX(Zeiterfassung!$D$6:$D$3665,$K2503))</f>
        <v/>
      </c>
      <c r="E2503" s="186">
        <f>IF($K2503="","",INDEX(Zeiterfassung!$E$6:$E$3665,$K2503))</f>
        <v/>
      </c>
      <c r="F2503" s="187">
        <f>IF($K2503="","",INDEX(Zeiterfassung!$F$6:$F$3665,$K2503))</f>
        <v/>
      </c>
      <c r="G2503" s="187">
        <f>IF($K2503="","",INDEX(Zeiterfassung!$G$6:$G$3665,$K2503))</f>
        <v/>
      </c>
      <c r="H2503" s="188">
        <f>IF($K2503="","",INDEX(Zeiterfassung!$H$6:$H$3665,$K2503))</f>
        <v/>
      </c>
      <c r="I2503" s="335">
        <f>IF(B2503=B2502,"",IF($K2503="","",INDEX(Zeiterfassung!$I$6:$I$3665,MATCH(INDEX(Zeiterfassung!$K$6:$K$3665,$K2503),Zeiterfassung!$K$6:$K$3665,0))))</f>
        <v/>
      </c>
      <c r="J2503" s="335">
        <f>IF(B2503=B2502,"",IF($K2503="","",INDEX(Zeiterfassung!$J$6:$J$3665,MATCH(INDEX(Zeiterfassung!$K$6:$K$3665,$K2503),Zeiterfassung!$K$6:$K$3665,0))))</f>
        <v/>
      </c>
      <c r="K2503">
        <f>IFERROR(AGGREGATE(15,6,(ROW(Zeiterfassung!$D$6:$D$3665)-ROW(Zeiterfassung!$D$6)+1)/(Zeiterfassung!$D$6:$D$3665&lt;&gt;""),2498),"")</f>
        <v/>
      </c>
    </row>
    <row r="2504" ht="20" customHeight="1">
      <c r="A2504" s="183">
        <f>IF($K2504="","",WEEKNUM(INDEX(Zeiterfassung!$K$6:$K$3665,$K2504),21))</f>
        <v/>
      </c>
      <c r="B2504" s="184">
        <f>IF($K2504="","",INDEX(Zeiterfassung!$K$6:$K$3665,$K2504))</f>
        <v/>
      </c>
      <c r="C2504" s="185">
        <f>IF($K2504="","",INDEX(Zeiterfassung!$K$6:$K$3665,$K2504))</f>
        <v/>
      </c>
      <c r="D2504" s="186">
        <f>IF($K2504="","",INDEX(Zeiterfassung!$D$6:$D$3665,$K2504))</f>
        <v/>
      </c>
      <c r="E2504" s="186">
        <f>IF($K2504="","",INDEX(Zeiterfassung!$E$6:$E$3665,$K2504))</f>
        <v/>
      </c>
      <c r="F2504" s="187">
        <f>IF($K2504="","",INDEX(Zeiterfassung!$F$6:$F$3665,$K2504))</f>
        <v/>
      </c>
      <c r="G2504" s="187">
        <f>IF($K2504="","",INDEX(Zeiterfassung!$G$6:$G$3665,$K2504))</f>
        <v/>
      </c>
      <c r="H2504" s="188">
        <f>IF($K2504="","",INDEX(Zeiterfassung!$H$6:$H$3665,$K2504))</f>
        <v/>
      </c>
      <c r="I2504" s="335">
        <f>IF(B2504=B2503,"",IF($K2504="","",INDEX(Zeiterfassung!$I$6:$I$3665,MATCH(INDEX(Zeiterfassung!$K$6:$K$3665,$K2504),Zeiterfassung!$K$6:$K$3665,0))))</f>
        <v/>
      </c>
      <c r="J2504" s="335">
        <f>IF(B2504=B2503,"",IF($K2504="","",INDEX(Zeiterfassung!$J$6:$J$3665,MATCH(INDEX(Zeiterfassung!$K$6:$K$3665,$K2504),Zeiterfassung!$K$6:$K$3665,0))))</f>
        <v/>
      </c>
      <c r="K2504">
        <f>IFERROR(AGGREGATE(15,6,(ROW(Zeiterfassung!$D$6:$D$3665)-ROW(Zeiterfassung!$D$6)+1)/(Zeiterfassung!$D$6:$D$3665&lt;&gt;""),2499),"")</f>
        <v/>
      </c>
    </row>
    <row r="2505" ht="20" customHeight="1">
      <c r="A2505" s="183">
        <f>IF($K2505="","",WEEKNUM(INDEX(Zeiterfassung!$K$6:$K$3665,$K2505),21))</f>
        <v/>
      </c>
      <c r="B2505" s="184">
        <f>IF($K2505="","",INDEX(Zeiterfassung!$K$6:$K$3665,$K2505))</f>
        <v/>
      </c>
      <c r="C2505" s="185">
        <f>IF($K2505="","",INDEX(Zeiterfassung!$K$6:$K$3665,$K2505))</f>
        <v/>
      </c>
      <c r="D2505" s="186">
        <f>IF($K2505="","",INDEX(Zeiterfassung!$D$6:$D$3665,$K2505))</f>
        <v/>
      </c>
      <c r="E2505" s="186">
        <f>IF($K2505="","",INDEX(Zeiterfassung!$E$6:$E$3665,$K2505))</f>
        <v/>
      </c>
      <c r="F2505" s="187">
        <f>IF($K2505="","",INDEX(Zeiterfassung!$F$6:$F$3665,$K2505))</f>
        <v/>
      </c>
      <c r="G2505" s="187">
        <f>IF($K2505="","",INDEX(Zeiterfassung!$G$6:$G$3665,$K2505))</f>
        <v/>
      </c>
      <c r="H2505" s="188">
        <f>IF($K2505="","",INDEX(Zeiterfassung!$H$6:$H$3665,$K2505))</f>
        <v/>
      </c>
      <c r="I2505" s="335">
        <f>IF(B2505=B2504,"",IF($K2505="","",INDEX(Zeiterfassung!$I$6:$I$3665,MATCH(INDEX(Zeiterfassung!$K$6:$K$3665,$K2505),Zeiterfassung!$K$6:$K$3665,0))))</f>
        <v/>
      </c>
      <c r="J2505" s="335">
        <f>IF(B2505=B2504,"",IF($K2505="","",INDEX(Zeiterfassung!$J$6:$J$3665,MATCH(INDEX(Zeiterfassung!$K$6:$K$3665,$K2505),Zeiterfassung!$K$6:$K$3665,0))))</f>
        <v/>
      </c>
      <c r="K2505">
        <f>IFERROR(AGGREGATE(15,6,(ROW(Zeiterfassung!$D$6:$D$3665)-ROW(Zeiterfassung!$D$6)+1)/(Zeiterfassung!$D$6:$D$3665&lt;&gt;""),2500),"")</f>
        <v/>
      </c>
    </row>
    <row r="2506" ht="20" customHeight="1">
      <c r="A2506" s="183">
        <f>IF($K2506="","",WEEKNUM(INDEX(Zeiterfassung!$K$6:$K$3665,$K2506),21))</f>
        <v/>
      </c>
      <c r="B2506" s="184">
        <f>IF($K2506="","",INDEX(Zeiterfassung!$K$6:$K$3665,$K2506))</f>
        <v/>
      </c>
      <c r="C2506" s="185">
        <f>IF($K2506="","",INDEX(Zeiterfassung!$K$6:$K$3665,$K2506))</f>
        <v/>
      </c>
      <c r="D2506" s="186">
        <f>IF($K2506="","",INDEX(Zeiterfassung!$D$6:$D$3665,$K2506))</f>
        <v/>
      </c>
      <c r="E2506" s="186">
        <f>IF($K2506="","",INDEX(Zeiterfassung!$E$6:$E$3665,$K2506))</f>
        <v/>
      </c>
      <c r="F2506" s="187">
        <f>IF($K2506="","",INDEX(Zeiterfassung!$F$6:$F$3665,$K2506))</f>
        <v/>
      </c>
      <c r="G2506" s="187">
        <f>IF($K2506="","",INDEX(Zeiterfassung!$G$6:$G$3665,$K2506))</f>
        <v/>
      </c>
      <c r="H2506" s="188">
        <f>IF($K2506="","",INDEX(Zeiterfassung!$H$6:$H$3665,$K2506))</f>
        <v/>
      </c>
      <c r="I2506" s="335">
        <f>IF(B2506=B2505,"",IF($K2506="","",INDEX(Zeiterfassung!$I$6:$I$3665,MATCH(INDEX(Zeiterfassung!$K$6:$K$3665,$K2506),Zeiterfassung!$K$6:$K$3665,0))))</f>
        <v/>
      </c>
      <c r="J2506" s="335">
        <f>IF(B2506=B2505,"",IF($K2506="","",INDEX(Zeiterfassung!$J$6:$J$3665,MATCH(INDEX(Zeiterfassung!$K$6:$K$3665,$K2506),Zeiterfassung!$K$6:$K$3665,0))))</f>
        <v/>
      </c>
      <c r="K2506">
        <f>IFERROR(AGGREGATE(15,6,(ROW(Zeiterfassung!$D$6:$D$3665)-ROW(Zeiterfassung!$D$6)+1)/(Zeiterfassung!$D$6:$D$3665&lt;&gt;""),2501),"")</f>
        <v/>
      </c>
    </row>
    <row r="2507" ht="20" customHeight="1">
      <c r="A2507" s="183">
        <f>IF($K2507="","",WEEKNUM(INDEX(Zeiterfassung!$K$6:$K$3665,$K2507),21))</f>
        <v/>
      </c>
      <c r="B2507" s="184">
        <f>IF($K2507="","",INDEX(Zeiterfassung!$K$6:$K$3665,$K2507))</f>
        <v/>
      </c>
      <c r="C2507" s="185">
        <f>IF($K2507="","",INDEX(Zeiterfassung!$K$6:$K$3665,$K2507))</f>
        <v/>
      </c>
      <c r="D2507" s="186">
        <f>IF($K2507="","",INDEX(Zeiterfassung!$D$6:$D$3665,$K2507))</f>
        <v/>
      </c>
      <c r="E2507" s="186">
        <f>IF($K2507="","",INDEX(Zeiterfassung!$E$6:$E$3665,$K2507))</f>
        <v/>
      </c>
      <c r="F2507" s="187">
        <f>IF($K2507="","",INDEX(Zeiterfassung!$F$6:$F$3665,$K2507))</f>
        <v/>
      </c>
      <c r="G2507" s="187">
        <f>IF($K2507="","",INDEX(Zeiterfassung!$G$6:$G$3665,$K2507))</f>
        <v/>
      </c>
      <c r="H2507" s="188">
        <f>IF($K2507="","",INDEX(Zeiterfassung!$H$6:$H$3665,$K2507))</f>
        <v/>
      </c>
      <c r="I2507" s="335">
        <f>IF(B2507=B2506,"",IF($K2507="","",INDEX(Zeiterfassung!$I$6:$I$3665,MATCH(INDEX(Zeiterfassung!$K$6:$K$3665,$K2507),Zeiterfassung!$K$6:$K$3665,0))))</f>
        <v/>
      </c>
      <c r="J2507" s="335">
        <f>IF(B2507=B2506,"",IF($K2507="","",INDEX(Zeiterfassung!$J$6:$J$3665,MATCH(INDEX(Zeiterfassung!$K$6:$K$3665,$K2507),Zeiterfassung!$K$6:$K$3665,0))))</f>
        <v/>
      </c>
      <c r="K2507">
        <f>IFERROR(AGGREGATE(15,6,(ROW(Zeiterfassung!$D$6:$D$3665)-ROW(Zeiterfassung!$D$6)+1)/(Zeiterfassung!$D$6:$D$3665&lt;&gt;""),2502),"")</f>
        <v/>
      </c>
    </row>
    <row r="2508" ht="20" customHeight="1">
      <c r="A2508" s="183">
        <f>IF($K2508="","",WEEKNUM(INDEX(Zeiterfassung!$K$6:$K$3665,$K2508),21))</f>
        <v/>
      </c>
      <c r="B2508" s="184">
        <f>IF($K2508="","",INDEX(Zeiterfassung!$K$6:$K$3665,$K2508))</f>
        <v/>
      </c>
      <c r="C2508" s="185">
        <f>IF($K2508="","",INDEX(Zeiterfassung!$K$6:$K$3665,$K2508))</f>
        <v/>
      </c>
      <c r="D2508" s="186">
        <f>IF($K2508="","",INDEX(Zeiterfassung!$D$6:$D$3665,$K2508))</f>
        <v/>
      </c>
      <c r="E2508" s="186">
        <f>IF($K2508="","",INDEX(Zeiterfassung!$E$6:$E$3665,$K2508))</f>
        <v/>
      </c>
      <c r="F2508" s="187">
        <f>IF($K2508="","",INDEX(Zeiterfassung!$F$6:$F$3665,$K2508))</f>
        <v/>
      </c>
      <c r="G2508" s="187">
        <f>IF($K2508="","",INDEX(Zeiterfassung!$G$6:$G$3665,$K2508))</f>
        <v/>
      </c>
      <c r="H2508" s="188">
        <f>IF($K2508="","",INDEX(Zeiterfassung!$H$6:$H$3665,$K2508))</f>
        <v/>
      </c>
      <c r="I2508" s="335">
        <f>IF(B2508=B2507,"",IF($K2508="","",INDEX(Zeiterfassung!$I$6:$I$3665,MATCH(INDEX(Zeiterfassung!$K$6:$K$3665,$K2508),Zeiterfassung!$K$6:$K$3665,0))))</f>
        <v/>
      </c>
      <c r="J2508" s="335">
        <f>IF(B2508=B2507,"",IF($K2508="","",INDEX(Zeiterfassung!$J$6:$J$3665,MATCH(INDEX(Zeiterfassung!$K$6:$K$3665,$K2508),Zeiterfassung!$K$6:$K$3665,0))))</f>
        <v/>
      </c>
      <c r="K2508">
        <f>IFERROR(AGGREGATE(15,6,(ROW(Zeiterfassung!$D$6:$D$3665)-ROW(Zeiterfassung!$D$6)+1)/(Zeiterfassung!$D$6:$D$3665&lt;&gt;""),2503),"")</f>
        <v/>
      </c>
    </row>
    <row r="2509" ht="20" customHeight="1">
      <c r="A2509" s="183">
        <f>IF($K2509="","",WEEKNUM(INDEX(Zeiterfassung!$K$6:$K$3665,$K2509),21))</f>
        <v/>
      </c>
      <c r="B2509" s="184">
        <f>IF($K2509="","",INDEX(Zeiterfassung!$K$6:$K$3665,$K2509))</f>
        <v/>
      </c>
      <c r="C2509" s="185">
        <f>IF($K2509="","",INDEX(Zeiterfassung!$K$6:$K$3665,$K2509))</f>
        <v/>
      </c>
      <c r="D2509" s="186">
        <f>IF($K2509="","",INDEX(Zeiterfassung!$D$6:$D$3665,$K2509))</f>
        <v/>
      </c>
      <c r="E2509" s="186">
        <f>IF($K2509="","",INDEX(Zeiterfassung!$E$6:$E$3665,$K2509))</f>
        <v/>
      </c>
      <c r="F2509" s="187">
        <f>IF($K2509="","",INDEX(Zeiterfassung!$F$6:$F$3665,$K2509))</f>
        <v/>
      </c>
      <c r="G2509" s="187">
        <f>IF($K2509="","",INDEX(Zeiterfassung!$G$6:$G$3665,$K2509))</f>
        <v/>
      </c>
      <c r="H2509" s="188">
        <f>IF($K2509="","",INDEX(Zeiterfassung!$H$6:$H$3665,$K2509))</f>
        <v/>
      </c>
      <c r="I2509" s="335">
        <f>IF(B2509=B2508,"",IF($K2509="","",INDEX(Zeiterfassung!$I$6:$I$3665,MATCH(INDEX(Zeiterfassung!$K$6:$K$3665,$K2509),Zeiterfassung!$K$6:$K$3665,0))))</f>
        <v/>
      </c>
      <c r="J2509" s="335">
        <f>IF(B2509=B2508,"",IF($K2509="","",INDEX(Zeiterfassung!$J$6:$J$3665,MATCH(INDEX(Zeiterfassung!$K$6:$K$3665,$K2509),Zeiterfassung!$K$6:$K$3665,0))))</f>
        <v/>
      </c>
      <c r="K2509">
        <f>IFERROR(AGGREGATE(15,6,(ROW(Zeiterfassung!$D$6:$D$3665)-ROW(Zeiterfassung!$D$6)+1)/(Zeiterfassung!$D$6:$D$3665&lt;&gt;""),2504),"")</f>
        <v/>
      </c>
    </row>
    <row r="2510" ht="20" customHeight="1">
      <c r="A2510" s="183">
        <f>IF($K2510="","",WEEKNUM(INDEX(Zeiterfassung!$K$6:$K$3665,$K2510),21))</f>
        <v/>
      </c>
      <c r="B2510" s="184">
        <f>IF($K2510="","",INDEX(Zeiterfassung!$K$6:$K$3665,$K2510))</f>
        <v/>
      </c>
      <c r="C2510" s="185">
        <f>IF($K2510="","",INDEX(Zeiterfassung!$K$6:$K$3665,$K2510))</f>
        <v/>
      </c>
      <c r="D2510" s="186">
        <f>IF($K2510="","",INDEX(Zeiterfassung!$D$6:$D$3665,$K2510))</f>
        <v/>
      </c>
      <c r="E2510" s="186">
        <f>IF($K2510="","",INDEX(Zeiterfassung!$E$6:$E$3665,$K2510))</f>
        <v/>
      </c>
      <c r="F2510" s="187">
        <f>IF($K2510="","",INDEX(Zeiterfassung!$F$6:$F$3665,$K2510))</f>
        <v/>
      </c>
      <c r="G2510" s="187">
        <f>IF($K2510="","",INDEX(Zeiterfassung!$G$6:$G$3665,$K2510))</f>
        <v/>
      </c>
      <c r="H2510" s="188">
        <f>IF($K2510="","",INDEX(Zeiterfassung!$H$6:$H$3665,$K2510))</f>
        <v/>
      </c>
      <c r="I2510" s="335">
        <f>IF(B2510=B2509,"",IF($K2510="","",INDEX(Zeiterfassung!$I$6:$I$3665,MATCH(INDEX(Zeiterfassung!$K$6:$K$3665,$K2510),Zeiterfassung!$K$6:$K$3665,0))))</f>
        <v/>
      </c>
      <c r="J2510" s="335">
        <f>IF(B2510=B2509,"",IF($K2510="","",INDEX(Zeiterfassung!$J$6:$J$3665,MATCH(INDEX(Zeiterfassung!$K$6:$K$3665,$K2510),Zeiterfassung!$K$6:$K$3665,0))))</f>
        <v/>
      </c>
      <c r="K2510">
        <f>IFERROR(AGGREGATE(15,6,(ROW(Zeiterfassung!$D$6:$D$3665)-ROW(Zeiterfassung!$D$6)+1)/(Zeiterfassung!$D$6:$D$3665&lt;&gt;""),2505),"")</f>
        <v/>
      </c>
    </row>
    <row r="2511" ht="20" customHeight="1">
      <c r="A2511" s="183">
        <f>IF($K2511="","",WEEKNUM(INDEX(Zeiterfassung!$K$6:$K$3665,$K2511),21))</f>
        <v/>
      </c>
      <c r="B2511" s="184">
        <f>IF($K2511="","",INDEX(Zeiterfassung!$K$6:$K$3665,$K2511))</f>
        <v/>
      </c>
      <c r="C2511" s="185">
        <f>IF($K2511="","",INDEX(Zeiterfassung!$K$6:$K$3665,$K2511))</f>
        <v/>
      </c>
      <c r="D2511" s="186">
        <f>IF($K2511="","",INDEX(Zeiterfassung!$D$6:$D$3665,$K2511))</f>
        <v/>
      </c>
      <c r="E2511" s="186">
        <f>IF($K2511="","",INDEX(Zeiterfassung!$E$6:$E$3665,$K2511))</f>
        <v/>
      </c>
      <c r="F2511" s="187">
        <f>IF($K2511="","",INDEX(Zeiterfassung!$F$6:$F$3665,$K2511))</f>
        <v/>
      </c>
      <c r="G2511" s="187">
        <f>IF($K2511="","",INDEX(Zeiterfassung!$G$6:$G$3665,$K2511))</f>
        <v/>
      </c>
      <c r="H2511" s="188">
        <f>IF($K2511="","",INDEX(Zeiterfassung!$H$6:$H$3665,$K2511))</f>
        <v/>
      </c>
      <c r="I2511" s="335">
        <f>IF(B2511=B2510,"",IF($K2511="","",INDEX(Zeiterfassung!$I$6:$I$3665,MATCH(INDEX(Zeiterfassung!$K$6:$K$3665,$K2511),Zeiterfassung!$K$6:$K$3665,0))))</f>
        <v/>
      </c>
      <c r="J2511" s="335">
        <f>IF(B2511=B2510,"",IF($K2511="","",INDEX(Zeiterfassung!$J$6:$J$3665,MATCH(INDEX(Zeiterfassung!$K$6:$K$3665,$K2511),Zeiterfassung!$K$6:$K$3665,0))))</f>
        <v/>
      </c>
      <c r="K2511">
        <f>IFERROR(AGGREGATE(15,6,(ROW(Zeiterfassung!$D$6:$D$3665)-ROW(Zeiterfassung!$D$6)+1)/(Zeiterfassung!$D$6:$D$3665&lt;&gt;""),2506),"")</f>
        <v/>
      </c>
    </row>
    <row r="2512" ht="20" customHeight="1">
      <c r="A2512" s="183">
        <f>IF($K2512="","",WEEKNUM(INDEX(Zeiterfassung!$K$6:$K$3665,$K2512),21))</f>
        <v/>
      </c>
      <c r="B2512" s="184">
        <f>IF($K2512="","",INDEX(Zeiterfassung!$K$6:$K$3665,$K2512))</f>
        <v/>
      </c>
      <c r="C2512" s="185">
        <f>IF($K2512="","",INDEX(Zeiterfassung!$K$6:$K$3665,$K2512))</f>
        <v/>
      </c>
      <c r="D2512" s="186">
        <f>IF($K2512="","",INDEX(Zeiterfassung!$D$6:$D$3665,$K2512))</f>
        <v/>
      </c>
      <c r="E2512" s="186">
        <f>IF($K2512="","",INDEX(Zeiterfassung!$E$6:$E$3665,$K2512))</f>
        <v/>
      </c>
      <c r="F2512" s="187">
        <f>IF($K2512="","",INDEX(Zeiterfassung!$F$6:$F$3665,$K2512))</f>
        <v/>
      </c>
      <c r="G2512" s="187">
        <f>IF($K2512="","",INDEX(Zeiterfassung!$G$6:$G$3665,$K2512))</f>
        <v/>
      </c>
      <c r="H2512" s="188">
        <f>IF($K2512="","",INDEX(Zeiterfassung!$H$6:$H$3665,$K2512))</f>
        <v/>
      </c>
      <c r="I2512" s="335">
        <f>IF(B2512=B2511,"",IF($K2512="","",INDEX(Zeiterfassung!$I$6:$I$3665,MATCH(INDEX(Zeiterfassung!$K$6:$K$3665,$K2512),Zeiterfassung!$K$6:$K$3665,0))))</f>
        <v/>
      </c>
      <c r="J2512" s="335">
        <f>IF(B2512=B2511,"",IF($K2512="","",INDEX(Zeiterfassung!$J$6:$J$3665,MATCH(INDEX(Zeiterfassung!$K$6:$K$3665,$K2512),Zeiterfassung!$K$6:$K$3665,0))))</f>
        <v/>
      </c>
      <c r="K2512">
        <f>IFERROR(AGGREGATE(15,6,(ROW(Zeiterfassung!$D$6:$D$3665)-ROW(Zeiterfassung!$D$6)+1)/(Zeiterfassung!$D$6:$D$3665&lt;&gt;""),2507),"")</f>
        <v/>
      </c>
    </row>
    <row r="2513" ht="20" customHeight="1">
      <c r="A2513" s="183">
        <f>IF($K2513="","",WEEKNUM(INDEX(Zeiterfassung!$K$6:$K$3665,$K2513),21))</f>
        <v/>
      </c>
      <c r="B2513" s="184">
        <f>IF($K2513="","",INDEX(Zeiterfassung!$K$6:$K$3665,$K2513))</f>
        <v/>
      </c>
      <c r="C2513" s="185">
        <f>IF($K2513="","",INDEX(Zeiterfassung!$K$6:$K$3665,$K2513))</f>
        <v/>
      </c>
      <c r="D2513" s="186">
        <f>IF($K2513="","",INDEX(Zeiterfassung!$D$6:$D$3665,$K2513))</f>
        <v/>
      </c>
      <c r="E2513" s="186">
        <f>IF($K2513="","",INDEX(Zeiterfassung!$E$6:$E$3665,$K2513))</f>
        <v/>
      </c>
      <c r="F2513" s="187">
        <f>IF($K2513="","",INDEX(Zeiterfassung!$F$6:$F$3665,$K2513))</f>
        <v/>
      </c>
      <c r="G2513" s="187">
        <f>IF($K2513="","",INDEX(Zeiterfassung!$G$6:$G$3665,$K2513))</f>
        <v/>
      </c>
      <c r="H2513" s="188">
        <f>IF($K2513="","",INDEX(Zeiterfassung!$H$6:$H$3665,$K2513))</f>
        <v/>
      </c>
      <c r="I2513" s="335">
        <f>IF(B2513=B2512,"",IF($K2513="","",INDEX(Zeiterfassung!$I$6:$I$3665,MATCH(INDEX(Zeiterfassung!$K$6:$K$3665,$K2513),Zeiterfassung!$K$6:$K$3665,0))))</f>
        <v/>
      </c>
      <c r="J2513" s="335">
        <f>IF(B2513=B2512,"",IF($K2513="","",INDEX(Zeiterfassung!$J$6:$J$3665,MATCH(INDEX(Zeiterfassung!$K$6:$K$3665,$K2513),Zeiterfassung!$K$6:$K$3665,0))))</f>
        <v/>
      </c>
      <c r="K2513">
        <f>IFERROR(AGGREGATE(15,6,(ROW(Zeiterfassung!$D$6:$D$3665)-ROW(Zeiterfassung!$D$6)+1)/(Zeiterfassung!$D$6:$D$3665&lt;&gt;""),2508),"")</f>
        <v/>
      </c>
    </row>
    <row r="2514" ht="20" customHeight="1">
      <c r="A2514" s="183">
        <f>IF($K2514="","",WEEKNUM(INDEX(Zeiterfassung!$K$6:$K$3665,$K2514),21))</f>
        <v/>
      </c>
      <c r="B2514" s="184">
        <f>IF($K2514="","",INDEX(Zeiterfassung!$K$6:$K$3665,$K2514))</f>
        <v/>
      </c>
      <c r="C2514" s="185">
        <f>IF($K2514="","",INDEX(Zeiterfassung!$K$6:$K$3665,$K2514))</f>
        <v/>
      </c>
      <c r="D2514" s="186">
        <f>IF($K2514="","",INDEX(Zeiterfassung!$D$6:$D$3665,$K2514))</f>
        <v/>
      </c>
      <c r="E2514" s="186">
        <f>IF($K2514="","",INDEX(Zeiterfassung!$E$6:$E$3665,$K2514))</f>
        <v/>
      </c>
      <c r="F2514" s="187">
        <f>IF($K2514="","",INDEX(Zeiterfassung!$F$6:$F$3665,$K2514))</f>
        <v/>
      </c>
      <c r="G2514" s="187">
        <f>IF($K2514="","",INDEX(Zeiterfassung!$G$6:$G$3665,$K2514))</f>
        <v/>
      </c>
      <c r="H2514" s="188">
        <f>IF($K2514="","",INDEX(Zeiterfassung!$H$6:$H$3665,$K2514))</f>
        <v/>
      </c>
      <c r="I2514" s="335">
        <f>IF(B2514=B2513,"",IF($K2514="","",INDEX(Zeiterfassung!$I$6:$I$3665,MATCH(INDEX(Zeiterfassung!$K$6:$K$3665,$K2514),Zeiterfassung!$K$6:$K$3665,0))))</f>
        <v/>
      </c>
      <c r="J2514" s="335">
        <f>IF(B2514=B2513,"",IF($K2514="","",INDEX(Zeiterfassung!$J$6:$J$3665,MATCH(INDEX(Zeiterfassung!$K$6:$K$3665,$K2514),Zeiterfassung!$K$6:$K$3665,0))))</f>
        <v/>
      </c>
      <c r="K2514">
        <f>IFERROR(AGGREGATE(15,6,(ROW(Zeiterfassung!$D$6:$D$3665)-ROW(Zeiterfassung!$D$6)+1)/(Zeiterfassung!$D$6:$D$3665&lt;&gt;""),2509),"")</f>
        <v/>
      </c>
    </row>
    <row r="2515" ht="20" customHeight="1">
      <c r="A2515" s="183">
        <f>IF($K2515="","",WEEKNUM(INDEX(Zeiterfassung!$K$6:$K$3665,$K2515),21))</f>
        <v/>
      </c>
      <c r="B2515" s="184">
        <f>IF($K2515="","",INDEX(Zeiterfassung!$K$6:$K$3665,$K2515))</f>
        <v/>
      </c>
      <c r="C2515" s="185">
        <f>IF($K2515="","",INDEX(Zeiterfassung!$K$6:$K$3665,$K2515))</f>
        <v/>
      </c>
      <c r="D2515" s="186">
        <f>IF($K2515="","",INDEX(Zeiterfassung!$D$6:$D$3665,$K2515))</f>
        <v/>
      </c>
      <c r="E2515" s="186">
        <f>IF($K2515="","",INDEX(Zeiterfassung!$E$6:$E$3665,$K2515))</f>
        <v/>
      </c>
      <c r="F2515" s="187">
        <f>IF($K2515="","",INDEX(Zeiterfassung!$F$6:$F$3665,$K2515))</f>
        <v/>
      </c>
      <c r="G2515" s="187">
        <f>IF($K2515="","",INDEX(Zeiterfassung!$G$6:$G$3665,$K2515))</f>
        <v/>
      </c>
      <c r="H2515" s="188">
        <f>IF($K2515="","",INDEX(Zeiterfassung!$H$6:$H$3665,$K2515))</f>
        <v/>
      </c>
      <c r="I2515" s="335">
        <f>IF(B2515=B2514,"",IF($K2515="","",INDEX(Zeiterfassung!$I$6:$I$3665,MATCH(INDEX(Zeiterfassung!$K$6:$K$3665,$K2515),Zeiterfassung!$K$6:$K$3665,0))))</f>
        <v/>
      </c>
      <c r="J2515" s="335">
        <f>IF(B2515=B2514,"",IF($K2515="","",INDEX(Zeiterfassung!$J$6:$J$3665,MATCH(INDEX(Zeiterfassung!$K$6:$K$3665,$K2515),Zeiterfassung!$K$6:$K$3665,0))))</f>
        <v/>
      </c>
      <c r="K2515">
        <f>IFERROR(AGGREGATE(15,6,(ROW(Zeiterfassung!$D$6:$D$3665)-ROW(Zeiterfassung!$D$6)+1)/(Zeiterfassung!$D$6:$D$3665&lt;&gt;""),2510),"")</f>
        <v/>
      </c>
    </row>
    <row r="2516" ht="20" customHeight="1">
      <c r="A2516" s="183">
        <f>IF($K2516="","",WEEKNUM(INDEX(Zeiterfassung!$K$6:$K$3665,$K2516),21))</f>
        <v/>
      </c>
      <c r="B2516" s="184">
        <f>IF($K2516="","",INDEX(Zeiterfassung!$K$6:$K$3665,$K2516))</f>
        <v/>
      </c>
      <c r="C2516" s="185">
        <f>IF($K2516="","",INDEX(Zeiterfassung!$K$6:$K$3665,$K2516))</f>
        <v/>
      </c>
      <c r="D2516" s="186">
        <f>IF($K2516="","",INDEX(Zeiterfassung!$D$6:$D$3665,$K2516))</f>
        <v/>
      </c>
      <c r="E2516" s="186">
        <f>IF($K2516="","",INDEX(Zeiterfassung!$E$6:$E$3665,$K2516))</f>
        <v/>
      </c>
      <c r="F2516" s="187">
        <f>IF($K2516="","",INDEX(Zeiterfassung!$F$6:$F$3665,$K2516))</f>
        <v/>
      </c>
      <c r="G2516" s="187">
        <f>IF($K2516="","",INDEX(Zeiterfassung!$G$6:$G$3665,$K2516))</f>
        <v/>
      </c>
      <c r="H2516" s="188">
        <f>IF($K2516="","",INDEX(Zeiterfassung!$H$6:$H$3665,$K2516))</f>
        <v/>
      </c>
      <c r="I2516" s="335">
        <f>IF(B2516=B2515,"",IF($K2516="","",INDEX(Zeiterfassung!$I$6:$I$3665,MATCH(INDEX(Zeiterfassung!$K$6:$K$3665,$K2516),Zeiterfassung!$K$6:$K$3665,0))))</f>
        <v/>
      </c>
      <c r="J2516" s="335">
        <f>IF(B2516=B2515,"",IF($K2516="","",INDEX(Zeiterfassung!$J$6:$J$3665,MATCH(INDEX(Zeiterfassung!$K$6:$K$3665,$K2516),Zeiterfassung!$K$6:$K$3665,0))))</f>
        <v/>
      </c>
      <c r="K2516">
        <f>IFERROR(AGGREGATE(15,6,(ROW(Zeiterfassung!$D$6:$D$3665)-ROW(Zeiterfassung!$D$6)+1)/(Zeiterfassung!$D$6:$D$3665&lt;&gt;""),2511),"")</f>
        <v/>
      </c>
    </row>
    <row r="2517" ht="20" customHeight="1">
      <c r="A2517" s="183">
        <f>IF($K2517="","",WEEKNUM(INDEX(Zeiterfassung!$K$6:$K$3665,$K2517),21))</f>
        <v/>
      </c>
      <c r="B2517" s="184">
        <f>IF($K2517="","",INDEX(Zeiterfassung!$K$6:$K$3665,$K2517))</f>
        <v/>
      </c>
      <c r="C2517" s="185">
        <f>IF($K2517="","",INDEX(Zeiterfassung!$K$6:$K$3665,$K2517))</f>
        <v/>
      </c>
      <c r="D2517" s="186">
        <f>IF($K2517="","",INDEX(Zeiterfassung!$D$6:$D$3665,$K2517))</f>
        <v/>
      </c>
      <c r="E2517" s="186">
        <f>IF($K2517="","",INDEX(Zeiterfassung!$E$6:$E$3665,$K2517))</f>
        <v/>
      </c>
      <c r="F2517" s="187">
        <f>IF($K2517="","",INDEX(Zeiterfassung!$F$6:$F$3665,$K2517))</f>
        <v/>
      </c>
      <c r="G2517" s="187">
        <f>IF($K2517="","",INDEX(Zeiterfassung!$G$6:$G$3665,$K2517))</f>
        <v/>
      </c>
      <c r="H2517" s="188">
        <f>IF($K2517="","",INDEX(Zeiterfassung!$H$6:$H$3665,$K2517))</f>
        <v/>
      </c>
      <c r="I2517" s="335">
        <f>IF(B2517=B2516,"",IF($K2517="","",INDEX(Zeiterfassung!$I$6:$I$3665,MATCH(INDEX(Zeiterfassung!$K$6:$K$3665,$K2517),Zeiterfassung!$K$6:$K$3665,0))))</f>
        <v/>
      </c>
      <c r="J2517" s="335">
        <f>IF(B2517=B2516,"",IF($K2517="","",INDEX(Zeiterfassung!$J$6:$J$3665,MATCH(INDEX(Zeiterfassung!$K$6:$K$3665,$K2517),Zeiterfassung!$K$6:$K$3665,0))))</f>
        <v/>
      </c>
      <c r="K2517">
        <f>IFERROR(AGGREGATE(15,6,(ROW(Zeiterfassung!$D$6:$D$3665)-ROW(Zeiterfassung!$D$6)+1)/(Zeiterfassung!$D$6:$D$3665&lt;&gt;""),2512),"")</f>
        <v/>
      </c>
    </row>
    <row r="2518" ht="20" customHeight="1">
      <c r="A2518" s="183">
        <f>IF($K2518="","",WEEKNUM(INDEX(Zeiterfassung!$K$6:$K$3665,$K2518),21))</f>
        <v/>
      </c>
      <c r="B2518" s="184">
        <f>IF($K2518="","",INDEX(Zeiterfassung!$K$6:$K$3665,$K2518))</f>
        <v/>
      </c>
      <c r="C2518" s="185">
        <f>IF($K2518="","",INDEX(Zeiterfassung!$K$6:$K$3665,$K2518))</f>
        <v/>
      </c>
      <c r="D2518" s="186">
        <f>IF($K2518="","",INDEX(Zeiterfassung!$D$6:$D$3665,$K2518))</f>
        <v/>
      </c>
      <c r="E2518" s="186">
        <f>IF($K2518="","",INDEX(Zeiterfassung!$E$6:$E$3665,$K2518))</f>
        <v/>
      </c>
      <c r="F2518" s="187">
        <f>IF($K2518="","",INDEX(Zeiterfassung!$F$6:$F$3665,$K2518))</f>
        <v/>
      </c>
      <c r="G2518" s="187">
        <f>IF($K2518="","",INDEX(Zeiterfassung!$G$6:$G$3665,$K2518))</f>
        <v/>
      </c>
      <c r="H2518" s="188">
        <f>IF($K2518="","",INDEX(Zeiterfassung!$H$6:$H$3665,$K2518))</f>
        <v/>
      </c>
      <c r="I2518" s="335">
        <f>IF(B2518=B2517,"",IF($K2518="","",INDEX(Zeiterfassung!$I$6:$I$3665,MATCH(INDEX(Zeiterfassung!$K$6:$K$3665,$K2518),Zeiterfassung!$K$6:$K$3665,0))))</f>
        <v/>
      </c>
      <c r="J2518" s="335">
        <f>IF(B2518=B2517,"",IF($K2518="","",INDEX(Zeiterfassung!$J$6:$J$3665,MATCH(INDEX(Zeiterfassung!$K$6:$K$3665,$K2518),Zeiterfassung!$K$6:$K$3665,0))))</f>
        <v/>
      </c>
      <c r="K2518">
        <f>IFERROR(AGGREGATE(15,6,(ROW(Zeiterfassung!$D$6:$D$3665)-ROW(Zeiterfassung!$D$6)+1)/(Zeiterfassung!$D$6:$D$3665&lt;&gt;""),2513),"")</f>
        <v/>
      </c>
    </row>
    <row r="2519" ht="20" customHeight="1">
      <c r="A2519" s="183">
        <f>IF($K2519="","",WEEKNUM(INDEX(Zeiterfassung!$K$6:$K$3665,$K2519),21))</f>
        <v/>
      </c>
      <c r="B2519" s="184">
        <f>IF($K2519="","",INDEX(Zeiterfassung!$K$6:$K$3665,$K2519))</f>
        <v/>
      </c>
      <c r="C2519" s="185">
        <f>IF($K2519="","",INDEX(Zeiterfassung!$K$6:$K$3665,$K2519))</f>
        <v/>
      </c>
      <c r="D2519" s="186">
        <f>IF($K2519="","",INDEX(Zeiterfassung!$D$6:$D$3665,$K2519))</f>
        <v/>
      </c>
      <c r="E2519" s="186">
        <f>IF($K2519="","",INDEX(Zeiterfassung!$E$6:$E$3665,$K2519))</f>
        <v/>
      </c>
      <c r="F2519" s="187">
        <f>IF($K2519="","",INDEX(Zeiterfassung!$F$6:$F$3665,$K2519))</f>
        <v/>
      </c>
      <c r="G2519" s="187">
        <f>IF($K2519="","",INDEX(Zeiterfassung!$G$6:$G$3665,$K2519))</f>
        <v/>
      </c>
      <c r="H2519" s="188">
        <f>IF($K2519="","",INDEX(Zeiterfassung!$H$6:$H$3665,$K2519))</f>
        <v/>
      </c>
      <c r="I2519" s="335">
        <f>IF(B2519=B2518,"",IF($K2519="","",INDEX(Zeiterfassung!$I$6:$I$3665,MATCH(INDEX(Zeiterfassung!$K$6:$K$3665,$K2519),Zeiterfassung!$K$6:$K$3665,0))))</f>
        <v/>
      </c>
      <c r="J2519" s="335">
        <f>IF(B2519=B2518,"",IF($K2519="","",INDEX(Zeiterfassung!$J$6:$J$3665,MATCH(INDEX(Zeiterfassung!$K$6:$K$3665,$K2519),Zeiterfassung!$K$6:$K$3665,0))))</f>
        <v/>
      </c>
      <c r="K2519">
        <f>IFERROR(AGGREGATE(15,6,(ROW(Zeiterfassung!$D$6:$D$3665)-ROW(Zeiterfassung!$D$6)+1)/(Zeiterfassung!$D$6:$D$3665&lt;&gt;""),2514),"")</f>
        <v/>
      </c>
    </row>
    <row r="2520" ht="20" customHeight="1">
      <c r="A2520" s="183">
        <f>IF($K2520="","",WEEKNUM(INDEX(Zeiterfassung!$K$6:$K$3665,$K2520),21))</f>
        <v/>
      </c>
      <c r="B2520" s="184">
        <f>IF($K2520="","",INDEX(Zeiterfassung!$K$6:$K$3665,$K2520))</f>
        <v/>
      </c>
      <c r="C2520" s="185">
        <f>IF($K2520="","",INDEX(Zeiterfassung!$K$6:$K$3665,$K2520))</f>
        <v/>
      </c>
      <c r="D2520" s="186">
        <f>IF($K2520="","",INDEX(Zeiterfassung!$D$6:$D$3665,$K2520))</f>
        <v/>
      </c>
      <c r="E2520" s="186">
        <f>IF($K2520="","",INDEX(Zeiterfassung!$E$6:$E$3665,$K2520))</f>
        <v/>
      </c>
      <c r="F2520" s="187">
        <f>IF($K2520="","",INDEX(Zeiterfassung!$F$6:$F$3665,$K2520))</f>
        <v/>
      </c>
      <c r="G2520" s="187">
        <f>IF($K2520="","",INDEX(Zeiterfassung!$G$6:$G$3665,$K2520))</f>
        <v/>
      </c>
      <c r="H2520" s="188">
        <f>IF($K2520="","",INDEX(Zeiterfassung!$H$6:$H$3665,$K2520))</f>
        <v/>
      </c>
      <c r="I2520" s="335">
        <f>IF(B2520=B2519,"",IF($K2520="","",INDEX(Zeiterfassung!$I$6:$I$3665,MATCH(INDEX(Zeiterfassung!$K$6:$K$3665,$K2520),Zeiterfassung!$K$6:$K$3665,0))))</f>
        <v/>
      </c>
      <c r="J2520" s="335">
        <f>IF(B2520=B2519,"",IF($K2520="","",INDEX(Zeiterfassung!$J$6:$J$3665,MATCH(INDEX(Zeiterfassung!$K$6:$K$3665,$K2520),Zeiterfassung!$K$6:$K$3665,0))))</f>
        <v/>
      </c>
      <c r="K2520">
        <f>IFERROR(AGGREGATE(15,6,(ROW(Zeiterfassung!$D$6:$D$3665)-ROW(Zeiterfassung!$D$6)+1)/(Zeiterfassung!$D$6:$D$3665&lt;&gt;""),2515),"")</f>
        <v/>
      </c>
    </row>
    <row r="2521" ht="20" customHeight="1">
      <c r="A2521" s="183">
        <f>IF($K2521="","",WEEKNUM(INDEX(Zeiterfassung!$K$6:$K$3665,$K2521),21))</f>
        <v/>
      </c>
      <c r="B2521" s="184">
        <f>IF($K2521="","",INDEX(Zeiterfassung!$K$6:$K$3665,$K2521))</f>
        <v/>
      </c>
      <c r="C2521" s="185">
        <f>IF($K2521="","",INDEX(Zeiterfassung!$K$6:$K$3665,$K2521))</f>
        <v/>
      </c>
      <c r="D2521" s="186">
        <f>IF($K2521="","",INDEX(Zeiterfassung!$D$6:$D$3665,$K2521))</f>
        <v/>
      </c>
      <c r="E2521" s="186">
        <f>IF($K2521="","",INDEX(Zeiterfassung!$E$6:$E$3665,$K2521))</f>
        <v/>
      </c>
      <c r="F2521" s="187">
        <f>IF($K2521="","",INDEX(Zeiterfassung!$F$6:$F$3665,$K2521))</f>
        <v/>
      </c>
      <c r="G2521" s="187">
        <f>IF($K2521="","",INDEX(Zeiterfassung!$G$6:$G$3665,$K2521))</f>
        <v/>
      </c>
      <c r="H2521" s="188">
        <f>IF($K2521="","",INDEX(Zeiterfassung!$H$6:$H$3665,$K2521))</f>
        <v/>
      </c>
      <c r="I2521" s="335">
        <f>IF(B2521=B2520,"",IF($K2521="","",INDEX(Zeiterfassung!$I$6:$I$3665,MATCH(INDEX(Zeiterfassung!$K$6:$K$3665,$K2521),Zeiterfassung!$K$6:$K$3665,0))))</f>
        <v/>
      </c>
      <c r="J2521" s="335">
        <f>IF(B2521=B2520,"",IF($K2521="","",INDEX(Zeiterfassung!$J$6:$J$3665,MATCH(INDEX(Zeiterfassung!$K$6:$K$3665,$K2521),Zeiterfassung!$K$6:$K$3665,0))))</f>
        <v/>
      </c>
      <c r="K2521">
        <f>IFERROR(AGGREGATE(15,6,(ROW(Zeiterfassung!$D$6:$D$3665)-ROW(Zeiterfassung!$D$6)+1)/(Zeiterfassung!$D$6:$D$3665&lt;&gt;""),2516),"")</f>
        <v/>
      </c>
    </row>
    <row r="2522" ht="20" customHeight="1">
      <c r="A2522" s="183">
        <f>IF($K2522="","",WEEKNUM(INDEX(Zeiterfassung!$K$6:$K$3665,$K2522),21))</f>
        <v/>
      </c>
      <c r="B2522" s="184">
        <f>IF($K2522="","",INDEX(Zeiterfassung!$K$6:$K$3665,$K2522))</f>
        <v/>
      </c>
      <c r="C2522" s="185">
        <f>IF($K2522="","",INDEX(Zeiterfassung!$K$6:$K$3665,$K2522))</f>
        <v/>
      </c>
      <c r="D2522" s="186">
        <f>IF($K2522="","",INDEX(Zeiterfassung!$D$6:$D$3665,$K2522))</f>
        <v/>
      </c>
      <c r="E2522" s="186">
        <f>IF($K2522="","",INDEX(Zeiterfassung!$E$6:$E$3665,$K2522))</f>
        <v/>
      </c>
      <c r="F2522" s="187">
        <f>IF($K2522="","",INDEX(Zeiterfassung!$F$6:$F$3665,$K2522))</f>
        <v/>
      </c>
      <c r="G2522" s="187">
        <f>IF($K2522="","",INDEX(Zeiterfassung!$G$6:$G$3665,$K2522))</f>
        <v/>
      </c>
      <c r="H2522" s="188">
        <f>IF($K2522="","",INDEX(Zeiterfassung!$H$6:$H$3665,$K2522))</f>
        <v/>
      </c>
      <c r="I2522" s="335">
        <f>IF(B2522=B2521,"",IF($K2522="","",INDEX(Zeiterfassung!$I$6:$I$3665,MATCH(INDEX(Zeiterfassung!$K$6:$K$3665,$K2522),Zeiterfassung!$K$6:$K$3665,0))))</f>
        <v/>
      </c>
      <c r="J2522" s="335">
        <f>IF(B2522=B2521,"",IF($K2522="","",INDEX(Zeiterfassung!$J$6:$J$3665,MATCH(INDEX(Zeiterfassung!$K$6:$K$3665,$K2522),Zeiterfassung!$K$6:$K$3665,0))))</f>
        <v/>
      </c>
      <c r="K2522">
        <f>IFERROR(AGGREGATE(15,6,(ROW(Zeiterfassung!$D$6:$D$3665)-ROW(Zeiterfassung!$D$6)+1)/(Zeiterfassung!$D$6:$D$3665&lt;&gt;""),2517),"")</f>
        <v/>
      </c>
    </row>
    <row r="2523" ht="20" customHeight="1">
      <c r="A2523" s="183">
        <f>IF($K2523="","",WEEKNUM(INDEX(Zeiterfassung!$K$6:$K$3665,$K2523),21))</f>
        <v/>
      </c>
      <c r="B2523" s="184">
        <f>IF($K2523="","",INDEX(Zeiterfassung!$K$6:$K$3665,$K2523))</f>
        <v/>
      </c>
      <c r="C2523" s="185">
        <f>IF($K2523="","",INDEX(Zeiterfassung!$K$6:$K$3665,$K2523))</f>
        <v/>
      </c>
      <c r="D2523" s="186">
        <f>IF($K2523="","",INDEX(Zeiterfassung!$D$6:$D$3665,$K2523))</f>
        <v/>
      </c>
      <c r="E2523" s="186">
        <f>IF($K2523="","",INDEX(Zeiterfassung!$E$6:$E$3665,$K2523))</f>
        <v/>
      </c>
      <c r="F2523" s="187">
        <f>IF($K2523="","",INDEX(Zeiterfassung!$F$6:$F$3665,$K2523))</f>
        <v/>
      </c>
      <c r="G2523" s="187">
        <f>IF($K2523="","",INDEX(Zeiterfassung!$G$6:$G$3665,$K2523))</f>
        <v/>
      </c>
      <c r="H2523" s="188">
        <f>IF($K2523="","",INDEX(Zeiterfassung!$H$6:$H$3665,$K2523))</f>
        <v/>
      </c>
      <c r="I2523" s="335">
        <f>IF(B2523=B2522,"",IF($K2523="","",INDEX(Zeiterfassung!$I$6:$I$3665,MATCH(INDEX(Zeiterfassung!$K$6:$K$3665,$K2523),Zeiterfassung!$K$6:$K$3665,0))))</f>
        <v/>
      </c>
      <c r="J2523" s="335">
        <f>IF(B2523=B2522,"",IF($K2523="","",INDEX(Zeiterfassung!$J$6:$J$3665,MATCH(INDEX(Zeiterfassung!$K$6:$K$3665,$K2523),Zeiterfassung!$K$6:$K$3665,0))))</f>
        <v/>
      </c>
      <c r="K2523">
        <f>IFERROR(AGGREGATE(15,6,(ROW(Zeiterfassung!$D$6:$D$3665)-ROW(Zeiterfassung!$D$6)+1)/(Zeiterfassung!$D$6:$D$3665&lt;&gt;""),2518),"")</f>
        <v/>
      </c>
    </row>
    <row r="2524" ht="20" customHeight="1">
      <c r="A2524" s="183">
        <f>IF($K2524="","",WEEKNUM(INDEX(Zeiterfassung!$K$6:$K$3665,$K2524),21))</f>
        <v/>
      </c>
      <c r="B2524" s="184">
        <f>IF($K2524="","",INDEX(Zeiterfassung!$K$6:$K$3665,$K2524))</f>
        <v/>
      </c>
      <c r="C2524" s="185">
        <f>IF($K2524="","",INDEX(Zeiterfassung!$K$6:$K$3665,$K2524))</f>
        <v/>
      </c>
      <c r="D2524" s="186">
        <f>IF($K2524="","",INDEX(Zeiterfassung!$D$6:$D$3665,$K2524))</f>
        <v/>
      </c>
      <c r="E2524" s="186">
        <f>IF($K2524="","",INDEX(Zeiterfassung!$E$6:$E$3665,$K2524))</f>
        <v/>
      </c>
      <c r="F2524" s="187">
        <f>IF($K2524="","",INDEX(Zeiterfassung!$F$6:$F$3665,$K2524))</f>
        <v/>
      </c>
      <c r="G2524" s="187">
        <f>IF($K2524="","",INDEX(Zeiterfassung!$G$6:$G$3665,$K2524))</f>
        <v/>
      </c>
      <c r="H2524" s="188">
        <f>IF($K2524="","",INDEX(Zeiterfassung!$H$6:$H$3665,$K2524))</f>
        <v/>
      </c>
      <c r="I2524" s="335">
        <f>IF(B2524=B2523,"",IF($K2524="","",INDEX(Zeiterfassung!$I$6:$I$3665,MATCH(INDEX(Zeiterfassung!$K$6:$K$3665,$K2524),Zeiterfassung!$K$6:$K$3665,0))))</f>
        <v/>
      </c>
      <c r="J2524" s="335">
        <f>IF(B2524=B2523,"",IF($K2524="","",INDEX(Zeiterfassung!$J$6:$J$3665,MATCH(INDEX(Zeiterfassung!$K$6:$K$3665,$K2524),Zeiterfassung!$K$6:$K$3665,0))))</f>
        <v/>
      </c>
      <c r="K2524">
        <f>IFERROR(AGGREGATE(15,6,(ROW(Zeiterfassung!$D$6:$D$3665)-ROW(Zeiterfassung!$D$6)+1)/(Zeiterfassung!$D$6:$D$3665&lt;&gt;""),2519),"")</f>
        <v/>
      </c>
    </row>
    <row r="2525" ht="20" customHeight="1">
      <c r="A2525" s="183">
        <f>IF($K2525="","",WEEKNUM(INDEX(Zeiterfassung!$K$6:$K$3665,$K2525),21))</f>
        <v/>
      </c>
      <c r="B2525" s="184">
        <f>IF($K2525="","",INDEX(Zeiterfassung!$K$6:$K$3665,$K2525))</f>
        <v/>
      </c>
      <c r="C2525" s="185">
        <f>IF($K2525="","",INDEX(Zeiterfassung!$K$6:$K$3665,$K2525))</f>
        <v/>
      </c>
      <c r="D2525" s="186">
        <f>IF($K2525="","",INDEX(Zeiterfassung!$D$6:$D$3665,$K2525))</f>
        <v/>
      </c>
      <c r="E2525" s="186">
        <f>IF($K2525="","",INDEX(Zeiterfassung!$E$6:$E$3665,$K2525))</f>
        <v/>
      </c>
      <c r="F2525" s="187">
        <f>IF($K2525="","",INDEX(Zeiterfassung!$F$6:$F$3665,$K2525))</f>
        <v/>
      </c>
      <c r="G2525" s="187">
        <f>IF($K2525="","",INDEX(Zeiterfassung!$G$6:$G$3665,$K2525))</f>
        <v/>
      </c>
      <c r="H2525" s="188">
        <f>IF($K2525="","",INDEX(Zeiterfassung!$H$6:$H$3665,$K2525))</f>
        <v/>
      </c>
      <c r="I2525" s="335">
        <f>IF(B2525=B2524,"",IF($K2525="","",INDEX(Zeiterfassung!$I$6:$I$3665,MATCH(INDEX(Zeiterfassung!$K$6:$K$3665,$K2525),Zeiterfassung!$K$6:$K$3665,0))))</f>
        <v/>
      </c>
      <c r="J2525" s="335">
        <f>IF(B2525=B2524,"",IF($K2525="","",INDEX(Zeiterfassung!$J$6:$J$3665,MATCH(INDEX(Zeiterfassung!$K$6:$K$3665,$K2525),Zeiterfassung!$K$6:$K$3665,0))))</f>
        <v/>
      </c>
      <c r="K2525">
        <f>IFERROR(AGGREGATE(15,6,(ROW(Zeiterfassung!$D$6:$D$3665)-ROW(Zeiterfassung!$D$6)+1)/(Zeiterfassung!$D$6:$D$3665&lt;&gt;""),2520),"")</f>
        <v/>
      </c>
    </row>
    <row r="2526" ht="20" customHeight="1">
      <c r="A2526" s="183">
        <f>IF($K2526="","",WEEKNUM(INDEX(Zeiterfassung!$K$6:$K$3665,$K2526),21))</f>
        <v/>
      </c>
      <c r="B2526" s="184">
        <f>IF($K2526="","",INDEX(Zeiterfassung!$K$6:$K$3665,$K2526))</f>
        <v/>
      </c>
      <c r="C2526" s="185">
        <f>IF($K2526="","",INDEX(Zeiterfassung!$K$6:$K$3665,$K2526))</f>
        <v/>
      </c>
      <c r="D2526" s="186">
        <f>IF($K2526="","",INDEX(Zeiterfassung!$D$6:$D$3665,$K2526))</f>
        <v/>
      </c>
      <c r="E2526" s="186">
        <f>IF($K2526="","",INDEX(Zeiterfassung!$E$6:$E$3665,$K2526))</f>
        <v/>
      </c>
      <c r="F2526" s="187">
        <f>IF($K2526="","",INDEX(Zeiterfassung!$F$6:$F$3665,$K2526))</f>
        <v/>
      </c>
      <c r="G2526" s="187">
        <f>IF($K2526="","",INDEX(Zeiterfassung!$G$6:$G$3665,$K2526))</f>
        <v/>
      </c>
      <c r="H2526" s="188">
        <f>IF($K2526="","",INDEX(Zeiterfassung!$H$6:$H$3665,$K2526))</f>
        <v/>
      </c>
      <c r="I2526" s="335">
        <f>IF(B2526=B2525,"",IF($K2526="","",INDEX(Zeiterfassung!$I$6:$I$3665,MATCH(INDEX(Zeiterfassung!$K$6:$K$3665,$K2526),Zeiterfassung!$K$6:$K$3665,0))))</f>
        <v/>
      </c>
      <c r="J2526" s="335">
        <f>IF(B2526=B2525,"",IF($K2526="","",INDEX(Zeiterfassung!$J$6:$J$3665,MATCH(INDEX(Zeiterfassung!$K$6:$K$3665,$K2526),Zeiterfassung!$K$6:$K$3665,0))))</f>
        <v/>
      </c>
      <c r="K2526">
        <f>IFERROR(AGGREGATE(15,6,(ROW(Zeiterfassung!$D$6:$D$3665)-ROW(Zeiterfassung!$D$6)+1)/(Zeiterfassung!$D$6:$D$3665&lt;&gt;""),2521),"")</f>
        <v/>
      </c>
    </row>
    <row r="2527" ht="20" customHeight="1">
      <c r="A2527" s="183">
        <f>IF($K2527="","",WEEKNUM(INDEX(Zeiterfassung!$K$6:$K$3665,$K2527),21))</f>
        <v/>
      </c>
      <c r="B2527" s="184">
        <f>IF($K2527="","",INDEX(Zeiterfassung!$K$6:$K$3665,$K2527))</f>
        <v/>
      </c>
      <c r="C2527" s="185">
        <f>IF($K2527="","",INDEX(Zeiterfassung!$K$6:$K$3665,$K2527))</f>
        <v/>
      </c>
      <c r="D2527" s="186">
        <f>IF($K2527="","",INDEX(Zeiterfassung!$D$6:$D$3665,$K2527))</f>
        <v/>
      </c>
      <c r="E2527" s="186">
        <f>IF($K2527="","",INDEX(Zeiterfassung!$E$6:$E$3665,$K2527))</f>
        <v/>
      </c>
      <c r="F2527" s="187">
        <f>IF($K2527="","",INDEX(Zeiterfassung!$F$6:$F$3665,$K2527))</f>
        <v/>
      </c>
      <c r="G2527" s="187">
        <f>IF($K2527="","",INDEX(Zeiterfassung!$G$6:$G$3665,$K2527))</f>
        <v/>
      </c>
      <c r="H2527" s="188">
        <f>IF($K2527="","",INDEX(Zeiterfassung!$H$6:$H$3665,$K2527))</f>
        <v/>
      </c>
      <c r="I2527" s="335">
        <f>IF(B2527=B2526,"",IF($K2527="","",INDEX(Zeiterfassung!$I$6:$I$3665,MATCH(INDEX(Zeiterfassung!$K$6:$K$3665,$K2527),Zeiterfassung!$K$6:$K$3665,0))))</f>
        <v/>
      </c>
      <c r="J2527" s="335">
        <f>IF(B2527=B2526,"",IF($K2527="","",INDEX(Zeiterfassung!$J$6:$J$3665,MATCH(INDEX(Zeiterfassung!$K$6:$K$3665,$K2527),Zeiterfassung!$K$6:$K$3665,0))))</f>
        <v/>
      </c>
      <c r="K2527">
        <f>IFERROR(AGGREGATE(15,6,(ROW(Zeiterfassung!$D$6:$D$3665)-ROW(Zeiterfassung!$D$6)+1)/(Zeiterfassung!$D$6:$D$3665&lt;&gt;""),2522),"")</f>
        <v/>
      </c>
    </row>
    <row r="2528" ht="20" customHeight="1">
      <c r="A2528" s="183">
        <f>IF($K2528="","",WEEKNUM(INDEX(Zeiterfassung!$K$6:$K$3665,$K2528),21))</f>
        <v/>
      </c>
      <c r="B2528" s="184">
        <f>IF($K2528="","",INDEX(Zeiterfassung!$K$6:$K$3665,$K2528))</f>
        <v/>
      </c>
      <c r="C2528" s="185">
        <f>IF($K2528="","",INDEX(Zeiterfassung!$K$6:$K$3665,$K2528))</f>
        <v/>
      </c>
      <c r="D2528" s="186">
        <f>IF($K2528="","",INDEX(Zeiterfassung!$D$6:$D$3665,$K2528))</f>
        <v/>
      </c>
      <c r="E2528" s="186">
        <f>IF($K2528="","",INDEX(Zeiterfassung!$E$6:$E$3665,$K2528))</f>
        <v/>
      </c>
      <c r="F2528" s="187">
        <f>IF($K2528="","",INDEX(Zeiterfassung!$F$6:$F$3665,$K2528))</f>
        <v/>
      </c>
      <c r="G2528" s="187">
        <f>IF($K2528="","",INDEX(Zeiterfassung!$G$6:$G$3665,$K2528))</f>
        <v/>
      </c>
      <c r="H2528" s="188">
        <f>IF($K2528="","",INDEX(Zeiterfassung!$H$6:$H$3665,$K2528))</f>
        <v/>
      </c>
      <c r="I2528" s="335">
        <f>IF(B2528=B2527,"",IF($K2528="","",INDEX(Zeiterfassung!$I$6:$I$3665,MATCH(INDEX(Zeiterfassung!$K$6:$K$3665,$K2528),Zeiterfassung!$K$6:$K$3665,0))))</f>
        <v/>
      </c>
      <c r="J2528" s="335">
        <f>IF(B2528=B2527,"",IF($K2528="","",INDEX(Zeiterfassung!$J$6:$J$3665,MATCH(INDEX(Zeiterfassung!$K$6:$K$3665,$K2528),Zeiterfassung!$K$6:$K$3665,0))))</f>
        <v/>
      </c>
      <c r="K2528">
        <f>IFERROR(AGGREGATE(15,6,(ROW(Zeiterfassung!$D$6:$D$3665)-ROW(Zeiterfassung!$D$6)+1)/(Zeiterfassung!$D$6:$D$3665&lt;&gt;""),2523),"")</f>
        <v/>
      </c>
    </row>
    <row r="2529" ht="20" customHeight="1">
      <c r="A2529" s="183">
        <f>IF($K2529="","",WEEKNUM(INDEX(Zeiterfassung!$K$6:$K$3665,$K2529),21))</f>
        <v/>
      </c>
      <c r="B2529" s="184">
        <f>IF($K2529="","",INDEX(Zeiterfassung!$K$6:$K$3665,$K2529))</f>
        <v/>
      </c>
      <c r="C2529" s="185">
        <f>IF($K2529="","",INDEX(Zeiterfassung!$K$6:$K$3665,$K2529))</f>
        <v/>
      </c>
      <c r="D2529" s="186">
        <f>IF($K2529="","",INDEX(Zeiterfassung!$D$6:$D$3665,$K2529))</f>
        <v/>
      </c>
      <c r="E2529" s="186">
        <f>IF($K2529="","",INDEX(Zeiterfassung!$E$6:$E$3665,$K2529))</f>
        <v/>
      </c>
      <c r="F2529" s="187">
        <f>IF($K2529="","",INDEX(Zeiterfassung!$F$6:$F$3665,$K2529))</f>
        <v/>
      </c>
      <c r="G2529" s="187">
        <f>IF($K2529="","",INDEX(Zeiterfassung!$G$6:$G$3665,$K2529))</f>
        <v/>
      </c>
      <c r="H2529" s="188">
        <f>IF($K2529="","",INDEX(Zeiterfassung!$H$6:$H$3665,$K2529))</f>
        <v/>
      </c>
      <c r="I2529" s="335">
        <f>IF(B2529=B2528,"",IF($K2529="","",INDEX(Zeiterfassung!$I$6:$I$3665,MATCH(INDEX(Zeiterfassung!$K$6:$K$3665,$K2529),Zeiterfassung!$K$6:$K$3665,0))))</f>
        <v/>
      </c>
      <c r="J2529" s="335">
        <f>IF(B2529=B2528,"",IF($K2529="","",INDEX(Zeiterfassung!$J$6:$J$3665,MATCH(INDEX(Zeiterfassung!$K$6:$K$3665,$K2529),Zeiterfassung!$K$6:$K$3665,0))))</f>
        <v/>
      </c>
      <c r="K2529">
        <f>IFERROR(AGGREGATE(15,6,(ROW(Zeiterfassung!$D$6:$D$3665)-ROW(Zeiterfassung!$D$6)+1)/(Zeiterfassung!$D$6:$D$3665&lt;&gt;""),2524),"")</f>
        <v/>
      </c>
    </row>
    <row r="2530" ht="20" customHeight="1">
      <c r="A2530" s="183">
        <f>IF($K2530="","",WEEKNUM(INDEX(Zeiterfassung!$K$6:$K$3665,$K2530),21))</f>
        <v/>
      </c>
      <c r="B2530" s="184">
        <f>IF($K2530="","",INDEX(Zeiterfassung!$K$6:$K$3665,$K2530))</f>
        <v/>
      </c>
      <c r="C2530" s="185">
        <f>IF($K2530="","",INDEX(Zeiterfassung!$K$6:$K$3665,$K2530))</f>
        <v/>
      </c>
      <c r="D2530" s="186">
        <f>IF($K2530="","",INDEX(Zeiterfassung!$D$6:$D$3665,$K2530))</f>
        <v/>
      </c>
      <c r="E2530" s="186">
        <f>IF($K2530="","",INDEX(Zeiterfassung!$E$6:$E$3665,$K2530))</f>
        <v/>
      </c>
      <c r="F2530" s="187">
        <f>IF($K2530="","",INDEX(Zeiterfassung!$F$6:$F$3665,$K2530))</f>
        <v/>
      </c>
      <c r="G2530" s="187">
        <f>IF($K2530="","",INDEX(Zeiterfassung!$G$6:$G$3665,$K2530))</f>
        <v/>
      </c>
      <c r="H2530" s="188">
        <f>IF($K2530="","",INDEX(Zeiterfassung!$H$6:$H$3665,$K2530))</f>
        <v/>
      </c>
      <c r="I2530" s="335">
        <f>IF(B2530=B2529,"",IF($K2530="","",INDEX(Zeiterfassung!$I$6:$I$3665,MATCH(INDEX(Zeiterfassung!$K$6:$K$3665,$K2530),Zeiterfassung!$K$6:$K$3665,0))))</f>
        <v/>
      </c>
      <c r="J2530" s="335">
        <f>IF(B2530=B2529,"",IF($K2530="","",INDEX(Zeiterfassung!$J$6:$J$3665,MATCH(INDEX(Zeiterfassung!$K$6:$K$3665,$K2530),Zeiterfassung!$K$6:$K$3665,0))))</f>
        <v/>
      </c>
      <c r="K2530">
        <f>IFERROR(AGGREGATE(15,6,(ROW(Zeiterfassung!$D$6:$D$3665)-ROW(Zeiterfassung!$D$6)+1)/(Zeiterfassung!$D$6:$D$3665&lt;&gt;""),2525),"")</f>
        <v/>
      </c>
    </row>
    <row r="2531" ht="20" customHeight="1">
      <c r="A2531" s="183">
        <f>IF($K2531="","",WEEKNUM(INDEX(Zeiterfassung!$K$6:$K$3665,$K2531),21))</f>
        <v/>
      </c>
      <c r="B2531" s="184">
        <f>IF($K2531="","",INDEX(Zeiterfassung!$K$6:$K$3665,$K2531))</f>
        <v/>
      </c>
      <c r="C2531" s="185">
        <f>IF($K2531="","",INDEX(Zeiterfassung!$K$6:$K$3665,$K2531))</f>
        <v/>
      </c>
      <c r="D2531" s="186">
        <f>IF($K2531="","",INDEX(Zeiterfassung!$D$6:$D$3665,$K2531))</f>
        <v/>
      </c>
      <c r="E2531" s="186">
        <f>IF($K2531="","",INDEX(Zeiterfassung!$E$6:$E$3665,$K2531))</f>
        <v/>
      </c>
      <c r="F2531" s="187">
        <f>IF($K2531="","",INDEX(Zeiterfassung!$F$6:$F$3665,$K2531))</f>
        <v/>
      </c>
      <c r="G2531" s="187">
        <f>IF($K2531="","",INDEX(Zeiterfassung!$G$6:$G$3665,$K2531))</f>
        <v/>
      </c>
      <c r="H2531" s="188">
        <f>IF($K2531="","",INDEX(Zeiterfassung!$H$6:$H$3665,$K2531))</f>
        <v/>
      </c>
      <c r="I2531" s="335">
        <f>IF(B2531=B2530,"",IF($K2531="","",INDEX(Zeiterfassung!$I$6:$I$3665,MATCH(INDEX(Zeiterfassung!$K$6:$K$3665,$K2531),Zeiterfassung!$K$6:$K$3665,0))))</f>
        <v/>
      </c>
      <c r="J2531" s="335">
        <f>IF(B2531=B2530,"",IF($K2531="","",INDEX(Zeiterfassung!$J$6:$J$3665,MATCH(INDEX(Zeiterfassung!$K$6:$K$3665,$K2531),Zeiterfassung!$K$6:$K$3665,0))))</f>
        <v/>
      </c>
      <c r="K2531">
        <f>IFERROR(AGGREGATE(15,6,(ROW(Zeiterfassung!$D$6:$D$3665)-ROW(Zeiterfassung!$D$6)+1)/(Zeiterfassung!$D$6:$D$3665&lt;&gt;""),2526),"")</f>
        <v/>
      </c>
    </row>
    <row r="2532" ht="20" customHeight="1">
      <c r="A2532" s="183">
        <f>IF($K2532="","",WEEKNUM(INDEX(Zeiterfassung!$K$6:$K$3665,$K2532),21))</f>
        <v/>
      </c>
      <c r="B2532" s="184">
        <f>IF($K2532="","",INDEX(Zeiterfassung!$K$6:$K$3665,$K2532))</f>
        <v/>
      </c>
      <c r="C2532" s="185">
        <f>IF($K2532="","",INDEX(Zeiterfassung!$K$6:$K$3665,$K2532))</f>
        <v/>
      </c>
      <c r="D2532" s="186">
        <f>IF($K2532="","",INDEX(Zeiterfassung!$D$6:$D$3665,$K2532))</f>
        <v/>
      </c>
      <c r="E2532" s="186">
        <f>IF($K2532="","",INDEX(Zeiterfassung!$E$6:$E$3665,$K2532))</f>
        <v/>
      </c>
      <c r="F2532" s="187">
        <f>IF($K2532="","",INDEX(Zeiterfassung!$F$6:$F$3665,$K2532))</f>
        <v/>
      </c>
      <c r="G2532" s="187">
        <f>IF($K2532="","",INDEX(Zeiterfassung!$G$6:$G$3665,$K2532))</f>
        <v/>
      </c>
      <c r="H2532" s="188">
        <f>IF($K2532="","",INDEX(Zeiterfassung!$H$6:$H$3665,$K2532))</f>
        <v/>
      </c>
      <c r="I2532" s="335">
        <f>IF(B2532=B2531,"",IF($K2532="","",INDEX(Zeiterfassung!$I$6:$I$3665,MATCH(INDEX(Zeiterfassung!$K$6:$K$3665,$K2532),Zeiterfassung!$K$6:$K$3665,0))))</f>
        <v/>
      </c>
      <c r="J2532" s="335">
        <f>IF(B2532=B2531,"",IF($K2532="","",INDEX(Zeiterfassung!$J$6:$J$3665,MATCH(INDEX(Zeiterfassung!$K$6:$K$3665,$K2532),Zeiterfassung!$K$6:$K$3665,0))))</f>
        <v/>
      </c>
      <c r="K2532">
        <f>IFERROR(AGGREGATE(15,6,(ROW(Zeiterfassung!$D$6:$D$3665)-ROW(Zeiterfassung!$D$6)+1)/(Zeiterfassung!$D$6:$D$3665&lt;&gt;""),2527),"")</f>
        <v/>
      </c>
    </row>
    <row r="2533" ht="20" customHeight="1">
      <c r="A2533" s="183">
        <f>IF($K2533="","",WEEKNUM(INDEX(Zeiterfassung!$K$6:$K$3665,$K2533),21))</f>
        <v/>
      </c>
      <c r="B2533" s="184">
        <f>IF($K2533="","",INDEX(Zeiterfassung!$K$6:$K$3665,$K2533))</f>
        <v/>
      </c>
      <c r="C2533" s="185">
        <f>IF($K2533="","",INDEX(Zeiterfassung!$K$6:$K$3665,$K2533))</f>
        <v/>
      </c>
      <c r="D2533" s="186">
        <f>IF($K2533="","",INDEX(Zeiterfassung!$D$6:$D$3665,$K2533))</f>
        <v/>
      </c>
      <c r="E2533" s="186">
        <f>IF($K2533="","",INDEX(Zeiterfassung!$E$6:$E$3665,$K2533))</f>
        <v/>
      </c>
      <c r="F2533" s="187">
        <f>IF($K2533="","",INDEX(Zeiterfassung!$F$6:$F$3665,$K2533))</f>
        <v/>
      </c>
      <c r="G2533" s="187">
        <f>IF($K2533="","",INDEX(Zeiterfassung!$G$6:$G$3665,$K2533))</f>
        <v/>
      </c>
      <c r="H2533" s="188">
        <f>IF($K2533="","",INDEX(Zeiterfassung!$H$6:$H$3665,$K2533))</f>
        <v/>
      </c>
      <c r="I2533" s="335">
        <f>IF(B2533=B2532,"",IF($K2533="","",INDEX(Zeiterfassung!$I$6:$I$3665,MATCH(INDEX(Zeiterfassung!$K$6:$K$3665,$K2533),Zeiterfassung!$K$6:$K$3665,0))))</f>
        <v/>
      </c>
      <c r="J2533" s="335">
        <f>IF(B2533=B2532,"",IF($K2533="","",INDEX(Zeiterfassung!$J$6:$J$3665,MATCH(INDEX(Zeiterfassung!$K$6:$K$3665,$K2533),Zeiterfassung!$K$6:$K$3665,0))))</f>
        <v/>
      </c>
      <c r="K2533">
        <f>IFERROR(AGGREGATE(15,6,(ROW(Zeiterfassung!$D$6:$D$3665)-ROW(Zeiterfassung!$D$6)+1)/(Zeiterfassung!$D$6:$D$3665&lt;&gt;""),2528),"")</f>
        <v/>
      </c>
    </row>
    <row r="2534" ht="20" customHeight="1">
      <c r="A2534" s="183">
        <f>IF($K2534="","",WEEKNUM(INDEX(Zeiterfassung!$K$6:$K$3665,$K2534),21))</f>
        <v/>
      </c>
      <c r="B2534" s="184">
        <f>IF($K2534="","",INDEX(Zeiterfassung!$K$6:$K$3665,$K2534))</f>
        <v/>
      </c>
      <c r="C2534" s="185">
        <f>IF($K2534="","",INDEX(Zeiterfassung!$K$6:$K$3665,$K2534))</f>
        <v/>
      </c>
      <c r="D2534" s="186">
        <f>IF($K2534="","",INDEX(Zeiterfassung!$D$6:$D$3665,$K2534))</f>
        <v/>
      </c>
      <c r="E2534" s="186">
        <f>IF($K2534="","",INDEX(Zeiterfassung!$E$6:$E$3665,$K2534))</f>
        <v/>
      </c>
      <c r="F2534" s="187">
        <f>IF($K2534="","",INDEX(Zeiterfassung!$F$6:$F$3665,$K2534))</f>
        <v/>
      </c>
      <c r="G2534" s="187">
        <f>IF($K2534="","",INDEX(Zeiterfassung!$G$6:$G$3665,$K2534))</f>
        <v/>
      </c>
      <c r="H2534" s="188">
        <f>IF($K2534="","",INDEX(Zeiterfassung!$H$6:$H$3665,$K2534))</f>
        <v/>
      </c>
      <c r="I2534" s="335">
        <f>IF(B2534=B2533,"",IF($K2534="","",INDEX(Zeiterfassung!$I$6:$I$3665,MATCH(INDEX(Zeiterfassung!$K$6:$K$3665,$K2534),Zeiterfassung!$K$6:$K$3665,0))))</f>
        <v/>
      </c>
      <c r="J2534" s="335">
        <f>IF(B2534=B2533,"",IF($K2534="","",INDEX(Zeiterfassung!$J$6:$J$3665,MATCH(INDEX(Zeiterfassung!$K$6:$K$3665,$K2534),Zeiterfassung!$K$6:$K$3665,0))))</f>
        <v/>
      </c>
      <c r="K2534">
        <f>IFERROR(AGGREGATE(15,6,(ROW(Zeiterfassung!$D$6:$D$3665)-ROW(Zeiterfassung!$D$6)+1)/(Zeiterfassung!$D$6:$D$3665&lt;&gt;""),2529),"")</f>
        <v/>
      </c>
    </row>
    <row r="2535" ht="20" customHeight="1">
      <c r="A2535" s="183">
        <f>IF($K2535="","",WEEKNUM(INDEX(Zeiterfassung!$K$6:$K$3665,$K2535),21))</f>
        <v/>
      </c>
      <c r="B2535" s="184">
        <f>IF($K2535="","",INDEX(Zeiterfassung!$K$6:$K$3665,$K2535))</f>
        <v/>
      </c>
      <c r="C2535" s="185">
        <f>IF($K2535="","",INDEX(Zeiterfassung!$K$6:$K$3665,$K2535))</f>
        <v/>
      </c>
      <c r="D2535" s="186">
        <f>IF($K2535="","",INDEX(Zeiterfassung!$D$6:$D$3665,$K2535))</f>
        <v/>
      </c>
      <c r="E2535" s="186">
        <f>IF($K2535="","",INDEX(Zeiterfassung!$E$6:$E$3665,$K2535))</f>
        <v/>
      </c>
      <c r="F2535" s="187">
        <f>IF($K2535="","",INDEX(Zeiterfassung!$F$6:$F$3665,$K2535))</f>
        <v/>
      </c>
      <c r="G2535" s="187">
        <f>IF($K2535="","",INDEX(Zeiterfassung!$G$6:$G$3665,$K2535))</f>
        <v/>
      </c>
      <c r="H2535" s="188">
        <f>IF($K2535="","",INDEX(Zeiterfassung!$H$6:$H$3665,$K2535))</f>
        <v/>
      </c>
      <c r="I2535" s="335">
        <f>IF(B2535=B2534,"",IF($K2535="","",INDEX(Zeiterfassung!$I$6:$I$3665,MATCH(INDEX(Zeiterfassung!$K$6:$K$3665,$K2535),Zeiterfassung!$K$6:$K$3665,0))))</f>
        <v/>
      </c>
      <c r="J2535" s="335">
        <f>IF(B2535=B2534,"",IF($K2535="","",INDEX(Zeiterfassung!$J$6:$J$3665,MATCH(INDEX(Zeiterfassung!$K$6:$K$3665,$K2535),Zeiterfassung!$K$6:$K$3665,0))))</f>
        <v/>
      </c>
      <c r="K2535">
        <f>IFERROR(AGGREGATE(15,6,(ROW(Zeiterfassung!$D$6:$D$3665)-ROW(Zeiterfassung!$D$6)+1)/(Zeiterfassung!$D$6:$D$3665&lt;&gt;""),2530),"")</f>
        <v/>
      </c>
    </row>
    <row r="2536" ht="20" customHeight="1">
      <c r="A2536" s="183">
        <f>IF($K2536="","",WEEKNUM(INDEX(Zeiterfassung!$K$6:$K$3665,$K2536),21))</f>
        <v/>
      </c>
      <c r="B2536" s="184">
        <f>IF($K2536="","",INDEX(Zeiterfassung!$K$6:$K$3665,$K2536))</f>
        <v/>
      </c>
      <c r="C2536" s="185">
        <f>IF($K2536="","",INDEX(Zeiterfassung!$K$6:$K$3665,$K2536))</f>
        <v/>
      </c>
      <c r="D2536" s="186">
        <f>IF($K2536="","",INDEX(Zeiterfassung!$D$6:$D$3665,$K2536))</f>
        <v/>
      </c>
      <c r="E2536" s="186">
        <f>IF($K2536="","",INDEX(Zeiterfassung!$E$6:$E$3665,$K2536))</f>
        <v/>
      </c>
      <c r="F2536" s="187">
        <f>IF($K2536="","",INDEX(Zeiterfassung!$F$6:$F$3665,$K2536))</f>
        <v/>
      </c>
      <c r="G2536" s="187">
        <f>IF($K2536="","",INDEX(Zeiterfassung!$G$6:$G$3665,$K2536))</f>
        <v/>
      </c>
      <c r="H2536" s="188">
        <f>IF($K2536="","",INDEX(Zeiterfassung!$H$6:$H$3665,$K2536))</f>
        <v/>
      </c>
      <c r="I2536" s="335">
        <f>IF(B2536=B2535,"",IF($K2536="","",INDEX(Zeiterfassung!$I$6:$I$3665,MATCH(INDEX(Zeiterfassung!$K$6:$K$3665,$K2536),Zeiterfassung!$K$6:$K$3665,0))))</f>
        <v/>
      </c>
      <c r="J2536" s="335">
        <f>IF(B2536=B2535,"",IF($K2536="","",INDEX(Zeiterfassung!$J$6:$J$3665,MATCH(INDEX(Zeiterfassung!$K$6:$K$3665,$K2536),Zeiterfassung!$K$6:$K$3665,0))))</f>
        <v/>
      </c>
      <c r="K2536">
        <f>IFERROR(AGGREGATE(15,6,(ROW(Zeiterfassung!$D$6:$D$3665)-ROW(Zeiterfassung!$D$6)+1)/(Zeiterfassung!$D$6:$D$3665&lt;&gt;""),2531),"")</f>
        <v/>
      </c>
    </row>
    <row r="2537" ht="20" customHeight="1">
      <c r="A2537" s="183">
        <f>IF($K2537="","",WEEKNUM(INDEX(Zeiterfassung!$K$6:$K$3665,$K2537),21))</f>
        <v/>
      </c>
      <c r="B2537" s="184">
        <f>IF($K2537="","",INDEX(Zeiterfassung!$K$6:$K$3665,$K2537))</f>
        <v/>
      </c>
      <c r="C2537" s="185">
        <f>IF($K2537="","",INDEX(Zeiterfassung!$K$6:$K$3665,$K2537))</f>
        <v/>
      </c>
      <c r="D2537" s="186">
        <f>IF($K2537="","",INDEX(Zeiterfassung!$D$6:$D$3665,$K2537))</f>
        <v/>
      </c>
      <c r="E2537" s="186">
        <f>IF($K2537="","",INDEX(Zeiterfassung!$E$6:$E$3665,$K2537))</f>
        <v/>
      </c>
      <c r="F2537" s="187">
        <f>IF($K2537="","",INDEX(Zeiterfassung!$F$6:$F$3665,$K2537))</f>
        <v/>
      </c>
      <c r="G2537" s="187">
        <f>IF($K2537="","",INDEX(Zeiterfassung!$G$6:$G$3665,$K2537))</f>
        <v/>
      </c>
      <c r="H2537" s="188">
        <f>IF($K2537="","",INDEX(Zeiterfassung!$H$6:$H$3665,$K2537))</f>
        <v/>
      </c>
      <c r="I2537" s="335">
        <f>IF(B2537=B2536,"",IF($K2537="","",INDEX(Zeiterfassung!$I$6:$I$3665,MATCH(INDEX(Zeiterfassung!$K$6:$K$3665,$K2537),Zeiterfassung!$K$6:$K$3665,0))))</f>
        <v/>
      </c>
      <c r="J2537" s="335">
        <f>IF(B2537=B2536,"",IF($K2537="","",INDEX(Zeiterfassung!$J$6:$J$3665,MATCH(INDEX(Zeiterfassung!$K$6:$K$3665,$K2537),Zeiterfassung!$K$6:$K$3665,0))))</f>
        <v/>
      </c>
      <c r="K2537">
        <f>IFERROR(AGGREGATE(15,6,(ROW(Zeiterfassung!$D$6:$D$3665)-ROW(Zeiterfassung!$D$6)+1)/(Zeiterfassung!$D$6:$D$3665&lt;&gt;""),2532),"")</f>
        <v/>
      </c>
    </row>
    <row r="2538" ht="20" customHeight="1">
      <c r="A2538" s="183">
        <f>IF($K2538="","",WEEKNUM(INDEX(Zeiterfassung!$K$6:$K$3665,$K2538),21))</f>
        <v/>
      </c>
      <c r="B2538" s="184">
        <f>IF($K2538="","",INDEX(Zeiterfassung!$K$6:$K$3665,$K2538))</f>
        <v/>
      </c>
      <c r="C2538" s="185">
        <f>IF($K2538="","",INDEX(Zeiterfassung!$K$6:$K$3665,$K2538))</f>
        <v/>
      </c>
      <c r="D2538" s="186">
        <f>IF($K2538="","",INDEX(Zeiterfassung!$D$6:$D$3665,$K2538))</f>
        <v/>
      </c>
      <c r="E2538" s="186">
        <f>IF($K2538="","",INDEX(Zeiterfassung!$E$6:$E$3665,$K2538))</f>
        <v/>
      </c>
      <c r="F2538" s="187">
        <f>IF($K2538="","",INDEX(Zeiterfassung!$F$6:$F$3665,$K2538))</f>
        <v/>
      </c>
      <c r="G2538" s="187">
        <f>IF($K2538="","",INDEX(Zeiterfassung!$G$6:$G$3665,$K2538))</f>
        <v/>
      </c>
      <c r="H2538" s="188">
        <f>IF($K2538="","",INDEX(Zeiterfassung!$H$6:$H$3665,$K2538))</f>
        <v/>
      </c>
      <c r="I2538" s="335">
        <f>IF(B2538=B2537,"",IF($K2538="","",INDEX(Zeiterfassung!$I$6:$I$3665,MATCH(INDEX(Zeiterfassung!$K$6:$K$3665,$K2538),Zeiterfassung!$K$6:$K$3665,0))))</f>
        <v/>
      </c>
      <c r="J2538" s="335">
        <f>IF(B2538=B2537,"",IF($K2538="","",INDEX(Zeiterfassung!$J$6:$J$3665,MATCH(INDEX(Zeiterfassung!$K$6:$K$3665,$K2538),Zeiterfassung!$K$6:$K$3665,0))))</f>
        <v/>
      </c>
      <c r="K2538">
        <f>IFERROR(AGGREGATE(15,6,(ROW(Zeiterfassung!$D$6:$D$3665)-ROW(Zeiterfassung!$D$6)+1)/(Zeiterfassung!$D$6:$D$3665&lt;&gt;""),2533),"")</f>
        <v/>
      </c>
    </row>
    <row r="2539" ht="20" customHeight="1">
      <c r="A2539" s="183">
        <f>IF($K2539="","",WEEKNUM(INDEX(Zeiterfassung!$K$6:$K$3665,$K2539),21))</f>
        <v/>
      </c>
      <c r="B2539" s="184">
        <f>IF($K2539="","",INDEX(Zeiterfassung!$K$6:$K$3665,$K2539))</f>
        <v/>
      </c>
      <c r="C2539" s="185">
        <f>IF($K2539="","",INDEX(Zeiterfassung!$K$6:$K$3665,$K2539))</f>
        <v/>
      </c>
      <c r="D2539" s="186">
        <f>IF($K2539="","",INDEX(Zeiterfassung!$D$6:$D$3665,$K2539))</f>
        <v/>
      </c>
      <c r="E2539" s="186">
        <f>IF($K2539="","",INDEX(Zeiterfassung!$E$6:$E$3665,$K2539))</f>
        <v/>
      </c>
      <c r="F2539" s="187">
        <f>IF($K2539="","",INDEX(Zeiterfassung!$F$6:$F$3665,$K2539))</f>
        <v/>
      </c>
      <c r="G2539" s="187">
        <f>IF($K2539="","",INDEX(Zeiterfassung!$G$6:$G$3665,$K2539))</f>
        <v/>
      </c>
      <c r="H2539" s="188">
        <f>IF($K2539="","",INDEX(Zeiterfassung!$H$6:$H$3665,$K2539))</f>
        <v/>
      </c>
      <c r="I2539" s="335">
        <f>IF(B2539=B2538,"",IF($K2539="","",INDEX(Zeiterfassung!$I$6:$I$3665,MATCH(INDEX(Zeiterfassung!$K$6:$K$3665,$K2539),Zeiterfassung!$K$6:$K$3665,0))))</f>
        <v/>
      </c>
      <c r="J2539" s="335">
        <f>IF(B2539=B2538,"",IF($K2539="","",INDEX(Zeiterfassung!$J$6:$J$3665,MATCH(INDEX(Zeiterfassung!$K$6:$K$3665,$K2539),Zeiterfassung!$K$6:$K$3665,0))))</f>
        <v/>
      </c>
      <c r="K2539">
        <f>IFERROR(AGGREGATE(15,6,(ROW(Zeiterfassung!$D$6:$D$3665)-ROW(Zeiterfassung!$D$6)+1)/(Zeiterfassung!$D$6:$D$3665&lt;&gt;""),2534),"")</f>
        <v/>
      </c>
    </row>
    <row r="2540" ht="20" customHeight="1">
      <c r="A2540" s="183">
        <f>IF($K2540="","",WEEKNUM(INDEX(Zeiterfassung!$K$6:$K$3665,$K2540),21))</f>
        <v/>
      </c>
      <c r="B2540" s="184">
        <f>IF($K2540="","",INDEX(Zeiterfassung!$K$6:$K$3665,$K2540))</f>
        <v/>
      </c>
      <c r="C2540" s="185">
        <f>IF($K2540="","",INDEX(Zeiterfassung!$K$6:$K$3665,$K2540))</f>
        <v/>
      </c>
      <c r="D2540" s="186">
        <f>IF($K2540="","",INDEX(Zeiterfassung!$D$6:$D$3665,$K2540))</f>
        <v/>
      </c>
      <c r="E2540" s="186">
        <f>IF($K2540="","",INDEX(Zeiterfassung!$E$6:$E$3665,$K2540))</f>
        <v/>
      </c>
      <c r="F2540" s="187">
        <f>IF($K2540="","",INDEX(Zeiterfassung!$F$6:$F$3665,$K2540))</f>
        <v/>
      </c>
      <c r="G2540" s="187">
        <f>IF($K2540="","",INDEX(Zeiterfassung!$G$6:$G$3665,$K2540))</f>
        <v/>
      </c>
      <c r="H2540" s="188">
        <f>IF($K2540="","",INDEX(Zeiterfassung!$H$6:$H$3665,$K2540))</f>
        <v/>
      </c>
      <c r="I2540" s="335">
        <f>IF(B2540=B2539,"",IF($K2540="","",INDEX(Zeiterfassung!$I$6:$I$3665,MATCH(INDEX(Zeiterfassung!$K$6:$K$3665,$K2540),Zeiterfassung!$K$6:$K$3665,0))))</f>
        <v/>
      </c>
      <c r="J2540" s="335">
        <f>IF(B2540=B2539,"",IF($K2540="","",INDEX(Zeiterfassung!$J$6:$J$3665,MATCH(INDEX(Zeiterfassung!$K$6:$K$3665,$K2540),Zeiterfassung!$K$6:$K$3665,0))))</f>
        <v/>
      </c>
      <c r="K2540">
        <f>IFERROR(AGGREGATE(15,6,(ROW(Zeiterfassung!$D$6:$D$3665)-ROW(Zeiterfassung!$D$6)+1)/(Zeiterfassung!$D$6:$D$3665&lt;&gt;""),2535),"")</f>
        <v/>
      </c>
    </row>
    <row r="2541" ht="20" customHeight="1">
      <c r="A2541" s="183">
        <f>IF($K2541="","",WEEKNUM(INDEX(Zeiterfassung!$K$6:$K$3665,$K2541),21))</f>
        <v/>
      </c>
      <c r="B2541" s="184">
        <f>IF($K2541="","",INDEX(Zeiterfassung!$K$6:$K$3665,$K2541))</f>
        <v/>
      </c>
      <c r="C2541" s="185">
        <f>IF($K2541="","",INDEX(Zeiterfassung!$K$6:$K$3665,$K2541))</f>
        <v/>
      </c>
      <c r="D2541" s="186">
        <f>IF($K2541="","",INDEX(Zeiterfassung!$D$6:$D$3665,$K2541))</f>
        <v/>
      </c>
      <c r="E2541" s="186">
        <f>IF($K2541="","",INDEX(Zeiterfassung!$E$6:$E$3665,$K2541))</f>
        <v/>
      </c>
      <c r="F2541" s="187">
        <f>IF($K2541="","",INDEX(Zeiterfassung!$F$6:$F$3665,$K2541))</f>
        <v/>
      </c>
      <c r="G2541" s="187">
        <f>IF($K2541="","",INDEX(Zeiterfassung!$G$6:$G$3665,$K2541))</f>
        <v/>
      </c>
      <c r="H2541" s="188">
        <f>IF($K2541="","",INDEX(Zeiterfassung!$H$6:$H$3665,$K2541))</f>
        <v/>
      </c>
      <c r="I2541" s="335">
        <f>IF(B2541=B2540,"",IF($K2541="","",INDEX(Zeiterfassung!$I$6:$I$3665,MATCH(INDEX(Zeiterfassung!$K$6:$K$3665,$K2541),Zeiterfassung!$K$6:$K$3665,0))))</f>
        <v/>
      </c>
      <c r="J2541" s="335">
        <f>IF(B2541=B2540,"",IF($K2541="","",INDEX(Zeiterfassung!$J$6:$J$3665,MATCH(INDEX(Zeiterfassung!$K$6:$K$3665,$K2541),Zeiterfassung!$K$6:$K$3665,0))))</f>
        <v/>
      </c>
      <c r="K2541">
        <f>IFERROR(AGGREGATE(15,6,(ROW(Zeiterfassung!$D$6:$D$3665)-ROW(Zeiterfassung!$D$6)+1)/(Zeiterfassung!$D$6:$D$3665&lt;&gt;""),2536),"")</f>
        <v/>
      </c>
    </row>
    <row r="2542" ht="20" customHeight="1">
      <c r="A2542" s="183">
        <f>IF($K2542="","",WEEKNUM(INDEX(Zeiterfassung!$K$6:$K$3665,$K2542),21))</f>
        <v/>
      </c>
      <c r="B2542" s="184">
        <f>IF($K2542="","",INDEX(Zeiterfassung!$K$6:$K$3665,$K2542))</f>
        <v/>
      </c>
      <c r="C2542" s="185">
        <f>IF($K2542="","",INDEX(Zeiterfassung!$K$6:$K$3665,$K2542))</f>
        <v/>
      </c>
      <c r="D2542" s="186">
        <f>IF($K2542="","",INDEX(Zeiterfassung!$D$6:$D$3665,$K2542))</f>
        <v/>
      </c>
      <c r="E2542" s="186">
        <f>IF($K2542="","",INDEX(Zeiterfassung!$E$6:$E$3665,$K2542))</f>
        <v/>
      </c>
      <c r="F2542" s="187">
        <f>IF($K2542="","",INDEX(Zeiterfassung!$F$6:$F$3665,$K2542))</f>
        <v/>
      </c>
      <c r="G2542" s="187">
        <f>IF($K2542="","",INDEX(Zeiterfassung!$G$6:$G$3665,$K2542))</f>
        <v/>
      </c>
      <c r="H2542" s="188">
        <f>IF($K2542="","",INDEX(Zeiterfassung!$H$6:$H$3665,$K2542))</f>
        <v/>
      </c>
      <c r="I2542" s="335">
        <f>IF(B2542=B2541,"",IF($K2542="","",INDEX(Zeiterfassung!$I$6:$I$3665,MATCH(INDEX(Zeiterfassung!$K$6:$K$3665,$K2542),Zeiterfassung!$K$6:$K$3665,0))))</f>
        <v/>
      </c>
      <c r="J2542" s="335">
        <f>IF(B2542=B2541,"",IF($K2542="","",INDEX(Zeiterfassung!$J$6:$J$3665,MATCH(INDEX(Zeiterfassung!$K$6:$K$3665,$K2542),Zeiterfassung!$K$6:$K$3665,0))))</f>
        <v/>
      </c>
      <c r="K2542">
        <f>IFERROR(AGGREGATE(15,6,(ROW(Zeiterfassung!$D$6:$D$3665)-ROW(Zeiterfassung!$D$6)+1)/(Zeiterfassung!$D$6:$D$3665&lt;&gt;""),2537),"")</f>
        <v/>
      </c>
    </row>
    <row r="2543" ht="20" customHeight="1">
      <c r="A2543" s="183">
        <f>IF($K2543="","",WEEKNUM(INDEX(Zeiterfassung!$K$6:$K$3665,$K2543),21))</f>
        <v/>
      </c>
      <c r="B2543" s="184">
        <f>IF($K2543="","",INDEX(Zeiterfassung!$K$6:$K$3665,$K2543))</f>
        <v/>
      </c>
      <c r="C2543" s="185">
        <f>IF($K2543="","",INDEX(Zeiterfassung!$K$6:$K$3665,$K2543))</f>
        <v/>
      </c>
      <c r="D2543" s="186">
        <f>IF($K2543="","",INDEX(Zeiterfassung!$D$6:$D$3665,$K2543))</f>
        <v/>
      </c>
      <c r="E2543" s="186">
        <f>IF($K2543="","",INDEX(Zeiterfassung!$E$6:$E$3665,$K2543))</f>
        <v/>
      </c>
      <c r="F2543" s="187">
        <f>IF($K2543="","",INDEX(Zeiterfassung!$F$6:$F$3665,$K2543))</f>
        <v/>
      </c>
      <c r="G2543" s="187">
        <f>IF($K2543="","",INDEX(Zeiterfassung!$G$6:$G$3665,$K2543))</f>
        <v/>
      </c>
      <c r="H2543" s="188">
        <f>IF($K2543="","",INDEX(Zeiterfassung!$H$6:$H$3665,$K2543))</f>
        <v/>
      </c>
      <c r="I2543" s="335">
        <f>IF(B2543=B2542,"",IF($K2543="","",INDEX(Zeiterfassung!$I$6:$I$3665,MATCH(INDEX(Zeiterfassung!$K$6:$K$3665,$K2543),Zeiterfassung!$K$6:$K$3665,0))))</f>
        <v/>
      </c>
      <c r="J2543" s="335">
        <f>IF(B2543=B2542,"",IF($K2543="","",INDEX(Zeiterfassung!$J$6:$J$3665,MATCH(INDEX(Zeiterfassung!$K$6:$K$3665,$K2543),Zeiterfassung!$K$6:$K$3665,0))))</f>
        <v/>
      </c>
      <c r="K2543">
        <f>IFERROR(AGGREGATE(15,6,(ROW(Zeiterfassung!$D$6:$D$3665)-ROW(Zeiterfassung!$D$6)+1)/(Zeiterfassung!$D$6:$D$3665&lt;&gt;""),2538),"")</f>
        <v/>
      </c>
    </row>
    <row r="2544" ht="20" customHeight="1">
      <c r="A2544" s="183">
        <f>IF($K2544="","",WEEKNUM(INDEX(Zeiterfassung!$K$6:$K$3665,$K2544),21))</f>
        <v/>
      </c>
      <c r="B2544" s="184">
        <f>IF($K2544="","",INDEX(Zeiterfassung!$K$6:$K$3665,$K2544))</f>
        <v/>
      </c>
      <c r="C2544" s="185">
        <f>IF($K2544="","",INDEX(Zeiterfassung!$K$6:$K$3665,$K2544))</f>
        <v/>
      </c>
      <c r="D2544" s="186">
        <f>IF($K2544="","",INDEX(Zeiterfassung!$D$6:$D$3665,$K2544))</f>
        <v/>
      </c>
      <c r="E2544" s="186">
        <f>IF($K2544="","",INDEX(Zeiterfassung!$E$6:$E$3665,$K2544))</f>
        <v/>
      </c>
      <c r="F2544" s="187">
        <f>IF($K2544="","",INDEX(Zeiterfassung!$F$6:$F$3665,$K2544))</f>
        <v/>
      </c>
      <c r="G2544" s="187">
        <f>IF($K2544="","",INDEX(Zeiterfassung!$G$6:$G$3665,$K2544))</f>
        <v/>
      </c>
      <c r="H2544" s="188">
        <f>IF($K2544="","",INDEX(Zeiterfassung!$H$6:$H$3665,$K2544))</f>
        <v/>
      </c>
      <c r="I2544" s="335">
        <f>IF(B2544=B2543,"",IF($K2544="","",INDEX(Zeiterfassung!$I$6:$I$3665,MATCH(INDEX(Zeiterfassung!$K$6:$K$3665,$K2544),Zeiterfassung!$K$6:$K$3665,0))))</f>
        <v/>
      </c>
      <c r="J2544" s="335">
        <f>IF(B2544=B2543,"",IF($K2544="","",INDEX(Zeiterfassung!$J$6:$J$3665,MATCH(INDEX(Zeiterfassung!$K$6:$K$3665,$K2544),Zeiterfassung!$K$6:$K$3665,0))))</f>
        <v/>
      </c>
      <c r="K2544">
        <f>IFERROR(AGGREGATE(15,6,(ROW(Zeiterfassung!$D$6:$D$3665)-ROW(Zeiterfassung!$D$6)+1)/(Zeiterfassung!$D$6:$D$3665&lt;&gt;""),2539),"")</f>
        <v/>
      </c>
    </row>
    <row r="2545" ht="20" customHeight="1">
      <c r="A2545" s="183">
        <f>IF($K2545="","",WEEKNUM(INDEX(Zeiterfassung!$K$6:$K$3665,$K2545),21))</f>
        <v/>
      </c>
      <c r="B2545" s="184">
        <f>IF($K2545="","",INDEX(Zeiterfassung!$K$6:$K$3665,$K2545))</f>
        <v/>
      </c>
      <c r="C2545" s="185">
        <f>IF($K2545="","",INDEX(Zeiterfassung!$K$6:$K$3665,$K2545))</f>
        <v/>
      </c>
      <c r="D2545" s="186">
        <f>IF($K2545="","",INDEX(Zeiterfassung!$D$6:$D$3665,$K2545))</f>
        <v/>
      </c>
      <c r="E2545" s="186">
        <f>IF($K2545="","",INDEX(Zeiterfassung!$E$6:$E$3665,$K2545))</f>
        <v/>
      </c>
      <c r="F2545" s="187">
        <f>IF($K2545="","",INDEX(Zeiterfassung!$F$6:$F$3665,$K2545))</f>
        <v/>
      </c>
      <c r="G2545" s="187">
        <f>IF($K2545="","",INDEX(Zeiterfassung!$G$6:$G$3665,$K2545))</f>
        <v/>
      </c>
      <c r="H2545" s="188">
        <f>IF($K2545="","",INDEX(Zeiterfassung!$H$6:$H$3665,$K2545))</f>
        <v/>
      </c>
      <c r="I2545" s="335">
        <f>IF(B2545=B2544,"",IF($K2545="","",INDEX(Zeiterfassung!$I$6:$I$3665,MATCH(INDEX(Zeiterfassung!$K$6:$K$3665,$K2545),Zeiterfassung!$K$6:$K$3665,0))))</f>
        <v/>
      </c>
      <c r="J2545" s="335">
        <f>IF(B2545=B2544,"",IF($K2545="","",INDEX(Zeiterfassung!$J$6:$J$3665,MATCH(INDEX(Zeiterfassung!$K$6:$K$3665,$K2545),Zeiterfassung!$K$6:$K$3665,0))))</f>
        <v/>
      </c>
      <c r="K2545">
        <f>IFERROR(AGGREGATE(15,6,(ROW(Zeiterfassung!$D$6:$D$3665)-ROW(Zeiterfassung!$D$6)+1)/(Zeiterfassung!$D$6:$D$3665&lt;&gt;""),2540),"")</f>
        <v/>
      </c>
    </row>
    <row r="2546" ht="20" customHeight="1">
      <c r="A2546" s="183">
        <f>IF($K2546="","",WEEKNUM(INDEX(Zeiterfassung!$K$6:$K$3665,$K2546),21))</f>
        <v/>
      </c>
      <c r="B2546" s="184">
        <f>IF($K2546="","",INDEX(Zeiterfassung!$K$6:$K$3665,$K2546))</f>
        <v/>
      </c>
      <c r="C2546" s="185">
        <f>IF($K2546="","",INDEX(Zeiterfassung!$K$6:$K$3665,$K2546))</f>
        <v/>
      </c>
      <c r="D2546" s="186">
        <f>IF($K2546="","",INDEX(Zeiterfassung!$D$6:$D$3665,$K2546))</f>
        <v/>
      </c>
      <c r="E2546" s="186">
        <f>IF($K2546="","",INDEX(Zeiterfassung!$E$6:$E$3665,$K2546))</f>
        <v/>
      </c>
      <c r="F2546" s="187">
        <f>IF($K2546="","",INDEX(Zeiterfassung!$F$6:$F$3665,$K2546))</f>
        <v/>
      </c>
      <c r="G2546" s="187">
        <f>IF($K2546="","",INDEX(Zeiterfassung!$G$6:$G$3665,$K2546))</f>
        <v/>
      </c>
      <c r="H2546" s="188">
        <f>IF($K2546="","",INDEX(Zeiterfassung!$H$6:$H$3665,$K2546))</f>
        <v/>
      </c>
      <c r="I2546" s="335">
        <f>IF(B2546=B2545,"",IF($K2546="","",INDEX(Zeiterfassung!$I$6:$I$3665,MATCH(INDEX(Zeiterfassung!$K$6:$K$3665,$K2546),Zeiterfassung!$K$6:$K$3665,0))))</f>
        <v/>
      </c>
      <c r="J2546" s="335">
        <f>IF(B2546=B2545,"",IF($K2546="","",INDEX(Zeiterfassung!$J$6:$J$3665,MATCH(INDEX(Zeiterfassung!$K$6:$K$3665,$K2546),Zeiterfassung!$K$6:$K$3665,0))))</f>
        <v/>
      </c>
      <c r="K2546">
        <f>IFERROR(AGGREGATE(15,6,(ROW(Zeiterfassung!$D$6:$D$3665)-ROW(Zeiterfassung!$D$6)+1)/(Zeiterfassung!$D$6:$D$3665&lt;&gt;""),2541),"")</f>
        <v/>
      </c>
    </row>
    <row r="2547" ht="20" customHeight="1">
      <c r="A2547" s="183">
        <f>IF($K2547="","",WEEKNUM(INDEX(Zeiterfassung!$K$6:$K$3665,$K2547),21))</f>
        <v/>
      </c>
      <c r="B2547" s="184">
        <f>IF($K2547="","",INDEX(Zeiterfassung!$K$6:$K$3665,$K2547))</f>
        <v/>
      </c>
      <c r="C2547" s="185">
        <f>IF($K2547="","",INDEX(Zeiterfassung!$K$6:$K$3665,$K2547))</f>
        <v/>
      </c>
      <c r="D2547" s="186">
        <f>IF($K2547="","",INDEX(Zeiterfassung!$D$6:$D$3665,$K2547))</f>
        <v/>
      </c>
      <c r="E2547" s="186">
        <f>IF($K2547="","",INDEX(Zeiterfassung!$E$6:$E$3665,$K2547))</f>
        <v/>
      </c>
      <c r="F2547" s="187">
        <f>IF($K2547="","",INDEX(Zeiterfassung!$F$6:$F$3665,$K2547))</f>
        <v/>
      </c>
      <c r="G2547" s="187">
        <f>IF($K2547="","",INDEX(Zeiterfassung!$G$6:$G$3665,$K2547))</f>
        <v/>
      </c>
      <c r="H2547" s="188">
        <f>IF($K2547="","",INDEX(Zeiterfassung!$H$6:$H$3665,$K2547))</f>
        <v/>
      </c>
      <c r="I2547" s="335">
        <f>IF(B2547=B2546,"",IF($K2547="","",INDEX(Zeiterfassung!$I$6:$I$3665,MATCH(INDEX(Zeiterfassung!$K$6:$K$3665,$K2547),Zeiterfassung!$K$6:$K$3665,0))))</f>
        <v/>
      </c>
      <c r="J2547" s="335">
        <f>IF(B2547=B2546,"",IF($K2547="","",INDEX(Zeiterfassung!$J$6:$J$3665,MATCH(INDEX(Zeiterfassung!$K$6:$K$3665,$K2547),Zeiterfassung!$K$6:$K$3665,0))))</f>
        <v/>
      </c>
      <c r="K2547">
        <f>IFERROR(AGGREGATE(15,6,(ROW(Zeiterfassung!$D$6:$D$3665)-ROW(Zeiterfassung!$D$6)+1)/(Zeiterfassung!$D$6:$D$3665&lt;&gt;""),2542),"")</f>
        <v/>
      </c>
    </row>
    <row r="2548" ht="20" customHeight="1">
      <c r="A2548" s="183">
        <f>IF($K2548="","",WEEKNUM(INDEX(Zeiterfassung!$K$6:$K$3665,$K2548),21))</f>
        <v/>
      </c>
      <c r="B2548" s="184">
        <f>IF($K2548="","",INDEX(Zeiterfassung!$K$6:$K$3665,$K2548))</f>
        <v/>
      </c>
      <c r="C2548" s="185">
        <f>IF($K2548="","",INDEX(Zeiterfassung!$K$6:$K$3665,$K2548))</f>
        <v/>
      </c>
      <c r="D2548" s="186">
        <f>IF($K2548="","",INDEX(Zeiterfassung!$D$6:$D$3665,$K2548))</f>
        <v/>
      </c>
      <c r="E2548" s="186">
        <f>IF($K2548="","",INDEX(Zeiterfassung!$E$6:$E$3665,$K2548))</f>
        <v/>
      </c>
      <c r="F2548" s="187">
        <f>IF($K2548="","",INDEX(Zeiterfassung!$F$6:$F$3665,$K2548))</f>
        <v/>
      </c>
      <c r="G2548" s="187">
        <f>IF($K2548="","",INDEX(Zeiterfassung!$G$6:$G$3665,$K2548))</f>
        <v/>
      </c>
      <c r="H2548" s="188">
        <f>IF($K2548="","",INDEX(Zeiterfassung!$H$6:$H$3665,$K2548))</f>
        <v/>
      </c>
      <c r="I2548" s="335">
        <f>IF(B2548=B2547,"",IF($K2548="","",INDEX(Zeiterfassung!$I$6:$I$3665,MATCH(INDEX(Zeiterfassung!$K$6:$K$3665,$K2548),Zeiterfassung!$K$6:$K$3665,0))))</f>
        <v/>
      </c>
      <c r="J2548" s="335">
        <f>IF(B2548=B2547,"",IF($K2548="","",INDEX(Zeiterfassung!$J$6:$J$3665,MATCH(INDEX(Zeiterfassung!$K$6:$K$3665,$K2548),Zeiterfassung!$K$6:$K$3665,0))))</f>
        <v/>
      </c>
      <c r="K2548">
        <f>IFERROR(AGGREGATE(15,6,(ROW(Zeiterfassung!$D$6:$D$3665)-ROW(Zeiterfassung!$D$6)+1)/(Zeiterfassung!$D$6:$D$3665&lt;&gt;""),2543),"")</f>
        <v/>
      </c>
    </row>
    <row r="2549" ht="20" customHeight="1">
      <c r="A2549" s="183">
        <f>IF($K2549="","",WEEKNUM(INDEX(Zeiterfassung!$K$6:$K$3665,$K2549),21))</f>
        <v/>
      </c>
      <c r="B2549" s="184">
        <f>IF($K2549="","",INDEX(Zeiterfassung!$K$6:$K$3665,$K2549))</f>
        <v/>
      </c>
      <c r="C2549" s="185">
        <f>IF($K2549="","",INDEX(Zeiterfassung!$K$6:$K$3665,$K2549))</f>
        <v/>
      </c>
      <c r="D2549" s="186">
        <f>IF($K2549="","",INDEX(Zeiterfassung!$D$6:$D$3665,$K2549))</f>
        <v/>
      </c>
      <c r="E2549" s="186">
        <f>IF($K2549="","",INDEX(Zeiterfassung!$E$6:$E$3665,$K2549))</f>
        <v/>
      </c>
      <c r="F2549" s="187">
        <f>IF($K2549="","",INDEX(Zeiterfassung!$F$6:$F$3665,$K2549))</f>
        <v/>
      </c>
      <c r="G2549" s="187">
        <f>IF($K2549="","",INDEX(Zeiterfassung!$G$6:$G$3665,$K2549))</f>
        <v/>
      </c>
      <c r="H2549" s="188">
        <f>IF($K2549="","",INDEX(Zeiterfassung!$H$6:$H$3665,$K2549))</f>
        <v/>
      </c>
      <c r="I2549" s="335">
        <f>IF(B2549=B2548,"",IF($K2549="","",INDEX(Zeiterfassung!$I$6:$I$3665,MATCH(INDEX(Zeiterfassung!$K$6:$K$3665,$K2549),Zeiterfassung!$K$6:$K$3665,0))))</f>
        <v/>
      </c>
      <c r="J2549" s="335">
        <f>IF(B2549=B2548,"",IF($K2549="","",INDEX(Zeiterfassung!$J$6:$J$3665,MATCH(INDEX(Zeiterfassung!$K$6:$K$3665,$K2549),Zeiterfassung!$K$6:$K$3665,0))))</f>
        <v/>
      </c>
      <c r="K2549">
        <f>IFERROR(AGGREGATE(15,6,(ROW(Zeiterfassung!$D$6:$D$3665)-ROW(Zeiterfassung!$D$6)+1)/(Zeiterfassung!$D$6:$D$3665&lt;&gt;""),2544),"")</f>
        <v/>
      </c>
    </row>
    <row r="2550" ht="20" customHeight="1">
      <c r="A2550" s="183">
        <f>IF($K2550="","",WEEKNUM(INDEX(Zeiterfassung!$K$6:$K$3665,$K2550),21))</f>
        <v/>
      </c>
      <c r="B2550" s="184">
        <f>IF($K2550="","",INDEX(Zeiterfassung!$K$6:$K$3665,$K2550))</f>
        <v/>
      </c>
      <c r="C2550" s="185">
        <f>IF($K2550="","",INDEX(Zeiterfassung!$K$6:$K$3665,$K2550))</f>
        <v/>
      </c>
      <c r="D2550" s="186">
        <f>IF($K2550="","",INDEX(Zeiterfassung!$D$6:$D$3665,$K2550))</f>
        <v/>
      </c>
      <c r="E2550" s="186">
        <f>IF($K2550="","",INDEX(Zeiterfassung!$E$6:$E$3665,$K2550))</f>
        <v/>
      </c>
      <c r="F2550" s="187">
        <f>IF($K2550="","",INDEX(Zeiterfassung!$F$6:$F$3665,$K2550))</f>
        <v/>
      </c>
      <c r="G2550" s="187">
        <f>IF($K2550="","",INDEX(Zeiterfassung!$G$6:$G$3665,$K2550))</f>
        <v/>
      </c>
      <c r="H2550" s="188">
        <f>IF($K2550="","",INDEX(Zeiterfassung!$H$6:$H$3665,$K2550))</f>
        <v/>
      </c>
      <c r="I2550" s="335">
        <f>IF(B2550=B2549,"",IF($K2550="","",INDEX(Zeiterfassung!$I$6:$I$3665,MATCH(INDEX(Zeiterfassung!$K$6:$K$3665,$K2550),Zeiterfassung!$K$6:$K$3665,0))))</f>
        <v/>
      </c>
      <c r="J2550" s="335">
        <f>IF(B2550=B2549,"",IF($K2550="","",INDEX(Zeiterfassung!$J$6:$J$3665,MATCH(INDEX(Zeiterfassung!$K$6:$K$3665,$K2550),Zeiterfassung!$K$6:$K$3665,0))))</f>
        <v/>
      </c>
      <c r="K2550">
        <f>IFERROR(AGGREGATE(15,6,(ROW(Zeiterfassung!$D$6:$D$3665)-ROW(Zeiterfassung!$D$6)+1)/(Zeiterfassung!$D$6:$D$3665&lt;&gt;""),2545),"")</f>
        <v/>
      </c>
    </row>
    <row r="2551" ht="20" customHeight="1">
      <c r="A2551" s="183">
        <f>IF($K2551="","",WEEKNUM(INDEX(Zeiterfassung!$K$6:$K$3665,$K2551),21))</f>
        <v/>
      </c>
      <c r="B2551" s="184">
        <f>IF($K2551="","",INDEX(Zeiterfassung!$K$6:$K$3665,$K2551))</f>
        <v/>
      </c>
      <c r="C2551" s="185">
        <f>IF($K2551="","",INDEX(Zeiterfassung!$K$6:$K$3665,$K2551))</f>
        <v/>
      </c>
      <c r="D2551" s="186">
        <f>IF($K2551="","",INDEX(Zeiterfassung!$D$6:$D$3665,$K2551))</f>
        <v/>
      </c>
      <c r="E2551" s="186">
        <f>IF($K2551="","",INDEX(Zeiterfassung!$E$6:$E$3665,$K2551))</f>
        <v/>
      </c>
      <c r="F2551" s="187">
        <f>IF($K2551="","",INDEX(Zeiterfassung!$F$6:$F$3665,$K2551))</f>
        <v/>
      </c>
      <c r="G2551" s="187">
        <f>IF($K2551="","",INDEX(Zeiterfassung!$G$6:$G$3665,$K2551))</f>
        <v/>
      </c>
      <c r="H2551" s="188">
        <f>IF($K2551="","",INDEX(Zeiterfassung!$H$6:$H$3665,$K2551))</f>
        <v/>
      </c>
      <c r="I2551" s="335">
        <f>IF(B2551=B2550,"",IF($K2551="","",INDEX(Zeiterfassung!$I$6:$I$3665,MATCH(INDEX(Zeiterfassung!$K$6:$K$3665,$K2551),Zeiterfassung!$K$6:$K$3665,0))))</f>
        <v/>
      </c>
      <c r="J2551" s="335">
        <f>IF(B2551=B2550,"",IF($K2551="","",INDEX(Zeiterfassung!$J$6:$J$3665,MATCH(INDEX(Zeiterfassung!$K$6:$K$3665,$K2551),Zeiterfassung!$K$6:$K$3665,0))))</f>
        <v/>
      </c>
      <c r="K2551">
        <f>IFERROR(AGGREGATE(15,6,(ROW(Zeiterfassung!$D$6:$D$3665)-ROW(Zeiterfassung!$D$6)+1)/(Zeiterfassung!$D$6:$D$3665&lt;&gt;""),2546),"")</f>
        <v/>
      </c>
    </row>
    <row r="2552" ht="20" customHeight="1">
      <c r="A2552" s="183">
        <f>IF($K2552="","",WEEKNUM(INDEX(Zeiterfassung!$K$6:$K$3665,$K2552),21))</f>
        <v/>
      </c>
      <c r="B2552" s="184">
        <f>IF($K2552="","",INDEX(Zeiterfassung!$K$6:$K$3665,$K2552))</f>
        <v/>
      </c>
      <c r="C2552" s="185">
        <f>IF($K2552="","",INDEX(Zeiterfassung!$K$6:$K$3665,$K2552))</f>
        <v/>
      </c>
      <c r="D2552" s="186">
        <f>IF($K2552="","",INDEX(Zeiterfassung!$D$6:$D$3665,$K2552))</f>
        <v/>
      </c>
      <c r="E2552" s="186">
        <f>IF($K2552="","",INDEX(Zeiterfassung!$E$6:$E$3665,$K2552))</f>
        <v/>
      </c>
      <c r="F2552" s="187">
        <f>IF($K2552="","",INDEX(Zeiterfassung!$F$6:$F$3665,$K2552))</f>
        <v/>
      </c>
      <c r="G2552" s="187">
        <f>IF($K2552="","",INDEX(Zeiterfassung!$G$6:$G$3665,$K2552))</f>
        <v/>
      </c>
      <c r="H2552" s="188">
        <f>IF($K2552="","",INDEX(Zeiterfassung!$H$6:$H$3665,$K2552))</f>
        <v/>
      </c>
      <c r="I2552" s="335">
        <f>IF(B2552=B2551,"",IF($K2552="","",INDEX(Zeiterfassung!$I$6:$I$3665,MATCH(INDEX(Zeiterfassung!$K$6:$K$3665,$K2552),Zeiterfassung!$K$6:$K$3665,0))))</f>
        <v/>
      </c>
      <c r="J2552" s="335">
        <f>IF(B2552=B2551,"",IF($K2552="","",INDEX(Zeiterfassung!$J$6:$J$3665,MATCH(INDEX(Zeiterfassung!$K$6:$K$3665,$K2552),Zeiterfassung!$K$6:$K$3665,0))))</f>
        <v/>
      </c>
      <c r="K2552">
        <f>IFERROR(AGGREGATE(15,6,(ROW(Zeiterfassung!$D$6:$D$3665)-ROW(Zeiterfassung!$D$6)+1)/(Zeiterfassung!$D$6:$D$3665&lt;&gt;""),2547),"")</f>
        <v/>
      </c>
    </row>
    <row r="2553" ht="20" customHeight="1">
      <c r="A2553" s="183">
        <f>IF($K2553="","",WEEKNUM(INDEX(Zeiterfassung!$K$6:$K$3665,$K2553),21))</f>
        <v/>
      </c>
      <c r="B2553" s="184">
        <f>IF($K2553="","",INDEX(Zeiterfassung!$K$6:$K$3665,$K2553))</f>
        <v/>
      </c>
      <c r="C2553" s="185">
        <f>IF($K2553="","",INDEX(Zeiterfassung!$K$6:$K$3665,$K2553))</f>
        <v/>
      </c>
      <c r="D2553" s="186">
        <f>IF($K2553="","",INDEX(Zeiterfassung!$D$6:$D$3665,$K2553))</f>
        <v/>
      </c>
      <c r="E2553" s="186">
        <f>IF($K2553="","",INDEX(Zeiterfassung!$E$6:$E$3665,$K2553))</f>
        <v/>
      </c>
      <c r="F2553" s="187">
        <f>IF($K2553="","",INDEX(Zeiterfassung!$F$6:$F$3665,$K2553))</f>
        <v/>
      </c>
      <c r="G2553" s="187">
        <f>IF($K2553="","",INDEX(Zeiterfassung!$G$6:$G$3665,$K2553))</f>
        <v/>
      </c>
      <c r="H2553" s="188">
        <f>IF($K2553="","",INDEX(Zeiterfassung!$H$6:$H$3665,$K2553))</f>
        <v/>
      </c>
      <c r="I2553" s="335">
        <f>IF(B2553=B2552,"",IF($K2553="","",INDEX(Zeiterfassung!$I$6:$I$3665,MATCH(INDEX(Zeiterfassung!$K$6:$K$3665,$K2553),Zeiterfassung!$K$6:$K$3665,0))))</f>
        <v/>
      </c>
      <c r="J2553" s="335">
        <f>IF(B2553=B2552,"",IF($K2553="","",INDEX(Zeiterfassung!$J$6:$J$3665,MATCH(INDEX(Zeiterfassung!$K$6:$K$3665,$K2553),Zeiterfassung!$K$6:$K$3665,0))))</f>
        <v/>
      </c>
      <c r="K2553">
        <f>IFERROR(AGGREGATE(15,6,(ROW(Zeiterfassung!$D$6:$D$3665)-ROW(Zeiterfassung!$D$6)+1)/(Zeiterfassung!$D$6:$D$3665&lt;&gt;""),2548),"")</f>
        <v/>
      </c>
    </row>
    <row r="2554" ht="20" customHeight="1">
      <c r="A2554" s="183">
        <f>IF($K2554="","",WEEKNUM(INDEX(Zeiterfassung!$K$6:$K$3665,$K2554),21))</f>
        <v/>
      </c>
      <c r="B2554" s="184">
        <f>IF($K2554="","",INDEX(Zeiterfassung!$K$6:$K$3665,$K2554))</f>
        <v/>
      </c>
      <c r="C2554" s="185">
        <f>IF($K2554="","",INDEX(Zeiterfassung!$K$6:$K$3665,$K2554))</f>
        <v/>
      </c>
      <c r="D2554" s="186">
        <f>IF($K2554="","",INDEX(Zeiterfassung!$D$6:$D$3665,$K2554))</f>
        <v/>
      </c>
      <c r="E2554" s="186">
        <f>IF($K2554="","",INDEX(Zeiterfassung!$E$6:$E$3665,$K2554))</f>
        <v/>
      </c>
      <c r="F2554" s="187">
        <f>IF($K2554="","",INDEX(Zeiterfassung!$F$6:$F$3665,$K2554))</f>
        <v/>
      </c>
      <c r="G2554" s="187">
        <f>IF($K2554="","",INDEX(Zeiterfassung!$G$6:$G$3665,$K2554))</f>
        <v/>
      </c>
      <c r="H2554" s="188">
        <f>IF($K2554="","",INDEX(Zeiterfassung!$H$6:$H$3665,$K2554))</f>
        <v/>
      </c>
      <c r="I2554" s="335">
        <f>IF(B2554=B2553,"",IF($K2554="","",INDEX(Zeiterfassung!$I$6:$I$3665,MATCH(INDEX(Zeiterfassung!$K$6:$K$3665,$K2554),Zeiterfassung!$K$6:$K$3665,0))))</f>
        <v/>
      </c>
      <c r="J2554" s="335">
        <f>IF(B2554=B2553,"",IF($K2554="","",INDEX(Zeiterfassung!$J$6:$J$3665,MATCH(INDEX(Zeiterfassung!$K$6:$K$3665,$K2554),Zeiterfassung!$K$6:$K$3665,0))))</f>
        <v/>
      </c>
      <c r="K2554">
        <f>IFERROR(AGGREGATE(15,6,(ROW(Zeiterfassung!$D$6:$D$3665)-ROW(Zeiterfassung!$D$6)+1)/(Zeiterfassung!$D$6:$D$3665&lt;&gt;""),2549),"")</f>
        <v/>
      </c>
    </row>
    <row r="2555" ht="20" customHeight="1">
      <c r="A2555" s="183">
        <f>IF($K2555="","",WEEKNUM(INDEX(Zeiterfassung!$K$6:$K$3665,$K2555),21))</f>
        <v/>
      </c>
      <c r="B2555" s="184">
        <f>IF($K2555="","",INDEX(Zeiterfassung!$K$6:$K$3665,$K2555))</f>
        <v/>
      </c>
      <c r="C2555" s="185">
        <f>IF($K2555="","",INDEX(Zeiterfassung!$K$6:$K$3665,$K2555))</f>
        <v/>
      </c>
      <c r="D2555" s="186">
        <f>IF($K2555="","",INDEX(Zeiterfassung!$D$6:$D$3665,$K2555))</f>
        <v/>
      </c>
      <c r="E2555" s="186">
        <f>IF($K2555="","",INDEX(Zeiterfassung!$E$6:$E$3665,$K2555))</f>
        <v/>
      </c>
      <c r="F2555" s="187">
        <f>IF($K2555="","",INDEX(Zeiterfassung!$F$6:$F$3665,$K2555))</f>
        <v/>
      </c>
      <c r="G2555" s="187">
        <f>IF($K2555="","",INDEX(Zeiterfassung!$G$6:$G$3665,$K2555))</f>
        <v/>
      </c>
      <c r="H2555" s="188">
        <f>IF($K2555="","",INDEX(Zeiterfassung!$H$6:$H$3665,$K2555))</f>
        <v/>
      </c>
      <c r="I2555" s="335">
        <f>IF(B2555=B2554,"",IF($K2555="","",INDEX(Zeiterfassung!$I$6:$I$3665,MATCH(INDEX(Zeiterfassung!$K$6:$K$3665,$K2555),Zeiterfassung!$K$6:$K$3665,0))))</f>
        <v/>
      </c>
      <c r="J2555" s="335">
        <f>IF(B2555=B2554,"",IF($K2555="","",INDEX(Zeiterfassung!$J$6:$J$3665,MATCH(INDEX(Zeiterfassung!$K$6:$K$3665,$K2555),Zeiterfassung!$K$6:$K$3665,0))))</f>
        <v/>
      </c>
      <c r="K2555">
        <f>IFERROR(AGGREGATE(15,6,(ROW(Zeiterfassung!$D$6:$D$3665)-ROW(Zeiterfassung!$D$6)+1)/(Zeiterfassung!$D$6:$D$3665&lt;&gt;""),2550),"")</f>
        <v/>
      </c>
    </row>
    <row r="2556" ht="20" customHeight="1">
      <c r="A2556" s="183">
        <f>IF($K2556="","",WEEKNUM(INDEX(Zeiterfassung!$K$6:$K$3665,$K2556),21))</f>
        <v/>
      </c>
      <c r="B2556" s="184">
        <f>IF($K2556="","",INDEX(Zeiterfassung!$K$6:$K$3665,$K2556))</f>
        <v/>
      </c>
      <c r="C2556" s="185">
        <f>IF($K2556="","",INDEX(Zeiterfassung!$K$6:$K$3665,$K2556))</f>
        <v/>
      </c>
      <c r="D2556" s="186">
        <f>IF($K2556="","",INDEX(Zeiterfassung!$D$6:$D$3665,$K2556))</f>
        <v/>
      </c>
      <c r="E2556" s="186">
        <f>IF($K2556="","",INDEX(Zeiterfassung!$E$6:$E$3665,$K2556))</f>
        <v/>
      </c>
      <c r="F2556" s="187">
        <f>IF($K2556="","",INDEX(Zeiterfassung!$F$6:$F$3665,$K2556))</f>
        <v/>
      </c>
      <c r="G2556" s="187">
        <f>IF($K2556="","",INDEX(Zeiterfassung!$G$6:$G$3665,$K2556))</f>
        <v/>
      </c>
      <c r="H2556" s="188">
        <f>IF($K2556="","",INDEX(Zeiterfassung!$H$6:$H$3665,$K2556))</f>
        <v/>
      </c>
      <c r="I2556" s="335">
        <f>IF(B2556=B2555,"",IF($K2556="","",INDEX(Zeiterfassung!$I$6:$I$3665,MATCH(INDEX(Zeiterfassung!$K$6:$K$3665,$K2556),Zeiterfassung!$K$6:$K$3665,0))))</f>
        <v/>
      </c>
      <c r="J2556" s="335">
        <f>IF(B2556=B2555,"",IF($K2556="","",INDEX(Zeiterfassung!$J$6:$J$3665,MATCH(INDEX(Zeiterfassung!$K$6:$K$3665,$K2556),Zeiterfassung!$K$6:$K$3665,0))))</f>
        <v/>
      </c>
      <c r="K2556">
        <f>IFERROR(AGGREGATE(15,6,(ROW(Zeiterfassung!$D$6:$D$3665)-ROW(Zeiterfassung!$D$6)+1)/(Zeiterfassung!$D$6:$D$3665&lt;&gt;""),2551),"")</f>
        <v/>
      </c>
    </row>
    <row r="2557" ht="20" customHeight="1">
      <c r="A2557" s="183">
        <f>IF($K2557="","",WEEKNUM(INDEX(Zeiterfassung!$K$6:$K$3665,$K2557),21))</f>
        <v/>
      </c>
      <c r="B2557" s="184">
        <f>IF($K2557="","",INDEX(Zeiterfassung!$K$6:$K$3665,$K2557))</f>
        <v/>
      </c>
      <c r="C2557" s="185">
        <f>IF($K2557="","",INDEX(Zeiterfassung!$K$6:$K$3665,$K2557))</f>
        <v/>
      </c>
      <c r="D2557" s="186">
        <f>IF($K2557="","",INDEX(Zeiterfassung!$D$6:$D$3665,$K2557))</f>
        <v/>
      </c>
      <c r="E2557" s="186">
        <f>IF($K2557="","",INDEX(Zeiterfassung!$E$6:$E$3665,$K2557))</f>
        <v/>
      </c>
      <c r="F2557" s="187">
        <f>IF($K2557="","",INDEX(Zeiterfassung!$F$6:$F$3665,$K2557))</f>
        <v/>
      </c>
      <c r="G2557" s="187">
        <f>IF($K2557="","",INDEX(Zeiterfassung!$G$6:$G$3665,$K2557))</f>
        <v/>
      </c>
      <c r="H2557" s="188">
        <f>IF($K2557="","",INDEX(Zeiterfassung!$H$6:$H$3665,$K2557))</f>
        <v/>
      </c>
      <c r="I2557" s="335">
        <f>IF(B2557=B2556,"",IF($K2557="","",INDEX(Zeiterfassung!$I$6:$I$3665,MATCH(INDEX(Zeiterfassung!$K$6:$K$3665,$K2557),Zeiterfassung!$K$6:$K$3665,0))))</f>
        <v/>
      </c>
      <c r="J2557" s="335">
        <f>IF(B2557=B2556,"",IF($K2557="","",INDEX(Zeiterfassung!$J$6:$J$3665,MATCH(INDEX(Zeiterfassung!$K$6:$K$3665,$K2557),Zeiterfassung!$K$6:$K$3665,0))))</f>
        <v/>
      </c>
      <c r="K2557">
        <f>IFERROR(AGGREGATE(15,6,(ROW(Zeiterfassung!$D$6:$D$3665)-ROW(Zeiterfassung!$D$6)+1)/(Zeiterfassung!$D$6:$D$3665&lt;&gt;""),2552),"")</f>
        <v/>
      </c>
    </row>
    <row r="2558" ht="20" customHeight="1">
      <c r="A2558" s="183">
        <f>IF($K2558="","",WEEKNUM(INDEX(Zeiterfassung!$K$6:$K$3665,$K2558),21))</f>
        <v/>
      </c>
      <c r="B2558" s="184">
        <f>IF($K2558="","",INDEX(Zeiterfassung!$K$6:$K$3665,$K2558))</f>
        <v/>
      </c>
      <c r="C2558" s="185">
        <f>IF($K2558="","",INDEX(Zeiterfassung!$K$6:$K$3665,$K2558))</f>
        <v/>
      </c>
      <c r="D2558" s="186">
        <f>IF($K2558="","",INDEX(Zeiterfassung!$D$6:$D$3665,$K2558))</f>
        <v/>
      </c>
      <c r="E2558" s="186">
        <f>IF($K2558="","",INDEX(Zeiterfassung!$E$6:$E$3665,$K2558))</f>
        <v/>
      </c>
      <c r="F2558" s="187">
        <f>IF($K2558="","",INDEX(Zeiterfassung!$F$6:$F$3665,$K2558))</f>
        <v/>
      </c>
      <c r="G2558" s="187">
        <f>IF($K2558="","",INDEX(Zeiterfassung!$G$6:$G$3665,$K2558))</f>
        <v/>
      </c>
      <c r="H2558" s="188">
        <f>IF($K2558="","",INDEX(Zeiterfassung!$H$6:$H$3665,$K2558))</f>
        <v/>
      </c>
      <c r="I2558" s="335">
        <f>IF(B2558=B2557,"",IF($K2558="","",INDEX(Zeiterfassung!$I$6:$I$3665,MATCH(INDEX(Zeiterfassung!$K$6:$K$3665,$K2558),Zeiterfassung!$K$6:$K$3665,0))))</f>
        <v/>
      </c>
      <c r="J2558" s="335">
        <f>IF(B2558=B2557,"",IF($K2558="","",INDEX(Zeiterfassung!$J$6:$J$3665,MATCH(INDEX(Zeiterfassung!$K$6:$K$3665,$K2558),Zeiterfassung!$K$6:$K$3665,0))))</f>
        <v/>
      </c>
      <c r="K2558">
        <f>IFERROR(AGGREGATE(15,6,(ROW(Zeiterfassung!$D$6:$D$3665)-ROW(Zeiterfassung!$D$6)+1)/(Zeiterfassung!$D$6:$D$3665&lt;&gt;""),2553),"")</f>
        <v/>
      </c>
    </row>
    <row r="2559" ht="20" customHeight="1">
      <c r="A2559" s="183">
        <f>IF($K2559="","",WEEKNUM(INDEX(Zeiterfassung!$K$6:$K$3665,$K2559),21))</f>
        <v/>
      </c>
      <c r="B2559" s="184">
        <f>IF($K2559="","",INDEX(Zeiterfassung!$K$6:$K$3665,$K2559))</f>
        <v/>
      </c>
      <c r="C2559" s="185">
        <f>IF($K2559="","",INDEX(Zeiterfassung!$K$6:$K$3665,$K2559))</f>
        <v/>
      </c>
      <c r="D2559" s="186">
        <f>IF($K2559="","",INDEX(Zeiterfassung!$D$6:$D$3665,$K2559))</f>
        <v/>
      </c>
      <c r="E2559" s="186">
        <f>IF($K2559="","",INDEX(Zeiterfassung!$E$6:$E$3665,$K2559))</f>
        <v/>
      </c>
      <c r="F2559" s="187">
        <f>IF($K2559="","",INDEX(Zeiterfassung!$F$6:$F$3665,$K2559))</f>
        <v/>
      </c>
      <c r="G2559" s="187">
        <f>IF($K2559="","",INDEX(Zeiterfassung!$G$6:$G$3665,$K2559))</f>
        <v/>
      </c>
      <c r="H2559" s="188">
        <f>IF($K2559="","",INDEX(Zeiterfassung!$H$6:$H$3665,$K2559))</f>
        <v/>
      </c>
      <c r="I2559" s="335">
        <f>IF(B2559=B2558,"",IF($K2559="","",INDEX(Zeiterfassung!$I$6:$I$3665,MATCH(INDEX(Zeiterfassung!$K$6:$K$3665,$K2559),Zeiterfassung!$K$6:$K$3665,0))))</f>
        <v/>
      </c>
      <c r="J2559" s="335">
        <f>IF(B2559=B2558,"",IF($K2559="","",INDEX(Zeiterfassung!$J$6:$J$3665,MATCH(INDEX(Zeiterfassung!$K$6:$K$3665,$K2559),Zeiterfassung!$K$6:$K$3665,0))))</f>
        <v/>
      </c>
      <c r="K2559">
        <f>IFERROR(AGGREGATE(15,6,(ROW(Zeiterfassung!$D$6:$D$3665)-ROW(Zeiterfassung!$D$6)+1)/(Zeiterfassung!$D$6:$D$3665&lt;&gt;""),2554),"")</f>
        <v/>
      </c>
    </row>
    <row r="2560" ht="20" customHeight="1">
      <c r="A2560" s="183">
        <f>IF($K2560="","",WEEKNUM(INDEX(Zeiterfassung!$K$6:$K$3665,$K2560),21))</f>
        <v/>
      </c>
      <c r="B2560" s="184">
        <f>IF($K2560="","",INDEX(Zeiterfassung!$K$6:$K$3665,$K2560))</f>
        <v/>
      </c>
      <c r="C2560" s="185">
        <f>IF($K2560="","",INDEX(Zeiterfassung!$K$6:$K$3665,$K2560))</f>
        <v/>
      </c>
      <c r="D2560" s="186">
        <f>IF($K2560="","",INDEX(Zeiterfassung!$D$6:$D$3665,$K2560))</f>
        <v/>
      </c>
      <c r="E2560" s="186">
        <f>IF($K2560="","",INDEX(Zeiterfassung!$E$6:$E$3665,$K2560))</f>
        <v/>
      </c>
      <c r="F2560" s="187">
        <f>IF($K2560="","",INDEX(Zeiterfassung!$F$6:$F$3665,$K2560))</f>
        <v/>
      </c>
      <c r="G2560" s="187">
        <f>IF($K2560="","",INDEX(Zeiterfassung!$G$6:$G$3665,$K2560))</f>
        <v/>
      </c>
      <c r="H2560" s="188">
        <f>IF($K2560="","",INDEX(Zeiterfassung!$H$6:$H$3665,$K2560))</f>
        <v/>
      </c>
      <c r="I2560" s="335">
        <f>IF(B2560=B2559,"",IF($K2560="","",INDEX(Zeiterfassung!$I$6:$I$3665,MATCH(INDEX(Zeiterfassung!$K$6:$K$3665,$K2560),Zeiterfassung!$K$6:$K$3665,0))))</f>
        <v/>
      </c>
      <c r="J2560" s="335">
        <f>IF(B2560=B2559,"",IF($K2560="","",INDEX(Zeiterfassung!$J$6:$J$3665,MATCH(INDEX(Zeiterfassung!$K$6:$K$3665,$K2560),Zeiterfassung!$K$6:$K$3665,0))))</f>
        <v/>
      </c>
      <c r="K2560">
        <f>IFERROR(AGGREGATE(15,6,(ROW(Zeiterfassung!$D$6:$D$3665)-ROW(Zeiterfassung!$D$6)+1)/(Zeiterfassung!$D$6:$D$3665&lt;&gt;""),2555),"")</f>
        <v/>
      </c>
    </row>
    <row r="2561" ht="20" customHeight="1">
      <c r="A2561" s="183">
        <f>IF($K2561="","",WEEKNUM(INDEX(Zeiterfassung!$K$6:$K$3665,$K2561),21))</f>
        <v/>
      </c>
      <c r="B2561" s="184">
        <f>IF($K2561="","",INDEX(Zeiterfassung!$K$6:$K$3665,$K2561))</f>
        <v/>
      </c>
      <c r="C2561" s="185">
        <f>IF($K2561="","",INDEX(Zeiterfassung!$K$6:$K$3665,$K2561))</f>
        <v/>
      </c>
      <c r="D2561" s="186">
        <f>IF($K2561="","",INDEX(Zeiterfassung!$D$6:$D$3665,$K2561))</f>
        <v/>
      </c>
      <c r="E2561" s="186">
        <f>IF($K2561="","",INDEX(Zeiterfassung!$E$6:$E$3665,$K2561))</f>
        <v/>
      </c>
      <c r="F2561" s="187">
        <f>IF($K2561="","",INDEX(Zeiterfassung!$F$6:$F$3665,$K2561))</f>
        <v/>
      </c>
      <c r="G2561" s="187">
        <f>IF($K2561="","",INDEX(Zeiterfassung!$G$6:$G$3665,$K2561))</f>
        <v/>
      </c>
      <c r="H2561" s="188">
        <f>IF($K2561="","",INDEX(Zeiterfassung!$H$6:$H$3665,$K2561))</f>
        <v/>
      </c>
      <c r="I2561" s="335">
        <f>IF(B2561=B2560,"",IF($K2561="","",INDEX(Zeiterfassung!$I$6:$I$3665,MATCH(INDEX(Zeiterfassung!$K$6:$K$3665,$K2561),Zeiterfassung!$K$6:$K$3665,0))))</f>
        <v/>
      </c>
      <c r="J2561" s="335">
        <f>IF(B2561=B2560,"",IF($K2561="","",INDEX(Zeiterfassung!$J$6:$J$3665,MATCH(INDEX(Zeiterfassung!$K$6:$K$3665,$K2561),Zeiterfassung!$K$6:$K$3665,0))))</f>
        <v/>
      </c>
      <c r="K2561">
        <f>IFERROR(AGGREGATE(15,6,(ROW(Zeiterfassung!$D$6:$D$3665)-ROW(Zeiterfassung!$D$6)+1)/(Zeiterfassung!$D$6:$D$3665&lt;&gt;""),2556),"")</f>
        <v/>
      </c>
    </row>
    <row r="2562" ht="20" customHeight="1">
      <c r="A2562" s="183">
        <f>IF($K2562="","",WEEKNUM(INDEX(Zeiterfassung!$K$6:$K$3665,$K2562),21))</f>
        <v/>
      </c>
      <c r="B2562" s="184">
        <f>IF($K2562="","",INDEX(Zeiterfassung!$K$6:$K$3665,$K2562))</f>
        <v/>
      </c>
      <c r="C2562" s="185">
        <f>IF($K2562="","",INDEX(Zeiterfassung!$K$6:$K$3665,$K2562))</f>
        <v/>
      </c>
      <c r="D2562" s="186">
        <f>IF($K2562="","",INDEX(Zeiterfassung!$D$6:$D$3665,$K2562))</f>
        <v/>
      </c>
      <c r="E2562" s="186">
        <f>IF($K2562="","",INDEX(Zeiterfassung!$E$6:$E$3665,$K2562))</f>
        <v/>
      </c>
      <c r="F2562" s="187">
        <f>IF($K2562="","",INDEX(Zeiterfassung!$F$6:$F$3665,$K2562))</f>
        <v/>
      </c>
      <c r="G2562" s="187">
        <f>IF($K2562="","",INDEX(Zeiterfassung!$G$6:$G$3665,$K2562))</f>
        <v/>
      </c>
      <c r="H2562" s="188">
        <f>IF($K2562="","",INDEX(Zeiterfassung!$H$6:$H$3665,$K2562))</f>
        <v/>
      </c>
      <c r="I2562" s="335">
        <f>IF(B2562=B2561,"",IF($K2562="","",INDEX(Zeiterfassung!$I$6:$I$3665,MATCH(INDEX(Zeiterfassung!$K$6:$K$3665,$K2562),Zeiterfassung!$K$6:$K$3665,0))))</f>
        <v/>
      </c>
      <c r="J2562" s="335">
        <f>IF(B2562=B2561,"",IF($K2562="","",INDEX(Zeiterfassung!$J$6:$J$3665,MATCH(INDEX(Zeiterfassung!$K$6:$K$3665,$K2562),Zeiterfassung!$K$6:$K$3665,0))))</f>
        <v/>
      </c>
      <c r="K2562">
        <f>IFERROR(AGGREGATE(15,6,(ROW(Zeiterfassung!$D$6:$D$3665)-ROW(Zeiterfassung!$D$6)+1)/(Zeiterfassung!$D$6:$D$3665&lt;&gt;""),2557),"")</f>
        <v/>
      </c>
    </row>
    <row r="2563" ht="20" customHeight="1">
      <c r="A2563" s="183">
        <f>IF($K2563="","",WEEKNUM(INDEX(Zeiterfassung!$K$6:$K$3665,$K2563),21))</f>
        <v/>
      </c>
      <c r="B2563" s="184">
        <f>IF($K2563="","",INDEX(Zeiterfassung!$K$6:$K$3665,$K2563))</f>
        <v/>
      </c>
      <c r="C2563" s="185">
        <f>IF($K2563="","",INDEX(Zeiterfassung!$K$6:$K$3665,$K2563))</f>
        <v/>
      </c>
      <c r="D2563" s="186">
        <f>IF($K2563="","",INDEX(Zeiterfassung!$D$6:$D$3665,$K2563))</f>
        <v/>
      </c>
      <c r="E2563" s="186">
        <f>IF($K2563="","",INDEX(Zeiterfassung!$E$6:$E$3665,$K2563))</f>
        <v/>
      </c>
      <c r="F2563" s="187">
        <f>IF($K2563="","",INDEX(Zeiterfassung!$F$6:$F$3665,$K2563))</f>
        <v/>
      </c>
      <c r="G2563" s="187">
        <f>IF($K2563="","",INDEX(Zeiterfassung!$G$6:$G$3665,$K2563))</f>
        <v/>
      </c>
      <c r="H2563" s="188">
        <f>IF($K2563="","",INDEX(Zeiterfassung!$H$6:$H$3665,$K2563))</f>
        <v/>
      </c>
      <c r="I2563" s="335">
        <f>IF(B2563=B2562,"",IF($K2563="","",INDEX(Zeiterfassung!$I$6:$I$3665,MATCH(INDEX(Zeiterfassung!$K$6:$K$3665,$K2563),Zeiterfassung!$K$6:$K$3665,0))))</f>
        <v/>
      </c>
      <c r="J2563" s="335">
        <f>IF(B2563=B2562,"",IF($K2563="","",INDEX(Zeiterfassung!$J$6:$J$3665,MATCH(INDEX(Zeiterfassung!$K$6:$K$3665,$K2563),Zeiterfassung!$K$6:$K$3665,0))))</f>
        <v/>
      </c>
      <c r="K2563">
        <f>IFERROR(AGGREGATE(15,6,(ROW(Zeiterfassung!$D$6:$D$3665)-ROW(Zeiterfassung!$D$6)+1)/(Zeiterfassung!$D$6:$D$3665&lt;&gt;""),2558),"")</f>
        <v/>
      </c>
    </row>
    <row r="2564" ht="20" customHeight="1">
      <c r="A2564" s="183">
        <f>IF($K2564="","",WEEKNUM(INDEX(Zeiterfassung!$K$6:$K$3665,$K2564),21))</f>
        <v/>
      </c>
      <c r="B2564" s="184">
        <f>IF($K2564="","",INDEX(Zeiterfassung!$K$6:$K$3665,$K2564))</f>
        <v/>
      </c>
      <c r="C2564" s="185">
        <f>IF($K2564="","",INDEX(Zeiterfassung!$K$6:$K$3665,$K2564))</f>
        <v/>
      </c>
      <c r="D2564" s="186">
        <f>IF($K2564="","",INDEX(Zeiterfassung!$D$6:$D$3665,$K2564))</f>
        <v/>
      </c>
      <c r="E2564" s="186">
        <f>IF($K2564="","",INDEX(Zeiterfassung!$E$6:$E$3665,$K2564))</f>
        <v/>
      </c>
      <c r="F2564" s="187">
        <f>IF($K2564="","",INDEX(Zeiterfassung!$F$6:$F$3665,$K2564))</f>
        <v/>
      </c>
      <c r="G2564" s="187">
        <f>IF($K2564="","",INDEX(Zeiterfassung!$G$6:$G$3665,$K2564))</f>
        <v/>
      </c>
      <c r="H2564" s="188">
        <f>IF($K2564="","",INDEX(Zeiterfassung!$H$6:$H$3665,$K2564))</f>
        <v/>
      </c>
      <c r="I2564" s="335">
        <f>IF(B2564=B2563,"",IF($K2564="","",INDEX(Zeiterfassung!$I$6:$I$3665,MATCH(INDEX(Zeiterfassung!$K$6:$K$3665,$K2564),Zeiterfassung!$K$6:$K$3665,0))))</f>
        <v/>
      </c>
      <c r="J2564" s="335">
        <f>IF(B2564=B2563,"",IF($K2564="","",INDEX(Zeiterfassung!$J$6:$J$3665,MATCH(INDEX(Zeiterfassung!$K$6:$K$3665,$K2564),Zeiterfassung!$K$6:$K$3665,0))))</f>
        <v/>
      </c>
      <c r="K2564">
        <f>IFERROR(AGGREGATE(15,6,(ROW(Zeiterfassung!$D$6:$D$3665)-ROW(Zeiterfassung!$D$6)+1)/(Zeiterfassung!$D$6:$D$3665&lt;&gt;""),2559),"")</f>
        <v/>
      </c>
    </row>
    <row r="2565" ht="20" customHeight="1">
      <c r="A2565" s="183">
        <f>IF($K2565="","",WEEKNUM(INDEX(Zeiterfassung!$K$6:$K$3665,$K2565),21))</f>
        <v/>
      </c>
      <c r="B2565" s="184">
        <f>IF($K2565="","",INDEX(Zeiterfassung!$K$6:$K$3665,$K2565))</f>
        <v/>
      </c>
      <c r="C2565" s="185">
        <f>IF($K2565="","",INDEX(Zeiterfassung!$K$6:$K$3665,$K2565))</f>
        <v/>
      </c>
      <c r="D2565" s="186">
        <f>IF($K2565="","",INDEX(Zeiterfassung!$D$6:$D$3665,$K2565))</f>
        <v/>
      </c>
      <c r="E2565" s="186">
        <f>IF($K2565="","",INDEX(Zeiterfassung!$E$6:$E$3665,$K2565))</f>
        <v/>
      </c>
      <c r="F2565" s="187">
        <f>IF($K2565="","",INDEX(Zeiterfassung!$F$6:$F$3665,$K2565))</f>
        <v/>
      </c>
      <c r="G2565" s="187">
        <f>IF($K2565="","",INDEX(Zeiterfassung!$G$6:$G$3665,$K2565))</f>
        <v/>
      </c>
      <c r="H2565" s="188">
        <f>IF($K2565="","",INDEX(Zeiterfassung!$H$6:$H$3665,$K2565))</f>
        <v/>
      </c>
      <c r="I2565" s="335">
        <f>IF(B2565=B2564,"",IF($K2565="","",INDEX(Zeiterfassung!$I$6:$I$3665,MATCH(INDEX(Zeiterfassung!$K$6:$K$3665,$K2565),Zeiterfassung!$K$6:$K$3665,0))))</f>
        <v/>
      </c>
      <c r="J2565" s="335">
        <f>IF(B2565=B2564,"",IF($K2565="","",INDEX(Zeiterfassung!$J$6:$J$3665,MATCH(INDEX(Zeiterfassung!$K$6:$K$3665,$K2565),Zeiterfassung!$K$6:$K$3665,0))))</f>
        <v/>
      </c>
      <c r="K2565">
        <f>IFERROR(AGGREGATE(15,6,(ROW(Zeiterfassung!$D$6:$D$3665)-ROW(Zeiterfassung!$D$6)+1)/(Zeiterfassung!$D$6:$D$3665&lt;&gt;""),2560),"")</f>
        <v/>
      </c>
    </row>
    <row r="2566" ht="20" customHeight="1">
      <c r="A2566" s="183">
        <f>IF($K2566="","",WEEKNUM(INDEX(Zeiterfassung!$K$6:$K$3665,$K2566),21))</f>
        <v/>
      </c>
      <c r="B2566" s="184">
        <f>IF($K2566="","",INDEX(Zeiterfassung!$K$6:$K$3665,$K2566))</f>
        <v/>
      </c>
      <c r="C2566" s="185">
        <f>IF($K2566="","",INDEX(Zeiterfassung!$K$6:$K$3665,$K2566))</f>
        <v/>
      </c>
      <c r="D2566" s="186">
        <f>IF($K2566="","",INDEX(Zeiterfassung!$D$6:$D$3665,$K2566))</f>
        <v/>
      </c>
      <c r="E2566" s="186">
        <f>IF($K2566="","",INDEX(Zeiterfassung!$E$6:$E$3665,$K2566))</f>
        <v/>
      </c>
      <c r="F2566" s="187">
        <f>IF($K2566="","",INDEX(Zeiterfassung!$F$6:$F$3665,$K2566))</f>
        <v/>
      </c>
      <c r="G2566" s="187">
        <f>IF($K2566="","",INDEX(Zeiterfassung!$G$6:$G$3665,$K2566))</f>
        <v/>
      </c>
      <c r="H2566" s="188">
        <f>IF($K2566="","",INDEX(Zeiterfassung!$H$6:$H$3665,$K2566))</f>
        <v/>
      </c>
      <c r="I2566" s="335">
        <f>IF(B2566=B2565,"",IF($K2566="","",INDEX(Zeiterfassung!$I$6:$I$3665,MATCH(INDEX(Zeiterfassung!$K$6:$K$3665,$K2566),Zeiterfassung!$K$6:$K$3665,0))))</f>
        <v/>
      </c>
      <c r="J2566" s="335">
        <f>IF(B2566=B2565,"",IF($K2566="","",INDEX(Zeiterfassung!$J$6:$J$3665,MATCH(INDEX(Zeiterfassung!$K$6:$K$3665,$K2566),Zeiterfassung!$K$6:$K$3665,0))))</f>
        <v/>
      </c>
      <c r="K2566">
        <f>IFERROR(AGGREGATE(15,6,(ROW(Zeiterfassung!$D$6:$D$3665)-ROW(Zeiterfassung!$D$6)+1)/(Zeiterfassung!$D$6:$D$3665&lt;&gt;""),2561),"")</f>
        <v/>
      </c>
    </row>
    <row r="2567" ht="20" customHeight="1">
      <c r="A2567" s="183">
        <f>IF($K2567="","",WEEKNUM(INDEX(Zeiterfassung!$K$6:$K$3665,$K2567),21))</f>
        <v/>
      </c>
      <c r="B2567" s="184">
        <f>IF($K2567="","",INDEX(Zeiterfassung!$K$6:$K$3665,$K2567))</f>
        <v/>
      </c>
      <c r="C2567" s="185">
        <f>IF($K2567="","",INDEX(Zeiterfassung!$K$6:$K$3665,$K2567))</f>
        <v/>
      </c>
      <c r="D2567" s="186">
        <f>IF($K2567="","",INDEX(Zeiterfassung!$D$6:$D$3665,$K2567))</f>
        <v/>
      </c>
      <c r="E2567" s="186">
        <f>IF($K2567="","",INDEX(Zeiterfassung!$E$6:$E$3665,$K2567))</f>
        <v/>
      </c>
      <c r="F2567" s="187">
        <f>IF($K2567="","",INDEX(Zeiterfassung!$F$6:$F$3665,$K2567))</f>
        <v/>
      </c>
      <c r="G2567" s="187">
        <f>IF($K2567="","",INDEX(Zeiterfassung!$G$6:$G$3665,$K2567))</f>
        <v/>
      </c>
      <c r="H2567" s="188">
        <f>IF($K2567="","",INDEX(Zeiterfassung!$H$6:$H$3665,$K2567))</f>
        <v/>
      </c>
      <c r="I2567" s="335">
        <f>IF(B2567=B2566,"",IF($K2567="","",INDEX(Zeiterfassung!$I$6:$I$3665,MATCH(INDEX(Zeiterfassung!$K$6:$K$3665,$K2567),Zeiterfassung!$K$6:$K$3665,0))))</f>
        <v/>
      </c>
      <c r="J2567" s="335">
        <f>IF(B2567=B2566,"",IF($K2567="","",INDEX(Zeiterfassung!$J$6:$J$3665,MATCH(INDEX(Zeiterfassung!$K$6:$K$3665,$K2567),Zeiterfassung!$K$6:$K$3665,0))))</f>
        <v/>
      </c>
      <c r="K2567">
        <f>IFERROR(AGGREGATE(15,6,(ROW(Zeiterfassung!$D$6:$D$3665)-ROW(Zeiterfassung!$D$6)+1)/(Zeiterfassung!$D$6:$D$3665&lt;&gt;""),2562),"")</f>
        <v/>
      </c>
    </row>
    <row r="2568" ht="20" customHeight="1">
      <c r="A2568" s="183">
        <f>IF($K2568="","",WEEKNUM(INDEX(Zeiterfassung!$K$6:$K$3665,$K2568),21))</f>
        <v/>
      </c>
      <c r="B2568" s="184">
        <f>IF($K2568="","",INDEX(Zeiterfassung!$K$6:$K$3665,$K2568))</f>
        <v/>
      </c>
      <c r="C2568" s="185">
        <f>IF($K2568="","",INDEX(Zeiterfassung!$K$6:$K$3665,$K2568))</f>
        <v/>
      </c>
      <c r="D2568" s="186">
        <f>IF($K2568="","",INDEX(Zeiterfassung!$D$6:$D$3665,$K2568))</f>
        <v/>
      </c>
      <c r="E2568" s="186">
        <f>IF($K2568="","",INDEX(Zeiterfassung!$E$6:$E$3665,$K2568))</f>
        <v/>
      </c>
      <c r="F2568" s="187">
        <f>IF($K2568="","",INDEX(Zeiterfassung!$F$6:$F$3665,$K2568))</f>
        <v/>
      </c>
      <c r="G2568" s="187">
        <f>IF($K2568="","",INDEX(Zeiterfassung!$G$6:$G$3665,$K2568))</f>
        <v/>
      </c>
      <c r="H2568" s="188">
        <f>IF($K2568="","",INDEX(Zeiterfassung!$H$6:$H$3665,$K2568))</f>
        <v/>
      </c>
      <c r="I2568" s="335">
        <f>IF(B2568=B2567,"",IF($K2568="","",INDEX(Zeiterfassung!$I$6:$I$3665,MATCH(INDEX(Zeiterfassung!$K$6:$K$3665,$K2568),Zeiterfassung!$K$6:$K$3665,0))))</f>
        <v/>
      </c>
      <c r="J2568" s="335">
        <f>IF(B2568=B2567,"",IF($K2568="","",INDEX(Zeiterfassung!$J$6:$J$3665,MATCH(INDEX(Zeiterfassung!$K$6:$K$3665,$K2568),Zeiterfassung!$K$6:$K$3665,0))))</f>
        <v/>
      </c>
      <c r="K2568">
        <f>IFERROR(AGGREGATE(15,6,(ROW(Zeiterfassung!$D$6:$D$3665)-ROW(Zeiterfassung!$D$6)+1)/(Zeiterfassung!$D$6:$D$3665&lt;&gt;""),2563),"")</f>
        <v/>
      </c>
    </row>
    <row r="2569" ht="20" customHeight="1">
      <c r="A2569" s="183">
        <f>IF($K2569="","",WEEKNUM(INDEX(Zeiterfassung!$K$6:$K$3665,$K2569),21))</f>
        <v/>
      </c>
      <c r="B2569" s="184">
        <f>IF($K2569="","",INDEX(Zeiterfassung!$K$6:$K$3665,$K2569))</f>
        <v/>
      </c>
      <c r="C2569" s="185">
        <f>IF($K2569="","",INDEX(Zeiterfassung!$K$6:$K$3665,$K2569))</f>
        <v/>
      </c>
      <c r="D2569" s="186">
        <f>IF($K2569="","",INDEX(Zeiterfassung!$D$6:$D$3665,$K2569))</f>
        <v/>
      </c>
      <c r="E2569" s="186">
        <f>IF($K2569="","",INDEX(Zeiterfassung!$E$6:$E$3665,$K2569))</f>
        <v/>
      </c>
      <c r="F2569" s="187">
        <f>IF($K2569="","",INDEX(Zeiterfassung!$F$6:$F$3665,$K2569))</f>
        <v/>
      </c>
      <c r="G2569" s="187">
        <f>IF($K2569="","",INDEX(Zeiterfassung!$G$6:$G$3665,$K2569))</f>
        <v/>
      </c>
      <c r="H2569" s="188">
        <f>IF($K2569="","",INDEX(Zeiterfassung!$H$6:$H$3665,$K2569))</f>
        <v/>
      </c>
      <c r="I2569" s="335">
        <f>IF(B2569=B2568,"",IF($K2569="","",INDEX(Zeiterfassung!$I$6:$I$3665,MATCH(INDEX(Zeiterfassung!$K$6:$K$3665,$K2569),Zeiterfassung!$K$6:$K$3665,0))))</f>
        <v/>
      </c>
      <c r="J2569" s="335">
        <f>IF(B2569=B2568,"",IF($K2569="","",INDEX(Zeiterfassung!$J$6:$J$3665,MATCH(INDEX(Zeiterfassung!$K$6:$K$3665,$K2569),Zeiterfassung!$K$6:$K$3665,0))))</f>
        <v/>
      </c>
      <c r="K2569">
        <f>IFERROR(AGGREGATE(15,6,(ROW(Zeiterfassung!$D$6:$D$3665)-ROW(Zeiterfassung!$D$6)+1)/(Zeiterfassung!$D$6:$D$3665&lt;&gt;""),2564),"")</f>
        <v/>
      </c>
    </row>
    <row r="2570" ht="20" customHeight="1">
      <c r="A2570" s="183">
        <f>IF($K2570="","",WEEKNUM(INDEX(Zeiterfassung!$K$6:$K$3665,$K2570),21))</f>
        <v/>
      </c>
      <c r="B2570" s="184">
        <f>IF($K2570="","",INDEX(Zeiterfassung!$K$6:$K$3665,$K2570))</f>
        <v/>
      </c>
      <c r="C2570" s="185">
        <f>IF($K2570="","",INDEX(Zeiterfassung!$K$6:$K$3665,$K2570))</f>
        <v/>
      </c>
      <c r="D2570" s="186">
        <f>IF($K2570="","",INDEX(Zeiterfassung!$D$6:$D$3665,$K2570))</f>
        <v/>
      </c>
      <c r="E2570" s="186">
        <f>IF($K2570="","",INDEX(Zeiterfassung!$E$6:$E$3665,$K2570))</f>
        <v/>
      </c>
      <c r="F2570" s="187">
        <f>IF($K2570="","",INDEX(Zeiterfassung!$F$6:$F$3665,$K2570))</f>
        <v/>
      </c>
      <c r="G2570" s="187">
        <f>IF($K2570="","",INDEX(Zeiterfassung!$G$6:$G$3665,$K2570))</f>
        <v/>
      </c>
      <c r="H2570" s="188">
        <f>IF($K2570="","",INDEX(Zeiterfassung!$H$6:$H$3665,$K2570))</f>
        <v/>
      </c>
      <c r="I2570" s="335">
        <f>IF(B2570=B2569,"",IF($K2570="","",INDEX(Zeiterfassung!$I$6:$I$3665,MATCH(INDEX(Zeiterfassung!$K$6:$K$3665,$K2570),Zeiterfassung!$K$6:$K$3665,0))))</f>
        <v/>
      </c>
      <c r="J2570" s="335">
        <f>IF(B2570=B2569,"",IF($K2570="","",INDEX(Zeiterfassung!$J$6:$J$3665,MATCH(INDEX(Zeiterfassung!$K$6:$K$3665,$K2570),Zeiterfassung!$K$6:$K$3665,0))))</f>
        <v/>
      </c>
      <c r="K2570">
        <f>IFERROR(AGGREGATE(15,6,(ROW(Zeiterfassung!$D$6:$D$3665)-ROW(Zeiterfassung!$D$6)+1)/(Zeiterfassung!$D$6:$D$3665&lt;&gt;""),2565),"")</f>
        <v/>
      </c>
    </row>
    <row r="2571" ht="20" customHeight="1">
      <c r="A2571" s="183">
        <f>IF($K2571="","",WEEKNUM(INDEX(Zeiterfassung!$K$6:$K$3665,$K2571),21))</f>
        <v/>
      </c>
      <c r="B2571" s="184">
        <f>IF($K2571="","",INDEX(Zeiterfassung!$K$6:$K$3665,$K2571))</f>
        <v/>
      </c>
      <c r="C2571" s="185">
        <f>IF($K2571="","",INDEX(Zeiterfassung!$K$6:$K$3665,$K2571))</f>
        <v/>
      </c>
      <c r="D2571" s="186">
        <f>IF($K2571="","",INDEX(Zeiterfassung!$D$6:$D$3665,$K2571))</f>
        <v/>
      </c>
      <c r="E2571" s="186">
        <f>IF($K2571="","",INDEX(Zeiterfassung!$E$6:$E$3665,$K2571))</f>
        <v/>
      </c>
      <c r="F2571" s="187">
        <f>IF($K2571="","",INDEX(Zeiterfassung!$F$6:$F$3665,$K2571))</f>
        <v/>
      </c>
      <c r="G2571" s="187">
        <f>IF($K2571="","",INDEX(Zeiterfassung!$G$6:$G$3665,$K2571))</f>
        <v/>
      </c>
      <c r="H2571" s="188">
        <f>IF($K2571="","",INDEX(Zeiterfassung!$H$6:$H$3665,$K2571))</f>
        <v/>
      </c>
      <c r="I2571" s="335">
        <f>IF(B2571=B2570,"",IF($K2571="","",INDEX(Zeiterfassung!$I$6:$I$3665,MATCH(INDEX(Zeiterfassung!$K$6:$K$3665,$K2571),Zeiterfassung!$K$6:$K$3665,0))))</f>
        <v/>
      </c>
      <c r="J2571" s="335">
        <f>IF(B2571=B2570,"",IF($K2571="","",INDEX(Zeiterfassung!$J$6:$J$3665,MATCH(INDEX(Zeiterfassung!$K$6:$K$3665,$K2571),Zeiterfassung!$K$6:$K$3665,0))))</f>
        <v/>
      </c>
      <c r="K2571">
        <f>IFERROR(AGGREGATE(15,6,(ROW(Zeiterfassung!$D$6:$D$3665)-ROW(Zeiterfassung!$D$6)+1)/(Zeiterfassung!$D$6:$D$3665&lt;&gt;""),2566),"")</f>
        <v/>
      </c>
    </row>
    <row r="2572" ht="20" customHeight="1">
      <c r="A2572" s="183">
        <f>IF($K2572="","",WEEKNUM(INDEX(Zeiterfassung!$K$6:$K$3665,$K2572),21))</f>
        <v/>
      </c>
      <c r="B2572" s="184">
        <f>IF($K2572="","",INDEX(Zeiterfassung!$K$6:$K$3665,$K2572))</f>
        <v/>
      </c>
      <c r="C2572" s="185">
        <f>IF($K2572="","",INDEX(Zeiterfassung!$K$6:$K$3665,$K2572))</f>
        <v/>
      </c>
      <c r="D2572" s="186">
        <f>IF($K2572="","",INDEX(Zeiterfassung!$D$6:$D$3665,$K2572))</f>
        <v/>
      </c>
      <c r="E2572" s="186">
        <f>IF($K2572="","",INDEX(Zeiterfassung!$E$6:$E$3665,$K2572))</f>
        <v/>
      </c>
      <c r="F2572" s="187">
        <f>IF($K2572="","",INDEX(Zeiterfassung!$F$6:$F$3665,$K2572))</f>
        <v/>
      </c>
      <c r="G2572" s="187">
        <f>IF($K2572="","",INDEX(Zeiterfassung!$G$6:$G$3665,$K2572))</f>
        <v/>
      </c>
      <c r="H2572" s="188">
        <f>IF($K2572="","",INDEX(Zeiterfassung!$H$6:$H$3665,$K2572))</f>
        <v/>
      </c>
      <c r="I2572" s="335">
        <f>IF(B2572=B2571,"",IF($K2572="","",INDEX(Zeiterfassung!$I$6:$I$3665,MATCH(INDEX(Zeiterfassung!$K$6:$K$3665,$K2572),Zeiterfassung!$K$6:$K$3665,0))))</f>
        <v/>
      </c>
      <c r="J2572" s="335">
        <f>IF(B2572=B2571,"",IF($K2572="","",INDEX(Zeiterfassung!$J$6:$J$3665,MATCH(INDEX(Zeiterfassung!$K$6:$K$3665,$K2572),Zeiterfassung!$K$6:$K$3665,0))))</f>
        <v/>
      </c>
      <c r="K2572">
        <f>IFERROR(AGGREGATE(15,6,(ROW(Zeiterfassung!$D$6:$D$3665)-ROW(Zeiterfassung!$D$6)+1)/(Zeiterfassung!$D$6:$D$3665&lt;&gt;""),2567),"")</f>
        <v/>
      </c>
    </row>
    <row r="2573" ht="20" customHeight="1">
      <c r="A2573" s="183">
        <f>IF($K2573="","",WEEKNUM(INDEX(Zeiterfassung!$K$6:$K$3665,$K2573),21))</f>
        <v/>
      </c>
      <c r="B2573" s="184">
        <f>IF($K2573="","",INDEX(Zeiterfassung!$K$6:$K$3665,$K2573))</f>
        <v/>
      </c>
      <c r="C2573" s="185">
        <f>IF($K2573="","",INDEX(Zeiterfassung!$K$6:$K$3665,$K2573))</f>
        <v/>
      </c>
      <c r="D2573" s="186">
        <f>IF($K2573="","",INDEX(Zeiterfassung!$D$6:$D$3665,$K2573))</f>
        <v/>
      </c>
      <c r="E2573" s="186">
        <f>IF($K2573="","",INDEX(Zeiterfassung!$E$6:$E$3665,$K2573))</f>
        <v/>
      </c>
      <c r="F2573" s="187">
        <f>IF($K2573="","",INDEX(Zeiterfassung!$F$6:$F$3665,$K2573))</f>
        <v/>
      </c>
      <c r="G2573" s="187">
        <f>IF($K2573="","",INDEX(Zeiterfassung!$G$6:$G$3665,$K2573))</f>
        <v/>
      </c>
      <c r="H2573" s="188">
        <f>IF($K2573="","",INDEX(Zeiterfassung!$H$6:$H$3665,$K2573))</f>
        <v/>
      </c>
      <c r="I2573" s="335">
        <f>IF(B2573=B2572,"",IF($K2573="","",INDEX(Zeiterfassung!$I$6:$I$3665,MATCH(INDEX(Zeiterfassung!$K$6:$K$3665,$K2573),Zeiterfassung!$K$6:$K$3665,0))))</f>
        <v/>
      </c>
      <c r="J2573" s="335">
        <f>IF(B2573=B2572,"",IF($K2573="","",INDEX(Zeiterfassung!$J$6:$J$3665,MATCH(INDEX(Zeiterfassung!$K$6:$K$3665,$K2573),Zeiterfassung!$K$6:$K$3665,0))))</f>
        <v/>
      </c>
      <c r="K2573">
        <f>IFERROR(AGGREGATE(15,6,(ROW(Zeiterfassung!$D$6:$D$3665)-ROW(Zeiterfassung!$D$6)+1)/(Zeiterfassung!$D$6:$D$3665&lt;&gt;""),2568),"")</f>
        <v/>
      </c>
    </row>
    <row r="2574" ht="20" customHeight="1">
      <c r="A2574" s="183">
        <f>IF($K2574="","",WEEKNUM(INDEX(Zeiterfassung!$K$6:$K$3665,$K2574),21))</f>
        <v/>
      </c>
      <c r="B2574" s="184">
        <f>IF($K2574="","",INDEX(Zeiterfassung!$K$6:$K$3665,$K2574))</f>
        <v/>
      </c>
      <c r="C2574" s="185">
        <f>IF($K2574="","",INDEX(Zeiterfassung!$K$6:$K$3665,$K2574))</f>
        <v/>
      </c>
      <c r="D2574" s="186">
        <f>IF($K2574="","",INDEX(Zeiterfassung!$D$6:$D$3665,$K2574))</f>
        <v/>
      </c>
      <c r="E2574" s="186">
        <f>IF($K2574="","",INDEX(Zeiterfassung!$E$6:$E$3665,$K2574))</f>
        <v/>
      </c>
      <c r="F2574" s="187">
        <f>IF($K2574="","",INDEX(Zeiterfassung!$F$6:$F$3665,$K2574))</f>
        <v/>
      </c>
      <c r="G2574" s="187">
        <f>IF($K2574="","",INDEX(Zeiterfassung!$G$6:$G$3665,$K2574))</f>
        <v/>
      </c>
      <c r="H2574" s="188">
        <f>IF($K2574="","",INDEX(Zeiterfassung!$H$6:$H$3665,$K2574))</f>
        <v/>
      </c>
      <c r="I2574" s="335">
        <f>IF(B2574=B2573,"",IF($K2574="","",INDEX(Zeiterfassung!$I$6:$I$3665,MATCH(INDEX(Zeiterfassung!$K$6:$K$3665,$K2574),Zeiterfassung!$K$6:$K$3665,0))))</f>
        <v/>
      </c>
      <c r="J2574" s="335">
        <f>IF(B2574=B2573,"",IF($K2574="","",INDEX(Zeiterfassung!$J$6:$J$3665,MATCH(INDEX(Zeiterfassung!$K$6:$K$3665,$K2574),Zeiterfassung!$K$6:$K$3665,0))))</f>
        <v/>
      </c>
      <c r="K2574">
        <f>IFERROR(AGGREGATE(15,6,(ROW(Zeiterfassung!$D$6:$D$3665)-ROW(Zeiterfassung!$D$6)+1)/(Zeiterfassung!$D$6:$D$3665&lt;&gt;""),2569),"")</f>
        <v/>
      </c>
    </row>
    <row r="2575" ht="20" customHeight="1">
      <c r="A2575" s="183">
        <f>IF($K2575="","",WEEKNUM(INDEX(Zeiterfassung!$K$6:$K$3665,$K2575),21))</f>
        <v/>
      </c>
      <c r="B2575" s="184">
        <f>IF($K2575="","",INDEX(Zeiterfassung!$K$6:$K$3665,$K2575))</f>
        <v/>
      </c>
      <c r="C2575" s="185">
        <f>IF($K2575="","",INDEX(Zeiterfassung!$K$6:$K$3665,$K2575))</f>
        <v/>
      </c>
      <c r="D2575" s="186">
        <f>IF($K2575="","",INDEX(Zeiterfassung!$D$6:$D$3665,$K2575))</f>
        <v/>
      </c>
      <c r="E2575" s="186">
        <f>IF($K2575="","",INDEX(Zeiterfassung!$E$6:$E$3665,$K2575))</f>
        <v/>
      </c>
      <c r="F2575" s="187">
        <f>IF($K2575="","",INDEX(Zeiterfassung!$F$6:$F$3665,$K2575))</f>
        <v/>
      </c>
      <c r="G2575" s="187">
        <f>IF($K2575="","",INDEX(Zeiterfassung!$G$6:$G$3665,$K2575))</f>
        <v/>
      </c>
      <c r="H2575" s="188">
        <f>IF($K2575="","",INDEX(Zeiterfassung!$H$6:$H$3665,$K2575))</f>
        <v/>
      </c>
      <c r="I2575" s="335">
        <f>IF(B2575=B2574,"",IF($K2575="","",INDEX(Zeiterfassung!$I$6:$I$3665,MATCH(INDEX(Zeiterfassung!$K$6:$K$3665,$K2575),Zeiterfassung!$K$6:$K$3665,0))))</f>
        <v/>
      </c>
      <c r="J2575" s="335">
        <f>IF(B2575=B2574,"",IF($K2575="","",INDEX(Zeiterfassung!$J$6:$J$3665,MATCH(INDEX(Zeiterfassung!$K$6:$K$3665,$K2575),Zeiterfassung!$K$6:$K$3665,0))))</f>
        <v/>
      </c>
      <c r="K2575">
        <f>IFERROR(AGGREGATE(15,6,(ROW(Zeiterfassung!$D$6:$D$3665)-ROW(Zeiterfassung!$D$6)+1)/(Zeiterfassung!$D$6:$D$3665&lt;&gt;""),2570),"")</f>
        <v/>
      </c>
    </row>
    <row r="2576" ht="20" customHeight="1">
      <c r="A2576" s="183">
        <f>IF($K2576="","",WEEKNUM(INDEX(Zeiterfassung!$K$6:$K$3665,$K2576),21))</f>
        <v/>
      </c>
      <c r="B2576" s="184">
        <f>IF($K2576="","",INDEX(Zeiterfassung!$K$6:$K$3665,$K2576))</f>
        <v/>
      </c>
      <c r="C2576" s="185">
        <f>IF($K2576="","",INDEX(Zeiterfassung!$K$6:$K$3665,$K2576))</f>
        <v/>
      </c>
      <c r="D2576" s="186">
        <f>IF($K2576="","",INDEX(Zeiterfassung!$D$6:$D$3665,$K2576))</f>
        <v/>
      </c>
      <c r="E2576" s="186">
        <f>IF($K2576="","",INDEX(Zeiterfassung!$E$6:$E$3665,$K2576))</f>
        <v/>
      </c>
      <c r="F2576" s="187">
        <f>IF($K2576="","",INDEX(Zeiterfassung!$F$6:$F$3665,$K2576))</f>
        <v/>
      </c>
      <c r="G2576" s="187">
        <f>IF($K2576="","",INDEX(Zeiterfassung!$G$6:$G$3665,$K2576))</f>
        <v/>
      </c>
      <c r="H2576" s="188">
        <f>IF($K2576="","",INDEX(Zeiterfassung!$H$6:$H$3665,$K2576))</f>
        <v/>
      </c>
      <c r="I2576" s="335">
        <f>IF(B2576=B2575,"",IF($K2576="","",INDEX(Zeiterfassung!$I$6:$I$3665,MATCH(INDEX(Zeiterfassung!$K$6:$K$3665,$K2576),Zeiterfassung!$K$6:$K$3665,0))))</f>
        <v/>
      </c>
      <c r="J2576" s="335">
        <f>IF(B2576=B2575,"",IF($K2576="","",INDEX(Zeiterfassung!$J$6:$J$3665,MATCH(INDEX(Zeiterfassung!$K$6:$K$3665,$K2576),Zeiterfassung!$K$6:$K$3665,0))))</f>
        <v/>
      </c>
      <c r="K2576">
        <f>IFERROR(AGGREGATE(15,6,(ROW(Zeiterfassung!$D$6:$D$3665)-ROW(Zeiterfassung!$D$6)+1)/(Zeiterfassung!$D$6:$D$3665&lt;&gt;""),2571),"")</f>
        <v/>
      </c>
    </row>
    <row r="2577" ht="20" customHeight="1">
      <c r="A2577" s="183">
        <f>IF($K2577="","",WEEKNUM(INDEX(Zeiterfassung!$K$6:$K$3665,$K2577),21))</f>
        <v/>
      </c>
      <c r="B2577" s="184">
        <f>IF($K2577="","",INDEX(Zeiterfassung!$K$6:$K$3665,$K2577))</f>
        <v/>
      </c>
      <c r="C2577" s="185">
        <f>IF($K2577="","",INDEX(Zeiterfassung!$K$6:$K$3665,$K2577))</f>
        <v/>
      </c>
      <c r="D2577" s="186">
        <f>IF($K2577="","",INDEX(Zeiterfassung!$D$6:$D$3665,$K2577))</f>
        <v/>
      </c>
      <c r="E2577" s="186">
        <f>IF($K2577="","",INDEX(Zeiterfassung!$E$6:$E$3665,$K2577))</f>
        <v/>
      </c>
      <c r="F2577" s="187">
        <f>IF($K2577="","",INDEX(Zeiterfassung!$F$6:$F$3665,$K2577))</f>
        <v/>
      </c>
      <c r="G2577" s="187">
        <f>IF($K2577="","",INDEX(Zeiterfassung!$G$6:$G$3665,$K2577))</f>
        <v/>
      </c>
      <c r="H2577" s="188">
        <f>IF($K2577="","",INDEX(Zeiterfassung!$H$6:$H$3665,$K2577))</f>
        <v/>
      </c>
      <c r="I2577" s="335">
        <f>IF(B2577=B2576,"",IF($K2577="","",INDEX(Zeiterfassung!$I$6:$I$3665,MATCH(INDEX(Zeiterfassung!$K$6:$K$3665,$K2577),Zeiterfassung!$K$6:$K$3665,0))))</f>
        <v/>
      </c>
      <c r="J2577" s="335">
        <f>IF(B2577=B2576,"",IF($K2577="","",INDEX(Zeiterfassung!$J$6:$J$3665,MATCH(INDEX(Zeiterfassung!$K$6:$K$3665,$K2577),Zeiterfassung!$K$6:$K$3665,0))))</f>
        <v/>
      </c>
      <c r="K2577">
        <f>IFERROR(AGGREGATE(15,6,(ROW(Zeiterfassung!$D$6:$D$3665)-ROW(Zeiterfassung!$D$6)+1)/(Zeiterfassung!$D$6:$D$3665&lt;&gt;""),2572),"")</f>
        <v/>
      </c>
    </row>
    <row r="2578" ht="20" customHeight="1">
      <c r="A2578" s="183">
        <f>IF($K2578="","",WEEKNUM(INDEX(Zeiterfassung!$K$6:$K$3665,$K2578),21))</f>
        <v/>
      </c>
      <c r="B2578" s="184">
        <f>IF($K2578="","",INDEX(Zeiterfassung!$K$6:$K$3665,$K2578))</f>
        <v/>
      </c>
      <c r="C2578" s="185">
        <f>IF($K2578="","",INDEX(Zeiterfassung!$K$6:$K$3665,$K2578))</f>
        <v/>
      </c>
      <c r="D2578" s="186">
        <f>IF($K2578="","",INDEX(Zeiterfassung!$D$6:$D$3665,$K2578))</f>
        <v/>
      </c>
      <c r="E2578" s="186">
        <f>IF($K2578="","",INDEX(Zeiterfassung!$E$6:$E$3665,$K2578))</f>
        <v/>
      </c>
      <c r="F2578" s="187">
        <f>IF($K2578="","",INDEX(Zeiterfassung!$F$6:$F$3665,$K2578))</f>
        <v/>
      </c>
      <c r="G2578" s="187">
        <f>IF($K2578="","",INDEX(Zeiterfassung!$G$6:$G$3665,$K2578))</f>
        <v/>
      </c>
      <c r="H2578" s="188">
        <f>IF($K2578="","",INDEX(Zeiterfassung!$H$6:$H$3665,$K2578))</f>
        <v/>
      </c>
      <c r="I2578" s="335">
        <f>IF(B2578=B2577,"",IF($K2578="","",INDEX(Zeiterfassung!$I$6:$I$3665,MATCH(INDEX(Zeiterfassung!$K$6:$K$3665,$K2578),Zeiterfassung!$K$6:$K$3665,0))))</f>
        <v/>
      </c>
      <c r="J2578" s="335">
        <f>IF(B2578=B2577,"",IF($K2578="","",INDEX(Zeiterfassung!$J$6:$J$3665,MATCH(INDEX(Zeiterfassung!$K$6:$K$3665,$K2578),Zeiterfassung!$K$6:$K$3665,0))))</f>
        <v/>
      </c>
      <c r="K2578">
        <f>IFERROR(AGGREGATE(15,6,(ROW(Zeiterfassung!$D$6:$D$3665)-ROW(Zeiterfassung!$D$6)+1)/(Zeiterfassung!$D$6:$D$3665&lt;&gt;""),2573),"")</f>
        <v/>
      </c>
    </row>
    <row r="2579" ht="20" customHeight="1">
      <c r="A2579" s="183">
        <f>IF($K2579="","",WEEKNUM(INDEX(Zeiterfassung!$K$6:$K$3665,$K2579),21))</f>
        <v/>
      </c>
      <c r="B2579" s="184">
        <f>IF($K2579="","",INDEX(Zeiterfassung!$K$6:$K$3665,$K2579))</f>
        <v/>
      </c>
      <c r="C2579" s="185">
        <f>IF($K2579="","",INDEX(Zeiterfassung!$K$6:$K$3665,$K2579))</f>
        <v/>
      </c>
      <c r="D2579" s="186">
        <f>IF($K2579="","",INDEX(Zeiterfassung!$D$6:$D$3665,$K2579))</f>
        <v/>
      </c>
      <c r="E2579" s="186">
        <f>IF($K2579="","",INDEX(Zeiterfassung!$E$6:$E$3665,$K2579))</f>
        <v/>
      </c>
      <c r="F2579" s="187">
        <f>IF($K2579="","",INDEX(Zeiterfassung!$F$6:$F$3665,$K2579))</f>
        <v/>
      </c>
      <c r="G2579" s="187">
        <f>IF($K2579="","",INDEX(Zeiterfassung!$G$6:$G$3665,$K2579))</f>
        <v/>
      </c>
      <c r="H2579" s="188">
        <f>IF($K2579="","",INDEX(Zeiterfassung!$H$6:$H$3665,$K2579))</f>
        <v/>
      </c>
      <c r="I2579" s="335">
        <f>IF(B2579=B2578,"",IF($K2579="","",INDEX(Zeiterfassung!$I$6:$I$3665,MATCH(INDEX(Zeiterfassung!$K$6:$K$3665,$K2579),Zeiterfassung!$K$6:$K$3665,0))))</f>
        <v/>
      </c>
      <c r="J2579" s="335">
        <f>IF(B2579=B2578,"",IF($K2579="","",INDEX(Zeiterfassung!$J$6:$J$3665,MATCH(INDEX(Zeiterfassung!$K$6:$K$3665,$K2579),Zeiterfassung!$K$6:$K$3665,0))))</f>
        <v/>
      </c>
      <c r="K2579">
        <f>IFERROR(AGGREGATE(15,6,(ROW(Zeiterfassung!$D$6:$D$3665)-ROW(Zeiterfassung!$D$6)+1)/(Zeiterfassung!$D$6:$D$3665&lt;&gt;""),2574),"")</f>
        <v/>
      </c>
    </row>
    <row r="2580" ht="20" customHeight="1">
      <c r="A2580" s="183">
        <f>IF($K2580="","",WEEKNUM(INDEX(Zeiterfassung!$K$6:$K$3665,$K2580),21))</f>
        <v/>
      </c>
      <c r="B2580" s="184">
        <f>IF($K2580="","",INDEX(Zeiterfassung!$K$6:$K$3665,$K2580))</f>
        <v/>
      </c>
      <c r="C2580" s="185">
        <f>IF($K2580="","",INDEX(Zeiterfassung!$K$6:$K$3665,$K2580))</f>
        <v/>
      </c>
      <c r="D2580" s="186">
        <f>IF($K2580="","",INDEX(Zeiterfassung!$D$6:$D$3665,$K2580))</f>
        <v/>
      </c>
      <c r="E2580" s="186">
        <f>IF($K2580="","",INDEX(Zeiterfassung!$E$6:$E$3665,$K2580))</f>
        <v/>
      </c>
      <c r="F2580" s="187">
        <f>IF($K2580="","",INDEX(Zeiterfassung!$F$6:$F$3665,$K2580))</f>
        <v/>
      </c>
      <c r="G2580" s="187">
        <f>IF($K2580="","",INDEX(Zeiterfassung!$G$6:$G$3665,$K2580))</f>
        <v/>
      </c>
      <c r="H2580" s="188">
        <f>IF($K2580="","",INDEX(Zeiterfassung!$H$6:$H$3665,$K2580))</f>
        <v/>
      </c>
      <c r="I2580" s="335">
        <f>IF(B2580=B2579,"",IF($K2580="","",INDEX(Zeiterfassung!$I$6:$I$3665,MATCH(INDEX(Zeiterfassung!$K$6:$K$3665,$K2580),Zeiterfassung!$K$6:$K$3665,0))))</f>
        <v/>
      </c>
      <c r="J2580" s="335">
        <f>IF(B2580=B2579,"",IF($K2580="","",INDEX(Zeiterfassung!$J$6:$J$3665,MATCH(INDEX(Zeiterfassung!$K$6:$K$3665,$K2580),Zeiterfassung!$K$6:$K$3665,0))))</f>
        <v/>
      </c>
      <c r="K2580">
        <f>IFERROR(AGGREGATE(15,6,(ROW(Zeiterfassung!$D$6:$D$3665)-ROW(Zeiterfassung!$D$6)+1)/(Zeiterfassung!$D$6:$D$3665&lt;&gt;""),2575),"")</f>
        <v/>
      </c>
    </row>
    <row r="2581" ht="20" customHeight="1">
      <c r="A2581" s="183">
        <f>IF($K2581="","",WEEKNUM(INDEX(Zeiterfassung!$K$6:$K$3665,$K2581),21))</f>
        <v/>
      </c>
      <c r="B2581" s="184">
        <f>IF($K2581="","",INDEX(Zeiterfassung!$K$6:$K$3665,$K2581))</f>
        <v/>
      </c>
      <c r="C2581" s="185">
        <f>IF($K2581="","",INDEX(Zeiterfassung!$K$6:$K$3665,$K2581))</f>
        <v/>
      </c>
      <c r="D2581" s="186">
        <f>IF($K2581="","",INDEX(Zeiterfassung!$D$6:$D$3665,$K2581))</f>
        <v/>
      </c>
      <c r="E2581" s="186">
        <f>IF($K2581="","",INDEX(Zeiterfassung!$E$6:$E$3665,$K2581))</f>
        <v/>
      </c>
      <c r="F2581" s="187">
        <f>IF($K2581="","",INDEX(Zeiterfassung!$F$6:$F$3665,$K2581))</f>
        <v/>
      </c>
      <c r="G2581" s="187">
        <f>IF($K2581="","",INDEX(Zeiterfassung!$G$6:$G$3665,$K2581))</f>
        <v/>
      </c>
      <c r="H2581" s="188">
        <f>IF($K2581="","",INDEX(Zeiterfassung!$H$6:$H$3665,$K2581))</f>
        <v/>
      </c>
      <c r="I2581" s="335">
        <f>IF(B2581=B2580,"",IF($K2581="","",INDEX(Zeiterfassung!$I$6:$I$3665,MATCH(INDEX(Zeiterfassung!$K$6:$K$3665,$K2581),Zeiterfassung!$K$6:$K$3665,0))))</f>
        <v/>
      </c>
      <c r="J2581" s="335">
        <f>IF(B2581=B2580,"",IF($K2581="","",INDEX(Zeiterfassung!$J$6:$J$3665,MATCH(INDEX(Zeiterfassung!$K$6:$K$3665,$K2581),Zeiterfassung!$K$6:$K$3665,0))))</f>
        <v/>
      </c>
      <c r="K2581">
        <f>IFERROR(AGGREGATE(15,6,(ROW(Zeiterfassung!$D$6:$D$3665)-ROW(Zeiterfassung!$D$6)+1)/(Zeiterfassung!$D$6:$D$3665&lt;&gt;""),2576),"")</f>
        <v/>
      </c>
    </row>
    <row r="2582" ht="20" customHeight="1">
      <c r="A2582" s="183">
        <f>IF($K2582="","",WEEKNUM(INDEX(Zeiterfassung!$K$6:$K$3665,$K2582),21))</f>
        <v/>
      </c>
      <c r="B2582" s="184">
        <f>IF($K2582="","",INDEX(Zeiterfassung!$K$6:$K$3665,$K2582))</f>
        <v/>
      </c>
      <c r="C2582" s="185">
        <f>IF($K2582="","",INDEX(Zeiterfassung!$K$6:$K$3665,$K2582))</f>
        <v/>
      </c>
      <c r="D2582" s="186">
        <f>IF($K2582="","",INDEX(Zeiterfassung!$D$6:$D$3665,$K2582))</f>
        <v/>
      </c>
      <c r="E2582" s="186">
        <f>IF($K2582="","",INDEX(Zeiterfassung!$E$6:$E$3665,$K2582))</f>
        <v/>
      </c>
      <c r="F2582" s="187">
        <f>IF($K2582="","",INDEX(Zeiterfassung!$F$6:$F$3665,$K2582))</f>
        <v/>
      </c>
      <c r="G2582" s="187">
        <f>IF($K2582="","",INDEX(Zeiterfassung!$G$6:$G$3665,$K2582))</f>
        <v/>
      </c>
      <c r="H2582" s="188">
        <f>IF($K2582="","",INDEX(Zeiterfassung!$H$6:$H$3665,$K2582))</f>
        <v/>
      </c>
      <c r="I2582" s="335">
        <f>IF(B2582=B2581,"",IF($K2582="","",INDEX(Zeiterfassung!$I$6:$I$3665,MATCH(INDEX(Zeiterfassung!$K$6:$K$3665,$K2582),Zeiterfassung!$K$6:$K$3665,0))))</f>
        <v/>
      </c>
      <c r="J2582" s="335">
        <f>IF(B2582=B2581,"",IF($K2582="","",INDEX(Zeiterfassung!$J$6:$J$3665,MATCH(INDEX(Zeiterfassung!$K$6:$K$3665,$K2582),Zeiterfassung!$K$6:$K$3665,0))))</f>
        <v/>
      </c>
      <c r="K2582">
        <f>IFERROR(AGGREGATE(15,6,(ROW(Zeiterfassung!$D$6:$D$3665)-ROW(Zeiterfassung!$D$6)+1)/(Zeiterfassung!$D$6:$D$3665&lt;&gt;""),2577),"")</f>
        <v/>
      </c>
    </row>
    <row r="2583" ht="20" customHeight="1">
      <c r="A2583" s="183">
        <f>IF($K2583="","",WEEKNUM(INDEX(Zeiterfassung!$K$6:$K$3665,$K2583),21))</f>
        <v/>
      </c>
      <c r="B2583" s="184">
        <f>IF($K2583="","",INDEX(Zeiterfassung!$K$6:$K$3665,$K2583))</f>
        <v/>
      </c>
      <c r="C2583" s="185">
        <f>IF($K2583="","",INDEX(Zeiterfassung!$K$6:$K$3665,$K2583))</f>
        <v/>
      </c>
      <c r="D2583" s="186">
        <f>IF($K2583="","",INDEX(Zeiterfassung!$D$6:$D$3665,$K2583))</f>
        <v/>
      </c>
      <c r="E2583" s="186">
        <f>IF($K2583="","",INDEX(Zeiterfassung!$E$6:$E$3665,$K2583))</f>
        <v/>
      </c>
      <c r="F2583" s="187">
        <f>IF($K2583="","",INDEX(Zeiterfassung!$F$6:$F$3665,$K2583))</f>
        <v/>
      </c>
      <c r="G2583" s="187">
        <f>IF($K2583="","",INDEX(Zeiterfassung!$G$6:$G$3665,$K2583))</f>
        <v/>
      </c>
      <c r="H2583" s="188">
        <f>IF($K2583="","",INDEX(Zeiterfassung!$H$6:$H$3665,$K2583))</f>
        <v/>
      </c>
      <c r="I2583" s="335">
        <f>IF(B2583=B2582,"",IF($K2583="","",INDEX(Zeiterfassung!$I$6:$I$3665,MATCH(INDEX(Zeiterfassung!$K$6:$K$3665,$K2583),Zeiterfassung!$K$6:$K$3665,0))))</f>
        <v/>
      </c>
      <c r="J2583" s="335">
        <f>IF(B2583=B2582,"",IF($K2583="","",INDEX(Zeiterfassung!$J$6:$J$3665,MATCH(INDEX(Zeiterfassung!$K$6:$K$3665,$K2583),Zeiterfassung!$K$6:$K$3665,0))))</f>
        <v/>
      </c>
      <c r="K2583">
        <f>IFERROR(AGGREGATE(15,6,(ROW(Zeiterfassung!$D$6:$D$3665)-ROW(Zeiterfassung!$D$6)+1)/(Zeiterfassung!$D$6:$D$3665&lt;&gt;""),2578),"")</f>
        <v/>
      </c>
    </row>
    <row r="2584" ht="20" customHeight="1">
      <c r="A2584" s="183">
        <f>IF($K2584="","",WEEKNUM(INDEX(Zeiterfassung!$K$6:$K$3665,$K2584),21))</f>
        <v/>
      </c>
      <c r="B2584" s="184">
        <f>IF($K2584="","",INDEX(Zeiterfassung!$K$6:$K$3665,$K2584))</f>
        <v/>
      </c>
      <c r="C2584" s="185">
        <f>IF($K2584="","",INDEX(Zeiterfassung!$K$6:$K$3665,$K2584))</f>
        <v/>
      </c>
      <c r="D2584" s="186">
        <f>IF($K2584="","",INDEX(Zeiterfassung!$D$6:$D$3665,$K2584))</f>
        <v/>
      </c>
      <c r="E2584" s="186">
        <f>IF($K2584="","",INDEX(Zeiterfassung!$E$6:$E$3665,$K2584))</f>
        <v/>
      </c>
      <c r="F2584" s="187">
        <f>IF($K2584="","",INDEX(Zeiterfassung!$F$6:$F$3665,$K2584))</f>
        <v/>
      </c>
      <c r="G2584" s="187">
        <f>IF($K2584="","",INDEX(Zeiterfassung!$G$6:$G$3665,$K2584))</f>
        <v/>
      </c>
      <c r="H2584" s="188">
        <f>IF($K2584="","",INDEX(Zeiterfassung!$H$6:$H$3665,$K2584))</f>
        <v/>
      </c>
      <c r="I2584" s="335">
        <f>IF(B2584=B2583,"",IF($K2584="","",INDEX(Zeiterfassung!$I$6:$I$3665,MATCH(INDEX(Zeiterfassung!$K$6:$K$3665,$K2584),Zeiterfassung!$K$6:$K$3665,0))))</f>
        <v/>
      </c>
      <c r="J2584" s="335">
        <f>IF(B2584=B2583,"",IF($K2584="","",INDEX(Zeiterfassung!$J$6:$J$3665,MATCH(INDEX(Zeiterfassung!$K$6:$K$3665,$K2584),Zeiterfassung!$K$6:$K$3665,0))))</f>
        <v/>
      </c>
      <c r="K2584">
        <f>IFERROR(AGGREGATE(15,6,(ROW(Zeiterfassung!$D$6:$D$3665)-ROW(Zeiterfassung!$D$6)+1)/(Zeiterfassung!$D$6:$D$3665&lt;&gt;""),2579),"")</f>
        <v/>
      </c>
    </row>
    <row r="2585" ht="20" customHeight="1">
      <c r="A2585" s="183">
        <f>IF($K2585="","",WEEKNUM(INDEX(Zeiterfassung!$K$6:$K$3665,$K2585),21))</f>
        <v/>
      </c>
      <c r="B2585" s="184">
        <f>IF($K2585="","",INDEX(Zeiterfassung!$K$6:$K$3665,$K2585))</f>
        <v/>
      </c>
      <c r="C2585" s="185">
        <f>IF($K2585="","",INDEX(Zeiterfassung!$K$6:$K$3665,$K2585))</f>
        <v/>
      </c>
      <c r="D2585" s="186">
        <f>IF($K2585="","",INDEX(Zeiterfassung!$D$6:$D$3665,$K2585))</f>
        <v/>
      </c>
      <c r="E2585" s="186">
        <f>IF($K2585="","",INDEX(Zeiterfassung!$E$6:$E$3665,$K2585))</f>
        <v/>
      </c>
      <c r="F2585" s="187">
        <f>IF($K2585="","",INDEX(Zeiterfassung!$F$6:$F$3665,$K2585))</f>
        <v/>
      </c>
      <c r="G2585" s="187">
        <f>IF($K2585="","",INDEX(Zeiterfassung!$G$6:$G$3665,$K2585))</f>
        <v/>
      </c>
      <c r="H2585" s="188">
        <f>IF($K2585="","",INDEX(Zeiterfassung!$H$6:$H$3665,$K2585))</f>
        <v/>
      </c>
      <c r="I2585" s="335">
        <f>IF(B2585=B2584,"",IF($K2585="","",INDEX(Zeiterfassung!$I$6:$I$3665,MATCH(INDEX(Zeiterfassung!$K$6:$K$3665,$K2585),Zeiterfassung!$K$6:$K$3665,0))))</f>
        <v/>
      </c>
      <c r="J2585" s="335">
        <f>IF(B2585=B2584,"",IF($K2585="","",INDEX(Zeiterfassung!$J$6:$J$3665,MATCH(INDEX(Zeiterfassung!$K$6:$K$3665,$K2585),Zeiterfassung!$K$6:$K$3665,0))))</f>
        <v/>
      </c>
      <c r="K2585">
        <f>IFERROR(AGGREGATE(15,6,(ROW(Zeiterfassung!$D$6:$D$3665)-ROW(Zeiterfassung!$D$6)+1)/(Zeiterfassung!$D$6:$D$3665&lt;&gt;""),2580),"")</f>
        <v/>
      </c>
    </row>
    <row r="2586" ht="20" customHeight="1">
      <c r="A2586" s="183">
        <f>IF($K2586="","",WEEKNUM(INDEX(Zeiterfassung!$K$6:$K$3665,$K2586),21))</f>
        <v/>
      </c>
      <c r="B2586" s="184">
        <f>IF($K2586="","",INDEX(Zeiterfassung!$K$6:$K$3665,$K2586))</f>
        <v/>
      </c>
      <c r="C2586" s="185">
        <f>IF($K2586="","",INDEX(Zeiterfassung!$K$6:$K$3665,$K2586))</f>
        <v/>
      </c>
      <c r="D2586" s="186">
        <f>IF($K2586="","",INDEX(Zeiterfassung!$D$6:$D$3665,$K2586))</f>
        <v/>
      </c>
      <c r="E2586" s="186">
        <f>IF($K2586="","",INDEX(Zeiterfassung!$E$6:$E$3665,$K2586))</f>
        <v/>
      </c>
      <c r="F2586" s="187">
        <f>IF($K2586="","",INDEX(Zeiterfassung!$F$6:$F$3665,$K2586))</f>
        <v/>
      </c>
      <c r="G2586" s="187">
        <f>IF($K2586="","",INDEX(Zeiterfassung!$G$6:$G$3665,$K2586))</f>
        <v/>
      </c>
      <c r="H2586" s="188">
        <f>IF($K2586="","",INDEX(Zeiterfassung!$H$6:$H$3665,$K2586))</f>
        <v/>
      </c>
      <c r="I2586" s="335">
        <f>IF(B2586=B2585,"",IF($K2586="","",INDEX(Zeiterfassung!$I$6:$I$3665,MATCH(INDEX(Zeiterfassung!$K$6:$K$3665,$K2586),Zeiterfassung!$K$6:$K$3665,0))))</f>
        <v/>
      </c>
      <c r="J2586" s="335">
        <f>IF(B2586=B2585,"",IF($K2586="","",INDEX(Zeiterfassung!$J$6:$J$3665,MATCH(INDEX(Zeiterfassung!$K$6:$K$3665,$K2586),Zeiterfassung!$K$6:$K$3665,0))))</f>
        <v/>
      </c>
      <c r="K2586">
        <f>IFERROR(AGGREGATE(15,6,(ROW(Zeiterfassung!$D$6:$D$3665)-ROW(Zeiterfassung!$D$6)+1)/(Zeiterfassung!$D$6:$D$3665&lt;&gt;""),2581),"")</f>
        <v/>
      </c>
    </row>
    <row r="2587" ht="20" customHeight="1">
      <c r="A2587" s="183">
        <f>IF($K2587="","",WEEKNUM(INDEX(Zeiterfassung!$K$6:$K$3665,$K2587),21))</f>
        <v/>
      </c>
      <c r="B2587" s="184">
        <f>IF($K2587="","",INDEX(Zeiterfassung!$K$6:$K$3665,$K2587))</f>
        <v/>
      </c>
      <c r="C2587" s="185">
        <f>IF($K2587="","",INDEX(Zeiterfassung!$K$6:$K$3665,$K2587))</f>
        <v/>
      </c>
      <c r="D2587" s="186">
        <f>IF($K2587="","",INDEX(Zeiterfassung!$D$6:$D$3665,$K2587))</f>
        <v/>
      </c>
      <c r="E2587" s="186">
        <f>IF($K2587="","",INDEX(Zeiterfassung!$E$6:$E$3665,$K2587))</f>
        <v/>
      </c>
      <c r="F2587" s="187">
        <f>IF($K2587="","",INDEX(Zeiterfassung!$F$6:$F$3665,$K2587))</f>
        <v/>
      </c>
      <c r="G2587" s="187">
        <f>IF($K2587="","",INDEX(Zeiterfassung!$G$6:$G$3665,$K2587))</f>
        <v/>
      </c>
      <c r="H2587" s="188">
        <f>IF($K2587="","",INDEX(Zeiterfassung!$H$6:$H$3665,$K2587))</f>
        <v/>
      </c>
      <c r="I2587" s="335">
        <f>IF(B2587=B2586,"",IF($K2587="","",INDEX(Zeiterfassung!$I$6:$I$3665,MATCH(INDEX(Zeiterfassung!$K$6:$K$3665,$K2587),Zeiterfassung!$K$6:$K$3665,0))))</f>
        <v/>
      </c>
      <c r="J2587" s="335">
        <f>IF(B2587=B2586,"",IF($K2587="","",INDEX(Zeiterfassung!$J$6:$J$3665,MATCH(INDEX(Zeiterfassung!$K$6:$K$3665,$K2587),Zeiterfassung!$K$6:$K$3665,0))))</f>
        <v/>
      </c>
      <c r="K2587">
        <f>IFERROR(AGGREGATE(15,6,(ROW(Zeiterfassung!$D$6:$D$3665)-ROW(Zeiterfassung!$D$6)+1)/(Zeiterfassung!$D$6:$D$3665&lt;&gt;""),2582),"")</f>
        <v/>
      </c>
    </row>
    <row r="2588" ht="20" customHeight="1">
      <c r="A2588" s="183">
        <f>IF($K2588="","",WEEKNUM(INDEX(Zeiterfassung!$K$6:$K$3665,$K2588),21))</f>
        <v/>
      </c>
      <c r="B2588" s="184">
        <f>IF($K2588="","",INDEX(Zeiterfassung!$K$6:$K$3665,$K2588))</f>
        <v/>
      </c>
      <c r="C2588" s="185">
        <f>IF($K2588="","",INDEX(Zeiterfassung!$K$6:$K$3665,$K2588))</f>
        <v/>
      </c>
      <c r="D2588" s="186">
        <f>IF($K2588="","",INDEX(Zeiterfassung!$D$6:$D$3665,$K2588))</f>
        <v/>
      </c>
      <c r="E2588" s="186">
        <f>IF($K2588="","",INDEX(Zeiterfassung!$E$6:$E$3665,$K2588))</f>
        <v/>
      </c>
      <c r="F2588" s="187">
        <f>IF($K2588="","",INDEX(Zeiterfassung!$F$6:$F$3665,$K2588))</f>
        <v/>
      </c>
      <c r="G2588" s="187">
        <f>IF($K2588="","",INDEX(Zeiterfassung!$G$6:$G$3665,$K2588))</f>
        <v/>
      </c>
      <c r="H2588" s="188">
        <f>IF($K2588="","",INDEX(Zeiterfassung!$H$6:$H$3665,$K2588))</f>
        <v/>
      </c>
      <c r="I2588" s="335">
        <f>IF(B2588=B2587,"",IF($K2588="","",INDEX(Zeiterfassung!$I$6:$I$3665,MATCH(INDEX(Zeiterfassung!$K$6:$K$3665,$K2588),Zeiterfassung!$K$6:$K$3665,0))))</f>
        <v/>
      </c>
      <c r="J2588" s="335">
        <f>IF(B2588=B2587,"",IF($K2588="","",INDEX(Zeiterfassung!$J$6:$J$3665,MATCH(INDEX(Zeiterfassung!$K$6:$K$3665,$K2588),Zeiterfassung!$K$6:$K$3665,0))))</f>
        <v/>
      </c>
      <c r="K2588">
        <f>IFERROR(AGGREGATE(15,6,(ROW(Zeiterfassung!$D$6:$D$3665)-ROW(Zeiterfassung!$D$6)+1)/(Zeiterfassung!$D$6:$D$3665&lt;&gt;""),2583),"")</f>
        <v/>
      </c>
    </row>
    <row r="2589" ht="20" customHeight="1">
      <c r="A2589" s="183">
        <f>IF($K2589="","",WEEKNUM(INDEX(Zeiterfassung!$K$6:$K$3665,$K2589),21))</f>
        <v/>
      </c>
      <c r="B2589" s="184">
        <f>IF($K2589="","",INDEX(Zeiterfassung!$K$6:$K$3665,$K2589))</f>
        <v/>
      </c>
      <c r="C2589" s="185">
        <f>IF($K2589="","",INDEX(Zeiterfassung!$K$6:$K$3665,$K2589))</f>
        <v/>
      </c>
      <c r="D2589" s="186">
        <f>IF($K2589="","",INDEX(Zeiterfassung!$D$6:$D$3665,$K2589))</f>
        <v/>
      </c>
      <c r="E2589" s="186">
        <f>IF($K2589="","",INDEX(Zeiterfassung!$E$6:$E$3665,$K2589))</f>
        <v/>
      </c>
      <c r="F2589" s="187">
        <f>IF($K2589="","",INDEX(Zeiterfassung!$F$6:$F$3665,$K2589))</f>
        <v/>
      </c>
      <c r="G2589" s="187">
        <f>IF($K2589="","",INDEX(Zeiterfassung!$G$6:$G$3665,$K2589))</f>
        <v/>
      </c>
      <c r="H2589" s="188">
        <f>IF($K2589="","",INDEX(Zeiterfassung!$H$6:$H$3665,$K2589))</f>
        <v/>
      </c>
      <c r="I2589" s="335">
        <f>IF(B2589=B2588,"",IF($K2589="","",INDEX(Zeiterfassung!$I$6:$I$3665,MATCH(INDEX(Zeiterfassung!$K$6:$K$3665,$K2589),Zeiterfassung!$K$6:$K$3665,0))))</f>
        <v/>
      </c>
      <c r="J2589" s="335">
        <f>IF(B2589=B2588,"",IF($K2589="","",INDEX(Zeiterfassung!$J$6:$J$3665,MATCH(INDEX(Zeiterfassung!$K$6:$K$3665,$K2589),Zeiterfassung!$K$6:$K$3665,0))))</f>
        <v/>
      </c>
      <c r="K2589">
        <f>IFERROR(AGGREGATE(15,6,(ROW(Zeiterfassung!$D$6:$D$3665)-ROW(Zeiterfassung!$D$6)+1)/(Zeiterfassung!$D$6:$D$3665&lt;&gt;""),2584),"")</f>
        <v/>
      </c>
    </row>
    <row r="2590" ht="20" customHeight="1">
      <c r="A2590" s="183">
        <f>IF($K2590="","",WEEKNUM(INDEX(Zeiterfassung!$K$6:$K$3665,$K2590),21))</f>
        <v/>
      </c>
      <c r="B2590" s="184">
        <f>IF($K2590="","",INDEX(Zeiterfassung!$K$6:$K$3665,$K2590))</f>
        <v/>
      </c>
      <c r="C2590" s="185">
        <f>IF($K2590="","",INDEX(Zeiterfassung!$K$6:$K$3665,$K2590))</f>
        <v/>
      </c>
      <c r="D2590" s="186">
        <f>IF($K2590="","",INDEX(Zeiterfassung!$D$6:$D$3665,$K2590))</f>
        <v/>
      </c>
      <c r="E2590" s="186">
        <f>IF($K2590="","",INDEX(Zeiterfassung!$E$6:$E$3665,$K2590))</f>
        <v/>
      </c>
      <c r="F2590" s="187">
        <f>IF($K2590="","",INDEX(Zeiterfassung!$F$6:$F$3665,$K2590))</f>
        <v/>
      </c>
      <c r="G2590" s="187">
        <f>IF($K2590="","",INDEX(Zeiterfassung!$G$6:$G$3665,$K2590))</f>
        <v/>
      </c>
      <c r="H2590" s="188">
        <f>IF($K2590="","",INDEX(Zeiterfassung!$H$6:$H$3665,$K2590))</f>
        <v/>
      </c>
      <c r="I2590" s="335">
        <f>IF(B2590=B2589,"",IF($K2590="","",INDEX(Zeiterfassung!$I$6:$I$3665,MATCH(INDEX(Zeiterfassung!$K$6:$K$3665,$K2590),Zeiterfassung!$K$6:$K$3665,0))))</f>
        <v/>
      </c>
      <c r="J2590" s="335">
        <f>IF(B2590=B2589,"",IF($K2590="","",INDEX(Zeiterfassung!$J$6:$J$3665,MATCH(INDEX(Zeiterfassung!$K$6:$K$3665,$K2590),Zeiterfassung!$K$6:$K$3665,0))))</f>
        <v/>
      </c>
      <c r="K2590">
        <f>IFERROR(AGGREGATE(15,6,(ROW(Zeiterfassung!$D$6:$D$3665)-ROW(Zeiterfassung!$D$6)+1)/(Zeiterfassung!$D$6:$D$3665&lt;&gt;""),2585),"")</f>
        <v/>
      </c>
    </row>
    <row r="2591" ht="20" customHeight="1">
      <c r="A2591" s="183">
        <f>IF($K2591="","",WEEKNUM(INDEX(Zeiterfassung!$K$6:$K$3665,$K2591),21))</f>
        <v/>
      </c>
      <c r="B2591" s="184">
        <f>IF($K2591="","",INDEX(Zeiterfassung!$K$6:$K$3665,$K2591))</f>
        <v/>
      </c>
      <c r="C2591" s="185">
        <f>IF($K2591="","",INDEX(Zeiterfassung!$K$6:$K$3665,$K2591))</f>
        <v/>
      </c>
      <c r="D2591" s="186">
        <f>IF($K2591="","",INDEX(Zeiterfassung!$D$6:$D$3665,$K2591))</f>
        <v/>
      </c>
      <c r="E2591" s="186">
        <f>IF($K2591="","",INDEX(Zeiterfassung!$E$6:$E$3665,$K2591))</f>
        <v/>
      </c>
      <c r="F2591" s="187">
        <f>IF($K2591="","",INDEX(Zeiterfassung!$F$6:$F$3665,$K2591))</f>
        <v/>
      </c>
      <c r="G2591" s="187">
        <f>IF($K2591="","",INDEX(Zeiterfassung!$G$6:$G$3665,$K2591))</f>
        <v/>
      </c>
      <c r="H2591" s="188">
        <f>IF($K2591="","",INDEX(Zeiterfassung!$H$6:$H$3665,$K2591))</f>
        <v/>
      </c>
      <c r="I2591" s="335">
        <f>IF(B2591=B2590,"",IF($K2591="","",INDEX(Zeiterfassung!$I$6:$I$3665,MATCH(INDEX(Zeiterfassung!$K$6:$K$3665,$K2591),Zeiterfassung!$K$6:$K$3665,0))))</f>
        <v/>
      </c>
      <c r="J2591" s="335">
        <f>IF(B2591=B2590,"",IF($K2591="","",INDEX(Zeiterfassung!$J$6:$J$3665,MATCH(INDEX(Zeiterfassung!$K$6:$K$3665,$K2591),Zeiterfassung!$K$6:$K$3665,0))))</f>
        <v/>
      </c>
      <c r="K2591">
        <f>IFERROR(AGGREGATE(15,6,(ROW(Zeiterfassung!$D$6:$D$3665)-ROW(Zeiterfassung!$D$6)+1)/(Zeiterfassung!$D$6:$D$3665&lt;&gt;""),2586),"")</f>
        <v/>
      </c>
    </row>
    <row r="2592" ht="20" customHeight="1">
      <c r="A2592" s="183">
        <f>IF($K2592="","",WEEKNUM(INDEX(Zeiterfassung!$K$6:$K$3665,$K2592),21))</f>
        <v/>
      </c>
      <c r="B2592" s="184">
        <f>IF($K2592="","",INDEX(Zeiterfassung!$K$6:$K$3665,$K2592))</f>
        <v/>
      </c>
      <c r="C2592" s="185">
        <f>IF($K2592="","",INDEX(Zeiterfassung!$K$6:$K$3665,$K2592))</f>
        <v/>
      </c>
      <c r="D2592" s="186">
        <f>IF($K2592="","",INDEX(Zeiterfassung!$D$6:$D$3665,$K2592))</f>
        <v/>
      </c>
      <c r="E2592" s="186">
        <f>IF($K2592="","",INDEX(Zeiterfassung!$E$6:$E$3665,$K2592))</f>
        <v/>
      </c>
      <c r="F2592" s="187">
        <f>IF($K2592="","",INDEX(Zeiterfassung!$F$6:$F$3665,$K2592))</f>
        <v/>
      </c>
      <c r="G2592" s="187">
        <f>IF($K2592="","",INDEX(Zeiterfassung!$G$6:$G$3665,$K2592))</f>
        <v/>
      </c>
      <c r="H2592" s="188">
        <f>IF($K2592="","",INDEX(Zeiterfassung!$H$6:$H$3665,$K2592))</f>
        <v/>
      </c>
      <c r="I2592" s="335">
        <f>IF(B2592=B2591,"",IF($K2592="","",INDEX(Zeiterfassung!$I$6:$I$3665,MATCH(INDEX(Zeiterfassung!$K$6:$K$3665,$K2592),Zeiterfassung!$K$6:$K$3665,0))))</f>
        <v/>
      </c>
      <c r="J2592" s="335">
        <f>IF(B2592=B2591,"",IF($K2592="","",INDEX(Zeiterfassung!$J$6:$J$3665,MATCH(INDEX(Zeiterfassung!$K$6:$K$3665,$K2592),Zeiterfassung!$K$6:$K$3665,0))))</f>
        <v/>
      </c>
      <c r="K2592">
        <f>IFERROR(AGGREGATE(15,6,(ROW(Zeiterfassung!$D$6:$D$3665)-ROW(Zeiterfassung!$D$6)+1)/(Zeiterfassung!$D$6:$D$3665&lt;&gt;""),2587),"")</f>
        <v/>
      </c>
    </row>
    <row r="2593" ht="20" customHeight="1">
      <c r="A2593" s="183">
        <f>IF($K2593="","",WEEKNUM(INDEX(Zeiterfassung!$K$6:$K$3665,$K2593),21))</f>
        <v/>
      </c>
      <c r="B2593" s="184">
        <f>IF($K2593="","",INDEX(Zeiterfassung!$K$6:$K$3665,$K2593))</f>
        <v/>
      </c>
      <c r="C2593" s="185">
        <f>IF($K2593="","",INDEX(Zeiterfassung!$K$6:$K$3665,$K2593))</f>
        <v/>
      </c>
      <c r="D2593" s="186">
        <f>IF($K2593="","",INDEX(Zeiterfassung!$D$6:$D$3665,$K2593))</f>
        <v/>
      </c>
      <c r="E2593" s="186">
        <f>IF($K2593="","",INDEX(Zeiterfassung!$E$6:$E$3665,$K2593))</f>
        <v/>
      </c>
      <c r="F2593" s="187">
        <f>IF($K2593="","",INDEX(Zeiterfassung!$F$6:$F$3665,$K2593))</f>
        <v/>
      </c>
      <c r="G2593" s="187">
        <f>IF($K2593="","",INDEX(Zeiterfassung!$G$6:$G$3665,$K2593))</f>
        <v/>
      </c>
      <c r="H2593" s="188">
        <f>IF($K2593="","",INDEX(Zeiterfassung!$H$6:$H$3665,$K2593))</f>
        <v/>
      </c>
      <c r="I2593" s="335">
        <f>IF(B2593=B2592,"",IF($K2593="","",INDEX(Zeiterfassung!$I$6:$I$3665,MATCH(INDEX(Zeiterfassung!$K$6:$K$3665,$K2593),Zeiterfassung!$K$6:$K$3665,0))))</f>
        <v/>
      </c>
      <c r="J2593" s="335">
        <f>IF(B2593=B2592,"",IF($K2593="","",INDEX(Zeiterfassung!$J$6:$J$3665,MATCH(INDEX(Zeiterfassung!$K$6:$K$3665,$K2593),Zeiterfassung!$K$6:$K$3665,0))))</f>
        <v/>
      </c>
      <c r="K2593">
        <f>IFERROR(AGGREGATE(15,6,(ROW(Zeiterfassung!$D$6:$D$3665)-ROW(Zeiterfassung!$D$6)+1)/(Zeiterfassung!$D$6:$D$3665&lt;&gt;""),2588),"")</f>
        <v/>
      </c>
    </row>
    <row r="2594" ht="20" customHeight="1">
      <c r="A2594" s="183">
        <f>IF($K2594="","",WEEKNUM(INDEX(Zeiterfassung!$K$6:$K$3665,$K2594),21))</f>
        <v/>
      </c>
      <c r="B2594" s="184">
        <f>IF($K2594="","",INDEX(Zeiterfassung!$K$6:$K$3665,$K2594))</f>
        <v/>
      </c>
      <c r="C2594" s="185">
        <f>IF($K2594="","",INDEX(Zeiterfassung!$K$6:$K$3665,$K2594))</f>
        <v/>
      </c>
      <c r="D2594" s="186">
        <f>IF($K2594="","",INDEX(Zeiterfassung!$D$6:$D$3665,$K2594))</f>
        <v/>
      </c>
      <c r="E2594" s="186">
        <f>IF($K2594="","",INDEX(Zeiterfassung!$E$6:$E$3665,$K2594))</f>
        <v/>
      </c>
      <c r="F2594" s="187">
        <f>IF($K2594="","",INDEX(Zeiterfassung!$F$6:$F$3665,$K2594))</f>
        <v/>
      </c>
      <c r="G2594" s="187">
        <f>IF($K2594="","",INDEX(Zeiterfassung!$G$6:$G$3665,$K2594))</f>
        <v/>
      </c>
      <c r="H2594" s="188">
        <f>IF($K2594="","",INDEX(Zeiterfassung!$H$6:$H$3665,$K2594))</f>
        <v/>
      </c>
      <c r="I2594" s="335">
        <f>IF(B2594=B2593,"",IF($K2594="","",INDEX(Zeiterfassung!$I$6:$I$3665,MATCH(INDEX(Zeiterfassung!$K$6:$K$3665,$K2594),Zeiterfassung!$K$6:$K$3665,0))))</f>
        <v/>
      </c>
      <c r="J2594" s="335">
        <f>IF(B2594=B2593,"",IF($K2594="","",INDEX(Zeiterfassung!$J$6:$J$3665,MATCH(INDEX(Zeiterfassung!$K$6:$K$3665,$K2594),Zeiterfassung!$K$6:$K$3665,0))))</f>
        <v/>
      </c>
      <c r="K2594">
        <f>IFERROR(AGGREGATE(15,6,(ROW(Zeiterfassung!$D$6:$D$3665)-ROW(Zeiterfassung!$D$6)+1)/(Zeiterfassung!$D$6:$D$3665&lt;&gt;""),2589),"")</f>
        <v/>
      </c>
    </row>
    <row r="2595" ht="20" customHeight="1">
      <c r="A2595" s="183">
        <f>IF($K2595="","",WEEKNUM(INDEX(Zeiterfassung!$K$6:$K$3665,$K2595),21))</f>
        <v/>
      </c>
      <c r="B2595" s="184">
        <f>IF($K2595="","",INDEX(Zeiterfassung!$K$6:$K$3665,$K2595))</f>
        <v/>
      </c>
      <c r="C2595" s="185">
        <f>IF($K2595="","",INDEX(Zeiterfassung!$K$6:$K$3665,$K2595))</f>
        <v/>
      </c>
      <c r="D2595" s="186">
        <f>IF($K2595="","",INDEX(Zeiterfassung!$D$6:$D$3665,$K2595))</f>
        <v/>
      </c>
      <c r="E2595" s="186">
        <f>IF($K2595="","",INDEX(Zeiterfassung!$E$6:$E$3665,$K2595))</f>
        <v/>
      </c>
      <c r="F2595" s="187">
        <f>IF($K2595="","",INDEX(Zeiterfassung!$F$6:$F$3665,$K2595))</f>
        <v/>
      </c>
      <c r="G2595" s="187">
        <f>IF($K2595="","",INDEX(Zeiterfassung!$G$6:$G$3665,$K2595))</f>
        <v/>
      </c>
      <c r="H2595" s="188">
        <f>IF($K2595="","",INDEX(Zeiterfassung!$H$6:$H$3665,$K2595))</f>
        <v/>
      </c>
      <c r="I2595" s="335">
        <f>IF(B2595=B2594,"",IF($K2595="","",INDEX(Zeiterfassung!$I$6:$I$3665,MATCH(INDEX(Zeiterfassung!$K$6:$K$3665,$K2595),Zeiterfassung!$K$6:$K$3665,0))))</f>
        <v/>
      </c>
      <c r="J2595" s="335">
        <f>IF(B2595=B2594,"",IF($K2595="","",INDEX(Zeiterfassung!$J$6:$J$3665,MATCH(INDEX(Zeiterfassung!$K$6:$K$3665,$K2595),Zeiterfassung!$K$6:$K$3665,0))))</f>
        <v/>
      </c>
      <c r="K2595">
        <f>IFERROR(AGGREGATE(15,6,(ROW(Zeiterfassung!$D$6:$D$3665)-ROW(Zeiterfassung!$D$6)+1)/(Zeiterfassung!$D$6:$D$3665&lt;&gt;""),2590),"")</f>
        <v/>
      </c>
    </row>
    <row r="2596" ht="20" customHeight="1">
      <c r="A2596" s="183">
        <f>IF($K2596="","",WEEKNUM(INDEX(Zeiterfassung!$K$6:$K$3665,$K2596),21))</f>
        <v/>
      </c>
      <c r="B2596" s="184">
        <f>IF($K2596="","",INDEX(Zeiterfassung!$K$6:$K$3665,$K2596))</f>
        <v/>
      </c>
      <c r="C2596" s="185">
        <f>IF($K2596="","",INDEX(Zeiterfassung!$K$6:$K$3665,$K2596))</f>
        <v/>
      </c>
      <c r="D2596" s="186">
        <f>IF($K2596="","",INDEX(Zeiterfassung!$D$6:$D$3665,$K2596))</f>
        <v/>
      </c>
      <c r="E2596" s="186">
        <f>IF($K2596="","",INDEX(Zeiterfassung!$E$6:$E$3665,$K2596))</f>
        <v/>
      </c>
      <c r="F2596" s="187">
        <f>IF($K2596="","",INDEX(Zeiterfassung!$F$6:$F$3665,$K2596))</f>
        <v/>
      </c>
      <c r="G2596" s="187">
        <f>IF($K2596="","",INDEX(Zeiterfassung!$G$6:$G$3665,$K2596))</f>
        <v/>
      </c>
      <c r="H2596" s="188">
        <f>IF($K2596="","",INDEX(Zeiterfassung!$H$6:$H$3665,$K2596))</f>
        <v/>
      </c>
      <c r="I2596" s="335">
        <f>IF(B2596=B2595,"",IF($K2596="","",INDEX(Zeiterfassung!$I$6:$I$3665,MATCH(INDEX(Zeiterfassung!$K$6:$K$3665,$K2596),Zeiterfassung!$K$6:$K$3665,0))))</f>
        <v/>
      </c>
      <c r="J2596" s="335">
        <f>IF(B2596=B2595,"",IF($K2596="","",INDEX(Zeiterfassung!$J$6:$J$3665,MATCH(INDEX(Zeiterfassung!$K$6:$K$3665,$K2596),Zeiterfassung!$K$6:$K$3665,0))))</f>
        <v/>
      </c>
      <c r="K2596">
        <f>IFERROR(AGGREGATE(15,6,(ROW(Zeiterfassung!$D$6:$D$3665)-ROW(Zeiterfassung!$D$6)+1)/(Zeiterfassung!$D$6:$D$3665&lt;&gt;""),2591),"")</f>
        <v/>
      </c>
    </row>
    <row r="2597" ht="20" customHeight="1">
      <c r="A2597" s="183">
        <f>IF($K2597="","",WEEKNUM(INDEX(Zeiterfassung!$K$6:$K$3665,$K2597),21))</f>
        <v/>
      </c>
      <c r="B2597" s="184">
        <f>IF($K2597="","",INDEX(Zeiterfassung!$K$6:$K$3665,$K2597))</f>
        <v/>
      </c>
      <c r="C2597" s="185">
        <f>IF($K2597="","",INDEX(Zeiterfassung!$K$6:$K$3665,$K2597))</f>
        <v/>
      </c>
      <c r="D2597" s="186">
        <f>IF($K2597="","",INDEX(Zeiterfassung!$D$6:$D$3665,$K2597))</f>
        <v/>
      </c>
      <c r="E2597" s="186">
        <f>IF($K2597="","",INDEX(Zeiterfassung!$E$6:$E$3665,$K2597))</f>
        <v/>
      </c>
      <c r="F2597" s="187">
        <f>IF($K2597="","",INDEX(Zeiterfassung!$F$6:$F$3665,$K2597))</f>
        <v/>
      </c>
      <c r="G2597" s="187">
        <f>IF($K2597="","",INDEX(Zeiterfassung!$G$6:$G$3665,$K2597))</f>
        <v/>
      </c>
      <c r="H2597" s="188">
        <f>IF($K2597="","",INDEX(Zeiterfassung!$H$6:$H$3665,$K2597))</f>
        <v/>
      </c>
      <c r="I2597" s="335">
        <f>IF(B2597=B2596,"",IF($K2597="","",INDEX(Zeiterfassung!$I$6:$I$3665,MATCH(INDEX(Zeiterfassung!$K$6:$K$3665,$K2597),Zeiterfassung!$K$6:$K$3665,0))))</f>
        <v/>
      </c>
      <c r="J2597" s="335">
        <f>IF(B2597=B2596,"",IF($K2597="","",INDEX(Zeiterfassung!$J$6:$J$3665,MATCH(INDEX(Zeiterfassung!$K$6:$K$3665,$K2597),Zeiterfassung!$K$6:$K$3665,0))))</f>
        <v/>
      </c>
      <c r="K2597">
        <f>IFERROR(AGGREGATE(15,6,(ROW(Zeiterfassung!$D$6:$D$3665)-ROW(Zeiterfassung!$D$6)+1)/(Zeiterfassung!$D$6:$D$3665&lt;&gt;""),2592),"")</f>
        <v/>
      </c>
    </row>
    <row r="2598" ht="20" customHeight="1">
      <c r="A2598" s="183">
        <f>IF($K2598="","",WEEKNUM(INDEX(Zeiterfassung!$K$6:$K$3665,$K2598),21))</f>
        <v/>
      </c>
      <c r="B2598" s="184">
        <f>IF($K2598="","",INDEX(Zeiterfassung!$K$6:$K$3665,$K2598))</f>
        <v/>
      </c>
      <c r="C2598" s="185">
        <f>IF($K2598="","",INDEX(Zeiterfassung!$K$6:$K$3665,$K2598))</f>
        <v/>
      </c>
      <c r="D2598" s="186">
        <f>IF($K2598="","",INDEX(Zeiterfassung!$D$6:$D$3665,$K2598))</f>
        <v/>
      </c>
      <c r="E2598" s="186">
        <f>IF($K2598="","",INDEX(Zeiterfassung!$E$6:$E$3665,$K2598))</f>
        <v/>
      </c>
      <c r="F2598" s="187">
        <f>IF($K2598="","",INDEX(Zeiterfassung!$F$6:$F$3665,$K2598))</f>
        <v/>
      </c>
      <c r="G2598" s="187">
        <f>IF($K2598="","",INDEX(Zeiterfassung!$G$6:$G$3665,$K2598))</f>
        <v/>
      </c>
      <c r="H2598" s="188">
        <f>IF($K2598="","",INDEX(Zeiterfassung!$H$6:$H$3665,$K2598))</f>
        <v/>
      </c>
      <c r="I2598" s="335">
        <f>IF(B2598=B2597,"",IF($K2598="","",INDEX(Zeiterfassung!$I$6:$I$3665,MATCH(INDEX(Zeiterfassung!$K$6:$K$3665,$K2598),Zeiterfassung!$K$6:$K$3665,0))))</f>
        <v/>
      </c>
      <c r="J2598" s="335">
        <f>IF(B2598=B2597,"",IF($K2598="","",INDEX(Zeiterfassung!$J$6:$J$3665,MATCH(INDEX(Zeiterfassung!$K$6:$K$3665,$K2598),Zeiterfassung!$K$6:$K$3665,0))))</f>
        <v/>
      </c>
      <c r="K2598">
        <f>IFERROR(AGGREGATE(15,6,(ROW(Zeiterfassung!$D$6:$D$3665)-ROW(Zeiterfassung!$D$6)+1)/(Zeiterfassung!$D$6:$D$3665&lt;&gt;""),2593),"")</f>
        <v/>
      </c>
    </row>
    <row r="2599" ht="20" customHeight="1">
      <c r="A2599" s="183">
        <f>IF($K2599="","",WEEKNUM(INDEX(Zeiterfassung!$K$6:$K$3665,$K2599),21))</f>
        <v/>
      </c>
      <c r="B2599" s="184">
        <f>IF($K2599="","",INDEX(Zeiterfassung!$K$6:$K$3665,$K2599))</f>
        <v/>
      </c>
      <c r="C2599" s="185">
        <f>IF($K2599="","",INDEX(Zeiterfassung!$K$6:$K$3665,$K2599))</f>
        <v/>
      </c>
      <c r="D2599" s="186">
        <f>IF($K2599="","",INDEX(Zeiterfassung!$D$6:$D$3665,$K2599))</f>
        <v/>
      </c>
      <c r="E2599" s="186">
        <f>IF($K2599="","",INDEX(Zeiterfassung!$E$6:$E$3665,$K2599))</f>
        <v/>
      </c>
      <c r="F2599" s="187">
        <f>IF($K2599="","",INDEX(Zeiterfassung!$F$6:$F$3665,$K2599))</f>
        <v/>
      </c>
      <c r="G2599" s="187">
        <f>IF($K2599="","",INDEX(Zeiterfassung!$G$6:$G$3665,$K2599))</f>
        <v/>
      </c>
      <c r="H2599" s="188">
        <f>IF($K2599="","",INDEX(Zeiterfassung!$H$6:$H$3665,$K2599))</f>
        <v/>
      </c>
      <c r="I2599" s="335">
        <f>IF(B2599=B2598,"",IF($K2599="","",INDEX(Zeiterfassung!$I$6:$I$3665,MATCH(INDEX(Zeiterfassung!$K$6:$K$3665,$K2599),Zeiterfassung!$K$6:$K$3665,0))))</f>
        <v/>
      </c>
      <c r="J2599" s="335">
        <f>IF(B2599=B2598,"",IF($K2599="","",INDEX(Zeiterfassung!$J$6:$J$3665,MATCH(INDEX(Zeiterfassung!$K$6:$K$3665,$K2599),Zeiterfassung!$K$6:$K$3665,0))))</f>
        <v/>
      </c>
      <c r="K2599">
        <f>IFERROR(AGGREGATE(15,6,(ROW(Zeiterfassung!$D$6:$D$3665)-ROW(Zeiterfassung!$D$6)+1)/(Zeiterfassung!$D$6:$D$3665&lt;&gt;""),2594),"")</f>
        <v/>
      </c>
    </row>
    <row r="2600" ht="20" customHeight="1">
      <c r="A2600" s="183">
        <f>IF($K2600="","",WEEKNUM(INDEX(Zeiterfassung!$K$6:$K$3665,$K2600),21))</f>
        <v/>
      </c>
      <c r="B2600" s="184">
        <f>IF($K2600="","",INDEX(Zeiterfassung!$K$6:$K$3665,$K2600))</f>
        <v/>
      </c>
      <c r="C2600" s="185">
        <f>IF($K2600="","",INDEX(Zeiterfassung!$K$6:$K$3665,$K2600))</f>
        <v/>
      </c>
      <c r="D2600" s="186">
        <f>IF($K2600="","",INDEX(Zeiterfassung!$D$6:$D$3665,$K2600))</f>
        <v/>
      </c>
      <c r="E2600" s="186">
        <f>IF($K2600="","",INDEX(Zeiterfassung!$E$6:$E$3665,$K2600))</f>
        <v/>
      </c>
      <c r="F2600" s="187">
        <f>IF($K2600="","",INDEX(Zeiterfassung!$F$6:$F$3665,$K2600))</f>
        <v/>
      </c>
      <c r="G2600" s="187">
        <f>IF($K2600="","",INDEX(Zeiterfassung!$G$6:$G$3665,$K2600))</f>
        <v/>
      </c>
      <c r="H2600" s="188">
        <f>IF($K2600="","",INDEX(Zeiterfassung!$H$6:$H$3665,$K2600))</f>
        <v/>
      </c>
      <c r="I2600" s="335">
        <f>IF(B2600=B2599,"",IF($K2600="","",INDEX(Zeiterfassung!$I$6:$I$3665,MATCH(INDEX(Zeiterfassung!$K$6:$K$3665,$K2600),Zeiterfassung!$K$6:$K$3665,0))))</f>
        <v/>
      </c>
      <c r="J2600" s="335">
        <f>IF(B2600=B2599,"",IF($K2600="","",INDEX(Zeiterfassung!$J$6:$J$3665,MATCH(INDEX(Zeiterfassung!$K$6:$K$3665,$K2600),Zeiterfassung!$K$6:$K$3665,0))))</f>
        <v/>
      </c>
      <c r="K2600">
        <f>IFERROR(AGGREGATE(15,6,(ROW(Zeiterfassung!$D$6:$D$3665)-ROW(Zeiterfassung!$D$6)+1)/(Zeiterfassung!$D$6:$D$3665&lt;&gt;""),2595),"")</f>
        <v/>
      </c>
    </row>
    <row r="2601" ht="20" customHeight="1">
      <c r="A2601" s="183">
        <f>IF($K2601="","",WEEKNUM(INDEX(Zeiterfassung!$K$6:$K$3665,$K2601),21))</f>
        <v/>
      </c>
      <c r="B2601" s="184">
        <f>IF($K2601="","",INDEX(Zeiterfassung!$K$6:$K$3665,$K2601))</f>
        <v/>
      </c>
      <c r="C2601" s="185">
        <f>IF($K2601="","",INDEX(Zeiterfassung!$K$6:$K$3665,$K2601))</f>
        <v/>
      </c>
      <c r="D2601" s="186">
        <f>IF($K2601="","",INDEX(Zeiterfassung!$D$6:$D$3665,$K2601))</f>
        <v/>
      </c>
      <c r="E2601" s="186">
        <f>IF($K2601="","",INDEX(Zeiterfassung!$E$6:$E$3665,$K2601))</f>
        <v/>
      </c>
      <c r="F2601" s="187">
        <f>IF($K2601="","",INDEX(Zeiterfassung!$F$6:$F$3665,$K2601))</f>
        <v/>
      </c>
      <c r="G2601" s="187">
        <f>IF($K2601="","",INDEX(Zeiterfassung!$G$6:$G$3665,$K2601))</f>
        <v/>
      </c>
      <c r="H2601" s="188">
        <f>IF($K2601="","",INDEX(Zeiterfassung!$H$6:$H$3665,$K2601))</f>
        <v/>
      </c>
      <c r="I2601" s="335">
        <f>IF(B2601=B2600,"",IF($K2601="","",INDEX(Zeiterfassung!$I$6:$I$3665,MATCH(INDEX(Zeiterfassung!$K$6:$K$3665,$K2601),Zeiterfassung!$K$6:$K$3665,0))))</f>
        <v/>
      </c>
      <c r="J2601" s="335">
        <f>IF(B2601=B2600,"",IF($K2601="","",INDEX(Zeiterfassung!$J$6:$J$3665,MATCH(INDEX(Zeiterfassung!$K$6:$K$3665,$K2601),Zeiterfassung!$K$6:$K$3665,0))))</f>
        <v/>
      </c>
      <c r="K2601">
        <f>IFERROR(AGGREGATE(15,6,(ROW(Zeiterfassung!$D$6:$D$3665)-ROW(Zeiterfassung!$D$6)+1)/(Zeiterfassung!$D$6:$D$3665&lt;&gt;""),2596),"")</f>
        <v/>
      </c>
    </row>
    <row r="2602" ht="20" customHeight="1">
      <c r="A2602" s="183">
        <f>IF($K2602="","",WEEKNUM(INDEX(Zeiterfassung!$K$6:$K$3665,$K2602),21))</f>
        <v/>
      </c>
      <c r="B2602" s="184">
        <f>IF($K2602="","",INDEX(Zeiterfassung!$K$6:$K$3665,$K2602))</f>
        <v/>
      </c>
      <c r="C2602" s="185">
        <f>IF($K2602="","",INDEX(Zeiterfassung!$K$6:$K$3665,$K2602))</f>
        <v/>
      </c>
      <c r="D2602" s="186">
        <f>IF($K2602="","",INDEX(Zeiterfassung!$D$6:$D$3665,$K2602))</f>
        <v/>
      </c>
      <c r="E2602" s="186">
        <f>IF($K2602="","",INDEX(Zeiterfassung!$E$6:$E$3665,$K2602))</f>
        <v/>
      </c>
      <c r="F2602" s="187">
        <f>IF($K2602="","",INDEX(Zeiterfassung!$F$6:$F$3665,$K2602))</f>
        <v/>
      </c>
      <c r="G2602" s="187">
        <f>IF($K2602="","",INDEX(Zeiterfassung!$G$6:$G$3665,$K2602))</f>
        <v/>
      </c>
      <c r="H2602" s="188">
        <f>IF($K2602="","",INDEX(Zeiterfassung!$H$6:$H$3665,$K2602))</f>
        <v/>
      </c>
      <c r="I2602" s="335">
        <f>IF(B2602=B2601,"",IF($K2602="","",INDEX(Zeiterfassung!$I$6:$I$3665,MATCH(INDEX(Zeiterfassung!$K$6:$K$3665,$K2602),Zeiterfassung!$K$6:$K$3665,0))))</f>
        <v/>
      </c>
      <c r="J2602" s="335">
        <f>IF(B2602=B2601,"",IF($K2602="","",INDEX(Zeiterfassung!$J$6:$J$3665,MATCH(INDEX(Zeiterfassung!$K$6:$K$3665,$K2602),Zeiterfassung!$K$6:$K$3665,0))))</f>
        <v/>
      </c>
      <c r="K2602">
        <f>IFERROR(AGGREGATE(15,6,(ROW(Zeiterfassung!$D$6:$D$3665)-ROW(Zeiterfassung!$D$6)+1)/(Zeiterfassung!$D$6:$D$3665&lt;&gt;""),2597),"")</f>
        <v/>
      </c>
    </row>
    <row r="2603" ht="20" customHeight="1">
      <c r="A2603" s="183">
        <f>IF($K2603="","",WEEKNUM(INDEX(Zeiterfassung!$K$6:$K$3665,$K2603),21))</f>
        <v/>
      </c>
      <c r="B2603" s="184">
        <f>IF($K2603="","",INDEX(Zeiterfassung!$K$6:$K$3665,$K2603))</f>
        <v/>
      </c>
      <c r="C2603" s="185">
        <f>IF($K2603="","",INDEX(Zeiterfassung!$K$6:$K$3665,$K2603))</f>
        <v/>
      </c>
      <c r="D2603" s="186">
        <f>IF($K2603="","",INDEX(Zeiterfassung!$D$6:$D$3665,$K2603))</f>
        <v/>
      </c>
      <c r="E2603" s="186">
        <f>IF($K2603="","",INDEX(Zeiterfassung!$E$6:$E$3665,$K2603))</f>
        <v/>
      </c>
      <c r="F2603" s="187">
        <f>IF($K2603="","",INDEX(Zeiterfassung!$F$6:$F$3665,$K2603))</f>
        <v/>
      </c>
      <c r="G2603" s="187">
        <f>IF($K2603="","",INDEX(Zeiterfassung!$G$6:$G$3665,$K2603))</f>
        <v/>
      </c>
      <c r="H2603" s="188">
        <f>IF($K2603="","",INDEX(Zeiterfassung!$H$6:$H$3665,$K2603))</f>
        <v/>
      </c>
      <c r="I2603" s="335">
        <f>IF(B2603=B2602,"",IF($K2603="","",INDEX(Zeiterfassung!$I$6:$I$3665,MATCH(INDEX(Zeiterfassung!$K$6:$K$3665,$K2603),Zeiterfassung!$K$6:$K$3665,0))))</f>
        <v/>
      </c>
      <c r="J2603" s="335">
        <f>IF(B2603=B2602,"",IF($K2603="","",INDEX(Zeiterfassung!$J$6:$J$3665,MATCH(INDEX(Zeiterfassung!$K$6:$K$3665,$K2603),Zeiterfassung!$K$6:$K$3665,0))))</f>
        <v/>
      </c>
      <c r="K2603">
        <f>IFERROR(AGGREGATE(15,6,(ROW(Zeiterfassung!$D$6:$D$3665)-ROW(Zeiterfassung!$D$6)+1)/(Zeiterfassung!$D$6:$D$3665&lt;&gt;""),2598),"")</f>
        <v/>
      </c>
    </row>
    <row r="2604" ht="20" customHeight="1">
      <c r="A2604" s="183">
        <f>IF($K2604="","",WEEKNUM(INDEX(Zeiterfassung!$K$6:$K$3665,$K2604),21))</f>
        <v/>
      </c>
      <c r="B2604" s="184">
        <f>IF($K2604="","",INDEX(Zeiterfassung!$K$6:$K$3665,$K2604))</f>
        <v/>
      </c>
      <c r="C2604" s="185">
        <f>IF($K2604="","",INDEX(Zeiterfassung!$K$6:$K$3665,$K2604))</f>
        <v/>
      </c>
      <c r="D2604" s="186">
        <f>IF($K2604="","",INDEX(Zeiterfassung!$D$6:$D$3665,$K2604))</f>
        <v/>
      </c>
      <c r="E2604" s="186">
        <f>IF($K2604="","",INDEX(Zeiterfassung!$E$6:$E$3665,$K2604))</f>
        <v/>
      </c>
      <c r="F2604" s="187">
        <f>IF($K2604="","",INDEX(Zeiterfassung!$F$6:$F$3665,$K2604))</f>
        <v/>
      </c>
      <c r="G2604" s="187">
        <f>IF($K2604="","",INDEX(Zeiterfassung!$G$6:$G$3665,$K2604))</f>
        <v/>
      </c>
      <c r="H2604" s="188">
        <f>IF($K2604="","",INDEX(Zeiterfassung!$H$6:$H$3665,$K2604))</f>
        <v/>
      </c>
      <c r="I2604" s="335">
        <f>IF(B2604=B2603,"",IF($K2604="","",INDEX(Zeiterfassung!$I$6:$I$3665,MATCH(INDEX(Zeiterfassung!$K$6:$K$3665,$K2604),Zeiterfassung!$K$6:$K$3665,0))))</f>
        <v/>
      </c>
      <c r="J2604" s="335">
        <f>IF(B2604=B2603,"",IF($K2604="","",INDEX(Zeiterfassung!$J$6:$J$3665,MATCH(INDEX(Zeiterfassung!$K$6:$K$3665,$K2604),Zeiterfassung!$K$6:$K$3665,0))))</f>
        <v/>
      </c>
      <c r="K2604">
        <f>IFERROR(AGGREGATE(15,6,(ROW(Zeiterfassung!$D$6:$D$3665)-ROW(Zeiterfassung!$D$6)+1)/(Zeiterfassung!$D$6:$D$3665&lt;&gt;""),2599),"")</f>
        <v/>
      </c>
    </row>
    <row r="2605" ht="20" customHeight="1">
      <c r="A2605" s="183">
        <f>IF($K2605="","",WEEKNUM(INDEX(Zeiterfassung!$K$6:$K$3665,$K2605),21))</f>
        <v/>
      </c>
      <c r="B2605" s="184">
        <f>IF($K2605="","",INDEX(Zeiterfassung!$K$6:$K$3665,$K2605))</f>
        <v/>
      </c>
      <c r="C2605" s="185">
        <f>IF($K2605="","",INDEX(Zeiterfassung!$K$6:$K$3665,$K2605))</f>
        <v/>
      </c>
      <c r="D2605" s="186">
        <f>IF($K2605="","",INDEX(Zeiterfassung!$D$6:$D$3665,$K2605))</f>
        <v/>
      </c>
      <c r="E2605" s="186">
        <f>IF($K2605="","",INDEX(Zeiterfassung!$E$6:$E$3665,$K2605))</f>
        <v/>
      </c>
      <c r="F2605" s="187">
        <f>IF($K2605="","",INDEX(Zeiterfassung!$F$6:$F$3665,$K2605))</f>
        <v/>
      </c>
      <c r="G2605" s="187">
        <f>IF($K2605="","",INDEX(Zeiterfassung!$G$6:$G$3665,$K2605))</f>
        <v/>
      </c>
      <c r="H2605" s="188">
        <f>IF($K2605="","",INDEX(Zeiterfassung!$H$6:$H$3665,$K2605))</f>
        <v/>
      </c>
      <c r="I2605" s="335">
        <f>IF(B2605=B2604,"",IF($K2605="","",INDEX(Zeiterfassung!$I$6:$I$3665,MATCH(INDEX(Zeiterfassung!$K$6:$K$3665,$K2605),Zeiterfassung!$K$6:$K$3665,0))))</f>
        <v/>
      </c>
      <c r="J2605" s="335">
        <f>IF(B2605=B2604,"",IF($K2605="","",INDEX(Zeiterfassung!$J$6:$J$3665,MATCH(INDEX(Zeiterfassung!$K$6:$K$3665,$K2605),Zeiterfassung!$K$6:$K$3665,0))))</f>
        <v/>
      </c>
      <c r="K2605">
        <f>IFERROR(AGGREGATE(15,6,(ROW(Zeiterfassung!$D$6:$D$3665)-ROW(Zeiterfassung!$D$6)+1)/(Zeiterfassung!$D$6:$D$3665&lt;&gt;""),2600),"")</f>
        <v/>
      </c>
    </row>
    <row r="2606" ht="20" customHeight="1">
      <c r="A2606" s="183">
        <f>IF($K2606="","",WEEKNUM(INDEX(Zeiterfassung!$K$6:$K$3665,$K2606),21))</f>
        <v/>
      </c>
      <c r="B2606" s="184">
        <f>IF($K2606="","",INDEX(Zeiterfassung!$K$6:$K$3665,$K2606))</f>
        <v/>
      </c>
      <c r="C2606" s="185">
        <f>IF($K2606="","",INDEX(Zeiterfassung!$K$6:$K$3665,$K2606))</f>
        <v/>
      </c>
      <c r="D2606" s="186">
        <f>IF($K2606="","",INDEX(Zeiterfassung!$D$6:$D$3665,$K2606))</f>
        <v/>
      </c>
      <c r="E2606" s="186">
        <f>IF($K2606="","",INDEX(Zeiterfassung!$E$6:$E$3665,$K2606))</f>
        <v/>
      </c>
      <c r="F2606" s="187">
        <f>IF($K2606="","",INDEX(Zeiterfassung!$F$6:$F$3665,$K2606))</f>
        <v/>
      </c>
      <c r="G2606" s="187">
        <f>IF($K2606="","",INDEX(Zeiterfassung!$G$6:$G$3665,$K2606))</f>
        <v/>
      </c>
      <c r="H2606" s="188">
        <f>IF($K2606="","",INDEX(Zeiterfassung!$H$6:$H$3665,$K2606))</f>
        <v/>
      </c>
      <c r="I2606" s="335">
        <f>IF(B2606=B2605,"",IF($K2606="","",INDEX(Zeiterfassung!$I$6:$I$3665,MATCH(INDEX(Zeiterfassung!$K$6:$K$3665,$K2606),Zeiterfassung!$K$6:$K$3665,0))))</f>
        <v/>
      </c>
      <c r="J2606" s="335">
        <f>IF(B2606=B2605,"",IF($K2606="","",INDEX(Zeiterfassung!$J$6:$J$3665,MATCH(INDEX(Zeiterfassung!$K$6:$K$3665,$K2606),Zeiterfassung!$K$6:$K$3665,0))))</f>
        <v/>
      </c>
      <c r="K2606">
        <f>IFERROR(AGGREGATE(15,6,(ROW(Zeiterfassung!$D$6:$D$3665)-ROW(Zeiterfassung!$D$6)+1)/(Zeiterfassung!$D$6:$D$3665&lt;&gt;""),2601),"")</f>
        <v/>
      </c>
    </row>
    <row r="2607" ht="20" customHeight="1">
      <c r="A2607" s="183">
        <f>IF($K2607="","",WEEKNUM(INDEX(Zeiterfassung!$K$6:$K$3665,$K2607),21))</f>
        <v/>
      </c>
      <c r="B2607" s="184">
        <f>IF($K2607="","",INDEX(Zeiterfassung!$K$6:$K$3665,$K2607))</f>
        <v/>
      </c>
      <c r="C2607" s="185">
        <f>IF($K2607="","",INDEX(Zeiterfassung!$K$6:$K$3665,$K2607))</f>
        <v/>
      </c>
      <c r="D2607" s="186">
        <f>IF($K2607="","",INDEX(Zeiterfassung!$D$6:$D$3665,$K2607))</f>
        <v/>
      </c>
      <c r="E2607" s="186">
        <f>IF($K2607="","",INDEX(Zeiterfassung!$E$6:$E$3665,$K2607))</f>
        <v/>
      </c>
      <c r="F2607" s="187">
        <f>IF($K2607="","",INDEX(Zeiterfassung!$F$6:$F$3665,$K2607))</f>
        <v/>
      </c>
      <c r="G2607" s="187">
        <f>IF($K2607="","",INDEX(Zeiterfassung!$G$6:$G$3665,$K2607))</f>
        <v/>
      </c>
      <c r="H2607" s="188">
        <f>IF($K2607="","",INDEX(Zeiterfassung!$H$6:$H$3665,$K2607))</f>
        <v/>
      </c>
      <c r="I2607" s="335">
        <f>IF(B2607=B2606,"",IF($K2607="","",INDEX(Zeiterfassung!$I$6:$I$3665,MATCH(INDEX(Zeiterfassung!$K$6:$K$3665,$K2607),Zeiterfassung!$K$6:$K$3665,0))))</f>
        <v/>
      </c>
      <c r="J2607" s="335">
        <f>IF(B2607=B2606,"",IF($K2607="","",INDEX(Zeiterfassung!$J$6:$J$3665,MATCH(INDEX(Zeiterfassung!$K$6:$K$3665,$K2607),Zeiterfassung!$K$6:$K$3665,0))))</f>
        <v/>
      </c>
      <c r="K2607">
        <f>IFERROR(AGGREGATE(15,6,(ROW(Zeiterfassung!$D$6:$D$3665)-ROW(Zeiterfassung!$D$6)+1)/(Zeiterfassung!$D$6:$D$3665&lt;&gt;""),2602),"")</f>
        <v/>
      </c>
    </row>
    <row r="2608" ht="20" customHeight="1">
      <c r="A2608" s="183">
        <f>IF($K2608="","",WEEKNUM(INDEX(Zeiterfassung!$K$6:$K$3665,$K2608),21))</f>
        <v/>
      </c>
      <c r="B2608" s="184">
        <f>IF($K2608="","",INDEX(Zeiterfassung!$K$6:$K$3665,$K2608))</f>
        <v/>
      </c>
      <c r="C2608" s="185">
        <f>IF($K2608="","",INDEX(Zeiterfassung!$K$6:$K$3665,$K2608))</f>
        <v/>
      </c>
      <c r="D2608" s="186">
        <f>IF($K2608="","",INDEX(Zeiterfassung!$D$6:$D$3665,$K2608))</f>
        <v/>
      </c>
      <c r="E2608" s="186">
        <f>IF($K2608="","",INDEX(Zeiterfassung!$E$6:$E$3665,$K2608))</f>
        <v/>
      </c>
      <c r="F2608" s="187">
        <f>IF($K2608="","",INDEX(Zeiterfassung!$F$6:$F$3665,$K2608))</f>
        <v/>
      </c>
      <c r="G2608" s="187">
        <f>IF($K2608="","",INDEX(Zeiterfassung!$G$6:$G$3665,$K2608))</f>
        <v/>
      </c>
      <c r="H2608" s="188">
        <f>IF($K2608="","",INDEX(Zeiterfassung!$H$6:$H$3665,$K2608))</f>
        <v/>
      </c>
      <c r="I2608" s="335">
        <f>IF(B2608=B2607,"",IF($K2608="","",INDEX(Zeiterfassung!$I$6:$I$3665,MATCH(INDEX(Zeiterfassung!$K$6:$K$3665,$K2608),Zeiterfassung!$K$6:$K$3665,0))))</f>
        <v/>
      </c>
      <c r="J2608" s="335">
        <f>IF(B2608=B2607,"",IF($K2608="","",INDEX(Zeiterfassung!$J$6:$J$3665,MATCH(INDEX(Zeiterfassung!$K$6:$K$3665,$K2608),Zeiterfassung!$K$6:$K$3665,0))))</f>
        <v/>
      </c>
      <c r="K2608">
        <f>IFERROR(AGGREGATE(15,6,(ROW(Zeiterfassung!$D$6:$D$3665)-ROW(Zeiterfassung!$D$6)+1)/(Zeiterfassung!$D$6:$D$3665&lt;&gt;""),2603),"")</f>
        <v/>
      </c>
    </row>
    <row r="2609" ht="20" customHeight="1">
      <c r="A2609" s="183">
        <f>IF($K2609="","",WEEKNUM(INDEX(Zeiterfassung!$K$6:$K$3665,$K2609),21))</f>
        <v/>
      </c>
      <c r="B2609" s="184">
        <f>IF($K2609="","",INDEX(Zeiterfassung!$K$6:$K$3665,$K2609))</f>
        <v/>
      </c>
      <c r="C2609" s="185">
        <f>IF($K2609="","",INDEX(Zeiterfassung!$K$6:$K$3665,$K2609))</f>
        <v/>
      </c>
      <c r="D2609" s="186">
        <f>IF($K2609="","",INDEX(Zeiterfassung!$D$6:$D$3665,$K2609))</f>
        <v/>
      </c>
      <c r="E2609" s="186">
        <f>IF($K2609="","",INDEX(Zeiterfassung!$E$6:$E$3665,$K2609))</f>
        <v/>
      </c>
      <c r="F2609" s="187">
        <f>IF($K2609="","",INDEX(Zeiterfassung!$F$6:$F$3665,$K2609))</f>
        <v/>
      </c>
      <c r="G2609" s="187">
        <f>IF($K2609="","",INDEX(Zeiterfassung!$G$6:$G$3665,$K2609))</f>
        <v/>
      </c>
      <c r="H2609" s="188">
        <f>IF($K2609="","",INDEX(Zeiterfassung!$H$6:$H$3665,$K2609))</f>
        <v/>
      </c>
      <c r="I2609" s="335">
        <f>IF(B2609=B2608,"",IF($K2609="","",INDEX(Zeiterfassung!$I$6:$I$3665,MATCH(INDEX(Zeiterfassung!$K$6:$K$3665,$K2609),Zeiterfassung!$K$6:$K$3665,0))))</f>
        <v/>
      </c>
      <c r="J2609" s="335">
        <f>IF(B2609=B2608,"",IF($K2609="","",INDEX(Zeiterfassung!$J$6:$J$3665,MATCH(INDEX(Zeiterfassung!$K$6:$K$3665,$K2609),Zeiterfassung!$K$6:$K$3665,0))))</f>
        <v/>
      </c>
      <c r="K2609">
        <f>IFERROR(AGGREGATE(15,6,(ROW(Zeiterfassung!$D$6:$D$3665)-ROW(Zeiterfassung!$D$6)+1)/(Zeiterfassung!$D$6:$D$3665&lt;&gt;""),2604),"")</f>
        <v/>
      </c>
    </row>
    <row r="2610" ht="20" customHeight="1">
      <c r="A2610" s="183">
        <f>IF($K2610="","",WEEKNUM(INDEX(Zeiterfassung!$K$6:$K$3665,$K2610),21))</f>
        <v/>
      </c>
      <c r="B2610" s="184">
        <f>IF($K2610="","",INDEX(Zeiterfassung!$K$6:$K$3665,$K2610))</f>
        <v/>
      </c>
      <c r="C2610" s="185">
        <f>IF($K2610="","",INDEX(Zeiterfassung!$K$6:$K$3665,$K2610))</f>
        <v/>
      </c>
      <c r="D2610" s="186">
        <f>IF($K2610="","",INDEX(Zeiterfassung!$D$6:$D$3665,$K2610))</f>
        <v/>
      </c>
      <c r="E2610" s="186">
        <f>IF($K2610="","",INDEX(Zeiterfassung!$E$6:$E$3665,$K2610))</f>
        <v/>
      </c>
      <c r="F2610" s="187">
        <f>IF($K2610="","",INDEX(Zeiterfassung!$F$6:$F$3665,$K2610))</f>
        <v/>
      </c>
      <c r="G2610" s="187">
        <f>IF($K2610="","",INDEX(Zeiterfassung!$G$6:$G$3665,$K2610))</f>
        <v/>
      </c>
      <c r="H2610" s="188">
        <f>IF($K2610="","",INDEX(Zeiterfassung!$H$6:$H$3665,$K2610))</f>
        <v/>
      </c>
      <c r="I2610" s="335">
        <f>IF(B2610=B2609,"",IF($K2610="","",INDEX(Zeiterfassung!$I$6:$I$3665,MATCH(INDEX(Zeiterfassung!$K$6:$K$3665,$K2610),Zeiterfassung!$K$6:$K$3665,0))))</f>
        <v/>
      </c>
      <c r="J2610" s="335">
        <f>IF(B2610=B2609,"",IF($K2610="","",INDEX(Zeiterfassung!$J$6:$J$3665,MATCH(INDEX(Zeiterfassung!$K$6:$K$3665,$K2610),Zeiterfassung!$K$6:$K$3665,0))))</f>
        <v/>
      </c>
      <c r="K2610">
        <f>IFERROR(AGGREGATE(15,6,(ROW(Zeiterfassung!$D$6:$D$3665)-ROW(Zeiterfassung!$D$6)+1)/(Zeiterfassung!$D$6:$D$3665&lt;&gt;""),2605),"")</f>
        <v/>
      </c>
    </row>
    <row r="2611" ht="20" customHeight="1">
      <c r="A2611" s="183">
        <f>IF($K2611="","",WEEKNUM(INDEX(Zeiterfassung!$K$6:$K$3665,$K2611),21))</f>
        <v/>
      </c>
      <c r="B2611" s="184">
        <f>IF($K2611="","",INDEX(Zeiterfassung!$K$6:$K$3665,$K2611))</f>
        <v/>
      </c>
      <c r="C2611" s="185">
        <f>IF($K2611="","",INDEX(Zeiterfassung!$K$6:$K$3665,$K2611))</f>
        <v/>
      </c>
      <c r="D2611" s="186">
        <f>IF($K2611="","",INDEX(Zeiterfassung!$D$6:$D$3665,$K2611))</f>
        <v/>
      </c>
      <c r="E2611" s="186">
        <f>IF($K2611="","",INDEX(Zeiterfassung!$E$6:$E$3665,$K2611))</f>
        <v/>
      </c>
      <c r="F2611" s="187">
        <f>IF($K2611="","",INDEX(Zeiterfassung!$F$6:$F$3665,$K2611))</f>
        <v/>
      </c>
      <c r="G2611" s="187">
        <f>IF($K2611="","",INDEX(Zeiterfassung!$G$6:$G$3665,$K2611))</f>
        <v/>
      </c>
      <c r="H2611" s="188">
        <f>IF($K2611="","",INDEX(Zeiterfassung!$H$6:$H$3665,$K2611))</f>
        <v/>
      </c>
      <c r="I2611" s="335">
        <f>IF(B2611=B2610,"",IF($K2611="","",INDEX(Zeiterfassung!$I$6:$I$3665,MATCH(INDEX(Zeiterfassung!$K$6:$K$3665,$K2611),Zeiterfassung!$K$6:$K$3665,0))))</f>
        <v/>
      </c>
      <c r="J2611" s="335">
        <f>IF(B2611=B2610,"",IF($K2611="","",INDEX(Zeiterfassung!$J$6:$J$3665,MATCH(INDEX(Zeiterfassung!$K$6:$K$3665,$K2611),Zeiterfassung!$K$6:$K$3665,0))))</f>
        <v/>
      </c>
      <c r="K2611">
        <f>IFERROR(AGGREGATE(15,6,(ROW(Zeiterfassung!$D$6:$D$3665)-ROW(Zeiterfassung!$D$6)+1)/(Zeiterfassung!$D$6:$D$3665&lt;&gt;""),2606),"")</f>
        <v/>
      </c>
    </row>
    <row r="2612" ht="20" customHeight="1">
      <c r="A2612" s="183">
        <f>IF($K2612="","",WEEKNUM(INDEX(Zeiterfassung!$K$6:$K$3665,$K2612),21))</f>
        <v/>
      </c>
      <c r="B2612" s="184">
        <f>IF($K2612="","",INDEX(Zeiterfassung!$K$6:$K$3665,$K2612))</f>
        <v/>
      </c>
      <c r="C2612" s="185">
        <f>IF($K2612="","",INDEX(Zeiterfassung!$K$6:$K$3665,$K2612))</f>
        <v/>
      </c>
      <c r="D2612" s="186">
        <f>IF($K2612="","",INDEX(Zeiterfassung!$D$6:$D$3665,$K2612))</f>
        <v/>
      </c>
      <c r="E2612" s="186">
        <f>IF($K2612="","",INDEX(Zeiterfassung!$E$6:$E$3665,$K2612))</f>
        <v/>
      </c>
      <c r="F2612" s="187">
        <f>IF($K2612="","",INDEX(Zeiterfassung!$F$6:$F$3665,$K2612))</f>
        <v/>
      </c>
      <c r="G2612" s="187">
        <f>IF($K2612="","",INDEX(Zeiterfassung!$G$6:$G$3665,$K2612))</f>
        <v/>
      </c>
      <c r="H2612" s="188">
        <f>IF($K2612="","",INDEX(Zeiterfassung!$H$6:$H$3665,$K2612))</f>
        <v/>
      </c>
      <c r="I2612" s="335">
        <f>IF(B2612=B2611,"",IF($K2612="","",INDEX(Zeiterfassung!$I$6:$I$3665,MATCH(INDEX(Zeiterfassung!$K$6:$K$3665,$K2612),Zeiterfassung!$K$6:$K$3665,0))))</f>
        <v/>
      </c>
      <c r="J2612" s="335">
        <f>IF(B2612=B2611,"",IF($K2612="","",INDEX(Zeiterfassung!$J$6:$J$3665,MATCH(INDEX(Zeiterfassung!$K$6:$K$3665,$K2612),Zeiterfassung!$K$6:$K$3665,0))))</f>
        <v/>
      </c>
      <c r="K2612">
        <f>IFERROR(AGGREGATE(15,6,(ROW(Zeiterfassung!$D$6:$D$3665)-ROW(Zeiterfassung!$D$6)+1)/(Zeiterfassung!$D$6:$D$3665&lt;&gt;""),2607),"")</f>
        <v/>
      </c>
    </row>
    <row r="2613" ht="20" customHeight="1">
      <c r="A2613" s="183">
        <f>IF($K2613="","",WEEKNUM(INDEX(Zeiterfassung!$K$6:$K$3665,$K2613),21))</f>
        <v/>
      </c>
      <c r="B2613" s="184">
        <f>IF($K2613="","",INDEX(Zeiterfassung!$K$6:$K$3665,$K2613))</f>
        <v/>
      </c>
      <c r="C2613" s="185">
        <f>IF($K2613="","",INDEX(Zeiterfassung!$K$6:$K$3665,$K2613))</f>
        <v/>
      </c>
      <c r="D2613" s="186">
        <f>IF($K2613="","",INDEX(Zeiterfassung!$D$6:$D$3665,$K2613))</f>
        <v/>
      </c>
      <c r="E2613" s="186">
        <f>IF($K2613="","",INDEX(Zeiterfassung!$E$6:$E$3665,$K2613))</f>
        <v/>
      </c>
      <c r="F2613" s="187">
        <f>IF($K2613="","",INDEX(Zeiterfassung!$F$6:$F$3665,$K2613))</f>
        <v/>
      </c>
      <c r="G2613" s="187">
        <f>IF($K2613="","",INDEX(Zeiterfassung!$G$6:$G$3665,$K2613))</f>
        <v/>
      </c>
      <c r="H2613" s="188">
        <f>IF($K2613="","",INDEX(Zeiterfassung!$H$6:$H$3665,$K2613))</f>
        <v/>
      </c>
      <c r="I2613" s="335">
        <f>IF(B2613=B2612,"",IF($K2613="","",INDEX(Zeiterfassung!$I$6:$I$3665,MATCH(INDEX(Zeiterfassung!$K$6:$K$3665,$K2613),Zeiterfassung!$K$6:$K$3665,0))))</f>
        <v/>
      </c>
      <c r="J2613" s="335">
        <f>IF(B2613=B2612,"",IF($K2613="","",INDEX(Zeiterfassung!$J$6:$J$3665,MATCH(INDEX(Zeiterfassung!$K$6:$K$3665,$K2613),Zeiterfassung!$K$6:$K$3665,0))))</f>
        <v/>
      </c>
      <c r="K2613">
        <f>IFERROR(AGGREGATE(15,6,(ROW(Zeiterfassung!$D$6:$D$3665)-ROW(Zeiterfassung!$D$6)+1)/(Zeiterfassung!$D$6:$D$3665&lt;&gt;""),2608),"")</f>
        <v/>
      </c>
    </row>
    <row r="2614" ht="20" customHeight="1">
      <c r="A2614" s="183">
        <f>IF($K2614="","",WEEKNUM(INDEX(Zeiterfassung!$K$6:$K$3665,$K2614),21))</f>
        <v/>
      </c>
      <c r="B2614" s="184">
        <f>IF($K2614="","",INDEX(Zeiterfassung!$K$6:$K$3665,$K2614))</f>
        <v/>
      </c>
      <c r="C2614" s="185">
        <f>IF($K2614="","",INDEX(Zeiterfassung!$K$6:$K$3665,$K2614))</f>
        <v/>
      </c>
      <c r="D2614" s="186">
        <f>IF($K2614="","",INDEX(Zeiterfassung!$D$6:$D$3665,$K2614))</f>
        <v/>
      </c>
      <c r="E2614" s="186">
        <f>IF($K2614="","",INDEX(Zeiterfassung!$E$6:$E$3665,$K2614))</f>
        <v/>
      </c>
      <c r="F2614" s="187">
        <f>IF($K2614="","",INDEX(Zeiterfassung!$F$6:$F$3665,$K2614))</f>
        <v/>
      </c>
      <c r="G2614" s="187">
        <f>IF($K2614="","",INDEX(Zeiterfassung!$G$6:$G$3665,$K2614))</f>
        <v/>
      </c>
      <c r="H2614" s="188">
        <f>IF($K2614="","",INDEX(Zeiterfassung!$H$6:$H$3665,$K2614))</f>
        <v/>
      </c>
      <c r="I2614" s="335">
        <f>IF(B2614=B2613,"",IF($K2614="","",INDEX(Zeiterfassung!$I$6:$I$3665,MATCH(INDEX(Zeiterfassung!$K$6:$K$3665,$K2614),Zeiterfassung!$K$6:$K$3665,0))))</f>
        <v/>
      </c>
      <c r="J2614" s="335">
        <f>IF(B2614=B2613,"",IF($K2614="","",INDEX(Zeiterfassung!$J$6:$J$3665,MATCH(INDEX(Zeiterfassung!$K$6:$K$3665,$K2614),Zeiterfassung!$K$6:$K$3665,0))))</f>
        <v/>
      </c>
      <c r="K2614">
        <f>IFERROR(AGGREGATE(15,6,(ROW(Zeiterfassung!$D$6:$D$3665)-ROW(Zeiterfassung!$D$6)+1)/(Zeiterfassung!$D$6:$D$3665&lt;&gt;""),2609),"")</f>
        <v/>
      </c>
    </row>
    <row r="2615" ht="20" customHeight="1">
      <c r="A2615" s="183">
        <f>IF($K2615="","",WEEKNUM(INDEX(Zeiterfassung!$K$6:$K$3665,$K2615),21))</f>
        <v/>
      </c>
      <c r="B2615" s="184">
        <f>IF($K2615="","",INDEX(Zeiterfassung!$K$6:$K$3665,$K2615))</f>
        <v/>
      </c>
      <c r="C2615" s="185">
        <f>IF($K2615="","",INDEX(Zeiterfassung!$K$6:$K$3665,$K2615))</f>
        <v/>
      </c>
      <c r="D2615" s="186">
        <f>IF($K2615="","",INDEX(Zeiterfassung!$D$6:$D$3665,$K2615))</f>
        <v/>
      </c>
      <c r="E2615" s="186">
        <f>IF($K2615="","",INDEX(Zeiterfassung!$E$6:$E$3665,$K2615))</f>
        <v/>
      </c>
      <c r="F2615" s="187">
        <f>IF($K2615="","",INDEX(Zeiterfassung!$F$6:$F$3665,$K2615))</f>
        <v/>
      </c>
      <c r="G2615" s="187">
        <f>IF($K2615="","",INDEX(Zeiterfassung!$G$6:$G$3665,$K2615))</f>
        <v/>
      </c>
      <c r="H2615" s="188">
        <f>IF($K2615="","",INDEX(Zeiterfassung!$H$6:$H$3665,$K2615))</f>
        <v/>
      </c>
      <c r="I2615" s="335">
        <f>IF(B2615=B2614,"",IF($K2615="","",INDEX(Zeiterfassung!$I$6:$I$3665,MATCH(INDEX(Zeiterfassung!$K$6:$K$3665,$K2615),Zeiterfassung!$K$6:$K$3665,0))))</f>
        <v/>
      </c>
      <c r="J2615" s="335">
        <f>IF(B2615=B2614,"",IF($K2615="","",INDEX(Zeiterfassung!$J$6:$J$3665,MATCH(INDEX(Zeiterfassung!$K$6:$K$3665,$K2615),Zeiterfassung!$K$6:$K$3665,0))))</f>
        <v/>
      </c>
      <c r="K2615">
        <f>IFERROR(AGGREGATE(15,6,(ROW(Zeiterfassung!$D$6:$D$3665)-ROW(Zeiterfassung!$D$6)+1)/(Zeiterfassung!$D$6:$D$3665&lt;&gt;""),2610),"")</f>
        <v/>
      </c>
    </row>
    <row r="2616" ht="20" customHeight="1">
      <c r="A2616" s="183">
        <f>IF($K2616="","",WEEKNUM(INDEX(Zeiterfassung!$K$6:$K$3665,$K2616),21))</f>
        <v/>
      </c>
      <c r="B2616" s="184">
        <f>IF($K2616="","",INDEX(Zeiterfassung!$K$6:$K$3665,$K2616))</f>
        <v/>
      </c>
      <c r="C2616" s="185">
        <f>IF($K2616="","",INDEX(Zeiterfassung!$K$6:$K$3665,$K2616))</f>
        <v/>
      </c>
      <c r="D2616" s="186">
        <f>IF($K2616="","",INDEX(Zeiterfassung!$D$6:$D$3665,$K2616))</f>
        <v/>
      </c>
      <c r="E2616" s="186">
        <f>IF($K2616="","",INDEX(Zeiterfassung!$E$6:$E$3665,$K2616))</f>
        <v/>
      </c>
      <c r="F2616" s="187">
        <f>IF($K2616="","",INDEX(Zeiterfassung!$F$6:$F$3665,$K2616))</f>
        <v/>
      </c>
      <c r="G2616" s="187">
        <f>IF($K2616="","",INDEX(Zeiterfassung!$G$6:$G$3665,$K2616))</f>
        <v/>
      </c>
      <c r="H2616" s="188">
        <f>IF($K2616="","",INDEX(Zeiterfassung!$H$6:$H$3665,$K2616))</f>
        <v/>
      </c>
      <c r="I2616" s="335">
        <f>IF(B2616=B2615,"",IF($K2616="","",INDEX(Zeiterfassung!$I$6:$I$3665,MATCH(INDEX(Zeiterfassung!$K$6:$K$3665,$K2616),Zeiterfassung!$K$6:$K$3665,0))))</f>
        <v/>
      </c>
      <c r="J2616" s="335">
        <f>IF(B2616=B2615,"",IF($K2616="","",INDEX(Zeiterfassung!$J$6:$J$3665,MATCH(INDEX(Zeiterfassung!$K$6:$K$3665,$K2616),Zeiterfassung!$K$6:$K$3665,0))))</f>
        <v/>
      </c>
      <c r="K2616">
        <f>IFERROR(AGGREGATE(15,6,(ROW(Zeiterfassung!$D$6:$D$3665)-ROW(Zeiterfassung!$D$6)+1)/(Zeiterfassung!$D$6:$D$3665&lt;&gt;""),2611),"")</f>
        <v/>
      </c>
    </row>
    <row r="2617" ht="20" customHeight="1">
      <c r="A2617" s="183">
        <f>IF($K2617="","",WEEKNUM(INDEX(Zeiterfassung!$K$6:$K$3665,$K2617),21))</f>
        <v/>
      </c>
      <c r="B2617" s="184">
        <f>IF($K2617="","",INDEX(Zeiterfassung!$K$6:$K$3665,$K2617))</f>
        <v/>
      </c>
      <c r="C2617" s="185">
        <f>IF($K2617="","",INDEX(Zeiterfassung!$K$6:$K$3665,$K2617))</f>
        <v/>
      </c>
      <c r="D2617" s="186">
        <f>IF($K2617="","",INDEX(Zeiterfassung!$D$6:$D$3665,$K2617))</f>
        <v/>
      </c>
      <c r="E2617" s="186">
        <f>IF($K2617="","",INDEX(Zeiterfassung!$E$6:$E$3665,$K2617))</f>
        <v/>
      </c>
      <c r="F2617" s="187">
        <f>IF($K2617="","",INDEX(Zeiterfassung!$F$6:$F$3665,$K2617))</f>
        <v/>
      </c>
      <c r="G2617" s="187">
        <f>IF($K2617="","",INDEX(Zeiterfassung!$G$6:$G$3665,$K2617))</f>
        <v/>
      </c>
      <c r="H2617" s="188">
        <f>IF($K2617="","",INDEX(Zeiterfassung!$H$6:$H$3665,$K2617))</f>
        <v/>
      </c>
      <c r="I2617" s="335">
        <f>IF(B2617=B2616,"",IF($K2617="","",INDEX(Zeiterfassung!$I$6:$I$3665,MATCH(INDEX(Zeiterfassung!$K$6:$K$3665,$K2617),Zeiterfassung!$K$6:$K$3665,0))))</f>
        <v/>
      </c>
      <c r="J2617" s="335">
        <f>IF(B2617=B2616,"",IF($K2617="","",INDEX(Zeiterfassung!$J$6:$J$3665,MATCH(INDEX(Zeiterfassung!$K$6:$K$3665,$K2617),Zeiterfassung!$K$6:$K$3665,0))))</f>
        <v/>
      </c>
      <c r="K2617">
        <f>IFERROR(AGGREGATE(15,6,(ROW(Zeiterfassung!$D$6:$D$3665)-ROW(Zeiterfassung!$D$6)+1)/(Zeiterfassung!$D$6:$D$3665&lt;&gt;""),2612),"")</f>
        <v/>
      </c>
    </row>
    <row r="2618" ht="20" customHeight="1">
      <c r="A2618" s="183">
        <f>IF($K2618="","",WEEKNUM(INDEX(Zeiterfassung!$K$6:$K$3665,$K2618),21))</f>
        <v/>
      </c>
      <c r="B2618" s="184">
        <f>IF($K2618="","",INDEX(Zeiterfassung!$K$6:$K$3665,$K2618))</f>
        <v/>
      </c>
      <c r="C2618" s="185">
        <f>IF($K2618="","",INDEX(Zeiterfassung!$K$6:$K$3665,$K2618))</f>
        <v/>
      </c>
      <c r="D2618" s="186">
        <f>IF($K2618="","",INDEX(Zeiterfassung!$D$6:$D$3665,$K2618))</f>
        <v/>
      </c>
      <c r="E2618" s="186">
        <f>IF($K2618="","",INDEX(Zeiterfassung!$E$6:$E$3665,$K2618))</f>
        <v/>
      </c>
      <c r="F2618" s="187">
        <f>IF($K2618="","",INDEX(Zeiterfassung!$F$6:$F$3665,$K2618))</f>
        <v/>
      </c>
      <c r="G2618" s="187">
        <f>IF($K2618="","",INDEX(Zeiterfassung!$G$6:$G$3665,$K2618))</f>
        <v/>
      </c>
      <c r="H2618" s="188">
        <f>IF($K2618="","",INDEX(Zeiterfassung!$H$6:$H$3665,$K2618))</f>
        <v/>
      </c>
      <c r="I2618" s="335">
        <f>IF(B2618=B2617,"",IF($K2618="","",INDEX(Zeiterfassung!$I$6:$I$3665,MATCH(INDEX(Zeiterfassung!$K$6:$K$3665,$K2618),Zeiterfassung!$K$6:$K$3665,0))))</f>
        <v/>
      </c>
      <c r="J2618" s="335">
        <f>IF(B2618=B2617,"",IF($K2618="","",INDEX(Zeiterfassung!$J$6:$J$3665,MATCH(INDEX(Zeiterfassung!$K$6:$K$3665,$K2618),Zeiterfassung!$K$6:$K$3665,0))))</f>
        <v/>
      </c>
      <c r="K2618">
        <f>IFERROR(AGGREGATE(15,6,(ROW(Zeiterfassung!$D$6:$D$3665)-ROW(Zeiterfassung!$D$6)+1)/(Zeiterfassung!$D$6:$D$3665&lt;&gt;""),2613),"")</f>
        <v/>
      </c>
    </row>
    <row r="2619" ht="20" customHeight="1">
      <c r="A2619" s="183">
        <f>IF($K2619="","",WEEKNUM(INDEX(Zeiterfassung!$K$6:$K$3665,$K2619),21))</f>
        <v/>
      </c>
      <c r="B2619" s="184">
        <f>IF($K2619="","",INDEX(Zeiterfassung!$K$6:$K$3665,$K2619))</f>
        <v/>
      </c>
      <c r="C2619" s="185">
        <f>IF($K2619="","",INDEX(Zeiterfassung!$K$6:$K$3665,$K2619))</f>
        <v/>
      </c>
      <c r="D2619" s="186">
        <f>IF($K2619="","",INDEX(Zeiterfassung!$D$6:$D$3665,$K2619))</f>
        <v/>
      </c>
      <c r="E2619" s="186">
        <f>IF($K2619="","",INDEX(Zeiterfassung!$E$6:$E$3665,$K2619))</f>
        <v/>
      </c>
      <c r="F2619" s="187">
        <f>IF($K2619="","",INDEX(Zeiterfassung!$F$6:$F$3665,$K2619))</f>
        <v/>
      </c>
      <c r="G2619" s="187">
        <f>IF($K2619="","",INDEX(Zeiterfassung!$G$6:$G$3665,$K2619))</f>
        <v/>
      </c>
      <c r="H2619" s="188">
        <f>IF($K2619="","",INDEX(Zeiterfassung!$H$6:$H$3665,$K2619))</f>
        <v/>
      </c>
      <c r="I2619" s="335">
        <f>IF(B2619=B2618,"",IF($K2619="","",INDEX(Zeiterfassung!$I$6:$I$3665,MATCH(INDEX(Zeiterfassung!$K$6:$K$3665,$K2619),Zeiterfassung!$K$6:$K$3665,0))))</f>
        <v/>
      </c>
      <c r="J2619" s="335">
        <f>IF(B2619=B2618,"",IF($K2619="","",INDEX(Zeiterfassung!$J$6:$J$3665,MATCH(INDEX(Zeiterfassung!$K$6:$K$3665,$K2619),Zeiterfassung!$K$6:$K$3665,0))))</f>
        <v/>
      </c>
      <c r="K2619">
        <f>IFERROR(AGGREGATE(15,6,(ROW(Zeiterfassung!$D$6:$D$3665)-ROW(Zeiterfassung!$D$6)+1)/(Zeiterfassung!$D$6:$D$3665&lt;&gt;""),2614),"")</f>
        <v/>
      </c>
    </row>
    <row r="2620" ht="20" customHeight="1">
      <c r="A2620" s="183">
        <f>IF($K2620="","",WEEKNUM(INDEX(Zeiterfassung!$K$6:$K$3665,$K2620),21))</f>
        <v/>
      </c>
      <c r="B2620" s="184">
        <f>IF($K2620="","",INDEX(Zeiterfassung!$K$6:$K$3665,$K2620))</f>
        <v/>
      </c>
      <c r="C2620" s="185">
        <f>IF($K2620="","",INDEX(Zeiterfassung!$K$6:$K$3665,$K2620))</f>
        <v/>
      </c>
      <c r="D2620" s="186">
        <f>IF($K2620="","",INDEX(Zeiterfassung!$D$6:$D$3665,$K2620))</f>
        <v/>
      </c>
      <c r="E2620" s="186">
        <f>IF($K2620="","",INDEX(Zeiterfassung!$E$6:$E$3665,$K2620))</f>
        <v/>
      </c>
      <c r="F2620" s="187">
        <f>IF($K2620="","",INDEX(Zeiterfassung!$F$6:$F$3665,$K2620))</f>
        <v/>
      </c>
      <c r="G2620" s="187">
        <f>IF($K2620="","",INDEX(Zeiterfassung!$G$6:$G$3665,$K2620))</f>
        <v/>
      </c>
      <c r="H2620" s="188">
        <f>IF($K2620="","",INDEX(Zeiterfassung!$H$6:$H$3665,$K2620))</f>
        <v/>
      </c>
      <c r="I2620" s="335">
        <f>IF(B2620=B2619,"",IF($K2620="","",INDEX(Zeiterfassung!$I$6:$I$3665,MATCH(INDEX(Zeiterfassung!$K$6:$K$3665,$K2620),Zeiterfassung!$K$6:$K$3665,0))))</f>
        <v/>
      </c>
      <c r="J2620" s="335">
        <f>IF(B2620=B2619,"",IF($K2620="","",INDEX(Zeiterfassung!$J$6:$J$3665,MATCH(INDEX(Zeiterfassung!$K$6:$K$3665,$K2620),Zeiterfassung!$K$6:$K$3665,0))))</f>
        <v/>
      </c>
      <c r="K2620">
        <f>IFERROR(AGGREGATE(15,6,(ROW(Zeiterfassung!$D$6:$D$3665)-ROW(Zeiterfassung!$D$6)+1)/(Zeiterfassung!$D$6:$D$3665&lt;&gt;""),2615),"")</f>
        <v/>
      </c>
    </row>
    <row r="2621" ht="20" customHeight="1">
      <c r="A2621" s="183">
        <f>IF($K2621="","",WEEKNUM(INDEX(Zeiterfassung!$K$6:$K$3665,$K2621),21))</f>
        <v/>
      </c>
      <c r="B2621" s="184">
        <f>IF($K2621="","",INDEX(Zeiterfassung!$K$6:$K$3665,$K2621))</f>
        <v/>
      </c>
      <c r="C2621" s="185">
        <f>IF($K2621="","",INDEX(Zeiterfassung!$K$6:$K$3665,$K2621))</f>
        <v/>
      </c>
      <c r="D2621" s="186">
        <f>IF($K2621="","",INDEX(Zeiterfassung!$D$6:$D$3665,$K2621))</f>
        <v/>
      </c>
      <c r="E2621" s="186">
        <f>IF($K2621="","",INDEX(Zeiterfassung!$E$6:$E$3665,$K2621))</f>
        <v/>
      </c>
      <c r="F2621" s="187">
        <f>IF($K2621="","",INDEX(Zeiterfassung!$F$6:$F$3665,$K2621))</f>
        <v/>
      </c>
      <c r="G2621" s="187">
        <f>IF($K2621="","",INDEX(Zeiterfassung!$G$6:$G$3665,$K2621))</f>
        <v/>
      </c>
      <c r="H2621" s="188">
        <f>IF($K2621="","",INDEX(Zeiterfassung!$H$6:$H$3665,$K2621))</f>
        <v/>
      </c>
      <c r="I2621" s="335">
        <f>IF(B2621=B2620,"",IF($K2621="","",INDEX(Zeiterfassung!$I$6:$I$3665,MATCH(INDEX(Zeiterfassung!$K$6:$K$3665,$K2621),Zeiterfassung!$K$6:$K$3665,0))))</f>
        <v/>
      </c>
      <c r="J2621" s="335">
        <f>IF(B2621=B2620,"",IF($K2621="","",INDEX(Zeiterfassung!$J$6:$J$3665,MATCH(INDEX(Zeiterfassung!$K$6:$K$3665,$K2621),Zeiterfassung!$K$6:$K$3665,0))))</f>
        <v/>
      </c>
      <c r="K2621">
        <f>IFERROR(AGGREGATE(15,6,(ROW(Zeiterfassung!$D$6:$D$3665)-ROW(Zeiterfassung!$D$6)+1)/(Zeiterfassung!$D$6:$D$3665&lt;&gt;""),2616),"")</f>
        <v/>
      </c>
    </row>
    <row r="2622" ht="20" customHeight="1">
      <c r="A2622" s="183">
        <f>IF($K2622="","",WEEKNUM(INDEX(Zeiterfassung!$K$6:$K$3665,$K2622),21))</f>
        <v/>
      </c>
      <c r="B2622" s="184">
        <f>IF($K2622="","",INDEX(Zeiterfassung!$K$6:$K$3665,$K2622))</f>
        <v/>
      </c>
      <c r="C2622" s="185">
        <f>IF($K2622="","",INDEX(Zeiterfassung!$K$6:$K$3665,$K2622))</f>
        <v/>
      </c>
      <c r="D2622" s="186">
        <f>IF($K2622="","",INDEX(Zeiterfassung!$D$6:$D$3665,$K2622))</f>
        <v/>
      </c>
      <c r="E2622" s="186">
        <f>IF($K2622="","",INDEX(Zeiterfassung!$E$6:$E$3665,$K2622))</f>
        <v/>
      </c>
      <c r="F2622" s="187">
        <f>IF($K2622="","",INDEX(Zeiterfassung!$F$6:$F$3665,$K2622))</f>
        <v/>
      </c>
      <c r="G2622" s="187">
        <f>IF($K2622="","",INDEX(Zeiterfassung!$G$6:$G$3665,$K2622))</f>
        <v/>
      </c>
      <c r="H2622" s="188">
        <f>IF($K2622="","",INDEX(Zeiterfassung!$H$6:$H$3665,$K2622))</f>
        <v/>
      </c>
      <c r="I2622" s="335">
        <f>IF(B2622=B2621,"",IF($K2622="","",INDEX(Zeiterfassung!$I$6:$I$3665,MATCH(INDEX(Zeiterfassung!$K$6:$K$3665,$K2622),Zeiterfassung!$K$6:$K$3665,0))))</f>
        <v/>
      </c>
      <c r="J2622" s="335">
        <f>IF(B2622=B2621,"",IF($K2622="","",INDEX(Zeiterfassung!$J$6:$J$3665,MATCH(INDEX(Zeiterfassung!$K$6:$K$3665,$K2622),Zeiterfassung!$K$6:$K$3665,0))))</f>
        <v/>
      </c>
      <c r="K2622">
        <f>IFERROR(AGGREGATE(15,6,(ROW(Zeiterfassung!$D$6:$D$3665)-ROW(Zeiterfassung!$D$6)+1)/(Zeiterfassung!$D$6:$D$3665&lt;&gt;""),2617),"")</f>
        <v/>
      </c>
    </row>
    <row r="2623" ht="20" customHeight="1">
      <c r="A2623" s="183">
        <f>IF($K2623="","",WEEKNUM(INDEX(Zeiterfassung!$K$6:$K$3665,$K2623),21))</f>
        <v/>
      </c>
      <c r="B2623" s="184">
        <f>IF($K2623="","",INDEX(Zeiterfassung!$K$6:$K$3665,$K2623))</f>
        <v/>
      </c>
      <c r="C2623" s="185">
        <f>IF($K2623="","",INDEX(Zeiterfassung!$K$6:$K$3665,$K2623))</f>
        <v/>
      </c>
      <c r="D2623" s="186">
        <f>IF($K2623="","",INDEX(Zeiterfassung!$D$6:$D$3665,$K2623))</f>
        <v/>
      </c>
      <c r="E2623" s="186">
        <f>IF($K2623="","",INDEX(Zeiterfassung!$E$6:$E$3665,$K2623))</f>
        <v/>
      </c>
      <c r="F2623" s="187">
        <f>IF($K2623="","",INDEX(Zeiterfassung!$F$6:$F$3665,$K2623))</f>
        <v/>
      </c>
      <c r="G2623" s="187">
        <f>IF($K2623="","",INDEX(Zeiterfassung!$G$6:$G$3665,$K2623))</f>
        <v/>
      </c>
      <c r="H2623" s="188">
        <f>IF($K2623="","",INDEX(Zeiterfassung!$H$6:$H$3665,$K2623))</f>
        <v/>
      </c>
      <c r="I2623" s="335">
        <f>IF(B2623=B2622,"",IF($K2623="","",INDEX(Zeiterfassung!$I$6:$I$3665,MATCH(INDEX(Zeiterfassung!$K$6:$K$3665,$K2623),Zeiterfassung!$K$6:$K$3665,0))))</f>
        <v/>
      </c>
      <c r="J2623" s="335">
        <f>IF(B2623=B2622,"",IF($K2623="","",INDEX(Zeiterfassung!$J$6:$J$3665,MATCH(INDEX(Zeiterfassung!$K$6:$K$3665,$K2623),Zeiterfassung!$K$6:$K$3665,0))))</f>
        <v/>
      </c>
      <c r="K2623">
        <f>IFERROR(AGGREGATE(15,6,(ROW(Zeiterfassung!$D$6:$D$3665)-ROW(Zeiterfassung!$D$6)+1)/(Zeiterfassung!$D$6:$D$3665&lt;&gt;""),2618),"")</f>
        <v/>
      </c>
    </row>
    <row r="2624" ht="20" customHeight="1">
      <c r="A2624" s="183">
        <f>IF($K2624="","",WEEKNUM(INDEX(Zeiterfassung!$K$6:$K$3665,$K2624),21))</f>
        <v/>
      </c>
      <c r="B2624" s="184">
        <f>IF($K2624="","",INDEX(Zeiterfassung!$K$6:$K$3665,$K2624))</f>
        <v/>
      </c>
      <c r="C2624" s="185">
        <f>IF($K2624="","",INDEX(Zeiterfassung!$K$6:$K$3665,$K2624))</f>
        <v/>
      </c>
      <c r="D2624" s="186">
        <f>IF($K2624="","",INDEX(Zeiterfassung!$D$6:$D$3665,$K2624))</f>
        <v/>
      </c>
      <c r="E2624" s="186">
        <f>IF($K2624="","",INDEX(Zeiterfassung!$E$6:$E$3665,$K2624))</f>
        <v/>
      </c>
      <c r="F2624" s="187">
        <f>IF($K2624="","",INDEX(Zeiterfassung!$F$6:$F$3665,$K2624))</f>
        <v/>
      </c>
      <c r="G2624" s="187">
        <f>IF($K2624="","",INDEX(Zeiterfassung!$G$6:$G$3665,$K2624))</f>
        <v/>
      </c>
      <c r="H2624" s="188">
        <f>IF($K2624="","",INDEX(Zeiterfassung!$H$6:$H$3665,$K2624))</f>
        <v/>
      </c>
      <c r="I2624" s="335">
        <f>IF(B2624=B2623,"",IF($K2624="","",INDEX(Zeiterfassung!$I$6:$I$3665,MATCH(INDEX(Zeiterfassung!$K$6:$K$3665,$K2624),Zeiterfassung!$K$6:$K$3665,0))))</f>
        <v/>
      </c>
      <c r="J2624" s="335">
        <f>IF(B2624=B2623,"",IF($K2624="","",INDEX(Zeiterfassung!$J$6:$J$3665,MATCH(INDEX(Zeiterfassung!$K$6:$K$3665,$K2624),Zeiterfassung!$K$6:$K$3665,0))))</f>
        <v/>
      </c>
      <c r="K2624">
        <f>IFERROR(AGGREGATE(15,6,(ROW(Zeiterfassung!$D$6:$D$3665)-ROW(Zeiterfassung!$D$6)+1)/(Zeiterfassung!$D$6:$D$3665&lt;&gt;""),2619),"")</f>
        <v/>
      </c>
    </row>
    <row r="2625" ht="20" customHeight="1">
      <c r="A2625" s="183">
        <f>IF($K2625="","",WEEKNUM(INDEX(Zeiterfassung!$K$6:$K$3665,$K2625),21))</f>
        <v/>
      </c>
      <c r="B2625" s="184">
        <f>IF($K2625="","",INDEX(Zeiterfassung!$K$6:$K$3665,$K2625))</f>
        <v/>
      </c>
      <c r="C2625" s="185">
        <f>IF($K2625="","",INDEX(Zeiterfassung!$K$6:$K$3665,$K2625))</f>
        <v/>
      </c>
      <c r="D2625" s="186">
        <f>IF($K2625="","",INDEX(Zeiterfassung!$D$6:$D$3665,$K2625))</f>
        <v/>
      </c>
      <c r="E2625" s="186">
        <f>IF($K2625="","",INDEX(Zeiterfassung!$E$6:$E$3665,$K2625))</f>
        <v/>
      </c>
      <c r="F2625" s="187">
        <f>IF($K2625="","",INDEX(Zeiterfassung!$F$6:$F$3665,$K2625))</f>
        <v/>
      </c>
      <c r="G2625" s="187">
        <f>IF($K2625="","",INDEX(Zeiterfassung!$G$6:$G$3665,$K2625))</f>
        <v/>
      </c>
      <c r="H2625" s="188">
        <f>IF($K2625="","",INDEX(Zeiterfassung!$H$6:$H$3665,$K2625))</f>
        <v/>
      </c>
      <c r="I2625" s="335">
        <f>IF(B2625=B2624,"",IF($K2625="","",INDEX(Zeiterfassung!$I$6:$I$3665,MATCH(INDEX(Zeiterfassung!$K$6:$K$3665,$K2625),Zeiterfassung!$K$6:$K$3665,0))))</f>
        <v/>
      </c>
      <c r="J2625" s="335">
        <f>IF(B2625=B2624,"",IF($K2625="","",INDEX(Zeiterfassung!$J$6:$J$3665,MATCH(INDEX(Zeiterfassung!$K$6:$K$3665,$K2625),Zeiterfassung!$K$6:$K$3665,0))))</f>
        <v/>
      </c>
      <c r="K2625">
        <f>IFERROR(AGGREGATE(15,6,(ROW(Zeiterfassung!$D$6:$D$3665)-ROW(Zeiterfassung!$D$6)+1)/(Zeiterfassung!$D$6:$D$3665&lt;&gt;""),2620),"")</f>
        <v/>
      </c>
    </row>
    <row r="2626" ht="20" customHeight="1">
      <c r="A2626" s="183">
        <f>IF($K2626="","",WEEKNUM(INDEX(Zeiterfassung!$K$6:$K$3665,$K2626),21))</f>
        <v/>
      </c>
      <c r="B2626" s="184">
        <f>IF($K2626="","",INDEX(Zeiterfassung!$K$6:$K$3665,$K2626))</f>
        <v/>
      </c>
      <c r="C2626" s="185">
        <f>IF($K2626="","",INDEX(Zeiterfassung!$K$6:$K$3665,$K2626))</f>
        <v/>
      </c>
      <c r="D2626" s="186">
        <f>IF($K2626="","",INDEX(Zeiterfassung!$D$6:$D$3665,$K2626))</f>
        <v/>
      </c>
      <c r="E2626" s="186">
        <f>IF($K2626="","",INDEX(Zeiterfassung!$E$6:$E$3665,$K2626))</f>
        <v/>
      </c>
      <c r="F2626" s="187">
        <f>IF($K2626="","",INDEX(Zeiterfassung!$F$6:$F$3665,$K2626))</f>
        <v/>
      </c>
      <c r="G2626" s="187">
        <f>IF($K2626="","",INDEX(Zeiterfassung!$G$6:$G$3665,$K2626))</f>
        <v/>
      </c>
      <c r="H2626" s="188">
        <f>IF($K2626="","",INDEX(Zeiterfassung!$H$6:$H$3665,$K2626))</f>
        <v/>
      </c>
      <c r="I2626" s="335">
        <f>IF(B2626=B2625,"",IF($K2626="","",INDEX(Zeiterfassung!$I$6:$I$3665,MATCH(INDEX(Zeiterfassung!$K$6:$K$3665,$K2626),Zeiterfassung!$K$6:$K$3665,0))))</f>
        <v/>
      </c>
      <c r="J2626" s="335">
        <f>IF(B2626=B2625,"",IF($K2626="","",INDEX(Zeiterfassung!$J$6:$J$3665,MATCH(INDEX(Zeiterfassung!$K$6:$K$3665,$K2626),Zeiterfassung!$K$6:$K$3665,0))))</f>
        <v/>
      </c>
      <c r="K2626">
        <f>IFERROR(AGGREGATE(15,6,(ROW(Zeiterfassung!$D$6:$D$3665)-ROW(Zeiterfassung!$D$6)+1)/(Zeiterfassung!$D$6:$D$3665&lt;&gt;""),2621),"")</f>
        <v/>
      </c>
    </row>
    <row r="2627" ht="20" customHeight="1">
      <c r="A2627" s="183">
        <f>IF($K2627="","",WEEKNUM(INDEX(Zeiterfassung!$K$6:$K$3665,$K2627),21))</f>
        <v/>
      </c>
      <c r="B2627" s="184">
        <f>IF($K2627="","",INDEX(Zeiterfassung!$K$6:$K$3665,$K2627))</f>
        <v/>
      </c>
      <c r="C2627" s="185">
        <f>IF($K2627="","",INDEX(Zeiterfassung!$K$6:$K$3665,$K2627))</f>
        <v/>
      </c>
      <c r="D2627" s="186">
        <f>IF($K2627="","",INDEX(Zeiterfassung!$D$6:$D$3665,$K2627))</f>
        <v/>
      </c>
      <c r="E2627" s="186">
        <f>IF($K2627="","",INDEX(Zeiterfassung!$E$6:$E$3665,$K2627))</f>
        <v/>
      </c>
      <c r="F2627" s="187">
        <f>IF($K2627="","",INDEX(Zeiterfassung!$F$6:$F$3665,$K2627))</f>
        <v/>
      </c>
      <c r="G2627" s="187">
        <f>IF($K2627="","",INDEX(Zeiterfassung!$G$6:$G$3665,$K2627))</f>
        <v/>
      </c>
      <c r="H2627" s="188">
        <f>IF($K2627="","",INDEX(Zeiterfassung!$H$6:$H$3665,$K2627))</f>
        <v/>
      </c>
      <c r="I2627" s="335">
        <f>IF(B2627=B2626,"",IF($K2627="","",INDEX(Zeiterfassung!$I$6:$I$3665,MATCH(INDEX(Zeiterfassung!$K$6:$K$3665,$K2627),Zeiterfassung!$K$6:$K$3665,0))))</f>
        <v/>
      </c>
      <c r="J2627" s="335">
        <f>IF(B2627=B2626,"",IF($K2627="","",INDEX(Zeiterfassung!$J$6:$J$3665,MATCH(INDEX(Zeiterfassung!$K$6:$K$3665,$K2627),Zeiterfassung!$K$6:$K$3665,0))))</f>
        <v/>
      </c>
      <c r="K2627">
        <f>IFERROR(AGGREGATE(15,6,(ROW(Zeiterfassung!$D$6:$D$3665)-ROW(Zeiterfassung!$D$6)+1)/(Zeiterfassung!$D$6:$D$3665&lt;&gt;""),2622),"")</f>
        <v/>
      </c>
    </row>
    <row r="2628" ht="20" customHeight="1">
      <c r="A2628" s="183">
        <f>IF($K2628="","",WEEKNUM(INDEX(Zeiterfassung!$K$6:$K$3665,$K2628),21))</f>
        <v/>
      </c>
      <c r="B2628" s="184">
        <f>IF($K2628="","",INDEX(Zeiterfassung!$K$6:$K$3665,$K2628))</f>
        <v/>
      </c>
      <c r="C2628" s="185">
        <f>IF($K2628="","",INDEX(Zeiterfassung!$K$6:$K$3665,$K2628))</f>
        <v/>
      </c>
      <c r="D2628" s="186">
        <f>IF($K2628="","",INDEX(Zeiterfassung!$D$6:$D$3665,$K2628))</f>
        <v/>
      </c>
      <c r="E2628" s="186">
        <f>IF($K2628="","",INDEX(Zeiterfassung!$E$6:$E$3665,$K2628))</f>
        <v/>
      </c>
      <c r="F2628" s="187">
        <f>IF($K2628="","",INDEX(Zeiterfassung!$F$6:$F$3665,$K2628))</f>
        <v/>
      </c>
      <c r="G2628" s="187">
        <f>IF($K2628="","",INDEX(Zeiterfassung!$G$6:$G$3665,$K2628))</f>
        <v/>
      </c>
      <c r="H2628" s="188">
        <f>IF($K2628="","",INDEX(Zeiterfassung!$H$6:$H$3665,$K2628))</f>
        <v/>
      </c>
      <c r="I2628" s="335">
        <f>IF(B2628=B2627,"",IF($K2628="","",INDEX(Zeiterfassung!$I$6:$I$3665,MATCH(INDEX(Zeiterfassung!$K$6:$K$3665,$K2628),Zeiterfassung!$K$6:$K$3665,0))))</f>
        <v/>
      </c>
      <c r="J2628" s="335">
        <f>IF(B2628=B2627,"",IF($K2628="","",INDEX(Zeiterfassung!$J$6:$J$3665,MATCH(INDEX(Zeiterfassung!$K$6:$K$3665,$K2628),Zeiterfassung!$K$6:$K$3665,0))))</f>
        <v/>
      </c>
      <c r="K2628">
        <f>IFERROR(AGGREGATE(15,6,(ROW(Zeiterfassung!$D$6:$D$3665)-ROW(Zeiterfassung!$D$6)+1)/(Zeiterfassung!$D$6:$D$3665&lt;&gt;""),2623),"")</f>
        <v/>
      </c>
    </row>
    <row r="2629" ht="20" customHeight="1">
      <c r="A2629" s="183">
        <f>IF($K2629="","",WEEKNUM(INDEX(Zeiterfassung!$K$6:$K$3665,$K2629),21))</f>
        <v/>
      </c>
      <c r="B2629" s="184">
        <f>IF($K2629="","",INDEX(Zeiterfassung!$K$6:$K$3665,$K2629))</f>
        <v/>
      </c>
      <c r="C2629" s="185">
        <f>IF($K2629="","",INDEX(Zeiterfassung!$K$6:$K$3665,$K2629))</f>
        <v/>
      </c>
      <c r="D2629" s="186">
        <f>IF($K2629="","",INDEX(Zeiterfassung!$D$6:$D$3665,$K2629))</f>
        <v/>
      </c>
      <c r="E2629" s="186">
        <f>IF($K2629="","",INDEX(Zeiterfassung!$E$6:$E$3665,$K2629))</f>
        <v/>
      </c>
      <c r="F2629" s="187">
        <f>IF($K2629="","",INDEX(Zeiterfassung!$F$6:$F$3665,$K2629))</f>
        <v/>
      </c>
      <c r="G2629" s="187">
        <f>IF($K2629="","",INDEX(Zeiterfassung!$G$6:$G$3665,$K2629))</f>
        <v/>
      </c>
      <c r="H2629" s="188">
        <f>IF($K2629="","",INDEX(Zeiterfassung!$H$6:$H$3665,$K2629))</f>
        <v/>
      </c>
      <c r="I2629" s="335">
        <f>IF(B2629=B2628,"",IF($K2629="","",INDEX(Zeiterfassung!$I$6:$I$3665,MATCH(INDEX(Zeiterfassung!$K$6:$K$3665,$K2629),Zeiterfassung!$K$6:$K$3665,0))))</f>
        <v/>
      </c>
      <c r="J2629" s="335">
        <f>IF(B2629=B2628,"",IF($K2629="","",INDEX(Zeiterfassung!$J$6:$J$3665,MATCH(INDEX(Zeiterfassung!$K$6:$K$3665,$K2629),Zeiterfassung!$K$6:$K$3665,0))))</f>
        <v/>
      </c>
      <c r="K2629">
        <f>IFERROR(AGGREGATE(15,6,(ROW(Zeiterfassung!$D$6:$D$3665)-ROW(Zeiterfassung!$D$6)+1)/(Zeiterfassung!$D$6:$D$3665&lt;&gt;""),2624),"")</f>
        <v/>
      </c>
    </row>
    <row r="2630" ht="20" customHeight="1">
      <c r="A2630" s="183">
        <f>IF($K2630="","",WEEKNUM(INDEX(Zeiterfassung!$K$6:$K$3665,$K2630),21))</f>
        <v/>
      </c>
      <c r="B2630" s="184">
        <f>IF($K2630="","",INDEX(Zeiterfassung!$K$6:$K$3665,$K2630))</f>
        <v/>
      </c>
      <c r="C2630" s="185">
        <f>IF($K2630="","",INDEX(Zeiterfassung!$K$6:$K$3665,$K2630))</f>
        <v/>
      </c>
      <c r="D2630" s="186">
        <f>IF($K2630="","",INDEX(Zeiterfassung!$D$6:$D$3665,$K2630))</f>
        <v/>
      </c>
      <c r="E2630" s="186">
        <f>IF($K2630="","",INDEX(Zeiterfassung!$E$6:$E$3665,$K2630))</f>
        <v/>
      </c>
      <c r="F2630" s="187">
        <f>IF($K2630="","",INDEX(Zeiterfassung!$F$6:$F$3665,$K2630))</f>
        <v/>
      </c>
      <c r="G2630" s="187">
        <f>IF($K2630="","",INDEX(Zeiterfassung!$G$6:$G$3665,$K2630))</f>
        <v/>
      </c>
      <c r="H2630" s="188">
        <f>IF($K2630="","",INDEX(Zeiterfassung!$H$6:$H$3665,$K2630))</f>
        <v/>
      </c>
      <c r="I2630" s="335">
        <f>IF(B2630=B2629,"",IF($K2630="","",INDEX(Zeiterfassung!$I$6:$I$3665,MATCH(INDEX(Zeiterfassung!$K$6:$K$3665,$K2630),Zeiterfassung!$K$6:$K$3665,0))))</f>
        <v/>
      </c>
      <c r="J2630" s="335">
        <f>IF(B2630=B2629,"",IF($K2630="","",INDEX(Zeiterfassung!$J$6:$J$3665,MATCH(INDEX(Zeiterfassung!$K$6:$K$3665,$K2630),Zeiterfassung!$K$6:$K$3665,0))))</f>
        <v/>
      </c>
      <c r="K2630">
        <f>IFERROR(AGGREGATE(15,6,(ROW(Zeiterfassung!$D$6:$D$3665)-ROW(Zeiterfassung!$D$6)+1)/(Zeiterfassung!$D$6:$D$3665&lt;&gt;""),2625),"")</f>
        <v/>
      </c>
    </row>
    <row r="2631" ht="20" customHeight="1">
      <c r="A2631" s="183">
        <f>IF($K2631="","",WEEKNUM(INDEX(Zeiterfassung!$K$6:$K$3665,$K2631),21))</f>
        <v/>
      </c>
      <c r="B2631" s="184">
        <f>IF($K2631="","",INDEX(Zeiterfassung!$K$6:$K$3665,$K2631))</f>
        <v/>
      </c>
      <c r="C2631" s="185">
        <f>IF($K2631="","",INDEX(Zeiterfassung!$K$6:$K$3665,$K2631))</f>
        <v/>
      </c>
      <c r="D2631" s="186">
        <f>IF($K2631="","",INDEX(Zeiterfassung!$D$6:$D$3665,$K2631))</f>
        <v/>
      </c>
      <c r="E2631" s="186">
        <f>IF($K2631="","",INDEX(Zeiterfassung!$E$6:$E$3665,$K2631))</f>
        <v/>
      </c>
      <c r="F2631" s="187">
        <f>IF($K2631="","",INDEX(Zeiterfassung!$F$6:$F$3665,$K2631))</f>
        <v/>
      </c>
      <c r="G2631" s="187">
        <f>IF($K2631="","",INDEX(Zeiterfassung!$G$6:$G$3665,$K2631))</f>
        <v/>
      </c>
      <c r="H2631" s="188">
        <f>IF($K2631="","",INDEX(Zeiterfassung!$H$6:$H$3665,$K2631))</f>
        <v/>
      </c>
      <c r="I2631" s="335">
        <f>IF(B2631=B2630,"",IF($K2631="","",INDEX(Zeiterfassung!$I$6:$I$3665,MATCH(INDEX(Zeiterfassung!$K$6:$K$3665,$K2631),Zeiterfassung!$K$6:$K$3665,0))))</f>
        <v/>
      </c>
      <c r="J2631" s="335">
        <f>IF(B2631=B2630,"",IF($K2631="","",INDEX(Zeiterfassung!$J$6:$J$3665,MATCH(INDEX(Zeiterfassung!$K$6:$K$3665,$K2631),Zeiterfassung!$K$6:$K$3665,0))))</f>
        <v/>
      </c>
      <c r="K2631">
        <f>IFERROR(AGGREGATE(15,6,(ROW(Zeiterfassung!$D$6:$D$3665)-ROW(Zeiterfassung!$D$6)+1)/(Zeiterfassung!$D$6:$D$3665&lt;&gt;""),2626),"")</f>
        <v/>
      </c>
    </row>
    <row r="2632" ht="20" customHeight="1">
      <c r="A2632" s="183">
        <f>IF($K2632="","",WEEKNUM(INDEX(Zeiterfassung!$K$6:$K$3665,$K2632),21))</f>
        <v/>
      </c>
      <c r="B2632" s="184">
        <f>IF($K2632="","",INDEX(Zeiterfassung!$K$6:$K$3665,$K2632))</f>
        <v/>
      </c>
      <c r="C2632" s="185">
        <f>IF($K2632="","",INDEX(Zeiterfassung!$K$6:$K$3665,$K2632))</f>
        <v/>
      </c>
      <c r="D2632" s="186">
        <f>IF($K2632="","",INDEX(Zeiterfassung!$D$6:$D$3665,$K2632))</f>
        <v/>
      </c>
      <c r="E2632" s="186">
        <f>IF($K2632="","",INDEX(Zeiterfassung!$E$6:$E$3665,$K2632))</f>
        <v/>
      </c>
      <c r="F2632" s="187">
        <f>IF($K2632="","",INDEX(Zeiterfassung!$F$6:$F$3665,$K2632))</f>
        <v/>
      </c>
      <c r="G2632" s="187">
        <f>IF($K2632="","",INDEX(Zeiterfassung!$G$6:$G$3665,$K2632))</f>
        <v/>
      </c>
      <c r="H2632" s="188">
        <f>IF($K2632="","",INDEX(Zeiterfassung!$H$6:$H$3665,$K2632))</f>
        <v/>
      </c>
      <c r="I2632" s="335">
        <f>IF(B2632=B2631,"",IF($K2632="","",INDEX(Zeiterfassung!$I$6:$I$3665,MATCH(INDEX(Zeiterfassung!$K$6:$K$3665,$K2632),Zeiterfassung!$K$6:$K$3665,0))))</f>
        <v/>
      </c>
      <c r="J2632" s="335">
        <f>IF(B2632=B2631,"",IF($K2632="","",INDEX(Zeiterfassung!$J$6:$J$3665,MATCH(INDEX(Zeiterfassung!$K$6:$K$3665,$K2632),Zeiterfassung!$K$6:$K$3665,0))))</f>
        <v/>
      </c>
      <c r="K2632">
        <f>IFERROR(AGGREGATE(15,6,(ROW(Zeiterfassung!$D$6:$D$3665)-ROW(Zeiterfassung!$D$6)+1)/(Zeiterfassung!$D$6:$D$3665&lt;&gt;""),2627),"")</f>
        <v/>
      </c>
    </row>
    <row r="2633" ht="20" customHeight="1">
      <c r="A2633" s="183">
        <f>IF($K2633="","",WEEKNUM(INDEX(Zeiterfassung!$K$6:$K$3665,$K2633),21))</f>
        <v/>
      </c>
      <c r="B2633" s="184">
        <f>IF($K2633="","",INDEX(Zeiterfassung!$K$6:$K$3665,$K2633))</f>
        <v/>
      </c>
      <c r="C2633" s="185">
        <f>IF($K2633="","",INDEX(Zeiterfassung!$K$6:$K$3665,$K2633))</f>
        <v/>
      </c>
      <c r="D2633" s="186">
        <f>IF($K2633="","",INDEX(Zeiterfassung!$D$6:$D$3665,$K2633))</f>
        <v/>
      </c>
      <c r="E2633" s="186">
        <f>IF($K2633="","",INDEX(Zeiterfassung!$E$6:$E$3665,$K2633))</f>
        <v/>
      </c>
      <c r="F2633" s="187">
        <f>IF($K2633="","",INDEX(Zeiterfassung!$F$6:$F$3665,$K2633))</f>
        <v/>
      </c>
      <c r="G2633" s="187">
        <f>IF($K2633="","",INDEX(Zeiterfassung!$G$6:$G$3665,$K2633))</f>
        <v/>
      </c>
      <c r="H2633" s="188">
        <f>IF($K2633="","",INDEX(Zeiterfassung!$H$6:$H$3665,$K2633))</f>
        <v/>
      </c>
      <c r="I2633" s="335">
        <f>IF(B2633=B2632,"",IF($K2633="","",INDEX(Zeiterfassung!$I$6:$I$3665,MATCH(INDEX(Zeiterfassung!$K$6:$K$3665,$K2633),Zeiterfassung!$K$6:$K$3665,0))))</f>
        <v/>
      </c>
      <c r="J2633" s="335">
        <f>IF(B2633=B2632,"",IF($K2633="","",INDEX(Zeiterfassung!$J$6:$J$3665,MATCH(INDEX(Zeiterfassung!$K$6:$K$3665,$K2633),Zeiterfassung!$K$6:$K$3665,0))))</f>
        <v/>
      </c>
      <c r="K2633">
        <f>IFERROR(AGGREGATE(15,6,(ROW(Zeiterfassung!$D$6:$D$3665)-ROW(Zeiterfassung!$D$6)+1)/(Zeiterfassung!$D$6:$D$3665&lt;&gt;""),2628),"")</f>
        <v/>
      </c>
    </row>
    <row r="2634" ht="20" customHeight="1">
      <c r="A2634" s="183">
        <f>IF($K2634="","",WEEKNUM(INDEX(Zeiterfassung!$K$6:$K$3665,$K2634),21))</f>
        <v/>
      </c>
      <c r="B2634" s="184">
        <f>IF($K2634="","",INDEX(Zeiterfassung!$K$6:$K$3665,$K2634))</f>
        <v/>
      </c>
      <c r="C2634" s="185">
        <f>IF($K2634="","",INDEX(Zeiterfassung!$K$6:$K$3665,$K2634))</f>
        <v/>
      </c>
      <c r="D2634" s="186">
        <f>IF($K2634="","",INDEX(Zeiterfassung!$D$6:$D$3665,$K2634))</f>
        <v/>
      </c>
      <c r="E2634" s="186">
        <f>IF($K2634="","",INDEX(Zeiterfassung!$E$6:$E$3665,$K2634))</f>
        <v/>
      </c>
      <c r="F2634" s="187">
        <f>IF($K2634="","",INDEX(Zeiterfassung!$F$6:$F$3665,$K2634))</f>
        <v/>
      </c>
      <c r="G2634" s="187">
        <f>IF($K2634="","",INDEX(Zeiterfassung!$G$6:$G$3665,$K2634))</f>
        <v/>
      </c>
      <c r="H2634" s="188">
        <f>IF($K2634="","",INDEX(Zeiterfassung!$H$6:$H$3665,$K2634))</f>
        <v/>
      </c>
      <c r="I2634" s="335">
        <f>IF(B2634=B2633,"",IF($K2634="","",INDEX(Zeiterfassung!$I$6:$I$3665,MATCH(INDEX(Zeiterfassung!$K$6:$K$3665,$K2634),Zeiterfassung!$K$6:$K$3665,0))))</f>
        <v/>
      </c>
      <c r="J2634" s="335">
        <f>IF(B2634=B2633,"",IF($K2634="","",INDEX(Zeiterfassung!$J$6:$J$3665,MATCH(INDEX(Zeiterfassung!$K$6:$K$3665,$K2634),Zeiterfassung!$K$6:$K$3665,0))))</f>
        <v/>
      </c>
      <c r="K2634">
        <f>IFERROR(AGGREGATE(15,6,(ROW(Zeiterfassung!$D$6:$D$3665)-ROW(Zeiterfassung!$D$6)+1)/(Zeiterfassung!$D$6:$D$3665&lt;&gt;""),2629),"")</f>
        <v/>
      </c>
    </row>
    <row r="2635" ht="20" customHeight="1">
      <c r="A2635" s="183">
        <f>IF($K2635="","",WEEKNUM(INDEX(Zeiterfassung!$K$6:$K$3665,$K2635),21))</f>
        <v/>
      </c>
      <c r="B2635" s="184">
        <f>IF($K2635="","",INDEX(Zeiterfassung!$K$6:$K$3665,$K2635))</f>
        <v/>
      </c>
      <c r="C2635" s="185">
        <f>IF($K2635="","",INDEX(Zeiterfassung!$K$6:$K$3665,$K2635))</f>
        <v/>
      </c>
      <c r="D2635" s="186">
        <f>IF($K2635="","",INDEX(Zeiterfassung!$D$6:$D$3665,$K2635))</f>
        <v/>
      </c>
      <c r="E2635" s="186">
        <f>IF($K2635="","",INDEX(Zeiterfassung!$E$6:$E$3665,$K2635))</f>
        <v/>
      </c>
      <c r="F2635" s="187">
        <f>IF($K2635="","",INDEX(Zeiterfassung!$F$6:$F$3665,$K2635))</f>
        <v/>
      </c>
      <c r="G2635" s="187">
        <f>IF($K2635="","",INDEX(Zeiterfassung!$G$6:$G$3665,$K2635))</f>
        <v/>
      </c>
      <c r="H2635" s="188">
        <f>IF($K2635="","",INDEX(Zeiterfassung!$H$6:$H$3665,$K2635))</f>
        <v/>
      </c>
      <c r="I2635" s="335">
        <f>IF(B2635=B2634,"",IF($K2635="","",INDEX(Zeiterfassung!$I$6:$I$3665,MATCH(INDEX(Zeiterfassung!$K$6:$K$3665,$K2635),Zeiterfassung!$K$6:$K$3665,0))))</f>
        <v/>
      </c>
      <c r="J2635" s="335">
        <f>IF(B2635=B2634,"",IF($K2635="","",INDEX(Zeiterfassung!$J$6:$J$3665,MATCH(INDEX(Zeiterfassung!$K$6:$K$3665,$K2635),Zeiterfassung!$K$6:$K$3665,0))))</f>
        <v/>
      </c>
      <c r="K2635">
        <f>IFERROR(AGGREGATE(15,6,(ROW(Zeiterfassung!$D$6:$D$3665)-ROW(Zeiterfassung!$D$6)+1)/(Zeiterfassung!$D$6:$D$3665&lt;&gt;""),2630),"")</f>
        <v/>
      </c>
    </row>
    <row r="2636" ht="20" customHeight="1">
      <c r="A2636" s="183">
        <f>IF($K2636="","",WEEKNUM(INDEX(Zeiterfassung!$K$6:$K$3665,$K2636),21))</f>
        <v/>
      </c>
      <c r="B2636" s="184">
        <f>IF($K2636="","",INDEX(Zeiterfassung!$K$6:$K$3665,$K2636))</f>
        <v/>
      </c>
      <c r="C2636" s="185">
        <f>IF($K2636="","",INDEX(Zeiterfassung!$K$6:$K$3665,$K2636))</f>
        <v/>
      </c>
      <c r="D2636" s="186">
        <f>IF($K2636="","",INDEX(Zeiterfassung!$D$6:$D$3665,$K2636))</f>
        <v/>
      </c>
      <c r="E2636" s="186">
        <f>IF($K2636="","",INDEX(Zeiterfassung!$E$6:$E$3665,$K2636))</f>
        <v/>
      </c>
      <c r="F2636" s="187">
        <f>IF($K2636="","",INDEX(Zeiterfassung!$F$6:$F$3665,$K2636))</f>
        <v/>
      </c>
      <c r="G2636" s="187">
        <f>IF($K2636="","",INDEX(Zeiterfassung!$G$6:$G$3665,$K2636))</f>
        <v/>
      </c>
      <c r="H2636" s="188">
        <f>IF($K2636="","",INDEX(Zeiterfassung!$H$6:$H$3665,$K2636))</f>
        <v/>
      </c>
      <c r="I2636" s="335">
        <f>IF(B2636=B2635,"",IF($K2636="","",INDEX(Zeiterfassung!$I$6:$I$3665,MATCH(INDEX(Zeiterfassung!$K$6:$K$3665,$K2636),Zeiterfassung!$K$6:$K$3665,0))))</f>
        <v/>
      </c>
      <c r="J2636" s="335">
        <f>IF(B2636=B2635,"",IF($K2636="","",INDEX(Zeiterfassung!$J$6:$J$3665,MATCH(INDEX(Zeiterfassung!$K$6:$K$3665,$K2636),Zeiterfassung!$K$6:$K$3665,0))))</f>
        <v/>
      </c>
      <c r="K2636">
        <f>IFERROR(AGGREGATE(15,6,(ROW(Zeiterfassung!$D$6:$D$3665)-ROW(Zeiterfassung!$D$6)+1)/(Zeiterfassung!$D$6:$D$3665&lt;&gt;""),2631),"")</f>
        <v/>
      </c>
    </row>
    <row r="2637" ht="20" customHeight="1">
      <c r="A2637" s="183">
        <f>IF($K2637="","",WEEKNUM(INDEX(Zeiterfassung!$K$6:$K$3665,$K2637),21))</f>
        <v/>
      </c>
      <c r="B2637" s="184">
        <f>IF($K2637="","",INDEX(Zeiterfassung!$K$6:$K$3665,$K2637))</f>
        <v/>
      </c>
      <c r="C2637" s="185">
        <f>IF($K2637="","",INDEX(Zeiterfassung!$K$6:$K$3665,$K2637))</f>
        <v/>
      </c>
      <c r="D2637" s="186">
        <f>IF($K2637="","",INDEX(Zeiterfassung!$D$6:$D$3665,$K2637))</f>
        <v/>
      </c>
      <c r="E2637" s="186">
        <f>IF($K2637="","",INDEX(Zeiterfassung!$E$6:$E$3665,$K2637))</f>
        <v/>
      </c>
      <c r="F2637" s="187">
        <f>IF($K2637="","",INDEX(Zeiterfassung!$F$6:$F$3665,$K2637))</f>
        <v/>
      </c>
      <c r="G2637" s="187">
        <f>IF($K2637="","",INDEX(Zeiterfassung!$G$6:$G$3665,$K2637))</f>
        <v/>
      </c>
      <c r="H2637" s="188">
        <f>IF($K2637="","",INDEX(Zeiterfassung!$H$6:$H$3665,$K2637))</f>
        <v/>
      </c>
      <c r="I2637" s="335">
        <f>IF(B2637=B2636,"",IF($K2637="","",INDEX(Zeiterfassung!$I$6:$I$3665,MATCH(INDEX(Zeiterfassung!$K$6:$K$3665,$K2637),Zeiterfassung!$K$6:$K$3665,0))))</f>
        <v/>
      </c>
      <c r="J2637" s="335">
        <f>IF(B2637=B2636,"",IF($K2637="","",INDEX(Zeiterfassung!$J$6:$J$3665,MATCH(INDEX(Zeiterfassung!$K$6:$K$3665,$K2637),Zeiterfassung!$K$6:$K$3665,0))))</f>
        <v/>
      </c>
      <c r="K2637">
        <f>IFERROR(AGGREGATE(15,6,(ROW(Zeiterfassung!$D$6:$D$3665)-ROW(Zeiterfassung!$D$6)+1)/(Zeiterfassung!$D$6:$D$3665&lt;&gt;""),2632),"")</f>
        <v/>
      </c>
    </row>
    <row r="2638" ht="20" customHeight="1">
      <c r="A2638" s="183">
        <f>IF($K2638="","",WEEKNUM(INDEX(Zeiterfassung!$K$6:$K$3665,$K2638),21))</f>
        <v/>
      </c>
      <c r="B2638" s="184">
        <f>IF($K2638="","",INDEX(Zeiterfassung!$K$6:$K$3665,$K2638))</f>
        <v/>
      </c>
      <c r="C2638" s="185">
        <f>IF($K2638="","",INDEX(Zeiterfassung!$K$6:$K$3665,$K2638))</f>
        <v/>
      </c>
      <c r="D2638" s="186">
        <f>IF($K2638="","",INDEX(Zeiterfassung!$D$6:$D$3665,$K2638))</f>
        <v/>
      </c>
      <c r="E2638" s="186">
        <f>IF($K2638="","",INDEX(Zeiterfassung!$E$6:$E$3665,$K2638))</f>
        <v/>
      </c>
      <c r="F2638" s="187">
        <f>IF($K2638="","",INDEX(Zeiterfassung!$F$6:$F$3665,$K2638))</f>
        <v/>
      </c>
      <c r="G2638" s="187">
        <f>IF($K2638="","",INDEX(Zeiterfassung!$G$6:$G$3665,$K2638))</f>
        <v/>
      </c>
      <c r="H2638" s="188">
        <f>IF($K2638="","",INDEX(Zeiterfassung!$H$6:$H$3665,$K2638))</f>
        <v/>
      </c>
      <c r="I2638" s="335">
        <f>IF(B2638=B2637,"",IF($K2638="","",INDEX(Zeiterfassung!$I$6:$I$3665,MATCH(INDEX(Zeiterfassung!$K$6:$K$3665,$K2638),Zeiterfassung!$K$6:$K$3665,0))))</f>
        <v/>
      </c>
      <c r="J2638" s="335">
        <f>IF(B2638=B2637,"",IF($K2638="","",INDEX(Zeiterfassung!$J$6:$J$3665,MATCH(INDEX(Zeiterfassung!$K$6:$K$3665,$K2638),Zeiterfassung!$K$6:$K$3665,0))))</f>
        <v/>
      </c>
      <c r="K2638">
        <f>IFERROR(AGGREGATE(15,6,(ROW(Zeiterfassung!$D$6:$D$3665)-ROW(Zeiterfassung!$D$6)+1)/(Zeiterfassung!$D$6:$D$3665&lt;&gt;""),2633),"")</f>
        <v/>
      </c>
    </row>
    <row r="2639" ht="20" customHeight="1">
      <c r="A2639" s="183">
        <f>IF($K2639="","",WEEKNUM(INDEX(Zeiterfassung!$K$6:$K$3665,$K2639),21))</f>
        <v/>
      </c>
      <c r="B2639" s="184">
        <f>IF($K2639="","",INDEX(Zeiterfassung!$K$6:$K$3665,$K2639))</f>
        <v/>
      </c>
      <c r="C2639" s="185">
        <f>IF($K2639="","",INDEX(Zeiterfassung!$K$6:$K$3665,$K2639))</f>
        <v/>
      </c>
      <c r="D2639" s="186">
        <f>IF($K2639="","",INDEX(Zeiterfassung!$D$6:$D$3665,$K2639))</f>
        <v/>
      </c>
      <c r="E2639" s="186">
        <f>IF($K2639="","",INDEX(Zeiterfassung!$E$6:$E$3665,$K2639))</f>
        <v/>
      </c>
      <c r="F2639" s="187">
        <f>IF($K2639="","",INDEX(Zeiterfassung!$F$6:$F$3665,$K2639))</f>
        <v/>
      </c>
      <c r="G2639" s="187">
        <f>IF($K2639="","",INDEX(Zeiterfassung!$G$6:$G$3665,$K2639))</f>
        <v/>
      </c>
      <c r="H2639" s="188">
        <f>IF($K2639="","",INDEX(Zeiterfassung!$H$6:$H$3665,$K2639))</f>
        <v/>
      </c>
      <c r="I2639" s="335">
        <f>IF(B2639=B2638,"",IF($K2639="","",INDEX(Zeiterfassung!$I$6:$I$3665,MATCH(INDEX(Zeiterfassung!$K$6:$K$3665,$K2639),Zeiterfassung!$K$6:$K$3665,0))))</f>
        <v/>
      </c>
      <c r="J2639" s="335">
        <f>IF(B2639=B2638,"",IF($K2639="","",INDEX(Zeiterfassung!$J$6:$J$3665,MATCH(INDEX(Zeiterfassung!$K$6:$K$3665,$K2639),Zeiterfassung!$K$6:$K$3665,0))))</f>
        <v/>
      </c>
      <c r="K2639">
        <f>IFERROR(AGGREGATE(15,6,(ROW(Zeiterfassung!$D$6:$D$3665)-ROW(Zeiterfassung!$D$6)+1)/(Zeiterfassung!$D$6:$D$3665&lt;&gt;""),2634),"")</f>
        <v/>
      </c>
    </row>
    <row r="2640" ht="20" customHeight="1">
      <c r="A2640" s="183">
        <f>IF($K2640="","",WEEKNUM(INDEX(Zeiterfassung!$K$6:$K$3665,$K2640),21))</f>
        <v/>
      </c>
      <c r="B2640" s="184">
        <f>IF($K2640="","",INDEX(Zeiterfassung!$K$6:$K$3665,$K2640))</f>
        <v/>
      </c>
      <c r="C2640" s="185">
        <f>IF($K2640="","",INDEX(Zeiterfassung!$K$6:$K$3665,$K2640))</f>
        <v/>
      </c>
      <c r="D2640" s="186">
        <f>IF($K2640="","",INDEX(Zeiterfassung!$D$6:$D$3665,$K2640))</f>
        <v/>
      </c>
      <c r="E2640" s="186">
        <f>IF($K2640="","",INDEX(Zeiterfassung!$E$6:$E$3665,$K2640))</f>
        <v/>
      </c>
      <c r="F2640" s="187">
        <f>IF($K2640="","",INDEX(Zeiterfassung!$F$6:$F$3665,$K2640))</f>
        <v/>
      </c>
      <c r="G2640" s="187">
        <f>IF($K2640="","",INDEX(Zeiterfassung!$G$6:$G$3665,$K2640))</f>
        <v/>
      </c>
      <c r="H2640" s="188">
        <f>IF($K2640="","",INDEX(Zeiterfassung!$H$6:$H$3665,$K2640))</f>
        <v/>
      </c>
      <c r="I2640" s="335">
        <f>IF(B2640=B2639,"",IF($K2640="","",INDEX(Zeiterfassung!$I$6:$I$3665,MATCH(INDEX(Zeiterfassung!$K$6:$K$3665,$K2640),Zeiterfassung!$K$6:$K$3665,0))))</f>
        <v/>
      </c>
      <c r="J2640" s="335">
        <f>IF(B2640=B2639,"",IF($K2640="","",INDEX(Zeiterfassung!$J$6:$J$3665,MATCH(INDEX(Zeiterfassung!$K$6:$K$3665,$K2640),Zeiterfassung!$K$6:$K$3665,0))))</f>
        <v/>
      </c>
      <c r="K2640">
        <f>IFERROR(AGGREGATE(15,6,(ROW(Zeiterfassung!$D$6:$D$3665)-ROW(Zeiterfassung!$D$6)+1)/(Zeiterfassung!$D$6:$D$3665&lt;&gt;""),2635),"")</f>
        <v/>
      </c>
    </row>
    <row r="2641" ht="20" customHeight="1">
      <c r="A2641" s="183">
        <f>IF($K2641="","",WEEKNUM(INDEX(Zeiterfassung!$K$6:$K$3665,$K2641),21))</f>
        <v/>
      </c>
      <c r="B2641" s="184">
        <f>IF($K2641="","",INDEX(Zeiterfassung!$K$6:$K$3665,$K2641))</f>
        <v/>
      </c>
      <c r="C2641" s="185">
        <f>IF($K2641="","",INDEX(Zeiterfassung!$K$6:$K$3665,$K2641))</f>
        <v/>
      </c>
      <c r="D2641" s="186">
        <f>IF($K2641="","",INDEX(Zeiterfassung!$D$6:$D$3665,$K2641))</f>
        <v/>
      </c>
      <c r="E2641" s="186">
        <f>IF($K2641="","",INDEX(Zeiterfassung!$E$6:$E$3665,$K2641))</f>
        <v/>
      </c>
      <c r="F2641" s="187">
        <f>IF($K2641="","",INDEX(Zeiterfassung!$F$6:$F$3665,$K2641))</f>
        <v/>
      </c>
      <c r="G2641" s="187">
        <f>IF($K2641="","",INDEX(Zeiterfassung!$G$6:$G$3665,$K2641))</f>
        <v/>
      </c>
      <c r="H2641" s="188">
        <f>IF($K2641="","",INDEX(Zeiterfassung!$H$6:$H$3665,$K2641))</f>
        <v/>
      </c>
      <c r="I2641" s="335">
        <f>IF(B2641=B2640,"",IF($K2641="","",INDEX(Zeiterfassung!$I$6:$I$3665,MATCH(INDEX(Zeiterfassung!$K$6:$K$3665,$K2641),Zeiterfassung!$K$6:$K$3665,0))))</f>
        <v/>
      </c>
      <c r="J2641" s="335">
        <f>IF(B2641=B2640,"",IF($K2641="","",INDEX(Zeiterfassung!$J$6:$J$3665,MATCH(INDEX(Zeiterfassung!$K$6:$K$3665,$K2641),Zeiterfassung!$K$6:$K$3665,0))))</f>
        <v/>
      </c>
      <c r="K2641">
        <f>IFERROR(AGGREGATE(15,6,(ROW(Zeiterfassung!$D$6:$D$3665)-ROW(Zeiterfassung!$D$6)+1)/(Zeiterfassung!$D$6:$D$3665&lt;&gt;""),2636),"")</f>
        <v/>
      </c>
    </row>
    <row r="2642" ht="20" customHeight="1">
      <c r="A2642" s="183">
        <f>IF($K2642="","",WEEKNUM(INDEX(Zeiterfassung!$K$6:$K$3665,$K2642),21))</f>
        <v/>
      </c>
      <c r="B2642" s="184">
        <f>IF($K2642="","",INDEX(Zeiterfassung!$K$6:$K$3665,$K2642))</f>
        <v/>
      </c>
      <c r="C2642" s="185">
        <f>IF($K2642="","",INDEX(Zeiterfassung!$K$6:$K$3665,$K2642))</f>
        <v/>
      </c>
      <c r="D2642" s="186">
        <f>IF($K2642="","",INDEX(Zeiterfassung!$D$6:$D$3665,$K2642))</f>
        <v/>
      </c>
      <c r="E2642" s="186">
        <f>IF($K2642="","",INDEX(Zeiterfassung!$E$6:$E$3665,$K2642))</f>
        <v/>
      </c>
      <c r="F2642" s="187">
        <f>IF($K2642="","",INDEX(Zeiterfassung!$F$6:$F$3665,$K2642))</f>
        <v/>
      </c>
      <c r="G2642" s="187">
        <f>IF($K2642="","",INDEX(Zeiterfassung!$G$6:$G$3665,$K2642))</f>
        <v/>
      </c>
      <c r="H2642" s="188">
        <f>IF($K2642="","",INDEX(Zeiterfassung!$H$6:$H$3665,$K2642))</f>
        <v/>
      </c>
      <c r="I2642" s="335">
        <f>IF(B2642=B2641,"",IF($K2642="","",INDEX(Zeiterfassung!$I$6:$I$3665,MATCH(INDEX(Zeiterfassung!$K$6:$K$3665,$K2642),Zeiterfassung!$K$6:$K$3665,0))))</f>
        <v/>
      </c>
      <c r="J2642" s="335">
        <f>IF(B2642=B2641,"",IF($K2642="","",INDEX(Zeiterfassung!$J$6:$J$3665,MATCH(INDEX(Zeiterfassung!$K$6:$K$3665,$K2642),Zeiterfassung!$K$6:$K$3665,0))))</f>
        <v/>
      </c>
      <c r="K2642">
        <f>IFERROR(AGGREGATE(15,6,(ROW(Zeiterfassung!$D$6:$D$3665)-ROW(Zeiterfassung!$D$6)+1)/(Zeiterfassung!$D$6:$D$3665&lt;&gt;""),2637),"")</f>
        <v/>
      </c>
    </row>
    <row r="2643" ht="20" customHeight="1">
      <c r="A2643" s="183">
        <f>IF($K2643="","",WEEKNUM(INDEX(Zeiterfassung!$K$6:$K$3665,$K2643),21))</f>
        <v/>
      </c>
      <c r="B2643" s="184">
        <f>IF($K2643="","",INDEX(Zeiterfassung!$K$6:$K$3665,$K2643))</f>
        <v/>
      </c>
      <c r="C2643" s="185">
        <f>IF($K2643="","",INDEX(Zeiterfassung!$K$6:$K$3665,$K2643))</f>
        <v/>
      </c>
      <c r="D2643" s="186">
        <f>IF($K2643="","",INDEX(Zeiterfassung!$D$6:$D$3665,$K2643))</f>
        <v/>
      </c>
      <c r="E2643" s="186">
        <f>IF($K2643="","",INDEX(Zeiterfassung!$E$6:$E$3665,$K2643))</f>
        <v/>
      </c>
      <c r="F2643" s="187">
        <f>IF($K2643="","",INDEX(Zeiterfassung!$F$6:$F$3665,$K2643))</f>
        <v/>
      </c>
      <c r="G2643" s="187">
        <f>IF($K2643="","",INDEX(Zeiterfassung!$G$6:$G$3665,$K2643))</f>
        <v/>
      </c>
      <c r="H2643" s="188">
        <f>IF($K2643="","",INDEX(Zeiterfassung!$H$6:$H$3665,$K2643))</f>
        <v/>
      </c>
      <c r="I2643" s="335">
        <f>IF(B2643=B2642,"",IF($K2643="","",INDEX(Zeiterfassung!$I$6:$I$3665,MATCH(INDEX(Zeiterfassung!$K$6:$K$3665,$K2643),Zeiterfassung!$K$6:$K$3665,0))))</f>
        <v/>
      </c>
      <c r="J2643" s="335">
        <f>IF(B2643=B2642,"",IF($K2643="","",INDEX(Zeiterfassung!$J$6:$J$3665,MATCH(INDEX(Zeiterfassung!$K$6:$K$3665,$K2643),Zeiterfassung!$K$6:$K$3665,0))))</f>
        <v/>
      </c>
      <c r="K2643">
        <f>IFERROR(AGGREGATE(15,6,(ROW(Zeiterfassung!$D$6:$D$3665)-ROW(Zeiterfassung!$D$6)+1)/(Zeiterfassung!$D$6:$D$3665&lt;&gt;""),2638),"")</f>
        <v/>
      </c>
    </row>
    <row r="2644" ht="20" customHeight="1">
      <c r="A2644" s="183">
        <f>IF($K2644="","",WEEKNUM(INDEX(Zeiterfassung!$K$6:$K$3665,$K2644),21))</f>
        <v/>
      </c>
      <c r="B2644" s="184">
        <f>IF($K2644="","",INDEX(Zeiterfassung!$K$6:$K$3665,$K2644))</f>
        <v/>
      </c>
      <c r="C2644" s="185">
        <f>IF($K2644="","",INDEX(Zeiterfassung!$K$6:$K$3665,$K2644))</f>
        <v/>
      </c>
      <c r="D2644" s="186">
        <f>IF($K2644="","",INDEX(Zeiterfassung!$D$6:$D$3665,$K2644))</f>
        <v/>
      </c>
      <c r="E2644" s="186">
        <f>IF($K2644="","",INDEX(Zeiterfassung!$E$6:$E$3665,$K2644))</f>
        <v/>
      </c>
      <c r="F2644" s="187">
        <f>IF($K2644="","",INDEX(Zeiterfassung!$F$6:$F$3665,$K2644))</f>
        <v/>
      </c>
      <c r="G2644" s="187">
        <f>IF($K2644="","",INDEX(Zeiterfassung!$G$6:$G$3665,$K2644))</f>
        <v/>
      </c>
      <c r="H2644" s="188">
        <f>IF($K2644="","",INDEX(Zeiterfassung!$H$6:$H$3665,$K2644))</f>
        <v/>
      </c>
      <c r="I2644" s="335">
        <f>IF(B2644=B2643,"",IF($K2644="","",INDEX(Zeiterfassung!$I$6:$I$3665,MATCH(INDEX(Zeiterfassung!$K$6:$K$3665,$K2644),Zeiterfassung!$K$6:$K$3665,0))))</f>
        <v/>
      </c>
      <c r="J2644" s="335">
        <f>IF(B2644=B2643,"",IF($K2644="","",INDEX(Zeiterfassung!$J$6:$J$3665,MATCH(INDEX(Zeiterfassung!$K$6:$K$3665,$K2644),Zeiterfassung!$K$6:$K$3665,0))))</f>
        <v/>
      </c>
      <c r="K2644">
        <f>IFERROR(AGGREGATE(15,6,(ROW(Zeiterfassung!$D$6:$D$3665)-ROW(Zeiterfassung!$D$6)+1)/(Zeiterfassung!$D$6:$D$3665&lt;&gt;""),2639),"")</f>
        <v/>
      </c>
    </row>
    <row r="2645" ht="20" customHeight="1">
      <c r="A2645" s="183">
        <f>IF($K2645="","",WEEKNUM(INDEX(Zeiterfassung!$K$6:$K$3665,$K2645),21))</f>
        <v/>
      </c>
      <c r="B2645" s="184">
        <f>IF($K2645="","",INDEX(Zeiterfassung!$K$6:$K$3665,$K2645))</f>
        <v/>
      </c>
      <c r="C2645" s="185">
        <f>IF($K2645="","",INDEX(Zeiterfassung!$K$6:$K$3665,$K2645))</f>
        <v/>
      </c>
      <c r="D2645" s="186">
        <f>IF($K2645="","",INDEX(Zeiterfassung!$D$6:$D$3665,$K2645))</f>
        <v/>
      </c>
      <c r="E2645" s="186">
        <f>IF($K2645="","",INDEX(Zeiterfassung!$E$6:$E$3665,$K2645))</f>
        <v/>
      </c>
      <c r="F2645" s="187">
        <f>IF($K2645="","",INDEX(Zeiterfassung!$F$6:$F$3665,$K2645))</f>
        <v/>
      </c>
      <c r="G2645" s="187">
        <f>IF($K2645="","",INDEX(Zeiterfassung!$G$6:$G$3665,$K2645))</f>
        <v/>
      </c>
      <c r="H2645" s="188">
        <f>IF($K2645="","",INDEX(Zeiterfassung!$H$6:$H$3665,$K2645))</f>
        <v/>
      </c>
      <c r="I2645" s="335">
        <f>IF(B2645=B2644,"",IF($K2645="","",INDEX(Zeiterfassung!$I$6:$I$3665,MATCH(INDEX(Zeiterfassung!$K$6:$K$3665,$K2645),Zeiterfassung!$K$6:$K$3665,0))))</f>
        <v/>
      </c>
      <c r="J2645" s="335">
        <f>IF(B2645=B2644,"",IF($K2645="","",INDEX(Zeiterfassung!$J$6:$J$3665,MATCH(INDEX(Zeiterfassung!$K$6:$K$3665,$K2645),Zeiterfassung!$K$6:$K$3665,0))))</f>
        <v/>
      </c>
      <c r="K2645">
        <f>IFERROR(AGGREGATE(15,6,(ROW(Zeiterfassung!$D$6:$D$3665)-ROW(Zeiterfassung!$D$6)+1)/(Zeiterfassung!$D$6:$D$3665&lt;&gt;""),2640),"")</f>
        <v/>
      </c>
    </row>
    <row r="2646" ht="20" customHeight="1">
      <c r="A2646" s="183">
        <f>IF($K2646="","",WEEKNUM(INDEX(Zeiterfassung!$K$6:$K$3665,$K2646),21))</f>
        <v/>
      </c>
      <c r="B2646" s="184">
        <f>IF($K2646="","",INDEX(Zeiterfassung!$K$6:$K$3665,$K2646))</f>
        <v/>
      </c>
      <c r="C2646" s="185">
        <f>IF($K2646="","",INDEX(Zeiterfassung!$K$6:$K$3665,$K2646))</f>
        <v/>
      </c>
      <c r="D2646" s="186">
        <f>IF($K2646="","",INDEX(Zeiterfassung!$D$6:$D$3665,$K2646))</f>
        <v/>
      </c>
      <c r="E2646" s="186">
        <f>IF($K2646="","",INDEX(Zeiterfassung!$E$6:$E$3665,$K2646))</f>
        <v/>
      </c>
      <c r="F2646" s="187">
        <f>IF($K2646="","",INDEX(Zeiterfassung!$F$6:$F$3665,$K2646))</f>
        <v/>
      </c>
      <c r="G2646" s="187">
        <f>IF($K2646="","",INDEX(Zeiterfassung!$G$6:$G$3665,$K2646))</f>
        <v/>
      </c>
      <c r="H2646" s="188">
        <f>IF($K2646="","",INDEX(Zeiterfassung!$H$6:$H$3665,$K2646))</f>
        <v/>
      </c>
      <c r="I2646" s="335">
        <f>IF(B2646=B2645,"",IF($K2646="","",INDEX(Zeiterfassung!$I$6:$I$3665,MATCH(INDEX(Zeiterfassung!$K$6:$K$3665,$K2646),Zeiterfassung!$K$6:$K$3665,0))))</f>
        <v/>
      </c>
      <c r="J2646" s="335">
        <f>IF(B2646=B2645,"",IF($K2646="","",INDEX(Zeiterfassung!$J$6:$J$3665,MATCH(INDEX(Zeiterfassung!$K$6:$K$3665,$K2646),Zeiterfassung!$K$6:$K$3665,0))))</f>
        <v/>
      </c>
      <c r="K2646">
        <f>IFERROR(AGGREGATE(15,6,(ROW(Zeiterfassung!$D$6:$D$3665)-ROW(Zeiterfassung!$D$6)+1)/(Zeiterfassung!$D$6:$D$3665&lt;&gt;""),2641),"")</f>
        <v/>
      </c>
    </row>
    <row r="2647" ht="20" customHeight="1">
      <c r="A2647" s="183">
        <f>IF($K2647="","",WEEKNUM(INDEX(Zeiterfassung!$K$6:$K$3665,$K2647),21))</f>
        <v/>
      </c>
      <c r="B2647" s="184">
        <f>IF($K2647="","",INDEX(Zeiterfassung!$K$6:$K$3665,$K2647))</f>
        <v/>
      </c>
      <c r="C2647" s="185">
        <f>IF($K2647="","",INDEX(Zeiterfassung!$K$6:$K$3665,$K2647))</f>
        <v/>
      </c>
      <c r="D2647" s="186">
        <f>IF($K2647="","",INDEX(Zeiterfassung!$D$6:$D$3665,$K2647))</f>
        <v/>
      </c>
      <c r="E2647" s="186">
        <f>IF($K2647="","",INDEX(Zeiterfassung!$E$6:$E$3665,$K2647))</f>
        <v/>
      </c>
      <c r="F2647" s="187">
        <f>IF($K2647="","",INDEX(Zeiterfassung!$F$6:$F$3665,$K2647))</f>
        <v/>
      </c>
      <c r="G2647" s="187">
        <f>IF($K2647="","",INDEX(Zeiterfassung!$G$6:$G$3665,$K2647))</f>
        <v/>
      </c>
      <c r="H2647" s="188">
        <f>IF($K2647="","",INDEX(Zeiterfassung!$H$6:$H$3665,$K2647))</f>
        <v/>
      </c>
      <c r="I2647" s="335">
        <f>IF(B2647=B2646,"",IF($K2647="","",INDEX(Zeiterfassung!$I$6:$I$3665,MATCH(INDEX(Zeiterfassung!$K$6:$K$3665,$K2647),Zeiterfassung!$K$6:$K$3665,0))))</f>
        <v/>
      </c>
      <c r="J2647" s="335">
        <f>IF(B2647=B2646,"",IF($K2647="","",INDEX(Zeiterfassung!$J$6:$J$3665,MATCH(INDEX(Zeiterfassung!$K$6:$K$3665,$K2647),Zeiterfassung!$K$6:$K$3665,0))))</f>
        <v/>
      </c>
      <c r="K2647">
        <f>IFERROR(AGGREGATE(15,6,(ROW(Zeiterfassung!$D$6:$D$3665)-ROW(Zeiterfassung!$D$6)+1)/(Zeiterfassung!$D$6:$D$3665&lt;&gt;""),2642),"")</f>
        <v/>
      </c>
    </row>
    <row r="2648" ht="20" customHeight="1">
      <c r="A2648" s="183">
        <f>IF($K2648="","",WEEKNUM(INDEX(Zeiterfassung!$K$6:$K$3665,$K2648),21))</f>
        <v/>
      </c>
      <c r="B2648" s="184">
        <f>IF($K2648="","",INDEX(Zeiterfassung!$K$6:$K$3665,$K2648))</f>
        <v/>
      </c>
      <c r="C2648" s="185">
        <f>IF($K2648="","",INDEX(Zeiterfassung!$K$6:$K$3665,$K2648))</f>
        <v/>
      </c>
      <c r="D2648" s="186">
        <f>IF($K2648="","",INDEX(Zeiterfassung!$D$6:$D$3665,$K2648))</f>
        <v/>
      </c>
      <c r="E2648" s="186">
        <f>IF($K2648="","",INDEX(Zeiterfassung!$E$6:$E$3665,$K2648))</f>
        <v/>
      </c>
      <c r="F2648" s="187">
        <f>IF($K2648="","",INDEX(Zeiterfassung!$F$6:$F$3665,$K2648))</f>
        <v/>
      </c>
      <c r="G2648" s="187">
        <f>IF($K2648="","",INDEX(Zeiterfassung!$G$6:$G$3665,$K2648))</f>
        <v/>
      </c>
      <c r="H2648" s="188">
        <f>IF($K2648="","",INDEX(Zeiterfassung!$H$6:$H$3665,$K2648))</f>
        <v/>
      </c>
      <c r="I2648" s="335">
        <f>IF(B2648=B2647,"",IF($K2648="","",INDEX(Zeiterfassung!$I$6:$I$3665,MATCH(INDEX(Zeiterfassung!$K$6:$K$3665,$K2648),Zeiterfassung!$K$6:$K$3665,0))))</f>
        <v/>
      </c>
      <c r="J2648" s="335">
        <f>IF(B2648=B2647,"",IF($K2648="","",INDEX(Zeiterfassung!$J$6:$J$3665,MATCH(INDEX(Zeiterfassung!$K$6:$K$3665,$K2648),Zeiterfassung!$K$6:$K$3665,0))))</f>
        <v/>
      </c>
      <c r="K2648">
        <f>IFERROR(AGGREGATE(15,6,(ROW(Zeiterfassung!$D$6:$D$3665)-ROW(Zeiterfassung!$D$6)+1)/(Zeiterfassung!$D$6:$D$3665&lt;&gt;""),2643),"")</f>
        <v/>
      </c>
    </row>
    <row r="2649" ht="20" customHeight="1">
      <c r="A2649" s="183">
        <f>IF($K2649="","",WEEKNUM(INDEX(Zeiterfassung!$K$6:$K$3665,$K2649),21))</f>
        <v/>
      </c>
      <c r="B2649" s="184">
        <f>IF($K2649="","",INDEX(Zeiterfassung!$K$6:$K$3665,$K2649))</f>
        <v/>
      </c>
      <c r="C2649" s="185">
        <f>IF($K2649="","",INDEX(Zeiterfassung!$K$6:$K$3665,$K2649))</f>
        <v/>
      </c>
      <c r="D2649" s="186">
        <f>IF($K2649="","",INDEX(Zeiterfassung!$D$6:$D$3665,$K2649))</f>
        <v/>
      </c>
      <c r="E2649" s="186">
        <f>IF($K2649="","",INDEX(Zeiterfassung!$E$6:$E$3665,$K2649))</f>
        <v/>
      </c>
      <c r="F2649" s="187">
        <f>IF($K2649="","",INDEX(Zeiterfassung!$F$6:$F$3665,$K2649))</f>
        <v/>
      </c>
      <c r="G2649" s="187">
        <f>IF($K2649="","",INDEX(Zeiterfassung!$G$6:$G$3665,$K2649))</f>
        <v/>
      </c>
      <c r="H2649" s="188">
        <f>IF($K2649="","",INDEX(Zeiterfassung!$H$6:$H$3665,$K2649))</f>
        <v/>
      </c>
      <c r="I2649" s="335">
        <f>IF(B2649=B2648,"",IF($K2649="","",INDEX(Zeiterfassung!$I$6:$I$3665,MATCH(INDEX(Zeiterfassung!$K$6:$K$3665,$K2649),Zeiterfassung!$K$6:$K$3665,0))))</f>
        <v/>
      </c>
      <c r="J2649" s="335">
        <f>IF(B2649=B2648,"",IF($K2649="","",INDEX(Zeiterfassung!$J$6:$J$3665,MATCH(INDEX(Zeiterfassung!$K$6:$K$3665,$K2649),Zeiterfassung!$K$6:$K$3665,0))))</f>
        <v/>
      </c>
      <c r="K2649">
        <f>IFERROR(AGGREGATE(15,6,(ROW(Zeiterfassung!$D$6:$D$3665)-ROW(Zeiterfassung!$D$6)+1)/(Zeiterfassung!$D$6:$D$3665&lt;&gt;""),2644),"")</f>
        <v/>
      </c>
    </row>
    <row r="2650" ht="20" customHeight="1">
      <c r="A2650" s="183">
        <f>IF($K2650="","",WEEKNUM(INDEX(Zeiterfassung!$K$6:$K$3665,$K2650),21))</f>
        <v/>
      </c>
      <c r="B2650" s="184">
        <f>IF($K2650="","",INDEX(Zeiterfassung!$K$6:$K$3665,$K2650))</f>
        <v/>
      </c>
      <c r="C2650" s="185">
        <f>IF($K2650="","",INDEX(Zeiterfassung!$K$6:$K$3665,$K2650))</f>
        <v/>
      </c>
      <c r="D2650" s="186">
        <f>IF($K2650="","",INDEX(Zeiterfassung!$D$6:$D$3665,$K2650))</f>
        <v/>
      </c>
      <c r="E2650" s="186">
        <f>IF($K2650="","",INDEX(Zeiterfassung!$E$6:$E$3665,$K2650))</f>
        <v/>
      </c>
      <c r="F2650" s="187">
        <f>IF($K2650="","",INDEX(Zeiterfassung!$F$6:$F$3665,$K2650))</f>
        <v/>
      </c>
      <c r="G2650" s="187">
        <f>IF($K2650="","",INDEX(Zeiterfassung!$G$6:$G$3665,$K2650))</f>
        <v/>
      </c>
      <c r="H2650" s="188">
        <f>IF($K2650="","",INDEX(Zeiterfassung!$H$6:$H$3665,$K2650))</f>
        <v/>
      </c>
      <c r="I2650" s="335">
        <f>IF(B2650=B2649,"",IF($K2650="","",INDEX(Zeiterfassung!$I$6:$I$3665,MATCH(INDEX(Zeiterfassung!$K$6:$K$3665,$K2650),Zeiterfassung!$K$6:$K$3665,0))))</f>
        <v/>
      </c>
      <c r="J2650" s="335">
        <f>IF(B2650=B2649,"",IF($K2650="","",INDEX(Zeiterfassung!$J$6:$J$3665,MATCH(INDEX(Zeiterfassung!$K$6:$K$3665,$K2650),Zeiterfassung!$K$6:$K$3665,0))))</f>
        <v/>
      </c>
      <c r="K2650">
        <f>IFERROR(AGGREGATE(15,6,(ROW(Zeiterfassung!$D$6:$D$3665)-ROW(Zeiterfassung!$D$6)+1)/(Zeiterfassung!$D$6:$D$3665&lt;&gt;""),2645),"")</f>
        <v/>
      </c>
    </row>
    <row r="2651" ht="20" customHeight="1">
      <c r="A2651" s="183">
        <f>IF($K2651="","",WEEKNUM(INDEX(Zeiterfassung!$K$6:$K$3665,$K2651),21))</f>
        <v/>
      </c>
      <c r="B2651" s="184">
        <f>IF($K2651="","",INDEX(Zeiterfassung!$K$6:$K$3665,$K2651))</f>
        <v/>
      </c>
      <c r="C2651" s="185">
        <f>IF($K2651="","",INDEX(Zeiterfassung!$K$6:$K$3665,$K2651))</f>
        <v/>
      </c>
      <c r="D2651" s="186">
        <f>IF($K2651="","",INDEX(Zeiterfassung!$D$6:$D$3665,$K2651))</f>
        <v/>
      </c>
      <c r="E2651" s="186">
        <f>IF($K2651="","",INDEX(Zeiterfassung!$E$6:$E$3665,$K2651))</f>
        <v/>
      </c>
      <c r="F2651" s="187">
        <f>IF($K2651="","",INDEX(Zeiterfassung!$F$6:$F$3665,$K2651))</f>
        <v/>
      </c>
      <c r="G2651" s="187">
        <f>IF($K2651="","",INDEX(Zeiterfassung!$G$6:$G$3665,$K2651))</f>
        <v/>
      </c>
      <c r="H2651" s="188">
        <f>IF($K2651="","",INDEX(Zeiterfassung!$H$6:$H$3665,$K2651))</f>
        <v/>
      </c>
      <c r="I2651" s="335">
        <f>IF(B2651=B2650,"",IF($K2651="","",INDEX(Zeiterfassung!$I$6:$I$3665,MATCH(INDEX(Zeiterfassung!$K$6:$K$3665,$K2651),Zeiterfassung!$K$6:$K$3665,0))))</f>
        <v/>
      </c>
      <c r="J2651" s="335">
        <f>IF(B2651=B2650,"",IF($K2651="","",INDEX(Zeiterfassung!$J$6:$J$3665,MATCH(INDEX(Zeiterfassung!$K$6:$K$3665,$K2651),Zeiterfassung!$K$6:$K$3665,0))))</f>
        <v/>
      </c>
      <c r="K2651">
        <f>IFERROR(AGGREGATE(15,6,(ROW(Zeiterfassung!$D$6:$D$3665)-ROW(Zeiterfassung!$D$6)+1)/(Zeiterfassung!$D$6:$D$3665&lt;&gt;""),2646),"")</f>
        <v/>
      </c>
    </row>
    <row r="2652" ht="20" customHeight="1">
      <c r="A2652" s="183">
        <f>IF($K2652="","",WEEKNUM(INDEX(Zeiterfassung!$K$6:$K$3665,$K2652),21))</f>
        <v/>
      </c>
      <c r="B2652" s="184">
        <f>IF($K2652="","",INDEX(Zeiterfassung!$K$6:$K$3665,$K2652))</f>
        <v/>
      </c>
      <c r="C2652" s="185">
        <f>IF($K2652="","",INDEX(Zeiterfassung!$K$6:$K$3665,$K2652))</f>
        <v/>
      </c>
      <c r="D2652" s="186">
        <f>IF($K2652="","",INDEX(Zeiterfassung!$D$6:$D$3665,$K2652))</f>
        <v/>
      </c>
      <c r="E2652" s="186">
        <f>IF($K2652="","",INDEX(Zeiterfassung!$E$6:$E$3665,$K2652))</f>
        <v/>
      </c>
      <c r="F2652" s="187">
        <f>IF($K2652="","",INDEX(Zeiterfassung!$F$6:$F$3665,$K2652))</f>
        <v/>
      </c>
      <c r="G2652" s="187">
        <f>IF($K2652="","",INDEX(Zeiterfassung!$G$6:$G$3665,$K2652))</f>
        <v/>
      </c>
      <c r="H2652" s="188">
        <f>IF($K2652="","",INDEX(Zeiterfassung!$H$6:$H$3665,$K2652))</f>
        <v/>
      </c>
      <c r="I2652" s="335">
        <f>IF(B2652=B2651,"",IF($K2652="","",INDEX(Zeiterfassung!$I$6:$I$3665,MATCH(INDEX(Zeiterfassung!$K$6:$K$3665,$K2652),Zeiterfassung!$K$6:$K$3665,0))))</f>
        <v/>
      </c>
      <c r="J2652" s="335">
        <f>IF(B2652=B2651,"",IF($K2652="","",INDEX(Zeiterfassung!$J$6:$J$3665,MATCH(INDEX(Zeiterfassung!$K$6:$K$3665,$K2652),Zeiterfassung!$K$6:$K$3665,0))))</f>
        <v/>
      </c>
      <c r="K2652">
        <f>IFERROR(AGGREGATE(15,6,(ROW(Zeiterfassung!$D$6:$D$3665)-ROW(Zeiterfassung!$D$6)+1)/(Zeiterfassung!$D$6:$D$3665&lt;&gt;""),2647),"")</f>
        <v/>
      </c>
    </row>
    <row r="2653" ht="20" customHeight="1">
      <c r="A2653" s="183">
        <f>IF($K2653="","",WEEKNUM(INDEX(Zeiterfassung!$K$6:$K$3665,$K2653),21))</f>
        <v/>
      </c>
      <c r="B2653" s="184">
        <f>IF($K2653="","",INDEX(Zeiterfassung!$K$6:$K$3665,$K2653))</f>
        <v/>
      </c>
      <c r="C2653" s="185">
        <f>IF($K2653="","",INDEX(Zeiterfassung!$K$6:$K$3665,$K2653))</f>
        <v/>
      </c>
      <c r="D2653" s="186">
        <f>IF($K2653="","",INDEX(Zeiterfassung!$D$6:$D$3665,$K2653))</f>
        <v/>
      </c>
      <c r="E2653" s="186">
        <f>IF($K2653="","",INDEX(Zeiterfassung!$E$6:$E$3665,$K2653))</f>
        <v/>
      </c>
      <c r="F2653" s="187">
        <f>IF($K2653="","",INDEX(Zeiterfassung!$F$6:$F$3665,$K2653))</f>
        <v/>
      </c>
      <c r="G2653" s="187">
        <f>IF($K2653="","",INDEX(Zeiterfassung!$G$6:$G$3665,$K2653))</f>
        <v/>
      </c>
      <c r="H2653" s="188">
        <f>IF($K2653="","",INDEX(Zeiterfassung!$H$6:$H$3665,$K2653))</f>
        <v/>
      </c>
      <c r="I2653" s="335">
        <f>IF(B2653=B2652,"",IF($K2653="","",INDEX(Zeiterfassung!$I$6:$I$3665,MATCH(INDEX(Zeiterfassung!$K$6:$K$3665,$K2653),Zeiterfassung!$K$6:$K$3665,0))))</f>
        <v/>
      </c>
      <c r="J2653" s="335">
        <f>IF(B2653=B2652,"",IF($K2653="","",INDEX(Zeiterfassung!$J$6:$J$3665,MATCH(INDEX(Zeiterfassung!$K$6:$K$3665,$K2653),Zeiterfassung!$K$6:$K$3665,0))))</f>
        <v/>
      </c>
      <c r="K2653">
        <f>IFERROR(AGGREGATE(15,6,(ROW(Zeiterfassung!$D$6:$D$3665)-ROW(Zeiterfassung!$D$6)+1)/(Zeiterfassung!$D$6:$D$3665&lt;&gt;""),2648),"")</f>
        <v/>
      </c>
    </row>
    <row r="2654" ht="20" customHeight="1">
      <c r="A2654" s="183">
        <f>IF($K2654="","",WEEKNUM(INDEX(Zeiterfassung!$K$6:$K$3665,$K2654),21))</f>
        <v/>
      </c>
      <c r="B2654" s="184">
        <f>IF($K2654="","",INDEX(Zeiterfassung!$K$6:$K$3665,$K2654))</f>
        <v/>
      </c>
      <c r="C2654" s="185">
        <f>IF($K2654="","",INDEX(Zeiterfassung!$K$6:$K$3665,$K2654))</f>
        <v/>
      </c>
      <c r="D2654" s="186">
        <f>IF($K2654="","",INDEX(Zeiterfassung!$D$6:$D$3665,$K2654))</f>
        <v/>
      </c>
      <c r="E2654" s="186">
        <f>IF($K2654="","",INDEX(Zeiterfassung!$E$6:$E$3665,$K2654))</f>
        <v/>
      </c>
      <c r="F2654" s="187">
        <f>IF($K2654="","",INDEX(Zeiterfassung!$F$6:$F$3665,$K2654))</f>
        <v/>
      </c>
      <c r="G2654" s="187">
        <f>IF($K2654="","",INDEX(Zeiterfassung!$G$6:$G$3665,$K2654))</f>
        <v/>
      </c>
      <c r="H2654" s="188">
        <f>IF($K2654="","",INDEX(Zeiterfassung!$H$6:$H$3665,$K2654))</f>
        <v/>
      </c>
      <c r="I2654" s="335">
        <f>IF(B2654=B2653,"",IF($K2654="","",INDEX(Zeiterfassung!$I$6:$I$3665,MATCH(INDEX(Zeiterfassung!$K$6:$K$3665,$K2654),Zeiterfassung!$K$6:$K$3665,0))))</f>
        <v/>
      </c>
      <c r="J2654" s="335">
        <f>IF(B2654=B2653,"",IF($K2654="","",INDEX(Zeiterfassung!$J$6:$J$3665,MATCH(INDEX(Zeiterfassung!$K$6:$K$3665,$K2654),Zeiterfassung!$K$6:$K$3665,0))))</f>
        <v/>
      </c>
      <c r="K2654">
        <f>IFERROR(AGGREGATE(15,6,(ROW(Zeiterfassung!$D$6:$D$3665)-ROW(Zeiterfassung!$D$6)+1)/(Zeiterfassung!$D$6:$D$3665&lt;&gt;""),2649),"")</f>
        <v/>
      </c>
    </row>
    <row r="2655" ht="20" customHeight="1">
      <c r="A2655" s="183">
        <f>IF($K2655="","",WEEKNUM(INDEX(Zeiterfassung!$K$6:$K$3665,$K2655),21))</f>
        <v/>
      </c>
      <c r="B2655" s="184">
        <f>IF($K2655="","",INDEX(Zeiterfassung!$K$6:$K$3665,$K2655))</f>
        <v/>
      </c>
      <c r="C2655" s="185">
        <f>IF($K2655="","",INDEX(Zeiterfassung!$K$6:$K$3665,$K2655))</f>
        <v/>
      </c>
      <c r="D2655" s="186">
        <f>IF($K2655="","",INDEX(Zeiterfassung!$D$6:$D$3665,$K2655))</f>
        <v/>
      </c>
      <c r="E2655" s="186">
        <f>IF($K2655="","",INDEX(Zeiterfassung!$E$6:$E$3665,$K2655))</f>
        <v/>
      </c>
      <c r="F2655" s="187">
        <f>IF($K2655="","",INDEX(Zeiterfassung!$F$6:$F$3665,$K2655))</f>
        <v/>
      </c>
      <c r="G2655" s="187">
        <f>IF($K2655="","",INDEX(Zeiterfassung!$G$6:$G$3665,$K2655))</f>
        <v/>
      </c>
      <c r="H2655" s="188">
        <f>IF($K2655="","",INDEX(Zeiterfassung!$H$6:$H$3665,$K2655))</f>
        <v/>
      </c>
      <c r="I2655" s="335">
        <f>IF(B2655=B2654,"",IF($K2655="","",INDEX(Zeiterfassung!$I$6:$I$3665,MATCH(INDEX(Zeiterfassung!$K$6:$K$3665,$K2655),Zeiterfassung!$K$6:$K$3665,0))))</f>
        <v/>
      </c>
      <c r="J2655" s="335">
        <f>IF(B2655=B2654,"",IF($K2655="","",INDEX(Zeiterfassung!$J$6:$J$3665,MATCH(INDEX(Zeiterfassung!$K$6:$K$3665,$K2655),Zeiterfassung!$K$6:$K$3665,0))))</f>
        <v/>
      </c>
      <c r="K2655">
        <f>IFERROR(AGGREGATE(15,6,(ROW(Zeiterfassung!$D$6:$D$3665)-ROW(Zeiterfassung!$D$6)+1)/(Zeiterfassung!$D$6:$D$3665&lt;&gt;""),2650),"")</f>
        <v/>
      </c>
    </row>
    <row r="2656" ht="20" customHeight="1">
      <c r="A2656" s="183">
        <f>IF($K2656="","",WEEKNUM(INDEX(Zeiterfassung!$K$6:$K$3665,$K2656),21))</f>
        <v/>
      </c>
      <c r="B2656" s="184">
        <f>IF($K2656="","",INDEX(Zeiterfassung!$K$6:$K$3665,$K2656))</f>
        <v/>
      </c>
      <c r="C2656" s="185">
        <f>IF($K2656="","",INDEX(Zeiterfassung!$K$6:$K$3665,$K2656))</f>
        <v/>
      </c>
      <c r="D2656" s="186">
        <f>IF($K2656="","",INDEX(Zeiterfassung!$D$6:$D$3665,$K2656))</f>
        <v/>
      </c>
      <c r="E2656" s="186">
        <f>IF($K2656="","",INDEX(Zeiterfassung!$E$6:$E$3665,$K2656))</f>
        <v/>
      </c>
      <c r="F2656" s="187">
        <f>IF($K2656="","",INDEX(Zeiterfassung!$F$6:$F$3665,$K2656))</f>
        <v/>
      </c>
      <c r="G2656" s="187">
        <f>IF($K2656="","",INDEX(Zeiterfassung!$G$6:$G$3665,$K2656))</f>
        <v/>
      </c>
      <c r="H2656" s="188">
        <f>IF($K2656="","",INDEX(Zeiterfassung!$H$6:$H$3665,$K2656))</f>
        <v/>
      </c>
      <c r="I2656" s="335">
        <f>IF(B2656=B2655,"",IF($K2656="","",INDEX(Zeiterfassung!$I$6:$I$3665,MATCH(INDEX(Zeiterfassung!$K$6:$K$3665,$K2656),Zeiterfassung!$K$6:$K$3665,0))))</f>
        <v/>
      </c>
      <c r="J2656" s="335">
        <f>IF(B2656=B2655,"",IF($K2656="","",INDEX(Zeiterfassung!$J$6:$J$3665,MATCH(INDEX(Zeiterfassung!$K$6:$K$3665,$K2656),Zeiterfassung!$K$6:$K$3665,0))))</f>
        <v/>
      </c>
      <c r="K2656">
        <f>IFERROR(AGGREGATE(15,6,(ROW(Zeiterfassung!$D$6:$D$3665)-ROW(Zeiterfassung!$D$6)+1)/(Zeiterfassung!$D$6:$D$3665&lt;&gt;""),2651),"")</f>
        <v/>
      </c>
    </row>
    <row r="2657" ht="20" customHeight="1">
      <c r="A2657" s="183">
        <f>IF($K2657="","",WEEKNUM(INDEX(Zeiterfassung!$K$6:$K$3665,$K2657),21))</f>
        <v/>
      </c>
      <c r="B2657" s="184">
        <f>IF($K2657="","",INDEX(Zeiterfassung!$K$6:$K$3665,$K2657))</f>
        <v/>
      </c>
      <c r="C2657" s="185">
        <f>IF($K2657="","",INDEX(Zeiterfassung!$K$6:$K$3665,$K2657))</f>
        <v/>
      </c>
      <c r="D2657" s="186">
        <f>IF($K2657="","",INDEX(Zeiterfassung!$D$6:$D$3665,$K2657))</f>
        <v/>
      </c>
      <c r="E2657" s="186">
        <f>IF($K2657="","",INDEX(Zeiterfassung!$E$6:$E$3665,$K2657))</f>
        <v/>
      </c>
      <c r="F2657" s="187">
        <f>IF($K2657="","",INDEX(Zeiterfassung!$F$6:$F$3665,$K2657))</f>
        <v/>
      </c>
      <c r="G2657" s="187">
        <f>IF($K2657="","",INDEX(Zeiterfassung!$G$6:$G$3665,$K2657))</f>
        <v/>
      </c>
      <c r="H2657" s="188">
        <f>IF($K2657="","",INDEX(Zeiterfassung!$H$6:$H$3665,$K2657))</f>
        <v/>
      </c>
      <c r="I2657" s="335">
        <f>IF(B2657=B2656,"",IF($K2657="","",INDEX(Zeiterfassung!$I$6:$I$3665,MATCH(INDEX(Zeiterfassung!$K$6:$K$3665,$K2657),Zeiterfassung!$K$6:$K$3665,0))))</f>
        <v/>
      </c>
      <c r="J2657" s="335">
        <f>IF(B2657=B2656,"",IF($K2657="","",INDEX(Zeiterfassung!$J$6:$J$3665,MATCH(INDEX(Zeiterfassung!$K$6:$K$3665,$K2657),Zeiterfassung!$K$6:$K$3665,0))))</f>
        <v/>
      </c>
      <c r="K2657">
        <f>IFERROR(AGGREGATE(15,6,(ROW(Zeiterfassung!$D$6:$D$3665)-ROW(Zeiterfassung!$D$6)+1)/(Zeiterfassung!$D$6:$D$3665&lt;&gt;""),2652),"")</f>
        <v/>
      </c>
    </row>
    <row r="2658" ht="20" customHeight="1">
      <c r="A2658" s="183">
        <f>IF($K2658="","",WEEKNUM(INDEX(Zeiterfassung!$K$6:$K$3665,$K2658),21))</f>
        <v/>
      </c>
      <c r="B2658" s="184">
        <f>IF($K2658="","",INDEX(Zeiterfassung!$K$6:$K$3665,$K2658))</f>
        <v/>
      </c>
      <c r="C2658" s="185">
        <f>IF($K2658="","",INDEX(Zeiterfassung!$K$6:$K$3665,$K2658))</f>
        <v/>
      </c>
      <c r="D2658" s="186">
        <f>IF($K2658="","",INDEX(Zeiterfassung!$D$6:$D$3665,$K2658))</f>
        <v/>
      </c>
      <c r="E2658" s="186">
        <f>IF($K2658="","",INDEX(Zeiterfassung!$E$6:$E$3665,$K2658))</f>
        <v/>
      </c>
      <c r="F2658" s="187">
        <f>IF($K2658="","",INDEX(Zeiterfassung!$F$6:$F$3665,$K2658))</f>
        <v/>
      </c>
      <c r="G2658" s="187">
        <f>IF($K2658="","",INDEX(Zeiterfassung!$G$6:$G$3665,$K2658))</f>
        <v/>
      </c>
      <c r="H2658" s="188">
        <f>IF($K2658="","",INDEX(Zeiterfassung!$H$6:$H$3665,$K2658))</f>
        <v/>
      </c>
      <c r="I2658" s="335">
        <f>IF(B2658=B2657,"",IF($K2658="","",INDEX(Zeiterfassung!$I$6:$I$3665,MATCH(INDEX(Zeiterfassung!$K$6:$K$3665,$K2658),Zeiterfassung!$K$6:$K$3665,0))))</f>
        <v/>
      </c>
      <c r="J2658" s="335">
        <f>IF(B2658=B2657,"",IF($K2658="","",INDEX(Zeiterfassung!$J$6:$J$3665,MATCH(INDEX(Zeiterfassung!$K$6:$K$3665,$K2658),Zeiterfassung!$K$6:$K$3665,0))))</f>
        <v/>
      </c>
      <c r="K2658">
        <f>IFERROR(AGGREGATE(15,6,(ROW(Zeiterfassung!$D$6:$D$3665)-ROW(Zeiterfassung!$D$6)+1)/(Zeiterfassung!$D$6:$D$3665&lt;&gt;""),2653),"")</f>
        <v/>
      </c>
    </row>
    <row r="2659" ht="20" customHeight="1">
      <c r="A2659" s="183">
        <f>IF($K2659="","",WEEKNUM(INDEX(Zeiterfassung!$K$6:$K$3665,$K2659),21))</f>
        <v/>
      </c>
      <c r="B2659" s="184">
        <f>IF($K2659="","",INDEX(Zeiterfassung!$K$6:$K$3665,$K2659))</f>
        <v/>
      </c>
      <c r="C2659" s="185">
        <f>IF($K2659="","",INDEX(Zeiterfassung!$K$6:$K$3665,$K2659))</f>
        <v/>
      </c>
      <c r="D2659" s="186">
        <f>IF($K2659="","",INDEX(Zeiterfassung!$D$6:$D$3665,$K2659))</f>
        <v/>
      </c>
      <c r="E2659" s="186">
        <f>IF($K2659="","",INDEX(Zeiterfassung!$E$6:$E$3665,$K2659))</f>
        <v/>
      </c>
      <c r="F2659" s="187">
        <f>IF($K2659="","",INDEX(Zeiterfassung!$F$6:$F$3665,$K2659))</f>
        <v/>
      </c>
      <c r="G2659" s="187">
        <f>IF($K2659="","",INDEX(Zeiterfassung!$G$6:$G$3665,$K2659))</f>
        <v/>
      </c>
      <c r="H2659" s="188">
        <f>IF($K2659="","",INDEX(Zeiterfassung!$H$6:$H$3665,$K2659))</f>
        <v/>
      </c>
      <c r="I2659" s="335">
        <f>IF(B2659=B2658,"",IF($K2659="","",INDEX(Zeiterfassung!$I$6:$I$3665,MATCH(INDEX(Zeiterfassung!$K$6:$K$3665,$K2659),Zeiterfassung!$K$6:$K$3665,0))))</f>
        <v/>
      </c>
      <c r="J2659" s="335">
        <f>IF(B2659=B2658,"",IF($K2659="","",INDEX(Zeiterfassung!$J$6:$J$3665,MATCH(INDEX(Zeiterfassung!$K$6:$K$3665,$K2659),Zeiterfassung!$K$6:$K$3665,0))))</f>
        <v/>
      </c>
      <c r="K2659">
        <f>IFERROR(AGGREGATE(15,6,(ROW(Zeiterfassung!$D$6:$D$3665)-ROW(Zeiterfassung!$D$6)+1)/(Zeiterfassung!$D$6:$D$3665&lt;&gt;""),2654),"")</f>
        <v/>
      </c>
    </row>
    <row r="2660" ht="20" customHeight="1">
      <c r="A2660" s="183">
        <f>IF($K2660="","",WEEKNUM(INDEX(Zeiterfassung!$K$6:$K$3665,$K2660),21))</f>
        <v/>
      </c>
      <c r="B2660" s="184">
        <f>IF($K2660="","",INDEX(Zeiterfassung!$K$6:$K$3665,$K2660))</f>
        <v/>
      </c>
      <c r="C2660" s="185">
        <f>IF($K2660="","",INDEX(Zeiterfassung!$K$6:$K$3665,$K2660))</f>
        <v/>
      </c>
      <c r="D2660" s="186">
        <f>IF($K2660="","",INDEX(Zeiterfassung!$D$6:$D$3665,$K2660))</f>
        <v/>
      </c>
      <c r="E2660" s="186">
        <f>IF($K2660="","",INDEX(Zeiterfassung!$E$6:$E$3665,$K2660))</f>
        <v/>
      </c>
      <c r="F2660" s="187">
        <f>IF($K2660="","",INDEX(Zeiterfassung!$F$6:$F$3665,$K2660))</f>
        <v/>
      </c>
      <c r="G2660" s="187">
        <f>IF($K2660="","",INDEX(Zeiterfassung!$G$6:$G$3665,$K2660))</f>
        <v/>
      </c>
      <c r="H2660" s="188">
        <f>IF($K2660="","",INDEX(Zeiterfassung!$H$6:$H$3665,$K2660))</f>
        <v/>
      </c>
      <c r="I2660" s="335">
        <f>IF(B2660=B2659,"",IF($K2660="","",INDEX(Zeiterfassung!$I$6:$I$3665,MATCH(INDEX(Zeiterfassung!$K$6:$K$3665,$K2660),Zeiterfassung!$K$6:$K$3665,0))))</f>
        <v/>
      </c>
      <c r="J2660" s="335">
        <f>IF(B2660=B2659,"",IF($K2660="","",INDEX(Zeiterfassung!$J$6:$J$3665,MATCH(INDEX(Zeiterfassung!$K$6:$K$3665,$K2660),Zeiterfassung!$K$6:$K$3665,0))))</f>
        <v/>
      </c>
      <c r="K2660">
        <f>IFERROR(AGGREGATE(15,6,(ROW(Zeiterfassung!$D$6:$D$3665)-ROW(Zeiterfassung!$D$6)+1)/(Zeiterfassung!$D$6:$D$3665&lt;&gt;""),2655),"")</f>
        <v/>
      </c>
    </row>
    <row r="2661" ht="20" customHeight="1">
      <c r="A2661" s="183">
        <f>IF($K2661="","",WEEKNUM(INDEX(Zeiterfassung!$K$6:$K$3665,$K2661),21))</f>
        <v/>
      </c>
      <c r="B2661" s="184">
        <f>IF($K2661="","",INDEX(Zeiterfassung!$K$6:$K$3665,$K2661))</f>
        <v/>
      </c>
      <c r="C2661" s="185">
        <f>IF($K2661="","",INDEX(Zeiterfassung!$K$6:$K$3665,$K2661))</f>
        <v/>
      </c>
      <c r="D2661" s="186">
        <f>IF($K2661="","",INDEX(Zeiterfassung!$D$6:$D$3665,$K2661))</f>
        <v/>
      </c>
      <c r="E2661" s="186">
        <f>IF($K2661="","",INDEX(Zeiterfassung!$E$6:$E$3665,$K2661))</f>
        <v/>
      </c>
      <c r="F2661" s="187">
        <f>IF($K2661="","",INDEX(Zeiterfassung!$F$6:$F$3665,$K2661))</f>
        <v/>
      </c>
      <c r="G2661" s="187">
        <f>IF($K2661="","",INDEX(Zeiterfassung!$G$6:$G$3665,$K2661))</f>
        <v/>
      </c>
      <c r="H2661" s="188">
        <f>IF($K2661="","",INDEX(Zeiterfassung!$H$6:$H$3665,$K2661))</f>
        <v/>
      </c>
      <c r="I2661" s="335">
        <f>IF(B2661=B2660,"",IF($K2661="","",INDEX(Zeiterfassung!$I$6:$I$3665,MATCH(INDEX(Zeiterfassung!$K$6:$K$3665,$K2661),Zeiterfassung!$K$6:$K$3665,0))))</f>
        <v/>
      </c>
      <c r="J2661" s="335">
        <f>IF(B2661=B2660,"",IF($K2661="","",INDEX(Zeiterfassung!$J$6:$J$3665,MATCH(INDEX(Zeiterfassung!$K$6:$K$3665,$K2661),Zeiterfassung!$K$6:$K$3665,0))))</f>
        <v/>
      </c>
      <c r="K2661">
        <f>IFERROR(AGGREGATE(15,6,(ROW(Zeiterfassung!$D$6:$D$3665)-ROW(Zeiterfassung!$D$6)+1)/(Zeiterfassung!$D$6:$D$3665&lt;&gt;""),2656),"")</f>
        <v/>
      </c>
    </row>
    <row r="2662" ht="20" customHeight="1">
      <c r="A2662" s="183">
        <f>IF($K2662="","",WEEKNUM(INDEX(Zeiterfassung!$K$6:$K$3665,$K2662),21))</f>
        <v/>
      </c>
      <c r="B2662" s="184">
        <f>IF($K2662="","",INDEX(Zeiterfassung!$K$6:$K$3665,$K2662))</f>
        <v/>
      </c>
      <c r="C2662" s="185">
        <f>IF($K2662="","",INDEX(Zeiterfassung!$K$6:$K$3665,$K2662))</f>
        <v/>
      </c>
      <c r="D2662" s="186">
        <f>IF($K2662="","",INDEX(Zeiterfassung!$D$6:$D$3665,$K2662))</f>
        <v/>
      </c>
      <c r="E2662" s="186">
        <f>IF($K2662="","",INDEX(Zeiterfassung!$E$6:$E$3665,$K2662))</f>
        <v/>
      </c>
      <c r="F2662" s="187">
        <f>IF($K2662="","",INDEX(Zeiterfassung!$F$6:$F$3665,$K2662))</f>
        <v/>
      </c>
      <c r="G2662" s="187">
        <f>IF($K2662="","",INDEX(Zeiterfassung!$G$6:$G$3665,$K2662))</f>
        <v/>
      </c>
      <c r="H2662" s="188">
        <f>IF($K2662="","",INDEX(Zeiterfassung!$H$6:$H$3665,$K2662))</f>
        <v/>
      </c>
      <c r="I2662" s="335">
        <f>IF(B2662=B2661,"",IF($K2662="","",INDEX(Zeiterfassung!$I$6:$I$3665,MATCH(INDEX(Zeiterfassung!$K$6:$K$3665,$K2662),Zeiterfassung!$K$6:$K$3665,0))))</f>
        <v/>
      </c>
      <c r="J2662" s="335">
        <f>IF(B2662=B2661,"",IF($K2662="","",INDEX(Zeiterfassung!$J$6:$J$3665,MATCH(INDEX(Zeiterfassung!$K$6:$K$3665,$K2662),Zeiterfassung!$K$6:$K$3665,0))))</f>
        <v/>
      </c>
      <c r="K2662">
        <f>IFERROR(AGGREGATE(15,6,(ROW(Zeiterfassung!$D$6:$D$3665)-ROW(Zeiterfassung!$D$6)+1)/(Zeiterfassung!$D$6:$D$3665&lt;&gt;""),2657),"")</f>
        <v/>
      </c>
    </row>
    <row r="2663" ht="20" customHeight="1">
      <c r="A2663" s="183">
        <f>IF($K2663="","",WEEKNUM(INDEX(Zeiterfassung!$K$6:$K$3665,$K2663),21))</f>
        <v/>
      </c>
      <c r="B2663" s="184">
        <f>IF($K2663="","",INDEX(Zeiterfassung!$K$6:$K$3665,$K2663))</f>
        <v/>
      </c>
      <c r="C2663" s="185">
        <f>IF($K2663="","",INDEX(Zeiterfassung!$K$6:$K$3665,$K2663))</f>
        <v/>
      </c>
      <c r="D2663" s="186">
        <f>IF($K2663="","",INDEX(Zeiterfassung!$D$6:$D$3665,$K2663))</f>
        <v/>
      </c>
      <c r="E2663" s="186">
        <f>IF($K2663="","",INDEX(Zeiterfassung!$E$6:$E$3665,$K2663))</f>
        <v/>
      </c>
      <c r="F2663" s="187">
        <f>IF($K2663="","",INDEX(Zeiterfassung!$F$6:$F$3665,$K2663))</f>
        <v/>
      </c>
      <c r="G2663" s="187">
        <f>IF($K2663="","",INDEX(Zeiterfassung!$G$6:$G$3665,$K2663))</f>
        <v/>
      </c>
      <c r="H2663" s="188">
        <f>IF($K2663="","",INDEX(Zeiterfassung!$H$6:$H$3665,$K2663))</f>
        <v/>
      </c>
      <c r="I2663" s="335">
        <f>IF(B2663=B2662,"",IF($K2663="","",INDEX(Zeiterfassung!$I$6:$I$3665,MATCH(INDEX(Zeiterfassung!$K$6:$K$3665,$K2663),Zeiterfassung!$K$6:$K$3665,0))))</f>
        <v/>
      </c>
      <c r="J2663" s="335">
        <f>IF(B2663=B2662,"",IF($K2663="","",INDEX(Zeiterfassung!$J$6:$J$3665,MATCH(INDEX(Zeiterfassung!$K$6:$K$3665,$K2663),Zeiterfassung!$K$6:$K$3665,0))))</f>
        <v/>
      </c>
      <c r="K2663">
        <f>IFERROR(AGGREGATE(15,6,(ROW(Zeiterfassung!$D$6:$D$3665)-ROW(Zeiterfassung!$D$6)+1)/(Zeiterfassung!$D$6:$D$3665&lt;&gt;""),2658),"")</f>
        <v/>
      </c>
    </row>
    <row r="2664" ht="20" customHeight="1">
      <c r="A2664" s="183">
        <f>IF($K2664="","",WEEKNUM(INDEX(Zeiterfassung!$K$6:$K$3665,$K2664),21))</f>
        <v/>
      </c>
      <c r="B2664" s="184">
        <f>IF($K2664="","",INDEX(Zeiterfassung!$K$6:$K$3665,$K2664))</f>
        <v/>
      </c>
      <c r="C2664" s="185">
        <f>IF($K2664="","",INDEX(Zeiterfassung!$K$6:$K$3665,$K2664))</f>
        <v/>
      </c>
      <c r="D2664" s="186">
        <f>IF($K2664="","",INDEX(Zeiterfassung!$D$6:$D$3665,$K2664))</f>
        <v/>
      </c>
      <c r="E2664" s="186">
        <f>IF($K2664="","",INDEX(Zeiterfassung!$E$6:$E$3665,$K2664))</f>
        <v/>
      </c>
      <c r="F2664" s="187">
        <f>IF($K2664="","",INDEX(Zeiterfassung!$F$6:$F$3665,$K2664))</f>
        <v/>
      </c>
      <c r="G2664" s="187">
        <f>IF($K2664="","",INDEX(Zeiterfassung!$G$6:$G$3665,$K2664))</f>
        <v/>
      </c>
      <c r="H2664" s="188">
        <f>IF($K2664="","",INDEX(Zeiterfassung!$H$6:$H$3665,$K2664))</f>
        <v/>
      </c>
      <c r="I2664" s="335">
        <f>IF(B2664=B2663,"",IF($K2664="","",INDEX(Zeiterfassung!$I$6:$I$3665,MATCH(INDEX(Zeiterfassung!$K$6:$K$3665,$K2664),Zeiterfassung!$K$6:$K$3665,0))))</f>
        <v/>
      </c>
      <c r="J2664" s="335">
        <f>IF(B2664=B2663,"",IF($K2664="","",INDEX(Zeiterfassung!$J$6:$J$3665,MATCH(INDEX(Zeiterfassung!$K$6:$K$3665,$K2664),Zeiterfassung!$K$6:$K$3665,0))))</f>
        <v/>
      </c>
      <c r="K2664">
        <f>IFERROR(AGGREGATE(15,6,(ROW(Zeiterfassung!$D$6:$D$3665)-ROW(Zeiterfassung!$D$6)+1)/(Zeiterfassung!$D$6:$D$3665&lt;&gt;""),2659),"")</f>
        <v/>
      </c>
    </row>
    <row r="2665" ht="20" customHeight="1">
      <c r="A2665" s="183">
        <f>IF($K2665="","",WEEKNUM(INDEX(Zeiterfassung!$K$6:$K$3665,$K2665),21))</f>
        <v/>
      </c>
      <c r="B2665" s="184">
        <f>IF($K2665="","",INDEX(Zeiterfassung!$K$6:$K$3665,$K2665))</f>
        <v/>
      </c>
      <c r="C2665" s="185">
        <f>IF($K2665="","",INDEX(Zeiterfassung!$K$6:$K$3665,$K2665))</f>
        <v/>
      </c>
      <c r="D2665" s="186">
        <f>IF($K2665="","",INDEX(Zeiterfassung!$D$6:$D$3665,$K2665))</f>
        <v/>
      </c>
      <c r="E2665" s="186">
        <f>IF($K2665="","",INDEX(Zeiterfassung!$E$6:$E$3665,$K2665))</f>
        <v/>
      </c>
      <c r="F2665" s="187">
        <f>IF($K2665="","",INDEX(Zeiterfassung!$F$6:$F$3665,$K2665))</f>
        <v/>
      </c>
      <c r="G2665" s="187">
        <f>IF($K2665="","",INDEX(Zeiterfassung!$G$6:$G$3665,$K2665))</f>
        <v/>
      </c>
      <c r="H2665" s="188">
        <f>IF($K2665="","",INDEX(Zeiterfassung!$H$6:$H$3665,$K2665))</f>
        <v/>
      </c>
      <c r="I2665" s="335">
        <f>IF(B2665=B2664,"",IF($K2665="","",INDEX(Zeiterfassung!$I$6:$I$3665,MATCH(INDEX(Zeiterfassung!$K$6:$K$3665,$K2665),Zeiterfassung!$K$6:$K$3665,0))))</f>
        <v/>
      </c>
      <c r="J2665" s="335">
        <f>IF(B2665=B2664,"",IF($K2665="","",INDEX(Zeiterfassung!$J$6:$J$3665,MATCH(INDEX(Zeiterfassung!$K$6:$K$3665,$K2665),Zeiterfassung!$K$6:$K$3665,0))))</f>
        <v/>
      </c>
      <c r="K2665">
        <f>IFERROR(AGGREGATE(15,6,(ROW(Zeiterfassung!$D$6:$D$3665)-ROW(Zeiterfassung!$D$6)+1)/(Zeiterfassung!$D$6:$D$3665&lt;&gt;""),2660),"")</f>
        <v/>
      </c>
    </row>
    <row r="2666" ht="20" customHeight="1">
      <c r="A2666" s="183">
        <f>IF($K2666="","",WEEKNUM(INDEX(Zeiterfassung!$K$6:$K$3665,$K2666),21))</f>
        <v/>
      </c>
      <c r="B2666" s="184">
        <f>IF($K2666="","",INDEX(Zeiterfassung!$K$6:$K$3665,$K2666))</f>
        <v/>
      </c>
      <c r="C2666" s="185">
        <f>IF($K2666="","",INDEX(Zeiterfassung!$K$6:$K$3665,$K2666))</f>
        <v/>
      </c>
      <c r="D2666" s="186">
        <f>IF($K2666="","",INDEX(Zeiterfassung!$D$6:$D$3665,$K2666))</f>
        <v/>
      </c>
      <c r="E2666" s="186">
        <f>IF($K2666="","",INDEX(Zeiterfassung!$E$6:$E$3665,$K2666))</f>
        <v/>
      </c>
      <c r="F2666" s="187">
        <f>IF($K2666="","",INDEX(Zeiterfassung!$F$6:$F$3665,$K2666))</f>
        <v/>
      </c>
      <c r="G2666" s="187">
        <f>IF($K2666="","",INDEX(Zeiterfassung!$G$6:$G$3665,$K2666))</f>
        <v/>
      </c>
      <c r="H2666" s="188">
        <f>IF($K2666="","",INDEX(Zeiterfassung!$H$6:$H$3665,$K2666))</f>
        <v/>
      </c>
      <c r="I2666" s="335">
        <f>IF(B2666=B2665,"",IF($K2666="","",INDEX(Zeiterfassung!$I$6:$I$3665,MATCH(INDEX(Zeiterfassung!$K$6:$K$3665,$K2666),Zeiterfassung!$K$6:$K$3665,0))))</f>
        <v/>
      </c>
      <c r="J2666" s="335">
        <f>IF(B2666=B2665,"",IF($K2666="","",INDEX(Zeiterfassung!$J$6:$J$3665,MATCH(INDEX(Zeiterfassung!$K$6:$K$3665,$K2666),Zeiterfassung!$K$6:$K$3665,0))))</f>
        <v/>
      </c>
      <c r="K2666">
        <f>IFERROR(AGGREGATE(15,6,(ROW(Zeiterfassung!$D$6:$D$3665)-ROW(Zeiterfassung!$D$6)+1)/(Zeiterfassung!$D$6:$D$3665&lt;&gt;""),2661),"")</f>
        <v/>
      </c>
    </row>
    <row r="2667" ht="20" customHeight="1">
      <c r="A2667" s="183">
        <f>IF($K2667="","",WEEKNUM(INDEX(Zeiterfassung!$K$6:$K$3665,$K2667),21))</f>
        <v/>
      </c>
      <c r="B2667" s="184">
        <f>IF($K2667="","",INDEX(Zeiterfassung!$K$6:$K$3665,$K2667))</f>
        <v/>
      </c>
      <c r="C2667" s="185">
        <f>IF($K2667="","",INDEX(Zeiterfassung!$K$6:$K$3665,$K2667))</f>
        <v/>
      </c>
      <c r="D2667" s="186">
        <f>IF($K2667="","",INDEX(Zeiterfassung!$D$6:$D$3665,$K2667))</f>
        <v/>
      </c>
      <c r="E2667" s="186">
        <f>IF($K2667="","",INDEX(Zeiterfassung!$E$6:$E$3665,$K2667))</f>
        <v/>
      </c>
      <c r="F2667" s="187">
        <f>IF($K2667="","",INDEX(Zeiterfassung!$F$6:$F$3665,$K2667))</f>
        <v/>
      </c>
      <c r="G2667" s="187">
        <f>IF($K2667="","",INDEX(Zeiterfassung!$G$6:$G$3665,$K2667))</f>
        <v/>
      </c>
      <c r="H2667" s="188">
        <f>IF($K2667="","",INDEX(Zeiterfassung!$H$6:$H$3665,$K2667))</f>
        <v/>
      </c>
      <c r="I2667" s="335">
        <f>IF(B2667=B2666,"",IF($K2667="","",INDEX(Zeiterfassung!$I$6:$I$3665,MATCH(INDEX(Zeiterfassung!$K$6:$K$3665,$K2667),Zeiterfassung!$K$6:$K$3665,0))))</f>
        <v/>
      </c>
      <c r="J2667" s="335">
        <f>IF(B2667=B2666,"",IF($K2667="","",INDEX(Zeiterfassung!$J$6:$J$3665,MATCH(INDEX(Zeiterfassung!$K$6:$K$3665,$K2667),Zeiterfassung!$K$6:$K$3665,0))))</f>
        <v/>
      </c>
      <c r="K2667">
        <f>IFERROR(AGGREGATE(15,6,(ROW(Zeiterfassung!$D$6:$D$3665)-ROW(Zeiterfassung!$D$6)+1)/(Zeiterfassung!$D$6:$D$3665&lt;&gt;""),2662),"")</f>
        <v/>
      </c>
    </row>
    <row r="2668" ht="20" customHeight="1">
      <c r="A2668" s="183">
        <f>IF($K2668="","",WEEKNUM(INDEX(Zeiterfassung!$K$6:$K$3665,$K2668),21))</f>
        <v/>
      </c>
      <c r="B2668" s="184">
        <f>IF($K2668="","",INDEX(Zeiterfassung!$K$6:$K$3665,$K2668))</f>
        <v/>
      </c>
      <c r="C2668" s="185">
        <f>IF($K2668="","",INDEX(Zeiterfassung!$K$6:$K$3665,$K2668))</f>
        <v/>
      </c>
      <c r="D2668" s="186">
        <f>IF($K2668="","",INDEX(Zeiterfassung!$D$6:$D$3665,$K2668))</f>
        <v/>
      </c>
      <c r="E2668" s="186">
        <f>IF($K2668="","",INDEX(Zeiterfassung!$E$6:$E$3665,$K2668))</f>
        <v/>
      </c>
      <c r="F2668" s="187">
        <f>IF($K2668="","",INDEX(Zeiterfassung!$F$6:$F$3665,$K2668))</f>
        <v/>
      </c>
      <c r="G2668" s="187">
        <f>IF($K2668="","",INDEX(Zeiterfassung!$G$6:$G$3665,$K2668))</f>
        <v/>
      </c>
      <c r="H2668" s="188">
        <f>IF($K2668="","",INDEX(Zeiterfassung!$H$6:$H$3665,$K2668))</f>
        <v/>
      </c>
      <c r="I2668" s="335">
        <f>IF(B2668=B2667,"",IF($K2668="","",INDEX(Zeiterfassung!$I$6:$I$3665,MATCH(INDEX(Zeiterfassung!$K$6:$K$3665,$K2668),Zeiterfassung!$K$6:$K$3665,0))))</f>
        <v/>
      </c>
      <c r="J2668" s="335">
        <f>IF(B2668=B2667,"",IF($K2668="","",INDEX(Zeiterfassung!$J$6:$J$3665,MATCH(INDEX(Zeiterfassung!$K$6:$K$3665,$K2668),Zeiterfassung!$K$6:$K$3665,0))))</f>
        <v/>
      </c>
      <c r="K2668">
        <f>IFERROR(AGGREGATE(15,6,(ROW(Zeiterfassung!$D$6:$D$3665)-ROW(Zeiterfassung!$D$6)+1)/(Zeiterfassung!$D$6:$D$3665&lt;&gt;""),2663),"")</f>
        <v/>
      </c>
    </row>
    <row r="2669" ht="20" customHeight="1">
      <c r="A2669" s="183">
        <f>IF($K2669="","",WEEKNUM(INDEX(Zeiterfassung!$K$6:$K$3665,$K2669),21))</f>
        <v/>
      </c>
      <c r="B2669" s="184">
        <f>IF($K2669="","",INDEX(Zeiterfassung!$K$6:$K$3665,$K2669))</f>
        <v/>
      </c>
      <c r="C2669" s="185">
        <f>IF($K2669="","",INDEX(Zeiterfassung!$K$6:$K$3665,$K2669))</f>
        <v/>
      </c>
      <c r="D2669" s="186">
        <f>IF($K2669="","",INDEX(Zeiterfassung!$D$6:$D$3665,$K2669))</f>
        <v/>
      </c>
      <c r="E2669" s="186">
        <f>IF($K2669="","",INDEX(Zeiterfassung!$E$6:$E$3665,$K2669))</f>
        <v/>
      </c>
      <c r="F2669" s="187">
        <f>IF($K2669="","",INDEX(Zeiterfassung!$F$6:$F$3665,$K2669))</f>
        <v/>
      </c>
      <c r="G2669" s="187">
        <f>IF($K2669="","",INDEX(Zeiterfassung!$G$6:$G$3665,$K2669))</f>
        <v/>
      </c>
      <c r="H2669" s="188">
        <f>IF($K2669="","",INDEX(Zeiterfassung!$H$6:$H$3665,$K2669))</f>
        <v/>
      </c>
      <c r="I2669" s="335">
        <f>IF(B2669=B2668,"",IF($K2669="","",INDEX(Zeiterfassung!$I$6:$I$3665,MATCH(INDEX(Zeiterfassung!$K$6:$K$3665,$K2669),Zeiterfassung!$K$6:$K$3665,0))))</f>
        <v/>
      </c>
      <c r="J2669" s="335">
        <f>IF(B2669=B2668,"",IF($K2669="","",INDEX(Zeiterfassung!$J$6:$J$3665,MATCH(INDEX(Zeiterfassung!$K$6:$K$3665,$K2669),Zeiterfassung!$K$6:$K$3665,0))))</f>
        <v/>
      </c>
      <c r="K2669">
        <f>IFERROR(AGGREGATE(15,6,(ROW(Zeiterfassung!$D$6:$D$3665)-ROW(Zeiterfassung!$D$6)+1)/(Zeiterfassung!$D$6:$D$3665&lt;&gt;""),2664),"")</f>
        <v/>
      </c>
    </row>
    <row r="2670" ht="20" customHeight="1">
      <c r="A2670" s="183">
        <f>IF($K2670="","",WEEKNUM(INDEX(Zeiterfassung!$K$6:$K$3665,$K2670),21))</f>
        <v/>
      </c>
      <c r="B2670" s="184">
        <f>IF($K2670="","",INDEX(Zeiterfassung!$K$6:$K$3665,$K2670))</f>
        <v/>
      </c>
      <c r="C2670" s="185">
        <f>IF($K2670="","",INDEX(Zeiterfassung!$K$6:$K$3665,$K2670))</f>
        <v/>
      </c>
      <c r="D2670" s="186">
        <f>IF($K2670="","",INDEX(Zeiterfassung!$D$6:$D$3665,$K2670))</f>
        <v/>
      </c>
      <c r="E2670" s="186">
        <f>IF($K2670="","",INDEX(Zeiterfassung!$E$6:$E$3665,$K2670))</f>
        <v/>
      </c>
      <c r="F2670" s="187">
        <f>IF($K2670="","",INDEX(Zeiterfassung!$F$6:$F$3665,$K2670))</f>
        <v/>
      </c>
      <c r="G2670" s="187">
        <f>IF($K2670="","",INDEX(Zeiterfassung!$G$6:$G$3665,$K2670))</f>
        <v/>
      </c>
      <c r="H2670" s="188">
        <f>IF($K2670="","",INDEX(Zeiterfassung!$H$6:$H$3665,$K2670))</f>
        <v/>
      </c>
      <c r="I2670" s="335">
        <f>IF(B2670=B2669,"",IF($K2670="","",INDEX(Zeiterfassung!$I$6:$I$3665,MATCH(INDEX(Zeiterfassung!$K$6:$K$3665,$K2670),Zeiterfassung!$K$6:$K$3665,0))))</f>
        <v/>
      </c>
      <c r="J2670" s="335">
        <f>IF(B2670=B2669,"",IF($K2670="","",INDEX(Zeiterfassung!$J$6:$J$3665,MATCH(INDEX(Zeiterfassung!$K$6:$K$3665,$K2670),Zeiterfassung!$K$6:$K$3665,0))))</f>
        <v/>
      </c>
      <c r="K2670">
        <f>IFERROR(AGGREGATE(15,6,(ROW(Zeiterfassung!$D$6:$D$3665)-ROW(Zeiterfassung!$D$6)+1)/(Zeiterfassung!$D$6:$D$3665&lt;&gt;""),2665),"")</f>
        <v/>
      </c>
    </row>
    <row r="2671" ht="20" customHeight="1">
      <c r="A2671" s="183">
        <f>IF($K2671="","",WEEKNUM(INDEX(Zeiterfassung!$K$6:$K$3665,$K2671),21))</f>
        <v/>
      </c>
      <c r="B2671" s="184">
        <f>IF($K2671="","",INDEX(Zeiterfassung!$K$6:$K$3665,$K2671))</f>
        <v/>
      </c>
      <c r="C2671" s="185">
        <f>IF($K2671="","",INDEX(Zeiterfassung!$K$6:$K$3665,$K2671))</f>
        <v/>
      </c>
      <c r="D2671" s="186">
        <f>IF($K2671="","",INDEX(Zeiterfassung!$D$6:$D$3665,$K2671))</f>
        <v/>
      </c>
      <c r="E2671" s="186">
        <f>IF($K2671="","",INDEX(Zeiterfassung!$E$6:$E$3665,$K2671))</f>
        <v/>
      </c>
      <c r="F2671" s="187">
        <f>IF($K2671="","",INDEX(Zeiterfassung!$F$6:$F$3665,$K2671))</f>
        <v/>
      </c>
      <c r="G2671" s="187">
        <f>IF($K2671="","",INDEX(Zeiterfassung!$G$6:$G$3665,$K2671))</f>
        <v/>
      </c>
      <c r="H2671" s="188">
        <f>IF($K2671="","",INDEX(Zeiterfassung!$H$6:$H$3665,$K2671))</f>
        <v/>
      </c>
      <c r="I2671" s="335">
        <f>IF(B2671=B2670,"",IF($K2671="","",INDEX(Zeiterfassung!$I$6:$I$3665,MATCH(INDEX(Zeiterfassung!$K$6:$K$3665,$K2671),Zeiterfassung!$K$6:$K$3665,0))))</f>
        <v/>
      </c>
      <c r="J2671" s="335">
        <f>IF(B2671=B2670,"",IF($K2671="","",INDEX(Zeiterfassung!$J$6:$J$3665,MATCH(INDEX(Zeiterfassung!$K$6:$K$3665,$K2671),Zeiterfassung!$K$6:$K$3665,0))))</f>
        <v/>
      </c>
      <c r="K2671">
        <f>IFERROR(AGGREGATE(15,6,(ROW(Zeiterfassung!$D$6:$D$3665)-ROW(Zeiterfassung!$D$6)+1)/(Zeiterfassung!$D$6:$D$3665&lt;&gt;""),2666),"")</f>
        <v/>
      </c>
    </row>
    <row r="2672" ht="20" customHeight="1">
      <c r="A2672" s="183">
        <f>IF($K2672="","",WEEKNUM(INDEX(Zeiterfassung!$K$6:$K$3665,$K2672),21))</f>
        <v/>
      </c>
      <c r="B2672" s="184">
        <f>IF($K2672="","",INDEX(Zeiterfassung!$K$6:$K$3665,$K2672))</f>
        <v/>
      </c>
      <c r="C2672" s="185">
        <f>IF($K2672="","",INDEX(Zeiterfassung!$K$6:$K$3665,$K2672))</f>
        <v/>
      </c>
      <c r="D2672" s="186">
        <f>IF($K2672="","",INDEX(Zeiterfassung!$D$6:$D$3665,$K2672))</f>
        <v/>
      </c>
      <c r="E2672" s="186">
        <f>IF($K2672="","",INDEX(Zeiterfassung!$E$6:$E$3665,$K2672))</f>
        <v/>
      </c>
      <c r="F2672" s="187">
        <f>IF($K2672="","",INDEX(Zeiterfassung!$F$6:$F$3665,$K2672))</f>
        <v/>
      </c>
      <c r="G2672" s="187">
        <f>IF($K2672="","",INDEX(Zeiterfassung!$G$6:$G$3665,$K2672))</f>
        <v/>
      </c>
      <c r="H2672" s="188">
        <f>IF($K2672="","",INDEX(Zeiterfassung!$H$6:$H$3665,$K2672))</f>
        <v/>
      </c>
      <c r="I2672" s="335">
        <f>IF(B2672=B2671,"",IF($K2672="","",INDEX(Zeiterfassung!$I$6:$I$3665,MATCH(INDEX(Zeiterfassung!$K$6:$K$3665,$K2672),Zeiterfassung!$K$6:$K$3665,0))))</f>
        <v/>
      </c>
      <c r="J2672" s="335">
        <f>IF(B2672=B2671,"",IF($K2672="","",INDEX(Zeiterfassung!$J$6:$J$3665,MATCH(INDEX(Zeiterfassung!$K$6:$K$3665,$K2672),Zeiterfassung!$K$6:$K$3665,0))))</f>
        <v/>
      </c>
      <c r="K2672">
        <f>IFERROR(AGGREGATE(15,6,(ROW(Zeiterfassung!$D$6:$D$3665)-ROW(Zeiterfassung!$D$6)+1)/(Zeiterfassung!$D$6:$D$3665&lt;&gt;""),2667),"")</f>
        <v/>
      </c>
    </row>
    <row r="2673" ht="20" customHeight="1">
      <c r="A2673" s="183">
        <f>IF($K2673="","",WEEKNUM(INDEX(Zeiterfassung!$K$6:$K$3665,$K2673),21))</f>
        <v/>
      </c>
      <c r="B2673" s="184">
        <f>IF($K2673="","",INDEX(Zeiterfassung!$K$6:$K$3665,$K2673))</f>
        <v/>
      </c>
      <c r="C2673" s="185">
        <f>IF($K2673="","",INDEX(Zeiterfassung!$K$6:$K$3665,$K2673))</f>
        <v/>
      </c>
      <c r="D2673" s="186">
        <f>IF($K2673="","",INDEX(Zeiterfassung!$D$6:$D$3665,$K2673))</f>
        <v/>
      </c>
      <c r="E2673" s="186">
        <f>IF($K2673="","",INDEX(Zeiterfassung!$E$6:$E$3665,$K2673))</f>
        <v/>
      </c>
      <c r="F2673" s="187">
        <f>IF($K2673="","",INDEX(Zeiterfassung!$F$6:$F$3665,$K2673))</f>
        <v/>
      </c>
      <c r="G2673" s="187">
        <f>IF($K2673="","",INDEX(Zeiterfassung!$G$6:$G$3665,$K2673))</f>
        <v/>
      </c>
      <c r="H2673" s="188">
        <f>IF($K2673="","",INDEX(Zeiterfassung!$H$6:$H$3665,$K2673))</f>
        <v/>
      </c>
      <c r="I2673" s="335">
        <f>IF(B2673=B2672,"",IF($K2673="","",INDEX(Zeiterfassung!$I$6:$I$3665,MATCH(INDEX(Zeiterfassung!$K$6:$K$3665,$K2673),Zeiterfassung!$K$6:$K$3665,0))))</f>
        <v/>
      </c>
      <c r="J2673" s="335">
        <f>IF(B2673=B2672,"",IF($K2673="","",INDEX(Zeiterfassung!$J$6:$J$3665,MATCH(INDEX(Zeiterfassung!$K$6:$K$3665,$K2673),Zeiterfassung!$K$6:$K$3665,0))))</f>
        <v/>
      </c>
      <c r="K2673">
        <f>IFERROR(AGGREGATE(15,6,(ROW(Zeiterfassung!$D$6:$D$3665)-ROW(Zeiterfassung!$D$6)+1)/(Zeiterfassung!$D$6:$D$3665&lt;&gt;""),2668),"")</f>
        <v/>
      </c>
    </row>
    <row r="2674" ht="20" customHeight="1">
      <c r="A2674" s="183">
        <f>IF($K2674="","",WEEKNUM(INDEX(Zeiterfassung!$K$6:$K$3665,$K2674),21))</f>
        <v/>
      </c>
      <c r="B2674" s="184">
        <f>IF($K2674="","",INDEX(Zeiterfassung!$K$6:$K$3665,$K2674))</f>
        <v/>
      </c>
      <c r="C2674" s="185">
        <f>IF($K2674="","",INDEX(Zeiterfassung!$K$6:$K$3665,$K2674))</f>
        <v/>
      </c>
      <c r="D2674" s="186">
        <f>IF($K2674="","",INDEX(Zeiterfassung!$D$6:$D$3665,$K2674))</f>
        <v/>
      </c>
      <c r="E2674" s="186">
        <f>IF($K2674="","",INDEX(Zeiterfassung!$E$6:$E$3665,$K2674))</f>
        <v/>
      </c>
      <c r="F2674" s="187">
        <f>IF($K2674="","",INDEX(Zeiterfassung!$F$6:$F$3665,$K2674))</f>
        <v/>
      </c>
      <c r="G2674" s="187">
        <f>IF($K2674="","",INDEX(Zeiterfassung!$G$6:$G$3665,$K2674))</f>
        <v/>
      </c>
      <c r="H2674" s="188">
        <f>IF($K2674="","",INDEX(Zeiterfassung!$H$6:$H$3665,$K2674))</f>
        <v/>
      </c>
      <c r="I2674" s="335">
        <f>IF(B2674=B2673,"",IF($K2674="","",INDEX(Zeiterfassung!$I$6:$I$3665,MATCH(INDEX(Zeiterfassung!$K$6:$K$3665,$K2674),Zeiterfassung!$K$6:$K$3665,0))))</f>
        <v/>
      </c>
      <c r="J2674" s="335">
        <f>IF(B2674=B2673,"",IF($K2674="","",INDEX(Zeiterfassung!$J$6:$J$3665,MATCH(INDEX(Zeiterfassung!$K$6:$K$3665,$K2674),Zeiterfassung!$K$6:$K$3665,0))))</f>
        <v/>
      </c>
      <c r="K2674">
        <f>IFERROR(AGGREGATE(15,6,(ROW(Zeiterfassung!$D$6:$D$3665)-ROW(Zeiterfassung!$D$6)+1)/(Zeiterfassung!$D$6:$D$3665&lt;&gt;""),2669),"")</f>
        <v/>
      </c>
    </row>
    <row r="2675" ht="20" customHeight="1">
      <c r="A2675" s="183">
        <f>IF($K2675="","",WEEKNUM(INDEX(Zeiterfassung!$K$6:$K$3665,$K2675),21))</f>
        <v/>
      </c>
      <c r="B2675" s="184">
        <f>IF($K2675="","",INDEX(Zeiterfassung!$K$6:$K$3665,$K2675))</f>
        <v/>
      </c>
      <c r="C2675" s="185">
        <f>IF($K2675="","",INDEX(Zeiterfassung!$K$6:$K$3665,$K2675))</f>
        <v/>
      </c>
      <c r="D2675" s="186">
        <f>IF($K2675="","",INDEX(Zeiterfassung!$D$6:$D$3665,$K2675))</f>
        <v/>
      </c>
      <c r="E2675" s="186">
        <f>IF($K2675="","",INDEX(Zeiterfassung!$E$6:$E$3665,$K2675))</f>
        <v/>
      </c>
      <c r="F2675" s="187">
        <f>IF($K2675="","",INDEX(Zeiterfassung!$F$6:$F$3665,$K2675))</f>
        <v/>
      </c>
      <c r="G2675" s="187">
        <f>IF($K2675="","",INDEX(Zeiterfassung!$G$6:$G$3665,$K2675))</f>
        <v/>
      </c>
      <c r="H2675" s="188">
        <f>IF($K2675="","",INDEX(Zeiterfassung!$H$6:$H$3665,$K2675))</f>
        <v/>
      </c>
      <c r="I2675" s="335">
        <f>IF(B2675=B2674,"",IF($K2675="","",INDEX(Zeiterfassung!$I$6:$I$3665,MATCH(INDEX(Zeiterfassung!$K$6:$K$3665,$K2675),Zeiterfassung!$K$6:$K$3665,0))))</f>
        <v/>
      </c>
      <c r="J2675" s="335">
        <f>IF(B2675=B2674,"",IF($K2675="","",INDEX(Zeiterfassung!$J$6:$J$3665,MATCH(INDEX(Zeiterfassung!$K$6:$K$3665,$K2675),Zeiterfassung!$K$6:$K$3665,0))))</f>
        <v/>
      </c>
      <c r="K2675">
        <f>IFERROR(AGGREGATE(15,6,(ROW(Zeiterfassung!$D$6:$D$3665)-ROW(Zeiterfassung!$D$6)+1)/(Zeiterfassung!$D$6:$D$3665&lt;&gt;""),2670),"")</f>
        <v/>
      </c>
    </row>
    <row r="2676" ht="20" customHeight="1">
      <c r="A2676" s="183">
        <f>IF($K2676="","",WEEKNUM(INDEX(Zeiterfassung!$K$6:$K$3665,$K2676),21))</f>
        <v/>
      </c>
      <c r="B2676" s="184">
        <f>IF($K2676="","",INDEX(Zeiterfassung!$K$6:$K$3665,$K2676))</f>
        <v/>
      </c>
      <c r="C2676" s="185">
        <f>IF($K2676="","",INDEX(Zeiterfassung!$K$6:$K$3665,$K2676))</f>
        <v/>
      </c>
      <c r="D2676" s="186">
        <f>IF($K2676="","",INDEX(Zeiterfassung!$D$6:$D$3665,$K2676))</f>
        <v/>
      </c>
      <c r="E2676" s="186">
        <f>IF($K2676="","",INDEX(Zeiterfassung!$E$6:$E$3665,$K2676))</f>
        <v/>
      </c>
      <c r="F2676" s="187">
        <f>IF($K2676="","",INDEX(Zeiterfassung!$F$6:$F$3665,$K2676))</f>
        <v/>
      </c>
      <c r="G2676" s="187">
        <f>IF($K2676="","",INDEX(Zeiterfassung!$G$6:$G$3665,$K2676))</f>
        <v/>
      </c>
      <c r="H2676" s="188">
        <f>IF($K2676="","",INDEX(Zeiterfassung!$H$6:$H$3665,$K2676))</f>
        <v/>
      </c>
      <c r="I2676" s="335">
        <f>IF(B2676=B2675,"",IF($K2676="","",INDEX(Zeiterfassung!$I$6:$I$3665,MATCH(INDEX(Zeiterfassung!$K$6:$K$3665,$K2676),Zeiterfassung!$K$6:$K$3665,0))))</f>
        <v/>
      </c>
      <c r="J2676" s="335">
        <f>IF(B2676=B2675,"",IF($K2676="","",INDEX(Zeiterfassung!$J$6:$J$3665,MATCH(INDEX(Zeiterfassung!$K$6:$K$3665,$K2676),Zeiterfassung!$K$6:$K$3665,0))))</f>
        <v/>
      </c>
      <c r="K2676">
        <f>IFERROR(AGGREGATE(15,6,(ROW(Zeiterfassung!$D$6:$D$3665)-ROW(Zeiterfassung!$D$6)+1)/(Zeiterfassung!$D$6:$D$3665&lt;&gt;""),2671),"")</f>
        <v/>
      </c>
    </row>
    <row r="2677" ht="20" customHeight="1">
      <c r="A2677" s="183">
        <f>IF($K2677="","",WEEKNUM(INDEX(Zeiterfassung!$K$6:$K$3665,$K2677),21))</f>
        <v/>
      </c>
      <c r="B2677" s="184">
        <f>IF($K2677="","",INDEX(Zeiterfassung!$K$6:$K$3665,$K2677))</f>
        <v/>
      </c>
      <c r="C2677" s="185">
        <f>IF($K2677="","",INDEX(Zeiterfassung!$K$6:$K$3665,$K2677))</f>
        <v/>
      </c>
      <c r="D2677" s="186">
        <f>IF($K2677="","",INDEX(Zeiterfassung!$D$6:$D$3665,$K2677))</f>
        <v/>
      </c>
      <c r="E2677" s="186">
        <f>IF($K2677="","",INDEX(Zeiterfassung!$E$6:$E$3665,$K2677))</f>
        <v/>
      </c>
      <c r="F2677" s="187">
        <f>IF($K2677="","",INDEX(Zeiterfassung!$F$6:$F$3665,$K2677))</f>
        <v/>
      </c>
      <c r="G2677" s="187">
        <f>IF($K2677="","",INDEX(Zeiterfassung!$G$6:$G$3665,$K2677))</f>
        <v/>
      </c>
      <c r="H2677" s="188">
        <f>IF($K2677="","",INDEX(Zeiterfassung!$H$6:$H$3665,$K2677))</f>
        <v/>
      </c>
      <c r="I2677" s="335">
        <f>IF(B2677=B2676,"",IF($K2677="","",INDEX(Zeiterfassung!$I$6:$I$3665,MATCH(INDEX(Zeiterfassung!$K$6:$K$3665,$K2677),Zeiterfassung!$K$6:$K$3665,0))))</f>
        <v/>
      </c>
      <c r="J2677" s="335">
        <f>IF(B2677=B2676,"",IF($K2677="","",INDEX(Zeiterfassung!$J$6:$J$3665,MATCH(INDEX(Zeiterfassung!$K$6:$K$3665,$K2677),Zeiterfassung!$K$6:$K$3665,0))))</f>
        <v/>
      </c>
      <c r="K2677">
        <f>IFERROR(AGGREGATE(15,6,(ROW(Zeiterfassung!$D$6:$D$3665)-ROW(Zeiterfassung!$D$6)+1)/(Zeiterfassung!$D$6:$D$3665&lt;&gt;""),2672),"")</f>
        <v/>
      </c>
    </row>
    <row r="2678" ht="20" customHeight="1">
      <c r="A2678" s="183">
        <f>IF($K2678="","",WEEKNUM(INDEX(Zeiterfassung!$K$6:$K$3665,$K2678),21))</f>
        <v/>
      </c>
      <c r="B2678" s="184">
        <f>IF($K2678="","",INDEX(Zeiterfassung!$K$6:$K$3665,$K2678))</f>
        <v/>
      </c>
      <c r="C2678" s="185">
        <f>IF($K2678="","",INDEX(Zeiterfassung!$K$6:$K$3665,$K2678))</f>
        <v/>
      </c>
      <c r="D2678" s="186">
        <f>IF($K2678="","",INDEX(Zeiterfassung!$D$6:$D$3665,$K2678))</f>
        <v/>
      </c>
      <c r="E2678" s="186">
        <f>IF($K2678="","",INDEX(Zeiterfassung!$E$6:$E$3665,$K2678))</f>
        <v/>
      </c>
      <c r="F2678" s="187">
        <f>IF($K2678="","",INDEX(Zeiterfassung!$F$6:$F$3665,$K2678))</f>
        <v/>
      </c>
      <c r="G2678" s="187">
        <f>IF($K2678="","",INDEX(Zeiterfassung!$G$6:$G$3665,$K2678))</f>
        <v/>
      </c>
      <c r="H2678" s="188">
        <f>IF($K2678="","",INDEX(Zeiterfassung!$H$6:$H$3665,$K2678))</f>
        <v/>
      </c>
      <c r="I2678" s="335">
        <f>IF(B2678=B2677,"",IF($K2678="","",INDEX(Zeiterfassung!$I$6:$I$3665,MATCH(INDEX(Zeiterfassung!$K$6:$K$3665,$K2678),Zeiterfassung!$K$6:$K$3665,0))))</f>
        <v/>
      </c>
      <c r="J2678" s="335">
        <f>IF(B2678=B2677,"",IF($K2678="","",INDEX(Zeiterfassung!$J$6:$J$3665,MATCH(INDEX(Zeiterfassung!$K$6:$K$3665,$K2678),Zeiterfassung!$K$6:$K$3665,0))))</f>
        <v/>
      </c>
      <c r="K2678">
        <f>IFERROR(AGGREGATE(15,6,(ROW(Zeiterfassung!$D$6:$D$3665)-ROW(Zeiterfassung!$D$6)+1)/(Zeiterfassung!$D$6:$D$3665&lt;&gt;""),2673),"")</f>
        <v/>
      </c>
    </row>
    <row r="2679" ht="20" customHeight="1">
      <c r="A2679" s="183">
        <f>IF($K2679="","",WEEKNUM(INDEX(Zeiterfassung!$K$6:$K$3665,$K2679),21))</f>
        <v/>
      </c>
      <c r="B2679" s="184">
        <f>IF($K2679="","",INDEX(Zeiterfassung!$K$6:$K$3665,$K2679))</f>
        <v/>
      </c>
      <c r="C2679" s="185">
        <f>IF($K2679="","",INDEX(Zeiterfassung!$K$6:$K$3665,$K2679))</f>
        <v/>
      </c>
      <c r="D2679" s="186">
        <f>IF($K2679="","",INDEX(Zeiterfassung!$D$6:$D$3665,$K2679))</f>
        <v/>
      </c>
      <c r="E2679" s="186">
        <f>IF($K2679="","",INDEX(Zeiterfassung!$E$6:$E$3665,$K2679))</f>
        <v/>
      </c>
      <c r="F2679" s="187">
        <f>IF($K2679="","",INDEX(Zeiterfassung!$F$6:$F$3665,$K2679))</f>
        <v/>
      </c>
      <c r="G2679" s="187">
        <f>IF($K2679="","",INDEX(Zeiterfassung!$G$6:$G$3665,$K2679))</f>
        <v/>
      </c>
      <c r="H2679" s="188">
        <f>IF($K2679="","",INDEX(Zeiterfassung!$H$6:$H$3665,$K2679))</f>
        <v/>
      </c>
      <c r="I2679" s="335">
        <f>IF(B2679=B2678,"",IF($K2679="","",INDEX(Zeiterfassung!$I$6:$I$3665,MATCH(INDEX(Zeiterfassung!$K$6:$K$3665,$K2679),Zeiterfassung!$K$6:$K$3665,0))))</f>
        <v/>
      </c>
      <c r="J2679" s="335">
        <f>IF(B2679=B2678,"",IF($K2679="","",INDEX(Zeiterfassung!$J$6:$J$3665,MATCH(INDEX(Zeiterfassung!$K$6:$K$3665,$K2679),Zeiterfassung!$K$6:$K$3665,0))))</f>
        <v/>
      </c>
      <c r="K2679">
        <f>IFERROR(AGGREGATE(15,6,(ROW(Zeiterfassung!$D$6:$D$3665)-ROW(Zeiterfassung!$D$6)+1)/(Zeiterfassung!$D$6:$D$3665&lt;&gt;""),2674),"")</f>
        <v/>
      </c>
    </row>
    <row r="2680" ht="20" customHeight="1">
      <c r="A2680" s="183">
        <f>IF($K2680="","",WEEKNUM(INDEX(Zeiterfassung!$K$6:$K$3665,$K2680),21))</f>
        <v/>
      </c>
      <c r="B2680" s="184">
        <f>IF($K2680="","",INDEX(Zeiterfassung!$K$6:$K$3665,$K2680))</f>
        <v/>
      </c>
      <c r="C2680" s="185">
        <f>IF($K2680="","",INDEX(Zeiterfassung!$K$6:$K$3665,$K2680))</f>
        <v/>
      </c>
      <c r="D2680" s="186">
        <f>IF($K2680="","",INDEX(Zeiterfassung!$D$6:$D$3665,$K2680))</f>
        <v/>
      </c>
      <c r="E2680" s="186">
        <f>IF($K2680="","",INDEX(Zeiterfassung!$E$6:$E$3665,$K2680))</f>
        <v/>
      </c>
      <c r="F2680" s="187">
        <f>IF($K2680="","",INDEX(Zeiterfassung!$F$6:$F$3665,$K2680))</f>
        <v/>
      </c>
      <c r="G2680" s="187">
        <f>IF($K2680="","",INDEX(Zeiterfassung!$G$6:$G$3665,$K2680))</f>
        <v/>
      </c>
      <c r="H2680" s="188">
        <f>IF($K2680="","",INDEX(Zeiterfassung!$H$6:$H$3665,$K2680))</f>
        <v/>
      </c>
      <c r="I2680" s="335">
        <f>IF(B2680=B2679,"",IF($K2680="","",INDEX(Zeiterfassung!$I$6:$I$3665,MATCH(INDEX(Zeiterfassung!$K$6:$K$3665,$K2680),Zeiterfassung!$K$6:$K$3665,0))))</f>
        <v/>
      </c>
      <c r="J2680" s="335">
        <f>IF(B2680=B2679,"",IF($K2680="","",INDEX(Zeiterfassung!$J$6:$J$3665,MATCH(INDEX(Zeiterfassung!$K$6:$K$3665,$K2680),Zeiterfassung!$K$6:$K$3665,0))))</f>
        <v/>
      </c>
      <c r="K2680">
        <f>IFERROR(AGGREGATE(15,6,(ROW(Zeiterfassung!$D$6:$D$3665)-ROW(Zeiterfassung!$D$6)+1)/(Zeiterfassung!$D$6:$D$3665&lt;&gt;""),2675),"")</f>
        <v/>
      </c>
    </row>
    <row r="2681" ht="20" customHeight="1">
      <c r="A2681" s="183">
        <f>IF($K2681="","",WEEKNUM(INDEX(Zeiterfassung!$K$6:$K$3665,$K2681),21))</f>
        <v/>
      </c>
      <c r="B2681" s="184">
        <f>IF($K2681="","",INDEX(Zeiterfassung!$K$6:$K$3665,$K2681))</f>
        <v/>
      </c>
      <c r="C2681" s="185">
        <f>IF($K2681="","",INDEX(Zeiterfassung!$K$6:$K$3665,$K2681))</f>
        <v/>
      </c>
      <c r="D2681" s="186">
        <f>IF($K2681="","",INDEX(Zeiterfassung!$D$6:$D$3665,$K2681))</f>
        <v/>
      </c>
      <c r="E2681" s="186">
        <f>IF($K2681="","",INDEX(Zeiterfassung!$E$6:$E$3665,$K2681))</f>
        <v/>
      </c>
      <c r="F2681" s="187">
        <f>IF($K2681="","",INDEX(Zeiterfassung!$F$6:$F$3665,$K2681))</f>
        <v/>
      </c>
      <c r="G2681" s="187">
        <f>IF($K2681="","",INDEX(Zeiterfassung!$G$6:$G$3665,$K2681))</f>
        <v/>
      </c>
      <c r="H2681" s="188">
        <f>IF($K2681="","",INDEX(Zeiterfassung!$H$6:$H$3665,$K2681))</f>
        <v/>
      </c>
      <c r="I2681" s="335">
        <f>IF(B2681=B2680,"",IF($K2681="","",INDEX(Zeiterfassung!$I$6:$I$3665,MATCH(INDEX(Zeiterfassung!$K$6:$K$3665,$K2681),Zeiterfassung!$K$6:$K$3665,0))))</f>
        <v/>
      </c>
      <c r="J2681" s="335">
        <f>IF(B2681=B2680,"",IF($K2681="","",INDEX(Zeiterfassung!$J$6:$J$3665,MATCH(INDEX(Zeiterfassung!$K$6:$K$3665,$K2681),Zeiterfassung!$K$6:$K$3665,0))))</f>
        <v/>
      </c>
      <c r="K2681">
        <f>IFERROR(AGGREGATE(15,6,(ROW(Zeiterfassung!$D$6:$D$3665)-ROW(Zeiterfassung!$D$6)+1)/(Zeiterfassung!$D$6:$D$3665&lt;&gt;""),2676),"")</f>
        <v/>
      </c>
    </row>
    <row r="2682" ht="20" customHeight="1">
      <c r="A2682" s="183">
        <f>IF($K2682="","",WEEKNUM(INDEX(Zeiterfassung!$K$6:$K$3665,$K2682),21))</f>
        <v/>
      </c>
      <c r="B2682" s="184">
        <f>IF($K2682="","",INDEX(Zeiterfassung!$K$6:$K$3665,$K2682))</f>
        <v/>
      </c>
      <c r="C2682" s="185">
        <f>IF($K2682="","",INDEX(Zeiterfassung!$K$6:$K$3665,$K2682))</f>
        <v/>
      </c>
      <c r="D2682" s="186">
        <f>IF($K2682="","",INDEX(Zeiterfassung!$D$6:$D$3665,$K2682))</f>
        <v/>
      </c>
      <c r="E2682" s="186">
        <f>IF($K2682="","",INDEX(Zeiterfassung!$E$6:$E$3665,$K2682))</f>
        <v/>
      </c>
      <c r="F2682" s="187">
        <f>IF($K2682="","",INDEX(Zeiterfassung!$F$6:$F$3665,$K2682))</f>
        <v/>
      </c>
      <c r="G2682" s="187">
        <f>IF($K2682="","",INDEX(Zeiterfassung!$G$6:$G$3665,$K2682))</f>
        <v/>
      </c>
      <c r="H2682" s="188">
        <f>IF($K2682="","",INDEX(Zeiterfassung!$H$6:$H$3665,$K2682))</f>
        <v/>
      </c>
      <c r="I2682" s="335">
        <f>IF(B2682=B2681,"",IF($K2682="","",INDEX(Zeiterfassung!$I$6:$I$3665,MATCH(INDEX(Zeiterfassung!$K$6:$K$3665,$K2682),Zeiterfassung!$K$6:$K$3665,0))))</f>
        <v/>
      </c>
      <c r="J2682" s="335">
        <f>IF(B2682=B2681,"",IF($K2682="","",INDEX(Zeiterfassung!$J$6:$J$3665,MATCH(INDEX(Zeiterfassung!$K$6:$K$3665,$K2682),Zeiterfassung!$K$6:$K$3665,0))))</f>
        <v/>
      </c>
      <c r="K2682">
        <f>IFERROR(AGGREGATE(15,6,(ROW(Zeiterfassung!$D$6:$D$3665)-ROW(Zeiterfassung!$D$6)+1)/(Zeiterfassung!$D$6:$D$3665&lt;&gt;""),2677),"")</f>
        <v/>
      </c>
    </row>
    <row r="2683" ht="20" customHeight="1">
      <c r="A2683" s="183">
        <f>IF($K2683="","",WEEKNUM(INDEX(Zeiterfassung!$K$6:$K$3665,$K2683),21))</f>
        <v/>
      </c>
      <c r="B2683" s="184">
        <f>IF($K2683="","",INDEX(Zeiterfassung!$K$6:$K$3665,$K2683))</f>
        <v/>
      </c>
      <c r="C2683" s="185">
        <f>IF($K2683="","",INDEX(Zeiterfassung!$K$6:$K$3665,$K2683))</f>
        <v/>
      </c>
      <c r="D2683" s="186">
        <f>IF($K2683="","",INDEX(Zeiterfassung!$D$6:$D$3665,$K2683))</f>
        <v/>
      </c>
      <c r="E2683" s="186">
        <f>IF($K2683="","",INDEX(Zeiterfassung!$E$6:$E$3665,$K2683))</f>
        <v/>
      </c>
      <c r="F2683" s="187">
        <f>IF($K2683="","",INDEX(Zeiterfassung!$F$6:$F$3665,$K2683))</f>
        <v/>
      </c>
      <c r="G2683" s="187">
        <f>IF($K2683="","",INDEX(Zeiterfassung!$G$6:$G$3665,$K2683))</f>
        <v/>
      </c>
      <c r="H2683" s="188">
        <f>IF($K2683="","",INDEX(Zeiterfassung!$H$6:$H$3665,$K2683))</f>
        <v/>
      </c>
      <c r="I2683" s="335">
        <f>IF(B2683=B2682,"",IF($K2683="","",INDEX(Zeiterfassung!$I$6:$I$3665,MATCH(INDEX(Zeiterfassung!$K$6:$K$3665,$K2683),Zeiterfassung!$K$6:$K$3665,0))))</f>
        <v/>
      </c>
      <c r="J2683" s="335">
        <f>IF(B2683=B2682,"",IF($K2683="","",INDEX(Zeiterfassung!$J$6:$J$3665,MATCH(INDEX(Zeiterfassung!$K$6:$K$3665,$K2683),Zeiterfassung!$K$6:$K$3665,0))))</f>
        <v/>
      </c>
      <c r="K2683">
        <f>IFERROR(AGGREGATE(15,6,(ROW(Zeiterfassung!$D$6:$D$3665)-ROW(Zeiterfassung!$D$6)+1)/(Zeiterfassung!$D$6:$D$3665&lt;&gt;""),2678),"")</f>
        <v/>
      </c>
    </row>
    <row r="2684" ht="20" customHeight="1">
      <c r="A2684" s="183">
        <f>IF($K2684="","",WEEKNUM(INDEX(Zeiterfassung!$K$6:$K$3665,$K2684),21))</f>
        <v/>
      </c>
      <c r="B2684" s="184">
        <f>IF($K2684="","",INDEX(Zeiterfassung!$K$6:$K$3665,$K2684))</f>
        <v/>
      </c>
      <c r="C2684" s="185">
        <f>IF($K2684="","",INDEX(Zeiterfassung!$K$6:$K$3665,$K2684))</f>
        <v/>
      </c>
      <c r="D2684" s="186">
        <f>IF($K2684="","",INDEX(Zeiterfassung!$D$6:$D$3665,$K2684))</f>
        <v/>
      </c>
      <c r="E2684" s="186">
        <f>IF($K2684="","",INDEX(Zeiterfassung!$E$6:$E$3665,$K2684))</f>
        <v/>
      </c>
      <c r="F2684" s="187">
        <f>IF($K2684="","",INDEX(Zeiterfassung!$F$6:$F$3665,$K2684))</f>
        <v/>
      </c>
      <c r="G2684" s="187">
        <f>IF($K2684="","",INDEX(Zeiterfassung!$G$6:$G$3665,$K2684))</f>
        <v/>
      </c>
      <c r="H2684" s="188">
        <f>IF($K2684="","",INDEX(Zeiterfassung!$H$6:$H$3665,$K2684))</f>
        <v/>
      </c>
      <c r="I2684" s="335">
        <f>IF(B2684=B2683,"",IF($K2684="","",INDEX(Zeiterfassung!$I$6:$I$3665,MATCH(INDEX(Zeiterfassung!$K$6:$K$3665,$K2684),Zeiterfassung!$K$6:$K$3665,0))))</f>
        <v/>
      </c>
      <c r="J2684" s="335">
        <f>IF(B2684=B2683,"",IF($K2684="","",INDEX(Zeiterfassung!$J$6:$J$3665,MATCH(INDEX(Zeiterfassung!$K$6:$K$3665,$K2684),Zeiterfassung!$K$6:$K$3665,0))))</f>
        <v/>
      </c>
      <c r="K2684">
        <f>IFERROR(AGGREGATE(15,6,(ROW(Zeiterfassung!$D$6:$D$3665)-ROW(Zeiterfassung!$D$6)+1)/(Zeiterfassung!$D$6:$D$3665&lt;&gt;""),2679),"")</f>
        <v/>
      </c>
    </row>
    <row r="2685" ht="20" customHeight="1">
      <c r="A2685" s="183">
        <f>IF($K2685="","",WEEKNUM(INDEX(Zeiterfassung!$K$6:$K$3665,$K2685),21))</f>
        <v/>
      </c>
      <c r="B2685" s="184">
        <f>IF($K2685="","",INDEX(Zeiterfassung!$K$6:$K$3665,$K2685))</f>
        <v/>
      </c>
      <c r="C2685" s="185">
        <f>IF($K2685="","",INDEX(Zeiterfassung!$K$6:$K$3665,$K2685))</f>
        <v/>
      </c>
      <c r="D2685" s="186">
        <f>IF($K2685="","",INDEX(Zeiterfassung!$D$6:$D$3665,$K2685))</f>
        <v/>
      </c>
      <c r="E2685" s="186">
        <f>IF($K2685="","",INDEX(Zeiterfassung!$E$6:$E$3665,$K2685))</f>
        <v/>
      </c>
      <c r="F2685" s="187">
        <f>IF($K2685="","",INDEX(Zeiterfassung!$F$6:$F$3665,$K2685))</f>
        <v/>
      </c>
      <c r="G2685" s="187">
        <f>IF($K2685="","",INDEX(Zeiterfassung!$G$6:$G$3665,$K2685))</f>
        <v/>
      </c>
      <c r="H2685" s="188">
        <f>IF($K2685="","",INDEX(Zeiterfassung!$H$6:$H$3665,$K2685))</f>
        <v/>
      </c>
      <c r="I2685" s="335">
        <f>IF(B2685=B2684,"",IF($K2685="","",INDEX(Zeiterfassung!$I$6:$I$3665,MATCH(INDEX(Zeiterfassung!$K$6:$K$3665,$K2685),Zeiterfassung!$K$6:$K$3665,0))))</f>
        <v/>
      </c>
      <c r="J2685" s="335">
        <f>IF(B2685=B2684,"",IF($K2685="","",INDEX(Zeiterfassung!$J$6:$J$3665,MATCH(INDEX(Zeiterfassung!$K$6:$K$3665,$K2685),Zeiterfassung!$K$6:$K$3665,0))))</f>
        <v/>
      </c>
      <c r="K2685">
        <f>IFERROR(AGGREGATE(15,6,(ROW(Zeiterfassung!$D$6:$D$3665)-ROW(Zeiterfassung!$D$6)+1)/(Zeiterfassung!$D$6:$D$3665&lt;&gt;""),2680),"")</f>
        <v/>
      </c>
    </row>
    <row r="2686" ht="20" customHeight="1">
      <c r="A2686" s="183">
        <f>IF($K2686="","",WEEKNUM(INDEX(Zeiterfassung!$K$6:$K$3665,$K2686),21))</f>
        <v/>
      </c>
      <c r="B2686" s="184">
        <f>IF($K2686="","",INDEX(Zeiterfassung!$K$6:$K$3665,$K2686))</f>
        <v/>
      </c>
      <c r="C2686" s="185">
        <f>IF($K2686="","",INDEX(Zeiterfassung!$K$6:$K$3665,$K2686))</f>
        <v/>
      </c>
      <c r="D2686" s="186">
        <f>IF($K2686="","",INDEX(Zeiterfassung!$D$6:$D$3665,$K2686))</f>
        <v/>
      </c>
      <c r="E2686" s="186">
        <f>IF($K2686="","",INDEX(Zeiterfassung!$E$6:$E$3665,$K2686))</f>
        <v/>
      </c>
      <c r="F2686" s="187">
        <f>IF($K2686="","",INDEX(Zeiterfassung!$F$6:$F$3665,$K2686))</f>
        <v/>
      </c>
      <c r="G2686" s="187">
        <f>IF($K2686="","",INDEX(Zeiterfassung!$G$6:$G$3665,$K2686))</f>
        <v/>
      </c>
      <c r="H2686" s="188">
        <f>IF($K2686="","",INDEX(Zeiterfassung!$H$6:$H$3665,$K2686))</f>
        <v/>
      </c>
      <c r="I2686" s="335">
        <f>IF(B2686=B2685,"",IF($K2686="","",INDEX(Zeiterfassung!$I$6:$I$3665,MATCH(INDEX(Zeiterfassung!$K$6:$K$3665,$K2686),Zeiterfassung!$K$6:$K$3665,0))))</f>
        <v/>
      </c>
      <c r="J2686" s="335">
        <f>IF(B2686=B2685,"",IF($K2686="","",INDEX(Zeiterfassung!$J$6:$J$3665,MATCH(INDEX(Zeiterfassung!$K$6:$K$3665,$K2686),Zeiterfassung!$K$6:$K$3665,0))))</f>
        <v/>
      </c>
      <c r="K2686">
        <f>IFERROR(AGGREGATE(15,6,(ROW(Zeiterfassung!$D$6:$D$3665)-ROW(Zeiterfassung!$D$6)+1)/(Zeiterfassung!$D$6:$D$3665&lt;&gt;""),2681),"")</f>
        <v/>
      </c>
    </row>
    <row r="2687" ht="20" customHeight="1">
      <c r="A2687" s="183">
        <f>IF($K2687="","",WEEKNUM(INDEX(Zeiterfassung!$K$6:$K$3665,$K2687),21))</f>
        <v/>
      </c>
      <c r="B2687" s="184">
        <f>IF($K2687="","",INDEX(Zeiterfassung!$K$6:$K$3665,$K2687))</f>
        <v/>
      </c>
      <c r="C2687" s="185">
        <f>IF($K2687="","",INDEX(Zeiterfassung!$K$6:$K$3665,$K2687))</f>
        <v/>
      </c>
      <c r="D2687" s="186">
        <f>IF($K2687="","",INDEX(Zeiterfassung!$D$6:$D$3665,$K2687))</f>
        <v/>
      </c>
      <c r="E2687" s="186">
        <f>IF($K2687="","",INDEX(Zeiterfassung!$E$6:$E$3665,$K2687))</f>
        <v/>
      </c>
      <c r="F2687" s="187">
        <f>IF($K2687="","",INDEX(Zeiterfassung!$F$6:$F$3665,$K2687))</f>
        <v/>
      </c>
      <c r="G2687" s="187">
        <f>IF($K2687="","",INDEX(Zeiterfassung!$G$6:$G$3665,$K2687))</f>
        <v/>
      </c>
      <c r="H2687" s="188">
        <f>IF($K2687="","",INDEX(Zeiterfassung!$H$6:$H$3665,$K2687))</f>
        <v/>
      </c>
      <c r="I2687" s="335">
        <f>IF(B2687=B2686,"",IF($K2687="","",INDEX(Zeiterfassung!$I$6:$I$3665,MATCH(INDEX(Zeiterfassung!$K$6:$K$3665,$K2687),Zeiterfassung!$K$6:$K$3665,0))))</f>
        <v/>
      </c>
      <c r="J2687" s="335">
        <f>IF(B2687=B2686,"",IF($K2687="","",INDEX(Zeiterfassung!$J$6:$J$3665,MATCH(INDEX(Zeiterfassung!$K$6:$K$3665,$K2687),Zeiterfassung!$K$6:$K$3665,0))))</f>
        <v/>
      </c>
      <c r="K2687">
        <f>IFERROR(AGGREGATE(15,6,(ROW(Zeiterfassung!$D$6:$D$3665)-ROW(Zeiterfassung!$D$6)+1)/(Zeiterfassung!$D$6:$D$3665&lt;&gt;""),2682),"")</f>
        <v/>
      </c>
    </row>
    <row r="2688" ht="20" customHeight="1">
      <c r="A2688" s="183">
        <f>IF($K2688="","",WEEKNUM(INDEX(Zeiterfassung!$K$6:$K$3665,$K2688),21))</f>
        <v/>
      </c>
      <c r="B2688" s="184">
        <f>IF($K2688="","",INDEX(Zeiterfassung!$K$6:$K$3665,$K2688))</f>
        <v/>
      </c>
      <c r="C2688" s="185">
        <f>IF($K2688="","",INDEX(Zeiterfassung!$K$6:$K$3665,$K2688))</f>
        <v/>
      </c>
      <c r="D2688" s="186">
        <f>IF($K2688="","",INDEX(Zeiterfassung!$D$6:$D$3665,$K2688))</f>
        <v/>
      </c>
      <c r="E2688" s="186">
        <f>IF($K2688="","",INDEX(Zeiterfassung!$E$6:$E$3665,$K2688))</f>
        <v/>
      </c>
      <c r="F2688" s="187">
        <f>IF($K2688="","",INDEX(Zeiterfassung!$F$6:$F$3665,$K2688))</f>
        <v/>
      </c>
      <c r="G2688" s="187">
        <f>IF($K2688="","",INDEX(Zeiterfassung!$G$6:$G$3665,$K2688))</f>
        <v/>
      </c>
      <c r="H2688" s="188">
        <f>IF($K2688="","",INDEX(Zeiterfassung!$H$6:$H$3665,$K2688))</f>
        <v/>
      </c>
      <c r="I2688" s="335">
        <f>IF(B2688=B2687,"",IF($K2688="","",INDEX(Zeiterfassung!$I$6:$I$3665,MATCH(INDEX(Zeiterfassung!$K$6:$K$3665,$K2688),Zeiterfassung!$K$6:$K$3665,0))))</f>
        <v/>
      </c>
      <c r="J2688" s="335">
        <f>IF(B2688=B2687,"",IF($K2688="","",INDEX(Zeiterfassung!$J$6:$J$3665,MATCH(INDEX(Zeiterfassung!$K$6:$K$3665,$K2688),Zeiterfassung!$K$6:$K$3665,0))))</f>
        <v/>
      </c>
      <c r="K2688">
        <f>IFERROR(AGGREGATE(15,6,(ROW(Zeiterfassung!$D$6:$D$3665)-ROW(Zeiterfassung!$D$6)+1)/(Zeiterfassung!$D$6:$D$3665&lt;&gt;""),2683),"")</f>
        <v/>
      </c>
    </row>
    <row r="2689" ht="20" customHeight="1">
      <c r="A2689" s="183">
        <f>IF($K2689="","",WEEKNUM(INDEX(Zeiterfassung!$K$6:$K$3665,$K2689),21))</f>
        <v/>
      </c>
      <c r="B2689" s="184">
        <f>IF($K2689="","",INDEX(Zeiterfassung!$K$6:$K$3665,$K2689))</f>
        <v/>
      </c>
      <c r="C2689" s="185">
        <f>IF($K2689="","",INDEX(Zeiterfassung!$K$6:$K$3665,$K2689))</f>
        <v/>
      </c>
      <c r="D2689" s="186">
        <f>IF($K2689="","",INDEX(Zeiterfassung!$D$6:$D$3665,$K2689))</f>
        <v/>
      </c>
      <c r="E2689" s="186">
        <f>IF($K2689="","",INDEX(Zeiterfassung!$E$6:$E$3665,$K2689))</f>
        <v/>
      </c>
      <c r="F2689" s="187">
        <f>IF($K2689="","",INDEX(Zeiterfassung!$F$6:$F$3665,$K2689))</f>
        <v/>
      </c>
      <c r="G2689" s="187">
        <f>IF($K2689="","",INDEX(Zeiterfassung!$G$6:$G$3665,$K2689))</f>
        <v/>
      </c>
      <c r="H2689" s="188">
        <f>IF($K2689="","",INDEX(Zeiterfassung!$H$6:$H$3665,$K2689))</f>
        <v/>
      </c>
      <c r="I2689" s="335">
        <f>IF(B2689=B2688,"",IF($K2689="","",INDEX(Zeiterfassung!$I$6:$I$3665,MATCH(INDEX(Zeiterfassung!$K$6:$K$3665,$K2689),Zeiterfassung!$K$6:$K$3665,0))))</f>
        <v/>
      </c>
      <c r="J2689" s="335">
        <f>IF(B2689=B2688,"",IF($K2689="","",INDEX(Zeiterfassung!$J$6:$J$3665,MATCH(INDEX(Zeiterfassung!$K$6:$K$3665,$K2689),Zeiterfassung!$K$6:$K$3665,0))))</f>
        <v/>
      </c>
      <c r="K2689">
        <f>IFERROR(AGGREGATE(15,6,(ROW(Zeiterfassung!$D$6:$D$3665)-ROW(Zeiterfassung!$D$6)+1)/(Zeiterfassung!$D$6:$D$3665&lt;&gt;""),2684),"")</f>
        <v/>
      </c>
    </row>
    <row r="2690" ht="20" customHeight="1">
      <c r="A2690" s="183">
        <f>IF($K2690="","",WEEKNUM(INDEX(Zeiterfassung!$K$6:$K$3665,$K2690),21))</f>
        <v/>
      </c>
      <c r="B2690" s="184">
        <f>IF($K2690="","",INDEX(Zeiterfassung!$K$6:$K$3665,$K2690))</f>
        <v/>
      </c>
      <c r="C2690" s="185">
        <f>IF($K2690="","",INDEX(Zeiterfassung!$K$6:$K$3665,$K2690))</f>
        <v/>
      </c>
      <c r="D2690" s="186">
        <f>IF($K2690="","",INDEX(Zeiterfassung!$D$6:$D$3665,$K2690))</f>
        <v/>
      </c>
      <c r="E2690" s="186">
        <f>IF($K2690="","",INDEX(Zeiterfassung!$E$6:$E$3665,$K2690))</f>
        <v/>
      </c>
      <c r="F2690" s="187">
        <f>IF($K2690="","",INDEX(Zeiterfassung!$F$6:$F$3665,$K2690))</f>
        <v/>
      </c>
      <c r="G2690" s="187">
        <f>IF($K2690="","",INDEX(Zeiterfassung!$G$6:$G$3665,$K2690))</f>
        <v/>
      </c>
      <c r="H2690" s="188">
        <f>IF($K2690="","",INDEX(Zeiterfassung!$H$6:$H$3665,$K2690))</f>
        <v/>
      </c>
      <c r="I2690" s="335">
        <f>IF(B2690=B2689,"",IF($K2690="","",INDEX(Zeiterfassung!$I$6:$I$3665,MATCH(INDEX(Zeiterfassung!$K$6:$K$3665,$K2690),Zeiterfassung!$K$6:$K$3665,0))))</f>
        <v/>
      </c>
      <c r="J2690" s="335">
        <f>IF(B2690=B2689,"",IF($K2690="","",INDEX(Zeiterfassung!$J$6:$J$3665,MATCH(INDEX(Zeiterfassung!$K$6:$K$3665,$K2690),Zeiterfassung!$K$6:$K$3665,0))))</f>
        <v/>
      </c>
      <c r="K2690">
        <f>IFERROR(AGGREGATE(15,6,(ROW(Zeiterfassung!$D$6:$D$3665)-ROW(Zeiterfassung!$D$6)+1)/(Zeiterfassung!$D$6:$D$3665&lt;&gt;""),2685),"")</f>
        <v/>
      </c>
    </row>
    <row r="2691" ht="20" customHeight="1">
      <c r="A2691" s="183">
        <f>IF($K2691="","",WEEKNUM(INDEX(Zeiterfassung!$K$6:$K$3665,$K2691),21))</f>
        <v/>
      </c>
      <c r="B2691" s="184">
        <f>IF($K2691="","",INDEX(Zeiterfassung!$K$6:$K$3665,$K2691))</f>
        <v/>
      </c>
      <c r="C2691" s="185">
        <f>IF($K2691="","",INDEX(Zeiterfassung!$K$6:$K$3665,$K2691))</f>
        <v/>
      </c>
      <c r="D2691" s="186">
        <f>IF($K2691="","",INDEX(Zeiterfassung!$D$6:$D$3665,$K2691))</f>
        <v/>
      </c>
      <c r="E2691" s="186">
        <f>IF($K2691="","",INDEX(Zeiterfassung!$E$6:$E$3665,$K2691))</f>
        <v/>
      </c>
      <c r="F2691" s="187">
        <f>IF($K2691="","",INDEX(Zeiterfassung!$F$6:$F$3665,$K2691))</f>
        <v/>
      </c>
      <c r="G2691" s="187">
        <f>IF($K2691="","",INDEX(Zeiterfassung!$G$6:$G$3665,$K2691))</f>
        <v/>
      </c>
      <c r="H2691" s="188">
        <f>IF($K2691="","",INDEX(Zeiterfassung!$H$6:$H$3665,$K2691))</f>
        <v/>
      </c>
      <c r="I2691" s="335">
        <f>IF(B2691=B2690,"",IF($K2691="","",INDEX(Zeiterfassung!$I$6:$I$3665,MATCH(INDEX(Zeiterfassung!$K$6:$K$3665,$K2691),Zeiterfassung!$K$6:$K$3665,0))))</f>
        <v/>
      </c>
      <c r="J2691" s="335">
        <f>IF(B2691=B2690,"",IF($K2691="","",INDEX(Zeiterfassung!$J$6:$J$3665,MATCH(INDEX(Zeiterfassung!$K$6:$K$3665,$K2691),Zeiterfassung!$K$6:$K$3665,0))))</f>
        <v/>
      </c>
      <c r="K2691">
        <f>IFERROR(AGGREGATE(15,6,(ROW(Zeiterfassung!$D$6:$D$3665)-ROW(Zeiterfassung!$D$6)+1)/(Zeiterfassung!$D$6:$D$3665&lt;&gt;""),2686),"")</f>
        <v/>
      </c>
    </row>
    <row r="2692" ht="20" customHeight="1">
      <c r="A2692" s="183">
        <f>IF($K2692="","",WEEKNUM(INDEX(Zeiterfassung!$K$6:$K$3665,$K2692),21))</f>
        <v/>
      </c>
      <c r="B2692" s="184">
        <f>IF($K2692="","",INDEX(Zeiterfassung!$K$6:$K$3665,$K2692))</f>
        <v/>
      </c>
      <c r="C2692" s="185">
        <f>IF($K2692="","",INDEX(Zeiterfassung!$K$6:$K$3665,$K2692))</f>
        <v/>
      </c>
      <c r="D2692" s="186">
        <f>IF($K2692="","",INDEX(Zeiterfassung!$D$6:$D$3665,$K2692))</f>
        <v/>
      </c>
      <c r="E2692" s="186">
        <f>IF($K2692="","",INDEX(Zeiterfassung!$E$6:$E$3665,$K2692))</f>
        <v/>
      </c>
      <c r="F2692" s="187">
        <f>IF($K2692="","",INDEX(Zeiterfassung!$F$6:$F$3665,$K2692))</f>
        <v/>
      </c>
      <c r="G2692" s="187">
        <f>IF($K2692="","",INDEX(Zeiterfassung!$G$6:$G$3665,$K2692))</f>
        <v/>
      </c>
      <c r="H2692" s="188">
        <f>IF($K2692="","",INDEX(Zeiterfassung!$H$6:$H$3665,$K2692))</f>
        <v/>
      </c>
      <c r="I2692" s="335">
        <f>IF(B2692=B2691,"",IF($K2692="","",INDEX(Zeiterfassung!$I$6:$I$3665,MATCH(INDEX(Zeiterfassung!$K$6:$K$3665,$K2692),Zeiterfassung!$K$6:$K$3665,0))))</f>
        <v/>
      </c>
      <c r="J2692" s="335">
        <f>IF(B2692=B2691,"",IF($K2692="","",INDEX(Zeiterfassung!$J$6:$J$3665,MATCH(INDEX(Zeiterfassung!$K$6:$K$3665,$K2692),Zeiterfassung!$K$6:$K$3665,0))))</f>
        <v/>
      </c>
      <c r="K2692">
        <f>IFERROR(AGGREGATE(15,6,(ROW(Zeiterfassung!$D$6:$D$3665)-ROW(Zeiterfassung!$D$6)+1)/(Zeiterfassung!$D$6:$D$3665&lt;&gt;""),2687),"")</f>
        <v/>
      </c>
    </row>
    <row r="2693" ht="20" customHeight="1">
      <c r="A2693" s="183">
        <f>IF($K2693="","",WEEKNUM(INDEX(Zeiterfassung!$K$6:$K$3665,$K2693),21))</f>
        <v/>
      </c>
      <c r="B2693" s="184">
        <f>IF($K2693="","",INDEX(Zeiterfassung!$K$6:$K$3665,$K2693))</f>
        <v/>
      </c>
      <c r="C2693" s="185">
        <f>IF($K2693="","",INDEX(Zeiterfassung!$K$6:$K$3665,$K2693))</f>
        <v/>
      </c>
      <c r="D2693" s="186">
        <f>IF($K2693="","",INDEX(Zeiterfassung!$D$6:$D$3665,$K2693))</f>
        <v/>
      </c>
      <c r="E2693" s="186">
        <f>IF($K2693="","",INDEX(Zeiterfassung!$E$6:$E$3665,$K2693))</f>
        <v/>
      </c>
      <c r="F2693" s="187">
        <f>IF($K2693="","",INDEX(Zeiterfassung!$F$6:$F$3665,$K2693))</f>
        <v/>
      </c>
      <c r="G2693" s="187">
        <f>IF($K2693="","",INDEX(Zeiterfassung!$G$6:$G$3665,$K2693))</f>
        <v/>
      </c>
      <c r="H2693" s="188">
        <f>IF($K2693="","",INDEX(Zeiterfassung!$H$6:$H$3665,$K2693))</f>
        <v/>
      </c>
      <c r="I2693" s="335">
        <f>IF(B2693=B2692,"",IF($K2693="","",INDEX(Zeiterfassung!$I$6:$I$3665,MATCH(INDEX(Zeiterfassung!$K$6:$K$3665,$K2693),Zeiterfassung!$K$6:$K$3665,0))))</f>
        <v/>
      </c>
      <c r="J2693" s="335">
        <f>IF(B2693=B2692,"",IF($K2693="","",INDEX(Zeiterfassung!$J$6:$J$3665,MATCH(INDEX(Zeiterfassung!$K$6:$K$3665,$K2693),Zeiterfassung!$K$6:$K$3665,0))))</f>
        <v/>
      </c>
      <c r="K2693">
        <f>IFERROR(AGGREGATE(15,6,(ROW(Zeiterfassung!$D$6:$D$3665)-ROW(Zeiterfassung!$D$6)+1)/(Zeiterfassung!$D$6:$D$3665&lt;&gt;""),2688),"")</f>
        <v/>
      </c>
    </row>
    <row r="2694" ht="20" customHeight="1">
      <c r="A2694" s="183">
        <f>IF($K2694="","",WEEKNUM(INDEX(Zeiterfassung!$K$6:$K$3665,$K2694),21))</f>
        <v/>
      </c>
      <c r="B2694" s="184">
        <f>IF($K2694="","",INDEX(Zeiterfassung!$K$6:$K$3665,$K2694))</f>
        <v/>
      </c>
      <c r="C2694" s="185">
        <f>IF($K2694="","",INDEX(Zeiterfassung!$K$6:$K$3665,$K2694))</f>
        <v/>
      </c>
      <c r="D2694" s="186">
        <f>IF($K2694="","",INDEX(Zeiterfassung!$D$6:$D$3665,$K2694))</f>
        <v/>
      </c>
      <c r="E2694" s="186">
        <f>IF($K2694="","",INDEX(Zeiterfassung!$E$6:$E$3665,$K2694))</f>
        <v/>
      </c>
      <c r="F2694" s="187">
        <f>IF($K2694="","",INDEX(Zeiterfassung!$F$6:$F$3665,$K2694))</f>
        <v/>
      </c>
      <c r="G2694" s="187">
        <f>IF($K2694="","",INDEX(Zeiterfassung!$G$6:$G$3665,$K2694))</f>
        <v/>
      </c>
      <c r="H2694" s="188">
        <f>IF($K2694="","",INDEX(Zeiterfassung!$H$6:$H$3665,$K2694))</f>
        <v/>
      </c>
      <c r="I2694" s="335">
        <f>IF(B2694=B2693,"",IF($K2694="","",INDEX(Zeiterfassung!$I$6:$I$3665,MATCH(INDEX(Zeiterfassung!$K$6:$K$3665,$K2694),Zeiterfassung!$K$6:$K$3665,0))))</f>
        <v/>
      </c>
      <c r="J2694" s="335">
        <f>IF(B2694=B2693,"",IF($K2694="","",INDEX(Zeiterfassung!$J$6:$J$3665,MATCH(INDEX(Zeiterfassung!$K$6:$K$3665,$K2694),Zeiterfassung!$K$6:$K$3665,0))))</f>
        <v/>
      </c>
      <c r="K2694">
        <f>IFERROR(AGGREGATE(15,6,(ROW(Zeiterfassung!$D$6:$D$3665)-ROW(Zeiterfassung!$D$6)+1)/(Zeiterfassung!$D$6:$D$3665&lt;&gt;""),2689),"")</f>
        <v/>
      </c>
    </row>
    <row r="2695" ht="20" customHeight="1">
      <c r="A2695" s="183">
        <f>IF($K2695="","",WEEKNUM(INDEX(Zeiterfassung!$K$6:$K$3665,$K2695),21))</f>
        <v/>
      </c>
      <c r="B2695" s="184">
        <f>IF($K2695="","",INDEX(Zeiterfassung!$K$6:$K$3665,$K2695))</f>
        <v/>
      </c>
      <c r="C2695" s="185">
        <f>IF($K2695="","",INDEX(Zeiterfassung!$K$6:$K$3665,$K2695))</f>
        <v/>
      </c>
      <c r="D2695" s="186">
        <f>IF($K2695="","",INDEX(Zeiterfassung!$D$6:$D$3665,$K2695))</f>
        <v/>
      </c>
      <c r="E2695" s="186">
        <f>IF($K2695="","",INDEX(Zeiterfassung!$E$6:$E$3665,$K2695))</f>
        <v/>
      </c>
      <c r="F2695" s="187">
        <f>IF($K2695="","",INDEX(Zeiterfassung!$F$6:$F$3665,$K2695))</f>
        <v/>
      </c>
      <c r="G2695" s="187">
        <f>IF($K2695="","",INDEX(Zeiterfassung!$G$6:$G$3665,$K2695))</f>
        <v/>
      </c>
      <c r="H2695" s="188">
        <f>IF($K2695="","",INDEX(Zeiterfassung!$H$6:$H$3665,$K2695))</f>
        <v/>
      </c>
      <c r="I2695" s="335">
        <f>IF(B2695=B2694,"",IF($K2695="","",INDEX(Zeiterfassung!$I$6:$I$3665,MATCH(INDEX(Zeiterfassung!$K$6:$K$3665,$K2695),Zeiterfassung!$K$6:$K$3665,0))))</f>
        <v/>
      </c>
      <c r="J2695" s="335">
        <f>IF(B2695=B2694,"",IF($K2695="","",INDEX(Zeiterfassung!$J$6:$J$3665,MATCH(INDEX(Zeiterfassung!$K$6:$K$3665,$K2695),Zeiterfassung!$K$6:$K$3665,0))))</f>
        <v/>
      </c>
      <c r="K2695">
        <f>IFERROR(AGGREGATE(15,6,(ROW(Zeiterfassung!$D$6:$D$3665)-ROW(Zeiterfassung!$D$6)+1)/(Zeiterfassung!$D$6:$D$3665&lt;&gt;""),2690),"")</f>
        <v/>
      </c>
    </row>
    <row r="2696" ht="20" customHeight="1">
      <c r="A2696" s="183">
        <f>IF($K2696="","",WEEKNUM(INDEX(Zeiterfassung!$K$6:$K$3665,$K2696),21))</f>
        <v/>
      </c>
      <c r="B2696" s="184">
        <f>IF($K2696="","",INDEX(Zeiterfassung!$K$6:$K$3665,$K2696))</f>
        <v/>
      </c>
      <c r="C2696" s="185">
        <f>IF($K2696="","",INDEX(Zeiterfassung!$K$6:$K$3665,$K2696))</f>
        <v/>
      </c>
      <c r="D2696" s="186">
        <f>IF($K2696="","",INDEX(Zeiterfassung!$D$6:$D$3665,$K2696))</f>
        <v/>
      </c>
      <c r="E2696" s="186">
        <f>IF($K2696="","",INDEX(Zeiterfassung!$E$6:$E$3665,$K2696))</f>
        <v/>
      </c>
      <c r="F2696" s="187">
        <f>IF($K2696="","",INDEX(Zeiterfassung!$F$6:$F$3665,$K2696))</f>
        <v/>
      </c>
      <c r="G2696" s="187">
        <f>IF($K2696="","",INDEX(Zeiterfassung!$G$6:$G$3665,$K2696))</f>
        <v/>
      </c>
      <c r="H2696" s="188">
        <f>IF($K2696="","",INDEX(Zeiterfassung!$H$6:$H$3665,$K2696))</f>
        <v/>
      </c>
      <c r="I2696" s="335">
        <f>IF(B2696=B2695,"",IF($K2696="","",INDEX(Zeiterfassung!$I$6:$I$3665,MATCH(INDEX(Zeiterfassung!$K$6:$K$3665,$K2696),Zeiterfassung!$K$6:$K$3665,0))))</f>
        <v/>
      </c>
      <c r="J2696" s="335">
        <f>IF(B2696=B2695,"",IF($K2696="","",INDEX(Zeiterfassung!$J$6:$J$3665,MATCH(INDEX(Zeiterfassung!$K$6:$K$3665,$K2696),Zeiterfassung!$K$6:$K$3665,0))))</f>
        <v/>
      </c>
      <c r="K2696">
        <f>IFERROR(AGGREGATE(15,6,(ROW(Zeiterfassung!$D$6:$D$3665)-ROW(Zeiterfassung!$D$6)+1)/(Zeiterfassung!$D$6:$D$3665&lt;&gt;""),2691),"")</f>
        <v/>
      </c>
    </row>
    <row r="2697" ht="20" customHeight="1">
      <c r="A2697" s="183">
        <f>IF($K2697="","",WEEKNUM(INDEX(Zeiterfassung!$K$6:$K$3665,$K2697),21))</f>
        <v/>
      </c>
      <c r="B2697" s="184">
        <f>IF($K2697="","",INDEX(Zeiterfassung!$K$6:$K$3665,$K2697))</f>
        <v/>
      </c>
      <c r="C2697" s="185">
        <f>IF($K2697="","",INDEX(Zeiterfassung!$K$6:$K$3665,$K2697))</f>
        <v/>
      </c>
      <c r="D2697" s="186">
        <f>IF($K2697="","",INDEX(Zeiterfassung!$D$6:$D$3665,$K2697))</f>
        <v/>
      </c>
      <c r="E2697" s="186">
        <f>IF($K2697="","",INDEX(Zeiterfassung!$E$6:$E$3665,$K2697))</f>
        <v/>
      </c>
      <c r="F2697" s="187">
        <f>IF($K2697="","",INDEX(Zeiterfassung!$F$6:$F$3665,$K2697))</f>
        <v/>
      </c>
      <c r="G2697" s="187">
        <f>IF($K2697="","",INDEX(Zeiterfassung!$G$6:$G$3665,$K2697))</f>
        <v/>
      </c>
      <c r="H2697" s="188">
        <f>IF($K2697="","",INDEX(Zeiterfassung!$H$6:$H$3665,$K2697))</f>
        <v/>
      </c>
      <c r="I2697" s="335">
        <f>IF(B2697=B2696,"",IF($K2697="","",INDEX(Zeiterfassung!$I$6:$I$3665,MATCH(INDEX(Zeiterfassung!$K$6:$K$3665,$K2697),Zeiterfassung!$K$6:$K$3665,0))))</f>
        <v/>
      </c>
      <c r="J2697" s="335">
        <f>IF(B2697=B2696,"",IF($K2697="","",INDEX(Zeiterfassung!$J$6:$J$3665,MATCH(INDEX(Zeiterfassung!$K$6:$K$3665,$K2697),Zeiterfassung!$K$6:$K$3665,0))))</f>
        <v/>
      </c>
      <c r="K2697">
        <f>IFERROR(AGGREGATE(15,6,(ROW(Zeiterfassung!$D$6:$D$3665)-ROW(Zeiterfassung!$D$6)+1)/(Zeiterfassung!$D$6:$D$3665&lt;&gt;""),2692),"")</f>
        <v/>
      </c>
    </row>
    <row r="2698" ht="20" customHeight="1">
      <c r="A2698" s="183">
        <f>IF($K2698="","",WEEKNUM(INDEX(Zeiterfassung!$K$6:$K$3665,$K2698),21))</f>
        <v/>
      </c>
      <c r="B2698" s="184">
        <f>IF($K2698="","",INDEX(Zeiterfassung!$K$6:$K$3665,$K2698))</f>
        <v/>
      </c>
      <c r="C2698" s="185">
        <f>IF($K2698="","",INDEX(Zeiterfassung!$K$6:$K$3665,$K2698))</f>
        <v/>
      </c>
      <c r="D2698" s="186">
        <f>IF($K2698="","",INDEX(Zeiterfassung!$D$6:$D$3665,$K2698))</f>
        <v/>
      </c>
      <c r="E2698" s="186">
        <f>IF($K2698="","",INDEX(Zeiterfassung!$E$6:$E$3665,$K2698))</f>
        <v/>
      </c>
      <c r="F2698" s="187">
        <f>IF($K2698="","",INDEX(Zeiterfassung!$F$6:$F$3665,$K2698))</f>
        <v/>
      </c>
      <c r="G2698" s="187">
        <f>IF($K2698="","",INDEX(Zeiterfassung!$G$6:$G$3665,$K2698))</f>
        <v/>
      </c>
      <c r="H2698" s="188">
        <f>IF($K2698="","",INDEX(Zeiterfassung!$H$6:$H$3665,$K2698))</f>
        <v/>
      </c>
      <c r="I2698" s="335">
        <f>IF(B2698=B2697,"",IF($K2698="","",INDEX(Zeiterfassung!$I$6:$I$3665,MATCH(INDEX(Zeiterfassung!$K$6:$K$3665,$K2698),Zeiterfassung!$K$6:$K$3665,0))))</f>
        <v/>
      </c>
      <c r="J2698" s="335">
        <f>IF(B2698=B2697,"",IF($K2698="","",INDEX(Zeiterfassung!$J$6:$J$3665,MATCH(INDEX(Zeiterfassung!$K$6:$K$3665,$K2698),Zeiterfassung!$K$6:$K$3665,0))))</f>
        <v/>
      </c>
      <c r="K2698">
        <f>IFERROR(AGGREGATE(15,6,(ROW(Zeiterfassung!$D$6:$D$3665)-ROW(Zeiterfassung!$D$6)+1)/(Zeiterfassung!$D$6:$D$3665&lt;&gt;""),2693),"")</f>
        <v/>
      </c>
    </row>
    <row r="2699" ht="20" customHeight="1">
      <c r="A2699" s="183">
        <f>IF($K2699="","",WEEKNUM(INDEX(Zeiterfassung!$K$6:$K$3665,$K2699),21))</f>
        <v/>
      </c>
      <c r="B2699" s="184">
        <f>IF($K2699="","",INDEX(Zeiterfassung!$K$6:$K$3665,$K2699))</f>
        <v/>
      </c>
      <c r="C2699" s="185">
        <f>IF($K2699="","",INDEX(Zeiterfassung!$K$6:$K$3665,$K2699))</f>
        <v/>
      </c>
      <c r="D2699" s="186">
        <f>IF($K2699="","",INDEX(Zeiterfassung!$D$6:$D$3665,$K2699))</f>
        <v/>
      </c>
      <c r="E2699" s="186">
        <f>IF($K2699="","",INDEX(Zeiterfassung!$E$6:$E$3665,$K2699))</f>
        <v/>
      </c>
      <c r="F2699" s="187">
        <f>IF($K2699="","",INDEX(Zeiterfassung!$F$6:$F$3665,$K2699))</f>
        <v/>
      </c>
      <c r="G2699" s="187">
        <f>IF($K2699="","",INDEX(Zeiterfassung!$G$6:$G$3665,$K2699))</f>
        <v/>
      </c>
      <c r="H2699" s="188">
        <f>IF($K2699="","",INDEX(Zeiterfassung!$H$6:$H$3665,$K2699))</f>
        <v/>
      </c>
      <c r="I2699" s="335">
        <f>IF(B2699=B2698,"",IF($K2699="","",INDEX(Zeiterfassung!$I$6:$I$3665,MATCH(INDEX(Zeiterfassung!$K$6:$K$3665,$K2699),Zeiterfassung!$K$6:$K$3665,0))))</f>
        <v/>
      </c>
      <c r="J2699" s="335">
        <f>IF(B2699=B2698,"",IF($K2699="","",INDEX(Zeiterfassung!$J$6:$J$3665,MATCH(INDEX(Zeiterfassung!$K$6:$K$3665,$K2699),Zeiterfassung!$K$6:$K$3665,0))))</f>
        <v/>
      </c>
      <c r="K2699">
        <f>IFERROR(AGGREGATE(15,6,(ROW(Zeiterfassung!$D$6:$D$3665)-ROW(Zeiterfassung!$D$6)+1)/(Zeiterfassung!$D$6:$D$3665&lt;&gt;""),2694),"")</f>
        <v/>
      </c>
    </row>
    <row r="2700" ht="20" customHeight="1">
      <c r="A2700" s="183">
        <f>IF($K2700="","",WEEKNUM(INDEX(Zeiterfassung!$K$6:$K$3665,$K2700),21))</f>
        <v/>
      </c>
      <c r="B2700" s="184">
        <f>IF($K2700="","",INDEX(Zeiterfassung!$K$6:$K$3665,$K2700))</f>
        <v/>
      </c>
      <c r="C2700" s="185">
        <f>IF($K2700="","",INDEX(Zeiterfassung!$K$6:$K$3665,$K2700))</f>
        <v/>
      </c>
      <c r="D2700" s="186">
        <f>IF($K2700="","",INDEX(Zeiterfassung!$D$6:$D$3665,$K2700))</f>
        <v/>
      </c>
      <c r="E2700" s="186">
        <f>IF($K2700="","",INDEX(Zeiterfassung!$E$6:$E$3665,$K2700))</f>
        <v/>
      </c>
      <c r="F2700" s="187">
        <f>IF($K2700="","",INDEX(Zeiterfassung!$F$6:$F$3665,$K2700))</f>
        <v/>
      </c>
      <c r="G2700" s="187">
        <f>IF($K2700="","",INDEX(Zeiterfassung!$G$6:$G$3665,$K2700))</f>
        <v/>
      </c>
      <c r="H2700" s="188">
        <f>IF($K2700="","",INDEX(Zeiterfassung!$H$6:$H$3665,$K2700))</f>
        <v/>
      </c>
      <c r="I2700" s="335">
        <f>IF(B2700=B2699,"",IF($K2700="","",INDEX(Zeiterfassung!$I$6:$I$3665,MATCH(INDEX(Zeiterfassung!$K$6:$K$3665,$K2700),Zeiterfassung!$K$6:$K$3665,0))))</f>
        <v/>
      </c>
      <c r="J2700" s="335">
        <f>IF(B2700=B2699,"",IF($K2700="","",INDEX(Zeiterfassung!$J$6:$J$3665,MATCH(INDEX(Zeiterfassung!$K$6:$K$3665,$K2700),Zeiterfassung!$K$6:$K$3665,0))))</f>
        <v/>
      </c>
      <c r="K2700">
        <f>IFERROR(AGGREGATE(15,6,(ROW(Zeiterfassung!$D$6:$D$3665)-ROW(Zeiterfassung!$D$6)+1)/(Zeiterfassung!$D$6:$D$3665&lt;&gt;""),2695),"")</f>
        <v/>
      </c>
    </row>
    <row r="2701" ht="20" customHeight="1">
      <c r="A2701" s="183">
        <f>IF($K2701="","",WEEKNUM(INDEX(Zeiterfassung!$K$6:$K$3665,$K2701),21))</f>
        <v/>
      </c>
      <c r="B2701" s="184">
        <f>IF($K2701="","",INDEX(Zeiterfassung!$K$6:$K$3665,$K2701))</f>
        <v/>
      </c>
      <c r="C2701" s="185">
        <f>IF($K2701="","",INDEX(Zeiterfassung!$K$6:$K$3665,$K2701))</f>
        <v/>
      </c>
      <c r="D2701" s="186">
        <f>IF($K2701="","",INDEX(Zeiterfassung!$D$6:$D$3665,$K2701))</f>
        <v/>
      </c>
      <c r="E2701" s="186">
        <f>IF($K2701="","",INDEX(Zeiterfassung!$E$6:$E$3665,$K2701))</f>
        <v/>
      </c>
      <c r="F2701" s="187">
        <f>IF($K2701="","",INDEX(Zeiterfassung!$F$6:$F$3665,$K2701))</f>
        <v/>
      </c>
      <c r="G2701" s="187">
        <f>IF($K2701="","",INDEX(Zeiterfassung!$G$6:$G$3665,$K2701))</f>
        <v/>
      </c>
      <c r="H2701" s="188">
        <f>IF($K2701="","",INDEX(Zeiterfassung!$H$6:$H$3665,$K2701))</f>
        <v/>
      </c>
      <c r="I2701" s="335">
        <f>IF(B2701=B2700,"",IF($K2701="","",INDEX(Zeiterfassung!$I$6:$I$3665,MATCH(INDEX(Zeiterfassung!$K$6:$K$3665,$K2701),Zeiterfassung!$K$6:$K$3665,0))))</f>
        <v/>
      </c>
      <c r="J2701" s="335">
        <f>IF(B2701=B2700,"",IF($K2701="","",INDEX(Zeiterfassung!$J$6:$J$3665,MATCH(INDEX(Zeiterfassung!$K$6:$K$3665,$K2701),Zeiterfassung!$K$6:$K$3665,0))))</f>
        <v/>
      </c>
      <c r="K2701">
        <f>IFERROR(AGGREGATE(15,6,(ROW(Zeiterfassung!$D$6:$D$3665)-ROW(Zeiterfassung!$D$6)+1)/(Zeiterfassung!$D$6:$D$3665&lt;&gt;""),2696),"")</f>
        <v/>
      </c>
    </row>
    <row r="2702" ht="20" customHeight="1">
      <c r="A2702" s="183">
        <f>IF($K2702="","",WEEKNUM(INDEX(Zeiterfassung!$K$6:$K$3665,$K2702),21))</f>
        <v/>
      </c>
      <c r="B2702" s="184">
        <f>IF($K2702="","",INDEX(Zeiterfassung!$K$6:$K$3665,$K2702))</f>
        <v/>
      </c>
      <c r="C2702" s="185">
        <f>IF($K2702="","",INDEX(Zeiterfassung!$K$6:$K$3665,$K2702))</f>
        <v/>
      </c>
      <c r="D2702" s="186">
        <f>IF($K2702="","",INDEX(Zeiterfassung!$D$6:$D$3665,$K2702))</f>
        <v/>
      </c>
      <c r="E2702" s="186">
        <f>IF($K2702="","",INDEX(Zeiterfassung!$E$6:$E$3665,$K2702))</f>
        <v/>
      </c>
      <c r="F2702" s="187">
        <f>IF($K2702="","",INDEX(Zeiterfassung!$F$6:$F$3665,$K2702))</f>
        <v/>
      </c>
      <c r="G2702" s="187">
        <f>IF($K2702="","",INDEX(Zeiterfassung!$G$6:$G$3665,$K2702))</f>
        <v/>
      </c>
      <c r="H2702" s="188">
        <f>IF($K2702="","",INDEX(Zeiterfassung!$H$6:$H$3665,$K2702))</f>
        <v/>
      </c>
      <c r="I2702" s="335">
        <f>IF(B2702=B2701,"",IF($K2702="","",INDEX(Zeiterfassung!$I$6:$I$3665,MATCH(INDEX(Zeiterfassung!$K$6:$K$3665,$K2702),Zeiterfassung!$K$6:$K$3665,0))))</f>
        <v/>
      </c>
      <c r="J2702" s="335">
        <f>IF(B2702=B2701,"",IF($K2702="","",INDEX(Zeiterfassung!$J$6:$J$3665,MATCH(INDEX(Zeiterfassung!$K$6:$K$3665,$K2702),Zeiterfassung!$K$6:$K$3665,0))))</f>
        <v/>
      </c>
      <c r="K2702">
        <f>IFERROR(AGGREGATE(15,6,(ROW(Zeiterfassung!$D$6:$D$3665)-ROW(Zeiterfassung!$D$6)+1)/(Zeiterfassung!$D$6:$D$3665&lt;&gt;""),2697),"")</f>
        <v/>
      </c>
    </row>
    <row r="2703" ht="20" customHeight="1">
      <c r="A2703" s="183">
        <f>IF($K2703="","",WEEKNUM(INDEX(Zeiterfassung!$K$6:$K$3665,$K2703),21))</f>
        <v/>
      </c>
      <c r="B2703" s="184">
        <f>IF($K2703="","",INDEX(Zeiterfassung!$K$6:$K$3665,$K2703))</f>
        <v/>
      </c>
      <c r="C2703" s="185">
        <f>IF($K2703="","",INDEX(Zeiterfassung!$K$6:$K$3665,$K2703))</f>
        <v/>
      </c>
      <c r="D2703" s="186">
        <f>IF($K2703="","",INDEX(Zeiterfassung!$D$6:$D$3665,$K2703))</f>
        <v/>
      </c>
      <c r="E2703" s="186">
        <f>IF($K2703="","",INDEX(Zeiterfassung!$E$6:$E$3665,$K2703))</f>
        <v/>
      </c>
      <c r="F2703" s="187">
        <f>IF($K2703="","",INDEX(Zeiterfassung!$F$6:$F$3665,$K2703))</f>
        <v/>
      </c>
      <c r="G2703" s="187">
        <f>IF($K2703="","",INDEX(Zeiterfassung!$G$6:$G$3665,$K2703))</f>
        <v/>
      </c>
      <c r="H2703" s="188">
        <f>IF($K2703="","",INDEX(Zeiterfassung!$H$6:$H$3665,$K2703))</f>
        <v/>
      </c>
      <c r="I2703" s="335">
        <f>IF(B2703=B2702,"",IF($K2703="","",INDEX(Zeiterfassung!$I$6:$I$3665,MATCH(INDEX(Zeiterfassung!$K$6:$K$3665,$K2703),Zeiterfassung!$K$6:$K$3665,0))))</f>
        <v/>
      </c>
      <c r="J2703" s="335">
        <f>IF(B2703=B2702,"",IF($K2703="","",INDEX(Zeiterfassung!$J$6:$J$3665,MATCH(INDEX(Zeiterfassung!$K$6:$K$3665,$K2703),Zeiterfassung!$K$6:$K$3665,0))))</f>
        <v/>
      </c>
      <c r="K2703">
        <f>IFERROR(AGGREGATE(15,6,(ROW(Zeiterfassung!$D$6:$D$3665)-ROW(Zeiterfassung!$D$6)+1)/(Zeiterfassung!$D$6:$D$3665&lt;&gt;""),2698),"")</f>
        <v/>
      </c>
    </row>
    <row r="2704" ht="20" customHeight="1">
      <c r="A2704" s="183">
        <f>IF($K2704="","",WEEKNUM(INDEX(Zeiterfassung!$K$6:$K$3665,$K2704),21))</f>
        <v/>
      </c>
      <c r="B2704" s="184">
        <f>IF($K2704="","",INDEX(Zeiterfassung!$K$6:$K$3665,$K2704))</f>
        <v/>
      </c>
      <c r="C2704" s="185">
        <f>IF($K2704="","",INDEX(Zeiterfassung!$K$6:$K$3665,$K2704))</f>
        <v/>
      </c>
      <c r="D2704" s="186">
        <f>IF($K2704="","",INDEX(Zeiterfassung!$D$6:$D$3665,$K2704))</f>
        <v/>
      </c>
      <c r="E2704" s="186">
        <f>IF($K2704="","",INDEX(Zeiterfassung!$E$6:$E$3665,$K2704))</f>
        <v/>
      </c>
      <c r="F2704" s="187">
        <f>IF($K2704="","",INDEX(Zeiterfassung!$F$6:$F$3665,$K2704))</f>
        <v/>
      </c>
      <c r="G2704" s="187">
        <f>IF($K2704="","",INDEX(Zeiterfassung!$G$6:$G$3665,$K2704))</f>
        <v/>
      </c>
      <c r="H2704" s="188">
        <f>IF($K2704="","",INDEX(Zeiterfassung!$H$6:$H$3665,$K2704))</f>
        <v/>
      </c>
      <c r="I2704" s="335">
        <f>IF(B2704=B2703,"",IF($K2704="","",INDEX(Zeiterfassung!$I$6:$I$3665,MATCH(INDEX(Zeiterfassung!$K$6:$K$3665,$K2704),Zeiterfassung!$K$6:$K$3665,0))))</f>
        <v/>
      </c>
      <c r="J2704" s="335">
        <f>IF(B2704=B2703,"",IF($K2704="","",INDEX(Zeiterfassung!$J$6:$J$3665,MATCH(INDEX(Zeiterfassung!$K$6:$K$3665,$K2704),Zeiterfassung!$K$6:$K$3665,0))))</f>
        <v/>
      </c>
      <c r="K2704">
        <f>IFERROR(AGGREGATE(15,6,(ROW(Zeiterfassung!$D$6:$D$3665)-ROW(Zeiterfassung!$D$6)+1)/(Zeiterfassung!$D$6:$D$3665&lt;&gt;""),2699),"")</f>
        <v/>
      </c>
    </row>
    <row r="2705" ht="20" customHeight="1">
      <c r="A2705" s="183">
        <f>IF($K2705="","",WEEKNUM(INDEX(Zeiterfassung!$K$6:$K$3665,$K2705),21))</f>
        <v/>
      </c>
      <c r="B2705" s="184">
        <f>IF($K2705="","",INDEX(Zeiterfassung!$K$6:$K$3665,$K2705))</f>
        <v/>
      </c>
      <c r="C2705" s="185">
        <f>IF($K2705="","",INDEX(Zeiterfassung!$K$6:$K$3665,$K2705))</f>
        <v/>
      </c>
      <c r="D2705" s="186">
        <f>IF($K2705="","",INDEX(Zeiterfassung!$D$6:$D$3665,$K2705))</f>
        <v/>
      </c>
      <c r="E2705" s="186">
        <f>IF($K2705="","",INDEX(Zeiterfassung!$E$6:$E$3665,$K2705))</f>
        <v/>
      </c>
      <c r="F2705" s="187">
        <f>IF($K2705="","",INDEX(Zeiterfassung!$F$6:$F$3665,$K2705))</f>
        <v/>
      </c>
      <c r="G2705" s="187">
        <f>IF($K2705="","",INDEX(Zeiterfassung!$G$6:$G$3665,$K2705))</f>
        <v/>
      </c>
      <c r="H2705" s="188">
        <f>IF($K2705="","",INDEX(Zeiterfassung!$H$6:$H$3665,$K2705))</f>
        <v/>
      </c>
      <c r="I2705" s="335">
        <f>IF(B2705=B2704,"",IF($K2705="","",INDEX(Zeiterfassung!$I$6:$I$3665,MATCH(INDEX(Zeiterfassung!$K$6:$K$3665,$K2705),Zeiterfassung!$K$6:$K$3665,0))))</f>
        <v/>
      </c>
      <c r="J2705" s="335">
        <f>IF(B2705=B2704,"",IF($K2705="","",INDEX(Zeiterfassung!$J$6:$J$3665,MATCH(INDEX(Zeiterfassung!$K$6:$K$3665,$K2705),Zeiterfassung!$K$6:$K$3665,0))))</f>
        <v/>
      </c>
      <c r="K2705">
        <f>IFERROR(AGGREGATE(15,6,(ROW(Zeiterfassung!$D$6:$D$3665)-ROW(Zeiterfassung!$D$6)+1)/(Zeiterfassung!$D$6:$D$3665&lt;&gt;""),2700),"")</f>
        <v/>
      </c>
    </row>
    <row r="2706" ht="20" customHeight="1">
      <c r="A2706" s="183">
        <f>IF($K2706="","",WEEKNUM(INDEX(Zeiterfassung!$K$6:$K$3665,$K2706),21))</f>
        <v/>
      </c>
      <c r="B2706" s="184">
        <f>IF($K2706="","",INDEX(Zeiterfassung!$K$6:$K$3665,$K2706))</f>
        <v/>
      </c>
      <c r="C2706" s="185">
        <f>IF($K2706="","",INDEX(Zeiterfassung!$K$6:$K$3665,$K2706))</f>
        <v/>
      </c>
      <c r="D2706" s="186">
        <f>IF($K2706="","",INDEX(Zeiterfassung!$D$6:$D$3665,$K2706))</f>
        <v/>
      </c>
      <c r="E2706" s="186">
        <f>IF($K2706="","",INDEX(Zeiterfassung!$E$6:$E$3665,$K2706))</f>
        <v/>
      </c>
      <c r="F2706" s="187">
        <f>IF($K2706="","",INDEX(Zeiterfassung!$F$6:$F$3665,$K2706))</f>
        <v/>
      </c>
      <c r="G2706" s="187">
        <f>IF($K2706="","",INDEX(Zeiterfassung!$G$6:$G$3665,$K2706))</f>
        <v/>
      </c>
      <c r="H2706" s="188">
        <f>IF($K2706="","",INDEX(Zeiterfassung!$H$6:$H$3665,$K2706))</f>
        <v/>
      </c>
      <c r="I2706" s="335">
        <f>IF(B2706=B2705,"",IF($K2706="","",INDEX(Zeiterfassung!$I$6:$I$3665,MATCH(INDEX(Zeiterfassung!$K$6:$K$3665,$K2706),Zeiterfassung!$K$6:$K$3665,0))))</f>
        <v/>
      </c>
      <c r="J2706" s="335">
        <f>IF(B2706=B2705,"",IF($K2706="","",INDEX(Zeiterfassung!$J$6:$J$3665,MATCH(INDEX(Zeiterfassung!$K$6:$K$3665,$K2706),Zeiterfassung!$K$6:$K$3665,0))))</f>
        <v/>
      </c>
      <c r="K2706">
        <f>IFERROR(AGGREGATE(15,6,(ROW(Zeiterfassung!$D$6:$D$3665)-ROW(Zeiterfassung!$D$6)+1)/(Zeiterfassung!$D$6:$D$3665&lt;&gt;""),2701),"")</f>
        <v/>
      </c>
    </row>
    <row r="2707" ht="20" customHeight="1">
      <c r="A2707" s="183">
        <f>IF($K2707="","",WEEKNUM(INDEX(Zeiterfassung!$K$6:$K$3665,$K2707),21))</f>
        <v/>
      </c>
      <c r="B2707" s="184">
        <f>IF($K2707="","",INDEX(Zeiterfassung!$K$6:$K$3665,$K2707))</f>
        <v/>
      </c>
      <c r="C2707" s="185">
        <f>IF($K2707="","",INDEX(Zeiterfassung!$K$6:$K$3665,$K2707))</f>
        <v/>
      </c>
      <c r="D2707" s="186">
        <f>IF($K2707="","",INDEX(Zeiterfassung!$D$6:$D$3665,$K2707))</f>
        <v/>
      </c>
      <c r="E2707" s="186">
        <f>IF($K2707="","",INDEX(Zeiterfassung!$E$6:$E$3665,$K2707))</f>
        <v/>
      </c>
      <c r="F2707" s="187">
        <f>IF($K2707="","",INDEX(Zeiterfassung!$F$6:$F$3665,$K2707))</f>
        <v/>
      </c>
      <c r="G2707" s="187">
        <f>IF($K2707="","",INDEX(Zeiterfassung!$G$6:$G$3665,$K2707))</f>
        <v/>
      </c>
      <c r="H2707" s="188">
        <f>IF($K2707="","",INDEX(Zeiterfassung!$H$6:$H$3665,$K2707))</f>
        <v/>
      </c>
      <c r="I2707" s="335">
        <f>IF(B2707=B2706,"",IF($K2707="","",INDEX(Zeiterfassung!$I$6:$I$3665,MATCH(INDEX(Zeiterfassung!$K$6:$K$3665,$K2707),Zeiterfassung!$K$6:$K$3665,0))))</f>
        <v/>
      </c>
      <c r="J2707" s="335">
        <f>IF(B2707=B2706,"",IF($K2707="","",INDEX(Zeiterfassung!$J$6:$J$3665,MATCH(INDEX(Zeiterfassung!$K$6:$K$3665,$K2707),Zeiterfassung!$K$6:$K$3665,0))))</f>
        <v/>
      </c>
      <c r="K2707">
        <f>IFERROR(AGGREGATE(15,6,(ROW(Zeiterfassung!$D$6:$D$3665)-ROW(Zeiterfassung!$D$6)+1)/(Zeiterfassung!$D$6:$D$3665&lt;&gt;""),2702),"")</f>
        <v/>
      </c>
    </row>
    <row r="2708" ht="20" customHeight="1">
      <c r="A2708" s="183">
        <f>IF($K2708="","",WEEKNUM(INDEX(Zeiterfassung!$K$6:$K$3665,$K2708),21))</f>
        <v/>
      </c>
      <c r="B2708" s="184">
        <f>IF($K2708="","",INDEX(Zeiterfassung!$K$6:$K$3665,$K2708))</f>
        <v/>
      </c>
      <c r="C2708" s="185">
        <f>IF($K2708="","",INDEX(Zeiterfassung!$K$6:$K$3665,$K2708))</f>
        <v/>
      </c>
      <c r="D2708" s="186">
        <f>IF($K2708="","",INDEX(Zeiterfassung!$D$6:$D$3665,$K2708))</f>
        <v/>
      </c>
      <c r="E2708" s="186">
        <f>IF($K2708="","",INDEX(Zeiterfassung!$E$6:$E$3665,$K2708))</f>
        <v/>
      </c>
      <c r="F2708" s="187">
        <f>IF($K2708="","",INDEX(Zeiterfassung!$F$6:$F$3665,$K2708))</f>
        <v/>
      </c>
      <c r="G2708" s="187">
        <f>IF($K2708="","",INDEX(Zeiterfassung!$G$6:$G$3665,$K2708))</f>
        <v/>
      </c>
      <c r="H2708" s="188">
        <f>IF($K2708="","",INDEX(Zeiterfassung!$H$6:$H$3665,$K2708))</f>
        <v/>
      </c>
      <c r="I2708" s="335">
        <f>IF(B2708=B2707,"",IF($K2708="","",INDEX(Zeiterfassung!$I$6:$I$3665,MATCH(INDEX(Zeiterfassung!$K$6:$K$3665,$K2708),Zeiterfassung!$K$6:$K$3665,0))))</f>
        <v/>
      </c>
      <c r="J2708" s="335">
        <f>IF(B2708=B2707,"",IF($K2708="","",INDEX(Zeiterfassung!$J$6:$J$3665,MATCH(INDEX(Zeiterfassung!$K$6:$K$3665,$K2708),Zeiterfassung!$K$6:$K$3665,0))))</f>
        <v/>
      </c>
      <c r="K2708">
        <f>IFERROR(AGGREGATE(15,6,(ROW(Zeiterfassung!$D$6:$D$3665)-ROW(Zeiterfassung!$D$6)+1)/(Zeiterfassung!$D$6:$D$3665&lt;&gt;""),2703),"")</f>
        <v/>
      </c>
    </row>
    <row r="2709" ht="20" customHeight="1">
      <c r="A2709" s="183">
        <f>IF($K2709="","",WEEKNUM(INDEX(Zeiterfassung!$K$6:$K$3665,$K2709),21))</f>
        <v/>
      </c>
      <c r="B2709" s="184">
        <f>IF($K2709="","",INDEX(Zeiterfassung!$K$6:$K$3665,$K2709))</f>
        <v/>
      </c>
      <c r="C2709" s="185">
        <f>IF($K2709="","",INDEX(Zeiterfassung!$K$6:$K$3665,$K2709))</f>
        <v/>
      </c>
      <c r="D2709" s="186">
        <f>IF($K2709="","",INDEX(Zeiterfassung!$D$6:$D$3665,$K2709))</f>
        <v/>
      </c>
      <c r="E2709" s="186">
        <f>IF($K2709="","",INDEX(Zeiterfassung!$E$6:$E$3665,$K2709))</f>
        <v/>
      </c>
      <c r="F2709" s="187">
        <f>IF($K2709="","",INDEX(Zeiterfassung!$F$6:$F$3665,$K2709))</f>
        <v/>
      </c>
      <c r="G2709" s="187">
        <f>IF($K2709="","",INDEX(Zeiterfassung!$G$6:$G$3665,$K2709))</f>
        <v/>
      </c>
      <c r="H2709" s="188">
        <f>IF($K2709="","",INDEX(Zeiterfassung!$H$6:$H$3665,$K2709))</f>
        <v/>
      </c>
      <c r="I2709" s="335">
        <f>IF(B2709=B2708,"",IF($K2709="","",INDEX(Zeiterfassung!$I$6:$I$3665,MATCH(INDEX(Zeiterfassung!$K$6:$K$3665,$K2709),Zeiterfassung!$K$6:$K$3665,0))))</f>
        <v/>
      </c>
      <c r="J2709" s="335">
        <f>IF(B2709=B2708,"",IF($K2709="","",INDEX(Zeiterfassung!$J$6:$J$3665,MATCH(INDEX(Zeiterfassung!$K$6:$K$3665,$K2709),Zeiterfassung!$K$6:$K$3665,0))))</f>
        <v/>
      </c>
      <c r="K2709">
        <f>IFERROR(AGGREGATE(15,6,(ROW(Zeiterfassung!$D$6:$D$3665)-ROW(Zeiterfassung!$D$6)+1)/(Zeiterfassung!$D$6:$D$3665&lt;&gt;""),2704),"")</f>
        <v/>
      </c>
    </row>
    <row r="2710" ht="20" customHeight="1">
      <c r="A2710" s="183">
        <f>IF($K2710="","",WEEKNUM(INDEX(Zeiterfassung!$K$6:$K$3665,$K2710),21))</f>
        <v/>
      </c>
      <c r="B2710" s="184">
        <f>IF($K2710="","",INDEX(Zeiterfassung!$K$6:$K$3665,$K2710))</f>
        <v/>
      </c>
      <c r="C2710" s="185">
        <f>IF($K2710="","",INDEX(Zeiterfassung!$K$6:$K$3665,$K2710))</f>
        <v/>
      </c>
      <c r="D2710" s="186">
        <f>IF($K2710="","",INDEX(Zeiterfassung!$D$6:$D$3665,$K2710))</f>
        <v/>
      </c>
      <c r="E2710" s="186">
        <f>IF($K2710="","",INDEX(Zeiterfassung!$E$6:$E$3665,$K2710))</f>
        <v/>
      </c>
      <c r="F2710" s="187">
        <f>IF($K2710="","",INDEX(Zeiterfassung!$F$6:$F$3665,$K2710))</f>
        <v/>
      </c>
      <c r="G2710" s="187">
        <f>IF($K2710="","",INDEX(Zeiterfassung!$G$6:$G$3665,$K2710))</f>
        <v/>
      </c>
      <c r="H2710" s="188">
        <f>IF($K2710="","",INDEX(Zeiterfassung!$H$6:$H$3665,$K2710))</f>
        <v/>
      </c>
      <c r="I2710" s="335">
        <f>IF(B2710=B2709,"",IF($K2710="","",INDEX(Zeiterfassung!$I$6:$I$3665,MATCH(INDEX(Zeiterfassung!$K$6:$K$3665,$K2710),Zeiterfassung!$K$6:$K$3665,0))))</f>
        <v/>
      </c>
      <c r="J2710" s="335">
        <f>IF(B2710=B2709,"",IF($K2710="","",INDEX(Zeiterfassung!$J$6:$J$3665,MATCH(INDEX(Zeiterfassung!$K$6:$K$3665,$K2710),Zeiterfassung!$K$6:$K$3665,0))))</f>
        <v/>
      </c>
      <c r="K2710">
        <f>IFERROR(AGGREGATE(15,6,(ROW(Zeiterfassung!$D$6:$D$3665)-ROW(Zeiterfassung!$D$6)+1)/(Zeiterfassung!$D$6:$D$3665&lt;&gt;""),2705),"")</f>
        <v/>
      </c>
    </row>
    <row r="2711" ht="20" customHeight="1">
      <c r="A2711" s="183">
        <f>IF($K2711="","",WEEKNUM(INDEX(Zeiterfassung!$K$6:$K$3665,$K2711),21))</f>
        <v/>
      </c>
      <c r="B2711" s="184">
        <f>IF($K2711="","",INDEX(Zeiterfassung!$K$6:$K$3665,$K2711))</f>
        <v/>
      </c>
      <c r="C2711" s="185">
        <f>IF($K2711="","",INDEX(Zeiterfassung!$K$6:$K$3665,$K2711))</f>
        <v/>
      </c>
      <c r="D2711" s="186">
        <f>IF($K2711="","",INDEX(Zeiterfassung!$D$6:$D$3665,$K2711))</f>
        <v/>
      </c>
      <c r="E2711" s="186">
        <f>IF($K2711="","",INDEX(Zeiterfassung!$E$6:$E$3665,$K2711))</f>
        <v/>
      </c>
      <c r="F2711" s="187">
        <f>IF($K2711="","",INDEX(Zeiterfassung!$F$6:$F$3665,$K2711))</f>
        <v/>
      </c>
      <c r="G2711" s="187">
        <f>IF($K2711="","",INDEX(Zeiterfassung!$G$6:$G$3665,$K2711))</f>
        <v/>
      </c>
      <c r="H2711" s="188">
        <f>IF($K2711="","",INDEX(Zeiterfassung!$H$6:$H$3665,$K2711))</f>
        <v/>
      </c>
      <c r="I2711" s="335">
        <f>IF(B2711=B2710,"",IF($K2711="","",INDEX(Zeiterfassung!$I$6:$I$3665,MATCH(INDEX(Zeiterfassung!$K$6:$K$3665,$K2711),Zeiterfassung!$K$6:$K$3665,0))))</f>
        <v/>
      </c>
      <c r="J2711" s="335">
        <f>IF(B2711=B2710,"",IF($K2711="","",INDEX(Zeiterfassung!$J$6:$J$3665,MATCH(INDEX(Zeiterfassung!$K$6:$K$3665,$K2711),Zeiterfassung!$K$6:$K$3665,0))))</f>
        <v/>
      </c>
      <c r="K2711">
        <f>IFERROR(AGGREGATE(15,6,(ROW(Zeiterfassung!$D$6:$D$3665)-ROW(Zeiterfassung!$D$6)+1)/(Zeiterfassung!$D$6:$D$3665&lt;&gt;""),2706),"")</f>
        <v/>
      </c>
    </row>
    <row r="2712" ht="20" customHeight="1">
      <c r="A2712" s="183">
        <f>IF($K2712="","",WEEKNUM(INDEX(Zeiterfassung!$K$6:$K$3665,$K2712),21))</f>
        <v/>
      </c>
      <c r="B2712" s="184">
        <f>IF($K2712="","",INDEX(Zeiterfassung!$K$6:$K$3665,$K2712))</f>
        <v/>
      </c>
      <c r="C2712" s="185">
        <f>IF($K2712="","",INDEX(Zeiterfassung!$K$6:$K$3665,$K2712))</f>
        <v/>
      </c>
      <c r="D2712" s="186">
        <f>IF($K2712="","",INDEX(Zeiterfassung!$D$6:$D$3665,$K2712))</f>
        <v/>
      </c>
      <c r="E2712" s="186">
        <f>IF($K2712="","",INDEX(Zeiterfassung!$E$6:$E$3665,$K2712))</f>
        <v/>
      </c>
      <c r="F2712" s="187">
        <f>IF($K2712="","",INDEX(Zeiterfassung!$F$6:$F$3665,$K2712))</f>
        <v/>
      </c>
      <c r="G2712" s="187">
        <f>IF($K2712="","",INDEX(Zeiterfassung!$G$6:$G$3665,$K2712))</f>
        <v/>
      </c>
      <c r="H2712" s="188">
        <f>IF($K2712="","",INDEX(Zeiterfassung!$H$6:$H$3665,$K2712))</f>
        <v/>
      </c>
      <c r="I2712" s="335">
        <f>IF(B2712=B2711,"",IF($K2712="","",INDEX(Zeiterfassung!$I$6:$I$3665,MATCH(INDEX(Zeiterfassung!$K$6:$K$3665,$K2712),Zeiterfassung!$K$6:$K$3665,0))))</f>
        <v/>
      </c>
      <c r="J2712" s="335">
        <f>IF(B2712=B2711,"",IF($K2712="","",INDEX(Zeiterfassung!$J$6:$J$3665,MATCH(INDEX(Zeiterfassung!$K$6:$K$3665,$K2712),Zeiterfassung!$K$6:$K$3665,0))))</f>
        <v/>
      </c>
      <c r="K2712">
        <f>IFERROR(AGGREGATE(15,6,(ROW(Zeiterfassung!$D$6:$D$3665)-ROW(Zeiterfassung!$D$6)+1)/(Zeiterfassung!$D$6:$D$3665&lt;&gt;""),2707),"")</f>
        <v/>
      </c>
    </row>
    <row r="2713" ht="20" customHeight="1">
      <c r="A2713" s="183">
        <f>IF($K2713="","",WEEKNUM(INDEX(Zeiterfassung!$K$6:$K$3665,$K2713),21))</f>
        <v/>
      </c>
      <c r="B2713" s="184">
        <f>IF($K2713="","",INDEX(Zeiterfassung!$K$6:$K$3665,$K2713))</f>
        <v/>
      </c>
      <c r="C2713" s="185">
        <f>IF($K2713="","",INDEX(Zeiterfassung!$K$6:$K$3665,$K2713))</f>
        <v/>
      </c>
      <c r="D2713" s="186">
        <f>IF($K2713="","",INDEX(Zeiterfassung!$D$6:$D$3665,$K2713))</f>
        <v/>
      </c>
      <c r="E2713" s="186">
        <f>IF($K2713="","",INDEX(Zeiterfassung!$E$6:$E$3665,$K2713))</f>
        <v/>
      </c>
      <c r="F2713" s="187">
        <f>IF($K2713="","",INDEX(Zeiterfassung!$F$6:$F$3665,$K2713))</f>
        <v/>
      </c>
      <c r="G2713" s="187">
        <f>IF($K2713="","",INDEX(Zeiterfassung!$G$6:$G$3665,$K2713))</f>
        <v/>
      </c>
      <c r="H2713" s="188">
        <f>IF($K2713="","",INDEX(Zeiterfassung!$H$6:$H$3665,$K2713))</f>
        <v/>
      </c>
      <c r="I2713" s="335">
        <f>IF(B2713=B2712,"",IF($K2713="","",INDEX(Zeiterfassung!$I$6:$I$3665,MATCH(INDEX(Zeiterfassung!$K$6:$K$3665,$K2713),Zeiterfassung!$K$6:$K$3665,0))))</f>
        <v/>
      </c>
      <c r="J2713" s="335">
        <f>IF(B2713=B2712,"",IF($K2713="","",INDEX(Zeiterfassung!$J$6:$J$3665,MATCH(INDEX(Zeiterfassung!$K$6:$K$3665,$K2713),Zeiterfassung!$K$6:$K$3665,0))))</f>
        <v/>
      </c>
      <c r="K2713">
        <f>IFERROR(AGGREGATE(15,6,(ROW(Zeiterfassung!$D$6:$D$3665)-ROW(Zeiterfassung!$D$6)+1)/(Zeiterfassung!$D$6:$D$3665&lt;&gt;""),2708),"")</f>
        <v/>
      </c>
    </row>
    <row r="2714" ht="20" customHeight="1">
      <c r="A2714" s="183">
        <f>IF($K2714="","",WEEKNUM(INDEX(Zeiterfassung!$K$6:$K$3665,$K2714),21))</f>
        <v/>
      </c>
      <c r="B2714" s="184">
        <f>IF($K2714="","",INDEX(Zeiterfassung!$K$6:$K$3665,$K2714))</f>
        <v/>
      </c>
      <c r="C2714" s="185">
        <f>IF($K2714="","",INDEX(Zeiterfassung!$K$6:$K$3665,$K2714))</f>
        <v/>
      </c>
      <c r="D2714" s="186">
        <f>IF($K2714="","",INDEX(Zeiterfassung!$D$6:$D$3665,$K2714))</f>
        <v/>
      </c>
      <c r="E2714" s="186">
        <f>IF($K2714="","",INDEX(Zeiterfassung!$E$6:$E$3665,$K2714))</f>
        <v/>
      </c>
      <c r="F2714" s="187">
        <f>IF($K2714="","",INDEX(Zeiterfassung!$F$6:$F$3665,$K2714))</f>
        <v/>
      </c>
      <c r="G2714" s="187">
        <f>IF($K2714="","",INDEX(Zeiterfassung!$G$6:$G$3665,$K2714))</f>
        <v/>
      </c>
      <c r="H2714" s="188">
        <f>IF($K2714="","",INDEX(Zeiterfassung!$H$6:$H$3665,$K2714))</f>
        <v/>
      </c>
      <c r="I2714" s="335">
        <f>IF(B2714=B2713,"",IF($K2714="","",INDEX(Zeiterfassung!$I$6:$I$3665,MATCH(INDEX(Zeiterfassung!$K$6:$K$3665,$K2714),Zeiterfassung!$K$6:$K$3665,0))))</f>
        <v/>
      </c>
      <c r="J2714" s="335">
        <f>IF(B2714=B2713,"",IF($K2714="","",INDEX(Zeiterfassung!$J$6:$J$3665,MATCH(INDEX(Zeiterfassung!$K$6:$K$3665,$K2714),Zeiterfassung!$K$6:$K$3665,0))))</f>
        <v/>
      </c>
      <c r="K2714">
        <f>IFERROR(AGGREGATE(15,6,(ROW(Zeiterfassung!$D$6:$D$3665)-ROW(Zeiterfassung!$D$6)+1)/(Zeiterfassung!$D$6:$D$3665&lt;&gt;""),2709),"")</f>
        <v/>
      </c>
    </row>
    <row r="2715" ht="20" customHeight="1">
      <c r="A2715" s="183">
        <f>IF($K2715="","",WEEKNUM(INDEX(Zeiterfassung!$K$6:$K$3665,$K2715),21))</f>
        <v/>
      </c>
      <c r="B2715" s="184">
        <f>IF($K2715="","",INDEX(Zeiterfassung!$K$6:$K$3665,$K2715))</f>
        <v/>
      </c>
      <c r="C2715" s="185">
        <f>IF($K2715="","",INDEX(Zeiterfassung!$K$6:$K$3665,$K2715))</f>
        <v/>
      </c>
      <c r="D2715" s="186">
        <f>IF($K2715="","",INDEX(Zeiterfassung!$D$6:$D$3665,$K2715))</f>
        <v/>
      </c>
      <c r="E2715" s="186">
        <f>IF($K2715="","",INDEX(Zeiterfassung!$E$6:$E$3665,$K2715))</f>
        <v/>
      </c>
      <c r="F2715" s="187">
        <f>IF($K2715="","",INDEX(Zeiterfassung!$F$6:$F$3665,$K2715))</f>
        <v/>
      </c>
      <c r="G2715" s="187">
        <f>IF($K2715="","",INDEX(Zeiterfassung!$G$6:$G$3665,$K2715))</f>
        <v/>
      </c>
      <c r="H2715" s="188">
        <f>IF($K2715="","",INDEX(Zeiterfassung!$H$6:$H$3665,$K2715))</f>
        <v/>
      </c>
      <c r="I2715" s="335">
        <f>IF(B2715=B2714,"",IF($K2715="","",INDEX(Zeiterfassung!$I$6:$I$3665,MATCH(INDEX(Zeiterfassung!$K$6:$K$3665,$K2715),Zeiterfassung!$K$6:$K$3665,0))))</f>
        <v/>
      </c>
      <c r="J2715" s="335">
        <f>IF(B2715=B2714,"",IF($K2715="","",INDEX(Zeiterfassung!$J$6:$J$3665,MATCH(INDEX(Zeiterfassung!$K$6:$K$3665,$K2715),Zeiterfassung!$K$6:$K$3665,0))))</f>
        <v/>
      </c>
      <c r="K2715">
        <f>IFERROR(AGGREGATE(15,6,(ROW(Zeiterfassung!$D$6:$D$3665)-ROW(Zeiterfassung!$D$6)+1)/(Zeiterfassung!$D$6:$D$3665&lt;&gt;""),2710),"")</f>
        <v/>
      </c>
    </row>
    <row r="2716" ht="20" customHeight="1">
      <c r="A2716" s="183">
        <f>IF($K2716="","",WEEKNUM(INDEX(Zeiterfassung!$K$6:$K$3665,$K2716),21))</f>
        <v/>
      </c>
      <c r="B2716" s="184">
        <f>IF($K2716="","",INDEX(Zeiterfassung!$K$6:$K$3665,$K2716))</f>
        <v/>
      </c>
      <c r="C2716" s="185">
        <f>IF($K2716="","",INDEX(Zeiterfassung!$K$6:$K$3665,$K2716))</f>
        <v/>
      </c>
      <c r="D2716" s="186">
        <f>IF($K2716="","",INDEX(Zeiterfassung!$D$6:$D$3665,$K2716))</f>
        <v/>
      </c>
      <c r="E2716" s="186">
        <f>IF($K2716="","",INDEX(Zeiterfassung!$E$6:$E$3665,$K2716))</f>
        <v/>
      </c>
      <c r="F2716" s="187">
        <f>IF($K2716="","",INDEX(Zeiterfassung!$F$6:$F$3665,$K2716))</f>
        <v/>
      </c>
      <c r="G2716" s="187">
        <f>IF($K2716="","",INDEX(Zeiterfassung!$G$6:$G$3665,$K2716))</f>
        <v/>
      </c>
      <c r="H2716" s="188">
        <f>IF($K2716="","",INDEX(Zeiterfassung!$H$6:$H$3665,$K2716))</f>
        <v/>
      </c>
      <c r="I2716" s="335">
        <f>IF(B2716=B2715,"",IF($K2716="","",INDEX(Zeiterfassung!$I$6:$I$3665,MATCH(INDEX(Zeiterfassung!$K$6:$K$3665,$K2716),Zeiterfassung!$K$6:$K$3665,0))))</f>
        <v/>
      </c>
      <c r="J2716" s="335">
        <f>IF(B2716=B2715,"",IF($K2716="","",INDEX(Zeiterfassung!$J$6:$J$3665,MATCH(INDEX(Zeiterfassung!$K$6:$K$3665,$K2716),Zeiterfassung!$K$6:$K$3665,0))))</f>
        <v/>
      </c>
      <c r="K2716">
        <f>IFERROR(AGGREGATE(15,6,(ROW(Zeiterfassung!$D$6:$D$3665)-ROW(Zeiterfassung!$D$6)+1)/(Zeiterfassung!$D$6:$D$3665&lt;&gt;""),2711),"")</f>
        <v/>
      </c>
    </row>
    <row r="2717" ht="20" customHeight="1">
      <c r="A2717" s="183">
        <f>IF($K2717="","",WEEKNUM(INDEX(Zeiterfassung!$K$6:$K$3665,$K2717),21))</f>
        <v/>
      </c>
      <c r="B2717" s="184">
        <f>IF($K2717="","",INDEX(Zeiterfassung!$K$6:$K$3665,$K2717))</f>
        <v/>
      </c>
      <c r="C2717" s="185">
        <f>IF($K2717="","",INDEX(Zeiterfassung!$K$6:$K$3665,$K2717))</f>
        <v/>
      </c>
      <c r="D2717" s="186">
        <f>IF($K2717="","",INDEX(Zeiterfassung!$D$6:$D$3665,$K2717))</f>
        <v/>
      </c>
      <c r="E2717" s="186">
        <f>IF($K2717="","",INDEX(Zeiterfassung!$E$6:$E$3665,$K2717))</f>
        <v/>
      </c>
      <c r="F2717" s="187">
        <f>IF($K2717="","",INDEX(Zeiterfassung!$F$6:$F$3665,$K2717))</f>
        <v/>
      </c>
      <c r="G2717" s="187">
        <f>IF($K2717="","",INDEX(Zeiterfassung!$G$6:$G$3665,$K2717))</f>
        <v/>
      </c>
      <c r="H2717" s="188">
        <f>IF($K2717="","",INDEX(Zeiterfassung!$H$6:$H$3665,$K2717))</f>
        <v/>
      </c>
      <c r="I2717" s="335">
        <f>IF(B2717=B2716,"",IF($K2717="","",INDEX(Zeiterfassung!$I$6:$I$3665,MATCH(INDEX(Zeiterfassung!$K$6:$K$3665,$K2717),Zeiterfassung!$K$6:$K$3665,0))))</f>
        <v/>
      </c>
      <c r="J2717" s="335">
        <f>IF(B2717=B2716,"",IF($K2717="","",INDEX(Zeiterfassung!$J$6:$J$3665,MATCH(INDEX(Zeiterfassung!$K$6:$K$3665,$K2717),Zeiterfassung!$K$6:$K$3665,0))))</f>
        <v/>
      </c>
      <c r="K2717">
        <f>IFERROR(AGGREGATE(15,6,(ROW(Zeiterfassung!$D$6:$D$3665)-ROW(Zeiterfassung!$D$6)+1)/(Zeiterfassung!$D$6:$D$3665&lt;&gt;""),2712),"")</f>
        <v/>
      </c>
    </row>
    <row r="2718" ht="20" customHeight="1">
      <c r="A2718" s="183">
        <f>IF($K2718="","",WEEKNUM(INDEX(Zeiterfassung!$K$6:$K$3665,$K2718),21))</f>
        <v/>
      </c>
      <c r="B2718" s="184">
        <f>IF($K2718="","",INDEX(Zeiterfassung!$K$6:$K$3665,$K2718))</f>
        <v/>
      </c>
      <c r="C2718" s="185">
        <f>IF($K2718="","",INDEX(Zeiterfassung!$K$6:$K$3665,$K2718))</f>
        <v/>
      </c>
      <c r="D2718" s="186">
        <f>IF($K2718="","",INDEX(Zeiterfassung!$D$6:$D$3665,$K2718))</f>
        <v/>
      </c>
      <c r="E2718" s="186">
        <f>IF($K2718="","",INDEX(Zeiterfassung!$E$6:$E$3665,$K2718))</f>
        <v/>
      </c>
      <c r="F2718" s="187">
        <f>IF($K2718="","",INDEX(Zeiterfassung!$F$6:$F$3665,$K2718))</f>
        <v/>
      </c>
      <c r="G2718" s="187">
        <f>IF($K2718="","",INDEX(Zeiterfassung!$G$6:$G$3665,$K2718))</f>
        <v/>
      </c>
      <c r="H2718" s="188">
        <f>IF($K2718="","",INDEX(Zeiterfassung!$H$6:$H$3665,$K2718))</f>
        <v/>
      </c>
      <c r="I2718" s="335">
        <f>IF(B2718=B2717,"",IF($K2718="","",INDEX(Zeiterfassung!$I$6:$I$3665,MATCH(INDEX(Zeiterfassung!$K$6:$K$3665,$K2718),Zeiterfassung!$K$6:$K$3665,0))))</f>
        <v/>
      </c>
      <c r="J2718" s="335">
        <f>IF(B2718=B2717,"",IF($K2718="","",INDEX(Zeiterfassung!$J$6:$J$3665,MATCH(INDEX(Zeiterfassung!$K$6:$K$3665,$K2718),Zeiterfassung!$K$6:$K$3665,0))))</f>
        <v/>
      </c>
      <c r="K2718">
        <f>IFERROR(AGGREGATE(15,6,(ROW(Zeiterfassung!$D$6:$D$3665)-ROW(Zeiterfassung!$D$6)+1)/(Zeiterfassung!$D$6:$D$3665&lt;&gt;""),2713),"")</f>
        <v/>
      </c>
    </row>
    <row r="2719" ht="20" customHeight="1">
      <c r="A2719" s="183">
        <f>IF($K2719="","",WEEKNUM(INDEX(Zeiterfassung!$K$6:$K$3665,$K2719),21))</f>
        <v/>
      </c>
      <c r="B2719" s="184">
        <f>IF($K2719="","",INDEX(Zeiterfassung!$K$6:$K$3665,$K2719))</f>
        <v/>
      </c>
      <c r="C2719" s="185">
        <f>IF($K2719="","",INDEX(Zeiterfassung!$K$6:$K$3665,$K2719))</f>
        <v/>
      </c>
      <c r="D2719" s="186">
        <f>IF($K2719="","",INDEX(Zeiterfassung!$D$6:$D$3665,$K2719))</f>
        <v/>
      </c>
      <c r="E2719" s="186">
        <f>IF($K2719="","",INDEX(Zeiterfassung!$E$6:$E$3665,$K2719))</f>
        <v/>
      </c>
      <c r="F2719" s="187">
        <f>IF($K2719="","",INDEX(Zeiterfassung!$F$6:$F$3665,$K2719))</f>
        <v/>
      </c>
      <c r="G2719" s="187">
        <f>IF($K2719="","",INDEX(Zeiterfassung!$G$6:$G$3665,$K2719))</f>
        <v/>
      </c>
      <c r="H2719" s="188">
        <f>IF($K2719="","",INDEX(Zeiterfassung!$H$6:$H$3665,$K2719))</f>
        <v/>
      </c>
      <c r="I2719" s="335">
        <f>IF(B2719=B2718,"",IF($K2719="","",INDEX(Zeiterfassung!$I$6:$I$3665,MATCH(INDEX(Zeiterfassung!$K$6:$K$3665,$K2719),Zeiterfassung!$K$6:$K$3665,0))))</f>
        <v/>
      </c>
      <c r="J2719" s="335">
        <f>IF(B2719=B2718,"",IF($K2719="","",INDEX(Zeiterfassung!$J$6:$J$3665,MATCH(INDEX(Zeiterfassung!$K$6:$K$3665,$K2719),Zeiterfassung!$K$6:$K$3665,0))))</f>
        <v/>
      </c>
      <c r="K2719">
        <f>IFERROR(AGGREGATE(15,6,(ROW(Zeiterfassung!$D$6:$D$3665)-ROW(Zeiterfassung!$D$6)+1)/(Zeiterfassung!$D$6:$D$3665&lt;&gt;""),2714),"")</f>
        <v/>
      </c>
    </row>
    <row r="2720" ht="20" customHeight="1">
      <c r="A2720" s="183">
        <f>IF($K2720="","",WEEKNUM(INDEX(Zeiterfassung!$K$6:$K$3665,$K2720),21))</f>
        <v/>
      </c>
      <c r="B2720" s="184">
        <f>IF($K2720="","",INDEX(Zeiterfassung!$K$6:$K$3665,$K2720))</f>
        <v/>
      </c>
      <c r="C2720" s="185">
        <f>IF($K2720="","",INDEX(Zeiterfassung!$K$6:$K$3665,$K2720))</f>
        <v/>
      </c>
      <c r="D2720" s="186">
        <f>IF($K2720="","",INDEX(Zeiterfassung!$D$6:$D$3665,$K2720))</f>
        <v/>
      </c>
      <c r="E2720" s="186">
        <f>IF($K2720="","",INDEX(Zeiterfassung!$E$6:$E$3665,$K2720))</f>
        <v/>
      </c>
      <c r="F2720" s="187">
        <f>IF($K2720="","",INDEX(Zeiterfassung!$F$6:$F$3665,$K2720))</f>
        <v/>
      </c>
      <c r="G2720" s="187">
        <f>IF($K2720="","",INDEX(Zeiterfassung!$G$6:$G$3665,$K2720))</f>
        <v/>
      </c>
      <c r="H2720" s="188">
        <f>IF($K2720="","",INDEX(Zeiterfassung!$H$6:$H$3665,$K2720))</f>
        <v/>
      </c>
      <c r="I2720" s="335">
        <f>IF(B2720=B2719,"",IF($K2720="","",INDEX(Zeiterfassung!$I$6:$I$3665,MATCH(INDEX(Zeiterfassung!$K$6:$K$3665,$K2720),Zeiterfassung!$K$6:$K$3665,0))))</f>
        <v/>
      </c>
      <c r="J2720" s="335">
        <f>IF(B2720=B2719,"",IF($K2720="","",INDEX(Zeiterfassung!$J$6:$J$3665,MATCH(INDEX(Zeiterfassung!$K$6:$K$3665,$K2720),Zeiterfassung!$K$6:$K$3665,0))))</f>
        <v/>
      </c>
      <c r="K2720">
        <f>IFERROR(AGGREGATE(15,6,(ROW(Zeiterfassung!$D$6:$D$3665)-ROW(Zeiterfassung!$D$6)+1)/(Zeiterfassung!$D$6:$D$3665&lt;&gt;""),2715),"")</f>
        <v/>
      </c>
    </row>
    <row r="2721" ht="20" customHeight="1">
      <c r="A2721" s="183">
        <f>IF($K2721="","",WEEKNUM(INDEX(Zeiterfassung!$K$6:$K$3665,$K2721),21))</f>
        <v/>
      </c>
      <c r="B2721" s="184">
        <f>IF($K2721="","",INDEX(Zeiterfassung!$K$6:$K$3665,$K2721))</f>
        <v/>
      </c>
      <c r="C2721" s="185">
        <f>IF($K2721="","",INDEX(Zeiterfassung!$K$6:$K$3665,$K2721))</f>
        <v/>
      </c>
      <c r="D2721" s="186">
        <f>IF($K2721="","",INDEX(Zeiterfassung!$D$6:$D$3665,$K2721))</f>
        <v/>
      </c>
      <c r="E2721" s="186">
        <f>IF($K2721="","",INDEX(Zeiterfassung!$E$6:$E$3665,$K2721))</f>
        <v/>
      </c>
      <c r="F2721" s="187">
        <f>IF($K2721="","",INDEX(Zeiterfassung!$F$6:$F$3665,$K2721))</f>
        <v/>
      </c>
      <c r="G2721" s="187">
        <f>IF($K2721="","",INDEX(Zeiterfassung!$G$6:$G$3665,$K2721))</f>
        <v/>
      </c>
      <c r="H2721" s="188">
        <f>IF($K2721="","",INDEX(Zeiterfassung!$H$6:$H$3665,$K2721))</f>
        <v/>
      </c>
      <c r="I2721" s="335">
        <f>IF(B2721=B2720,"",IF($K2721="","",INDEX(Zeiterfassung!$I$6:$I$3665,MATCH(INDEX(Zeiterfassung!$K$6:$K$3665,$K2721),Zeiterfassung!$K$6:$K$3665,0))))</f>
        <v/>
      </c>
      <c r="J2721" s="335">
        <f>IF(B2721=B2720,"",IF($K2721="","",INDEX(Zeiterfassung!$J$6:$J$3665,MATCH(INDEX(Zeiterfassung!$K$6:$K$3665,$K2721),Zeiterfassung!$K$6:$K$3665,0))))</f>
        <v/>
      </c>
      <c r="K2721">
        <f>IFERROR(AGGREGATE(15,6,(ROW(Zeiterfassung!$D$6:$D$3665)-ROW(Zeiterfassung!$D$6)+1)/(Zeiterfassung!$D$6:$D$3665&lt;&gt;""),2716),"")</f>
        <v/>
      </c>
    </row>
    <row r="2722" ht="20" customHeight="1">
      <c r="A2722" s="183">
        <f>IF($K2722="","",WEEKNUM(INDEX(Zeiterfassung!$K$6:$K$3665,$K2722),21))</f>
        <v/>
      </c>
      <c r="B2722" s="184">
        <f>IF($K2722="","",INDEX(Zeiterfassung!$K$6:$K$3665,$K2722))</f>
        <v/>
      </c>
      <c r="C2722" s="185">
        <f>IF($K2722="","",INDEX(Zeiterfassung!$K$6:$K$3665,$K2722))</f>
        <v/>
      </c>
      <c r="D2722" s="186">
        <f>IF($K2722="","",INDEX(Zeiterfassung!$D$6:$D$3665,$K2722))</f>
        <v/>
      </c>
      <c r="E2722" s="186">
        <f>IF($K2722="","",INDEX(Zeiterfassung!$E$6:$E$3665,$K2722))</f>
        <v/>
      </c>
      <c r="F2722" s="187">
        <f>IF($K2722="","",INDEX(Zeiterfassung!$F$6:$F$3665,$K2722))</f>
        <v/>
      </c>
      <c r="G2722" s="187">
        <f>IF($K2722="","",INDEX(Zeiterfassung!$G$6:$G$3665,$K2722))</f>
        <v/>
      </c>
      <c r="H2722" s="188">
        <f>IF($K2722="","",INDEX(Zeiterfassung!$H$6:$H$3665,$K2722))</f>
        <v/>
      </c>
      <c r="I2722" s="335">
        <f>IF(B2722=B2721,"",IF($K2722="","",INDEX(Zeiterfassung!$I$6:$I$3665,MATCH(INDEX(Zeiterfassung!$K$6:$K$3665,$K2722),Zeiterfassung!$K$6:$K$3665,0))))</f>
        <v/>
      </c>
      <c r="J2722" s="335">
        <f>IF(B2722=B2721,"",IF($K2722="","",INDEX(Zeiterfassung!$J$6:$J$3665,MATCH(INDEX(Zeiterfassung!$K$6:$K$3665,$K2722),Zeiterfassung!$K$6:$K$3665,0))))</f>
        <v/>
      </c>
      <c r="K2722">
        <f>IFERROR(AGGREGATE(15,6,(ROW(Zeiterfassung!$D$6:$D$3665)-ROW(Zeiterfassung!$D$6)+1)/(Zeiterfassung!$D$6:$D$3665&lt;&gt;""),2717),"")</f>
        <v/>
      </c>
    </row>
    <row r="2723" ht="20" customHeight="1">
      <c r="A2723" s="183">
        <f>IF($K2723="","",WEEKNUM(INDEX(Zeiterfassung!$K$6:$K$3665,$K2723),21))</f>
        <v/>
      </c>
      <c r="B2723" s="184">
        <f>IF($K2723="","",INDEX(Zeiterfassung!$K$6:$K$3665,$K2723))</f>
        <v/>
      </c>
      <c r="C2723" s="185">
        <f>IF($K2723="","",INDEX(Zeiterfassung!$K$6:$K$3665,$K2723))</f>
        <v/>
      </c>
      <c r="D2723" s="186">
        <f>IF($K2723="","",INDEX(Zeiterfassung!$D$6:$D$3665,$K2723))</f>
        <v/>
      </c>
      <c r="E2723" s="186">
        <f>IF($K2723="","",INDEX(Zeiterfassung!$E$6:$E$3665,$K2723))</f>
        <v/>
      </c>
      <c r="F2723" s="187">
        <f>IF($K2723="","",INDEX(Zeiterfassung!$F$6:$F$3665,$K2723))</f>
        <v/>
      </c>
      <c r="G2723" s="187">
        <f>IF($K2723="","",INDEX(Zeiterfassung!$G$6:$G$3665,$K2723))</f>
        <v/>
      </c>
      <c r="H2723" s="188">
        <f>IF($K2723="","",INDEX(Zeiterfassung!$H$6:$H$3665,$K2723))</f>
        <v/>
      </c>
      <c r="I2723" s="335">
        <f>IF(B2723=B2722,"",IF($K2723="","",INDEX(Zeiterfassung!$I$6:$I$3665,MATCH(INDEX(Zeiterfassung!$K$6:$K$3665,$K2723),Zeiterfassung!$K$6:$K$3665,0))))</f>
        <v/>
      </c>
      <c r="J2723" s="335">
        <f>IF(B2723=B2722,"",IF($K2723="","",INDEX(Zeiterfassung!$J$6:$J$3665,MATCH(INDEX(Zeiterfassung!$K$6:$K$3665,$K2723),Zeiterfassung!$K$6:$K$3665,0))))</f>
        <v/>
      </c>
      <c r="K2723">
        <f>IFERROR(AGGREGATE(15,6,(ROW(Zeiterfassung!$D$6:$D$3665)-ROW(Zeiterfassung!$D$6)+1)/(Zeiterfassung!$D$6:$D$3665&lt;&gt;""),2718),"")</f>
        <v/>
      </c>
    </row>
    <row r="2724" ht="20" customHeight="1">
      <c r="A2724" s="183">
        <f>IF($K2724="","",WEEKNUM(INDEX(Zeiterfassung!$K$6:$K$3665,$K2724),21))</f>
        <v/>
      </c>
      <c r="B2724" s="184">
        <f>IF($K2724="","",INDEX(Zeiterfassung!$K$6:$K$3665,$K2724))</f>
        <v/>
      </c>
      <c r="C2724" s="185">
        <f>IF($K2724="","",INDEX(Zeiterfassung!$K$6:$K$3665,$K2724))</f>
        <v/>
      </c>
      <c r="D2724" s="186">
        <f>IF($K2724="","",INDEX(Zeiterfassung!$D$6:$D$3665,$K2724))</f>
        <v/>
      </c>
      <c r="E2724" s="186">
        <f>IF($K2724="","",INDEX(Zeiterfassung!$E$6:$E$3665,$K2724))</f>
        <v/>
      </c>
      <c r="F2724" s="187">
        <f>IF($K2724="","",INDEX(Zeiterfassung!$F$6:$F$3665,$K2724))</f>
        <v/>
      </c>
      <c r="G2724" s="187">
        <f>IF($K2724="","",INDEX(Zeiterfassung!$G$6:$G$3665,$K2724))</f>
        <v/>
      </c>
      <c r="H2724" s="188">
        <f>IF($K2724="","",INDEX(Zeiterfassung!$H$6:$H$3665,$K2724))</f>
        <v/>
      </c>
      <c r="I2724" s="335">
        <f>IF(B2724=B2723,"",IF($K2724="","",INDEX(Zeiterfassung!$I$6:$I$3665,MATCH(INDEX(Zeiterfassung!$K$6:$K$3665,$K2724),Zeiterfassung!$K$6:$K$3665,0))))</f>
        <v/>
      </c>
      <c r="J2724" s="335">
        <f>IF(B2724=B2723,"",IF($K2724="","",INDEX(Zeiterfassung!$J$6:$J$3665,MATCH(INDEX(Zeiterfassung!$K$6:$K$3665,$K2724),Zeiterfassung!$K$6:$K$3665,0))))</f>
        <v/>
      </c>
      <c r="K2724">
        <f>IFERROR(AGGREGATE(15,6,(ROW(Zeiterfassung!$D$6:$D$3665)-ROW(Zeiterfassung!$D$6)+1)/(Zeiterfassung!$D$6:$D$3665&lt;&gt;""),2719),"")</f>
        <v/>
      </c>
    </row>
    <row r="2725" ht="20" customHeight="1">
      <c r="A2725" s="183">
        <f>IF($K2725="","",WEEKNUM(INDEX(Zeiterfassung!$K$6:$K$3665,$K2725),21))</f>
        <v/>
      </c>
      <c r="B2725" s="184">
        <f>IF($K2725="","",INDEX(Zeiterfassung!$K$6:$K$3665,$K2725))</f>
        <v/>
      </c>
      <c r="C2725" s="185">
        <f>IF($K2725="","",INDEX(Zeiterfassung!$K$6:$K$3665,$K2725))</f>
        <v/>
      </c>
      <c r="D2725" s="186">
        <f>IF($K2725="","",INDEX(Zeiterfassung!$D$6:$D$3665,$K2725))</f>
        <v/>
      </c>
      <c r="E2725" s="186">
        <f>IF($K2725="","",INDEX(Zeiterfassung!$E$6:$E$3665,$K2725))</f>
        <v/>
      </c>
      <c r="F2725" s="187">
        <f>IF($K2725="","",INDEX(Zeiterfassung!$F$6:$F$3665,$K2725))</f>
        <v/>
      </c>
      <c r="G2725" s="187">
        <f>IF($K2725="","",INDEX(Zeiterfassung!$G$6:$G$3665,$K2725))</f>
        <v/>
      </c>
      <c r="H2725" s="188">
        <f>IF($K2725="","",INDEX(Zeiterfassung!$H$6:$H$3665,$K2725))</f>
        <v/>
      </c>
      <c r="I2725" s="335">
        <f>IF(B2725=B2724,"",IF($K2725="","",INDEX(Zeiterfassung!$I$6:$I$3665,MATCH(INDEX(Zeiterfassung!$K$6:$K$3665,$K2725),Zeiterfassung!$K$6:$K$3665,0))))</f>
        <v/>
      </c>
      <c r="J2725" s="335">
        <f>IF(B2725=B2724,"",IF($K2725="","",INDEX(Zeiterfassung!$J$6:$J$3665,MATCH(INDEX(Zeiterfassung!$K$6:$K$3665,$K2725),Zeiterfassung!$K$6:$K$3665,0))))</f>
        <v/>
      </c>
      <c r="K2725">
        <f>IFERROR(AGGREGATE(15,6,(ROW(Zeiterfassung!$D$6:$D$3665)-ROW(Zeiterfassung!$D$6)+1)/(Zeiterfassung!$D$6:$D$3665&lt;&gt;""),2720),"")</f>
        <v/>
      </c>
    </row>
    <row r="2726" ht="20" customHeight="1">
      <c r="A2726" s="183">
        <f>IF($K2726="","",WEEKNUM(INDEX(Zeiterfassung!$K$6:$K$3665,$K2726),21))</f>
        <v/>
      </c>
      <c r="B2726" s="184">
        <f>IF($K2726="","",INDEX(Zeiterfassung!$K$6:$K$3665,$K2726))</f>
        <v/>
      </c>
      <c r="C2726" s="185">
        <f>IF($K2726="","",INDEX(Zeiterfassung!$K$6:$K$3665,$K2726))</f>
        <v/>
      </c>
      <c r="D2726" s="186">
        <f>IF($K2726="","",INDEX(Zeiterfassung!$D$6:$D$3665,$K2726))</f>
        <v/>
      </c>
      <c r="E2726" s="186">
        <f>IF($K2726="","",INDEX(Zeiterfassung!$E$6:$E$3665,$K2726))</f>
        <v/>
      </c>
      <c r="F2726" s="187">
        <f>IF($K2726="","",INDEX(Zeiterfassung!$F$6:$F$3665,$K2726))</f>
        <v/>
      </c>
      <c r="G2726" s="187">
        <f>IF($K2726="","",INDEX(Zeiterfassung!$G$6:$G$3665,$K2726))</f>
        <v/>
      </c>
      <c r="H2726" s="188">
        <f>IF($K2726="","",INDEX(Zeiterfassung!$H$6:$H$3665,$K2726))</f>
        <v/>
      </c>
      <c r="I2726" s="335">
        <f>IF(B2726=B2725,"",IF($K2726="","",INDEX(Zeiterfassung!$I$6:$I$3665,MATCH(INDEX(Zeiterfassung!$K$6:$K$3665,$K2726),Zeiterfassung!$K$6:$K$3665,0))))</f>
        <v/>
      </c>
      <c r="J2726" s="335">
        <f>IF(B2726=B2725,"",IF($K2726="","",INDEX(Zeiterfassung!$J$6:$J$3665,MATCH(INDEX(Zeiterfassung!$K$6:$K$3665,$K2726),Zeiterfassung!$K$6:$K$3665,0))))</f>
        <v/>
      </c>
      <c r="K2726">
        <f>IFERROR(AGGREGATE(15,6,(ROW(Zeiterfassung!$D$6:$D$3665)-ROW(Zeiterfassung!$D$6)+1)/(Zeiterfassung!$D$6:$D$3665&lt;&gt;""),2721),"")</f>
        <v/>
      </c>
    </row>
    <row r="2727" ht="20" customHeight="1">
      <c r="A2727" s="183">
        <f>IF($K2727="","",WEEKNUM(INDEX(Zeiterfassung!$K$6:$K$3665,$K2727),21))</f>
        <v/>
      </c>
      <c r="B2727" s="184">
        <f>IF($K2727="","",INDEX(Zeiterfassung!$K$6:$K$3665,$K2727))</f>
        <v/>
      </c>
      <c r="C2727" s="185">
        <f>IF($K2727="","",INDEX(Zeiterfassung!$K$6:$K$3665,$K2727))</f>
        <v/>
      </c>
      <c r="D2727" s="186">
        <f>IF($K2727="","",INDEX(Zeiterfassung!$D$6:$D$3665,$K2727))</f>
        <v/>
      </c>
      <c r="E2727" s="186">
        <f>IF($K2727="","",INDEX(Zeiterfassung!$E$6:$E$3665,$K2727))</f>
        <v/>
      </c>
      <c r="F2727" s="187">
        <f>IF($K2727="","",INDEX(Zeiterfassung!$F$6:$F$3665,$K2727))</f>
        <v/>
      </c>
      <c r="G2727" s="187">
        <f>IF($K2727="","",INDEX(Zeiterfassung!$G$6:$G$3665,$K2727))</f>
        <v/>
      </c>
      <c r="H2727" s="188">
        <f>IF($K2727="","",INDEX(Zeiterfassung!$H$6:$H$3665,$K2727))</f>
        <v/>
      </c>
      <c r="I2727" s="335">
        <f>IF(B2727=B2726,"",IF($K2727="","",INDEX(Zeiterfassung!$I$6:$I$3665,MATCH(INDEX(Zeiterfassung!$K$6:$K$3665,$K2727),Zeiterfassung!$K$6:$K$3665,0))))</f>
        <v/>
      </c>
      <c r="J2727" s="335">
        <f>IF(B2727=B2726,"",IF($K2727="","",INDEX(Zeiterfassung!$J$6:$J$3665,MATCH(INDEX(Zeiterfassung!$K$6:$K$3665,$K2727),Zeiterfassung!$K$6:$K$3665,0))))</f>
        <v/>
      </c>
      <c r="K2727">
        <f>IFERROR(AGGREGATE(15,6,(ROW(Zeiterfassung!$D$6:$D$3665)-ROW(Zeiterfassung!$D$6)+1)/(Zeiterfassung!$D$6:$D$3665&lt;&gt;""),2722),"")</f>
        <v/>
      </c>
    </row>
    <row r="2728" ht="20" customHeight="1">
      <c r="A2728" s="183">
        <f>IF($K2728="","",WEEKNUM(INDEX(Zeiterfassung!$K$6:$K$3665,$K2728),21))</f>
        <v/>
      </c>
      <c r="B2728" s="184">
        <f>IF($K2728="","",INDEX(Zeiterfassung!$K$6:$K$3665,$K2728))</f>
        <v/>
      </c>
      <c r="C2728" s="185">
        <f>IF($K2728="","",INDEX(Zeiterfassung!$K$6:$K$3665,$K2728))</f>
        <v/>
      </c>
      <c r="D2728" s="186">
        <f>IF($K2728="","",INDEX(Zeiterfassung!$D$6:$D$3665,$K2728))</f>
        <v/>
      </c>
      <c r="E2728" s="186">
        <f>IF($K2728="","",INDEX(Zeiterfassung!$E$6:$E$3665,$K2728))</f>
        <v/>
      </c>
      <c r="F2728" s="187">
        <f>IF($K2728="","",INDEX(Zeiterfassung!$F$6:$F$3665,$K2728))</f>
        <v/>
      </c>
      <c r="G2728" s="187">
        <f>IF($K2728="","",INDEX(Zeiterfassung!$G$6:$G$3665,$K2728))</f>
        <v/>
      </c>
      <c r="H2728" s="188">
        <f>IF($K2728="","",INDEX(Zeiterfassung!$H$6:$H$3665,$K2728))</f>
        <v/>
      </c>
      <c r="I2728" s="335">
        <f>IF(B2728=B2727,"",IF($K2728="","",INDEX(Zeiterfassung!$I$6:$I$3665,MATCH(INDEX(Zeiterfassung!$K$6:$K$3665,$K2728),Zeiterfassung!$K$6:$K$3665,0))))</f>
        <v/>
      </c>
      <c r="J2728" s="335">
        <f>IF(B2728=B2727,"",IF($K2728="","",INDEX(Zeiterfassung!$J$6:$J$3665,MATCH(INDEX(Zeiterfassung!$K$6:$K$3665,$K2728),Zeiterfassung!$K$6:$K$3665,0))))</f>
        <v/>
      </c>
      <c r="K2728">
        <f>IFERROR(AGGREGATE(15,6,(ROW(Zeiterfassung!$D$6:$D$3665)-ROW(Zeiterfassung!$D$6)+1)/(Zeiterfassung!$D$6:$D$3665&lt;&gt;""),2723),"")</f>
        <v/>
      </c>
    </row>
    <row r="2729" ht="20" customHeight="1">
      <c r="A2729" s="183">
        <f>IF($K2729="","",WEEKNUM(INDEX(Zeiterfassung!$K$6:$K$3665,$K2729),21))</f>
        <v/>
      </c>
      <c r="B2729" s="184">
        <f>IF($K2729="","",INDEX(Zeiterfassung!$K$6:$K$3665,$K2729))</f>
        <v/>
      </c>
      <c r="C2729" s="185">
        <f>IF($K2729="","",INDEX(Zeiterfassung!$K$6:$K$3665,$K2729))</f>
        <v/>
      </c>
      <c r="D2729" s="186">
        <f>IF($K2729="","",INDEX(Zeiterfassung!$D$6:$D$3665,$K2729))</f>
        <v/>
      </c>
      <c r="E2729" s="186">
        <f>IF($K2729="","",INDEX(Zeiterfassung!$E$6:$E$3665,$K2729))</f>
        <v/>
      </c>
      <c r="F2729" s="187">
        <f>IF($K2729="","",INDEX(Zeiterfassung!$F$6:$F$3665,$K2729))</f>
        <v/>
      </c>
      <c r="G2729" s="187">
        <f>IF($K2729="","",INDEX(Zeiterfassung!$G$6:$G$3665,$K2729))</f>
        <v/>
      </c>
      <c r="H2729" s="188">
        <f>IF($K2729="","",INDEX(Zeiterfassung!$H$6:$H$3665,$K2729))</f>
        <v/>
      </c>
      <c r="I2729" s="335">
        <f>IF(B2729=B2728,"",IF($K2729="","",INDEX(Zeiterfassung!$I$6:$I$3665,MATCH(INDEX(Zeiterfassung!$K$6:$K$3665,$K2729),Zeiterfassung!$K$6:$K$3665,0))))</f>
        <v/>
      </c>
      <c r="J2729" s="335">
        <f>IF(B2729=B2728,"",IF($K2729="","",INDEX(Zeiterfassung!$J$6:$J$3665,MATCH(INDEX(Zeiterfassung!$K$6:$K$3665,$K2729),Zeiterfassung!$K$6:$K$3665,0))))</f>
        <v/>
      </c>
      <c r="K2729">
        <f>IFERROR(AGGREGATE(15,6,(ROW(Zeiterfassung!$D$6:$D$3665)-ROW(Zeiterfassung!$D$6)+1)/(Zeiterfassung!$D$6:$D$3665&lt;&gt;""),2724),"")</f>
        <v/>
      </c>
    </row>
    <row r="2730" ht="20" customHeight="1">
      <c r="A2730" s="183">
        <f>IF($K2730="","",WEEKNUM(INDEX(Zeiterfassung!$K$6:$K$3665,$K2730),21))</f>
        <v/>
      </c>
      <c r="B2730" s="184">
        <f>IF($K2730="","",INDEX(Zeiterfassung!$K$6:$K$3665,$K2730))</f>
        <v/>
      </c>
      <c r="C2730" s="185">
        <f>IF($K2730="","",INDEX(Zeiterfassung!$K$6:$K$3665,$K2730))</f>
        <v/>
      </c>
      <c r="D2730" s="186">
        <f>IF($K2730="","",INDEX(Zeiterfassung!$D$6:$D$3665,$K2730))</f>
        <v/>
      </c>
      <c r="E2730" s="186">
        <f>IF($K2730="","",INDEX(Zeiterfassung!$E$6:$E$3665,$K2730))</f>
        <v/>
      </c>
      <c r="F2730" s="187">
        <f>IF($K2730="","",INDEX(Zeiterfassung!$F$6:$F$3665,$K2730))</f>
        <v/>
      </c>
      <c r="G2730" s="187">
        <f>IF($K2730="","",INDEX(Zeiterfassung!$G$6:$G$3665,$K2730))</f>
        <v/>
      </c>
      <c r="H2730" s="188">
        <f>IF($K2730="","",INDEX(Zeiterfassung!$H$6:$H$3665,$K2730))</f>
        <v/>
      </c>
      <c r="I2730" s="335">
        <f>IF(B2730=B2729,"",IF($K2730="","",INDEX(Zeiterfassung!$I$6:$I$3665,MATCH(INDEX(Zeiterfassung!$K$6:$K$3665,$K2730),Zeiterfassung!$K$6:$K$3665,0))))</f>
        <v/>
      </c>
      <c r="J2730" s="335">
        <f>IF(B2730=B2729,"",IF($K2730="","",INDEX(Zeiterfassung!$J$6:$J$3665,MATCH(INDEX(Zeiterfassung!$K$6:$K$3665,$K2730),Zeiterfassung!$K$6:$K$3665,0))))</f>
        <v/>
      </c>
      <c r="K2730">
        <f>IFERROR(AGGREGATE(15,6,(ROW(Zeiterfassung!$D$6:$D$3665)-ROW(Zeiterfassung!$D$6)+1)/(Zeiterfassung!$D$6:$D$3665&lt;&gt;""),2725),"")</f>
        <v/>
      </c>
    </row>
    <row r="2731" ht="20" customHeight="1">
      <c r="A2731" s="183">
        <f>IF($K2731="","",WEEKNUM(INDEX(Zeiterfassung!$K$6:$K$3665,$K2731),21))</f>
        <v/>
      </c>
      <c r="B2731" s="184">
        <f>IF($K2731="","",INDEX(Zeiterfassung!$K$6:$K$3665,$K2731))</f>
        <v/>
      </c>
      <c r="C2731" s="185">
        <f>IF($K2731="","",INDEX(Zeiterfassung!$K$6:$K$3665,$K2731))</f>
        <v/>
      </c>
      <c r="D2731" s="186">
        <f>IF($K2731="","",INDEX(Zeiterfassung!$D$6:$D$3665,$K2731))</f>
        <v/>
      </c>
      <c r="E2731" s="186">
        <f>IF($K2731="","",INDEX(Zeiterfassung!$E$6:$E$3665,$K2731))</f>
        <v/>
      </c>
      <c r="F2731" s="187">
        <f>IF($K2731="","",INDEX(Zeiterfassung!$F$6:$F$3665,$K2731))</f>
        <v/>
      </c>
      <c r="G2731" s="187">
        <f>IF($K2731="","",INDEX(Zeiterfassung!$G$6:$G$3665,$K2731))</f>
        <v/>
      </c>
      <c r="H2731" s="188">
        <f>IF($K2731="","",INDEX(Zeiterfassung!$H$6:$H$3665,$K2731))</f>
        <v/>
      </c>
      <c r="I2731" s="335">
        <f>IF(B2731=B2730,"",IF($K2731="","",INDEX(Zeiterfassung!$I$6:$I$3665,MATCH(INDEX(Zeiterfassung!$K$6:$K$3665,$K2731),Zeiterfassung!$K$6:$K$3665,0))))</f>
        <v/>
      </c>
      <c r="J2731" s="335">
        <f>IF(B2731=B2730,"",IF($K2731="","",INDEX(Zeiterfassung!$J$6:$J$3665,MATCH(INDEX(Zeiterfassung!$K$6:$K$3665,$K2731),Zeiterfassung!$K$6:$K$3665,0))))</f>
        <v/>
      </c>
      <c r="K2731">
        <f>IFERROR(AGGREGATE(15,6,(ROW(Zeiterfassung!$D$6:$D$3665)-ROW(Zeiterfassung!$D$6)+1)/(Zeiterfassung!$D$6:$D$3665&lt;&gt;""),2726),"")</f>
        <v/>
      </c>
    </row>
    <row r="2732" ht="20" customHeight="1">
      <c r="A2732" s="183">
        <f>IF($K2732="","",WEEKNUM(INDEX(Zeiterfassung!$K$6:$K$3665,$K2732),21))</f>
        <v/>
      </c>
      <c r="B2732" s="184">
        <f>IF($K2732="","",INDEX(Zeiterfassung!$K$6:$K$3665,$K2732))</f>
        <v/>
      </c>
      <c r="C2732" s="185">
        <f>IF($K2732="","",INDEX(Zeiterfassung!$K$6:$K$3665,$K2732))</f>
        <v/>
      </c>
      <c r="D2732" s="186">
        <f>IF($K2732="","",INDEX(Zeiterfassung!$D$6:$D$3665,$K2732))</f>
        <v/>
      </c>
      <c r="E2732" s="186">
        <f>IF($K2732="","",INDEX(Zeiterfassung!$E$6:$E$3665,$K2732))</f>
        <v/>
      </c>
      <c r="F2732" s="187">
        <f>IF($K2732="","",INDEX(Zeiterfassung!$F$6:$F$3665,$K2732))</f>
        <v/>
      </c>
      <c r="G2732" s="187">
        <f>IF($K2732="","",INDEX(Zeiterfassung!$G$6:$G$3665,$K2732))</f>
        <v/>
      </c>
      <c r="H2732" s="188">
        <f>IF($K2732="","",INDEX(Zeiterfassung!$H$6:$H$3665,$K2732))</f>
        <v/>
      </c>
      <c r="I2732" s="335">
        <f>IF(B2732=B2731,"",IF($K2732="","",INDEX(Zeiterfassung!$I$6:$I$3665,MATCH(INDEX(Zeiterfassung!$K$6:$K$3665,$K2732),Zeiterfassung!$K$6:$K$3665,0))))</f>
        <v/>
      </c>
      <c r="J2732" s="335">
        <f>IF(B2732=B2731,"",IF($K2732="","",INDEX(Zeiterfassung!$J$6:$J$3665,MATCH(INDEX(Zeiterfassung!$K$6:$K$3665,$K2732),Zeiterfassung!$K$6:$K$3665,0))))</f>
        <v/>
      </c>
      <c r="K2732">
        <f>IFERROR(AGGREGATE(15,6,(ROW(Zeiterfassung!$D$6:$D$3665)-ROW(Zeiterfassung!$D$6)+1)/(Zeiterfassung!$D$6:$D$3665&lt;&gt;""),2727),"")</f>
        <v/>
      </c>
    </row>
    <row r="2733" ht="20" customHeight="1">
      <c r="A2733" s="183">
        <f>IF($K2733="","",WEEKNUM(INDEX(Zeiterfassung!$K$6:$K$3665,$K2733),21))</f>
        <v/>
      </c>
      <c r="B2733" s="184">
        <f>IF($K2733="","",INDEX(Zeiterfassung!$K$6:$K$3665,$K2733))</f>
        <v/>
      </c>
      <c r="C2733" s="185">
        <f>IF($K2733="","",INDEX(Zeiterfassung!$K$6:$K$3665,$K2733))</f>
        <v/>
      </c>
      <c r="D2733" s="186">
        <f>IF($K2733="","",INDEX(Zeiterfassung!$D$6:$D$3665,$K2733))</f>
        <v/>
      </c>
      <c r="E2733" s="186">
        <f>IF($K2733="","",INDEX(Zeiterfassung!$E$6:$E$3665,$K2733))</f>
        <v/>
      </c>
      <c r="F2733" s="187">
        <f>IF($K2733="","",INDEX(Zeiterfassung!$F$6:$F$3665,$K2733))</f>
        <v/>
      </c>
      <c r="G2733" s="187">
        <f>IF($K2733="","",INDEX(Zeiterfassung!$G$6:$G$3665,$K2733))</f>
        <v/>
      </c>
      <c r="H2733" s="188">
        <f>IF($K2733="","",INDEX(Zeiterfassung!$H$6:$H$3665,$K2733))</f>
        <v/>
      </c>
      <c r="I2733" s="335">
        <f>IF(B2733=B2732,"",IF($K2733="","",INDEX(Zeiterfassung!$I$6:$I$3665,MATCH(INDEX(Zeiterfassung!$K$6:$K$3665,$K2733),Zeiterfassung!$K$6:$K$3665,0))))</f>
        <v/>
      </c>
      <c r="J2733" s="335">
        <f>IF(B2733=B2732,"",IF($K2733="","",INDEX(Zeiterfassung!$J$6:$J$3665,MATCH(INDEX(Zeiterfassung!$K$6:$K$3665,$K2733),Zeiterfassung!$K$6:$K$3665,0))))</f>
        <v/>
      </c>
      <c r="K2733">
        <f>IFERROR(AGGREGATE(15,6,(ROW(Zeiterfassung!$D$6:$D$3665)-ROW(Zeiterfassung!$D$6)+1)/(Zeiterfassung!$D$6:$D$3665&lt;&gt;""),2728),"")</f>
        <v/>
      </c>
    </row>
    <row r="2734" ht="20" customHeight="1">
      <c r="A2734" s="183">
        <f>IF($K2734="","",WEEKNUM(INDEX(Zeiterfassung!$K$6:$K$3665,$K2734),21))</f>
        <v/>
      </c>
      <c r="B2734" s="184">
        <f>IF($K2734="","",INDEX(Zeiterfassung!$K$6:$K$3665,$K2734))</f>
        <v/>
      </c>
      <c r="C2734" s="185">
        <f>IF($K2734="","",INDEX(Zeiterfassung!$K$6:$K$3665,$K2734))</f>
        <v/>
      </c>
      <c r="D2734" s="186">
        <f>IF($K2734="","",INDEX(Zeiterfassung!$D$6:$D$3665,$K2734))</f>
        <v/>
      </c>
      <c r="E2734" s="186">
        <f>IF($K2734="","",INDEX(Zeiterfassung!$E$6:$E$3665,$K2734))</f>
        <v/>
      </c>
      <c r="F2734" s="187">
        <f>IF($K2734="","",INDEX(Zeiterfassung!$F$6:$F$3665,$K2734))</f>
        <v/>
      </c>
      <c r="G2734" s="187">
        <f>IF($K2734="","",INDEX(Zeiterfassung!$G$6:$G$3665,$K2734))</f>
        <v/>
      </c>
      <c r="H2734" s="188">
        <f>IF($K2734="","",INDEX(Zeiterfassung!$H$6:$H$3665,$K2734))</f>
        <v/>
      </c>
      <c r="I2734" s="335">
        <f>IF(B2734=B2733,"",IF($K2734="","",INDEX(Zeiterfassung!$I$6:$I$3665,MATCH(INDEX(Zeiterfassung!$K$6:$K$3665,$K2734),Zeiterfassung!$K$6:$K$3665,0))))</f>
        <v/>
      </c>
      <c r="J2734" s="335">
        <f>IF(B2734=B2733,"",IF($K2734="","",INDEX(Zeiterfassung!$J$6:$J$3665,MATCH(INDEX(Zeiterfassung!$K$6:$K$3665,$K2734),Zeiterfassung!$K$6:$K$3665,0))))</f>
        <v/>
      </c>
      <c r="K2734">
        <f>IFERROR(AGGREGATE(15,6,(ROW(Zeiterfassung!$D$6:$D$3665)-ROW(Zeiterfassung!$D$6)+1)/(Zeiterfassung!$D$6:$D$3665&lt;&gt;""),2729),"")</f>
        <v/>
      </c>
    </row>
    <row r="2735" ht="20" customHeight="1">
      <c r="A2735" s="183">
        <f>IF($K2735="","",WEEKNUM(INDEX(Zeiterfassung!$K$6:$K$3665,$K2735),21))</f>
        <v/>
      </c>
      <c r="B2735" s="184">
        <f>IF($K2735="","",INDEX(Zeiterfassung!$K$6:$K$3665,$K2735))</f>
        <v/>
      </c>
      <c r="C2735" s="185">
        <f>IF($K2735="","",INDEX(Zeiterfassung!$K$6:$K$3665,$K2735))</f>
        <v/>
      </c>
      <c r="D2735" s="186">
        <f>IF($K2735="","",INDEX(Zeiterfassung!$D$6:$D$3665,$K2735))</f>
        <v/>
      </c>
      <c r="E2735" s="186">
        <f>IF($K2735="","",INDEX(Zeiterfassung!$E$6:$E$3665,$K2735))</f>
        <v/>
      </c>
      <c r="F2735" s="187">
        <f>IF($K2735="","",INDEX(Zeiterfassung!$F$6:$F$3665,$K2735))</f>
        <v/>
      </c>
      <c r="G2735" s="187">
        <f>IF($K2735="","",INDEX(Zeiterfassung!$G$6:$G$3665,$K2735))</f>
        <v/>
      </c>
      <c r="H2735" s="188">
        <f>IF($K2735="","",INDEX(Zeiterfassung!$H$6:$H$3665,$K2735))</f>
        <v/>
      </c>
      <c r="I2735" s="335">
        <f>IF(B2735=B2734,"",IF($K2735="","",INDEX(Zeiterfassung!$I$6:$I$3665,MATCH(INDEX(Zeiterfassung!$K$6:$K$3665,$K2735),Zeiterfassung!$K$6:$K$3665,0))))</f>
        <v/>
      </c>
      <c r="J2735" s="335">
        <f>IF(B2735=B2734,"",IF($K2735="","",INDEX(Zeiterfassung!$J$6:$J$3665,MATCH(INDEX(Zeiterfassung!$K$6:$K$3665,$K2735),Zeiterfassung!$K$6:$K$3665,0))))</f>
        <v/>
      </c>
      <c r="K2735">
        <f>IFERROR(AGGREGATE(15,6,(ROW(Zeiterfassung!$D$6:$D$3665)-ROW(Zeiterfassung!$D$6)+1)/(Zeiterfassung!$D$6:$D$3665&lt;&gt;""),2730),"")</f>
        <v/>
      </c>
    </row>
    <row r="2736" ht="20" customHeight="1">
      <c r="A2736" s="183">
        <f>IF($K2736="","",WEEKNUM(INDEX(Zeiterfassung!$K$6:$K$3665,$K2736),21))</f>
        <v/>
      </c>
      <c r="B2736" s="184">
        <f>IF($K2736="","",INDEX(Zeiterfassung!$K$6:$K$3665,$K2736))</f>
        <v/>
      </c>
      <c r="C2736" s="185">
        <f>IF($K2736="","",INDEX(Zeiterfassung!$K$6:$K$3665,$K2736))</f>
        <v/>
      </c>
      <c r="D2736" s="186">
        <f>IF($K2736="","",INDEX(Zeiterfassung!$D$6:$D$3665,$K2736))</f>
        <v/>
      </c>
      <c r="E2736" s="186">
        <f>IF($K2736="","",INDEX(Zeiterfassung!$E$6:$E$3665,$K2736))</f>
        <v/>
      </c>
      <c r="F2736" s="187">
        <f>IF($K2736="","",INDEX(Zeiterfassung!$F$6:$F$3665,$K2736))</f>
        <v/>
      </c>
      <c r="G2736" s="187">
        <f>IF($K2736="","",INDEX(Zeiterfassung!$G$6:$G$3665,$K2736))</f>
        <v/>
      </c>
      <c r="H2736" s="188">
        <f>IF($K2736="","",INDEX(Zeiterfassung!$H$6:$H$3665,$K2736))</f>
        <v/>
      </c>
      <c r="I2736" s="335">
        <f>IF(B2736=B2735,"",IF($K2736="","",INDEX(Zeiterfassung!$I$6:$I$3665,MATCH(INDEX(Zeiterfassung!$K$6:$K$3665,$K2736),Zeiterfassung!$K$6:$K$3665,0))))</f>
        <v/>
      </c>
      <c r="J2736" s="335">
        <f>IF(B2736=B2735,"",IF($K2736="","",INDEX(Zeiterfassung!$J$6:$J$3665,MATCH(INDEX(Zeiterfassung!$K$6:$K$3665,$K2736),Zeiterfassung!$K$6:$K$3665,0))))</f>
        <v/>
      </c>
      <c r="K2736">
        <f>IFERROR(AGGREGATE(15,6,(ROW(Zeiterfassung!$D$6:$D$3665)-ROW(Zeiterfassung!$D$6)+1)/(Zeiterfassung!$D$6:$D$3665&lt;&gt;""),2731),"")</f>
        <v/>
      </c>
    </row>
    <row r="2737" ht="20" customHeight="1">
      <c r="A2737" s="183">
        <f>IF($K2737="","",WEEKNUM(INDEX(Zeiterfassung!$K$6:$K$3665,$K2737),21))</f>
        <v/>
      </c>
      <c r="B2737" s="184">
        <f>IF($K2737="","",INDEX(Zeiterfassung!$K$6:$K$3665,$K2737))</f>
        <v/>
      </c>
      <c r="C2737" s="185">
        <f>IF($K2737="","",INDEX(Zeiterfassung!$K$6:$K$3665,$K2737))</f>
        <v/>
      </c>
      <c r="D2737" s="186">
        <f>IF($K2737="","",INDEX(Zeiterfassung!$D$6:$D$3665,$K2737))</f>
        <v/>
      </c>
      <c r="E2737" s="186">
        <f>IF($K2737="","",INDEX(Zeiterfassung!$E$6:$E$3665,$K2737))</f>
        <v/>
      </c>
      <c r="F2737" s="187">
        <f>IF($K2737="","",INDEX(Zeiterfassung!$F$6:$F$3665,$K2737))</f>
        <v/>
      </c>
      <c r="G2737" s="187">
        <f>IF($K2737="","",INDEX(Zeiterfassung!$G$6:$G$3665,$K2737))</f>
        <v/>
      </c>
      <c r="H2737" s="188">
        <f>IF($K2737="","",INDEX(Zeiterfassung!$H$6:$H$3665,$K2737))</f>
        <v/>
      </c>
      <c r="I2737" s="335">
        <f>IF(B2737=B2736,"",IF($K2737="","",INDEX(Zeiterfassung!$I$6:$I$3665,MATCH(INDEX(Zeiterfassung!$K$6:$K$3665,$K2737),Zeiterfassung!$K$6:$K$3665,0))))</f>
        <v/>
      </c>
      <c r="J2737" s="335">
        <f>IF(B2737=B2736,"",IF($K2737="","",INDEX(Zeiterfassung!$J$6:$J$3665,MATCH(INDEX(Zeiterfassung!$K$6:$K$3665,$K2737),Zeiterfassung!$K$6:$K$3665,0))))</f>
        <v/>
      </c>
      <c r="K2737">
        <f>IFERROR(AGGREGATE(15,6,(ROW(Zeiterfassung!$D$6:$D$3665)-ROW(Zeiterfassung!$D$6)+1)/(Zeiterfassung!$D$6:$D$3665&lt;&gt;""),2732),"")</f>
        <v/>
      </c>
    </row>
    <row r="2738" ht="20" customHeight="1">
      <c r="A2738" s="183">
        <f>IF($K2738="","",WEEKNUM(INDEX(Zeiterfassung!$K$6:$K$3665,$K2738),21))</f>
        <v/>
      </c>
      <c r="B2738" s="184">
        <f>IF($K2738="","",INDEX(Zeiterfassung!$K$6:$K$3665,$K2738))</f>
        <v/>
      </c>
      <c r="C2738" s="185">
        <f>IF($K2738="","",INDEX(Zeiterfassung!$K$6:$K$3665,$K2738))</f>
        <v/>
      </c>
      <c r="D2738" s="186">
        <f>IF($K2738="","",INDEX(Zeiterfassung!$D$6:$D$3665,$K2738))</f>
        <v/>
      </c>
      <c r="E2738" s="186">
        <f>IF($K2738="","",INDEX(Zeiterfassung!$E$6:$E$3665,$K2738))</f>
        <v/>
      </c>
      <c r="F2738" s="187">
        <f>IF($K2738="","",INDEX(Zeiterfassung!$F$6:$F$3665,$K2738))</f>
        <v/>
      </c>
      <c r="G2738" s="187">
        <f>IF($K2738="","",INDEX(Zeiterfassung!$G$6:$G$3665,$K2738))</f>
        <v/>
      </c>
      <c r="H2738" s="188">
        <f>IF($K2738="","",INDEX(Zeiterfassung!$H$6:$H$3665,$K2738))</f>
        <v/>
      </c>
      <c r="I2738" s="335">
        <f>IF(B2738=B2737,"",IF($K2738="","",INDEX(Zeiterfassung!$I$6:$I$3665,MATCH(INDEX(Zeiterfassung!$K$6:$K$3665,$K2738),Zeiterfassung!$K$6:$K$3665,0))))</f>
        <v/>
      </c>
      <c r="J2738" s="335">
        <f>IF(B2738=B2737,"",IF($K2738="","",INDEX(Zeiterfassung!$J$6:$J$3665,MATCH(INDEX(Zeiterfassung!$K$6:$K$3665,$K2738),Zeiterfassung!$K$6:$K$3665,0))))</f>
        <v/>
      </c>
      <c r="K2738">
        <f>IFERROR(AGGREGATE(15,6,(ROW(Zeiterfassung!$D$6:$D$3665)-ROW(Zeiterfassung!$D$6)+1)/(Zeiterfassung!$D$6:$D$3665&lt;&gt;""),2733),"")</f>
        <v/>
      </c>
    </row>
    <row r="2739" ht="20" customHeight="1">
      <c r="A2739" s="183">
        <f>IF($K2739="","",WEEKNUM(INDEX(Zeiterfassung!$K$6:$K$3665,$K2739),21))</f>
        <v/>
      </c>
      <c r="B2739" s="184">
        <f>IF($K2739="","",INDEX(Zeiterfassung!$K$6:$K$3665,$K2739))</f>
        <v/>
      </c>
      <c r="C2739" s="185">
        <f>IF($K2739="","",INDEX(Zeiterfassung!$K$6:$K$3665,$K2739))</f>
        <v/>
      </c>
      <c r="D2739" s="186">
        <f>IF($K2739="","",INDEX(Zeiterfassung!$D$6:$D$3665,$K2739))</f>
        <v/>
      </c>
      <c r="E2739" s="186">
        <f>IF($K2739="","",INDEX(Zeiterfassung!$E$6:$E$3665,$K2739))</f>
        <v/>
      </c>
      <c r="F2739" s="187">
        <f>IF($K2739="","",INDEX(Zeiterfassung!$F$6:$F$3665,$K2739))</f>
        <v/>
      </c>
      <c r="G2739" s="187">
        <f>IF($K2739="","",INDEX(Zeiterfassung!$G$6:$G$3665,$K2739))</f>
        <v/>
      </c>
      <c r="H2739" s="188">
        <f>IF($K2739="","",INDEX(Zeiterfassung!$H$6:$H$3665,$K2739))</f>
        <v/>
      </c>
      <c r="I2739" s="335">
        <f>IF(B2739=B2738,"",IF($K2739="","",INDEX(Zeiterfassung!$I$6:$I$3665,MATCH(INDEX(Zeiterfassung!$K$6:$K$3665,$K2739),Zeiterfassung!$K$6:$K$3665,0))))</f>
        <v/>
      </c>
      <c r="J2739" s="335">
        <f>IF(B2739=B2738,"",IF($K2739="","",INDEX(Zeiterfassung!$J$6:$J$3665,MATCH(INDEX(Zeiterfassung!$K$6:$K$3665,$K2739),Zeiterfassung!$K$6:$K$3665,0))))</f>
        <v/>
      </c>
      <c r="K2739">
        <f>IFERROR(AGGREGATE(15,6,(ROW(Zeiterfassung!$D$6:$D$3665)-ROW(Zeiterfassung!$D$6)+1)/(Zeiterfassung!$D$6:$D$3665&lt;&gt;""),2734),"")</f>
        <v/>
      </c>
    </row>
    <row r="2740" ht="20" customHeight="1">
      <c r="A2740" s="183">
        <f>IF($K2740="","",WEEKNUM(INDEX(Zeiterfassung!$K$6:$K$3665,$K2740),21))</f>
        <v/>
      </c>
      <c r="B2740" s="184">
        <f>IF($K2740="","",INDEX(Zeiterfassung!$K$6:$K$3665,$K2740))</f>
        <v/>
      </c>
      <c r="C2740" s="185">
        <f>IF($K2740="","",INDEX(Zeiterfassung!$K$6:$K$3665,$K2740))</f>
        <v/>
      </c>
      <c r="D2740" s="186">
        <f>IF($K2740="","",INDEX(Zeiterfassung!$D$6:$D$3665,$K2740))</f>
        <v/>
      </c>
      <c r="E2740" s="186">
        <f>IF($K2740="","",INDEX(Zeiterfassung!$E$6:$E$3665,$K2740))</f>
        <v/>
      </c>
      <c r="F2740" s="187">
        <f>IF($K2740="","",INDEX(Zeiterfassung!$F$6:$F$3665,$K2740))</f>
        <v/>
      </c>
      <c r="G2740" s="187">
        <f>IF($K2740="","",INDEX(Zeiterfassung!$G$6:$G$3665,$K2740))</f>
        <v/>
      </c>
      <c r="H2740" s="188">
        <f>IF($K2740="","",INDEX(Zeiterfassung!$H$6:$H$3665,$K2740))</f>
        <v/>
      </c>
      <c r="I2740" s="335">
        <f>IF(B2740=B2739,"",IF($K2740="","",INDEX(Zeiterfassung!$I$6:$I$3665,MATCH(INDEX(Zeiterfassung!$K$6:$K$3665,$K2740),Zeiterfassung!$K$6:$K$3665,0))))</f>
        <v/>
      </c>
      <c r="J2740" s="335">
        <f>IF(B2740=B2739,"",IF($K2740="","",INDEX(Zeiterfassung!$J$6:$J$3665,MATCH(INDEX(Zeiterfassung!$K$6:$K$3665,$K2740),Zeiterfassung!$K$6:$K$3665,0))))</f>
        <v/>
      </c>
      <c r="K2740">
        <f>IFERROR(AGGREGATE(15,6,(ROW(Zeiterfassung!$D$6:$D$3665)-ROW(Zeiterfassung!$D$6)+1)/(Zeiterfassung!$D$6:$D$3665&lt;&gt;""),2735),"")</f>
        <v/>
      </c>
    </row>
    <row r="2741" ht="20" customHeight="1">
      <c r="A2741" s="183">
        <f>IF($K2741="","",WEEKNUM(INDEX(Zeiterfassung!$K$6:$K$3665,$K2741),21))</f>
        <v/>
      </c>
      <c r="B2741" s="184">
        <f>IF($K2741="","",INDEX(Zeiterfassung!$K$6:$K$3665,$K2741))</f>
        <v/>
      </c>
      <c r="C2741" s="185">
        <f>IF($K2741="","",INDEX(Zeiterfassung!$K$6:$K$3665,$K2741))</f>
        <v/>
      </c>
      <c r="D2741" s="186">
        <f>IF($K2741="","",INDEX(Zeiterfassung!$D$6:$D$3665,$K2741))</f>
        <v/>
      </c>
      <c r="E2741" s="186">
        <f>IF($K2741="","",INDEX(Zeiterfassung!$E$6:$E$3665,$K2741))</f>
        <v/>
      </c>
      <c r="F2741" s="187">
        <f>IF($K2741="","",INDEX(Zeiterfassung!$F$6:$F$3665,$K2741))</f>
        <v/>
      </c>
      <c r="G2741" s="187">
        <f>IF($K2741="","",INDEX(Zeiterfassung!$G$6:$G$3665,$K2741))</f>
        <v/>
      </c>
      <c r="H2741" s="188">
        <f>IF($K2741="","",INDEX(Zeiterfassung!$H$6:$H$3665,$K2741))</f>
        <v/>
      </c>
      <c r="I2741" s="335">
        <f>IF(B2741=B2740,"",IF($K2741="","",INDEX(Zeiterfassung!$I$6:$I$3665,MATCH(INDEX(Zeiterfassung!$K$6:$K$3665,$K2741),Zeiterfassung!$K$6:$K$3665,0))))</f>
        <v/>
      </c>
      <c r="J2741" s="335">
        <f>IF(B2741=B2740,"",IF($K2741="","",INDEX(Zeiterfassung!$J$6:$J$3665,MATCH(INDEX(Zeiterfassung!$K$6:$K$3665,$K2741),Zeiterfassung!$K$6:$K$3665,0))))</f>
        <v/>
      </c>
      <c r="K2741">
        <f>IFERROR(AGGREGATE(15,6,(ROW(Zeiterfassung!$D$6:$D$3665)-ROW(Zeiterfassung!$D$6)+1)/(Zeiterfassung!$D$6:$D$3665&lt;&gt;""),2736),"")</f>
        <v/>
      </c>
    </row>
    <row r="2742" ht="20" customHeight="1">
      <c r="A2742" s="183">
        <f>IF($K2742="","",WEEKNUM(INDEX(Zeiterfassung!$K$6:$K$3665,$K2742),21))</f>
        <v/>
      </c>
      <c r="B2742" s="184">
        <f>IF($K2742="","",INDEX(Zeiterfassung!$K$6:$K$3665,$K2742))</f>
        <v/>
      </c>
      <c r="C2742" s="185">
        <f>IF($K2742="","",INDEX(Zeiterfassung!$K$6:$K$3665,$K2742))</f>
        <v/>
      </c>
      <c r="D2742" s="186">
        <f>IF($K2742="","",INDEX(Zeiterfassung!$D$6:$D$3665,$K2742))</f>
        <v/>
      </c>
      <c r="E2742" s="186">
        <f>IF($K2742="","",INDEX(Zeiterfassung!$E$6:$E$3665,$K2742))</f>
        <v/>
      </c>
      <c r="F2742" s="187">
        <f>IF($K2742="","",INDEX(Zeiterfassung!$F$6:$F$3665,$K2742))</f>
        <v/>
      </c>
      <c r="G2742" s="187">
        <f>IF($K2742="","",INDEX(Zeiterfassung!$G$6:$G$3665,$K2742))</f>
        <v/>
      </c>
      <c r="H2742" s="188">
        <f>IF($K2742="","",INDEX(Zeiterfassung!$H$6:$H$3665,$K2742))</f>
        <v/>
      </c>
      <c r="I2742" s="335">
        <f>IF(B2742=B2741,"",IF($K2742="","",INDEX(Zeiterfassung!$I$6:$I$3665,MATCH(INDEX(Zeiterfassung!$K$6:$K$3665,$K2742),Zeiterfassung!$K$6:$K$3665,0))))</f>
        <v/>
      </c>
      <c r="J2742" s="335">
        <f>IF(B2742=B2741,"",IF($K2742="","",INDEX(Zeiterfassung!$J$6:$J$3665,MATCH(INDEX(Zeiterfassung!$K$6:$K$3665,$K2742),Zeiterfassung!$K$6:$K$3665,0))))</f>
        <v/>
      </c>
      <c r="K2742">
        <f>IFERROR(AGGREGATE(15,6,(ROW(Zeiterfassung!$D$6:$D$3665)-ROW(Zeiterfassung!$D$6)+1)/(Zeiterfassung!$D$6:$D$3665&lt;&gt;""),2737),"")</f>
        <v/>
      </c>
    </row>
    <row r="2743" ht="20" customHeight="1">
      <c r="A2743" s="183">
        <f>IF($K2743="","",WEEKNUM(INDEX(Zeiterfassung!$K$6:$K$3665,$K2743),21))</f>
        <v/>
      </c>
      <c r="B2743" s="184">
        <f>IF($K2743="","",INDEX(Zeiterfassung!$K$6:$K$3665,$K2743))</f>
        <v/>
      </c>
      <c r="C2743" s="185">
        <f>IF($K2743="","",INDEX(Zeiterfassung!$K$6:$K$3665,$K2743))</f>
        <v/>
      </c>
      <c r="D2743" s="186">
        <f>IF($K2743="","",INDEX(Zeiterfassung!$D$6:$D$3665,$K2743))</f>
        <v/>
      </c>
      <c r="E2743" s="186">
        <f>IF($K2743="","",INDEX(Zeiterfassung!$E$6:$E$3665,$K2743))</f>
        <v/>
      </c>
      <c r="F2743" s="187">
        <f>IF($K2743="","",INDEX(Zeiterfassung!$F$6:$F$3665,$K2743))</f>
        <v/>
      </c>
      <c r="G2743" s="187">
        <f>IF($K2743="","",INDEX(Zeiterfassung!$G$6:$G$3665,$K2743))</f>
        <v/>
      </c>
      <c r="H2743" s="188">
        <f>IF($K2743="","",INDEX(Zeiterfassung!$H$6:$H$3665,$K2743))</f>
        <v/>
      </c>
      <c r="I2743" s="335">
        <f>IF(B2743=B2742,"",IF($K2743="","",INDEX(Zeiterfassung!$I$6:$I$3665,MATCH(INDEX(Zeiterfassung!$K$6:$K$3665,$K2743),Zeiterfassung!$K$6:$K$3665,0))))</f>
        <v/>
      </c>
      <c r="J2743" s="335">
        <f>IF(B2743=B2742,"",IF($K2743="","",INDEX(Zeiterfassung!$J$6:$J$3665,MATCH(INDEX(Zeiterfassung!$K$6:$K$3665,$K2743),Zeiterfassung!$K$6:$K$3665,0))))</f>
        <v/>
      </c>
      <c r="K2743">
        <f>IFERROR(AGGREGATE(15,6,(ROW(Zeiterfassung!$D$6:$D$3665)-ROW(Zeiterfassung!$D$6)+1)/(Zeiterfassung!$D$6:$D$3665&lt;&gt;""),2738),"")</f>
        <v/>
      </c>
    </row>
    <row r="2744" ht="20" customHeight="1">
      <c r="A2744" s="183">
        <f>IF($K2744="","",WEEKNUM(INDEX(Zeiterfassung!$K$6:$K$3665,$K2744),21))</f>
        <v/>
      </c>
      <c r="B2744" s="184">
        <f>IF($K2744="","",INDEX(Zeiterfassung!$K$6:$K$3665,$K2744))</f>
        <v/>
      </c>
      <c r="C2744" s="185">
        <f>IF($K2744="","",INDEX(Zeiterfassung!$K$6:$K$3665,$K2744))</f>
        <v/>
      </c>
      <c r="D2744" s="186">
        <f>IF($K2744="","",INDEX(Zeiterfassung!$D$6:$D$3665,$K2744))</f>
        <v/>
      </c>
      <c r="E2744" s="186">
        <f>IF($K2744="","",INDEX(Zeiterfassung!$E$6:$E$3665,$K2744))</f>
        <v/>
      </c>
      <c r="F2744" s="187">
        <f>IF($K2744="","",INDEX(Zeiterfassung!$F$6:$F$3665,$K2744))</f>
        <v/>
      </c>
      <c r="G2744" s="187">
        <f>IF($K2744="","",INDEX(Zeiterfassung!$G$6:$G$3665,$K2744))</f>
        <v/>
      </c>
      <c r="H2744" s="188">
        <f>IF($K2744="","",INDEX(Zeiterfassung!$H$6:$H$3665,$K2744))</f>
        <v/>
      </c>
      <c r="I2744" s="335">
        <f>IF(B2744=B2743,"",IF($K2744="","",INDEX(Zeiterfassung!$I$6:$I$3665,MATCH(INDEX(Zeiterfassung!$K$6:$K$3665,$K2744),Zeiterfassung!$K$6:$K$3665,0))))</f>
        <v/>
      </c>
      <c r="J2744" s="335">
        <f>IF(B2744=B2743,"",IF($K2744="","",INDEX(Zeiterfassung!$J$6:$J$3665,MATCH(INDEX(Zeiterfassung!$K$6:$K$3665,$K2744),Zeiterfassung!$K$6:$K$3665,0))))</f>
        <v/>
      </c>
      <c r="K2744">
        <f>IFERROR(AGGREGATE(15,6,(ROW(Zeiterfassung!$D$6:$D$3665)-ROW(Zeiterfassung!$D$6)+1)/(Zeiterfassung!$D$6:$D$3665&lt;&gt;""),2739),"")</f>
        <v/>
      </c>
    </row>
    <row r="2745" ht="20" customHeight="1">
      <c r="A2745" s="183">
        <f>IF($K2745="","",WEEKNUM(INDEX(Zeiterfassung!$K$6:$K$3665,$K2745),21))</f>
        <v/>
      </c>
      <c r="B2745" s="184">
        <f>IF($K2745="","",INDEX(Zeiterfassung!$K$6:$K$3665,$K2745))</f>
        <v/>
      </c>
      <c r="C2745" s="185">
        <f>IF($K2745="","",INDEX(Zeiterfassung!$K$6:$K$3665,$K2745))</f>
        <v/>
      </c>
      <c r="D2745" s="186">
        <f>IF($K2745="","",INDEX(Zeiterfassung!$D$6:$D$3665,$K2745))</f>
        <v/>
      </c>
      <c r="E2745" s="186">
        <f>IF($K2745="","",INDEX(Zeiterfassung!$E$6:$E$3665,$K2745))</f>
        <v/>
      </c>
      <c r="F2745" s="187">
        <f>IF($K2745="","",INDEX(Zeiterfassung!$F$6:$F$3665,$K2745))</f>
        <v/>
      </c>
      <c r="G2745" s="187">
        <f>IF($K2745="","",INDEX(Zeiterfassung!$G$6:$G$3665,$K2745))</f>
        <v/>
      </c>
      <c r="H2745" s="188">
        <f>IF($K2745="","",INDEX(Zeiterfassung!$H$6:$H$3665,$K2745))</f>
        <v/>
      </c>
      <c r="I2745" s="335">
        <f>IF(B2745=B2744,"",IF($K2745="","",INDEX(Zeiterfassung!$I$6:$I$3665,MATCH(INDEX(Zeiterfassung!$K$6:$K$3665,$K2745),Zeiterfassung!$K$6:$K$3665,0))))</f>
        <v/>
      </c>
      <c r="J2745" s="335">
        <f>IF(B2745=B2744,"",IF($K2745="","",INDEX(Zeiterfassung!$J$6:$J$3665,MATCH(INDEX(Zeiterfassung!$K$6:$K$3665,$K2745),Zeiterfassung!$K$6:$K$3665,0))))</f>
        <v/>
      </c>
      <c r="K2745">
        <f>IFERROR(AGGREGATE(15,6,(ROW(Zeiterfassung!$D$6:$D$3665)-ROW(Zeiterfassung!$D$6)+1)/(Zeiterfassung!$D$6:$D$3665&lt;&gt;""),2740),"")</f>
        <v/>
      </c>
    </row>
    <row r="2746" ht="20" customHeight="1">
      <c r="A2746" s="183">
        <f>IF($K2746="","",WEEKNUM(INDEX(Zeiterfassung!$K$6:$K$3665,$K2746),21))</f>
        <v/>
      </c>
      <c r="B2746" s="184">
        <f>IF($K2746="","",INDEX(Zeiterfassung!$K$6:$K$3665,$K2746))</f>
        <v/>
      </c>
      <c r="C2746" s="185">
        <f>IF($K2746="","",INDEX(Zeiterfassung!$K$6:$K$3665,$K2746))</f>
        <v/>
      </c>
      <c r="D2746" s="186">
        <f>IF($K2746="","",INDEX(Zeiterfassung!$D$6:$D$3665,$K2746))</f>
        <v/>
      </c>
      <c r="E2746" s="186">
        <f>IF($K2746="","",INDEX(Zeiterfassung!$E$6:$E$3665,$K2746))</f>
        <v/>
      </c>
      <c r="F2746" s="187">
        <f>IF($K2746="","",INDEX(Zeiterfassung!$F$6:$F$3665,$K2746))</f>
        <v/>
      </c>
      <c r="G2746" s="187">
        <f>IF($K2746="","",INDEX(Zeiterfassung!$G$6:$G$3665,$K2746))</f>
        <v/>
      </c>
      <c r="H2746" s="188">
        <f>IF($K2746="","",INDEX(Zeiterfassung!$H$6:$H$3665,$K2746))</f>
        <v/>
      </c>
      <c r="I2746" s="335">
        <f>IF(B2746=B2745,"",IF($K2746="","",INDEX(Zeiterfassung!$I$6:$I$3665,MATCH(INDEX(Zeiterfassung!$K$6:$K$3665,$K2746),Zeiterfassung!$K$6:$K$3665,0))))</f>
        <v/>
      </c>
      <c r="J2746" s="335">
        <f>IF(B2746=B2745,"",IF($K2746="","",INDEX(Zeiterfassung!$J$6:$J$3665,MATCH(INDEX(Zeiterfassung!$K$6:$K$3665,$K2746),Zeiterfassung!$K$6:$K$3665,0))))</f>
        <v/>
      </c>
      <c r="K2746">
        <f>IFERROR(AGGREGATE(15,6,(ROW(Zeiterfassung!$D$6:$D$3665)-ROW(Zeiterfassung!$D$6)+1)/(Zeiterfassung!$D$6:$D$3665&lt;&gt;""),2741),"")</f>
        <v/>
      </c>
    </row>
    <row r="2747" ht="20" customHeight="1">
      <c r="A2747" s="183">
        <f>IF($K2747="","",WEEKNUM(INDEX(Zeiterfassung!$K$6:$K$3665,$K2747),21))</f>
        <v/>
      </c>
      <c r="B2747" s="184">
        <f>IF($K2747="","",INDEX(Zeiterfassung!$K$6:$K$3665,$K2747))</f>
        <v/>
      </c>
      <c r="C2747" s="185">
        <f>IF($K2747="","",INDEX(Zeiterfassung!$K$6:$K$3665,$K2747))</f>
        <v/>
      </c>
      <c r="D2747" s="186">
        <f>IF($K2747="","",INDEX(Zeiterfassung!$D$6:$D$3665,$K2747))</f>
        <v/>
      </c>
      <c r="E2747" s="186">
        <f>IF($K2747="","",INDEX(Zeiterfassung!$E$6:$E$3665,$K2747))</f>
        <v/>
      </c>
      <c r="F2747" s="187">
        <f>IF($K2747="","",INDEX(Zeiterfassung!$F$6:$F$3665,$K2747))</f>
        <v/>
      </c>
      <c r="G2747" s="187">
        <f>IF($K2747="","",INDEX(Zeiterfassung!$G$6:$G$3665,$K2747))</f>
        <v/>
      </c>
      <c r="H2747" s="188">
        <f>IF($K2747="","",INDEX(Zeiterfassung!$H$6:$H$3665,$K2747))</f>
        <v/>
      </c>
      <c r="I2747" s="335">
        <f>IF(B2747=B2746,"",IF($K2747="","",INDEX(Zeiterfassung!$I$6:$I$3665,MATCH(INDEX(Zeiterfassung!$K$6:$K$3665,$K2747),Zeiterfassung!$K$6:$K$3665,0))))</f>
        <v/>
      </c>
      <c r="J2747" s="335">
        <f>IF(B2747=B2746,"",IF($K2747="","",INDEX(Zeiterfassung!$J$6:$J$3665,MATCH(INDEX(Zeiterfassung!$K$6:$K$3665,$K2747),Zeiterfassung!$K$6:$K$3665,0))))</f>
        <v/>
      </c>
      <c r="K2747">
        <f>IFERROR(AGGREGATE(15,6,(ROW(Zeiterfassung!$D$6:$D$3665)-ROW(Zeiterfassung!$D$6)+1)/(Zeiterfassung!$D$6:$D$3665&lt;&gt;""),2742),"")</f>
        <v/>
      </c>
    </row>
    <row r="2748" ht="20" customHeight="1">
      <c r="A2748" s="183">
        <f>IF($K2748="","",WEEKNUM(INDEX(Zeiterfassung!$K$6:$K$3665,$K2748),21))</f>
        <v/>
      </c>
      <c r="B2748" s="184">
        <f>IF($K2748="","",INDEX(Zeiterfassung!$K$6:$K$3665,$K2748))</f>
        <v/>
      </c>
      <c r="C2748" s="185">
        <f>IF($K2748="","",INDEX(Zeiterfassung!$K$6:$K$3665,$K2748))</f>
        <v/>
      </c>
      <c r="D2748" s="186">
        <f>IF($K2748="","",INDEX(Zeiterfassung!$D$6:$D$3665,$K2748))</f>
        <v/>
      </c>
      <c r="E2748" s="186">
        <f>IF($K2748="","",INDEX(Zeiterfassung!$E$6:$E$3665,$K2748))</f>
        <v/>
      </c>
      <c r="F2748" s="187">
        <f>IF($K2748="","",INDEX(Zeiterfassung!$F$6:$F$3665,$K2748))</f>
        <v/>
      </c>
      <c r="G2748" s="187">
        <f>IF($K2748="","",INDEX(Zeiterfassung!$G$6:$G$3665,$K2748))</f>
        <v/>
      </c>
      <c r="H2748" s="188">
        <f>IF($K2748="","",INDEX(Zeiterfassung!$H$6:$H$3665,$K2748))</f>
        <v/>
      </c>
      <c r="I2748" s="335">
        <f>IF(B2748=B2747,"",IF($K2748="","",INDEX(Zeiterfassung!$I$6:$I$3665,MATCH(INDEX(Zeiterfassung!$K$6:$K$3665,$K2748),Zeiterfassung!$K$6:$K$3665,0))))</f>
        <v/>
      </c>
      <c r="J2748" s="335">
        <f>IF(B2748=B2747,"",IF($K2748="","",INDEX(Zeiterfassung!$J$6:$J$3665,MATCH(INDEX(Zeiterfassung!$K$6:$K$3665,$K2748),Zeiterfassung!$K$6:$K$3665,0))))</f>
        <v/>
      </c>
      <c r="K2748">
        <f>IFERROR(AGGREGATE(15,6,(ROW(Zeiterfassung!$D$6:$D$3665)-ROW(Zeiterfassung!$D$6)+1)/(Zeiterfassung!$D$6:$D$3665&lt;&gt;""),2743),"")</f>
        <v/>
      </c>
    </row>
    <row r="2749" ht="20" customHeight="1">
      <c r="A2749" s="183">
        <f>IF($K2749="","",WEEKNUM(INDEX(Zeiterfassung!$K$6:$K$3665,$K2749),21))</f>
        <v/>
      </c>
      <c r="B2749" s="184">
        <f>IF($K2749="","",INDEX(Zeiterfassung!$K$6:$K$3665,$K2749))</f>
        <v/>
      </c>
      <c r="C2749" s="185">
        <f>IF($K2749="","",INDEX(Zeiterfassung!$K$6:$K$3665,$K2749))</f>
        <v/>
      </c>
      <c r="D2749" s="186">
        <f>IF($K2749="","",INDEX(Zeiterfassung!$D$6:$D$3665,$K2749))</f>
        <v/>
      </c>
      <c r="E2749" s="186">
        <f>IF($K2749="","",INDEX(Zeiterfassung!$E$6:$E$3665,$K2749))</f>
        <v/>
      </c>
      <c r="F2749" s="187">
        <f>IF($K2749="","",INDEX(Zeiterfassung!$F$6:$F$3665,$K2749))</f>
        <v/>
      </c>
      <c r="G2749" s="187">
        <f>IF($K2749="","",INDEX(Zeiterfassung!$G$6:$G$3665,$K2749))</f>
        <v/>
      </c>
      <c r="H2749" s="188">
        <f>IF($K2749="","",INDEX(Zeiterfassung!$H$6:$H$3665,$K2749))</f>
        <v/>
      </c>
      <c r="I2749" s="335">
        <f>IF(B2749=B2748,"",IF($K2749="","",INDEX(Zeiterfassung!$I$6:$I$3665,MATCH(INDEX(Zeiterfassung!$K$6:$K$3665,$K2749),Zeiterfassung!$K$6:$K$3665,0))))</f>
        <v/>
      </c>
      <c r="J2749" s="335">
        <f>IF(B2749=B2748,"",IF($K2749="","",INDEX(Zeiterfassung!$J$6:$J$3665,MATCH(INDEX(Zeiterfassung!$K$6:$K$3665,$K2749),Zeiterfassung!$K$6:$K$3665,0))))</f>
        <v/>
      </c>
      <c r="K2749">
        <f>IFERROR(AGGREGATE(15,6,(ROW(Zeiterfassung!$D$6:$D$3665)-ROW(Zeiterfassung!$D$6)+1)/(Zeiterfassung!$D$6:$D$3665&lt;&gt;""),2744),"")</f>
        <v/>
      </c>
    </row>
    <row r="2750" ht="20" customHeight="1">
      <c r="A2750" s="183">
        <f>IF($K2750="","",WEEKNUM(INDEX(Zeiterfassung!$K$6:$K$3665,$K2750),21))</f>
        <v/>
      </c>
      <c r="B2750" s="184">
        <f>IF($K2750="","",INDEX(Zeiterfassung!$K$6:$K$3665,$K2750))</f>
        <v/>
      </c>
      <c r="C2750" s="185">
        <f>IF($K2750="","",INDEX(Zeiterfassung!$K$6:$K$3665,$K2750))</f>
        <v/>
      </c>
      <c r="D2750" s="186">
        <f>IF($K2750="","",INDEX(Zeiterfassung!$D$6:$D$3665,$K2750))</f>
        <v/>
      </c>
      <c r="E2750" s="186">
        <f>IF($K2750="","",INDEX(Zeiterfassung!$E$6:$E$3665,$K2750))</f>
        <v/>
      </c>
      <c r="F2750" s="187">
        <f>IF($K2750="","",INDEX(Zeiterfassung!$F$6:$F$3665,$K2750))</f>
        <v/>
      </c>
      <c r="G2750" s="187">
        <f>IF($K2750="","",INDEX(Zeiterfassung!$G$6:$G$3665,$K2750))</f>
        <v/>
      </c>
      <c r="H2750" s="188">
        <f>IF($K2750="","",INDEX(Zeiterfassung!$H$6:$H$3665,$K2750))</f>
        <v/>
      </c>
      <c r="I2750" s="335">
        <f>IF(B2750=B2749,"",IF($K2750="","",INDEX(Zeiterfassung!$I$6:$I$3665,MATCH(INDEX(Zeiterfassung!$K$6:$K$3665,$K2750),Zeiterfassung!$K$6:$K$3665,0))))</f>
        <v/>
      </c>
      <c r="J2750" s="335">
        <f>IF(B2750=B2749,"",IF($K2750="","",INDEX(Zeiterfassung!$J$6:$J$3665,MATCH(INDEX(Zeiterfassung!$K$6:$K$3665,$K2750),Zeiterfassung!$K$6:$K$3665,0))))</f>
        <v/>
      </c>
      <c r="K2750">
        <f>IFERROR(AGGREGATE(15,6,(ROW(Zeiterfassung!$D$6:$D$3665)-ROW(Zeiterfassung!$D$6)+1)/(Zeiterfassung!$D$6:$D$3665&lt;&gt;""),2745),"")</f>
        <v/>
      </c>
    </row>
    <row r="2751" ht="20" customHeight="1">
      <c r="A2751" s="183">
        <f>IF($K2751="","",WEEKNUM(INDEX(Zeiterfassung!$K$6:$K$3665,$K2751),21))</f>
        <v/>
      </c>
      <c r="B2751" s="184">
        <f>IF($K2751="","",INDEX(Zeiterfassung!$K$6:$K$3665,$K2751))</f>
        <v/>
      </c>
      <c r="C2751" s="185">
        <f>IF($K2751="","",INDEX(Zeiterfassung!$K$6:$K$3665,$K2751))</f>
        <v/>
      </c>
      <c r="D2751" s="186">
        <f>IF($K2751="","",INDEX(Zeiterfassung!$D$6:$D$3665,$K2751))</f>
        <v/>
      </c>
      <c r="E2751" s="186">
        <f>IF($K2751="","",INDEX(Zeiterfassung!$E$6:$E$3665,$K2751))</f>
        <v/>
      </c>
      <c r="F2751" s="187">
        <f>IF($K2751="","",INDEX(Zeiterfassung!$F$6:$F$3665,$K2751))</f>
        <v/>
      </c>
      <c r="G2751" s="187">
        <f>IF($K2751="","",INDEX(Zeiterfassung!$G$6:$G$3665,$K2751))</f>
        <v/>
      </c>
      <c r="H2751" s="188">
        <f>IF($K2751="","",INDEX(Zeiterfassung!$H$6:$H$3665,$K2751))</f>
        <v/>
      </c>
      <c r="I2751" s="335">
        <f>IF(B2751=B2750,"",IF($K2751="","",INDEX(Zeiterfassung!$I$6:$I$3665,MATCH(INDEX(Zeiterfassung!$K$6:$K$3665,$K2751),Zeiterfassung!$K$6:$K$3665,0))))</f>
        <v/>
      </c>
      <c r="J2751" s="335">
        <f>IF(B2751=B2750,"",IF($K2751="","",INDEX(Zeiterfassung!$J$6:$J$3665,MATCH(INDEX(Zeiterfassung!$K$6:$K$3665,$K2751),Zeiterfassung!$K$6:$K$3665,0))))</f>
        <v/>
      </c>
      <c r="K2751">
        <f>IFERROR(AGGREGATE(15,6,(ROW(Zeiterfassung!$D$6:$D$3665)-ROW(Zeiterfassung!$D$6)+1)/(Zeiterfassung!$D$6:$D$3665&lt;&gt;""),2746),"")</f>
        <v/>
      </c>
    </row>
    <row r="2752" ht="20" customHeight="1">
      <c r="A2752" s="183">
        <f>IF($K2752="","",WEEKNUM(INDEX(Zeiterfassung!$K$6:$K$3665,$K2752),21))</f>
        <v/>
      </c>
      <c r="B2752" s="184">
        <f>IF($K2752="","",INDEX(Zeiterfassung!$K$6:$K$3665,$K2752))</f>
        <v/>
      </c>
      <c r="C2752" s="185">
        <f>IF($K2752="","",INDEX(Zeiterfassung!$K$6:$K$3665,$K2752))</f>
        <v/>
      </c>
      <c r="D2752" s="186">
        <f>IF($K2752="","",INDEX(Zeiterfassung!$D$6:$D$3665,$K2752))</f>
        <v/>
      </c>
      <c r="E2752" s="186">
        <f>IF($K2752="","",INDEX(Zeiterfassung!$E$6:$E$3665,$K2752))</f>
        <v/>
      </c>
      <c r="F2752" s="187">
        <f>IF($K2752="","",INDEX(Zeiterfassung!$F$6:$F$3665,$K2752))</f>
        <v/>
      </c>
      <c r="G2752" s="187">
        <f>IF($K2752="","",INDEX(Zeiterfassung!$G$6:$G$3665,$K2752))</f>
        <v/>
      </c>
      <c r="H2752" s="188">
        <f>IF($K2752="","",INDEX(Zeiterfassung!$H$6:$H$3665,$K2752))</f>
        <v/>
      </c>
      <c r="I2752" s="335">
        <f>IF(B2752=B2751,"",IF($K2752="","",INDEX(Zeiterfassung!$I$6:$I$3665,MATCH(INDEX(Zeiterfassung!$K$6:$K$3665,$K2752),Zeiterfassung!$K$6:$K$3665,0))))</f>
        <v/>
      </c>
      <c r="J2752" s="335">
        <f>IF(B2752=B2751,"",IF($K2752="","",INDEX(Zeiterfassung!$J$6:$J$3665,MATCH(INDEX(Zeiterfassung!$K$6:$K$3665,$K2752),Zeiterfassung!$K$6:$K$3665,0))))</f>
        <v/>
      </c>
      <c r="K2752">
        <f>IFERROR(AGGREGATE(15,6,(ROW(Zeiterfassung!$D$6:$D$3665)-ROW(Zeiterfassung!$D$6)+1)/(Zeiterfassung!$D$6:$D$3665&lt;&gt;""),2747),"")</f>
        <v/>
      </c>
    </row>
    <row r="2753" ht="20" customHeight="1">
      <c r="A2753" s="183">
        <f>IF($K2753="","",WEEKNUM(INDEX(Zeiterfassung!$K$6:$K$3665,$K2753),21))</f>
        <v/>
      </c>
      <c r="B2753" s="184">
        <f>IF($K2753="","",INDEX(Zeiterfassung!$K$6:$K$3665,$K2753))</f>
        <v/>
      </c>
      <c r="C2753" s="185">
        <f>IF($K2753="","",INDEX(Zeiterfassung!$K$6:$K$3665,$K2753))</f>
        <v/>
      </c>
      <c r="D2753" s="186">
        <f>IF($K2753="","",INDEX(Zeiterfassung!$D$6:$D$3665,$K2753))</f>
        <v/>
      </c>
      <c r="E2753" s="186">
        <f>IF($K2753="","",INDEX(Zeiterfassung!$E$6:$E$3665,$K2753))</f>
        <v/>
      </c>
      <c r="F2753" s="187">
        <f>IF($K2753="","",INDEX(Zeiterfassung!$F$6:$F$3665,$K2753))</f>
        <v/>
      </c>
      <c r="G2753" s="187">
        <f>IF($K2753="","",INDEX(Zeiterfassung!$G$6:$G$3665,$K2753))</f>
        <v/>
      </c>
      <c r="H2753" s="188">
        <f>IF($K2753="","",INDEX(Zeiterfassung!$H$6:$H$3665,$K2753))</f>
        <v/>
      </c>
      <c r="I2753" s="335">
        <f>IF(B2753=B2752,"",IF($K2753="","",INDEX(Zeiterfassung!$I$6:$I$3665,MATCH(INDEX(Zeiterfassung!$K$6:$K$3665,$K2753),Zeiterfassung!$K$6:$K$3665,0))))</f>
        <v/>
      </c>
      <c r="J2753" s="335">
        <f>IF(B2753=B2752,"",IF($K2753="","",INDEX(Zeiterfassung!$J$6:$J$3665,MATCH(INDEX(Zeiterfassung!$K$6:$K$3665,$K2753),Zeiterfassung!$K$6:$K$3665,0))))</f>
        <v/>
      </c>
      <c r="K2753">
        <f>IFERROR(AGGREGATE(15,6,(ROW(Zeiterfassung!$D$6:$D$3665)-ROW(Zeiterfassung!$D$6)+1)/(Zeiterfassung!$D$6:$D$3665&lt;&gt;""),2748),"")</f>
        <v/>
      </c>
    </row>
    <row r="2754" ht="20" customHeight="1">
      <c r="A2754" s="183">
        <f>IF($K2754="","",WEEKNUM(INDEX(Zeiterfassung!$K$6:$K$3665,$K2754),21))</f>
        <v/>
      </c>
      <c r="B2754" s="184">
        <f>IF($K2754="","",INDEX(Zeiterfassung!$K$6:$K$3665,$K2754))</f>
        <v/>
      </c>
      <c r="C2754" s="185">
        <f>IF($K2754="","",INDEX(Zeiterfassung!$K$6:$K$3665,$K2754))</f>
        <v/>
      </c>
      <c r="D2754" s="186">
        <f>IF($K2754="","",INDEX(Zeiterfassung!$D$6:$D$3665,$K2754))</f>
        <v/>
      </c>
      <c r="E2754" s="186">
        <f>IF($K2754="","",INDEX(Zeiterfassung!$E$6:$E$3665,$K2754))</f>
        <v/>
      </c>
      <c r="F2754" s="187">
        <f>IF($K2754="","",INDEX(Zeiterfassung!$F$6:$F$3665,$K2754))</f>
        <v/>
      </c>
      <c r="G2754" s="187">
        <f>IF($K2754="","",INDEX(Zeiterfassung!$G$6:$G$3665,$K2754))</f>
        <v/>
      </c>
      <c r="H2754" s="188">
        <f>IF($K2754="","",INDEX(Zeiterfassung!$H$6:$H$3665,$K2754))</f>
        <v/>
      </c>
      <c r="I2754" s="335">
        <f>IF(B2754=B2753,"",IF($K2754="","",INDEX(Zeiterfassung!$I$6:$I$3665,MATCH(INDEX(Zeiterfassung!$K$6:$K$3665,$K2754),Zeiterfassung!$K$6:$K$3665,0))))</f>
        <v/>
      </c>
      <c r="J2754" s="335">
        <f>IF(B2754=B2753,"",IF($K2754="","",INDEX(Zeiterfassung!$J$6:$J$3665,MATCH(INDEX(Zeiterfassung!$K$6:$K$3665,$K2754),Zeiterfassung!$K$6:$K$3665,0))))</f>
        <v/>
      </c>
      <c r="K2754">
        <f>IFERROR(AGGREGATE(15,6,(ROW(Zeiterfassung!$D$6:$D$3665)-ROW(Zeiterfassung!$D$6)+1)/(Zeiterfassung!$D$6:$D$3665&lt;&gt;""),2749),"")</f>
        <v/>
      </c>
    </row>
    <row r="2755" ht="20" customHeight="1">
      <c r="A2755" s="183">
        <f>IF($K2755="","",WEEKNUM(INDEX(Zeiterfassung!$K$6:$K$3665,$K2755),21))</f>
        <v/>
      </c>
      <c r="B2755" s="184">
        <f>IF($K2755="","",INDEX(Zeiterfassung!$K$6:$K$3665,$K2755))</f>
        <v/>
      </c>
      <c r="C2755" s="185">
        <f>IF($K2755="","",INDEX(Zeiterfassung!$K$6:$K$3665,$K2755))</f>
        <v/>
      </c>
      <c r="D2755" s="186">
        <f>IF($K2755="","",INDEX(Zeiterfassung!$D$6:$D$3665,$K2755))</f>
        <v/>
      </c>
      <c r="E2755" s="186">
        <f>IF($K2755="","",INDEX(Zeiterfassung!$E$6:$E$3665,$K2755))</f>
        <v/>
      </c>
      <c r="F2755" s="187">
        <f>IF($K2755="","",INDEX(Zeiterfassung!$F$6:$F$3665,$K2755))</f>
        <v/>
      </c>
      <c r="G2755" s="187">
        <f>IF($K2755="","",INDEX(Zeiterfassung!$G$6:$G$3665,$K2755))</f>
        <v/>
      </c>
      <c r="H2755" s="188">
        <f>IF($K2755="","",INDEX(Zeiterfassung!$H$6:$H$3665,$K2755))</f>
        <v/>
      </c>
      <c r="I2755" s="335">
        <f>IF(B2755=B2754,"",IF($K2755="","",INDEX(Zeiterfassung!$I$6:$I$3665,MATCH(INDEX(Zeiterfassung!$K$6:$K$3665,$K2755),Zeiterfassung!$K$6:$K$3665,0))))</f>
        <v/>
      </c>
      <c r="J2755" s="335">
        <f>IF(B2755=B2754,"",IF($K2755="","",INDEX(Zeiterfassung!$J$6:$J$3665,MATCH(INDEX(Zeiterfassung!$K$6:$K$3665,$K2755),Zeiterfassung!$K$6:$K$3665,0))))</f>
        <v/>
      </c>
      <c r="K2755">
        <f>IFERROR(AGGREGATE(15,6,(ROW(Zeiterfassung!$D$6:$D$3665)-ROW(Zeiterfassung!$D$6)+1)/(Zeiterfassung!$D$6:$D$3665&lt;&gt;""),2750),"")</f>
        <v/>
      </c>
    </row>
    <row r="2756" ht="20" customHeight="1">
      <c r="A2756" s="183">
        <f>IF($K2756="","",WEEKNUM(INDEX(Zeiterfassung!$K$6:$K$3665,$K2756),21))</f>
        <v/>
      </c>
      <c r="B2756" s="184">
        <f>IF($K2756="","",INDEX(Zeiterfassung!$K$6:$K$3665,$K2756))</f>
        <v/>
      </c>
      <c r="C2756" s="185">
        <f>IF($K2756="","",INDEX(Zeiterfassung!$K$6:$K$3665,$K2756))</f>
        <v/>
      </c>
      <c r="D2756" s="186">
        <f>IF($K2756="","",INDEX(Zeiterfassung!$D$6:$D$3665,$K2756))</f>
        <v/>
      </c>
      <c r="E2756" s="186">
        <f>IF($K2756="","",INDEX(Zeiterfassung!$E$6:$E$3665,$K2756))</f>
        <v/>
      </c>
      <c r="F2756" s="187">
        <f>IF($K2756="","",INDEX(Zeiterfassung!$F$6:$F$3665,$K2756))</f>
        <v/>
      </c>
      <c r="G2756" s="187">
        <f>IF($K2756="","",INDEX(Zeiterfassung!$G$6:$G$3665,$K2756))</f>
        <v/>
      </c>
      <c r="H2756" s="188">
        <f>IF($K2756="","",INDEX(Zeiterfassung!$H$6:$H$3665,$K2756))</f>
        <v/>
      </c>
      <c r="I2756" s="335">
        <f>IF(B2756=B2755,"",IF($K2756="","",INDEX(Zeiterfassung!$I$6:$I$3665,MATCH(INDEX(Zeiterfassung!$K$6:$K$3665,$K2756),Zeiterfassung!$K$6:$K$3665,0))))</f>
        <v/>
      </c>
      <c r="J2756" s="335">
        <f>IF(B2756=B2755,"",IF($K2756="","",INDEX(Zeiterfassung!$J$6:$J$3665,MATCH(INDEX(Zeiterfassung!$K$6:$K$3665,$K2756),Zeiterfassung!$K$6:$K$3665,0))))</f>
        <v/>
      </c>
      <c r="K2756">
        <f>IFERROR(AGGREGATE(15,6,(ROW(Zeiterfassung!$D$6:$D$3665)-ROW(Zeiterfassung!$D$6)+1)/(Zeiterfassung!$D$6:$D$3665&lt;&gt;""),2751),"")</f>
        <v/>
      </c>
    </row>
    <row r="2757" ht="20" customHeight="1">
      <c r="A2757" s="183">
        <f>IF($K2757="","",WEEKNUM(INDEX(Zeiterfassung!$K$6:$K$3665,$K2757),21))</f>
        <v/>
      </c>
      <c r="B2757" s="184">
        <f>IF($K2757="","",INDEX(Zeiterfassung!$K$6:$K$3665,$K2757))</f>
        <v/>
      </c>
      <c r="C2757" s="185">
        <f>IF($K2757="","",INDEX(Zeiterfassung!$K$6:$K$3665,$K2757))</f>
        <v/>
      </c>
      <c r="D2757" s="186">
        <f>IF($K2757="","",INDEX(Zeiterfassung!$D$6:$D$3665,$K2757))</f>
        <v/>
      </c>
      <c r="E2757" s="186">
        <f>IF($K2757="","",INDEX(Zeiterfassung!$E$6:$E$3665,$K2757))</f>
        <v/>
      </c>
      <c r="F2757" s="187">
        <f>IF($K2757="","",INDEX(Zeiterfassung!$F$6:$F$3665,$K2757))</f>
        <v/>
      </c>
      <c r="G2757" s="187">
        <f>IF($K2757="","",INDEX(Zeiterfassung!$G$6:$G$3665,$K2757))</f>
        <v/>
      </c>
      <c r="H2757" s="188">
        <f>IF($K2757="","",INDEX(Zeiterfassung!$H$6:$H$3665,$K2757))</f>
        <v/>
      </c>
      <c r="I2757" s="335">
        <f>IF(B2757=B2756,"",IF($K2757="","",INDEX(Zeiterfassung!$I$6:$I$3665,MATCH(INDEX(Zeiterfassung!$K$6:$K$3665,$K2757),Zeiterfassung!$K$6:$K$3665,0))))</f>
        <v/>
      </c>
      <c r="J2757" s="335">
        <f>IF(B2757=B2756,"",IF($K2757="","",INDEX(Zeiterfassung!$J$6:$J$3665,MATCH(INDEX(Zeiterfassung!$K$6:$K$3665,$K2757),Zeiterfassung!$K$6:$K$3665,0))))</f>
        <v/>
      </c>
      <c r="K2757">
        <f>IFERROR(AGGREGATE(15,6,(ROW(Zeiterfassung!$D$6:$D$3665)-ROW(Zeiterfassung!$D$6)+1)/(Zeiterfassung!$D$6:$D$3665&lt;&gt;""),2752),"")</f>
        <v/>
      </c>
    </row>
    <row r="2758" ht="20" customHeight="1">
      <c r="A2758" s="183">
        <f>IF($K2758="","",WEEKNUM(INDEX(Zeiterfassung!$K$6:$K$3665,$K2758),21))</f>
        <v/>
      </c>
      <c r="B2758" s="184">
        <f>IF($K2758="","",INDEX(Zeiterfassung!$K$6:$K$3665,$K2758))</f>
        <v/>
      </c>
      <c r="C2758" s="185">
        <f>IF($K2758="","",INDEX(Zeiterfassung!$K$6:$K$3665,$K2758))</f>
        <v/>
      </c>
      <c r="D2758" s="186">
        <f>IF($K2758="","",INDEX(Zeiterfassung!$D$6:$D$3665,$K2758))</f>
        <v/>
      </c>
      <c r="E2758" s="186">
        <f>IF($K2758="","",INDEX(Zeiterfassung!$E$6:$E$3665,$K2758))</f>
        <v/>
      </c>
      <c r="F2758" s="187">
        <f>IF($K2758="","",INDEX(Zeiterfassung!$F$6:$F$3665,$K2758))</f>
        <v/>
      </c>
      <c r="G2758" s="187">
        <f>IF($K2758="","",INDEX(Zeiterfassung!$G$6:$G$3665,$K2758))</f>
        <v/>
      </c>
      <c r="H2758" s="188">
        <f>IF($K2758="","",INDEX(Zeiterfassung!$H$6:$H$3665,$K2758))</f>
        <v/>
      </c>
      <c r="I2758" s="335">
        <f>IF(B2758=B2757,"",IF($K2758="","",INDEX(Zeiterfassung!$I$6:$I$3665,MATCH(INDEX(Zeiterfassung!$K$6:$K$3665,$K2758),Zeiterfassung!$K$6:$K$3665,0))))</f>
        <v/>
      </c>
      <c r="J2758" s="335">
        <f>IF(B2758=B2757,"",IF($K2758="","",INDEX(Zeiterfassung!$J$6:$J$3665,MATCH(INDEX(Zeiterfassung!$K$6:$K$3665,$K2758),Zeiterfassung!$K$6:$K$3665,0))))</f>
        <v/>
      </c>
      <c r="K2758">
        <f>IFERROR(AGGREGATE(15,6,(ROW(Zeiterfassung!$D$6:$D$3665)-ROW(Zeiterfassung!$D$6)+1)/(Zeiterfassung!$D$6:$D$3665&lt;&gt;""),2753),"")</f>
        <v/>
      </c>
    </row>
    <row r="2759" ht="20" customHeight="1">
      <c r="A2759" s="183">
        <f>IF($K2759="","",WEEKNUM(INDEX(Zeiterfassung!$K$6:$K$3665,$K2759),21))</f>
        <v/>
      </c>
      <c r="B2759" s="184">
        <f>IF($K2759="","",INDEX(Zeiterfassung!$K$6:$K$3665,$K2759))</f>
        <v/>
      </c>
      <c r="C2759" s="185">
        <f>IF($K2759="","",INDEX(Zeiterfassung!$K$6:$K$3665,$K2759))</f>
        <v/>
      </c>
      <c r="D2759" s="186">
        <f>IF($K2759="","",INDEX(Zeiterfassung!$D$6:$D$3665,$K2759))</f>
        <v/>
      </c>
      <c r="E2759" s="186">
        <f>IF($K2759="","",INDEX(Zeiterfassung!$E$6:$E$3665,$K2759))</f>
        <v/>
      </c>
      <c r="F2759" s="187">
        <f>IF($K2759="","",INDEX(Zeiterfassung!$F$6:$F$3665,$K2759))</f>
        <v/>
      </c>
      <c r="G2759" s="187">
        <f>IF($K2759="","",INDEX(Zeiterfassung!$G$6:$G$3665,$K2759))</f>
        <v/>
      </c>
      <c r="H2759" s="188">
        <f>IF($K2759="","",INDEX(Zeiterfassung!$H$6:$H$3665,$K2759))</f>
        <v/>
      </c>
      <c r="I2759" s="335">
        <f>IF(B2759=B2758,"",IF($K2759="","",INDEX(Zeiterfassung!$I$6:$I$3665,MATCH(INDEX(Zeiterfassung!$K$6:$K$3665,$K2759),Zeiterfassung!$K$6:$K$3665,0))))</f>
        <v/>
      </c>
      <c r="J2759" s="335">
        <f>IF(B2759=B2758,"",IF($K2759="","",INDEX(Zeiterfassung!$J$6:$J$3665,MATCH(INDEX(Zeiterfassung!$K$6:$K$3665,$K2759),Zeiterfassung!$K$6:$K$3665,0))))</f>
        <v/>
      </c>
      <c r="K2759">
        <f>IFERROR(AGGREGATE(15,6,(ROW(Zeiterfassung!$D$6:$D$3665)-ROW(Zeiterfassung!$D$6)+1)/(Zeiterfassung!$D$6:$D$3665&lt;&gt;""),2754),"")</f>
        <v/>
      </c>
    </row>
    <row r="2760" ht="20" customHeight="1">
      <c r="A2760" s="183">
        <f>IF($K2760="","",WEEKNUM(INDEX(Zeiterfassung!$K$6:$K$3665,$K2760),21))</f>
        <v/>
      </c>
      <c r="B2760" s="184">
        <f>IF($K2760="","",INDEX(Zeiterfassung!$K$6:$K$3665,$K2760))</f>
        <v/>
      </c>
      <c r="C2760" s="185">
        <f>IF($K2760="","",INDEX(Zeiterfassung!$K$6:$K$3665,$K2760))</f>
        <v/>
      </c>
      <c r="D2760" s="186">
        <f>IF($K2760="","",INDEX(Zeiterfassung!$D$6:$D$3665,$K2760))</f>
        <v/>
      </c>
      <c r="E2760" s="186">
        <f>IF($K2760="","",INDEX(Zeiterfassung!$E$6:$E$3665,$K2760))</f>
        <v/>
      </c>
      <c r="F2760" s="187">
        <f>IF($K2760="","",INDEX(Zeiterfassung!$F$6:$F$3665,$K2760))</f>
        <v/>
      </c>
      <c r="G2760" s="187">
        <f>IF($K2760="","",INDEX(Zeiterfassung!$G$6:$G$3665,$K2760))</f>
        <v/>
      </c>
      <c r="H2760" s="188">
        <f>IF($K2760="","",INDEX(Zeiterfassung!$H$6:$H$3665,$K2760))</f>
        <v/>
      </c>
      <c r="I2760" s="335">
        <f>IF(B2760=B2759,"",IF($K2760="","",INDEX(Zeiterfassung!$I$6:$I$3665,MATCH(INDEX(Zeiterfassung!$K$6:$K$3665,$K2760),Zeiterfassung!$K$6:$K$3665,0))))</f>
        <v/>
      </c>
      <c r="J2760" s="335">
        <f>IF(B2760=B2759,"",IF($K2760="","",INDEX(Zeiterfassung!$J$6:$J$3665,MATCH(INDEX(Zeiterfassung!$K$6:$K$3665,$K2760),Zeiterfassung!$K$6:$K$3665,0))))</f>
        <v/>
      </c>
      <c r="K2760">
        <f>IFERROR(AGGREGATE(15,6,(ROW(Zeiterfassung!$D$6:$D$3665)-ROW(Zeiterfassung!$D$6)+1)/(Zeiterfassung!$D$6:$D$3665&lt;&gt;""),2755),"")</f>
        <v/>
      </c>
    </row>
    <row r="2761" ht="20" customHeight="1">
      <c r="A2761" s="183">
        <f>IF($K2761="","",WEEKNUM(INDEX(Zeiterfassung!$K$6:$K$3665,$K2761),21))</f>
        <v/>
      </c>
      <c r="B2761" s="184">
        <f>IF($K2761="","",INDEX(Zeiterfassung!$K$6:$K$3665,$K2761))</f>
        <v/>
      </c>
      <c r="C2761" s="185">
        <f>IF($K2761="","",INDEX(Zeiterfassung!$K$6:$K$3665,$K2761))</f>
        <v/>
      </c>
      <c r="D2761" s="186">
        <f>IF($K2761="","",INDEX(Zeiterfassung!$D$6:$D$3665,$K2761))</f>
        <v/>
      </c>
      <c r="E2761" s="186">
        <f>IF($K2761="","",INDEX(Zeiterfassung!$E$6:$E$3665,$K2761))</f>
        <v/>
      </c>
      <c r="F2761" s="187">
        <f>IF($K2761="","",INDEX(Zeiterfassung!$F$6:$F$3665,$K2761))</f>
        <v/>
      </c>
      <c r="G2761" s="187">
        <f>IF($K2761="","",INDEX(Zeiterfassung!$G$6:$G$3665,$K2761))</f>
        <v/>
      </c>
      <c r="H2761" s="188">
        <f>IF($K2761="","",INDEX(Zeiterfassung!$H$6:$H$3665,$K2761))</f>
        <v/>
      </c>
      <c r="I2761" s="335">
        <f>IF(B2761=B2760,"",IF($K2761="","",INDEX(Zeiterfassung!$I$6:$I$3665,MATCH(INDEX(Zeiterfassung!$K$6:$K$3665,$K2761),Zeiterfassung!$K$6:$K$3665,0))))</f>
        <v/>
      </c>
      <c r="J2761" s="335">
        <f>IF(B2761=B2760,"",IF($K2761="","",INDEX(Zeiterfassung!$J$6:$J$3665,MATCH(INDEX(Zeiterfassung!$K$6:$K$3665,$K2761),Zeiterfassung!$K$6:$K$3665,0))))</f>
        <v/>
      </c>
      <c r="K2761">
        <f>IFERROR(AGGREGATE(15,6,(ROW(Zeiterfassung!$D$6:$D$3665)-ROW(Zeiterfassung!$D$6)+1)/(Zeiterfassung!$D$6:$D$3665&lt;&gt;""),2756),"")</f>
        <v/>
      </c>
    </row>
    <row r="2762" ht="20" customHeight="1">
      <c r="A2762" s="183">
        <f>IF($K2762="","",WEEKNUM(INDEX(Zeiterfassung!$K$6:$K$3665,$K2762),21))</f>
        <v/>
      </c>
      <c r="B2762" s="184">
        <f>IF($K2762="","",INDEX(Zeiterfassung!$K$6:$K$3665,$K2762))</f>
        <v/>
      </c>
      <c r="C2762" s="185">
        <f>IF($K2762="","",INDEX(Zeiterfassung!$K$6:$K$3665,$K2762))</f>
        <v/>
      </c>
      <c r="D2762" s="186">
        <f>IF($K2762="","",INDEX(Zeiterfassung!$D$6:$D$3665,$K2762))</f>
        <v/>
      </c>
      <c r="E2762" s="186">
        <f>IF($K2762="","",INDEX(Zeiterfassung!$E$6:$E$3665,$K2762))</f>
        <v/>
      </c>
      <c r="F2762" s="187">
        <f>IF($K2762="","",INDEX(Zeiterfassung!$F$6:$F$3665,$K2762))</f>
        <v/>
      </c>
      <c r="G2762" s="187">
        <f>IF($K2762="","",INDEX(Zeiterfassung!$G$6:$G$3665,$K2762))</f>
        <v/>
      </c>
      <c r="H2762" s="188">
        <f>IF($K2762="","",INDEX(Zeiterfassung!$H$6:$H$3665,$K2762))</f>
        <v/>
      </c>
      <c r="I2762" s="335">
        <f>IF(B2762=B2761,"",IF($K2762="","",INDEX(Zeiterfassung!$I$6:$I$3665,MATCH(INDEX(Zeiterfassung!$K$6:$K$3665,$K2762),Zeiterfassung!$K$6:$K$3665,0))))</f>
        <v/>
      </c>
      <c r="J2762" s="335">
        <f>IF(B2762=B2761,"",IF($K2762="","",INDEX(Zeiterfassung!$J$6:$J$3665,MATCH(INDEX(Zeiterfassung!$K$6:$K$3665,$K2762),Zeiterfassung!$K$6:$K$3665,0))))</f>
        <v/>
      </c>
      <c r="K2762">
        <f>IFERROR(AGGREGATE(15,6,(ROW(Zeiterfassung!$D$6:$D$3665)-ROW(Zeiterfassung!$D$6)+1)/(Zeiterfassung!$D$6:$D$3665&lt;&gt;""),2757),"")</f>
        <v/>
      </c>
    </row>
    <row r="2763" ht="20" customHeight="1">
      <c r="A2763" s="183">
        <f>IF($K2763="","",WEEKNUM(INDEX(Zeiterfassung!$K$6:$K$3665,$K2763),21))</f>
        <v/>
      </c>
      <c r="B2763" s="184">
        <f>IF($K2763="","",INDEX(Zeiterfassung!$K$6:$K$3665,$K2763))</f>
        <v/>
      </c>
      <c r="C2763" s="185">
        <f>IF($K2763="","",INDEX(Zeiterfassung!$K$6:$K$3665,$K2763))</f>
        <v/>
      </c>
      <c r="D2763" s="186">
        <f>IF($K2763="","",INDEX(Zeiterfassung!$D$6:$D$3665,$K2763))</f>
        <v/>
      </c>
      <c r="E2763" s="186">
        <f>IF($K2763="","",INDEX(Zeiterfassung!$E$6:$E$3665,$K2763))</f>
        <v/>
      </c>
      <c r="F2763" s="187">
        <f>IF($K2763="","",INDEX(Zeiterfassung!$F$6:$F$3665,$K2763))</f>
        <v/>
      </c>
      <c r="G2763" s="187">
        <f>IF($K2763="","",INDEX(Zeiterfassung!$G$6:$G$3665,$K2763))</f>
        <v/>
      </c>
      <c r="H2763" s="188">
        <f>IF($K2763="","",INDEX(Zeiterfassung!$H$6:$H$3665,$K2763))</f>
        <v/>
      </c>
      <c r="I2763" s="335">
        <f>IF(B2763=B2762,"",IF($K2763="","",INDEX(Zeiterfassung!$I$6:$I$3665,MATCH(INDEX(Zeiterfassung!$K$6:$K$3665,$K2763),Zeiterfassung!$K$6:$K$3665,0))))</f>
        <v/>
      </c>
      <c r="J2763" s="335">
        <f>IF(B2763=B2762,"",IF($K2763="","",INDEX(Zeiterfassung!$J$6:$J$3665,MATCH(INDEX(Zeiterfassung!$K$6:$K$3665,$K2763),Zeiterfassung!$K$6:$K$3665,0))))</f>
        <v/>
      </c>
      <c r="K2763">
        <f>IFERROR(AGGREGATE(15,6,(ROW(Zeiterfassung!$D$6:$D$3665)-ROW(Zeiterfassung!$D$6)+1)/(Zeiterfassung!$D$6:$D$3665&lt;&gt;""),2758),"")</f>
        <v/>
      </c>
    </row>
    <row r="2764" ht="20" customHeight="1">
      <c r="A2764" s="183">
        <f>IF($K2764="","",WEEKNUM(INDEX(Zeiterfassung!$K$6:$K$3665,$K2764),21))</f>
        <v/>
      </c>
      <c r="B2764" s="184">
        <f>IF($K2764="","",INDEX(Zeiterfassung!$K$6:$K$3665,$K2764))</f>
        <v/>
      </c>
      <c r="C2764" s="185">
        <f>IF($K2764="","",INDEX(Zeiterfassung!$K$6:$K$3665,$K2764))</f>
        <v/>
      </c>
      <c r="D2764" s="186">
        <f>IF($K2764="","",INDEX(Zeiterfassung!$D$6:$D$3665,$K2764))</f>
        <v/>
      </c>
      <c r="E2764" s="186">
        <f>IF($K2764="","",INDEX(Zeiterfassung!$E$6:$E$3665,$K2764))</f>
        <v/>
      </c>
      <c r="F2764" s="187">
        <f>IF($K2764="","",INDEX(Zeiterfassung!$F$6:$F$3665,$K2764))</f>
        <v/>
      </c>
      <c r="G2764" s="187">
        <f>IF($K2764="","",INDEX(Zeiterfassung!$G$6:$G$3665,$K2764))</f>
        <v/>
      </c>
      <c r="H2764" s="188">
        <f>IF($K2764="","",INDEX(Zeiterfassung!$H$6:$H$3665,$K2764))</f>
        <v/>
      </c>
      <c r="I2764" s="335">
        <f>IF(B2764=B2763,"",IF($K2764="","",INDEX(Zeiterfassung!$I$6:$I$3665,MATCH(INDEX(Zeiterfassung!$K$6:$K$3665,$K2764),Zeiterfassung!$K$6:$K$3665,0))))</f>
        <v/>
      </c>
      <c r="J2764" s="335">
        <f>IF(B2764=B2763,"",IF($K2764="","",INDEX(Zeiterfassung!$J$6:$J$3665,MATCH(INDEX(Zeiterfassung!$K$6:$K$3665,$K2764),Zeiterfassung!$K$6:$K$3665,0))))</f>
        <v/>
      </c>
      <c r="K2764">
        <f>IFERROR(AGGREGATE(15,6,(ROW(Zeiterfassung!$D$6:$D$3665)-ROW(Zeiterfassung!$D$6)+1)/(Zeiterfassung!$D$6:$D$3665&lt;&gt;""),2759),"")</f>
        <v/>
      </c>
    </row>
    <row r="2765" ht="20" customHeight="1">
      <c r="A2765" s="183">
        <f>IF($K2765="","",WEEKNUM(INDEX(Zeiterfassung!$K$6:$K$3665,$K2765),21))</f>
        <v/>
      </c>
      <c r="B2765" s="184">
        <f>IF($K2765="","",INDEX(Zeiterfassung!$K$6:$K$3665,$K2765))</f>
        <v/>
      </c>
      <c r="C2765" s="185">
        <f>IF($K2765="","",INDEX(Zeiterfassung!$K$6:$K$3665,$K2765))</f>
        <v/>
      </c>
      <c r="D2765" s="186">
        <f>IF($K2765="","",INDEX(Zeiterfassung!$D$6:$D$3665,$K2765))</f>
        <v/>
      </c>
      <c r="E2765" s="186">
        <f>IF($K2765="","",INDEX(Zeiterfassung!$E$6:$E$3665,$K2765))</f>
        <v/>
      </c>
      <c r="F2765" s="187">
        <f>IF($K2765="","",INDEX(Zeiterfassung!$F$6:$F$3665,$K2765))</f>
        <v/>
      </c>
      <c r="G2765" s="187">
        <f>IF($K2765="","",INDEX(Zeiterfassung!$G$6:$G$3665,$K2765))</f>
        <v/>
      </c>
      <c r="H2765" s="188">
        <f>IF($K2765="","",INDEX(Zeiterfassung!$H$6:$H$3665,$K2765))</f>
        <v/>
      </c>
      <c r="I2765" s="335">
        <f>IF(B2765=B2764,"",IF($K2765="","",INDEX(Zeiterfassung!$I$6:$I$3665,MATCH(INDEX(Zeiterfassung!$K$6:$K$3665,$K2765),Zeiterfassung!$K$6:$K$3665,0))))</f>
        <v/>
      </c>
      <c r="J2765" s="335">
        <f>IF(B2765=B2764,"",IF($K2765="","",INDEX(Zeiterfassung!$J$6:$J$3665,MATCH(INDEX(Zeiterfassung!$K$6:$K$3665,$K2765),Zeiterfassung!$K$6:$K$3665,0))))</f>
        <v/>
      </c>
      <c r="K2765">
        <f>IFERROR(AGGREGATE(15,6,(ROW(Zeiterfassung!$D$6:$D$3665)-ROW(Zeiterfassung!$D$6)+1)/(Zeiterfassung!$D$6:$D$3665&lt;&gt;""),2760),"")</f>
        <v/>
      </c>
    </row>
    <row r="2766" ht="20" customHeight="1">
      <c r="A2766" s="183">
        <f>IF($K2766="","",WEEKNUM(INDEX(Zeiterfassung!$K$6:$K$3665,$K2766),21))</f>
        <v/>
      </c>
      <c r="B2766" s="184">
        <f>IF($K2766="","",INDEX(Zeiterfassung!$K$6:$K$3665,$K2766))</f>
        <v/>
      </c>
      <c r="C2766" s="185">
        <f>IF($K2766="","",INDEX(Zeiterfassung!$K$6:$K$3665,$K2766))</f>
        <v/>
      </c>
      <c r="D2766" s="186">
        <f>IF($K2766="","",INDEX(Zeiterfassung!$D$6:$D$3665,$K2766))</f>
        <v/>
      </c>
      <c r="E2766" s="186">
        <f>IF($K2766="","",INDEX(Zeiterfassung!$E$6:$E$3665,$K2766))</f>
        <v/>
      </c>
      <c r="F2766" s="187">
        <f>IF($K2766="","",INDEX(Zeiterfassung!$F$6:$F$3665,$K2766))</f>
        <v/>
      </c>
      <c r="G2766" s="187">
        <f>IF($K2766="","",INDEX(Zeiterfassung!$G$6:$G$3665,$K2766))</f>
        <v/>
      </c>
      <c r="H2766" s="188">
        <f>IF($K2766="","",INDEX(Zeiterfassung!$H$6:$H$3665,$K2766))</f>
        <v/>
      </c>
      <c r="I2766" s="335">
        <f>IF(B2766=B2765,"",IF($K2766="","",INDEX(Zeiterfassung!$I$6:$I$3665,MATCH(INDEX(Zeiterfassung!$K$6:$K$3665,$K2766),Zeiterfassung!$K$6:$K$3665,0))))</f>
        <v/>
      </c>
      <c r="J2766" s="335">
        <f>IF(B2766=B2765,"",IF($K2766="","",INDEX(Zeiterfassung!$J$6:$J$3665,MATCH(INDEX(Zeiterfassung!$K$6:$K$3665,$K2766),Zeiterfassung!$K$6:$K$3665,0))))</f>
        <v/>
      </c>
      <c r="K2766">
        <f>IFERROR(AGGREGATE(15,6,(ROW(Zeiterfassung!$D$6:$D$3665)-ROW(Zeiterfassung!$D$6)+1)/(Zeiterfassung!$D$6:$D$3665&lt;&gt;""),2761),"")</f>
        <v/>
      </c>
    </row>
    <row r="2767" ht="20" customHeight="1">
      <c r="A2767" s="183">
        <f>IF($K2767="","",WEEKNUM(INDEX(Zeiterfassung!$K$6:$K$3665,$K2767),21))</f>
        <v/>
      </c>
      <c r="B2767" s="184">
        <f>IF($K2767="","",INDEX(Zeiterfassung!$K$6:$K$3665,$K2767))</f>
        <v/>
      </c>
      <c r="C2767" s="185">
        <f>IF($K2767="","",INDEX(Zeiterfassung!$K$6:$K$3665,$K2767))</f>
        <v/>
      </c>
      <c r="D2767" s="186">
        <f>IF($K2767="","",INDEX(Zeiterfassung!$D$6:$D$3665,$K2767))</f>
        <v/>
      </c>
      <c r="E2767" s="186">
        <f>IF($K2767="","",INDEX(Zeiterfassung!$E$6:$E$3665,$K2767))</f>
        <v/>
      </c>
      <c r="F2767" s="187">
        <f>IF($K2767="","",INDEX(Zeiterfassung!$F$6:$F$3665,$K2767))</f>
        <v/>
      </c>
      <c r="G2767" s="187">
        <f>IF($K2767="","",INDEX(Zeiterfassung!$G$6:$G$3665,$K2767))</f>
        <v/>
      </c>
      <c r="H2767" s="188">
        <f>IF($K2767="","",INDEX(Zeiterfassung!$H$6:$H$3665,$K2767))</f>
        <v/>
      </c>
      <c r="I2767" s="335">
        <f>IF(B2767=B2766,"",IF($K2767="","",INDEX(Zeiterfassung!$I$6:$I$3665,MATCH(INDEX(Zeiterfassung!$K$6:$K$3665,$K2767),Zeiterfassung!$K$6:$K$3665,0))))</f>
        <v/>
      </c>
      <c r="J2767" s="335">
        <f>IF(B2767=B2766,"",IF($K2767="","",INDEX(Zeiterfassung!$J$6:$J$3665,MATCH(INDEX(Zeiterfassung!$K$6:$K$3665,$K2767),Zeiterfassung!$K$6:$K$3665,0))))</f>
        <v/>
      </c>
      <c r="K2767">
        <f>IFERROR(AGGREGATE(15,6,(ROW(Zeiterfassung!$D$6:$D$3665)-ROW(Zeiterfassung!$D$6)+1)/(Zeiterfassung!$D$6:$D$3665&lt;&gt;""),2762),"")</f>
        <v/>
      </c>
    </row>
    <row r="2768" ht="20" customHeight="1">
      <c r="A2768" s="183">
        <f>IF($K2768="","",WEEKNUM(INDEX(Zeiterfassung!$K$6:$K$3665,$K2768),21))</f>
        <v/>
      </c>
      <c r="B2768" s="184">
        <f>IF($K2768="","",INDEX(Zeiterfassung!$K$6:$K$3665,$K2768))</f>
        <v/>
      </c>
      <c r="C2768" s="185">
        <f>IF($K2768="","",INDEX(Zeiterfassung!$K$6:$K$3665,$K2768))</f>
        <v/>
      </c>
      <c r="D2768" s="186">
        <f>IF($K2768="","",INDEX(Zeiterfassung!$D$6:$D$3665,$K2768))</f>
        <v/>
      </c>
      <c r="E2768" s="186">
        <f>IF($K2768="","",INDEX(Zeiterfassung!$E$6:$E$3665,$K2768))</f>
        <v/>
      </c>
      <c r="F2768" s="187">
        <f>IF($K2768="","",INDEX(Zeiterfassung!$F$6:$F$3665,$K2768))</f>
        <v/>
      </c>
      <c r="G2768" s="187">
        <f>IF($K2768="","",INDEX(Zeiterfassung!$G$6:$G$3665,$K2768))</f>
        <v/>
      </c>
      <c r="H2768" s="188">
        <f>IF($K2768="","",INDEX(Zeiterfassung!$H$6:$H$3665,$K2768))</f>
        <v/>
      </c>
      <c r="I2768" s="335">
        <f>IF(B2768=B2767,"",IF($K2768="","",INDEX(Zeiterfassung!$I$6:$I$3665,MATCH(INDEX(Zeiterfassung!$K$6:$K$3665,$K2768),Zeiterfassung!$K$6:$K$3665,0))))</f>
        <v/>
      </c>
      <c r="J2768" s="335">
        <f>IF(B2768=B2767,"",IF($K2768="","",INDEX(Zeiterfassung!$J$6:$J$3665,MATCH(INDEX(Zeiterfassung!$K$6:$K$3665,$K2768),Zeiterfassung!$K$6:$K$3665,0))))</f>
        <v/>
      </c>
      <c r="K2768">
        <f>IFERROR(AGGREGATE(15,6,(ROW(Zeiterfassung!$D$6:$D$3665)-ROW(Zeiterfassung!$D$6)+1)/(Zeiterfassung!$D$6:$D$3665&lt;&gt;""),2763),"")</f>
        <v/>
      </c>
    </row>
    <row r="2769" ht="20" customHeight="1">
      <c r="A2769" s="183">
        <f>IF($K2769="","",WEEKNUM(INDEX(Zeiterfassung!$K$6:$K$3665,$K2769),21))</f>
        <v/>
      </c>
      <c r="B2769" s="184">
        <f>IF($K2769="","",INDEX(Zeiterfassung!$K$6:$K$3665,$K2769))</f>
        <v/>
      </c>
      <c r="C2769" s="185">
        <f>IF($K2769="","",INDEX(Zeiterfassung!$K$6:$K$3665,$K2769))</f>
        <v/>
      </c>
      <c r="D2769" s="186">
        <f>IF($K2769="","",INDEX(Zeiterfassung!$D$6:$D$3665,$K2769))</f>
        <v/>
      </c>
      <c r="E2769" s="186">
        <f>IF($K2769="","",INDEX(Zeiterfassung!$E$6:$E$3665,$K2769))</f>
        <v/>
      </c>
      <c r="F2769" s="187">
        <f>IF($K2769="","",INDEX(Zeiterfassung!$F$6:$F$3665,$K2769))</f>
        <v/>
      </c>
      <c r="G2769" s="187">
        <f>IF($K2769="","",INDEX(Zeiterfassung!$G$6:$G$3665,$K2769))</f>
        <v/>
      </c>
      <c r="H2769" s="188">
        <f>IF($K2769="","",INDEX(Zeiterfassung!$H$6:$H$3665,$K2769))</f>
        <v/>
      </c>
      <c r="I2769" s="335">
        <f>IF(B2769=B2768,"",IF($K2769="","",INDEX(Zeiterfassung!$I$6:$I$3665,MATCH(INDEX(Zeiterfassung!$K$6:$K$3665,$K2769),Zeiterfassung!$K$6:$K$3665,0))))</f>
        <v/>
      </c>
      <c r="J2769" s="335">
        <f>IF(B2769=B2768,"",IF($K2769="","",INDEX(Zeiterfassung!$J$6:$J$3665,MATCH(INDEX(Zeiterfassung!$K$6:$K$3665,$K2769),Zeiterfassung!$K$6:$K$3665,0))))</f>
        <v/>
      </c>
      <c r="K2769">
        <f>IFERROR(AGGREGATE(15,6,(ROW(Zeiterfassung!$D$6:$D$3665)-ROW(Zeiterfassung!$D$6)+1)/(Zeiterfassung!$D$6:$D$3665&lt;&gt;""),2764),"")</f>
        <v/>
      </c>
    </row>
    <row r="2770" ht="20" customHeight="1">
      <c r="A2770" s="183">
        <f>IF($K2770="","",WEEKNUM(INDEX(Zeiterfassung!$K$6:$K$3665,$K2770),21))</f>
        <v/>
      </c>
      <c r="B2770" s="184">
        <f>IF($K2770="","",INDEX(Zeiterfassung!$K$6:$K$3665,$K2770))</f>
        <v/>
      </c>
      <c r="C2770" s="185">
        <f>IF($K2770="","",INDEX(Zeiterfassung!$K$6:$K$3665,$K2770))</f>
        <v/>
      </c>
      <c r="D2770" s="186">
        <f>IF($K2770="","",INDEX(Zeiterfassung!$D$6:$D$3665,$K2770))</f>
        <v/>
      </c>
      <c r="E2770" s="186">
        <f>IF($K2770="","",INDEX(Zeiterfassung!$E$6:$E$3665,$K2770))</f>
        <v/>
      </c>
      <c r="F2770" s="187">
        <f>IF($K2770="","",INDEX(Zeiterfassung!$F$6:$F$3665,$K2770))</f>
        <v/>
      </c>
      <c r="G2770" s="187">
        <f>IF($K2770="","",INDEX(Zeiterfassung!$G$6:$G$3665,$K2770))</f>
        <v/>
      </c>
      <c r="H2770" s="188">
        <f>IF($K2770="","",INDEX(Zeiterfassung!$H$6:$H$3665,$K2770))</f>
        <v/>
      </c>
      <c r="I2770" s="335">
        <f>IF(B2770=B2769,"",IF($K2770="","",INDEX(Zeiterfassung!$I$6:$I$3665,MATCH(INDEX(Zeiterfassung!$K$6:$K$3665,$K2770),Zeiterfassung!$K$6:$K$3665,0))))</f>
        <v/>
      </c>
      <c r="J2770" s="335">
        <f>IF(B2770=B2769,"",IF($K2770="","",INDEX(Zeiterfassung!$J$6:$J$3665,MATCH(INDEX(Zeiterfassung!$K$6:$K$3665,$K2770),Zeiterfassung!$K$6:$K$3665,0))))</f>
        <v/>
      </c>
      <c r="K2770">
        <f>IFERROR(AGGREGATE(15,6,(ROW(Zeiterfassung!$D$6:$D$3665)-ROW(Zeiterfassung!$D$6)+1)/(Zeiterfassung!$D$6:$D$3665&lt;&gt;""),2765),"")</f>
        <v/>
      </c>
    </row>
    <row r="2771" ht="20" customHeight="1">
      <c r="A2771" s="183">
        <f>IF($K2771="","",WEEKNUM(INDEX(Zeiterfassung!$K$6:$K$3665,$K2771),21))</f>
        <v/>
      </c>
      <c r="B2771" s="184">
        <f>IF($K2771="","",INDEX(Zeiterfassung!$K$6:$K$3665,$K2771))</f>
        <v/>
      </c>
      <c r="C2771" s="185">
        <f>IF($K2771="","",INDEX(Zeiterfassung!$K$6:$K$3665,$K2771))</f>
        <v/>
      </c>
      <c r="D2771" s="186">
        <f>IF($K2771="","",INDEX(Zeiterfassung!$D$6:$D$3665,$K2771))</f>
        <v/>
      </c>
      <c r="E2771" s="186">
        <f>IF($K2771="","",INDEX(Zeiterfassung!$E$6:$E$3665,$K2771))</f>
        <v/>
      </c>
      <c r="F2771" s="187">
        <f>IF($K2771="","",INDEX(Zeiterfassung!$F$6:$F$3665,$K2771))</f>
        <v/>
      </c>
      <c r="G2771" s="187">
        <f>IF($K2771="","",INDEX(Zeiterfassung!$G$6:$G$3665,$K2771))</f>
        <v/>
      </c>
      <c r="H2771" s="188">
        <f>IF($K2771="","",INDEX(Zeiterfassung!$H$6:$H$3665,$K2771))</f>
        <v/>
      </c>
      <c r="I2771" s="335">
        <f>IF(B2771=B2770,"",IF($K2771="","",INDEX(Zeiterfassung!$I$6:$I$3665,MATCH(INDEX(Zeiterfassung!$K$6:$K$3665,$K2771),Zeiterfassung!$K$6:$K$3665,0))))</f>
        <v/>
      </c>
      <c r="J2771" s="335">
        <f>IF(B2771=B2770,"",IF($K2771="","",INDEX(Zeiterfassung!$J$6:$J$3665,MATCH(INDEX(Zeiterfassung!$K$6:$K$3665,$K2771),Zeiterfassung!$K$6:$K$3665,0))))</f>
        <v/>
      </c>
      <c r="K2771">
        <f>IFERROR(AGGREGATE(15,6,(ROW(Zeiterfassung!$D$6:$D$3665)-ROW(Zeiterfassung!$D$6)+1)/(Zeiterfassung!$D$6:$D$3665&lt;&gt;""),2766),"")</f>
        <v/>
      </c>
    </row>
    <row r="2772" ht="20" customHeight="1">
      <c r="A2772" s="183">
        <f>IF($K2772="","",WEEKNUM(INDEX(Zeiterfassung!$K$6:$K$3665,$K2772),21))</f>
        <v/>
      </c>
      <c r="B2772" s="184">
        <f>IF($K2772="","",INDEX(Zeiterfassung!$K$6:$K$3665,$K2772))</f>
        <v/>
      </c>
      <c r="C2772" s="185">
        <f>IF($K2772="","",INDEX(Zeiterfassung!$K$6:$K$3665,$K2772))</f>
        <v/>
      </c>
      <c r="D2772" s="186">
        <f>IF($K2772="","",INDEX(Zeiterfassung!$D$6:$D$3665,$K2772))</f>
        <v/>
      </c>
      <c r="E2772" s="186">
        <f>IF($K2772="","",INDEX(Zeiterfassung!$E$6:$E$3665,$K2772))</f>
        <v/>
      </c>
      <c r="F2772" s="187">
        <f>IF($K2772="","",INDEX(Zeiterfassung!$F$6:$F$3665,$K2772))</f>
        <v/>
      </c>
      <c r="G2772" s="187">
        <f>IF($K2772="","",INDEX(Zeiterfassung!$G$6:$G$3665,$K2772))</f>
        <v/>
      </c>
      <c r="H2772" s="188">
        <f>IF($K2772="","",INDEX(Zeiterfassung!$H$6:$H$3665,$K2772))</f>
        <v/>
      </c>
      <c r="I2772" s="335">
        <f>IF(B2772=B2771,"",IF($K2772="","",INDEX(Zeiterfassung!$I$6:$I$3665,MATCH(INDEX(Zeiterfassung!$K$6:$K$3665,$K2772),Zeiterfassung!$K$6:$K$3665,0))))</f>
        <v/>
      </c>
      <c r="J2772" s="335">
        <f>IF(B2772=B2771,"",IF($K2772="","",INDEX(Zeiterfassung!$J$6:$J$3665,MATCH(INDEX(Zeiterfassung!$K$6:$K$3665,$K2772),Zeiterfassung!$K$6:$K$3665,0))))</f>
        <v/>
      </c>
      <c r="K2772">
        <f>IFERROR(AGGREGATE(15,6,(ROW(Zeiterfassung!$D$6:$D$3665)-ROW(Zeiterfassung!$D$6)+1)/(Zeiterfassung!$D$6:$D$3665&lt;&gt;""),2767),"")</f>
        <v/>
      </c>
    </row>
    <row r="2773" ht="20" customHeight="1">
      <c r="A2773" s="183">
        <f>IF($K2773="","",WEEKNUM(INDEX(Zeiterfassung!$K$6:$K$3665,$K2773),21))</f>
        <v/>
      </c>
      <c r="B2773" s="184">
        <f>IF($K2773="","",INDEX(Zeiterfassung!$K$6:$K$3665,$K2773))</f>
        <v/>
      </c>
      <c r="C2773" s="185">
        <f>IF($K2773="","",INDEX(Zeiterfassung!$K$6:$K$3665,$K2773))</f>
        <v/>
      </c>
      <c r="D2773" s="186">
        <f>IF($K2773="","",INDEX(Zeiterfassung!$D$6:$D$3665,$K2773))</f>
        <v/>
      </c>
      <c r="E2773" s="186">
        <f>IF($K2773="","",INDEX(Zeiterfassung!$E$6:$E$3665,$K2773))</f>
        <v/>
      </c>
      <c r="F2773" s="187">
        <f>IF($K2773="","",INDEX(Zeiterfassung!$F$6:$F$3665,$K2773))</f>
        <v/>
      </c>
      <c r="G2773" s="187">
        <f>IF($K2773="","",INDEX(Zeiterfassung!$G$6:$G$3665,$K2773))</f>
        <v/>
      </c>
      <c r="H2773" s="188">
        <f>IF($K2773="","",INDEX(Zeiterfassung!$H$6:$H$3665,$K2773))</f>
        <v/>
      </c>
      <c r="I2773" s="335">
        <f>IF(B2773=B2772,"",IF($K2773="","",INDEX(Zeiterfassung!$I$6:$I$3665,MATCH(INDEX(Zeiterfassung!$K$6:$K$3665,$K2773),Zeiterfassung!$K$6:$K$3665,0))))</f>
        <v/>
      </c>
      <c r="J2773" s="335">
        <f>IF(B2773=B2772,"",IF($K2773="","",INDEX(Zeiterfassung!$J$6:$J$3665,MATCH(INDEX(Zeiterfassung!$K$6:$K$3665,$K2773),Zeiterfassung!$K$6:$K$3665,0))))</f>
        <v/>
      </c>
      <c r="K2773">
        <f>IFERROR(AGGREGATE(15,6,(ROW(Zeiterfassung!$D$6:$D$3665)-ROW(Zeiterfassung!$D$6)+1)/(Zeiterfassung!$D$6:$D$3665&lt;&gt;""),2768),"")</f>
        <v/>
      </c>
    </row>
    <row r="2774" ht="20" customHeight="1">
      <c r="A2774" s="183">
        <f>IF($K2774="","",WEEKNUM(INDEX(Zeiterfassung!$K$6:$K$3665,$K2774),21))</f>
        <v/>
      </c>
      <c r="B2774" s="184">
        <f>IF($K2774="","",INDEX(Zeiterfassung!$K$6:$K$3665,$K2774))</f>
        <v/>
      </c>
      <c r="C2774" s="185">
        <f>IF($K2774="","",INDEX(Zeiterfassung!$K$6:$K$3665,$K2774))</f>
        <v/>
      </c>
      <c r="D2774" s="186">
        <f>IF($K2774="","",INDEX(Zeiterfassung!$D$6:$D$3665,$K2774))</f>
        <v/>
      </c>
      <c r="E2774" s="186">
        <f>IF($K2774="","",INDEX(Zeiterfassung!$E$6:$E$3665,$K2774))</f>
        <v/>
      </c>
      <c r="F2774" s="187">
        <f>IF($K2774="","",INDEX(Zeiterfassung!$F$6:$F$3665,$K2774))</f>
        <v/>
      </c>
      <c r="G2774" s="187">
        <f>IF($K2774="","",INDEX(Zeiterfassung!$G$6:$G$3665,$K2774))</f>
        <v/>
      </c>
      <c r="H2774" s="188">
        <f>IF($K2774="","",INDEX(Zeiterfassung!$H$6:$H$3665,$K2774))</f>
        <v/>
      </c>
      <c r="I2774" s="335">
        <f>IF(B2774=B2773,"",IF($K2774="","",INDEX(Zeiterfassung!$I$6:$I$3665,MATCH(INDEX(Zeiterfassung!$K$6:$K$3665,$K2774),Zeiterfassung!$K$6:$K$3665,0))))</f>
        <v/>
      </c>
      <c r="J2774" s="335">
        <f>IF(B2774=B2773,"",IF($K2774="","",INDEX(Zeiterfassung!$J$6:$J$3665,MATCH(INDEX(Zeiterfassung!$K$6:$K$3665,$K2774),Zeiterfassung!$K$6:$K$3665,0))))</f>
        <v/>
      </c>
      <c r="K2774">
        <f>IFERROR(AGGREGATE(15,6,(ROW(Zeiterfassung!$D$6:$D$3665)-ROW(Zeiterfassung!$D$6)+1)/(Zeiterfassung!$D$6:$D$3665&lt;&gt;""),2769),"")</f>
        <v/>
      </c>
    </row>
    <row r="2775" ht="20" customHeight="1">
      <c r="A2775" s="183">
        <f>IF($K2775="","",WEEKNUM(INDEX(Zeiterfassung!$K$6:$K$3665,$K2775),21))</f>
        <v/>
      </c>
      <c r="B2775" s="184">
        <f>IF($K2775="","",INDEX(Zeiterfassung!$K$6:$K$3665,$K2775))</f>
        <v/>
      </c>
      <c r="C2775" s="185">
        <f>IF($K2775="","",INDEX(Zeiterfassung!$K$6:$K$3665,$K2775))</f>
        <v/>
      </c>
      <c r="D2775" s="186">
        <f>IF($K2775="","",INDEX(Zeiterfassung!$D$6:$D$3665,$K2775))</f>
        <v/>
      </c>
      <c r="E2775" s="186">
        <f>IF($K2775="","",INDEX(Zeiterfassung!$E$6:$E$3665,$K2775))</f>
        <v/>
      </c>
      <c r="F2775" s="187">
        <f>IF($K2775="","",INDEX(Zeiterfassung!$F$6:$F$3665,$K2775))</f>
        <v/>
      </c>
      <c r="G2775" s="187">
        <f>IF($K2775="","",INDEX(Zeiterfassung!$G$6:$G$3665,$K2775))</f>
        <v/>
      </c>
      <c r="H2775" s="188">
        <f>IF($K2775="","",INDEX(Zeiterfassung!$H$6:$H$3665,$K2775))</f>
        <v/>
      </c>
      <c r="I2775" s="335">
        <f>IF(B2775=B2774,"",IF($K2775="","",INDEX(Zeiterfassung!$I$6:$I$3665,MATCH(INDEX(Zeiterfassung!$K$6:$K$3665,$K2775),Zeiterfassung!$K$6:$K$3665,0))))</f>
        <v/>
      </c>
      <c r="J2775" s="335">
        <f>IF(B2775=B2774,"",IF($K2775="","",INDEX(Zeiterfassung!$J$6:$J$3665,MATCH(INDEX(Zeiterfassung!$K$6:$K$3665,$K2775),Zeiterfassung!$K$6:$K$3665,0))))</f>
        <v/>
      </c>
      <c r="K2775">
        <f>IFERROR(AGGREGATE(15,6,(ROW(Zeiterfassung!$D$6:$D$3665)-ROW(Zeiterfassung!$D$6)+1)/(Zeiterfassung!$D$6:$D$3665&lt;&gt;""),2770),"")</f>
        <v/>
      </c>
    </row>
    <row r="2776" ht="20" customHeight="1">
      <c r="A2776" s="183">
        <f>IF($K2776="","",WEEKNUM(INDEX(Zeiterfassung!$K$6:$K$3665,$K2776),21))</f>
        <v/>
      </c>
      <c r="B2776" s="184">
        <f>IF($K2776="","",INDEX(Zeiterfassung!$K$6:$K$3665,$K2776))</f>
        <v/>
      </c>
      <c r="C2776" s="185">
        <f>IF($K2776="","",INDEX(Zeiterfassung!$K$6:$K$3665,$K2776))</f>
        <v/>
      </c>
      <c r="D2776" s="186">
        <f>IF($K2776="","",INDEX(Zeiterfassung!$D$6:$D$3665,$K2776))</f>
        <v/>
      </c>
      <c r="E2776" s="186">
        <f>IF($K2776="","",INDEX(Zeiterfassung!$E$6:$E$3665,$K2776))</f>
        <v/>
      </c>
      <c r="F2776" s="187">
        <f>IF($K2776="","",INDEX(Zeiterfassung!$F$6:$F$3665,$K2776))</f>
        <v/>
      </c>
      <c r="G2776" s="187">
        <f>IF($K2776="","",INDEX(Zeiterfassung!$G$6:$G$3665,$K2776))</f>
        <v/>
      </c>
      <c r="H2776" s="188">
        <f>IF($K2776="","",INDEX(Zeiterfassung!$H$6:$H$3665,$K2776))</f>
        <v/>
      </c>
      <c r="I2776" s="335">
        <f>IF(B2776=B2775,"",IF($K2776="","",INDEX(Zeiterfassung!$I$6:$I$3665,MATCH(INDEX(Zeiterfassung!$K$6:$K$3665,$K2776),Zeiterfassung!$K$6:$K$3665,0))))</f>
        <v/>
      </c>
      <c r="J2776" s="335">
        <f>IF(B2776=B2775,"",IF($K2776="","",INDEX(Zeiterfassung!$J$6:$J$3665,MATCH(INDEX(Zeiterfassung!$K$6:$K$3665,$K2776),Zeiterfassung!$K$6:$K$3665,0))))</f>
        <v/>
      </c>
      <c r="K2776">
        <f>IFERROR(AGGREGATE(15,6,(ROW(Zeiterfassung!$D$6:$D$3665)-ROW(Zeiterfassung!$D$6)+1)/(Zeiterfassung!$D$6:$D$3665&lt;&gt;""),2771),"")</f>
        <v/>
      </c>
    </row>
    <row r="2777" ht="20" customHeight="1">
      <c r="A2777" s="183">
        <f>IF($K2777="","",WEEKNUM(INDEX(Zeiterfassung!$K$6:$K$3665,$K2777),21))</f>
        <v/>
      </c>
      <c r="B2777" s="184">
        <f>IF($K2777="","",INDEX(Zeiterfassung!$K$6:$K$3665,$K2777))</f>
        <v/>
      </c>
      <c r="C2777" s="185">
        <f>IF($K2777="","",INDEX(Zeiterfassung!$K$6:$K$3665,$K2777))</f>
        <v/>
      </c>
      <c r="D2777" s="186">
        <f>IF($K2777="","",INDEX(Zeiterfassung!$D$6:$D$3665,$K2777))</f>
        <v/>
      </c>
      <c r="E2777" s="186">
        <f>IF($K2777="","",INDEX(Zeiterfassung!$E$6:$E$3665,$K2777))</f>
        <v/>
      </c>
      <c r="F2777" s="187">
        <f>IF($K2777="","",INDEX(Zeiterfassung!$F$6:$F$3665,$K2777))</f>
        <v/>
      </c>
      <c r="G2777" s="187">
        <f>IF($K2777="","",INDEX(Zeiterfassung!$G$6:$G$3665,$K2777))</f>
        <v/>
      </c>
      <c r="H2777" s="188">
        <f>IF($K2777="","",INDEX(Zeiterfassung!$H$6:$H$3665,$K2777))</f>
        <v/>
      </c>
      <c r="I2777" s="335">
        <f>IF(B2777=B2776,"",IF($K2777="","",INDEX(Zeiterfassung!$I$6:$I$3665,MATCH(INDEX(Zeiterfassung!$K$6:$K$3665,$K2777),Zeiterfassung!$K$6:$K$3665,0))))</f>
        <v/>
      </c>
      <c r="J2777" s="335">
        <f>IF(B2777=B2776,"",IF($K2777="","",INDEX(Zeiterfassung!$J$6:$J$3665,MATCH(INDEX(Zeiterfassung!$K$6:$K$3665,$K2777),Zeiterfassung!$K$6:$K$3665,0))))</f>
        <v/>
      </c>
      <c r="K2777">
        <f>IFERROR(AGGREGATE(15,6,(ROW(Zeiterfassung!$D$6:$D$3665)-ROW(Zeiterfassung!$D$6)+1)/(Zeiterfassung!$D$6:$D$3665&lt;&gt;""),2772),"")</f>
        <v/>
      </c>
    </row>
    <row r="2778" ht="20" customHeight="1">
      <c r="A2778" s="183">
        <f>IF($K2778="","",WEEKNUM(INDEX(Zeiterfassung!$K$6:$K$3665,$K2778),21))</f>
        <v/>
      </c>
      <c r="B2778" s="184">
        <f>IF($K2778="","",INDEX(Zeiterfassung!$K$6:$K$3665,$K2778))</f>
        <v/>
      </c>
      <c r="C2778" s="185">
        <f>IF($K2778="","",INDEX(Zeiterfassung!$K$6:$K$3665,$K2778))</f>
        <v/>
      </c>
      <c r="D2778" s="186">
        <f>IF($K2778="","",INDEX(Zeiterfassung!$D$6:$D$3665,$K2778))</f>
        <v/>
      </c>
      <c r="E2778" s="186">
        <f>IF($K2778="","",INDEX(Zeiterfassung!$E$6:$E$3665,$K2778))</f>
        <v/>
      </c>
      <c r="F2778" s="187">
        <f>IF($K2778="","",INDEX(Zeiterfassung!$F$6:$F$3665,$K2778))</f>
        <v/>
      </c>
      <c r="G2778" s="187">
        <f>IF($K2778="","",INDEX(Zeiterfassung!$G$6:$G$3665,$K2778))</f>
        <v/>
      </c>
      <c r="H2778" s="188">
        <f>IF($K2778="","",INDEX(Zeiterfassung!$H$6:$H$3665,$K2778))</f>
        <v/>
      </c>
      <c r="I2778" s="335">
        <f>IF(B2778=B2777,"",IF($K2778="","",INDEX(Zeiterfassung!$I$6:$I$3665,MATCH(INDEX(Zeiterfassung!$K$6:$K$3665,$K2778),Zeiterfassung!$K$6:$K$3665,0))))</f>
        <v/>
      </c>
      <c r="J2778" s="335">
        <f>IF(B2778=B2777,"",IF($K2778="","",INDEX(Zeiterfassung!$J$6:$J$3665,MATCH(INDEX(Zeiterfassung!$K$6:$K$3665,$K2778),Zeiterfassung!$K$6:$K$3665,0))))</f>
        <v/>
      </c>
      <c r="K2778">
        <f>IFERROR(AGGREGATE(15,6,(ROW(Zeiterfassung!$D$6:$D$3665)-ROW(Zeiterfassung!$D$6)+1)/(Zeiterfassung!$D$6:$D$3665&lt;&gt;""),2773),"")</f>
        <v/>
      </c>
    </row>
    <row r="2779" ht="20" customHeight="1">
      <c r="A2779" s="183">
        <f>IF($K2779="","",WEEKNUM(INDEX(Zeiterfassung!$K$6:$K$3665,$K2779),21))</f>
        <v/>
      </c>
      <c r="B2779" s="184">
        <f>IF($K2779="","",INDEX(Zeiterfassung!$K$6:$K$3665,$K2779))</f>
        <v/>
      </c>
      <c r="C2779" s="185">
        <f>IF($K2779="","",INDEX(Zeiterfassung!$K$6:$K$3665,$K2779))</f>
        <v/>
      </c>
      <c r="D2779" s="186">
        <f>IF($K2779="","",INDEX(Zeiterfassung!$D$6:$D$3665,$K2779))</f>
        <v/>
      </c>
      <c r="E2779" s="186">
        <f>IF($K2779="","",INDEX(Zeiterfassung!$E$6:$E$3665,$K2779))</f>
        <v/>
      </c>
      <c r="F2779" s="187">
        <f>IF($K2779="","",INDEX(Zeiterfassung!$F$6:$F$3665,$K2779))</f>
        <v/>
      </c>
      <c r="G2779" s="187">
        <f>IF($K2779="","",INDEX(Zeiterfassung!$G$6:$G$3665,$K2779))</f>
        <v/>
      </c>
      <c r="H2779" s="188">
        <f>IF($K2779="","",INDEX(Zeiterfassung!$H$6:$H$3665,$K2779))</f>
        <v/>
      </c>
      <c r="I2779" s="335">
        <f>IF(B2779=B2778,"",IF($K2779="","",INDEX(Zeiterfassung!$I$6:$I$3665,MATCH(INDEX(Zeiterfassung!$K$6:$K$3665,$K2779),Zeiterfassung!$K$6:$K$3665,0))))</f>
        <v/>
      </c>
      <c r="J2779" s="335">
        <f>IF(B2779=B2778,"",IF($K2779="","",INDEX(Zeiterfassung!$J$6:$J$3665,MATCH(INDEX(Zeiterfassung!$K$6:$K$3665,$K2779),Zeiterfassung!$K$6:$K$3665,0))))</f>
        <v/>
      </c>
      <c r="K2779">
        <f>IFERROR(AGGREGATE(15,6,(ROW(Zeiterfassung!$D$6:$D$3665)-ROW(Zeiterfassung!$D$6)+1)/(Zeiterfassung!$D$6:$D$3665&lt;&gt;""),2774),"")</f>
        <v/>
      </c>
    </row>
    <row r="2780" ht="20" customHeight="1">
      <c r="A2780" s="183">
        <f>IF($K2780="","",WEEKNUM(INDEX(Zeiterfassung!$K$6:$K$3665,$K2780),21))</f>
        <v/>
      </c>
      <c r="B2780" s="184">
        <f>IF($K2780="","",INDEX(Zeiterfassung!$K$6:$K$3665,$K2780))</f>
        <v/>
      </c>
      <c r="C2780" s="185">
        <f>IF($K2780="","",INDEX(Zeiterfassung!$K$6:$K$3665,$K2780))</f>
        <v/>
      </c>
      <c r="D2780" s="186">
        <f>IF($K2780="","",INDEX(Zeiterfassung!$D$6:$D$3665,$K2780))</f>
        <v/>
      </c>
      <c r="E2780" s="186">
        <f>IF($K2780="","",INDEX(Zeiterfassung!$E$6:$E$3665,$K2780))</f>
        <v/>
      </c>
      <c r="F2780" s="187">
        <f>IF($K2780="","",INDEX(Zeiterfassung!$F$6:$F$3665,$K2780))</f>
        <v/>
      </c>
      <c r="G2780" s="187">
        <f>IF($K2780="","",INDEX(Zeiterfassung!$G$6:$G$3665,$K2780))</f>
        <v/>
      </c>
      <c r="H2780" s="188">
        <f>IF($K2780="","",INDEX(Zeiterfassung!$H$6:$H$3665,$K2780))</f>
        <v/>
      </c>
      <c r="I2780" s="335">
        <f>IF(B2780=B2779,"",IF($K2780="","",INDEX(Zeiterfassung!$I$6:$I$3665,MATCH(INDEX(Zeiterfassung!$K$6:$K$3665,$K2780),Zeiterfassung!$K$6:$K$3665,0))))</f>
        <v/>
      </c>
      <c r="J2780" s="335">
        <f>IF(B2780=B2779,"",IF($K2780="","",INDEX(Zeiterfassung!$J$6:$J$3665,MATCH(INDEX(Zeiterfassung!$K$6:$K$3665,$K2780),Zeiterfassung!$K$6:$K$3665,0))))</f>
        <v/>
      </c>
      <c r="K2780">
        <f>IFERROR(AGGREGATE(15,6,(ROW(Zeiterfassung!$D$6:$D$3665)-ROW(Zeiterfassung!$D$6)+1)/(Zeiterfassung!$D$6:$D$3665&lt;&gt;""),2775),"")</f>
        <v/>
      </c>
    </row>
    <row r="2781" ht="20" customHeight="1">
      <c r="A2781" s="183">
        <f>IF($K2781="","",WEEKNUM(INDEX(Zeiterfassung!$K$6:$K$3665,$K2781),21))</f>
        <v/>
      </c>
      <c r="B2781" s="184">
        <f>IF($K2781="","",INDEX(Zeiterfassung!$K$6:$K$3665,$K2781))</f>
        <v/>
      </c>
      <c r="C2781" s="185">
        <f>IF($K2781="","",INDEX(Zeiterfassung!$K$6:$K$3665,$K2781))</f>
        <v/>
      </c>
      <c r="D2781" s="186">
        <f>IF($K2781="","",INDEX(Zeiterfassung!$D$6:$D$3665,$K2781))</f>
        <v/>
      </c>
      <c r="E2781" s="186">
        <f>IF($K2781="","",INDEX(Zeiterfassung!$E$6:$E$3665,$K2781))</f>
        <v/>
      </c>
      <c r="F2781" s="187">
        <f>IF($K2781="","",INDEX(Zeiterfassung!$F$6:$F$3665,$K2781))</f>
        <v/>
      </c>
      <c r="G2781" s="187">
        <f>IF($K2781="","",INDEX(Zeiterfassung!$G$6:$G$3665,$K2781))</f>
        <v/>
      </c>
      <c r="H2781" s="188">
        <f>IF($K2781="","",INDEX(Zeiterfassung!$H$6:$H$3665,$K2781))</f>
        <v/>
      </c>
      <c r="I2781" s="335">
        <f>IF(B2781=B2780,"",IF($K2781="","",INDEX(Zeiterfassung!$I$6:$I$3665,MATCH(INDEX(Zeiterfassung!$K$6:$K$3665,$K2781),Zeiterfassung!$K$6:$K$3665,0))))</f>
        <v/>
      </c>
      <c r="J2781" s="335">
        <f>IF(B2781=B2780,"",IF($K2781="","",INDEX(Zeiterfassung!$J$6:$J$3665,MATCH(INDEX(Zeiterfassung!$K$6:$K$3665,$K2781),Zeiterfassung!$K$6:$K$3665,0))))</f>
        <v/>
      </c>
      <c r="K2781">
        <f>IFERROR(AGGREGATE(15,6,(ROW(Zeiterfassung!$D$6:$D$3665)-ROW(Zeiterfassung!$D$6)+1)/(Zeiterfassung!$D$6:$D$3665&lt;&gt;""),2776),"")</f>
        <v/>
      </c>
    </row>
    <row r="2782" ht="20" customHeight="1">
      <c r="A2782" s="183">
        <f>IF($K2782="","",WEEKNUM(INDEX(Zeiterfassung!$K$6:$K$3665,$K2782),21))</f>
        <v/>
      </c>
      <c r="B2782" s="184">
        <f>IF($K2782="","",INDEX(Zeiterfassung!$K$6:$K$3665,$K2782))</f>
        <v/>
      </c>
      <c r="C2782" s="185">
        <f>IF($K2782="","",INDEX(Zeiterfassung!$K$6:$K$3665,$K2782))</f>
        <v/>
      </c>
      <c r="D2782" s="186">
        <f>IF($K2782="","",INDEX(Zeiterfassung!$D$6:$D$3665,$K2782))</f>
        <v/>
      </c>
      <c r="E2782" s="186">
        <f>IF($K2782="","",INDEX(Zeiterfassung!$E$6:$E$3665,$K2782))</f>
        <v/>
      </c>
      <c r="F2782" s="187">
        <f>IF($K2782="","",INDEX(Zeiterfassung!$F$6:$F$3665,$K2782))</f>
        <v/>
      </c>
      <c r="G2782" s="187">
        <f>IF($K2782="","",INDEX(Zeiterfassung!$G$6:$G$3665,$K2782))</f>
        <v/>
      </c>
      <c r="H2782" s="188">
        <f>IF($K2782="","",INDEX(Zeiterfassung!$H$6:$H$3665,$K2782))</f>
        <v/>
      </c>
      <c r="I2782" s="335">
        <f>IF(B2782=B2781,"",IF($K2782="","",INDEX(Zeiterfassung!$I$6:$I$3665,MATCH(INDEX(Zeiterfassung!$K$6:$K$3665,$K2782),Zeiterfassung!$K$6:$K$3665,0))))</f>
        <v/>
      </c>
      <c r="J2782" s="335">
        <f>IF(B2782=B2781,"",IF($K2782="","",INDEX(Zeiterfassung!$J$6:$J$3665,MATCH(INDEX(Zeiterfassung!$K$6:$K$3665,$K2782),Zeiterfassung!$K$6:$K$3665,0))))</f>
        <v/>
      </c>
      <c r="K2782">
        <f>IFERROR(AGGREGATE(15,6,(ROW(Zeiterfassung!$D$6:$D$3665)-ROW(Zeiterfassung!$D$6)+1)/(Zeiterfassung!$D$6:$D$3665&lt;&gt;""),2777),"")</f>
        <v/>
      </c>
    </row>
    <row r="2783" ht="20" customHeight="1">
      <c r="A2783" s="183">
        <f>IF($K2783="","",WEEKNUM(INDEX(Zeiterfassung!$K$6:$K$3665,$K2783),21))</f>
        <v/>
      </c>
      <c r="B2783" s="184">
        <f>IF($K2783="","",INDEX(Zeiterfassung!$K$6:$K$3665,$K2783))</f>
        <v/>
      </c>
      <c r="C2783" s="185">
        <f>IF($K2783="","",INDEX(Zeiterfassung!$K$6:$K$3665,$K2783))</f>
        <v/>
      </c>
      <c r="D2783" s="186">
        <f>IF($K2783="","",INDEX(Zeiterfassung!$D$6:$D$3665,$K2783))</f>
        <v/>
      </c>
      <c r="E2783" s="186">
        <f>IF($K2783="","",INDEX(Zeiterfassung!$E$6:$E$3665,$K2783))</f>
        <v/>
      </c>
      <c r="F2783" s="187">
        <f>IF($K2783="","",INDEX(Zeiterfassung!$F$6:$F$3665,$K2783))</f>
        <v/>
      </c>
      <c r="G2783" s="187">
        <f>IF($K2783="","",INDEX(Zeiterfassung!$G$6:$G$3665,$K2783))</f>
        <v/>
      </c>
      <c r="H2783" s="188">
        <f>IF($K2783="","",INDEX(Zeiterfassung!$H$6:$H$3665,$K2783))</f>
        <v/>
      </c>
      <c r="I2783" s="335">
        <f>IF(B2783=B2782,"",IF($K2783="","",INDEX(Zeiterfassung!$I$6:$I$3665,MATCH(INDEX(Zeiterfassung!$K$6:$K$3665,$K2783),Zeiterfassung!$K$6:$K$3665,0))))</f>
        <v/>
      </c>
      <c r="J2783" s="335">
        <f>IF(B2783=B2782,"",IF($K2783="","",INDEX(Zeiterfassung!$J$6:$J$3665,MATCH(INDEX(Zeiterfassung!$K$6:$K$3665,$K2783),Zeiterfassung!$K$6:$K$3665,0))))</f>
        <v/>
      </c>
      <c r="K2783">
        <f>IFERROR(AGGREGATE(15,6,(ROW(Zeiterfassung!$D$6:$D$3665)-ROW(Zeiterfassung!$D$6)+1)/(Zeiterfassung!$D$6:$D$3665&lt;&gt;""),2778),"")</f>
        <v/>
      </c>
    </row>
    <row r="2784" ht="20" customHeight="1">
      <c r="A2784" s="183">
        <f>IF($K2784="","",WEEKNUM(INDEX(Zeiterfassung!$K$6:$K$3665,$K2784),21))</f>
        <v/>
      </c>
      <c r="B2784" s="184">
        <f>IF($K2784="","",INDEX(Zeiterfassung!$K$6:$K$3665,$K2784))</f>
        <v/>
      </c>
      <c r="C2784" s="185">
        <f>IF($K2784="","",INDEX(Zeiterfassung!$K$6:$K$3665,$K2784))</f>
        <v/>
      </c>
      <c r="D2784" s="186">
        <f>IF($K2784="","",INDEX(Zeiterfassung!$D$6:$D$3665,$K2784))</f>
        <v/>
      </c>
      <c r="E2784" s="186">
        <f>IF($K2784="","",INDEX(Zeiterfassung!$E$6:$E$3665,$K2784))</f>
        <v/>
      </c>
      <c r="F2784" s="187">
        <f>IF($K2784="","",INDEX(Zeiterfassung!$F$6:$F$3665,$K2784))</f>
        <v/>
      </c>
      <c r="G2784" s="187">
        <f>IF($K2784="","",INDEX(Zeiterfassung!$G$6:$G$3665,$K2784))</f>
        <v/>
      </c>
      <c r="H2784" s="188">
        <f>IF($K2784="","",INDEX(Zeiterfassung!$H$6:$H$3665,$K2784))</f>
        <v/>
      </c>
      <c r="I2784" s="335">
        <f>IF(B2784=B2783,"",IF($K2784="","",INDEX(Zeiterfassung!$I$6:$I$3665,MATCH(INDEX(Zeiterfassung!$K$6:$K$3665,$K2784),Zeiterfassung!$K$6:$K$3665,0))))</f>
        <v/>
      </c>
      <c r="J2784" s="335">
        <f>IF(B2784=B2783,"",IF($K2784="","",INDEX(Zeiterfassung!$J$6:$J$3665,MATCH(INDEX(Zeiterfassung!$K$6:$K$3665,$K2784),Zeiterfassung!$K$6:$K$3665,0))))</f>
        <v/>
      </c>
      <c r="K2784">
        <f>IFERROR(AGGREGATE(15,6,(ROW(Zeiterfassung!$D$6:$D$3665)-ROW(Zeiterfassung!$D$6)+1)/(Zeiterfassung!$D$6:$D$3665&lt;&gt;""),2779),"")</f>
        <v/>
      </c>
    </row>
    <row r="2785" ht="20" customHeight="1">
      <c r="A2785" s="183">
        <f>IF($K2785="","",WEEKNUM(INDEX(Zeiterfassung!$K$6:$K$3665,$K2785),21))</f>
        <v/>
      </c>
      <c r="B2785" s="184">
        <f>IF($K2785="","",INDEX(Zeiterfassung!$K$6:$K$3665,$K2785))</f>
        <v/>
      </c>
      <c r="C2785" s="185">
        <f>IF($K2785="","",INDEX(Zeiterfassung!$K$6:$K$3665,$K2785))</f>
        <v/>
      </c>
      <c r="D2785" s="186">
        <f>IF($K2785="","",INDEX(Zeiterfassung!$D$6:$D$3665,$K2785))</f>
        <v/>
      </c>
      <c r="E2785" s="186">
        <f>IF($K2785="","",INDEX(Zeiterfassung!$E$6:$E$3665,$K2785))</f>
        <v/>
      </c>
      <c r="F2785" s="187">
        <f>IF($K2785="","",INDEX(Zeiterfassung!$F$6:$F$3665,$K2785))</f>
        <v/>
      </c>
      <c r="G2785" s="187">
        <f>IF($K2785="","",INDEX(Zeiterfassung!$G$6:$G$3665,$K2785))</f>
        <v/>
      </c>
      <c r="H2785" s="188">
        <f>IF($K2785="","",INDEX(Zeiterfassung!$H$6:$H$3665,$K2785))</f>
        <v/>
      </c>
      <c r="I2785" s="335">
        <f>IF(B2785=B2784,"",IF($K2785="","",INDEX(Zeiterfassung!$I$6:$I$3665,MATCH(INDEX(Zeiterfassung!$K$6:$K$3665,$K2785),Zeiterfassung!$K$6:$K$3665,0))))</f>
        <v/>
      </c>
      <c r="J2785" s="335">
        <f>IF(B2785=B2784,"",IF($K2785="","",INDEX(Zeiterfassung!$J$6:$J$3665,MATCH(INDEX(Zeiterfassung!$K$6:$K$3665,$K2785),Zeiterfassung!$K$6:$K$3665,0))))</f>
        <v/>
      </c>
      <c r="K2785">
        <f>IFERROR(AGGREGATE(15,6,(ROW(Zeiterfassung!$D$6:$D$3665)-ROW(Zeiterfassung!$D$6)+1)/(Zeiterfassung!$D$6:$D$3665&lt;&gt;""),2780),"")</f>
        <v/>
      </c>
    </row>
    <row r="2786" ht="20" customHeight="1">
      <c r="A2786" s="183">
        <f>IF($K2786="","",WEEKNUM(INDEX(Zeiterfassung!$K$6:$K$3665,$K2786),21))</f>
        <v/>
      </c>
      <c r="B2786" s="184">
        <f>IF($K2786="","",INDEX(Zeiterfassung!$K$6:$K$3665,$K2786))</f>
        <v/>
      </c>
      <c r="C2786" s="185">
        <f>IF($K2786="","",INDEX(Zeiterfassung!$K$6:$K$3665,$K2786))</f>
        <v/>
      </c>
      <c r="D2786" s="186">
        <f>IF($K2786="","",INDEX(Zeiterfassung!$D$6:$D$3665,$K2786))</f>
        <v/>
      </c>
      <c r="E2786" s="186">
        <f>IF($K2786="","",INDEX(Zeiterfassung!$E$6:$E$3665,$K2786))</f>
        <v/>
      </c>
      <c r="F2786" s="187">
        <f>IF($K2786="","",INDEX(Zeiterfassung!$F$6:$F$3665,$K2786))</f>
        <v/>
      </c>
      <c r="G2786" s="187">
        <f>IF($K2786="","",INDEX(Zeiterfassung!$G$6:$G$3665,$K2786))</f>
        <v/>
      </c>
      <c r="H2786" s="188">
        <f>IF($K2786="","",INDEX(Zeiterfassung!$H$6:$H$3665,$K2786))</f>
        <v/>
      </c>
      <c r="I2786" s="335">
        <f>IF(B2786=B2785,"",IF($K2786="","",INDEX(Zeiterfassung!$I$6:$I$3665,MATCH(INDEX(Zeiterfassung!$K$6:$K$3665,$K2786),Zeiterfassung!$K$6:$K$3665,0))))</f>
        <v/>
      </c>
      <c r="J2786" s="335">
        <f>IF(B2786=B2785,"",IF($K2786="","",INDEX(Zeiterfassung!$J$6:$J$3665,MATCH(INDEX(Zeiterfassung!$K$6:$K$3665,$K2786),Zeiterfassung!$K$6:$K$3665,0))))</f>
        <v/>
      </c>
      <c r="K2786">
        <f>IFERROR(AGGREGATE(15,6,(ROW(Zeiterfassung!$D$6:$D$3665)-ROW(Zeiterfassung!$D$6)+1)/(Zeiterfassung!$D$6:$D$3665&lt;&gt;""),2781),"")</f>
        <v/>
      </c>
    </row>
    <row r="2787" ht="20" customHeight="1">
      <c r="A2787" s="183">
        <f>IF($K2787="","",WEEKNUM(INDEX(Zeiterfassung!$K$6:$K$3665,$K2787),21))</f>
        <v/>
      </c>
      <c r="B2787" s="184">
        <f>IF($K2787="","",INDEX(Zeiterfassung!$K$6:$K$3665,$K2787))</f>
        <v/>
      </c>
      <c r="C2787" s="185">
        <f>IF($K2787="","",INDEX(Zeiterfassung!$K$6:$K$3665,$K2787))</f>
        <v/>
      </c>
      <c r="D2787" s="186">
        <f>IF($K2787="","",INDEX(Zeiterfassung!$D$6:$D$3665,$K2787))</f>
        <v/>
      </c>
      <c r="E2787" s="186">
        <f>IF($K2787="","",INDEX(Zeiterfassung!$E$6:$E$3665,$K2787))</f>
        <v/>
      </c>
      <c r="F2787" s="187">
        <f>IF($K2787="","",INDEX(Zeiterfassung!$F$6:$F$3665,$K2787))</f>
        <v/>
      </c>
      <c r="G2787" s="187">
        <f>IF($K2787="","",INDEX(Zeiterfassung!$G$6:$G$3665,$K2787))</f>
        <v/>
      </c>
      <c r="H2787" s="188">
        <f>IF($K2787="","",INDEX(Zeiterfassung!$H$6:$H$3665,$K2787))</f>
        <v/>
      </c>
      <c r="I2787" s="335">
        <f>IF(B2787=B2786,"",IF($K2787="","",INDEX(Zeiterfassung!$I$6:$I$3665,MATCH(INDEX(Zeiterfassung!$K$6:$K$3665,$K2787),Zeiterfassung!$K$6:$K$3665,0))))</f>
        <v/>
      </c>
      <c r="J2787" s="335">
        <f>IF(B2787=B2786,"",IF($K2787="","",INDEX(Zeiterfassung!$J$6:$J$3665,MATCH(INDEX(Zeiterfassung!$K$6:$K$3665,$K2787),Zeiterfassung!$K$6:$K$3665,0))))</f>
        <v/>
      </c>
      <c r="K2787">
        <f>IFERROR(AGGREGATE(15,6,(ROW(Zeiterfassung!$D$6:$D$3665)-ROW(Zeiterfassung!$D$6)+1)/(Zeiterfassung!$D$6:$D$3665&lt;&gt;""),2782),"")</f>
        <v/>
      </c>
    </row>
    <row r="2788" ht="20" customHeight="1">
      <c r="A2788" s="183">
        <f>IF($K2788="","",WEEKNUM(INDEX(Zeiterfassung!$K$6:$K$3665,$K2788),21))</f>
        <v/>
      </c>
      <c r="B2788" s="184">
        <f>IF($K2788="","",INDEX(Zeiterfassung!$K$6:$K$3665,$K2788))</f>
        <v/>
      </c>
      <c r="C2788" s="185">
        <f>IF($K2788="","",INDEX(Zeiterfassung!$K$6:$K$3665,$K2788))</f>
        <v/>
      </c>
      <c r="D2788" s="186">
        <f>IF($K2788="","",INDEX(Zeiterfassung!$D$6:$D$3665,$K2788))</f>
        <v/>
      </c>
      <c r="E2788" s="186">
        <f>IF($K2788="","",INDEX(Zeiterfassung!$E$6:$E$3665,$K2788))</f>
        <v/>
      </c>
      <c r="F2788" s="187">
        <f>IF($K2788="","",INDEX(Zeiterfassung!$F$6:$F$3665,$K2788))</f>
        <v/>
      </c>
      <c r="G2788" s="187">
        <f>IF($K2788="","",INDEX(Zeiterfassung!$G$6:$G$3665,$K2788))</f>
        <v/>
      </c>
      <c r="H2788" s="188">
        <f>IF($K2788="","",INDEX(Zeiterfassung!$H$6:$H$3665,$K2788))</f>
        <v/>
      </c>
      <c r="I2788" s="335">
        <f>IF(B2788=B2787,"",IF($K2788="","",INDEX(Zeiterfassung!$I$6:$I$3665,MATCH(INDEX(Zeiterfassung!$K$6:$K$3665,$K2788),Zeiterfassung!$K$6:$K$3665,0))))</f>
        <v/>
      </c>
      <c r="J2788" s="335">
        <f>IF(B2788=B2787,"",IF($K2788="","",INDEX(Zeiterfassung!$J$6:$J$3665,MATCH(INDEX(Zeiterfassung!$K$6:$K$3665,$K2788),Zeiterfassung!$K$6:$K$3665,0))))</f>
        <v/>
      </c>
      <c r="K2788">
        <f>IFERROR(AGGREGATE(15,6,(ROW(Zeiterfassung!$D$6:$D$3665)-ROW(Zeiterfassung!$D$6)+1)/(Zeiterfassung!$D$6:$D$3665&lt;&gt;""),2783),"")</f>
        <v/>
      </c>
    </row>
    <row r="2789" ht="20" customHeight="1">
      <c r="A2789" s="183">
        <f>IF($K2789="","",WEEKNUM(INDEX(Zeiterfassung!$K$6:$K$3665,$K2789),21))</f>
        <v/>
      </c>
      <c r="B2789" s="184">
        <f>IF($K2789="","",INDEX(Zeiterfassung!$K$6:$K$3665,$K2789))</f>
        <v/>
      </c>
      <c r="C2789" s="185">
        <f>IF($K2789="","",INDEX(Zeiterfassung!$K$6:$K$3665,$K2789))</f>
        <v/>
      </c>
      <c r="D2789" s="186">
        <f>IF($K2789="","",INDEX(Zeiterfassung!$D$6:$D$3665,$K2789))</f>
        <v/>
      </c>
      <c r="E2789" s="186">
        <f>IF($K2789="","",INDEX(Zeiterfassung!$E$6:$E$3665,$K2789))</f>
        <v/>
      </c>
      <c r="F2789" s="187">
        <f>IF($K2789="","",INDEX(Zeiterfassung!$F$6:$F$3665,$K2789))</f>
        <v/>
      </c>
      <c r="G2789" s="187">
        <f>IF($K2789="","",INDEX(Zeiterfassung!$G$6:$G$3665,$K2789))</f>
        <v/>
      </c>
      <c r="H2789" s="188">
        <f>IF($K2789="","",INDEX(Zeiterfassung!$H$6:$H$3665,$K2789))</f>
        <v/>
      </c>
      <c r="I2789" s="335">
        <f>IF(B2789=B2788,"",IF($K2789="","",INDEX(Zeiterfassung!$I$6:$I$3665,MATCH(INDEX(Zeiterfassung!$K$6:$K$3665,$K2789),Zeiterfassung!$K$6:$K$3665,0))))</f>
        <v/>
      </c>
      <c r="J2789" s="335">
        <f>IF(B2789=B2788,"",IF($K2789="","",INDEX(Zeiterfassung!$J$6:$J$3665,MATCH(INDEX(Zeiterfassung!$K$6:$K$3665,$K2789),Zeiterfassung!$K$6:$K$3665,0))))</f>
        <v/>
      </c>
      <c r="K2789">
        <f>IFERROR(AGGREGATE(15,6,(ROW(Zeiterfassung!$D$6:$D$3665)-ROW(Zeiterfassung!$D$6)+1)/(Zeiterfassung!$D$6:$D$3665&lt;&gt;""),2784),"")</f>
        <v/>
      </c>
    </row>
    <row r="2790" ht="20" customHeight="1">
      <c r="A2790" s="183">
        <f>IF($K2790="","",WEEKNUM(INDEX(Zeiterfassung!$K$6:$K$3665,$K2790),21))</f>
        <v/>
      </c>
      <c r="B2790" s="184">
        <f>IF($K2790="","",INDEX(Zeiterfassung!$K$6:$K$3665,$K2790))</f>
        <v/>
      </c>
      <c r="C2790" s="185">
        <f>IF($K2790="","",INDEX(Zeiterfassung!$K$6:$K$3665,$K2790))</f>
        <v/>
      </c>
      <c r="D2790" s="186">
        <f>IF($K2790="","",INDEX(Zeiterfassung!$D$6:$D$3665,$K2790))</f>
        <v/>
      </c>
      <c r="E2790" s="186">
        <f>IF($K2790="","",INDEX(Zeiterfassung!$E$6:$E$3665,$K2790))</f>
        <v/>
      </c>
      <c r="F2790" s="187">
        <f>IF($K2790="","",INDEX(Zeiterfassung!$F$6:$F$3665,$K2790))</f>
        <v/>
      </c>
      <c r="G2790" s="187">
        <f>IF($K2790="","",INDEX(Zeiterfassung!$G$6:$G$3665,$K2790))</f>
        <v/>
      </c>
      <c r="H2790" s="188">
        <f>IF($K2790="","",INDEX(Zeiterfassung!$H$6:$H$3665,$K2790))</f>
        <v/>
      </c>
      <c r="I2790" s="335">
        <f>IF(B2790=B2789,"",IF($K2790="","",INDEX(Zeiterfassung!$I$6:$I$3665,MATCH(INDEX(Zeiterfassung!$K$6:$K$3665,$K2790),Zeiterfassung!$K$6:$K$3665,0))))</f>
        <v/>
      </c>
      <c r="J2790" s="335">
        <f>IF(B2790=B2789,"",IF($K2790="","",INDEX(Zeiterfassung!$J$6:$J$3665,MATCH(INDEX(Zeiterfassung!$K$6:$K$3665,$K2790),Zeiterfassung!$K$6:$K$3665,0))))</f>
        <v/>
      </c>
      <c r="K2790">
        <f>IFERROR(AGGREGATE(15,6,(ROW(Zeiterfassung!$D$6:$D$3665)-ROW(Zeiterfassung!$D$6)+1)/(Zeiterfassung!$D$6:$D$3665&lt;&gt;""),2785),"")</f>
        <v/>
      </c>
    </row>
    <row r="2791" ht="20" customHeight="1">
      <c r="A2791" s="183">
        <f>IF($K2791="","",WEEKNUM(INDEX(Zeiterfassung!$K$6:$K$3665,$K2791),21))</f>
        <v/>
      </c>
      <c r="B2791" s="184">
        <f>IF($K2791="","",INDEX(Zeiterfassung!$K$6:$K$3665,$K2791))</f>
        <v/>
      </c>
      <c r="C2791" s="185">
        <f>IF($K2791="","",INDEX(Zeiterfassung!$K$6:$K$3665,$K2791))</f>
        <v/>
      </c>
      <c r="D2791" s="186">
        <f>IF($K2791="","",INDEX(Zeiterfassung!$D$6:$D$3665,$K2791))</f>
        <v/>
      </c>
      <c r="E2791" s="186">
        <f>IF($K2791="","",INDEX(Zeiterfassung!$E$6:$E$3665,$K2791))</f>
        <v/>
      </c>
      <c r="F2791" s="187">
        <f>IF($K2791="","",INDEX(Zeiterfassung!$F$6:$F$3665,$K2791))</f>
        <v/>
      </c>
      <c r="G2791" s="187">
        <f>IF($K2791="","",INDEX(Zeiterfassung!$G$6:$G$3665,$K2791))</f>
        <v/>
      </c>
      <c r="H2791" s="188">
        <f>IF($K2791="","",INDEX(Zeiterfassung!$H$6:$H$3665,$K2791))</f>
        <v/>
      </c>
      <c r="I2791" s="335">
        <f>IF(B2791=B2790,"",IF($K2791="","",INDEX(Zeiterfassung!$I$6:$I$3665,MATCH(INDEX(Zeiterfassung!$K$6:$K$3665,$K2791),Zeiterfassung!$K$6:$K$3665,0))))</f>
        <v/>
      </c>
      <c r="J2791" s="335">
        <f>IF(B2791=B2790,"",IF($K2791="","",INDEX(Zeiterfassung!$J$6:$J$3665,MATCH(INDEX(Zeiterfassung!$K$6:$K$3665,$K2791),Zeiterfassung!$K$6:$K$3665,0))))</f>
        <v/>
      </c>
      <c r="K2791">
        <f>IFERROR(AGGREGATE(15,6,(ROW(Zeiterfassung!$D$6:$D$3665)-ROW(Zeiterfassung!$D$6)+1)/(Zeiterfassung!$D$6:$D$3665&lt;&gt;""),2786),"")</f>
        <v/>
      </c>
    </row>
    <row r="2792" ht="20" customHeight="1">
      <c r="A2792" s="183">
        <f>IF($K2792="","",WEEKNUM(INDEX(Zeiterfassung!$K$6:$K$3665,$K2792),21))</f>
        <v/>
      </c>
      <c r="B2792" s="184">
        <f>IF($K2792="","",INDEX(Zeiterfassung!$K$6:$K$3665,$K2792))</f>
        <v/>
      </c>
      <c r="C2792" s="185">
        <f>IF($K2792="","",INDEX(Zeiterfassung!$K$6:$K$3665,$K2792))</f>
        <v/>
      </c>
      <c r="D2792" s="186">
        <f>IF($K2792="","",INDEX(Zeiterfassung!$D$6:$D$3665,$K2792))</f>
        <v/>
      </c>
      <c r="E2792" s="186">
        <f>IF($K2792="","",INDEX(Zeiterfassung!$E$6:$E$3665,$K2792))</f>
        <v/>
      </c>
      <c r="F2792" s="187">
        <f>IF($K2792="","",INDEX(Zeiterfassung!$F$6:$F$3665,$K2792))</f>
        <v/>
      </c>
      <c r="G2792" s="187">
        <f>IF($K2792="","",INDEX(Zeiterfassung!$G$6:$G$3665,$K2792))</f>
        <v/>
      </c>
      <c r="H2792" s="188">
        <f>IF($K2792="","",INDEX(Zeiterfassung!$H$6:$H$3665,$K2792))</f>
        <v/>
      </c>
      <c r="I2792" s="335">
        <f>IF(B2792=B2791,"",IF($K2792="","",INDEX(Zeiterfassung!$I$6:$I$3665,MATCH(INDEX(Zeiterfassung!$K$6:$K$3665,$K2792),Zeiterfassung!$K$6:$K$3665,0))))</f>
        <v/>
      </c>
      <c r="J2792" s="335">
        <f>IF(B2792=B2791,"",IF($K2792="","",INDEX(Zeiterfassung!$J$6:$J$3665,MATCH(INDEX(Zeiterfassung!$K$6:$K$3665,$K2792),Zeiterfassung!$K$6:$K$3665,0))))</f>
        <v/>
      </c>
      <c r="K2792">
        <f>IFERROR(AGGREGATE(15,6,(ROW(Zeiterfassung!$D$6:$D$3665)-ROW(Zeiterfassung!$D$6)+1)/(Zeiterfassung!$D$6:$D$3665&lt;&gt;""),2787),"")</f>
        <v/>
      </c>
    </row>
    <row r="2793" ht="20" customHeight="1">
      <c r="A2793" s="183">
        <f>IF($K2793="","",WEEKNUM(INDEX(Zeiterfassung!$K$6:$K$3665,$K2793),21))</f>
        <v/>
      </c>
      <c r="B2793" s="184">
        <f>IF($K2793="","",INDEX(Zeiterfassung!$K$6:$K$3665,$K2793))</f>
        <v/>
      </c>
      <c r="C2793" s="185">
        <f>IF($K2793="","",INDEX(Zeiterfassung!$K$6:$K$3665,$K2793))</f>
        <v/>
      </c>
      <c r="D2793" s="186">
        <f>IF($K2793="","",INDEX(Zeiterfassung!$D$6:$D$3665,$K2793))</f>
        <v/>
      </c>
      <c r="E2793" s="186">
        <f>IF($K2793="","",INDEX(Zeiterfassung!$E$6:$E$3665,$K2793))</f>
        <v/>
      </c>
      <c r="F2793" s="187">
        <f>IF($K2793="","",INDEX(Zeiterfassung!$F$6:$F$3665,$K2793))</f>
        <v/>
      </c>
      <c r="G2793" s="187">
        <f>IF($K2793="","",INDEX(Zeiterfassung!$G$6:$G$3665,$K2793))</f>
        <v/>
      </c>
      <c r="H2793" s="188">
        <f>IF($K2793="","",INDEX(Zeiterfassung!$H$6:$H$3665,$K2793))</f>
        <v/>
      </c>
      <c r="I2793" s="335">
        <f>IF(B2793=B2792,"",IF($K2793="","",INDEX(Zeiterfassung!$I$6:$I$3665,MATCH(INDEX(Zeiterfassung!$K$6:$K$3665,$K2793),Zeiterfassung!$K$6:$K$3665,0))))</f>
        <v/>
      </c>
      <c r="J2793" s="335">
        <f>IF(B2793=B2792,"",IF($K2793="","",INDEX(Zeiterfassung!$J$6:$J$3665,MATCH(INDEX(Zeiterfassung!$K$6:$K$3665,$K2793),Zeiterfassung!$K$6:$K$3665,0))))</f>
        <v/>
      </c>
      <c r="K2793">
        <f>IFERROR(AGGREGATE(15,6,(ROW(Zeiterfassung!$D$6:$D$3665)-ROW(Zeiterfassung!$D$6)+1)/(Zeiterfassung!$D$6:$D$3665&lt;&gt;""),2788),"")</f>
        <v/>
      </c>
    </row>
    <row r="2794" ht="20" customHeight="1">
      <c r="A2794" s="183">
        <f>IF($K2794="","",WEEKNUM(INDEX(Zeiterfassung!$K$6:$K$3665,$K2794),21))</f>
        <v/>
      </c>
      <c r="B2794" s="184">
        <f>IF($K2794="","",INDEX(Zeiterfassung!$K$6:$K$3665,$K2794))</f>
        <v/>
      </c>
      <c r="C2794" s="185">
        <f>IF($K2794="","",INDEX(Zeiterfassung!$K$6:$K$3665,$K2794))</f>
        <v/>
      </c>
      <c r="D2794" s="186">
        <f>IF($K2794="","",INDEX(Zeiterfassung!$D$6:$D$3665,$K2794))</f>
        <v/>
      </c>
      <c r="E2794" s="186">
        <f>IF($K2794="","",INDEX(Zeiterfassung!$E$6:$E$3665,$K2794))</f>
        <v/>
      </c>
      <c r="F2794" s="187">
        <f>IF($K2794="","",INDEX(Zeiterfassung!$F$6:$F$3665,$K2794))</f>
        <v/>
      </c>
      <c r="G2794" s="187">
        <f>IF($K2794="","",INDEX(Zeiterfassung!$G$6:$G$3665,$K2794))</f>
        <v/>
      </c>
      <c r="H2794" s="188">
        <f>IF($K2794="","",INDEX(Zeiterfassung!$H$6:$H$3665,$K2794))</f>
        <v/>
      </c>
      <c r="I2794" s="335">
        <f>IF(B2794=B2793,"",IF($K2794="","",INDEX(Zeiterfassung!$I$6:$I$3665,MATCH(INDEX(Zeiterfassung!$K$6:$K$3665,$K2794),Zeiterfassung!$K$6:$K$3665,0))))</f>
        <v/>
      </c>
      <c r="J2794" s="335">
        <f>IF(B2794=B2793,"",IF($K2794="","",INDEX(Zeiterfassung!$J$6:$J$3665,MATCH(INDEX(Zeiterfassung!$K$6:$K$3665,$K2794),Zeiterfassung!$K$6:$K$3665,0))))</f>
        <v/>
      </c>
      <c r="K2794">
        <f>IFERROR(AGGREGATE(15,6,(ROW(Zeiterfassung!$D$6:$D$3665)-ROW(Zeiterfassung!$D$6)+1)/(Zeiterfassung!$D$6:$D$3665&lt;&gt;""),2789),"")</f>
        <v/>
      </c>
    </row>
    <row r="2795" ht="20" customHeight="1">
      <c r="A2795" s="183">
        <f>IF($K2795="","",WEEKNUM(INDEX(Zeiterfassung!$K$6:$K$3665,$K2795),21))</f>
        <v/>
      </c>
      <c r="B2795" s="184">
        <f>IF($K2795="","",INDEX(Zeiterfassung!$K$6:$K$3665,$K2795))</f>
        <v/>
      </c>
      <c r="C2795" s="185">
        <f>IF($K2795="","",INDEX(Zeiterfassung!$K$6:$K$3665,$K2795))</f>
        <v/>
      </c>
      <c r="D2795" s="186">
        <f>IF($K2795="","",INDEX(Zeiterfassung!$D$6:$D$3665,$K2795))</f>
        <v/>
      </c>
      <c r="E2795" s="186">
        <f>IF($K2795="","",INDEX(Zeiterfassung!$E$6:$E$3665,$K2795))</f>
        <v/>
      </c>
      <c r="F2795" s="187">
        <f>IF($K2795="","",INDEX(Zeiterfassung!$F$6:$F$3665,$K2795))</f>
        <v/>
      </c>
      <c r="G2795" s="187">
        <f>IF($K2795="","",INDEX(Zeiterfassung!$G$6:$G$3665,$K2795))</f>
        <v/>
      </c>
      <c r="H2795" s="188">
        <f>IF($K2795="","",INDEX(Zeiterfassung!$H$6:$H$3665,$K2795))</f>
        <v/>
      </c>
      <c r="I2795" s="335">
        <f>IF(B2795=B2794,"",IF($K2795="","",INDEX(Zeiterfassung!$I$6:$I$3665,MATCH(INDEX(Zeiterfassung!$K$6:$K$3665,$K2795),Zeiterfassung!$K$6:$K$3665,0))))</f>
        <v/>
      </c>
      <c r="J2795" s="335">
        <f>IF(B2795=B2794,"",IF($K2795="","",INDEX(Zeiterfassung!$J$6:$J$3665,MATCH(INDEX(Zeiterfassung!$K$6:$K$3665,$K2795),Zeiterfassung!$K$6:$K$3665,0))))</f>
        <v/>
      </c>
      <c r="K2795">
        <f>IFERROR(AGGREGATE(15,6,(ROW(Zeiterfassung!$D$6:$D$3665)-ROW(Zeiterfassung!$D$6)+1)/(Zeiterfassung!$D$6:$D$3665&lt;&gt;""),2790),"")</f>
        <v/>
      </c>
    </row>
    <row r="2796" ht="20" customHeight="1">
      <c r="A2796" s="183">
        <f>IF($K2796="","",WEEKNUM(INDEX(Zeiterfassung!$K$6:$K$3665,$K2796),21))</f>
        <v/>
      </c>
      <c r="B2796" s="184">
        <f>IF($K2796="","",INDEX(Zeiterfassung!$K$6:$K$3665,$K2796))</f>
        <v/>
      </c>
      <c r="C2796" s="185">
        <f>IF($K2796="","",INDEX(Zeiterfassung!$K$6:$K$3665,$K2796))</f>
        <v/>
      </c>
      <c r="D2796" s="186">
        <f>IF($K2796="","",INDEX(Zeiterfassung!$D$6:$D$3665,$K2796))</f>
        <v/>
      </c>
      <c r="E2796" s="186">
        <f>IF($K2796="","",INDEX(Zeiterfassung!$E$6:$E$3665,$K2796))</f>
        <v/>
      </c>
      <c r="F2796" s="187">
        <f>IF($K2796="","",INDEX(Zeiterfassung!$F$6:$F$3665,$K2796))</f>
        <v/>
      </c>
      <c r="G2796" s="187">
        <f>IF($K2796="","",INDEX(Zeiterfassung!$G$6:$G$3665,$K2796))</f>
        <v/>
      </c>
      <c r="H2796" s="188">
        <f>IF($K2796="","",INDEX(Zeiterfassung!$H$6:$H$3665,$K2796))</f>
        <v/>
      </c>
      <c r="I2796" s="335">
        <f>IF(B2796=B2795,"",IF($K2796="","",INDEX(Zeiterfassung!$I$6:$I$3665,MATCH(INDEX(Zeiterfassung!$K$6:$K$3665,$K2796),Zeiterfassung!$K$6:$K$3665,0))))</f>
        <v/>
      </c>
      <c r="J2796" s="335">
        <f>IF(B2796=B2795,"",IF($K2796="","",INDEX(Zeiterfassung!$J$6:$J$3665,MATCH(INDEX(Zeiterfassung!$K$6:$K$3665,$K2796),Zeiterfassung!$K$6:$K$3665,0))))</f>
        <v/>
      </c>
      <c r="K2796">
        <f>IFERROR(AGGREGATE(15,6,(ROW(Zeiterfassung!$D$6:$D$3665)-ROW(Zeiterfassung!$D$6)+1)/(Zeiterfassung!$D$6:$D$3665&lt;&gt;""),2791),"")</f>
        <v/>
      </c>
    </row>
    <row r="2797" ht="20" customHeight="1">
      <c r="A2797" s="183">
        <f>IF($K2797="","",WEEKNUM(INDEX(Zeiterfassung!$K$6:$K$3665,$K2797),21))</f>
        <v/>
      </c>
      <c r="B2797" s="184">
        <f>IF($K2797="","",INDEX(Zeiterfassung!$K$6:$K$3665,$K2797))</f>
        <v/>
      </c>
      <c r="C2797" s="185">
        <f>IF($K2797="","",INDEX(Zeiterfassung!$K$6:$K$3665,$K2797))</f>
        <v/>
      </c>
      <c r="D2797" s="186">
        <f>IF($K2797="","",INDEX(Zeiterfassung!$D$6:$D$3665,$K2797))</f>
        <v/>
      </c>
      <c r="E2797" s="186">
        <f>IF($K2797="","",INDEX(Zeiterfassung!$E$6:$E$3665,$K2797))</f>
        <v/>
      </c>
      <c r="F2797" s="187">
        <f>IF($K2797="","",INDEX(Zeiterfassung!$F$6:$F$3665,$K2797))</f>
        <v/>
      </c>
      <c r="G2797" s="187">
        <f>IF($K2797="","",INDEX(Zeiterfassung!$G$6:$G$3665,$K2797))</f>
        <v/>
      </c>
      <c r="H2797" s="188">
        <f>IF($K2797="","",INDEX(Zeiterfassung!$H$6:$H$3665,$K2797))</f>
        <v/>
      </c>
      <c r="I2797" s="335">
        <f>IF(B2797=B2796,"",IF($K2797="","",INDEX(Zeiterfassung!$I$6:$I$3665,MATCH(INDEX(Zeiterfassung!$K$6:$K$3665,$K2797),Zeiterfassung!$K$6:$K$3665,0))))</f>
        <v/>
      </c>
      <c r="J2797" s="335">
        <f>IF(B2797=B2796,"",IF($K2797="","",INDEX(Zeiterfassung!$J$6:$J$3665,MATCH(INDEX(Zeiterfassung!$K$6:$K$3665,$K2797),Zeiterfassung!$K$6:$K$3665,0))))</f>
        <v/>
      </c>
      <c r="K2797">
        <f>IFERROR(AGGREGATE(15,6,(ROW(Zeiterfassung!$D$6:$D$3665)-ROW(Zeiterfassung!$D$6)+1)/(Zeiterfassung!$D$6:$D$3665&lt;&gt;""),2792),"")</f>
        <v/>
      </c>
    </row>
    <row r="2798" ht="20" customHeight="1">
      <c r="A2798" s="183">
        <f>IF($K2798="","",WEEKNUM(INDEX(Zeiterfassung!$K$6:$K$3665,$K2798),21))</f>
        <v/>
      </c>
      <c r="B2798" s="184">
        <f>IF($K2798="","",INDEX(Zeiterfassung!$K$6:$K$3665,$K2798))</f>
        <v/>
      </c>
      <c r="C2798" s="185">
        <f>IF($K2798="","",INDEX(Zeiterfassung!$K$6:$K$3665,$K2798))</f>
        <v/>
      </c>
      <c r="D2798" s="186">
        <f>IF($K2798="","",INDEX(Zeiterfassung!$D$6:$D$3665,$K2798))</f>
        <v/>
      </c>
      <c r="E2798" s="186">
        <f>IF($K2798="","",INDEX(Zeiterfassung!$E$6:$E$3665,$K2798))</f>
        <v/>
      </c>
      <c r="F2798" s="187">
        <f>IF($K2798="","",INDEX(Zeiterfassung!$F$6:$F$3665,$K2798))</f>
        <v/>
      </c>
      <c r="G2798" s="187">
        <f>IF($K2798="","",INDEX(Zeiterfassung!$G$6:$G$3665,$K2798))</f>
        <v/>
      </c>
      <c r="H2798" s="188">
        <f>IF($K2798="","",INDEX(Zeiterfassung!$H$6:$H$3665,$K2798))</f>
        <v/>
      </c>
      <c r="I2798" s="335">
        <f>IF(B2798=B2797,"",IF($K2798="","",INDEX(Zeiterfassung!$I$6:$I$3665,MATCH(INDEX(Zeiterfassung!$K$6:$K$3665,$K2798),Zeiterfassung!$K$6:$K$3665,0))))</f>
        <v/>
      </c>
      <c r="J2798" s="335">
        <f>IF(B2798=B2797,"",IF($K2798="","",INDEX(Zeiterfassung!$J$6:$J$3665,MATCH(INDEX(Zeiterfassung!$K$6:$K$3665,$K2798),Zeiterfassung!$K$6:$K$3665,0))))</f>
        <v/>
      </c>
      <c r="K2798">
        <f>IFERROR(AGGREGATE(15,6,(ROW(Zeiterfassung!$D$6:$D$3665)-ROW(Zeiterfassung!$D$6)+1)/(Zeiterfassung!$D$6:$D$3665&lt;&gt;""),2793),"")</f>
        <v/>
      </c>
    </row>
    <row r="2799" ht="20" customHeight="1">
      <c r="A2799" s="183">
        <f>IF($K2799="","",WEEKNUM(INDEX(Zeiterfassung!$K$6:$K$3665,$K2799),21))</f>
        <v/>
      </c>
      <c r="B2799" s="184">
        <f>IF($K2799="","",INDEX(Zeiterfassung!$K$6:$K$3665,$K2799))</f>
        <v/>
      </c>
      <c r="C2799" s="185">
        <f>IF($K2799="","",INDEX(Zeiterfassung!$K$6:$K$3665,$K2799))</f>
        <v/>
      </c>
      <c r="D2799" s="186">
        <f>IF($K2799="","",INDEX(Zeiterfassung!$D$6:$D$3665,$K2799))</f>
        <v/>
      </c>
      <c r="E2799" s="186">
        <f>IF($K2799="","",INDEX(Zeiterfassung!$E$6:$E$3665,$K2799))</f>
        <v/>
      </c>
      <c r="F2799" s="187">
        <f>IF($K2799="","",INDEX(Zeiterfassung!$F$6:$F$3665,$K2799))</f>
        <v/>
      </c>
      <c r="G2799" s="187">
        <f>IF($K2799="","",INDEX(Zeiterfassung!$G$6:$G$3665,$K2799))</f>
        <v/>
      </c>
      <c r="H2799" s="188">
        <f>IF($K2799="","",INDEX(Zeiterfassung!$H$6:$H$3665,$K2799))</f>
        <v/>
      </c>
      <c r="I2799" s="335">
        <f>IF(B2799=B2798,"",IF($K2799="","",INDEX(Zeiterfassung!$I$6:$I$3665,MATCH(INDEX(Zeiterfassung!$K$6:$K$3665,$K2799),Zeiterfassung!$K$6:$K$3665,0))))</f>
        <v/>
      </c>
      <c r="J2799" s="335">
        <f>IF(B2799=B2798,"",IF($K2799="","",INDEX(Zeiterfassung!$J$6:$J$3665,MATCH(INDEX(Zeiterfassung!$K$6:$K$3665,$K2799),Zeiterfassung!$K$6:$K$3665,0))))</f>
        <v/>
      </c>
      <c r="K2799">
        <f>IFERROR(AGGREGATE(15,6,(ROW(Zeiterfassung!$D$6:$D$3665)-ROW(Zeiterfassung!$D$6)+1)/(Zeiterfassung!$D$6:$D$3665&lt;&gt;""),2794),"")</f>
        <v/>
      </c>
    </row>
    <row r="2800" ht="20" customHeight="1">
      <c r="A2800" s="183">
        <f>IF($K2800="","",WEEKNUM(INDEX(Zeiterfassung!$K$6:$K$3665,$K2800),21))</f>
        <v/>
      </c>
      <c r="B2800" s="184">
        <f>IF($K2800="","",INDEX(Zeiterfassung!$K$6:$K$3665,$K2800))</f>
        <v/>
      </c>
      <c r="C2800" s="185">
        <f>IF($K2800="","",INDEX(Zeiterfassung!$K$6:$K$3665,$K2800))</f>
        <v/>
      </c>
      <c r="D2800" s="186">
        <f>IF($K2800="","",INDEX(Zeiterfassung!$D$6:$D$3665,$K2800))</f>
        <v/>
      </c>
      <c r="E2800" s="186">
        <f>IF($K2800="","",INDEX(Zeiterfassung!$E$6:$E$3665,$K2800))</f>
        <v/>
      </c>
      <c r="F2800" s="187">
        <f>IF($K2800="","",INDEX(Zeiterfassung!$F$6:$F$3665,$K2800))</f>
        <v/>
      </c>
      <c r="G2800" s="187">
        <f>IF($K2800="","",INDEX(Zeiterfassung!$G$6:$G$3665,$K2800))</f>
        <v/>
      </c>
      <c r="H2800" s="188">
        <f>IF($K2800="","",INDEX(Zeiterfassung!$H$6:$H$3665,$K2800))</f>
        <v/>
      </c>
      <c r="I2800" s="335">
        <f>IF(B2800=B2799,"",IF($K2800="","",INDEX(Zeiterfassung!$I$6:$I$3665,MATCH(INDEX(Zeiterfassung!$K$6:$K$3665,$K2800),Zeiterfassung!$K$6:$K$3665,0))))</f>
        <v/>
      </c>
      <c r="J2800" s="335">
        <f>IF(B2800=B2799,"",IF($K2800="","",INDEX(Zeiterfassung!$J$6:$J$3665,MATCH(INDEX(Zeiterfassung!$K$6:$K$3665,$K2800),Zeiterfassung!$K$6:$K$3665,0))))</f>
        <v/>
      </c>
      <c r="K2800">
        <f>IFERROR(AGGREGATE(15,6,(ROW(Zeiterfassung!$D$6:$D$3665)-ROW(Zeiterfassung!$D$6)+1)/(Zeiterfassung!$D$6:$D$3665&lt;&gt;""),2795),"")</f>
        <v/>
      </c>
    </row>
    <row r="2801" ht="20" customHeight="1">
      <c r="A2801" s="183">
        <f>IF($K2801="","",WEEKNUM(INDEX(Zeiterfassung!$K$6:$K$3665,$K2801),21))</f>
        <v/>
      </c>
      <c r="B2801" s="184">
        <f>IF($K2801="","",INDEX(Zeiterfassung!$K$6:$K$3665,$K2801))</f>
        <v/>
      </c>
      <c r="C2801" s="185">
        <f>IF($K2801="","",INDEX(Zeiterfassung!$K$6:$K$3665,$K2801))</f>
        <v/>
      </c>
      <c r="D2801" s="186">
        <f>IF($K2801="","",INDEX(Zeiterfassung!$D$6:$D$3665,$K2801))</f>
        <v/>
      </c>
      <c r="E2801" s="186">
        <f>IF($K2801="","",INDEX(Zeiterfassung!$E$6:$E$3665,$K2801))</f>
        <v/>
      </c>
      <c r="F2801" s="187">
        <f>IF($K2801="","",INDEX(Zeiterfassung!$F$6:$F$3665,$K2801))</f>
        <v/>
      </c>
      <c r="G2801" s="187">
        <f>IF($K2801="","",INDEX(Zeiterfassung!$G$6:$G$3665,$K2801))</f>
        <v/>
      </c>
      <c r="H2801" s="188">
        <f>IF($K2801="","",INDEX(Zeiterfassung!$H$6:$H$3665,$K2801))</f>
        <v/>
      </c>
      <c r="I2801" s="335">
        <f>IF(B2801=B2800,"",IF($K2801="","",INDEX(Zeiterfassung!$I$6:$I$3665,MATCH(INDEX(Zeiterfassung!$K$6:$K$3665,$K2801),Zeiterfassung!$K$6:$K$3665,0))))</f>
        <v/>
      </c>
      <c r="J2801" s="335">
        <f>IF(B2801=B2800,"",IF($K2801="","",INDEX(Zeiterfassung!$J$6:$J$3665,MATCH(INDEX(Zeiterfassung!$K$6:$K$3665,$K2801),Zeiterfassung!$K$6:$K$3665,0))))</f>
        <v/>
      </c>
      <c r="K2801">
        <f>IFERROR(AGGREGATE(15,6,(ROW(Zeiterfassung!$D$6:$D$3665)-ROW(Zeiterfassung!$D$6)+1)/(Zeiterfassung!$D$6:$D$3665&lt;&gt;""),2796),"")</f>
        <v/>
      </c>
    </row>
    <row r="2802" ht="20" customHeight="1">
      <c r="A2802" s="183">
        <f>IF($K2802="","",WEEKNUM(INDEX(Zeiterfassung!$K$6:$K$3665,$K2802),21))</f>
        <v/>
      </c>
      <c r="B2802" s="184">
        <f>IF($K2802="","",INDEX(Zeiterfassung!$K$6:$K$3665,$K2802))</f>
        <v/>
      </c>
      <c r="C2802" s="185">
        <f>IF($K2802="","",INDEX(Zeiterfassung!$K$6:$K$3665,$K2802))</f>
        <v/>
      </c>
      <c r="D2802" s="186">
        <f>IF($K2802="","",INDEX(Zeiterfassung!$D$6:$D$3665,$K2802))</f>
        <v/>
      </c>
      <c r="E2802" s="186">
        <f>IF($K2802="","",INDEX(Zeiterfassung!$E$6:$E$3665,$K2802))</f>
        <v/>
      </c>
      <c r="F2802" s="187">
        <f>IF($K2802="","",INDEX(Zeiterfassung!$F$6:$F$3665,$K2802))</f>
        <v/>
      </c>
      <c r="G2802" s="187">
        <f>IF($K2802="","",INDEX(Zeiterfassung!$G$6:$G$3665,$K2802))</f>
        <v/>
      </c>
      <c r="H2802" s="188">
        <f>IF($K2802="","",INDEX(Zeiterfassung!$H$6:$H$3665,$K2802))</f>
        <v/>
      </c>
      <c r="I2802" s="335">
        <f>IF(B2802=B2801,"",IF($K2802="","",INDEX(Zeiterfassung!$I$6:$I$3665,MATCH(INDEX(Zeiterfassung!$K$6:$K$3665,$K2802),Zeiterfassung!$K$6:$K$3665,0))))</f>
        <v/>
      </c>
      <c r="J2802" s="335">
        <f>IF(B2802=B2801,"",IF($K2802="","",INDEX(Zeiterfassung!$J$6:$J$3665,MATCH(INDEX(Zeiterfassung!$K$6:$K$3665,$K2802),Zeiterfassung!$K$6:$K$3665,0))))</f>
        <v/>
      </c>
      <c r="K2802">
        <f>IFERROR(AGGREGATE(15,6,(ROW(Zeiterfassung!$D$6:$D$3665)-ROW(Zeiterfassung!$D$6)+1)/(Zeiterfassung!$D$6:$D$3665&lt;&gt;""),2797),"")</f>
        <v/>
      </c>
    </row>
    <row r="2803" ht="20" customHeight="1">
      <c r="A2803" s="183">
        <f>IF($K2803="","",WEEKNUM(INDEX(Zeiterfassung!$K$6:$K$3665,$K2803),21))</f>
        <v/>
      </c>
      <c r="B2803" s="184">
        <f>IF($K2803="","",INDEX(Zeiterfassung!$K$6:$K$3665,$K2803))</f>
        <v/>
      </c>
      <c r="C2803" s="185">
        <f>IF($K2803="","",INDEX(Zeiterfassung!$K$6:$K$3665,$K2803))</f>
        <v/>
      </c>
      <c r="D2803" s="186">
        <f>IF($K2803="","",INDEX(Zeiterfassung!$D$6:$D$3665,$K2803))</f>
        <v/>
      </c>
      <c r="E2803" s="186">
        <f>IF($K2803="","",INDEX(Zeiterfassung!$E$6:$E$3665,$K2803))</f>
        <v/>
      </c>
      <c r="F2803" s="187">
        <f>IF($K2803="","",INDEX(Zeiterfassung!$F$6:$F$3665,$K2803))</f>
        <v/>
      </c>
      <c r="G2803" s="187">
        <f>IF($K2803="","",INDEX(Zeiterfassung!$G$6:$G$3665,$K2803))</f>
        <v/>
      </c>
      <c r="H2803" s="188">
        <f>IF($K2803="","",INDEX(Zeiterfassung!$H$6:$H$3665,$K2803))</f>
        <v/>
      </c>
      <c r="I2803" s="335">
        <f>IF(B2803=B2802,"",IF($K2803="","",INDEX(Zeiterfassung!$I$6:$I$3665,MATCH(INDEX(Zeiterfassung!$K$6:$K$3665,$K2803),Zeiterfassung!$K$6:$K$3665,0))))</f>
        <v/>
      </c>
      <c r="J2803" s="335">
        <f>IF(B2803=B2802,"",IF($K2803="","",INDEX(Zeiterfassung!$J$6:$J$3665,MATCH(INDEX(Zeiterfassung!$K$6:$K$3665,$K2803),Zeiterfassung!$K$6:$K$3665,0))))</f>
        <v/>
      </c>
      <c r="K2803">
        <f>IFERROR(AGGREGATE(15,6,(ROW(Zeiterfassung!$D$6:$D$3665)-ROW(Zeiterfassung!$D$6)+1)/(Zeiterfassung!$D$6:$D$3665&lt;&gt;""),2798),"")</f>
        <v/>
      </c>
    </row>
    <row r="2804" ht="20" customHeight="1">
      <c r="A2804" s="183">
        <f>IF($K2804="","",WEEKNUM(INDEX(Zeiterfassung!$K$6:$K$3665,$K2804),21))</f>
        <v/>
      </c>
      <c r="B2804" s="184">
        <f>IF($K2804="","",INDEX(Zeiterfassung!$K$6:$K$3665,$K2804))</f>
        <v/>
      </c>
      <c r="C2804" s="185">
        <f>IF($K2804="","",INDEX(Zeiterfassung!$K$6:$K$3665,$K2804))</f>
        <v/>
      </c>
      <c r="D2804" s="186">
        <f>IF($K2804="","",INDEX(Zeiterfassung!$D$6:$D$3665,$K2804))</f>
        <v/>
      </c>
      <c r="E2804" s="186">
        <f>IF($K2804="","",INDEX(Zeiterfassung!$E$6:$E$3665,$K2804))</f>
        <v/>
      </c>
      <c r="F2804" s="187">
        <f>IF($K2804="","",INDEX(Zeiterfassung!$F$6:$F$3665,$K2804))</f>
        <v/>
      </c>
      <c r="G2804" s="187">
        <f>IF($K2804="","",INDEX(Zeiterfassung!$G$6:$G$3665,$K2804))</f>
        <v/>
      </c>
      <c r="H2804" s="188">
        <f>IF($K2804="","",INDEX(Zeiterfassung!$H$6:$H$3665,$K2804))</f>
        <v/>
      </c>
      <c r="I2804" s="335">
        <f>IF(B2804=B2803,"",IF($K2804="","",INDEX(Zeiterfassung!$I$6:$I$3665,MATCH(INDEX(Zeiterfassung!$K$6:$K$3665,$K2804),Zeiterfassung!$K$6:$K$3665,0))))</f>
        <v/>
      </c>
      <c r="J2804" s="335">
        <f>IF(B2804=B2803,"",IF($K2804="","",INDEX(Zeiterfassung!$J$6:$J$3665,MATCH(INDEX(Zeiterfassung!$K$6:$K$3665,$K2804),Zeiterfassung!$K$6:$K$3665,0))))</f>
        <v/>
      </c>
      <c r="K2804">
        <f>IFERROR(AGGREGATE(15,6,(ROW(Zeiterfassung!$D$6:$D$3665)-ROW(Zeiterfassung!$D$6)+1)/(Zeiterfassung!$D$6:$D$3665&lt;&gt;""),2799),"")</f>
        <v/>
      </c>
    </row>
    <row r="2805" ht="20" customHeight="1">
      <c r="A2805" s="183">
        <f>IF($K2805="","",WEEKNUM(INDEX(Zeiterfassung!$K$6:$K$3665,$K2805),21))</f>
        <v/>
      </c>
      <c r="B2805" s="184">
        <f>IF($K2805="","",INDEX(Zeiterfassung!$K$6:$K$3665,$K2805))</f>
        <v/>
      </c>
      <c r="C2805" s="185">
        <f>IF($K2805="","",INDEX(Zeiterfassung!$K$6:$K$3665,$K2805))</f>
        <v/>
      </c>
      <c r="D2805" s="186">
        <f>IF($K2805="","",INDEX(Zeiterfassung!$D$6:$D$3665,$K2805))</f>
        <v/>
      </c>
      <c r="E2805" s="186">
        <f>IF($K2805="","",INDEX(Zeiterfassung!$E$6:$E$3665,$K2805))</f>
        <v/>
      </c>
      <c r="F2805" s="187">
        <f>IF($K2805="","",INDEX(Zeiterfassung!$F$6:$F$3665,$K2805))</f>
        <v/>
      </c>
      <c r="G2805" s="187">
        <f>IF($K2805="","",INDEX(Zeiterfassung!$G$6:$G$3665,$K2805))</f>
        <v/>
      </c>
      <c r="H2805" s="188">
        <f>IF($K2805="","",INDEX(Zeiterfassung!$H$6:$H$3665,$K2805))</f>
        <v/>
      </c>
      <c r="I2805" s="335">
        <f>IF(B2805=B2804,"",IF($K2805="","",INDEX(Zeiterfassung!$I$6:$I$3665,MATCH(INDEX(Zeiterfassung!$K$6:$K$3665,$K2805),Zeiterfassung!$K$6:$K$3665,0))))</f>
        <v/>
      </c>
      <c r="J2805" s="335">
        <f>IF(B2805=B2804,"",IF($K2805="","",INDEX(Zeiterfassung!$J$6:$J$3665,MATCH(INDEX(Zeiterfassung!$K$6:$K$3665,$K2805),Zeiterfassung!$K$6:$K$3665,0))))</f>
        <v/>
      </c>
      <c r="K2805">
        <f>IFERROR(AGGREGATE(15,6,(ROW(Zeiterfassung!$D$6:$D$3665)-ROW(Zeiterfassung!$D$6)+1)/(Zeiterfassung!$D$6:$D$3665&lt;&gt;""),2800),"")</f>
        <v/>
      </c>
    </row>
    <row r="2806" ht="20" customHeight="1">
      <c r="A2806" s="183">
        <f>IF($K2806="","",WEEKNUM(INDEX(Zeiterfassung!$K$6:$K$3665,$K2806),21))</f>
        <v/>
      </c>
      <c r="B2806" s="184">
        <f>IF($K2806="","",INDEX(Zeiterfassung!$K$6:$K$3665,$K2806))</f>
        <v/>
      </c>
      <c r="C2806" s="185">
        <f>IF($K2806="","",INDEX(Zeiterfassung!$K$6:$K$3665,$K2806))</f>
        <v/>
      </c>
      <c r="D2806" s="186">
        <f>IF($K2806="","",INDEX(Zeiterfassung!$D$6:$D$3665,$K2806))</f>
        <v/>
      </c>
      <c r="E2806" s="186">
        <f>IF($K2806="","",INDEX(Zeiterfassung!$E$6:$E$3665,$K2806))</f>
        <v/>
      </c>
      <c r="F2806" s="187">
        <f>IF($K2806="","",INDEX(Zeiterfassung!$F$6:$F$3665,$K2806))</f>
        <v/>
      </c>
      <c r="G2806" s="187">
        <f>IF($K2806="","",INDEX(Zeiterfassung!$G$6:$G$3665,$K2806))</f>
        <v/>
      </c>
      <c r="H2806" s="188">
        <f>IF($K2806="","",INDEX(Zeiterfassung!$H$6:$H$3665,$K2806))</f>
        <v/>
      </c>
      <c r="I2806" s="335">
        <f>IF(B2806=B2805,"",IF($K2806="","",INDEX(Zeiterfassung!$I$6:$I$3665,MATCH(INDEX(Zeiterfassung!$K$6:$K$3665,$K2806),Zeiterfassung!$K$6:$K$3665,0))))</f>
        <v/>
      </c>
      <c r="J2806" s="335">
        <f>IF(B2806=B2805,"",IF($K2806="","",INDEX(Zeiterfassung!$J$6:$J$3665,MATCH(INDEX(Zeiterfassung!$K$6:$K$3665,$K2806),Zeiterfassung!$K$6:$K$3665,0))))</f>
        <v/>
      </c>
      <c r="K2806">
        <f>IFERROR(AGGREGATE(15,6,(ROW(Zeiterfassung!$D$6:$D$3665)-ROW(Zeiterfassung!$D$6)+1)/(Zeiterfassung!$D$6:$D$3665&lt;&gt;""),2801),"")</f>
        <v/>
      </c>
    </row>
    <row r="2807" ht="20" customHeight="1">
      <c r="A2807" s="183">
        <f>IF($K2807="","",WEEKNUM(INDEX(Zeiterfassung!$K$6:$K$3665,$K2807),21))</f>
        <v/>
      </c>
      <c r="B2807" s="184">
        <f>IF($K2807="","",INDEX(Zeiterfassung!$K$6:$K$3665,$K2807))</f>
        <v/>
      </c>
      <c r="C2807" s="185">
        <f>IF($K2807="","",INDEX(Zeiterfassung!$K$6:$K$3665,$K2807))</f>
        <v/>
      </c>
      <c r="D2807" s="186">
        <f>IF($K2807="","",INDEX(Zeiterfassung!$D$6:$D$3665,$K2807))</f>
        <v/>
      </c>
      <c r="E2807" s="186">
        <f>IF($K2807="","",INDEX(Zeiterfassung!$E$6:$E$3665,$K2807))</f>
        <v/>
      </c>
      <c r="F2807" s="187">
        <f>IF($K2807="","",INDEX(Zeiterfassung!$F$6:$F$3665,$K2807))</f>
        <v/>
      </c>
      <c r="G2807" s="187">
        <f>IF($K2807="","",INDEX(Zeiterfassung!$G$6:$G$3665,$K2807))</f>
        <v/>
      </c>
      <c r="H2807" s="188">
        <f>IF($K2807="","",INDEX(Zeiterfassung!$H$6:$H$3665,$K2807))</f>
        <v/>
      </c>
      <c r="I2807" s="335">
        <f>IF(B2807=B2806,"",IF($K2807="","",INDEX(Zeiterfassung!$I$6:$I$3665,MATCH(INDEX(Zeiterfassung!$K$6:$K$3665,$K2807),Zeiterfassung!$K$6:$K$3665,0))))</f>
        <v/>
      </c>
      <c r="J2807" s="335">
        <f>IF(B2807=B2806,"",IF($K2807="","",INDEX(Zeiterfassung!$J$6:$J$3665,MATCH(INDEX(Zeiterfassung!$K$6:$K$3665,$K2807),Zeiterfassung!$K$6:$K$3665,0))))</f>
        <v/>
      </c>
      <c r="K2807">
        <f>IFERROR(AGGREGATE(15,6,(ROW(Zeiterfassung!$D$6:$D$3665)-ROW(Zeiterfassung!$D$6)+1)/(Zeiterfassung!$D$6:$D$3665&lt;&gt;""),2802),"")</f>
        <v/>
      </c>
    </row>
    <row r="2808" ht="20" customHeight="1">
      <c r="A2808" s="183">
        <f>IF($K2808="","",WEEKNUM(INDEX(Zeiterfassung!$K$6:$K$3665,$K2808),21))</f>
        <v/>
      </c>
      <c r="B2808" s="184">
        <f>IF($K2808="","",INDEX(Zeiterfassung!$K$6:$K$3665,$K2808))</f>
        <v/>
      </c>
      <c r="C2808" s="185">
        <f>IF($K2808="","",INDEX(Zeiterfassung!$K$6:$K$3665,$K2808))</f>
        <v/>
      </c>
      <c r="D2808" s="186">
        <f>IF($K2808="","",INDEX(Zeiterfassung!$D$6:$D$3665,$K2808))</f>
        <v/>
      </c>
      <c r="E2808" s="186">
        <f>IF($K2808="","",INDEX(Zeiterfassung!$E$6:$E$3665,$K2808))</f>
        <v/>
      </c>
      <c r="F2808" s="187">
        <f>IF($K2808="","",INDEX(Zeiterfassung!$F$6:$F$3665,$K2808))</f>
        <v/>
      </c>
      <c r="G2808" s="187">
        <f>IF($K2808="","",INDEX(Zeiterfassung!$G$6:$G$3665,$K2808))</f>
        <v/>
      </c>
      <c r="H2808" s="188">
        <f>IF($K2808="","",INDEX(Zeiterfassung!$H$6:$H$3665,$K2808))</f>
        <v/>
      </c>
      <c r="I2808" s="335">
        <f>IF(B2808=B2807,"",IF($K2808="","",INDEX(Zeiterfassung!$I$6:$I$3665,MATCH(INDEX(Zeiterfassung!$K$6:$K$3665,$K2808),Zeiterfassung!$K$6:$K$3665,0))))</f>
        <v/>
      </c>
      <c r="J2808" s="335">
        <f>IF(B2808=B2807,"",IF($K2808="","",INDEX(Zeiterfassung!$J$6:$J$3665,MATCH(INDEX(Zeiterfassung!$K$6:$K$3665,$K2808),Zeiterfassung!$K$6:$K$3665,0))))</f>
        <v/>
      </c>
      <c r="K2808">
        <f>IFERROR(AGGREGATE(15,6,(ROW(Zeiterfassung!$D$6:$D$3665)-ROW(Zeiterfassung!$D$6)+1)/(Zeiterfassung!$D$6:$D$3665&lt;&gt;""),2803),"")</f>
        <v/>
      </c>
    </row>
    <row r="2809" ht="20" customHeight="1">
      <c r="A2809" s="183">
        <f>IF($K2809="","",WEEKNUM(INDEX(Zeiterfassung!$K$6:$K$3665,$K2809),21))</f>
        <v/>
      </c>
      <c r="B2809" s="184">
        <f>IF($K2809="","",INDEX(Zeiterfassung!$K$6:$K$3665,$K2809))</f>
        <v/>
      </c>
      <c r="C2809" s="185">
        <f>IF($K2809="","",INDEX(Zeiterfassung!$K$6:$K$3665,$K2809))</f>
        <v/>
      </c>
      <c r="D2809" s="186">
        <f>IF($K2809="","",INDEX(Zeiterfassung!$D$6:$D$3665,$K2809))</f>
        <v/>
      </c>
      <c r="E2809" s="186">
        <f>IF($K2809="","",INDEX(Zeiterfassung!$E$6:$E$3665,$K2809))</f>
        <v/>
      </c>
      <c r="F2809" s="187">
        <f>IF($K2809="","",INDEX(Zeiterfassung!$F$6:$F$3665,$K2809))</f>
        <v/>
      </c>
      <c r="G2809" s="187">
        <f>IF($K2809="","",INDEX(Zeiterfassung!$G$6:$G$3665,$K2809))</f>
        <v/>
      </c>
      <c r="H2809" s="188">
        <f>IF($K2809="","",INDEX(Zeiterfassung!$H$6:$H$3665,$K2809))</f>
        <v/>
      </c>
      <c r="I2809" s="335">
        <f>IF(B2809=B2808,"",IF($K2809="","",INDEX(Zeiterfassung!$I$6:$I$3665,MATCH(INDEX(Zeiterfassung!$K$6:$K$3665,$K2809),Zeiterfassung!$K$6:$K$3665,0))))</f>
        <v/>
      </c>
      <c r="J2809" s="335">
        <f>IF(B2809=B2808,"",IF($K2809="","",INDEX(Zeiterfassung!$J$6:$J$3665,MATCH(INDEX(Zeiterfassung!$K$6:$K$3665,$K2809),Zeiterfassung!$K$6:$K$3665,0))))</f>
        <v/>
      </c>
      <c r="K2809">
        <f>IFERROR(AGGREGATE(15,6,(ROW(Zeiterfassung!$D$6:$D$3665)-ROW(Zeiterfassung!$D$6)+1)/(Zeiterfassung!$D$6:$D$3665&lt;&gt;""),2804),"")</f>
        <v/>
      </c>
    </row>
    <row r="2810" ht="20" customHeight="1">
      <c r="A2810" s="183">
        <f>IF($K2810="","",WEEKNUM(INDEX(Zeiterfassung!$K$6:$K$3665,$K2810),21))</f>
        <v/>
      </c>
      <c r="B2810" s="184">
        <f>IF($K2810="","",INDEX(Zeiterfassung!$K$6:$K$3665,$K2810))</f>
        <v/>
      </c>
      <c r="C2810" s="185">
        <f>IF($K2810="","",INDEX(Zeiterfassung!$K$6:$K$3665,$K2810))</f>
        <v/>
      </c>
      <c r="D2810" s="186">
        <f>IF($K2810="","",INDEX(Zeiterfassung!$D$6:$D$3665,$K2810))</f>
        <v/>
      </c>
      <c r="E2810" s="186">
        <f>IF($K2810="","",INDEX(Zeiterfassung!$E$6:$E$3665,$K2810))</f>
        <v/>
      </c>
      <c r="F2810" s="187">
        <f>IF($K2810="","",INDEX(Zeiterfassung!$F$6:$F$3665,$K2810))</f>
        <v/>
      </c>
      <c r="G2810" s="187">
        <f>IF($K2810="","",INDEX(Zeiterfassung!$G$6:$G$3665,$K2810))</f>
        <v/>
      </c>
      <c r="H2810" s="188">
        <f>IF($K2810="","",INDEX(Zeiterfassung!$H$6:$H$3665,$K2810))</f>
        <v/>
      </c>
      <c r="I2810" s="335">
        <f>IF(B2810=B2809,"",IF($K2810="","",INDEX(Zeiterfassung!$I$6:$I$3665,MATCH(INDEX(Zeiterfassung!$K$6:$K$3665,$K2810),Zeiterfassung!$K$6:$K$3665,0))))</f>
        <v/>
      </c>
      <c r="J2810" s="335">
        <f>IF(B2810=B2809,"",IF($K2810="","",INDEX(Zeiterfassung!$J$6:$J$3665,MATCH(INDEX(Zeiterfassung!$K$6:$K$3665,$K2810),Zeiterfassung!$K$6:$K$3665,0))))</f>
        <v/>
      </c>
      <c r="K2810">
        <f>IFERROR(AGGREGATE(15,6,(ROW(Zeiterfassung!$D$6:$D$3665)-ROW(Zeiterfassung!$D$6)+1)/(Zeiterfassung!$D$6:$D$3665&lt;&gt;""),2805),"")</f>
        <v/>
      </c>
    </row>
    <row r="2811" ht="20" customHeight="1">
      <c r="A2811" s="183">
        <f>IF($K2811="","",WEEKNUM(INDEX(Zeiterfassung!$K$6:$K$3665,$K2811),21))</f>
        <v/>
      </c>
      <c r="B2811" s="184">
        <f>IF($K2811="","",INDEX(Zeiterfassung!$K$6:$K$3665,$K2811))</f>
        <v/>
      </c>
      <c r="C2811" s="185">
        <f>IF($K2811="","",INDEX(Zeiterfassung!$K$6:$K$3665,$K2811))</f>
        <v/>
      </c>
      <c r="D2811" s="186">
        <f>IF($K2811="","",INDEX(Zeiterfassung!$D$6:$D$3665,$K2811))</f>
        <v/>
      </c>
      <c r="E2811" s="186">
        <f>IF($K2811="","",INDEX(Zeiterfassung!$E$6:$E$3665,$K2811))</f>
        <v/>
      </c>
      <c r="F2811" s="187">
        <f>IF($K2811="","",INDEX(Zeiterfassung!$F$6:$F$3665,$K2811))</f>
        <v/>
      </c>
      <c r="G2811" s="187">
        <f>IF($K2811="","",INDEX(Zeiterfassung!$G$6:$G$3665,$K2811))</f>
        <v/>
      </c>
      <c r="H2811" s="188">
        <f>IF($K2811="","",INDEX(Zeiterfassung!$H$6:$H$3665,$K2811))</f>
        <v/>
      </c>
      <c r="I2811" s="335">
        <f>IF(B2811=B2810,"",IF($K2811="","",INDEX(Zeiterfassung!$I$6:$I$3665,MATCH(INDEX(Zeiterfassung!$K$6:$K$3665,$K2811),Zeiterfassung!$K$6:$K$3665,0))))</f>
        <v/>
      </c>
      <c r="J2811" s="335">
        <f>IF(B2811=B2810,"",IF($K2811="","",INDEX(Zeiterfassung!$J$6:$J$3665,MATCH(INDEX(Zeiterfassung!$K$6:$K$3665,$K2811),Zeiterfassung!$K$6:$K$3665,0))))</f>
        <v/>
      </c>
      <c r="K2811">
        <f>IFERROR(AGGREGATE(15,6,(ROW(Zeiterfassung!$D$6:$D$3665)-ROW(Zeiterfassung!$D$6)+1)/(Zeiterfassung!$D$6:$D$3665&lt;&gt;""),2806),"")</f>
        <v/>
      </c>
    </row>
    <row r="2812" ht="20" customHeight="1">
      <c r="A2812" s="183">
        <f>IF($K2812="","",WEEKNUM(INDEX(Zeiterfassung!$K$6:$K$3665,$K2812),21))</f>
        <v/>
      </c>
      <c r="B2812" s="184">
        <f>IF($K2812="","",INDEX(Zeiterfassung!$K$6:$K$3665,$K2812))</f>
        <v/>
      </c>
      <c r="C2812" s="185">
        <f>IF($K2812="","",INDEX(Zeiterfassung!$K$6:$K$3665,$K2812))</f>
        <v/>
      </c>
      <c r="D2812" s="186">
        <f>IF($K2812="","",INDEX(Zeiterfassung!$D$6:$D$3665,$K2812))</f>
        <v/>
      </c>
      <c r="E2812" s="186">
        <f>IF($K2812="","",INDEX(Zeiterfassung!$E$6:$E$3665,$K2812))</f>
        <v/>
      </c>
      <c r="F2812" s="187">
        <f>IF($K2812="","",INDEX(Zeiterfassung!$F$6:$F$3665,$K2812))</f>
        <v/>
      </c>
      <c r="G2812" s="187">
        <f>IF($K2812="","",INDEX(Zeiterfassung!$G$6:$G$3665,$K2812))</f>
        <v/>
      </c>
      <c r="H2812" s="188">
        <f>IF($K2812="","",INDEX(Zeiterfassung!$H$6:$H$3665,$K2812))</f>
        <v/>
      </c>
      <c r="I2812" s="335">
        <f>IF(B2812=B2811,"",IF($K2812="","",INDEX(Zeiterfassung!$I$6:$I$3665,MATCH(INDEX(Zeiterfassung!$K$6:$K$3665,$K2812),Zeiterfassung!$K$6:$K$3665,0))))</f>
        <v/>
      </c>
      <c r="J2812" s="335">
        <f>IF(B2812=B2811,"",IF($K2812="","",INDEX(Zeiterfassung!$J$6:$J$3665,MATCH(INDEX(Zeiterfassung!$K$6:$K$3665,$K2812),Zeiterfassung!$K$6:$K$3665,0))))</f>
        <v/>
      </c>
      <c r="K2812">
        <f>IFERROR(AGGREGATE(15,6,(ROW(Zeiterfassung!$D$6:$D$3665)-ROW(Zeiterfassung!$D$6)+1)/(Zeiterfassung!$D$6:$D$3665&lt;&gt;""),2807),"")</f>
        <v/>
      </c>
    </row>
    <row r="2813" ht="20" customHeight="1">
      <c r="A2813" s="183">
        <f>IF($K2813="","",WEEKNUM(INDEX(Zeiterfassung!$K$6:$K$3665,$K2813),21))</f>
        <v/>
      </c>
      <c r="B2813" s="184">
        <f>IF($K2813="","",INDEX(Zeiterfassung!$K$6:$K$3665,$K2813))</f>
        <v/>
      </c>
      <c r="C2813" s="185">
        <f>IF($K2813="","",INDEX(Zeiterfassung!$K$6:$K$3665,$K2813))</f>
        <v/>
      </c>
      <c r="D2813" s="186">
        <f>IF($K2813="","",INDEX(Zeiterfassung!$D$6:$D$3665,$K2813))</f>
        <v/>
      </c>
      <c r="E2813" s="186">
        <f>IF($K2813="","",INDEX(Zeiterfassung!$E$6:$E$3665,$K2813))</f>
        <v/>
      </c>
      <c r="F2813" s="187">
        <f>IF($K2813="","",INDEX(Zeiterfassung!$F$6:$F$3665,$K2813))</f>
        <v/>
      </c>
      <c r="G2813" s="187">
        <f>IF($K2813="","",INDEX(Zeiterfassung!$G$6:$G$3665,$K2813))</f>
        <v/>
      </c>
      <c r="H2813" s="188">
        <f>IF($K2813="","",INDEX(Zeiterfassung!$H$6:$H$3665,$K2813))</f>
        <v/>
      </c>
      <c r="I2813" s="335">
        <f>IF(B2813=B2812,"",IF($K2813="","",INDEX(Zeiterfassung!$I$6:$I$3665,MATCH(INDEX(Zeiterfassung!$K$6:$K$3665,$K2813),Zeiterfassung!$K$6:$K$3665,0))))</f>
        <v/>
      </c>
      <c r="J2813" s="335">
        <f>IF(B2813=B2812,"",IF($K2813="","",INDEX(Zeiterfassung!$J$6:$J$3665,MATCH(INDEX(Zeiterfassung!$K$6:$K$3665,$K2813),Zeiterfassung!$K$6:$K$3665,0))))</f>
        <v/>
      </c>
      <c r="K2813">
        <f>IFERROR(AGGREGATE(15,6,(ROW(Zeiterfassung!$D$6:$D$3665)-ROW(Zeiterfassung!$D$6)+1)/(Zeiterfassung!$D$6:$D$3665&lt;&gt;""),2808),"")</f>
        <v/>
      </c>
    </row>
    <row r="2814" ht="20" customHeight="1">
      <c r="A2814" s="183">
        <f>IF($K2814="","",WEEKNUM(INDEX(Zeiterfassung!$K$6:$K$3665,$K2814),21))</f>
        <v/>
      </c>
      <c r="B2814" s="184">
        <f>IF($K2814="","",INDEX(Zeiterfassung!$K$6:$K$3665,$K2814))</f>
        <v/>
      </c>
      <c r="C2814" s="185">
        <f>IF($K2814="","",INDEX(Zeiterfassung!$K$6:$K$3665,$K2814))</f>
        <v/>
      </c>
      <c r="D2814" s="186">
        <f>IF($K2814="","",INDEX(Zeiterfassung!$D$6:$D$3665,$K2814))</f>
        <v/>
      </c>
      <c r="E2814" s="186">
        <f>IF($K2814="","",INDEX(Zeiterfassung!$E$6:$E$3665,$K2814))</f>
        <v/>
      </c>
      <c r="F2814" s="187">
        <f>IF($K2814="","",INDEX(Zeiterfassung!$F$6:$F$3665,$K2814))</f>
        <v/>
      </c>
      <c r="G2814" s="187">
        <f>IF($K2814="","",INDEX(Zeiterfassung!$G$6:$G$3665,$K2814))</f>
        <v/>
      </c>
      <c r="H2814" s="188">
        <f>IF($K2814="","",INDEX(Zeiterfassung!$H$6:$H$3665,$K2814))</f>
        <v/>
      </c>
      <c r="I2814" s="335">
        <f>IF(B2814=B2813,"",IF($K2814="","",INDEX(Zeiterfassung!$I$6:$I$3665,MATCH(INDEX(Zeiterfassung!$K$6:$K$3665,$K2814),Zeiterfassung!$K$6:$K$3665,0))))</f>
        <v/>
      </c>
      <c r="J2814" s="335">
        <f>IF(B2814=B2813,"",IF($K2814="","",INDEX(Zeiterfassung!$J$6:$J$3665,MATCH(INDEX(Zeiterfassung!$K$6:$K$3665,$K2814),Zeiterfassung!$K$6:$K$3665,0))))</f>
        <v/>
      </c>
      <c r="K2814">
        <f>IFERROR(AGGREGATE(15,6,(ROW(Zeiterfassung!$D$6:$D$3665)-ROW(Zeiterfassung!$D$6)+1)/(Zeiterfassung!$D$6:$D$3665&lt;&gt;""),2809),"")</f>
        <v/>
      </c>
    </row>
    <row r="2815" ht="20" customHeight="1">
      <c r="A2815" s="183">
        <f>IF($K2815="","",WEEKNUM(INDEX(Zeiterfassung!$K$6:$K$3665,$K2815),21))</f>
        <v/>
      </c>
      <c r="B2815" s="184">
        <f>IF($K2815="","",INDEX(Zeiterfassung!$K$6:$K$3665,$K2815))</f>
        <v/>
      </c>
      <c r="C2815" s="185">
        <f>IF($K2815="","",INDEX(Zeiterfassung!$K$6:$K$3665,$K2815))</f>
        <v/>
      </c>
      <c r="D2815" s="186">
        <f>IF($K2815="","",INDEX(Zeiterfassung!$D$6:$D$3665,$K2815))</f>
        <v/>
      </c>
      <c r="E2815" s="186">
        <f>IF($K2815="","",INDEX(Zeiterfassung!$E$6:$E$3665,$K2815))</f>
        <v/>
      </c>
      <c r="F2815" s="187">
        <f>IF($K2815="","",INDEX(Zeiterfassung!$F$6:$F$3665,$K2815))</f>
        <v/>
      </c>
      <c r="G2815" s="187">
        <f>IF($K2815="","",INDEX(Zeiterfassung!$G$6:$G$3665,$K2815))</f>
        <v/>
      </c>
      <c r="H2815" s="188">
        <f>IF($K2815="","",INDEX(Zeiterfassung!$H$6:$H$3665,$K2815))</f>
        <v/>
      </c>
      <c r="I2815" s="335">
        <f>IF(B2815=B2814,"",IF($K2815="","",INDEX(Zeiterfassung!$I$6:$I$3665,MATCH(INDEX(Zeiterfassung!$K$6:$K$3665,$K2815),Zeiterfassung!$K$6:$K$3665,0))))</f>
        <v/>
      </c>
      <c r="J2815" s="335">
        <f>IF(B2815=B2814,"",IF($K2815="","",INDEX(Zeiterfassung!$J$6:$J$3665,MATCH(INDEX(Zeiterfassung!$K$6:$K$3665,$K2815),Zeiterfassung!$K$6:$K$3665,0))))</f>
        <v/>
      </c>
      <c r="K2815">
        <f>IFERROR(AGGREGATE(15,6,(ROW(Zeiterfassung!$D$6:$D$3665)-ROW(Zeiterfassung!$D$6)+1)/(Zeiterfassung!$D$6:$D$3665&lt;&gt;""),2810),"")</f>
        <v/>
      </c>
    </row>
    <row r="2816" ht="20" customHeight="1">
      <c r="A2816" s="183">
        <f>IF($K2816="","",WEEKNUM(INDEX(Zeiterfassung!$K$6:$K$3665,$K2816),21))</f>
        <v/>
      </c>
      <c r="B2816" s="184">
        <f>IF($K2816="","",INDEX(Zeiterfassung!$K$6:$K$3665,$K2816))</f>
        <v/>
      </c>
      <c r="C2816" s="185">
        <f>IF($K2816="","",INDEX(Zeiterfassung!$K$6:$K$3665,$K2816))</f>
        <v/>
      </c>
      <c r="D2816" s="186">
        <f>IF($K2816="","",INDEX(Zeiterfassung!$D$6:$D$3665,$K2816))</f>
        <v/>
      </c>
      <c r="E2816" s="186">
        <f>IF($K2816="","",INDEX(Zeiterfassung!$E$6:$E$3665,$K2816))</f>
        <v/>
      </c>
      <c r="F2816" s="187">
        <f>IF($K2816="","",INDEX(Zeiterfassung!$F$6:$F$3665,$K2816))</f>
        <v/>
      </c>
      <c r="G2816" s="187">
        <f>IF($K2816="","",INDEX(Zeiterfassung!$G$6:$G$3665,$K2816))</f>
        <v/>
      </c>
      <c r="H2816" s="188">
        <f>IF($K2816="","",INDEX(Zeiterfassung!$H$6:$H$3665,$K2816))</f>
        <v/>
      </c>
      <c r="I2816" s="335">
        <f>IF(B2816=B2815,"",IF($K2816="","",INDEX(Zeiterfassung!$I$6:$I$3665,MATCH(INDEX(Zeiterfassung!$K$6:$K$3665,$K2816),Zeiterfassung!$K$6:$K$3665,0))))</f>
        <v/>
      </c>
      <c r="J2816" s="335">
        <f>IF(B2816=B2815,"",IF($K2816="","",INDEX(Zeiterfassung!$J$6:$J$3665,MATCH(INDEX(Zeiterfassung!$K$6:$K$3665,$K2816),Zeiterfassung!$K$6:$K$3665,0))))</f>
        <v/>
      </c>
      <c r="K2816">
        <f>IFERROR(AGGREGATE(15,6,(ROW(Zeiterfassung!$D$6:$D$3665)-ROW(Zeiterfassung!$D$6)+1)/(Zeiterfassung!$D$6:$D$3665&lt;&gt;""),2811),"")</f>
        <v/>
      </c>
    </row>
    <row r="2817" ht="20" customHeight="1">
      <c r="A2817" s="183">
        <f>IF($K2817="","",WEEKNUM(INDEX(Zeiterfassung!$K$6:$K$3665,$K2817),21))</f>
        <v/>
      </c>
      <c r="B2817" s="184">
        <f>IF($K2817="","",INDEX(Zeiterfassung!$K$6:$K$3665,$K2817))</f>
        <v/>
      </c>
      <c r="C2817" s="185">
        <f>IF($K2817="","",INDEX(Zeiterfassung!$K$6:$K$3665,$K2817))</f>
        <v/>
      </c>
      <c r="D2817" s="186">
        <f>IF($K2817="","",INDEX(Zeiterfassung!$D$6:$D$3665,$K2817))</f>
        <v/>
      </c>
      <c r="E2817" s="186">
        <f>IF($K2817="","",INDEX(Zeiterfassung!$E$6:$E$3665,$K2817))</f>
        <v/>
      </c>
      <c r="F2817" s="187">
        <f>IF($K2817="","",INDEX(Zeiterfassung!$F$6:$F$3665,$K2817))</f>
        <v/>
      </c>
      <c r="G2817" s="187">
        <f>IF($K2817="","",INDEX(Zeiterfassung!$G$6:$G$3665,$K2817))</f>
        <v/>
      </c>
      <c r="H2817" s="188">
        <f>IF($K2817="","",INDEX(Zeiterfassung!$H$6:$H$3665,$K2817))</f>
        <v/>
      </c>
      <c r="I2817" s="335">
        <f>IF(B2817=B2816,"",IF($K2817="","",INDEX(Zeiterfassung!$I$6:$I$3665,MATCH(INDEX(Zeiterfassung!$K$6:$K$3665,$K2817),Zeiterfassung!$K$6:$K$3665,0))))</f>
        <v/>
      </c>
      <c r="J2817" s="335">
        <f>IF(B2817=B2816,"",IF($K2817="","",INDEX(Zeiterfassung!$J$6:$J$3665,MATCH(INDEX(Zeiterfassung!$K$6:$K$3665,$K2817),Zeiterfassung!$K$6:$K$3665,0))))</f>
        <v/>
      </c>
      <c r="K2817">
        <f>IFERROR(AGGREGATE(15,6,(ROW(Zeiterfassung!$D$6:$D$3665)-ROW(Zeiterfassung!$D$6)+1)/(Zeiterfassung!$D$6:$D$3665&lt;&gt;""),2812),"")</f>
        <v/>
      </c>
    </row>
    <row r="2818" ht="20" customHeight="1">
      <c r="A2818" s="183">
        <f>IF($K2818="","",WEEKNUM(INDEX(Zeiterfassung!$K$6:$K$3665,$K2818),21))</f>
        <v/>
      </c>
      <c r="B2818" s="184">
        <f>IF($K2818="","",INDEX(Zeiterfassung!$K$6:$K$3665,$K2818))</f>
        <v/>
      </c>
      <c r="C2818" s="185">
        <f>IF($K2818="","",INDEX(Zeiterfassung!$K$6:$K$3665,$K2818))</f>
        <v/>
      </c>
      <c r="D2818" s="186">
        <f>IF($K2818="","",INDEX(Zeiterfassung!$D$6:$D$3665,$K2818))</f>
        <v/>
      </c>
      <c r="E2818" s="186">
        <f>IF($K2818="","",INDEX(Zeiterfassung!$E$6:$E$3665,$K2818))</f>
        <v/>
      </c>
      <c r="F2818" s="187">
        <f>IF($K2818="","",INDEX(Zeiterfassung!$F$6:$F$3665,$K2818))</f>
        <v/>
      </c>
      <c r="G2818" s="187">
        <f>IF($K2818="","",INDEX(Zeiterfassung!$G$6:$G$3665,$K2818))</f>
        <v/>
      </c>
      <c r="H2818" s="188">
        <f>IF($K2818="","",INDEX(Zeiterfassung!$H$6:$H$3665,$K2818))</f>
        <v/>
      </c>
      <c r="I2818" s="335">
        <f>IF(B2818=B2817,"",IF($K2818="","",INDEX(Zeiterfassung!$I$6:$I$3665,MATCH(INDEX(Zeiterfassung!$K$6:$K$3665,$K2818),Zeiterfassung!$K$6:$K$3665,0))))</f>
        <v/>
      </c>
      <c r="J2818" s="335">
        <f>IF(B2818=B2817,"",IF($K2818="","",INDEX(Zeiterfassung!$J$6:$J$3665,MATCH(INDEX(Zeiterfassung!$K$6:$K$3665,$K2818),Zeiterfassung!$K$6:$K$3665,0))))</f>
        <v/>
      </c>
      <c r="K2818">
        <f>IFERROR(AGGREGATE(15,6,(ROW(Zeiterfassung!$D$6:$D$3665)-ROW(Zeiterfassung!$D$6)+1)/(Zeiterfassung!$D$6:$D$3665&lt;&gt;""),2813),"")</f>
        <v/>
      </c>
    </row>
    <row r="2819" ht="20" customHeight="1">
      <c r="A2819" s="183">
        <f>IF($K2819="","",WEEKNUM(INDEX(Zeiterfassung!$K$6:$K$3665,$K2819),21))</f>
        <v/>
      </c>
      <c r="B2819" s="184">
        <f>IF($K2819="","",INDEX(Zeiterfassung!$K$6:$K$3665,$K2819))</f>
        <v/>
      </c>
      <c r="C2819" s="185">
        <f>IF($K2819="","",INDEX(Zeiterfassung!$K$6:$K$3665,$K2819))</f>
        <v/>
      </c>
      <c r="D2819" s="186">
        <f>IF($K2819="","",INDEX(Zeiterfassung!$D$6:$D$3665,$K2819))</f>
        <v/>
      </c>
      <c r="E2819" s="186">
        <f>IF($K2819="","",INDEX(Zeiterfassung!$E$6:$E$3665,$K2819))</f>
        <v/>
      </c>
      <c r="F2819" s="187">
        <f>IF($K2819="","",INDEX(Zeiterfassung!$F$6:$F$3665,$K2819))</f>
        <v/>
      </c>
      <c r="G2819" s="187">
        <f>IF($K2819="","",INDEX(Zeiterfassung!$G$6:$G$3665,$K2819))</f>
        <v/>
      </c>
      <c r="H2819" s="188">
        <f>IF($K2819="","",INDEX(Zeiterfassung!$H$6:$H$3665,$K2819))</f>
        <v/>
      </c>
      <c r="I2819" s="335">
        <f>IF(B2819=B2818,"",IF($K2819="","",INDEX(Zeiterfassung!$I$6:$I$3665,MATCH(INDEX(Zeiterfassung!$K$6:$K$3665,$K2819),Zeiterfassung!$K$6:$K$3665,0))))</f>
        <v/>
      </c>
      <c r="J2819" s="335">
        <f>IF(B2819=B2818,"",IF($K2819="","",INDEX(Zeiterfassung!$J$6:$J$3665,MATCH(INDEX(Zeiterfassung!$K$6:$K$3665,$K2819),Zeiterfassung!$K$6:$K$3665,0))))</f>
        <v/>
      </c>
      <c r="K2819">
        <f>IFERROR(AGGREGATE(15,6,(ROW(Zeiterfassung!$D$6:$D$3665)-ROW(Zeiterfassung!$D$6)+1)/(Zeiterfassung!$D$6:$D$3665&lt;&gt;""),2814),"")</f>
        <v/>
      </c>
    </row>
    <row r="2820" ht="20" customHeight="1">
      <c r="A2820" s="183">
        <f>IF($K2820="","",WEEKNUM(INDEX(Zeiterfassung!$K$6:$K$3665,$K2820),21))</f>
        <v/>
      </c>
      <c r="B2820" s="184">
        <f>IF($K2820="","",INDEX(Zeiterfassung!$K$6:$K$3665,$K2820))</f>
        <v/>
      </c>
      <c r="C2820" s="185">
        <f>IF($K2820="","",INDEX(Zeiterfassung!$K$6:$K$3665,$K2820))</f>
        <v/>
      </c>
      <c r="D2820" s="186">
        <f>IF($K2820="","",INDEX(Zeiterfassung!$D$6:$D$3665,$K2820))</f>
        <v/>
      </c>
      <c r="E2820" s="186">
        <f>IF($K2820="","",INDEX(Zeiterfassung!$E$6:$E$3665,$K2820))</f>
        <v/>
      </c>
      <c r="F2820" s="187">
        <f>IF($K2820="","",INDEX(Zeiterfassung!$F$6:$F$3665,$K2820))</f>
        <v/>
      </c>
      <c r="G2820" s="187">
        <f>IF($K2820="","",INDEX(Zeiterfassung!$G$6:$G$3665,$K2820))</f>
        <v/>
      </c>
      <c r="H2820" s="188">
        <f>IF($K2820="","",INDEX(Zeiterfassung!$H$6:$H$3665,$K2820))</f>
        <v/>
      </c>
      <c r="I2820" s="335">
        <f>IF(B2820=B2819,"",IF($K2820="","",INDEX(Zeiterfassung!$I$6:$I$3665,MATCH(INDEX(Zeiterfassung!$K$6:$K$3665,$K2820),Zeiterfassung!$K$6:$K$3665,0))))</f>
        <v/>
      </c>
      <c r="J2820" s="335">
        <f>IF(B2820=B2819,"",IF($K2820="","",INDEX(Zeiterfassung!$J$6:$J$3665,MATCH(INDEX(Zeiterfassung!$K$6:$K$3665,$K2820),Zeiterfassung!$K$6:$K$3665,0))))</f>
        <v/>
      </c>
      <c r="K2820">
        <f>IFERROR(AGGREGATE(15,6,(ROW(Zeiterfassung!$D$6:$D$3665)-ROW(Zeiterfassung!$D$6)+1)/(Zeiterfassung!$D$6:$D$3665&lt;&gt;""),2815),"")</f>
        <v/>
      </c>
    </row>
    <row r="2821" ht="20" customHeight="1">
      <c r="A2821" s="183">
        <f>IF($K2821="","",WEEKNUM(INDEX(Zeiterfassung!$K$6:$K$3665,$K2821),21))</f>
        <v/>
      </c>
      <c r="B2821" s="184">
        <f>IF($K2821="","",INDEX(Zeiterfassung!$K$6:$K$3665,$K2821))</f>
        <v/>
      </c>
      <c r="C2821" s="185">
        <f>IF($K2821="","",INDEX(Zeiterfassung!$K$6:$K$3665,$K2821))</f>
        <v/>
      </c>
      <c r="D2821" s="186">
        <f>IF($K2821="","",INDEX(Zeiterfassung!$D$6:$D$3665,$K2821))</f>
        <v/>
      </c>
      <c r="E2821" s="186">
        <f>IF($K2821="","",INDEX(Zeiterfassung!$E$6:$E$3665,$K2821))</f>
        <v/>
      </c>
      <c r="F2821" s="187">
        <f>IF($K2821="","",INDEX(Zeiterfassung!$F$6:$F$3665,$K2821))</f>
        <v/>
      </c>
      <c r="G2821" s="187">
        <f>IF($K2821="","",INDEX(Zeiterfassung!$G$6:$G$3665,$K2821))</f>
        <v/>
      </c>
      <c r="H2821" s="188">
        <f>IF($K2821="","",INDEX(Zeiterfassung!$H$6:$H$3665,$K2821))</f>
        <v/>
      </c>
      <c r="I2821" s="335">
        <f>IF(B2821=B2820,"",IF($K2821="","",INDEX(Zeiterfassung!$I$6:$I$3665,MATCH(INDEX(Zeiterfassung!$K$6:$K$3665,$K2821),Zeiterfassung!$K$6:$K$3665,0))))</f>
        <v/>
      </c>
      <c r="J2821" s="335">
        <f>IF(B2821=B2820,"",IF($K2821="","",INDEX(Zeiterfassung!$J$6:$J$3665,MATCH(INDEX(Zeiterfassung!$K$6:$K$3665,$K2821),Zeiterfassung!$K$6:$K$3665,0))))</f>
        <v/>
      </c>
      <c r="K2821">
        <f>IFERROR(AGGREGATE(15,6,(ROW(Zeiterfassung!$D$6:$D$3665)-ROW(Zeiterfassung!$D$6)+1)/(Zeiterfassung!$D$6:$D$3665&lt;&gt;""),2816),"")</f>
        <v/>
      </c>
    </row>
    <row r="2822" ht="20" customHeight="1">
      <c r="A2822" s="183">
        <f>IF($K2822="","",WEEKNUM(INDEX(Zeiterfassung!$K$6:$K$3665,$K2822),21))</f>
        <v/>
      </c>
      <c r="B2822" s="184">
        <f>IF($K2822="","",INDEX(Zeiterfassung!$K$6:$K$3665,$K2822))</f>
        <v/>
      </c>
      <c r="C2822" s="185">
        <f>IF($K2822="","",INDEX(Zeiterfassung!$K$6:$K$3665,$K2822))</f>
        <v/>
      </c>
      <c r="D2822" s="186">
        <f>IF($K2822="","",INDEX(Zeiterfassung!$D$6:$D$3665,$K2822))</f>
        <v/>
      </c>
      <c r="E2822" s="186">
        <f>IF($K2822="","",INDEX(Zeiterfassung!$E$6:$E$3665,$K2822))</f>
        <v/>
      </c>
      <c r="F2822" s="187">
        <f>IF($K2822="","",INDEX(Zeiterfassung!$F$6:$F$3665,$K2822))</f>
        <v/>
      </c>
      <c r="G2822" s="187">
        <f>IF($K2822="","",INDEX(Zeiterfassung!$G$6:$G$3665,$K2822))</f>
        <v/>
      </c>
      <c r="H2822" s="188">
        <f>IF($K2822="","",INDEX(Zeiterfassung!$H$6:$H$3665,$K2822))</f>
        <v/>
      </c>
      <c r="I2822" s="335">
        <f>IF(B2822=B2821,"",IF($K2822="","",INDEX(Zeiterfassung!$I$6:$I$3665,MATCH(INDEX(Zeiterfassung!$K$6:$K$3665,$K2822),Zeiterfassung!$K$6:$K$3665,0))))</f>
        <v/>
      </c>
      <c r="J2822" s="335">
        <f>IF(B2822=B2821,"",IF($K2822="","",INDEX(Zeiterfassung!$J$6:$J$3665,MATCH(INDEX(Zeiterfassung!$K$6:$K$3665,$K2822),Zeiterfassung!$K$6:$K$3665,0))))</f>
        <v/>
      </c>
      <c r="K2822">
        <f>IFERROR(AGGREGATE(15,6,(ROW(Zeiterfassung!$D$6:$D$3665)-ROW(Zeiterfassung!$D$6)+1)/(Zeiterfassung!$D$6:$D$3665&lt;&gt;""),2817),"")</f>
        <v/>
      </c>
    </row>
    <row r="2823" ht="20" customHeight="1">
      <c r="A2823" s="183">
        <f>IF($K2823="","",WEEKNUM(INDEX(Zeiterfassung!$K$6:$K$3665,$K2823),21))</f>
        <v/>
      </c>
      <c r="B2823" s="184">
        <f>IF($K2823="","",INDEX(Zeiterfassung!$K$6:$K$3665,$K2823))</f>
        <v/>
      </c>
      <c r="C2823" s="185">
        <f>IF($K2823="","",INDEX(Zeiterfassung!$K$6:$K$3665,$K2823))</f>
        <v/>
      </c>
      <c r="D2823" s="186">
        <f>IF($K2823="","",INDEX(Zeiterfassung!$D$6:$D$3665,$K2823))</f>
        <v/>
      </c>
      <c r="E2823" s="186">
        <f>IF($K2823="","",INDEX(Zeiterfassung!$E$6:$E$3665,$K2823))</f>
        <v/>
      </c>
      <c r="F2823" s="187">
        <f>IF($K2823="","",INDEX(Zeiterfassung!$F$6:$F$3665,$K2823))</f>
        <v/>
      </c>
      <c r="G2823" s="187">
        <f>IF($K2823="","",INDEX(Zeiterfassung!$G$6:$G$3665,$K2823))</f>
        <v/>
      </c>
      <c r="H2823" s="188">
        <f>IF($K2823="","",INDEX(Zeiterfassung!$H$6:$H$3665,$K2823))</f>
        <v/>
      </c>
      <c r="I2823" s="335">
        <f>IF(B2823=B2822,"",IF($K2823="","",INDEX(Zeiterfassung!$I$6:$I$3665,MATCH(INDEX(Zeiterfassung!$K$6:$K$3665,$K2823),Zeiterfassung!$K$6:$K$3665,0))))</f>
        <v/>
      </c>
      <c r="J2823" s="335">
        <f>IF(B2823=B2822,"",IF($K2823="","",INDEX(Zeiterfassung!$J$6:$J$3665,MATCH(INDEX(Zeiterfassung!$K$6:$K$3665,$K2823),Zeiterfassung!$K$6:$K$3665,0))))</f>
        <v/>
      </c>
      <c r="K2823">
        <f>IFERROR(AGGREGATE(15,6,(ROW(Zeiterfassung!$D$6:$D$3665)-ROW(Zeiterfassung!$D$6)+1)/(Zeiterfassung!$D$6:$D$3665&lt;&gt;""),2818),"")</f>
        <v/>
      </c>
    </row>
    <row r="2824" ht="20" customHeight="1">
      <c r="A2824" s="183">
        <f>IF($K2824="","",WEEKNUM(INDEX(Zeiterfassung!$K$6:$K$3665,$K2824),21))</f>
        <v/>
      </c>
      <c r="B2824" s="184">
        <f>IF($K2824="","",INDEX(Zeiterfassung!$K$6:$K$3665,$K2824))</f>
        <v/>
      </c>
      <c r="C2824" s="185">
        <f>IF($K2824="","",INDEX(Zeiterfassung!$K$6:$K$3665,$K2824))</f>
        <v/>
      </c>
      <c r="D2824" s="186">
        <f>IF($K2824="","",INDEX(Zeiterfassung!$D$6:$D$3665,$K2824))</f>
        <v/>
      </c>
      <c r="E2824" s="186">
        <f>IF($K2824="","",INDEX(Zeiterfassung!$E$6:$E$3665,$K2824))</f>
        <v/>
      </c>
      <c r="F2824" s="187">
        <f>IF($K2824="","",INDEX(Zeiterfassung!$F$6:$F$3665,$K2824))</f>
        <v/>
      </c>
      <c r="G2824" s="187">
        <f>IF($K2824="","",INDEX(Zeiterfassung!$G$6:$G$3665,$K2824))</f>
        <v/>
      </c>
      <c r="H2824" s="188">
        <f>IF($K2824="","",INDEX(Zeiterfassung!$H$6:$H$3665,$K2824))</f>
        <v/>
      </c>
      <c r="I2824" s="335">
        <f>IF(B2824=B2823,"",IF($K2824="","",INDEX(Zeiterfassung!$I$6:$I$3665,MATCH(INDEX(Zeiterfassung!$K$6:$K$3665,$K2824),Zeiterfassung!$K$6:$K$3665,0))))</f>
        <v/>
      </c>
      <c r="J2824" s="335">
        <f>IF(B2824=B2823,"",IF($K2824="","",INDEX(Zeiterfassung!$J$6:$J$3665,MATCH(INDEX(Zeiterfassung!$K$6:$K$3665,$K2824),Zeiterfassung!$K$6:$K$3665,0))))</f>
        <v/>
      </c>
      <c r="K2824">
        <f>IFERROR(AGGREGATE(15,6,(ROW(Zeiterfassung!$D$6:$D$3665)-ROW(Zeiterfassung!$D$6)+1)/(Zeiterfassung!$D$6:$D$3665&lt;&gt;""),2819),"")</f>
        <v/>
      </c>
    </row>
    <row r="2825" ht="20" customHeight="1">
      <c r="A2825" s="183">
        <f>IF($K2825="","",WEEKNUM(INDEX(Zeiterfassung!$K$6:$K$3665,$K2825),21))</f>
        <v/>
      </c>
      <c r="B2825" s="184">
        <f>IF($K2825="","",INDEX(Zeiterfassung!$K$6:$K$3665,$K2825))</f>
        <v/>
      </c>
      <c r="C2825" s="185">
        <f>IF($K2825="","",INDEX(Zeiterfassung!$K$6:$K$3665,$K2825))</f>
        <v/>
      </c>
      <c r="D2825" s="186">
        <f>IF($K2825="","",INDEX(Zeiterfassung!$D$6:$D$3665,$K2825))</f>
        <v/>
      </c>
      <c r="E2825" s="186">
        <f>IF($K2825="","",INDEX(Zeiterfassung!$E$6:$E$3665,$K2825))</f>
        <v/>
      </c>
      <c r="F2825" s="187">
        <f>IF($K2825="","",INDEX(Zeiterfassung!$F$6:$F$3665,$K2825))</f>
        <v/>
      </c>
      <c r="G2825" s="187">
        <f>IF($K2825="","",INDEX(Zeiterfassung!$G$6:$G$3665,$K2825))</f>
        <v/>
      </c>
      <c r="H2825" s="188">
        <f>IF($K2825="","",INDEX(Zeiterfassung!$H$6:$H$3665,$K2825))</f>
        <v/>
      </c>
      <c r="I2825" s="335">
        <f>IF(B2825=B2824,"",IF($K2825="","",INDEX(Zeiterfassung!$I$6:$I$3665,MATCH(INDEX(Zeiterfassung!$K$6:$K$3665,$K2825),Zeiterfassung!$K$6:$K$3665,0))))</f>
        <v/>
      </c>
      <c r="J2825" s="335">
        <f>IF(B2825=B2824,"",IF($K2825="","",INDEX(Zeiterfassung!$J$6:$J$3665,MATCH(INDEX(Zeiterfassung!$K$6:$K$3665,$K2825),Zeiterfassung!$K$6:$K$3665,0))))</f>
        <v/>
      </c>
      <c r="K2825">
        <f>IFERROR(AGGREGATE(15,6,(ROW(Zeiterfassung!$D$6:$D$3665)-ROW(Zeiterfassung!$D$6)+1)/(Zeiterfassung!$D$6:$D$3665&lt;&gt;""),2820),"")</f>
        <v/>
      </c>
    </row>
    <row r="2826" ht="20" customHeight="1">
      <c r="A2826" s="183">
        <f>IF($K2826="","",WEEKNUM(INDEX(Zeiterfassung!$K$6:$K$3665,$K2826),21))</f>
        <v/>
      </c>
      <c r="B2826" s="184">
        <f>IF($K2826="","",INDEX(Zeiterfassung!$K$6:$K$3665,$K2826))</f>
        <v/>
      </c>
      <c r="C2826" s="185">
        <f>IF($K2826="","",INDEX(Zeiterfassung!$K$6:$K$3665,$K2826))</f>
        <v/>
      </c>
      <c r="D2826" s="186">
        <f>IF($K2826="","",INDEX(Zeiterfassung!$D$6:$D$3665,$K2826))</f>
        <v/>
      </c>
      <c r="E2826" s="186">
        <f>IF($K2826="","",INDEX(Zeiterfassung!$E$6:$E$3665,$K2826))</f>
        <v/>
      </c>
      <c r="F2826" s="187">
        <f>IF($K2826="","",INDEX(Zeiterfassung!$F$6:$F$3665,$K2826))</f>
        <v/>
      </c>
      <c r="G2826" s="187">
        <f>IF($K2826="","",INDEX(Zeiterfassung!$G$6:$G$3665,$K2826))</f>
        <v/>
      </c>
      <c r="H2826" s="188">
        <f>IF($K2826="","",INDEX(Zeiterfassung!$H$6:$H$3665,$K2826))</f>
        <v/>
      </c>
      <c r="I2826" s="335">
        <f>IF(B2826=B2825,"",IF($K2826="","",INDEX(Zeiterfassung!$I$6:$I$3665,MATCH(INDEX(Zeiterfassung!$K$6:$K$3665,$K2826),Zeiterfassung!$K$6:$K$3665,0))))</f>
        <v/>
      </c>
      <c r="J2826" s="335">
        <f>IF(B2826=B2825,"",IF($K2826="","",INDEX(Zeiterfassung!$J$6:$J$3665,MATCH(INDEX(Zeiterfassung!$K$6:$K$3665,$K2826),Zeiterfassung!$K$6:$K$3665,0))))</f>
        <v/>
      </c>
      <c r="K2826">
        <f>IFERROR(AGGREGATE(15,6,(ROW(Zeiterfassung!$D$6:$D$3665)-ROW(Zeiterfassung!$D$6)+1)/(Zeiterfassung!$D$6:$D$3665&lt;&gt;""),2821),"")</f>
        <v/>
      </c>
    </row>
    <row r="2827" ht="20" customHeight="1">
      <c r="A2827" s="183">
        <f>IF($K2827="","",WEEKNUM(INDEX(Zeiterfassung!$K$6:$K$3665,$K2827),21))</f>
        <v/>
      </c>
      <c r="B2827" s="184">
        <f>IF($K2827="","",INDEX(Zeiterfassung!$K$6:$K$3665,$K2827))</f>
        <v/>
      </c>
      <c r="C2827" s="185">
        <f>IF($K2827="","",INDEX(Zeiterfassung!$K$6:$K$3665,$K2827))</f>
        <v/>
      </c>
      <c r="D2827" s="186">
        <f>IF($K2827="","",INDEX(Zeiterfassung!$D$6:$D$3665,$K2827))</f>
        <v/>
      </c>
      <c r="E2827" s="186">
        <f>IF($K2827="","",INDEX(Zeiterfassung!$E$6:$E$3665,$K2827))</f>
        <v/>
      </c>
      <c r="F2827" s="187">
        <f>IF($K2827="","",INDEX(Zeiterfassung!$F$6:$F$3665,$K2827))</f>
        <v/>
      </c>
      <c r="G2827" s="187">
        <f>IF($K2827="","",INDEX(Zeiterfassung!$G$6:$G$3665,$K2827))</f>
        <v/>
      </c>
      <c r="H2827" s="188">
        <f>IF($K2827="","",INDEX(Zeiterfassung!$H$6:$H$3665,$K2827))</f>
        <v/>
      </c>
      <c r="I2827" s="335">
        <f>IF(B2827=B2826,"",IF($K2827="","",INDEX(Zeiterfassung!$I$6:$I$3665,MATCH(INDEX(Zeiterfassung!$K$6:$K$3665,$K2827),Zeiterfassung!$K$6:$K$3665,0))))</f>
        <v/>
      </c>
      <c r="J2827" s="335">
        <f>IF(B2827=B2826,"",IF($K2827="","",INDEX(Zeiterfassung!$J$6:$J$3665,MATCH(INDEX(Zeiterfassung!$K$6:$K$3665,$K2827),Zeiterfassung!$K$6:$K$3665,0))))</f>
        <v/>
      </c>
      <c r="K2827">
        <f>IFERROR(AGGREGATE(15,6,(ROW(Zeiterfassung!$D$6:$D$3665)-ROW(Zeiterfassung!$D$6)+1)/(Zeiterfassung!$D$6:$D$3665&lt;&gt;""),2822),"")</f>
        <v/>
      </c>
    </row>
    <row r="2828" ht="20" customHeight="1">
      <c r="A2828" s="183">
        <f>IF($K2828="","",WEEKNUM(INDEX(Zeiterfassung!$K$6:$K$3665,$K2828),21))</f>
        <v/>
      </c>
      <c r="B2828" s="184">
        <f>IF($K2828="","",INDEX(Zeiterfassung!$K$6:$K$3665,$K2828))</f>
        <v/>
      </c>
      <c r="C2828" s="185">
        <f>IF($K2828="","",INDEX(Zeiterfassung!$K$6:$K$3665,$K2828))</f>
        <v/>
      </c>
      <c r="D2828" s="186">
        <f>IF($K2828="","",INDEX(Zeiterfassung!$D$6:$D$3665,$K2828))</f>
        <v/>
      </c>
      <c r="E2828" s="186">
        <f>IF($K2828="","",INDEX(Zeiterfassung!$E$6:$E$3665,$K2828))</f>
        <v/>
      </c>
      <c r="F2828" s="187">
        <f>IF($K2828="","",INDEX(Zeiterfassung!$F$6:$F$3665,$K2828))</f>
        <v/>
      </c>
      <c r="G2828" s="187">
        <f>IF($K2828="","",INDEX(Zeiterfassung!$G$6:$G$3665,$K2828))</f>
        <v/>
      </c>
      <c r="H2828" s="188">
        <f>IF($K2828="","",INDEX(Zeiterfassung!$H$6:$H$3665,$K2828))</f>
        <v/>
      </c>
      <c r="I2828" s="335">
        <f>IF(B2828=B2827,"",IF($K2828="","",INDEX(Zeiterfassung!$I$6:$I$3665,MATCH(INDEX(Zeiterfassung!$K$6:$K$3665,$K2828),Zeiterfassung!$K$6:$K$3665,0))))</f>
        <v/>
      </c>
      <c r="J2828" s="335">
        <f>IF(B2828=B2827,"",IF($K2828="","",INDEX(Zeiterfassung!$J$6:$J$3665,MATCH(INDEX(Zeiterfassung!$K$6:$K$3665,$K2828),Zeiterfassung!$K$6:$K$3665,0))))</f>
        <v/>
      </c>
      <c r="K2828">
        <f>IFERROR(AGGREGATE(15,6,(ROW(Zeiterfassung!$D$6:$D$3665)-ROW(Zeiterfassung!$D$6)+1)/(Zeiterfassung!$D$6:$D$3665&lt;&gt;""),2823),"")</f>
        <v/>
      </c>
    </row>
    <row r="2829" ht="20" customHeight="1">
      <c r="A2829" s="183">
        <f>IF($K2829="","",WEEKNUM(INDEX(Zeiterfassung!$K$6:$K$3665,$K2829),21))</f>
        <v/>
      </c>
      <c r="B2829" s="184">
        <f>IF($K2829="","",INDEX(Zeiterfassung!$K$6:$K$3665,$K2829))</f>
        <v/>
      </c>
      <c r="C2829" s="185">
        <f>IF($K2829="","",INDEX(Zeiterfassung!$K$6:$K$3665,$K2829))</f>
        <v/>
      </c>
      <c r="D2829" s="186">
        <f>IF($K2829="","",INDEX(Zeiterfassung!$D$6:$D$3665,$K2829))</f>
        <v/>
      </c>
      <c r="E2829" s="186">
        <f>IF($K2829="","",INDEX(Zeiterfassung!$E$6:$E$3665,$K2829))</f>
        <v/>
      </c>
      <c r="F2829" s="187">
        <f>IF($K2829="","",INDEX(Zeiterfassung!$F$6:$F$3665,$K2829))</f>
        <v/>
      </c>
      <c r="G2829" s="187">
        <f>IF($K2829="","",INDEX(Zeiterfassung!$G$6:$G$3665,$K2829))</f>
        <v/>
      </c>
      <c r="H2829" s="188">
        <f>IF($K2829="","",INDEX(Zeiterfassung!$H$6:$H$3665,$K2829))</f>
        <v/>
      </c>
      <c r="I2829" s="335">
        <f>IF(B2829=B2828,"",IF($K2829="","",INDEX(Zeiterfassung!$I$6:$I$3665,MATCH(INDEX(Zeiterfassung!$K$6:$K$3665,$K2829),Zeiterfassung!$K$6:$K$3665,0))))</f>
        <v/>
      </c>
      <c r="J2829" s="335">
        <f>IF(B2829=B2828,"",IF($K2829="","",INDEX(Zeiterfassung!$J$6:$J$3665,MATCH(INDEX(Zeiterfassung!$K$6:$K$3665,$K2829),Zeiterfassung!$K$6:$K$3665,0))))</f>
        <v/>
      </c>
      <c r="K2829">
        <f>IFERROR(AGGREGATE(15,6,(ROW(Zeiterfassung!$D$6:$D$3665)-ROW(Zeiterfassung!$D$6)+1)/(Zeiterfassung!$D$6:$D$3665&lt;&gt;""),2824),"")</f>
        <v/>
      </c>
    </row>
    <row r="2830" ht="20" customHeight="1">
      <c r="A2830" s="183">
        <f>IF($K2830="","",WEEKNUM(INDEX(Zeiterfassung!$K$6:$K$3665,$K2830),21))</f>
        <v/>
      </c>
      <c r="B2830" s="184">
        <f>IF($K2830="","",INDEX(Zeiterfassung!$K$6:$K$3665,$K2830))</f>
        <v/>
      </c>
      <c r="C2830" s="185">
        <f>IF($K2830="","",INDEX(Zeiterfassung!$K$6:$K$3665,$K2830))</f>
        <v/>
      </c>
      <c r="D2830" s="186">
        <f>IF($K2830="","",INDEX(Zeiterfassung!$D$6:$D$3665,$K2830))</f>
        <v/>
      </c>
      <c r="E2830" s="186">
        <f>IF($K2830="","",INDEX(Zeiterfassung!$E$6:$E$3665,$K2830))</f>
        <v/>
      </c>
      <c r="F2830" s="187">
        <f>IF($K2830="","",INDEX(Zeiterfassung!$F$6:$F$3665,$K2830))</f>
        <v/>
      </c>
      <c r="G2830" s="187">
        <f>IF($K2830="","",INDEX(Zeiterfassung!$G$6:$G$3665,$K2830))</f>
        <v/>
      </c>
      <c r="H2830" s="188">
        <f>IF($K2830="","",INDEX(Zeiterfassung!$H$6:$H$3665,$K2830))</f>
        <v/>
      </c>
      <c r="I2830" s="335">
        <f>IF(B2830=B2829,"",IF($K2830="","",INDEX(Zeiterfassung!$I$6:$I$3665,MATCH(INDEX(Zeiterfassung!$K$6:$K$3665,$K2830),Zeiterfassung!$K$6:$K$3665,0))))</f>
        <v/>
      </c>
      <c r="J2830" s="335">
        <f>IF(B2830=B2829,"",IF($K2830="","",INDEX(Zeiterfassung!$J$6:$J$3665,MATCH(INDEX(Zeiterfassung!$K$6:$K$3665,$K2830),Zeiterfassung!$K$6:$K$3665,0))))</f>
        <v/>
      </c>
      <c r="K2830">
        <f>IFERROR(AGGREGATE(15,6,(ROW(Zeiterfassung!$D$6:$D$3665)-ROW(Zeiterfassung!$D$6)+1)/(Zeiterfassung!$D$6:$D$3665&lt;&gt;""),2825),"")</f>
        <v/>
      </c>
    </row>
    <row r="2831" ht="20" customHeight="1">
      <c r="A2831" s="183">
        <f>IF($K2831="","",WEEKNUM(INDEX(Zeiterfassung!$K$6:$K$3665,$K2831),21))</f>
        <v/>
      </c>
      <c r="B2831" s="184">
        <f>IF($K2831="","",INDEX(Zeiterfassung!$K$6:$K$3665,$K2831))</f>
        <v/>
      </c>
      <c r="C2831" s="185">
        <f>IF($K2831="","",INDEX(Zeiterfassung!$K$6:$K$3665,$K2831))</f>
        <v/>
      </c>
      <c r="D2831" s="186">
        <f>IF($K2831="","",INDEX(Zeiterfassung!$D$6:$D$3665,$K2831))</f>
        <v/>
      </c>
      <c r="E2831" s="186">
        <f>IF($K2831="","",INDEX(Zeiterfassung!$E$6:$E$3665,$K2831))</f>
        <v/>
      </c>
      <c r="F2831" s="187">
        <f>IF($K2831="","",INDEX(Zeiterfassung!$F$6:$F$3665,$K2831))</f>
        <v/>
      </c>
      <c r="G2831" s="187">
        <f>IF($K2831="","",INDEX(Zeiterfassung!$G$6:$G$3665,$K2831))</f>
        <v/>
      </c>
      <c r="H2831" s="188">
        <f>IF($K2831="","",INDEX(Zeiterfassung!$H$6:$H$3665,$K2831))</f>
        <v/>
      </c>
      <c r="I2831" s="335">
        <f>IF(B2831=B2830,"",IF($K2831="","",INDEX(Zeiterfassung!$I$6:$I$3665,MATCH(INDEX(Zeiterfassung!$K$6:$K$3665,$K2831),Zeiterfassung!$K$6:$K$3665,0))))</f>
        <v/>
      </c>
      <c r="J2831" s="335">
        <f>IF(B2831=B2830,"",IF($K2831="","",INDEX(Zeiterfassung!$J$6:$J$3665,MATCH(INDEX(Zeiterfassung!$K$6:$K$3665,$K2831),Zeiterfassung!$K$6:$K$3665,0))))</f>
        <v/>
      </c>
      <c r="K2831">
        <f>IFERROR(AGGREGATE(15,6,(ROW(Zeiterfassung!$D$6:$D$3665)-ROW(Zeiterfassung!$D$6)+1)/(Zeiterfassung!$D$6:$D$3665&lt;&gt;""),2826),"")</f>
        <v/>
      </c>
    </row>
    <row r="2832" ht="20" customHeight="1">
      <c r="A2832" s="183">
        <f>IF($K2832="","",WEEKNUM(INDEX(Zeiterfassung!$K$6:$K$3665,$K2832),21))</f>
        <v/>
      </c>
      <c r="B2832" s="184">
        <f>IF($K2832="","",INDEX(Zeiterfassung!$K$6:$K$3665,$K2832))</f>
        <v/>
      </c>
      <c r="C2832" s="185">
        <f>IF($K2832="","",INDEX(Zeiterfassung!$K$6:$K$3665,$K2832))</f>
        <v/>
      </c>
      <c r="D2832" s="186">
        <f>IF($K2832="","",INDEX(Zeiterfassung!$D$6:$D$3665,$K2832))</f>
        <v/>
      </c>
      <c r="E2832" s="186">
        <f>IF($K2832="","",INDEX(Zeiterfassung!$E$6:$E$3665,$K2832))</f>
        <v/>
      </c>
      <c r="F2832" s="187">
        <f>IF($K2832="","",INDEX(Zeiterfassung!$F$6:$F$3665,$K2832))</f>
        <v/>
      </c>
      <c r="G2832" s="187">
        <f>IF($K2832="","",INDEX(Zeiterfassung!$G$6:$G$3665,$K2832))</f>
        <v/>
      </c>
      <c r="H2832" s="188">
        <f>IF($K2832="","",INDEX(Zeiterfassung!$H$6:$H$3665,$K2832))</f>
        <v/>
      </c>
      <c r="I2832" s="335">
        <f>IF(B2832=B2831,"",IF($K2832="","",INDEX(Zeiterfassung!$I$6:$I$3665,MATCH(INDEX(Zeiterfassung!$K$6:$K$3665,$K2832),Zeiterfassung!$K$6:$K$3665,0))))</f>
        <v/>
      </c>
      <c r="J2832" s="335">
        <f>IF(B2832=B2831,"",IF($K2832="","",INDEX(Zeiterfassung!$J$6:$J$3665,MATCH(INDEX(Zeiterfassung!$K$6:$K$3665,$K2832),Zeiterfassung!$K$6:$K$3665,0))))</f>
        <v/>
      </c>
      <c r="K2832">
        <f>IFERROR(AGGREGATE(15,6,(ROW(Zeiterfassung!$D$6:$D$3665)-ROW(Zeiterfassung!$D$6)+1)/(Zeiterfassung!$D$6:$D$3665&lt;&gt;""),2827),"")</f>
        <v/>
      </c>
    </row>
    <row r="2833" ht="20" customHeight="1">
      <c r="A2833" s="183">
        <f>IF($K2833="","",WEEKNUM(INDEX(Zeiterfassung!$K$6:$K$3665,$K2833),21))</f>
        <v/>
      </c>
      <c r="B2833" s="184">
        <f>IF($K2833="","",INDEX(Zeiterfassung!$K$6:$K$3665,$K2833))</f>
        <v/>
      </c>
      <c r="C2833" s="185">
        <f>IF($K2833="","",INDEX(Zeiterfassung!$K$6:$K$3665,$K2833))</f>
        <v/>
      </c>
      <c r="D2833" s="186">
        <f>IF($K2833="","",INDEX(Zeiterfassung!$D$6:$D$3665,$K2833))</f>
        <v/>
      </c>
      <c r="E2833" s="186">
        <f>IF($K2833="","",INDEX(Zeiterfassung!$E$6:$E$3665,$K2833))</f>
        <v/>
      </c>
      <c r="F2833" s="187">
        <f>IF($K2833="","",INDEX(Zeiterfassung!$F$6:$F$3665,$K2833))</f>
        <v/>
      </c>
      <c r="G2833" s="187">
        <f>IF($K2833="","",INDEX(Zeiterfassung!$G$6:$G$3665,$K2833))</f>
        <v/>
      </c>
      <c r="H2833" s="188">
        <f>IF($K2833="","",INDEX(Zeiterfassung!$H$6:$H$3665,$K2833))</f>
        <v/>
      </c>
      <c r="I2833" s="335">
        <f>IF(B2833=B2832,"",IF($K2833="","",INDEX(Zeiterfassung!$I$6:$I$3665,MATCH(INDEX(Zeiterfassung!$K$6:$K$3665,$K2833),Zeiterfassung!$K$6:$K$3665,0))))</f>
        <v/>
      </c>
      <c r="J2833" s="335">
        <f>IF(B2833=B2832,"",IF($K2833="","",INDEX(Zeiterfassung!$J$6:$J$3665,MATCH(INDEX(Zeiterfassung!$K$6:$K$3665,$K2833),Zeiterfassung!$K$6:$K$3665,0))))</f>
        <v/>
      </c>
      <c r="K2833">
        <f>IFERROR(AGGREGATE(15,6,(ROW(Zeiterfassung!$D$6:$D$3665)-ROW(Zeiterfassung!$D$6)+1)/(Zeiterfassung!$D$6:$D$3665&lt;&gt;""),2828),"")</f>
        <v/>
      </c>
    </row>
    <row r="2834" ht="20" customHeight="1">
      <c r="A2834" s="183">
        <f>IF($K2834="","",WEEKNUM(INDEX(Zeiterfassung!$K$6:$K$3665,$K2834),21))</f>
        <v/>
      </c>
      <c r="B2834" s="184">
        <f>IF($K2834="","",INDEX(Zeiterfassung!$K$6:$K$3665,$K2834))</f>
        <v/>
      </c>
      <c r="C2834" s="185">
        <f>IF($K2834="","",INDEX(Zeiterfassung!$K$6:$K$3665,$K2834))</f>
        <v/>
      </c>
      <c r="D2834" s="186">
        <f>IF($K2834="","",INDEX(Zeiterfassung!$D$6:$D$3665,$K2834))</f>
        <v/>
      </c>
      <c r="E2834" s="186">
        <f>IF($K2834="","",INDEX(Zeiterfassung!$E$6:$E$3665,$K2834))</f>
        <v/>
      </c>
      <c r="F2834" s="187">
        <f>IF($K2834="","",INDEX(Zeiterfassung!$F$6:$F$3665,$K2834))</f>
        <v/>
      </c>
      <c r="G2834" s="187">
        <f>IF($K2834="","",INDEX(Zeiterfassung!$G$6:$G$3665,$K2834))</f>
        <v/>
      </c>
      <c r="H2834" s="188">
        <f>IF($K2834="","",INDEX(Zeiterfassung!$H$6:$H$3665,$K2834))</f>
        <v/>
      </c>
      <c r="I2834" s="335">
        <f>IF(B2834=B2833,"",IF($K2834="","",INDEX(Zeiterfassung!$I$6:$I$3665,MATCH(INDEX(Zeiterfassung!$K$6:$K$3665,$K2834),Zeiterfassung!$K$6:$K$3665,0))))</f>
        <v/>
      </c>
      <c r="J2834" s="335">
        <f>IF(B2834=B2833,"",IF($K2834="","",INDEX(Zeiterfassung!$J$6:$J$3665,MATCH(INDEX(Zeiterfassung!$K$6:$K$3665,$K2834),Zeiterfassung!$K$6:$K$3665,0))))</f>
        <v/>
      </c>
      <c r="K2834">
        <f>IFERROR(AGGREGATE(15,6,(ROW(Zeiterfassung!$D$6:$D$3665)-ROW(Zeiterfassung!$D$6)+1)/(Zeiterfassung!$D$6:$D$3665&lt;&gt;""),2829),"")</f>
        <v/>
      </c>
    </row>
    <row r="2835" ht="20" customHeight="1">
      <c r="A2835" s="183">
        <f>IF($K2835="","",WEEKNUM(INDEX(Zeiterfassung!$K$6:$K$3665,$K2835),21))</f>
        <v/>
      </c>
      <c r="B2835" s="184">
        <f>IF($K2835="","",INDEX(Zeiterfassung!$K$6:$K$3665,$K2835))</f>
        <v/>
      </c>
      <c r="C2835" s="185">
        <f>IF($K2835="","",INDEX(Zeiterfassung!$K$6:$K$3665,$K2835))</f>
        <v/>
      </c>
      <c r="D2835" s="186">
        <f>IF($K2835="","",INDEX(Zeiterfassung!$D$6:$D$3665,$K2835))</f>
        <v/>
      </c>
      <c r="E2835" s="186">
        <f>IF($K2835="","",INDEX(Zeiterfassung!$E$6:$E$3665,$K2835))</f>
        <v/>
      </c>
      <c r="F2835" s="187">
        <f>IF($K2835="","",INDEX(Zeiterfassung!$F$6:$F$3665,$K2835))</f>
        <v/>
      </c>
      <c r="G2835" s="187">
        <f>IF($K2835="","",INDEX(Zeiterfassung!$G$6:$G$3665,$K2835))</f>
        <v/>
      </c>
      <c r="H2835" s="188">
        <f>IF($K2835="","",INDEX(Zeiterfassung!$H$6:$H$3665,$K2835))</f>
        <v/>
      </c>
      <c r="I2835" s="335">
        <f>IF(B2835=B2834,"",IF($K2835="","",INDEX(Zeiterfassung!$I$6:$I$3665,MATCH(INDEX(Zeiterfassung!$K$6:$K$3665,$K2835),Zeiterfassung!$K$6:$K$3665,0))))</f>
        <v/>
      </c>
      <c r="J2835" s="335">
        <f>IF(B2835=B2834,"",IF($K2835="","",INDEX(Zeiterfassung!$J$6:$J$3665,MATCH(INDEX(Zeiterfassung!$K$6:$K$3665,$K2835),Zeiterfassung!$K$6:$K$3665,0))))</f>
        <v/>
      </c>
      <c r="K2835">
        <f>IFERROR(AGGREGATE(15,6,(ROW(Zeiterfassung!$D$6:$D$3665)-ROW(Zeiterfassung!$D$6)+1)/(Zeiterfassung!$D$6:$D$3665&lt;&gt;""),2830),"")</f>
        <v/>
      </c>
    </row>
    <row r="2836" ht="20" customHeight="1">
      <c r="A2836" s="183">
        <f>IF($K2836="","",WEEKNUM(INDEX(Zeiterfassung!$K$6:$K$3665,$K2836),21))</f>
        <v/>
      </c>
      <c r="B2836" s="184">
        <f>IF($K2836="","",INDEX(Zeiterfassung!$K$6:$K$3665,$K2836))</f>
        <v/>
      </c>
      <c r="C2836" s="185">
        <f>IF($K2836="","",INDEX(Zeiterfassung!$K$6:$K$3665,$K2836))</f>
        <v/>
      </c>
      <c r="D2836" s="186">
        <f>IF($K2836="","",INDEX(Zeiterfassung!$D$6:$D$3665,$K2836))</f>
        <v/>
      </c>
      <c r="E2836" s="186">
        <f>IF($K2836="","",INDEX(Zeiterfassung!$E$6:$E$3665,$K2836))</f>
        <v/>
      </c>
      <c r="F2836" s="187">
        <f>IF($K2836="","",INDEX(Zeiterfassung!$F$6:$F$3665,$K2836))</f>
        <v/>
      </c>
      <c r="G2836" s="187">
        <f>IF($K2836="","",INDEX(Zeiterfassung!$G$6:$G$3665,$K2836))</f>
        <v/>
      </c>
      <c r="H2836" s="188">
        <f>IF($K2836="","",INDEX(Zeiterfassung!$H$6:$H$3665,$K2836))</f>
        <v/>
      </c>
      <c r="I2836" s="335">
        <f>IF(B2836=B2835,"",IF($K2836="","",INDEX(Zeiterfassung!$I$6:$I$3665,MATCH(INDEX(Zeiterfassung!$K$6:$K$3665,$K2836),Zeiterfassung!$K$6:$K$3665,0))))</f>
        <v/>
      </c>
      <c r="J2836" s="335">
        <f>IF(B2836=B2835,"",IF($K2836="","",INDEX(Zeiterfassung!$J$6:$J$3665,MATCH(INDEX(Zeiterfassung!$K$6:$K$3665,$K2836),Zeiterfassung!$K$6:$K$3665,0))))</f>
        <v/>
      </c>
      <c r="K2836">
        <f>IFERROR(AGGREGATE(15,6,(ROW(Zeiterfassung!$D$6:$D$3665)-ROW(Zeiterfassung!$D$6)+1)/(Zeiterfassung!$D$6:$D$3665&lt;&gt;""),2831),"")</f>
        <v/>
      </c>
    </row>
    <row r="2837" ht="20" customHeight="1">
      <c r="A2837" s="183">
        <f>IF($K2837="","",WEEKNUM(INDEX(Zeiterfassung!$K$6:$K$3665,$K2837),21))</f>
        <v/>
      </c>
      <c r="B2837" s="184">
        <f>IF($K2837="","",INDEX(Zeiterfassung!$K$6:$K$3665,$K2837))</f>
        <v/>
      </c>
      <c r="C2837" s="185">
        <f>IF($K2837="","",INDEX(Zeiterfassung!$K$6:$K$3665,$K2837))</f>
        <v/>
      </c>
      <c r="D2837" s="186">
        <f>IF($K2837="","",INDEX(Zeiterfassung!$D$6:$D$3665,$K2837))</f>
        <v/>
      </c>
      <c r="E2837" s="186">
        <f>IF($K2837="","",INDEX(Zeiterfassung!$E$6:$E$3665,$K2837))</f>
        <v/>
      </c>
      <c r="F2837" s="187">
        <f>IF($K2837="","",INDEX(Zeiterfassung!$F$6:$F$3665,$K2837))</f>
        <v/>
      </c>
      <c r="G2837" s="187">
        <f>IF($K2837="","",INDEX(Zeiterfassung!$G$6:$G$3665,$K2837))</f>
        <v/>
      </c>
      <c r="H2837" s="188">
        <f>IF($K2837="","",INDEX(Zeiterfassung!$H$6:$H$3665,$K2837))</f>
        <v/>
      </c>
      <c r="I2837" s="335">
        <f>IF(B2837=B2836,"",IF($K2837="","",INDEX(Zeiterfassung!$I$6:$I$3665,MATCH(INDEX(Zeiterfassung!$K$6:$K$3665,$K2837),Zeiterfassung!$K$6:$K$3665,0))))</f>
        <v/>
      </c>
      <c r="J2837" s="335">
        <f>IF(B2837=B2836,"",IF($K2837="","",INDEX(Zeiterfassung!$J$6:$J$3665,MATCH(INDEX(Zeiterfassung!$K$6:$K$3665,$K2837),Zeiterfassung!$K$6:$K$3665,0))))</f>
        <v/>
      </c>
      <c r="K2837">
        <f>IFERROR(AGGREGATE(15,6,(ROW(Zeiterfassung!$D$6:$D$3665)-ROW(Zeiterfassung!$D$6)+1)/(Zeiterfassung!$D$6:$D$3665&lt;&gt;""),2832),"")</f>
        <v/>
      </c>
    </row>
    <row r="2838" ht="20" customHeight="1">
      <c r="A2838" s="183">
        <f>IF($K2838="","",WEEKNUM(INDEX(Zeiterfassung!$K$6:$K$3665,$K2838),21))</f>
        <v/>
      </c>
      <c r="B2838" s="184">
        <f>IF($K2838="","",INDEX(Zeiterfassung!$K$6:$K$3665,$K2838))</f>
        <v/>
      </c>
      <c r="C2838" s="185">
        <f>IF($K2838="","",INDEX(Zeiterfassung!$K$6:$K$3665,$K2838))</f>
        <v/>
      </c>
      <c r="D2838" s="186">
        <f>IF($K2838="","",INDEX(Zeiterfassung!$D$6:$D$3665,$K2838))</f>
        <v/>
      </c>
      <c r="E2838" s="186">
        <f>IF($K2838="","",INDEX(Zeiterfassung!$E$6:$E$3665,$K2838))</f>
        <v/>
      </c>
      <c r="F2838" s="187">
        <f>IF($K2838="","",INDEX(Zeiterfassung!$F$6:$F$3665,$K2838))</f>
        <v/>
      </c>
      <c r="G2838" s="187">
        <f>IF($K2838="","",INDEX(Zeiterfassung!$G$6:$G$3665,$K2838))</f>
        <v/>
      </c>
      <c r="H2838" s="188">
        <f>IF($K2838="","",INDEX(Zeiterfassung!$H$6:$H$3665,$K2838))</f>
        <v/>
      </c>
      <c r="I2838" s="335">
        <f>IF(B2838=B2837,"",IF($K2838="","",INDEX(Zeiterfassung!$I$6:$I$3665,MATCH(INDEX(Zeiterfassung!$K$6:$K$3665,$K2838),Zeiterfassung!$K$6:$K$3665,0))))</f>
        <v/>
      </c>
      <c r="J2838" s="335">
        <f>IF(B2838=B2837,"",IF($K2838="","",INDEX(Zeiterfassung!$J$6:$J$3665,MATCH(INDEX(Zeiterfassung!$K$6:$K$3665,$K2838),Zeiterfassung!$K$6:$K$3665,0))))</f>
        <v/>
      </c>
      <c r="K2838">
        <f>IFERROR(AGGREGATE(15,6,(ROW(Zeiterfassung!$D$6:$D$3665)-ROW(Zeiterfassung!$D$6)+1)/(Zeiterfassung!$D$6:$D$3665&lt;&gt;""),2833),"")</f>
        <v/>
      </c>
    </row>
    <row r="2839" ht="20" customHeight="1">
      <c r="A2839" s="183">
        <f>IF($K2839="","",WEEKNUM(INDEX(Zeiterfassung!$K$6:$K$3665,$K2839),21))</f>
        <v/>
      </c>
      <c r="B2839" s="184">
        <f>IF($K2839="","",INDEX(Zeiterfassung!$K$6:$K$3665,$K2839))</f>
        <v/>
      </c>
      <c r="C2839" s="185">
        <f>IF($K2839="","",INDEX(Zeiterfassung!$K$6:$K$3665,$K2839))</f>
        <v/>
      </c>
      <c r="D2839" s="186">
        <f>IF($K2839="","",INDEX(Zeiterfassung!$D$6:$D$3665,$K2839))</f>
        <v/>
      </c>
      <c r="E2839" s="186">
        <f>IF($K2839="","",INDEX(Zeiterfassung!$E$6:$E$3665,$K2839))</f>
        <v/>
      </c>
      <c r="F2839" s="187">
        <f>IF($K2839="","",INDEX(Zeiterfassung!$F$6:$F$3665,$K2839))</f>
        <v/>
      </c>
      <c r="G2839" s="187">
        <f>IF($K2839="","",INDEX(Zeiterfassung!$G$6:$G$3665,$K2839))</f>
        <v/>
      </c>
      <c r="H2839" s="188">
        <f>IF($K2839="","",INDEX(Zeiterfassung!$H$6:$H$3665,$K2839))</f>
        <v/>
      </c>
      <c r="I2839" s="335">
        <f>IF(B2839=B2838,"",IF($K2839="","",INDEX(Zeiterfassung!$I$6:$I$3665,MATCH(INDEX(Zeiterfassung!$K$6:$K$3665,$K2839),Zeiterfassung!$K$6:$K$3665,0))))</f>
        <v/>
      </c>
      <c r="J2839" s="335">
        <f>IF(B2839=B2838,"",IF($K2839="","",INDEX(Zeiterfassung!$J$6:$J$3665,MATCH(INDEX(Zeiterfassung!$K$6:$K$3665,$K2839),Zeiterfassung!$K$6:$K$3665,0))))</f>
        <v/>
      </c>
      <c r="K2839">
        <f>IFERROR(AGGREGATE(15,6,(ROW(Zeiterfassung!$D$6:$D$3665)-ROW(Zeiterfassung!$D$6)+1)/(Zeiterfassung!$D$6:$D$3665&lt;&gt;""),2834),"")</f>
        <v/>
      </c>
    </row>
    <row r="2840" ht="20" customHeight="1">
      <c r="A2840" s="183">
        <f>IF($K2840="","",WEEKNUM(INDEX(Zeiterfassung!$K$6:$K$3665,$K2840),21))</f>
        <v/>
      </c>
      <c r="B2840" s="184">
        <f>IF($K2840="","",INDEX(Zeiterfassung!$K$6:$K$3665,$K2840))</f>
        <v/>
      </c>
      <c r="C2840" s="185">
        <f>IF($K2840="","",INDEX(Zeiterfassung!$K$6:$K$3665,$K2840))</f>
        <v/>
      </c>
      <c r="D2840" s="186">
        <f>IF($K2840="","",INDEX(Zeiterfassung!$D$6:$D$3665,$K2840))</f>
        <v/>
      </c>
      <c r="E2840" s="186">
        <f>IF($K2840="","",INDEX(Zeiterfassung!$E$6:$E$3665,$K2840))</f>
        <v/>
      </c>
      <c r="F2840" s="187">
        <f>IF($K2840="","",INDEX(Zeiterfassung!$F$6:$F$3665,$K2840))</f>
        <v/>
      </c>
      <c r="G2840" s="187">
        <f>IF($K2840="","",INDEX(Zeiterfassung!$G$6:$G$3665,$K2840))</f>
        <v/>
      </c>
      <c r="H2840" s="188">
        <f>IF($K2840="","",INDEX(Zeiterfassung!$H$6:$H$3665,$K2840))</f>
        <v/>
      </c>
      <c r="I2840" s="335">
        <f>IF(B2840=B2839,"",IF($K2840="","",INDEX(Zeiterfassung!$I$6:$I$3665,MATCH(INDEX(Zeiterfassung!$K$6:$K$3665,$K2840),Zeiterfassung!$K$6:$K$3665,0))))</f>
        <v/>
      </c>
      <c r="J2840" s="335">
        <f>IF(B2840=B2839,"",IF($K2840="","",INDEX(Zeiterfassung!$J$6:$J$3665,MATCH(INDEX(Zeiterfassung!$K$6:$K$3665,$K2840),Zeiterfassung!$K$6:$K$3665,0))))</f>
        <v/>
      </c>
      <c r="K2840">
        <f>IFERROR(AGGREGATE(15,6,(ROW(Zeiterfassung!$D$6:$D$3665)-ROW(Zeiterfassung!$D$6)+1)/(Zeiterfassung!$D$6:$D$3665&lt;&gt;""),2835),"")</f>
        <v/>
      </c>
    </row>
    <row r="2841" ht="20" customHeight="1">
      <c r="A2841" s="183">
        <f>IF($K2841="","",WEEKNUM(INDEX(Zeiterfassung!$K$6:$K$3665,$K2841),21))</f>
        <v/>
      </c>
      <c r="B2841" s="184">
        <f>IF($K2841="","",INDEX(Zeiterfassung!$K$6:$K$3665,$K2841))</f>
        <v/>
      </c>
      <c r="C2841" s="185">
        <f>IF($K2841="","",INDEX(Zeiterfassung!$K$6:$K$3665,$K2841))</f>
        <v/>
      </c>
      <c r="D2841" s="186">
        <f>IF($K2841="","",INDEX(Zeiterfassung!$D$6:$D$3665,$K2841))</f>
        <v/>
      </c>
      <c r="E2841" s="186">
        <f>IF($K2841="","",INDEX(Zeiterfassung!$E$6:$E$3665,$K2841))</f>
        <v/>
      </c>
      <c r="F2841" s="187">
        <f>IF($K2841="","",INDEX(Zeiterfassung!$F$6:$F$3665,$K2841))</f>
        <v/>
      </c>
      <c r="G2841" s="187">
        <f>IF($K2841="","",INDEX(Zeiterfassung!$G$6:$G$3665,$K2841))</f>
        <v/>
      </c>
      <c r="H2841" s="188">
        <f>IF($K2841="","",INDEX(Zeiterfassung!$H$6:$H$3665,$K2841))</f>
        <v/>
      </c>
      <c r="I2841" s="335">
        <f>IF(B2841=B2840,"",IF($K2841="","",INDEX(Zeiterfassung!$I$6:$I$3665,MATCH(INDEX(Zeiterfassung!$K$6:$K$3665,$K2841),Zeiterfassung!$K$6:$K$3665,0))))</f>
        <v/>
      </c>
      <c r="J2841" s="335">
        <f>IF(B2841=B2840,"",IF($K2841="","",INDEX(Zeiterfassung!$J$6:$J$3665,MATCH(INDEX(Zeiterfassung!$K$6:$K$3665,$K2841),Zeiterfassung!$K$6:$K$3665,0))))</f>
        <v/>
      </c>
      <c r="K2841">
        <f>IFERROR(AGGREGATE(15,6,(ROW(Zeiterfassung!$D$6:$D$3665)-ROW(Zeiterfassung!$D$6)+1)/(Zeiterfassung!$D$6:$D$3665&lt;&gt;""),2836),"")</f>
        <v/>
      </c>
    </row>
    <row r="2842" ht="20" customHeight="1">
      <c r="A2842" s="183">
        <f>IF($K2842="","",WEEKNUM(INDEX(Zeiterfassung!$K$6:$K$3665,$K2842),21))</f>
        <v/>
      </c>
      <c r="B2842" s="184">
        <f>IF($K2842="","",INDEX(Zeiterfassung!$K$6:$K$3665,$K2842))</f>
        <v/>
      </c>
      <c r="C2842" s="185">
        <f>IF($K2842="","",INDEX(Zeiterfassung!$K$6:$K$3665,$K2842))</f>
        <v/>
      </c>
      <c r="D2842" s="186">
        <f>IF($K2842="","",INDEX(Zeiterfassung!$D$6:$D$3665,$K2842))</f>
        <v/>
      </c>
      <c r="E2842" s="186">
        <f>IF($K2842="","",INDEX(Zeiterfassung!$E$6:$E$3665,$K2842))</f>
        <v/>
      </c>
      <c r="F2842" s="187">
        <f>IF($K2842="","",INDEX(Zeiterfassung!$F$6:$F$3665,$K2842))</f>
        <v/>
      </c>
      <c r="G2842" s="187">
        <f>IF($K2842="","",INDEX(Zeiterfassung!$G$6:$G$3665,$K2842))</f>
        <v/>
      </c>
      <c r="H2842" s="188">
        <f>IF($K2842="","",INDEX(Zeiterfassung!$H$6:$H$3665,$K2842))</f>
        <v/>
      </c>
      <c r="I2842" s="335">
        <f>IF(B2842=B2841,"",IF($K2842="","",INDEX(Zeiterfassung!$I$6:$I$3665,MATCH(INDEX(Zeiterfassung!$K$6:$K$3665,$K2842),Zeiterfassung!$K$6:$K$3665,0))))</f>
        <v/>
      </c>
      <c r="J2842" s="335">
        <f>IF(B2842=B2841,"",IF($K2842="","",INDEX(Zeiterfassung!$J$6:$J$3665,MATCH(INDEX(Zeiterfassung!$K$6:$K$3665,$K2842),Zeiterfassung!$K$6:$K$3665,0))))</f>
        <v/>
      </c>
      <c r="K2842">
        <f>IFERROR(AGGREGATE(15,6,(ROW(Zeiterfassung!$D$6:$D$3665)-ROW(Zeiterfassung!$D$6)+1)/(Zeiterfassung!$D$6:$D$3665&lt;&gt;""),2837),"")</f>
        <v/>
      </c>
    </row>
    <row r="2843" ht="20" customHeight="1">
      <c r="A2843" s="183">
        <f>IF($K2843="","",WEEKNUM(INDEX(Zeiterfassung!$K$6:$K$3665,$K2843),21))</f>
        <v/>
      </c>
      <c r="B2843" s="184">
        <f>IF($K2843="","",INDEX(Zeiterfassung!$K$6:$K$3665,$K2843))</f>
        <v/>
      </c>
      <c r="C2843" s="185">
        <f>IF($K2843="","",INDEX(Zeiterfassung!$K$6:$K$3665,$K2843))</f>
        <v/>
      </c>
      <c r="D2843" s="186">
        <f>IF($K2843="","",INDEX(Zeiterfassung!$D$6:$D$3665,$K2843))</f>
        <v/>
      </c>
      <c r="E2843" s="186">
        <f>IF($K2843="","",INDEX(Zeiterfassung!$E$6:$E$3665,$K2843))</f>
        <v/>
      </c>
      <c r="F2843" s="187">
        <f>IF($K2843="","",INDEX(Zeiterfassung!$F$6:$F$3665,$K2843))</f>
        <v/>
      </c>
      <c r="G2843" s="187">
        <f>IF($K2843="","",INDEX(Zeiterfassung!$G$6:$G$3665,$K2843))</f>
        <v/>
      </c>
      <c r="H2843" s="188">
        <f>IF($K2843="","",INDEX(Zeiterfassung!$H$6:$H$3665,$K2843))</f>
        <v/>
      </c>
      <c r="I2843" s="335">
        <f>IF(B2843=B2842,"",IF($K2843="","",INDEX(Zeiterfassung!$I$6:$I$3665,MATCH(INDEX(Zeiterfassung!$K$6:$K$3665,$K2843),Zeiterfassung!$K$6:$K$3665,0))))</f>
        <v/>
      </c>
      <c r="J2843" s="335">
        <f>IF(B2843=B2842,"",IF($K2843="","",INDEX(Zeiterfassung!$J$6:$J$3665,MATCH(INDEX(Zeiterfassung!$K$6:$K$3665,$K2843),Zeiterfassung!$K$6:$K$3665,0))))</f>
        <v/>
      </c>
      <c r="K2843">
        <f>IFERROR(AGGREGATE(15,6,(ROW(Zeiterfassung!$D$6:$D$3665)-ROW(Zeiterfassung!$D$6)+1)/(Zeiterfassung!$D$6:$D$3665&lt;&gt;""),2838),"")</f>
        <v/>
      </c>
    </row>
    <row r="2844" ht="20" customHeight="1">
      <c r="A2844" s="183">
        <f>IF($K2844="","",WEEKNUM(INDEX(Zeiterfassung!$K$6:$K$3665,$K2844),21))</f>
        <v/>
      </c>
      <c r="B2844" s="184">
        <f>IF($K2844="","",INDEX(Zeiterfassung!$K$6:$K$3665,$K2844))</f>
        <v/>
      </c>
      <c r="C2844" s="185">
        <f>IF($K2844="","",INDEX(Zeiterfassung!$K$6:$K$3665,$K2844))</f>
        <v/>
      </c>
      <c r="D2844" s="186">
        <f>IF($K2844="","",INDEX(Zeiterfassung!$D$6:$D$3665,$K2844))</f>
        <v/>
      </c>
      <c r="E2844" s="186">
        <f>IF($K2844="","",INDEX(Zeiterfassung!$E$6:$E$3665,$K2844))</f>
        <v/>
      </c>
      <c r="F2844" s="187">
        <f>IF($K2844="","",INDEX(Zeiterfassung!$F$6:$F$3665,$K2844))</f>
        <v/>
      </c>
      <c r="G2844" s="187">
        <f>IF($K2844="","",INDEX(Zeiterfassung!$G$6:$G$3665,$K2844))</f>
        <v/>
      </c>
      <c r="H2844" s="188">
        <f>IF($K2844="","",INDEX(Zeiterfassung!$H$6:$H$3665,$K2844))</f>
        <v/>
      </c>
      <c r="I2844" s="335">
        <f>IF(B2844=B2843,"",IF($K2844="","",INDEX(Zeiterfassung!$I$6:$I$3665,MATCH(INDEX(Zeiterfassung!$K$6:$K$3665,$K2844),Zeiterfassung!$K$6:$K$3665,0))))</f>
        <v/>
      </c>
      <c r="J2844" s="335">
        <f>IF(B2844=B2843,"",IF($K2844="","",INDEX(Zeiterfassung!$J$6:$J$3665,MATCH(INDEX(Zeiterfassung!$K$6:$K$3665,$K2844),Zeiterfassung!$K$6:$K$3665,0))))</f>
        <v/>
      </c>
      <c r="K2844">
        <f>IFERROR(AGGREGATE(15,6,(ROW(Zeiterfassung!$D$6:$D$3665)-ROW(Zeiterfassung!$D$6)+1)/(Zeiterfassung!$D$6:$D$3665&lt;&gt;""),2839),"")</f>
        <v/>
      </c>
    </row>
    <row r="2845" ht="20" customHeight="1">
      <c r="A2845" s="183">
        <f>IF($K2845="","",WEEKNUM(INDEX(Zeiterfassung!$K$6:$K$3665,$K2845),21))</f>
        <v/>
      </c>
      <c r="B2845" s="184">
        <f>IF($K2845="","",INDEX(Zeiterfassung!$K$6:$K$3665,$K2845))</f>
        <v/>
      </c>
      <c r="C2845" s="185">
        <f>IF($K2845="","",INDEX(Zeiterfassung!$K$6:$K$3665,$K2845))</f>
        <v/>
      </c>
      <c r="D2845" s="186">
        <f>IF($K2845="","",INDEX(Zeiterfassung!$D$6:$D$3665,$K2845))</f>
        <v/>
      </c>
      <c r="E2845" s="186">
        <f>IF($K2845="","",INDEX(Zeiterfassung!$E$6:$E$3665,$K2845))</f>
        <v/>
      </c>
      <c r="F2845" s="187">
        <f>IF($K2845="","",INDEX(Zeiterfassung!$F$6:$F$3665,$K2845))</f>
        <v/>
      </c>
      <c r="G2845" s="187">
        <f>IF($K2845="","",INDEX(Zeiterfassung!$G$6:$G$3665,$K2845))</f>
        <v/>
      </c>
      <c r="H2845" s="188">
        <f>IF($K2845="","",INDEX(Zeiterfassung!$H$6:$H$3665,$K2845))</f>
        <v/>
      </c>
      <c r="I2845" s="335">
        <f>IF(B2845=B2844,"",IF($K2845="","",INDEX(Zeiterfassung!$I$6:$I$3665,MATCH(INDEX(Zeiterfassung!$K$6:$K$3665,$K2845),Zeiterfassung!$K$6:$K$3665,0))))</f>
        <v/>
      </c>
      <c r="J2845" s="335">
        <f>IF(B2845=B2844,"",IF($K2845="","",INDEX(Zeiterfassung!$J$6:$J$3665,MATCH(INDEX(Zeiterfassung!$K$6:$K$3665,$K2845),Zeiterfassung!$K$6:$K$3665,0))))</f>
        <v/>
      </c>
      <c r="K2845">
        <f>IFERROR(AGGREGATE(15,6,(ROW(Zeiterfassung!$D$6:$D$3665)-ROW(Zeiterfassung!$D$6)+1)/(Zeiterfassung!$D$6:$D$3665&lt;&gt;""),2840),"")</f>
        <v/>
      </c>
    </row>
    <row r="2846" ht="20" customHeight="1">
      <c r="A2846" s="183">
        <f>IF($K2846="","",WEEKNUM(INDEX(Zeiterfassung!$K$6:$K$3665,$K2846),21))</f>
        <v/>
      </c>
      <c r="B2846" s="184">
        <f>IF($K2846="","",INDEX(Zeiterfassung!$K$6:$K$3665,$K2846))</f>
        <v/>
      </c>
      <c r="C2846" s="185">
        <f>IF($K2846="","",INDEX(Zeiterfassung!$K$6:$K$3665,$K2846))</f>
        <v/>
      </c>
      <c r="D2846" s="186">
        <f>IF($K2846="","",INDEX(Zeiterfassung!$D$6:$D$3665,$K2846))</f>
        <v/>
      </c>
      <c r="E2846" s="186">
        <f>IF($K2846="","",INDEX(Zeiterfassung!$E$6:$E$3665,$K2846))</f>
        <v/>
      </c>
      <c r="F2846" s="187">
        <f>IF($K2846="","",INDEX(Zeiterfassung!$F$6:$F$3665,$K2846))</f>
        <v/>
      </c>
      <c r="G2846" s="187">
        <f>IF($K2846="","",INDEX(Zeiterfassung!$G$6:$G$3665,$K2846))</f>
        <v/>
      </c>
      <c r="H2846" s="188">
        <f>IF($K2846="","",INDEX(Zeiterfassung!$H$6:$H$3665,$K2846))</f>
        <v/>
      </c>
      <c r="I2846" s="335">
        <f>IF(B2846=B2845,"",IF($K2846="","",INDEX(Zeiterfassung!$I$6:$I$3665,MATCH(INDEX(Zeiterfassung!$K$6:$K$3665,$K2846),Zeiterfassung!$K$6:$K$3665,0))))</f>
        <v/>
      </c>
      <c r="J2846" s="335">
        <f>IF(B2846=B2845,"",IF($K2846="","",INDEX(Zeiterfassung!$J$6:$J$3665,MATCH(INDEX(Zeiterfassung!$K$6:$K$3665,$K2846),Zeiterfassung!$K$6:$K$3665,0))))</f>
        <v/>
      </c>
      <c r="K2846">
        <f>IFERROR(AGGREGATE(15,6,(ROW(Zeiterfassung!$D$6:$D$3665)-ROW(Zeiterfassung!$D$6)+1)/(Zeiterfassung!$D$6:$D$3665&lt;&gt;""),2841),"")</f>
        <v/>
      </c>
    </row>
    <row r="2847" ht="20" customHeight="1">
      <c r="A2847" s="183">
        <f>IF($K2847="","",WEEKNUM(INDEX(Zeiterfassung!$K$6:$K$3665,$K2847),21))</f>
        <v/>
      </c>
      <c r="B2847" s="184">
        <f>IF($K2847="","",INDEX(Zeiterfassung!$K$6:$K$3665,$K2847))</f>
        <v/>
      </c>
      <c r="C2847" s="185">
        <f>IF($K2847="","",INDEX(Zeiterfassung!$K$6:$K$3665,$K2847))</f>
        <v/>
      </c>
      <c r="D2847" s="186">
        <f>IF($K2847="","",INDEX(Zeiterfassung!$D$6:$D$3665,$K2847))</f>
        <v/>
      </c>
      <c r="E2847" s="186">
        <f>IF($K2847="","",INDEX(Zeiterfassung!$E$6:$E$3665,$K2847))</f>
        <v/>
      </c>
      <c r="F2847" s="187">
        <f>IF($K2847="","",INDEX(Zeiterfassung!$F$6:$F$3665,$K2847))</f>
        <v/>
      </c>
      <c r="G2847" s="187">
        <f>IF($K2847="","",INDEX(Zeiterfassung!$G$6:$G$3665,$K2847))</f>
        <v/>
      </c>
      <c r="H2847" s="188">
        <f>IF($K2847="","",INDEX(Zeiterfassung!$H$6:$H$3665,$K2847))</f>
        <v/>
      </c>
      <c r="I2847" s="335">
        <f>IF(B2847=B2846,"",IF($K2847="","",INDEX(Zeiterfassung!$I$6:$I$3665,MATCH(INDEX(Zeiterfassung!$K$6:$K$3665,$K2847),Zeiterfassung!$K$6:$K$3665,0))))</f>
        <v/>
      </c>
      <c r="J2847" s="335">
        <f>IF(B2847=B2846,"",IF($K2847="","",INDEX(Zeiterfassung!$J$6:$J$3665,MATCH(INDEX(Zeiterfassung!$K$6:$K$3665,$K2847),Zeiterfassung!$K$6:$K$3665,0))))</f>
        <v/>
      </c>
      <c r="K2847">
        <f>IFERROR(AGGREGATE(15,6,(ROW(Zeiterfassung!$D$6:$D$3665)-ROW(Zeiterfassung!$D$6)+1)/(Zeiterfassung!$D$6:$D$3665&lt;&gt;""),2842),"")</f>
        <v/>
      </c>
    </row>
    <row r="2848" ht="20" customHeight="1">
      <c r="A2848" s="183">
        <f>IF($K2848="","",WEEKNUM(INDEX(Zeiterfassung!$K$6:$K$3665,$K2848),21))</f>
        <v/>
      </c>
      <c r="B2848" s="184">
        <f>IF($K2848="","",INDEX(Zeiterfassung!$K$6:$K$3665,$K2848))</f>
        <v/>
      </c>
      <c r="C2848" s="185">
        <f>IF($K2848="","",INDEX(Zeiterfassung!$K$6:$K$3665,$K2848))</f>
        <v/>
      </c>
      <c r="D2848" s="186">
        <f>IF($K2848="","",INDEX(Zeiterfassung!$D$6:$D$3665,$K2848))</f>
        <v/>
      </c>
      <c r="E2848" s="186">
        <f>IF($K2848="","",INDEX(Zeiterfassung!$E$6:$E$3665,$K2848))</f>
        <v/>
      </c>
      <c r="F2848" s="187">
        <f>IF($K2848="","",INDEX(Zeiterfassung!$F$6:$F$3665,$K2848))</f>
        <v/>
      </c>
      <c r="G2848" s="187">
        <f>IF($K2848="","",INDEX(Zeiterfassung!$G$6:$G$3665,$K2848))</f>
        <v/>
      </c>
      <c r="H2848" s="188">
        <f>IF($K2848="","",INDEX(Zeiterfassung!$H$6:$H$3665,$K2848))</f>
        <v/>
      </c>
      <c r="I2848" s="335">
        <f>IF(B2848=B2847,"",IF($K2848="","",INDEX(Zeiterfassung!$I$6:$I$3665,MATCH(INDEX(Zeiterfassung!$K$6:$K$3665,$K2848),Zeiterfassung!$K$6:$K$3665,0))))</f>
        <v/>
      </c>
      <c r="J2848" s="335">
        <f>IF(B2848=B2847,"",IF($K2848="","",INDEX(Zeiterfassung!$J$6:$J$3665,MATCH(INDEX(Zeiterfassung!$K$6:$K$3665,$K2848),Zeiterfassung!$K$6:$K$3665,0))))</f>
        <v/>
      </c>
      <c r="K2848">
        <f>IFERROR(AGGREGATE(15,6,(ROW(Zeiterfassung!$D$6:$D$3665)-ROW(Zeiterfassung!$D$6)+1)/(Zeiterfassung!$D$6:$D$3665&lt;&gt;""),2843),"")</f>
        <v/>
      </c>
    </row>
    <row r="2849" ht="20" customHeight="1">
      <c r="A2849" s="183">
        <f>IF($K2849="","",WEEKNUM(INDEX(Zeiterfassung!$K$6:$K$3665,$K2849),21))</f>
        <v/>
      </c>
      <c r="B2849" s="184">
        <f>IF($K2849="","",INDEX(Zeiterfassung!$K$6:$K$3665,$K2849))</f>
        <v/>
      </c>
      <c r="C2849" s="185">
        <f>IF($K2849="","",INDEX(Zeiterfassung!$K$6:$K$3665,$K2849))</f>
        <v/>
      </c>
      <c r="D2849" s="186">
        <f>IF($K2849="","",INDEX(Zeiterfassung!$D$6:$D$3665,$K2849))</f>
        <v/>
      </c>
      <c r="E2849" s="186">
        <f>IF($K2849="","",INDEX(Zeiterfassung!$E$6:$E$3665,$K2849))</f>
        <v/>
      </c>
      <c r="F2849" s="187">
        <f>IF($K2849="","",INDEX(Zeiterfassung!$F$6:$F$3665,$K2849))</f>
        <v/>
      </c>
      <c r="G2849" s="187">
        <f>IF($K2849="","",INDEX(Zeiterfassung!$G$6:$G$3665,$K2849))</f>
        <v/>
      </c>
      <c r="H2849" s="188">
        <f>IF($K2849="","",INDEX(Zeiterfassung!$H$6:$H$3665,$K2849))</f>
        <v/>
      </c>
      <c r="I2849" s="335">
        <f>IF(B2849=B2848,"",IF($K2849="","",INDEX(Zeiterfassung!$I$6:$I$3665,MATCH(INDEX(Zeiterfassung!$K$6:$K$3665,$K2849),Zeiterfassung!$K$6:$K$3665,0))))</f>
        <v/>
      </c>
      <c r="J2849" s="335">
        <f>IF(B2849=B2848,"",IF($K2849="","",INDEX(Zeiterfassung!$J$6:$J$3665,MATCH(INDEX(Zeiterfassung!$K$6:$K$3665,$K2849),Zeiterfassung!$K$6:$K$3665,0))))</f>
        <v/>
      </c>
      <c r="K2849">
        <f>IFERROR(AGGREGATE(15,6,(ROW(Zeiterfassung!$D$6:$D$3665)-ROW(Zeiterfassung!$D$6)+1)/(Zeiterfassung!$D$6:$D$3665&lt;&gt;""),2844),"")</f>
        <v/>
      </c>
    </row>
    <row r="2850" ht="20" customHeight="1">
      <c r="A2850" s="183">
        <f>IF($K2850="","",WEEKNUM(INDEX(Zeiterfassung!$K$6:$K$3665,$K2850),21))</f>
        <v/>
      </c>
      <c r="B2850" s="184">
        <f>IF($K2850="","",INDEX(Zeiterfassung!$K$6:$K$3665,$K2850))</f>
        <v/>
      </c>
      <c r="C2850" s="185">
        <f>IF($K2850="","",INDEX(Zeiterfassung!$K$6:$K$3665,$K2850))</f>
        <v/>
      </c>
      <c r="D2850" s="186">
        <f>IF($K2850="","",INDEX(Zeiterfassung!$D$6:$D$3665,$K2850))</f>
        <v/>
      </c>
      <c r="E2850" s="186">
        <f>IF($K2850="","",INDEX(Zeiterfassung!$E$6:$E$3665,$K2850))</f>
        <v/>
      </c>
      <c r="F2850" s="187">
        <f>IF($K2850="","",INDEX(Zeiterfassung!$F$6:$F$3665,$K2850))</f>
        <v/>
      </c>
      <c r="G2850" s="187">
        <f>IF($K2850="","",INDEX(Zeiterfassung!$G$6:$G$3665,$K2850))</f>
        <v/>
      </c>
      <c r="H2850" s="188">
        <f>IF($K2850="","",INDEX(Zeiterfassung!$H$6:$H$3665,$K2850))</f>
        <v/>
      </c>
      <c r="I2850" s="335">
        <f>IF(B2850=B2849,"",IF($K2850="","",INDEX(Zeiterfassung!$I$6:$I$3665,MATCH(INDEX(Zeiterfassung!$K$6:$K$3665,$K2850),Zeiterfassung!$K$6:$K$3665,0))))</f>
        <v/>
      </c>
      <c r="J2850" s="335">
        <f>IF(B2850=B2849,"",IF($K2850="","",INDEX(Zeiterfassung!$J$6:$J$3665,MATCH(INDEX(Zeiterfassung!$K$6:$K$3665,$K2850),Zeiterfassung!$K$6:$K$3665,0))))</f>
        <v/>
      </c>
      <c r="K2850">
        <f>IFERROR(AGGREGATE(15,6,(ROW(Zeiterfassung!$D$6:$D$3665)-ROW(Zeiterfassung!$D$6)+1)/(Zeiterfassung!$D$6:$D$3665&lt;&gt;""),2845),"")</f>
        <v/>
      </c>
    </row>
    <row r="2851" ht="20" customHeight="1">
      <c r="A2851" s="183">
        <f>IF($K2851="","",WEEKNUM(INDEX(Zeiterfassung!$K$6:$K$3665,$K2851),21))</f>
        <v/>
      </c>
      <c r="B2851" s="184">
        <f>IF($K2851="","",INDEX(Zeiterfassung!$K$6:$K$3665,$K2851))</f>
        <v/>
      </c>
      <c r="C2851" s="185">
        <f>IF($K2851="","",INDEX(Zeiterfassung!$K$6:$K$3665,$K2851))</f>
        <v/>
      </c>
      <c r="D2851" s="186">
        <f>IF($K2851="","",INDEX(Zeiterfassung!$D$6:$D$3665,$K2851))</f>
        <v/>
      </c>
      <c r="E2851" s="186">
        <f>IF($K2851="","",INDEX(Zeiterfassung!$E$6:$E$3665,$K2851))</f>
        <v/>
      </c>
      <c r="F2851" s="187">
        <f>IF($K2851="","",INDEX(Zeiterfassung!$F$6:$F$3665,$K2851))</f>
        <v/>
      </c>
      <c r="G2851" s="187">
        <f>IF($K2851="","",INDEX(Zeiterfassung!$G$6:$G$3665,$K2851))</f>
        <v/>
      </c>
      <c r="H2851" s="188">
        <f>IF($K2851="","",INDEX(Zeiterfassung!$H$6:$H$3665,$K2851))</f>
        <v/>
      </c>
      <c r="I2851" s="335">
        <f>IF(B2851=B2850,"",IF($K2851="","",INDEX(Zeiterfassung!$I$6:$I$3665,MATCH(INDEX(Zeiterfassung!$K$6:$K$3665,$K2851),Zeiterfassung!$K$6:$K$3665,0))))</f>
        <v/>
      </c>
      <c r="J2851" s="335">
        <f>IF(B2851=B2850,"",IF($K2851="","",INDEX(Zeiterfassung!$J$6:$J$3665,MATCH(INDEX(Zeiterfassung!$K$6:$K$3665,$K2851),Zeiterfassung!$K$6:$K$3665,0))))</f>
        <v/>
      </c>
      <c r="K2851">
        <f>IFERROR(AGGREGATE(15,6,(ROW(Zeiterfassung!$D$6:$D$3665)-ROW(Zeiterfassung!$D$6)+1)/(Zeiterfassung!$D$6:$D$3665&lt;&gt;""),2846),"")</f>
        <v/>
      </c>
    </row>
    <row r="2852" ht="20" customHeight="1">
      <c r="A2852" s="183">
        <f>IF($K2852="","",WEEKNUM(INDEX(Zeiterfassung!$K$6:$K$3665,$K2852),21))</f>
        <v/>
      </c>
      <c r="B2852" s="184">
        <f>IF($K2852="","",INDEX(Zeiterfassung!$K$6:$K$3665,$K2852))</f>
        <v/>
      </c>
      <c r="C2852" s="185">
        <f>IF($K2852="","",INDEX(Zeiterfassung!$K$6:$K$3665,$K2852))</f>
        <v/>
      </c>
      <c r="D2852" s="186">
        <f>IF($K2852="","",INDEX(Zeiterfassung!$D$6:$D$3665,$K2852))</f>
        <v/>
      </c>
      <c r="E2852" s="186">
        <f>IF($K2852="","",INDEX(Zeiterfassung!$E$6:$E$3665,$K2852))</f>
        <v/>
      </c>
      <c r="F2852" s="187">
        <f>IF($K2852="","",INDEX(Zeiterfassung!$F$6:$F$3665,$K2852))</f>
        <v/>
      </c>
      <c r="G2852" s="187">
        <f>IF($K2852="","",INDEX(Zeiterfassung!$G$6:$G$3665,$K2852))</f>
        <v/>
      </c>
      <c r="H2852" s="188">
        <f>IF($K2852="","",INDEX(Zeiterfassung!$H$6:$H$3665,$K2852))</f>
        <v/>
      </c>
      <c r="I2852" s="335">
        <f>IF(B2852=B2851,"",IF($K2852="","",INDEX(Zeiterfassung!$I$6:$I$3665,MATCH(INDEX(Zeiterfassung!$K$6:$K$3665,$K2852),Zeiterfassung!$K$6:$K$3665,0))))</f>
        <v/>
      </c>
      <c r="J2852" s="335">
        <f>IF(B2852=B2851,"",IF($K2852="","",INDEX(Zeiterfassung!$J$6:$J$3665,MATCH(INDEX(Zeiterfassung!$K$6:$K$3665,$K2852),Zeiterfassung!$K$6:$K$3665,0))))</f>
        <v/>
      </c>
      <c r="K2852">
        <f>IFERROR(AGGREGATE(15,6,(ROW(Zeiterfassung!$D$6:$D$3665)-ROW(Zeiterfassung!$D$6)+1)/(Zeiterfassung!$D$6:$D$3665&lt;&gt;""),2847),"")</f>
        <v/>
      </c>
    </row>
    <row r="2853" ht="20" customHeight="1">
      <c r="A2853" s="183">
        <f>IF($K2853="","",WEEKNUM(INDEX(Zeiterfassung!$K$6:$K$3665,$K2853),21))</f>
        <v/>
      </c>
      <c r="B2853" s="184">
        <f>IF($K2853="","",INDEX(Zeiterfassung!$K$6:$K$3665,$K2853))</f>
        <v/>
      </c>
      <c r="C2853" s="185">
        <f>IF($K2853="","",INDEX(Zeiterfassung!$K$6:$K$3665,$K2853))</f>
        <v/>
      </c>
      <c r="D2853" s="186">
        <f>IF($K2853="","",INDEX(Zeiterfassung!$D$6:$D$3665,$K2853))</f>
        <v/>
      </c>
      <c r="E2853" s="186">
        <f>IF($K2853="","",INDEX(Zeiterfassung!$E$6:$E$3665,$K2853))</f>
        <v/>
      </c>
      <c r="F2853" s="187">
        <f>IF($K2853="","",INDEX(Zeiterfassung!$F$6:$F$3665,$K2853))</f>
        <v/>
      </c>
      <c r="G2853" s="187">
        <f>IF($K2853="","",INDEX(Zeiterfassung!$G$6:$G$3665,$K2853))</f>
        <v/>
      </c>
      <c r="H2853" s="188">
        <f>IF($K2853="","",INDEX(Zeiterfassung!$H$6:$H$3665,$K2853))</f>
        <v/>
      </c>
      <c r="I2853" s="335">
        <f>IF(B2853=B2852,"",IF($K2853="","",INDEX(Zeiterfassung!$I$6:$I$3665,MATCH(INDEX(Zeiterfassung!$K$6:$K$3665,$K2853),Zeiterfassung!$K$6:$K$3665,0))))</f>
        <v/>
      </c>
      <c r="J2853" s="335">
        <f>IF(B2853=B2852,"",IF($K2853="","",INDEX(Zeiterfassung!$J$6:$J$3665,MATCH(INDEX(Zeiterfassung!$K$6:$K$3665,$K2853),Zeiterfassung!$K$6:$K$3665,0))))</f>
        <v/>
      </c>
      <c r="K2853">
        <f>IFERROR(AGGREGATE(15,6,(ROW(Zeiterfassung!$D$6:$D$3665)-ROW(Zeiterfassung!$D$6)+1)/(Zeiterfassung!$D$6:$D$3665&lt;&gt;""),2848),"")</f>
        <v/>
      </c>
    </row>
    <row r="2854" ht="20" customHeight="1">
      <c r="A2854" s="183">
        <f>IF($K2854="","",WEEKNUM(INDEX(Zeiterfassung!$K$6:$K$3665,$K2854),21))</f>
        <v/>
      </c>
      <c r="B2854" s="184">
        <f>IF($K2854="","",INDEX(Zeiterfassung!$K$6:$K$3665,$K2854))</f>
        <v/>
      </c>
      <c r="C2854" s="185">
        <f>IF($K2854="","",INDEX(Zeiterfassung!$K$6:$K$3665,$K2854))</f>
        <v/>
      </c>
      <c r="D2854" s="186">
        <f>IF($K2854="","",INDEX(Zeiterfassung!$D$6:$D$3665,$K2854))</f>
        <v/>
      </c>
      <c r="E2854" s="186">
        <f>IF($K2854="","",INDEX(Zeiterfassung!$E$6:$E$3665,$K2854))</f>
        <v/>
      </c>
      <c r="F2854" s="187">
        <f>IF($K2854="","",INDEX(Zeiterfassung!$F$6:$F$3665,$K2854))</f>
        <v/>
      </c>
      <c r="G2854" s="187">
        <f>IF($K2854="","",INDEX(Zeiterfassung!$G$6:$G$3665,$K2854))</f>
        <v/>
      </c>
      <c r="H2854" s="188">
        <f>IF($K2854="","",INDEX(Zeiterfassung!$H$6:$H$3665,$K2854))</f>
        <v/>
      </c>
      <c r="I2854" s="335">
        <f>IF(B2854=B2853,"",IF($K2854="","",INDEX(Zeiterfassung!$I$6:$I$3665,MATCH(INDEX(Zeiterfassung!$K$6:$K$3665,$K2854),Zeiterfassung!$K$6:$K$3665,0))))</f>
        <v/>
      </c>
      <c r="J2854" s="335">
        <f>IF(B2854=B2853,"",IF($K2854="","",INDEX(Zeiterfassung!$J$6:$J$3665,MATCH(INDEX(Zeiterfassung!$K$6:$K$3665,$K2854),Zeiterfassung!$K$6:$K$3665,0))))</f>
        <v/>
      </c>
      <c r="K2854">
        <f>IFERROR(AGGREGATE(15,6,(ROW(Zeiterfassung!$D$6:$D$3665)-ROW(Zeiterfassung!$D$6)+1)/(Zeiterfassung!$D$6:$D$3665&lt;&gt;""),2849),"")</f>
        <v/>
      </c>
    </row>
    <row r="2855" ht="20" customHeight="1">
      <c r="A2855" s="183">
        <f>IF($K2855="","",WEEKNUM(INDEX(Zeiterfassung!$K$6:$K$3665,$K2855),21))</f>
        <v/>
      </c>
      <c r="B2855" s="184">
        <f>IF($K2855="","",INDEX(Zeiterfassung!$K$6:$K$3665,$K2855))</f>
        <v/>
      </c>
      <c r="C2855" s="185">
        <f>IF($K2855="","",INDEX(Zeiterfassung!$K$6:$K$3665,$K2855))</f>
        <v/>
      </c>
      <c r="D2855" s="186">
        <f>IF($K2855="","",INDEX(Zeiterfassung!$D$6:$D$3665,$K2855))</f>
        <v/>
      </c>
      <c r="E2855" s="186">
        <f>IF($K2855="","",INDEX(Zeiterfassung!$E$6:$E$3665,$K2855))</f>
        <v/>
      </c>
      <c r="F2855" s="187">
        <f>IF($K2855="","",INDEX(Zeiterfassung!$F$6:$F$3665,$K2855))</f>
        <v/>
      </c>
      <c r="G2855" s="187">
        <f>IF($K2855="","",INDEX(Zeiterfassung!$G$6:$G$3665,$K2855))</f>
        <v/>
      </c>
      <c r="H2855" s="188">
        <f>IF($K2855="","",INDEX(Zeiterfassung!$H$6:$H$3665,$K2855))</f>
        <v/>
      </c>
      <c r="I2855" s="335">
        <f>IF(B2855=B2854,"",IF($K2855="","",INDEX(Zeiterfassung!$I$6:$I$3665,MATCH(INDEX(Zeiterfassung!$K$6:$K$3665,$K2855),Zeiterfassung!$K$6:$K$3665,0))))</f>
        <v/>
      </c>
      <c r="J2855" s="335">
        <f>IF(B2855=B2854,"",IF($K2855="","",INDEX(Zeiterfassung!$J$6:$J$3665,MATCH(INDEX(Zeiterfassung!$K$6:$K$3665,$K2855),Zeiterfassung!$K$6:$K$3665,0))))</f>
        <v/>
      </c>
      <c r="K2855">
        <f>IFERROR(AGGREGATE(15,6,(ROW(Zeiterfassung!$D$6:$D$3665)-ROW(Zeiterfassung!$D$6)+1)/(Zeiterfassung!$D$6:$D$3665&lt;&gt;""),2850),"")</f>
        <v/>
      </c>
    </row>
    <row r="2856" ht="20" customHeight="1">
      <c r="A2856" s="183">
        <f>IF($K2856="","",WEEKNUM(INDEX(Zeiterfassung!$K$6:$K$3665,$K2856),21))</f>
        <v/>
      </c>
      <c r="B2856" s="184">
        <f>IF($K2856="","",INDEX(Zeiterfassung!$K$6:$K$3665,$K2856))</f>
        <v/>
      </c>
      <c r="C2856" s="185">
        <f>IF($K2856="","",INDEX(Zeiterfassung!$K$6:$K$3665,$K2856))</f>
        <v/>
      </c>
      <c r="D2856" s="186">
        <f>IF($K2856="","",INDEX(Zeiterfassung!$D$6:$D$3665,$K2856))</f>
        <v/>
      </c>
      <c r="E2856" s="186">
        <f>IF($K2856="","",INDEX(Zeiterfassung!$E$6:$E$3665,$K2856))</f>
        <v/>
      </c>
      <c r="F2856" s="187">
        <f>IF($K2856="","",INDEX(Zeiterfassung!$F$6:$F$3665,$K2856))</f>
        <v/>
      </c>
      <c r="G2856" s="187">
        <f>IF($K2856="","",INDEX(Zeiterfassung!$G$6:$G$3665,$K2856))</f>
        <v/>
      </c>
      <c r="H2856" s="188">
        <f>IF($K2856="","",INDEX(Zeiterfassung!$H$6:$H$3665,$K2856))</f>
        <v/>
      </c>
      <c r="I2856" s="335">
        <f>IF(B2856=B2855,"",IF($K2856="","",INDEX(Zeiterfassung!$I$6:$I$3665,MATCH(INDEX(Zeiterfassung!$K$6:$K$3665,$K2856),Zeiterfassung!$K$6:$K$3665,0))))</f>
        <v/>
      </c>
      <c r="J2856" s="335">
        <f>IF(B2856=B2855,"",IF($K2856="","",INDEX(Zeiterfassung!$J$6:$J$3665,MATCH(INDEX(Zeiterfassung!$K$6:$K$3665,$K2856),Zeiterfassung!$K$6:$K$3665,0))))</f>
        <v/>
      </c>
      <c r="K2856">
        <f>IFERROR(AGGREGATE(15,6,(ROW(Zeiterfassung!$D$6:$D$3665)-ROW(Zeiterfassung!$D$6)+1)/(Zeiterfassung!$D$6:$D$3665&lt;&gt;""),2851),"")</f>
        <v/>
      </c>
    </row>
    <row r="2857" ht="20" customHeight="1">
      <c r="A2857" s="183">
        <f>IF($K2857="","",WEEKNUM(INDEX(Zeiterfassung!$K$6:$K$3665,$K2857),21))</f>
        <v/>
      </c>
      <c r="B2857" s="184">
        <f>IF($K2857="","",INDEX(Zeiterfassung!$K$6:$K$3665,$K2857))</f>
        <v/>
      </c>
      <c r="C2857" s="185">
        <f>IF($K2857="","",INDEX(Zeiterfassung!$K$6:$K$3665,$K2857))</f>
        <v/>
      </c>
      <c r="D2857" s="186">
        <f>IF($K2857="","",INDEX(Zeiterfassung!$D$6:$D$3665,$K2857))</f>
        <v/>
      </c>
      <c r="E2857" s="186">
        <f>IF($K2857="","",INDEX(Zeiterfassung!$E$6:$E$3665,$K2857))</f>
        <v/>
      </c>
      <c r="F2857" s="187">
        <f>IF($K2857="","",INDEX(Zeiterfassung!$F$6:$F$3665,$K2857))</f>
        <v/>
      </c>
      <c r="G2857" s="187">
        <f>IF($K2857="","",INDEX(Zeiterfassung!$G$6:$G$3665,$K2857))</f>
        <v/>
      </c>
      <c r="H2857" s="188">
        <f>IF($K2857="","",INDEX(Zeiterfassung!$H$6:$H$3665,$K2857))</f>
        <v/>
      </c>
      <c r="I2857" s="335">
        <f>IF(B2857=B2856,"",IF($K2857="","",INDEX(Zeiterfassung!$I$6:$I$3665,MATCH(INDEX(Zeiterfassung!$K$6:$K$3665,$K2857),Zeiterfassung!$K$6:$K$3665,0))))</f>
        <v/>
      </c>
      <c r="J2857" s="335">
        <f>IF(B2857=B2856,"",IF($K2857="","",INDEX(Zeiterfassung!$J$6:$J$3665,MATCH(INDEX(Zeiterfassung!$K$6:$K$3665,$K2857),Zeiterfassung!$K$6:$K$3665,0))))</f>
        <v/>
      </c>
      <c r="K2857">
        <f>IFERROR(AGGREGATE(15,6,(ROW(Zeiterfassung!$D$6:$D$3665)-ROW(Zeiterfassung!$D$6)+1)/(Zeiterfassung!$D$6:$D$3665&lt;&gt;""),2852),"")</f>
        <v/>
      </c>
    </row>
    <row r="2858" ht="20" customHeight="1">
      <c r="A2858" s="183">
        <f>IF($K2858="","",WEEKNUM(INDEX(Zeiterfassung!$K$6:$K$3665,$K2858),21))</f>
        <v/>
      </c>
      <c r="B2858" s="184">
        <f>IF($K2858="","",INDEX(Zeiterfassung!$K$6:$K$3665,$K2858))</f>
        <v/>
      </c>
      <c r="C2858" s="185">
        <f>IF($K2858="","",INDEX(Zeiterfassung!$K$6:$K$3665,$K2858))</f>
        <v/>
      </c>
      <c r="D2858" s="186">
        <f>IF($K2858="","",INDEX(Zeiterfassung!$D$6:$D$3665,$K2858))</f>
        <v/>
      </c>
      <c r="E2858" s="186">
        <f>IF($K2858="","",INDEX(Zeiterfassung!$E$6:$E$3665,$K2858))</f>
        <v/>
      </c>
      <c r="F2858" s="187">
        <f>IF($K2858="","",INDEX(Zeiterfassung!$F$6:$F$3665,$K2858))</f>
        <v/>
      </c>
      <c r="G2858" s="187">
        <f>IF($K2858="","",INDEX(Zeiterfassung!$G$6:$G$3665,$K2858))</f>
        <v/>
      </c>
      <c r="H2858" s="188">
        <f>IF($K2858="","",INDEX(Zeiterfassung!$H$6:$H$3665,$K2858))</f>
        <v/>
      </c>
      <c r="I2858" s="335">
        <f>IF(B2858=B2857,"",IF($K2858="","",INDEX(Zeiterfassung!$I$6:$I$3665,MATCH(INDEX(Zeiterfassung!$K$6:$K$3665,$K2858),Zeiterfassung!$K$6:$K$3665,0))))</f>
        <v/>
      </c>
      <c r="J2858" s="335">
        <f>IF(B2858=B2857,"",IF($K2858="","",INDEX(Zeiterfassung!$J$6:$J$3665,MATCH(INDEX(Zeiterfassung!$K$6:$K$3665,$K2858),Zeiterfassung!$K$6:$K$3665,0))))</f>
        <v/>
      </c>
      <c r="K2858">
        <f>IFERROR(AGGREGATE(15,6,(ROW(Zeiterfassung!$D$6:$D$3665)-ROW(Zeiterfassung!$D$6)+1)/(Zeiterfassung!$D$6:$D$3665&lt;&gt;""),2853),"")</f>
        <v/>
      </c>
    </row>
    <row r="2859" ht="20" customHeight="1">
      <c r="A2859" s="183">
        <f>IF($K2859="","",WEEKNUM(INDEX(Zeiterfassung!$K$6:$K$3665,$K2859),21))</f>
        <v/>
      </c>
      <c r="B2859" s="184">
        <f>IF($K2859="","",INDEX(Zeiterfassung!$K$6:$K$3665,$K2859))</f>
        <v/>
      </c>
      <c r="C2859" s="185">
        <f>IF($K2859="","",INDEX(Zeiterfassung!$K$6:$K$3665,$K2859))</f>
        <v/>
      </c>
      <c r="D2859" s="186">
        <f>IF($K2859="","",INDEX(Zeiterfassung!$D$6:$D$3665,$K2859))</f>
        <v/>
      </c>
      <c r="E2859" s="186">
        <f>IF($K2859="","",INDEX(Zeiterfassung!$E$6:$E$3665,$K2859))</f>
        <v/>
      </c>
      <c r="F2859" s="187">
        <f>IF($K2859="","",INDEX(Zeiterfassung!$F$6:$F$3665,$K2859))</f>
        <v/>
      </c>
      <c r="G2859" s="187">
        <f>IF($K2859="","",INDEX(Zeiterfassung!$G$6:$G$3665,$K2859))</f>
        <v/>
      </c>
      <c r="H2859" s="188">
        <f>IF($K2859="","",INDEX(Zeiterfassung!$H$6:$H$3665,$K2859))</f>
        <v/>
      </c>
      <c r="I2859" s="335">
        <f>IF(B2859=B2858,"",IF($K2859="","",INDEX(Zeiterfassung!$I$6:$I$3665,MATCH(INDEX(Zeiterfassung!$K$6:$K$3665,$K2859),Zeiterfassung!$K$6:$K$3665,0))))</f>
        <v/>
      </c>
      <c r="J2859" s="335">
        <f>IF(B2859=B2858,"",IF($K2859="","",INDEX(Zeiterfassung!$J$6:$J$3665,MATCH(INDEX(Zeiterfassung!$K$6:$K$3665,$K2859),Zeiterfassung!$K$6:$K$3665,0))))</f>
        <v/>
      </c>
      <c r="K2859">
        <f>IFERROR(AGGREGATE(15,6,(ROW(Zeiterfassung!$D$6:$D$3665)-ROW(Zeiterfassung!$D$6)+1)/(Zeiterfassung!$D$6:$D$3665&lt;&gt;""),2854),"")</f>
        <v/>
      </c>
    </row>
    <row r="2860" ht="20" customHeight="1">
      <c r="A2860" s="183">
        <f>IF($K2860="","",WEEKNUM(INDEX(Zeiterfassung!$K$6:$K$3665,$K2860),21))</f>
        <v/>
      </c>
      <c r="B2860" s="184">
        <f>IF($K2860="","",INDEX(Zeiterfassung!$K$6:$K$3665,$K2860))</f>
        <v/>
      </c>
      <c r="C2860" s="185">
        <f>IF($K2860="","",INDEX(Zeiterfassung!$K$6:$K$3665,$K2860))</f>
        <v/>
      </c>
      <c r="D2860" s="186">
        <f>IF($K2860="","",INDEX(Zeiterfassung!$D$6:$D$3665,$K2860))</f>
        <v/>
      </c>
      <c r="E2860" s="186">
        <f>IF($K2860="","",INDEX(Zeiterfassung!$E$6:$E$3665,$K2860))</f>
        <v/>
      </c>
      <c r="F2860" s="187">
        <f>IF($K2860="","",INDEX(Zeiterfassung!$F$6:$F$3665,$K2860))</f>
        <v/>
      </c>
      <c r="G2860" s="187">
        <f>IF($K2860="","",INDEX(Zeiterfassung!$G$6:$G$3665,$K2860))</f>
        <v/>
      </c>
      <c r="H2860" s="188">
        <f>IF($K2860="","",INDEX(Zeiterfassung!$H$6:$H$3665,$K2860))</f>
        <v/>
      </c>
      <c r="I2860" s="335">
        <f>IF(B2860=B2859,"",IF($K2860="","",INDEX(Zeiterfassung!$I$6:$I$3665,MATCH(INDEX(Zeiterfassung!$K$6:$K$3665,$K2860),Zeiterfassung!$K$6:$K$3665,0))))</f>
        <v/>
      </c>
      <c r="J2860" s="335">
        <f>IF(B2860=B2859,"",IF($K2860="","",INDEX(Zeiterfassung!$J$6:$J$3665,MATCH(INDEX(Zeiterfassung!$K$6:$K$3665,$K2860),Zeiterfassung!$K$6:$K$3665,0))))</f>
        <v/>
      </c>
      <c r="K2860">
        <f>IFERROR(AGGREGATE(15,6,(ROW(Zeiterfassung!$D$6:$D$3665)-ROW(Zeiterfassung!$D$6)+1)/(Zeiterfassung!$D$6:$D$3665&lt;&gt;""),2855),"")</f>
        <v/>
      </c>
    </row>
    <row r="2861" ht="20" customHeight="1">
      <c r="A2861" s="183">
        <f>IF($K2861="","",WEEKNUM(INDEX(Zeiterfassung!$K$6:$K$3665,$K2861),21))</f>
        <v/>
      </c>
      <c r="B2861" s="184">
        <f>IF($K2861="","",INDEX(Zeiterfassung!$K$6:$K$3665,$K2861))</f>
        <v/>
      </c>
      <c r="C2861" s="185">
        <f>IF($K2861="","",INDEX(Zeiterfassung!$K$6:$K$3665,$K2861))</f>
        <v/>
      </c>
      <c r="D2861" s="186">
        <f>IF($K2861="","",INDEX(Zeiterfassung!$D$6:$D$3665,$K2861))</f>
        <v/>
      </c>
      <c r="E2861" s="186">
        <f>IF($K2861="","",INDEX(Zeiterfassung!$E$6:$E$3665,$K2861))</f>
        <v/>
      </c>
      <c r="F2861" s="187">
        <f>IF($K2861="","",INDEX(Zeiterfassung!$F$6:$F$3665,$K2861))</f>
        <v/>
      </c>
      <c r="G2861" s="187">
        <f>IF($K2861="","",INDEX(Zeiterfassung!$G$6:$G$3665,$K2861))</f>
        <v/>
      </c>
      <c r="H2861" s="188">
        <f>IF($K2861="","",INDEX(Zeiterfassung!$H$6:$H$3665,$K2861))</f>
        <v/>
      </c>
      <c r="I2861" s="335">
        <f>IF(B2861=B2860,"",IF($K2861="","",INDEX(Zeiterfassung!$I$6:$I$3665,MATCH(INDEX(Zeiterfassung!$K$6:$K$3665,$K2861),Zeiterfassung!$K$6:$K$3665,0))))</f>
        <v/>
      </c>
      <c r="J2861" s="335">
        <f>IF(B2861=B2860,"",IF($K2861="","",INDEX(Zeiterfassung!$J$6:$J$3665,MATCH(INDEX(Zeiterfassung!$K$6:$K$3665,$K2861),Zeiterfassung!$K$6:$K$3665,0))))</f>
        <v/>
      </c>
      <c r="K2861">
        <f>IFERROR(AGGREGATE(15,6,(ROW(Zeiterfassung!$D$6:$D$3665)-ROW(Zeiterfassung!$D$6)+1)/(Zeiterfassung!$D$6:$D$3665&lt;&gt;""),2856),"")</f>
        <v/>
      </c>
    </row>
    <row r="2862" ht="20" customHeight="1">
      <c r="A2862" s="183">
        <f>IF($K2862="","",WEEKNUM(INDEX(Zeiterfassung!$K$6:$K$3665,$K2862),21))</f>
        <v/>
      </c>
      <c r="B2862" s="184">
        <f>IF($K2862="","",INDEX(Zeiterfassung!$K$6:$K$3665,$K2862))</f>
        <v/>
      </c>
      <c r="C2862" s="185">
        <f>IF($K2862="","",INDEX(Zeiterfassung!$K$6:$K$3665,$K2862))</f>
        <v/>
      </c>
      <c r="D2862" s="186">
        <f>IF($K2862="","",INDEX(Zeiterfassung!$D$6:$D$3665,$K2862))</f>
        <v/>
      </c>
      <c r="E2862" s="186">
        <f>IF($K2862="","",INDEX(Zeiterfassung!$E$6:$E$3665,$K2862))</f>
        <v/>
      </c>
      <c r="F2862" s="187">
        <f>IF($K2862="","",INDEX(Zeiterfassung!$F$6:$F$3665,$K2862))</f>
        <v/>
      </c>
      <c r="G2862" s="187">
        <f>IF($K2862="","",INDEX(Zeiterfassung!$G$6:$G$3665,$K2862))</f>
        <v/>
      </c>
      <c r="H2862" s="188">
        <f>IF($K2862="","",INDEX(Zeiterfassung!$H$6:$H$3665,$K2862))</f>
        <v/>
      </c>
      <c r="I2862" s="335">
        <f>IF(B2862=B2861,"",IF($K2862="","",INDEX(Zeiterfassung!$I$6:$I$3665,MATCH(INDEX(Zeiterfassung!$K$6:$K$3665,$K2862),Zeiterfassung!$K$6:$K$3665,0))))</f>
        <v/>
      </c>
      <c r="J2862" s="335">
        <f>IF(B2862=B2861,"",IF($K2862="","",INDEX(Zeiterfassung!$J$6:$J$3665,MATCH(INDEX(Zeiterfassung!$K$6:$K$3665,$K2862),Zeiterfassung!$K$6:$K$3665,0))))</f>
        <v/>
      </c>
      <c r="K2862">
        <f>IFERROR(AGGREGATE(15,6,(ROW(Zeiterfassung!$D$6:$D$3665)-ROW(Zeiterfassung!$D$6)+1)/(Zeiterfassung!$D$6:$D$3665&lt;&gt;""),2857),"")</f>
        <v/>
      </c>
    </row>
    <row r="2863" ht="20" customHeight="1">
      <c r="A2863" s="183">
        <f>IF($K2863="","",WEEKNUM(INDEX(Zeiterfassung!$K$6:$K$3665,$K2863),21))</f>
        <v/>
      </c>
      <c r="B2863" s="184">
        <f>IF($K2863="","",INDEX(Zeiterfassung!$K$6:$K$3665,$K2863))</f>
        <v/>
      </c>
      <c r="C2863" s="185">
        <f>IF($K2863="","",INDEX(Zeiterfassung!$K$6:$K$3665,$K2863))</f>
        <v/>
      </c>
      <c r="D2863" s="186">
        <f>IF($K2863="","",INDEX(Zeiterfassung!$D$6:$D$3665,$K2863))</f>
        <v/>
      </c>
      <c r="E2863" s="186">
        <f>IF($K2863="","",INDEX(Zeiterfassung!$E$6:$E$3665,$K2863))</f>
        <v/>
      </c>
      <c r="F2863" s="187">
        <f>IF($K2863="","",INDEX(Zeiterfassung!$F$6:$F$3665,$K2863))</f>
        <v/>
      </c>
      <c r="G2863" s="187">
        <f>IF($K2863="","",INDEX(Zeiterfassung!$G$6:$G$3665,$K2863))</f>
        <v/>
      </c>
      <c r="H2863" s="188">
        <f>IF($K2863="","",INDEX(Zeiterfassung!$H$6:$H$3665,$K2863))</f>
        <v/>
      </c>
      <c r="I2863" s="335">
        <f>IF(B2863=B2862,"",IF($K2863="","",INDEX(Zeiterfassung!$I$6:$I$3665,MATCH(INDEX(Zeiterfassung!$K$6:$K$3665,$K2863),Zeiterfassung!$K$6:$K$3665,0))))</f>
        <v/>
      </c>
      <c r="J2863" s="335">
        <f>IF(B2863=B2862,"",IF($K2863="","",INDEX(Zeiterfassung!$J$6:$J$3665,MATCH(INDEX(Zeiterfassung!$K$6:$K$3665,$K2863),Zeiterfassung!$K$6:$K$3665,0))))</f>
        <v/>
      </c>
      <c r="K2863">
        <f>IFERROR(AGGREGATE(15,6,(ROW(Zeiterfassung!$D$6:$D$3665)-ROW(Zeiterfassung!$D$6)+1)/(Zeiterfassung!$D$6:$D$3665&lt;&gt;""),2858),"")</f>
        <v/>
      </c>
    </row>
    <row r="2864" ht="20" customHeight="1">
      <c r="A2864" s="183">
        <f>IF($K2864="","",WEEKNUM(INDEX(Zeiterfassung!$K$6:$K$3665,$K2864),21))</f>
        <v/>
      </c>
      <c r="B2864" s="184">
        <f>IF($K2864="","",INDEX(Zeiterfassung!$K$6:$K$3665,$K2864))</f>
        <v/>
      </c>
      <c r="C2864" s="185">
        <f>IF($K2864="","",INDEX(Zeiterfassung!$K$6:$K$3665,$K2864))</f>
        <v/>
      </c>
      <c r="D2864" s="186">
        <f>IF($K2864="","",INDEX(Zeiterfassung!$D$6:$D$3665,$K2864))</f>
        <v/>
      </c>
      <c r="E2864" s="186">
        <f>IF($K2864="","",INDEX(Zeiterfassung!$E$6:$E$3665,$K2864))</f>
        <v/>
      </c>
      <c r="F2864" s="187">
        <f>IF($K2864="","",INDEX(Zeiterfassung!$F$6:$F$3665,$K2864))</f>
        <v/>
      </c>
      <c r="G2864" s="187">
        <f>IF($K2864="","",INDEX(Zeiterfassung!$G$6:$G$3665,$K2864))</f>
        <v/>
      </c>
      <c r="H2864" s="188">
        <f>IF($K2864="","",INDEX(Zeiterfassung!$H$6:$H$3665,$K2864))</f>
        <v/>
      </c>
      <c r="I2864" s="335">
        <f>IF(B2864=B2863,"",IF($K2864="","",INDEX(Zeiterfassung!$I$6:$I$3665,MATCH(INDEX(Zeiterfassung!$K$6:$K$3665,$K2864),Zeiterfassung!$K$6:$K$3665,0))))</f>
        <v/>
      </c>
      <c r="J2864" s="335">
        <f>IF(B2864=B2863,"",IF($K2864="","",INDEX(Zeiterfassung!$J$6:$J$3665,MATCH(INDEX(Zeiterfassung!$K$6:$K$3665,$K2864),Zeiterfassung!$K$6:$K$3665,0))))</f>
        <v/>
      </c>
      <c r="K2864">
        <f>IFERROR(AGGREGATE(15,6,(ROW(Zeiterfassung!$D$6:$D$3665)-ROW(Zeiterfassung!$D$6)+1)/(Zeiterfassung!$D$6:$D$3665&lt;&gt;""),2859),"")</f>
        <v/>
      </c>
    </row>
    <row r="2865" ht="20" customHeight="1">
      <c r="A2865" s="183">
        <f>IF($K2865="","",WEEKNUM(INDEX(Zeiterfassung!$K$6:$K$3665,$K2865),21))</f>
        <v/>
      </c>
      <c r="B2865" s="184">
        <f>IF($K2865="","",INDEX(Zeiterfassung!$K$6:$K$3665,$K2865))</f>
        <v/>
      </c>
      <c r="C2865" s="185">
        <f>IF($K2865="","",INDEX(Zeiterfassung!$K$6:$K$3665,$K2865))</f>
        <v/>
      </c>
      <c r="D2865" s="186">
        <f>IF($K2865="","",INDEX(Zeiterfassung!$D$6:$D$3665,$K2865))</f>
        <v/>
      </c>
      <c r="E2865" s="186">
        <f>IF($K2865="","",INDEX(Zeiterfassung!$E$6:$E$3665,$K2865))</f>
        <v/>
      </c>
      <c r="F2865" s="187">
        <f>IF($K2865="","",INDEX(Zeiterfassung!$F$6:$F$3665,$K2865))</f>
        <v/>
      </c>
      <c r="G2865" s="187">
        <f>IF($K2865="","",INDEX(Zeiterfassung!$G$6:$G$3665,$K2865))</f>
        <v/>
      </c>
      <c r="H2865" s="188">
        <f>IF($K2865="","",INDEX(Zeiterfassung!$H$6:$H$3665,$K2865))</f>
        <v/>
      </c>
      <c r="I2865" s="335">
        <f>IF(B2865=B2864,"",IF($K2865="","",INDEX(Zeiterfassung!$I$6:$I$3665,MATCH(INDEX(Zeiterfassung!$K$6:$K$3665,$K2865),Zeiterfassung!$K$6:$K$3665,0))))</f>
        <v/>
      </c>
      <c r="J2865" s="335">
        <f>IF(B2865=B2864,"",IF($K2865="","",INDEX(Zeiterfassung!$J$6:$J$3665,MATCH(INDEX(Zeiterfassung!$K$6:$K$3665,$K2865),Zeiterfassung!$K$6:$K$3665,0))))</f>
        <v/>
      </c>
      <c r="K2865">
        <f>IFERROR(AGGREGATE(15,6,(ROW(Zeiterfassung!$D$6:$D$3665)-ROW(Zeiterfassung!$D$6)+1)/(Zeiterfassung!$D$6:$D$3665&lt;&gt;""),2860),"")</f>
        <v/>
      </c>
    </row>
    <row r="2866" ht="20" customHeight="1">
      <c r="A2866" s="183">
        <f>IF($K2866="","",WEEKNUM(INDEX(Zeiterfassung!$K$6:$K$3665,$K2866),21))</f>
        <v/>
      </c>
      <c r="B2866" s="184">
        <f>IF($K2866="","",INDEX(Zeiterfassung!$K$6:$K$3665,$K2866))</f>
        <v/>
      </c>
      <c r="C2866" s="185">
        <f>IF($K2866="","",INDEX(Zeiterfassung!$K$6:$K$3665,$K2866))</f>
        <v/>
      </c>
      <c r="D2866" s="186">
        <f>IF($K2866="","",INDEX(Zeiterfassung!$D$6:$D$3665,$K2866))</f>
        <v/>
      </c>
      <c r="E2866" s="186">
        <f>IF($K2866="","",INDEX(Zeiterfassung!$E$6:$E$3665,$K2866))</f>
        <v/>
      </c>
      <c r="F2866" s="187">
        <f>IF($K2866="","",INDEX(Zeiterfassung!$F$6:$F$3665,$K2866))</f>
        <v/>
      </c>
      <c r="G2866" s="187">
        <f>IF($K2866="","",INDEX(Zeiterfassung!$G$6:$G$3665,$K2866))</f>
        <v/>
      </c>
      <c r="H2866" s="188">
        <f>IF($K2866="","",INDEX(Zeiterfassung!$H$6:$H$3665,$K2866))</f>
        <v/>
      </c>
      <c r="I2866" s="335">
        <f>IF(B2866=B2865,"",IF($K2866="","",INDEX(Zeiterfassung!$I$6:$I$3665,MATCH(INDEX(Zeiterfassung!$K$6:$K$3665,$K2866),Zeiterfassung!$K$6:$K$3665,0))))</f>
        <v/>
      </c>
      <c r="J2866" s="335">
        <f>IF(B2866=B2865,"",IF($K2866="","",INDEX(Zeiterfassung!$J$6:$J$3665,MATCH(INDEX(Zeiterfassung!$K$6:$K$3665,$K2866),Zeiterfassung!$K$6:$K$3665,0))))</f>
        <v/>
      </c>
      <c r="K2866">
        <f>IFERROR(AGGREGATE(15,6,(ROW(Zeiterfassung!$D$6:$D$3665)-ROW(Zeiterfassung!$D$6)+1)/(Zeiterfassung!$D$6:$D$3665&lt;&gt;""),2861),"")</f>
        <v/>
      </c>
    </row>
    <row r="2867" ht="20" customHeight="1">
      <c r="A2867" s="183">
        <f>IF($K2867="","",WEEKNUM(INDEX(Zeiterfassung!$K$6:$K$3665,$K2867),21))</f>
        <v/>
      </c>
      <c r="B2867" s="184">
        <f>IF($K2867="","",INDEX(Zeiterfassung!$K$6:$K$3665,$K2867))</f>
        <v/>
      </c>
      <c r="C2867" s="185">
        <f>IF($K2867="","",INDEX(Zeiterfassung!$K$6:$K$3665,$K2867))</f>
        <v/>
      </c>
      <c r="D2867" s="186">
        <f>IF($K2867="","",INDEX(Zeiterfassung!$D$6:$D$3665,$K2867))</f>
        <v/>
      </c>
      <c r="E2867" s="186">
        <f>IF($K2867="","",INDEX(Zeiterfassung!$E$6:$E$3665,$K2867))</f>
        <v/>
      </c>
      <c r="F2867" s="187">
        <f>IF($K2867="","",INDEX(Zeiterfassung!$F$6:$F$3665,$K2867))</f>
        <v/>
      </c>
      <c r="G2867" s="187">
        <f>IF($K2867="","",INDEX(Zeiterfassung!$G$6:$G$3665,$K2867))</f>
        <v/>
      </c>
      <c r="H2867" s="188">
        <f>IF($K2867="","",INDEX(Zeiterfassung!$H$6:$H$3665,$K2867))</f>
        <v/>
      </c>
      <c r="I2867" s="335">
        <f>IF(B2867=B2866,"",IF($K2867="","",INDEX(Zeiterfassung!$I$6:$I$3665,MATCH(INDEX(Zeiterfassung!$K$6:$K$3665,$K2867),Zeiterfassung!$K$6:$K$3665,0))))</f>
        <v/>
      </c>
      <c r="J2867" s="335">
        <f>IF(B2867=B2866,"",IF($K2867="","",INDEX(Zeiterfassung!$J$6:$J$3665,MATCH(INDEX(Zeiterfassung!$K$6:$K$3665,$K2867),Zeiterfassung!$K$6:$K$3665,0))))</f>
        <v/>
      </c>
      <c r="K2867">
        <f>IFERROR(AGGREGATE(15,6,(ROW(Zeiterfassung!$D$6:$D$3665)-ROW(Zeiterfassung!$D$6)+1)/(Zeiterfassung!$D$6:$D$3665&lt;&gt;""),2862),"")</f>
        <v/>
      </c>
    </row>
    <row r="2868" ht="20" customHeight="1">
      <c r="A2868" s="183">
        <f>IF($K2868="","",WEEKNUM(INDEX(Zeiterfassung!$K$6:$K$3665,$K2868),21))</f>
        <v/>
      </c>
      <c r="B2868" s="184">
        <f>IF($K2868="","",INDEX(Zeiterfassung!$K$6:$K$3665,$K2868))</f>
        <v/>
      </c>
      <c r="C2868" s="185">
        <f>IF($K2868="","",INDEX(Zeiterfassung!$K$6:$K$3665,$K2868))</f>
        <v/>
      </c>
      <c r="D2868" s="186">
        <f>IF($K2868="","",INDEX(Zeiterfassung!$D$6:$D$3665,$K2868))</f>
        <v/>
      </c>
      <c r="E2868" s="186">
        <f>IF($K2868="","",INDEX(Zeiterfassung!$E$6:$E$3665,$K2868))</f>
        <v/>
      </c>
      <c r="F2868" s="187">
        <f>IF($K2868="","",INDEX(Zeiterfassung!$F$6:$F$3665,$K2868))</f>
        <v/>
      </c>
      <c r="G2868" s="187">
        <f>IF($K2868="","",INDEX(Zeiterfassung!$G$6:$G$3665,$K2868))</f>
        <v/>
      </c>
      <c r="H2868" s="188">
        <f>IF($K2868="","",INDEX(Zeiterfassung!$H$6:$H$3665,$K2868))</f>
        <v/>
      </c>
      <c r="I2868" s="335">
        <f>IF(B2868=B2867,"",IF($K2868="","",INDEX(Zeiterfassung!$I$6:$I$3665,MATCH(INDEX(Zeiterfassung!$K$6:$K$3665,$K2868),Zeiterfassung!$K$6:$K$3665,0))))</f>
        <v/>
      </c>
      <c r="J2868" s="335">
        <f>IF(B2868=B2867,"",IF($K2868="","",INDEX(Zeiterfassung!$J$6:$J$3665,MATCH(INDEX(Zeiterfassung!$K$6:$K$3665,$K2868),Zeiterfassung!$K$6:$K$3665,0))))</f>
        <v/>
      </c>
      <c r="K2868">
        <f>IFERROR(AGGREGATE(15,6,(ROW(Zeiterfassung!$D$6:$D$3665)-ROW(Zeiterfassung!$D$6)+1)/(Zeiterfassung!$D$6:$D$3665&lt;&gt;""),2863),"")</f>
        <v/>
      </c>
    </row>
    <row r="2869" ht="20" customHeight="1">
      <c r="A2869" s="183">
        <f>IF($K2869="","",WEEKNUM(INDEX(Zeiterfassung!$K$6:$K$3665,$K2869),21))</f>
        <v/>
      </c>
      <c r="B2869" s="184">
        <f>IF($K2869="","",INDEX(Zeiterfassung!$K$6:$K$3665,$K2869))</f>
        <v/>
      </c>
      <c r="C2869" s="185">
        <f>IF($K2869="","",INDEX(Zeiterfassung!$K$6:$K$3665,$K2869))</f>
        <v/>
      </c>
      <c r="D2869" s="186">
        <f>IF($K2869="","",INDEX(Zeiterfassung!$D$6:$D$3665,$K2869))</f>
        <v/>
      </c>
      <c r="E2869" s="186">
        <f>IF($K2869="","",INDEX(Zeiterfassung!$E$6:$E$3665,$K2869))</f>
        <v/>
      </c>
      <c r="F2869" s="187">
        <f>IF($K2869="","",INDEX(Zeiterfassung!$F$6:$F$3665,$K2869))</f>
        <v/>
      </c>
      <c r="G2869" s="187">
        <f>IF($K2869="","",INDEX(Zeiterfassung!$G$6:$G$3665,$K2869))</f>
        <v/>
      </c>
      <c r="H2869" s="188">
        <f>IF($K2869="","",INDEX(Zeiterfassung!$H$6:$H$3665,$K2869))</f>
        <v/>
      </c>
      <c r="I2869" s="335">
        <f>IF(B2869=B2868,"",IF($K2869="","",INDEX(Zeiterfassung!$I$6:$I$3665,MATCH(INDEX(Zeiterfassung!$K$6:$K$3665,$K2869),Zeiterfassung!$K$6:$K$3665,0))))</f>
        <v/>
      </c>
      <c r="J2869" s="335">
        <f>IF(B2869=B2868,"",IF($K2869="","",INDEX(Zeiterfassung!$J$6:$J$3665,MATCH(INDEX(Zeiterfassung!$K$6:$K$3665,$K2869),Zeiterfassung!$K$6:$K$3665,0))))</f>
        <v/>
      </c>
      <c r="K2869">
        <f>IFERROR(AGGREGATE(15,6,(ROW(Zeiterfassung!$D$6:$D$3665)-ROW(Zeiterfassung!$D$6)+1)/(Zeiterfassung!$D$6:$D$3665&lt;&gt;""),2864),"")</f>
        <v/>
      </c>
    </row>
    <row r="2870" ht="20" customHeight="1">
      <c r="A2870" s="183">
        <f>IF($K2870="","",WEEKNUM(INDEX(Zeiterfassung!$K$6:$K$3665,$K2870),21))</f>
        <v/>
      </c>
      <c r="B2870" s="184">
        <f>IF($K2870="","",INDEX(Zeiterfassung!$K$6:$K$3665,$K2870))</f>
        <v/>
      </c>
      <c r="C2870" s="185">
        <f>IF($K2870="","",INDEX(Zeiterfassung!$K$6:$K$3665,$K2870))</f>
        <v/>
      </c>
      <c r="D2870" s="186">
        <f>IF($K2870="","",INDEX(Zeiterfassung!$D$6:$D$3665,$K2870))</f>
        <v/>
      </c>
      <c r="E2870" s="186">
        <f>IF($K2870="","",INDEX(Zeiterfassung!$E$6:$E$3665,$K2870))</f>
        <v/>
      </c>
      <c r="F2870" s="187">
        <f>IF($K2870="","",INDEX(Zeiterfassung!$F$6:$F$3665,$K2870))</f>
        <v/>
      </c>
      <c r="G2870" s="187">
        <f>IF($K2870="","",INDEX(Zeiterfassung!$G$6:$G$3665,$K2870))</f>
        <v/>
      </c>
      <c r="H2870" s="188">
        <f>IF($K2870="","",INDEX(Zeiterfassung!$H$6:$H$3665,$K2870))</f>
        <v/>
      </c>
      <c r="I2870" s="335">
        <f>IF(B2870=B2869,"",IF($K2870="","",INDEX(Zeiterfassung!$I$6:$I$3665,MATCH(INDEX(Zeiterfassung!$K$6:$K$3665,$K2870),Zeiterfassung!$K$6:$K$3665,0))))</f>
        <v/>
      </c>
      <c r="J2870" s="335">
        <f>IF(B2870=B2869,"",IF($K2870="","",INDEX(Zeiterfassung!$J$6:$J$3665,MATCH(INDEX(Zeiterfassung!$K$6:$K$3665,$K2870),Zeiterfassung!$K$6:$K$3665,0))))</f>
        <v/>
      </c>
      <c r="K2870">
        <f>IFERROR(AGGREGATE(15,6,(ROW(Zeiterfassung!$D$6:$D$3665)-ROW(Zeiterfassung!$D$6)+1)/(Zeiterfassung!$D$6:$D$3665&lt;&gt;""),2865),"")</f>
        <v/>
      </c>
    </row>
    <row r="2871" ht="20" customHeight="1">
      <c r="A2871" s="183">
        <f>IF($K2871="","",WEEKNUM(INDEX(Zeiterfassung!$K$6:$K$3665,$K2871),21))</f>
        <v/>
      </c>
      <c r="B2871" s="184">
        <f>IF($K2871="","",INDEX(Zeiterfassung!$K$6:$K$3665,$K2871))</f>
        <v/>
      </c>
      <c r="C2871" s="185">
        <f>IF($K2871="","",INDEX(Zeiterfassung!$K$6:$K$3665,$K2871))</f>
        <v/>
      </c>
      <c r="D2871" s="186">
        <f>IF($K2871="","",INDEX(Zeiterfassung!$D$6:$D$3665,$K2871))</f>
        <v/>
      </c>
      <c r="E2871" s="186">
        <f>IF($K2871="","",INDEX(Zeiterfassung!$E$6:$E$3665,$K2871))</f>
        <v/>
      </c>
      <c r="F2871" s="187">
        <f>IF($K2871="","",INDEX(Zeiterfassung!$F$6:$F$3665,$K2871))</f>
        <v/>
      </c>
      <c r="G2871" s="187">
        <f>IF($K2871="","",INDEX(Zeiterfassung!$G$6:$G$3665,$K2871))</f>
        <v/>
      </c>
      <c r="H2871" s="188">
        <f>IF($K2871="","",INDEX(Zeiterfassung!$H$6:$H$3665,$K2871))</f>
        <v/>
      </c>
      <c r="I2871" s="335">
        <f>IF(B2871=B2870,"",IF($K2871="","",INDEX(Zeiterfassung!$I$6:$I$3665,MATCH(INDEX(Zeiterfassung!$K$6:$K$3665,$K2871),Zeiterfassung!$K$6:$K$3665,0))))</f>
        <v/>
      </c>
      <c r="J2871" s="335">
        <f>IF(B2871=B2870,"",IF($K2871="","",INDEX(Zeiterfassung!$J$6:$J$3665,MATCH(INDEX(Zeiterfassung!$K$6:$K$3665,$K2871),Zeiterfassung!$K$6:$K$3665,0))))</f>
        <v/>
      </c>
      <c r="K2871">
        <f>IFERROR(AGGREGATE(15,6,(ROW(Zeiterfassung!$D$6:$D$3665)-ROW(Zeiterfassung!$D$6)+1)/(Zeiterfassung!$D$6:$D$3665&lt;&gt;""),2866),"")</f>
        <v/>
      </c>
    </row>
    <row r="2872" ht="20" customHeight="1">
      <c r="A2872" s="183">
        <f>IF($K2872="","",WEEKNUM(INDEX(Zeiterfassung!$K$6:$K$3665,$K2872),21))</f>
        <v/>
      </c>
      <c r="B2872" s="184">
        <f>IF($K2872="","",INDEX(Zeiterfassung!$K$6:$K$3665,$K2872))</f>
        <v/>
      </c>
      <c r="C2872" s="185">
        <f>IF($K2872="","",INDEX(Zeiterfassung!$K$6:$K$3665,$K2872))</f>
        <v/>
      </c>
      <c r="D2872" s="186">
        <f>IF($K2872="","",INDEX(Zeiterfassung!$D$6:$D$3665,$K2872))</f>
        <v/>
      </c>
      <c r="E2872" s="186">
        <f>IF($K2872="","",INDEX(Zeiterfassung!$E$6:$E$3665,$K2872))</f>
        <v/>
      </c>
      <c r="F2872" s="187">
        <f>IF($K2872="","",INDEX(Zeiterfassung!$F$6:$F$3665,$K2872))</f>
        <v/>
      </c>
      <c r="G2872" s="187">
        <f>IF($K2872="","",INDEX(Zeiterfassung!$G$6:$G$3665,$K2872))</f>
        <v/>
      </c>
      <c r="H2872" s="188">
        <f>IF($K2872="","",INDEX(Zeiterfassung!$H$6:$H$3665,$K2872))</f>
        <v/>
      </c>
      <c r="I2872" s="335">
        <f>IF(B2872=B2871,"",IF($K2872="","",INDEX(Zeiterfassung!$I$6:$I$3665,MATCH(INDEX(Zeiterfassung!$K$6:$K$3665,$K2872),Zeiterfassung!$K$6:$K$3665,0))))</f>
        <v/>
      </c>
      <c r="J2872" s="335">
        <f>IF(B2872=B2871,"",IF($K2872="","",INDEX(Zeiterfassung!$J$6:$J$3665,MATCH(INDEX(Zeiterfassung!$K$6:$K$3665,$K2872),Zeiterfassung!$K$6:$K$3665,0))))</f>
        <v/>
      </c>
      <c r="K2872">
        <f>IFERROR(AGGREGATE(15,6,(ROW(Zeiterfassung!$D$6:$D$3665)-ROW(Zeiterfassung!$D$6)+1)/(Zeiterfassung!$D$6:$D$3665&lt;&gt;""),2867),"")</f>
        <v/>
      </c>
    </row>
    <row r="2873" ht="20" customHeight="1">
      <c r="A2873" s="183">
        <f>IF($K2873="","",WEEKNUM(INDEX(Zeiterfassung!$K$6:$K$3665,$K2873),21))</f>
        <v/>
      </c>
      <c r="B2873" s="184">
        <f>IF($K2873="","",INDEX(Zeiterfassung!$K$6:$K$3665,$K2873))</f>
        <v/>
      </c>
      <c r="C2873" s="185">
        <f>IF($K2873="","",INDEX(Zeiterfassung!$K$6:$K$3665,$K2873))</f>
        <v/>
      </c>
      <c r="D2873" s="186">
        <f>IF($K2873="","",INDEX(Zeiterfassung!$D$6:$D$3665,$K2873))</f>
        <v/>
      </c>
      <c r="E2873" s="186">
        <f>IF($K2873="","",INDEX(Zeiterfassung!$E$6:$E$3665,$K2873))</f>
        <v/>
      </c>
      <c r="F2873" s="187">
        <f>IF($K2873="","",INDEX(Zeiterfassung!$F$6:$F$3665,$K2873))</f>
        <v/>
      </c>
      <c r="G2873" s="187">
        <f>IF($K2873="","",INDEX(Zeiterfassung!$G$6:$G$3665,$K2873))</f>
        <v/>
      </c>
      <c r="H2873" s="188">
        <f>IF($K2873="","",INDEX(Zeiterfassung!$H$6:$H$3665,$K2873))</f>
        <v/>
      </c>
      <c r="I2873" s="335">
        <f>IF(B2873=B2872,"",IF($K2873="","",INDEX(Zeiterfassung!$I$6:$I$3665,MATCH(INDEX(Zeiterfassung!$K$6:$K$3665,$K2873),Zeiterfassung!$K$6:$K$3665,0))))</f>
        <v/>
      </c>
      <c r="J2873" s="335">
        <f>IF(B2873=B2872,"",IF($K2873="","",INDEX(Zeiterfassung!$J$6:$J$3665,MATCH(INDEX(Zeiterfassung!$K$6:$K$3665,$K2873),Zeiterfassung!$K$6:$K$3665,0))))</f>
        <v/>
      </c>
      <c r="K2873">
        <f>IFERROR(AGGREGATE(15,6,(ROW(Zeiterfassung!$D$6:$D$3665)-ROW(Zeiterfassung!$D$6)+1)/(Zeiterfassung!$D$6:$D$3665&lt;&gt;""),2868),"")</f>
        <v/>
      </c>
    </row>
    <row r="2874" ht="20" customHeight="1">
      <c r="A2874" s="183">
        <f>IF($K2874="","",WEEKNUM(INDEX(Zeiterfassung!$K$6:$K$3665,$K2874),21))</f>
        <v/>
      </c>
      <c r="B2874" s="184">
        <f>IF($K2874="","",INDEX(Zeiterfassung!$K$6:$K$3665,$K2874))</f>
        <v/>
      </c>
      <c r="C2874" s="185">
        <f>IF($K2874="","",INDEX(Zeiterfassung!$K$6:$K$3665,$K2874))</f>
        <v/>
      </c>
      <c r="D2874" s="186">
        <f>IF($K2874="","",INDEX(Zeiterfassung!$D$6:$D$3665,$K2874))</f>
        <v/>
      </c>
      <c r="E2874" s="186">
        <f>IF($K2874="","",INDEX(Zeiterfassung!$E$6:$E$3665,$K2874))</f>
        <v/>
      </c>
      <c r="F2874" s="187">
        <f>IF($K2874="","",INDEX(Zeiterfassung!$F$6:$F$3665,$K2874))</f>
        <v/>
      </c>
      <c r="G2874" s="187">
        <f>IF($K2874="","",INDEX(Zeiterfassung!$G$6:$G$3665,$K2874))</f>
        <v/>
      </c>
      <c r="H2874" s="188">
        <f>IF($K2874="","",INDEX(Zeiterfassung!$H$6:$H$3665,$K2874))</f>
        <v/>
      </c>
      <c r="I2874" s="335">
        <f>IF(B2874=B2873,"",IF($K2874="","",INDEX(Zeiterfassung!$I$6:$I$3665,MATCH(INDEX(Zeiterfassung!$K$6:$K$3665,$K2874),Zeiterfassung!$K$6:$K$3665,0))))</f>
        <v/>
      </c>
      <c r="J2874" s="335">
        <f>IF(B2874=B2873,"",IF($K2874="","",INDEX(Zeiterfassung!$J$6:$J$3665,MATCH(INDEX(Zeiterfassung!$K$6:$K$3665,$K2874),Zeiterfassung!$K$6:$K$3665,0))))</f>
        <v/>
      </c>
      <c r="K2874">
        <f>IFERROR(AGGREGATE(15,6,(ROW(Zeiterfassung!$D$6:$D$3665)-ROW(Zeiterfassung!$D$6)+1)/(Zeiterfassung!$D$6:$D$3665&lt;&gt;""),2869),"")</f>
        <v/>
      </c>
    </row>
    <row r="2875" ht="20" customHeight="1">
      <c r="A2875" s="183">
        <f>IF($K2875="","",WEEKNUM(INDEX(Zeiterfassung!$K$6:$K$3665,$K2875),21))</f>
        <v/>
      </c>
      <c r="B2875" s="184">
        <f>IF($K2875="","",INDEX(Zeiterfassung!$K$6:$K$3665,$K2875))</f>
        <v/>
      </c>
      <c r="C2875" s="185">
        <f>IF($K2875="","",INDEX(Zeiterfassung!$K$6:$K$3665,$K2875))</f>
        <v/>
      </c>
      <c r="D2875" s="186">
        <f>IF($K2875="","",INDEX(Zeiterfassung!$D$6:$D$3665,$K2875))</f>
        <v/>
      </c>
      <c r="E2875" s="186">
        <f>IF($K2875="","",INDEX(Zeiterfassung!$E$6:$E$3665,$K2875))</f>
        <v/>
      </c>
      <c r="F2875" s="187">
        <f>IF($K2875="","",INDEX(Zeiterfassung!$F$6:$F$3665,$K2875))</f>
        <v/>
      </c>
      <c r="G2875" s="187">
        <f>IF($K2875="","",INDEX(Zeiterfassung!$G$6:$G$3665,$K2875))</f>
        <v/>
      </c>
      <c r="H2875" s="188">
        <f>IF($K2875="","",INDEX(Zeiterfassung!$H$6:$H$3665,$K2875))</f>
        <v/>
      </c>
      <c r="I2875" s="335">
        <f>IF(B2875=B2874,"",IF($K2875="","",INDEX(Zeiterfassung!$I$6:$I$3665,MATCH(INDEX(Zeiterfassung!$K$6:$K$3665,$K2875),Zeiterfassung!$K$6:$K$3665,0))))</f>
        <v/>
      </c>
      <c r="J2875" s="335">
        <f>IF(B2875=B2874,"",IF($K2875="","",INDEX(Zeiterfassung!$J$6:$J$3665,MATCH(INDEX(Zeiterfassung!$K$6:$K$3665,$K2875),Zeiterfassung!$K$6:$K$3665,0))))</f>
        <v/>
      </c>
      <c r="K2875">
        <f>IFERROR(AGGREGATE(15,6,(ROW(Zeiterfassung!$D$6:$D$3665)-ROW(Zeiterfassung!$D$6)+1)/(Zeiterfassung!$D$6:$D$3665&lt;&gt;""),2870),"")</f>
        <v/>
      </c>
    </row>
    <row r="2876" ht="20" customHeight="1">
      <c r="A2876" s="183">
        <f>IF($K2876="","",WEEKNUM(INDEX(Zeiterfassung!$K$6:$K$3665,$K2876),21))</f>
        <v/>
      </c>
      <c r="B2876" s="184">
        <f>IF($K2876="","",INDEX(Zeiterfassung!$K$6:$K$3665,$K2876))</f>
        <v/>
      </c>
      <c r="C2876" s="185">
        <f>IF($K2876="","",INDEX(Zeiterfassung!$K$6:$K$3665,$K2876))</f>
        <v/>
      </c>
      <c r="D2876" s="186">
        <f>IF($K2876="","",INDEX(Zeiterfassung!$D$6:$D$3665,$K2876))</f>
        <v/>
      </c>
      <c r="E2876" s="186">
        <f>IF($K2876="","",INDEX(Zeiterfassung!$E$6:$E$3665,$K2876))</f>
        <v/>
      </c>
      <c r="F2876" s="187">
        <f>IF($K2876="","",INDEX(Zeiterfassung!$F$6:$F$3665,$K2876))</f>
        <v/>
      </c>
      <c r="G2876" s="187">
        <f>IF($K2876="","",INDEX(Zeiterfassung!$G$6:$G$3665,$K2876))</f>
        <v/>
      </c>
      <c r="H2876" s="188">
        <f>IF($K2876="","",INDEX(Zeiterfassung!$H$6:$H$3665,$K2876))</f>
        <v/>
      </c>
      <c r="I2876" s="335">
        <f>IF(B2876=B2875,"",IF($K2876="","",INDEX(Zeiterfassung!$I$6:$I$3665,MATCH(INDEX(Zeiterfassung!$K$6:$K$3665,$K2876),Zeiterfassung!$K$6:$K$3665,0))))</f>
        <v/>
      </c>
      <c r="J2876" s="335">
        <f>IF(B2876=B2875,"",IF($K2876="","",INDEX(Zeiterfassung!$J$6:$J$3665,MATCH(INDEX(Zeiterfassung!$K$6:$K$3665,$K2876),Zeiterfassung!$K$6:$K$3665,0))))</f>
        <v/>
      </c>
      <c r="K2876">
        <f>IFERROR(AGGREGATE(15,6,(ROW(Zeiterfassung!$D$6:$D$3665)-ROW(Zeiterfassung!$D$6)+1)/(Zeiterfassung!$D$6:$D$3665&lt;&gt;""),2871),"")</f>
        <v/>
      </c>
    </row>
    <row r="2877" ht="20" customHeight="1">
      <c r="A2877" s="183">
        <f>IF($K2877="","",WEEKNUM(INDEX(Zeiterfassung!$K$6:$K$3665,$K2877),21))</f>
        <v/>
      </c>
      <c r="B2877" s="184">
        <f>IF($K2877="","",INDEX(Zeiterfassung!$K$6:$K$3665,$K2877))</f>
        <v/>
      </c>
      <c r="C2877" s="185">
        <f>IF($K2877="","",INDEX(Zeiterfassung!$K$6:$K$3665,$K2877))</f>
        <v/>
      </c>
      <c r="D2877" s="186">
        <f>IF($K2877="","",INDEX(Zeiterfassung!$D$6:$D$3665,$K2877))</f>
        <v/>
      </c>
      <c r="E2877" s="186">
        <f>IF($K2877="","",INDEX(Zeiterfassung!$E$6:$E$3665,$K2877))</f>
        <v/>
      </c>
      <c r="F2877" s="187">
        <f>IF($K2877="","",INDEX(Zeiterfassung!$F$6:$F$3665,$K2877))</f>
        <v/>
      </c>
      <c r="G2877" s="187">
        <f>IF($K2877="","",INDEX(Zeiterfassung!$G$6:$G$3665,$K2877))</f>
        <v/>
      </c>
      <c r="H2877" s="188">
        <f>IF($K2877="","",INDEX(Zeiterfassung!$H$6:$H$3665,$K2877))</f>
        <v/>
      </c>
      <c r="I2877" s="335">
        <f>IF(B2877=B2876,"",IF($K2877="","",INDEX(Zeiterfassung!$I$6:$I$3665,MATCH(INDEX(Zeiterfassung!$K$6:$K$3665,$K2877),Zeiterfassung!$K$6:$K$3665,0))))</f>
        <v/>
      </c>
      <c r="J2877" s="335">
        <f>IF(B2877=B2876,"",IF($K2877="","",INDEX(Zeiterfassung!$J$6:$J$3665,MATCH(INDEX(Zeiterfassung!$K$6:$K$3665,$K2877),Zeiterfassung!$K$6:$K$3665,0))))</f>
        <v/>
      </c>
      <c r="K2877">
        <f>IFERROR(AGGREGATE(15,6,(ROW(Zeiterfassung!$D$6:$D$3665)-ROW(Zeiterfassung!$D$6)+1)/(Zeiterfassung!$D$6:$D$3665&lt;&gt;""),2872),"")</f>
        <v/>
      </c>
    </row>
    <row r="2878" ht="20" customHeight="1">
      <c r="A2878" s="183">
        <f>IF($K2878="","",WEEKNUM(INDEX(Zeiterfassung!$K$6:$K$3665,$K2878),21))</f>
        <v/>
      </c>
      <c r="B2878" s="184">
        <f>IF($K2878="","",INDEX(Zeiterfassung!$K$6:$K$3665,$K2878))</f>
        <v/>
      </c>
      <c r="C2878" s="185">
        <f>IF($K2878="","",INDEX(Zeiterfassung!$K$6:$K$3665,$K2878))</f>
        <v/>
      </c>
      <c r="D2878" s="186">
        <f>IF($K2878="","",INDEX(Zeiterfassung!$D$6:$D$3665,$K2878))</f>
        <v/>
      </c>
      <c r="E2878" s="186">
        <f>IF($K2878="","",INDEX(Zeiterfassung!$E$6:$E$3665,$K2878))</f>
        <v/>
      </c>
      <c r="F2878" s="187">
        <f>IF($K2878="","",INDEX(Zeiterfassung!$F$6:$F$3665,$K2878))</f>
        <v/>
      </c>
      <c r="G2878" s="187">
        <f>IF($K2878="","",INDEX(Zeiterfassung!$G$6:$G$3665,$K2878))</f>
        <v/>
      </c>
      <c r="H2878" s="188">
        <f>IF($K2878="","",INDEX(Zeiterfassung!$H$6:$H$3665,$K2878))</f>
        <v/>
      </c>
      <c r="I2878" s="335">
        <f>IF(B2878=B2877,"",IF($K2878="","",INDEX(Zeiterfassung!$I$6:$I$3665,MATCH(INDEX(Zeiterfassung!$K$6:$K$3665,$K2878),Zeiterfassung!$K$6:$K$3665,0))))</f>
        <v/>
      </c>
      <c r="J2878" s="335">
        <f>IF(B2878=B2877,"",IF($K2878="","",INDEX(Zeiterfassung!$J$6:$J$3665,MATCH(INDEX(Zeiterfassung!$K$6:$K$3665,$K2878),Zeiterfassung!$K$6:$K$3665,0))))</f>
        <v/>
      </c>
      <c r="K2878">
        <f>IFERROR(AGGREGATE(15,6,(ROW(Zeiterfassung!$D$6:$D$3665)-ROW(Zeiterfassung!$D$6)+1)/(Zeiterfassung!$D$6:$D$3665&lt;&gt;""),2873),"")</f>
        <v/>
      </c>
    </row>
    <row r="2879" ht="20" customHeight="1">
      <c r="A2879" s="183">
        <f>IF($K2879="","",WEEKNUM(INDEX(Zeiterfassung!$K$6:$K$3665,$K2879),21))</f>
        <v/>
      </c>
      <c r="B2879" s="184">
        <f>IF($K2879="","",INDEX(Zeiterfassung!$K$6:$K$3665,$K2879))</f>
        <v/>
      </c>
      <c r="C2879" s="185">
        <f>IF($K2879="","",INDEX(Zeiterfassung!$K$6:$K$3665,$K2879))</f>
        <v/>
      </c>
      <c r="D2879" s="186">
        <f>IF($K2879="","",INDEX(Zeiterfassung!$D$6:$D$3665,$K2879))</f>
        <v/>
      </c>
      <c r="E2879" s="186">
        <f>IF($K2879="","",INDEX(Zeiterfassung!$E$6:$E$3665,$K2879))</f>
        <v/>
      </c>
      <c r="F2879" s="187">
        <f>IF($K2879="","",INDEX(Zeiterfassung!$F$6:$F$3665,$K2879))</f>
        <v/>
      </c>
      <c r="G2879" s="187">
        <f>IF($K2879="","",INDEX(Zeiterfassung!$G$6:$G$3665,$K2879))</f>
        <v/>
      </c>
      <c r="H2879" s="188">
        <f>IF($K2879="","",INDEX(Zeiterfassung!$H$6:$H$3665,$K2879))</f>
        <v/>
      </c>
      <c r="I2879" s="335">
        <f>IF(B2879=B2878,"",IF($K2879="","",INDEX(Zeiterfassung!$I$6:$I$3665,MATCH(INDEX(Zeiterfassung!$K$6:$K$3665,$K2879),Zeiterfassung!$K$6:$K$3665,0))))</f>
        <v/>
      </c>
      <c r="J2879" s="335">
        <f>IF(B2879=B2878,"",IF($K2879="","",INDEX(Zeiterfassung!$J$6:$J$3665,MATCH(INDEX(Zeiterfassung!$K$6:$K$3665,$K2879),Zeiterfassung!$K$6:$K$3665,0))))</f>
        <v/>
      </c>
      <c r="K2879">
        <f>IFERROR(AGGREGATE(15,6,(ROW(Zeiterfassung!$D$6:$D$3665)-ROW(Zeiterfassung!$D$6)+1)/(Zeiterfassung!$D$6:$D$3665&lt;&gt;""),2874),"")</f>
        <v/>
      </c>
    </row>
    <row r="2880" ht="20" customHeight="1">
      <c r="A2880" s="183">
        <f>IF($K2880="","",WEEKNUM(INDEX(Zeiterfassung!$K$6:$K$3665,$K2880),21))</f>
        <v/>
      </c>
      <c r="B2880" s="184">
        <f>IF($K2880="","",INDEX(Zeiterfassung!$K$6:$K$3665,$K2880))</f>
        <v/>
      </c>
      <c r="C2880" s="185">
        <f>IF($K2880="","",INDEX(Zeiterfassung!$K$6:$K$3665,$K2880))</f>
        <v/>
      </c>
      <c r="D2880" s="186">
        <f>IF($K2880="","",INDEX(Zeiterfassung!$D$6:$D$3665,$K2880))</f>
        <v/>
      </c>
      <c r="E2880" s="186">
        <f>IF($K2880="","",INDEX(Zeiterfassung!$E$6:$E$3665,$K2880))</f>
        <v/>
      </c>
      <c r="F2880" s="187">
        <f>IF($K2880="","",INDEX(Zeiterfassung!$F$6:$F$3665,$K2880))</f>
        <v/>
      </c>
      <c r="G2880" s="187">
        <f>IF($K2880="","",INDEX(Zeiterfassung!$G$6:$G$3665,$K2880))</f>
        <v/>
      </c>
      <c r="H2880" s="188">
        <f>IF($K2880="","",INDEX(Zeiterfassung!$H$6:$H$3665,$K2880))</f>
        <v/>
      </c>
      <c r="I2880" s="335">
        <f>IF(B2880=B2879,"",IF($K2880="","",INDEX(Zeiterfassung!$I$6:$I$3665,MATCH(INDEX(Zeiterfassung!$K$6:$K$3665,$K2880),Zeiterfassung!$K$6:$K$3665,0))))</f>
        <v/>
      </c>
      <c r="J2880" s="335">
        <f>IF(B2880=B2879,"",IF($K2880="","",INDEX(Zeiterfassung!$J$6:$J$3665,MATCH(INDEX(Zeiterfassung!$K$6:$K$3665,$K2880),Zeiterfassung!$K$6:$K$3665,0))))</f>
        <v/>
      </c>
      <c r="K2880">
        <f>IFERROR(AGGREGATE(15,6,(ROW(Zeiterfassung!$D$6:$D$3665)-ROW(Zeiterfassung!$D$6)+1)/(Zeiterfassung!$D$6:$D$3665&lt;&gt;""),2875),"")</f>
        <v/>
      </c>
    </row>
    <row r="2881" ht="20" customHeight="1">
      <c r="A2881" s="183">
        <f>IF($K2881="","",WEEKNUM(INDEX(Zeiterfassung!$K$6:$K$3665,$K2881),21))</f>
        <v/>
      </c>
      <c r="B2881" s="184">
        <f>IF($K2881="","",INDEX(Zeiterfassung!$K$6:$K$3665,$K2881))</f>
        <v/>
      </c>
      <c r="C2881" s="185">
        <f>IF($K2881="","",INDEX(Zeiterfassung!$K$6:$K$3665,$K2881))</f>
        <v/>
      </c>
      <c r="D2881" s="186">
        <f>IF($K2881="","",INDEX(Zeiterfassung!$D$6:$D$3665,$K2881))</f>
        <v/>
      </c>
      <c r="E2881" s="186">
        <f>IF($K2881="","",INDEX(Zeiterfassung!$E$6:$E$3665,$K2881))</f>
        <v/>
      </c>
      <c r="F2881" s="187">
        <f>IF($K2881="","",INDEX(Zeiterfassung!$F$6:$F$3665,$K2881))</f>
        <v/>
      </c>
      <c r="G2881" s="187">
        <f>IF($K2881="","",INDEX(Zeiterfassung!$G$6:$G$3665,$K2881))</f>
        <v/>
      </c>
      <c r="H2881" s="188">
        <f>IF($K2881="","",INDEX(Zeiterfassung!$H$6:$H$3665,$K2881))</f>
        <v/>
      </c>
      <c r="I2881" s="335">
        <f>IF(B2881=B2880,"",IF($K2881="","",INDEX(Zeiterfassung!$I$6:$I$3665,MATCH(INDEX(Zeiterfassung!$K$6:$K$3665,$K2881),Zeiterfassung!$K$6:$K$3665,0))))</f>
        <v/>
      </c>
      <c r="J2881" s="335">
        <f>IF(B2881=B2880,"",IF($K2881="","",INDEX(Zeiterfassung!$J$6:$J$3665,MATCH(INDEX(Zeiterfassung!$K$6:$K$3665,$K2881),Zeiterfassung!$K$6:$K$3665,0))))</f>
        <v/>
      </c>
      <c r="K2881">
        <f>IFERROR(AGGREGATE(15,6,(ROW(Zeiterfassung!$D$6:$D$3665)-ROW(Zeiterfassung!$D$6)+1)/(Zeiterfassung!$D$6:$D$3665&lt;&gt;""),2876),"")</f>
        <v/>
      </c>
    </row>
    <row r="2882" ht="20" customHeight="1">
      <c r="A2882" s="183">
        <f>IF($K2882="","",WEEKNUM(INDEX(Zeiterfassung!$K$6:$K$3665,$K2882),21))</f>
        <v/>
      </c>
      <c r="B2882" s="184">
        <f>IF($K2882="","",INDEX(Zeiterfassung!$K$6:$K$3665,$K2882))</f>
        <v/>
      </c>
      <c r="C2882" s="185">
        <f>IF($K2882="","",INDEX(Zeiterfassung!$K$6:$K$3665,$K2882))</f>
        <v/>
      </c>
      <c r="D2882" s="186">
        <f>IF($K2882="","",INDEX(Zeiterfassung!$D$6:$D$3665,$K2882))</f>
        <v/>
      </c>
      <c r="E2882" s="186">
        <f>IF($K2882="","",INDEX(Zeiterfassung!$E$6:$E$3665,$K2882))</f>
        <v/>
      </c>
      <c r="F2882" s="187">
        <f>IF($K2882="","",INDEX(Zeiterfassung!$F$6:$F$3665,$K2882))</f>
        <v/>
      </c>
      <c r="G2882" s="187">
        <f>IF($K2882="","",INDEX(Zeiterfassung!$G$6:$G$3665,$K2882))</f>
        <v/>
      </c>
      <c r="H2882" s="188">
        <f>IF($K2882="","",INDEX(Zeiterfassung!$H$6:$H$3665,$K2882))</f>
        <v/>
      </c>
      <c r="I2882" s="335">
        <f>IF(B2882=B2881,"",IF($K2882="","",INDEX(Zeiterfassung!$I$6:$I$3665,MATCH(INDEX(Zeiterfassung!$K$6:$K$3665,$K2882),Zeiterfassung!$K$6:$K$3665,0))))</f>
        <v/>
      </c>
      <c r="J2882" s="335">
        <f>IF(B2882=B2881,"",IF($K2882="","",INDEX(Zeiterfassung!$J$6:$J$3665,MATCH(INDEX(Zeiterfassung!$K$6:$K$3665,$K2882),Zeiterfassung!$K$6:$K$3665,0))))</f>
        <v/>
      </c>
      <c r="K2882">
        <f>IFERROR(AGGREGATE(15,6,(ROW(Zeiterfassung!$D$6:$D$3665)-ROW(Zeiterfassung!$D$6)+1)/(Zeiterfassung!$D$6:$D$3665&lt;&gt;""),2877),"")</f>
        <v/>
      </c>
    </row>
    <row r="2883" ht="20" customHeight="1">
      <c r="A2883" s="183">
        <f>IF($K2883="","",WEEKNUM(INDEX(Zeiterfassung!$K$6:$K$3665,$K2883),21))</f>
        <v/>
      </c>
      <c r="B2883" s="184">
        <f>IF($K2883="","",INDEX(Zeiterfassung!$K$6:$K$3665,$K2883))</f>
        <v/>
      </c>
      <c r="C2883" s="185">
        <f>IF($K2883="","",INDEX(Zeiterfassung!$K$6:$K$3665,$K2883))</f>
        <v/>
      </c>
      <c r="D2883" s="186">
        <f>IF($K2883="","",INDEX(Zeiterfassung!$D$6:$D$3665,$K2883))</f>
        <v/>
      </c>
      <c r="E2883" s="186">
        <f>IF($K2883="","",INDEX(Zeiterfassung!$E$6:$E$3665,$K2883))</f>
        <v/>
      </c>
      <c r="F2883" s="187">
        <f>IF($K2883="","",INDEX(Zeiterfassung!$F$6:$F$3665,$K2883))</f>
        <v/>
      </c>
      <c r="G2883" s="187">
        <f>IF($K2883="","",INDEX(Zeiterfassung!$G$6:$G$3665,$K2883))</f>
        <v/>
      </c>
      <c r="H2883" s="188">
        <f>IF($K2883="","",INDEX(Zeiterfassung!$H$6:$H$3665,$K2883))</f>
        <v/>
      </c>
      <c r="I2883" s="335">
        <f>IF(B2883=B2882,"",IF($K2883="","",INDEX(Zeiterfassung!$I$6:$I$3665,MATCH(INDEX(Zeiterfassung!$K$6:$K$3665,$K2883),Zeiterfassung!$K$6:$K$3665,0))))</f>
        <v/>
      </c>
      <c r="J2883" s="335">
        <f>IF(B2883=B2882,"",IF($K2883="","",INDEX(Zeiterfassung!$J$6:$J$3665,MATCH(INDEX(Zeiterfassung!$K$6:$K$3665,$K2883),Zeiterfassung!$K$6:$K$3665,0))))</f>
        <v/>
      </c>
      <c r="K2883">
        <f>IFERROR(AGGREGATE(15,6,(ROW(Zeiterfassung!$D$6:$D$3665)-ROW(Zeiterfassung!$D$6)+1)/(Zeiterfassung!$D$6:$D$3665&lt;&gt;""),2878),"")</f>
        <v/>
      </c>
    </row>
    <row r="2884" ht="20" customHeight="1">
      <c r="A2884" s="183">
        <f>IF($K2884="","",WEEKNUM(INDEX(Zeiterfassung!$K$6:$K$3665,$K2884),21))</f>
        <v/>
      </c>
      <c r="B2884" s="184">
        <f>IF($K2884="","",INDEX(Zeiterfassung!$K$6:$K$3665,$K2884))</f>
        <v/>
      </c>
      <c r="C2884" s="185">
        <f>IF($K2884="","",INDEX(Zeiterfassung!$K$6:$K$3665,$K2884))</f>
        <v/>
      </c>
      <c r="D2884" s="186">
        <f>IF($K2884="","",INDEX(Zeiterfassung!$D$6:$D$3665,$K2884))</f>
        <v/>
      </c>
      <c r="E2884" s="186">
        <f>IF($K2884="","",INDEX(Zeiterfassung!$E$6:$E$3665,$K2884))</f>
        <v/>
      </c>
      <c r="F2884" s="187">
        <f>IF($K2884="","",INDEX(Zeiterfassung!$F$6:$F$3665,$K2884))</f>
        <v/>
      </c>
      <c r="G2884" s="187">
        <f>IF($K2884="","",INDEX(Zeiterfassung!$G$6:$G$3665,$K2884))</f>
        <v/>
      </c>
      <c r="H2884" s="188">
        <f>IF($K2884="","",INDEX(Zeiterfassung!$H$6:$H$3665,$K2884))</f>
        <v/>
      </c>
      <c r="I2884" s="335">
        <f>IF(B2884=B2883,"",IF($K2884="","",INDEX(Zeiterfassung!$I$6:$I$3665,MATCH(INDEX(Zeiterfassung!$K$6:$K$3665,$K2884),Zeiterfassung!$K$6:$K$3665,0))))</f>
        <v/>
      </c>
      <c r="J2884" s="335">
        <f>IF(B2884=B2883,"",IF($K2884="","",INDEX(Zeiterfassung!$J$6:$J$3665,MATCH(INDEX(Zeiterfassung!$K$6:$K$3665,$K2884),Zeiterfassung!$K$6:$K$3665,0))))</f>
        <v/>
      </c>
      <c r="K2884">
        <f>IFERROR(AGGREGATE(15,6,(ROW(Zeiterfassung!$D$6:$D$3665)-ROW(Zeiterfassung!$D$6)+1)/(Zeiterfassung!$D$6:$D$3665&lt;&gt;""),2879),"")</f>
        <v/>
      </c>
    </row>
    <row r="2885" ht="20" customHeight="1">
      <c r="A2885" s="183">
        <f>IF($K2885="","",WEEKNUM(INDEX(Zeiterfassung!$K$6:$K$3665,$K2885),21))</f>
        <v/>
      </c>
      <c r="B2885" s="184">
        <f>IF($K2885="","",INDEX(Zeiterfassung!$K$6:$K$3665,$K2885))</f>
        <v/>
      </c>
      <c r="C2885" s="185">
        <f>IF($K2885="","",INDEX(Zeiterfassung!$K$6:$K$3665,$K2885))</f>
        <v/>
      </c>
      <c r="D2885" s="186">
        <f>IF($K2885="","",INDEX(Zeiterfassung!$D$6:$D$3665,$K2885))</f>
        <v/>
      </c>
      <c r="E2885" s="186">
        <f>IF($K2885="","",INDEX(Zeiterfassung!$E$6:$E$3665,$K2885))</f>
        <v/>
      </c>
      <c r="F2885" s="187">
        <f>IF($K2885="","",INDEX(Zeiterfassung!$F$6:$F$3665,$K2885))</f>
        <v/>
      </c>
      <c r="G2885" s="187">
        <f>IF($K2885="","",INDEX(Zeiterfassung!$G$6:$G$3665,$K2885))</f>
        <v/>
      </c>
      <c r="H2885" s="188">
        <f>IF($K2885="","",INDEX(Zeiterfassung!$H$6:$H$3665,$K2885))</f>
        <v/>
      </c>
      <c r="I2885" s="335">
        <f>IF(B2885=B2884,"",IF($K2885="","",INDEX(Zeiterfassung!$I$6:$I$3665,MATCH(INDEX(Zeiterfassung!$K$6:$K$3665,$K2885),Zeiterfassung!$K$6:$K$3665,0))))</f>
        <v/>
      </c>
      <c r="J2885" s="335">
        <f>IF(B2885=B2884,"",IF($K2885="","",INDEX(Zeiterfassung!$J$6:$J$3665,MATCH(INDEX(Zeiterfassung!$K$6:$K$3665,$K2885),Zeiterfassung!$K$6:$K$3665,0))))</f>
        <v/>
      </c>
      <c r="K2885">
        <f>IFERROR(AGGREGATE(15,6,(ROW(Zeiterfassung!$D$6:$D$3665)-ROW(Zeiterfassung!$D$6)+1)/(Zeiterfassung!$D$6:$D$3665&lt;&gt;""),2880),"")</f>
        <v/>
      </c>
    </row>
    <row r="2886" ht="20" customHeight="1">
      <c r="A2886" s="183">
        <f>IF($K2886="","",WEEKNUM(INDEX(Zeiterfassung!$K$6:$K$3665,$K2886),21))</f>
        <v/>
      </c>
      <c r="B2886" s="184">
        <f>IF($K2886="","",INDEX(Zeiterfassung!$K$6:$K$3665,$K2886))</f>
        <v/>
      </c>
      <c r="C2886" s="185">
        <f>IF($K2886="","",INDEX(Zeiterfassung!$K$6:$K$3665,$K2886))</f>
        <v/>
      </c>
      <c r="D2886" s="186">
        <f>IF($K2886="","",INDEX(Zeiterfassung!$D$6:$D$3665,$K2886))</f>
        <v/>
      </c>
      <c r="E2886" s="186">
        <f>IF($K2886="","",INDEX(Zeiterfassung!$E$6:$E$3665,$K2886))</f>
        <v/>
      </c>
      <c r="F2886" s="187">
        <f>IF($K2886="","",INDEX(Zeiterfassung!$F$6:$F$3665,$K2886))</f>
        <v/>
      </c>
      <c r="G2886" s="187">
        <f>IF($K2886="","",INDEX(Zeiterfassung!$G$6:$G$3665,$K2886))</f>
        <v/>
      </c>
      <c r="H2886" s="188">
        <f>IF($K2886="","",INDEX(Zeiterfassung!$H$6:$H$3665,$K2886))</f>
        <v/>
      </c>
      <c r="I2886" s="335">
        <f>IF(B2886=B2885,"",IF($K2886="","",INDEX(Zeiterfassung!$I$6:$I$3665,MATCH(INDEX(Zeiterfassung!$K$6:$K$3665,$K2886),Zeiterfassung!$K$6:$K$3665,0))))</f>
        <v/>
      </c>
      <c r="J2886" s="335">
        <f>IF(B2886=B2885,"",IF($K2886="","",INDEX(Zeiterfassung!$J$6:$J$3665,MATCH(INDEX(Zeiterfassung!$K$6:$K$3665,$K2886),Zeiterfassung!$K$6:$K$3665,0))))</f>
        <v/>
      </c>
      <c r="K2886">
        <f>IFERROR(AGGREGATE(15,6,(ROW(Zeiterfassung!$D$6:$D$3665)-ROW(Zeiterfassung!$D$6)+1)/(Zeiterfassung!$D$6:$D$3665&lt;&gt;""),2881),"")</f>
        <v/>
      </c>
    </row>
    <row r="2887" ht="20" customHeight="1">
      <c r="A2887" s="183">
        <f>IF($K2887="","",WEEKNUM(INDEX(Zeiterfassung!$K$6:$K$3665,$K2887),21))</f>
        <v/>
      </c>
      <c r="B2887" s="184">
        <f>IF($K2887="","",INDEX(Zeiterfassung!$K$6:$K$3665,$K2887))</f>
        <v/>
      </c>
      <c r="C2887" s="185">
        <f>IF($K2887="","",INDEX(Zeiterfassung!$K$6:$K$3665,$K2887))</f>
        <v/>
      </c>
      <c r="D2887" s="186">
        <f>IF($K2887="","",INDEX(Zeiterfassung!$D$6:$D$3665,$K2887))</f>
        <v/>
      </c>
      <c r="E2887" s="186">
        <f>IF($K2887="","",INDEX(Zeiterfassung!$E$6:$E$3665,$K2887))</f>
        <v/>
      </c>
      <c r="F2887" s="187">
        <f>IF($K2887="","",INDEX(Zeiterfassung!$F$6:$F$3665,$K2887))</f>
        <v/>
      </c>
      <c r="G2887" s="187">
        <f>IF($K2887="","",INDEX(Zeiterfassung!$G$6:$G$3665,$K2887))</f>
        <v/>
      </c>
      <c r="H2887" s="188">
        <f>IF($K2887="","",INDEX(Zeiterfassung!$H$6:$H$3665,$K2887))</f>
        <v/>
      </c>
      <c r="I2887" s="335">
        <f>IF(B2887=B2886,"",IF($K2887="","",INDEX(Zeiterfassung!$I$6:$I$3665,MATCH(INDEX(Zeiterfassung!$K$6:$K$3665,$K2887),Zeiterfassung!$K$6:$K$3665,0))))</f>
        <v/>
      </c>
      <c r="J2887" s="335">
        <f>IF(B2887=B2886,"",IF($K2887="","",INDEX(Zeiterfassung!$J$6:$J$3665,MATCH(INDEX(Zeiterfassung!$K$6:$K$3665,$K2887),Zeiterfassung!$K$6:$K$3665,0))))</f>
        <v/>
      </c>
      <c r="K2887">
        <f>IFERROR(AGGREGATE(15,6,(ROW(Zeiterfassung!$D$6:$D$3665)-ROW(Zeiterfassung!$D$6)+1)/(Zeiterfassung!$D$6:$D$3665&lt;&gt;""),2882),"")</f>
        <v/>
      </c>
    </row>
    <row r="2888" ht="20" customHeight="1">
      <c r="A2888" s="183">
        <f>IF($K2888="","",WEEKNUM(INDEX(Zeiterfassung!$K$6:$K$3665,$K2888),21))</f>
        <v/>
      </c>
      <c r="B2888" s="184">
        <f>IF($K2888="","",INDEX(Zeiterfassung!$K$6:$K$3665,$K2888))</f>
        <v/>
      </c>
      <c r="C2888" s="185">
        <f>IF($K2888="","",INDEX(Zeiterfassung!$K$6:$K$3665,$K2888))</f>
        <v/>
      </c>
      <c r="D2888" s="186">
        <f>IF($K2888="","",INDEX(Zeiterfassung!$D$6:$D$3665,$K2888))</f>
        <v/>
      </c>
      <c r="E2888" s="186">
        <f>IF($K2888="","",INDEX(Zeiterfassung!$E$6:$E$3665,$K2888))</f>
        <v/>
      </c>
      <c r="F2888" s="187">
        <f>IF($K2888="","",INDEX(Zeiterfassung!$F$6:$F$3665,$K2888))</f>
        <v/>
      </c>
      <c r="G2888" s="187">
        <f>IF($K2888="","",INDEX(Zeiterfassung!$G$6:$G$3665,$K2888))</f>
        <v/>
      </c>
      <c r="H2888" s="188">
        <f>IF($K2888="","",INDEX(Zeiterfassung!$H$6:$H$3665,$K2888))</f>
        <v/>
      </c>
      <c r="I2888" s="335">
        <f>IF(B2888=B2887,"",IF($K2888="","",INDEX(Zeiterfassung!$I$6:$I$3665,MATCH(INDEX(Zeiterfassung!$K$6:$K$3665,$K2888),Zeiterfassung!$K$6:$K$3665,0))))</f>
        <v/>
      </c>
      <c r="J2888" s="335">
        <f>IF(B2888=B2887,"",IF($K2888="","",INDEX(Zeiterfassung!$J$6:$J$3665,MATCH(INDEX(Zeiterfassung!$K$6:$K$3665,$K2888),Zeiterfassung!$K$6:$K$3665,0))))</f>
        <v/>
      </c>
      <c r="K2888">
        <f>IFERROR(AGGREGATE(15,6,(ROW(Zeiterfassung!$D$6:$D$3665)-ROW(Zeiterfassung!$D$6)+1)/(Zeiterfassung!$D$6:$D$3665&lt;&gt;""),2883),"")</f>
        <v/>
      </c>
    </row>
    <row r="2889" ht="20" customHeight="1">
      <c r="A2889" s="183">
        <f>IF($K2889="","",WEEKNUM(INDEX(Zeiterfassung!$K$6:$K$3665,$K2889),21))</f>
        <v/>
      </c>
      <c r="B2889" s="184">
        <f>IF($K2889="","",INDEX(Zeiterfassung!$K$6:$K$3665,$K2889))</f>
        <v/>
      </c>
      <c r="C2889" s="185">
        <f>IF($K2889="","",INDEX(Zeiterfassung!$K$6:$K$3665,$K2889))</f>
        <v/>
      </c>
      <c r="D2889" s="186">
        <f>IF($K2889="","",INDEX(Zeiterfassung!$D$6:$D$3665,$K2889))</f>
        <v/>
      </c>
      <c r="E2889" s="186">
        <f>IF($K2889="","",INDEX(Zeiterfassung!$E$6:$E$3665,$K2889))</f>
        <v/>
      </c>
      <c r="F2889" s="187">
        <f>IF($K2889="","",INDEX(Zeiterfassung!$F$6:$F$3665,$K2889))</f>
        <v/>
      </c>
      <c r="G2889" s="187">
        <f>IF($K2889="","",INDEX(Zeiterfassung!$G$6:$G$3665,$K2889))</f>
        <v/>
      </c>
      <c r="H2889" s="188">
        <f>IF($K2889="","",INDEX(Zeiterfassung!$H$6:$H$3665,$K2889))</f>
        <v/>
      </c>
      <c r="I2889" s="335">
        <f>IF(B2889=B2888,"",IF($K2889="","",INDEX(Zeiterfassung!$I$6:$I$3665,MATCH(INDEX(Zeiterfassung!$K$6:$K$3665,$K2889),Zeiterfassung!$K$6:$K$3665,0))))</f>
        <v/>
      </c>
      <c r="J2889" s="335">
        <f>IF(B2889=B2888,"",IF($K2889="","",INDEX(Zeiterfassung!$J$6:$J$3665,MATCH(INDEX(Zeiterfassung!$K$6:$K$3665,$K2889),Zeiterfassung!$K$6:$K$3665,0))))</f>
        <v/>
      </c>
      <c r="K2889">
        <f>IFERROR(AGGREGATE(15,6,(ROW(Zeiterfassung!$D$6:$D$3665)-ROW(Zeiterfassung!$D$6)+1)/(Zeiterfassung!$D$6:$D$3665&lt;&gt;""),2884),"")</f>
        <v/>
      </c>
    </row>
    <row r="2890" ht="20" customHeight="1">
      <c r="A2890" s="183">
        <f>IF($K2890="","",WEEKNUM(INDEX(Zeiterfassung!$K$6:$K$3665,$K2890),21))</f>
        <v/>
      </c>
      <c r="B2890" s="184">
        <f>IF($K2890="","",INDEX(Zeiterfassung!$K$6:$K$3665,$K2890))</f>
        <v/>
      </c>
      <c r="C2890" s="185">
        <f>IF($K2890="","",INDEX(Zeiterfassung!$K$6:$K$3665,$K2890))</f>
        <v/>
      </c>
      <c r="D2890" s="186">
        <f>IF($K2890="","",INDEX(Zeiterfassung!$D$6:$D$3665,$K2890))</f>
        <v/>
      </c>
      <c r="E2890" s="186">
        <f>IF($K2890="","",INDEX(Zeiterfassung!$E$6:$E$3665,$K2890))</f>
        <v/>
      </c>
      <c r="F2890" s="187">
        <f>IF($K2890="","",INDEX(Zeiterfassung!$F$6:$F$3665,$K2890))</f>
        <v/>
      </c>
      <c r="G2890" s="187">
        <f>IF($K2890="","",INDEX(Zeiterfassung!$G$6:$G$3665,$K2890))</f>
        <v/>
      </c>
      <c r="H2890" s="188">
        <f>IF($K2890="","",INDEX(Zeiterfassung!$H$6:$H$3665,$K2890))</f>
        <v/>
      </c>
      <c r="I2890" s="335">
        <f>IF(B2890=B2889,"",IF($K2890="","",INDEX(Zeiterfassung!$I$6:$I$3665,MATCH(INDEX(Zeiterfassung!$K$6:$K$3665,$K2890),Zeiterfassung!$K$6:$K$3665,0))))</f>
        <v/>
      </c>
      <c r="J2890" s="335">
        <f>IF(B2890=B2889,"",IF($K2890="","",INDEX(Zeiterfassung!$J$6:$J$3665,MATCH(INDEX(Zeiterfassung!$K$6:$K$3665,$K2890),Zeiterfassung!$K$6:$K$3665,0))))</f>
        <v/>
      </c>
      <c r="K2890">
        <f>IFERROR(AGGREGATE(15,6,(ROW(Zeiterfassung!$D$6:$D$3665)-ROW(Zeiterfassung!$D$6)+1)/(Zeiterfassung!$D$6:$D$3665&lt;&gt;""),2885),"")</f>
        <v/>
      </c>
    </row>
    <row r="2891" ht="20" customHeight="1">
      <c r="A2891" s="183">
        <f>IF($K2891="","",WEEKNUM(INDEX(Zeiterfassung!$K$6:$K$3665,$K2891),21))</f>
        <v/>
      </c>
      <c r="B2891" s="184">
        <f>IF($K2891="","",INDEX(Zeiterfassung!$K$6:$K$3665,$K2891))</f>
        <v/>
      </c>
      <c r="C2891" s="185">
        <f>IF($K2891="","",INDEX(Zeiterfassung!$K$6:$K$3665,$K2891))</f>
        <v/>
      </c>
      <c r="D2891" s="186">
        <f>IF($K2891="","",INDEX(Zeiterfassung!$D$6:$D$3665,$K2891))</f>
        <v/>
      </c>
      <c r="E2891" s="186">
        <f>IF($K2891="","",INDEX(Zeiterfassung!$E$6:$E$3665,$K2891))</f>
        <v/>
      </c>
      <c r="F2891" s="187">
        <f>IF($K2891="","",INDEX(Zeiterfassung!$F$6:$F$3665,$K2891))</f>
        <v/>
      </c>
      <c r="G2891" s="187">
        <f>IF($K2891="","",INDEX(Zeiterfassung!$G$6:$G$3665,$K2891))</f>
        <v/>
      </c>
      <c r="H2891" s="188">
        <f>IF($K2891="","",INDEX(Zeiterfassung!$H$6:$H$3665,$K2891))</f>
        <v/>
      </c>
      <c r="I2891" s="335">
        <f>IF(B2891=B2890,"",IF($K2891="","",INDEX(Zeiterfassung!$I$6:$I$3665,MATCH(INDEX(Zeiterfassung!$K$6:$K$3665,$K2891),Zeiterfassung!$K$6:$K$3665,0))))</f>
        <v/>
      </c>
      <c r="J2891" s="335">
        <f>IF(B2891=B2890,"",IF($K2891="","",INDEX(Zeiterfassung!$J$6:$J$3665,MATCH(INDEX(Zeiterfassung!$K$6:$K$3665,$K2891),Zeiterfassung!$K$6:$K$3665,0))))</f>
        <v/>
      </c>
      <c r="K2891">
        <f>IFERROR(AGGREGATE(15,6,(ROW(Zeiterfassung!$D$6:$D$3665)-ROW(Zeiterfassung!$D$6)+1)/(Zeiterfassung!$D$6:$D$3665&lt;&gt;""),2886),"")</f>
        <v/>
      </c>
    </row>
    <row r="2892" ht="20" customHeight="1">
      <c r="A2892" s="183">
        <f>IF($K2892="","",WEEKNUM(INDEX(Zeiterfassung!$K$6:$K$3665,$K2892),21))</f>
        <v/>
      </c>
      <c r="B2892" s="184">
        <f>IF($K2892="","",INDEX(Zeiterfassung!$K$6:$K$3665,$K2892))</f>
        <v/>
      </c>
      <c r="C2892" s="185">
        <f>IF($K2892="","",INDEX(Zeiterfassung!$K$6:$K$3665,$K2892))</f>
        <v/>
      </c>
      <c r="D2892" s="186">
        <f>IF($K2892="","",INDEX(Zeiterfassung!$D$6:$D$3665,$K2892))</f>
        <v/>
      </c>
      <c r="E2892" s="186">
        <f>IF($K2892="","",INDEX(Zeiterfassung!$E$6:$E$3665,$K2892))</f>
        <v/>
      </c>
      <c r="F2892" s="187">
        <f>IF($K2892="","",INDEX(Zeiterfassung!$F$6:$F$3665,$K2892))</f>
        <v/>
      </c>
      <c r="G2892" s="187">
        <f>IF($K2892="","",INDEX(Zeiterfassung!$G$6:$G$3665,$K2892))</f>
        <v/>
      </c>
      <c r="H2892" s="188">
        <f>IF($K2892="","",INDEX(Zeiterfassung!$H$6:$H$3665,$K2892))</f>
        <v/>
      </c>
      <c r="I2892" s="335">
        <f>IF(B2892=B2891,"",IF($K2892="","",INDEX(Zeiterfassung!$I$6:$I$3665,MATCH(INDEX(Zeiterfassung!$K$6:$K$3665,$K2892),Zeiterfassung!$K$6:$K$3665,0))))</f>
        <v/>
      </c>
      <c r="J2892" s="335">
        <f>IF(B2892=B2891,"",IF($K2892="","",INDEX(Zeiterfassung!$J$6:$J$3665,MATCH(INDEX(Zeiterfassung!$K$6:$K$3665,$K2892),Zeiterfassung!$K$6:$K$3665,0))))</f>
        <v/>
      </c>
      <c r="K2892">
        <f>IFERROR(AGGREGATE(15,6,(ROW(Zeiterfassung!$D$6:$D$3665)-ROW(Zeiterfassung!$D$6)+1)/(Zeiterfassung!$D$6:$D$3665&lt;&gt;""),2887),"")</f>
        <v/>
      </c>
    </row>
    <row r="2893" ht="20" customHeight="1">
      <c r="A2893" s="183">
        <f>IF($K2893="","",WEEKNUM(INDEX(Zeiterfassung!$K$6:$K$3665,$K2893),21))</f>
        <v/>
      </c>
      <c r="B2893" s="184">
        <f>IF($K2893="","",INDEX(Zeiterfassung!$K$6:$K$3665,$K2893))</f>
        <v/>
      </c>
      <c r="C2893" s="185">
        <f>IF($K2893="","",INDEX(Zeiterfassung!$K$6:$K$3665,$K2893))</f>
        <v/>
      </c>
      <c r="D2893" s="186">
        <f>IF($K2893="","",INDEX(Zeiterfassung!$D$6:$D$3665,$K2893))</f>
        <v/>
      </c>
      <c r="E2893" s="186">
        <f>IF($K2893="","",INDEX(Zeiterfassung!$E$6:$E$3665,$K2893))</f>
        <v/>
      </c>
      <c r="F2893" s="187">
        <f>IF($K2893="","",INDEX(Zeiterfassung!$F$6:$F$3665,$K2893))</f>
        <v/>
      </c>
      <c r="G2893" s="187">
        <f>IF($K2893="","",INDEX(Zeiterfassung!$G$6:$G$3665,$K2893))</f>
        <v/>
      </c>
      <c r="H2893" s="188">
        <f>IF($K2893="","",INDEX(Zeiterfassung!$H$6:$H$3665,$K2893))</f>
        <v/>
      </c>
      <c r="I2893" s="335">
        <f>IF(B2893=B2892,"",IF($K2893="","",INDEX(Zeiterfassung!$I$6:$I$3665,MATCH(INDEX(Zeiterfassung!$K$6:$K$3665,$K2893),Zeiterfassung!$K$6:$K$3665,0))))</f>
        <v/>
      </c>
      <c r="J2893" s="335">
        <f>IF(B2893=B2892,"",IF($K2893="","",INDEX(Zeiterfassung!$J$6:$J$3665,MATCH(INDEX(Zeiterfassung!$K$6:$K$3665,$K2893),Zeiterfassung!$K$6:$K$3665,0))))</f>
        <v/>
      </c>
      <c r="K2893">
        <f>IFERROR(AGGREGATE(15,6,(ROW(Zeiterfassung!$D$6:$D$3665)-ROW(Zeiterfassung!$D$6)+1)/(Zeiterfassung!$D$6:$D$3665&lt;&gt;""),2888),"")</f>
        <v/>
      </c>
    </row>
    <row r="2894" ht="20" customHeight="1">
      <c r="A2894" s="183">
        <f>IF($K2894="","",WEEKNUM(INDEX(Zeiterfassung!$K$6:$K$3665,$K2894),21))</f>
        <v/>
      </c>
      <c r="B2894" s="184">
        <f>IF($K2894="","",INDEX(Zeiterfassung!$K$6:$K$3665,$K2894))</f>
        <v/>
      </c>
      <c r="C2894" s="185">
        <f>IF($K2894="","",INDEX(Zeiterfassung!$K$6:$K$3665,$K2894))</f>
        <v/>
      </c>
      <c r="D2894" s="186">
        <f>IF($K2894="","",INDEX(Zeiterfassung!$D$6:$D$3665,$K2894))</f>
        <v/>
      </c>
      <c r="E2894" s="186">
        <f>IF($K2894="","",INDEX(Zeiterfassung!$E$6:$E$3665,$K2894))</f>
        <v/>
      </c>
      <c r="F2894" s="187">
        <f>IF($K2894="","",INDEX(Zeiterfassung!$F$6:$F$3665,$K2894))</f>
        <v/>
      </c>
      <c r="G2894" s="187">
        <f>IF($K2894="","",INDEX(Zeiterfassung!$G$6:$G$3665,$K2894))</f>
        <v/>
      </c>
      <c r="H2894" s="188">
        <f>IF($K2894="","",INDEX(Zeiterfassung!$H$6:$H$3665,$K2894))</f>
        <v/>
      </c>
      <c r="I2894" s="335">
        <f>IF(B2894=B2893,"",IF($K2894="","",INDEX(Zeiterfassung!$I$6:$I$3665,MATCH(INDEX(Zeiterfassung!$K$6:$K$3665,$K2894),Zeiterfassung!$K$6:$K$3665,0))))</f>
        <v/>
      </c>
      <c r="J2894" s="335">
        <f>IF(B2894=B2893,"",IF($K2894="","",INDEX(Zeiterfassung!$J$6:$J$3665,MATCH(INDEX(Zeiterfassung!$K$6:$K$3665,$K2894),Zeiterfassung!$K$6:$K$3665,0))))</f>
        <v/>
      </c>
      <c r="K2894">
        <f>IFERROR(AGGREGATE(15,6,(ROW(Zeiterfassung!$D$6:$D$3665)-ROW(Zeiterfassung!$D$6)+1)/(Zeiterfassung!$D$6:$D$3665&lt;&gt;""),2889),"")</f>
        <v/>
      </c>
    </row>
    <row r="2895" ht="20" customHeight="1">
      <c r="A2895" s="183">
        <f>IF($K2895="","",WEEKNUM(INDEX(Zeiterfassung!$K$6:$K$3665,$K2895),21))</f>
        <v/>
      </c>
      <c r="B2895" s="184">
        <f>IF($K2895="","",INDEX(Zeiterfassung!$K$6:$K$3665,$K2895))</f>
        <v/>
      </c>
      <c r="C2895" s="185">
        <f>IF($K2895="","",INDEX(Zeiterfassung!$K$6:$K$3665,$K2895))</f>
        <v/>
      </c>
      <c r="D2895" s="186">
        <f>IF($K2895="","",INDEX(Zeiterfassung!$D$6:$D$3665,$K2895))</f>
        <v/>
      </c>
      <c r="E2895" s="186">
        <f>IF($K2895="","",INDEX(Zeiterfassung!$E$6:$E$3665,$K2895))</f>
        <v/>
      </c>
      <c r="F2895" s="187">
        <f>IF($K2895="","",INDEX(Zeiterfassung!$F$6:$F$3665,$K2895))</f>
        <v/>
      </c>
      <c r="G2895" s="187">
        <f>IF($K2895="","",INDEX(Zeiterfassung!$G$6:$G$3665,$K2895))</f>
        <v/>
      </c>
      <c r="H2895" s="188">
        <f>IF($K2895="","",INDEX(Zeiterfassung!$H$6:$H$3665,$K2895))</f>
        <v/>
      </c>
      <c r="I2895" s="335">
        <f>IF(B2895=B2894,"",IF($K2895="","",INDEX(Zeiterfassung!$I$6:$I$3665,MATCH(INDEX(Zeiterfassung!$K$6:$K$3665,$K2895),Zeiterfassung!$K$6:$K$3665,0))))</f>
        <v/>
      </c>
      <c r="J2895" s="335">
        <f>IF(B2895=B2894,"",IF($K2895="","",INDEX(Zeiterfassung!$J$6:$J$3665,MATCH(INDEX(Zeiterfassung!$K$6:$K$3665,$K2895),Zeiterfassung!$K$6:$K$3665,0))))</f>
        <v/>
      </c>
      <c r="K2895">
        <f>IFERROR(AGGREGATE(15,6,(ROW(Zeiterfassung!$D$6:$D$3665)-ROW(Zeiterfassung!$D$6)+1)/(Zeiterfassung!$D$6:$D$3665&lt;&gt;""),2890),"")</f>
        <v/>
      </c>
    </row>
    <row r="2896" ht="20" customHeight="1">
      <c r="A2896" s="183">
        <f>IF($K2896="","",WEEKNUM(INDEX(Zeiterfassung!$K$6:$K$3665,$K2896),21))</f>
        <v/>
      </c>
      <c r="B2896" s="184">
        <f>IF($K2896="","",INDEX(Zeiterfassung!$K$6:$K$3665,$K2896))</f>
        <v/>
      </c>
      <c r="C2896" s="185">
        <f>IF($K2896="","",INDEX(Zeiterfassung!$K$6:$K$3665,$K2896))</f>
        <v/>
      </c>
      <c r="D2896" s="186">
        <f>IF($K2896="","",INDEX(Zeiterfassung!$D$6:$D$3665,$K2896))</f>
        <v/>
      </c>
      <c r="E2896" s="186">
        <f>IF($K2896="","",INDEX(Zeiterfassung!$E$6:$E$3665,$K2896))</f>
        <v/>
      </c>
      <c r="F2896" s="187">
        <f>IF($K2896="","",INDEX(Zeiterfassung!$F$6:$F$3665,$K2896))</f>
        <v/>
      </c>
      <c r="G2896" s="187">
        <f>IF($K2896="","",INDEX(Zeiterfassung!$G$6:$G$3665,$K2896))</f>
        <v/>
      </c>
      <c r="H2896" s="188">
        <f>IF($K2896="","",INDEX(Zeiterfassung!$H$6:$H$3665,$K2896))</f>
        <v/>
      </c>
      <c r="I2896" s="335">
        <f>IF(B2896=B2895,"",IF($K2896="","",INDEX(Zeiterfassung!$I$6:$I$3665,MATCH(INDEX(Zeiterfassung!$K$6:$K$3665,$K2896),Zeiterfassung!$K$6:$K$3665,0))))</f>
        <v/>
      </c>
      <c r="J2896" s="335">
        <f>IF(B2896=B2895,"",IF($K2896="","",INDEX(Zeiterfassung!$J$6:$J$3665,MATCH(INDEX(Zeiterfassung!$K$6:$K$3665,$K2896),Zeiterfassung!$K$6:$K$3665,0))))</f>
        <v/>
      </c>
      <c r="K2896">
        <f>IFERROR(AGGREGATE(15,6,(ROW(Zeiterfassung!$D$6:$D$3665)-ROW(Zeiterfassung!$D$6)+1)/(Zeiterfassung!$D$6:$D$3665&lt;&gt;""),2891),"")</f>
        <v/>
      </c>
    </row>
    <row r="2897" ht="20" customHeight="1">
      <c r="A2897" s="183">
        <f>IF($K2897="","",WEEKNUM(INDEX(Zeiterfassung!$K$6:$K$3665,$K2897),21))</f>
        <v/>
      </c>
      <c r="B2897" s="184">
        <f>IF($K2897="","",INDEX(Zeiterfassung!$K$6:$K$3665,$K2897))</f>
        <v/>
      </c>
      <c r="C2897" s="185">
        <f>IF($K2897="","",INDEX(Zeiterfassung!$K$6:$K$3665,$K2897))</f>
        <v/>
      </c>
      <c r="D2897" s="186">
        <f>IF($K2897="","",INDEX(Zeiterfassung!$D$6:$D$3665,$K2897))</f>
        <v/>
      </c>
      <c r="E2897" s="186">
        <f>IF($K2897="","",INDEX(Zeiterfassung!$E$6:$E$3665,$K2897))</f>
        <v/>
      </c>
      <c r="F2897" s="187">
        <f>IF($K2897="","",INDEX(Zeiterfassung!$F$6:$F$3665,$K2897))</f>
        <v/>
      </c>
      <c r="G2897" s="187">
        <f>IF($K2897="","",INDEX(Zeiterfassung!$G$6:$G$3665,$K2897))</f>
        <v/>
      </c>
      <c r="H2897" s="188">
        <f>IF($K2897="","",INDEX(Zeiterfassung!$H$6:$H$3665,$K2897))</f>
        <v/>
      </c>
      <c r="I2897" s="335">
        <f>IF(B2897=B2896,"",IF($K2897="","",INDEX(Zeiterfassung!$I$6:$I$3665,MATCH(INDEX(Zeiterfassung!$K$6:$K$3665,$K2897),Zeiterfassung!$K$6:$K$3665,0))))</f>
        <v/>
      </c>
      <c r="J2897" s="335">
        <f>IF(B2897=B2896,"",IF($K2897="","",INDEX(Zeiterfassung!$J$6:$J$3665,MATCH(INDEX(Zeiterfassung!$K$6:$K$3665,$K2897),Zeiterfassung!$K$6:$K$3665,0))))</f>
        <v/>
      </c>
      <c r="K2897">
        <f>IFERROR(AGGREGATE(15,6,(ROW(Zeiterfassung!$D$6:$D$3665)-ROW(Zeiterfassung!$D$6)+1)/(Zeiterfassung!$D$6:$D$3665&lt;&gt;""),2892),"")</f>
        <v/>
      </c>
    </row>
    <row r="2898" ht="20" customHeight="1">
      <c r="A2898" s="183">
        <f>IF($K2898="","",WEEKNUM(INDEX(Zeiterfassung!$K$6:$K$3665,$K2898),21))</f>
        <v/>
      </c>
      <c r="B2898" s="184">
        <f>IF($K2898="","",INDEX(Zeiterfassung!$K$6:$K$3665,$K2898))</f>
        <v/>
      </c>
      <c r="C2898" s="185">
        <f>IF($K2898="","",INDEX(Zeiterfassung!$K$6:$K$3665,$K2898))</f>
        <v/>
      </c>
      <c r="D2898" s="186">
        <f>IF($K2898="","",INDEX(Zeiterfassung!$D$6:$D$3665,$K2898))</f>
        <v/>
      </c>
      <c r="E2898" s="186">
        <f>IF($K2898="","",INDEX(Zeiterfassung!$E$6:$E$3665,$K2898))</f>
        <v/>
      </c>
      <c r="F2898" s="187">
        <f>IF($K2898="","",INDEX(Zeiterfassung!$F$6:$F$3665,$K2898))</f>
        <v/>
      </c>
      <c r="G2898" s="187">
        <f>IF($K2898="","",INDEX(Zeiterfassung!$G$6:$G$3665,$K2898))</f>
        <v/>
      </c>
      <c r="H2898" s="188">
        <f>IF($K2898="","",INDEX(Zeiterfassung!$H$6:$H$3665,$K2898))</f>
        <v/>
      </c>
      <c r="I2898" s="335">
        <f>IF(B2898=B2897,"",IF($K2898="","",INDEX(Zeiterfassung!$I$6:$I$3665,MATCH(INDEX(Zeiterfassung!$K$6:$K$3665,$K2898),Zeiterfassung!$K$6:$K$3665,0))))</f>
        <v/>
      </c>
      <c r="J2898" s="335">
        <f>IF(B2898=B2897,"",IF($K2898="","",INDEX(Zeiterfassung!$J$6:$J$3665,MATCH(INDEX(Zeiterfassung!$K$6:$K$3665,$K2898),Zeiterfassung!$K$6:$K$3665,0))))</f>
        <v/>
      </c>
      <c r="K2898">
        <f>IFERROR(AGGREGATE(15,6,(ROW(Zeiterfassung!$D$6:$D$3665)-ROW(Zeiterfassung!$D$6)+1)/(Zeiterfassung!$D$6:$D$3665&lt;&gt;""),2893),"")</f>
        <v/>
      </c>
    </row>
    <row r="2899" ht="20" customHeight="1">
      <c r="A2899" s="183">
        <f>IF($K2899="","",WEEKNUM(INDEX(Zeiterfassung!$K$6:$K$3665,$K2899),21))</f>
        <v/>
      </c>
      <c r="B2899" s="184">
        <f>IF($K2899="","",INDEX(Zeiterfassung!$K$6:$K$3665,$K2899))</f>
        <v/>
      </c>
      <c r="C2899" s="185">
        <f>IF($K2899="","",INDEX(Zeiterfassung!$K$6:$K$3665,$K2899))</f>
        <v/>
      </c>
      <c r="D2899" s="186">
        <f>IF($K2899="","",INDEX(Zeiterfassung!$D$6:$D$3665,$K2899))</f>
        <v/>
      </c>
      <c r="E2899" s="186">
        <f>IF($K2899="","",INDEX(Zeiterfassung!$E$6:$E$3665,$K2899))</f>
        <v/>
      </c>
      <c r="F2899" s="187">
        <f>IF($K2899="","",INDEX(Zeiterfassung!$F$6:$F$3665,$K2899))</f>
        <v/>
      </c>
      <c r="G2899" s="187">
        <f>IF($K2899="","",INDEX(Zeiterfassung!$G$6:$G$3665,$K2899))</f>
        <v/>
      </c>
      <c r="H2899" s="188">
        <f>IF($K2899="","",INDEX(Zeiterfassung!$H$6:$H$3665,$K2899))</f>
        <v/>
      </c>
      <c r="I2899" s="335">
        <f>IF(B2899=B2898,"",IF($K2899="","",INDEX(Zeiterfassung!$I$6:$I$3665,MATCH(INDEX(Zeiterfassung!$K$6:$K$3665,$K2899),Zeiterfassung!$K$6:$K$3665,0))))</f>
        <v/>
      </c>
      <c r="J2899" s="335">
        <f>IF(B2899=B2898,"",IF($K2899="","",INDEX(Zeiterfassung!$J$6:$J$3665,MATCH(INDEX(Zeiterfassung!$K$6:$K$3665,$K2899),Zeiterfassung!$K$6:$K$3665,0))))</f>
        <v/>
      </c>
      <c r="K2899">
        <f>IFERROR(AGGREGATE(15,6,(ROW(Zeiterfassung!$D$6:$D$3665)-ROW(Zeiterfassung!$D$6)+1)/(Zeiterfassung!$D$6:$D$3665&lt;&gt;""),2894),"")</f>
        <v/>
      </c>
    </row>
    <row r="2900" ht="20" customHeight="1">
      <c r="A2900" s="183">
        <f>IF($K2900="","",WEEKNUM(INDEX(Zeiterfassung!$K$6:$K$3665,$K2900),21))</f>
        <v/>
      </c>
      <c r="B2900" s="184">
        <f>IF($K2900="","",INDEX(Zeiterfassung!$K$6:$K$3665,$K2900))</f>
        <v/>
      </c>
      <c r="C2900" s="185">
        <f>IF($K2900="","",INDEX(Zeiterfassung!$K$6:$K$3665,$K2900))</f>
        <v/>
      </c>
      <c r="D2900" s="186">
        <f>IF($K2900="","",INDEX(Zeiterfassung!$D$6:$D$3665,$K2900))</f>
        <v/>
      </c>
      <c r="E2900" s="186">
        <f>IF($K2900="","",INDEX(Zeiterfassung!$E$6:$E$3665,$K2900))</f>
        <v/>
      </c>
      <c r="F2900" s="187">
        <f>IF($K2900="","",INDEX(Zeiterfassung!$F$6:$F$3665,$K2900))</f>
        <v/>
      </c>
      <c r="G2900" s="187">
        <f>IF($K2900="","",INDEX(Zeiterfassung!$G$6:$G$3665,$K2900))</f>
        <v/>
      </c>
      <c r="H2900" s="188">
        <f>IF($K2900="","",INDEX(Zeiterfassung!$H$6:$H$3665,$K2900))</f>
        <v/>
      </c>
      <c r="I2900" s="335">
        <f>IF(B2900=B2899,"",IF($K2900="","",INDEX(Zeiterfassung!$I$6:$I$3665,MATCH(INDEX(Zeiterfassung!$K$6:$K$3665,$K2900),Zeiterfassung!$K$6:$K$3665,0))))</f>
        <v/>
      </c>
      <c r="J2900" s="335">
        <f>IF(B2900=B2899,"",IF($K2900="","",INDEX(Zeiterfassung!$J$6:$J$3665,MATCH(INDEX(Zeiterfassung!$K$6:$K$3665,$K2900),Zeiterfassung!$K$6:$K$3665,0))))</f>
        <v/>
      </c>
      <c r="K2900">
        <f>IFERROR(AGGREGATE(15,6,(ROW(Zeiterfassung!$D$6:$D$3665)-ROW(Zeiterfassung!$D$6)+1)/(Zeiterfassung!$D$6:$D$3665&lt;&gt;""),2895),"")</f>
        <v/>
      </c>
    </row>
    <row r="2901" ht="20" customHeight="1">
      <c r="A2901" s="183">
        <f>IF($K2901="","",WEEKNUM(INDEX(Zeiterfassung!$K$6:$K$3665,$K2901),21))</f>
        <v/>
      </c>
      <c r="B2901" s="184">
        <f>IF($K2901="","",INDEX(Zeiterfassung!$K$6:$K$3665,$K2901))</f>
        <v/>
      </c>
      <c r="C2901" s="185">
        <f>IF($K2901="","",INDEX(Zeiterfassung!$K$6:$K$3665,$K2901))</f>
        <v/>
      </c>
      <c r="D2901" s="186">
        <f>IF($K2901="","",INDEX(Zeiterfassung!$D$6:$D$3665,$K2901))</f>
        <v/>
      </c>
      <c r="E2901" s="186">
        <f>IF($K2901="","",INDEX(Zeiterfassung!$E$6:$E$3665,$K2901))</f>
        <v/>
      </c>
      <c r="F2901" s="187">
        <f>IF($K2901="","",INDEX(Zeiterfassung!$F$6:$F$3665,$K2901))</f>
        <v/>
      </c>
      <c r="G2901" s="187">
        <f>IF($K2901="","",INDEX(Zeiterfassung!$G$6:$G$3665,$K2901))</f>
        <v/>
      </c>
      <c r="H2901" s="188">
        <f>IF($K2901="","",INDEX(Zeiterfassung!$H$6:$H$3665,$K2901))</f>
        <v/>
      </c>
      <c r="I2901" s="335">
        <f>IF(B2901=B2900,"",IF($K2901="","",INDEX(Zeiterfassung!$I$6:$I$3665,MATCH(INDEX(Zeiterfassung!$K$6:$K$3665,$K2901),Zeiterfassung!$K$6:$K$3665,0))))</f>
        <v/>
      </c>
      <c r="J2901" s="335">
        <f>IF(B2901=B2900,"",IF($K2901="","",INDEX(Zeiterfassung!$J$6:$J$3665,MATCH(INDEX(Zeiterfassung!$K$6:$K$3665,$K2901),Zeiterfassung!$K$6:$K$3665,0))))</f>
        <v/>
      </c>
      <c r="K2901">
        <f>IFERROR(AGGREGATE(15,6,(ROW(Zeiterfassung!$D$6:$D$3665)-ROW(Zeiterfassung!$D$6)+1)/(Zeiterfassung!$D$6:$D$3665&lt;&gt;""),2896),"")</f>
        <v/>
      </c>
    </row>
    <row r="2902" ht="20" customHeight="1">
      <c r="A2902" s="183">
        <f>IF($K2902="","",WEEKNUM(INDEX(Zeiterfassung!$K$6:$K$3665,$K2902),21))</f>
        <v/>
      </c>
      <c r="B2902" s="184">
        <f>IF($K2902="","",INDEX(Zeiterfassung!$K$6:$K$3665,$K2902))</f>
        <v/>
      </c>
      <c r="C2902" s="185">
        <f>IF($K2902="","",INDEX(Zeiterfassung!$K$6:$K$3665,$K2902))</f>
        <v/>
      </c>
      <c r="D2902" s="186">
        <f>IF($K2902="","",INDEX(Zeiterfassung!$D$6:$D$3665,$K2902))</f>
        <v/>
      </c>
      <c r="E2902" s="186">
        <f>IF($K2902="","",INDEX(Zeiterfassung!$E$6:$E$3665,$K2902))</f>
        <v/>
      </c>
      <c r="F2902" s="187">
        <f>IF($K2902="","",INDEX(Zeiterfassung!$F$6:$F$3665,$K2902))</f>
        <v/>
      </c>
      <c r="G2902" s="187">
        <f>IF($K2902="","",INDEX(Zeiterfassung!$G$6:$G$3665,$K2902))</f>
        <v/>
      </c>
      <c r="H2902" s="188">
        <f>IF($K2902="","",INDEX(Zeiterfassung!$H$6:$H$3665,$K2902))</f>
        <v/>
      </c>
      <c r="I2902" s="335">
        <f>IF(B2902=B2901,"",IF($K2902="","",INDEX(Zeiterfassung!$I$6:$I$3665,MATCH(INDEX(Zeiterfassung!$K$6:$K$3665,$K2902),Zeiterfassung!$K$6:$K$3665,0))))</f>
        <v/>
      </c>
      <c r="J2902" s="335">
        <f>IF(B2902=B2901,"",IF($K2902="","",INDEX(Zeiterfassung!$J$6:$J$3665,MATCH(INDEX(Zeiterfassung!$K$6:$K$3665,$K2902),Zeiterfassung!$K$6:$K$3665,0))))</f>
        <v/>
      </c>
      <c r="K2902">
        <f>IFERROR(AGGREGATE(15,6,(ROW(Zeiterfassung!$D$6:$D$3665)-ROW(Zeiterfassung!$D$6)+1)/(Zeiterfassung!$D$6:$D$3665&lt;&gt;""),2897),"")</f>
        <v/>
      </c>
    </row>
    <row r="2903" ht="20" customHeight="1">
      <c r="A2903" s="183">
        <f>IF($K2903="","",WEEKNUM(INDEX(Zeiterfassung!$K$6:$K$3665,$K2903),21))</f>
        <v/>
      </c>
      <c r="B2903" s="184">
        <f>IF($K2903="","",INDEX(Zeiterfassung!$K$6:$K$3665,$K2903))</f>
        <v/>
      </c>
      <c r="C2903" s="185">
        <f>IF($K2903="","",INDEX(Zeiterfassung!$K$6:$K$3665,$K2903))</f>
        <v/>
      </c>
      <c r="D2903" s="186">
        <f>IF($K2903="","",INDEX(Zeiterfassung!$D$6:$D$3665,$K2903))</f>
        <v/>
      </c>
      <c r="E2903" s="186">
        <f>IF($K2903="","",INDEX(Zeiterfassung!$E$6:$E$3665,$K2903))</f>
        <v/>
      </c>
      <c r="F2903" s="187">
        <f>IF($K2903="","",INDEX(Zeiterfassung!$F$6:$F$3665,$K2903))</f>
        <v/>
      </c>
      <c r="G2903" s="187">
        <f>IF($K2903="","",INDEX(Zeiterfassung!$G$6:$G$3665,$K2903))</f>
        <v/>
      </c>
      <c r="H2903" s="188">
        <f>IF($K2903="","",INDEX(Zeiterfassung!$H$6:$H$3665,$K2903))</f>
        <v/>
      </c>
      <c r="I2903" s="335">
        <f>IF(B2903=B2902,"",IF($K2903="","",INDEX(Zeiterfassung!$I$6:$I$3665,MATCH(INDEX(Zeiterfassung!$K$6:$K$3665,$K2903),Zeiterfassung!$K$6:$K$3665,0))))</f>
        <v/>
      </c>
      <c r="J2903" s="335">
        <f>IF(B2903=B2902,"",IF($K2903="","",INDEX(Zeiterfassung!$J$6:$J$3665,MATCH(INDEX(Zeiterfassung!$K$6:$K$3665,$K2903),Zeiterfassung!$K$6:$K$3665,0))))</f>
        <v/>
      </c>
      <c r="K2903">
        <f>IFERROR(AGGREGATE(15,6,(ROW(Zeiterfassung!$D$6:$D$3665)-ROW(Zeiterfassung!$D$6)+1)/(Zeiterfassung!$D$6:$D$3665&lt;&gt;""),2898),"")</f>
        <v/>
      </c>
    </row>
    <row r="2904" ht="20" customHeight="1">
      <c r="A2904" s="183">
        <f>IF($K2904="","",WEEKNUM(INDEX(Zeiterfassung!$K$6:$K$3665,$K2904),21))</f>
        <v/>
      </c>
      <c r="B2904" s="184">
        <f>IF($K2904="","",INDEX(Zeiterfassung!$K$6:$K$3665,$K2904))</f>
        <v/>
      </c>
      <c r="C2904" s="185">
        <f>IF($K2904="","",INDEX(Zeiterfassung!$K$6:$K$3665,$K2904))</f>
        <v/>
      </c>
      <c r="D2904" s="186">
        <f>IF($K2904="","",INDEX(Zeiterfassung!$D$6:$D$3665,$K2904))</f>
        <v/>
      </c>
      <c r="E2904" s="186">
        <f>IF($K2904="","",INDEX(Zeiterfassung!$E$6:$E$3665,$K2904))</f>
        <v/>
      </c>
      <c r="F2904" s="187">
        <f>IF($K2904="","",INDEX(Zeiterfassung!$F$6:$F$3665,$K2904))</f>
        <v/>
      </c>
      <c r="G2904" s="187">
        <f>IF($K2904="","",INDEX(Zeiterfassung!$G$6:$G$3665,$K2904))</f>
        <v/>
      </c>
      <c r="H2904" s="188">
        <f>IF($K2904="","",INDEX(Zeiterfassung!$H$6:$H$3665,$K2904))</f>
        <v/>
      </c>
      <c r="I2904" s="335">
        <f>IF(B2904=B2903,"",IF($K2904="","",INDEX(Zeiterfassung!$I$6:$I$3665,MATCH(INDEX(Zeiterfassung!$K$6:$K$3665,$K2904),Zeiterfassung!$K$6:$K$3665,0))))</f>
        <v/>
      </c>
      <c r="J2904" s="335">
        <f>IF(B2904=B2903,"",IF($K2904="","",INDEX(Zeiterfassung!$J$6:$J$3665,MATCH(INDEX(Zeiterfassung!$K$6:$K$3665,$K2904),Zeiterfassung!$K$6:$K$3665,0))))</f>
        <v/>
      </c>
      <c r="K2904">
        <f>IFERROR(AGGREGATE(15,6,(ROW(Zeiterfassung!$D$6:$D$3665)-ROW(Zeiterfassung!$D$6)+1)/(Zeiterfassung!$D$6:$D$3665&lt;&gt;""),2899),"")</f>
        <v/>
      </c>
    </row>
    <row r="2905" ht="20" customHeight="1">
      <c r="A2905" s="183">
        <f>IF($K2905="","",WEEKNUM(INDEX(Zeiterfassung!$K$6:$K$3665,$K2905),21))</f>
        <v/>
      </c>
      <c r="B2905" s="184">
        <f>IF($K2905="","",INDEX(Zeiterfassung!$K$6:$K$3665,$K2905))</f>
        <v/>
      </c>
      <c r="C2905" s="185">
        <f>IF($K2905="","",INDEX(Zeiterfassung!$K$6:$K$3665,$K2905))</f>
        <v/>
      </c>
      <c r="D2905" s="186">
        <f>IF($K2905="","",INDEX(Zeiterfassung!$D$6:$D$3665,$K2905))</f>
        <v/>
      </c>
      <c r="E2905" s="186">
        <f>IF($K2905="","",INDEX(Zeiterfassung!$E$6:$E$3665,$K2905))</f>
        <v/>
      </c>
      <c r="F2905" s="187">
        <f>IF($K2905="","",INDEX(Zeiterfassung!$F$6:$F$3665,$K2905))</f>
        <v/>
      </c>
      <c r="G2905" s="187">
        <f>IF($K2905="","",INDEX(Zeiterfassung!$G$6:$G$3665,$K2905))</f>
        <v/>
      </c>
      <c r="H2905" s="188">
        <f>IF($K2905="","",INDEX(Zeiterfassung!$H$6:$H$3665,$K2905))</f>
        <v/>
      </c>
      <c r="I2905" s="335">
        <f>IF(B2905=B2904,"",IF($K2905="","",INDEX(Zeiterfassung!$I$6:$I$3665,MATCH(INDEX(Zeiterfassung!$K$6:$K$3665,$K2905),Zeiterfassung!$K$6:$K$3665,0))))</f>
        <v/>
      </c>
      <c r="J2905" s="335">
        <f>IF(B2905=B2904,"",IF($K2905="","",INDEX(Zeiterfassung!$J$6:$J$3665,MATCH(INDEX(Zeiterfassung!$K$6:$K$3665,$K2905),Zeiterfassung!$K$6:$K$3665,0))))</f>
        <v/>
      </c>
      <c r="K2905">
        <f>IFERROR(AGGREGATE(15,6,(ROW(Zeiterfassung!$D$6:$D$3665)-ROW(Zeiterfassung!$D$6)+1)/(Zeiterfassung!$D$6:$D$3665&lt;&gt;""),2900),"")</f>
        <v/>
      </c>
    </row>
    <row r="2906" ht="20" customHeight="1">
      <c r="A2906" s="183">
        <f>IF($K2906="","",WEEKNUM(INDEX(Zeiterfassung!$K$6:$K$3665,$K2906),21))</f>
        <v/>
      </c>
      <c r="B2906" s="184">
        <f>IF($K2906="","",INDEX(Zeiterfassung!$K$6:$K$3665,$K2906))</f>
        <v/>
      </c>
      <c r="C2906" s="185">
        <f>IF($K2906="","",INDEX(Zeiterfassung!$K$6:$K$3665,$K2906))</f>
        <v/>
      </c>
      <c r="D2906" s="186">
        <f>IF($K2906="","",INDEX(Zeiterfassung!$D$6:$D$3665,$K2906))</f>
        <v/>
      </c>
      <c r="E2906" s="186">
        <f>IF($K2906="","",INDEX(Zeiterfassung!$E$6:$E$3665,$K2906))</f>
        <v/>
      </c>
      <c r="F2906" s="187">
        <f>IF($K2906="","",INDEX(Zeiterfassung!$F$6:$F$3665,$K2906))</f>
        <v/>
      </c>
      <c r="G2906" s="187">
        <f>IF($K2906="","",INDEX(Zeiterfassung!$G$6:$G$3665,$K2906))</f>
        <v/>
      </c>
      <c r="H2906" s="188">
        <f>IF($K2906="","",INDEX(Zeiterfassung!$H$6:$H$3665,$K2906))</f>
        <v/>
      </c>
      <c r="I2906" s="335">
        <f>IF(B2906=B2905,"",IF($K2906="","",INDEX(Zeiterfassung!$I$6:$I$3665,MATCH(INDEX(Zeiterfassung!$K$6:$K$3665,$K2906),Zeiterfassung!$K$6:$K$3665,0))))</f>
        <v/>
      </c>
      <c r="J2906" s="335">
        <f>IF(B2906=B2905,"",IF($K2906="","",INDEX(Zeiterfassung!$J$6:$J$3665,MATCH(INDEX(Zeiterfassung!$K$6:$K$3665,$K2906),Zeiterfassung!$K$6:$K$3665,0))))</f>
        <v/>
      </c>
      <c r="K2906">
        <f>IFERROR(AGGREGATE(15,6,(ROW(Zeiterfassung!$D$6:$D$3665)-ROW(Zeiterfassung!$D$6)+1)/(Zeiterfassung!$D$6:$D$3665&lt;&gt;""),2901),"")</f>
        <v/>
      </c>
    </row>
    <row r="2907" ht="20" customHeight="1">
      <c r="A2907" s="183">
        <f>IF($K2907="","",WEEKNUM(INDEX(Zeiterfassung!$K$6:$K$3665,$K2907),21))</f>
        <v/>
      </c>
      <c r="B2907" s="184">
        <f>IF($K2907="","",INDEX(Zeiterfassung!$K$6:$K$3665,$K2907))</f>
        <v/>
      </c>
      <c r="C2907" s="185">
        <f>IF($K2907="","",INDEX(Zeiterfassung!$K$6:$K$3665,$K2907))</f>
        <v/>
      </c>
      <c r="D2907" s="186">
        <f>IF($K2907="","",INDEX(Zeiterfassung!$D$6:$D$3665,$K2907))</f>
        <v/>
      </c>
      <c r="E2907" s="186">
        <f>IF($K2907="","",INDEX(Zeiterfassung!$E$6:$E$3665,$K2907))</f>
        <v/>
      </c>
      <c r="F2907" s="187">
        <f>IF($K2907="","",INDEX(Zeiterfassung!$F$6:$F$3665,$K2907))</f>
        <v/>
      </c>
      <c r="G2907" s="187">
        <f>IF($K2907="","",INDEX(Zeiterfassung!$G$6:$G$3665,$K2907))</f>
        <v/>
      </c>
      <c r="H2907" s="188">
        <f>IF($K2907="","",INDEX(Zeiterfassung!$H$6:$H$3665,$K2907))</f>
        <v/>
      </c>
      <c r="I2907" s="335">
        <f>IF(B2907=B2906,"",IF($K2907="","",INDEX(Zeiterfassung!$I$6:$I$3665,MATCH(INDEX(Zeiterfassung!$K$6:$K$3665,$K2907),Zeiterfassung!$K$6:$K$3665,0))))</f>
        <v/>
      </c>
      <c r="J2907" s="335">
        <f>IF(B2907=B2906,"",IF($K2907="","",INDEX(Zeiterfassung!$J$6:$J$3665,MATCH(INDEX(Zeiterfassung!$K$6:$K$3665,$K2907),Zeiterfassung!$K$6:$K$3665,0))))</f>
        <v/>
      </c>
      <c r="K2907">
        <f>IFERROR(AGGREGATE(15,6,(ROW(Zeiterfassung!$D$6:$D$3665)-ROW(Zeiterfassung!$D$6)+1)/(Zeiterfassung!$D$6:$D$3665&lt;&gt;""),2902),"")</f>
        <v/>
      </c>
    </row>
    <row r="2908" ht="20" customHeight="1">
      <c r="A2908" s="183">
        <f>IF($K2908="","",WEEKNUM(INDEX(Zeiterfassung!$K$6:$K$3665,$K2908),21))</f>
        <v/>
      </c>
      <c r="B2908" s="184">
        <f>IF($K2908="","",INDEX(Zeiterfassung!$K$6:$K$3665,$K2908))</f>
        <v/>
      </c>
      <c r="C2908" s="185">
        <f>IF($K2908="","",INDEX(Zeiterfassung!$K$6:$K$3665,$K2908))</f>
        <v/>
      </c>
      <c r="D2908" s="186">
        <f>IF($K2908="","",INDEX(Zeiterfassung!$D$6:$D$3665,$K2908))</f>
        <v/>
      </c>
      <c r="E2908" s="186">
        <f>IF($K2908="","",INDEX(Zeiterfassung!$E$6:$E$3665,$K2908))</f>
        <v/>
      </c>
      <c r="F2908" s="187">
        <f>IF($K2908="","",INDEX(Zeiterfassung!$F$6:$F$3665,$K2908))</f>
        <v/>
      </c>
      <c r="G2908" s="187">
        <f>IF($K2908="","",INDEX(Zeiterfassung!$G$6:$G$3665,$K2908))</f>
        <v/>
      </c>
      <c r="H2908" s="188">
        <f>IF($K2908="","",INDEX(Zeiterfassung!$H$6:$H$3665,$K2908))</f>
        <v/>
      </c>
      <c r="I2908" s="335">
        <f>IF(B2908=B2907,"",IF($K2908="","",INDEX(Zeiterfassung!$I$6:$I$3665,MATCH(INDEX(Zeiterfassung!$K$6:$K$3665,$K2908),Zeiterfassung!$K$6:$K$3665,0))))</f>
        <v/>
      </c>
      <c r="J2908" s="335">
        <f>IF(B2908=B2907,"",IF($K2908="","",INDEX(Zeiterfassung!$J$6:$J$3665,MATCH(INDEX(Zeiterfassung!$K$6:$K$3665,$K2908),Zeiterfassung!$K$6:$K$3665,0))))</f>
        <v/>
      </c>
      <c r="K2908">
        <f>IFERROR(AGGREGATE(15,6,(ROW(Zeiterfassung!$D$6:$D$3665)-ROW(Zeiterfassung!$D$6)+1)/(Zeiterfassung!$D$6:$D$3665&lt;&gt;""),2903),"")</f>
        <v/>
      </c>
    </row>
    <row r="2909" ht="20" customHeight="1">
      <c r="A2909" s="183">
        <f>IF($K2909="","",WEEKNUM(INDEX(Zeiterfassung!$K$6:$K$3665,$K2909),21))</f>
        <v/>
      </c>
      <c r="B2909" s="184">
        <f>IF($K2909="","",INDEX(Zeiterfassung!$K$6:$K$3665,$K2909))</f>
        <v/>
      </c>
      <c r="C2909" s="185">
        <f>IF($K2909="","",INDEX(Zeiterfassung!$K$6:$K$3665,$K2909))</f>
        <v/>
      </c>
      <c r="D2909" s="186">
        <f>IF($K2909="","",INDEX(Zeiterfassung!$D$6:$D$3665,$K2909))</f>
        <v/>
      </c>
      <c r="E2909" s="186">
        <f>IF($K2909="","",INDEX(Zeiterfassung!$E$6:$E$3665,$K2909))</f>
        <v/>
      </c>
      <c r="F2909" s="187">
        <f>IF($K2909="","",INDEX(Zeiterfassung!$F$6:$F$3665,$K2909))</f>
        <v/>
      </c>
      <c r="G2909" s="187">
        <f>IF($K2909="","",INDEX(Zeiterfassung!$G$6:$G$3665,$K2909))</f>
        <v/>
      </c>
      <c r="H2909" s="188">
        <f>IF($K2909="","",INDEX(Zeiterfassung!$H$6:$H$3665,$K2909))</f>
        <v/>
      </c>
      <c r="I2909" s="335">
        <f>IF(B2909=B2908,"",IF($K2909="","",INDEX(Zeiterfassung!$I$6:$I$3665,MATCH(INDEX(Zeiterfassung!$K$6:$K$3665,$K2909),Zeiterfassung!$K$6:$K$3665,0))))</f>
        <v/>
      </c>
      <c r="J2909" s="335">
        <f>IF(B2909=B2908,"",IF($K2909="","",INDEX(Zeiterfassung!$J$6:$J$3665,MATCH(INDEX(Zeiterfassung!$K$6:$K$3665,$K2909),Zeiterfassung!$K$6:$K$3665,0))))</f>
        <v/>
      </c>
      <c r="K2909">
        <f>IFERROR(AGGREGATE(15,6,(ROW(Zeiterfassung!$D$6:$D$3665)-ROW(Zeiterfassung!$D$6)+1)/(Zeiterfassung!$D$6:$D$3665&lt;&gt;""),2904),"")</f>
        <v/>
      </c>
    </row>
    <row r="2910" ht="20" customHeight="1">
      <c r="A2910" s="183">
        <f>IF($K2910="","",WEEKNUM(INDEX(Zeiterfassung!$K$6:$K$3665,$K2910),21))</f>
        <v/>
      </c>
      <c r="B2910" s="184">
        <f>IF($K2910="","",INDEX(Zeiterfassung!$K$6:$K$3665,$K2910))</f>
        <v/>
      </c>
      <c r="C2910" s="185">
        <f>IF($K2910="","",INDEX(Zeiterfassung!$K$6:$K$3665,$K2910))</f>
        <v/>
      </c>
      <c r="D2910" s="186">
        <f>IF($K2910="","",INDEX(Zeiterfassung!$D$6:$D$3665,$K2910))</f>
        <v/>
      </c>
      <c r="E2910" s="186">
        <f>IF($K2910="","",INDEX(Zeiterfassung!$E$6:$E$3665,$K2910))</f>
        <v/>
      </c>
      <c r="F2910" s="187">
        <f>IF($K2910="","",INDEX(Zeiterfassung!$F$6:$F$3665,$K2910))</f>
        <v/>
      </c>
      <c r="G2910" s="187">
        <f>IF($K2910="","",INDEX(Zeiterfassung!$G$6:$G$3665,$K2910))</f>
        <v/>
      </c>
      <c r="H2910" s="188">
        <f>IF($K2910="","",INDEX(Zeiterfassung!$H$6:$H$3665,$K2910))</f>
        <v/>
      </c>
      <c r="I2910" s="335">
        <f>IF(B2910=B2909,"",IF($K2910="","",INDEX(Zeiterfassung!$I$6:$I$3665,MATCH(INDEX(Zeiterfassung!$K$6:$K$3665,$K2910),Zeiterfassung!$K$6:$K$3665,0))))</f>
        <v/>
      </c>
      <c r="J2910" s="335">
        <f>IF(B2910=B2909,"",IF($K2910="","",INDEX(Zeiterfassung!$J$6:$J$3665,MATCH(INDEX(Zeiterfassung!$K$6:$K$3665,$K2910),Zeiterfassung!$K$6:$K$3665,0))))</f>
        <v/>
      </c>
      <c r="K2910">
        <f>IFERROR(AGGREGATE(15,6,(ROW(Zeiterfassung!$D$6:$D$3665)-ROW(Zeiterfassung!$D$6)+1)/(Zeiterfassung!$D$6:$D$3665&lt;&gt;""),2905),"")</f>
        <v/>
      </c>
    </row>
    <row r="2911" ht="20" customHeight="1">
      <c r="A2911" s="183">
        <f>IF($K2911="","",WEEKNUM(INDEX(Zeiterfassung!$K$6:$K$3665,$K2911),21))</f>
        <v/>
      </c>
      <c r="B2911" s="184">
        <f>IF($K2911="","",INDEX(Zeiterfassung!$K$6:$K$3665,$K2911))</f>
        <v/>
      </c>
      <c r="C2911" s="185">
        <f>IF($K2911="","",INDEX(Zeiterfassung!$K$6:$K$3665,$K2911))</f>
        <v/>
      </c>
      <c r="D2911" s="186">
        <f>IF($K2911="","",INDEX(Zeiterfassung!$D$6:$D$3665,$K2911))</f>
        <v/>
      </c>
      <c r="E2911" s="186">
        <f>IF($K2911="","",INDEX(Zeiterfassung!$E$6:$E$3665,$K2911))</f>
        <v/>
      </c>
      <c r="F2911" s="187">
        <f>IF($K2911="","",INDEX(Zeiterfassung!$F$6:$F$3665,$K2911))</f>
        <v/>
      </c>
      <c r="G2911" s="187">
        <f>IF($K2911="","",INDEX(Zeiterfassung!$G$6:$G$3665,$K2911))</f>
        <v/>
      </c>
      <c r="H2911" s="188">
        <f>IF($K2911="","",INDEX(Zeiterfassung!$H$6:$H$3665,$K2911))</f>
        <v/>
      </c>
      <c r="I2911" s="335">
        <f>IF(B2911=B2910,"",IF($K2911="","",INDEX(Zeiterfassung!$I$6:$I$3665,MATCH(INDEX(Zeiterfassung!$K$6:$K$3665,$K2911),Zeiterfassung!$K$6:$K$3665,0))))</f>
        <v/>
      </c>
      <c r="J2911" s="335">
        <f>IF(B2911=B2910,"",IF($K2911="","",INDEX(Zeiterfassung!$J$6:$J$3665,MATCH(INDEX(Zeiterfassung!$K$6:$K$3665,$K2911),Zeiterfassung!$K$6:$K$3665,0))))</f>
        <v/>
      </c>
      <c r="K2911">
        <f>IFERROR(AGGREGATE(15,6,(ROW(Zeiterfassung!$D$6:$D$3665)-ROW(Zeiterfassung!$D$6)+1)/(Zeiterfassung!$D$6:$D$3665&lt;&gt;""),2906),"")</f>
        <v/>
      </c>
    </row>
    <row r="2912" ht="20" customHeight="1">
      <c r="A2912" s="183">
        <f>IF($K2912="","",WEEKNUM(INDEX(Zeiterfassung!$K$6:$K$3665,$K2912),21))</f>
        <v/>
      </c>
      <c r="B2912" s="184">
        <f>IF($K2912="","",INDEX(Zeiterfassung!$K$6:$K$3665,$K2912))</f>
        <v/>
      </c>
      <c r="C2912" s="185">
        <f>IF($K2912="","",INDEX(Zeiterfassung!$K$6:$K$3665,$K2912))</f>
        <v/>
      </c>
      <c r="D2912" s="186">
        <f>IF($K2912="","",INDEX(Zeiterfassung!$D$6:$D$3665,$K2912))</f>
        <v/>
      </c>
      <c r="E2912" s="186">
        <f>IF($K2912="","",INDEX(Zeiterfassung!$E$6:$E$3665,$K2912))</f>
        <v/>
      </c>
      <c r="F2912" s="187">
        <f>IF($K2912="","",INDEX(Zeiterfassung!$F$6:$F$3665,$K2912))</f>
        <v/>
      </c>
      <c r="G2912" s="187">
        <f>IF($K2912="","",INDEX(Zeiterfassung!$G$6:$G$3665,$K2912))</f>
        <v/>
      </c>
      <c r="H2912" s="188">
        <f>IF($K2912="","",INDEX(Zeiterfassung!$H$6:$H$3665,$K2912))</f>
        <v/>
      </c>
      <c r="I2912" s="335">
        <f>IF(B2912=B2911,"",IF($K2912="","",INDEX(Zeiterfassung!$I$6:$I$3665,MATCH(INDEX(Zeiterfassung!$K$6:$K$3665,$K2912),Zeiterfassung!$K$6:$K$3665,0))))</f>
        <v/>
      </c>
      <c r="J2912" s="335">
        <f>IF(B2912=B2911,"",IF($K2912="","",INDEX(Zeiterfassung!$J$6:$J$3665,MATCH(INDEX(Zeiterfassung!$K$6:$K$3665,$K2912),Zeiterfassung!$K$6:$K$3665,0))))</f>
        <v/>
      </c>
      <c r="K2912">
        <f>IFERROR(AGGREGATE(15,6,(ROW(Zeiterfassung!$D$6:$D$3665)-ROW(Zeiterfassung!$D$6)+1)/(Zeiterfassung!$D$6:$D$3665&lt;&gt;""),2907),"")</f>
        <v/>
      </c>
    </row>
    <row r="2913" ht="20" customHeight="1">
      <c r="A2913" s="183">
        <f>IF($K2913="","",WEEKNUM(INDEX(Zeiterfassung!$K$6:$K$3665,$K2913),21))</f>
        <v/>
      </c>
      <c r="B2913" s="184">
        <f>IF($K2913="","",INDEX(Zeiterfassung!$K$6:$K$3665,$K2913))</f>
        <v/>
      </c>
      <c r="C2913" s="185">
        <f>IF($K2913="","",INDEX(Zeiterfassung!$K$6:$K$3665,$K2913))</f>
        <v/>
      </c>
      <c r="D2913" s="186">
        <f>IF($K2913="","",INDEX(Zeiterfassung!$D$6:$D$3665,$K2913))</f>
        <v/>
      </c>
      <c r="E2913" s="186">
        <f>IF($K2913="","",INDEX(Zeiterfassung!$E$6:$E$3665,$K2913))</f>
        <v/>
      </c>
      <c r="F2913" s="187">
        <f>IF($K2913="","",INDEX(Zeiterfassung!$F$6:$F$3665,$K2913))</f>
        <v/>
      </c>
      <c r="G2913" s="187">
        <f>IF($K2913="","",INDEX(Zeiterfassung!$G$6:$G$3665,$K2913))</f>
        <v/>
      </c>
      <c r="H2913" s="188">
        <f>IF($K2913="","",INDEX(Zeiterfassung!$H$6:$H$3665,$K2913))</f>
        <v/>
      </c>
      <c r="I2913" s="335">
        <f>IF(B2913=B2912,"",IF($K2913="","",INDEX(Zeiterfassung!$I$6:$I$3665,MATCH(INDEX(Zeiterfassung!$K$6:$K$3665,$K2913),Zeiterfassung!$K$6:$K$3665,0))))</f>
        <v/>
      </c>
      <c r="J2913" s="335">
        <f>IF(B2913=B2912,"",IF($K2913="","",INDEX(Zeiterfassung!$J$6:$J$3665,MATCH(INDEX(Zeiterfassung!$K$6:$K$3665,$K2913),Zeiterfassung!$K$6:$K$3665,0))))</f>
        <v/>
      </c>
      <c r="K2913">
        <f>IFERROR(AGGREGATE(15,6,(ROW(Zeiterfassung!$D$6:$D$3665)-ROW(Zeiterfassung!$D$6)+1)/(Zeiterfassung!$D$6:$D$3665&lt;&gt;""),2908),"")</f>
        <v/>
      </c>
    </row>
    <row r="2914" ht="20" customHeight="1">
      <c r="A2914" s="183">
        <f>IF($K2914="","",WEEKNUM(INDEX(Zeiterfassung!$K$6:$K$3665,$K2914),21))</f>
        <v/>
      </c>
      <c r="B2914" s="184">
        <f>IF($K2914="","",INDEX(Zeiterfassung!$K$6:$K$3665,$K2914))</f>
        <v/>
      </c>
      <c r="C2914" s="185">
        <f>IF($K2914="","",INDEX(Zeiterfassung!$K$6:$K$3665,$K2914))</f>
        <v/>
      </c>
      <c r="D2914" s="186">
        <f>IF($K2914="","",INDEX(Zeiterfassung!$D$6:$D$3665,$K2914))</f>
        <v/>
      </c>
      <c r="E2914" s="186">
        <f>IF($K2914="","",INDEX(Zeiterfassung!$E$6:$E$3665,$K2914))</f>
        <v/>
      </c>
      <c r="F2914" s="187">
        <f>IF($K2914="","",INDEX(Zeiterfassung!$F$6:$F$3665,$K2914))</f>
        <v/>
      </c>
      <c r="G2914" s="187">
        <f>IF($K2914="","",INDEX(Zeiterfassung!$G$6:$G$3665,$K2914))</f>
        <v/>
      </c>
      <c r="H2914" s="188">
        <f>IF($K2914="","",INDEX(Zeiterfassung!$H$6:$H$3665,$K2914))</f>
        <v/>
      </c>
      <c r="I2914" s="335">
        <f>IF(B2914=B2913,"",IF($K2914="","",INDEX(Zeiterfassung!$I$6:$I$3665,MATCH(INDEX(Zeiterfassung!$K$6:$K$3665,$K2914),Zeiterfassung!$K$6:$K$3665,0))))</f>
        <v/>
      </c>
      <c r="J2914" s="335">
        <f>IF(B2914=B2913,"",IF($K2914="","",INDEX(Zeiterfassung!$J$6:$J$3665,MATCH(INDEX(Zeiterfassung!$K$6:$K$3665,$K2914),Zeiterfassung!$K$6:$K$3665,0))))</f>
        <v/>
      </c>
      <c r="K2914">
        <f>IFERROR(AGGREGATE(15,6,(ROW(Zeiterfassung!$D$6:$D$3665)-ROW(Zeiterfassung!$D$6)+1)/(Zeiterfassung!$D$6:$D$3665&lt;&gt;""),2909),"")</f>
        <v/>
      </c>
    </row>
    <row r="2915" ht="20" customHeight="1">
      <c r="A2915" s="183">
        <f>IF($K2915="","",WEEKNUM(INDEX(Zeiterfassung!$K$6:$K$3665,$K2915),21))</f>
        <v/>
      </c>
      <c r="B2915" s="184">
        <f>IF($K2915="","",INDEX(Zeiterfassung!$K$6:$K$3665,$K2915))</f>
        <v/>
      </c>
      <c r="C2915" s="185">
        <f>IF($K2915="","",INDEX(Zeiterfassung!$K$6:$K$3665,$K2915))</f>
        <v/>
      </c>
      <c r="D2915" s="186">
        <f>IF($K2915="","",INDEX(Zeiterfassung!$D$6:$D$3665,$K2915))</f>
        <v/>
      </c>
      <c r="E2915" s="186">
        <f>IF($K2915="","",INDEX(Zeiterfassung!$E$6:$E$3665,$K2915))</f>
        <v/>
      </c>
      <c r="F2915" s="187">
        <f>IF($K2915="","",INDEX(Zeiterfassung!$F$6:$F$3665,$K2915))</f>
        <v/>
      </c>
      <c r="G2915" s="187">
        <f>IF($K2915="","",INDEX(Zeiterfassung!$G$6:$G$3665,$K2915))</f>
        <v/>
      </c>
      <c r="H2915" s="188">
        <f>IF($K2915="","",INDEX(Zeiterfassung!$H$6:$H$3665,$K2915))</f>
        <v/>
      </c>
      <c r="I2915" s="335">
        <f>IF(B2915=B2914,"",IF($K2915="","",INDEX(Zeiterfassung!$I$6:$I$3665,MATCH(INDEX(Zeiterfassung!$K$6:$K$3665,$K2915),Zeiterfassung!$K$6:$K$3665,0))))</f>
        <v/>
      </c>
      <c r="J2915" s="335">
        <f>IF(B2915=B2914,"",IF($K2915="","",INDEX(Zeiterfassung!$J$6:$J$3665,MATCH(INDEX(Zeiterfassung!$K$6:$K$3665,$K2915),Zeiterfassung!$K$6:$K$3665,0))))</f>
        <v/>
      </c>
      <c r="K2915">
        <f>IFERROR(AGGREGATE(15,6,(ROW(Zeiterfassung!$D$6:$D$3665)-ROW(Zeiterfassung!$D$6)+1)/(Zeiterfassung!$D$6:$D$3665&lt;&gt;""),2910),"")</f>
        <v/>
      </c>
    </row>
    <row r="2916" ht="20" customHeight="1">
      <c r="A2916" s="183">
        <f>IF($K2916="","",WEEKNUM(INDEX(Zeiterfassung!$K$6:$K$3665,$K2916),21))</f>
        <v/>
      </c>
      <c r="B2916" s="184">
        <f>IF($K2916="","",INDEX(Zeiterfassung!$K$6:$K$3665,$K2916))</f>
        <v/>
      </c>
      <c r="C2916" s="185">
        <f>IF($K2916="","",INDEX(Zeiterfassung!$K$6:$K$3665,$K2916))</f>
        <v/>
      </c>
      <c r="D2916" s="186">
        <f>IF($K2916="","",INDEX(Zeiterfassung!$D$6:$D$3665,$K2916))</f>
        <v/>
      </c>
      <c r="E2916" s="186">
        <f>IF($K2916="","",INDEX(Zeiterfassung!$E$6:$E$3665,$K2916))</f>
        <v/>
      </c>
      <c r="F2916" s="187">
        <f>IF($K2916="","",INDEX(Zeiterfassung!$F$6:$F$3665,$K2916))</f>
        <v/>
      </c>
      <c r="G2916" s="187">
        <f>IF($K2916="","",INDEX(Zeiterfassung!$G$6:$G$3665,$K2916))</f>
        <v/>
      </c>
      <c r="H2916" s="188">
        <f>IF($K2916="","",INDEX(Zeiterfassung!$H$6:$H$3665,$K2916))</f>
        <v/>
      </c>
      <c r="I2916" s="335">
        <f>IF(B2916=B2915,"",IF($K2916="","",INDEX(Zeiterfassung!$I$6:$I$3665,MATCH(INDEX(Zeiterfassung!$K$6:$K$3665,$K2916),Zeiterfassung!$K$6:$K$3665,0))))</f>
        <v/>
      </c>
      <c r="J2916" s="335">
        <f>IF(B2916=B2915,"",IF($K2916="","",INDEX(Zeiterfassung!$J$6:$J$3665,MATCH(INDEX(Zeiterfassung!$K$6:$K$3665,$K2916),Zeiterfassung!$K$6:$K$3665,0))))</f>
        <v/>
      </c>
      <c r="K2916">
        <f>IFERROR(AGGREGATE(15,6,(ROW(Zeiterfassung!$D$6:$D$3665)-ROW(Zeiterfassung!$D$6)+1)/(Zeiterfassung!$D$6:$D$3665&lt;&gt;""),2911),"")</f>
        <v/>
      </c>
    </row>
    <row r="2917" ht="20" customHeight="1">
      <c r="A2917" s="183">
        <f>IF($K2917="","",WEEKNUM(INDEX(Zeiterfassung!$K$6:$K$3665,$K2917),21))</f>
        <v/>
      </c>
      <c r="B2917" s="184">
        <f>IF($K2917="","",INDEX(Zeiterfassung!$K$6:$K$3665,$K2917))</f>
        <v/>
      </c>
      <c r="C2917" s="185">
        <f>IF($K2917="","",INDEX(Zeiterfassung!$K$6:$K$3665,$K2917))</f>
        <v/>
      </c>
      <c r="D2917" s="186">
        <f>IF($K2917="","",INDEX(Zeiterfassung!$D$6:$D$3665,$K2917))</f>
        <v/>
      </c>
      <c r="E2917" s="186">
        <f>IF($K2917="","",INDEX(Zeiterfassung!$E$6:$E$3665,$K2917))</f>
        <v/>
      </c>
      <c r="F2917" s="187">
        <f>IF($K2917="","",INDEX(Zeiterfassung!$F$6:$F$3665,$K2917))</f>
        <v/>
      </c>
      <c r="G2917" s="187">
        <f>IF($K2917="","",INDEX(Zeiterfassung!$G$6:$G$3665,$K2917))</f>
        <v/>
      </c>
      <c r="H2917" s="188">
        <f>IF($K2917="","",INDEX(Zeiterfassung!$H$6:$H$3665,$K2917))</f>
        <v/>
      </c>
      <c r="I2917" s="335">
        <f>IF(B2917=B2916,"",IF($K2917="","",INDEX(Zeiterfassung!$I$6:$I$3665,MATCH(INDEX(Zeiterfassung!$K$6:$K$3665,$K2917),Zeiterfassung!$K$6:$K$3665,0))))</f>
        <v/>
      </c>
      <c r="J2917" s="335">
        <f>IF(B2917=B2916,"",IF($K2917="","",INDEX(Zeiterfassung!$J$6:$J$3665,MATCH(INDEX(Zeiterfassung!$K$6:$K$3665,$K2917),Zeiterfassung!$K$6:$K$3665,0))))</f>
        <v/>
      </c>
      <c r="K2917">
        <f>IFERROR(AGGREGATE(15,6,(ROW(Zeiterfassung!$D$6:$D$3665)-ROW(Zeiterfassung!$D$6)+1)/(Zeiterfassung!$D$6:$D$3665&lt;&gt;""),2912),"")</f>
        <v/>
      </c>
    </row>
    <row r="2918" ht="20" customHeight="1">
      <c r="A2918" s="183">
        <f>IF($K2918="","",WEEKNUM(INDEX(Zeiterfassung!$K$6:$K$3665,$K2918),21))</f>
        <v/>
      </c>
      <c r="B2918" s="184">
        <f>IF($K2918="","",INDEX(Zeiterfassung!$K$6:$K$3665,$K2918))</f>
        <v/>
      </c>
      <c r="C2918" s="185">
        <f>IF($K2918="","",INDEX(Zeiterfassung!$K$6:$K$3665,$K2918))</f>
        <v/>
      </c>
      <c r="D2918" s="186">
        <f>IF($K2918="","",INDEX(Zeiterfassung!$D$6:$D$3665,$K2918))</f>
        <v/>
      </c>
      <c r="E2918" s="186">
        <f>IF($K2918="","",INDEX(Zeiterfassung!$E$6:$E$3665,$K2918))</f>
        <v/>
      </c>
      <c r="F2918" s="187">
        <f>IF($K2918="","",INDEX(Zeiterfassung!$F$6:$F$3665,$K2918))</f>
        <v/>
      </c>
      <c r="G2918" s="187">
        <f>IF($K2918="","",INDEX(Zeiterfassung!$G$6:$G$3665,$K2918))</f>
        <v/>
      </c>
      <c r="H2918" s="188">
        <f>IF($K2918="","",INDEX(Zeiterfassung!$H$6:$H$3665,$K2918))</f>
        <v/>
      </c>
      <c r="I2918" s="335">
        <f>IF(B2918=B2917,"",IF($K2918="","",INDEX(Zeiterfassung!$I$6:$I$3665,MATCH(INDEX(Zeiterfassung!$K$6:$K$3665,$K2918),Zeiterfassung!$K$6:$K$3665,0))))</f>
        <v/>
      </c>
      <c r="J2918" s="335">
        <f>IF(B2918=B2917,"",IF($K2918="","",INDEX(Zeiterfassung!$J$6:$J$3665,MATCH(INDEX(Zeiterfassung!$K$6:$K$3665,$K2918),Zeiterfassung!$K$6:$K$3665,0))))</f>
        <v/>
      </c>
      <c r="K2918">
        <f>IFERROR(AGGREGATE(15,6,(ROW(Zeiterfassung!$D$6:$D$3665)-ROW(Zeiterfassung!$D$6)+1)/(Zeiterfassung!$D$6:$D$3665&lt;&gt;""),2913),"")</f>
        <v/>
      </c>
    </row>
    <row r="2919" ht="20" customHeight="1">
      <c r="A2919" s="183">
        <f>IF($K2919="","",WEEKNUM(INDEX(Zeiterfassung!$K$6:$K$3665,$K2919),21))</f>
        <v/>
      </c>
      <c r="B2919" s="184">
        <f>IF($K2919="","",INDEX(Zeiterfassung!$K$6:$K$3665,$K2919))</f>
        <v/>
      </c>
      <c r="C2919" s="185">
        <f>IF($K2919="","",INDEX(Zeiterfassung!$K$6:$K$3665,$K2919))</f>
        <v/>
      </c>
      <c r="D2919" s="186">
        <f>IF($K2919="","",INDEX(Zeiterfassung!$D$6:$D$3665,$K2919))</f>
        <v/>
      </c>
      <c r="E2919" s="186">
        <f>IF($K2919="","",INDEX(Zeiterfassung!$E$6:$E$3665,$K2919))</f>
        <v/>
      </c>
      <c r="F2919" s="187">
        <f>IF($K2919="","",INDEX(Zeiterfassung!$F$6:$F$3665,$K2919))</f>
        <v/>
      </c>
      <c r="G2919" s="187">
        <f>IF($K2919="","",INDEX(Zeiterfassung!$G$6:$G$3665,$K2919))</f>
        <v/>
      </c>
      <c r="H2919" s="188">
        <f>IF($K2919="","",INDEX(Zeiterfassung!$H$6:$H$3665,$K2919))</f>
        <v/>
      </c>
      <c r="I2919" s="335">
        <f>IF(B2919=B2918,"",IF($K2919="","",INDEX(Zeiterfassung!$I$6:$I$3665,MATCH(INDEX(Zeiterfassung!$K$6:$K$3665,$K2919),Zeiterfassung!$K$6:$K$3665,0))))</f>
        <v/>
      </c>
      <c r="J2919" s="335">
        <f>IF(B2919=B2918,"",IF($K2919="","",INDEX(Zeiterfassung!$J$6:$J$3665,MATCH(INDEX(Zeiterfassung!$K$6:$K$3665,$K2919),Zeiterfassung!$K$6:$K$3665,0))))</f>
        <v/>
      </c>
      <c r="K2919">
        <f>IFERROR(AGGREGATE(15,6,(ROW(Zeiterfassung!$D$6:$D$3665)-ROW(Zeiterfassung!$D$6)+1)/(Zeiterfassung!$D$6:$D$3665&lt;&gt;""),2914),"")</f>
        <v/>
      </c>
    </row>
    <row r="2920" ht="20" customHeight="1">
      <c r="A2920" s="183">
        <f>IF($K2920="","",WEEKNUM(INDEX(Zeiterfassung!$K$6:$K$3665,$K2920),21))</f>
        <v/>
      </c>
      <c r="B2920" s="184">
        <f>IF($K2920="","",INDEX(Zeiterfassung!$K$6:$K$3665,$K2920))</f>
        <v/>
      </c>
      <c r="C2920" s="185">
        <f>IF($K2920="","",INDEX(Zeiterfassung!$K$6:$K$3665,$K2920))</f>
        <v/>
      </c>
      <c r="D2920" s="186">
        <f>IF($K2920="","",INDEX(Zeiterfassung!$D$6:$D$3665,$K2920))</f>
        <v/>
      </c>
      <c r="E2920" s="186">
        <f>IF($K2920="","",INDEX(Zeiterfassung!$E$6:$E$3665,$K2920))</f>
        <v/>
      </c>
      <c r="F2920" s="187">
        <f>IF($K2920="","",INDEX(Zeiterfassung!$F$6:$F$3665,$K2920))</f>
        <v/>
      </c>
      <c r="G2920" s="187">
        <f>IF($K2920="","",INDEX(Zeiterfassung!$G$6:$G$3665,$K2920))</f>
        <v/>
      </c>
      <c r="H2920" s="188">
        <f>IF($K2920="","",INDEX(Zeiterfassung!$H$6:$H$3665,$K2920))</f>
        <v/>
      </c>
      <c r="I2920" s="335">
        <f>IF(B2920=B2919,"",IF($K2920="","",INDEX(Zeiterfassung!$I$6:$I$3665,MATCH(INDEX(Zeiterfassung!$K$6:$K$3665,$K2920),Zeiterfassung!$K$6:$K$3665,0))))</f>
        <v/>
      </c>
      <c r="J2920" s="335">
        <f>IF(B2920=B2919,"",IF($K2920="","",INDEX(Zeiterfassung!$J$6:$J$3665,MATCH(INDEX(Zeiterfassung!$K$6:$K$3665,$K2920),Zeiterfassung!$K$6:$K$3665,0))))</f>
        <v/>
      </c>
      <c r="K2920">
        <f>IFERROR(AGGREGATE(15,6,(ROW(Zeiterfassung!$D$6:$D$3665)-ROW(Zeiterfassung!$D$6)+1)/(Zeiterfassung!$D$6:$D$3665&lt;&gt;""),2915),"")</f>
        <v/>
      </c>
    </row>
    <row r="2921" ht="20" customHeight="1">
      <c r="A2921" s="183">
        <f>IF($K2921="","",WEEKNUM(INDEX(Zeiterfassung!$K$6:$K$3665,$K2921),21))</f>
        <v/>
      </c>
      <c r="B2921" s="184">
        <f>IF($K2921="","",INDEX(Zeiterfassung!$K$6:$K$3665,$K2921))</f>
        <v/>
      </c>
      <c r="C2921" s="185">
        <f>IF($K2921="","",INDEX(Zeiterfassung!$K$6:$K$3665,$K2921))</f>
        <v/>
      </c>
      <c r="D2921" s="186">
        <f>IF($K2921="","",INDEX(Zeiterfassung!$D$6:$D$3665,$K2921))</f>
        <v/>
      </c>
      <c r="E2921" s="186">
        <f>IF($K2921="","",INDEX(Zeiterfassung!$E$6:$E$3665,$K2921))</f>
        <v/>
      </c>
      <c r="F2921" s="187">
        <f>IF($K2921="","",INDEX(Zeiterfassung!$F$6:$F$3665,$K2921))</f>
        <v/>
      </c>
      <c r="G2921" s="187">
        <f>IF($K2921="","",INDEX(Zeiterfassung!$G$6:$G$3665,$K2921))</f>
        <v/>
      </c>
      <c r="H2921" s="188">
        <f>IF($K2921="","",INDEX(Zeiterfassung!$H$6:$H$3665,$K2921))</f>
        <v/>
      </c>
      <c r="I2921" s="335">
        <f>IF(B2921=B2920,"",IF($K2921="","",INDEX(Zeiterfassung!$I$6:$I$3665,MATCH(INDEX(Zeiterfassung!$K$6:$K$3665,$K2921),Zeiterfassung!$K$6:$K$3665,0))))</f>
        <v/>
      </c>
      <c r="J2921" s="335">
        <f>IF(B2921=B2920,"",IF($K2921="","",INDEX(Zeiterfassung!$J$6:$J$3665,MATCH(INDEX(Zeiterfassung!$K$6:$K$3665,$K2921),Zeiterfassung!$K$6:$K$3665,0))))</f>
        <v/>
      </c>
      <c r="K2921">
        <f>IFERROR(AGGREGATE(15,6,(ROW(Zeiterfassung!$D$6:$D$3665)-ROW(Zeiterfassung!$D$6)+1)/(Zeiterfassung!$D$6:$D$3665&lt;&gt;""),2916),"")</f>
        <v/>
      </c>
    </row>
    <row r="2922" ht="20" customHeight="1">
      <c r="A2922" s="183">
        <f>IF($K2922="","",WEEKNUM(INDEX(Zeiterfassung!$K$6:$K$3665,$K2922),21))</f>
        <v/>
      </c>
      <c r="B2922" s="184">
        <f>IF($K2922="","",INDEX(Zeiterfassung!$K$6:$K$3665,$K2922))</f>
        <v/>
      </c>
      <c r="C2922" s="185">
        <f>IF($K2922="","",INDEX(Zeiterfassung!$K$6:$K$3665,$K2922))</f>
        <v/>
      </c>
      <c r="D2922" s="186">
        <f>IF($K2922="","",INDEX(Zeiterfassung!$D$6:$D$3665,$K2922))</f>
        <v/>
      </c>
      <c r="E2922" s="186">
        <f>IF($K2922="","",INDEX(Zeiterfassung!$E$6:$E$3665,$K2922))</f>
        <v/>
      </c>
      <c r="F2922" s="187">
        <f>IF($K2922="","",INDEX(Zeiterfassung!$F$6:$F$3665,$K2922))</f>
        <v/>
      </c>
      <c r="G2922" s="187">
        <f>IF($K2922="","",INDEX(Zeiterfassung!$G$6:$G$3665,$K2922))</f>
        <v/>
      </c>
      <c r="H2922" s="188">
        <f>IF($K2922="","",INDEX(Zeiterfassung!$H$6:$H$3665,$K2922))</f>
        <v/>
      </c>
      <c r="I2922" s="335">
        <f>IF(B2922=B2921,"",IF($K2922="","",INDEX(Zeiterfassung!$I$6:$I$3665,MATCH(INDEX(Zeiterfassung!$K$6:$K$3665,$K2922),Zeiterfassung!$K$6:$K$3665,0))))</f>
        <v/>
      </c>
      <c r="J2922" s="335">
        <f>IF(B2922=B2921,"",IF($K2922="","",INDEX(Zeiterfassung!$J$6:$J$3665,MATCH(INDEX(Zeiterfassung!$K$6:$K$3665,$K2922),Zeiterfassung!$K$6:$K$3665,0))))</f>
        <v/>
      </c>
      <c r="K2922">
        <f>IFERROR(AGGREGATE(15,6,(ROW(Zeiterfassung!$D$6:$D$3665)-ROW(Zeiterfassung!$D$6)+1)/(Zeiterfassung!$D$6:$D$3665&lt;&gt;""),2917),"")</f>
        <v/>
      </c>
    </row>
    <row r="2923" ht="20" customHeight="1">
      <c r="A2923" s="183">
        <f>IF($K2923="","",WEEKNUM(INDEX(Zeiterfassung!$K$6:$K$3665,$K2923),21))</f>
        <v/>
      </c>
      <c r="B2923" s="184">
        <f>IF($K2923="","",INDEX(Zeiterfassung!$K$6:$K$3665,$K2923))</f>
        <v/>
      </c>
      <c r="C2923" s="185">
        <f>IF($K2923="","",INDEX(Zeiterfassung!$K$6:$K$3665,$K2923))</f>
        <v/>
      </c>
      <c r="D2923" s="186">
        <f>IF($K2923="","",INDEX(Zeiterfassung!$D$6:$D$3665,$K2923))</f>
        <v/>
      </c>
      <c r="E2923" s="186">
        <f>IF($K2923="","",INDEX(Zeiterfassung!$E$6:$E$3665,$K2923))</f>
        <v/>
      </c>
      <c r="F2923" s="187">
        <f>IF($K2923="","",INDEX(Zeiterfassung!$F$6:$F$3665,$K2923))</f>
        <v/>
      </c>
      <c r="G2923" s="187">
        <f>IF($K2923="","",INDEX(Zeiterfassung!$G$6:$G$3665,$K2923))</f>
        <v/>
      </c>
      <c r="H2923" s="188">
        <f>IF($K2923="","",INDEX(Zeiterfassung!$H$6:$H$3665,$K2923))</f>
        <v/>
      </c>
      <c r="I2923" s="335">
        <f>IF(B2923=B2922,"",IF($K2923="","",INDEX(Zeiterfassung!$I$6:$I$3665,MATCH(INDEX(Zeiterfassung!$K$6:$K$3665,$K2923),Zeiterfassung!$K$6:$K$3665,0))))</f>
        <v/>
      </c>
      <c r="J2923" s="335">
        <f>IF(B2923=B2922,"",IF($K2923="","",INDEX(Zeiterfassung!$J$6:$J$3665,MATCH(INDEX(Zeiterfassung!$K$6:$K$3665,$K2923),Zeiterfassung!$K$6:$K$3665,0))))</f>
        <v/>
      </c>
      <c r="K2923">
        <f>IFERROR(AGGREGATE(15,6,(ROW(Zeiterfassung!$D$6:$D$3665)-ROW(Zeiterfassung!$D$6)+1)/(Zeiterfassung!$D$6:$D$3665&lt;&gt;""),2918),"")</f>
        <v/>
      </c>
    </row>
    <row r="2924" ht="20" customHeight="1">
      <c r="A2924" s="183">
        <f>IF($K2924="","",WEEKNUM(INDEX(Zeiterfassung!$K$6:$K$3665,$K2924),21))</f>
        <v/>
      </c>
      <c r="B2924" s="184">
        <f>IF($K2924="","",INDEX(Zeiterfassung!$K$6:$K$3665,$K2924))</f>
        <v/>
      </c>
      <c r="C2924" s="185">
        <f>IF($K2924="","",INDEX(Zeiterfassung!$K$6:$K$3665,$K2924))</f>
        <v/>
      </c>
      <c r="D2924" s="186">
        <f>IF($K2924="","",INDEX(Zeiterfassung!$D$6:$D$3665,$K2924))</f>
        <v/>
      </c>
      <c r="E2924" s="186">
        <f>IF($K2924="","",INDEX(Zeiterfassung!$E$6:$E$3665,$K2924))</f>
        <v/>
      </c>
      <c r="F2924" s="187">
        <f>IF($K2924="","",INDEX(Zeiterfassung!$F$6:$F$3665,$K2924))</f>
        <v/>
      </c>
      <c r="G2924" s="187">
        <f>IF($K2924="","",INDEX(Zeiterfassung!$G$6:$G$3665,$K2924))</f>
        <v/>
      </c>
      <c r="H2924" s="188">
        <f>IF($K2924="","",INDEX(Zeiterfassung!$H$6:$H$3665,$K2924))</f>
        <v/>
      </c>
      <c r="I2924" s="335">
        <f>IF(B2924=B2923,"",IF($K2924="","",INDEX(Zeiterfassung!$I$6:$I$3665,MATCH(INDEX(Zeiterfassung!$K$6:$K$3665,$K2924),Zeiterfassung!$K$6:$K$3665,0))))</f>
        <v/>
      </c>
      <c r="J2924" s="335">
        <f>IF(B2924=B2923,"",IF($K2924="","",INDEX(Zeiterfassung!$J$6:$J$3665,MATCH(INDEX(Zeiterfassung!$K$6:$K$3665,$K2924),Zeiterfassung!$K$6:$K$3665,0))))</f>
        <v/>
      </c>
      <c r="K2924">
        <f>IFERROR(AGGREGATE(15,6,(ROW(Zeiterfassung!$D$6:$D$3665)-ROW(Zeiterfassung!$D$6)+1)/(Zeiterfassung!$D$6:$D$3665&lt;&gt;""),2919),"")</f>
        <v/>
      </c>
    </row>
    <row r="2925" ht="20" customHeight="1">
      <c r="A2925" s="183">
        <f>IF($K2925="","",WEEKNUM(INDEX(Zeiterfassung!$K$6:$K$3665,$K2925),21))</f>
        <v/>
      </c>
      <c r="B2925" s="184">
        <f>IF($K2925="","",INDEX(Zeiterfassung!$K$6:$K$3665,$K2925))</f>
        <v/>
      </c>
      <c r="C2925" s="185">
        <f>IF($K2925="","",INDEX(Zeiterfassung!$K$6:$K$3665,$K2925))</f>
        <v/>
      </c>
      <c r="D2925" s="186">
        <f>IF($K2925="","",INDEX(Zeiterfassung!$D$6:$D$3665,$K2925))</f>
        <v/>
      </c>
      <c r="E2925" s="186">
        <f>IF($K2925="","",INDEX(Zeiterfassung!$E$6:$E$3665,$K2925))</f>
        <v/>
      </c>
      <c r="F2925" s="187">
        <f>IF($K2925="","",INDEX(Zeiterfassung!$F$6:$F$3665,$K2925))</f>
        <v/>
      </c>
      <c r="G2925" s="187">
        <f>IF($K2925="","",INDEX(Zeiterfassung!$G$6:$G$3665,$K2925))</f>
        <v/>
      </c>
      <c r="H2925" s="188">
        <f>IF($K2925="","",INDEX(Zeiterfassung!$H$6:$H$3665,$K2925))</f>
        <v/>
      </c>
      <c r="I2925" s="335">
        <f>IF(B2925=B2924,"",IF($K2925="","",INDEX(Zeiterfassung!$I$6:$I$3665,MATCH(INDEX(Zeiterfassung!$K$6:$K$3665,$K2925),Zeiterfassung!$K$6:$K$3665,0))))</f>
        <v/>
      </c>
      <c r="J2925" s="335">
        <f>IF(B2925=B2924,"",IF($K2925="","",INDEX(Zeiterfassung!$J$6:$J$3665,MATCH(INDEX(Zeiterfassung!$K$6:$K$3665,$K2925),Zeiterfassung!$K$6:$K$3665,0))))</f>
        <v/>
      </c>
      <c r="K2925">
        <f>IFERROR(AGGREGATE(15,6,(ROW(Zeiterfassung!$D$6:$D$3665)-ROW(Zeiterfassung!$D$6)+1)/(Zeiterfassung!$D$6:$D$3665&lt;&gt;""),2920),"")</f>
        <v/>
      </c>
    </row>
    <row r="2926" ht="20" customHeight="1">
      <c r="A2926" s="183">
        <f>IF($K2926="","",WEEKNUM(INDEX(Zeiterfassung!$K$6:$K$3665,$K2926),21))</f>
        <v/>
      </c>
      <c r="B2926" s="184">
        <f>IF($K2926="","",INDEX(Zeiterfassung!$K$6:$K$3665,$K2926))</f>
        <v/>
      </c>
      <c r="C2926" s="185">
        <f>IF($K2926="","",INDEX(Zeiterfassung!$K$6:$K$3665,$K2926))</f>
        <v/>
      </c>
      <c r="D2926" s="186">
        <f>IF($K2926="","",INDEX(Zeiterfassung!$D$6:$D$3665,$K2926))</f>
        <v/>
      </c>
      <c r="E2926" s="186">
        <f>IF($K2926="","",INDEX(Zeiterfassung!$E$6:$E$3665,$K2926))</f>
        <v/>
      </c>
      <c r="F2926" s="187">
        <f>IF($K2926="","",INDEX(Zeiterfassung!$F$6:$F$3665,$K2926))</f>
        <v/>
      </c>
      <c r="G2926" s="187">
        <f>IF($K2926="","",INDEX(Zeiterfassung!$G$6:$G$3665,$K2926))</f>
        <v/>
      </c>
      <c r="H2926" s="188">
        <f>IF($K2926="","",INDEX(Zeiterfassung!$H$6:$H$3665,$K2926))</f>
        <v/>
      </c>
      <c r="I2926" s="335">
        <f>IF(B2926=B2925,"",IF($K2926="","",INDEX(Zeiterfassung!$I$6:$I$3665,MATCH(INDEX(Zeiterfassung!$K$6:$K$3665,$K2926),Zeiterfassung!$K$6:$K$3665,0))))</f>
        <v/>
      </c>
      <c r="J2926" s="335">
        <f>IF(B2926=B2925,"",IF($K2926="","",INDEX(Zeiterfassung!$J$6:$J$3665,MATCH(INDEX(Zeiterfassung!$K$6:$K$3665,$K2926),Zeiterfassung!$K$6:$K$3665,0))))</f>
        <v/>
      </c>
      <c r="K2926">
        <f>IFERROR(AGGREGATE(15,6,(ROW(Zeiterfassung!$D$6:$D$3665)-ROW(Zeiterfassung!$D$6)+1)/(Zeiterfassung!$D$6:$D$3665&lt;&gt;""),2921),"")</f>
        <v/>
      </c>
    </row>
    <row r="2927" ht="20" customHeight="1">
      <c r="A2927" s="183">
        <f>IF($K2927="","",WEEKNUM(INDEX(Zeiterfassung!$K$6:$K$3665,$K2927),21))</f>
        <v/>
      </c>
      <c r="B2927" s="184">
        <f>IF($K2927="","",INDEX(Zeiterfassung!$K$6:$K$3665,$K2927))</f>
        <v/>
      </c>
      <c r="C2927" s="185">
        <f>IF($K2927="","",INDEX(Zeiterfassung!$K$6:$K$3665,$K2927))</f>
        <v/>
      </c>
      <c r="D2927" s="186">
        <f>IF($K2927="","",INDEX(Zeiterfassung!$D$6:$D$3665,$K2927))</f>
        <v/>
      </c>
      <c r="E2927" s="186">
        <f>IF($K2927="","",INDEX(Zeiterfassung!$E$6:$E$3665,$K2927))</f>
        <v/>
      </c>
      <c r="F2927" s="187">
        <f>IF($K2927="","",INDEX(Zeiterfassung!$F$6:$F$3665,$K2927))</f>
        <v/>
      </c>
      <c r="G2927" s="187">
        <f>IF($K2927="","",INDEX(Zeiterfassung!$G$6:$G$3665,$K2927))</f>
        <v/>
      </c>
      <c r="H2927" s="188">
        <f>IF($K2927="","",INDEX(Zeiterfassung!$H$6:$H$3665,$K2927))</f>
        <v/>
      </c>
      <c r="I2927" s="335">
        <f>IF(B2927=B2926,"",IF($K2927="","",INDEX(Zeiterfassung!$I$6:$I$3665,MATCH(INDEX(Zeiterfassung!$K$6:$K$3665,$K2927),Zeiterfassung!$K$6:$K$3665,0))))</f>
        <v/>
      </c>
      <c r="J2927" s="335">
        <f>IF(B2927=B2926,"",IF($K2927="","",INDEX(Zeiterfassung!$J$6:$J$3665,MATCH(INDEX(Zeiterfassung!$K$6:$K$3665,$K2927),Zeiterfassung!$K$6:$K$3665,0))))</f>
        <v/>
      </c>
      <c r="K2927">
        <f>IFERROR(AGGREGATE(15,6,(ROW(Zeiterfassung!$D$6:$D$3665)-ROW(Zeiterfassung!$D$6)+1)/(Zeiterfassung!$D$6:$D$3665&lt;&gt;""),2922),"")</f>
        <v/>
      </c>
    </row>
    <row r="2928" ht="20" customHeight="1">
      <c r="A2928" s="183">
        <f>IF($K2928="","",WEEKNUM(INDEX(Zeiterfassung!$K$6:$K$3665,$K2928),21))</f>
        <v/>
      </c>
      <c r="B2928" s="184">
        <f>IF($K2928="","",INDEX(Zeiterfassung!$K$6:$K$3665,$K2928))</f>
        <v/>
      </c>
      <c r="C2928" s="185">
        <f>IF($K2928="","",INDEX(Zeiterfassung!$K$6:$K$3665,$K2928))</f>
        <v/>
      </c>
      <c r="D2928" s="186">
        <f>IF($K2928="","",INDEX(Zeiterfassung!$D$6:$D$3665,$K2928))</f>
        <v/>
      </c>
      <c r="E2928" s="186">
        <f>IF($K2928="","",INDEX(Zeiterfassung!$E$6:$E$3665,$K2928))</f>
        <v/>
      </c>
      <c r="F2928" s="187">
        <f>IF($K2928="","",INDEX(Zeiterfassung!$F$6:$F$3665,$K2928))</f>
        <v/>
      </c>
      <c r="G2928" s="187">
        <f>IF($K2928="","",INDEX(Zeiterfassung!$G$6:$G$3665,$K2928))</f>
        <v/>
      </c>
      <c r="H2928" s="188">
        <f>IF($K2928="","",INDEX(Zeiterfassung!$H$6:$H$3665,$K2928))</f>
        <v/>
      </c>
      <c r="I2928" s="335">
        <f>IF(B2928=B2927,"",IF($K2928="","",INDEX(Zeiterfassung!$I$6:$I$3665,MATCH(INDEX(Zeiterfassung!$K$6:$K$3665,$K2928),Zeiterfassung!$K$6:$K$3665,0))))</f>
        <v/>
      </c>
      <c r="J2928" s="335">
        <f>IF(B2928=B2927,"",IF($K2928="","",INDEX(Zeiterfassung!$J$6:$J$3665,MATCH(INDEX(Zeiterfassung!$K$6:$K$3665,$K2928),Zeiterfassung!$K$6:$K$3665,0))))</f>
        <v/>
      </c>
      <c r="K2928">
        <f>IFERROR(AGGREGATE(15,6,(ROW(Zeiterfassung!$D$6:$D$3665)-ROW(Zeiterfassung!$D$6)+1)/(Zeiterfassung!$D$6:$D$3665&lt;&gt;""),2923),"")</f>
        <v/>
      </c>
    </row>
    <row r="2929" ht="20" customHeight="1">
      <c r="A2929" s="183">
        <f>IF($K2929="","",WEEKNUM(INDEX(Zeiterfassung!$K$6:$K$3665,$K2929),21))</f>
        <v/>
      </c>
      <c r="B2929" s="184">
        <f>IF($K2929="","",INDEX(Zeiterfassung!$K$6:$K$3665,$K2929))</f>
        <v/>
      </c>
      <c r="C2929" s="185">
        <f>IF($K2929="","",INDEX(Zeiterfassung!$K$6:$K$3665,$K2929))</f>
        <v/>
      </c>
      <c r="D2929" s="186">
        <f>IF($K2929="","",INDEX(Zeiterfassung!$D$6:$D$3665,$K2929))</f>
        <v/>
      </c>
      <c r="E2929" s="186">
        <f>IF($K2929="","",INDEX(Zeiterfassung!$E$6:$E$3665,$K2929))</f>
        <v/>
      </c>
      <c r="F2929" s="187">
        <f>IF($K2929="","",INDEX(Zeiterfassung!$F$6:$F$3665,$K2929))</f>
        <v/>
      </c>
      <c r="G2929" s="187">
        <f>IF($K2929="","",INDEX(Zeiterfassung!$G$6:$G$3665,$K2929))</f>
        <v/>
      </c>
      <c r="H2929" s="188">
        <f>IF($K2929="","",INDEX(Zeiterfassung!$H$6:$H$3665,$K2929))</f>
        <v/>
      </c>
      <c r="I2929" s="335">
        <f>IF(B2929=B2928,"",IF($K2929="","",INDEX(Zeiterfassung!$I$6:$I$3665,MATCH(INDEX(Zeiterfassung!$K$6:$K$3665,$K2929),Zeiterfassung!$K$6:$K$3665,0))))</f>
        <v/>
      </c>
      <c r="J2929" s="335">
        <f>IF(B2929=B2928,"",IF($K2929="","",INDEX(Zeiterfassung!$J$6:$J$3665,MATCH(INDEX(Zeiterfassung!$K$6:$K$3665,$K2929),Zeiterfassung!$K$6:$K$3665,0))))</f>
        <v/>
      </c>
      <c r="K2929">
        <f>IFERROR(AGGREGATE(15,6,(ROW(Zeiterfassung!$D$6:$D$3665)-ROW(Zeiterfassung!$D$6)+1)/(Zeiterfassung!$D$6:$D$3665&lt;&gt;""),2924),"")</f>
        <v/>
      </c>
    </row>
    <row r="2930" ht="20" customHeight="1">
      <c r="A2930" s="183">
        <f>IF($K2930="","",WEEKNUM(INDEX(Zeiterfassung!$K$6:$K$3665,$K2930),21))</f>
        <v/>
      </c>
      <c r="B2930" s="184">
        <f>IF($K2930="","",INDEX(Zeiterfassung!$K$6:$K$3665,$K2930))</f>
        <v/>
      </c>
      <c r="C2930" s="185">
        <f>IF($K2930="","",INDEX(Zeiterfassung!$K$6:$K$3665,$K2930))</f>
        <v/>
      </c>
      <c r="D2930" s="186">
        <f>IF($K2930="","",INDEX(Zeiterfassung!$D$6:$D$3665,$K2930))</f>
        <v/>
      </c>
      <c r="E2930" s="186">
        <f>IF($K2930="","",INDEX(Zeiterfassung!$E$6:$E$3665,$K2930))</f>
        <v/>
      </c>
      <c r="F2930" s="187">
        <f>IF($K2930="","",INDEX(Zeiterfassung!$F$6:$F$3665,$K2930))</f>
        <v/>
      </c>
      <c r="G2930" s="187">
        <f>IF($K2930="","",INDEX(Zeiterfassung!$G$6:$G$3665,$K2930))</f>
        <v/>
      </c>
      <c r="H2930" s="188">
        <f>IF($K2930="","",INDEX(Zeiterfassung!$H$6:$H$3665,$K2930))</f>
        <v/>
      </c>
      <c r="I2930" s="335">
        <f>IF(B2930=B2929,"",IF($K2930="","",INDEX(Zeiterfassung!$I$6:$I$3665,MATCH(INDEX(Zeiterfassung!$K$6:$K$3665,$K2930),Zeiterfassung!$K$6:$K$3665,0))))</f>
        <v/>
      </c>
      <c r="J2930" s="335">
        <f>IF(B2930=B2929,"",IF($K2930="","",INDEX(Zeiterfassung!$J$6:$J$3665,MATCH(INDEX(Zeiterfassung!$K$6:$K$3665,$K2930),Zeiterfassung!$K$6:$K$3665,0))))</f>
        <v/>
      </c>
      <c r="K2930">
        <f>IFERROR(AGGREGATE(15,6,(ROW(Zeiterfassung!$D$6:$D$3665)-ROW(Zeiterfassung!$D$6)+1)/(Zeiterfassung!$D$6:$D$3665&lt;&gt;""),2925),"")</f>
        <v/>
      </c>
    </row>
    <row r="2931" ht="20" customHeight="1">
      <c r="A2931" s="183">
        <f>IF($K2931="","",WEEKNUM(INDEX(Zeiterfassung!$K$6:$K$3665,$K2931),21))</f>
        <v/>
      </c>
      <c r="B2931" s="184">
        <f>IF($K2931="","",INDEX(Zeiterfassung!$K$6:$K$3665,$K2931))</f>
        <v/>
      </c>
      <c r="C2931" s="185">
        <f>IF($K2931="","",INDEX(Zeiterfassung!$K$6:$K$3665,$K2931))</f>
        <v/>
      </c>
      <c r="D2931" s="186">
        <f>IF($K2931="","",INDEX(Zeiterfassung!$D$6:$D$3665,$K2931))</f>
        <v/>
      </c>
      <c r="E2931" s="186">
        <f>IF($K2931="","",INDEX(Zeiterfassung!$E$6:$E$3665,$K2931))</f>
        <v/>
      </c>
      <c r="F2931" s="187">
        <f>IF($K2931="","",INDEX(Zeiterfassung!$F$6:$F$3665,$K2931))</f>
        <v/>
      </c>
      <c r="G2931" s="187">
        <f>IF($K2931="","",INDEX(Zeiterfassung!$G$6:$G$3665,$K2931))</f>
        <v/>
      </c>
      <c r="H2931" s="188">
        <f>IF($K2931="","",INDEX(Zeiterfassung!$H$6:$H$3665,$K2931))</f>
        <v/>
      </c>
      <c r="I2931" s="335">
        <f>IF(B2931=B2930,"",IF($K2931="","",INDEX(Zeiterfassung!$I$6:$I$3665,MATCH(INDEX(Zeiterfassung!$K$6:$K$3665,$K2931),Zeiterfassung!$K$6:$K$3665,0))))</f>
        <v/>
      </c>
      <c r="J2931" s="335">
        <f>IF(B2931=B2930,"",IF($K2931="","",INDEX(Zeiterfassung!$J$6:$J$3665,MATCH(INDEX(Zeiterfassung!$K$6:$K$3665,$K2931),Zeiterfassung!$K$6:$K$3665,0))))</f>
        <v/>
      </c>
      <c r="K2931">
        <f>IFERROR(AGGREGATE(15,6,(ROW(Zeiterfassung!$D$6:$D$3665)-ROW(Zeiterfassung!$D$6)+1)/(Zeiterfassung!$D$6:$D$3665&lt;&gt;""),2926),"")</f>
        <v/>
      </c>
    </row>
    <row r="2932" ht="20" customHeight="1">
      <c r="A2932" s="183">
        <f>IF($K2932="","",WEEKNUM(INDEX(Zeiterfassung!$K$6:$K$3665,$K2932),21))</f>
        <v/>
      </c>
      <c r="B2932" s="184">
        <f>IF($K2932="","",INDEX(Zeiterfassung!$K$6:$K$3665,$K2932))</f>
        <v/>
      </c>
      <c r="C2932" s="185">
        <f>IF($K2932="","",INDEX(Zeiterfassung!$K$6:$K$3665,$K2932))</f>
        <v/>
      </c>
      <c r="D2932" s="186">
        <f>IF($K2932="","",INDEX(Zeiterfassung!$D$6:$D$3665,$K2932))</f>
        <v/>
      </c>
      <c r="E2932" s="186">
        <f>IF($K2932="","",INDEX(Zeiterfassung!$E$6:$E$3665,$K2932))</f>
        <v/>
      </c>
      <c r="F2932" s="187">
        <f>IF($K2932="","",INDEX(Zeiterfassung!$F$6:$F$3665,$K2932))</f>
        <v/>
      </c>
      <c r="G2932" s="187">
        <f>IF($K2932="","",INDEX(Zeiterfassung!$G$6:$G$3665,$K2932))</f>
        <v/>
      </c>
      <c r="H2932" s="188">
        <f>IF($K2932="","",INDEX(Zeiterfassung!$H$6:$H$3665,$K2932))</f>
        <v/>
      </c>
      <c r="I2932" s="335">
        <f>IF(B2932=B2931,"",IF($K2932="","",INDEX(Zeiterfassung!$I$6:$I$3665,MATCH(INDEX(Zeiterfassung!$K$6:$K$3665,$K2932),Zeiterfassung!$K$6:$K$3665,0))))</f>
        <v/>
      </c>
      <c r="J2932" s="335">
        <f>IF(B2932=B2931,"",IF($K2932="","",INDEX(Zeiterfassung!$J$6:$J$3665,MATCH(INDEX(Zeiterfassung!$K$6:$K$3665,$K2932),Zeiterfassung!$K$6:$K$3665,0))))</f>
        <v/>
      </c>
      <c r="K2932">
        <f>IFERROR(AGGREGATE(15,6,(ROW(Zeiterfassung!$D$6:$D$3665)-ROW(Zeiterfassung!$D$6)+1)/(Zeiterfassung!$D$6:$D$3665&lt;&gt;""),2927),"")</f>
        <v/>
      </c>
    </row>
    <row r="2933" ht="20" customHeight="1">
      <c r="A2933" s="183">
        <f>IF($K2933="","",WEEKNUM(INDEX(Zeiterfassung!$K$6:$K$3665,$K2933),21))</f>
        <v/>
      </c>
      <c r="B2933" s="184">
        <f>IF($K2933="","",INDEX(Zeiterfassung!$K$6:$K$3665,$K2933))</f>
        <v/>
      </c>
      <c r="C2933" s="185">
        <f>IF($K2933="","",INDEX(Zeiterfassung!$K$6:$K$3665,$K2933))</f>
        <v/>
      </c>
      <c r="D2933" s="186">
        <f>IF($K2933="","",INDEX(Zeiterfassung!$D$6:$D$3665,$K2933))</f>
        <v/>
      </c>
      <c r="E2933" s="186">
        <f>IF($K2933="","",INDEX(Zeiterfassung!$E$6:$E$3665,$K2933))</f>
        <v/>
      </c>
      <c r="F2933" s="187">
        <f>IF($K2933="","",INDEX(Zeiterfassung!$F$6:$F$3665,$K2933))</f>
        <v/>
      </c>
      <c r="G2933" s="187">
        <f>IF($K2933="","",INDEX(Zeiterfassung!$G$6:$G$3665,$K2933))</f>
        <v/>
      </c>
      <c r="H2933" s="188">
        <f>IF($K2933="","",INDEX(Zeiterfassung!$H$6:$H$3665,$K2933))</f>
        <v/>
      </c>
      <c r="I2933" s="335">
        <f>IF(B2933=B2932,"",IF($K2933="","",INDEX(Zeiterfassung!$I$6:$I$3665,MATCH(INDEX(Zeiterfassung!$K$6:$K$3665,$K2933),Zeiterfassung!$K$6:$K$3665,0))))</f>
        <v/>
      </c>
      <c r="J2933" s="335">
        <f>IF(B2933=B2932,"",IF($K2933="","",INDEX(Zeiterfassung!$J$6:$J$3665,MATCH(INDEX(Zeiterfassung!$K$6:$K$3665,$K2933),Zeiterfassung!$K$6:$K$3665,0))))</f>
        <v/>
      </c>
      <c r="K2933">
        <f>IFERROR(AGGREGATE(15,6,(ROW(Zeiterfassung!$D$6:$D$3665)-ROW(Zeiterfassung!$D$6)+1)/(Zeiterfassung!$D$6:$D$3665&lt;&gt;""),2928),"")</f>
        <v/>
      </c>
    </row>
    <row r="2934" ht="20" customHeight="1">
      <c r="A2934" s="183">
        <f>IF($K2934="","",WEEKNUM(INDEX(Zeiterfassung!$K$6:$K$3665,$K2934),21))</f>
        <v/>
      </c>
      <c r="B2934" s="184">
        <f>IF($K2934="","",INDEX(Zeiterfassung!$K$6:$K$3665,$K2934))</f>
        <v/>
      </c>
      <c r="C2934" s="185">
        <f>IF($K2934="","",INDEX(Zeiterfassung!$K$6:$K$3665,$K2934))</f>
        <v/>
      </c>
      <c r="D2934" s="186">
        <f>IF($K2934="","",INDEX(Zeiterfassung!$D$6:$D$3665,$K2934))</f>
        <v/>
      </c>
      <c r="E2934" s="186">
        <f>IF($K2934="","",INDEX(Zeiterfassung!$E$6:$E$3665,$K2934))</f>
        <v/>
      </c>
      <c r="F2934" s="187">
        <f>IF($K2934="","",INDEX(Zeiterfassung!$F$6:$F$3665,$K2934))</f>
        <v/>
      </c>
      <c r="G2934" s="187">
        <f>IF($K2934="","",INDEX(Zeiterfassung!$G$6:$G$3665,$K2934))</f>
        <v/>
      </c>
      <c r="H2934" s="188">
        <f>IF($K2934="","",INDEX(Zeiterfassung!$H$6:$H$3665,$K2934))</f>
        <v/>
      </c>
      <c r="I2934" s="335">
        <f>IF(B2934=B2933,"",IF($K2934="","",INDEX(Zeiterfassung!$I$6:$I$3665,MATCH(INDEX(Zeiterfassung!$K$6:$K$3665,$K2934),Zeiterfassung!$K$6:$K$3665,0))))</f>
        <v/>
      </c>
      <c r="J2934" s="335">
        <f>IF(B2934=B2933,"",IF($K2934="","",INDEX(Zeiterfassung!$J$6:$J$3665,MATCH(INDEX(Zeiterfassung!$K$6:$K$3665,$K2934),Zeiterfassung!$K$6:$K$3665,0))))</f>
        <v/>
      </c>
      <c r="K2934">
        <f>IFERROR(AGGREGATE(15,6,(ROW(Zeiterfassung!$D$6:$D$3665)-ROW(Zeiterfassung!$D$6)+1)/(Zeiterfassung!$D$6:$D$3665&lt;&gt;""),2929),"")</f>
        <v/>
      </c>
    </row>
    <row r="2935" ht="20" customHeight="1">
      <c r="A2935" s="183">
        <f>IF($K2935="","",WEEKNUM(INDEX(Zeiterfassung!$K$6:$K$3665,$K2935),21))</f>
        <v/>
      </c>
      <c r="B2935" s="184">
        <f>IF($K2935="","",INDEX(Zeiterfassung!$K$6:$K$3665,$K2935))</f>
        <v/>
      </c>
      <c r="C2935" s="185">
        <f>IF($K2935="","",INDEX(Zeiterfassung!$K$6:$K$3665,$K2935))</f>
        <v/>
      </c>
      <c r="D2935" s="186">
        <f>IF($K2935="","",INDEX(Zeiterfassung!$D$6:$D$3665,$K2935))</f>
        <v/>
      </c>
      <c r="E2935" s="186">
        <f>IF($K2935="","",INDEX(Zeiterfassung!$E$6:$E$3665,$K2935))</f>
        <v/>
      </c>
      <c r="F2935" s="187">
        <f>IF($K2935="","",INDEX(Zeiterfassung!$F$6:$F$3665,$K2935))</f>
        <v/>
      </c>
      <c r="G2935" s="187">
        <f>IF($K2935="","",INDEX(Zeiterfassung!$G$6:$G$3665,$K2935))</f>
        <v/>
      </c>
      <c r="H2935" s="188">
        <f>IF($K2935="","",INDEX(Zeiterfassung!$H$6:$H$3665,$K2935))</f>
        <v/>
      </c>
      <c r="I2935" s="335">
        <f>IF(B2935=B2934,"",IF($K2935="","",INDEX(Zeiterfassung!$I$6:$I$3665,MATCH(INDEX(Zeiterfassung!$K$6:$K$3665,$K2935),Zeiterfassung!$K$6:$K$3665,0))))</f>
        <v/>
      </c>
      <c r="J2935" s="335">
        <f>IF(B2935=B2934,"",IF($K2935="","",INDEX(Zeiterfassung!$J$6:$J$3665,MATCH(INDEX(Zeiterfassung!$K$6:$K$3665,$K2935),Zeiterfassung!$K$6:$K$3665,0))))</f>
        <v/>
      </c>
      <c r="K2935">
        <f>IFERROR(AGGREGATE(15,6,(ROW(Zeiterfassung!$D$6:$D$3665)-ROW(Zeiterfassung!$D$6)+1)/(Zeiterfassung!$D$6:$D$3665&lt;&gt;""),2930),"")</f>
        <v/>
      </c>
    </row>
    <row r="2936" ht="20" customHeight="1">
      <c r="A2936" s="183">
        <f>IF($K2936="","",WEEKNUM(INDEX(Zeiterfassung!$K$6:$K$3665,$K2936),21))</f>
        <v/>
      </c>
      <c r="B2936" s="184">
        <f>IF($K2936="","",INDEX(Zeiterfassung!$K$6:$K$3665,$K2936))</f>
        <v/>
      </c>
      <c r="C2936" s="185">
        <f>IF($K2936="","",INDEX(Zeiterfassung!$K$6:$K$3665,$K2936))</f>
        <v/>
      </c>
      <c r="D2936" s="186">
        <f>IF($K2936="","",INDEX(Zeiterfassung!$D$6:$D$3665,$K2936))</f>
        <v/>
      </c>
      <c r="E2936" s="186">
        <f>IF($K2936="","",INDEX(Zeiterfassung!$E$6:$E$3665,$K2936))</f>
        <v/>
      </c>
      <c r="F2936" s="187">
        <f>IF($K2936="","",INDEX(Zeiterfassung!$F$6:$F$3665,$K2936))</f>
        <v/>
      </c>
      <c r="G2936" s="187">
        <f>IF($K2936="","",INDEX(Zeiterfassung!$G$6:$G$3665,$K2936))</f>
        <v/>
      </c>
      <c r="H2936" s="188">
        <f>IF($K2936="","",INDEX(Zeiterfassung!$H$6:$H$3665,$K2936))</f>
        <v/>
      </c>
      <c r="I2936" s="335">
        <f>IF(B2936=B2935,"",IF($K2936="","",INDEX(Zeiterfassung!$I$6:$I$3665,MATCH(INDEX(Zeiterfassung!$K$6:$K$3665,$K2936),Zeiterfassung!$K$6:$K$3665,0))))</f>
        <v/>
      </c>
      <c r="J2936" s="335">
        <f>IF(B2936=B2935,"",IF($K2936="","",INDEX(Zeiterfassung!$J$6:$J$3665,MATCH(INDEX(Zeiterfassung!$K$6:$K$3665,$K2936),Zeiterfassung!$K$6:$K$3665,0))))</f>
        <v/>
      </c>
      <c r="K2936">
        <f>IFERROR(AGGREGATE(15,6,(ROW(Zeiterfassung!$D$6:$D$3665)-ROW(Zeiterfassung!$D$6)+1)/(Zeiterfassung!$D$6:$D$3665&lt;&gt;""),2931),"")</f>
        <v/>
      </c>
    </row>
    <row r="2937" ht="20" customHeight="1">
      <c r="A2937" s="183">
        <f>IF($K2937="","",WEEKNUM(INDEX(Zeiterfassung!$K$6:$K$3665,$K2937),21))</f>
        <v/>
      </c>
      <c r="B2937" s="184">
        <f>IF($K2937="","",INDEX(Zeiterfassung!$K$6:$K$3665,$K2937))</f>
        <v/>
      </c>
      <c r="C2937" s="185">
        <f>IF($K2937="","",INDEX(Zeiterfassung!$K$6:$K$3665,$K2937))</f>
        <v/>
      </c>
      <c r="D2937" s="186">
        <f>IF($K2937="","",INDEX(Zeiterfassung!$D$6:$D$3665,$K2937))</f>
        <v/>
      </c>
      <c r="E2937" s="186">
        <f>IF($K2937="","",INDEX(Zeiterfassung!$E$6:$E$3665,$K2937))</f>
        <v/>
      </c>
      <c r="F2937" s="187">
        <f>IF($K2937="","",INDEX(Zeiterfassung!$F$6:$F$3665,$K2937))</f>
        <v/>
      </c>
      <c r="G2937" s="187">
        <f>IF($K2937="","",INDEX(Zeiterfassung!$G$6:$G$3665,$K2937))</f>
        <v/>
      </c>
      <c r="H2937" s="188">
        <f>IF($K2937="","",INDEX(Zeiterfassung!$H$6:$H$3665,$K2937))</f>
        <v/>
      </c>
      <c r="I2937" s="335">
        <f>IF(B2937=B2936,"",IF($K2937="","",INDEX(Zeiterfassung!$I$6:$I$3665,MATCH(INDEX(Zeiterfassung!$K$6:$K$3665,$K2937),Zeiterfassung!$K$6:$K$3665,0))))</f>
        <v/>
      </c>
      <c r="J2937" s="335">
        <f>IF(B2937=B2936,"",IF($K2937="","",INDEX(Zeiterfassung!$J$6:$J$3665,MATCH(INDEX(Zeiterfassung!$K$6:$K$3665,$K2937),Zeiterfassung!$K$6:$K$3665,0))))</f>
        <v/>
      </c>
      <c r="K2937">
        <f>IFERROR(AGGREGATE(15,6,(ROW(Zeiterfassung!$D$6:$D$3665)-ROW(Zeiterfassung!$D$6)+1)/(Zeiterfassung!$D$6:$D$3665&lt;&gt;""),2932),"")</f>
        <v/>
      </c>
    </row>
    <row r="2938" ht="20" customHeight="1">
      <c r="A2938" s="183">
        <f>IF($K2938="","",WEEKNUM(INDEX(Zeiterfassung!$K$6:$K$3665,$K2938),21))</f>
        <v/>
      </c>
      <c r="B2938" s="184">
        <f>IF($K2938="","",INDEX(Zeiterfassung!$K$6:$K$3665,$K2938))</f>
        <v/>
      </c>
      <c r="C2938" s="185">
        <f>IF($K2938="","",INDEX(Zeiterfassung!$K$6:$K$3665,$K2938))</f>
        <v/>
      </c>
      <c r="D2938" s="186">
        <f>IF($K2938="","",INDEX(Zeiterfassung!$D$6:$D$3665,$K2938))</f>
        <v/>
      </c>
      <c r="E2938" s="186">
        <f>IF($K2938="","",INDEX(Zeiterfassung!$E$6:$E$3665,$K2938))</f>
        <v/>
      </c>
      <c r="F2938" s="187">
        <f>IF($K2938="","",INDEX(Zeiterfassung!$F$6:$F$3665,$K2938))</f>
        <v/>
      </c>
      <c r="G2938" s="187">
        <f>IF($K2938="","",INDEX(Zeiterfassung!$G$6:$G$3665,$K2938))</f>
        <v/>
      </c>
      <c r="H2938" s="188">
        <f>IF($K2938="","",INDEX(Zeiterfassung!$H$6:$H$3665,$K2938))</f>
        <v/>
      </c>
      <c r="I2938" s="335">
        <f>IF(B2938=B2937,"",IF($K2938="","",INDEX(Zeiterfassung!$I$6:$I$3665,MATCH(INDEX(Zeiterfassung!$K$6:$K$3665,$K2938),Zeiterfassung!$K$6:$K$3665,0))))</f>
        <v/>
      </c>
      <c r="J2938" s="335">
        <f>IF(B2938=B2937,"",IF($K2938="","",INDEX(Zeiterfassung!$J$6:$J$3665,MATCH(INDEX(Zeiterfassung!$K$6:$K$3665,$K2938),Zeiterfassung!$K$6:$K$3665,0))))</f>
        <v/>
      </c>
      <c r="K2938">
        <f>IFERROR(AGGREGATE(15,6,(ROW(Zeiterfassung!$D$6:$D$3665)-ROW(Zeiterfassung!$D$6)+1)/(Zeiterfassung!$D$6:$D$3665&lt;&gt;""),2933),"")</f>
        <v/>
      </c>
    </row>
    <row r="2939" ht="20" customHeight="1">
      <c r="A2939" s="183">
        <f>IF($K2939="","",WEEKNUM(INDEX(Zeiterfassung!$K$6:$K$3665,$K2939),21))</f>
        <v/>
      </c>
      <c r="B2939" s="184">
        <f>IF($K2939="","",INDEX(Zeiterfassung!$K$6:$K$3665,$K2939))</f>
        <v/>
      </c>
      <c r="C2939" s="185">
        <f>IF($K2939="","",INDEX(Zeiterfassung!$K$6:$K$3665,$K2939))</f>
        <v/>
      </c>
      <c r="D2939" s="186">
        <f>IF($K2939="","",INDEX(Zeiterfassung!$D$6:$D$3665,$K2939))</f>
        <v/>
      </c>
      <c r="E2939" s="186">
        <f>IF($K2939="","",INDEX(Zeiterfassung!$E$6:$E$3665,$K2939))</f>
        <v/>
      </c>
      <c r="F2939" s="187">
        <f>IF($K2939="","",INDEX(Zeiterfassung!$F$6:$F$3665,$K2939))</f>
        <v/>
      </c>
      <c r="G2939" s="187">
        <f>IF($K2939="","",INDEX(Zeiterfassung!$G$6:$G$3665,$K2939))</f>
        <v/>
      </c>
      <c r="H2939" s="188">
        <f>IF($K2939="","",INDEX(Zeiterfassung!$H$6:$H$3665,$K2939))</f>
        <v/>
      </c>
      <c r="I2939" s="335">
        <f>IF(B2939=B2938,"",IF($K2939="","",INDEX(Zeiterfassung!$I$6:$I$3665,MATCH(INDEX(Zeiterfassung!$K$6:$K$3665,$K2939),Zeiterfassung!$K$6:$K$3665,0))))</f>
        <v/>
      </c>
      <c r="J2939" s="335">
        <f>IF(B2939=B2938,"",IF($K2939="","",INDEX(Zeiterfassung!$J$6:$J$3665,MATCH(INDEX(Zeiterfassung!$K$6:$K$3665,$K2939),Zeiterfassung!$K$6:$K$3665,0))))</f>
        <v/>
      </c>
      <c r="K2939">
        <f>IFERROR(AGGREGATE(15,6,(ROW(Zeiterfassung!$D$6:$D$3665)-ROW(Zeiterfassung!$D$6)+1)/(Zeiterfassung!$D$6:$D$3665&lt;&gt;""),2934),"")</f>
        <v/>
      </c>
    </row>
    <row r="2940" ht="20" customHeight="1">
      <c r="A2940" s="183">
        <f>IF($K2940="","",WEEKNUM(INDEX(Zeiterfassung!$K$6:$K$3665,$K2940),21))</f>
        <v/>
      </c>
      <c r="B2940" s="184">
        <f>IF($K2940="","",INDEX(Zeiterfassung!$K$6:$K$3665,$K2940))</f>
        <v/>
      </c>
      <c r="C2940" s="185">
        <f>IF($K2940="","",INDEX(Zeiterfassung!$K$6:$K$3665,$K2940))</f>
        <v/>
      </c>
      <c r="D2940" s="186">
        <f>IF($K2940="","",INDEX(Zeiterfassung!$D$6:$D$3665,$K2940))</f>
        <v/>
      </c>
      <c r="E2940" s="186">
        <f>IF($K2940="","",INDEX(Zeiterfassung!$E$6:$E$3665,$K2940))</f>
        <v/>
      </c>
      <c r="F2940" s="187">
        <f>IF($K2940="","",INDEX(Zeiterfassung!$F$6:$F$3665,$K2940))</f>
        <v/>
      </c>
      <c r="G2940" s="187">
        <f>IF($K2940="","",INDEX(Zeiterfassung!$G$6:$G$3665,$K2940))</f>
        <v/>
      </c>
      <c r="H2940" s="188">
        <f>IF($K2940="","",INDEX(Zeiterfassung!$H$6:$H$3665,$K2940))</f>
        <v/>
      </c>
      <c r="I2940" s="335">
        <f>IF(B2940=B2939,"",IF($K2940="","",INDEX(Zeiterfassung!$I$6:$I$3665,MATCH(INDEX(Zeiterfassung!$K$6:$K$3665,$K2940),Zeiterfassung!$K$6:$K$3665,0))))</f>
        <v/>
      </c>
      <c r="J2940" s="335">
        <f>IF(B2940=B2939,"",IF($K2940="","",INDEX(Zeiterfassung!$J$6:$J$3665,MATCH(INDEX(Zeiterfassung!$K$6:$K$3665,$K2940),Zeiterfassung!$K$6:$K$3665,0))))</f>
        <v/>
      </c>
      <c r="K2940">
        <f>IFERROR(AGGREGATE(15,6,(ROW(Zeiterfassung!$D$6:$D$3665)-ROW(Zeiterfassung!$D$6)+1)/(Zeiterfassung!$D$6:$D$3665&lt;&gt;""),2935),"")</f>
        <v/>
      </c>
    </row>
    <row r="2941" ht="20" customHeight="1">
      <c r="A2941" s="183">
        <f>IF($K2941="","",WEEKNUM(INDEX(Zeiterfassung!$K$6:$K$3665,$K2941),21))</f>
        <v/>
      </c>
      <c r="B2941" s="184">
        <f>IF($K2941="","",INDEX(Zeiterfassung!$K$6:$K$3665,$K2941))</f>
        <v/>
      </c>
      <c r="C2941" s="185">
        <f>IF($K2941="","",INDEX(Zeiterfassung!$K$6:$K$3665,$K2941))</f>
        <v/>
      </c>
      <c r="D2941" s="186">
        <f>IF($K2941="","",INDEX(Zeiterfassung!$D$6:$D$3665,$K2941))</f>
        <v/>
      </c>
      <c r="E2941" s="186">
        <f>IF($K2941="","",INDEX(Zeiterfassung!$E$6:$E$3665,$K2941))</f>
        <v/>
      </c>
      <c r="F2941" s="187">
        <f>IF($K2941="","",INDEX(Zeiterfassung!$F$6:$F$3665,$K2941))</f>
        <v/>
      </c>
      <c r="G2941" s="187">
        <f>IF($K2941="","",INDEX(Zeiterfassung!$G$6:$G$3665,$K2941))</f>
        <v/>
      </c>
      <c r="H2941" s="188">
        <f>IF($K2941="","",INDEX(Zeiterfassung!$H$6:$H$3665,$K2941))</f>
        <v/>
      </c>
      <c r="I2941" s="335">
        <f>IF(B2941=B2940,"",IF($K2941="","",INDEX(Zeiterfassung!$I$6:$I$3665,MATCH(INDEX(Zeiterfassung!$K$6:$K$3665,$K2941),Zeiterfassung!$K$6:$K$3665,0))))</f>
        <v/>
      </c>
      <c r="J2941" s="335">
        <f>IF(B2941=B2940,"",IF($K2941="","",INDEX(Zeiterfassung!$J$6:$J$3665,MATCH(INDEX(Zeiterfassung!$K$6:$K$3665,$K2941),Zeiterfassung!$K$6:$K$3665,0))))</f>
        <v/>
      </c>
      <c r="K2941">
        <f>IFERROR(AGGREGATE(15,6,(ROW(Zeiterfassung!$D$6:$D$3665)-ROW(Zeiterfassung!$D$6)+1)/(Zeiterfassung!$D$6:$D$3665&lt;&gt;""),2936),"")</f>
        <v/>
      </c>
    </row>
    <row r="2942" ht="20" customHeight="1">
      <c r="A2942" s="183">
        <f>IF($K2942="","",WEEKNUM(INDEX(Zeiterfassung!$K$6:$K$3665,$K2942),21))</f>
        <v/>
      </c>
      <c r="B2942" s="184">
        <f>IF($K2942="","",INDEX(Zeiterfassung!$K$6:$K$3665,$K2942))</f>
        <v/>
      </c>
      <c r="C2942" s="185">
        <f>IF($K2942="","",INDEX(Zeiterfassung!$K$6:$K$3665,$K2942))</f>
        <v/>
      </c>
      <c r="D2942" s="186">
        <f>IF($K2942="","",INDEX(Zeiterfassung!$D$6:$D$3665,$K2942))</f>
        <v/>
      </c>
      <c r="E2942" s="186">
        <f>IF($K2942="","",INDEX(Zeiterfassung!$E$6:$E$3665,$K2942))</f>
        <v/>
      </c>
      <c r="F2942" s="187">
        <f>IF($K2942="","",INDEX(Zeiterfassung!$F$6:$F$3665,$K2942))</f>
        <v/>
      </c>
      <c r="G2942" s="187">
        <f>IF($K2942="","",INDEX(Zeiterfassung!$G$6:$G$3665,$K2942))</f>
        <v/>
      </c>
      <c r="H2942" s="188">
        <f>IF($K2942="","",INDEX(Zeiterfassung!$H$6:$H$3665,$K2942))</f>
        <v/>
      </c>
      <c r="I2942" s="335">
        <f>IF(B2942=B2941,"",IF($K2942="","",INDEX(Zeiterfassung!$I$6:$I$3665,MATCH(INDEX(Zeiterfassung!$K$6:$K$3665,$K2942),Zeiterfassung!$K$6:$K$3665,0))))</f>
        <v/>
      </c>
      <c r="J2942" s="335">
        <f>IF(B2942=B2941,"",IF($K2942="","",INDEX(Zeiterfassung!$J$6:$J$3665,MATCH(INDEX(Zeiterfassung!$K$6:$K$3665,$K2942),Zeiterfassung!$K$6:$K$3665,0))))</f>
        <v/>
      </c>
      <c r="K2942">
        <f>IFERROR(AGGREGATE(15,6,(ROW(Zeiterfassung!$D$6:$D$3665)-ROW(Zeiterfassung!$D$6)+1)/(Zeiterfassung!$D$6:$D$3665&lt;&gt;""),2937),"")</f>
        <v/>
      </c>
    </row>
    <row r="2943" ht="20" customHeight="1">
      <c r="A2943" s="183">
        <f>IF($K2943="","",WEEKNUM(INDEX(Zeiterfassung!$K$6:$K$3665,$K2943),21))</f>
        <v/>
      </c>
      <c r="B2943" s="184">
        <f>IF($K2943="","",INDEX(Zeiterfassung!$K$6:$K$3665,$K2943))</f>
        <v/>
      </c>
      <c r="C2943" s="185">
        <f>IF($K2943="","",INDEX(Zeiterfassung!$K$6:$K$3665,$K2943))</f>
        <v/>
      </c>
      <c r="D2943" s="186">
        <f>IF($K2943="","",INDEX(Zeiterfassung!$D$6:$D$3665,$K2943))</f>
        <v/>
      </c>
      <c r="E2943" s="186">
        <f>IF($K2943="","",INDEX(Zeiterfassung!$E$6:$E$3665,$K2943))</f>
        <v/>
      </c>
      <c r="F2943" s="187">
        <f>IF($K2943="","",INDEX(Zeiterfassung!$F$6:$F$3665,$K2943))</f>
        <v/>
      </c>
      <c r="G2943" s="187">
        <f>IF($K2943="","",INDEX(Zeiterfassung!$G$6:$G$3665,$K2943))</f>
        <v/>
      </c>
      <c r="H2943" s="188">
        <f>IF($K2943="","",INDEX(Zeiterfassung!$H$6:$H$3665,$K2943))</f>
        <v/>
      </c>
      <c r="I2943" s="335">
        <f>IF(B2943=B2942,"",IF($K2943="","",INDEX(Zeiterfassung!$I$6:$I$3665,MATCH(INDEX(Zeiterfassung!$K$6:$K$3665,$K2943),Zeiterfassung!$K$6:$K$3665,0))))</f>
        <v/>
      </c>
      <c r="J2943" s="335">
        <f>IF(B2943=B2942,"",IF($K2943="","",INDEX(Zeiterfassung!$J$6:$J$3665,MATCH(INDEX(Zeiterfassung!$K$6:$K$3665,$K2943),Zeiterfassung!$K$6:$K$3665,0))))</f>
        <v/>
      </c>
      <c r="K2943">
        <f>IFERROR(AGGREGATE(15,6,(ROW(Zeiterfassung!$D$6:$D$3665)-ROW(Zeiterfassung!$D$6)+1)/(Zeiterfassung!$D$6:$D$3665&lt;&gt;""),2938),"")</f>
        <v/>
      </c>
    </row>
    <row r="2944" ht="20" customHeight="1">
      <c r="A2944" s="183">
        <f>IF($K2944="","",WEEKNUM(INDEX(Zeiterfassung!$K$6:$K$3665,$K2944),21))</f>
        <v/>
      </c>
      <c r="B2944" s="184">
        <f>IF($K2944="","",INDEX(Zeiterfassung!$K$6:$K$3665,$K2944))</f>
        <v/>
      </c>
      <c r="C2944" s="185">
        <f>IF($K2944="","",INDEX(Zeiterfassung!$K$6:$K$3665,$K2944))</f>
        <v/>
      </c>
      <c r="D2944" s="186">
        <f>IF($K2944="","",INDEX(Zeiterfassung!$D$6:$D$3665,$K2944))</f>
        <v/>
      </c>
      <c r="E2944" s="186">
        <f>IF($K2944="","",INDEX(Zeiterfassung!$E$6:$E$3665,$K2944))</f>
        <v/>
      </c>
      <c r="F2944" s="187">
        <f>IF($K2944="","",INDEX(Zeiterfassung!$F$6:$F$3665,$K2944))</f>
        <v/>
      </c>
      <c r="G2944" s="187">
        <f>IF($K2944="","",INDEX(Zeiterfassung!$G$6:$G$3665,$K2944))</f>
        <v/>
      </c>
      <c r="H2944" s="188">
        <f>IF($K2944="","",INDEX(Zeiterfassung!$H$6:$H$3665,$K2944))</f>
        <v/>
      </c>
      <c r="I2944" s="335">
        <f>IF(B2944=B2943,"",IF($K2944="","",INDEX(Zeiterfassung!$I$6:$I$3665,MATCH(INDEX(Zeiterfassung!$K$6:$K$3665,$K2944),Zeiterfassung!$K$6:$K$3665,0))))</f>
        <v/>
      </c>
      <c r="J2944" s="335">
        <f>IF(B2944=B2943,"",IF($K2944="","",INDEX(Zeiterfassung!$J$6:$J$3665,MATCH(INDEX(Zeiterfassung!$K$6:$K$3665,$K2944),Zeiterfassung!$K$6:$K$3665,0))))</f>
        <v/>
      </c>
      <c r="K2944">
        <f>IFERROR(AGGREGATE(15,6,(ROW(Zeiterfassung!$D$6:$D$3665)-ROW(Zeiterfassung!$D$6)+1)/(Zeiterfassung!$D$6:$D$3665&lt;&gt;""),2939),"")</f>
        <v/>
      </c>
    </row>
    <row r="2945" ht="20" customHeight="1">
      <c r="A2945" s="183">
        <f>IF($K2945="","",WEEKNUM(INDEX(Zeiterfassung!$K$6:$K$3665,$K2945),21))</f>
        <v/>
      </c>
      <c r="B2945" s="184">
        <f>IF($K2945="","",INDEX(Zeiterfassung!$K$6:$K$3665,$K2945))</f>
        <v/>
      </c>
      <c r="C2945" s="185">
        <f>IF($K2945="","",INDEX(Zeiterfassung!$K$6:$K$3665,$K2945))</f>
        <v/>
      </c>
      <c r="D2945" s="186">
        <f>IF($K2945="","",INDEX(Zeiterfassung!$D$6:$D$3665,$K2945))</f>
        <v/>
      </c>
      <c r="E2945" s="186">
        <f>IF($K2945="","",INDEX(Zeiterfassung!$E$6:$E$3665,$K2945))</f>
        <v/>
      </c>
      <c r="F2945" s="187">
        <f>IF($K2945="","",INDEX(Zeiterfassung!$F$6:$F$3665,$K2945))</f>
        <v/>
      </c>
      <c r="G2945" s="187">
        <f>IF($K2945="","",INDEX(Zeiterfassung!$G$6:$G$3665,$K2945))</f>
        <v/>
      </c>
      <c r="H2945" s="188">
        <f>IF($K2945="","",INDEX(Zeiterfassung!$H$6:$H$3665,$K2945))</f>
        <v/>
      </c>
      <c r="I2945" s="335">
        <f>IF(B2945=B2944,"",IF($K2945="","",INDEX(Zeiterfassung!$I$6:$I$3665,MATCH(INDEX(Zeiterfassung!$K$6:$K$3665,$K2945),Zeiterfassung!$K$6:$K$3665,0))))</f>
        <v/>
      </c>
      <c r="J2945" s="335">
        <f>IF(B2945=B2944,"",IF($K2945="","",INDEX(Zeiterfassung!$J$6:$J$3665,MATCH(INDEX(Zeiterfassung!$K$6:$K$3665,$K2945),Zeiterfassung!$K$6:$K$3665,0))))</f>
        <v/>
      </c>
      <c r="K2945">
        <f>IFERROR(AGGREGATE(15,6,(ROW(Zeiterfassung!$D$6:$D$3665)-ROW(Zeiterfassung!$D$6)+1)/(Zeiterfassung!$D$6:$D$3665&lt;&gt;""),2940),"")</f>
        <v/>
      </c>
    </row>
    <row r="2946" ht="20" customHeight="1">
      <c r="A2946" s="183">
        <f>IF($K2946="","",WEEKNUM(INDEX(Zeiterfassung!$K$6:$K$3665,$K2946),21))</f>
        <v/>
      </c>
      <c r="B2946" s="184">
        <f>IF($K2946="","",INDEX(Zeiterfassung!$K$6:$K$3665,$K2946))</f>
        <v/>
      </c>
      <c r="C2946" s="185">
        <f>IF($K2946="","",INDEX(Zeiterfassung!$K$6:$K$3665,$K2946))</f>
        <v/>
      </c>
      <c r="D2946" s="186">
        <f>IF($K2946="","",INDEX(Zeiterfassung!$D$6:$D$3665,$K2946))</f>
        <v/>
      </c>
      <c r="E2946" s="186">
        <f>IF($K2946="","",INDEX(Zeiterfassung!$E$6:$E$3665,$K2946))</f>
        <v/>
      </c>
      <c r="F2946" s="187">
        <f>IF($K2946="","",INDEX(Zeiterfassung!$F$6:$F$3665,$K2946))</f>
        <v/>
      </c>
      <c r="G2946" s="187">
        <f>IF($K2946="","",INDEX(Zeiterfassung!$G$6:$G$3665,$K2946))</f>
        <v/>
      </c>
      <c r="H2946" s="188">
        <f>IF($K2946="","",INDEX(Zeiterfassung!$H$6:$H$3665,$K2946))</f>
        <v/>
      </c>
      <c r="I2946" s="335">
        <f>IF(B2946=B2945,"",IF($K2946="","",INDEX(Zeiterfassung!$I$6:$I$3665,MATCH(INDEX(Zeiterfassung!$K$6:$K$3665,$K2946),Zeiterfassung!$K$6:$K$3665,0))))</f>
        <v/>
      </c>
      <c r="J2946" s="335">
        <f>IF(B2946=B2945,"",IF($K2946="","",INDEX(Zeiterfassung!$J$6:$J$3665,MATCH(INDEX(Zeiterfassung!$K$6:$K$3665,$K2946),Zeiterfassung!$K$6:$K$3665,0))))</f>
        <v/>
      </c>
      <c r="K2946">
        <f>IFERROR(AGGREGATE(15,6,(ROW(Zeiterfassung!$D$6:$D$3665)-ROW(Zeiterfassung!$D$6)+1)/(Zeiterfassung!$D$6:$D$3665&lt;&gt;""),2941),"")</f>
        <v/>
      </c>
    </row>
    <row r="2947" ht="20" customHeight="1">
      <c r="A2947" s="183">
        <f>IF($K2947="","",WEEKNUM(INDEX(Zeiterfassung!$K$6:$K$3665,$K2947),21))</f>
        <v/>
      </c>
      <c r="B2947" s="184">
        <f>IF($K2947="","",INDEX(Zeiterfassung!$K$6:$K$3665,$K2947))</f>
        <v/>
      </c>
      <c r="C2947" s="185">
        <f>IF($K2947="","",INDEX(Zeiterfassung!$K$6:$K$3665,$K2947))</f>
        <v/>
      </c>
      <c r="D2947" s="186">
        <f>IF($K2947="","",INDEX(Zeiterfassung!$D$6:$D$3665,$K2947))</f>
        <v/>
      </c>
      <c r="E2947" s="186">
        <f>IF($K2947="","",INDEX(Zeiterfassung!$E$6:$E$3665,$K2947))</f>
        <v/>
      </c>
      <c r="F2947" s="187">
        <f>IF($K2947="","",INDEX(Zeiterfassung!$F$6:$F$3665,$K2947))</f>
        <v/>
      </c>
      <c r="G2947" s="187">
        <f>IF($K2947="","",INDEX(Zeiterfassung!$G$6:$G$3665,$K2947))</f>
        <v/>
      </c>
      <c r="H2947" s="188">
        <f>IF($K2947="","",INDEX(Zeiterfassung!$H$6:$H$3665,$K2947))</f>
        <v/>
      </c>
      <c r="I2947" s="335">
        <f>IF(B2947=B2946,"",IF($K2947="","",INDEX(Zeiterfassung!$I$6:$I$3665,MATCH(INDEX(Zeiterfassung!$K$6:$K$3665,$K2947),Zeiterfassung!$K$6:$K$3665,0))))</f>
        <v/>
      </c>
      <c r="J2947" s="335">
        <f>IF(B2947=B2946,"",IF($K2947="","",INDEX(Zeiterfassung!$J$6:$J$3665,MATCH(INDEX(Zeiterfassung!$K$6:$K$3665,$K2947),Zeiterfassung!$K$6:$K$3665,0))))</f>
        <v/>
      </c>
      <c r="K2947">
        <f>IFERROR(AGGREGATE(15,6,(ROW(Zeiterfassung!$D$6:$D$3665)-ROW(Zeiterfassung!$D$6)+1)/(Zeiterfassung!$D$6:$D$3665&lt;&gt;""),2942),"")</f>
        <v/>
      </c>
    </row>
    <row r="2948" ht="20" customHeight="1">
      <c r="A2948" s="183">
        <f>IF($K2948="","",WEEKNUM(INDEX(Zeiterfassung!$K$6:$K$3665,$K2948),21))</f>
        <v/>
      </c>
      <c r="B2948" s="184">
        <f>IF($K2948="","",INDEX(Zeiterfassung!$K$6:$K$3665,$K2948))</f>
        <v/>
      </c>
      <c r="C2948" s="185">
        <f>IF($K2948="","",INDEX(Zeiterfassung!$K$6:$K$3665,$K2948))</f>
        <v/>
      </c>
      <c r="D2948" s="186">
        <f>IF($K2948="","",INDEX(Zeiterfassung!$D$6:$D$3665,$K2948))</f>
        <v/>
      </c>
      <c r="E2948" s="186">
        <f>IF($K2948="","",INDEX(Zeiterfassung!$E$6:$E$3665,$K2948))</f>
        <v/>
      </c>
      <c r="F2948" s="187">
        <f>IF($K2948="","",INDEX(Zeiterfassung!$F$6:$F$3665,$K2948))</f>
        <v/>
      </c>
      <c r="G2948" s="187">
        <f>IF($K2948="","",INDEX(Zeiterfassung!$G$6:$G$3665,$K2948))</f>
        <v/>
      </c>
      <c r="H2948" s="188">
        <f>IF($K2948="","",INDEX(Zeiterfassung!$H$6:$H$3665,$K2948))</f>
        <v/>
      </c>
      <c r="I2948" s="335">
        <f>IF(B2948=B2947,"",IF($K2948="","",INDEX(Zeiterfassung!$I$6:$I$3665,MATCH(INDEX(Zeiterfassung!$K$6:$K$3665,$K2948),Zeiterfassung!$K$6:$K$3665,0))))</f>
        <v/>
      </c>
      <c r="J2948" s="335">
        <f>IF(B2948=B2947,"",IF($K2948="","",INDEX(Zeiterfassung!$J$6:$J$3665,MATCH(INDEX(Zeiterfassung!$K$6:$K$3665,$K2948),Zeiterfassung!$K$6:$K$3665,0))))</f>
        <v/>
      </c>
      <c r="K2948">
        <f>IFERROR(AGGREGATE(15,6,(ROW(Zeiterfassung!$D$6:$D$3665)-ROW(Zeiterfassung!$D$6)+1)/(Zeiterfassung!$D$6:$D$3665&lt;&gt;""),2943),"")</f>
        <v/>
      </c>
    </row>
    <row r="2949" ht="20" customHeight="1">
      <c r="A2949" s="183">
        <f>IF($K2949="","",WEEKNUM(INDEX(Zeiterfassung!$K$6:$K$3665,$K2949),21))</f>
        <v/>
      </c>
      <c r="B2949" s="184">
        <f>IF($K2949="","",INDEX(Zeiterfassung!$K$6:$K$3665,$K2949))</f>
        <v/>
      </c>
      <c r="C2949" s="185">
        <f>IF($K2949="","",INDEX(Zeiterfassung!$K$6:$K$3665,$K2949))</f>
        <v/>
      </c>
      <c r="D2949" s="186">
        <f>IF($K2949="","",INDEX(Zeiterfassung!$D$6:$D$3665,$K2949))</f>
        <v/>
      </c>
      <c r="E2949" s="186">
        <f>IF($K2949="","",INDEX(Zeiterfassung!$E$6:$E$3665,$K2949))</f>
        <v/>
      </c>
      <c r="F2949" s="187">
        <f>IF($K2949="","",INDEX(Zeiterfassung!$F$6:$F$3665,$K2949))</f>
        <v/>
      </c>
      <c r="G2949" s="187">
        <f>IF($K2949="","",INDEX(Zeiterfassung!$G$6:$G$3665,$K2949))</f>
        <v/>
      </c>
      <c r="H2949" s="188">
        <f>IF($K2949="","",INDEX(Zeiterfassung!$H$6:$H$3665,$K2949))</f>
        <v/>
      </c>
      <c r="I2949" s="335">
        <f>IF(B2949=B2948,"",IF($K2949="","",INDEX(Zeiterfassung!$I$6:$I$3665,MATCH(INDEX(Zeiterfassung!$K$6:$K$3665,$K2949),Zeiterfassung!$K$6:$K$3665,0))))</f>
        <v/>
      </c>
      <c r="J2949" s="335">
        <f>IF(B2949=B2948,"",IF($K2949="","",INDEX(Zeiterfassung!$J$6:$J$3665,MATCH(INDEX(Zeiterfassung!$K$6:$K$3665,$K2949),Zeiterfassung!$K$6:$K$3665,0))))</f>
        <v/>
      </c>
      <c r="K2949">
        <f>IFERROR(AGGREGATE(15,6,(ROW(Zeiterfassung!$D$6:$D$3665)-ROW(Zeiterfassung!$D$6)+1)/(Zeiterfassung!$D$6:$D$3665&lt;&gt;""),2944),"")</f>
        <v/>
      </c>
    </row>
    <row r="2950" ht="20" customHeight="1">
      <c r="A2950" s="183">
        <f>IF($K2950="","",WEEKNUM(INDEX(Zeiterfassung!$K$6:$K$3665,$K2950),21))</f>
        <v/>
      </c>
      <c r="B2950" s="184">
        <f>IF($K2950="","",INDEX(Zeiterfassung!$K$6:$K$3665,$K2950))</f>
        <v/>
      </c>
      <c r="C2950" s="185">
        <f>IF($K2950="","",INDEX(Zeiterfassung!$K$6:$K$3665,$K2950))</f>
        <v/>
      </c>
      <c r="D2950" s="186">
        <f>IF($K2950="","",INDEX(Zeiterfassung!$D$6:$D$3665,$K2950))</f>
        <v/>
      </c>
      <c r="E2950" s="186">
        <f>IF($K2950="","",INDEX(Zeiterfassung!$E$6:$E$3665,$K2950))</f>
        <v/>
      </c>
      <c r="F2950" s="187">
        <f>IF($K2950="","",INDEX(Zeiterfassung!$F$6:$F$3665,$K2950))</f>
        <v/>
      </c>
      <c r="G2950" s="187">
        <f>IF($K2950="","",INDEX(Zeiterfassung!$G$6:$G$3665,$K2950))</f>
        <v/>
      </c>
      <c r="H2950" s="188">
        <f>IF($K2950="","",INDEX(Zeiterfassung!$H$6:$H$3665,$K2950))</f>
        <v/>
      </c>
      <c r="I2950" s="335">
        <f>IF(B2950=B2949,"",IF($K2950="","",INDEX(Zeiterfassung!$I$6:$I$3665,MATCH(INDEX(Zeiterfassung!$K$6:$K$3665,$K2950),Zeiterfassung!$K$6:$K$3665,0))))</f>
        <v/>
      </c>
      <c r="J2950" s="335">
        <f>IF(B2950=B2949,"",IF($K2950="","",INDEX(Zeiterfassung!$J$6:$J$3665,MATCH(INDEX(Zeiterfassung!$K$6:$K$3665,$K2950),Zeiterfassung!$K$6:$K$3665,0))))</f>
        <v/>
      </c>
      <c r="K2950">
        <f>IFERROR(AGGREGATE(15,6,(ROW(Zeiterfassung!$D$6:$D$3665)-ROW(Zeiterfassung!$D$6)+1)/(Zeiterfassung!$D$6:$D$3665&lt;&gt;""),2945),"")</f>
        <v/>
      </c>
    </row>
    <row r="2951" ht="20" customHeight="1">
      <c r="A2951" s="183">
        <f>IF($K2951="","",WEEKNUM(INDEX(Zeiterfassung!$K$6:$K$3665,$K2951),21))</f>
        <v/>
      </c>
      <c r="B2951" s="184">
        <f>IF($K2951="","",INDEX(Zeiterfassung!$K$6:$K$3665,$K2951))</f>
        <v/>
      </c>
      <c r="C2951" s="185">
        <f>IF($K2951="","",INDEX(Zeiterfassung!$K$6:$K$3665,$K2951))</f>
        <v/>
      </c>
      <c r="D2951" s="186">
        <f>IF($K2951="","",INDEX(Zeiterfassung!$D$6:$D$3665,$K2951))</f>
        <v/>
      </c>
      <c r="E2951" s="186">
        <f>IF($K2951="","",INDEX(Zeiterfassung!$E$6:$E$3665,$K2951))</f>
        <v/>
      </c>
      <c r="F2951" s="187">
        <f>IF($K2951="","",INDEX(Zeiterfassung!$F$6:$F$3665,$K2951))</f>
        <v/>
      </c>
      <c r="G2951" s="187">
        <f>IF($K2951="","",INDEX(Zeiterfassung!$G$6:$G$3665,$K2951))</f>
        <v/>
      </c>
      <c r="H2951" s="188">
        <f>IF($K2951="","",INDEX(Zeiterfassung!$H$6:$H$3665,$K2951))</f>
        <v/>
      </c>
      <c r="I2951" s="335">
        <f>IF(B2951=B2950,"",IF($K2951="","",INDEX(Zeiterfassung!$I$6:$I$3665,MATCH(INDEX(Zeiterfassung!$K$6:$K$3665,$K2951),Zeiterfassung!$K$6:$K$3665,0))))</f>
        <v/>
      </c>
      <c r="J2951" s="335">
        <f>IF(B2951=B2950,"",IF($K2951="","",INDEX(Zeiterfassung!$J$6:$J$3665,MATCH(INDEX(Zeiterfassung!$K$6:$K$3665,$K2951),Zeiterfassung!$K$6:$K$3665,0))))</f>
        <v/>
      </c>
      <c r="K2951">
        <f>IFERROR(AGGREGATE(15,6,(ROW(Zeiterfassung!$D$6:$D$3665)-ROW(Zeiterfassung!$D$6)+1)/(Zeiterfassung!$D$6:$D$3665&lt;&gt;""),2946),"")</f>
        <v/>
      </c>
    </row>
    <row r="2952" ht="20" customHeight="1">
      <c r="A2952" s="183">
        <f>IF($K2952="","",WEEKNUM(INDEX(Zeiterfassung!$K$6:$K$3665,$K2952),21))</f>
        <v/>
      </c>
      <c r="B2952" s="184">
        <f>IF($K2952="","",INDEX(Zeiterfassung!$K$6:$K$3665,$K2952))</f>
        <v/>
      </c>
      <c r="C2952" s="185">
        <f>IF($K2952="","",INDEX(Zeiterfassung!$K$6:$K$3665,$K2952))</f>
        <v/>
      </c>
      <c r="D2952" s="186">
        <f>IF($K2952="","",INDEX(Zeiterfassung!$D$6:$D$3665,$K2952))</f>
        <v/>
      </c>
      <c r="E2952" s="186">
        <f>IF($K2952="","",INDEX(Zeiterfassung!$E$6:$E$3665,$K2952))</f>
        <v/>
      </c>
      <c r="F2952" s="187">
        <f>IF($K2952="","",INDEX(Zeiterfassung!$F$6:$F$3665,$K2952))</f>
        <v/>
      </c>
      <c r="G2952" s="187">
        <f>IF($K2952="","",INDEX(Zeiterfassung!$G$6:$G$3665,$K2952))</f>
        <v/>
      </c>
      <c r="H2952" s="188">
        <f>IF($K2952="","",INDEX(Zeiterfassung!$H$6:$H$3665,$K2952))</f>
        <v/>
      </c>
      <c r="I2952" s="335">
        <f>IF(B2952=B2951,"",IF($K2952="","",INDEX(Zeiterfassung!$I$6:$I$3665,MATCH(INDEX(Zeiterfassung!$K$6:$K$3665,$K2952),Zeiterfassung!$K$6:$K$3665,0))))</f>
        <v/>
      </c>
      <c r="J2952" s="335">
        <f>IF(B2952=B2951,"",IF($K2952="","",INDEX(Zeiterfassung!$J$6:$J$3665,MATCH(INDEX(Zeiterfassung!$K$6:$K$3665,$K2952),Zeiterfassung!$K$6:$K$3665,0))))</f>
        <v/>
      </c>
      <c r="K2952">
        <f>IFERROR(AGGREGATE(15,6,(ROW(Zeiterfassung!$D$6:$D$3665)-ROW(Zeiterfassung!$D$6)+1)/(Zeiterfassung!$D$6:$D$3665&lt;&gt;""),2947),"")</f>
        <v/>
      </c>
    </row>
    <row r="2953" ht="20" customHeight="1">
      <c r="A2953" s="183">
        <f>IF($K2953="","",WEEKNUM(INDEX(Zeiterfassung!$K$6:$K$3665,$K2953),21))</f>
        <v/>
      </c>
      <c r="B2953" s="184">
        <f>IF($K2953="","",INDEX(Zeiterfassung!$K$6:$K$3665,$K2953))</f>
        <v/>
      </c>
      <c r="C2953" s="185">
        <f>IF($K2953="","",INDEX(Zeiterfassung!$K$6:$K$3665,$K2953))</f>
        <v/>
      </c>
      <c r="D2953" s="186">
        <f>IF($K2953="","",INDEX(Zeiterfassung!$D$6:$D$3665,$K2953))</f>
        <v/>
      </c>
      <c r="E2953" s="186">
        <f>IF($K2953="","",INDEX(Zeiterfassung!$E$6:$E$3665,$K2953))</f>
        <v/>
      </c>
      <c r="F2953" s="187">
        <f>IF($K2953="","",INDEX(Zeiterfassung!$F$6:$F$3665,$K2953))</f>
        <v/>
      </c>
      <c r="G2953" s="187">
        <f>IF($K2953="","",INDEX(Zeiterfassung!$G$6:$G$3665,$K2953))</f>
        <v/>
      </c>
      <c r="H2953" s="188">
        <f>IF($K2953="","",INDEX(Zeiterfassung!$H$6:$H$3665,$K2953))</f>
        <v/>
      </c>
      <c r="I2953" s="335">
        <f>IF(B2953=B2952,"",IF($K2953="","",INDEX(Zeiterfassung!$I$6:$I$3665,MATCH(INDEX(Zeiterfassung!$K$6:$K$3665,$K2953),Zeiterfassung!$K$6:$K$3665,0))))</f>
        <v/>
      </c>
      <c r="J2953" s="335">
        <f>IF(B2953=B2952,"",IF($K2953="","",INDEX(Zeiterfassung!$J$6:$J$3665,MATCH(INDEX(Zeiterfassung!$K$6:$K$3665,$K2953),Zeiterfassung!$K$6:$K$3665,0))))</f>
        <v/>
      </c>
      <c r="K2953">
        <f>IFERROR(AGGREGATE(15,6,(ROW(Zeiterfassung!$D$6:$D$3665)-ROW(Zeiterfassung!$D$6)+1)/(Zeiterfassung!$D$6:$D$3665&lt;&gt;""),2948),"")</f>
        <v/>
      </c>
    </row>
    <row r="2954" ht="20" customHeight="1">
      <c r="A2954" s="183">
        <f>IF($K2954="","",WEEKNUM(INDEX(Zeiterfassung!$K$6:$K$3665,$K2954),21))</f>
        <v/>
      </c>
      <c r="B2954" s="184">
        <f>IF($K2954="","",INDEX(Zeiterfassung!$K$6:$K$3665,$K2954))</f>
        <v/>
      </c>
      <c r="C2954" s="185">
        <f>IF($K2954="","",INDEX(Zeiterfassung!$K$6:$K$3665,$K2954))</f>
        <v/>
      </c>
      <c r="D2954" s="186">
        <f>IF($K2954="","",INDEX(Zeiterfassung!$D$6:$D$3665,$K2954))</f>
        <v/>
      </c>
      <c r="E2954" s="186">
        <f>IF($K2954="","",INDEX(Zeiterfassung!$E$6:$E$3665,$K2954))</f>
        <v/>
      </c>
      <c r="F2954" s="187">
        <f>IF($K2954="","",INDEX(Zeiterfassung!$F$6:$F$3665,$K2954))</f>
        <v/>
      </c>
      <c r="G2954" s="187">
        <f>IF($K2954="","",INDEX(Zeiterfassung!$G$6:$G$3665,$K2954))</f>
        <v/>
      </c>
      <c r="H2954" s="188">
        <f>IF($K2954="","",INDEX(Zeiterfassung!$H$6:$H$3665,$K2954))</f>
        <v/>
      </c>
      <c r="I2954" s="335">
        <f>IF(B2954=B2953,"",IF($K2954="","",INDEX(Zeiterfassung!$I$6:$I$3665,MATCH(INDEX(Zeiterfassung!$K$6:$K$3665,$K2954),Zeiterfassung!$K$6:$K$3665,0))))</f>
        <v/>
      </c>
      <c r="J2954" s="335">
        <f>IF(B2954=B2953,"",IF($K2954="","",INDEX(Zeiterfassung!$J$6:$J$3665,MATCH(INDEX(Zeiterfassung!$K$6:$K$3665,$K2954),Zeiterfassung!$K$6:$K$3665,0))))</f>
        <v/>
      </c>
      <c r="K2954">
        <f>IFERROR(AGGREGATE(15,6,(ROW(Zeiterfassung!$D$6:$D$3665)-ROW(Zeiterfassung!$D$6)+1)/(Zeiterfassung!$D$6:$D$3665&lt;&gt;""),2949),"")</f>
        <v/>
      </c>
    </row>
    <row r="2955" ht="20" customHeight="1">
      <c r="A2955" s="183">
        <f>IF($K2955="","",WEEKNUM(INDEX(Zeiterfassung!$K$6:$K$3665,$K2955),21))</f>
        <v/>
      </c>
      <c r="B2955" s="184">
        <f>IF($K2955="","",INDEX(Zeiterfassung!$K$6:$K$3665,$K2955))</f>
        <v/>
      </c>
      <c r="C2955" s="185">
        <f>IF($K2955="","",INDEX(Zeiterfassung!$K$6:$K$3665,$K2955))</f>
        <v/>
      </c>
      <c r="D2955" s="186">
        <f>IF($K2955="","",INDEX(Zeiterfassung!$D$6:$D$3665,$K2955))</f>
        <v/>
      </c>
      <c r="E2955" s="186">
        <f>IF($K2955="","",INDEX(Zeiterfassung!$E$6:$E$3665,$K2955))</f>
        <v/>
      </c>
      <c r="F2955" s="187">
        <f>IF($K2955="","",INDEX(Zeiterfassung!$F$6:$F$3665,$K2955))</f>
        <v/>
      </c>
      <c r="G2955" s="187">
        <f>IF($K2955="","",INDEX(Zeiterfassung!$G$6:$G$3665,$K2955))</f>
        <v/>
      </c>
      <c r="H2955" s="188">
        <f>IF($K2955="","",INDEX(Zeiterfassung!$H$6:$H$3665,$K2955))</f>
        <v/>
      </c>
      <c r="I2955" s="335">
        <f>IF(B2955=B2954,"",IF($K2955="","",INDEX(Zeiterfassung!$I$6:$I$3665,MATCH(INDEX(Zeiterfassung!$K$6:$K$3665,$K2955),Zeiterfassung!$K$6:$K$3665,0))))</f>
        <v/>
      </c>
      <c r="J2955" s="335">
        <f>IF(B2955=B2954,"",IF($K2955="","",INDEX(Zeiterfassung!$J$6:$J$3665,MATCH(INDEX(Zeiterfassung!$K$6:$K$3665,$K2955),Zeiterfassung!$K$6:$K$3665,0))))</f>
        <v/>
      </c>
      <c r="K2955">
        <f>IFERROR(AGGREGATE(15,6,(ROW(Zeiterfassung!$D$6:$D$3665)-ROW(Zeiterfassung!$D$6)+1)/(Zeiterfassung!$D$6:$D$3665&lt;&gt;""),2950),"")</f>
        <v/>
      </c>
    </row>
    <row r="2956" ht="20" customHeight="1">
      <c r="A2956" s="183">
        <f>IF($K2956="","",WEEKNUM(INDEX(Zeiterfassung!$K$6:$K$3665,$K2956),21))</f>
        <v/>
      </c>
      <c r="B2956" s="184">
        <f>IF($K2956="","",INDEX(Zeiterfassung!$K$6:$K$3665,$K2956))</f>
        <v/>
      </c>
      <c r="C2956" s="185">
        <f>IF($K2956="","",INDEX(Zeiterfassung!$K$6:$K$3665,$K2956))</f>
        <v/>
      </c>
      <c r="D2956" s="186">
        <f>IF($K2956="","",INDEX(Zeiterfassung!$D$6:$D$3665,$K2956))</f>
        <v/>
      </c>
      <c r="E2956" s="186">
        <f>IF($K2956="","",INDEX(Zeiterfassung!$E$6:$E$3665,$K2956))</f>
        <v/>
      </c>
      <c r="F2956" s="187">
        <f>IF($K2956="","",INDEX(Zeiterfassung!$F$6:$F$3665,$K2956))</f>
        <v/>
      </c>
      <c r="G2956" s="187">
        <f>IF($K2956="","",INDEX(Zeiterfassung!$G$6:$G$3665,$K2956))</f>
        <v/>
      </c>
      <c r="H2956" s="188">
        <f>IF($K2956="","",INDEX(Zeiterfassung!$H$6:$H$3665,$K2956))</f>
        <v/>
      </c>
      <c r="I2956" s="335">
        <f>IF(B2956=B2955,"",IF($K2956="","",INDEX(Zeiterfassung!$I$6:$I$3665,MATCH(INDEX(Zeiterfassung!$K$6:$K$3665,$K2956),Zeiterfassung!$K$6:$K$3665,0))))</f>
        <v/>
      </c>
      <c r="J2956" s="335">
        <f>IF(B2956=B2955,"",IF($K2956="","",INDEX(Zeiterfassung!$J$6:$J$3665,MATCH(INDEX(Zeiterfassung!$K$6:$K$3665,$K2956),Zeiterfassung!$K$6:$K$3665,0))))</f>
        <v/>
      </c>
      <c r="K2956">
        <f>IFERROR(AGGREGATE(15,6,(ROW(Zeiterfassung!$D$6:$D$3665)-ROW(Zeiterfassung!$D$6)+1)/(Zeiterfassung!$D$6:$D$3665&lt;&gt;""),2951),"")</f>
        <v/>
      </c>
    </row>
    <row r="2957" ht="20" customHeight="1">
      <c r="A2957" s="183">
        <f>IF($K2957="","",WEEKNUM(INDEX(Zeiterfassung!$K$6:$K$3665,$K2957),21))</f>
        <v/>
      </c>
      <c r="B2957" s="184">
        <f>IF($K2957="","",INDEX(Zeiterfassung!$K$6:$K$3665,$K2957))</f>
        <v/>
      </c>
      <c r="C2957" s="185">
        <f>IF($K2957="","",INDEX(Zeiterfassung!$K$6:$K$3665,$K2957))</f>
        <v/>
      </c>
      <c r="D2957" s="186">
        <f>IF($K2957="","",INDEX(Zeiterfassung!$D$6:$D$3665,$K2957))</f>
        <v/>
      </c>
      <c r="E2957" s="186">
        <f>IF($K2957="","",INDEX(Zeiterfassung!$E$6:$E$3665,$K2957))</f>
        <v/>
      </c>
      <c r="F2957" s="187">
        <f>IF($K2957="","",INDEX(Zeiterfassung!$F$6:$F$3665,$K2957))</f>
        <v/>
      </c>
      <c r="G2957" s="187">
        <f>IF($K2957="","",INDEX(Zeiterfassung!$G$6:$G$3665,$K2957))</f>
        <v/>
      </c>
      <c r="H2957" s="188">
        <f>IF($K2957="","",INDEX(Zeiterfassung!$H$6:$H$3665,$K2957))</f>
        <v/>
      </c>
      <c r="I2957" s="335">
        <f>IF(B2957=B2956,"",IF($K2957="","",INDEX(Zeiterfassung!$I$6:$I$3665,MATCH(INDEX(Zeiterfassung!$K$6:$K$3665,$K2957),Zeiterfassung!$K$6:$K$3665,0))))</f>
        <v/>
      </c>
      <c r="J2957" s="335">
        <f>IF(B2957=B2956,"",IF($K2957="","",INDEX(Zeiterfassung!$J$6:$J$3665,MATCH(INDEX(Zeiterfassung!$K$6:$K$3665,$K2957),Zeiterfassung!$K$6:$K$3665,0))))</f>
        <v/>
      </c>
      <c r="K2957">
        <f>IFERROR(AGGREGATE(15,6,(ROW(Zeiterfassung!$D$6:$D$3665)-ROW(Zeiterfassung!$D$6)+1)/(Zeiterfassung!$D$6:$D$3665&lt;&gt;""),2952),"")</f>
        <v/>
      </c>
    </row>
    <row r="2958" ht="20" customHeight="1">
      <c r="A2958" s="183">
        <f>IF($K2958="","",WEEKNUM(INDEX(Zeiterfassung!$K$6:$K$3665,$K2958),21))</f>
        <v/>
      </c>
      <c r="B2958" s="184">
        <f>IF($K2958="","",INDEX(Zeiterfassung!$K$6:$K$3665,$K2958))</f>
        <v/>
      </c>
      <c r="C2958" s="185">
        <f>IF($K2958="","",INDEX(Zeiterfassung!$K$6:$K$3665,$K2958))</f>
        <v/>
      </c>
      <c r="D2958" s="186">
        <f>IF($K2958="","",INDEX(Zeiterfassung!$D$6:$D$3665,$K2958))</f>
        <v/>
      </c>
      <c r="E2958" s="186">
        <f>IF($K2958="","",INDEX(Zeiterfassung!$E$6:$E$3665,$K2958))</f>
        <v/>
      </c>
      <c r="F2958" s="187">
        <f>IF($K2958="","",INDEX(Zeiterfassung!$F$6:$F$3665,$K2958))</f>
        <v/>
      </c>
      <c r="G2958" s="187">
        <f>IF($K2958="","",INDEX(Zeiterfassung!$G$6:$G$3665,$K2958))</f>
        <v/>
      </c>
      <c r="H2958" s="188">
        <f>IF($K2958="","",INDEX(Zeiterfassung!$H$6:$H$3665,$K2958))</f>
        <v/>
      </c>
      <c r="I2958" s="335">
        <f>IF(B2958=B2957,"",IF($K2958="","",INDEX(Zeiterfassung!$I$6:$I$3665,MATCH(INDEX(Zeiterfassung!$K$6:$K$3665,$K2958),Zeiterfassung!$K$6:$K$3665,0))))</f>
        <v/>
      </c>
      <c r="J2958" s="335">
        <f>IF(B2958=B2957,"",IF($K2958="","",INDEX(Zeiterfassung!$J$6:$J$3665,MATCH(INDEX(Zeiterfassung!$K$6:$K$3665,$K2958),Zeiterfassung!$K$6:$K$3665,0))))</f>
        <v/>
      </c>
      <c r="K2958">
        <f>IFERROR(AGGREGATE(15,6,(ROW(Zeiterfassung!$D$6:$D$3665)-ROW(Zeiterfassung!$D$6)+1)/(Zeiterfassung!$D$6:$D$3665&lt;&gt;""),2953),"")</f>
        <v/>
      </c>
    </row>
    <row r="2959" ht="20" customHeight="1">
      <c r="A2959" s="183">
        <f>IF($K2959="","",WEEKNUM(INDEX(Zeiterfassung!$K$6:$K$3665,$K2959),21))</f>
        <v/>
      </c>
      <c r="B2959" s="184">
        <f>IF($K2959="","",INDEX(Zeiterfassung!$K$6:$K$3665,$K2959))</f>
        <v/>
      </c>
      <c r="C2959" s="185">
        <f>IF($K2959="","",INDEX(Zeiterfassung!$K$6:$K$3665,$K2959))</f>
        <v/>
      </c>
      <c r="D2959" s="186">
        <f>IF($K2959="","",INDEX(Zeiterfassung!$D$6:$D$3665,$K2959))</f>
        <v/>
      </c>
      <c r="E2959" s="186">
        <f>IF($K2959="","",INDEX(Zeiterfassung!$E$6:$E$3665,$K2959))</f>
        <v/>
      </c>
      <c r="F2959" s="187">
        <f>IF($K2959="","",INDEX(Zeiterfassung!$F$6:$F$3665,$K2959))</f>
        <v/>
      </c>
      <c r="G2959" s="187">
        <f>IF($K2959="","",INDEX(Zeiterfassung!$G$6:$G$3665,$K2959))</f>
        <v/>
      </c>
      <c r="H2959" s="188">
        <f>IF($K2959="","",INDEX(Zeiterfassung!$H$6:$H$3665,$K2959))</f>
        <v/>
      </c>
      <c r="I2959" s="335">
        <f>IF(B2959=B2958,"",IF($K2959="","",INDEX(Zeiterfassung!$I$6:$I$3665,MATCH(INDEX(Zeiterfassung!$K$6:$K$3665,$K2959),Zeiterfassung!$K$6:$K$3665,0))))</f>
        <v/>
      </c>
      <c r="J2959" s="335">
        <f>IF(B2959=B2958,"",IF($K2959="","",INDEX(Zeiterfassung!$J$6:$J$3665,MATCH(INDEX(Zeiterfassung!$K$6:$K$3665,$K2959),Zeiterfassung!$K$6:$K$3665,0))))</f>
        <v/>
      </c>
      <c r="K2959">
        <f>IFERROR(AGGREGATE(15,6,(ROW(Zeiterfassung!$D$6:$D$3665)-ROW(Zeiterfassung!$D$6)+1)/(Zeiterfassung!$D$6:$D$3665&lt;&gt;""),2954),"")</f>
        <v/>
      </c>
    </row>
    <row r="2960" ht="20" customHeight="1">
      <c r="A2960" s="183">
        <f>IF($K2960="","",WEEKNUM(INDEX(Zeiterfassung!$K$6:$K$3665,$K2960),21))</f>
        <v/>
      </c>
      <c r="B2960" s="184">
        <f>IF($K2960="","",INDEX(Zeiterfassung!$K$6:$K$3665,$K2960))</f>
        <v/>
      </c>
      <c r="C2960" s="185">
        <f>IF($K2960="","",INDEX(Zeiterfassung!$K$6:$K$3665,$K2960))</f>
        <v/>
      </c>
      <c r="D2960" s="186">
        <f>IF($K2960="","",INDEX(Zeiterfassung!$D$6:$D$3665,$K2960))</f>
        <v/>
      </c>
      <c r="E2960" s="186">
        <f>IF($K2960="","",INDEX(Zeiterfassung!$E$6:$E$3665,$K2960))</f>
        <v/>
      </c>
      <c r="F2960" s="187">
        <f>IF($K2960="","",INDEX(Zeiterfassung!$F$6:$F$3665,$K2960))</f>
        <v/>
      </c>
      <c r="G2960" s="187">
        <f>IF($K2960="","",INDEX(Zeiterfassung!$G$6:$G$3665,$K2960))</f>
        <v/>
      </c>
      <c r="H2960" s="188">
        <f>IF($K2960="","",INDEX(Zeiterfassung!$H$6:$H$3665,$K2960))</f>
        <v/>
      </c>
      <c r="I2960" s="335">
        <f>IF(B2960=B2959,"",IF($K2960="","",INDEX(Zeiterfassung!$I$6:$I$3665,MATCH(INDEX(Zeiterfassung!$K$6:$K$3665,$K2960),Zeiterfassung!$K$6:$K$3665,0))))</f>
        <v/>
      </c>
      <c r="J2960" s="335">
        <f>IF(B2960=B2959,"",IF($K2960="","",INDEX(Zeiterfassung!$J$6:$J$3665,MATCH(INDEX(Zeiterfassung!$K$6:$K$3665,$K2960),Zeiterfassung!$K$6:$K$3665,0))))</f>
        <v/>
      </c>
      <c r="K2960">
        <f>IFERROR(AGGREGATE(15,6,(ROW(Zeiterfassung!$D$6:$D$3665)-ROW(Zeiterfassung!$D$6)+1)/(Zeiterfassung!$D$6:$D$3665&lt;&gt;""),2955),"")</f>
        <v/>
      </c>
    </row>
    <row r="2961" ht="20" customHeight="1">
      <c r="A2961" s="183">
        <f>IF($K2961="","",WEEKNUM(INDEX(Zeiterfassung!$K$6:$K$3665,$K2961),21))</f>
        <v/>
      </c>
      <c r="B2961" s="184">
        <f>IF($K2961="","",INDEX(Zeiterfassung!$K$6:$K$3665,$K2961))</f>
        <v/>
      </c>
      <c r="C2961" s="185">
        <f>IF($K2961="","",INDEX(Zeiterfassung!$K$6:$K$3665,$K2961))</f>
        <v/>
      </c>
      <c r="D2961" s="186">
        <f>IF($K2961="","",INDEX(Zeiterfassung!$D$6:$D$3665,$K2961))</f>
        <v/>
      </c>
      <c r="E2961" s="186">
        <f>IF($K2961="","",INDEX(Zeiterfassung!$E$6:$E$3665,$K2961))</f>
        <v/>
      </c>
      <c r="F2961" s="187">
        <f>IF($K2961="","",INDEX(Zeiterfassung!$F$6:$F$3665,$K2961))</f>
        <v/>
      </c>
      <c r="G2961" s="187">
        <f>IF($K2961="","",INDEX(Zeiterfassung!$G$6:$G$3665,$K2961))</f>
        <v/>
      </c>
      <c r="H2961" s="188">
        <f>IF($K2961="","",INDEX(Zeiterfassung!$H$6:$H$3665,$K2961))</f>
        <v/>
      </c>
      <c r="I2961" s="335">
        <f>IF(B2961=B2960,"",IF($K2961="","",INDEX(Zeiterfassung!$I$6:$I$3665,MATCH(INDEX(Zeiterfassung!$K$6:$K$3665,$K2961),Zeiterfassung!$K$6:$K$3665,0))))</f>
        <v/>
      </c>
      <c r="J2961" s="335">
        <f>IF(B2961=B2960,"",IF($K2961="","",INDEX(Zeiterfassung!$J$6:$J$3665,MATCH(INDEX(Zeiterfassung!$K$6:$K$3665,$K2961),Zeiterfassung!$K$6:$K$3665,0))))</f>
        <v/>
      </c>
      <c r="K2961">
        <f>IFERROR(AGGREGATE(15,6,(ROW(Zeiterfassung!$D$6:$D$3665)-ROW(Zeiterfassung!$D$6)+1)/(Zeiterfassung!$D$6:$D$3665&lt;&gt;""),2956),"")</f>
        <v/>
      </c>
    </row>
    <row r="2962" ht="20" customHeight="1">
      <c r="A2962" s="183">
        <f>IF($K2962="","",WEEKNUM(INDEX(Zeiterfassung!$K$6:$K$3665,$K2962),21))</f>
        <v/>
      </c>
      <c r="B2962" s="184">
        <f>IF($K2962="","",INDEX(Zeiterfassung!$K$6:$K$3665,$K2962))</f>
        <v/>
      </c>
      <c r="C2962" s="185">
        <f>IF($K2962="","",INDEX(Zeiterfassung!$K$6:$K$3665,$K2962))</f>
        <v/>
      </c>
      <c r="D2962" s="186">
        <f>IF($K2962="","",INDEX(Zeiterfassung!$D$6:$D$3665,$K2962))</f>
        <v/>
      </c>
      <c r="E2962" s="186">
        <f>IF($K2962="","",INDEX(Zeiterfassung!$E$6:$E$3665,$K2962))</f>
        <v/>
      </c>
      <c r="F2962" s="187">
        <f>IF($K2962="","",INDEX(Zeiterfassung!$F$6:$F$3665,$K2962))</f>
        <v/>
      </c>
      <c r="G2962" s="187">
        <f>IF($K2962="","",INDEX(Zeiterfassung!$G$6:$G$3665,$K2962))</f>
        <v/>
      </c>
      <c r="H2962" s="188">
        <f>IF($K2962="","",INDEX(Zeiterfassung!$H$6:$H$3665,$K2962))</f>
        <v/>
      </c>
      <c r="I2962" s="335">
        <f>IF(B2962=B2961,"",IF($K2962="","",INDEX(Zeiterfassung!$I$6:$I$3665,MATCH(INDEX(Zeiterfassung!$K$6:$K$3665,$K2962),Zeiterfassung!$K$6:$K$3665,0))))</f>
        <v/>
      </c>
      <c r="J2962" s="335">
        <f>IF(B2962=B2961,"",IF($K2962="","",INDEX(Zeiterfassung!$J$6:$J$3665,MATCH(INDEX(Zeiterfassung!$K$6:$K$3665,$K2962),Zeiterfassung!$K$6:$K$3665,0))))</f>
        <v/>
      </c>
      <c r="K2962">
        <f>IFERROR(AGGREGATE(15,6,(ROW(Zeiterfassung!$D$6:$D$3665)-ROW(Zeiterfassung!$D$6)+1)/(Zeiterfassung!$D$6:$D$3665&lt;&gt;""),2957),"")</f>
        <v/>
      </c>
    </row>
    <row r="2963" ht="20" customHeight="1">
      <c r="A2963" s="183">
        <f>IF($K2963="","",WEEKNUM(INDEX(Zeiterfassung!$K$6:$K$3665,$K2963),21))</f>
        <v/>
      </c>
      <c r="B2963" s="184">
        <f>IF($K2963="","",INDEX(Zeiterfassung!$K$6:$K$3665,$K2963))</f>
        <v/>
      </c>
      <c r="C2963" s="185">
        <f>IF($K2963="","",INDEX(Zeiterfassung!$K$6:$K$3665,$K2963))</f>
        <v/>
      </c>
      <c r="D2963" s="186">
        <f>IF($K2963="","",INDEX(Zeiterfassung!$D$6:$D$3665,$K2963))</f>
        <v/>
      </c>
      <c r="E2963" s="186">
        <f>IF($K2963="","",INDEX(Zeiterfassung!$E$6:$E$3665,$K2963))</f>
        <v/>
      </c>
      <c r="F2963" s="187">
        <f>IF($K2963="","",INDEX(Zeiterfassung!$F$6:$F$3665,$K2963))</f>
        <v/>
      </c>
      <c r="G2963" s="187">
        <f>IF($K2963="","",INDEX(Zeiterfassung!$G$6:$G$3665,$K2963))</f>
        <v/>
      </c>
      <c r="H2963" s="188">
        <f>IF($K2963="","",INDEX(Zeiterfassung!$H$6:$H$3665,$K2963))</f>
        <v/>
      </c>
      <c r="I2963" s="335">
        <f>IF(B2963=B2962,"",IF($K2963="","",INDEX(Zeiterfassung!$I$6:$I$3665,MATCH(INDEX(Zeiterfassung!$K$6:$K$3665,$K2963),Zeiterfassung!$K$6:$K$3665,0))))</f>
        <v/>
      </c>
      <c r="J2963" s="335">
        <f>IF(B2963=B2962,"",IF($K2963="","",INDEX(Zeiterfassung!$J$6:$J$3665,MATCH(INDEX(Zeiterfassung!$K$6:$K$3665,$K2963),Zeiterfassung!$K$6:$K$3665,0))))</f>
        <v/>
      </c>
      <c r="K2963">
        <f>IFERROR(AGGREGATE(15,6,(ROW(Zeiterfassung!$D$6:$D$3665)-ROW(Zeiterfassung!$D$6)+1)/(Zeiterfassung!$D$6:$D$3665&lt;&gt;""),2958),"")</f>
        <v/>
      </c>
    </row>
    <row r="2964" ht="20" customHeight="1">
      <c r="A2964" s="183">
        <f>IF($K2964="","",WEEKNUM(INDEX(Zeiterfassung!$K$6:$K$3665,$K2964),21))</f>
        <v/>
      </c>
      <c r="B2964" s="184">
        <f>IF($K2964="","",INDEX(Zeiterfassung!$K$6:$K$3665,$K2964))</f>
        <v/>
      </c>
      <c r="C2964" s="185">
        <f>IF($K2964="","",INDEX(Zeiterfassung!$K$6:$K$3665,$K2964))</f>
        <v/>
      </c>
      <c r="D2964" s="186">
        <f>IF($K2964="","",INDEX(Zeiterfassung!$D$6:$D$3665,$K2964))</f>
        <v/>
      </c>
      <c r="E2964" s="186">
        <f>IF($K2964="","",INDEX(Zeiterfassung!$E$6:$E$3665,$K2964))</f>
        <v/>
      </c>
      <c r="F2964" s="187">
        <f>IF($K2964="","",INDEX(Zeiterfassung!$F$6:$F$3665,$K2964))</f>
        <v/>
      </c>
      <c r="G2964" s="187">
        <f>IF($K2964="","",INDEX(Zeiterfassung!$G$6:$G$3665,$K2964))</f>
        <v/>
      </c>
      <c r="H2964" s="188">
        <f>IF($K2964="","",INDEX(Zeiterfassung!$H$6:$H$3665,$K2964))</f>
        <v/>
      </c>
      <c r="I2964" s="335">
        <f>IF(B2964=B2963,"",IF($K2964="","",INDEX(Zeiterfassung!$I$6:$I$3665,MATCH(INDEX(Zeiterfassung!$K$6:$K$3665,$K2964),Zeiterfassung!$K$6:$K$3665,0))))</f>
        <v/>
      </c>
      <c r="J2964" s="335">
        <f>IF(B2964=B2963,"",IF($K2964="","",INDEX(Zeiterfassung!$J$6:$J$3665,MATCH(INDEX(Zeiterfassung!$K$6:$K$3665,$K2964),Zeiterfassung!$K$6:$K$3665,0))))</f>
        <v/>
      </c>
      <c r="K2964">
        <f>IFERROR(AGGREGATE(15,6,(ROW(Zeiterfassung!$D$6:$D$3665)-ROW(Zeiterfassung!$D$6)+1)/(Zeiterfassung!$D$6:$D$3665&lt;&gt;""),2959),"")</f>
        <v/>
      </c>
    </row>
    <row r="2965" ht="20" customHeight="1">
      <c r="A2965" s="183">
        <f>IF($K2965="","",WEEKNUM(INDEX(Zeiterfassung!$K$6:$K$3665,$K2965),21))</f>
        <v/>
      </c>
      <c r="B2965" s="184">
        <f>IF($K2965="","",INDEX(Zeiterfassung!$K$6:$K$3665,$K2965))</f>
        <v/>
      </c>
      <c r="C2965" s="185">
        <f>IF($K2965="","",INDEX(Zeiterfassung!$K$6:$K$3665,$K2965))</f>
        <v/>
      </c>
      <c r="D2965" s="186">
        <f>IF($K2965="","",INDEX(Zeiterfassung!$D$6:$D$3665,$K2965))</f>
        <v/>
      </c>
      <c r="E2965" s="186">
        <f>IF($K2965="","",INDEX(Zeiterfassung!$E$6:$E$3665,$K2965))</f>
        <v/>
      </c>
      <c r="F2965" s="187">
        <f>IF($K2965="","",INDEX(Zeiterfassung!$F$6:$F$3665,$K2965))</f>
        <v/>
      </c>
      <c r="G2965" s="187">
        <f>IF($K2965="","",INDEX(Zeiterfassung!$G$6:$G$3665,$K2965))</f>
        <v/>
      </c>
      <c r="H2965" s="188">
        <f>IF($K2965="","",INDEX(Zeiterfassung!$H$6:$H$3665,$K2965))</f>
        <v/>
      </c>
      <c r="I2965" s="335">
        <f>IF(B2965=B2964,"",IF($K2965="","",INDEX(Zeiterfassung!$I$6:$I$3665,MATCH(INDEX(Zeiterfassung!$K$6:$K$3665,$K2965),Zeiterfassung!$K$6:$K$3665,0))))</f>
        <v/>
      </c>
      <c r="J2965" s="335">
        <f>IF(B2965=B2964,"",IF($K2965="","",INDEX(Zeiterfassung!$J$6:$J$3665,MATCH(INDEX(Zeiterfassung!$K$6:$K$3665,$K2965),Zeiterfassung!$K$6:$K$3665,0))))</f>
        <v/>
      </c>
      <c r="K2965">
        <f>IFERROR(AGGREGATE(15,6,(ROW(Zeiterfassung!$D$6:$D$3665)-ROW(Zeiterfassung!$D$6)+1)/(Zeiterfassung!$D$6:$D$3665&lt;&gt;""),2960),"")</f>
        <v/>
      </c>
    </row>
    <row r="2966" ht="20" customHeight="1">
      <c r="A2966" s="183">
        <f>IF($K2966="","",WEEKNUM(INDEX(Zeiterfassung!$K$6:$K$3665,$K2966),21))</f>
        <v/>
      </c>
      <c r="B2966" s="184">
        <f>IF($K2966="","",INDEX(Zeiterfassung!$K$6:$K$3665,$K2966))</f>
        <v/>
      </c>
      <c r="C2966" s="185">
        <f>IF($K2966="","",INDEX(Zeiterfassung!$K$6:$K$3665,$K2966))</f>
        <v/>
      </c>
      <c r="D2966" s="186">
        <f>IF($K2966="","",INDEX(Zeiterfassung!$D$6:$D$3665,$K2966))</f>
        <v/>
      </c>
      <c r="E2966" s="186">
        <f>IF($K2966="","",INDEX(Zeiterfassung!$E$6:$E$3665,$K2966))</f>
        <v/>
      </c>
      <c r="F2966" s="187">
        <f>IF($K2966="","",INDEX(Zeiterfassung!$F$6:$F$3665,$K2966))</f>
        <v/>
      </c>
      <c r="G2966" s="187">
        <f>IF($K2966="","",INDEX(Zeiterfassung!$G$6:$G$3665,$K2966))</f>
        <v/>
      </c>
      <c r="H2966" s="188">
        <f>IF($K2966="","",INDEX(Zeiterfassung!$H$6:$H$3665,$K2966))</f>
        <v/>
      </c>
      <c r="I2966" s="335">
        <f>IF(B2966=B2965,"",IF($K2966="","",INDEX(Zeiterfassung!$I$6:$I$3665,MATCH(INDEX(Zeiterfassung!$K$6:$K$3665,$K2966),Zeiterfassung!$K$6:$K$3665,0))))</f>
        <v/>
      </c>
      <c r="J2966" s="335">
        <f>IF(B2966=B2965,"",IF($K2966="","",INDEX(Zeiterfassung!$J$6:$J$3665,MATCH(INDEX(Zeiterfassung!$K$6:$K$3665,$K2966),Zeiterfassung!$K$6:$K$3665,0))))</f>
        <v/>
      </c>
      <c r="K2966">
        <f>IFERROR(AGGREGATE(15,6,(ROW(Zeiterfassung!$D$6:$D$3665)-ROW(Zeiterfassung!$D$6)+1)/(Zeiterfassung!$D$6:$D$3665&lt;&gt;""),2961),"")</f>
        <v/>
      </c>
    </row>
    <row r="2967" ht="20" customHeight="1">
      <c r="A2967" s="183">
        <f>IF($K2967="","",WEEKNUM(INDEX(Zeiterfassung!$K$6:$K$3665,$K2967),21))</f>
        <v/>
      </c>
      <c r="B2967" s="184">
        <f>IF($K2967="","",INDEX(Zeiterfassung!$K$6:$K$3665,$K2967))</f>
        <v/>
      </c>
      <c r="C2967" s="185">
        <f>IF($K2967="","",INDEX(Zeiterfassung!$K$6:$K$3665,$K2967))</f>
        <v/>
      </c>
      <c r="D2967" s="186">
        <f>IF($K2967="","",INDEX(Zeiterfassung!$D$6:$D$3665,$K2967))</f>
        <v/>
      </c>
      <c r="E2967" s="186">
        <f>IF($K2967="","",INDEX(Zeiterfassung!$E$6:$E$3665,$K2967))</f>
        <v/>
      </c>
      <c r="F2967" s="187">
        <f>IF($K2967="","",INDEX(Zeiterfassung!$F$6:$F$3665,$K2967))</f>
        <v/>
      </c>
      <c r="G2967" s="187">
        <f>IF($K2967="","",INDEX(Zeiterfassung!$G$6:$G$3665,$K2967))</f>
        <v/>
      </c>
      <c r="H2967" s="188">
        <f>IF($K2967="","",INDEX(Zeiterfassung!$H$6:$H$3665,$K2967))</f>
        <v/>
      </c>
      <c r="I2967" s="335">
        <f>IF(B2967=B2966,"",IF($K2967="","",INDEX(Zeiterfassung!$I$6:$I$3665,MATCH(INDEX(Zeiterfassung!$K$6:$K$3665,$K2967),Zeiterfassung!$K$6:$K$3665,0))))</f>
        <v/>
      </c>
      <c r="J2967" s="335">
        <f>IF(B2967=B2966,"",IF($K2967="","",INDEX(Zeiterfassung!$J$6:$J$3665,MATCH(INDEX(Zeiterfassung!$K$6:$K$3665,$K2967),Zeiterfassung!$K$6:$K$3665,0))))</f>
        <v/>
      </c>
      <c r="K2967">
        <f>IFERROR(AGGREGATE(15,6,(ROW(Zeiterfassung!$D$6:$D$3665)-ROW(Zeiterfassung!$D$6)+1)/(Zeiterfassung!$D$6:$D$3665&lt;&gt;""),2962),"")</f>
        <v/>
      </c>
    </row>
    <row r="2968" ht="20" customHeight="1">
      <c r="A2968" s="183">
        <f>IF($K2968="","",WEEKNUM(INDEX(Zeiterfassung!$K$6:$K$3665,$K2968),21))</f>
        <v/>
      </c>
      <c r="B2968" s="184">
        <f>IF($K2968="","",INDEX(Zeiterfassung!$K$6:$K$3665,$K2968))</f>
        <v/>
      </c>
      <c r="C2968" s="185">
        <f>IF($K2968="","",INDEX(Zeiterfassung!$K$6:$K$3665,$K2968))</f>
        <v/>
      </c>
      <c r="D2968" s="186">
        <f>IF($K2968="","",INDEX(Zeiterfassung!$D$6:$D$3665,$K2968))</f>
        <v/>
      </c>
      <c r="E2968" s="186">
        <f>IF($K2968="","",INDEX(Zeiterfassung!$E$6:$E$3665,$K2968))</f>
        <v/>
      </c>
      <c r="F2968" s="187">
        <f>IF($K2968="","",INDEX(Zeiterfassung!$F$6:$F$3665,$K2968))</f>
        <v/>
      </c>
      <c r="G2968" s="187">
        <f>IF($K2968="","",INDEX(Zeiterfassung!$G$6:$G$3665,$K2968))</f>
        <v/>
      </c>
      <c r="H2968" s="188">
        <f>IF($K2968="","",INDEX(Zeiterfassung!$H$6:$H$3665,$K2968))</f>
        <v/>
      </c>
      <c r="I2968" s="335">
        <f>IF(B2968=B2967,"",IF($K2968="","",INDEX(Zeiterfassung!$I$6:$I$3665,MATCH(INDEX(Zeiterfassung!$K$6:$K$3665,$K2968),Zeiterfassung!$K$6:$K$3665,0))))</f>
        <v/>
      </c>
      <c r="J2968" s="335">
        <f>IF(B2968=B2967,"",IF($K2968="","",INDEX(Zeiterfassung!$J$6:$J$3665,MATCH(INDEX(Zeiterfassung!$K$6:$K$3665,$K2968),Zeiterfassung!$K$6:$K$3665,0))))</f>
        <v/>
      </c>
      <c r="K2968">
        <f>IFERROR(AGGREGATE(15,6,(ROW(Zeiterfassung!$D$6:$D$3665)-ROW(Zeiterfassung!$D$6)+1)/(Zeiterfassung!$D$6:$D$3665&lt;&gt;""),2963),"")</f>
        <v/>
      </c>
    </row>
    <row r="2969" ht="20" customHeight="1">
      <c r="A2969" s="183">
        <f>IF($K2969="","",WEEKNUM(INDEX(Zeiterfassung!$K$6:$K$3665,$K2969),21))</f>
        <v/>
      </c>
      <c r="B2969" s="184">
        <f>IF($K2969="","",INDEX(Zeiterfassung!$K$6:$K$3665,$K2969))</f>
        <v/>
      </c>
      <c r="C2969" s="185">
        <f>IF($K2969="","",INDEX(Zeiterfassung!$K$6:$K$3665,$K2969))</f>
        <v/>
      </c>
      <c r="D2969" s="186">
        <f>IF($K2969="","",INDEX(Zeiterfassung!$D$6:$D$3665,$K2969))</f>
        <v/>
      </c>
      <c r="E2969" s="186">
        <f>IF($K2969="","",INDEX(Zeiterfassung!$E$6:$E$3665,$K2969))</f>
        <v/>
      </c>
      <c r="F2969" s="187">
        <f>IF($K2969="","",INDEX(Zeiterfassung!$F$6:$F$3665,$K2969))</f>
        <v/>
      </c>
      <c r="G2969" s="187">
        <f>IF($K2969="","",INDEX(Zeiterfassung!$G$6:$G$3665,$K2969))</f>
        <v/>
      </c>
      <c r="H2969" s="188">
        <f>IF($K2969="","",INDEX(Zeiterfassung!$H$6:$H$3665,$K2969))</f>
        <v/>
      </c>
      <c r="I2969" s="335">
        <f>IF(B2969=B2968,"",IF($K2969="","",INDEX(Zeiterfassung!$I$6:$I$3665,MATCH(INDEX(Zeiterfassung!$K$6:$K$3665,$K2969),Zeiterfassung!$K$6:$K$3665,0))))</f>
        <v/>
      </c>
      <c r="J2969" s="335">
        <f>IF(B2969=B2968,"",IF($K2969="","",INDEX(Zeiterfassung!$J$6:$J$3665,MATCH(INDEX(Zeiterfassung!$K$6:$K$3665,$K2969),Zeiterfassung!$K$6:$K$3665,0))))</f>
        <v/>
      </c>
      <c r="K2969">
        <f>IFERROR(AGGREGATE(15,6,(ROW(Zeiterfassung!$D$6:$D$3665)-ROW(Zeiterfassung!$D$6)+1)/(Zeiterfassung!$D$6:$D$3665&lt;&gt;""),2964),"")</f>
        <v/>
      </c>
    </row>
    <row r="2970" ht="20" customHeight="1">
      <c r="A2970" s="183">
        <f>IF($K2970="","",WEEKNUM(INDEX(Zeiterfassung!$K$6:$K$3665,$K2970),21))</f>
        <v/>
      </c>
      <c r="B2970" s="184">
        <f>IF($K2970="","",INDEX(Zeiterfassung!$K$6:$K$3665,$K2970))</f>
        <v/>
      </c>
      <c r="C2970" s="185">
        <f>IF($K2970="","",INDEX(Zeiterfassung!$K$6:$K$3665,$K2970))</f>
        <v/>
      </c>
      <c r="D2970" s="186">
        <f>IF($K2970="","",INDEX(Zeiterfassung!$D$6:$D$3665,$K2970))</f>
        <v/>
      </c>
      <c r="E2970" s="186">
        <f>IF($K2970="","",INDEX(Zeiterfassung!$E$6:$E$3665,$K2970))</f>
        <v/>
      </c>
      <c r="F2970" s="187">
        <f>IF($K2970="","",INDEX(Zeiterfassung!$F$6:$F$3665,$K2970))</f>
        <v/>
      </c>
      <c r="G2970" s="187">
        <f>IF($K2970="","",INDEX(Zeiterfassung!$G$6:$G$3665,$K2970))</f>
        <v/>
      </c>
      <c r="H2970" s="188">
        <f>IF($K2970="","",INDEX(Zeiterfassung!$H$6:$H$3665,$K2970))</f>
        <v/>
      </c>
      <c r="I2970" s="335">
        <f>IF(B2970=B2969,"",IF($K2970="","",INDEX(Zeiterfassung!$I$6:$I$3665,MATCH(INDEX(Zeiterfassung!$K$6:$K$3665,$K2970),Zeiterfassung!$K$6:$K$3665,0))))</f>
        <v/>
      </c>
      <c r="J2970" s="335">
        <f>IF(B2970=B2969,"",IF($K2970="","",INDEX(Zeiterfassung!$J$6:$J$3665,MATCH(INDEX(Zeiterfassung!$K$6:$K$3665,$K2970),Zeiterfassung!$K$6:$K$3665,0))))</f>
        <v/>
      </c>
      <c r="K2970">
        <f>IFERROR(AGGREGATE(15,6,(ROW(Zeiterfassung!$D$6:$D$3665)-ROW(Zeiterfassung!$D$6)+1)/(Zeiterfassung!$D$6:$D$3665&lt;&gt;""),2965),"")</f>
        <v/>
      </c>
    </row>
    <row r="2971" ht="20" customHeight="1">
      <c r="A2971" s="183">
        <f>IF($K2971="","",WEEKNUM(INDEX(Zeiterfassung!$K$6:$K$3665,$K2971),21))</f>
        <v/>
      </c>
      <c r="B2971" s="184">
        <f>IF($K2971="","",INDEX(Zeiterfassung!$K$6:$K$3665,$K2971))</f>
        <v/>
      </c>
      <c r="C2971" s="185">
        <f>IF($K2971="","",INDEX(Zeiterfassung!$K$6:$K$3665,$K2971))</f>
        <v/>
      </c>
      <c r="D2971" s="186">
        <f>IF($K2971="","",INDEX(Zeiterfassung!$D$6:$D$3665,$K2971))</f>
        <v/>
      </c>
      <c r="E2971" s="186">
        <f>IF($K2971="","",INDEX(Zeiterfassung!$E$6:$E$3665,$K2971))</f>
        <v/>
      </c>
      <c r="F2971" s="187">
        <f>IF($K2971="","",INDEX(Zeiterfassung!$F$6:$F$3665,$K2971))</f>
        <v/>
      </c>
      <c r="G2971" s="187">
        <f>IF($K2971="","",INDEX(Zeiterfassung!$G$6:$G$3665,$K2971))</f>
        <v/>
      </c>
      <c r="H2971" s="188">
        <f>IF($K2971="","",INDEX(Zeiterfassung!$H$6:$H$3665,$K2971))</f>
        <v/>
      </c>
      <c r="I2971" s="335">
        <f>IF(B2971=B2970,"",IF($K2971="","",INDEX(Zeiterfassung!$I$6:$I$3665,MATCH(INDEX(Zeiterfassung!$K$6:$K$3665,$K2971),Zeiterfassung!$K$6:$K$3665,0))))</f>
        <v/>
      </c>
      <c r="J2971" s="335">
        <f>IF(B2971=B2970,"",IF($K2971="","",INDEX(Zeiterfassung!$J$6:$J$3665,MATCH(INDEX(Zeiterfassung!$K$6:$K$3665,$K2971),Zeiterfassung!$K$6:$K$3665,0))))</f>
        <v/>
      </c>
      <c r="K2971">
        <f>IFERROR(AGGREGATE(15,6,(ROW(Zeiterfassung!$D$6:$D$3665)-ROW(Zeiterfassung!$D$6)+1)/(Zeiterfassung!$D$6:$D$3665&lt;&gt;""),2966),"")</f>
        <v/>
      </c>
    </row>
    <row r="2972" ht="20" customHeight="1">
      <c r="A2972" s="183">
        <f>IF($K2972="","",WEEKNUM(INDEX(Zeiterfassung!$K$6:$K$3665,$K2972),21))</f>
        <v/>
      </c>
      <c r="B2972" s="184">
        <f>IF($K2972="","",INDEX(Zeiterfassung!$K$6:$K$3665,$K2972))</f>
        <v/>
      </c>
      <c r="C2972" s="185">
        <f>IF($K2972="","",INDEX(Zeiterfassung!$K$6:$K$3665,$K2972))</f>
        <v/>
      </c>
      <c r="D2972" s="186">
        <f>IF($K2972="","",INDEX(Zeiterfassung!$D$6:$D$3665,$K2972))</f>
        <v/>
      </c>
      <c r="E2972" s="186">
        <f>IF($K2972="","",INDEX(Zeiterfassung!$E$6:$E$3665,$K2972))</f>
        <v/>
      </c>
      <c r="F2972" s="187">
        <f>IF($K2972="","",INDEX(Zeiterfassung!$F$6:$F$3665,$K2972))</f>
        <v/>
      </c>
      <c r="G2972" s="187">
        <f>IF($K2972="","",INDEX(Zeiterfassung!$G$6:$G$3665,$K2972))</f>
        <v/>
      </c>
      <c r="H2972" s="188">
        <f>IF($K2972="","",INDEX(Zeiterfassung!$H$6:$H$3665,$K2972))</f>
        <v/>
      </c>
      <c r="I2972" s="335">
        <f>IF(B2972=B2971,"",IF($K2972="","",INDEX(Zeiterfassung!$I$6:$I$3665,MATCH(INDEX(Zeiterfassung!$K$6:$K$3665,$K2972),Zeiterfassung!$K$6:$K$3665,0))))</f>
        <v/>
      </c>
      <c r="J2972" s="335">
        <f>IF(B2972=B2971,"",IF($K2972="","",INDEX(Zeiterfassung!$J$6:$J$3665,MATCH(INDEX(Zeiterfassung!$K$6:$K$3665,$K2972),Zeiterfassung!$K$6:$K$3665,0))))</f>
        <v/>
      </c>
      <c r="K2972">
        <f>IFERROR(AGGREGATE(15,6,(ROW(Zeiterfassung!$D$6:$D$3665)-ROW(Zeiterfassung!$D$6)+1)/(Zeiterfassung!$D$6:$D$3665&lt;&gt;""),2967),"")</f>
        <v/>
      </c>
    </row>
    <row r="2973" ht="20" customHeight="1">
      <c r="A2973" s="183">
        <f>IF($K2973="","",WEEKNUM(INDEX(Zeiterfassung!$K$6:$K$3665,$K2973),21))</f>
        <v/>
      </c>
      <c r="B2973" s="184">
        <f>IF($K2973="","",INDEX(Zeiterfassung!$K$6:$K$3665,$K2973))</f>
        <v/>
      </c>
      <c r="C2973" s="185">
        <f>IF($K2973="","",INDEX(Zeiterfassung!$K$6:$K$3665,$K2973))</f>
        <v/>
      </c>
      <c r="D2973" s="186">
        <f>IF($K2973="","",INDEX(Zeiterfassung!$D$6:$D$3665,$K2973))</f>
        <v/>
      </c>
      <c r="E2973" s="186">
        <f>IF($K2973="","",INDEX(Zeiterfassung!$E$6:$E$3665,$K2973))</f>
        <v/>
      </c>
      <c r="F2973" s="187">
        <f>IF($K2973="","",INDEX(Zeiterfassung!$F$6:$F$3665,$K2973))</f>
        <v/>
      </c>
      <c r="G2973" s="187">
        <f>IF($K2973="","",INDEX(Zeiterfassung!$G$6:$G$3665,$K2973))</f>
        <v/>
      </c>
      <c r="H2973" s="188">
        <f>IF($K2973="","",INDEX(Zeiterfassung!$H$6:$H$3665,$K2973))</f>
        <v/>
      </c>
      <c r="I2973" s="335">
        <f>IF(B2973=B2972,"",IF($K2973="","",INDEX(Zeiterfassung!$I$6:$I$3665,MATCH(INDEX(Zeiterfassung!$K$6:$K$3665,$K2973),Zeiterfassung!$K$6:$K$3665,0))))</f>
        <v/>
      </c>
      <c r="J2973" s="335">
        <f>IF(B2973=B2972,"",IF($K2973="","",INDEX(Zeiterfassung!$J$6:$J$3665,MATCH(INDEX(Zeiterfassung!$K$6:$K$3665,$K2973),Zeiterfassung!$K$6:$K$3665,0))))</f>
        <v/>
      </c>
      <c r="K2973">
        <f>IFERROR(AGGREGATE(15,6,(ROW(Zeiterfassung!$D$6:$D$3665)-ROW(Zeiterfassung!$D$6)+1)/(Zeiterfassung!$D$6:$D$3665&lt;&gt;""),2968),"")</f>
        <v/>
      </c>
    </row>
    <row r="2974" ht="20" customHeight="1">
      <c r="A2974" s="183">
        <f>IF($K2974="","",WEEKNUM(INDEX(Zeiterfassung!$K$6:$K$3665,$K2974),21))</f>
        <v/>
      </c>
      <c r="B2974" s="184">
        <f>IF($K2974="","",INDEX(Zeiterfassung!$K$6:$K$3665,$K2974))</f>
        <v/>
      </c>
      <c r="C2974" s="185">
        <f>IF($K2974="","",INDEX(Zeiterfassung!$K$6:$K$3665,$K2974))</f>
        <v/>
      </c>
      <c r="D2974" s="186">
        <f>IF($K2974="","",INDEX(Zeiterfassung!$D$6:$D$3665,$K2974))</f>
        <v/>
      </c>
      <c r="E2974" s="186">
        <f>IF($K2974="","",INDEX(Zeiterfassung!$E$6:$E$3665,$K2974))</f>
        <v/>
      </c>
      <c r="F2974" s="187">
        <f>IF($K2974="","",INDEX(Zeiterfassung!$F$6:$F$3665,$K2974))</f>
        <v/>
      </c>
      <c r="G2974" s="187">
        <f>IF($K2974="","",INDEX(Zeiterfassung!$G$6:$G$3665,$K2974))</f>
        <v/>
      </c>
      <c r="H2974" s="188">
        <f>IF($K2974="","",INDEX(Zeiterfassung!$H$6:$H$3665,$K2974))</f>
        <v/>
      </c>
      <c r="I2974" s="335">
        <f>IF(B2974=B2973,"",IF($K2974="","",INDEX(Zeiterfassung!$I$6:$I$3665,MATCH(INDEX(Zeiterfassung!$K$6:$K$3665,$K2974),Zeiterfassung!$K$6:$K$3665,0))))</f>
        <v/>
      </c>
      <c r="J2974" s="335">
        <f>IF(B2974=B2973,"",IF($K2974="","",INDEX(Zeiterfassung!$J$6:$J$3665,MATCH(INDEX(Zeiterfassung!$K$6:$K$3665,$K2974),Zeiterfassung!$K$6:$K$3665,0))))</f>
        <v/>
      </c>
      <c r="K2974">
        <f>IFERROR(AGGREGATE(15,6,(ROW(Zeiterfassung!$D$6:$D$3665)-ROW(Zeiterfassung!$D$6)+1)/(Zeiterfassung!$D$6:$D$3665&lt;&gt;""),2969),"")</f>
        <v/>
      </c>
    </row>
    <row r="2975" ht="20" customHeight="1">
      <c r="A2975" s="183">
        <f>IF($K2975="","",WEEKNUM(INDEX(Zeiterfassung!$K$6:$K$3665,$K2975),21))</f>
        <v/>
      </c>
      <c r="B2975" s="184">
        <f>IF($K2975="","",INDEX(Zeiterfassung!$K$6:$K$3665,$K2975))</f>
        <v/>
      </c>
      <c r="C2975" s="185">
        <f>IF($K2975="","",INDEX(Zeiterfassung!$K$6:$K$3665,$K2975))</f>
        <v/>
      </c>
      <c r="D2975" s="186">
        <f>IF($K2975="","",INDEX(Zeiterfassung!$D$6:$D$3665,$K2975))</f>
        <v/>
      </c>
      <c r="E2975" s="186">
        <f>IF($K2975="","",INDEX(Zeiterfassung!$E$6:$E$3665,$K2975))</f>
        <v/>
      </c>
      <c r="F2975" s="187">
        <f>IF($K2975="","",INDEX(Zeiterfassung!$F$6:$F$3665,$K2975))</f>
        <v/>
      </c>
      <c r="G2975" s="187">
        <f>IF($K2975="","",INDEX(Zeiterfassung!$G$6:$G$3665,$K2975))</f>
        <v/>
      </c>
      <c r="H2975" s="188">
        <f>IF($K2975="","",INDEX(Zeiterfassung!$H$6:$H$3665,$K2975))</f>
        <v/>
      </c>
      <c r="I2975" s="335">
        <f>IF(B2975=B2974,"",IF($K2975="","",INDEX(Zeiterfassung!$I$6:$I$3665,MATCH(INDEX(Zeiterfassung!$K$6:$K$3665,$K2975),Zeiterfassung!$K$6:$K$3665,0))))</f>
        <v/>
      </c>
      <c r="J2975" s="335">
        <f>IF(B2975=B2974,"",IF($K2975="","",INDEX(Zeiterfassung!$J$6:$J$3665,MATCH(INDEX(Zeiterfassung!$K$6:$K$3665,$K2975),Zeiterfassung!$K$6:$K$3665,0))))</f>
        <v/>
      </c>
      <c r="K2975">
        <f>IFERROR(AGGREGATE(15,6,(ROW(Zeiterfassung!$D$6:$D$3665)-ROW(Zeiterfassung!$D$6)+1)/(Zeiterfassung!$D$6:$D$3665&lt;&gt;""),2970),"")</f>
        <v/>
      </c>
    </row>
    <row r="2976" ht="20" customHeight="1">
      <c r="A2976" s="183">
        <f>IF($K2976="","",WEEKNUM(INDEX(Zeiterfassung!$K$6:$K$3665,$K2976),21))</f>
        <v/>
      </c>
      <c r="B2976" s="184">
        <f>IF($K2976="","",INDEX(Zeiterfassung!$K$6:$K$3665,$K2976))</f>
        <v/>
      </c>
      <c r="C2976" s="185">
        <f>IF($K2976="","",INDEX(Zeiterfassung!$K$6:$K$3665,$K2976))</f>
        <v/>
      </c>
      <c r="D2976" s="186">
        <f>IF($K2976="","",INDEX(Zeiterfassung!$D$6:$D$3665,$K2976))</f>
        <v/>
      </c>
      <c r="E2976" s="186">
        <f>IF($K2976="","",INDEX(Zeiterfassung!$E$6:$E$3665,$K2976))</f>
        <v/>
      </c>
      <c r="F2976" s="187">
        <f>IF($K2976="","",INDEX(Zeiterfassung!$F$6:$F$3665,$K2976))</f>
        <v/>
      </c>
      <c r="G2976" s="187">
        <f>IF($K2976="","",INDEX(Zeiterfassung!$G$6:$G$3665,$K2976))</f>
        <v/>
      </c>
      <c r="H2976" s="188">
        <f>IF($K2976="","",INDEX(Zeiterfassung!$H$6:$H$3665,$K2976))</f>
        <v/>
      </c>
      <c r="I2976" s="335">
        <f>IF(B2976=B2975,"",IF($K2976="","",INDEX(Zeiterfassung!$I$6:$I$3665,MATCH(INDEX(Zeiterfassung!$K$6:$K$3665,$K2976),Zeiterfassung!$K$6:$K$3665,0))))</f>
        <v/>
      </c>
      <c r="J2976" s="335">
        <f>IF(B2976=B2975,"",IF($K2976="","",INDEX(Zeiterfassung!$J$6:$J$3665,MATCH(INDEX(Zeiterfassung!$K$6:$K$3665,$K2976),Zeiterfassung!$K$6:$K$3665,0))))</f>
        <v/>
      </c>
      <c r="K2976">
        <f>IFERROR(AGGREGATE(15,6,(ROW(Zeiterfassung!$D$6:$D$3665)-ROW(Zeiterfassung!$D$6)+1)/(Zeiterfassung!$D$6:$D$3665&lt;&gt;""),2971),"")</f>
        <v/>
      </c>
    </row>
    <row r="2977" ht="20" customHeight="1">
      <c r="A2977" s="183">
        <f>IF($K2977="","",WEEKNUM(INDEX(Zeiterfassung!$K$6:$K$3665,$K2977),21))</f>
        <v/>
      </c>
      <c r="B2977" s="184">
        <f>IF($K2977="","",INDEX(Zeiterfassung!$K$6:$K$3665,$K2977))</f>
        <v/>
      </c>
      <c r="C2977" s="185">
        <f>IF($K2977="","",INDEX(Zeiterfassung!$K$6:$K$3665,$K2977))</f>
        <v/>
      </c>
      <c r="D2977" s="186">
        <f>IF($K2977="","",INDEX(Zeiterfassung!$D$6:$D$3665,$K2977))</f>
        <v/>
      </c>
      <c r="E2977" s="186">
        <f>IF($K2977="","",INDEX(Zeiterfassung!$E$6:$E$3665,$K2977))</f>
        <v/>
      </c>
      <c r="F2977" s="187">
        <f>IF($K2977="","",INDEX(Zeiterfassung!$F$6:$F$3665,$K2977))</f>
        <v/>
      </c>
      <c r="G2977" s="187">
        <f>IF($K2977="","",INDEX(Zeiterfassung!$G$6:$G$3665,$K2977))</f>
        <v/>
      </c>
      <c r="H2977" s="188">
        <f>IF($K2977="","",INDEX(Zeiterfassung!$H$6:$H$3665,$K2977))</f>
        <v/>
      </c>
      <c r="I2977" s="335">
        <f>IF(B2977=B2976,"",IF($K2977="","",INDEX(Zeiterfassung!$I$6:$I$3665,MATCH(INDEX(Zeiterfassung!$K$6:$K$3665,$K2977),Zeiterfassung!$K$6:$K$3665,0))))</f>
        <v/>
      </c>
      <c r="J2977" s="335">
        <f>IF(B2977=B2976,"",IF($K2977="","",INDEX(Zeiterfassung!$J$6:$J$3665,MATCH(INDEX(Zeiterfassung!$K$6:$K$3665,$K2977),Zeiterfassung!$K$6:$K$3665,0))))</f>
        <v/>
      </c>
      <c r="K2977">
        <f>IFERROR(AGGREGATE(15,6,(ROW(Zeiterfassung!$D$6:$D$3665)-ROW(Zeiterfassung!$D$6)+1)/(Zeiterfassung!$D$6:$D$3665&lt;&gt;""),2972),"")</f>
        <v/>
      </c>
    </row>
    <row r="2978" ht="20" customHeight="1">
      <c r="A2978" s="183">
        <f>IF($K2978="","",WEEKNUM(INDEX(Zeiterfassung!$K$6:$K$3665,$K2978),21))</f>
        <v/>
      </c>
      <c r="B2978" s="184">
        <f>IF($K2978="","",INDEX(Zeiterfassung!$K$6:$K$3665,$K2978))</f>
        <v/>
      </c>
      <c r="C2978" s="185">
        <f>IF($K2978="","",INDEX(Zeiterfassung!$K$6:$K$3665,$K2978))</f>
        <v/>
      </c>
      <c r="D2978" s="186">
        <f>IF($K2978="","",INDEX(Zeiterfassung!$D$6:$D$3665,$K2978))</f>
        <v/>
      </c>
      <c r="E2978" s="186">
        <f>IF($K2978="","",INDEX(Zeiterfassung!$E$6:$E$3665,$K2978))</f>
        <v/>
      </c>
      <c r="F2978" s="187">
        <f>IF($K2978="","",INDEX(Zeiterfassung!$F$6:$F$3665,$K2978))</f>
        <v/>
      </c>
      <c r="G2978" s="187">
        <f>IF($K2978="","",INDEX(Zeiterfassung!$G$6:$G$3665,$K2978))</f>
        <v/>
      </c>
      <c r="H2978" s="188">
        <f>IF($K2978="","",INDEX(Zeiterfassung!$H$6:$H$3665,$K2978))</f>
        <v/>
      </c>
      <c r="I2978" s="335">
        <f>IF(B2978=B2977,"",IF($K2978="","",INDEX(Zeiterfassung!$I$6:$I$3665,MATCH(INDEX(Zeiterfassung!$K$6:$K$3665,$K2978),Zeiterfassung!$K$6:$K$3665,0))))</f>
        <v/>
      </c>
      <c r="J2978" s="335">
        <f>IF(B2978=B2977,"",IF($K2978="","",INDEX(Zeiterfassung!$J$6:$J$3665,MATCH(INDEX(Zeiterfassung!$K$6:$K$3665,$K2978),Zeiterfassung!$K$6:$K$3665,0))))</f>
        <v/>
      </c>
      <c r="K2978">
        <f>IFERROR(AGGREGATE(15,6,(ROW(Zeiterfassung!$D$6:$D$3665)-ROW(Zeiterfassung!$D$6)+1)/(Zeiterfassung!$D$6:$D$3665&lt;&gt;""),2973),"")</f>
        <v/>
      </c>
    </row>
    <row r="2979" ht="20" customHeight="1">
      <c r="A2979" s="183">
        <f>IF($K2979="","",WEEKNUM(INDEX(Zeiterfassung!$K$6:$K$3665,$K2979),21))</f>
        <v/>
      </c>
      <c r="B2979" s="184">
        <f>IF($K2979="","",INDEX(Zeiterfassung!$K$6:$K$3665,$K2979))</f>
        <v/>
      </c>
      <c r="C2979" s="185">
        <f>IF($K2979="","",INDEX(Zeiterfassung!$K$6:$K$3665,$K2979))</f>
        <v/>
      </c>
      <c r="D2979" s="186">
        <f>IF($K2979="","",INDEX(Zeiterfassung!$D$6:$D$3665,$K2979))</f>
        <v/>
      </c>
      <c r="E2979" s="186">
        <f>IF($K2979="","",INDEX(Zeiterfassung!$E$6:$E$3665,$K2979))</f>
        <v/>
      </c>
      <c r="F2979" s="187">
        <f>IF($K2979="","",INDEX(Zeiterfassung!$F$6:$F$3665,$K2979))</f>
        <v/>
      </c>
      <c r="G2979" s="187">
        <f>IF($K2979="","",INDEX(Zeiterfassung!$G$6:$G$3665,$K2979))</f>
        <v/>
      </c>
      <c r="H2979" s="188">
        <f>IF($K2979="","",INDEX(Zeiterfassung!$H$6:$H$3665,$K2979))</f>
        <v/>
      </c>
      <c r="I2979" s="335">
        <f>IF(B2979=B2978,"",IF($K2979="","",INDEX(Zeiterfassung!$I$6:$I$3665,MATCH(INDEX(Zeiterfassung!$K$6:$K$3665,$K2979),Zeiterfassung!$K$6:$K$3665,0))))</f>
        <v/>
      </c>
      <c r="J2979" s="335">
        <f>IF(B2979=B2978,"",IF($K2979="","",INDEX(Zeiterfassung!$J$6:$J$3665,MATCH(INDEX(Zeiterfassung!$K$6:$K$3665,$K2979),Zeiterfassung!$K$6:$K$3665,0))))</f>
        <v/>
      </c>
      <c r="K2979">
        <f>IFERROR(AGGREGATE(15,6,(ROW(Zeiterfassung!$D$6:$D$3665)-ROW(Zeiterfassung!$D$6)+1)/(Zeiterfassung!$D$6:$D$3665&lt;&gt;""),2974),"")</f>
        <v/>
      </c>
    </row>
    <row r="2980" ht="20" customHeight="1">
      <c r="A2980" s="183">
        <f>IF($K2980="","",WEEKNUM(INDEX(Zeiterfassung!$K$6:$K$3665,$K2980),21))</f>
        <v/>
      </c>
      <c r="B2980" s="184">
        <f>IF($K2980="","",INDEX(Zeiterfassung!$K$6:$K$3665,$K2980))</f>
        <v/>
      </c>
      <c r="C2980" s="185">
        <f>IF($K2980="","",INDEX(Zeiterfassung!$K$6:$K$3665,$K2980))</f>
        <v/>
      </c>
      <c r="D2980" s="186">
        <f>IF($K2980="","",INDEX(Zeiterfassung!$D$6:$D$3665,$K2980))</f>
        <v/>
      </c>
      <c r="E2980" s="186">
        <f>IF($K2980="","",INDEX(Zeiterfassung!$E$6:$E$3665,$K2980))</f>
        <v/>
      </c>
      <c r="F2980" s="187">
        <f>IF($K2980="","",INDEX(Zeiterfassung!$F$6:$F$3665,$K2980))</f>
        <v/>
      </c>
      <c r="G2980" s="187">
        <f>IF($K2980="","",INDEX(Zeiterfassung!$G$6:$G$3665,$K2980))</f>
        <v/>
      </c>
      <c r="H2980" s="188">
        <f>IF($K2980="","",INDEX(Zeiterfassung!$H$6:$H$3665,$K2980))</f>
        <v/>
      </c>
      <c r="I2980" s="335">
        <f>IF(B2980=B2979,"",IF($K2980="","",INDEX(Zeiterfassung!$I$6:$I$3665,MATCH(INDEX(Zeiterfassung!$K$6:$K$3665,$K2980),Zeiterfassung!$K$6:$K$3665,0))))</f>
        <v/>
      </c>
      <c r="J2980" s="335">
        <f>IF(B2980=B2979,"",IF($K2980="","",INDEX(Zeiterfassung!$J$6:$J$3665,MATCH(INDEX(Zeiterfassung!$K$6:$K$3665,$K2980),Zeiterfassung!$K$6:$K$3665,0))))</f>
        <v/>
      </c>
      <c r="K2980">
        <f>IFERROR(AGGREGATE(15,6,(ROW(Zeiterfassung!$D$6:$D$3665)-ROW(Zeiterfassung!$D$6)+1)/(Zeiterfassung!$D$6:$D$3665&lt;&gt;""),2975),"")</f>
        <v/>
      </c>
    </row>
    <row r="2981" ht="20" customHeight="1">
      <c r="A2981" s="183">
        <f>IF($K2981="","",WEEKNUM(INDEX(Zeiterfassung!$K$6:$K$3665,$K2981),21))</f>
        <v/>
      </c>
      <c r="B2981" s="184">
        <f>IF($K2981="","",INDEX(Zeiterfassung!$K$6:$K$3665,$K2981))</f>
        <v/>
      </c>
      <c r="C2981" s="185">
        <f>IF($K2981="","",INDEX(Zeiterfassung!$K$6:$K$3665,$K2981))</f>
        <v/>
      </c>
      <c r="D2981" s="186">
        <f>IF($K2981="","",INDEX(Zeiterfassung!$D$6:$D$3665,$K2981))</f>
        <v/>
      </c>
      <c r="E2981" s="186">
        <f>IF($K2981="","",INDEX(Zeiterfassung!$E$6:$E$3665,$K2981))</f>
        <v/>
      </c>
      <c r="F2981" s="187">
        <f>IF($K2981="","",INDEX(Zeiterfassung!$F$6:$F$3665,$K2981))</f>
        <v/>
      </c>
      <c r="G2981" s="187">
        <f>IF($K2981="","",INDEX(Zeiterfassung!$G$6:$G$3665,$K2981))</f>
        <v/>
      </c>
      <c r="H2981" s="188">
        <f>IF($K2981="","",INDEX(Zeiterfassung!$H$6:$H$3665,$K2981))</f>
        <v/>
      </c>
      <c r="I2981" s="335">
        <f>IF(B2981=B2980,"",IF($K2981="","",INDEX(Zeiterfassung!$I$6:$I$3665,MATCH(INDEX(Zeiterfassung!$K$6:$K$3665,$K2981),Zeiterfassung!$K$6:$K$3665,0))))</f>
        <v/>
      </c>
      <c r="J2981" s="335">
        <f>IF(B2981=B2980,"",IF($K2981="","",INDEX(Zeiterfassung!$J$6:$J$3665,MATCH(INDEX(Zeiterfassung!$K$6:$K$3665,$K2981),Zeiterfassung!$K$6:$K$3665,0))))</f>
        <v/>
      </c>
      <c r="K2981">
        <f>IFERROR(AGGREGATE(15,6,(ROW(Zeiterfassung!$D$6:$D$3665)-ROW(Zeiterfassung!$D$6)+1)/(Zeiterfassung!$D$6:$D$3665&lt;&gt;""),2976),"")</f>
        <v/>
      </c>
    </row>
    <row r="2982" ht="20" customHeight="1">
      <c r="A2982" s="183">
        <f>IF($K2982="","",WEEKNUM(INDEX(Zeiterfassung!$K$6:$K$3665,$K2982),21))</f>
        <v/>
      </c>
      <c r="B2982" s="184">
        <f>IF($K2982="","",INDEX(Zeiterfassung!$K$6:$K$3665,$K2982))</f>
        <v/>
      </c>
      <c r="C2982" s="185">
        <f>IF($K2982="","",INDEX(Zeiterfassung!$K$6:$K$3665,$K2982))</f>
        <v/>
      </c>
      <c r="D2982" s="186">
        <f>IF($K2982="","",INDEX(Zeiterfassung!$D$6:$D$3665,$K2982))</f>
        <v/>
      </c>
      <c r="E2982" s="186">
        <f>IF($K2982="","",INDEX(Zeiterfassung!$E$6:$E$3665,$K2982))</f>
        <v/>
      </c>
      <c r="F2982" s="187">
        <f>IF($K2982="","",INDEX(Zeiterfassung!$F$6:$F$3665,$K2982))</f>
        <v/>
      </c>
      <c r="G2982" s="187">
        <f>IF($K2982="","",INDEX(Zeiterfassung!$G$6:$G$3665,$K2982))</f>
        <v/>
      </c>
      <c r="H2982" s="188">
        <f>IF($K2982="","",INDEX(Zeiterfassung!$H$6:$H$3665,$K2982))</f>
        <v/>
      </c>
      <c r="I2982" s="335">
        <f>IF(B2982=B2981,"",IF($K2982="","",INDEX(Zeiterfassung!$I$6:$I$3665,MATCH(INDEX(Zeiterfassung!$K$6:$K$3665,$K2982),Zeiterfassung!$K$6:$K$3665,0))))</f>
        <v/>
      </c>
      <c r="J2982" s="335">
        <f>IF(B2982=B2981,"",IF($K2982="","",INDEX(Zeiterfassung!$J$6:$J$3665,MATCH(INDEX(Zeiterfassung!$K$6:$K$3665,$K2982),Zeiterfassung!$K$6:$K$3665,0))))</f>
        <v/>
      </c>
      <c r="K2982">
        <f>IFERROR(AGGREGATE(15,6,(ROW(Zeiterfassung!$D$6:$D$3665)-ROW(Zeiterfassung!$D$6)+1)/(Zeiterfassung!$D$6:$D$3665&lt;&gt;""),2977),"")</f>
        <v/>
      </c>
    </row>
    <row r="2983" ht="20" customHeight="1">
      <c r="A2983" s="183">
        <f>IF($K2983="","",WEEKNUM(INDEX(Zeiterfassung!$K$6:$K$3665,$K2983),21))</f>
        <v/>
      </c>
      <c r="B2983" s="184">
        <f>IF($K2983="","",INDEX(Zeiterfassung!$K$6:$K$3665,$K2983))</f>
        <v/>
      </c>
      <c r="C2983" s="185">
        <f>IF($K2983="","",INDEX(Zeiterfassung!$K$6:$K$3665,$K2983))</f>
        <v/>
      </c>
      <c r="D2983" s="186">
        <f>IF($K2983="","",INDEX(Zeiterfassung!$D$6:$D$3665,$K2983))</f>
        <v/>
      </c>
      <c r="E2983" s="186">
        <f>IF($K2983="","",INDEX(Zeiterfassung!$E$6:$E$3665,$K2983))</f>
        <v/>
      </c>
      <c r="F2983" s="187">
        <f>IF($K2983="","",INDEX(Zeiterfassung!$F$6:$F$3665,$K2983))</f>
        <v/>
      </c>
      <c r="G2983" s="187">
        <f>IF($K2983="","",INDEX(Zeiterfassung!$G$6:$G$3665,$K2983))</f>
        <v/>
      </c>
      <c r="H2983" s="188">
        <f>IF($K2983="","",INDEX(Zeiterfassung!$H$6:$H$3665,$K2983))</f>
        <v/>
      </c>
      <c r="I2983" s="335">
        <f>IF(B2983=B2982,"",IF($K2983="","",INDEX(Zeiterfassung!$I$6:$I$3665,MATCH(INDEX(Zeiterfassung!$K$6:$K$3665,$K2983),Zeiterfassung!$K$6:$K$3665,0))))</f>
        <v/>
      </c>
      <c r="J2983" s="335">
        <f>IF(B2983=B2982,"",IF($K2983="","",INDEX(Zeiterfassung!$J$6:$J$3665,MATCH(INDEX(Zeiterfassung!$K$6:$K$3665,$K2983),Zeiterfassung!$K$6:$K$3665,0))))</f>
        <v/>
      </c>
      <c r="K2983">
        <f>IFERROR(AGGREGATE(15,6,(ROW(Zeiterfassung!$D$6:$D$3665)-ROW(Zeiterfassung!$D$6)+1)/(Zeiterfassung!$D$6:$D$3665&lt;&gt;""),2978),"")</f>
        <v/>
      </c>
    </row>
    <row r="2984" ht="20" customHeight="1">
      <c r="A2984" s="183">
        <f>IF($K2984="","",WEEKNUM(INDEX(Zeiterfassung!$K$6:$K$3665,$K2984),21))</f>
        <v/>
      </c>
      <c r="B2984" s="184">
        <f>IF($K2984="","",INDEX(Zeiterfassung!$K$6:$K$3665,$K2984))</f>
        <v/>
      </c>
      <c r="C2984" s="185">
        <f>IF($K2984="","",INDEX(Zeiterfassung!$K$6:$K$3665,$K2984))</f>
        <v/>
      </c>
      <c r="D2984" s="186">
        <f>IF($K2984="","",INDEX(Zeiterfassung!$D$6:$D$3665,$K2984))</f>
        <v/>
      </c>
      <c r="E2984" s="186">
        <f>IF($K2984="","",INDEX(Zeiterfassung!$E$6:$E$3665,$K2984))</f>
        <v/>
      </c>
      <c r="F2984" s="187">
        <f>IF($K2984="","",INDEX(Zeiterfassung!$F$6:$F$3665,$K2984))</f>
        <v/>
      </c>
      <c r="G2984" s="187">
        <f>IF($K2984="","",INDEX(Zeiterfassung!$G$6:$G$3665,$K2984))</f>
        <v/>
      </c>
      <c r="H2984" s="188">
        <f>IF($K2984="","",INDEX(Zeiterfassung!$H$6:$H$3665,$K2984))</f>
        <v/>
      </c>
      <c r="I2984" s="335">
        <f>IF(B2984=B2983,"",IF($K2984="","",INDEX(Zeiterfassung!$I$6:$I$3665,MATCH(INDEX(Zeiterfassung!$K$6:$K$3665,$K2984),Zeiterfassung!$K$6:$K$3665,0))))</f>
        <v/>
      </c>
      <c r="J2984" s="335">
        <f>IF(B2984=B2983,"",IF($K2984="","",INDEX(Zeiterfassung!$J$6:$J$3665,MATCH(INDEX(Zeiterfassung!$K$6:$K$3665,$K2984),Zeiterfassung!$K$6:$K$3665,0))))</f>
        <v/>
      </c>
      <c r="K2984">
        <f>IFERROR(AGGREGATE(15,6,(ROW(Zeiterfassung!$D$6:$D$3665)-ROW(Zeiterfassung!$D$6)+1)/(Zeiterfassung!$D$6:$D$3665&lt;&gt;""),2979),"")</f>
        <v/>
      </c>
    </row>
    <row r="2985" ht="20" customHeight="1">
      <c r="A2985" s="183">
        <f>IF($K2985="","",WEEKNUM(INDEX(Zeiterfassung!$K$6:$K$3665,$K2985),21))</f>
        <v/>
      </c>
      <c r="B2985" s="184">
        <f>IF($K2985="","",INDEX(Zeiterfassung!$K$6:$K$3665,$K2985))</f>
        <v/>
      </c>
      <c r="C2985" s="185">
        <f>IF($K2985="","",INDEX(Zeiterfassung!$K$6:$K$3665,$K2985))</f>
        <v/>
      </c>
      <c r="D2985" s="186">
        <f>IF($K2985="","",INDEX(Zeiterfassung!$D$6:$D$3665,$K2985))</f>
        <v/>
      </c>
      <c r="E2985" s="186">
        <f>IF($K2985="","",INDEX(Zeiterfassung!$E$6:$E$3665,$K2985))</f>
        <v/>
      </c>
      <c r="F2985" s="187">
        <f>IF($K2985="","",INDEX(Zeiterfassung!$F$6:$F$3665,$K2985))</f>
        <v/>
      </c>
      <c r="G2985" s="187">
        <f>IF($K2985="","",INDEX(Zeiterfassung!$G$6:$G$3665,$K2985))</f>
        <v/>
      </c>
      <c r="H2985" s="188">
        <f>IF($K2985="","",INDEX(Zeiterfassung!$H$6:$H$3665,$K2985))</f>
        <v/>
      </c>
      <c r="I2985" s="335">
        <f>IF(B2985=B2984,"",IF($K2985="","",INDEX(Zeiterfassung!$I$6:$I$3665,MATCH(INDEX(Zeiterfassung!$K$6:$K$3665,$K2985),Zeiterfassung!$K$6:$K$3665,0))))</f>
        <v/>
      </c>
      <c r="J2985" s="335">
        <f>IF(B2985=B2984,"",IF($K2985="","",INDEX(Zeiterfassung!$J$6:$J$3665,MATCH(INDEX(Zeiterfassung!$K$6:$K$3665,$K2985),Zeiterfassung!$K$6:$K$3665,0))))</f>
        <v/>
      </c>
      <c r="K2985">
        <f>IFERROR(AGGREGATE(15,6,(ROW(Zeiterfassung!$D$6:$D$3665)-ROW(Zeiterfassung!$D$6)+1)/(Zeiterfassung!$D$6:$D$3665&lt;&gt;""),2980),"")</f>
        <v/>
      </c>
    </row>
    <row r="2986" ht="20" customHeight="1">
      <c r="A2986" s="183">
        <f>IF($K2986="","",WEEKNUM(INDEX(Zeiterfassung!$K$6:$K$3665,$K2986),21))</f>
        <v/>
      </c>
      <c r="B2986" s="184">
        <f>IF($K2986="","",INDEX(Zeiterfassung!$K$6:$K$3665,$K2986))</f>
        <v/>
      </c>
      <c r="C2986" s="185">
        <f>IF($K2986="","",INDEX(Zeiterfassung!$K$6:$K$3665,$K2986))</f>
        <v/>
      </c>
      <c r="D2986" s="186">
        <f>IF($K2986="","",INDEX(Zeiterfassung!$D$6:$D$3665,$K2986))</f>
        <v/>
      </c>
      <c r="E2986" s="186">
        <f>IF($K2986="","",INDEX(Zeiterfassung!$E$6:$E$3665,$K2986))</f>
        <v/>
      </c>
      <c r="F2986" s="187">
        <f>IF($K2986="","",INDEX(Zeiterfassung!$F$6:$F$3665,$K2986))</f>
        <v/>
      </c>
      <c r="G2986" s="187">
        <f>IF($K2986="","",INDEX(Zeiterfassung!$G$6:$G$3665,$K2986))</f>
        <v/>
      </c>
      <c r="H2986" s="188">
        <f>IF($K2986="","",INDEX(Zeiterfassung!$H$6:$H$3665,$K2986))</f>
        <v/>
      </c>
      <c r="I2986" s="335">
        <f>IF(B2986=B2985,"",IF($K2986="","",INDEX(Zeiterfassung!$I$6:$I$3665,MATCH(INDEX(Zeiterfassung!$K$6:$K$3665,$K2986),Zeiterfassung!$K$6:$K$3665,0))))</f>
        <v/>
      </c>
      <c r="J2986" s="335">
        <f>IF(B2986=B2985,"",IF($K2986="","",INDEX(Zeiterfassung!$J$6:$J$3665,MATCH(INDEX(Zeiterfassung!$K$6:$K$3665,$K2986),Zeiterfassung!$K$6:$K$3665,0))))</f>
        <v/>
      </c>
      <c r="K2986">
        <f>IFERROR(AGGREGATE(15,6,(ROW(Zeiterfassung!$D$6:$D$3665)-ROW(Zeiterfassung!$D$6)+1)/(Zeiterfassung!$D$6:$D$3665&lt;&gt;""),2981),"")</f>
        <v/>
      </c>
    </row>
    <row r="2987" ht="20" customHeight="1">
      <c r="A2987" s="183">
        <f>IF($K2987="","",WEEKNUM(INDEX(Zeiterfassung!$K$6:$K$3665,$K2987),21))</f>
        <v/>
      </c>
      <c r="B2987" s="184">
        <f>IF($K2987="","",INDEX(Zeiterfassung!$K$6:$K$3665,$K2987))</f>
        <v/>
      </c>
      <c r="C2987" s="185">
        <f>IF($K2987="","",INDEX(Zeiterfassung!$K$6:$K$3665,$K2987))</f>
        <v/>
      </c>
      <c r="D2987" s="186">
        <f>IF($K2987="","",INDEX(Zeiterfassung!$D$6:$D$3665,$K2987))</f>
        <v/>
      </c>
      <c r="E2987" s="186">
        <f>IF($K2987="","",INDEX(Zeiterfassung!$E$6:$E$3665,$K2987))</f>
        <v/>
      </c>
      <c r="F2987" s="187">
        <f>IF($K2987="","",INDEX(Zeiterfassung!$F$6:$F$3665,$K2987))</f>
        <v/>
      </c>
      <c r="G2987" s="187">
        <f>IF($K2987="","",INDEX(Zeiterfassung!$G$6:$G$3665,$K2987))</f>
        <v/>
      </c>
      <c r="H2987" s="188">
        <f>IF($K2987="","",INDEX(Zeiterfassung!$H$6:$H$3665,$K2987))</f>
        <v/>
      </c>
      <c r="I2987" s="335">
        <f>IF(B2987=B2986,"",IF($K2987="","",INDEX(Zeiterfassung!$I$6:$I$3665,MATCH(INDEX(Zeiterfassung!$K$6:$K$3665,$K2987),Zeiterfassung!$K$6:$K$3665,0))))</f>
        <v/>
      </c>
      <c r="J2987" s="335">
        <f>IF(B2987=B2986,"",IF($K2987="","",INDEX(Zeiterfassung!$J$6:$J$3665,MATCH(INDEX(Zeiterfassung!$K$6:$K$3665,$K2987),Zeiterfassung!$K$6:$K$3665,0))))</f>
        <v/>
      </c>
      <c r="K2987">
        <f>IFERROR(AGGREGATE(15,6,(ROW(Zeiterfassung!$D$6:$D$3665)-ROW(Zeiterfassung!$D$6)+1)/(Zeiterfassung!$D$6:$D$3665&lt;&gt;""),2982),"")</f>
        <v/>
      </c>
    </row>
    <row r="2988" ht="20" customHeight="1">
      <c r="A2988" s="183">
        <f>IF($K2988="","",WEEKNUM(INDEX(Zeiterfassung!$K$6:$K$3665,$K2988),21))</f>
        <v/>
      </c>
      <c r="B2988" s="184">
        <f>IF($K2988="","",INDEX(Zeiterfassung!$K$6:$K$3665,$K2988))</f>
        <v/>
      </c>
      <c r="C2988" s="185">
        <f>IF($K2988="","",INDEX(Zeiterfassung!$K$6:$K$3665,$K2988))</f>
        <v/>
      </c>
      <c r="D2988" s="186">
        <f>IF($K2988="","",INDEX(Zeiterfassung!$D$6:$D$3665,$K2988))</f>
        <v/>
      </c>
      <c r="E2988" s="186">
        <f>IF($K2988="","",INDEX(Zeiterfassung!$E$6:$E$3665,$K2988))</f>
        <v/>
      </c>
      <c r="F2988" s="187">
        <f>IF($K2988="","",INDEX(Zeiterfassung!$F$6:$F$3665,$K2988))</f>
        <v/>
      </c>
      <c r="G2988" s="187">
        <f>IF($K2988="","",INDEX(Zeiterfassung!$G$6:$G$3665,$K2988))</f>
        <v/>
      </c>
      <c r="H2988" s="188">
        <f>IF($K2988="","",INDEX(Zeiterfassung!$H$6:$H$3665,$K2988))</f>
        <v/>
      </c>
      <c r="I2988" s="335">
        <f>IF(B2988=B2987,"",IF($K2988="","",INDEX(Zeiterfassung!$I$6:$I$3665,MATCH(INDEX(Zeiterfassung!$K$6:$K$3665,$K2988),Zeiterfassung!$K$6:$K$3665,0))))</f>
        <v/>
      </c>
      <c r="J2988" s="335">
        <f>IF(B2988=B2987,"",IF($K2988="","",INDEX(Zeiterfassung!$J$6:$J$3665,MATCH(INDEX(Zeiterfassung!$K$6:$K$3665,$K2988),Zeiterfassung!$K$6:$K$3665,0))))</f>
        <v/>
      </c>
      <c r="K2988">
        <f>IFERROR(AGGREGATE(15,6,(ROW(Zeiterfassung!$D$6:$D$3665)-ROW(Zeiterfassung!$D$6)+1)/(Zeiterfassung!$D$6:$D$3665&lt;&gt;""),2983),"")</f>
        <v/>
      </c>
    </row>
    <row r="2989" ht="20" customHeight="1">
      <c r="A2989" s="183">
        <f>IF($K2989="","",WEEKNUM(INDEX(Zeiterfassung!$K$6:$K$3665,$K2989),21))</f>
        <v/>
      </c>
      <c r="B2989" s="184">
        <f>IF($K2989="","",INDEX(Zeiterfassung!$K$6:$K$3665,$K2989))</f>
        <v/>
      </c>
      <c r="C2989" s="185">
        <f>IF($K2989="","",INDEX(Zeiterfassung!$K$6:$K$3665,$K2989))</f>
        <v/>
      </c>
      <c r="D2989" s="186">
        <f>IF($K2989="","",INDEX(Zeiterfassung!$D$6:$D$3665,$K2989))</f>
        <v/>
      </c>
      <c r="E2989" s="186">
        <f>IF($K2989="","",INDEX(Zeiterfassung!$E$6:$E$3665,$K2989))</f>
        <v/>
      </c>
      <c r="F2989" s="187">
        <f>IF($K2989="","",INDEX(Zeiterfassung!$F$6:$F$3665,$K2989))</f>
        <v/>
      </c>
      <c r="G2989" s="187">
        <f>IF($K2989="","",INDEX(Zeiterfassung!$G$6:$G$3665,$K2989))</f>
        <v/>
      </c>
      <c r="H2989" s="188">
        <f>IF($K2989="","",INDEX(Zeiterfassung!$H$6:$H$3665,$K2989))</f>
        <v/>
      </c>
      <c r="I2989" s="335">
        <f>IF(B2989=B2988,"",IF($K2989="","",INDEX(Zeiterfassung!$I$6:$I$3665,MATCH(INDEX(Zeiterfassung!$K$6:$K$3665,$K2989),Zeiterfassung!$K$6:$K$3665,0))))</f>
        <v/>
      </c>
      <c r="J2989" s="335">
        <f>IF(B2989=B2988,"",IF($K2989="","",INDEX(Zeiterfassung!$J$6:$J$3665,MATCH(INDEX(Zeiterfassung!$K$6:$K$3665,$K2989),Zeiterfassung!$K$6:$K$3665,0))))</f>
        <v/>
      </c>
      <c r="K2989">
        <f>IFERROR(AGGREGATE(15,6,(ROW(Zeiterfassung!$D$6:$D$3665)-ROW(Zeiterfassung!$D$6)+1)/(Zeiterfassung!$D$6:$D$3665&lt;&gt;""),2984),"")</f>
        <v/>
      </c>
    </row>
    <row r="2990" ht="20" customHeight="1">
      <c r="A2990" s="183">
        <f>IF($K2990="","",WEEKNUM(INDEX(Zeiterfassung!$K$6:$K$3665,$K2990),21))</f>
        <v/>
      </c>
      <c r="B2990" s="184">
        <f>IF($K2990="","",INDEX(Zeiterfassung!$K$6:$K$3665,$K2990))</f>
        <v/>
      </c>
      <c r="C2990" s="185">
        <f>IF($K2990="","",INDEX(Zeiterfassung!$K$6:$K$3665,$K2990))</f>
        <v/>
      </c>
      <c r="D2990" s="186">
        <f>IF($K2990="","",INDEX(Zeiterfassung!$D$6:$D$3665,$K2990))</f>
        <v/>
      </c>
      <c r="E2990" s="186">
        <f>IF($K2990="","",INDEX(Zeiterfassung!$E$6:$E$3665,$K2990))</f>
        <v/>
      </c>
      <c r="F2990" s="187">
        <f>IF($K2990="","",INDEX(Zeiterfassung!$F$6:$F$3665,$K2990))</f>
        <v/>
      </c>
      <c r="G2990" s="187">
        <f>IF($K2990="","",INDEX(Zeiterfassung!$G$6:$G$3665,$K2990))</f>
        <v/>
      </c>
      <c r="H2990" s="188">
        <f>IF($K2990="","",INDEX(Zeiterfassung!$H$6:$H$3665,$K2990))</f>
        <v/>
      </c>
      <c r="I2990" s="335">
        <f>IF(B2990=B2989,"",IF($K2990="","",INDEX(Zeiterfassung!$I$6:$I$3665,MATCH(INDEX(Zeiterfassung!$K$6:$K$3665,$K2990),Zeiterfassung!$K$6:$K$3665,0))))</f>
        <v/>
      </c>
      <c r="J2990" s="335">
        <f>IF(B2990=B2989,"",IF($K2990="","",INDEX(Zeiterfassung!$J$6:$J$3665,MATCH(INDEX(Zeiterfassung!$K$6:$K$3665,$K2990),Zeiterfassung!$K$6:$K$3665,0))))</f>
        <v/>
      </c>
      <c r="K2990">
        <f>IFERROR(AGGREGATE(15,6,(ROW(Zeiterfassung!$D$6:$D$3665)-ROW(Zeiterfassung!$D$6)+1)/(Zeiterfassung!$D$6:$D$3665&lt;&gt;""),2985),"")</f>
        <v/>
      </c>
    </row>
    <row r="2991" ht="20" customHeight="1">
      <c r="A2991" s="183">
        <f>IF($K2991="","",WEEKNUM(INDEX(Zeiterfassung!$K$6:$K$3665,$K2991),21))</f>
        <v/>
      </c>
      <c r="B2991" s="184">
        <f>IF($K2991="","",INDEX(Zeiterfassung!$K$6:$K$3665,$K2991))</f>
        <v/>
      </c>
      <c r="C2991" s="185">
        <f>IF($K2991="","",INDEX(Zeiterfassung!$K$6:$K$3665,$K2991))</f>
        <v/>
      </c>
      <c r="D2991" s="186">
        <f>IF($K2991="","",INDEX(Zeiterfassung!$D$6:$D$3665,$K2991))</f>
        <v/>
      </c>
      <c r="E2991" s="186">
        <f>IF($K2991="","",INDEX(Zeiterfassung!$E$6:$E$3665,$K2991))</f>
        <v/>
      </c>
      <c r="F2991" s="187">
        <f>IF($K2991="","",INDEX(Zeiterfassung!$F$6:$F$3665,$K2991))</f>
        <v/>
      </c>
      <c r="G2991" s="187">
        <f>IF($K2991="","",INDEX(Zeiterfassung!$G$6:$G$3665,$K2991))</f>
        <v/>
      </c>
      <c r="H2991" s="188">
        <f>IF($K2991="","",INDEX(Zeiterfassung!$H$6:$H$3665,$K2991))</f>
        <v/>
      </c>
      <c r="I2991" s="335">
        <f>IF(B2991=B2990,"",IF($K2991="","",INDEX(Zeiterfassung!$I$6:$I$3665,MATCH(INDEX(Zeiterfassung!$K$6:$K$3665,$K2991),Zeiterfassung!$K$6:$K$3665,0))))</f>
        <v/>
      </c>
      <c r="J2991" s="335">
        <f>IF(B2991=B2990,"",IF($K2991="","",INDEX(Zeiterfassung!$J$6:$J$3665,MATCH(INDEX(Zeiterfassung!$K$6:$K$3665,$K2991),Zeiterfassung!$K$6:$K$3665,0))))</f>
        <v/>
      </c>
      <c r="K2991">
        <f>IFERROR(AGGREGATE(15,6,(ROW(Zeiterfassung!$D$6:$D$3665)-ROW(Zeiterfassung!$D$6)+1)/(Zeiterfassung!$D$6:$D$3665&lt;&gt;""),2986),"")</f>
        <v/>
      </c>
    </row>
    <row r="2992" ht="20" customHeight="1">
      <c r="A2992" s="183">
        <f>IF($K2992="","",WEEKNUM(INDEX(Zeiterfassung!$K$6:$K$3665,$K2992),21))</f>
        <v/>
      </c>
      <c r="B2992" s="184">
        <f>IF($K2992="","",INDEX(Zeiterfassung!$K$6:$K$3665,$K2992))</f>
        <v/>
      </c>
      <c r="C2992" s="185">
        <f>IF($K2992="","",INDEX(Zeiterfassung!$K$6:$K$3665,$K2992))</f>
        <v/>
      </c>
      <c r="D2992" s="186">
        <f>IF($K2992="","",INDEX(Zeiterfassung!$D$6:$D$3665,$K2992))</f>
        <v/>
      </c>
      <c r="E2992" s="186">
        <f>IF($K2992="","",INDEX(Zeiterfassung!$E$6:$E$3665,$K2992))</f>
        <v/>
      </c>
      <c r="F2992" s="187">
        <f>IF($K2992="","",INDEX(Zeiterfassung!$F$6:$F$3665,$K2992))</f>
        <v/>
      </c>
      <c r="G2992" s="187">
        <f>IF($K2992="","",INDEX(Zeiterfassung!$G$6:$G$3665,$K2992))</f>
        <v/>
      </c>
      <c r="H2992" s="188">
        <f>IF($K2992="","",INDEX(Zeiterfassung!$H$6:$H$3665,$K2992))</f>
        <v/>
      </c>
      <c r="I2992" s="335">
        <f>IF(B2992=B2991,"",IF($K2992="","",INDEX(Zeiterfassung!$I$6:$I$3665,MATCH(INDEX(Zeiterfassung!$K$6:$K$3665,$K2992),Zeiterfassung!$K$6:$K$3665,0))))</f>
        <v/>
      </c>
      <c r="J2992" s="335">
        <f>IF(B2992=B2991,"",IF($K2992="","",INDEX(Zeiterfassung!$J$6:$J$3665,MATCH(INDEX(Zeiterfassung!$K$6:$K$3665,$K2992),Zeiterfassung!$K$6:$K$3665,0))))</f>
        <v/>
      </c>
      <c r="K2992">
        <f>IFERROR(AGGREGATE(15,6,(ROW(Zeiterfassung!$D$6:$D$3665)-ROW(Zeiterfassung!$D$6)+1)/(Zeiterfassung!$D$6:$D$3665&lt;&gt;""),2987),"")</f>
        <v/>
      </c>
    </row>
    <row r="2993" ht="20" customHeight="1">
      <c r="A2993" s="183">
        <f>IF($K2993="","",WEEKNUM(INDEX(Zeiterfassung!$K$6:$K$3665,$K2993),21))</f>
        <v/>
      </c>
      <c r="B2993" s="184">
        <f>IF($K2993="","",INDEX(Zeiterfassung!$K$6:$K$3665,$K2993))</f>
        <v/>
      </c>
      <c r="C2993" s="185">
        <f>IF($K2993="","",INDEX(Zeiterfassung!$K$6:$K$3665,$K2993))</f>
        <v/>
      </c>
      <c r="D2993" s="186">
        <f>IF($K2993="","",INDEX(Zeiterfassung!$D$6:$D$3665,$K2993))</f>
        <v/>
      </c>
      <c r="E2993" s="186">
        <f>IF($K2993="","",INDEX(Zeiterfassung!$E$6:$E$3665,$K2993))</f>
        <v/>
      </c>
      <c r="F2993" s="187">
        <f>IF($K2993="","",INDEX(Zeiterfassung!$F$6:$F$3665,$K2993))</f>
        <v/>
      </c>
      <c r="G2993" s="187">
        <f>IF($K2993="","",INDEX(Zeiterfassung!$G$6:$G$3665,$K2993))</f>
        <v/>
      </c>
      <c r="H2993" s="188">
        <f>IF($K2993="","",INDEX(Zeiterfassung!$H$6:$H$3665,$K2993))</f>
        <v/>
      </c>
      <c r="I2993" s="335">
        <f>IF(B2993=B2992,"",IF($K2993="","",INDEX(Zeiterfassung!$I$6:$I$3665,MATCH(INDEX(Zeiterfassung!$K$6:$K$3665,$K2993),Zeiterfassung!$K$6:$K$3665,0))))</f>
        <v/>
      </c>
      <c r="J2993" s="335">
        <f>IF(B2993=B2992,"",IF($K2993="","",INDEX(Zeiterfassung!$J$6:$J$3665,MATCH(INDEX(Zeiterfassung!$K$6:$K$3665,$K2993),Zeiterfassung!$K$6:$K$3665,0))))</f>
        <v/>
      </c>
      <c r="K2993">
        <f>IFERROR(AGGREGATE(15,6,(ROW(Zeiterfassung!$D$6:$D$3665)-ROW(Zeiterfassung!$D$6)+1)/(Zeiterfassung!$D$6:$D$3665&lt;&gt;""),2988),"")</f>
        <v/>
      </c>
    </row>
    <row r="2994" ht="20" customHeight="1">
      <c r="A2994" s="183">
        <f>IF($K2994="","",WEEKNUM(INDEX(Zeiterfassung!$K$6:$K$3665,$K2994),21))</f>
        <v/>
      </c>
      <c r="B2994" s="184">
        <f>IF($K2994="","",INDEX(Zeiterfassung!$K$6:$K$3665,$K2994))</f>
        <v/>
      </c>
      <c r="C2994" s="185">
        <f>IF($K2994="","",INDEX(Zeiterfassung!$K$6:$K$3665,$K2994))</f>
        <v/>
      </c>
      <c r="D2994" s="186">
        <f>IF($K2994="","",INDEX(Zeiterfassung!$D$6:$D$3665,$K2994))</f>
        <v/>
      </c>
      <c r="E2994" s="186">
        <f>IF($K2994="","",INDEX(Zeiterfassung!$E$6:$E$3665,$K2994))</f>
        <v/>
      </c>
      <c r="F2994" s="187">
        <f>IF($K2994="","",INDEX(Zeiterfassung!$F$6:$F$3665,$K2994))</f>
        <v/>
      </c>
      <c r="G2994" s="187">
        <f>IF($K2994="","",INDEX(Zeiterfassung!$G$6:$G$3665,$K2994))</f>
        <v/>
      </c>
      <c r="H2994" s="188">
        <f>IF($K2994="","",INDEX(Zeiterfassung!$H$6:$H$3665,$K2994))</f>
        <v/>
      </c>
      <c r="I2994" s="335">
        <f>IF(B2994=B2993,"",IF($K2994="","",INDEX(Zeiterfassung!$I$6:$I$3665,MATCH(INDEX(Zeiterfassung!$K$6:$K$3665,$K2994),Zeiterfassung!$K$6:$K$3665,0))))</f>
        <v/>
      </c>
      <c r="J2994" s="335">
        <f>IF(B2994=B2993,"",IF($K2994="","",INDEX(Zeiterfassung!$J$6:$J$3665,MATCH(INDEX(Zeiterfassung!$K$6:$K$3665,$K2994),Zeiterfassung!$K$6:$K$3665,0))))</f>
        <v/>
      </c>
      <c r="K2994">
        <f>IFERROR(AGGREGATE(15,6,(ROW(Zeiterfassung!$D$6:$D$3665)-ROW(Zeiterfassung!$D$6)+1)/(Zeiterfassung!$D$6:$D$3665&lt;&gt;""),2989),"")</f>
        <v/>
      </c>
    </row>
    <row r="2995" ht="20" customHeight="1">
      <c r="A2995" s="183">
        <f>IF($K2995="","",WEEKNUM(INDEX(Zeiterfassung!$K$6:$K$3665,$K2995),21))</f>
        <v/>
      </c>
      <c r="B2995" s="184">
        <f>IF($K2995="","",INDEX(Zeiterfassung!$K$6:$K$3665,$K2995))</f>
        <v/>
      </c>
      <c r="C2995" s="185">
        <f>IF($K2995="","",INDEX(Zeiterfassung!$K$6:$K$3665,$K2995))</f>
        <v/>
      </c>
      <c r="D2995" s="186">
        <f>IF($K2995="","",INDEX(Zeiterfassung!$D$6:$D$3665,$K2995))</f>
        <v/>
      </c>
      <c r="E2995" s="186">
        <f>IF($K2995="","",INDEX(Zeiterfassung!$E$6:$E$3665,$K2995))</f>
        <v/>
      </c>
      <c r="F2995" s="187">
        <f>IF($K2995="","",INDEX(Zeiterfassung!$F$6:$F$3665,$K2995))</f>
        <v/>
      </c>
      <c r="G2995" s="187">
        <f>IF($K2995="","",INDEX(Zeiterfassung!$G$6:$G$3665,$K2995))</f>
        <v/>
      </c>
      <c r="H2995" s="188">
        <f>IF($K2995="","",INDEX(Zeiterfassung!$H$6:$H$3665,$K2995))</f>
        <v/>
      </c>
      <c r="I2995" s="335">
        <f>IF(B2995=B2994,"",IF($K2995="","",INDEX(Zeiterfassung!$I$6:$I$3665,MATCH(INDEX(Zeiterfassung!$K$6:$K$3665,$K2995),Zeiterfassung!$K$6:$K$3665,0))))</f>
        <v/>
      </c>
      <c r="J2995" s="335">
        <f>IF(B2995=B2994,"",IF($K2995="","",INDEX(Zeiterfassung!$J$6:$J$3665,MATCH(INDEX(Zeiterfassung!$K$6:$K$3665,$K2995),Zeiterfassung!$K$6:$K$3665,0))))</f>
        <v/>
      </c>
      <c r="K2995">
        <f>IFERROR(AGGREGATE(15,6,(ROW(Zeiterfassung!$D$6:$D$3665)-ROW(Zeiterfassung!$D$6)+1)/(Zeiterfassung!$D$6:$D$3665&lt;&gt;""),2990),"")</f>
        <v/>
      </c>
    </row>
    <row r="2996" ht="20" customHeight="1">
      <c r="A2996" s="183">
        <f>IF($K2996="","",WEEKNUM(INDEX(Zeiterfassung!$K$6:$K$3665,$K2996),21))</f>
        <v/>
      </c>
      <c r="B2996" s="184">
        <f>IF($K2996="","",INDEX(Zeiterfassung!$K$6:$K$3665,$K2996))</f>
        <v/>
      </c>
      <c r="C2996" s="185">
        <f>IF($K2996="","",INDEX(Zeiterfassung!$K$6:$K$3665,$K2996))</f>
        <v/>
      </c>
      <c r="D2996" s="186">
        <f>IF($K2996="","",INDEX(Zeiterfassung!$D$6:$D$3665,$K2996))</f>
        <v/>
      </c>
      <c r="E2996" s="186">
        <f>IF($K2996="","",INDEX(Zeiterfassung!$E$6:$E$3665,$K2996))</f>
        <v/>
      </c>
      <c r="F2996" s="187">
        <f>IF($K2996="","",INDEX(Zeiterfassung!$F$6:$F$3665,$K2996))</f>
        <v/>
      </c>
      <c r="G2996" s="187">
        <f>IF($K2996="","",INDEX(Zeiterfassung!$G$6:$G$3665,$K2996))</f>
        <v/>
      </c>
      <c r="H2996" s="188">
        <f>IF($K2996="","",INDEX(Zeiterfassung!$H$6:$H$3665,$K2996))</f>
        <v/>
      </c>
      <c r="I2996" s="335">
        <f>IF(B2996=B2995,"",IF($K2996="","",INDEX(Zeiterfassung!$I$6:$I$3665,MATCH(INDEX(Zeiterfassung!$K$6:$K$3665,$K2996),Zeiterfassung!$K$6:$K$3665,0))))</f>
        <v/>
      </c>
      <c r="J2996" s="335">
        <f>IF(B2996=B2995,"",IF($K2996="","",INDEX(Zeiterfassung!$J$6:$J$3665,MATCH(INDEX(Zeiterfassung!$K$6:$K$3665,$K2996),Zeiterfassung!$K$6:$K$3665,0))))</f>
        <v/>
      </c>
      <c r="K2996">
        <f>IFERROR(AGGREGATE(15,6,(ROW(Zeiterfassung!$D$6:$D$3665)-ROW(Zeiterfassung!$D$6)+1)/(Zeiterfassung!$D$6:$D$3665&lt;&gt;""),2991),"")</f>
        <v/>
      </c>
    </row>
    <row r="2997" ht="20" customHeight="1">
      <c r="A2997" s="183">
        <f>IF($K2997="","",WEEKNUM(INDEX(Zeiterfassung!$K$6:$K$3665,$K2997),21))</f>
        <v/>
      </c>
      <c r="B2997" s="184">
        <f>IF($K2997="","",INDEX(Zeiterfassung!$K$6:$K$3665,$K2997))</f>
        <v/>
      </c>
      <c r="C2997" s="185">
        <f>IF($K2997="","",INDEX(Zeiterfassung!$K$6:$K$3665,$K2997))</f>
        <v/>
      </c>
      <c r="D2997" s="186">
        <f>IF($K2997="","",INDEX(Zeiterfassung!$D$6:$D$3665,$K2997))</f>
        <v/>
      </c>
      <c r="E2997" s="186">
        <f>IF($K2997="","",INDEX(Zeiterfassung!$E$6:$E$3665,$K2997))</f>
        <v/>
      </c>
      <c r="F2997" s="187">
        <f>IF($K2997="","",INDEX(Zeiterfassung!$F$6:$F$3665,$K2997))</f>
        <v/>
      </c>
      <c r="G2997" s="187">
        <f>IF($K2997="","",INDEX(Zeiterfassung!$G$6:$G$3665,$K2997))</f>
        <v/>
      </c>
      <c r="H2997" s="188">
        <f>IF($K2997="","",INDEX(Zeiterfassung!$H$6:$H$3665,$K2997))</f>
        <v/>
      </c>
      <c r="I2997" s="335">
        <f>IF(B2997=B2996,"",IF($K2997="","",INDEX(Zeiterfassung!$I$6:$I$3665,MATCH(INDEX(Zeiterfassung!$K$6:$K$3665,$K2997),Zeiterfassung!$K$6:$K$3665,0))))</f>
        <v/>
      </c>
      <c r="J2997" s="335">
        <f>IF(B2997=B2996,"",IF($K2997="","",INDEX(Zeiterfassung!$J$6:$J$3665,MATCH(INDEX(Zeiterfassung!$K$6:$K$3665,$K2997),Zeiterfassung!$K$6:$K$3665,0))))</f>
        <v/>
      </c>
      <c r="K2997">
        <f>IFERROR(AGGREGATE(15,6,(ROW(Zeiterfassung!$D$6:$D$3665)-ROW(Zeiterfassung!$D$6)+1)/(Zeiterfassung!$D$6:$D$3665&lt;&gt;""),2992),"")</f>
        <v/>
      </c>
    </row>
    <row r="2998" ht="20" customHeight="1">
      <c r="A2998" s="183">
        <f>IF($K2998="","",WEEKNUM(INDEX(Zeiterfassung!$K$6:$K$3665,$K2998),21))</f>
        <v/>
      </c>
      <c r="B2998" s="184">
        <f>IF($K2998="","",INDEX(Zeiterfassung!$K$6:$K$3665,$K2998))</f>
        <v/>
      </c>
      <c r="C2998" s="185">
        <f>IF($K2998="","",INDEX(Zeiterfassung!$K$6:$K$3665,$K2998))</f>
        <v/>
      </c>
      <c r="D2998" s="186">
        <f>IF($K2998="","",INDEX(Zeiterfassung!$D$6:$D$3665,$K2998))</f>
        <v/>
      </c>
      <c r="E2998" s="186">
        <f>IF($K2998="","",INDEX(Zeiterfassung!$E$6:$E$3665,$K2998))</f>
        <v/>
      </c>
      <c r="F2998" s="187">
        <f>IF($K2998="","",INDEX(Zeiterfassung!$F$6:$F$3665,$K2998))</f>
        <v/>
      </c>
      <c r="G2998" s="187">
        <f>IF($K2998="","",INDEX(Zeiterfassung!$G$6:$G$3665,$K2998))</f>
        <v/>
      </c>
      <c r="H2998" s="188">
        <f>IF($K2998="","",INDEX(Zeiterfassung!$H$6:$H$3665,$K2998))</f>
        <v/>
      </c>
      <c r="I2998" s="335">
        <f>IF(B2998=B2997,"",IF($K2998="","",INDEX(Zeiterfassung!$I$6:$I$3665,MATCH(INDEX(Zeiterfassung!$K$6:$K$3665,$K2998),Zeiterfassung!$K$6:$K$3665,0))))</f>
        <v/>
      </c>
      <c r="J2998" s="335">
        <f>IF(B2998=B2997,"",IF($K2998="","",INDEX(Zeiterfassung!$J$6:$J$3665,MATCH(INDEX(Zeiterfassung!$K$6:$K$3665,$K2998),Zeiterfassung!$K$6:$K$3665,0))))</f>
        <v/>
      </c>
      <c r="K2998">
        <f>IFERROR(AGGREGATE(15,6,(ROW(Zeiterfassung!$D$6:$D$3665)-ROW(Zeiterfassung!$D$6)+1)/(Zeiterfassung!$D$6:$D$3665&lt;&gt;""),2993),"")</f>
        <v/>
      </c>
    </row>
    <row r="2999" ht="20" customHeight="1">
      <c r="A2999" s="183">
        <f>IF($K2999="","",WEEKNUM(INDEX(Zeiterfassung!$K$6:$K$3665,$K2999),21))</f>
        <v/>
      </c>
      <c r="B2999" s="184">
        <f>IF($K2999="","",INDEX(Zeiterfassung!$K$6:$K$3665,$K2999))</f>
        <v/>
      </c>
      <c r="C2999" s="185">
        <f>IF($K2999="","",INDEX(Zeiterfassung!$K$6:$K$3665,$K2999))</f>
        <v/>
      </c>
      <c r="D2999" s="186">
        <f>IF($K2999="","",INDEX(Zeiterfassung!$D$6:$D$3665,$K2999))</f>
        <v/>
      </c>
      <c r="E2999" s="186">
        <f>IF($K2999="","",INDEX(Zeiterfassung!$E$6:$E$3665,$K2999))</f>
        <v/>
      </c>
      <c r="F2999" s="187">
        <f>IF($K2999="","",INDEX(Zeiterfassung!$F$6:$F$3665,$K2999))</f>
        <v/>
      </c>
      <c r="G2999" s="187">
        <f>IF($K2999="","",INDEX(Zeiterfassung!$G$6:$G$3665,$K2999))</f>
        <v/>
      </c>
      <c r="H2999" s="188">
        <f>IF($K2999="","",INDEX(Zeiterfassung!$H$6:$H$3665,$K2999))</f>
        <v/>
      </c>
      <c r="I2999" s="335">
        <f>IF(B2999=B2998,"",IF($K2999="","",INDEX(Zeiterfassung!$I$6:$I$3665,MATCH(INDEX(Zeiterfassung!$K$6:$K$3665,$K2999),Zeiterfassung!$K$6:$K$3665,0))))</f>
        <v/>
      </c>
      <c r="J2999" s="335">
        <f>IF(B2999=B2998,"",IF($K2999="","",INDEX(Zeiterfassung!$J$6:$J$3665,MATCH(INDEX(Zeiterfassung!$K$6:$K$3665,$K2999),Zeiterfassung!$K$6:$K$3665,0))))</f>
        <v/>
      </c>
      <c r="K2999">
        <f>IFERROR(AGGREGATE(15,6,(ROW(Zeiterfassung!$D$6:$D$3665)-ROW(Zeiterfassung!$D$6)+1)/(Zeiterfassung!$D$6:$D$3665&lt;&gt;""),2994),"")</f>
        <v/>
      </c>
    </row>
    <row r="3000" ht="20" customHeight="1">
      <c r="A3000" s="183">
        <f>IF($K3000="","",WEEKNUM(INDEX(Zeiterfassung!$K$6:$K$3665,$K3000),21))</f>
        <v/>
      </c>
      <c r="B3000" s="184">
        <f>IF($K3000="","",INDEX(Zeiterfassung!$K$6:$K$3665,$K3000))</f>
        <v/>
      </c>
      <c r="C3000" s="185">
        <f>IF($K3000="","",INDEX(Zeiterfassung!$K$6:$K$3665,$K3000))</f>
        <v/>
      </c>
      <c r="D3000" s="186">
        <f>IF($K3000="","",INDEX(Zeiterfassung!$D$6:$D$3665,$K3000))</f>
        <v/>
      </c>
      <c r="E3000" s="186">
        <f>IF($K3000="","",INDEX(Zeiterfassung!$E$6:$E$3665,$K3000))</f>
        <v/>
      </c>
      <c r="F3000" s="187">
        <f>IF($K3000="","",INDEX(Zeiterfassung!$F$6:$F$3665,$K3000))</f>
        <v/>
      </c>
      <c r="G3000" s="187">
        <f>IF($K3000="","",INDEX(Zeiterfassung!$G$6:$G$3665,$K3000))</f>
        <v/>
      </c>
      <c r="H3000" s="188">
        <f>IF($K3000="","",INDEX(Zeiterfassung!$H$6:$H$3665,$K3000))</f>
        <v/>
      </c>
      <c r="I3000" s="335">
        <f>IF(B3000=B2999,"",IF($K3000="","",INDEX(Zeiterfassung!$I$6:$I$3665,MATCH(INDEX(Zeiterfassung!$K$6:$K$3665,$K3000),Zeiterfassung!$K$6:$K$3665,0))))</f>
        <v/>
      </c>
      <c r="J3000" s="335">
        <f>IF(B3000=B2999,"",IF($K3000="","",INDEX(Zeiterfassung!$J$6:$J$3665,MATCH(INDEX(Zeiterfassung!$K$6:$K$3665,$K3000),Zeiterfassung!$K$6:$K$3665,0))))</f>
        <v/>
      </c>
      <c r="K3000">
        <f>IFERROR(AGGREGATE(15,6,(ROW(Zeiterfassung!$D$6:$D$3665)-ROW(Zeiterfassung!$D$6)+1)/(Zeiterfassung!$D$6:$D$3665&lt;&gt;""),2995),"")</f>
        <v/>
      </c>
    </row>
    <row r="3001" ht="20" customHeight="1">
      <c r="A3001" s="183">
        <f>IF($K3001="","",WEEKNUM(INDEX(Zeiterfassung!$K$6:$K$3665,$K3001),21))</f>
        <v/>
      </c>
      <c r="B3001" s="184">
        <f>IF($K3001="","",INDEX(Zeiterfassung!$K$6:$K$3665,$K3001))</f>
        <v/>
      </c>
      <c r="C3001" s="185">
        <f>IF($K3001="","",INDEX(Zeiterfassung!$K$6:$K$3665,$K3001))</f>
        <v/>
      </c>
      <c r="D3001" s="186">
        <f>IF($K3001="","",INDEX(Zeiterfassung!$D$6:$D$3665,$K3001))</f>
        <v/>
      </c>
      <c r="E3001" s="186">
        <f>IF($K3001="","",INDEX(Zeiterfassung!$E$6:$E$3665,$K3001))</f>
        <v/>
      </c>
      <c r="F3001" s="187">
        <f>IF($K3001="","",INDEX(Zeiterfassung!$F$6:$F$3665,$K3001))</f>
        <v/>
      </c>
      <c r="G3001" s="187">
        <f>IF($K3001="","",INDEX(Zeiterfassung!$G$6:$G$3665,$K3001))</f>
        <v/>
      </c>
      <c r="H3001" s="188">
        <f>IF($K3001="","",INDEX(Zeiterfassung!$H$6:$H$3665,$K3001))</f>
        <v/>
      </c>
      <c r="I3001" s="335">
        <f>IF(B3001=B3000,"",IF($K3001="","",INDEX(Zeiterfassung!$I$6:$I$3665,MATCH(INDEX(Zeiterfassung!$K$6:$K$3665,$K3001),Zeiterfassung!$K$6:$K$3665,0))))</f>
        <v/>
      </c>
      <c r="J3001" s="335">
        <f>IF(B3001=B3000,"",IF($K3001="","",INDEX(Zeiterfassung!$J$6:$J$3665,MATCH(INDEX(Zeiterfassung!$K$6:$K$3665,$K3001),Zeiterfassung!$K$6:$K$3665,0))))</f>
        <v/>
      </c>
      <c r="K3001">
        <f>IFERROR(AGGREGATE(15,6,(ROW(Zeiterfassung!$D$6:$D$3665)-ROW(Zeiterfassung!$D$6)+1)/(Zeiterfassung!$D$6:$D$3665&lt;&gt;""),2996),"")</f>
        <v/>
      </c>
    </row>
    <row r="3002" ht="20" customHeight="1">
      <c r="A3002" s="183">
        <f>IF($K3002="","",WEEKNUM(INDEX(Zeiterfassung!$K$6:$K$3665,$K3002),21))</f>
        <v/>
      </c>
      <c r="B3002" s="184">
        <f>IF($K3002="","",INDEX(Zeiterfassung!$K$6:$K$3665,$K3002))</f>
        <v/>
      </c>
      <c r="C3002" s="185">
        <f>IF($K3002="","",INDEX(Zeiterfassung!$K$6:$K$3665,$K3002))</f>
        <v/>
      </c>
      <c r="D3002" s="186">
        <f>IF($K3002="","",INDEX(Zeiterfassung!$D$6:$D$3665,$K3002))</f>
        <v/>
      </c>
      <c r="E3002" s="186">
        <f>IF($K3002="","",INDEX(Zeiterfassung!$E$6:$E$3665,$K3002))</f>
        <v/>
      </c>
      <c r="F3002" s="187">
        <f>IF($K3002="","",INDEX(Zeiterfassung!$F$6:$F$3665,$K3002))</f>
        <v/>
      </c>
      <c r="G3002" s="187">
        <f>IF($K3002="","",INDEX(Zeiterfassung!$G$6:$G$3665,$K3002))</f>
        <v/>
      </c>
      <c r="H3002" s="188">
        <f>IF($K3002="","",INDEX(Zeiterfassung!$H$6:$H$3665,$K3002))</f>
        <v/>
      </c>
      <c r="I3002" s="335">
        <f>IF(B3002=B3001,"",IF($K3002="","",INDEX(Zeiterfassung!$I$6:$I$3665,MATCH(INDEX(Zeiterfassung!$K$6:$K$3665,$K3002),Zeiterfassung!$K$6:$K$3665,0))))</f>
        <v/>
      </c>
      <c r="J3002" s="335">
        <f>IF(B3002=B3001,"",IF($K3002="","",INDEX(Zeiterfassung!$J$6:$J$3665,MATCH(INDEX(Zeiterfassung!$K$6:$K$3665,$K3002),Zeiterfassung!$K$6:$K$3665,0))))</f>
        <v/>
      </c>
      <c r="K3002">
        <f>IFERROR(AGGREGATE(15,6,(ROW(Zeiterfassung!$D$6:$D$3665)-ROW(Zeiterfassung!$D$6)+1)/(Zeiterfassung!$D$6:$D$3665&lt;&gt;""),2997),"")</f>
        <v/>
      </c>
    </row>
    <row r="3003" ht="20" customHeight="1">
      <c r="A3003" s="183">
        <f>IF($K3003="","",WEEKNUM(INDEX(Zeiterfassung!$K$6:$K$3665,$K3003),21))</f>
        <v/>
      </c>
      <c r="B3003" s="184">
        <f>IF($K3003="","",INDEX(Zeiterfassung!$K$6:$K$3665,$K3003))</f>
        <v/>
      </c>
      <c r="C3003" s="185">
        <f>IF($K3003="","",INDEX(Zeiterfassung!$K$6:$K$3665,$K3003))</f>
        <v/>
      </c>
      <c r="D3003" s="186">
        <f>IF($K3003="","",INDEX(Zeiterfassung!$D$6:$D$3665,$K3003))</f>
        <v/>
      </c>
      <c r="E3003" s="186">
        <f>IF($K3003="","",INDEX(Zeiterfassung!$E$6:$E$3665,$K3003))</f>
        <v/>
      </c>
      <c r="F3003" s="187">
        <f>IF($K3003="","",INDEX(Zeiterfassung!$F$6:$F$3665,$K3003))</f>
        <v/>
      </c>
      <c r="G3003" s="187">
        <f>IF($K3003="","",INDEX(Zeiterfassung!$G$6:$G$3665,$K3003))</f>
        <v/>
      </c>
      <c r="H3003" s="188">
        <f>IF($K3003="","",INDEX(Zeiterfassung!$H$6:$H$3665,$K3003))</f>
        <v/>
      </c>
      <c r="I3003" s="335">
        <f>IF(B3003=B3002,"",IF($K3003="","",INDEX(Zeiterfassung!$I$6:$I$3665,MATCH(INDEX(Zeiterfassung!$K$6:$K$3665,$K3003),Zeiterfassung!$K$6:$K$3665,0))))</f>
        <v/>
      </c>
      <c r="J3003" s="335">
        <f>IF(B3003=B3002,"",IF($K3003="","",INDEX(Zeiterfassung!$J$6:$J$3665,MATCH(INDEX(Zeiterfassung!$K$6:$K$3665,$K3003),Zeiterfassung!$K$6:$K$3665,0))))</f>
        <v/>
      </c>
      <c r="K3003">
        <f>IFERROR(AGGREGATE(15,6,(ROW(Zeiterfassung!$D$6:$D$3665)-ROW(Zeiterfassung!$D$6)+1)/(Zeiterfassung!$D$6:$D$3665&lt;&gt;""),2998),"")</f>
        <v/>
      </c>
    </row>
    <row r="3004" ht="20" customHeight="1">
      <c r="A3004" s="183">
        <f>IF($K3004="","",WEEKNUM(INDEX(Zeiterfassung!$K$6:$K$3665,$K3004),21))</f>
        <v/>
      </c>
      <c r="B3004" s="184">
        <f>IF($K3004="","",INDEX(Zeiterfassung!$K$6:$K$3665,$K3004))</f>
        <v/>
      </c>
      <c r="C3004" s="185">
        <f>IF($K3004="","",INDEX(Zeiterfassung!$K$6:$K$3665,$K3004))</f>
        <v/>
      </c>
      <c r="D3004" s="186">
        <f>IF($K3004="","",INDEX(Zeiterfassung!$D$6:$D$3665,$K3004))</f>
        <v/>
      </c>
      <c r="E3004" s="186">
        <f>IF($K3004="","",INDEX(Zeiterfassung!$E$6:$E$3665,$K3004))</f>
        <v/>
      </c>
      <c r="F3004" s="187">
        <f>IF($K3004="","",INDEX(Zeiterfassung!$F$6:$F$3665,$K3004))</f>
        <v/>
      </c>
      <c r="G3004" s="187">
        <f>IF($K3004="","",INDEX(Zeiterfassung!$G$6:$G$3665,$K3004))</f>
        <v/>
      </c>
      <c r="H3004" s="188">
        <f>IF($K3004="","",INDEX(Zeiterfassung!$H$6:$H$3665,$K3004))</f>
        <v/>
      </c>
      <c r="I3004" s="335">
        <f>IF(B3004=B3003,"",IF($K3004="","",INDEX(Zeiterfassung!$I$6:$I$3665,MATCH(INDEX(Zeiterfassung!$K$6:$K$3665,$K3004),Zeiterfassung!$K$6:$K$3665,0))))</f>
        <v/>
      </c>
      <c r="J3004" s="335">
        <f>IF(B3004=B3003,"",IF($K3004="","",INDEX(Zeiterfassung!$J$6:$J$3665,MATCH(INDEX(Zeiterfassung!$K$6:$K$3665,$K3004),Zeiterfassung!$K$6:$K$3665,0))))</f>
        <v/>
      </c>
      <c r="K3004">
        <f>IFERROR(AGGREGATE(15,6,(ROW(Zeiterfassung!$D$6:$D$3665)-ROW(Zeiterfassung!$D$6)+1)/(Zeiterfassung!$D$6:$D$3665&lt;&gt;""),2999),"")</f>
        <v/>
      </c>
    </row>
    <row r="3005" ht="20" customHeight="1">
      <c r="A3005" s="183">
        <f>IF($K3005="","",WEEKNUM(INDEX(Zeiterfassung!$K$6:$K$3665,$K3005),21))</f>
        <v/>
      </c>
      <c r="B3005" s="184">
        <f>IF($K3005="","",INDEX(Zeiterfassung!$K$6:$K$3665,$K3005))</f>
        <v/>
      </c>
      <c r="C3005" s="185">
        <f>IF($K3005="","",INDEX(Zeiterfassung!$K$6:$K$3665,$K3005))</f>
        <v/>
      </c>
      <c r="D3005" s="186">
        <f>IF($K3005="","",INDEX(Zeiterfassung!$D$6:$D$3665,$K3005))</f>
        <v/>
      </c>
      <c r="E3005" s="186">
        <f>IF($K3005="","",INDEX(Zeiterfassung!$E$6:$E$3665,$K3005))</f>
        <v/>
      </c>
      <c r="F3005" s="187">
        <f>IF($K3005="","",INDEX(Zeiterfassung!$F$6:$F$3665,$K3005))</f>
        <v/>
      </c>
      <c r="G3005" s="187">
        <f>IF($K3005="","",INDEX(Zeiterfassung!$G$6:$G$3665,$K3005))</f>
        <v/>
      </c>
      <c r="H3005" s="188">
        <f>IF($K3005="","",INDEX(Zeiterfassung!$H$6:$H$3665,$K3005))</f>
        <v/>
      </c>
      <c r="I3005" s="335">
        <f>IF(B3005=B3004,"",IF($K3005="","",INDEX(Zeiterfassung!$I$6:$I$3665,MATCH(INDEX(Zeiterfassung!$K$6:$K$3665,$K3005),Zeiterfassung!$K$6:$K$3665,0))))</f>
        <v/>
      </c>
      <c r="J3005" s="335">
        <f>IF(B3005=B3004,"",IF($K3005="","",INDEX(Zeiterfassung!$J$6:$J$3665,MATCH(INDEX(Zeiterfassung!$K$6:$K$3665,$K3005),Zeiterfassung!$K$6:$K$3665,0))))</f>
        <v/>
      </c>
      <c r="K3005">
        <f>IFERROR(AGGREGATE(15,6,(ROW(Zeiterfassung!$D$6:$D$3665)-ROW(Zeiterfassung!$D$6)+1)/(Zeiterfassung!$D$6:$D$3665&lt;&gt;""),3000),"")</f>
        <v/>
      </c>
    </row>
    <row r="3006" ht="20" customHeight="1">
      <c r="A3006" s="183">
        <f>IF($K3006="","",WEEKNUM(INDEX(Zeiterfassung!$K$6:$K$3665,$K3006),21))</f>
        <v/>
      </c>
      <c r="B3006" s="184">
        <f>IF($K3006="","",INDEX(Zeiterfassung!$K$6:$K$3665,$K3006))</f>
        <v/>
      </c>
      <c r="C3006" s="185">
        <f>IF($K3006="","",INDEX(Zeiterfassung!$K$6:$K$3665,$K3006))</f>
        <v/>
      </c>
      <c r="D3006" s="186">
        <f>IF($K3006="","",INDEX(Zeiterfassung!$D$6:$D$3665,$K3006))</f>
        <v/>
      </c>
      <c r="E3006" s="186">
        <f>IF($K3006="","",INDEX(Zeiterfassung!$E$6:$E$3665,$K3006))</f>
        <v/>
      </c>
      <c r="F3006" s="187">
        <f>IF($K3006="","",INDEX(Zeiterfassung!$F$6:$F$3665,$K3006))</f>
        <v/>
      </c>
      <c r="G3006" s="187">
        <f>IF($K3006="","",INDEX(Zeiterfassung!$G$6:$G$3665,$K3006))</f>
        <v/>
      </c>
      <c r="H3006" s="188">
        <f>IF($K3006="","",INDEX(Zeiterfassung!$H$6:$H$3665,$K3006))</f>
        <v/>
      </c>
      <c r="I3006" s="335">
        <f>IF(B3006=B3005,"",IF($K3006="","",INDEX(Zeiterfassung!$I$6:$I$3665,MATCH(INDEX(Zeiterfassung!$K$6:$K$3665,$K3006),Zeiterfassung!$K$6:$K$3665,0))))</f>
        <v/>
      </c>
      <c r="J3006" s="335">
        <f>IF(B3006=B3005,"",IF($K3006="","",INDEX(Zeiterfassung!$J$6:$J$3665,MATCH(INDEX(Zeiterfassung!$K$6:$K$3665,$K3006),Zeiterfassung!$K$6:$K$3665,0))))</f>
        <v/>
      </c>
      <c r="K3006">
        <f>IFERROR(AGGREGATE(15,6,(ROW(Zeiterfassung!$D$6:$D$3665)-ROW(Zeiterfassung!$D$6)+1)/(Zeiterfassung!$D$6:$D$3665&lt;&gt;""),3001),"")</f>
        <v/>
      </c>
    </row>
    <row r="3007" ht="20" customHeight="1">
      <c r="A3007" s="183">
        <f>IF($K3007="","",WEEKNUM(INDEX(Zeiterfassung!$K$6:$K$3665,$K3007),21))</f>
        <v/>
      </c>
      <c r="B3007" s="184">
        <f>IF($K3007="","",INDEX(Zeiterfassung!$K$6:$K$3665,$K3007))</f>
        <v/>
      </c>
      <c r="C3007" s="185">
        <f>IF($K3007="","",INDEX(Zeiterfassung!$K$6:$K$3665,$K3007))</f>
        <v/>
      </c>
      <c r="D3007" s="186">
        <f>IF($K3007="","",INDEX(Zeiterfassung!$D$6:$D$3665,$K3007))</f>
        <v/>
      </c>
      <c r="E3007" s="186">
        <f>IF($K3007="","",INDEX(Zeiterfassung!$E$6:$E$3665,$K3007))</f>
        <v/>
      </c>
      <c r="F3007" s="187">
        <f>IF($K3007="","",INDEX(Zeiterfassung!$F$6:$F$3665,$K3007))</f>
        <v/>
      </c>
      <c r="G3007" s="187">
        <f>IF($K3007="","",INDEX(Zeiterfassung!$G$6:$G$3665,$K3007))</f>
        <v/>
      </c>
      <c r="H3007" s="188">
        <f>IF($K3007="","",INDEX(Zeiterfassung!$H$6:$H$3665,$K3007))</f>
        <v/>
      </c>
      <c r="I3007" s="335">
        <f>IF(B3007=B3006,"",IF($K3007="","",INDEX(Zeiterfassung!$I$6:$I$3665,MATCH(INDEX(Zeiterfassung!$K$6:$K$3665,$K3007),Zeiterfassung!$K$6:$K$3665,0))))</f>
        <v/>
      </c>
      <c r="J3007" s="335">
        <f>IF(B3007=B3006,"",IF($K3007="","",INDEX(Zeiterfassung!$J$6:$J$3665,MATCH(INDEX(Zeiterfassung!$K$6:$K$3665,$K3007),Zeiterfassung!$K$6:$K$3665,0))))</f>
        <v/>
      </c>
      <c r="K3007">
        <f>IFERROR(AGGREGATE(15,6,(ROW(Zeiterfassung!$D$6:$D$3665)-ROW(Zeiterfassung!$D$6)+1)/(Zeiterfassung!$D$6:$D$3665&lt;&gt;""),3002),"")</f>
        <v/>
      </c>
    </row>
    <row r="3008" ht="20" customHeight="1">
      <c r="A3008" s="183">
        <f>IF($K3008="","",WEEKNUM(INDEX(Zeiterfassung!$K$6:$K$3665,$K3008),21))</f>
        <v/>
      </c>
      <c r="B3008" s="184">
        <f>IF($K3008="","",INDEX(Zeiterfassung!$K$6:$K$3665,$K3008))</f>
        <v/>
      </c>
      <c r="C3008" s="185">
        <f>IF($K3008="","",INDEX(Zeiterfassung!$K$6:$K$3665,$K3008))</f>
        <v/>
      </c>
      <c r="D3008" s="186">
        <f>IF($K3008="","",INDEX(Zeiterfassung!$D$6:$D$3665,$K3008))</f>
        <v/>
      </c>
      <c r="E3008" s="186">
        <f>IF($K3008="","",INDEX(Zeiterfassung!$E$6:$E$3665,$K3008))</f>
        <v/>
      </c>
      <c r="F3008" s="187">
        <f>IF($K3008="","",INDEX(Zeiterfassung!$F$6:$F$3665,$K3008))</f>
        <v/>
      </c>
      <c r="G3008" s="187">
        <f>IF($K3008="","",INDEX(Zeiterfassung!$G$6:$G$3665,$K3008))</f>
        <v/>
      </c>
      <c r="H3008" s="188">
        <f>IF($K3008="","",INDEX(Zeiterfassung!$H$6:$H$3665,$K3008))</f>
        <v/>
      </c>
      <c r="I3008" s="335">
        <f>IF(B3008=B3007,"",IF($K3008="","",INDEX(Zeiterfassung!$I$6:$I$3665,MATCH(INDEX(Zeiterfassung!$K$6:$K$3665,$K3008),Zeiterfassung!$K$6:$K$3665,0))))</f>
        <v/>
      </c>
      <c r="J3008" s="335">
        <f>IF(B3008=B3007,"",IF($K3008="","",INDEX(Zeiterfassung!$J$6:$J$3665,MATCH(INDEX(Zeiterfassung!$K$6:$K$3665,$K3008),Zeiterfassung!$K$6:$K$3665,0))))</f>
        <v/>
      </c>
      <c r="K3008">
        <f>IFERROR(AGGREGATE(15,6,(ROW(Zeiterfassung!$D$6:$D$3665)-ROW(Zeiterfassung!$D$6)+1)/(Zeiterfassung!$D$6:$D$3665&lt;&gt;""),3003),"")</f>
        <v/>
      </c>
    </row>
    <row r="3009" ht="20" customHeight="1">
      <c r="A3009" s="183">
        <f>IF($K3009="","",WEEKNUM(INDEX(Zeiterfassung!$K$6:$K$3665,$K3009),21))</f>
        <v/>
      </c>
      <c r="B3009" s="184">
        <f>IF($K3009="","",INDEX(Zeiterfassung!$K$6:$K$3665,$K3009))</f>
        <v/>
      </c>
      <c r="C3009" s="185">
        <f>IF($K3009="","",INDEX(Zeiterfassung!$K$6:$K$3665,$K3009))</f>
        <v/>
      </c>
      <c r="D3009" s="186">
        <f>IF($K3009="","",INDEX(Zeiterfassung!$D$6:$D$3665,$K3009))</f>
        <v/>
      </c>
      <c r="E3009" s="186">
        <f>IF($K3009="","",INDEX(Zeiterfassung!$E$6:$E$3665,$K3009))</f>
        <v/>
      </c>
      <c r="F3009" s="187">
        <f>IF($K3009="","",INDEX(Zeiterfassung!$F$6:$F$3665,$K3009))</f>
        <v/>
      </c>
      <c r="G3009" s="187">
        <f>IF($K3009="","",INDEX(Zeiterfassung!$G$6:$G$3665,$K3009))</f>
        <v/>
      </c>
      <c r="H3009" s="188">
        <f>IF($K3009="","",INDEX(Zeiterfassung!$H$6:$H$3665,$K3009))</f>
        <v/>
      </c>
      <c r="I3009" s="335">
        <f>IF(B3009=B3008,"",IF($K3009="","",INDEX(Zeiterfassung!$I$6:$I$3665,MATCH(INDEX(Zeiterfassung!$K$6:$K$3665,$K3009),Zeiterfassung!$K$6:$K$3665,0))))</f>
        <v/>
      </c>
      <c r="J3009" s="335">
        <f>IF(B3009=B3008,"",IF($K3009="","",INDEX(Zeiterfassung!$J$6:$J$3665,MATCH(INDEX(Zeiterfassung!$K$6:$K$3665,$K3009),Zeiterfassung!$K$6:$K$3665,0))))</f>
        <v/>
      </c>
      <c r="K3009">
        <f>IFERROR(AGGREGATE(15,6,(ROW(Zeiterfassung!$D$6:$D$3665)-ROW(Zeiterfassung!$D$6)+1)/(Zeiterfassung!$D$6:$D$3665&lt;&gt;""),3004),"")</f>
        <v/>
      </c>
    </row>
    <row r="3010" ht="20" customHeight="1">
      <c r="A3010" s="183">
        <f>IF($K3010="","",WEEKNUM(INDEX(Zeiterfassung!$K$6:$K$3665,$K3010),21))</f>
        <v/>
      </c>
      <c r="B3010" s="184">
        <f>IF($K3010="","",INDEX(Zeiterfassung!$K$6:$K$3665,$K3010))</f>
        <v/>
      </c>
      <c r="C3010" s="185">
        <f>IF($K3010="","",INDEX(Zeiterfassung!$K$6:$K$3665,$K3010))</f>
        <v/>
      </c>
      <c r="D3010" s="186">
        <f>IF($K3010="","",INDEX(Zeiterfassung!$D$6:$D$3665,$K3010))</f>
        <v/>
      </c>
      <c r="E3010" s="186">
        <f>IF($K3010="","",INDEX(Zeiterfassung!$E$6:$E$3665,$K3010))</f>
        <v/>
      </c>
      <c r="F3010" s="187">
        <f>IF($K3010="","",INDEX(Zeiterfassung!$F$6:$F$3665,$K3010))</f>
        <v/>
      </c>
      <c r="G3010" s="187">
        <f>IF($K3010="","",INDEX(Zeiterfassung!$G$6:$G$3665,$K3010))</f>
        <v/>
      </c>
      <c r="H3010" s="188">
        <f>IF($K3010="","",INDEX(Zeiterfassung!$H$6:$H$3665,$K3010))</f>
        <v/>
      </c>
      <c r="I3010" s="335">
        <f>IF(B3010=B3009,"",IF($K3010="","",INDEX(Zeiterfassung!$I$6:$I$3665,MATCH(INDEX(Zeiterfassung!$K$6:$K$3665,$K3010),Zeiterfassung!$K$6:$K$3665,0))))</f>
        <v/>
      </c>
      <c r="J3010" s="335">
        <f>IF(B3010=B3009,"",IF($K3010="","",INDEX(Zeiterfassung!$J$6:$J$3665,MATCH(INDEX(Zeiterfassung!$K$6:$K$3665,$K3010),Zeiterfassung!$K$6:$K$3665,0))))</f>
        <v/>
      </c>
      <c r="K3010">
        <f>IFERROR(AGGREGATE(15,6,(ROW(Zeiterfassung!$D$6:$D$3665)-ROW(Zeiterfassung!$D$6)+1)/(Zeiterfassung!$D$6:$D$3665&lt;&gt;""),3005),"")</f>
        <v/>
      </c>
    </row>
    <row r="3011" ht="20" customHeight="1">
      <c r="A3011" s="183">
        <f>IF($K3011="","",WEEKNUM(INDEX(Zeiterfassung!$K$6:$K$3665,$K3011),21))</f>
        <v/>
      </c>
      <c r="B3011" s="184">
        <f>IF($K3011="","",INDEX(Zeiterfassung!$K$6:$K$3665,$K3011))</f>
        <v/>
      </c>
      <c r="C3011" s="185">
        <f>IF($K3011="","",INDEX(Zeiterfassung!$K$6:$K$3665,$K3011))</f>
        <v/>
      </c>
      <c r="D3011" s="186">
        <f>IF($K3011="","",INDEX(Zeiterfassung!$D$6:$D$3665,$K3011))</f>
        <v/>
      </c>
      <c r="E3011" s="186">
        <f>IF($K3011="","",INDEX(Zeiterfassung!$E$6:$E$3665,$K3011))</f>
        <v/>
      </c>
      <c r="F3011" s="187">
        <f>IF($K3011="","",INDEX(Zeiterfassung!$F$6:$F$3665,$K3011))</f>
        <v/>
      </c>
      <c r="G3011" s="187">
        <f>IF($K3011="","",INDEX(Zeiterfassung!$G$6:$G$3665,$K3011))</f>
        <v/>
      </c>
      <c r="H3011" s="188">
        <f>IF($K3011="","",INDEX(Zeiterfassung!$H$6:$H$3665,$K3011))</f>
        <v/>
      </c>
      <c r="I3011" s="335">
        <f>IF(B3011=B3010,"",IF($K3011="","",INDEX(Zeiterfassung!$I$6:$I$3665,MATCH(INDEX(Zeiterfassung!$K$6:$K$3665,$K3011),Zeiterfassung!$K$6:$K$3665,0))))</f>
        <v/>
      </c>
      <c r="J3011" s="335">
        <f>IF(B3011=B3010,"",IF($K3011="","",INDEX(Zeiterfassung!$J$6:$J$3665,MATCH(INDEX(Zeiterfassung!$K$6:$K$3665,$K3011),Zeiterfassung!$K$6:$K$3665,0))))</f>
        <v/>
      </c>
      <c r="K3011">
        <f>IFERROR(AGGREGATE(15,6,(ROW(Zeiterfassung!$D$6:$D$3665)-ROW(Zeiterfassung!$D$6)+1)/(Zeiterfassung!$D$6:$D$3665&lt;&gt;""),3006),"")</f>
        <v/>
      </c>
    </row>
    <row r="3012" ht="20" customHeight="1">
      <c r="A3012" s="183">
        <f>IF($K3012="","",WEEKNUM(INDEX(Zeiterfassung!$K$6:$K$3665,$K3012),21))</f>
        <v/>
      </c>
      <c r="B3012" s="184">
        <f>IF($K3012="","",INDEX(Zeiterfassung!$K$6:$K$3665,$K3012))</f>
        <v/>
      </c>
      <c r="C3012" s="185">
        <f>IF($K3012="","",INDEX(Zeiterfassung!$K$6:$K$3665,$K3012))</f>
        <v/>
      </c>
      <c r="D3012" s="186">
        <f>IF($K3012="","",INDEX(Zeiterfassung!$D$6:$D$3665,$K3012))</f>
        <v/>
      </c>
      <c r="E3012" s="186">
        <f>IF($K3012="","",INDEX(Zeiterfassung!$E$6:$E$3665,$K3012))</f>
        <v/>
      </c>
      <c r="F3012" s="187">
        <f>IF($K3012="","",INDEX(Zeiterfassung!$F$6:$F$3665,$K3012))</f>
        <v/>
      </c>
      <c r="G3012" s="187">
        <f>IF($K3012="","",INDEX(Zeiterfassung!$G$6:$G$3665,$K3012))</f>
        <v/>
      </c>
      <c r="H3012" s="188">
        <f>IF($K3012="","",INDEX(Zeiterfassung!$H$6:$H$3665,$K3012))</f>
        <v/>
      </c>
      <c r="I3012" s="335">
        <f>IF(B3012=B3011,"",IF($K3012="","",INDEX(Zeiterfassung!$I$6:$I$3665,MATCH(INDEX(Zeiterfassung!$K$6:$K$3665,$K3012),Zeiterfassung!$K$6:$K$3665,0))))</f>
        <v/>
      </c>
      <c r="J3012" s="335">
        <f>IF(B3012=B3011,"",IF($K3012="","",INDEX(Zeiterfassung!$J$6:$J$3665,MATCH(INDEX(Zeiterfassung!$K$6:$K$3665,$K3012),Zeiterfassung!$K$6:$K$3665,0))))</f>
        <v/>
      </c>
      <c r="K3012">
        <f>IFERROR(AGGREGATE(15,6,(ROW(Zeiterfassung!$D$6:$D$3665)-ROW(Zeiterfassung!$D$6)+1)/(Zeiterfassung!$D$6:$D$3665&lt;&gt;""),3007),"")</f>
        <v/>
      </c>
    </row>
    <row r="3013" ht="20" customHeight="1">
      <c r="A3013" s="183">
        <f>IF($K3013="","",WEEKNUM(INDEX(Zeiterfassung!$K$6:$K$3665,$K3013),21))</f>
        <v/>
      </c>
      <c r="B3013" s="184">
        <f>IF($K3013="","",INDEX(Zeiterfassung!$K$6:$K$3665,$K3013))</f>
        <v/>
      </c>
      <c r="C3013" s="185">
        <f>IF($K3013="","",INDEX(Zeiterfassung!$K$6:$K$3665,$K3013))</f>
        <v/>
      </c>
      <c r="D3013" s="186">
        <f>IF($K3013="","",INDEX(Zeiterfassung!$D$6:$D$3665,$K3013))</f>
        <v/>
      </c>
      <c r="E3013" s="186">
        <f>IF($K3013="","",INDEX(Zeiterfassung!$E$6:$E$3665,$K3013))</f>
        <v/>
      </c>
      <c r="F3013" s="187">
        <f>IF($K3013="","",INDEX(Zeiterfassung!$F$6:$F$3665,$K3013))</f>
        <v/>
      </c>
      <c r="G3013" s="187">
        <f>IF($K3013="","",INDEX(Zeiterfassung!$G$6:$G$3665,$K3013))</f>
        <v/>
      </c>
      <c r="H3013" s="188">
        <f>IF($K3013="","",INDEX(Zeiterfassung!$H$6:$H$3665,$K3013))</f>
        <v/>
      </c>
      <c r="I3013" s="335">
        <f>IF(B3013=B3012,"",IF($K3013="","",INDEX(Zeiterfassung!$I$6:$I$3665,MATCH(INDEX(Zeiterfassung!$K$6:$K$3665,$K3013),Zeiterfassung!$K$6:$K$3665,0))))</f>
        <v/>
      </c>
      <c r="J3013" s="335">
        <f>IF(B3013=B3012,"",IF($K3013="","",INDEX(Zeiterfassung!$J$6:$J$3665,MATCH(INDEX(Zeiterfassung!$K$6:$K$3665,$K3013),Zeiterfassung!$K$6:$K$3665,0))))</f>
        <v/>
      </c>
      <c r="K3013">
        <f>IFERROR(AGGREGATE(15,6,(ROW(Zeiterfassung!$D$6:$D$3665)-ROW(Zeiterfassung!$D$6)+1)/(Zeiterfassung!$D$6:$D$3665&lt;&gt;""),3008),"")</f>
        <v/>
      </c>
    </row>
    <row r="3014" ht="20" customHeight="1">
      <c r="A3014" s="183">
        <f>IF($K3014="","",WEEKNUM(INDEX(Zeiterfassung!$K$6:$K$3665,$K3014),21))</f>
        <v/>
      </c>
      <c r="B3014" s="184">
        <f>IF($K3014="","",INDEX(Zeiterfassung!$K$6:$K$3665,$K3014))</f>
        <v/>
      </c>
      <c r="C3014" s="185">
        <f>IF($K3014="","",INDEX(Zeiterfassung!$K$6:$K$3665,$K3014))</f>
        <v/>
      </c>
      <c r="D3014" s="186">
        <f>IF($K3014="","",INDEX(Zeiterfassung!$D$6:$D$3665,$K3014))</f>
        <v/>
      </c>
      <c r="E3014" s="186">
        <f>IF($K3014="","",INDEX(Zeiterfassung!$E$6:$E$3665,$K3014))</f>
        <v/>
      </c>
      <c r="F3014" s="187">
        <f>IF($K3014="","",INDEX(Zeiterfassung!$F$6:$F$3665,$K3014))</f>
        <v/>
      </c>
      <c r="G3014" s="187">
        <f>IF($K3014="","",INDEX(Zeiterfassung!$G$6:$G$3665,$K3014))</f>
        <v/>
      </c>
      <c r="H3014" s="188">
        <f>IF($K3014="","",INDEX(Zeiterfassung!$H$6:$H$3665,$K3014))</f>
        <v/>
      </c>
      <c r="I3014" s="335">
        <f>IF(B3014=B3013,"",IF($K3014="","",INDEX(Zeiterfassung!$I$6:$I$3665,MATCH(INDEX(Zeiterfassung!$K$6:$K$3665,$K3014),Zeiterfassung!$K$6:$K$3665,0))))</f>
        <v/>
      </c>
      <c r="J3014" s="335">
        <f>IF(B3014=B3013,"",IF($K3014="","",INDEX(Zeiterfassung!$J$6:$J$3665,MATCH(INDEX(Zeiterfassung!$K$6:$K$3665,$K3014),Zeiterfassung!$K$6:$K$3665,0))))</f>
        <v/>
      </c>
      <c r="K3014">
        <f>IFERROR(AGGREGATE(15,6,(ROW(Zeiterfassung!$D$6:$D$3665)-ROW(Zeiterfassung!$D$6)+1)/(Zeiterfassung!$D$6:$D$3665&lt;&gt;""),3009),"")</f>
        <v/>
      </c>
    </row>
    <row r="3015" ht="20" customHeight="1">
      <c r="A3015" s="183">
        <f>IF($K3015="","",WEEKNUM(INDEX(Zeiterfassung!$K$6:$K$3665,$K3015),21))</f>
        <v/>
      </c>
      <c r="B3015" s="184">
        <f>IF($K3015="","",INDEX(Zeiterfassung!$K$6:$K$3665,$K3015))</f>
        <v/>
      </c>
      <c r="C3015" s="185">
        <f>IF($K3015="","",INDEX(Zeiterfassung!$K$6:$K$3665,$K3015))</f>
        <v/>
      </c>
      <c r="D3015" s="186">
        <f>IF($K3015="","",INDEX(Zeiterfassung!$D$6:$D$3665,$K3015))</f>
        <v/>
      </c>
      <c r="E3015" s="186">
        <f>IF($K3015="","",INDEX(Zeiterfassung!$E$6:$E$3665,$K3015))</f>
        <v/>
      </c>
      <c r="F3015" s="187">
        <f>IF($K3015="","",INDEX(Zeiterfassung!$F$6:$F$3665,$K3015))</f>
        <v/>
      </c>
      <c r="G3015" s="187">
        <f>IF($K3015="","",INDEX(Zeiterfassung!$G$6:$G$3665,$K3015))</f>
        <v/>
      </c>
      <c r="H3015" s="188">
        <f>IF($K3015="","",INDEX(Zeiterfassung!$H$6:$H$3665,$K3015))</f>
        <v/>
      </c>
      <c r="I3015" s="335">
        <f>IF(B3015=B3014,"",IF($K3015="","",INDEX(Zeiterfassung!$I$6:$I$3665,MATCH(INDEX(Zeiterfassung!$K$6:$K$3665,$K3015),Zeiterfassung!$K$6:$K$3665,0))))</f>
        <v/>
      </c>
      <c r="J3015" s="335">
        <f>IF(B3015=B3014,"",IF($K3015="","",INDEX(Zeiterfassung!$J$6:$J$3665,MATCH(INDEX(Zeiterfassung!$K$6:$K$3665,$K3015),Zeiterfassung!$K$6:$K$3665,0))))</f>
        <v/>
      </c>
      <c r="K3015">
        <f>IFERROR(AGGREGATE(15,6,(ROW(Zeiterfassung!$D$6:$D$3665)-ROW(Zeiterfassung!$D$6)+1)/(Zeiterfassung!$D$6:$D$3665&lt;&gt;""),3010),"")</f>
        <v/>
      </c>
    </row>
    <row r="3016" ht="20" customHeight="1">
      <c r="A3016" s="183">
        <f>IF($K3016="","",WEEKNUM(INDEX(Zeiterfassung!$K$6:$K$3665,$K3016),21))</f>
        <v/>
      </c>
      <c r="B3016" s="184">
        <f>IF($K3016="","",INDEX(Zeiterfassung!$K$6:$K$3665,$K3016))</f>
        <v/>
      </c>
      <c r="C3016" s="185">
        <f>IF($K3016="","",INDEX(Zeiterfassung!$K$6:$K$3665,$K3016))</f>
        <v/>
      </c>
      <c r="D3016" s="186">
        <f>IF($K3016="","",INDEX(Zeiterfassung!$D$6:$D$3665,$K3016))</f>
        <v/>
      </c>
      <c r="E3016" s="186">
        <f>IF($K3016="","",INDEX(Zeiterfassung!$E$6:$E$3665,$K3016))</f>
        <v/>
      </c>
      <c r="F3016" s="187">
        <f>IF($K3016="","",INDEX(Zeiterfassung!$F$6:$F$3665,$K3016))</f>
        <v/>
      </c>
      <c r="G3016" s="187">
        <f>IF($K3016="","",INDEX(Zeiterfassung!$G$6:$G$3665,$K3016))</f>
        <v/>
      </c>
      <c r="H3016" s="188">
        <f>IF($K3016="","",INDEX(Zeiterfassung!$H$6:$H$3665,$K3016))</f>
        <v/>
      </c>
      <c r="I3016" s="335">
        <f>IF(B3016=B3015,"",IF($K3016="","",INDEX(Zeiterfassung!$I$6:$I$3665,MATCH(INDEX(Zeiterfassung!$K$6:$K$3665,$K3016),Zeiterfassung!$K$6:$K$3665,0))))</f>
        <v/>
      </c>
      <c r="J3016" s="335">
        <f>IF(B3016=B3015,"",IF($K3016="","",INDEX(Zeiterfassung!$J$6:$J$3665,MATCH(INDEX(Zeiterfassung!$K$6:$K$3665,$K3016),Zeiterfassung!$K$6:$K$3665,0))))</f>
        <v/>
      </c>
      <c r="K3016">
        <f>IFERROR(AGGREGATE(15,6,(ROW(Zeiterfassung!$D$6:$D$3665)-ROW(Zeiterfassung!$D$6)+1)/(Zeiterfassung!$D$6:$D$3665&lt;&gt;""),3011),"")</f>
        <v/>
      </c>
    </row>
    <row r="3017" ht="20" customHeight="1">
      <c r="A3017" s="183">
        <f>IF($K3017="","",WEEKNUM(INDEX(Zeiterfassung!$K$6:$K$3665,$K3017),21))</f>
        <v/>
      </c>
      <c r="B3017" s="184">
        <f>IF($K3017="","",INDEX(Zeiterfassung!$K$6:$K$3665,$K3017))</f>
        <v/>
      </c>
      <c r="C3017" s="185">
        <f>IF($K3017="","",INDEX(Zeiterfassung!$K$6:$K$3665,$K3017))</f>
        <v/>
      </c>
      <c r="D3017" s="186">
        <f>IF($K3017="","",INDEX(Zeiterfassung!$D$6:$D$3665,$K3017))</f>
        <v/>
      </c>
      <c r="E3017" s="186">
        <f>IF($K3017="","",INDEX(Zeiterfassung!$E$6:$E$3665,$K3017))</f>
        <v/>
      </c>
      <c r="F3017" s="187">
        <f>IF($K3017="","",INDEX(Zeiterfassung!$F$6:$F$3665,$K3017))</f>
        <v/>
      </c>
      <c r="G3017" s="187">
        <f>IF($K3017="","",INDEX(Zeiterfassung!$G$6:$G$3665,$K3017))</f>
        <v/>
      </c>
      <c r="H3017" s="188">
        <f>IF($K3017="","",INDEX(Zeiterfassung!$H$6:$H$3665,$K3017))</f>
        <v/>
      </c>
      <c r="I3017" s="335">
        <f>IF(B3017=B3016,"",IF($K3017="","",INDEX(Zeiterfassung!$I$6:$I$3665,MATCH(INDEX(Zeiterfassung!$K$6:$K$3665,$K3017),Zeiterfassung!$K$6:$K$3665,0))))</f>
        <v/>
      </c>
      <c r="J3017" s="335">
        <f>IF(B3017=B3016,"",IF($K3017="","",INDEX(Zeiterfassung!$J$6:$J$3665,MATCH(INDEX(Zeiterfassung!$K$6:$K$3665,$K3017),Zeiterfassung!$K$6:$K$3665,0))))</f>
        <v/>
      </c>
      <c r="K3017">
        <f>IFERROR(AGGREGATE(15,6,(ROW(Zeiterfassung!$D$6:$D$3665)-ROW(Zeiterfassung!$D$6)+1)/(Zeiterfassung!$D$6:$D$3665&lt;&gt;""),3012),"")</f>
        <v/>
      </c>
    </row>
    <row r="3018" ht="20" customHeight="1">
      <c r="A3018" s="183">
        <f>IF($K3018="","",WEEKNUM(INDEX(Zeiterfassung!$K$6:$K$3665,$K3018),21))</f>
        <v/>
      </c>
      <c r="B3018" s="184">
        <f>IF($K3018="","",INDEX(Zeiterfassung!$K$6:$K$3665,$K3018))</f>
        <v/>
      </c>
      <c r="C3018" s="185">
        <f>IF($K3018="","",INDEX(Zeiterfassung!$K$6:$K$3665,$K3018))</f>
        <v/>
      </c>
      <c r="D3018" s="186">
        <f>IF($K3018="","",INDEX(Zeiterfassung!$D$6:$D$3665,$K3018))</f>
        <v/>
      </c>
      <c r="E3018" s="186">
        <f>IF($K3018="","",INDEX(Zeiterfassung!$E$6:$E$3665,$K3018))</f>
        <v/>
      </c>
      <c r="F3018" s="187">
        <f>IF($K3018="","",INDEX(Zeiterfassung!$F$6:$F$3665,$K3018))</f>
        <v/>
      </c>
      <c r="G3018" s="187">
        <f>IF($K3018="","",INDEX(Zeiterfassung!$G$6:$G$3665,$K3018))</f>
        <v/>
      </c>
      <c r="H3018" s="188">
        <f>IF($K3018="","",INDEX(Zeiterfassung!$H$6:$H$3665,$K3018))</f>
        <v/>
      </c>
      <c r="I3018" s="335">
        <f>IF(B3018=B3017,"",IF($K3018="","",INDEX(Zeiterfassung!$I$6:$I$3665,MATCH(INDEX(Zeiterfassung!$K$6:$K$3665,$K3018),Zeiterfassung!$K$6:$K$3665,0))))</f>
        <v/>
      </c>
      <c r="J3018" s="335">
        <f>IF(B3018=B3017,"",IF($K3018="","",INDEX(Zeiterfassung!$J$6:$J$3665,MATCH(INDEX(Zeiterfassung!$K$6:$K$3665,$K3018),Zeiterfassung!$K$6:$K$3665,0))))</f>
        <v/>
      </c>
      <c r="K3018">
        <f>IFERROR(AGGREGATE(15,6,(ROW(Zeiterfassung!$D$6:$D$3665)-ROW(Zeiterfassung!$D$6)+1)/(Zeiterfassung!$D$6:$D$3665&lt;&gt;""),3013),"")</f>
        <v/>
      </c>
    </row>
    <row r="3019" ht="20" customHeight="1">
      <c r="A3019" s="183">
        <f>IF($K3019="","",WEEKNUM(INDEX(Zeiterfassung!$K$6:$K$3665,$K3019),21))</f>
        <v/>
      </c>
      <c r="B3019" s="184">
        <f>IF($K3019="","",INDEX(Zeiterfassung!$K$6:$K$3665,$K3019))</f>
        <v/>
      </c>
      <c r="C3019" s="185">
        <f>IF($K3019="","",INDEX(Zeiterfassung!$K$6:$K$3665,$K3019))</f>
        <v/>
      </c>
      <c r="D3019" s="186">
        <f>IF($K3019="","",INDEX(Zeiterfassung!$D$6:$D$3665,$K3019))</f>
        <v/>
      </c>
      <c r="E3019" s="186">
        <f>IF($K3019="","",INDEX(Zeiterfassung!$E$6:$E$3665,$K3019))</f>
        <v/>
      </c>
      <c r="F3019" s="187">
        <f>IF($K3019="","",INDEX(Zeiterfassung!$F$6:$F$3665,$K3019))</f>
        <v/>
      </c>
      <c r="G3019" s="187">
        <f>IF($K3019="","",INDEX(Zeiterfassung!$G$6:$G$3665,$K3019))</f>
        <v/>
      </c>
      <c r="H3019" s="188">
        <f>IF($K3019="","",INDEX(Zeiterfassung!$H$6:$H$3665,$K3019))</f>
        <v/>
      </c>
      <c r="I3019" s="335">
        <f>IF(B3019=B3018,"",IF($K3019="","",INDEX(Zeiterfassung!$I$6:$I$3665,MATCH(INDEX(Zeiterfassung!$K$6:$K$3665,$K3019),Zeiterfassung!$K$6:$K$3665,0))))</f>
        <v/>
      </c>
      <c r="J3019" s="335">
        <f>IF(B3019=B3018,"",IF($K3019="","",INDEX(Zeiterfassung!$J$6:$J$3665,MATCH(INDEX(Zeiterfassung!$K$6:$K$3665,$K3019),Zeiterfassung!$K$6:$K$3665,0))))</f>
        <v/>
      </c>
      <c r="K3019">
        <f>IFERROR(AGGREGATE(15,6,(ROW(Zeiterfassung!$D$6:$D$3665)-ROW(Zeiterfassung!$D$6)+1)/(Zeiterfassung!$D$6:$D$3665&lt;&gt;""),3014),"")</f>
        <v/>
      </c>
    </row>
    <row r="3020" ht="20" customHeight="1">
      <c r="A3020" s="183">
        <f>IF($K3020="","",WEEKNUM(INDEX(Zeiterfassung!$K$6:$K$3665,$K3020),21))</f>
        <v/>
      </c>
      <c r="B3020" s="184">
        <f>IF($K3020="","",INDEX(Zeiterfassung!$K$6:$K$3665,$K3020))</f>
        <v/>
      </c>
      <c r="C3020" s="185">
        <f>IF($K3020="","",INDEX(Zeiterfassung!$K$6:$K$3665,$K3020))</f>
        <v/>
      </c>
      <c r="D3020" s="186">
        <f>IF($K3020="","",INDEX(Zeiterfassung!$D$6:$D$3665,$K3020))</f>
        <v/>
      </c>
      <c r="E3020" s="186">
        <f>IF($K3020="","",INDEX(Zeiterfassung!$E$6:$E$3665,$K3020))</f>
        <v/>
      </c>
      <c r="F3020" s="187">
        <f>IF($K3020="","",INDEX(Zeiterfassung!$F$6:$F$3665,$K3020))</f>
        <v/>
      </c>
      <c r="G3020" s="187">
        <f>IF($K3020="","",INDEX(Zeiterfassung!$G$6:$G$3665,$K3020))</f>
        <v/>
      </c>
      <c r="H3020" s="188">
        <f>IF($K3020="","",INDEX(Zeiterfassung!$H$6:$H$3665,$K3020))</f>
        <v/>
      </c>
      <c r="I3020" s="335">
        <f>IF(B3020=B3019,"",IF($K3020="","",INDEX(Zeiterfassung!$I$6:$I$3665,MATCH(INDEX(Zeiterfassung!$K$6:$K$3665,$K3020),Zeiterfassung!$K$6:$K$3665,0))))</f>
        <v/>
      </c>
      <c r="J3020" s="335">
        <f>IF(B3020=B3019,"",IF($K3020="","",INDEX(Zeiterfassung!$J$6:$J$3665,MATCH(INDEX(Zeiterfassung!$K$6:$K$3665,$K3020),Zeiterfassung!$K$6:$K$3665,0))))</f>
        <v/>
      </c>
      <c r="K3020">
        <f>IFERROR(AGGREGATE(15,6,(ROW(Zeiterfassung!$D$6:$D$3665)-ROW(Zeiterfassung!$D$6)+1)/(Zeiterfassung!$D$6:$D$3665&lt;&gt;""),3015),"")</f>
        <v/>
      </c>
    </row>
    <row r="3021" ht="20" customHeight="1">
      <c r="A3021" s="183">
        <f>IF($K3021="","",WEEKNUM(INDEX(Zeiterfassung!$K$6:$K$3665,$K3021),21))</f>
        <v/>
      </c>
      <c r="B3021" s="184">
        <f>IF($K3021="","",INDEX(Zeiterfassung!$K$6:$K$3665,$K3021))</f>
        <v/>
      </c>
      <c r="C3021" s="185">
        <f>IF($K3021="","",INDEX(Zeiterfassung!$K$6:$K$3665,$K3021))</f>
        <v/>
      </c>
      <c r="D3021" s="186">
        <f>IF($K3021="","",INDEX(Zeiterfassung!$D$6:$D$3665,$K3021))</f>
        <v/>
      </c>
      <c r="E3021" s="186">
        <f>IF($K3021="","",INDEX(Zeiterfassung!$E$6:$E$3665,$K3021))</f>
        <v/>
      </c>
      <c r="F3021" s="187">
        <f>IF($K3021="","",INDEX(Zeiterfassung!$F$6:$F$3665,$K3021))</f>
        <v/>
      </c>
      <c r="G3021" s="187">
        <f>IF($K3021="","",INDEX(Zeiterfassung!$G$6:$G$3665,$K3021))</f>
        <v/>
      </c>
      <c r="H3021" s="188">
        <f>IF($K3021="","",INDEX(Zeiterfassung!$H$6:$H$3665,$K3021))</f>
        <v/>
      </c>
      <c r="I3021" s="335">
        <f>IF(B3021=B3020,"",IF($K3021="","",INDEX(Zeiterfassung!$I$6:$I$3665,MATCH(INDEX(Zeiterfassung!$K$6:$K$3665,$K3021),Zeiterfassung!$K$6:$K$3665,0))))</f>
        <v/>
      </c>
      <c r="J3021" s="335">
        <f>IF(B3021=B3020,"",IF($K3021="","",INDEX(Zeiterfassung!$J$6:$J$3665,MATCH(INDEX(Zeiterfassung!$K$6:$K$3665,$K3021),Zeiterfassung!$K$6:$K$3665,0))))</f>
        <v/>
      </c>
      <c r="K3021">
        <f>IFERROR(AGGREGATE(15,6,(ROW(Zeiterfassung!$D$6:$D$3665)-ROW(Zeiterfassung!$D$6)+1)/(Zeiterfassung!$D$6:$D$3665&lt;&gt;""),3016),"")</f>
        <v/>
      </c>
    </row>
    <row r="3022" ht="20" customHeight="1">
      <c r="A3022" s="183">
        <f>IF($K3022="","",WEEKNUM(INDEX(Zeiterfassung!$K$6:$K$3665,$K3022),21))</f>
        <v/>
      </c>
      <c r="B3022" s="184">
        <f>IF($K3022="","",INDEX(Zeiterfassung!$K$6:$K$3665,$K3022))</f>
        <v/>
      </c>
      <c r="C3022" s="185">
        <f>IF($K3022="","",INDEX(Zeiterfassung!$K$6:$K$3665,$K3022))</f>
        <v/>
      </c>
      <c r="D3022" s="186">
        <f>IF($K3022="","",INDEX(Zeiterfassung!$D$6:$D$3665,$K3022))</f>
        <v/>
      </c>
      <c r="E3022" s="186">
        <f>IF($K3022="","",INDEX(Zeiterfassung!$E$6:$E$3665,$K3022))</f>
        <v/>
      </c>
      <c r="F3022" s="187">
        <f>IF($K3022="","",INDEX(Zeiterfassung!$F$6:$F$3665,$K3022))</f>
        <v/>
      </c>
      <c r="G3022" s="187">
        <f>IF($K3022="","",INDEX(Zeiterfassung!$G$6:$G$3665,$K3022))</f>
        <v/>
      </c>
      <c r="H3022" s="188">
        <f>IF($K3022="","",INDEX(Zeiterfassung!$H$6:$H$3665,$K3022))</f>
        <v/>
      </c>
      <c r="I3022" s="335">
        <f>IF(B3022=B3021,"",IF($K3022="","",INDEX(Zeiterfassung!$I$6:$I$3665,MATCH(INDEX(Zeiterfassung!$K$6:$K$3665,$K3022),Zeiterfassung!$K$6:$K$3665,0))))</f>
        <v/>
      </c>
      <c r="J3022" s="335">
        <f>IF(B3022=B3021,"",IF($K3022="","",INDEX(Zeiterfassung!$J$6:$J$3665,MATCH(INDEX(Zeiterfassung!$K$6:$K$3665,$K3022),Zeiterfassung!$K$6:$K$3665,0))))</f>
        <v/>
      </c>
      <c r="K3022">
        <f>IFERROR(AGGREGATE(15,6,(ROW(Zeiterfassung!$D$6:$D$3665)-ROW(Zeiterfassung!$D$6)+1)/(Zeiterfassung!$D$6:$D$3665&lt;&gt;""),3017),"")</f>
        <v/>
      </c>
    </row>
    <row r="3023" ht="20" customHeight="1">
      <c r="A3023" s="183">
        <f>IF($K3023="","",WEEKNUM(INDEX(Zeiterfassung!$K$6:$K$3665,$K3023),21))</f>
        <v/>
      </c>
      <c r="B3023" s="184">
        <f>IF($K3023="","",INDEX(Zeiterfassung!$K$6:$K$3665,$K3023))</f>
        <v/>
      </c>
      <c r="C3023" s="185">
        <f>IF($K3023="","",INDEX(Zeiterfassung!$K$6:$K$3665,$K3023))</f>
        <v/>
      </c>
      <c r="D3023" s="186">
        <f>IF($K3023="","",INDEX(Zeiterfassung!$D$6:$D$3665,$K3023))</f>
        <v/>
      </c>
      <c r="E3023" s="186">
        <f>IF($K3023="","",INDEX(Zeiterfassung!$E$6:$E$3665,$K3023))</f>
        <v/>
      </c>
      <c r="F3023" s="187">
        <f>IF($K3023="","",INDEX(Zeiterfassung!$F$6:$F$3665,$K3023))</f>
        <v/>
      </c>
      <c r="G3023" s="187">
        <f>IF($K3023="","",INDEX(Zeiterfassung!$G$6:$G$3665,$K3023))</f>
        <v/>
      </c>
      <c r="H3023" s="188">
        <f>IF($K3023="","",INDEX(Zeiterfassung!$H$6:$H$3665,$K3023))</f>
        <v/>
      </c>
      <c r="I3023" s="335">
        <f>IF(B3023=B3022,"",IF($K3023="","",INDEX(Zeiterfassung!$I$6:$I$3665,MATCH(INDEX(Zeiterfassung!$K$6:$K$3665,$K3023),Zeiterfassung!$K$6:$K$3665,0))))</f>
        <v/>
      </c>
      <c r="J3023" s="335">
        <f>IF(B3023=B3022,"",IF($K3023="","",INDEX(Zeiterfassung!$J$6:$J$3665,MATCH(INDEX(Zeiterfassung!$K$6:$K$3665,$K3023),Zeiterfassung!$K$6:$K$3665,0))))</f>
        <v/>
      </c>
      <c r="K3023">
        <f>IFERROR(AGGREGATE(15,6,(ROW(Zeiterfassung!$D$6:$D$3665)-ROW(Zeiterfassung!$D$6)+1)/(Zeiterfassung!$D$6:$D$3665&lt;&gt;""),3018),"")</f>
        <v/>
      </c>
    </row>
    <row r="3024" ht="20" customHeight="1">
      <c r="A3024" s="183">
        <f>IF($K3024="","",WEEKNUM(INDEX(Zeiterfassung!$K$6:$K$3665,$K3024),21))</f>
        <v/>
      </c>
      <c r="B3024" s="184">
        <f>IF($K3024="","",INDEX(Zeiterfassung!$K$6:$K$3665,$K3024))</f>
        <v/>
      </c>
      <c r="C3024" s="185">
        <f>IF($K3024="","",INDEX(Zeiterfassung!$K$6:$K$3665,$K3024))</f>
        <v/>
      </c>
      <c r="D3024" s="186">
        <f>IF($K3024="","",INDEX(Zeiterfassung!$D$6:$D$3665,$K3024))</f>
        <v/>
      </c>
      <c r="E3024" s="186">
        <f>IF($K3024="","",INDEX(Zeiterfassung!$E$6:$E$3665,$K3024))</f>
        <v/>
      </c>
      <c r="F3024" s="187">
        <f>IF($K3024="","",INDEX(Zeiterfassung!$F$6:$F$3665,$K3024))</f>
        <v/>
      </c>
      <c r="G3024" s="187">
        <f>IF($K3024="","",INDEX(Zeiterfassung!$G$6:$G$3665,$K3024))</f>
        <v/>
      </c>
      <c r="H3024" s="188">
        <f>IF($K3024="","",INDEX(Zeiterfassung!$H$6:$H$3665,$K3024))</f>
        <v/>
      </c>
      <c r="I3024" s="335">
        <f>IF(B3024=B3023,"",IF($K3024="","",INDEX(Zeiterfassung!$I$6:$I$3665,MATCH(INDEX(Zeiterfassung!$K$6:$K$3665,$K3024),Zeiterfassung!$K$6:$K$3665,0))))</f>
        <v/>
      </c>
      <c r="J3024" s="335">
        <f>IF(B3024=B3023,"",IF($K3024="","",INDEX(Zeiterfassung!$J$6:$J$3665,MATCH(INDEX(Zeiterfassung!$K$6:$K$3665,$K3024),Zeiterfassung!$K$6:$K$3665,0))))</f>
        <v/>
      </c>
      <c r="K3024">
        <f>IFERROR(AGGREGATE(15,6,(ROW(Zeiterfassung!$D$6:$D$3665)-ROW(Zeiterfassung!$D$6)+1)/(Zeiterfassung!$D$6:$D$3665&lt;&gt;""),3019),"")</f>
        <v/>
      </c>
    </row>
    <row r="3025" ht="20" customHeight="1">
      <c r="A3025" s="183">
        <f>IF($K3025="","",WEEKNUM(INDEX(Zeiterfassung!$K$6:$K$3665,$K3025),21))</f>
        <v/>
      </c>
      <c r="B3025" s="184">
        <f>IF($K3025="","",INDEX(Zeiterfassung!$K$6:$K$3665,$K3025))</f>
        <v/>
      </c>
      <c r="C3025" s="185">
        <f>IF($K3025="","",INDEX(Zeiterfassung!$K$6:$K$3665,$K3025))</f>
        <v/>
      </c>
      <c r="D3025" s="186">
        <f>IF($K3025="","",INDEX(Zeiterfassung!$D$6:$D$3665,$K3025))</f>
        <v/>
      </c>
      <c r="E3025" s="186">
        <f>IF($K3025="","",INDEX(Zeiterfassung!$E$6:$E$3665,$K3025))</f>
        <v/>
      </c>
      <c r="F3025" s="187">
        <f>IF($K3025="","",INDEX(Zeiterfassung!$F$6:$F$3665,$K3025))</f>
        <v/>
      </c>
      <c r="G3025" s="187">
        <f>IF($K3025="","",INDEX(Zeiterfassung!$G$6:$G$3665,$K3025))</f>
        <v/>
      </c>
      <c r="H3025" s="188">
        <f>IF($K3025="","",INDEX(Zeiterfassung!$H$6:$H$3665,$K3025))</f>
        <v/>
      </c>
      <c r="I3025" s="335">
        <f>IF(B3025=B3024,"",IF($K3025="","",INDEX(Zeiterfassung!$I$6:$I$3665,MATCH(INDEX(Zeiterfassung!$K$6:$K$3665,$K3025),Zeiterfassung!$K$6:$K$3665,0))))</f>
        <v/>
      </c>
      <c r="J3025" s="335">
        <f>IF(B3025=B3024,"",IF($K3025="","",INDEX(Zeiterfassung!$J$6:$J$3665,MATCH(INDEX(Zeiterfassung!$K$6:$K$3665,$K3025),Zeiterfassung!$K$6:$K$3665,0))))</f>
        <v/>
      </c>
      <c r="K3025">
        <f>IFERROR(AGGREGATE(15,6,(ROW(Zeiterfassung!$D$6:$D$3665)-ROW(Zeiterfassung!$D$6)+1)/(Zeiterfassung!$D$6:$D$3665&lt;&gt;""),3020),"")</f>
        <v/>
      </c>
    </row>
    <row r="3026" ht="20" customHeight="1">
      <c r="A3026" s="183">
        <f>IF($K3026="","",WEEKNUM(INDEX(Zeiterfassung!$K$6:$K$3665,$K3026),21))</f>
        <v/>
      </c>
      <c r="B3026" s="184">
        <f>IF($K3026="","",INDEX(Zeiterfassung!$K$6:$K$3665,$K3026))</f>
        <v/>
      </c>
      <c r="C3026" s="185">
        <f>IF($K3026="","",INDEX(Zeiterfassung!$K$6:$K$3665,$K3026))</f>
        <v/>
      </c>
      <c r="D3026" s="186">
        <f>IF($K3026="","",INDEX(Zeiterfassung!$D$6:$D$3665,$K3026))</f>
        <v/>
      </c>
      <c r="E3026" s="186">
        <f>IF($K3026="","",INDEX(Zeiterfassung!$E$6:$E$3665,$K3026))</f>
        <v/>
      </c>
      <c r="F3026" s="187">
        <f>IF($K3026="","",INDEX(Zeiterfassung!$F$6:$F$3665,$K3026))</f>
        <v/>
      </c>
      <c r="G3026" s="187">
        <f>IF($K3026="","",INDEX(Zeiterfassung!$G$6:$G$3665,$K3026))</f>
        <v/>
      </c>
      <c r="H3026" s="188">
        <f>IF($K3026="","",INDEX(Zeiterfassung!$H$6:$H$3665,$K3026))</f>
        <v/>
      </c>
      <c r="I3026" s="335">
        <f>IF(B3026=B3025,"",IF($K3026="","",INDEX(Zeiterfassung!$I$6:$I$3665,MATCH(INDEX(Zeiterfassung!$K$6:$K$3665,$K3026),Zeiterfassung!$K$6:$K$3665,0))))</f>
        <v/>
      </c>
      <c r="J3026" s="335">
        <f>IF(B3026=B3025,"",IF($K3026="","",INDEX(Zeiterfassung!$J$6:$J$3665,MATCH(INDEX(Zeiterfassung!$K$6:$K$3665,$K3026),Zeiterfassung!$K$6:$K$3665,0))))</f>
        <v/>
      </c>
      <c r="K3026">
        <f>IFERROR(AGGREGATE(15,6,(ROW(Zeiterfassung!$D$6:$D$3665)-ROW(Zeiterfassung!$D$6)+1)/(Zeiterfassung!$D$6:$D$3665&lt;&gt;""),3021),"")</f>
        <v/>
      </c>
    </row>
    <row r="3027" ht="20" customHeight="1">
      <c r="A3027" s="183">
        <f>IF($K3027="","",WEEKNUM(INDEX(Zeiterfassung!$K$6:$K$3665,$K3027),21))</f>
        <v/>
      </c>
      <c r="B3027" s="184">
        <f>IF($K3027="","",INDEX(Zeiterfassung!$K$6:$K$3665,$K3027))</f>
        <v/>
      </c>
      <c r="C3027" s="185">
        <f>IF($K3027="","",INDEX(Zeiterfassung!$K$6:$K$3665,$K3027))</f>
        <v/>
      </c>
      <c r="D3027" s="186">
        <f>IF($K3027="","",INDEX(Zeiterfassung!$D$6:$D$3665,$K3027))</f>
        <v/>
      </c>
      <c r="E3027" s="186">
        <f>IF($K3027="","",INDEX(Zeiterfassung!$E$6:$E$3665,$K3027))</f>
        <v/>
      </c>
      <c r="F3027" s="187">
        <f>IF($K3027="","",INDEX(Zeiterfassung!$F$6:$F$3665,$K3027))</f>
        <v/>
      </c>
      <c r="G3027" s="187">
        <f>IF($K3027="","",INDEX(Zeiterfassung!$G$6:$G$3665,$K3027))</f>
        <v/>
      </c>
      <c r="H3027" s="188">
        <f>IF($K3027="","",INDEX(Zeiterfassung!$H$6:$H$3665,$K3027))</f>
        <v/>
      </c>
      <c r="I3027" s="335">
        <f>IF(B3027=B3026,"",IF($K3027="","",INDEX(Zeiterfassung!$I$6:$I$3665,MATCH(INDEX(Zeiterfassung!$K$6:$K$3665,$K3027),Zeiterfassung!$K$6:$K$3665,0))))</f>
        <v/>
      </c>
      <c r="J3027" s="335">
        <f>IF(B3027=B3026,"",IF($K3027="","",INDEX(Zeiterfassung!$J$6:$J$3665,MATCH(INDEX(Zeiterfassung!$K$6:$K$3665,$K3027),Zeiterfassung!$K$6:$K$3665,0))))</f>
        <v/>
      </c>
      <c r="K3027">
        <f>IFERROR(AGGREGATE(15,6,(ROW(Zeiterfassung!$D$6:$D$3665)-ROW(Zeiterfassung!$D$6)+1)/(Zeiterfassung!$D$6:$D$3665&lt;&gt;""),3022),"")</f>
        <v/>
      </c>
    </row>
    <row r="3028" ht="20" customHeight="1">
      <c r="A3028" s="183">
        <f>IF($K3028="","",WEEKNUM(INDEX(Zeiterfassung!$K$6:$K$3665,$K3028),21))</f>
        <v/>
      </c>
      <c r="B3028" s="184">
        <f>IF($K3028="","",INDEX(Zeiterfassung!$K$6:$K$3665,$K3028))</f>
        <v/>
      </c>
      <c r="C3028" s="185">
        <f>IF($K3028="","",INDEX(Zeiterfassung!$K$6:$K$3665,$K3028))</f>
        <v/>
      </c>
      <c r="D3028" s="186">
        <f>IF($K3028="","",INDEX(Zeiterfassung!$D$6:$D$3665,$K3028))</f>
        <v/>
      </c>
      <c r="E3028" s="186">
        <f>IF($K3028="","",INDEX(Zeiterfassung!$E$6:$E$3665,$K3028))</f>
        <v/>
      </c>
      <c r="F3028" s="187">
        <f>IF($K3028="","",INDEX(Zeiterfassung!$F$6:$F$3665,$K3028))</f>
        <v/>
      </c>
      <c r="G3028" s="187">
        <f>IF($K3028="","",INDEX(Zeiterfassung!$G$6:$G$3665,$K3028))</f>
        <v/>
      </c>
      <c r="H3028" s="188">
        <f>IF($K3028="","",INDEX(Zeiterfassung!$H$6:$H$3665,$K3028))</f>
        <v/>
      </c>
      <c r="I3028" s="335">
        <f>IF(B3028=B3027,"",IF($K3028="","",INDEX(Zeiterfassung!$I$6:$I$3665,MATCH(INDEX(Zeiterfassung!$K$6:$K$3665,$K3028),Zeiterfassung!$K$6:$K$3665,0))))</f>
        <v/>
      </c>
      <c r="J3028" s="335">
        <f>IF(B3028=B3027,"",IF($K3028="","",INDEX(Zeiterfassung!$J$6:$J$3665,MATCH(INDEX(Zeiterfassung!$K$6:$K$3665,$K3028),Zeiterfassung!$K$6:$K$3665,0))))</f>
        <v/>
      </c>
      <c r="K3028">
        <f>IFERROR(AGGREGATE(15,6,(ROW(Zeiterfassung!$D$6:$D$3665)-ROW(Zeiterfassung!$D$6)+1)/(Zeiterfassung!$D$6:$D$3665&lt;&gt;""),3023),"")</f>
        <v/>
      </c>
    </row>
    <row r="3029" ht="20" customHeight="1">
      <c r="A3029" s="183">
        <f>IF($K3029="","",WEEKNUM(INDEX(Zeiterfassung!$K$6:$K$3665,$K3029),21))</f>
        <v/>
      </c>
      <c r="B3029" s="184">
        <f>IF($K3029="","",INDEX(Zeiterfassung!$K$6:$K$3665,$K3029))</f>
        <v/>
      </c>
      <c r="C3029" s="185">
        <f>IF($K3029="","",INDEX(Zeiterfassung!$K$6:$K$3665,$K3029))</f>
        <v/>
      </c>
      <c r="D3029" s="186">
        <f>IF($K3029="","",INDEX(Zeiterfassung!$D$6:$D$3665,$K3029))</f>
        <v/>
      </c>
      <c r="E3029" s="186">
        <f>IF($K3029="","",INDEX(Zeiterfassung!$E$6:$E$3665,$K3029))</f>
        <v/>
      </c>
      <c r="F3029" s="187">
        <f>IF($K3029="","",INDEX(Zeiterfassung!$F$6:$F$3665,$K3029))</f>
        <v/>
      </c>
      <c r="G3029" s="187">
        <f>IF($K3029="","",INDEX(Zeiterfassung!$G$6:$G$3665,$K3029))</f>
        <v/>
      </c>
      <c r="H3029" s="188">
        <f>IF($K3029="","",INDEX(Zeiterfassung!$H$6:$H$3665,$K3029))</f>
        <v/>
      </c>
      <c r="I3029" s="335">
        <f>IF(B3029=B3028,"",IF($K3029="","",INDEX(Zeiterfassung!$I$6:$I$3665,MATCH(INDEX(Zeiterfassung!$K$6:$K$3665,$K3029),Zeiterfassung!$K$6:$K$3665,0))))</f>
        <v/>
      </c>
      <c r="J3029" s="335">
        <f>IF(B3029=B3028,"",IF($K3029="","",INDEX(Zeiterfassung!$J$6:$J$3665,MATCH(INDEX(Zeiterfassung!$K$6:$K$3665,$K3029),Zeiterfassung!$K$6:$K$3665,0))))</f>
        <v/>
      </c>
      <c r="K3029">
        <f>IFERROR(AGGREGATE(15,6,(ROW(Zeiterfassung!$D$6:$D$3665)-ROW(Zeiterfassung!$D$6)+1)/(Zeiterfassung!$D$6:$D$3665&lt;&gt;""),3024),"")</f>
        <v/>
      </c>
    </row>
    <row r="3030" ht="20" customHeight="1">
      <c r="A3030" s="183">
        <f>IF($K3030="","",WEEKNUM(INDEX(Zeiterfassung!$K$6:$K$3665,$K3030),21))</f>
        <v/>
      </c>
      <c r="B3030" s="184">
        <f>IF($K3030="","",INDEX(Zeiterfassung!$K$6:$K$3665,$K3030))</f>
        <v/>
      </c>
      <c r="C3030" s="185">
        <f>IF($K3030="","",INDEX(Zeiterfassung!$K$6:$K$3665,$K3030))</f>
        <v/>
      </c>
      <c r="D3030" s="186">
        <f>IF($K3030="","",INDEX(Zeiterfassung!$D$6:$D$3665,$K3030))</f>
        <v/>
      </c>
      <c r="E3030" s="186">
        <f>IF($K3030="","",INDEX(Zeiterfassung!$E$6:$E$3665,$K3030))</f>
        <v/>
      </c>
      <c r="F3030" s="187">
        <f>IF($K3030="","",INDEX(Zeiterfassung!$F$6:$F$3665,$K3030))</f>
        <v/>
      </c>
      <c r="G3030" s="187">
        <f>IF($K3030="","",INDEX(Zeiterfassung!$G$6:$G$3665,$K3030))</f>
        <v/>
      </c>
      <c r="H3030" s="188">
        <f>IF($K3030="","",INDEX(Zeiterfassung!$H$6:$H$3665,$K3030))</f>
        <v/>
      </c>
      <c r="I3030" s="335">
        <f>IF(B3030=B3029,"",IF($K3030="","",INDEX(Zeiterfassung!$I$6:$I$3665,MATCH(INDEX(Zeiterfassung!$K$6:$K$3665,$K3030),Zeiterfassung!$K$6:$K$3665,0))))</f>
        <v/>
      </c>
      <c r="J3030" s="335">
        <f>IF(B3030=B3029,"",IF($K3030="","",INDEX(Zeiterfassung!$J$6:$J$3665,MATCH(INDEX(Zeiterfassung!$K$6:$K$3665,$K3030),Zeiterfassung!$K$6:$K$3665,0))))</f>
        <v/>
      </c>
      <c r="K3030">
        <f>IFERROR(AGGREGATE(15,6,(ROW(Zeiterfassung!$D$6:$D$3665)-ROW(Zeiterfassung!$D$6)+1)/(Zeiterfassung!$D$6:$D$3665&lt;&gt;""),3025),"")</f>
        <v/>
      </c>
    </row>
    <row r="3031" ht="20" customHeight="1">
      <c r="A3031" s="183">
        <f>IF($K3031="","",WEEKNUM(INDEX(Zeiterfassung!$K$6:$K$3665,$K3031),21))</f>
        <v/>
      </c>
      <c r="B3031" s="184">
        <f>IF($K3031="","",INDEX(Zeiterfassung!$K$6:$K$3665,$K3031))</f>
        <v/>
      </c>
      <c r="C3031" s="185">
        <f>IF($K3031="","",INDEX(Zeiterfassung!$K$6:$K$3665,$K3031))</f>
        <v/>
      </c>
      <c r="D3031" s="186">
        <f>IF($K3031="","",INDEX(Zeiterfassung!$D$6:$D$3665,$K3031))</f>
        <v/>
      </c>
      <c r="E3031" s="186">
        <f>IF($K3031="","",INDEX(Zeiterfassung!$E$6:$E$3665,$K3031))</f>
        <v/>
      </c>
      <c r="F3031" s="187">
        <f>IF($K3031="","",INDEX(Zeiterfassung!$F$6:$F$3665,$K3031))</f>
        <v/>
      </c>
      <c r="G3031" s="187">
        <f>IF($K3031="","",INDEX(Zeiterfassung!$G$6:$G$3665,$K3031))</f>
        <v/>
      </c>
      <c r="H3031" s="188">
        <f>IF($K3031="","",INDEX(Zeiterfassung!$H$6:$H$3665,$K3031))</f>
        <v/>
      </c>
      <c r="I3031" s="335">
        <f>IF(B3031=B3030,"",IF($K3031="","",INDEX(Zeiterfassung!$I$6:$I$3665,MATCH(INDEX(Zeiterfassung!$K$6:$K$3665,$K3031),Zeiterfassung!$K$6:$K$3665,0))))</f>
        <v/>
      </c>
      <c r="J3031" s="335">
        <f>IF(B3031=B3030,"",IF($K3031="","",INDEX(Zeiterfassung!$J$6:$J$3665,MATCH(INDEX(Zeiterfassung!$K$6:$K$3665,$K3031),Zeiterfassung!$K$6:$K$3665,0))))</f>
        <v/>
      </c>
      <c r="K3031">
        <f>IFERROR(AGGREGATE(15,6,(ROW(Zeiterfassung!$D$6:$D$3665)-ROW(Zeiterfassung!$D$6)+1)/(Zeiterfassung!$D$6:$D$3665&lt;&gt;""),3026),"")</f>
        <v/>
      </c>
    </row>
    <row r="3032" ht="20" customHeight="1">
      <c r="A3032" s="183">
        <f>IF($K3032="","",WEEKNUM(INDEX(Zeiterfassung!$K$6:$K$3665,$K3032),21))</f>
        <v/>
      </c>
      <c r="B3032" s="184">
        <f>IF($K3032="","",INDEX(Zeiterfassung!$K$6:$K$3665,$K3032))</f>
        <v/>
      </c>
      <c r="C3032" s="185">
        <f>IF($K3032="","",INDEX(Zeiterfassung!$K$6:$K$3665,$K3032))</f>
        <v/>
      </c>
      <c r="D3032" s="186">
        <f>IF($K3032="","",INDEX(Zeiterfassung!$D$6:$D$3665,$K3032))</f>
        <v/>
      </c>
      <c r="E3032" s="186">
        <f>IF($K3032="","",INDEX(Zeiterfassung!$E$6:$E$3665,$K3032))</f>
        <v/>
      </c>
      <c r="F3032" s="187">
        <f>IF($K3032="","",INDEX(Zeiterfassung!$F$6:$F$3665,$K3032))</f>
        <v/>
      </c>
      <c r="G3032" s="187">
        <f>IF($K3032="","",INDEX(Zeiterfassung!$G$6:$G$3665,$K3032))</f>
        <v/>
      </c>
      <c r="H3032" s="188">
        <f>IF($K3032="","",INDEX(Zeiterfassung!$H$6:$H$3665,$K3032))</f>
        <v/>
      </c>
      <c r="I3032" s="335">
        <f>IF(B3032=B3031,"",IF($K3032="","",INDEX(Zeiterfassung!$I$6:$I$3665,MATCH(INDEX(Zeiterfassung!$K$6:$K$3665,$K3032),Zeiterfassung!$K$6:$K$3665,0))))</f>
        <v/>
      </c>
      <c r="J3032" s="335">
        <f>IF(B3032=B3031,"",IF($K3032="","",INDEX(Zeiterfassung!$J$6:$J$3665,MATCH(INDEX(Zeiterfassung!$K$6:$K$3665,$K3032),Zeiterfassung!$K$6:$K$3665,0))))</f>
        <v/>
      </c>
      <c r="K3032">
        <f>IFERROR(AGGREGATE(15,6,(ROW(Zeiterfassung!$D$6:$D$3665)-ROW(Zeiterfassung!$D$6)+1)/(Zeiterfassung!$D$6:$D$3665&lt;&gt;""),3027),"")</f>
        <v/>
      </c>
    </row>
    <row r="3033" ht="20" customHeight="1">
      <c r="A3033" s="183">
        <f>IF($K3033="","",WEEKNUM(INDEX(Zeiterfassung!$K$6:$K$3665,$K3033),21))</f>
        <v/>
      </c>
      <c r="B3033" s="184">
        <f>IF($K3033="","",INDEX(Zeiterfassung!$K$6:$K$3665,$K3033))</f>
        <v/>
      </c>
      <c r="C3033" s="185">
        <f>IF($K3033="","",INDEX(Zeiterfassung!$K$6:$K$3665,$K3033))</f>
        <v/>
      </c>
      <c r="D3033" s="186">
        <f>IF($K3033="","",INDEX(Zeiterfassung!$D$6:$D$3665,$K3033))</f>
        <v/>
      </c>
      <c r="E3033" s="186">
        <f>IF($K3033="","",INDEX(Zeiterfassung!$E$6:$E$3665,$K3033))</f>
        <v/>
      </c>
      <c r="F3033" s="187">
        <f>IF($K3033="","",INDEX(Zeiterfassung!$F$6:$F$3665,$K3033))</f>
        <v/>
      </c>
      <c r="G3033" s="187">
        <f>IF($K3033="","",INDEX(Zeiterfassung!$G$6:$G$3665,$K3033))</f>
        <v/>
      </c>
      <c r="H3033" s="188">
        <f>IF($K3033="","",INDEX(Zeiterfassung!$H$6:$H$3665,$K3033))</f>
        <v/>
      </c>
      <c r="I3033" s="335">
        <f>IF(B3033=B3032,"",IF($K3033="","",INDEX(Zeiterfassung!$I$6:$I$3665,MATCH(INDEX(Zeiterfassung!$K$6:$K$3665,$K3033),Zeiterfassung!$K$6:$K$3665,0))))</f>
        <v/>
      </c>
      <c r="J3033" s="335">
        <f>IF(B3033=B3032,"",IF($K3033="","",INDEX(Zeiterfassung!$J$6:$J$3665,MATCH(INDEX(Zeiterfassung!$K$6:$K$3665,$K3033),Zeiterfassung!$K$6:$K$3665,0))))</f>
        <v/>
      </c>
      <c r="K3033">
        <f>IFERROR(AGGREGATE(15,6,(ROW(Zeiterfassung!$D$6:$D$3665)-ROW(Zeiterfassung!$D$6)+1)/(Zeiterfassung!$D$6:$D$3665&lt;&gt;""),3028),"")</f>
        <v/>
      </c>
    </row>
    <row r="3034" ht="20" customHeight="1">
      <c r="A3034" s="183">
        <f>IF($K3034="","",WEEKNUM(INDEX(Zeiterfassung!$K$6:$K$3665,$K3034),21))</f>
        <v/>
      </c>
      <c r="B3034" s="184">
        <f>IF($K3034="","",INDEX(Zeiterfassung!$K$6:$K$3665,$K3034))</f>
        <v/>
      </c>
      <c r="C3034" s="185">
        <f>IF($K3034="","",INDEX(Zeiterfassung!$K$6:$K$3665,$K3034))</f>
        <v/>
      </c>
      <c r="D3034" s="186">
        <f>IF($K3034="","",INDEX(Zeiterfassung!$D$6:$D$3665,$K3034))</f>
        <v/>
      </c>
      <c r="E3034" s="186">
        <f>IF($K3034="","",INDEX(Zeiterfassung!$E$6:$E$3665,$K3034))</f>
        <v/>
      </c>
      <c r="F3034" s="187">
        <f>IF($K3034="","",INDEX(Zeiterfassung!$F$6:$F$3665,$K3034))</f>
        <v/>
      </c>
      <c r="G3034" s="187">
        <f>IF($K3034="","",INDEX(Zeiterfassung!$G$6:$G$3665,$K3034))</f>
        <v/>
      </c>
      <c r="H3034" s="188">
        <f>IF($K3034="","",INDEX(Zeiterfassung!$H$6:$H$3665,$K3034))</f>
        <v/>
      </c>
      <c r="I3034" s="335">
        <f>IF(B3034=B3033,"",IF($K3034="","",INDEX(Zeiterfassung!$I$6:$I$3665,MATCH(INDEX(Zeiterfassung!$K$6:$K$3665,$K3034),Zeiterfassung!$K$6:$K$3665,0))))</f>
        <v/>
      </c>
      <c r="J3034" s="335">
        <f>IF(B3034=B3033,"",IF($K3034="","",INDEX(Zeiterfassung!$J$6:$J$3665,MATCH(INDEX(Zeiterfassung!$K$6:$K$3665,$K3034),Zeiterfassung!$K$6:$K$3665,0))))</f>
        <v/>
      </c>
      <c r="K3034">
        <f>IFERROR(AGGREGATE(15,6,(ROW(Zeiterfassung!$D$6:$D$3665)-ROW(Zeiterfassung!$D$6)+1)/(Zeiterfassung!$D$6:$D$3665&lt;&gt;""),3029),"")</f>
        <v/>
      </c>
    </row>
    <row r="3035" ht="20" customHeight="1">
      <c r="A3035" s="183">
        <f>IF($K3035="","",WEEKNUM(INDEX(Zeiterfassung!$K$6:$K$3665,$K3035),21))</f>
        <v/>
      </c>
      <c r="B3035" s="184">
        <f>IF($K3035="","",INDEX(Zeiterfassung!$K$6:$K$3665,$K3035))</f>
        <v/>
      </c>
      <c r="C3035" s="185">
        <f>IF($K3035="","",INDEX(Zeiterfassung!$K$6:$K$3665,$K3035))</f>
        <v/>
      </c>
      <c r="D3035" s="186">
        <f>IF($K3035="","",INDEX(Zeiterfassung!$D$6:$D$3665,$K3035))</f>
        <v/>
      </c>
      <c r="E3035" s="186">
        <f>IF($K3035="","",INDEX(Zeiterfassung!$E$6:$E$3665,$K3035))</f>
        <v/>
      </c>
      <c r="F3035" s="187">
        <f>IF($K3035="","",INDEX(Zeiterfassung!$F$6:$F$3665,$K3035))</f>
        <v/>
      </c>
      <c r="G3035" s="187">
        <f>IF($K3035="","",INDEX(Zeiterfassung!$G$6:$G$3665,$K3035))</f>
        <v/>
      </c>
      <c r="H3035" s="188">
        <f>IF($K3035="","",INDEX(Zeiterfassung!$H$6:$H$3665,$K3035))</f>
        <v/>
      </c>
      <c r="I3035" s="335">
        <f>IF(B3035=B3034,"",IF($K3035="","",INDEX(Zeiterfassung!$I$6:$I$3665,MATCH(INDEX(Zeiterfassung!$K$6:$K$3665,$K3035),Zeiterfassung!$K$6:$K$3665,0))))</f>
        <v/>
      </c>
      <c r="J3035" s="335">
        <f>IF(B3035=B3034,"",IF($K3035="","",INDEX(Zeiterfassung!$J$6:$J$3665,MATCH(INDEX(Zeiterfassung!$K$6:$K$3665,$K3035),Zeiterfassung!$K$6:$K$3665,0))))</f>
        <v/>
      </c>
      <c r="K3035">
        <f>IFERROR(AGGREGATE(15,6,(ROW(Zeiterfassung!$D$6:$D$3665)-ROW(Zeiterfassung!$D$6)+1)/(Zeiterfassung!$D$6:$D$3665&lt;&gt;""),3030),"")</f>
        <v/>
      </c>
    </row>
    <row r="3036" ht="20" customHeight="1">
      <c r="A3036" s="183">
        <f>IF($K3036="","",WEEKNUM(INDEX(Zeiterfassung!$K$6:$K$3665,$K3036),21))</f>
        <v/>
      </c>
      <c r="B3036" s="184">
        <f>IF($K3036="","",INDEX(Zeiterfassung!$K$6:$K$3665,$K3036))</f>
        <v/>
      </c>
      <c r="C3036" s="185">
        <f>IF($K3036="","",INDEX(Zeiterfassung!$K$6:$K$3665,$K3036))</f>
        <v/>
      </c>
      <c r="D3036" s="186">
        <f>IF($K3036="","",INDEX(Zeiterfassung!$D$6:$D$3665,$K3036))</f>
        <v/>
      </c>
      <c r="E3036" s="186">
        <f>IF($K3036="","",INDEX(Zeiterfassung!$E$6:$E$3665,$K3036))</f>
        <v/>
      </c>
      <c r="F3036" s="187">
        <f>IF($K3036="","",INDEX(Zeiterfassung!$F$6:$F$3665,$K3036))</f>
        <v/>
      </c>
      <c r="G3036" s="187">
        <f>IF($K3036="","",INDEX(Zeiterfassung!$G$6:$G$3665,$K3036))</f>
        <v/>
      </c>
      <c r="H3036" s="188">
        <f>IF($K3036="","",INDEX(Zeiterfassung!$H$6:$H$3665,$K3036))</f>
        <v/>
      </c>
      <c r="I3036" s="335">
        <f>IF(B3036=B3035,"",IF($K3036="","",INDEX(Zeiterfassung!$I$6:$I$3665,MATCH(INDEX(Zeiterfassung!$K$6:$K$3665,$K3036),Zeiterfassung!$K$6:$K$3665,0))))</f>
        <v/>
      </c>
      <c r="J3036" s="335">
        <f>IF(B3036=B3035,"",IF($K3036="","",INDEX(Zeiterfassung!$J$6:$J$3665,MATCH(INDEX(Zeiterfassung!$K$6:$K$3665,$K3036),Zeiterfassung!$K$6:$K$3665,0))))</f>
        <v/>
      </c>
      <c r="K3036">
        <f>IFERROR(AGGREGATE(15,6,(ROW(Zeiterfassung!$D$6:$D$3665)-ROW(Zeiterfassung!$D$6)+1)/(Zeiterfassung!$D$6:$D$3665&lt;&gt;""),3031),"")</f>
        <v/>
      </c>
    </row>
    <row r="3037" ht="20" customHeight="1">
      <c r="A3037" s="183">
        <f>IF($K3037="","",WEEKNUM(INDEX(Zeiterfassung!$K$6:$K$3665,$K3037),21))</f>
        <v/>
      </c>
      <c r="B3037" s="184">
        <f>IF($K3037="","",INDEX(Zeiterfassung!$K$6:$K$3665,$K3037))</f>
        <v/>
      </c>
      <c r="C3037" s="185">
        <f>IF($K3037="","",INDEX(Zeiterfassung!$K$6:$K$3665,$K3037))</f>
        <v/>
      </c>
      <c r="D3037" s="186">
        <f>IF($K3037="","",INDEX(Zeiterfassung!$D$6:$D$3665,$K3037))</f>
        <v/>
      </c>
      <c r="E3037" s="186">
        <f>IF($K3037="","",INDEX(Zeiterfassung!$E$6:$E$3665,$K3037))</f>
        <v/>
      </c>
      <c r="F3037" s="187">
        <f>IF($K3037="","",INDEX(Zeiterfassung!$F$6:$F$3665,$K3037))</f>
        <v/>
      </c>
      <c r="G3037" s="187">
        <f>IF($K3037="","",INDEX(Zeiterfassung!$G$6:$G$3665,$K3037))</f>
        <v/>
      </c>
      <c r="H3037" s="188">
        <f>IF($K3037="","",INDEX(Zeiterfassung!$H$6:$H$3665,$K3037))</f>
        <v/>
      </c>
      <c r="I3037" s="335">
        <f>IF(B3037=B3036,"",IF($K3037="","",INDEX(Zeiterfassung!$I$6:$I$3665,MATCH(INDEX(Zeiterfassung!$K$6:$K$3665,$K3037),Zeiterfassung!$K$6:$K$3665,0))))</f>
        <v/>
      </c>
      <c r="J3037" s="335">
        <f>IF(B3037=B3036,"",IF($K3037="","",INDEX(Zeiterfassung!$J$6:$J$3665,MATCH(INDEX(Zeiterfassung!$K$6:$K$3665,$K3037),Zeiterfassung!$K$6:$K$3665,0))))</f>
        <v/>
      </c>
      <c r="K3037">
        <f>IFERROR(AGGREGATE(15,6,(ROW(Zeiterfassung!$D$6:$D$3665)-ROW(Zeiterfassung!$D$6)+1)/(Zeiterfassung!$D$6:$D$3665&lt;&gt;""),3032),"")</f>
        <v/>
      </c>
    </row>
    <row r="3038" ht="20" customHeight="1">
      <c r="A3038" s="183">
        <f>IF($K3038="","",WEEKNUM(INDEX(Zeiterfassung!$K$6:$K$3665,$K3038),21))</f>
        <v/>
      </c>
      <c r="B3038" s="184">
        <f>IF($K3038="","",INDEX(Zeiterfassung!$K$6:$K$3665,$K3038))</f>
        <v/>
      </c>
      <c r="C3038" s="185">
        <f>IF($K3038="","",INDEX(Zeiterfassung!$K$6:$K$3665,$K3038))</f>
        <v/>
      </c>
      <c r="D3038" s="186">
        <f>IF($K3038="","",INDEX(Zeiterfassung!$D$6:$D$3665,$K3038))</f>
        <v/>
      </c>
      <c r="E3038" s="186">
        <f>IF($K3038="","",INDEX(Zeiterfassung!$E$6:$E$3665,$K3038))</f>
        <v/>
      </c>
      <c r="F3038" s="187">
        <f>IF($K3038="","",INDEX(Zeiterfassung!$F$6:$F$3665,$K3038))</f>
        <v/>
      </c>
      <c r="G3038" s="187">
        <f>IF($K3038="","",INDEX(Zeiterfassung!$G$6:$G$3665,$K3038))</f>
        <v/>
      </c>
      <c r="H3038" s="188">
        <f>IF($K3038="","",INDEX(Zeiterfassung!$H$6:$H$3665,$K3038))</f>
        <v/>
      </c>
      <c r="I3038" s="335">
        <f>IF(B3038=B3037,"",IF($K3038="","",INDEX(Zeiterfassung!$I$6:$I$3665,MATCH(INDEX(Zeiterfassung!$K$6:$K$3665,$K3038),Zeiterfassung!$K$6:$K$3665,0))))</f>
        <v/>
      </c>
      <c r="J3038" s="335">
        <f>IF(B3038=B3037,"",IF($K3038="","",INDEX(Zeiterfassung!$J$6:$J$3665,MATCH(INDEX(Zeiterfassung!$K$6:$K$3665,$K3038),Zeiterfassung!$K$6:$K$3665,0))))</f>
        <v/>
      </c>
      <c r="K3038">
        <f>IFERROR(AGGREGATE(15,6,(ROW(Zeiterfassung!$D$6:$D$3665)-ROW(Zeiterfassung!$D$6)+1)/(Zeiterfassung!$D$6:$D$3665&lt;&gt;""),3033),"")</f>
        <v/>
      </c>
    </row>
    <row r="3039" ht="20" customHeight="1">
      <c r="A3039" s="183">
        <f>IF($K3039="","",WEEKNUM(INDEX(Zeiterfassung!$K$6:$K$3665,$K3039),21))</f>
        <v/>
      </c>
      <c r="B3039" s="184">
        <f>IF($K3039="","",INDEX(Zeiterfassung!$K$6:$K$3665,$K3039))</f>
        <v/>
      </c>
      <c r="C3039" s="185">
        <f>IF($K3039="","",INDEX(Zeiterfassung!$K$6:$K$3665,$K3039))</f>
        <v/>
      </c>
      <c r="D3039" s="186">
        <f>IF($K3039="","",INDEX(Zeiterfassung!$D$6:$D$3665,$K3039))</f>
        <v/>
      </c>
      <c r="E3039" s="186">
        <f>IF($K3039="","",INDEX(Zeiterfassung!$E$6:$E$3665,$K3039))</f>
        <v/>
      </c>
      <c r="F3039" s="187">
        <f>IF($K3039="","",INDEX(Zeiterfassung!$F$6:$F$3665,$K3039))</f>
        <v/>
      </c>
      <c r="G3039" s="187">
        <f>IF($K3039="","",INDEX(Zeiterfassung!$G$6:$G$3665,$K3039))</f>
        <v/>
      </c>
      <c r="H3039" s="188">
        <f>IF($K3039="","",INDEX(Zeiterfassung!$H$6:$H$3665,$K3039))</f>
        <v/>
      </c>
      <c r="I3039" s="335">
        <f>IF(B3039=B3038,"",IF($K3039="","",INDEX(Zeiterfassung!$I$6:$I$3665,MATCH(INDEX(Zeiterfassung!$K$6:$K$3665,$K3039),Zeiterfassung!$K$6:$K$3665,0))))</f>
        <v/>
      </c>
      <c r="J3039" s="335">
        <f>IF(B3039=B3038,"",IF($K3039="","",INDEX(Zeiterfassung!$J$6:$J$3665,MATCH(INDEX(Zeiterfassung!$K$6:$K$3665,$K3039),Zeiterfassung!$K$6:$K$3665,0))))</f>
        <v/>
      </c>
      <c r="K3039">
        <f>IFERROR(AGGREGATE(15,6,(ROW(Zeiterfassung!$D$6:$D$3665)-ROW(Zeiterfassung!$D$6)+1)/(Zeiterfassung!$D$6:$D$3665&lt;&gt;""),3034),"")</f>
        <v/>
      </c>
    </row>
    <row r="3040" ht="20" customHeight="1">
      <c r="A3040" s="183">
        <f>IF($K3040="","",WEEKNUM(INDEX(Zeiterfassung!$K$6:$K$3665,$K3040),21))</f>
        <v/>
      </c>
      <c r="B3040" s="184">
        <f>IF($K3040="","",INDEX(Zeiterfassung!$K$6:$K$3665,$K3040))</f>
        <v/>
      </c>
      <c r="C3040" s="185">
        <f>IF($K3040="","",INDEX(Zeiterfassung!$K$6:$K$3665,$K3040))</f>
        <v/>
      </c>
      <c r="D3040" s="186">
        <f>IF($K3040="","",INDEX(Zeiterfassung!$D$6:$D$3665,$K3040))</f>
        <v/>
      </c>
      <c r="E3040" s="186">
        <f>IF($K3040="","",INDEX(Zeiterfassung!$E$6:$E$3665,$K3040))</f>
        <v/>
      </c>
      <c r="F3040" s="187">
        <f>IF($K3040="","",INDEX(Zeiterfassung!$F$6:$F$3665,$K3040))</f>
        <v/>
      </c>
      <c r="G3040" s="187">
        <f>IF($K3040="","",INDEX(Zeiterfassung!$G$6:$G$3665,$K3040))</f>
        <v/>
      </c>
      <c r="H3040" s="188">
        <f>IF($K3040="","",INDEX(Zeiterfassung!$H$6:$H$3665,$K3040))</f>
        <v/>
      </c>
      <c r="I3040" s="335">
        <f>IF(B3040=B3039,"",IF($K3040="","",INDEX(Zeiterfassung!$I$6:$I$3665,MATCH(INDEX(Zeiterfassung!$K$6:$K$3665,$K3040),Zeiterfassung!$K$6:$K$3665,0))))</f>
        <v/>
      </c>
      <c r="J3040" s="335">
        <f>IF(B3040=B3039,"",IF($K3040="","",INDEX(Zeiterfassung!$J$6:$J$3665,MATCH(INDEX(Zeiterfassung!$K$6:$K$3665,$K3040),Zeiterfassung!$K$6:$K$3665,0))))</f>
        <v/>
      </c>
      <c r="K3040">
        <f>IFERROR(AGGREGATE(15,6,(ROW(Zeiterfassung!$D$6:$D$3665)-ROW(Zeiterfassung!$D$6)+1)/(Zeiterfassung!$D$6:$D$3665&lt;&gt;""),3035),"")</f>
        <v/>
      </c>
    </row>
    <row r="3041" ht="20" customHeight="1">
      <c r="A3041" s="183">
        <f>IF($K3041="","",WEEKNUM(INDEX(Zeiterfassung!$K$6:$K$3665,$K3041),21))</f>
        <v/>
      </c>
      <c r="B3041" s="184">
        <f>IF($K3041="","",INDEX(Zeiterfassung!$K$6:$K$3665,$K3041))</f>
        <v/>
      </c>
      <c r="C3041" s="185">
        <f>IF($K3041="","",INDEX(Zeiterfassung!$K$6:$K$3665,$K3041))</f>
        <v/>
      </c>
      <c r="D3041" s="186">
        <f>IF($K3041="","",INDEX(Zeiterfassung!$D$6:$D$3665,$K3041))</f>
        <v/>
      </c>
      <c r="E3041" s="186">
        <f>IF($K3041="","",INDEX(Zeiterfassung!$E$6:$E$3665,$K3041))</f>
        <v/>
      </c>
      <c r="F3041" s="187">
        <f>IF($K3041="","",INDEX(Zeiterfassung!$F$6:$F$3665,$K3041))</f>
        <v/>
      </c>
      <c r="G3041" s="187">
        <f>IF($K3041="","",INDEX(Zeiterfassung!$G$6:$G$3665,$K3041))</f>
        <v/>
      </c>
      <c r="H3041" s="188">
        <f>IF($K3041="","",INDEX(Zeiterfassung!$H$6:$H$3665,$K3041))</f>
        <v/>
      </c>
      <c r="I3041" s="335">
        <f>IF(B3041=B3040,"",IF($K3041="","",INDEX(Zeiterfassung!$I$6:$I$3665,MATCH(INDEX(Zeiterfassung!$K$6:$K$3665,$K3041),Zeiterfassung!$K$6:$K$3665,0))))</f>
        <v/>
      </c>
      <c r="J3041" s="335">
        <f>IF(B3041=B3040,"",IF($K3041="","",INDEX(Zeiterfassung!$J$6:$J$3665,MATCH(INDEX(Zeiterfassung!$K$6:$K$3665,$K3041),Zeiterfassung!$K$6:$K$3665,0))))</f>
        <v/>
      </c>
      <c r="K3041">
        <f>IFERROR(AGGREGATE(15,6,(ROW(Zeiterfassung!$D$6:$D$3665)-ROW(Zeiterfassung!$D$6)+1)/(Zeiterfassung!$D$6:$D$3665&lt;&gt;""),3036),"")</f>
        <v/>
      </c>
    </row>
    <row r="3042" ht="20" customHeight="1">
      <c r="A3042" s="183">
        <f>IF($K3042="","",WEEKNUM(INDEX(Zeiterfassung!$K$6:$K$3665,$K3042),21))</f>
        <v/>
      </c>
      <c r="B3042" s="184">
        <f>IF($K3042="","",INDEX(Zeiterfassung!$K$6:$K$3665,$K3042))</f>
        <v/>
      </c>
      <c r="C3042" s="185">
        <f>IF($K3042="","",INDEX(Zeiterfassung!$K$6:$K$3665,$K3042))</f>
        <v/>
      </c>
      <c r="D3042" s="186">
        <f>IF($K3042="","",INDEX(Zeiterfassung!$D$6:$D$3665,$K3042))</f>
        <v/>
      </c>
      <c r="E3042" s="186">
        <f>IF($K3042="","",INDEX(Zeiterfassung!$E$6:$E$3665,$K3042))</f>
        <v/>
      </c>
      <c r="F3042" s="187">
        <f>IF($K3042="","",INDEX(Zeiterfassung!$F$6:$F$3665,$K3042))</f>
        <v/>
      </c>
      <c r="G3042" s="187">
        <f>IF($K3042="","",INDEX(Zeiterfassung!$G$6:$G$3665,$K3042))</f>
        <v/>
      </c>
      <c r="H3042" s="188">
        <f>IF($K3042="","",INDEX(Zeiterfassung!$H$6:$H$3665,$K3042))</f>
        <v/>
      </c>
      <c r="I3042" s="335">
        <f>IF(B3042=B3041,"",IF($K3042="","",INDEX(Zeiterfassung!$I$6:$I$3665,MATCH(INDEX(Zeiterfassung!$K$6:$K$3665,$K3042),Zeiterfassung!$K$6:$K$3665,0))))</f>
        <v/>
      </c>
      <c r="J3042" s="335">
        <f>IF(B3042=B3041,"",IF($K3042="","",INDEX(Zeiterfassung!$J$6:$J$3665,MATCH(INDEX(Zeiterfassung!$K$6:$K$3665,$K3042),Zeiterfassung!$K$6:$K$3665,0))))</f>
        <v/>
      </c>
      <c r="K3042">
        <f>IFERROR(AGGREGATE(15,6,(ROW(Zeiterfassung!$D$6:$D$3665)-ROW(Zeiterfassung!$D$6)+1)/(Zeiterfassung!$D$6:$D$3665&lt;&gt;""),3037),"")</f>
        <v/>
      </c>
    </row>
    <row r="3043" ht="20" customHeight="1">
      <c r="A3043" s="183">
        <f>IF($K3043="","",WEEKNUM(INDEX(Zeiterfassung!$K$6:$K$3665,$K3043),21))</f>
        <v/>
      </c>
      <c r="B3043" s="184">
        <f>IF($K3043="","",INDEX(Zeiterfassung!$K$6:$K$3665,$K3043))</f>
        <v/>
      </c>
      <c r="C3043" s="185">
        <f>IF($K3043="","",INDEX(Zeiterfassung!$K$6:$K$3665,$K3043))</f>
        <v/>
      </c>
      <c r="D3043" s="186">
        <f>IF($K3043="","",INDEX(Zeiterfassung!$D$6:$D$3665,$K3043))</f>
        <v/>
      </c>
      <c r="E3043" s="186">
        <f>IF($K3043="","",INDEX(Zeiterfassung!$E$6:$E$3665,$K3043))</f>
        <v/>
      </c>
      <c r="F3043" s="187">
        <f>IF($K3043="","",INDEX(Zeiterfassung!$F$6:$F$3665,$K3043))</f>
        <v/>
      </c>
      <c r="G3043" s="187">
        <f>IF($K3043="","",INDEX(Zeiterfassung!$G$6:$G$3665,$K3043))</f>
        <v/>
      </c>
      <c r="H3043" s="188">
        <f>IF($K3043="","",INDEX(Zeiterfassung!$H$6:$H$3665,$K3043))</f>
        <v/>
      </c>
      <c r="I3043" s="335">
        <f>IF(B3043=B3042,"",IF($K3043="","",INDEX(Zeiterfassung!$I$6:$I$3665,MATCH(INDEX(Zeiterfassung!$K$6:$K$3665,$K3043),Zeiterfassung!$K$6:$K$3665,0))))</f>
        <v/>
      </c>
      <c r="J3043" s="335">
        <f>IF(B3043=B3042,"",IF($K3043="","",INDEX(Zeiterfassung!$J$6:$J$3665,MATCH(INDEX(Zeiterfassung!$K$6:$K$3665,$K3043),Zeiterfassung!$K$6:$K$3665,0))))</f>
        <v/>
      </c>
      <c r="K3043">
        <f>IFERROR(AGGREGATE(15,6,(ROW(Zeiterfassung!$D$6:$D$3665)-ROW(Zeiterfassung!$D$6)+1)/(Zeiterfassung!$D$6:$D$3665&lt;&gt;""),3038),"")</f>
        <v/>
      </c>
    </row>
    <row r="3044" ht="20" customHeight="1">
      <c r="A3044" s="183">
        <f>IF($K3044="","",WEEKNUM(INDEX(Zeiterfassung!$K$6:$K$3665,$K3044),21))</f>
        <v/>
      </c>
      <c r="B3044" s="184">
        <f>IF($K3044="","",INDEX(Zeiterfassung!$K$6:$K$3665,$K3044))</f>
        <v/>
      </c>
      <c r="C3044" s="185">
        <f>IF($K3044="","",INDEX(Zeiterfassung!$K$6:$K$3665,$K3044))</f>
        <v/>
      </c>
      <c r="D3044" s="186">
        <f>IF($K3044="","",INDEX(Zeiterfassung!$D$6:$D$3665,$K3044))</f>
        <v/>
      </c>
      <c r="E3044" s="186">
        <f>IF($K3044="","",INDEX(Zeiterfassung!$E$6:$E$3665,$K3044))</f>
        <v/>
      </c>
      <c r="F3044" s="187">
        <f>IF($K3044="","",INDEX(Zeiterfassung!$F$6:$F$3665,$K3044))</f>
        <v/>
      </c>
      <c r="G3044" s="187">
        <f>IF($K3044="","",INDEX(Zeiterfassung!$G$6:$G$3665,$K3044))</f>
        <v/>
      </c>
      <c r="H3044" s="188">
        <f>IF($K3044="","",INDEX(Zeiterfassung!$H$6:$H$3665,$K3044))</f>
        <v/>
      </c>
      <c r="I3044" s="335">
        <f>IF(B3044=B3043,"",IF($K3044="","",INDEX(Zeiterfassung!$I$6:$I$3665,MATCH(INDEX(Zeiterfassung!$K$6:$K$3665,$K3044),Zeiterfassung!$K$6:$K$3665,0))))</f>
        <v/>
      </c>
      <c r="J3044" s="335">
        <f>IF(B3044=B3043,"",IF($K3044="","",INDEX(Zeiterfassung!$J$6:$J$3665,MATCH(INDEX(Zeiterfassung!$K$6:$K$3665,$K3044),Zeiterfassung!$K$6:$K$3665,0))))</f>
        <v/>
      </c>
      <c r="K3044">
        <f>IFERROR(AGGREGATE(15,6,(ROW(Zeiterfassung!$D$6:$D$3665)-ROW(Zeiterfassung!$D$6)+1)/(Zeiterfassung!$D$6:$D$3665&lt;&gt;""),3039),"")</f>
        <v/>
      </c>
    </row>
    <row r="3045" ht="20" customHeight="1">
      <c r="A3045" s="183">
        <f>IF($K3045="","",WEEKNUM(INDEX(Zeiterfassung!$K$6:$K$3665,$K3045),21))</f>
        <v/>
      </c>
      <c r="B3045" s="184">
        <f>IF($K3045="","",INDEX(Zeiterfassung!$K$6:$K$3665,$K3045))</f>
        <v/>
      </c>
      <c r="C3045" s="185">
        <f>IF($K3045="","",INDEX(Zeiterfassung!$K$6:$K$3665,$K3045))</f>
        <v/>
      </c>
      <c r="D3045" s="186">
        <f>IF($K3045="","",INDEX(Zeiterfassung!$D$6:$D$3665,$K3045))</f>
        <v/>
      </c>
      <c r="E3045" s="186">
        <f>IF($K3045="","",INDEX(Zeiterfassung!$E$6:$E$3665,$K3045))</f>
        <v/>
      </c>
      <c r="F3045" s="187">
        <f>IF($K3045="","",INDEX(Zeiterfassung!$F$6:$F$3665,$K3045))</f>
        <v/>
      </c>
      <c r="G3045" s="187">
        <f>IF($K3045="","",INDEX(Zeiterfassung!$G$6:$G$3665,$K3045))</f>
        <v/>
      </c>
      <c r="H3045" s="188">
        <f>IF($K3045="","",INDEX(Zeiterfassung!$H$6:$H$3665,$K3045))</f>
        <v/>
      </c>
      <c r="I3045" s="335">
        <f>IF(B3045=B3044,"",IF($K3045="","",INDEX(Zeiterfassung!$I$6:$I$3665,MATCH(INDEX(Zeiterfassung!$K$6:$K$3665,$K3045),Zeiterfassung!$K$6:$K$3665,0))))</f>
        <v/>
      </c>
      <c r="J3045" s="335">
        <f>IF(B3045=B3044,"",IF($K3045="","",INDEX(Zeiterfassung!$J$6:$J$3665,MATCH(INDEX(Zeiterfassung!$K$6:$K$3665,$K3045),Zeiterfassung!$K$6:$K$3665,0))))</f>
        <v/>
      </c>
      <c r="K3045">
        <f>IFERROR(AGGREGATE(15,6,(ROW(Zeiterfassung!$D$6:$D$3665)-ROW(Zeiterfassung!$D$6)+1)/(Zeiterfassung!$D$6:$D$3665&lt;&gt;""),3040),"")</f>
        <v/>
      </c>
    </row>
    <row r="3046" ht="20" customHeight="1">
      <c r="A3046" s="183">
        <f>IF($K3046="","",WEEKNUM(INDEX(Zeiterfassung!$K$6:$K$3665,$K3046),21))</f>
        <v/>
      </c>
      <c r="B3046" s="184">
        <f>IF($K3046="","",INDEX(Zeiterfassung!$K$6:$K$3665,$K3046))</f>
        <v/>
      </c>
      <c r="C3046" s="185">
        <f>IF($K3046="","",INDEX(Zeiterfassung!$K$6:$K$3665,$K3046))</f>
        <v/>
      </c>
      <c r="D3046" s="186">
        <f>IF($K3046="","",INDEX(Zeiterfassung!$D$6:$D$3665,$K3046))</f>
        <v/>
      </c>
      <c r="E3046" s="186">
        <f>IF($K3046="","",INDEX(Zeiterfassung!$E$6:$E$3665,$K3046))</f>
        <v/>
      </c>
      <c r="F3046" s="187">
        <f>IF($K3046="","",INDEX(Zeiterfassung!$F$6:$F$3665,$K3046))</f>
        <v/>
      </c>
      <c r="G3046" s="187">
        <f>IF($K3046="","",INDEX(Zeiterfassung!$G$6:$G$3665,$K3046))</f>
        <v/>
      </c>
      <c r="H3046" s="188">
        <f>IF($K3046="","",INDEX(Zeiterfassung!$H$6:$H$3665,$K3046))</f>
        <v/>
      </c>
      <c r="I3046" s="335">
        <f>IF(B3046=B3045,"",IF($K3046="","",INDEX(Zeiterfassung!$I$6:$I$3665,MATCH(INDEX(Zeiterfassung!$K$6:$K$3665,$K3046),Zeiterfassung!$K$6:$K$3665,0))))</f>
        <v/>
      </c>
      <c r="J3046" s="335">
        <f>IF(B3046=B3045,"",IF($K3046="","",INDEX(Zeiterfassung!$J$6:$J$3665,MATCH(INDEX(Zeiterfassung!$K$6:$K$3665,$K3046),Zeiterfassung!$K$6:$K$3665,0))))</f>
        <v/>
      </c>
      <c r="K3046">
        <f>IFERROR(AGGREGATE(15,6,(ROW(Zeiterfassung!$D$6:$D$3665)-ROW(Zeiterfassung!$D$6)+1)/(Zeiterfassung!$D$6:$D$3665&lt;&gt;""),3041),"")</f>
        <v/>
      </c>
    </row>
    <row r="3047" ht="20" customHeight="1">
      <c r="A3047" s="183">
        <f>IF($K3047="","",WEEKNUM(INDEX(Zeiterfassung!$K$6:$K$3665,$K3047),21))</f>
        <v/>
      </c>
      <c r="B3047" s="184">
        <f>IF($K3047="","",INDEX(Zeiterfassung!$K$6:$K$3665,$K3047))</f>
        <v/>
      </c>
      <c r="C3047" s="185">
        <f>IF($K3047="","",INDEX(Zeiterfassung!$K$6:$K$3665,$K3047))</f>
        <v/>
      </c>
      <c r="D3047" s="186">
        <f>IF($K3047="","",INDEX(Zeiterfassung!$D$6:$D$3665,$K3047))</f>
        <v/>
      </c>
      <c r="E3047" s="186">
        <f>IF($K3047="","",INDEX(Zeiterfassung!$E$6:$E$3665,$K3047))</f>
        <v/>
      </c>
      <c r="F3047" s="187">
        <f>IF($K3047="","",INDEX(Zeiterfassung!$F$6:$F$3665,$K3047))</f>
        <v/>
      </c>
      <c r="G3047" s="187">
        <f>IF($K3047="","",INDEX(Zeiterfassung!$G$6:$G$3665,$K3047))</f>
        <v/>
      </c>
      <c r="H3047" s="188">
        <f>IF($K3047="","",INDEX(Zeiterfassung!$H$6:$H$3665,$K3047))</f>
        <v/>
      </c>
      <c r="I3047" s="335">
        <f>IF(B3047=B3046,"",IF($K3047="","",INDEX(Zeiterfassung!$I$6:$I$3665,MATCH(INDEX(Zeiterfassung!$K$6:$K$3665,$K3047),Zeiterfassung!$K$6:$K$3665,0))))</f>
        <v/>
      </c>
      <c r="J3047" s="335">
        <f>IF(B3047=B3046,"",IF($K3047="","",INDEX(Zeiterfassung!$J$6:$J$3665,MATCH(INDEX(Zeiterfassung!$K$6:$K$3665,$K3047),Zeiterfassung!$K$6:$K$3665,0))))</f>
        <v/>
      </c>
      <c r="K3047">
        <f>IFERROR(AGGREGATE(15,6,(ROW(Zeiterfassung!$D$6:$D$3665)-ROW(Zeiterfassung!$D$6)+1)/(Zeiterfassung!$D$6:$D$3665&lt;&gt;""),3042),"")</f>
        <v/>
      </c>
    </row>
    <row r="3048" ht="20" customHeight="1">
      <c r="A3048" s="183">
        <f>IF($K3048="","",WEEKNUM(INDEX(Zeiterfassung!$K$6:$K$3665,$K3048),21))</f>
        <v/>
      </c>
      <c r="B3048" s="184">
        <f>IF($K3048="","",INDEX(Zeiterfassung!$K$6:$K$3665,$K3048))</f>
        <v/>
      </c>
      <c r="C3048" s="185">
        <f>IF($K3048="","",INDEX(Zeiterfassung!$K$6:$K$3665,$K3048))</f>
        <v/>
      </c>
      <c r="D3048" s="186">
        <f>IF($K3048="","",INDEX(Zeiterfassung!$D$6:$D$3665,$K3048))</f>
        <v/>
      </c>
      <c r="E3048" s="186">
        <f>IF($K3048="","",INDEX(Zeiterfassung!$E$6:$E$3665,$K3048))</f>
        <v/>
      </c>
      <c r="F3048" s="187">
        <f>IF($K3048="","",INDEX(Zeiterfassung!$F$6:$F$3665,$K3048))</f>
        <v/>
      </c>
      <c r="G3048" s="187">
        <f>IF($K3048="","",INDEX(Zeiterfassung!$G$6:$G$3665,$K3048))</f>
        <v/>
      </c>
      <c r="H3048" s="188">
        <f>IF($K3048="","",INDEX(Zeiterfassung!$H$6:$H$3665,$K3048))</f>
        <v/>
      </c>
      <c r="I3048" s="335">
        <f>IF(B3048=B3047,"",IF($K3048="","",INDEX(Zeiterfassung!$I$6:$I$3665,MATCH(INDEX(Zeiterfassung!$K$6:$K$3665,$K3048),Zeiterfassung!$K$6:$K$3665,0))))</f>
        <v/>
      </c>
      <c r="J3048" s="335">
        <f>IF(B3048=B3047,"",IF($K3048="","",INDEX(Zeiterfassung!$J$6:$J$3665,MATCH(INDEX(Zeiterfassung!$K$6:$K$3665,$K3048),Zeiterfassung!$K$6:$K$3665,0))))</f>
        <v/>
      </c>
      <c r="K3048">
        <f>IFERROR(AGGREGATE(15,6,(ROW(Zeiterfassung!$D$6:$D$3665)-ROW(Zeiterfassung!$D$6)+1)/(Zeiterfassung!$D$6:$D$3665&lt;&gt;""),3043),"")</f>
        <v/>
      </c>
    </row>
    <row r="3049" ht="20" customHeight="1">
      <c r="A3049" s="183">
        <f>IF($K3049="","",WEEKNUM(INDEX(Zeiterfassung!$K$6:$K$3665,$K3049),21))</f>
        <v/>
      </c>
      <c r="B3049" s="184">
        <f>IF($K3049="","",INDEX(Zeiterfassung!$K$6:$K$3665,$K3049))</f>
        <v/>
      </c>
      <c r="C3049" s="185">
        <f>IF($K3049="","",INDEX(Zeiterfassung!$K$6:$K$3665,$K3049))</f>
        <v/>
      </c>
      <c r="D3049" s="186">
        <f>IF($K3049="","",INDEX(Zeiterfassung!$D$6:$D$3665,$K3049))</f>
        <v/>
      </c>
      <c r="E3049" s="186">
        <f>IF($K3049="","",INDEX(Zeiterfassung!$E$6:$E$3665,$K3049))</f>
        <v/>
      </c>
      <c r="F3049" s="187">
        <f>IF($K3049="","",INDEX(Zeiterfassung!$F$6:$F$3665,$K3049))</f>
        <v/>
      </c>
      <c r="G3049" s="187">
        <f>IF($K3049="","",INDEX(Zeiterfassung!$G$6:$G$3665,$K3049))</f>
        <v/>
      </c>
      <c r="H3049" s="188">
        <f>IF($K3049="","",INDEX(Zeiterfassung!$H$6:$H$3665,$K3049))</f>
        <v/>
      </c>
      <c r="I3049" s="335">
        <f>IF(B3049=B3048,"",IF($K3049="","",INDEX(Zeiterfassung!$I$6:$I$3665,MATCH(INDEX(Zeiterfassung!$K$6:$K$3665,$K3049),Zeiterfassung!$K$6:$K$3665,0))))</f>
        <v/>
      </c>
      <c r="J3049" s="335">
        <f>IF(B3049=B3048,"",IF($K3049="","",INDEX(Zeiterfassung!$J$6:$J$3665,MATCH(INDEX(Zeiterfassung!$K$6:$K$3665,$K3049),Zeiterfassung!$K$6:$K$3665,0))))</f>
        <v/>
      </c>
      <c r="K3049">
        <f>IFERROR(AGGREGATE(15,6,(ROW(Zeiterfassung!$D$6:$D$3665)-ROW(Zeiterfassung!$D$6)+1)/(Zeiterfassung!$D$6:$D$3665&lt;&gt;""),3044),"")</f>
        <v/>
      </c>
    </row>
    <row r="3050" ht="20" customHeight="1">
      <c r="A3050" s="183">
        <f>IF($K3050="","",WEEKNUM(INDEX(Zeiterfassung!$K$6:$K$3665,$K3050),21))</f>
        <v/>
      </c>
      <c r="B3050" s="184">
        <f>IF($K3050="","",INDEX(Zeiterfassung!$K$6:$K$3665,$K3050))</f>
        <v/>
      </c>
      <c r="C3050" s="185">
        <f>IF($K3050="","",INDEX(Zeiterfassung!$K$6:$K$3665,$K3050))</f>
        <v/>
      </c>
      <c r="D3050" s="186">
        <f>IF($K3050="","",INDEX(Zeiterfassung!$D$6:$D$3665,$K3050))</f>
        <v/>
      </c>
      <c r="E3050" s="186">
        <f>IF($K3050="","",INDEX(Zeiterfassung!$E$6:$E$3665,$K3050))</f>
        <v/>
      </c>
      <c r="F3050" s="187">
        <f>IF($K3050="","",INDEX(Zeiterfassung!$F$6:$F$3665,$K3050))</f>
        <v/>
      </c>
      <c r="G3050" s="187">
        <f>IF($K3050="","",INDEX(Zeiterfassung!$G$6:$G$3665,$K3050))</f>
        <v/>
      </c>
      <c r="H3050" s="188">
        <f>IF($K3050="","",INDEX(Zeiterfassung!$H$6:$H$3665,$K3050))</f>
        <v/>
      </c>
      <c r="I3050" s="335">
        <f>IF(B3050=B3049,"",IF($K3050="","",INDEX(Zeiterfassung!$I$6:$I$3665,MATCH(INDEX(Zeiterfassung!$K$6:$K$3665,$K3050),Zeiterfassung!$K$6:$K$3665,0))))</f>
        <v/>
      </c>
      <c r="J3050" s="335">
        <f>IF(B3050=B3049,"",IF($K3050="","",INDEX(Zeiterfassung!$J$6:$J$3665,MATCH(INDEX(Zeiterfassung!$K$6:$K$3665,$K3050),Zeiterfassung!$K$6:$K$3665,0))))</f>
        <v/>
      </c>
      <c r="K3050">
        <f>IFERROR(AGGREGATE(15,6,(ROW(Zeiterfassung!$D$6:$D$3665)-ROW(Zeiterfassung!$D$6)+1)/(Zeiterfassung!$D$6:$D$3665&lt;&gt;""),3045),"")</f>
        <v/>
      </c>
    </row>
    <row r="3051" ht="20" customHeight="1">
      <c r="A3051" s="183">
        <f>IF($K3051="","",WEEKNUM(INDEX(Zeiterfassung!$K$6:$K$3665,$K3051),21))</f>
        <v/>
      </c>
      <c r="B3051" s="184">
        <f>IF($K3051="","",INDEX(Zeiterfassung!$K$6:$K$3665,$K3051))</f>
        <v/>
      </c>
      <c r="C3051" s="185">
        <f>IF($K3051="","",INDEX(Zeiterfassung!$K$6:$K$3665,$K3051))</f>
        <v/>
      </c>
      <c r="D3051" s="186">
        <f>IF($K3051="","",INDEX(Zeiterfassung!$D$6:$D$3665,$K3051))</f>
        <v/>
      </c>
      <c r="E3051" s="186">
        <f>IF($K3051="","",INDEX(Zeiterfassung!$E$6:$E$3665,$K3051))</f>
        <v/>
      </c>
      <c r="F3051" s="187">
        <f>IF($K3051="","",INDEX(Zeiterfassung!$F$6:$F$3665,$K3051))</f>
        <v/>
      </c>
      <c r="G3051" s="187">
        <f>IF($K3051="","",INDEX(Zeiterfassung!$G$6:$G$3665,$K3051))</f>
        <v/>
      </c>
      <c r="H3051" s="188">
        <f>IF($K3051="","",INDEX(Zeiterfassung!$H$6:$H$3665,$K3051))</f>
        <v/>
      </c>
      <c r="I3051" s="335">
        <f>IF(B3051=B3050,"",IF($K3051="","",INDEX(Zeiterfassung!$I$6:$I$3665,MATCH(INDEX(Zeiterfassung!$K$6:$K$3665,$K3051),Zeiterfassung!$K$6:$K$3665,0))))</f>
        <v/>
      </c>
      <c r="J3051" s="335">
        <f>IF(B3051=B3050,"",IF($K3051="","",INDEX(Zeiterfassung!$J$6:$J$3665,MATCH(INDEX(Zeiterfassung!$K$6:$K$3665,$K3051),Zeiterfassung!$K$6:$K$3665,0))))</f>
        <v/>
      </c>
      <c r="K3051">
        <f>IFERROR(AGGREGATE(15,6,(ROW(Zeiterfassung!$D$6:$D$3665)-ROW(Zeiterfassung!$D$6)+1)/(Zeiterfassung!$D$6:$D$3665&lt;&gt;""),3046),"")</f>
        <v/>
      </c>
    </row>
    <row r="3052" ht="20" customHeight="1">
      <c r="A3052" s="183">
        <f>IF($K3052="","",WEEKNUM(INDEX(Zeiterfassung!$K$6:$K$3665,$K3052),21))</f>
        <v/>
      </c>
      <c r="B3052" s="184">
        <f>IF($K3052="","",INDEX(Zeiterfassung!$K$6:$K$3665,$K3052))</f>
        <v/>
      </c>
      <c r="C3052" s="185">
        <f>IF($K3052="","",INDEX(Zeiterfassung!$K$6:$K$3665,$K3052))</f>
        <v/>
      </c>
      <c r="D3052" s="186">
        <f>IF($K3052="","",INDEX(Zeiterfassung!$D$6:$D$3665,$K3052))</f>
        <v/>
      </c>
      <c r="E3052" s="186">
        <f>IF($K3052="","",INDEX(Zeiterfassung!$E$6:$E$3665,$K3052))</f>
        <v/>
      </c>
      <c r="F3052" s="187">
        <f>IF($K3052="","",INDEX(Zeiterfassung!$F$6:$F$3665,$K3052))</f>
        <v/>
      </c>
      <c r="G3052" s="187">
        <f>IF($K3052="","",INDEX(Zeiterfassung!$G$6:$G$3665,$K3052))</f>
        <v/>
      </c>
      <c r="H3052" s="188">
        <f>IF($K3052="","",INDEX(Zeiterfassung!$H$6:$H$3665,$K3052))</f>
        <v/>
      </c>
      <c r="I3052" s="335">
        <f>IF(B3052=B3051,"",IF($K3052="","",INDEX(Zeiterfassung!$I$6:$I$3665,MATCH(INDEX(Zeiterfassung!$K$6:$K$3665,$K3052),Zeiterfassung!$K$6:$K$3665,0))))</f>
        <v/>
      </c>
      <c r="J3052" s="335">
        <f>IF(B3052=B3051,"",IF($K3052="","",INDEX(Zeiterfassung!$J$6:$J$3665,MATCH(INDEX(Zeiterfassung!$K$6:$K$3665,$K3052),Zeiterfassung!$K$6:$K$3665,0))))</f>
        <v/>
      </c>
      <c r="K3052">
        <f>IFERROR(AGGREGATE(15,6,(ROW(Zeiterfassung!$D$6:$D$3665)-ROW(Zeiterfassung!$D$6)+1)/(Zeiterfassung!$D$6:$D$3665&lt;&gt;""),3047),"")</f>
        <v/>
      </c>
    </row>
    <row r="3053" ht="20" customHeight="1">
      <c r="A3053" s="183">
        <f>IF($K3053="","",WEEKNUM(INDEX(Zeiterfassung!$K$6:$K$3665,$K3053),21))</f>
        <v/>
      </c>
      <c r="B3053" s="184">
        <f>IF($K3053="","",INDEX(Zeiterfassung!$K$6:$K$3665,$K3053))</f>
        <v/>
      </c>
      <c r="C3053" s="185">
        <f>IF($K3053="","",INDEX(Zeiterfassung!$K$6:$K$3665,$K3053))</f>
        <v/>
      </c>
      <c r="D3053" s="186">
        <f>IF($K3053="","",INDEX(Zeiterfassung!$D$6:$D$3665,$K3053))</f>
        <v/>
      </c>
      <c r="E3053" s="186">
        <f>IF($K3053="","",INDEX(Zeiterfassung!$E$6:$E$3665,$K3053))</f>
        <v/>
      </c>
      <c r="F3053" s="187">
        <f>IF($K3053="","",INDEX(Zeiterfassung!$F$6:$F$3665,$K3053))</f>
        <v/>
      </c>
      <c r="G3053" s="187">
        <f>IF($K3053="","",INDEX(Zeiterfassung!$G$6:$G$3665,$K3053))</f>
        <v/>
      </c>
      <c r="H3053" s="188">
        <f>IF($K3053="","",INDEX(Zeiterfassung!$H$6:$H$3665,$K3053))</f>
        <v/>
      </c>
      <c r="I3053" s="335">
        <f>IF(B3053=B3052,"",IF($K3053="","",INDEX(Zeiterfassung!$I$6:$I$3665,MATCH(INDEX(Zeiterfassung!$K$6:$K$3665,$K3053),Zeiterfassung!$K$6:$K$3665,0))))</f>
        <v/>
      </c>
      <c r="J3053" s="335">
        <f>IF(B3053=B3052,"",IF($K3053="","",INDEX(Zeiterfassung!$J$6:$J$3665,MATCH(INDEX(Zeiterfassung!$K$6:$K$3665,$K3053),Zeiterfassung!$K$6:$K$3665,0))))</f>
        <v/>
      </c>
      <c r="K3053">
        <f>IFERROR(AGGREGATE(15,6,(ROW(Zeiterfassung!$D$6:$D$3665)-ROW(Zeiterfassung!$D$6)+1)/(Zeiterfassung!$D$6:$D$3665&lt;&gt;""),3048),"")</f>
        <v/>
      </c>
    </row>
    <row r="3054" ht="20" customHeight="1">
      <c r="A3054" s="183">
        <f>IF($K3054="","",WEEKNUM(INDEX(Zeiterfassung!$K$6:$K$3665,$K3054),21))</f>
        <v/>
      </c>
      <c r="B3054" s="184">
        <f>IF($K3054="","",INDEX(Zeiterfassung!$K$6:$K$3665,$K3054))</f>
        <v/>
      </c>
      <c r="C3054" s="185">
        <f>IF($K3054="","",INDEX(Zeiterfassung!$K$6:$K$3665,$K3054))</f>
        <v/>
      </c>
      <c r="D3054" s="186">
        <f>IF($K3054="","",INDEX(Zeiterfassung!$D$6:$D$3665,$K3054))</f>
        <v/>
      </c>
      <c r="E3054" s="186">
        <f>IF($K3054="","",INDEX(Zeiterfassung!$E$6:$E$3665,$K3054))</f>
        <v/>
      </c>
      <c r="F3054" s="187">
        <f>IF($K3054="","",INDEX(Zeiterfassung!$F$6:$F$3665,$K3054))</f>
        <v/>
      </c>
      <c r="G3054" s="187">
        <f>IF($K3054="","",INDEX(Zeiterfassung!$G$6:$G$3665,$K3054))</f>
        <v/>
      </c>
      <c r="H3054" s="188">
        <f>IF($K3054="","",INDEX(Zeiterfassung!$H$6:$H$3665,$K3054))</f>
        <v/>
      </c>
      <c r="I3054" s="335">
        <f>IF(B3054=B3053,"",IF($K3054="","",INDEX(Zeiterfassung!$I$6:$I$3665,MATCH(INDEX(Zeiterfassung!$K$6:$K$3665,$K3054),Zeiterfassung!$K$6:$K$3665,0))))</f>
        <v/>
      </c>
      <c r="J3054" s="335">
        <f>IF(B3054=B3053,"",IF($K3054="","",INDEX(Zeiterfassung!$J$6:$J$3665,MATCH(INDEX(Zeiterfassung!$K$6:$K$3665,$K3054),Zeiterfassung!$K$6:$K$3665,0))))</f>
        <v/>
      </c>
      <c r="K3054">
        <f>IFERROR(AGGREGATE(15,6,(ROW(Zeiterfassung!$D$6:$D$3665)-ROW(Zeiterfassung!$D$6)+1)/(Zeiterfassung!$D$6:$D$3665&lt;&gt;""),3049),"")</f>
        <v/>
      </c>
    </row>
    <row r="3055" ht="20" customHeight="1">
      <c r="A3055" s="183">
        <f>IF($K3055="","",WEEKNUM(INDEX(Zeiterfassung!$K$6:$K$3665,$K3055),21))</f>
        <v/>
      </c>
      <c r="B3055" s="184">
        <f>IF($K3055="","",INDEX(Zeiterfassung!$K$6:$K$3665,$K3055))</f>
        <v/>
      </c>
      <c r="C3055" s="185">
        <f>IF($K3055="","",INDEX(Zeiterfassung!$K$6:$K$3665,$K3055))</f>
        <v/>
      </c>
      <c r="D3055" s="186">
        <f>IF($K3055="","",INDEX(Zeiterfassung!$D$6:$D$3665,$K3055))</f>
        <v/>
      </c>
      <c r="E3055" s="186">
        <f>IF($K3055="","",INDEX(Zeiterfassung!$E$6:$E$3665,$K3055))</f>
        <v/>
      </c>
      <c r="F3055" s="187">
        <f>IF($K3055="","",INDEX(Zeiterfassung!$F$6:$F$3665,$K3055))</f>
        <v/>
      </c>
      <c r="G3055" s="187">
        <f>IF($K3055="","",INDEX(Zeiterfassung!$G$6:$G$3665,$K3055))</f>
        <v/>
      </c>
      <c r="H3055" s="188">
        <f>IF($K3055="","",INDEX(Zeiterfassung!$H$6:$H$3665,$K3055))</f>
        <v/>
      </c>
      <c r="I3055" s="335">
        <f>IF(B3055=B3054,"",IF($K3055="","",INDEX(Zeiterfassung!$I$6:$I$3665,MATCH(INDEX(Zeiterfassung!$K$6:$K$3665,$K3055),Zeiterfassung!$K$6:$K$3665,0))))</f>
        <v/>
      </c>
      <c r="J3055" s="335">
        <f>IF(B3055=B3054,"",IF($K3055="","",INDEX(Zeiterfassung!$J$6:$J$3665,MATCH(INDEX(Zeiterfassung!$K$6:$K$3665,$K3055),Zeiterfassung!$K$6:$K$3665,0))))</f>
        <v/>
      </c>
      <c r="K3055">
        <f>IFERROR(AGGREGATE(15,6,(ROW(Zeiterfassung!$D$6:$D$3665)-ROW(Zeiterfassung!$D$6)+1)/(Zeiterfassung!$D$6:$D$3665&lt;&gt;""),3050),"")</f>
        <v/>
      </c>
    </row>
    <row r="3056" ht="20" customHeight="1">
      <c r="A3056" s="183">
        <f>IF($K3056="","",WEEKNUM(INDEX(Zeiterfassung!$K$6:$K$3665,$K3056),21))</f>
        <v/>
      </c>
      <c r="B3056" s="184">
        <f>IF($K3056="","",INDEX(Zeiterfassung!$K$6:$K$3665,$K3056))</f>
        <v/>
      </c>
      <c r="C3056" s="185">
        <f>IF($K3056="","",INDEX(Zeiterfassung!$K$6:$K$3665,$K3056))</f>
        <v/>
      </c>
      <c r="D3056" s="186">
        <f>IF($K3056="","",INDEX(Zeiterfassung!$D$6:$D$3665,$K3056))</f>
        <v/>
      </c>
      <c r="E3056" s="186">
        <f>IF($K3056="","",INDEX(Zeiterfassung!$E$6:$E$3665,$K3056))</f>
        <v/>
      </c>
      <c r="F3056" s="187">
        <f>IF($K3056="","",INDEX(Zeiterfassung!$F$6:$F$3665,$K3056))</f>
        <v/>
      </c>
      <c r="G3056" s="187">
        <f>IF($K3056="","",INDEX(Zeiterfassung!$G$6:$G$3665,$K3056))</f>
        <v/>
      </c>
      <c r="H3056" s="188">
        <f>IF($K3056="","",INDEX(Zeiterfassung!$H$6:$H$3665,$K3056))</f>
        <v/>
      </c>
      <c r="I3056" s="335">
        <f>IF(B3056=B3055,"",IF($K3056="","",INDEX(Zeiterfassung!$I$6:$I$3665,MATCH(INDEX(Zeiterfassung!$K$6:$K$3665,$K3056),Zeiterfassung!$K$6:$K$3665,0))))</f>
        <v/>
      </c>
      <c r="J3056" s="335">
        <f>IF(B3056=B3055,"",IF($K3056="","",INDEX(Zeiterfassung!$J$6:$J$3665,MATCH(INDEX(Zeiterfassung!$K$6:$K$3665,$K3056),Zeiterfassung!$K$6:$K$3665,0))))</f>
        <v/>
      </c>
      <c r="K3056">
        <f>IFERROR(AGGREGATE(15,6,(ROW(Zeiterfassung!$D$6:$D$3665)-ROW(Zeiterfassung!$D$6)+1)/(Zeiterfassung!$D$6:$D$3665&lt;&gt;""),3051),"")</f>
        <v/>
      </c>
    </row>
    <row r="3057" ht="20" customHeight="1">
      <c r="A3057" s="183">
        <f>IF($K3057="","",WEEKNUM(INDEX(Zeiterfassung!$K$6:$K$3665,$K3057),21))</f>
        <v/>
      </c>
      <c r="B3057" s="184">
        <f>IF($K3057="","",INDEX(Zeiterfassung!$K$6:$K$3665,$K3057))</f>
        <v/>
      </c>
      <c r="C3057" s="185">
        <f>IF($K3057="","",INDEX(Zeiterfassung!$K$6:$K$3665,$K3057))</f>
        <v/>
      </c>
      <c r="D3057" s="186">
        <f>IF($K3057="","",INDEX(Zeiterfassung!$D$6:$D$3665,$K3057))</f>
        <v/>
      </c>
      <c r="E3057" s="186">
        <f>IF($K3057="","",INDEX(Zeiterfassung!$E$6:$E$3665,$K3057))</f>
        <v/>
      </c>
      <c r="F3057" s="187">
        <f>IF($K3057="","",INDEX(Zeiterfassung!$F$6:$F$3665,$K3057))</f>
        <v/>
      </c>
      <c r="G3057" s="187">
        <f>IF($K3057="","",INDEX(Zeiterfassung!$G$6:$G$3665,$K3057))</f>
        <v/>
      </c>
      <c r="H3057" s="188">
        <f>IF($K3057="","",INDEX(Zeiterfassung!$H$6:$H$3665,$K3057))</f>
        <v/>
      </c>
      <c r="I3057" s="335">
        <f>IF(B3057=B3056,"",IF($K3057="","",INDEX(Zeiterfassung!$I$6:$I$3665,MATCH(INDEX(Zeiterfassung!$K$6:$K$3665,$K3057),Zeiterfassung!$K$6:$K$3665,0))))</f>
        <v/>
      </c>
      <c r="J3057" s="335">
        <f>IF(B3057=B3056,"",IF($K3057="","",INDEX(Zeiterfassung!$J$6:$J$3665,MATCH(INDEX(Zeiterfassung!$K$6:$K$3665,$K3057),Zeiterfassung!$K$6:$K$3665,0))))</f>
        <v/>
      </c>
      <c r="K3057">
        <f>IFERROR(AGGREGATE(15,6,(ROW(Zeiterfassung!$D$6:$D$3665)-ROW(Zeiterfassung!$D$6)+1)/(Zeiterfassung!$D$6:$D$3665&lt;&gt;""),3052),"")</f>
        <v/>
      </c>
    </row>
    <row r="3058" ht="20" customHeight="1">
      <c r="A3058" s="183">
        <f>IF($K3058="","",WEEKNUM(INDEX(Zeiterfassung!$K$6:$K$3665,$K3058),21))</f>
        <v/>
      </c>
      <c r="B3058" s="184">
        <f>IF($K3058="","",INDEX(Zeiterfassung!$K$6:$K$3665,$K3058))</f>
        <v/>
      </c>
      <c r="C3058" s="185">
        <f>IF($K3058="","",INDEX(Zeiterfassung!$K$6:$K$3665,$K3058))</f>
        <v/>
      </c>
      <c r="D3058" s="186">
        <f>IF($K3058="","",INDEX(Zeiterfassung!$D$6:$D$3665,$K3058))</f>
        <v/>
      </c>
      <c r="E3058" s="186">
        <f>IF($K3058="","",INDEX(Zeiterfassung!$E$6:$E$3665,$K3058))</f>
        <v/>
      </c>
      <c r="F3058" s="187">
        <f>IF($K3058="","",INDEX(Zeiterfassung!$F$6:$F$3665,$K3058))</f>
        <v/>
      </c>
      <c r="G3058" s="187">
        <f>IF($K3058="","",INDEX(Zeiterfassung!$G$6:$G$3665,$K3058))</f>
        <v/>
      </c>
      <c r="H3058" s="188">
        <f>IF($K3058="","",INDEX(Zeiterfassung!$H$6:$H$3665,$K3058))</f>
        <v/>
      </c>
      <c r="I3058" s="335">
        <f>IF(B3058=B3057,"",IF($K3058="","",INDEX(Zeiterfassung!$I$6:$I$3665,MATCH(INDEX(Zeiterfassung!$K$6:$K$3665,$K3058),Zeiterfassung!$K$6:$K$3665,0))))</f>
        <v/>
      </c>
      <c r="J3058" s="335">
        <f>IF(B3058=B3057,"",IF($K3058="","",INDEX(Zeiterfassung!$J$6:$J$3665,MATCH(INDEX(Zeiterfassung!$K$6:$K$3665,$K3058),Zeiterfassung!$K$6:$K$3665,0))))</f>
        <v/>
      </c>
      <c r="K3058">
        <f>IFERROR(AGGREGATE(15,6,(ROW(Zeiterfassung!$D$6:$D$3665)-ROW(Zeiterfassung!$D$6)+1)/(Zeiterfassung!$D$6:$D$3665&lt;&gt;""),3053),"")</f>
        <v/>
      </c>
    </row>
    <row r="3059" ht="20" customHeight="1">
      <c r="A3059" s="183">
        <f>IF($K3059="","",WEEKNUM(INDEX(Zeiterfassung!$K$6:$K$3665,$K3059),21))</f>
        <v/>
      </c>
      <c r="B3059" s="184">
        <f>IF($K3059="","",INDEX(Zeiterfassung!$K$6:$K$3665,$K3059))</f>
        <v/>
      </c>
      <c r="C3059" s="185">
        <f>IF($K3059="","",INDEX(Zeiterfassung!$K$6:$K$3665,$K3059))</f>
        <v/>
      </c>
      <c r="D3059" s="186">
        <f>IF($K3059="","",INDEX(Zeiterfassung!$D$6:$D$3665,$K3059))</f>
        <v/>
      </c>
      <c r="E3059" s="186">
        <f>IF($K3059="","",INDEX(Zeiterfassung!$E$6:$E$3665,$K3059))</f>
        <v/>
      </c>
      <c r="F3059" s="187">
        <f>IF($K3059="","",INDEX(Zeiterfassung!$F$6:$F$3665,$K3059))</f>
        <v/>
      </c>
      <c r="G3059" s="187">
        <f>IF($K3059="","",INDEX(Zeiterfassung!$G$6:$G$3665,$K3059))</f>
        <v/>
      </c>
      <c r="H3059" s="188">
        <f>IF($K3059="","",INDEX(Zeiterfassung!$H$6:$H$3665,$K3059))</f>
        <v/>
      </c>
      <c r="I3059" s="335">
        <f>IF(B3059=B3058,"",IF($K3059="","",INDEX(Zeiterfassung!$I$6:$I$3665,MATCH(INDEX(Zeiterfassung!$K$6:$K$3665,$K3059),Zeiterfassung!$K$6:$K$3665,0))))</f>
        <v/>
      </c>
      <c r="J3059" s="335">
        <f>IF(B3059=B3058,"",IF($K3059="","",INDEX(Zeiterfassung!$J$6:$J$3665,MATCH(INDEX(Zeiterfassung!$K$6:$K$3665,$K3059),Zeiterfassung!$K$6:$K$3665,0))))</f>
        <v/>
      </c>
      <c r="K3059">
        <f>IFERROR(AGGREGATE(15,6,(ROW(Zeiterfassung!$D$6:$D$3665)-ROW(Zeiterfassung!$D$6)+1)/(Zeiterfassung!$D$6:$D$3665&lt;&gt;""),3054),"")</f>
        <v/>
      </c>
    </row>
    <row r="3060" ht="20" customHeight="1">
      <c r="A3060" s="183">
        <f>IF($K3060="","",WEEKNUM(INDEX(Zeiterfassung!$K$6:$K$3665,$K3060),21))</f>
        <v/>
      </c>
      <c r="B3060" s="184">
        <f>IF($K3060="","",INDEX(Zeiterfassung!$K$6:$K$3665,$K3060))</f>
        <v/>
      </c>
      <c r="C3060" s="185">
        <f>IF($K3060="","",INDEX(Zeiterfassung!$K$6:$K$3665,$K3060))</f>
        <v/>
      </c>
      <c r="D3060" s="186">
        <f>IF($K3060="","",INDEX(Zeiterfassung!$D$6:$D$3665,$K3060))</f>
        <v/>
      </c>
      <c r="E3060" s="186">
        <f>IF($K3060="","",INDEX(Zeiterfassung!$E$6:$E$3665,$K3060))</f>
        <v/>
      </c>
      <c r="F3060" s="187">
        <f>IF($K3060="","",INDEX(Zeiterfassung!$F$6:$F$3665,$K3060))</f>
        <v/>
      </c>
      <c r="G3060" s="187">
        <f>IF($K3060="","",INDEX(Zeiterfassung!$G$6:$G$3665,$K3060))</f>
        <v/>
      </c>
      <c r="H3060" s="188">
        <f>IF($K3060="","",INDEX(Zeiterfassung!$H$6:$H$3665,$K3060))</f>
        <v/>
      </c>
      <c r="I3060" s="335">
        <f>IF(B3060=B3059,"",IF($K3060="","",INDEX(Zeiterfassung!$I$6:$I$3665,MATCH(INDEX(Zeiterfassung!$K$6:$K$3665,$K3060),Zeiterfassung!$K$6:$K$3665,0))))</f>
        <v/>
      </c>
      <c r="J3060" s="335">
        <f>IF(B3060=B3059,"",IF($K3060="","",INDEX(Zeiterfassung!$J$6:$J$3665,MATCH(INDEX(Zeiterfassung!$K$6:$K$3665,$K3060),Zeiterfassung!$K$6:$K$3665,0))))</f>
        <v/>
      </c>
      <c r="K3060">
        <f>IFERROR(AGGREGATE(15,6,(ROW(Zeiterfassung!$D$6:$D$3665)-ROW(Zeiterfassung!$D$6)+1)/(Zeiterfassung!$D$6:$D$3665&lt;&gt;""),3055),"")</f>
        <v/>
      </c>
    </row>
    <row r="3061" ht="20" customHeight="1">
      <c r="A3061" s="183">
        <f>IF($K3061="","",WEEKNUM(INDEX(Zeiterfassung!$K$6:$K$3665,$K3061),21))</f>
        <v/>
      </c>
      <c r="B3061" s="184">
        <f>IF($K3061="","",INDEX(Zeiterfassung!$K$6:$K$3665,$K3061))</f>
        <v/>
      </c>
      <c r="C3061" s="185">
        <f>IF($K3061="","",INDEX(Zeiterfassung!$K$6:$K$3665,$K3061))</f>
        <v/>
      </c>
      <c r="D3061" s="186">
        <f>IF($K3061="","",INDEX(Zeiterfassung!$D$6:$D$3665,$K3061))</f>
        <v/>
      </c>
      <c r="E3061" s="186">
        <f>IF($K3061="","",INDEX(Zeiterfassung!$E$6:$E$3665,$K3061))</f>
        <v/>
      </c>
      <c r="F3061" s="187">
        <f>IF($K3061="","",INDEX(Zeiterfassung!$F$6:$F$3665,$K3061))</f>
        <v/>
      </c>
      <c r="G3061" s="187">
        <f>IF($K3061="","",INDEX(Zeiterfassung!$G$6:$G$3665,$K3061))</f>
        <v/>
      </c>
      <c r="H3061" s="188">
        <f>IF($K3061="","",INDEX(Zeiterfassung!$H$6:$H$3665,$K3061))</f>
        <v/>
      </c>
      <c r="I3061" s="335">
        <f>IF(B3061=B3060,"",IF($K3061="","",INDEX(Zeiterfassung!$I$6:$I$3665,MATCH(INDEX(Zeiterfassung!$K$6:$K$3665,$K3061),Zeiterfassung!$K$6:$K$3665,0))))</f>
        <v/>
      </c>
      <c r="J3061" s="335">
        <f>IF(B3061=B3060,"",IF($K3061="","",INDEX(Zeiterfassung!$J$6:$J$3665,MATCH(INDEX(Zeiterfassung!$K$6:$K$3665,$K3061),Zeiterfassung!$K$6:$K$3665,0))))</f>
        <v/>
      </c>
      <c r="K3061">
        <f>IFERROR(AGGREGATE(15,6,(ROW(Zeiterfassung!$D$6:$D$3665)-ROW(Zeiterfassung!$D$6)+1)/(Zeiterfassung!$D$6:$D$3665&lt;&gt;""),3056),"")</f>
        <v/>
      </c>
    </row>
    <row r="3062" ht="20" customHeight="1">
      <c r="A3062" s="183">
        <f>IF($K3062="","",WEEKNUM(INDEX(Zeiterfassung!$K$6:$K$3665,$K3062),21))</f>
        <v/>
      </c>
      <c r="B3062" s="184">
        <f>IF($K3062="","",INDEX(Zeiterfassung!$K$6:$K$3665,$K3062))</f>
        <v/>
      </c>
      <c r="C3062" s="185">
        <f>IF($K3062="","",INDEX(Zeiterfassung!$K$6:$K$3665,$K3062))</f>
        <v/>
      </c>
      <c r="D3062" s="186">
        <f>IF($K3062="","",INDEX(Zeiterfassung!$D$6:$D$3665,$K3062))</f>
        <v/>
      </c>
      <c r="E3062" s="186">
        <f>IF($K3062="","",INDEX(Zeiterfassung!$E$6:$E$3665,$K3062))</f>
        <v/>
      </c>
      <c r="F3062" s="187">
        <f>IF($K3062="","",INDEX(Zeiterfassung!$F$6:$F$3665,$K3062))</f>
        <v/>
      </c>
      <c r="G3062" s="187">
        <f>IF($K3062="","",INDEX(Zeiterfassung!$G$6:$G$3665,$K3062))</f>
        <v/>
      </c>
      <c r="H3062" s="188">
        <f>IF($K3062="","",INDEX(Zeiterfassung!$H$6:$H$3665,$K3062))</f>
        <v/>
      </c>
      <c r="I3062" s="335">
        <f>IF(B3062=B3061,"",IF($K3062="","",INDEX(Zeiterfassung!$I$6:$I$3665,MATCH(INDEX(Zeiterfassung!$K$6:$K$3665,$K3062),Zeiterfassung!$K$6:$K$3665,0))))</f>
        <v/>
      </c>
      <c r="J3062" s="335">
        <f>IF(B3062=B3061,"",IF($K3062="","",INDEX(Zeiterfassung!$J$6:$J$3665,MATCH(INDEX(Zeiterfassung!$K$6:$K$3665,$K3062),Zeiterfassung!$K$6:$K$3665,0))))</f>
        <v/>
      </c>
      <c r="K3062">
        <f>IFERROR(AGGREGATE(15,6,(ROW(Zeiterfassung!$D$6:$D$3665)-ROW(Zeiterfassung!$D$6)+1)/(Zeiterfassung!$D$6:$D$3665&lt;&gt;""),3057),"")</f>
        <v/>
      </c>
    </row>
    <row r="3063" ht="20" customHeight="1">
      <c r="A3063" s="183">
        <f>IF($K3063="","",WEEKNUM(INDEX(Zeiterfassung!$K$6:$K$3665,$K3063),21))</f>
        <v/>
      </c>
      <c r="B3063" s="184">
        <f>IF($K3063="","",INDEX(Zeiterfassung!$K$6:$K$3665,$K3063))</f>
        <v/>
      </c>
      <c r="C3063" s="185">
        <f>IF($K3063="","",INDEX(Zeiterfassung!$K$6:$K$3665,$K3063))</f>
        <v/>
      </c>
      <c r="D3063" s="186">
        <f>IF($K3063="","",INDEX(Zeiterfassung!$D$6:$D$3665,$K3063))</f>
        <v/>
      </c>
      <c r="E3063" s="186">
        <f>IF($K3063="","",INDEX(Zeiterfassung!$E$6:$E$3665,$K3063))</f>
        <v/>
      </c>
      <c r="F3063" s="187">
        <f>IF($K3063="","",INDEX(Zeiterfassung!$F$6:$F$3665,$K3063))</f>
        <v/>
      </c>
      <c r="G3063" s="187">
        <f>IF($K3063="","",INDEX(Zeiterfassung!$G$6:$G$3665,$K3063))</f>
        <v/>
      </c>
      <c r="H3063" s="188">
        <f>IF($K3063="","",INDEX(Zeiterfassung!$H$6:$H$3665,$K3063))</f>
        <v/>
      </c>
      <c r="I3063" s="335">
        <f>IF(B3063=B3062,"",IF($K3063="","",INDEX(Zeiterfassung!$I$6:$I$3665,MATCH(INDEX(Zeiterfassung!$K$6:$K$3665,$K3063),Zeiterfassung!$K$6:$K$3665,0))))</f>
        <v/>
      </c>
      <c r="J3063" s="335">
        <f>IF(B3063=B3062,"",IF($K3063="","",INDEX(Zeiterfassung!$J$6:$J$3665,MATCH(INDEX(Zeiterfassung!$K$6:$K$3665,$K3063),Zeiterfassung!$K$6:$K$3665,0))))</f>
        <v/>
      </c>
      <c r="K3063">
        <f>IFERROR(AGGREGATE(15,6,(ROW(Zeiterfassung!$D$6:$D$3665)-ROW(Zeiterfassung!$D$6)+1)/(Zeiterfassung!$D$6:$D$3665&lt;&gt;""),3058),"")</f>
        <v/>
      </c>
    </row>
    <row r="3064" ht="20" customHeight="1">
      <c r="A3064" s="183">
        <f>IF($K3064="","",WEEKNUM(INDEX(Zeiterfassung!$K$6:$K$3665,$K3064),21))</f>
        <v/>
      </c>
      <c r="B3064" s="184">
        <f>IF($K3064="","",INDEX(Zeiterfassung!$K$6:$K$3665,$K3064))</f>
        <v/>
      </c>
      <c r="C3064" s="185">
        <f>IF($K3064="","",INDEX(Zeiterfassung!$K$6:$K$3665,$K3064))</f>
        <v/>
      </c>
      <c r="D3064" s="186">
        <f>IF($K3064="","",INDEX(Zeiterfassung!$D$6:$D$3665,$K3064))</f>
        <v/>
      </c>
      <c r="E3064" s="186">
        <f>IF($K3064="","",INDEX(Zeiterfassung!$E$6:$E$3665,$K3064))</f>
        <v/>
      </c>
      <c r="F3064" s="187">
        <f>IF($K3064="","",INDEX(Zeiterfassung!$F$6:$F$3665,$K3064))</f>
        <v/>
      </c>
      <c r="G3064" s="187">
        <f>IF($K3064="","",INDEX(Zeiterfassung!$G$6:$G$3665,$K3064))</f>
        <v/>
      </c>
      <c r="H3064" s="188">
        <f>IF($K3064="","",INDEX(Zeiterfassung!$H$6:$H$3665,$K3064))</f>
        <v/>
      </c>
      <c r="I3064" s="335">
        <f>IF(B3064=B3063,"",IF($K3064="","",INDEX(Zeiterfassung!$I$6:$I$3665,MATCH(INDEX(Zeiterfassung!$K$6:$K$3665,$K3064),Zeiterfassung!$K$6:$K$3665,0))))</f>
        <v/>
      </c>
      <c r="J3064" s="335">
        <f>IF(B3064=B3063,"",IF($K3064="","",INDEX(Zeiterfassung!$J$6:$J$3665,MATCH(INDEX(Zeiterfassung!$K$6:$K$3665,$K3064),Zeiterfassung!$K$6:$K$3665,0))))</f>
        <v/>
      </c>
      <c r="K3064">
        <f>IFERROR(AGGREGATE(15,6,(ROW(Zeiterfassung!$D$6:$D$3665)-ROW(Zeiterfassung!$D$6)+1)/(Zeiterfassung!$D$6:$D$3665&lt;&gt;""),3059),"")</f>
        <v/>
      </c>
    </row>
    <row r="3065" ht="20" customHeight="1">
      <c r="A3065" s="183">
        <f>IF($K3065="","",WEEKNUM(INDEX(Zeiterfassung!$K$6:$K$3665,$K3065),21))</f>
        <v/>
      </c>
      <c r="B3065" s="184">
        <f>IF($K3065="","",INDEX(Zeiterfassung!$K$6:$K$3665,$K3065))</f>
        <v/>
      </c>
      <c r="C3065" s="185">
        <f>IF($K3065="","",INDEX(Zeiterfassung!$K$6:$K$3665,$K3065))</f>
        <v/>
      </c>
      <c r="D3065" s="186">
        <f>IF($K3065="","",INDEX(Zeiterfassung!$D$6:$D$3665,$K3065))</f>
        <v/>
      </c>
      <c r="E3065" s="186">
        <f>IF($K3065="","",INDEX(Zeiterfassung!$E$6:$E$3665,$K3065))</f>
        <v/>
      </c>
      <c r="F3065" s="187">
        <f>IF($K3065="","",INDEX(Zeiterfassung!$F$6:$F$3665,$K3065))</f>
        <v/>
      </c>
      <c r="G3065" s="187">
        <f>IF($K3065="","",INDEX(Zeiterfassung!$G$6:$G$3665,$K3065))</f>
        <v/>
      </c>
      <c r="H3065" s="188">
        <f>IF($K3065="","",INDEX(Zeiterfassung!$H$6:$H$3665,$K3065))</f>
        <v/>
      </c>
      <c r="I3065" s="335">
        <f>IF(B3065=B3064,"",IF($K3065="","",INDEX(Zeiterfassung!$I$6:$I$3665,MATCH(INDEX(Zeiterfassung!$K$6:$K$3665,$K3065),Zeiterfassung!$K$6:$K$3665,0))))</f>
        <v/>
      </c>
      <c r="J3065" s="335">
        <f>IF(B3065=B3064,"",IF($K3065="","",INDEX(Zeiterfassung!$J$6:$J$3665,MATCH(INDEX(Zeiterfassung!$K$6:$K$3665,$K3065),Zeiterfassung!$K$6:$K$3665,0))))</f>
        <v/>
      </c>
      <c r="K3065">
        <f>IFERROR(AGGREGATE(15,6,(ROW(Zeiterfassung!$D$6:$D$3665)-ROW(Zeiterfassung!$D$6)+1)/(Zeiterfassung!$D$6:$D$3665&lt;&gt;""),3060),"")</f>
        <v/>
      </c>
    </row>
    <row r="3066" ht="20" customHeight="1">
      <c r="A3066" s="183">
        <f>IF($K3066="","",WEEKNUM(INDEX(Zeiterfassung!$K$6:$K$3665,$K3066),21))</f>
        <v/>
      </c>
      <c r="B3066" s="184">
        <f>IF($K3066="","",INDEX(Zeiterfassung!$K$6:$K$3665,$K3066))</f>
        <v/>
      </c>
      <c r="C3066" s="185">
        <f>IF($K3066="","",INDEX(Zeiterfassung!$K$6:$K$3665,$K3066))</f>
        <v/>
      </c>
      <c r="D3066" s="186">
        <f>IF($K3066="","",INDEX(Zeiterfassung!$D$6:$D$3665,$K3066))</f>
        <v/>
      </c>
      <c r="E3066" s="186">
        <f>IF($K3066="","",INDEX(Zeiterfassung!$E$6:$E$3665,$K3066))</f>
        <v/>
      </c>
      <c r="F3066" s="187">
        <f>IF($K3066="","",INDEX(Zeiterfassung!$F$6:$F$3665,$K3066))</f>
        <v/>
      </c>
      <c r="G3066" s="187">
        <f>IF($K3066="","",INDEX(Zeiterfassung!$G$6:$G$3665,$K3066))</f>
        <v/>
      </c>
      <c r="H3066" s="188">
        <f>IF($K3066="","",INDEX(Zeiterfassung!$H$6:$H$3665,$K3066))</f>
        <v/>
      </c>
      <c r="I3066" s="335">
        <f>IF(B3066=B3065,"",IF($K3066="","",INDEX(Zeiterfassung!$I$6:$I$3665,MATCH(INDEX(Zeiterfassung!$K$6:$K$3665,$K3066),Zeiterfassung!$K$6:$K$3665,0))))</f>
        <v/>
      </c>
      <c r="J3066" s="335">
        <f>IF(B3066=B3065,"",IF($K3066="","",INDEX(Zeiterfassung!$J$6:$J$3665,MATCH(INDEX(Zeiterfassung!$K$6:$K$3665,$K3066),Zeiterfassung!$K$6:$K$3665,0))))</f>
        <v/>
      </c>
      <c r="K3066">
        <f>IFERROR(AGGREGATE(15,6,(ROW(Zeiterfassung!$D$6:$D$3665)-ROW(Zeiterfassung!$D$6)+1)/(Zeiterfassung!$D$6:$D$3665&lt;&gt;""),3061),"")</f>
        <v/>
      </c>
    </row>
    <row r="3067" ht="20" customHeight="1">
      <c r="A3067" s="183">
        <f>IF($K3067="","",WEEKNUM(INDEX(Zeiterfassung!$K$6:$K$3665,$K3067),21))</f>
        <v/>
      </c>
      <c r="B3067" s="184">
        <f>IF($K3067="","",INDEX(Zeiterfassung!$K$6:$K$3665,$K3067))</f>
        <v/>
      </c>
      <c r="C3067" s="185">
        <f>IF($K3067="","",INDEX(Zeiterfassung!$K$6:$K$3665,$K3067))</f>
        <v/>
      </c>
      <c r="D3067" s="186">
        <f>IF($K3067="","",INDEX(Zeiterfassung!$D$6:$D$3665,$K3067))</f>
        <v/>
      </c>
      <c r="E3067" s="186">
        <f>IF($K3067="","",INDEX(Zeiterfassung!$E$6:$E$3665,$K3067))</f>
        <v/>
      </c>
      <c r="F3067" s="187">
        <f>IF($K3067="","",INDEX(Zeiterfassung!$F$6:$F$3665,$K3067))</f>
        <v/>
      </c>
      <c r="G3067" s="187">
        <f>IF($K3067="","",INDEX(Zeiterfassung!$G$6:$G$3665,$K3067))</f>
        <v/>
      </c>
      <c r="H3067" s="188">
        <f>IF($K3067="","",INDEX(Zeiterfassung!$H$6:$H$3665,$K3067))</f>
        <v/>
      </c>
      <c r="I3067" s="335">
        <f>IF(B3067=B3066,"",IF($K3067="","",INDEX(Zeiterfassung!$I$6:$I$3665,MATCH(INDEX(Zeiterfassung!$K$6:$K$3665,$K3067),Zeiterfassung!$K$6:$K$3665,0))))</f>
        <v/>
      </c>
      <c r="J3067" s="335">
        <f>IF(B3067=B3066,"",IF($K3067="","",INDEX(Zeiterfassung!$J$6:$J$3665,MATCH(INDEX(Zeiterfassung!$K$6:$K$3665,$K3067),Zeiterfassung!$K$6:$K$3665,0))))</f>
        <v/>
      </c>
      <c r="K3067">
        <f>IFERROR(AGGREGATE(15,6,(ROW(Zeiterfassung!$D$6:$D$3665)-ROW(Zeiterfassung!$D$6)+1)/(Zeiterfassung!$D$6:$D$3665&lt;&gt;""),3062),"")</f>
        <v/>
      </c>
    </row>
    <row r="3068" ht="20" customHeight="1">
      <c r="A3068" s="183">
        <f>IF($K3068="","",WEEKNUM(INDEX(Zeiterfassung!$K$6:$K$3665,$K3068),21))</f>
        <v/>
      </c>
      <c r="B3068" s="184">
        <f>IF($K3068="","",INDEX(Zeiterfassung!$K$6:$K$3665,$K3068))</f>
        <v/>
      </c>
      <c r="C3068" s="185">
        <f>IF($K3068="","",INDEX(Zeiterfassung!$K$6:$K$3665,$K3068))</f>
        <v/>
      </c>
      <c r="D3068" s="186">
        <f>IF($K3068="","",INDEX(Zeiterfassung!$D$6:$D$3665,$K3068))</f>
        <v/>
      </c>
      <c r="E3068" s="186">
        <f>IF($K3068="","",INDEX(Zeiterfassung!$E$6:$E$3665,$K3068))</f>
        <v/>
      </c>
      <c r="F3068" s="187">
        <f>IF($K3068="","",INDEX(Zeiterfassung!$F$6:$F$3665,$K3068))</f>
        <v/>
      </c>
      <c r="G3068" s="187">
        <f>IF($K3068="","",INDEX(Zeiterfassung!$G$6:$G$3665,$K3068))</f>
        <v/>
      </c>
      <c r="H3068" s="188">
        <f>IF($K3068="","",INDEX(Zeiterfassung!$H$6:$H$3665,$K3068))</f>
        <v/>
      </c>
      <c r="I3068" s="335">
        <f>IF(B3068=B3067,"",IF($K3068="","",INDEX(Zeiterfassung!$I$6:$I$3665,MATCH(INDEX(Zeiterfassung!$K$6:$K$3665,$K3068),Zeiterfassung!$K$6:$K$3665,0))))</f>
        <v/>
      </c>
      <c r="J3068" s="335">
        <f>IF(B3068=B3067,"",IF($K3068="","",INDEX(Zeiterfassung!$J$6:$J$3665,MATCH(INDEX(Zeiterfassung!$K$6:$K$3665,$K3068),Zeiterfassung!$K$6:$K$3665,0))))</f>
        <v/>
      </c>
      <c r="K3068">
        <f>IFERROR(AGGREGATE(15,6,(ROW(Zeiterfassung!$D$6:$D$3665)-ROW(Zeiterfassung!$D$6)+1)/(Zeiterfassung!$D$6:$D$3665&lt;&gt;""),3063),"")</f>
        <v/>
      </c>
    </row>
    <row r="3069" ht="20" customHeight="1">
      <c r="A3069" s="183">
        <f>IF($K3069="","",WEEKNUM(INDEX(Zeiterfassung!$K$6:$K$3665,$K3069),21))</f>
        <v/>
      </c>
      <c r="B3069" s="184">
        <f>IF($K3069="","",INDEX(Zeiterfassung!$K$6:$K$3665,$K3069))</f>
        <v/>
      </c>
      <c r="C3069" s="185">
        <f>IF($K3069="","",INDEX(Zeiterfassung!$K$6:$K$3665,$K3069))</f>
        <v/>
      </c>
      <c r="D3069" s="186">
        <f>IF($K3069="","",INDEX(Zeiterfassung!$D$6:$D$3665,$K3069))</f>
        <v/>
      </c>
      <c r="E3069" s="186">
        <f>IF($K3069="","",INDEX(Zeiterfassung!$E$6:$E$3665,$K3069))</f>
        <v/>
      </c>
      <c r="F3069" s="187">
        <f>IF($K3069="","",INDEX(Zeiterfassung!$F$6:$F$3665,$K3069))</f>
        <v/>
      </c>
      <c r="G3069" s="187">
        <f>IF($K3069="","",INDEX(Zeiterfassung!$G$6:$G$3665,$K3069))</f>
        <v/>
      </c>
      <c r="H3069" s="188">
        <f>IF($K3069="","",INDEX(Zeiterfassung!$H$6:$H$3665,$K3069))</f>
        <v/>
      </c>
      <c r="I3069" s="335">
        <f>IF(B3069=B3068,"",IF($K3069="","",INDEX(Zeiterfassung!$I$6:$I$3665,MATCH(INDEX(Zeiterfassung!$K$6:$K$3665,$K3069),Zeiterfassung!$K$6:$K$3665,0))))</f>
        <v/>
      </c>
      <c r="J3069" s="335">
        <f>IF(B3069=B3068,"",IF($K3069="","",INDEX(Zeiterfassung!$J$6:$J$3665,MATCH(INDEX(Zeiterfassung!$K$6:$K$3665,$K3069),Zeiterfassung!$K$6:$K$3665,0))))</f>
        <v/>
      </c>
      <c r="K3069">
        <f>IFERROR(AGGREGATE(15,6,(ROW(Zeiterfassung!$D$6:$D$3665)-ROW(Zeiterfassung!$D$6)+1)/(Zeiterfassung!$D$6:$D$3665&lt;&gt;""),3064),"")</f>
        <v/>
      </c>
    </row>
    <row r="3070" ht="20" customHeight="1">
      <c r="A3070" s="183">
        <f>IF($K3070="","",WEEKNUM(INDEX(Zeiterfassung!$K$6:$K$3665,$K3070),21))</f>
        <v/>
      </c>
      <c r="B3070" s="184">
        <f>IF($K3070="","",INDEX(Zeiterfassung!$K$6:$K$3665,$K3070))</f>
        <v/>
      </c>
      <c r="C3070" s="185">
        <f>IF($K3070="","",INDEX(Zeiterfassung!$K$6:$K$3665,$K3070))</f>
        <v/>
      </c>
      <c r="D3070" s="186">
        <f>IF($K3070="","",INDEX(Zeiterfassung!$D$6:$D$3665,$K3070))</f>
        <v/>
      </c>
      <c r="E3070" s="186">
        <f>IF($K3070="","",INDEX(Zeiterfassung!$E$6:$E$3665,$K3070))</f>
        <v/>
      </c>
      <c r="F3070" s="187">
        <f>IF($K3070="","",INDEX(Zeiterfassung!$F$6:$F$3665,$K3070))</f>
        <v/>
      </c>
      <c r="G3070" s="187">
        <f>IF($K3070="","",INDEX(Zeiterfassung!$G$6:$G$3665,$K3070))</f>
        <v/>
      </c>
      <c r="H3070" s="188">
        <f>IF($K3070="","",INDEX(Zeiterfassung!$H$6:$H$3665,$K3070))</f>
        <v/>
      </c>
      <c r="I3070" s="335">
        <f>IF(B3070=B3069,"",IF($K3070="","",INDEX(Zeiterfassung!$I$6:$I$3665,MATCH(INDEX(Zeiterfassung!$K$6:$K$3665,$K3070),Zeiterfassung!$K$6:$K$3665,0))))</f>
        <v/>
      </c>
      <c r="J3070" s="335">
        <f>IF(B3070=B3069,"",IF($K3070="","",INDEX(Zeiterfassung!$J$6:$J$3665,MATCH(INDEX(Zeiterfassung!$K$6:$K$3665,$K3070),Zeiterfassung!$K$6:$K$3665,0))))</f>
        <v/>
      </c>
      <c r="K3070">
        <f>IFERROR(AGGREGATE(15,6,(ROW(Zeiterfassung!$D$6:$D$3665)-ROW(Zeiterfassung!$D$6)+1)/(Zeiterfassung!$D$6:$D$3665&lt;&gt;""),3065),"")</f>
        <v/>
      </c>
    </row>
    <row r="3071" ht="20" customHeight="1">
      <c r="A3071" s="183">
        <f>IF($K3071="","",WEEKNUM(INDEX(Zeiterfassung!$K$6:$K$3665,$K3071),21))</f>
        <v/>
      </c>
      <c r="B3071" s="184">
        <f>IF($K3071="","",INDEX(Zeiterfassung!$K$6:$K$3665,$K3071))</f>
        <v/>
      </c>
      <c r="C3071" s="185">
        <f>IF($K3071="","",INDEX(Zeiterfassung!$K$6:$K$3665,$K3071))</f>
        <v/>
      </c>
      <c r="D3071" s="186">
        <f>IF($K3071="","",INDEX(Zeiterfassung!$D$6:$D$3665,$K3071))</f>
        <v/>
      </c>
      <c r="E3071" s="186">
        <f>IF($K3071="","",INDEX(Zeiterfassung!$E$6:$E$3665,$K3071))</f>
        <v/>
      </c>
      <c r="F3071" s="187">
        <f>IF($K3071="","",INDEX(Zeiterfassung!$F$6:$F$3665,$K3071))</f>
        <v/>
      </c>
      <c r="G3071" s="187">
        <f>IF($K3071="","",INDEX(Zeiterfassung!$G$6:$G$3665,$K3071))</f>
        <v/>
      </c>
      <c r="H3071" s="188">
        <f>IF($K3071="","",INDEX(Zeiterfassung!$H$6:$H$3665,$K3071))</f>
        <v/>
      </c>
      <c r="I3071" s="335">
        <f>IF(B3071=B3070,"",IF($K3071="","",INDEX(Zeiterfassung!$I$6:$I$3665,MATCH(INDEX(Zeiterfassung!$K$6:$K$3665,$K3071),Zeiterfassung!$K$6:$K$3665,0))))</f>
        <v/>
      </c>
      <c r="J3071" s="335">
        <f>IF(B3071=B3070,"",IF($K3071="","",INDEX(Zeiterfassung!$J$6:$J$3665,MATCH(INDEX(Zeiterfassung!$K$6:$K$3665,$K3071),Zeiterfassung!$K$6:$K$3665,0))))</f>
        <v/>
      </c>
      <c r="K3071">
        <f>IFERROR(AGGREGATE(15,6,(ROW(Zeiterfassung!$D$6:$D$3665)-ROW(Zeiterfassung!$D$6)+1)/(Zeiterfassung!$D$6:$D$3665&lt;&gt;""),3066),"")</f>
        <v/>
      </c>
    </row>
    <row r="3072" ht="20" customHeight="1">
      <c r="A3072" s="183">
        <f>IF($K3072="","",WEEKNUM(INDEX(Zeiterfassung!$K$6:$K$3665,$K3072),21))</f>
        <v/>
      </c>
      <c r="B3072" s="184">
        <f>IF($K3072="","",INDEX(Zeiterfassung!$K$6:$K$3665,$K3072))</f>
        <v/>
      </c>
      <c r="C3072" s="185">
        <f>IF($K3072="","",INDEX(Zeiterfassung!$K$6:$K$3665,$K3072))</f>
        <v/>
      </c>
      <c r="D3072" s="186">
        <f>IF($K3072="","",INDEX(Zeiterfassung!$D$6:$D$3665,$K3072))</f>
        <v/>
      </c>
      <c r="E3072" s="186">
        <f>IF($K3072="","",INDEX(Zeiterfassung!$E$6:$E$3665,$K3072))</f>
        <v/>
      </c>
      <c r="F3072" s="187">
        <f>IF($K3072="","",INDEX(Zeiterfassung!$F$6:$F$3665,$K3072))</f>
        <v/>
      </c>
      <c r="G3072" s="187">
        <f>IF($K3072="","",INDEX(Zeiterfassung!$G$6:$G$3665,$K3072))</f>
        <v/>
      </c>
      <c r="H3072" s="188">
        <f>IF($K3072="","",INDEX(Zeiterfassung!$H$6:$H$3665,$K3072))</f>
        <v/>
      </c>
      <c r="I3072" s="335">
        <f>IF(B3072=B3071,"",IF($K3072="","",INDEX(Zeiterfassung!$I$6:$I$3665,MATCH(INDEX(Zeiterfassung!$K$6:$K$3665,$K3072),Zeiterfassung!$K$6:$K$3665,0))))</f>
        <v/>
      </c>
      <c r="J3072" s="335">
        <f>IF(B3072=B3071,"",IF($K3072="","",INDEX(Zeiterfassung!$J$6:$J$3665,MATCH(INDEX(Zeiterfassung!$K$6:$K$3665,$K3072),Zeiterfassung!$K$6:$K$3665,0))))</f>
        <v/>
      </c>
      <c r="K3072">
        <f>IFERROR(AGGREGATE(15,6,(ROW(Zeiterfassung!$D$6:$D$3665)-ROW(Zeiterfassung!$D$6)+1)/(Zeiterfassung!$D$6:$D$3665&lt;&gt;""),3067),"")</f>
        <v/>
      </c>
    </row>
    <row r="3073" ht="20" customHeight="1">
      <c r="A3073" s="183">
        <f>IF($K3073="","",WEEKNUM(INDEX(Zeiterfassung!$K$6:$K$3665,$K3073),21))</f>
        <v/>
      </c>
      <c r="B3073" s="184">
        <f>IF($K3073="","",INDEX(Zeiterfassung!$K$6:$K$3665,$K3073))</f>
        <v/>
      </c>
      <c r="C3073" s="185">
        <f>IF($K3073="","",INDEX(Zeiterfassung!$K$6:$K$3665,$K3073))</f>
        <v/>
      </c>
      <c r="D3073" s="186">
        <f>IF($K3073="","",INDEX(Zeiterfassung!$D$6:$D$3665,$K3073))</f>
        <v/>
      </c>
      <c r="E3073" s="186">
        <f>IF($K3073="","",INDEX(Zeiterfassung!$E$6:$E$3665,$K3073))</f>
        <v/>
      </c>
      <c r="F3073" s="187">
        <f>IF($K3073="","",INDEX(Zeiterfassung!$F$6:$F$3665,$K3073))</f>
        <v/>
      </c>
      <c r="G3073" s="187">
        <f>IF($K3073="","",INDEX(Zeiterfassung!$G$6:$G$3665,$K3073))</f>
        <v/>
      </c>
      <c r="H3073" s="188">
        <f>IF($K3073="","",INDEX(Zeiterfassung!$H$6:$H$3665,$K3073))</f>
        <v/>
      </c>
      <c r="I3073" s="335">
        <f>IF(B3073=B3072,"",IF($K3073="","",INDEX(Zeiterfassung!$I$6:$I$3665,MATCH(INDEX(Zeiterfassung!$K$6:$K$3665,$K3073),Zeiterfassung!$K$6:$K$3665,0))))</f>
        <v/>
      </c>
      <c r="J3073" s="335">
        <f>IF(B3073=B3072,"",IF($K3073="","",INDEX(Zeiterfassung!$J$6:$J$3665,MATCH(INDEX(Zeiterfassung!$K$6:$K$3665,$K3073),Zeiterfassung!$K$6:$K$3665,0))))</f>
        <v/>
      </c>
      <c r="K3073">
        <f>IFERROR(AGGREGATE(15,6,(ROW(Zeiterfassung!$D$6:$D$3665)-ROW(Zeiterfassung!$D$6)+1)/(Zeiterfassung!$D$6:$D$3665&lt;&gt;""),3068),"")</f>
        <v/>
      </c>
    </row>
    <row r="3074" ht="20" customHeight="1">
      <c r="A3074" s="183">
        <f>IF($K3074="","",WEEKNUM(INDEX(Zeiterfassung!$K$6:$K$3665,$K3074),21))</f>
        <v/>
      </c>
      <c r="B3074" s="184">
        <f>IF($K3074="","",INDEX(Zeiterfassung!$K$6:$K$3665,$K3074))</f>
        <v/>
      </c>
      <c r="C3074" s="185">
        <f>IF($K3074="","",INDEX(Zeiterfassung!$K$6:$K$3665,$K3074))</f>
        <v/>
      </c>
      <c r="D3074" s="186">
        <f>IF($K3074="","",INDEX(Zeiterfassung!$D$6:$D$3665,$K3074))</f>
        <v/>
      </c>
      <c r="E3074" s="186">
        <f>IF($K3074="","",INDEX(Zeiterfassung!$E$6:$E$3665,$K3074))</f>
        <v/>
      </c>
      <c r="F3074" s="187">
        <f>IF($K3074="","",INDEX(Zeiterfassung!$F$6:$F$3665,$K3074))</f>
        <v/>
      </c>
      <c r="G3074" s="187">
        <f>IF($K3074="","",INDEX(Zeiterfassung!$G$6:$G$3665,$K3074))</f>
        <v/>
      </c>
      <c r="H3074" s="188">
        <f>IF($K3074="","",INDEX(Zeiterfassung!$H$6:$H$3665,$K3074))</f>
        <v/>
      </c>
      <c r="I3074" s="335">
        <f>IF(B3074=B3073,"",IF($K3074="","",INDEX(Zeiterfassung!$I$6:$I$3665,MATCH(INDEX(Zeiterfassung!$K$6:$K$3665,$K3074),Zeiterfassung!$K$6:$K$3665,0))))</f>
        <v/>
      </c>
      <c r="J3074" s="335">
        <f>IF(B3074=B3073,"",IF($K3074="","",INDEX(Zeiterfassung!$J$6:$J$3665,MATCH(INDEX(Zeiterfassung!$K$6:$K$3665,$K3074),Zeiterfassung!$K$6:$K$3665,0))))</f>
        <v/>
      </c>
      <c r="K3074">
        <f>IFERROR(AGGREGATE(15,6,(ROW(Zeiterfassung!$D$6:$D$3665)-ROW(Zeiterfassung!$D$6)+1)/(Zeiterfassung!$D$6:$D$3665&lt;&gt;""),3069),"")</f>
        <v/>
      </c>
    </row>
    <row r="3075" ht="20" customHeight="1">
      <c r="A3075" s="183">
        <f>IF($K3075="","",WEEKNUM(INDEX(Zeiterfassung!$K$6:$K$3665,$K3075),21))</f>
        <v/>
      </c>
      <c r="B3075" s="184">
        <f>IF($K3075="","",INDEX(Zeiterfassung!$K$6:$K$3665,$K3075))</f>
        <v/>
      </c>
      <c r="C3075" s="185">
        <f>IF($K3075="","",INDEX(Zeiterfassung!$K$6:$K$3665,$K3075))</f>
        <v/>
      </c>
      <c r="D3075" s="186">
        <f>IF($K3075="","",INDEX(Zeiterfassung!$D$6:$D$3665,$K3075))</f>
        <v/>
      </c>
      <c r="E3075" s="186">
        <f>IF($K3075="","",INDEX(Zeiterfassung!$E$6:$E$3665,$K3075))</f>
        <v/>
      </c>
      <c r="F3075" s="187">
        <f>IF($K3075="","",INDEX(Zeiterfassung!$F$6:$F$3665,$K3075))</f>
        <v/>
      </c>
      <c r="G3075" s="187">
        <f>IF($K3075="","",INDEX(Zeiterfassung!$G$6:$G$3665,$K3075))</f>
        <v/>
      </c>
      <c r="H3075" s="188">
        <f>IF($K3075="","",INDEX(Zeiterfassung!$H$6:$H$3665,$K3075))</f>
        <v/>
      </c>
      <c r="I3075" s="335">
        <f>IF(B3075=B3074,"",IF($K3075="","",INDEX(Zeiterfassung!$I$6:$I$3665,MATCH(INDEX(Zeiterfassung!$K$6:$K$3665,$K3075),Zeiterfassung!$K$6:$K$3665,0))))</f>
        <v/>
      </c>
      <c r="J3075" s="335">
        <f>IF(B3075=B3074,"",IF($K3075="","",INDEX(Zeiterfassung!$J$6:$J$3665,MATCH(INDEX(Zeiterfassung!$K$6:$K$3665,$K3075),Zeiterfassung!$K$6:$K$3665,0))))</f>
        <v/>
      </c>
      <c r="K3075">
        <f>IFERROR(AGGREGATE(15,6,(ROW(Zeiterfassung!$D$6:$D$3665)-ROW(Zeiterfassung!$D$6)+1)/(Zeiterfassung!$D$6:$D$3665&lt;&gt;""),3070),"")</f>
        <v/>
      </c>
    </row>
    <row r="3076" ht="20" customHeight="1">
      <c r="A3076" s="183">
        <f>IF($K3076="","",WEEKNUM(INDEX(Zeiterfassung!$K$6:$K$3665,$K3076),21))</f>
        <v/>
      </c>
      <c r="B3076" s="184">
        <f>IF($K3076="","",INDEX(Zeiterfassung!$K$6:$K$3665,$K3076))</f>
        <v/>
      </c>
      <c r="C3076" s="185">
        <f>IF($K3076="","",INDEX(Zeiterfassung!$K$6:$K$3665,$K3076))</f>
        <v/>
      </c>
      <c r="D3076" s="186">
        <f>IF($K3076="","",INDEX(Zeiterfassung!$D$6:$D$3665,$K3076))</f>
        <v/>
      </c>
      <c r="E3076" s="186">
        <f>IF($K3076="","",INDEX(Zeiterfassung!$E$6:$E$3665,$K3076))</f>
        <v/>
      </c>
      <c r="F3076" s="187">
        <f>IF($K3076="","",INDEX(Zeiterfassung!$F$6:$F$3665,$K3076))</f>
        <v/>
      </c>
      <c r="G3076" s="187">
        <f>IF($K3076="","",INDEX(Zeiterfassung!$G$6:$G$3665,$K3076))</f>
        <v/>
      </c>
      <c r="H3076" s="188">
        <f>IF($K3076="","",INDEX(Zeiterfassung!$H$6:$H$3665,$K3076))</f>
        <v/>
      </c>
      <c r="I3076" s="335">
        <f>IF(B3076=B3075,"",IF($K3076="","",INDEX(Zeiterfassung!$I$6:$I$3665,MATCH(INDEX(Zeiterfassung!$K$6:$K$3665,$K3076),Zeiterfassung!$K$6:$K$3665,0))))</f>
        <v/>
      </c>
      <c r="J3076" s="335">
        <f>IF(B3076=B3075,"",IF($K3076="","",INDEX(Zeiterfassung!$J$6:$J$3665,MATCH(INDEX(Zeiterfassung!$K$6:$K$3665,$K3076),Zeiterfassung!$K$6:$K$3665,0))))</f>
        <v/>
      </c>
      <c r="K3076">
        <f>IFERROR(AGGREGATE(15,6,(ROW(Zeiterfassung!$D$6:$D$3665)-ROW(Zeiterfassung!$D$6)+1)/(Zeiterfassung!$D$6:$D$3665&lt;&gt;""),3071),"")</f>
        <v/>
      </c>
    </row>
    <row r="3077" ht="20" customHeight="1">
      <c r="A3077" s="183">
        <f>IF($K3077="","",WEEKNUM(INDEX(Zeiterfassung!$K$6:$K$3665,$K3077),21))</f>
        <v/>
      </c>
      <c r="B3077" s="184">
        <f>IF($K3077="","",INDEX(Zeiterfassung!$K$6:$K$3665,$K3077))</f>
        <v/>
      </c>
      <c r="C3077" s="185">
        <f>IF($K3077="","",INDEX(Zeiterfassung!$K$6:$K$3665,$K3077))</f>
        <v/>
      </c>
      <c r="D3077" s="186">
        <f>IF($K3077="","",INDEX(Zeiterfassung!$D$6:$D$3665,$K3077))</f>
        <v/>
      </c>
      <c r="E3077" s="186">
        <f>IF($K3077="","",INDEX(Zeiterfassung!$E$6:$E$3665,$K3077))</f>
        <v/>
      </c>
      <c r="F3077" s="187">
        <f>IF($K3077="","",INDEX(Zeiterfassung!$F$6:$F$3665,$K3077))</f>
        <v/>
      </c>
      <c r="G3077" s="187">
        <f>IF($K3077="","",INDEX(Zeiterfassung!$G$6:$G$3665,$K3077))</f>
        <v/>
      </c>
      <c r="H3077" s="188">
        <f>IF($K3077="","",INDEX(Zeiterfassung!$H$6:$H$3665,$K3077))</f>
        <v/>
      </c>
      <c r="I3077" s="335">
        <f>IF(B3077=B3076,"",IF($K3077="","",INDEX(Zeiterfassung!$I$6:$I$3665,MATCH(INDEX(Zeiterfassung!$K$6:$K$3665,$K3077),Zeiterfassung!$K$6:$K$3665,0))))</f>
        <v/>
      </c>
      <c r="J3077" s="335">
        <f>IF(B3077=B3076,"",IF($K3077="","",INDEX(Zeiterfassung!$J$6:$J$3665,MATCH(INDEX(Zeiterfassung!$K$6:$K$3665,$K3077),Zeiterfassung!$K$6:$K$3665,0))))</f>
        <v/>
      </c>
      <c r="K3077">
        <f>IFERROR(AGGREGATE(15,6,(ROW(Zeiterfassung!$D$6:$D$3665)-ROW(Zeiterfassung!$D$6)+1)/(Zeiterfassung!$D$6:$D$3665&lt;&gt;""),3072),"")</f>
        <v/>
      </c>
    </row>
    <row r="3078" ht="20" customHeight="1">
      <c r="A3078" s="183">
        <f>IF($K3078="","",WEEKNUM(INDEX(Zeiterfassung!$K$6:$K$3665,$K3078),21))</f>
        <v/>
      </c>
      <c r="B3078" s="184">
        <f>IF($K3078="","",INDEX(Zeiterfassung!$K$6:$K$3665,$K3078))</f>
        <v/>
      </c>
      <c r="C3078" s="185">
        <f>IF($K3078="","",INDEX(Zeiterfassung!$K$6:$K$3665,$K3078))</f>
        <v/>
      </c>
      <c r="D3078" s="186">
        <f>IF($K3078="","",INDEX(Zeiterfassung!$D$6:$D$3665,$K3078))</f>
        <v/>
      </c>
      <c r="E3078" s="186">
        <f>IF($K3078="","",INDEX(Zeiterfassung!$E$6:$E$3665,$K3078))</f>
        <v/>
      </c>
      <c r="F3078" s="187">
        <f>IF($K3078="","",INDEX(Zeiterfassung!$F$6:$F$3665,$K3078))</f>
        <v/>
      </c>
      <c r="G3078" s="187">
        <f>IF($K3078="","",INDEX(Zeiterfassung!$G$6:$G$3665,$K3078))</f>
        <v/>
      </c>
      <c r="H3078" s="188">
        <f>IF($K3078="","",INDEX(Zeiterfassung!$H$6:$H$3665,$K3078))</f>
        <v/>
      </c>
      <c r="I3078" s="335">
        <f>IF(B3078=B3077,"",IF($K3078="","",INDEX(Zeiterfassung!$I$6:$I$3665,MATCH(INDEX(Zeiterfassung!$K$6:$K$3665,$K3078),Zeiterfassung!$K$6:$K$3665,0))))</f>
        <v/>
      </c>
      <c r="J3078" s="335">
        <f>IF(B3078=B3077,"",IF($K3078="","",INDEX(Zeiterfassung!$J$6:$J$3665,MATCH(INDEX(Zeiterfassung!$K$6:$K$3665,$K3078),Zeiterfassung!$K$6:$K$3665,0))))</f>
        <v/>
      </c>
      <c r="K3078">
        <f>IFERROR(AGGREGATE(15,6,(ROW(Zeiterfassung!$D$6:$D$3665)-ROW(Zeiterfassung!$D$6)+1)/(Zeiterfassung!$D$6:$D$3665&lt;&gt;""),3073),"")</f>
        <v/>
      </c>
    </row>
    <row r="3079" ht="20" customHeight="1">
      <c r="A3079" s="183">
        <f>IF($K3079="","",WEEKNUM(INDEX(Zeiterfassung!$K$6:$K$3665,$K3079),21))</f>
        <v/>
      </c>
      <c r="B3079" s="184">
        <f>IF($K3079="","",INDEX(Zeiterfassung!$K$6:$K$3665,$K3079))</f>
        <v/>
      </c>
      <c r="C3079" s="185">
        <f>IF($K3079="","",INDEX(Zeiterfassung!$K$6:$K$3665,$K3079))</f>
        <v/>
      </c>
      <c r="D3079" s="186">
        <f>IF($K3079="","",INDEX(Zeiterfassung!$D$6:$D$3665,$K3079))</f>
        <v/>
      </c>
      <c r="E3079" s="186">
        <f>IF($K3079="","",INDEX(Zeiterfassung!$E$6:$E$3665,$K3079))</f>
        <v/>
      </c>
      <c r="F3079" s="187">
        <f>IF($K3079="","",INDEX(Zeiterfassung!$F$6:$F$3665,$K3079))</f>
        <v/>
      </c>
      <c r="G3079" s="187">
        <f>IF($K3079="","",INDEX(Zeiterfassung!$G$6:$G$3665,$K3079))</f>
        <v/>
      </c>
      <c r="H3079" s="188">
        <f>IF($K3079="","",INDEX(Zeiterfassung!$H$6:$H$3665,$K3079))</f>
        <v/>
      </c>
      <c r="I3079" s="335">
        <f>IF(B3079=B3078,"",IF($K3079="","",INDEX(Zeiterfassung!$I$6:$I$3665,MATCH(INDEX(Zeiterfassung!$K$6:$K$3665,$K3079),Zeiterfassung!$K$6:$K$3665,0))))</f>
        <v/>
      </c>
      <c r="J3079" s="335">
        <f>IF(B3079=B3078,"",IF($K3079="","",INDEX(Zeiterfassung!$J$6:$J$3665,MATCH(INDEX(Zeiterfassung!$K$6:$K$3665,$K3079),Zeiterfassung!$K$6:$K$3665,0))))</f>
        <v/>
      </c>
      <c r="K3079">
        <f>IFERROR(AGGREGATE(15,6,(ROW(Zeiterfassung!$D$6:$D$3665)-ROW(Zeiterfassung!$D$6)+1)/(Zeiterfassung!$D$6:$D$3665&lt;&gt;""),3074),"")</f>
        <v/>
      </c>
    </row>
    <row r="3080" ht="20" customHeight="1">
      <c r="A3080" s="183">
        <f>IF($K3080="","",WEEKNUM(INDEX(Zeiterfassung!$K$6:$K$3665,$K3080),21))</f>
        <v/>
      </c>
      <c r="B3080" s="184">
        <f>IF($K3080="","",INDEX(Zeiterfassung!$K$6:$K$3665,$K3080))</f>
        <v/>
      </c>
      <c r="C3080" s="185">
        <f>IF($K3080="","",INDEX(Zeiterfassung!$K$6:$K$3665,$K3080))</f>
        <v/>
      </c>
      <c r="D3080" s="186">
        <f>IF($K3080="","",INDEX(Zeiterfassung!$D$6:$D$3665,$K3080))</f>
        <v/>
      </c>
      <c r="E3080" s="186">
        <f>IF($K3080="","",INDEX(Zeiterfassung!$E$6:$E$3665,$K3080))</f>
        <v/>
      </c>
      <c r="F3080" s="187">
        <f>IF($K3080="","",INDEX(Zeiterfassung!$F$6:$F$3665,$K3080))</f>
        <v/>
      </c>
      <c r="G3080" s="187">
        <f>IF($K3080="","",INDEX(Zeiterfassung!$G$6:$G$3665,$K3080))</f>
        <v/>
      </c>
      <c r="H3080" s="188">
        <f>IF($K3080="","",INDEX(Zeiterfassung!$H$6:$H$3665,$K3080))</f>
        <v/>
      </c>
      <c r="I3080" s="335">
        <f>IF(B3080=B3079,"",IF($K3080="","",INDEX(Zeiterfassung!$I$6:$I$3665,MATCH(INDEX(Zeiterfassung!$K$6:$K$3665,$K3080),Zeiterfassung!$K$6:$K$3665,0))))</f>
        <v/>
      </c>
      <c r="J3080" s="335">
        <f>IF(B3080=B3079,"",IF($K3080="","",INDEX(Zeiterfassung!$J$6:$J$3665,MATCH(INDEX(Zeiterfassung!$K$6:$K$3665,$K3080),Zeiterfassung!$K$6:$K$3665,0))))</f>
        <v/>
      </c>
      <c r="K3080">
        <f>IFERROR(AGGREGATE(15,6,(ROW(Zeiterfassung!$D$6:$D$3665)-ROW(Zeiterfassung!$D$6)+1)/(Zeiterfassung!$D$6:$D$3665&lt;&gt;""),3075),"")</f>
        <v/>
      </c>
    </row>
    <row r="3081" ht="20" customHeight="1">
      <c r="A3081" s="183">
        <f>IF($K3081="","",WEEKNUM(INDEX(Zeiterfassung!$K$6:$K$3665,$K3081),21))</f>
        <v/>
      </c>
      <c r="B3081" s="184">
        <f>IF($K3081="","",INDEX(Zeiterfassung!$K$6:$K$3665,$K3081))</f>
        <v/>
      </c>
      <c r="C3081" s="185">
        <f>IF($K3081="","",INDEX(Zeiterfassung!$K$6:$K$3665,$K3081))</f>
        <v/>
      </c>
      <c r="D3081" s="186">
        <f>IF($K3081="","",INDEX(Zeiterfassung!$D$6:$D$3665,$K3081))</f>
        <v/>
      </c>
      <c r="E3081" s="186">
        <f>IF($K3081="","",INDEX(Zeiterfassung!$E$6:$E$3665,$K3081))</f>
        <v/>
      </c>
      <c r="F3081" s="187">
        <f>IF($K3081="","",INDEX(Zeiterfassung!$F$6:$F$3665,$K3081))</f>
        <v/>
      </c>
      <c r="G3081" s="187">
        <f>IF($K3081="","",INDEX(Zeiterfassung!$G$6:$G$3665,$K3081))</f>
        <v/>
      </c>
      <c r="H3081" s="188">
        <f>IF($K3081="","",INDEX(Zeiterfassung!$H$6:$H$3665,$K3081))</f>
        <v/>
      </c>
      <c r="I3081" s="335">
        <f>IF(B3081=B3080,"",IF($K3081="","",INDEX(Zeiterfassung!$I$6:$I$3665,MATCH(INDEX(Zeiterfassung!$K$6:$K$3665,$K3081),Zeiterfassung!$K$6:$K$3665,0))))</f>
        <v/>
      </c>
      <c r="J3081" s="335">
        <f>IF(B3081=B3080,"",IF($K3081="","",INDEX(Zeiterfassung!$J$6:$J$3665,MATCH(INDEX(Zeiterfassung!$K$6:$K$3665,$K3081),Zeiterfassung!$K$6:$K$3665,0))))</f>
        <v/>
      </c>
      <c r="K3081">
        <f>IFERROR(AGGREGATE(15,6,(ROW(Zeiterfassung!$D$6:$D$3665)-ROW(Zeiterfassung!$D$6)+1)/(Zeiterfassung!$D$6:$D$3665&lt;&gt;""),3076),"")</f>
        <v/>
      </c>
    </row>
    <row r="3082" ht="20" customHeight="1">
      <c r="A3082" s="183">
        <f>IF($K3082="","",WEEKNUM(INDEX(Zeiterfassung!$K$6:$K$3665,$K3082),21))</f>
        <v/>
      </c>
      <c r="B3082" s="184">
        <f>IF($K3082="","",INDEX(Zeiterfassung!$K$6:$K$3665,$K3082))</f>
        <v/>
      </c>
      <c r="C3082" s="185">
        <f>IF($K3082="","",INDEX(Zeiterfassung!$K$6:$K$3665,$K3082))</f>
        <v/>
      </c>
      <c r="D3082" s="186">
        <f>IF($K3082="","",INDEX(Zeiterfassung!$D$6:$D$3665,$K3082))</f>
        <v/>
      </c>
      <c r="E3082" s="186">
        <f>IF($K3082="","",INDEX(Zeiterfassung!$E$6:$E$3665,$K3082))</f>
        <v/>
      </c>
      <c r="F3082" s="187">
        <f>IF($K3082="","",INDEX(Zeiterfassung!$F$6:$F$3665,$K3082))</f>
        <v/>
      </c>
      <c r="G3082" s="187">
        <f>IF($K3082="","",INDEX(Zeiterfassung!$G$6:$G$3665,$K3082))</f>
        <v/>
      </c>
      <c r="H3082" s="188">
        <f>IF($K3082="","",INDEX(Zeiterfassung!$H$6:$H$3665,$K3082))</f>
        <v/>
      </c>
      <c r="I3082" s="335">
        <f>IF(B3082=B3081,"",IF($K3082="","",INDEX(Zeiterfassung!$I$6:$I$3665,MATCH(INDEX(Zeiterfassung!$K$6:$K$3665,$K3082),Zeiterfassung!$K$6:$K$3665,0))))</f>
        <v/>
      </c>
      <c r="J3082" s="335">
        <f>IF(B3082=B3081,"",IF($K3082="","",INDEX(Zeiterfassung!$J$6:$J$3665,MATCH(INDEX(Zeiterfassung!$K$6:$K$3665,$K3082),Zeiterfassung!$K$6:$K$3665,0))))</f>
        <v/>
      </c>
      <c r="K3082">
        <f>IFERROR(AGGREGATE(15,6,(ROW(Zeiterfassung!$D$6:$D$3665)-ROW(Zeiterfassung!$D$6)+1)/(Zeiterfassung!$D$6:$D$3665&lt;&gt;""),3077),"")</f>
        <v/>
      </c>
    </row>
    <row r="3083" ht="20" customHeight="1">
      <c r="A3083" s="183">
        <f>IF($K3083="","",WEEKNUM(INDEX(Zeiterfassung!$K$6:$K$3665,$K3083),21))</f>
        <v/>
      </c>
      <c r="B3083" s="184">
        <f>IF($K3083="","",INDEX(Zeiterfassung!$K$6:$K$3665,$K3083))</f>
        <v/>
      </c>
      <c r="C3083" s="185">
        <f>IF($K3083="","",INDEX(Zeiterfassung!$K$6:$K$3665,$K3083))</f>
        <v/>
      </c>
      <c r="D3083" s="186">
        <f>IF($K3083="","",INDEX(Zeiterfassung!$D$6:$D$3665,$K3083))</f>
        <v/>
      </c>
      <c r="E3083" s="186">
        <f>IF($K3083="","",INDEX(Zeiterfassung!$E$6:$E$3665,$K3083))</f>
        <v/>
      </c>
      <c r="F3083" s="187">
        <f>IF($K3083="","",INDEX(Zeiterfassung!$F$6:$F$3665,$K3083))</f>
        <v/>
      </c>
      <c r="G3083" s="187">
        <f>IF($K3083="","",INDEX(Zeiterfassung!$G$6:$G$3665,$K3083))</f>
        <v/>
      </c>
      <c r="H3083" s="188">
        <f>IF($K3083="","",INDEX(Zeiterfassung!$H$6:$H$3665,$K3083))</f>
        <v/>
      </c>
      <c r="I3083" s="335">
        <f>IF(B3083=B3082,"",IF($K3083="","",INDEX(Zeiterfassung!$I$6:$I$3665,MATCH(INDEX(Zeiterfassung!$K$6:$K$3665,$K3083),Zeiterfassung!$K$6:$K$3665,0))))</f>
        <v/>
      </c>
      <c r="J3083" s="335">
        <f>IF(B3083=B3082,"",IF($K3083="","",INDEX(Zeiterfassung!$J$6:$J$3665,MATCH(INDEX(Zeiterfassung!$K$6:$K$3665,$K3083),Zeiterfassung!$K$6:$K$3665,0))))</f>
        <v/>
      </c>
      <c r="K3083">
        <f>IFERROR(AGGREGATE(15,6,(ROW(Zeiterfassung!$D$6:$D$3665)-ROW(Zeiterfassung!$D$6)+1)/(Zeiterfassung!$D$6:$D$3665&lt;&gt;""),3078),"")</f>
        <v/>
      </c>
    </row>
    <row r="3084" ht="20" customHeight="1">
      <c r="A3084" s="183">
        <f>IF($K3084="","",WEEKNUM(INDEX(Zeiterfassung!$K$6:$K$3665,$K3084),21))</f>
        <v/>
      </c>
      <c r="B3084" s="184">
        <f>IF($K3084="","",INDEX(Zeiterfassung!$K$6:$K$3665,$K3084))</f>
        <v/>
      </c>
      <c r="C3084" s="185">
        <f>IF($K3084="","",INDEX(Zeiterfassung!$K$6:$K$3665,$K3084))</f>
        <v/>
      </c>
      <c r="D3084" s="186">
        <f>IF($K3084="","",INDEX(Zeiterfassung!$D$6:$D$3665,$K3084))</f>
        <v/>
      </c>
      <c r="E3084" s="186">
        <f>IF($K3084="","",INDEX(Zeiterfassung!$E$6:$E$3665,$K3084))</f>
        <v/>
      </c>
      <c r="F3084" s="187">
        <f>IF($K3084="","",INDEX(Zeiterfassung!$F$6:$F$3665,$K3084))</f>
        <v/>
      </c>
      <c r="G3084" s="187">
        <f>IF($K3084="","",INDEX(Zeiterfassung!$G$6:$G$3665,$K3084))</f>
        <v/>
      </c>
      <c r="H3084" s="188">
        <f>IF($K3084="","",INDEX(Zeiterfassung!$H$6:$H$3665,$K3084))</f>
        <v/>
      </c>
      <c r="I3084" s="335">
        <f>IF(B3084=B3083,"",IF($K3084="","",INDEX(Zeiterfassung!$I$6:$I$3665,MATCH(INDEX(Zeiterfassung!$K$6:$K$3665,$K3084),Zeiterfassung!$K$6:$K$3665,0))))</f>
        <v/>
      </c>
      <c r="J3084" s="335">
        <f>IF(B3084=B3083,"",IF($K3084="","",INDEX(Zeiterfassung!$J$6:$J$3665,MATCH(INDEX(Zeiterfassung!$K$6:$K$3665,$K3084),Zeiterfassung!$K$6:$K$3665,0))))</f>
        <v/>
      </c>
      <c r="K3084">
        <f>IFERROR(AGGREGATE(15,6,(ROW(Zeiterfassung!$D$6:$D$3665)-ROW(Zeiterfassung!$D$6)+1)/(Zeiterfassung!$D$6:$D$3665&lt;&gt;""),3079),"")</f>
        <v/>
      </c>
    </row>
    <row r="3085" ht="20" customHeight="1">
      <c r="A3085" s="183">
        <f>IF($K3085="","",WEEKNUM(INDEX(Zeiterfassung!$K$6:$K$3665,$K3085),21))</f>
        <v/>
      </c>
      <c r="B3085" s="184">
        <f>IF($K3085="","",INDEX(Zeiterfassung!$K$6:$K$3665,$K3085))</f>
        <v/>
      </c>
      <c r="C3085" s="185">
        <f>IF($K3085="","",INDEX(Zeiterfassung!$K$6:$K$3665,$K3085))</f>
        <v/>
      </c>
      <c r="D3085" s="186">
        <f>IF($K3085="","",INDEX(Zeiterfassung!$D$6:$D$3665,$K3085))</f>
        <v/>
      </c>
      <c r="E3085" s="186">
        <f>IF($K3085="","",INDEX(Zeiterfassung!$E$6:$E$3665,$K3085))</f>
        <v/>
      </c>
      <c r="F3085" s="187">
        <f>IF($K3085="","",INDEX(Zeiterfassung!$F$6:$F$3665,$K3085))</f>
        <v/>
      </c>
      <c r="G3085" s="187">
        <f>IF($K3085="","",INDEX(Zeiterfassung!$G$6:$G$3665,$K3085))</f>
        <v/>
      </c>
      <c r="H3085" s="188">
        <f>IF($K3085="","",INDEX(Zeiterfassung!$H$6:$H$3665,$K3085))</f>
        <v/>
      </c>
      <c r="I3085" s="335">
        <f>IF(B3085=B3084,"",IF($K3085="","",INDEX(Zeiterfassung!$I$6:$I$3665,MATCH(INDEX(Zeiterfassung!$K$6:$K$3665,$K3085),Zeiterfassung!$K$6:$K$3665,0))))</f>
        <v/>
      </c>
      <c r="J3085" s="335">
        <f>IF(B3085=B3084,"",IF($K3085="","",INDEX(Zeiterfassung!$J$6:$J$3665,MATCH(INDEX(Zeiterfassung!$K$6:$K$3665,$K3085),Zeiterfassung!$K$6:$K$3665,0))))</f>
        <v/>
      </c>
      <c r="K3085">
        <f>IFERROR(AGGREGATE(15,6,(ROW(Zeiterfassung!$D$6:$D$3665)-ROW(Zeiterfassung!$D$6)+1)/(Zeiterfassung!$D$6:$D$3665&lt;&gt;""),3080),"")</f>
        <v/>
      </c>
    </row>
    <row r="3086" ht="20" customHeight="1">
      <c r="A3086" s="183">
        <f>IF($K3086="","",WEEKNUM(INDEX(Zeiterfassung!$K$6:$K$3665,$K3086),21))</f>
        <v/>
      </c>
      <c r="B3086" s="184">
        <f>IF($K3086="","",INDEX(Zeiterfassung!$K$6:$K$3665,$K3086))</f>
        <v/>
      </c>
      <c r="C3086" s="185">
        <f>IF($K3086="","",INDEX(Zeiterfassung!$K$6:$K$3665,$K3086))</f>
        <v/>
      </c>
      <c r="D3086" s="186">
        <f>IF($K3086="","",INDEX(Zeiterfassung!$D$6:$D$3665,$K3086))</f>
        <v/>
      </c>
      <c r="E3086" s="186">
        <f>IF($K3086="","",INDEX(Zeiterfassung!$E$6:$E$3665,$K3086))</f>
        <v/>
      </c>
      <c r="F3086" s="187">
        <f>IF($K3086="","",INDEX(Zeiterfassung!$F$6:$F$3665,$K3086))</f>
        <v/>
      </c>
      <c r="G3086" s="187">
        <f>IF($K3086="","",INDEX(Zeiterfassung!$G$6:$G$3665,$K3086))</f>
        <v/>
      </c>
      <c r="H3086" s="188">
        <f>IF($K3086="","",INDEX(Zeiterfassung!$H$6:$H$3665,$K3086))</f>
        <v/>
      </c>
      <c r="I3086" s="335">
        <f>IF(B3086=B3085,"",IF($K3086="","",INDEX(Zeiterfassung!$I$6:$I$3665,MATCH(INDEX(Zeiterfassung!$K$6:$K$3665,$K3086),Zeiterfassung!$K$6:$K$3665,0))))</f>
        <v/>
      </c>
      <c r="J3086" s="335">
        <f>IF(B3086=B3085,"",IF($K3086="","",INDEX(Zeiterfassung!$J$6:$J$3665,MATCH(INDEX(Zeiterfassung!$K$6:$K$3665,$K3086),Zeiterfassung!$K$6:$K$3665,0))))</f>
        <v/>
      </c>
      <c r="K3086">
        <f>IFERROR(AGGREGATE(15,6,(ROW(Zeiterfassung!$D$6:$D$3665)-ROW(Zeiterfassung!$D$6)+1)/(Zeiterfassung!$D$6:$D$3665&lt;&gt;""),3081),"")</f>
        <v/>
      </c>
    </row>
    <row r="3087" ht="20" customHeight="1">
      <c r="A3087" s="183">
        <f>IF($K3087="","",WEEKNUM(INDEX(Zeiterfassung!$K$6:$K$3665,$K3087),21))</f>
        <v/>
      </c>
      <c r="B3087" s="184">
        <f>IF($K3087="","",INDEX(Zeiterfassung!$K$6:$K$3665,$K3087))</f>
        <v/>
      </c>
      <c r="C3087" s="185">
        <f>IF($K3087="","",INDEX(Zeiterfassung!$K$6:$K$3665,$K3087))</f>
        <v/>
      </c>
      <c r="D3087" s="186">
        <f>IF($K3087="","",INDEX(Zeiterfassung!$D$6:$D$3665,$K3087))</f>
        <v/>
      </c>
      <c r="E3087" s="186">
        <f>IF($K3087="","",INDEX(Zeiterfassung!$E$6:$E$3665,$K3087))</f>
        <v/>
      </c>
      <c r="F3087" s="187">
        <f>IF($K3087="","",INDEX(Zeiterfassung!$F$6:$F$3665,$K3087))</f>
        <v/>
      </c>
      <c r="G3087" s="187">
        <f>IF($K3087="","",INDEX(Zeiterfassung!$G$6:$G$3665,$K3087))</f>
        <v/>
      </c>
      <c r="H3087" s="188">
        <f>IF($K3087="","",INDEX(Zeiterfassung!$H$6:$H$3665,$K3087))</f>
        <v/>
      </c>
      <c r="I3087" s="335">
        <f>IF(B3087=B3086,"",IF($K3087="","",INDEX(Zeiterfassung!$I$6:$I$3665,MATCH(INDEX(Zeiterfassung!$K$6:$K$3665,$K3087),Zeiterfassung!$K$6:$K$3665,0))))</f>
        <v/>
      </c>
      <c r="J3087" s="335">
        <f>IF(B3087=B3086,"",IF($K3087="","",INDEX(Zeiterfassung!$J$6:$J$3665,MATCH(INDEX(Zeiterfassung!$K$6:$K$3665,$K3087),Zeiterfassung!$K$6:$K$3665,0))))</f>
        <v/>
      </c>
      <c r="K3087">
        <f>IFERROR(AGGREGATE(15,6,(ROW(Zeiterfassung!$D$6:$D$3665)-ROW(Zeiterfassung!$D$6)+1)/(Zeiterfassung!$D$6:$D$3665&lt;&gt;""),3082),"")</f>
        <v/>
      </c>
    </row>
    <row r="3088" ht="20" customHeight="1">
      <c r="A3088" s="183">
        <f>IF($K3088="","",WEEKNUM(INDEX(Zeiterfassung!$K$6:$K$3665,$K3088),21))</f>
        <v/>
      </c>
      <c r="B3088" s="184">
        <f>IF($K3088="","",INDEX(Zeiterfassung!$K$6:$K$3665,$K3088))</f>
        <v/>
      </c>
      <c r="C3088" s="185">
        <f>IF($K3088="","",INDEX(Zeiterfassung!$K$6:$K$3665,$K3088))</f>
        <v/>
      </c>
      <c r="D3088" s="186">
        <f>IF($K3088="","",INDEX(Zeiterfassung!$D$6:$D$3665,$K3088))</f>
        <v/>
      </c>
      <c r="E3088" s="186">
        <f>IF($K3088="","",INDEX(Zeiterfassung!$E$6:$E$3665,$K3088))</f>
        <v/>
      </c>
      <c r="F3088" s="187">
        <f>IF($K3088="","",INDEX(Zeiterfassung!$F$6:$F$3665,$K3088))</f>
        <v/>
      </c>
      <c r="G3088" s="187">
        <f>IF($K3088="","",INDEX(Zeiterfassung!$G$6:$G$3665,$K3088))</f>
        <v/>
      </c>
      <c r="H3088" s="188">
        <f>IF($K3088="","",INDEX(Zeiterfassung!$H$6:$H$3665,$K3088))</f>
        <v/>
      </c>
      <c r="I3088" s="335">
        <f>IF(B3088=B3087,"",IF($K3088="","",INDEX(Zeiterfassung!$I$6:$I$3665,MATCH(INDEX(Zeiterfassung!$K$6:$K$3665,$K3088),Zeiterfassung!$K$6:$K$3665,0))))</f>
        <v/>
      </c>
      <c r="J3088" s="335">
        <f>IF(B3088=B3087,"",IF($K3088="","",INDEX(Zeiterfassung!$J$6:$J$3665,MATCH(INDEX(Zeiterfassung!$K$6:$K$3665,$K3088),Zeiterfassung!$K$6:$K$3665,0))))</f>
        <v/>
      </c>
      <c r="K3088">
        <f>IFERROR(AGGREGATE(15,6,(ROW(Zeiterfassung!$D$6:$D$3665)-ROW(Zeiterfassung!$D$6)+1)/(Zeiterfassung!$D$6:$D$3665&lt;&gt;""),3083),"")</f>
        <v/>
      </c>
    </row>
    <row r="3089" ht="20" customHeight="1">
      <c r="A3089" s="183">
        <f>IF($K3089="","",WEEKNUM(INDEX(Zeiterfassung!$K$6:$K$3665,$K3089),21))</f>
        <v/>
      </c>
      <c r="B3089" s="184">
        <f>IF($K3089="","",INDEX(Zeiterfassung!$K$6:$K$3665,$K3089))</f>
        <v/>
      </c>
      <c r="C3089" s="185">
        <f>IF($K3089="","",INDEX(Zeiterfassung!$K$6:$K$3665,$K3089))</f>
        <v/>
      </c>
      <c r="D3089" s="186">
        <f>IF($K3089="","",INDEX(Zeiterfassung!$D$6:$D$3665,$K3089))</f>
        <v/>
      </c>
      <c r="E3089" s="186">
        <f>IF($K3089="","",INDEX(Zeiterfassung!$E$6:$E$3665,$K3089))</f>
        <v/>
      </c>
      <c r="F3089" s="187">
        <f>IF($K3089="","",INDEX(Zeiterfassung!$F$6:$F$3665,$K3089))</f>
        <v/>
      </c>
      <c r="G3089" s="187">
        <f>IF($K3089="","",INDEX(Zeiterfassung!$G$6:$G$3665,$K3089))</f>
        <v/>
      </c>
      <c r="H3089" s="188">
        <f>IF($K3089="","",INDEX(Zeiterfassung!$H$6:$H$3665,$K3089))</f>
        <v/>
      </c>
      <c r="I3089" s="335">
        <f>IF(B3089=B3088,"",IF($K3089="","",INDEX(Zeiterfassung!$I$6:$I$3665,MATCH(INDEX(Zeiterfassung!$K$6:$K$3665,$K3089),Zeiterfassung!$K$6:$K$3665,0))))</f>
        <v/>
      </c>
      <c r="J3089" s="335">
        <f>IF(B3089=B3088,"",IF($K3089="","",INDEX(Zeiterfassung!$J$6:$J$3665,MATCH(INDEX(Zeiterfassung!$K$6:$K$3665,$K3089),Zeiterfassung!$K$6:$K$3665,0))))</f>
        <v/>
      </c>
      <c r="K3089">
        <f>IFERROR(AGGREGATE(15,6,(ROW(Zeiterfassung!$D$6:$D$3665)-ROW(Zeiterfassung!$D$6)+1)/(Zeiterfassung!$D$6:$D$3665&lt;&gt;""),3084),"")</f>
        <v/>
      </c>
    </row>
    <row r="3090" ht="20" customHeight="1">
      <c r="A3090" s="183">
        <f>IF($K3090="","",WEEKNUM(INDEX(Zeiterfassung!$K$6:$K$3665,$K3090),21))</f>
        <v/>
      </c>
      <c r="B3090" s="184">
        <f>IF($K3090="","",INDEX(Zeiterfassung!$K$6:$K$3665,$K3090))</f>
        <v/>
      </c>
      <c r="C3090" s="185">
        <f>IF($K3090="","",INDEX(Zeiterfassung!$K$6:$K$3665,$K3090))</f>
        <v/>
      </c>
      <c r="D3090" s="186">
        <f>IF($K3090="","",INDEX(Zeiterfassung!$D$6:$D$3665,$K3090))</f>
        <v/>
      </c>
      <c r="E3090" s="186">
        <f>IF($K3090="","",INDEX(Zeiterfassung!$E$6:$E$3665,$K3090))</f>
        <v/>
      </c>
      <c r="F3090" s="187">
        <f>IF($K3090="","",INDEX(Zeiterfassung!$F$6:$F$3665,$K3090))</f>
        <v/>
      </c>
      <c r="G3090" s="187">
        <f>IF($K3090="","",INDEX(Zeiterfassung!$G$6:$G$3665,$K3090))</f>
        <v/>
      </c>
      <c r="H3090" s="188">
        <f>IF($K3090="","",INDEX(Zeiterfassung!$H$6:$H$3665,$K3090))</f>
        <v/>
      </c>
      <c r="I3090" s="335">
        <f>IF(B3090=B3089,"",IF($K3090="","",INDEX(Zeiterfassung!$I$6:$I$3665,MATCH(INDEX(Zeiterfassung!$K$6:$K$3665,$K3090),Zeiterfassung!$K$6:$K$3665,0))))</f>
        <v/>
      </c>
      <c r="J3090" s="335">
        <f>IF(B3090=B3089,"",IF($K3090="","",INDEX(Zeiterfassung!$J$6:$J$3665,MATCH(INDEX(Zeiterfassung!$K$6:$K$3665,$K3090),Zeiterfassung!$K$6:$K$3665,0))))</f>
        <v/>
      </c>
      <c r="K3090">
        <f>IFERROR(AGGREGATE(15,6,(ROW(Zeiterfassung!$D$6:$D$3665)-ROW(Zeiterfassung!$D$6)+1)/(Zeiterfassung!$D$6:$D$3665&lt;&gt;""),3085),"")</f>
        <v/>
      </c>
    </row>
    <row r="3091" ht="20" customHeight="1">
      <c r="A3091" s="183">
        <f>IF($K3091="","",WEEKNUM(INDEX(Zeiterfassung!$K$6:$K$3665,$K3091),21))</f>
        <v/>
      </c>
      <c r="B3091" s="184">
        <f>IF($K3091="","",INDEX(Zeiterfassung!$K$6:$K$3665,$K3091))</f>
        <v/>
      </c>
      <c r="C3091" s="185">
        <f>IF($K3091="","",INDEX(Zeiterfassung!$K$6:$K$3665,$K3091))</f>
        <v/>
      </c>
      <c r="D3091" s="186">
        <f>IF($K3091="","",INDEX(Zeiterfassung!$D$6:$D$3665,$K3091))</f>
        <v/>
      </c>
      <c r="E3091" s="186">
        <f>IF($K3091="","",INDEX(Zeiterfassung!$E$6:$E$3665,$K3091))</f>
        <v/>
      </c>
      <c r="F3091" s="187">
        <f>IF($K3091="","",INDEX(Zeiterfassung!$F$6:$F$3665,$K3091))</f>
        <v/>
      </c>
      <c r="G3091" s="187">
        <f>IF($K3091="","",INDEX(Zeiterfassung!$G$6:$G$3665,$K3091))</f>
        <v/>
      </c>
      <c r="H3091" s="188">
        <f>IF($K3091="","",INDEX(Zeiterfassung!$H$6:$H$3665,$K3091))</f>
        <v/>
      </c>
      <c r="I3091" s="335">
        <f>IF(B3091=B3090,"",IF($K3091="","",INDEX(Zeiterfassung!$I$6:$I$3665,MATCH(INDEX(Zeiterfassung!$K$6:$K$3665,$K3091),Zeiterfassung!$K$6:$K$3665,0))))</f>
        <v/>
      </c>
      <c r="J3091" s="335">
        <f>IF(B3091=B3090,"",IF($K3091="","",INDEX(Zeiterfassung!$J$6:$J$3665,MATCH(INDEX(Zeiterfassung!$K$6:$K$3665,$K3091),Zeiterfassung!$K$6:$K$3665,0))))</f>
        <v/>
      </c>
      <c r="K3091">
        <f>IFERROR(AGGREGATE(15,6,(ROW(Zeiterfassung!$D$6:$D$3665)-ROW(Zeiterfassung!$D$6)+1)/(Zeiterfassung!$D$6:$D$3665&lt;&gt;""),3086),"")</f>
        <v/>
      </c>
    </row>
    <row r="3092" ht="20" customHeight="1">
      <c r="A3092" s="183">
        <f>IF($K3092="","",WEEKNUM(INDEX(Zeiterfassung!$K$6:$K$3665,$K3092),21))</f>
        <v/>
      </c>
      <c r="B3092" s="184">
        <f>IF($K3092="","",INDEX(Zeiterfassung!$K$6:$K$3665,$K3092))</f>
        <v/>
      </c>
      <c r="C3092" s="185">
        <f>IF($K3092="","",INDEX(Zeiterfassung!$K$6:$K$3665,$K3092))</f>
        <v/>
      </c>
      <c r="D3092" s="186">
        <f>IF($K3092="","",INDEX(Zeiterfassung!$D$6:$D$3665,$K3092))</f>
        <v/>
      </c>
      <c r="E3092" s="186">
        <f>IF($K3092="","",INDEX(Zeiterfassung!$E$6:$E$3665,$K3092))</f>
        <v/>
      </c>
      <c r="F3092" s="187">
        <f>IF($K3092="","",INDEX(Zeiterfassung!$F$6:$F$3665,$K3092))</f>
        <v/>
      </c>
      <c r="G3092" s="187">
        <f>IF($K3092="","",INDEX(Zeiterfassung!$G$6:$G$3665,$K3092))</f>
        <v/>
      </c>
      <c r="H3092" s="188">
        <f>IF($K3092="","",INDEX(Zeiterfassung!$H$6:$H$3665,$K3092))</f>
        <v/>
      </c>
      <c r="I3092" s="335">
        <f>IF(B3092=B3091,"",IF($K3092="","",INDEX(Zeiterfassung!$I$6:$I$3665,MATCH(INDEX(Zeiterfassung!$K$6:$K$3665,$K3092),Zeiterfassung!$K$6:$K$3665,0))))</f>
        <v/>
      </c>
      <c r="J3092" s="335">
        <f>IF(B3092=B3091,"",IF($K3092="","",INDEX(Zeiterfassung!$J$6:$J$3665,MATCH(INDEX(Zeiterfassung!$K$6:$K$3665,$K3092),Zeiterfassung!$K$6:$K$3665,0))))</f>
        <v/>
      </c>
      <c r="K3092">
        <f>IFERROR(AGGREGATE(15,6,(ROW(Zeiterfassung!$D$6:$D$3665)-ROW(Zeiterfassung!$D$6)+1)/(Zeiterfassung!$D$6:$D$3665&lt;&gt;""),3087),"")</f>
        <v/>
      </c>
    </row>
    <row r="3093" ht="20" customHeight="1">
      <c r="A3093" s="183">
        <f>IF($K3093="","",WEEKNUM(INDEX(Zeiterfassung!$K$6:$K$3665,$K3093),21))</f>
        <v/>
      </c>
      <c r="B3093" s="184">
        <f>IF($K3093="","",INDEX(Zeiterfassung!$K$6:$K$3665,$K3093))</f>
        <v/>
      </c>
      <c r="C3093" s="185">
        <f>IF($K3093="","",INDEX(Zeiterfassung!$K$6:$K$3665,$K3093))</f>
        <v/>
      </c>
      <c r="D3093" s="186">
        <f>IF($K3093="","",INDEX(Zeiterfassung!$D$6:$D$3665,$K3093))</f>
        <v/>
      </c>
      <c r="E3093" s="186">
        <f>IF($K3093="","",INDEX(Zeiterfassung!$E$6:$E$3665,$K3093))</f>
        <v/>
      </c>
      <c r="F3093" s="187">
        <f>IF($K3093="","",INDEX(Zeiterfassung!$F$6:$F$3665,$K3093))</f>
        <v/>
      </c>
      <c r="G3093" s="187">
        <f>IF($K3093="","",INDEX(Zeiterfassung!$G$6:$G$3665,$K3093))</f>
        <v/>
      </c>
      <c r="H3093" s="188">
        <f>IF($K3093="","",INDEX(Zeiterfassung!$H$6:$H$3665,$K3093))</f>
        <v/>
      </c>
      <c r="I3093" s="335">
        <f>IF(B3093=B3092,"",IF($K3093="","",INDEX(Zeiterfassung!$I$6:$I$3665,MATCH(INDEX(Zeiterfassung!$K$6:$K$3665,$K3093),Zeiterfassung!$K$6:$K$3665,0))))</f>
        <v/>
      </c>
      <c r="J3093" s="335">
        <f>IF(B3093=B3092,"",IF($K3093="","",INDEX(Zeiterfassung!$J$6:$J$3665,MATCH(INDEX(Zeiterfassung!$K$6:$K$3665,$K3093),Zeiterfassung!$K$6:$K$3665,0))))</f>
        <v/>
      </c>
      <c r="K3093">
        <f>IFERROR(AGGREGATE(15,6,(ROW(Zeiterfassung!$D$6:$D$3665)-ROW(Zeiterfassung!$D$6)+1)/(Zeiterfassung!$D$6:$D$3665&lt;&gt;""),3088),"")</f>
        <v/>
      </c>
    </row>
    <row r="3094" ht="20" customHeight="1">
      <c r="A3094" s="183">
        <f>IF($K3094="","",WEEKNUM(INDEX(Zeiterfassung!$K$6:$K$3665,$K3094),21))</f>
        <v/>
      </c>
      <c r="B3094" s="184">
        <f>IF($K3094="","",INDEX(Zeiterfassung!$K$6:$K$3665,$K3094))</f>
        <v/>
      </c>
      <c r="C3094" s="185">
        <f>IF($K3094="","",INDEX(Zeiterfassung!$K$6:$K$3665,$K3094))</f>
        <v/>
      </c>
      <c r="D3094" s="186">
        <f>IF($K3094="","",INDEX(Zeiterfassung!$D$6:$D$3665,$K3094))</f>
        <v/>
      </c>
      <c r="E3094" s="186">
        <f>IF($K3094="","",INDEX(Zeiterfassung!$E$6:$E$3665,$K3094))</f>
        <v/>
      </c>
      <c r="F3094" s="187">
        <f>IF($K3094="","",INDEX(Zeiterfassung!$F$6:$F$3665,$K3094))</f>
        <v/>
      </c>
      <c r="G3094" s="187">
        <f>IF($K3094="","",INDEX(Zeiterfassung!$G$6:$G$3665,$K3094))</f>
        <v/>
      </c>
      <c r="H3094" s="188">
        <f>IF($K3094="","",INDEX(Zeiterfassung!$H$6:$H$3665,$K3094))</f>
        <v/>
      </c>
      <c r="I3094" s="335">
        <f>IF(B3094=B3093,"",IF($K3094="","",INDEX(Zeiterfassung!$I$6:$I$3665,MATCH(INDEX(Zeiterfassung!$K$6:$K$3665,$K3094),Zeiterfassung!$K$6:$K$3665,0))))</f>
        <v/>
      </c>
      <c r="J3094" s="335">
        <f>IF(B3094=B3093,"",IF($K3094="","",INDEX(Zeiterfassung!$J$6:$J$3665,MATCH(INDEX(Zeiterfassung!$K$6:$K$3665,$K3094),Zeiterfassung!$K$6:$K$3665,0))))</f>
        <v/>
      </c>
      <c r="K3094">
        <f>IFERROR(AGGREGATE(15,6,(ROW(Zeiterfassung!$D$6:$D$3665)-ROW(Zeiterfassung!$D$6)+1)/(Zeiterfassung!$D$6:$D$3665&lt;&gt;""),3089),"")</f>
        <v/>
      </c>
    </row>
    <row r="3095" ht="20" customHeight="1">
      <c r="A3095" s="183">
        <f>IF($K3095="","",WEEKNUM(INDEX(Zeiterfassung!$K$6:$K$3665,$K3095),21))</f>
        <v/>
      </c>
      <c r="B3095" s="184">
        <f>IF($K3095="","",INDEX(Zeiterfassung!$K$6:$K$3665,$K3095))</f>
        <v/>
      </c>
      <c r="C3095" s="185">
        <f>IF($K3095="","",INDEX(Zeiterfassung!$K$6:$K$3665,$K3095))</f>
        <v/>
      </c>
      <c r="D3095" s="186">
        <f>IF($K3095="","",INDEX(Zeiterfassung!$D$6:$D$3665,$K3095))</f>
        <v/>
      </c>
      <c r="E3095" s="186">
        <f>IF($K3095="","",INDEX(Zeiterfassung!$E$6:$E$3665,$K3095))</f>
        <v/>
      </c>
      <c r="F3095" s="187">
        <f>IF($K3095="","",INDEX(Zeiterfassung!$F$6:$F$3665,$K3095))</f>
        <v/>
      </c>
      <c r="G3095" s="187">
        <f>IF($K3095="","",INDEX(Zeiterfassung!$G$6:$G$3665,$K3095))</f>
        <v/>
      </c>
      <c r="H3095" s="188">
        <f>IF($K3095="","",INDEX(Zeiterfassung!$H$6:$H$3665,$K3095))</f>
        <v/>
      </c>
      <c r="I3095" s="335">
        <f>IF(B3095=B3094,"",IF($K3095="","",INDEX(Zeiterfassung!$I$6:$I$3665,MATCH(INDEX(Zeiterfassung!$K$6:$K$3665,$K3095),Zeiterfassung!$K$6:$K$3665,0))))</f>
        <v/>
      </c>
      <c r="J3095" s="335">
        <f>IF(B3095=B3094,"",IF($K3095="","",INDEX(Zeiterfassung!$J$6:$J$3665,MATCH(INDEX(Zeiterfassung!$K$6:$K$3665,$K3095),Zeiterfassung!$K$6:$K$3665,0))))</f>
        <v/>
      </c>
      <c r="K3095">
        <f>IFERROR(AGGREGATE(15,6,(ROW(Zeiterfassung!$D$6:$D$3665)-ROW(Zeiterfassung!$D$6)+1)/(Zeiterfassung!$D$6:$D$3665&lt;&gt;""),3090),"")</f>
        <v/>
      </c>
    </row>
    <row r="3096" ht="20" customHeight="1">
      <c r="A3096" s="183">
        <f>IF($K3096="","",WEEKNUM(INDEX(Zeiterfassung!$K$6:$K$3665,$K3096),21))</f>
        <v/>
      </c>
      <c r="B3096" s="184">
        <f>IF($K3096="","",INDEX(Zeiterfassung!$K$6:$K$3665,$K3096))</f>
        <v/>
      </c>
      <c r="C3096" s="185">
        <f>IF($K3096="","",INDEX(Zeiterfassung!$K$6:$K$3665,$K3096))</f>
        <v/>
      </c>
      <c r="D3096" s="186">
        <f>IF($K3096="","",INDEX(Zeiterfassung!$D$6:$D$3665,$K3096))</f>
        <v/>
      </c>
      <c r="E3096" s="186">
        <f>IF($K3096="","",INDEX(Zeiterfassung!$E$6:$E$3665,$K3096))</f>
        <v/>
      </c>
      <c r="F3096" s="187">
        <f>IF($K3096="","",INDEX(Zeiterfassung!$F$6:$F$3665,$K3096))</f>
        <v/>
      </c>
      <c r="G3096" s="187">
        <f>IF($K3096="","",INDEX(Zeiterfassung!$G$6:$G$3665,$K3096))</f>
        <v/>
      </c>
      <c r="H3096" s="188">
        <f>IF($K3096="","",INDEX(Zeiterfassung!$H$6:$H$3665,$K3096))</f>
        <v/>
      </c>
      <c r="I3096" s="335">
        <f>IF(B3096=B3095,"",IF($K3096="","",INDEX(Zeiterfassung!$I$6:$I$3665,MATCH(INDEX(Zeiterfassung!$K$6:$K$3665,$K3096),Zeiterfassung!$K$6:$K$3665,0))))</f>
        <v/>
      </c>
      <c r="J3096" s="335">
        <f>IF(B3096=B3095,"",IF($K3096="","",INDEX(Zeiterfassung!$J$6:$J$3665,MATCH(INDEX(Zeiterfassung!$K$6:$K$3665,$K3096),Zeiterfassung!$K$6:$K$3665,0))))</f>
        <v/>
      </c>
      <c r="K3096">
        <f>IFERROR(AGGREGATE(15,6,(ROW(Zeiterfassung!$D$6:$D$3665)-ROW(Zeiterfassung!$D$6)+1)/(Zeiterfassung!$D$6:$D$3665&lt;&gt;""),3091),"")</f>
        <v/>
      </c>
    </row>
    <row r="3097" ht="20" customHeight="1">
      <c r="A3097" s="183">
        <f>IF($K3097="","",WEEKNUM(INDEX(Zeiterfassung!$K$6:$K$3665,$K3097),21))</f>
        <v/>
      </c>
      <c r="B3097" s="184">
        <f>IF($K3097="","",INDEX(Zeiterfassung!$K$6:$K$3665,$K3097))</f>
        <v/>
      </c>
      <c r="C3097" s="185">
        <f>IF($K3097="","",INDEX(Zeiterfassung!$K$6:$K$3665,$K3097))</f>
        <v/>
      </c>
      <c r="D3097" s="186">
        <f>IF($K3097="","",INDEX(Zeiterfassung!$D$6:$D$3665,$K3097))</f>
        <v/>
      </c>
      <c r="E3097" s="186">
        <f>IF($K3097="","",INDEX(Zeiterfassung!$E$6:$E$3665,$K3097))</f>
        <v/>
      </c>
      <c r="F3097" s="187">
        <f>IF($K3097="","",INDEX(Zeiterfassung!$F$6:$F$3665,$K3097))</f>
        <v/>
      </c>
      <c r="G3097" s="187">
        <f>IF($K3097="","",INDEX(Zeiterfassung!$G$6:$G$3665,$K3097))</f>
        <v/>
      </c>
      <c r="H3097" s="188">
        <f>IF($K3097="","",INDEX(Zeiterfassung!$H$6:$H$3665,$K3097))</f>
        <v/>
      </c>
      <c r="I3097" s="335">
        <f>IF(B3097=B3096,"",IF($K3097="","",INDEX(Zeiterfassung!$I$6:$I$3665,MATCH(INDEX(Zeiterfassung!$K$6:$K$3665,$K3097),Zeiterfassung!$K$6:$K$3665,0))))</f>
        <v/>
      </c>
      <c r="J3097" s="335">
        <f>IF(B3097=B3096,"",IF($K3097="","",INDEX(Zeiterfassung!$J$6:$J$3665,MATCH(INDEX(Zeiterfassung!$K$6:$K$3665,$K3097),Zeiterfassung!$K$6:$K$3665,0))))</f>
        <v/>
      </c>
      <c r="K3097">
        <f>IFERROR(AGGREGATE(15,6,(ROW(Zeiterfassung!$D$6:$D$3665)-ROW(Zeiterfassung!$D$6)+1)/(Zeiterfassung!$D$6:$D$3665&lt;&gt;""),3092),"")</f>
        <v/>
      </c>
    </row>
    <row r="3098" ht="20" customHeight="1">
      <c r="A3098" s="183">
        <f>IF($K3098="","",WEEKNUM(INDEX(Zeiterfassung!$K$6:$K$3665,$K3098),21))</f>
        <v/>
      </c>
      <c r="B3098" s="184">
        <f>IF($K3098="","",INDEX(Zeiterfassung!$K$6:$K$3665,$K3098))</f>
        <v/>
      </c>
      <c r="C3098" s="185">
        <f>IF($K3098="","",INDEX(Zeiterfassung!$K$6:$K$3665,$K3098))</f>
        <v/>
      </c>
      <c r="D3098" s="186">
        <f>IF($K3098="","",INDEX(Zeiterfassung!$D$6:$D$3665,$K3098))</f>
        <v/>
      </c>
      <c r="E3098" s="186">
        <f>IF($K3098="","",INDEX(Zeiterfassung!$E$6:$E$3665,$K3098))</f>
        <v/>
      </c>
      <c r="F3098" s="187">
        <f>IF($K3098="","",INDEX(Zeiterfassung!$F$6:$F$3665,$K3098))</f>
        <v/>
      </c>
      <c r="G3098" s="187">
        <f>IF($K3098="","",INDEX(Zeiterfassung!$G$6:$G$3665,$K3098))</f>
        <v/>
      </c>
      <c r="H3098" s="188">
        <f>IF($K3098="","",INDEX(Zeiterfassung!$H$6:$H$3665,$K3098))</f>
        <v/>
      </c>
      <c r="I3098" s="335">
        <f>IF(B3098=B3097,"",IF($K3098="","",INDEX(Zeiterfassung!$I$6:$I$3665,MATCH(INDEX(Zeiterfassung!$K$6:$K$3665,$K3098),Zeiterfassung!$K$6:$K$3665,0))))</f>
        <v/>
      </c>
      <c r="J3098" s="335">
        <f>IF(B3098=B3097,"",IF($K3098="","",INDEX(Zeiterfassung!$J$6:$J$3665,MATCH(INDEX(Zeiterfassung!$K$6:$K$3665,$K3098),Zeiterfassung!$K$6:$K$3665,0))))</f>
        <v/>
      </c>
      <c r="K3098">
        <f>IFERROR(AGGREGATE(15,6,(ROW(Zeiterfassung!$D$6:$D$3665)-ROW(Zeiterfassung!$D$6)+1)/(Zeiterfassung!$D$6:$D$3665&lt;&gt;""),3093),"")</f>
        <v/>
      </c>
    </row>
    <row r="3099" ht="20" customHeight="1">
      <c r="A3099" s="183">
        <f>IF($K3099="","",WEEKNUM(INDEX(Zeiterfassung!$K$6:$K$3665,$K3099),21))</f>
        <v/>
      </c>
      <c r="B3099" s="184">
        <f>IF($K3099="","",INDEX(Zeiterfassung!$K$6:$K$3665,$K3099))</f>
        <v/>
      </c>
      <c r="C3099" s="185">
        <f>IF($K3099="","",INDEX(Zeiterfassung!$K$6:$K$3665,$K3099))</f>
        <v/>
      </c>
      <c r="D3099" s="186">
        <f>IF($K3099="","",INDEX(Zeiterfassung!$D$6:$D$3665,$K3099))</f>
        <v/>
      </c>
      <c r="E3099" s="186">
        <f>IF($K3099="","",INDEX(Zeiterfassung!$E$6:$E$3665,$K3099))</f>
        <v/>
      </c>
      <c r="F3099" s="187">
        <f>IF($K3099="","",INDEX(Zeiterfassung!$F$6:$F$3665,$K3099))</f>
        <v/>
      </c>
      <c r="G3099" s="187">
        <f>IF($K3099="","",INDEX(Zeiterfassung!$G$6:$G$3665,$K3099))</f>
        <v/>
      </c>
      <c r="H3099" s="188">
        <f>IF($K3099="","",INDEX(Zeiterfassung!$H$6:$H$3665,$K3099))</f>
        <v/>
      </c>
      <c r="I3099" s="335">
        <f>IF(B3099=B3098,"",IF($K3099="","",INDEX(Zeiterfassung!$I$6:$I$3665,MATCH(INDEX(Zeiterfassung!$K$6:$K$3665,$K3099),Zeiterfassung!$K$6:$K$3665,0))))</f>
        <v/>
      </c>
      <c r="J3099" s="335">
        <f>IF(B3099=B3098,"",IF($K3099="","",INDEX(Zeiterfassung!$J$6:$J$3665,MATCH(INDEX(Zeiterfassung!$K$6:$K$3665,$K3099),Zeiterfassung!$K$6:$K$3665,0))))</f>
        <v/>
      </c>
      <c r="K3099">
        <f>IFERROR(AGGREGATE(15,6,(ROW(Zeiterfassung!$D$6:$D$3665)-ROW(Zeiterfassung!$D$6)+1)/(Zeiterfassung!$D$6:$D$3665&lt;&gt;""),3094),"")</f>
        <v/>
      </c>
    </row>
    <row r="3100" ht="20" customHeight="1">
      <c r="A3100" s="183">
        <f>IF($K3100="","",WEEKNUM(INDEX(Zeiterfassung!$K$6:$K$3665,$K3100),21))</f>
        <v/>
      </c>
      <c r="B3100" s="184">
        <f>IF($K3100="","",INDEX(Zeiterfassung!$K$6:$K$3665,$K3100))</f>
        <v/>
      </c>
      <c r="C3100" s="185">
        <f>IF($K3100="","",INDEX(Zeiterfassung!$K$6:$K$3665,$K3100))</f>
        <v/>
      </c>
      <c r="D3100" s="186">
        <f>IF($K3100="","",INDEX(Zeiterfassung!$D$6:$D$3665,$K3100))</f>
        <v/>
      </c>
      <c r="E3100" s="186">
        <f>IF($K3100="","",INDEX(Zeiterfassung!$E$6:$E$3665,$K3100))</f>
        <v/>
      </c>
      <c r="F3100" s="187">
        <f>IF($K3100="","",INDEX(Zeiterfassung!$F$6:$F$3665,$K3100))</f>
        <v/>
      </c>
      <c r="G3100" s="187">
        <f>IF($K3100="","",INDEX(Zeiterfassung!$G$6:$G$3665,$K3100))</f>
        <v/>
      </c>
      <c r="H3100" s="188">
        <f>IF($K3100="","",INDEX(Zeiterfassung!$H$6:$H$3665,$K3100))</f>
        <v/>
      </c>
      <c r="I3100" s="335">
        <f>IF(B3100=B3099,"",IF($K3100="","",INDEX(Zeiterfassung!$I$6:$I$3665,MATCH(INDEX(Zeiterfassung!$K$6:$K$3665,$K3100),Zeiterfassung!$K$6:$K$3665,0))))</f>
        <v/>
      </c>
      <c r="J3100" s="335">
        <f>IF(B3100=B3099,"",IF($K3100="","",INDEX(Zeiterfassung!$J$6:$J$3665,MATCH(INDEX(Zeiterfassung!$K$6:$K$3665,$K3100),Zeiterfassung!$K$6:$K$3665,0))))</f>
        <v/>
      </c>
      <c r="K3100">
        <f>IFERROR(AGGREGATE(15,6,(ROW(Zeiterfassung!$D$6:$D$3665)-ROW(Zeiterfassung!$D$6)+1)/(Zeiterfassung!$D$6:$D$3665&lt;&gt;""),3095),"")</f>
        <v/>
      </c>
    </row>
    <row r="3101" ht="20" customHeight="1">
      <c r="A3101" s="183">
        <f>IF($K3101="","",WEEKNUM(INDEX(Zeiterfassung!$K$6:$K$3665,$K3101),21))</f>
        <v/>
      </c>
      <c r="B3101" s="184">
        <f>IF($K3101="","",INDEX(Zeiterfassung!$K$6:$K$3665,$K3101))</f>
        <v/>
      </c>
      <c r="C3101" s="185">
        <f>IF($K3101="","",INDEX(Zeiterfassung!$K$6:$K$3665,$K3101))</f>
        <v/>
      </c>
      <c r="D3101" s="186">
        <f>IF($K3101="","",INDEX(Zeiterfassung!$D$6:$D$3665,$K3101))</f>
        <v/>
      </c>
      <c r="E3101" s="186">
        <f>IF($K3101="","",INDEX(Zeiterfassung!$E$6:$E$3665,$K3101))</f>
        <v/>
      </c>
      <c r="F3101" s="187">
        <f>IF($K3101="","",INDEX(Zeiterfassung!$F$6:$F$3665,$K3101))</f>
        <v/>
      </c>
      <c r="G3101" s="187">
        <f>IF($K3101="","",INDEX(Zeiterfassung!$G$6:$G$3665,$K3101))</f>
        <v/>
      </c>
      <c r="H3101" s="188">
        <f>IF($K3101="","",INDEX(Zeiterfassung!$H$6:$H$3665,$K3101))</f>
        <v/>
      </c>
      <c r="I3101" s="335">
        <f>IF(B3101=B3100,"",IF($K3101="","",INDEX(Zeiterfassung!$I$6:$I$3665,MATCH(INDEX(Zeiterfassung!$K$6:$K$3665,$K3101),Zeiterfassung!$K$6:$K$3665,0))))</f>
        <v/>
      </c>
      <c r="J3101" s="335">
        <f>IF(B3101=B3100,"",IF($K3101="","",INDEX(Zeiterfassung!$J$6:$J$3665,MATCH(INDEX(Zeiterfassung!$K$6:$K$3665,$K3101),Zeiterfassung!$K$6:$K$3665,0))))</f>
        <v/>
      </c>
      <c r="K3101">
        <f>IFERROR(AGGREGATE(15,6,(ROW(Zeiterfassung!$D$6:$D$3665)-ROW(Zeiterfassung!$D$6)+1)/(Zeiterfassung!$D$6:$D$3665&lt;&gt;""),3096),"")</f>
        <v/>
      </c>
    </row>
    <row r="3102" ht="20" customHeight="1">
      <c r="A3102" s="183">
        <f>IF($K3102="","",WEEKNUM(INDEX(Zeiterfassung!$K$6:$K$3665,$K3102),21))</f>
        <v/>
      </c>
      <c r="B3102" s="184">
        <f>IF($K3102="","",INDEX(Zeiterfassung!$K$6:$K$3665,$K3102))</f>
        <v/>
      </c>
      <c r="C3102" s="185">
        <f>IF($K3102="","",INDEX(Zeiterfassung!$K$6:$K$3665,$K3102))</f>
        <v/>
      </c>
      <c r="D3102" s="186">
        <f>IF($K3102="","",INDEX(Zeiterfassung!$D$6:$D$3665,$K3102))</f>
        <v/>
      </c>
      <c r="E3102" s="186">
        <f>IF($K3102="","",INDEX(Zeiterfassung!$E$6:$E$3665,$K3102))</f>
        <v/>
      </c>
      <c r="F3102" s="187">
        <f>IF($K3102="","",INDEX(Zeiterfassung!$F$6:$F$3665,$K3102))</f>
        <v/>
      </c>
      <c r="G3102" s="187">
        <f>IF($K3102="","",INDEX(Zeiterfassung!$G$6:$G$3665,$K3102))</f>
        <v/>
      </c>
      <c r="H3102" s="188">
        <f>IF($K3102="","",INDEX(Zeiterfassung!$H$6:$H$3665,$K3102))</f>
        <v/>
      </c>
      <c r="I3102" s="335">
        <f>IF(B3102=B3101,"",IF($K3102="","",INDEX(Zeiterfassung!$I$6:$I$3665,MATCH(INDEX(Zeiterfassung!$K$6:$K$3665,$K3102),Zeiterfassung!$K$6:$K$3665,0))))</f>
        <v/>
      </c>
      <c r="J3102" s="335">
        <f>IF(B3102=B3101,"",IF($K3102="","",INDEX(Zeiterfassung!$J$6:$J$3665,MATCH(INDEX(Zeiterfassung!$K$6:$K$3665,$K3102),Zeiterfassung!$K$6:$K$3665,0))))</f>
        <v/>
      </c>
      <c r="K3102">
        <f>IFERROR(AGGREGATE(15,6,(ROW(Zeiterfassung!$D$6:$D$3665)-ROW(Zeiterfassung!$D$6)+1)/(Zeiterfassung!$D$6:$D$3665&lt;&gt;""),3097),"")</f>
        <v/>
      </c>
    </row>
    <row r="3103" ht="20" customHeight="1">
      <c r="A3103" s="183">
        <f>IF($K3103="","",WEEKNUM(INDEX(Zeiterfassung!$K$6:$K$3665,$K3103),21))</f>
        <v/>
      </c>
      <c r="B3103" s="184">
        <f>IF($K3103="","",INDEX(Zeiterfassung!$K$6:$K$3665,$K3103))</f>
        <v/>
      </c>
      <c r="C3103" s="185">
        <f>IF($K3103="","",INDEX(Zeiterfassung!$K$6:$K$3665,$K3103))</f>
        <v/>
      </c>
      <c r="D3103" s="186">
        <f>IF($K3103="","",INDEX(Zeiterfassung!$D$6:$D$3665,$K3103))</f>
        <v/>
      </c>
      <c r="E3103" s="186">
        <f>IF($K3103="","",INDEX(Zeiterfassung!$E$6:$E$3665,$K3103))</f>
        <v/>
      </c>
      <c r="F3103" s="187">
        <f>IF($K3103="","",INDEX(Zeiterfassung!$F$6:$F$3665,$K3103))</f>
        <v/>
      </c>
      <c r="G3103" s="187">
        <f>IF($K3103="","",INDEX(Zeiterfassung!$G$6:$G$3665,$K3103))</f>
        <v/>
      </c>
      <c r="H3103" s="188">
        <f>IF($K3103="","",INDEX(Zeiterfassung!$H$6:$H$3665,$K3103))</f>
        <v/>
      </c>
      <c r="I3103" s="335">
        <f>IF(B3103=B3102,"",IF($K3103="","",INDEX(Zeiterfassung!$I$6:$I$3665,MATCH(INDEX(Zeiterfassung!$K$6:$K$3665,$K3103),Zeiterfassung!$K$6:$K$3665,0))))</f>
        <v/>
      </c>
      <c r="J3103" s="335">
        <f>IF(B3103=B3102,"",IF($K3103="","",INDEX(Zeiterfassung!$J$6:$J$3665,MATCH(INDEX(Zeiterfassung!$K$6:$K$3665,$K3103),Zeiterfassung!$K$6:$K$3665,0))))</f>
        <v/>
      </c>
      <c r="K3103">
        <f>IFERROR(AGGREGATE(15,6,(ROW(Zeiterfassung!$D$6:$D$3665)-ROW(Zeiterfassung!$D$6)+1)/(Zeiterfassung!$D$6:$D$3665&lt;&gt;""),3098),"")</f>
        <v/>
      </c>
    </row>
    <row r="3104" ht="20" customHeight="1">
      <c r="A3104" s="183">
        <f>IF($K3104="","",WEEKNUM(INDEX(Zeiterfassung!$K$6:$K$3665,$K3104),21))</f>
        <v/>
      </c>
      <c r="B3104" s="184">
        <f>IF($K3104="","",INDEX(Zeiterfassung!$K$6:$K$3665,$K3104))</f>
        <v/>
      </c>
      <c r="C3104" s="185">
        <f>IF($K3104="","",INDEX(Zeiterfassung!$K$6:$K$3665,$K3104))</f>
        <v/>
      </c>
      <c r="D3104" s="186">
        <f>IF($K3104="","",INDEX(Zeiterfassung!$D$6:$D$3665,$K3104))</f>
        <v/>
      </c>
      <c r="E3104" s="186">
        <f>IF($K3104="","",INDEX(Zeiterfassung!$E$6:$E$3665,$K3104))</f>
        <v/>
      </c>
      <c r="F3104" s="187">
        <f>IF($K3104="","",INDEX(Zeiterfassung!$F$6:$F$3665,$K3104))</f>
        <v/>
      </c>
      <c r="G3104" s="187">
        <f>IF($K3104="","",INDEX(Zeiterfassung!$G$6:$G$3665,$K3104))</f>
        <v/>
      </c>
      <c r="H3104" s="188">
        <f>IF($K3104="","",INDEX(Zeiterfassung!$H$6:$H$3665,$K3104))</f>
        <v/>
      </c>
      <c r="I3104" s="335">
        <f>IF(B3104=B3103,"",IF($K3104="","",INDEX(Zeiterfassung!$I$6:$I$3665,MATCH(INDEX(Zeiterfassung!$K$6:$K$3665,$K3104),Zeiterfassung!$K$6:$K$3665,0))))</f>
        <v/>
      </c>
      <c r="J3104" s="335">
        <f>IF(B3104=B3103,"",IF($K3104="","",INDEX(Zeiterfassung!$J$6:$J$3665,MATCH(INDEX(Zeiterfassung!$K$6:$K$3665,$K3104),Zeiterfassung!$K$6:$K$3665,0))))</f>
        <v/>
      </c>
      <c r="K3104">
        <f>IFERROR(AGGREGATE(15,6,(ROW(Zeiterfassung!$D$6:$D$3665)-ROW(Zeiterfassung!$D$6)+1)/(Zeiterfassung!$D$6:$D$3665&lt;&gt;""),3099),"")</f>
        <v/>
      </c>
    </row>
    <row r="3105" ht="20" customHeight="1">
      <c r="A3105" s="183">
        <f>IF($K3105="","",WEEKNUM(INDEX(Zeiterfassung!$K$6:$K$3665,$K3105),21))</f>
        <v/>
      </c>
      <c r="B3105" s="184">
        <f>IF($K3105="","",INDEX(Zeiterfassung!$K$6:$K$3665,$K3105))</f>
        <v/>
      </c>
      <c r="C3105" s="185">
        <f>IF($K3105="","",INDEX(Zeiterfassung!$K$6:$K$3665,$K3105))</f>
        <v/>
      </c>
      <c r="D3105" s="186">
        <f>IF($K3105="","",INDEX(Zeiterfassung!$D$6:$D$3665,$K3105))</f>
        <v/>
      </c>
      <c r="E3105" s="186">
        <f>IF($K3105="","",INDEX(Zeiterfassung!$E$6:$E$3665,$K3105))</f>
        <v/>
      </c>
      <c r="F3105" s="187">
        <f>IF($K3105="","",INDEX(Zeiterfassung!$F$6:$F$3665,$K3105))</f>
        <v/>
      </c>
      <c r="G3105" s="187">
        <f>IF($K3105="","",INDEX(Zeiterfassung!$G$6:$G$3665,$K3105))</f>
        <v/>
      </c>
      <c r="H3105" s="188">
        <f>IF($K3105="","",INDEX(Zeiterfassung!$H$6:$H$3665,$K3105))</f>
        <v/>
      </c>
      <c r="I3105" s="335">
        <f>IF(B3105=B3104,"",IF($K3105="","",INDEX(Zeiterfassung!$I$6:$I$3665,MATCH(INDEX(Zeiterfassung!$K$6:$K$3665,$K3105),Zeiterfassung!$K$6:$K$3665,0))))</f>
        <v/>
      </c>
      <c r="J3105" s="335">
        <f>IF(B3105=B3104,"",IF($K3105="","",INDEX(Zeiterfassung!$J$6:$J$3665,MATCH(INDEX(Zeiterfassung!$K$6:$K$3665,$K3105),Zeiterfassung!$K$6:$K$3665,0))))</f>
        <v/>
      </c>
      <c r="K3105">
        <f>IFERROR(AGGREGATE(15,6,(ROW(Zeiterfassung!$D$6:$D$3665)-ROW(Zeiterfassung!$D$6)+1)/(Zeiterfassung!$D$6:$D$3665&lt;&gt;""),3100),"")</f>
        <v/>
      </c>
    </row>
    <row r="3106" ht="20" customHeight="1">
      <c r="A3106" s="183">
        <f>IF($K3106="","",WEEKNUM(INDEX(Zeiterfassung!$K$6:$K$3665,$K3106),21))</f>
        <v/>
      </c>
      <c r="B3106" s="184">
        <f>IF($K3106="","",INDEX(Zeiterfassung!$K$6:$K$3665,$K3106))</f>
        <v/>
      </c>
      <c r="C3106" s="185">
        <f>IF($K3106="","",INDEX(Zeiterfassung!$K$6:$K$3665,$K3106))</f>
        <v/>
      </c>
      <c r="D3106" s="186">
        <f>IF($K3106="","",INDEX(Zeiterfassung!$D$6:$D$3665,$K3106))</f>
        <v/>
      </c>
      <c r="E3106" s="186">
        <f>IF($K3106="","",INDEX(Zeiterfassung!$E$6:$E$3665,$K3106))</f>
        <v/>
      </c>
      <c r="F3106" s="187">
        <f>IF($K3106="","",INDEX(Zeiterfassung!$F$6:$F$3665,$K3106))</f>
        <v/>
      </c>
      <c r="G3106" s="187">
        <f>IF($K3106="","",INDEX(Zeiterfassung!$G$6:$G$3665,$K3106))</f>
        <v/>
      </c>
      <c r="H3106" s="188">
        <f>IF($K3106="","",INDEX(Zeiterfassung!$H$6:$H$3665,$K3106))</f>
        <v/>
      </c>
      <c r="I3106" s="335">
        <f>IF(B3106=B3105,"",IF($K3106="","",INDEX(Zeiterfassung!$I$6:$I$3665,MATCH(INDEX(Zeiterfassung!$K$6:$K$3665,$K3106),Zeiterfassung!$K$6:$K$3665,0))))</f>
        <v/>
      </c>
      <c r="J3106" s="335">
        <f>IF(B3106=B3105,"",IF($K3106="","",INDEX(Zeiterfassung!$J$6:$J$3665,MATCH(INDEX(Zeiterfassung!$K$6:$K$3665,$K3106),Zeiterfassung!$K$6:$K$3665,0))))</f>
        <v/>
      </c>
      <c r="K3106">
        <f>IFERROR(AGGREGATE(15,6,(ROW(Zeiterfassung!$D$6:$D$3665)-ROW(Zeiterfassung!$D$6)+1)/(Zeiterfassung!$D$6:$D$3665&lt;&gt;""),3101),"")</f>
        <v/>
      </c>
    </row>
    <row r="3107" ht="20" customHeight="1">
      <c r="A3107" s="183">
        <f>IF($K3107="","",WEEKNUM(INDEX(Zeiterfassung!$K$6:$K$3665,$K3107),21))</f>
        <v/>
      </c>
      <c r="B3107" s="184">
        <f>IF($K3107="","",INDEX(Zeiterfassung!$K$6:$K$3665,$K3107))</f>
        <v/>
      </c>
      <c r="C3107" s="185">
        <f>IF($K3107="","",INDEX(Zeiterfassung!$K$6:$K$3665,$K3107))</f>
        <v/>
      </c>
      <c r="D3107" s="186">
        <f>IF($K3107="","",INDEX(Zeiterfassung!$D$6:$D$3665,$K3107))</f>
        <v/>
      </c>
      <c r="E3107" s="186">
        <f>IF($K3107="","",INDEX(Zeiterfassung!$E$6:$E$3665,$K3107))</f>
        <v/>
      </c>
      <c r="F3107" s="187">
        <f>IF($K3107="","",INDEX(Zeiterfassung!$F$6:$F$3665,$K3107))</f>
        <v/>
      </c>
      <c r="G3107" s="187">
        <f>IF($K3107="","",INDEX(Zeiterfassung!$G$6:$G$3665,$K3107))</f>
        <v/>
      </c>
      <c r="H3107" s="188">
        <f>IF($K3107="","",INDEX(Zeiterfassung!$H$6:$H$3665,$K3107))</f>
        <v/>
      </c>
      <c r="I3107" s="335">
        <f>IF(B3107=B3106,"",IF($K3107="","",INDEX(Zeiterfassung!$I$6:$I$3665,MATCH(INDEX(Zeiterfassung!$K$6:$K$3665,$K3107),Zeiterfassung!$K$6:$K$3665,0))))</f>
        <v/>
      </c>
      <c r="J3107" s="335">
        <f>IF(B3107=B3106,"",IF($K3107="","",INDEX(Zeiterfassung!$J$6:$J$3665,MATCH(INDEX(Zeiterfassung!$K$6:$K$3665,$K3107),Zeiterfassung!$K$6:$K$3665,0))))</f>
        <v/>
      </c>
      <c r="K3107">
        <f>IFERROR(AGGREGATE(15,6,(ROW(Zeiterfassung!$D$6:$D$3665)-ROW(Zeiterfassung!$D$6)+1)/(Zeiterfassung!$D$6:$D$3665&lt;&gt;""),3102),"")</f>
        <v/>
      </c>
    </row>
    <row r="3108" ht="20" customHeight="1">
      <c r="A3108" s="183">
        <f>IF($K3108="","",WEEKNUM(INDEX(Zeiterfassung!$K$6:$K$3665,$K3108),21))</f>
        <v/>
      </c>
      <c r="B3108" s="184">
        <f>IF($K3108="","",INDEX(Zeiterfassung!$K$6:$K$3665,$K3108))</f>
        <v/>
      </c>
      <c r="C3108" s="185">
        <f>IF($K3108="","",INDEX(Zeiterfassung!$K$6:$K$3665,$K3108))</f>
        <v/>
      </c>
      <c r="D3108" s="186">
        <f>IF($K3108="","",INDEX(Zeiterfassung!$D$6:$D$3665,$K3108))</f>
        <v/>
      </c>
      <c r="E3108" s="186">
        <f>IF($K3108="","",INDEX(Zeiterfassung!$E$6:$E$3665,$K3108))</f>
        <v/>
      </c>
      <c r="F3108" s="187">
        <f>IF($K3108="","",INDEX(Zeiterfassung!$F$6:$F$3665,$K3108))</f>
        <v/>
      </c>
      <c r="G3108" s="187">
        <f>IF($K3108="","",INDEX(Zeiterfassung!$G$6:$G$3665,$K3108))</f>
        <v/>
      </c>
      <c r="H3108" s="188">
        <f>IF($K3108="","",INDEX(Zeiterfassung!$H$6:$H$3665,$K3108))</f>
        <v/>
      </c>
      <c r="I3108" s="335">
        <f>IF(B3108=B3107,"",IF($K3108="","",INDEX(Zeiterfassung!$I$6:$I$3665,MATCH(INDEX(Zeiterfassung!$K$6:$K$3665,$K3108),Zeiterfassung!$K$6:$K$3665,0))))</f>
        <v/>
      </c>
      <c r="J3108" s="335">
        <f>IF(B3108=B3107,"",IF($K3108="","",INDEX(Zeiterfassung!$J$6:$J$3665,MATCH(INDEX(Zeiterfassung!$K$6:$K$3665,$K3108),Zeiterfassung!$K$6:$K$3665,0))))</f>
        <v/>
      </c>
      <c r="K3108">
        <f>IFERROR(AGGREGATE(15,6,(ROW(Zeiterfassung!$D$6:$D$3665)-ROW(Zeiterfassung!$D$6)+1)/(Zeiterfassung!$D$6:$D$3665&lt;&gt;""),3103),"")</f>
        <v/>
      </c>
    </row>
    <row r="3109" ht="20" customHeight="1">
      <c r="A3109" s="183">
        <f>IF($K3109="","",WEEKNUM(INDEX(Zeiterfassung!$K$6:$K$3665,$K3109),21))</f>
        <v/>
      </c>
      <c r="B3109" s="184">
        <f>IF($K3109="","",INDEX(Zeiterfassung!$K$6:$K$3665,$K3109))</f>
        <v/>
      </c>
      <c r="C3109" s="185">
        <f>IF($K3109="","",INDEX(Zeiterfassung!$K$6:$K$3665,$K3109))</f>
        <v/>
      </c>
      <c r="D3109" s="186">
        <f>IF($K3109="","",INDEX(Zeiterfassung!$D$6:$D$3665,$K3109))</f>
        <v/>
      </c>
      <c r="E3109" s="186">
        <f>IF($K3109="","",INDEX(Zeiterfassung!$E$6:$E$3665,$K3109))</f>
        <v/>
      </c>
      <c r="F3109" s="187">
        <f>IF($K3109="","",INDEX(Zeiterfassung!$F$6:$F$3665,$K3109))</f>
        <v/>
      </c>
      <c r="G3109" s="187">
        <f>IF($K3109="","",INDEX(Zeiterfassung!$G$6:$G$3665,$K3109))</f>
        <v/>
      </c>
      <c r="H3109" s="188">
        <f>IF($K3109="","",INDEX(Zeiterfassung!$H$6:$H$3665,$K3109))</f>
        <v/>
      </c>
      <c r="I3109" s="335">
        <f>IF(B3109=B3108,"",IF($K3109="","",INDEX(Zeiterfassung!$I$6:$I$3665,MATCH(INDEX(Zeiterfassung!$K$6:$K$3665,$K3109),Zeiterfassung!$K$6:$K$3665,0))))</f>
        <v/>
      </c>
      <c r="J3109" s="335">
        <f>IF(B3109=B3108,"",IF($K3109="","",INDEX(Zeiterfassung!$J$6:$J$3665,MATCH(INDEX(Zeiterfassung!$K$6:$K$3665,$K3109),Zeiterfassung!$K$6:$K$3665,0))))</f>
        <v/>
      </c>
      <c r="K3109">
        <f>IFERROR(AGGREGATE(15,6,(ROW(Zeiterfassung!$D$6:$D$3665)-ROW(Zeiterfassung!$D$6)+1)/(Zeiterfassung!$D$6:$D$3665&lt;&gt;""),3104),"")</f>
        <v/>
      </c>
    </row>
    <row r="3110" ht="20" customHeight="1">
      <c r="A3110" s="183">
        <f>IF($K3110="","",WEEKNUM(INDEX(Zeiterfassung!$K$6:$K$3665,$K3110),21))</f>
        <v/>
      </c>
      <c r="B3110" s="184">
        <f>IF($K3110="","",INDEX(Zeiterfassung!$K$6:$K$3665,$K3110))</f>
        <v/>
      </c>
      <c r="C3110" s="185">
        <f>IF($K3110="","",INDEX(Zeiterfassung!$K$6:$K$3665,$K3110))</f>
        <v/>
      </c>
      <c r="D3110" s="186">
        <f>IF($K3110="","",INDEX(Zeiterfassung!$D$6:$D$3665,$K3110))</f>
        <v/>
      </c>
      <c r="E3110" s="186">
        <f>IF($K3110="","",INDEX(Zeiterfassung!$E$6:$E$3665,$K3110))</f>
        <v/>
      </c>
      <c r="F3110" s="187">
        <f>IF($K3110="","",INDEX(Zeiterfassung!$F$6:$F$3665,$K3110))</f>
        <v/>
      </c>
      <c r="G3110" s="187">
        <f>IF($K3110="","",INDEX(Zeiterfassung!$G$6:$G$3665,$K3110))</f>
        <v/>
      </c>
      <c r="H3110" s="188">
        <f>IF($K3110="","",INDEX(Zeiterfassung!$H$6:$H$3665,$K3110))</f>
        <v/>
      </c>
      <c r="I3110" s="335">
        <f>IF(B3110=B3109,"",IF($K3110="","",INDEX(Zeiterfassung!$I$6:$I$3665,MATCH(INDEX(Zeiterfassung!$K$6:$K$3665,$K3110),Zeiterfassung!$K$6:$K$3665,0))))</f>
        <v/>
      </c>
      <c r="J3110" s="335">
        <f>IF(B3110=B3109,"",IF($K3110="","",INDEX(Zeiterfassung!$J$6:$J$3665,MATCH(INDEX(Zeiterfassung!$K$6:$K$3665,$K3110),Zeiterfassung!$K$6:$K$3665,0))))</f>
        <v/>
      </c>
      <c r="K3110">
        <f>IFERROR(AGGREGATE(15,6,(ROW(Zeiterfassung!$D$6:$D$3665)-ROW(Zeiterfassung!$D$6)+1)/(Zeiterfassung!$D$6:$D$3665&lt;&gt;""),3105),"")</f>
        <v/>
      </c>
    </row>
    <row r="3111" ht="20" customHeight="1">
      <c r="A3111" s="183">
        <f>IF($K3111="","",WEEKNUM(INDEX(Zeiterfassung!$K$6:$K$3665,$K3111),21))</f>
        <v/>
      </c>
      <c r="B3111" s="184">
        <f>IF($K3111="","",INDEX(Zeiterfassung!$K$6:$K$3665,$K3111))</f>
        <v/>
      </c>
      <c r="C3111" s="185">
        <f>IF($K3111="","",INDEX(Zeiterfassung!$K$6:$K$3665,$K3111))</f>
        <v/>
      </c>
      <c r="D3111" s="186">
        <f>IF($K3111="","",INDEX(Zeiterfassung!$D$6:$D$3665,$K3111))</f>
        <v/>
      </c>
      <c r="E3111" s="186">
        <f>IF($K3111="","",INDEX(Zeiterfassung!$E$6:$E$3665,$K3111))</f>
        <v/>
      </c>
      <c r="F3111" s="187">
        <f>IF($K3111="","",INDEX(Zeiterfassung!$F$6:$F$3665,$K3111))</f>
        <v/>
      </c>
      <c r="G3111" s="187">
        <f>IF($K3111="","",INDEX(Zeiterfassung!$G$6:$G$3665,$K3111))</f>
        <v/>
      </c>
      <c r="H3111" s="188">
        <f>IF($K3111="","",INDEX(Zeiterfassung!$H$6:$H$3665,$K3111))</f>
        <v/>
      </c>
      <c r="I3111" s="335">
        <f>IF(B3111=B3110,"",IF($K3111="","",INDEX(Zeiterfassung!$I$6:$I$3665,MATCH(INDEX(Zeiterfassung!$K$6:$K$3665,$K3111),Zeiterfassung!$K$6:$K$3665,0))))</f>
        <v/>
      </c>
      <c r="J3111" s="335">
        <f>IF(B3111=B3110,"",IF($K3111="","",INDEX(Zeiterfassung!$J$6:$J$3665,MATCH(INDEX(Zeiterfassung!$K$6:$K$3665,$K3111),Zeiterfassung!$K$6:$K$3665,0))))</f>
        <v/>
      </c>
      <c r="K3111">
        <f>IFERROR(AGGREGATE(15,6,(ROW(Zeiterfassung!$D$6:$D$3665)-ROW(Zeiterfassung!$D$6)+1)/(Zeiterfassung!$D$6:$D$3665&lt;&gt;""),3106),"")</f>
        <v/>
      </c>
    </row>
    <row r="3112" ht="20" customHeight="1">
      <c r="A3112" s="183">
        <f>IF($K3112="","",WEEKNUM(INDEX(Zeiterfassung!$K$6:$K$3665,$K3112),21))</f>
        <v/>
      </c>
      <c r="B3112" s="184">
        <f>IF($K3112="","",INDEX(Zeiterfassung!$K$6:$K$3665,$K3112))</f>
        <v/>
      </c>
      <c r="C3112" s="185">
        <f>IF($K3112="","",INDEX(Zeiterfassung!$K$6:$K$3665,$K3112))</f>
        <v/>
      </c>
      <c r="D3112" s="186">
        <f>IF($K3112="","",INDEX(Zeiterfassung!$D$6:$D$3665,$K3112))</f>
        <v/>
      </c>
      <c r="E3112" s="186">
        <f>IF($K3112="","",INDEX(Zeiterfassung!$E$6:$E$3665,$K3112))</f>
        <v/>
      </c>
      <c r="F3112" s="187">
        <f>IF($K3112="","",INDEX(Zeiterfassung!$F$6:$F$3665,$K3112))</f>
        <v/>
      </c>
      <c r="G3112" s="187">
        <f>IF($K3112="","",INDEX(Zeiterfassung!$G$6:$G$3665,$K3112))</f>
        <v/>
      </c>
      <c r="H3112" s="188">
        <f>IF($K3112="","",INDEX(Zeiterfassung!$H$6:$H$3665,$K3112))</f>
        <v/>
      </c>
      <c r="I3112" s="335">
        <f>IF(B3112=B3111,"",IF($K3112="","",INDEX(Zeiterfassung!$I$6:$I$3665,MATCH(INDEX(Zeiterfassung!$K$6:$K$3665,$K3112),Zeiterfassung!$K$6:$K$3665,0))))</f>
        <v/>
      </c>
      <c r="J3112" s="335">
        <f>IF(B3112=B3111,"",IF($K3112="","",INDEX(Zeiterfassung!$J$6:$J$3665,MATCH(INDEX(Zeiterfassung!$K$6:$K$3665,$K3112),Zeiterfassung!$K$6:$K$3665,0))))</f>
        <v/>
      </c>
      <c r="K3112">
        <f>IFERROR(AGGREGATE(15,6,(ROW(Zeiterfassung!$D$6:$D$3665)-ROW(Zeiterfassung!$D$6)+1)/(Zeiterfassung!$D$6:$D$3665&lt;&gt;""),3107),"")</f>
        <v/>
      </c>
    </row>
    <row r="3113" ht="20" customHeight="1">
      <c r="A3113" s="183">
        <f>IF($K3113="","",WEEKNUM(INDEX(Zeiterfassung!$K$6:$K$3665,$K3113),21))</f>
        <v/>
      </c>
      <c r="B3113" s="184">
        <f>IF($K3113="","",INDEX(Zeiterfassung!$K$6:$K$3665,$K3113))</f>
        <v/>
      </c>
      <c r="C3113" s="185">
        <f>IF($K3113="","",INDEX(Zeiterfassung!$K$6:$K$3665,$K3113))</f>
        <v/>
      </c>
      <c r="D3113" s="186">
        <f>IF($K3113="","",INDEX(Zeiterfassung!$D$6:$D$3665,$K3113))</f>
        <v/>
      </c>
      <c r="E3113" s="186">
        <f>IF($K3113="","",INDEX(Zeiterfassung!$E$6:$E$3665,$K3113))</f>
        <v/>
      </c>
      <c r="F3113" s="187">
        <f>IF($K3113="","",INDEX(Zeiterfassung!$F$6:$F$3665,$K3113))</f>
        <v/>
      </c>
      <c r="G3113" s="187">
        <f>IF($K3113="","",INDEX(Zeiterfassung!$G$6:$G$3665,$K3113))</f>
        <v/>
      </c>
      <c r="H3113" s="188">
        <f>IF($K3113="","",INDEX(Zeiterfassung!$H$6:$H$3665,$K3113))</f>
        <v/>
      </c>
      <c r="I3113" s="335">
        <f>IF(B3113=B3112,"",IF($K3113="","",INDEX(Zeiterfassung!$I$6:$I$3665,MATCH(INDEX(Zeiterfassung!$K$6:$K$3665,$K3113),Zeiterfassung!$K$6:$K$3665,0))))</f>
        <v/>
      </c>
      <c r="J3113" s="335">
        <f>IF(B3113=B3112,"",IF($K3113="","",INDEX(Zeiterfassung!$J$6:$J$3665,MATCH(INDEX(Zeiterfassung!$K$6:$K$3665,$K3113),Zeiterfassung!$K$6:$K$3665,0))))</f>
        <v/>
      </c>
      <c r="K3113">
        <f>IFERROR(AGGREGATE(15,6,(ROW(Zeiterfassung!$D$6:$D$3665)-ROW(Zeiterfassung!$D$6)+1)/(Zeiterfassung!$D$6:$D$3665&lt;&gt;""),3108),"")</f>
        <v/>
      </c>
    </row>
    <row r="3114" ht="20" customHeight="1">
      <c r="A3114" s="183">
        <f>IF($K3114="","",WEEKNUM(INDEX(Zeiterfassung!$K$6:$K$3665,$K3114),21))</f>
        <v/>
      </c>
      <c r="B3114" s="184">
        <f>IF($K3114="","",INDEX(Zeiterfassung!$K$6:$K$3665,$K3114))</f>
        <v/>
      </c>
      <c r="C3114" s="185">
        <f>IF($K3114="","",INDEX(Zeiterfassung!$K$6:$K$3665,$K3114))</f>
        <v/>
      </c>
      <c r="D3114" s="186">
        <f>IF($K3114="","",INDEX(Zeiterfassung!$D$6:$D$3665,$K3114))</f>
        <v/>
      </c>
      <c r="E3114" s="186">
        <f>IF($K3114="","",INDEX(Zeiterfassung!$E$6:$E$3665,$K3114))</f>
        <v/>
      </c>
      <c r="F3114" s="187">
        <f>IF($K3114="","",INDEX(Zeiterfassung!$F$6:$F$3665,$K3114))</f>
        <v/>
      </c>
      <c r="G3114" s="187">
        <f>IF($K3114="","",INDEX(Zeiterfassung!$G$6:$G$3665,$K3114))</f>
        <v/>
      </c>
      <c r="H3114" s="188">
        <f>IF($K3114="","",INDEX(Zeiterfassung!$H$6:$H$3665,$K3114))</f>
        <v/>
      </c>
      <c r="I3114" s="335">
        <f>IF(B3114=B3113,"",IF($K3114="","",INDEX(Zeiterfassung!$I$6:$I$3665,MATCH(INDEX(Zeiterfassung!$K$6:$K$3665,$K3114),Zeiterfassung!$K$6:$K$3665,0))))</f>
        <v/>
      </c>
      <c r="J3114" s="335">
        <f>IF(B3114=B3113,"",IF($K3114="","",INDEX(Zeiterfassung!$J$6:$J$3665,MATCH(INDEX(Zeiterfassung!$K$6:$K$3665,$K3114),Zeiterfassung!$K$6:$K$3665,0))))</f>
        <v/>
      </c>
      <c r="K3114">
        <f>IFERROR(AGGREGATE(15,6,(ROW(Zeiterfassung!$D$6:$D$3665)-ROW(Zeiterfassung!$D$6)+1)/(Zeiterfassung!$D$6:$D$3665&lt;&gt;""),3109),"")</f>
        <v/>
      </c>
    </row>
    <row r="3115" ht="20" customHeight="1">
      <c r="A3115" s="183">
        <f>IF($K3115="","",WEEKNUM(INDEX(Zeiterfassung!$K$6:$K$3665,$K3115),21))</f>
        <v/>
      </c>
      <c r="B3115" s="184">
        <f>IF($K3115="","",INDEX(Zeiterfassung!$K$6:$K$3665,$K3115))</f>
        <v/>
      </c>
      <c r="C3115" s="185">
        <f>IF($K3115="","",INDEX(Zeiterfassung!$K$6:$K$3665,$K3115))</f>
        <v/>
      </c>
      <c r="D3115" s="186">
        <f>IF($K3115="","",INDEX(Zeiterfassung!$D$6:$D$3665,$K3115))</f>
        <v/>
      </c>
      <c r="E3115" s="186">
        <f>IF($K3115="","",INDEX(Zeiterfassung!$E$6:$E$3665,$K3115))</f>
        <v/>
      </c>
      <c r="F3115" s="187">
        <f>IF($K3115="","",INDEX(Zeiterfassung!$F$6:$F$3665,$K3115))</f>
        <v/>
      </c>
      <c r="G3115" s="187">
        <f>IF($K3115="","",INDEX(Zeiterfassung!$G$6:$G$3665,$K3115))</f>
        <v/>
      </c>
      <c r="H3115" s="188">
        <f>IF($K3115="","",INDEX(Zeiterfassung!$H$6:$H$3665,$K3115))</f>
        <v/>
      </c>
      <c r="I3115" s="335">
        <f>IF(B3115=B3114,"",IF($K3115="","",INDEX(Zeiterfassung!$I$6:$I$3665,MATCH(INDEX(Zeiterfassung!$K$6:$K$3665,$K3115),Zeiterfassung!$K$6:$K$3665,0))))</f>
        <v/>
      </c>
      <c r="J3115" s="335">
        <f>IF(B3115=B3114,"",IF($K3115="","",INDEX(Zeiterfassung!$J$6:$J$3665,MATCH(INDEX(Zeiterfassung!$K$6:$K$3665,$K3115),Zeiterfassung!$K$6:$K$3665,0))))</f>
        <v/>
      </c>
      <c r="K3115">
        <f>IFERROR(AGGREGATE(15,6,(ROW(Zeiterfassung!$D$6:$D$3665)-ROW(Zeiterfassung!$D$6)+1)/(Zeiterfassung!$D$6:$D$3665&lt;&gt;""),3110),"")</f>
        <v/>
      </c>
    </row>
    <row r="3116" ht="20" customHeight="1">
      <c r="A3116" s="183">
        <f>IF($K3116="","",WEEKNUM(INDEX(Zeiterfassung!$K$6:$K$3665,$K3116),21))</f>
        <v/>
      </c>
      <c r="B3116" s="184">
        <f>IF($K3116="","",INDEX(Zeiterfassung!$K$6:$K$3665,$K3116))</f>
        <v/>
      </c>
      <c r="C3116" s="185">
        <f>IF($K3116="","",INDEX(Zeiterfassung!$K$6:$K$3665,$K3116))</f>
        <v/>
      </c>
      <c r="D3116" s="186">
        <f>IF($K3116="","",INDEX(Zeiterfassung!$D$6:$D$3665,$K3116))</f>
        <v/>
      </c>
      <c r="E3116" s="186">
        <f>IF($K3116="","",INDEX(Zeiterfassung!$E$6:$E$3665,$K3116))</f>
        <v/>
      </c>
      <c r="F3116" s="187">
        <f>IF($K3116="","",INDEX(Zeiterfassung!$F$6:$F$3665,$K3116))</f>
        <v/>
      </c>
      <c r="G3116" s="187">
        <f>IF($K3116="","",INDEX(Zeiterfassung!$G$6:$G$3665,$K3116))</f>
        <v/>
      </c>
      <c r="H3116" s="188">
        <f>IF($K3116="","",INDEX(Zeiterfassung!$H$6:$H$3665,$K3116))</f>
        <v/>
      </c>
      <c r="I3116" s="335">
        <f>IF(B3116=B3115,"",IF($K3116="","",INDEX(Zeiterfassung!$I$6:$I$3665,MATCH(INDEX(Zeiterfassung!$K$6:$K$3665,$K3116),Zeiterfassung!$K$6:$K$3665,0))))</f>
        <v/>
      </c>
      <c r="J3116" s="335">
        <f>IF(B3116=B3115,"",IF($K3116="","",INDEX(Zeiterfassung!$J$6:$J$3665,MATCH(INDEX(Zeiterfassung!$K$6:$K$3665,$K3116),Zeiterfassung!$K$6:$K$3665,0))))</f>
        <v/>
      </c>
      <c r="K3116">
        <f>IFERROR(AGGREGATE(15,6,(ROW(Zeiterfassung!$D$6:$D$3665)-ROW(Zeiterfassung!$D$6)+1)/(Zeiterfassung!$D$6:$D$3665&lt;&gt;""),3111),"")</f>
        <v/>
      </c>
    </row>
    <row r="3117" ht="20" customHeight="1">
      <c r="A3117" s="183">
        <f>IF($K3117="","",WEEKNUM(INDEX(Zeiterfassung!$K$6:$K$3665,$K3117),21))</f>
        <v/>
      </c>
      <c r="B3117" s="184">
        <f>IF($K3117="","",INDEX(Zeiterfassung!$K$6:$K$3665,$K3117))</f>
        <v/>
      </c>
      <c r="C3117" s="185">
        <f>IF($K3117="","",INDEX(Zeiterfassung!$K$6:$K$3665,$K3117))</f>
        <v/>
      </c>
      <c r="D3117" s="186">
        <f>IF($K3117="","",INDEX(Zeiterfassung!$D$6:$D$3665,$K3117))</f>
        <v/>
      </c>
      <c r="E3117" s="186">
        <f>IF($K3117="","",INDEX(Zeiterfassung!$E$6:$E$3665,$K3117))</f>
        <v/>
      </c>
      <c r="F3117" s="187">
        <f>IF($K3117="","",INDEX(Zeiterfassung!$F$6:$F$3665,$K3117))</f>
        <v/>
      </c>
      <c r="G3117" s="187">
        <f>IF($K3117="","",INDEX(Zeiterfassung!$G$6:$G$3665,$K3117))</f>
        <v/>
      </c>
      <c r="H3117" s="188">
        <f>IF($K3117="","",INDEX(Zeiterfassung!$H$6:$H$3665,$K3117))</f>
        <v/>
      </c>
      <c r="I3117" s="335">
        <f>IF(B3117=B3116,"",IF($K3117="","",INDEX(Zeiterfassung!$I$6:$I$3665,MATCH(INDEX(Zeiterfassung!$K$6:$K$3665,$K3117),Zeiterfassung!$K$6:$K$3665,0))))</f>
        <v/>
      </c>
      <c r="J3117" s="335">
        <f>IF(B3117=B3116,"",IF($K3117="","",INDEX(Zeiterfassung!$J$6:$J$3665,MATCH(INDEX(Zeiterfassung!$K$6:$K$3665,$K3117),Zeiterfassung!$K$6:$K$3665,0))))</f>
        <v/>
      </c>
      <c r="K3117">
        <f>IFERROR(AGGREGATE(15,6,(ROW(Zeiterfassung!$D$6:$D$3665)-ROW(Zeiterfassung!$D$6)+1)/(Zeiterfassung!$D$6:$D$3665&lt;&gt;""),3112),"")</f>
        <v/>
      </c>
    </row>
    <row r="3118" ht="20" customHeight="1">
      <c r="A3118" s="183">
        <f>IF($K3118="","",WEEKNUM(INDEX(Zeiterfassung!$K$6:$K$3665,$K3118),21))</f>
        <v/>
      </c>
      <c r="B3118" s="184">
        <f>IF($K3118="","",INDEX(Zeiterfassung!$K$6:$K$3665,$K3118))</f>
        <v/>
      </c>
      <c r="C3118" s="185">
        <f>IF($K3118="","",INDEX(Zeiterfassung!$K$6:$K$3665,$K3118))</f>
        <v/>
      </c>
      <c r="D3118" s="186">
        <f>IF($K3118="","",INDEX(Zeiterfassung!$D$6:$D$3665,$K3118))</f>
        <v/>
      </c>
      <c r="E3118" s="186">
        <f>IF($K3118="","",INDEX(Zeiterfassung!$E$6:$E$3665,$K3118))</f>
        <v/>
      </c>
      <c r="F3118" s="187">
        <f>IF($K3118="","",INDEX(Zeiterfassung!$F$6:$F$3665,$K3118))</f>
        <v/>
      </c>
      <c r="G3118" s="187">
        <f>IF($K3118="","",INDEX(Zeiterfassung!$G$6:$G$3665,$K3118))</f>
        <v/>
      </c>
      <c r="H3118" s="188">
        <f>IF($K3118="","",INDEX(Zeiterfassung!$H$6:$H$3665,$K3118))</f>
        <v/>
      </c>
      <c r="I3118" s="335">
        <f>IF(B3118=B3117,"",IF($K3118="","",INDEX(Zeiterfassung!$I$6:$I$3665,MATCH(INDEX(Zeiterfassung!$K$6:$K$3665,$K3118),Zeiterfassung!$K$6:$K$3665,0))))</f>
        <v/>
      </c>
      <c r="J3118" s="335">
        <f>IF(B3118=B3117,"",IF($K3118="","",INDEX(Zeiterfassung!$J$6:$J$3665,MATCH(INDEX(Zeiterfassung!$K$6:$K$3665,$K3118),Zeiterfassung!$K$6:$K$3665,0))))</f>
        <v/>
      </c>
      <c r="K3118">
        <f>IFERROR(AGGREGATE(15,6,(ROW(Zeiterfassung!$D$6:$D$3665)-ROW(Zeiterfassung!$D$6)+1)/(Zeiterfassung!$D$6:$D$3665&lt;&gt;""),3113),"")</f>
        <v/>
      </c>
    </row>
    <row r="3119" ht="20" customHeight="1">
      <c r="A3119" s="183">
        <f>IF($K3119="","",WEEKNUM(INDEX(Zeiterfassung!$K$6:$K$3665,$K3119),21))</f>
        <v/>
      </c>
      <c r="B3119" s="184">
        <f>IF($K3119="","",INDEX(Zeiterfassung!$K$6:$K$3665,$K3119))</f>
        <v/>
      </c>
      <c r="C3119" s="185">
        <f>IF($K3119="","",INDEX(Zeiterfassung!$K$6:$K$3665,$K3119))</f>
        <v/>
      </c>
      <c r="D3119" s="186">
        <f>IF($K3119="","",INDEX(Zeiterfassung!$D$6:$D$3665,$K3119))</f>
        <v/>
      </c>
      <c r="E3119" s="186">
        <f>IF($K3119="","",INDEX(Zeiterfassung!$E$6:$E$3665,$K3119))</f>
        <v/>
      </c>
      <c r="F3119" s="187">
        <f>IF($K3119="","",INDEX(Zeiterfassung!$F$6:$F$3665,$K3119))</f>
        <v/>
      </c>
      <c r="G3119" s="187">
        <f>IF($K3119="","",INDEX(Zeiterfassung!$G$6:$G$3665,$K3119))</f>
        <v/>
      </c>
      <c r="H3119" s="188">
        <f>IF($K3119="","",INDEX(Zeiterfassung!$H$6:$H$3665,$K3119))</f>
        <v/>
      </c>
      <c r="I3119" s="335">
        <f>IF(B3119=B3118,"",IF($K3119="","",INDEX(Zeiterfassung!$I$6:$I$3665,MATCH(INDEX(Zeiterfassung!$K$6:$K$3665,$K3119),Zeiterfassung!$K$6:$K$3665,0))))</f>
        <v/>
      </c>
      <c r="J3119" s="335">
        <f>IF(B3119=B3118,"",IF($K3119="","",INDEX(Zeiterfassung!$J$6:$J$3665,MATCH(INDEX(Zeiterfassung!$K$6:$K$3665,$K3119),Zeiterfassung!$K$6:$K$3665,0))))</f>
        <v/>
      </c>
      <c r="K3119">
        <f>IFERROR(AGGREGATE(15,6,(ROW(Zeiterfassung!$D$6:$D$3665)-ROW(Zeiterfassung!$D$6)+1)/(Zeiterfassung!$D$6:$D$3665&lt;&gt;""),3114),"")</f>
        <v/>
      </c>
    </row>
    <row r="3120" ht="20" customHeight="1">
      <c r="A3120" s="183">
        <f>IF($K3120="","",WEEKNUM(INDEX(Zeiterfassung!$K$6:$K$3665,$K3120),21))</f>
        <v/>
      </c>
      <c r="B3120" s="184">
        <f>IF($K3120="","",INDEX(Zeiterfassung!$K$6:$K$3665,$K3120))</f>
        <v/>
      </c>
      <c r="C3120" s="185">
        <f>IF($K3120="","",INDEX(Zeiterfassung!$K$6:$K$3665,$K3120))</f>
        <v/>
      </c>
      <c r="D3120" s="186">
        <f>IF($K3120="","",INDEX(Zeiterfassung!$D$6:$D$3665,$K3120))</f>
        <v/>
      </c>
      <c r="E3120" s="186">
        <f>IF($K3120="","",INDEX(Zeiterfassung!$E$6:$E$3665,$K3120))</f>
        <v/>
      </c>
      <c r="F3120" s="187">
        <f>IF($K3120="","",INDEX(Zeiterfassung!$F$6:$F$3665,$K3120))</f>
        <v/>
      </c>
      <c r="G3120" s="187">
        <f>IF($K3120="","",INDEX(Zeiterfassung!$G$6:$G$3665,$K3120))</f>
        <v/>
      </c>
      <c r="H3120" s="188">
        <f>IF($K3120="","",INDEX(Zeiterfassung!$H$6:$H$3665,$K3120))</f>
        <v/>
      </c>
      <c r="I3120" s="335">
        <f>IF(B3120=B3119,"",IF($K3120="","",INDEX(Zeiterfassung!$I$6:$I$3665,MATCH(INDEX(Zeiterfassung!$K$6:$K$3665,$K3120),Zeiterfassung!$K$6:$K$3665,0))))</f>
        <v/>
      </c>
      <c r="J3120" s="335">
        <f>IF(B3120=B3119,"",IF($K3120="","",INDEX(Zeiterfassung!$J$6:$J$3665,MATCH(INDEX(Zeiterfassung!$K$6:$K$3665,$K3120),Zeiterfassung!$K$6:$K$3665,0))))</f>
        <v/>
      </c>
      <c r="K3120">
        <f>IFERROR(AGGREGATE(15,6,(ROW(Zeiterfassung!$D$6:$D$3665)-ROW(Zeiterfassung!$D$6)+1)/(Zeiterfassung!$D$6:$D$3665&lt;&gt;""),3115),"")</f>
        <v/>
      </c>
    </row>
    <row r="3121" ht="20" customHeight="1">
      <c r="A3121" s="183">
        <f>IF($K3121="","",WEEKNUM(INDEX(Zeiterfassung!$K$6:$K$3665,$K3121),21))</f>
        <v/>
      </c>
      <c r="B3121" s="184">
        <f>IF($K3121="","",INDEX(Zeiterfassung!$K$6:$K$3665,$K3121))</f>
        <v/>
      </c>
      <c r="C3121" s="185">
        <f>IF($K3121="","",INDEX(Zeiterfassung!$K$6:$K$3665,$K3121))</f>
        <v/>
      </c>
      <c r="D3121" s="186">
        <f>IF($K3121="","",INDEX(Zeiterfassung!$D$6:$D$3665,$K3121))</f>
        <v/>
      </c>
      <c r="E3121" s="186">
        <f>IF($K3121="","",INDEX(Zeiterfassung!$E$6:$E$3665,$K3121))</f>
        <v/>
      </c>
      <c r="F3121" s="187">
        <f>IF($K3121="","",INDEX(Zeiterfassung!$F$6:$F$3665,$K3121))</f>
        <v/>
      </c>
      <c r="G3121" s="187">
        <f>IF($K3121="","",INDEX(Zeiterfassung!$G$6:$G$3665,$K3121))</f>
        <v/>
      </c>
      <c r="H3121" s="188">
        <f>IF($K3121="","",INDEX(Zeiterfassung!$H$6:$H$3665,$K3121))</f>
        <v/>
      </c>
      <c r="I3121" s="335">
        <f>IF(B3121=B3120,"",IF($K3121="","",INDEX(Zeiterfassung!$I$6:$I$3665,MATCH(INDEX(Zeiterfassung!$K$6:$K$3665,$K3121),Zeiterfassung!$K$6:$K$3665,0))))</f>
        <v/>
      </c>
      <c r="J3121" s="335">
        <f>IF(B3121=B3120,"",IF($K3121="","",INDEX(Zeiterfassung!$J$6:$J$3665,MATCH(INDEX(Zeiterfassung!$K$6:$K$3665,$K3121),Zeiterfassung!$K$6:$K$3665,0))))</f>
        <v/>
      </c>
      <c r="K3121">
        <f>IFERROR(AGGREGATE(15,6,(ROW(Zeiterfassung!$D$6:$D$3665)-ROW(Zeiterfassung!$D$6)+1)/(Zeiterfassung!$D$6:$D$3665&lt;&gt;""),3116),"")</f>
        <v/>
      </c>
    </row>
    <row r="3122" ht="20" customHeight="1">
      <c r="A3122" s="183">
        <f>IF($K3122="","",WEEKNUM(INDEX(Zeiterfassung!$K$6:$K$3665,$K3122),21))</f>
        <v/>
      </c>
      <c r="B3122" s="184">
        <f>IF($K3122="","",INDEX(Zeiterfassung!$K$6:$K$3665,$K3122))</f>
        <v/>
      </c>
      <c r="C3122" s="185">
        <f>IF($K3122="","",INDEX(Zeiterfassung!$K$6:$K$3665,$K3122))</f>
        <v/>
      </c>
      <c r="D3122" s="186">
        <f>IF($K3122="","",INDEX(Zeiterfassung!$D$6:$D$3665,$K3122))</f>
        <v/>
      </c>
      <c r="E3122" s="186">
        <f>IF($K3122="","",INDEX(Zeiterfassung!$E$6:$E$3665,$K3122))</f>
        <v/>
      </c>
      <c r="F3122" s="187">
        <f>IF($K3122="","",INDEX(Zeiterfassung!$F$6:$F$3665,$K3122))</f>
        <v/>
      </c>
      <c r="G3122" s="187">
        <f>IF($K3122="","",INDEX(Zeiterfassung!$G$6:$G$3665,$K3122))</f>
        <v/>
      </c>
      <c r="H3122" s="188">
        <f>IF($K3122="","",INDEX(Zeiterfassung!$H$6:$H$3665,$K3122))</f>
        <v/>
      </c>
      <c r="I3122" s="335">
        <f>IF(B3122=B3121,"",IF($K3122="","",INDEX(Zeiterfassung!$I$6:$I$3665,MATCH(INDEX(Zeiterfassung!$K$6:$K$3665,$K3122),Zeiterfassung!$K$6:$K$3665,0))))</f>
        <v/>
      </c>
      <c r="J3122" s="335">
        <f>IF(B3122=B3121,"",IF($K3122="","",INDEX(Zeiterfassung!$J$6:$J$3665,MATCH(INDEX(Zeiterfassung!$K$6:$K$3665,$K3122),Zeiterfassung!$K$6:$K$3665,0))))</f>
        <v/>
      </c>
      <c r="K3122">
        <f>IFERROR(AGGREGATE(15,6,(ROW(Zeiterfassung!$D$6:$D$3665)-ROW(Zeiterfassung!$D$6)+1)/(Zeiterfassung!$D$6:$D$3665&lt;&gt;""),3117),"")</f>
        <v/>
      </c>
    </row>
    <row r="3123" ht="20" customHeight="1">
      <c r="A3123" s="183">
        <f>IF($K3123="","",WEEKNUM(INDEX(Zeiterfassung!$K$6:$K$3665,$K3123),21))</f>
        <v/>
      </c>
      <c r="B3123" s="184">
        <f>IF($K3123="","",INDEX(Zeiterfassung!$K$6:$K$3665,$K3123))</f>
        <v/>
      </c>
      <c r="C3123" s="185">
        <f>IF($K3123="","",INDEX(Zeiterfassung!$K$6:$K$3665,$K3123))</f>
        <v/>
      </c>
      <c r="D3123" s="186">
        <f>IF($K3123="","",INDEX(Zeiterfassung!$D$6:$D$3665,$K3123))</f>
        <v/>
      </c>
      <c r="E3123" s="186">
        <f>IF($K3123="","",INDEX(Zeiterfassung!$E$6:$E$3665,$K3123))</f>
        <v/>
      </c>
      <c r="F3123" s="187">
        <f>IF($K3123="","",INDEX(Zeiterfassung!$F$6:$F$3665,$K3123))</f>
        <v/>
      </c>
      <c r="G3123" s="187">
        <f>IF($K3123="","",INDEX(Zeiterfassung!$G$6:$G$3665,$K3123))</f>
        <v/>
      </c>
      <c r="H3123" s="188">
        <f>IF($K3123="","",INDEX(Zeiterfassung!$H$6:$H$3665,$K3123))</f>
        <v/>
      </c>
      <c r="I3123" s="335">
        <f>IF(B3123=B3122,"",IF($K3123="","",INDEX(Zeiterfassung!$I$6:$I$3665,MATCH(INDEX(Zeiterfassung!$K$6:$K$3665,$K3123),Zeiterfassung!$K$6:$K$3665,0))))</f>
        <v/>
      </c>
      <c r="J3123" s="335">
        <f>IF(B3123=B3122,"",IF($K3123="","",INDEX(Zeiterfassung!$J$6:$J$3665,MATCH(INDEX(Zeiterfassung!$K$6:$K$3665,$K3123),Zeiterfassung!$K$6:$K$3665,0))))</f>
        <v/>
      </c>
      <c r="K3123">
        <f>IFERROR(AGGREGATE(15,6,(ROW(Zeiterfassung!$D$6:$D$3665)-ROW(Zeiterfassung!$D$6)+1)/(Zeiterfassung!$D$6:$D$3665&lt;&gt;""),3118),"")</f>
        <v/>
      </c>
    </row>
    <row r="3124" ht="20" customHeight="1">
      <c r="A3124" s="183">
        <f>IF($K3124="","",WEEKNUM(INDEX(Zeiterfassung!$K$6:$K$3665,$K3124),21))</f>
        <v/>
      </c>
      <c r="B3124" s="184">
        <f>IF($K3124="","",INDEX(Zeiterfassung!$K$6:$K$3665,$K3124))</f>
        <v/>
      </c>
      <c r="C3124" s="185">
        <f>IF($K3124="","",INDEX(Zeiterfassung!$K$6:$K$3665,$K3124))</f>
        <v/>
      </c>
      <c r="D3124" s="186">
        <f>IF($K3124="","",INDEX(Zeiterfassung!$D$6:$D$3665,$K3124))</f>
        <v/>
      </c>
      <c r="E3124" s="186">
        <f>IF($K3124="","",INDEX(Zeiterfassung!$E$6:$E$3665,$K3124))</f>
        <v/>
      </c>
      <c r="F3124" s="187">
        <f>IF($K3124="","",INDEX(Zeiterfassung!$F$6:$F$3665,$K3124))</f>
        <v/>
      </c>
      <c r="G3124" s="187">
        <f>IF($K3124="","",INDEX(Zeiterfassung!$G$6:$G$3665,$K3124))</f>
        <v/>
      </c>
      <c r="H3124" s="188">
        <f>IF($K3124="","",INDEX(Zeiterfassung!$H$6:$H$3665,$K3124))</f>
        <v/>
      </c>
      <c r="I3124" s="335">
        <f>IF(B3124=B3123,"",IF($K3124="","",INDEX(Zeiterfassung!$I$6:$I$3665,MATCH(INDEX(Zeiterfassung!$K$6:$K$3665,$K3124),Zeiterfassung!$K$6:$K$3665,0))))</f>
        <v/>
      </c>
      <c r="J3124" s="335">
        <f>IF(B3124=B3123,"",IF($K3124="","",INDEX(Zeiterfassung!$J$6:$J$3665,MATCH(INDEX(Zeiterfassung!$K$6:$K$3665,$K3124),Zeiterfassung!$K$6:$K$3665,0))))</f>
        <v/>
      </c>
      <c r="K3124">
        <f>IFERROR(AGGREGATE(15,6,(ROW(Zeiterfassung!$D$6:$D$3665)-ROW(Zeiterfassung!$D$6)+1)/(Zeiterfassung!$D$6:$D$3665&lt;&gt;""),3119),"")</f>
        <v/>
      </c>
    </row>
    <row r="3125" ht="20" customHeight="1">
      <c r="A3125" s="183">
        <f>IF($K3125="","",WEEKNUM(INDEX(Zeiterfassung!$K$6:$K$3665,$K3125),21))</f>
        <v/>
      </c>
      <c r="B3125" s="184">
        <f>IF($K3125="","",INDEX(Zeiterfassung!$K$6:$K$3665,$K3125))</f>
        <v/>
      </c>
      <c r="C3125" s="185">
        <f>IF($K3125="","",INDEX(Zeiterfassung!$K$6:$K$3665,$K3125))</f>
        <v/>
      </c>
      <c r="D3125" s="186">
        <f>IF($K3125="","",INDEX(Zeiterfassung!$D$6:$D$3665,$K3125))</f>
        <v/>
      </c>
      <c r="E3125" s="186">
        <f>IF($K3125="","",INDEX(Zeiterfassung!$E$6:$E$3665,$K3125))</f>
        <v/>
      </c>
      <c r="F3125" s="187">
        <f>IF($K3125="","",INDEX(Zeiterfassung!$F$6:$F$3665,$K3125))</f>
        <v/>
      </c>
      <c r="G3125" s="187">
        <f>IF($K3125="","",INDEX(Zeiterfassung!$G$6:$G$3665,$K3125))</f>
        <v/>
      </c>
      <c r="H3125" s="188">
        <f>IF($K3125="","",INDEX(Zeiterfassung!$H$6:$H$3665,$K3125))</f>
        <v/>
      </c>
      <c r="I3125" s="335">
        <f>IF(B3125=B3124,"",IF($K3125="","",INDEX(Zeiterfassung!$I$6:$I$3665,MATCH(INDEX(Zeiterfassung!$K$6:$K$3665,$K3125),Zeiterfassung!$K$6:$K$3665,0))))</f>
        <v/>
      </c>
      <c r="J3125" s="335">
        <f>IF(B3125=B3124,"",IF($K3125="","",INDEX(Zeiterfassung!$J$6:$J$3665,MATCH(INDEX(Zeiterfassung!$K$6:$K$3665,$K3125),Zeiterfassung!$K$6:$K$3665,0))))</f>
        <v/>
      </c>
      <c r="K3125">
        <f>IFERROR(AGGREGATE(15,6,(ROW(Zeiterfassung!$D$6:$D$3665)-ROW(Zeiterfassung!$D$6)+1)/(Zeiterfassung!$D$6:$D$3665&lt;&gt;""),3120),"")</f>
        <v/>
      </c>
    </row>
    <row r="3126" ht="20" customHeight="1">
      <c r="A3126" s="183">
        <f>IF($K3126="","",WEEKNUM(INDEX(Zeiterfassung!$K$6:$K$3665,$K3126),21))</f>
        <v/>
      </c>
      <c r="B3126" s="184">
        <f>IF($K3126="","",INDEX(Zeiterfassung!$K$6:$K$3665,$K3126))</f>
        <v/>
      </c>
      <c r="C3126" s="185">
        <f>IF($K3126="","",INDEX(Zeiterfassung!$K$6:$K$3665,$K3126))</f>
        <v/>
      </c>
      <c r="D3126" s="186">
        <f>IF($K3126="","",INDEX(Zeiterfassung!$D$6:$D$3665,$K3126))</f>
        <v/>
      </c>
      <c r="E3126" s="186">
        <f>IF($K3126="","",INDEX(Zeiterfassung!$E$6:$E$3665,$K3126))</f>
        <v/>
      </c>
      <c r="F3126" s="187">
        <f>IF($K3126="","",INDEX(Zeiterfassung!$F$6:$F$3665,$K3126))</f>
        <v/>
      </c>
      <c r="G3126" s="187">
        <f>IF($K3126="","",INDEX(Zeiterfassung!$G$6:$G$3665,$K3126))</f>
        <v/>
      </c>
      <c r="H3126" s="188">
        <f>IF($K3126="","",INDEX(Zeiterfassung!$H$6:$H$3665,$K3126))</f>
        <v/>
      </c>
      <c r="I3126" s="335">
        <f>IF(B3126=B3125,"",IF($K3126="","",INDEX(Zeiterfassung!$I$6:$I$3665,MATCH(INDEX(Zeiterfassung!$K$6:$K$3665,$K3126),Zeiterfassung!$K$6:$K$3665,0))))</f>
        <v/>
      </c>
      <c r="J3126" s="335">
        <f>IF(B3126=B3125,"",IF($K3126="","",INDEX(Zeiterfassung!$J$6:$J$3665,MATCH(INDEX(Zeiterfassung!$K$6:$K$3665,$K3126),Zeiterfassung!$K$6:$K$3665,0))))</f>
        <v/>
      </c>
      <c r="K3126">
        <f>IFERROR(AGGREGATE(15,6,(ROW(Zeiterfassung!$D$6:$D$3665)-ROW(Zeiterfassung!$D$6)+1)/(Zeiterfassung!$D$6:$D$3665&lt;&gt;""),3121),"")</f>
        <v/>
      </c>
    </row>
    <row r="3127" ht="20" customHeight="1">
      <c r="A3127" s="183">
        <f>IF($K3127="","",WEEKNUM(INDEX(Zeiterfassung!$K$6:$K$3665,$K3127),21))</f>
        <v/>
      </c>
      <c r="B3127" s="184">
        <f>IF($K3127="","",INDEX(Zeiterfassung!$K$6:$K$3665,$K3127))</f>
        <v/>
      </c>
      <c r="C3127" s="185">
        <f>IF($K3127="","",INDEX(Zeiterfassung!$K$6:$K$3665,$K3127))</f>
        <v/>
      </c>
      <c r="D3127" s="186">
        <f>IF($K3127="","",INDEX(Zeiterfassung!$D$6:$D$3665,$K3127))</f>
        <v/>
      </c>
      <c r="E3127" s="186">
        <f>IF($K3127="","",INDEX(Zeiterfassung!$E$6:$E$3665,$K3127))</f>
        <v/>
      </c>
      <c r="F3127" s="187">
        <f>IF($K3127="","",INDEX(Zeiterfassung!$F$6:$F$3665,$K3127))</f>
        <v/>
      </c>
      <c r="G3127" s="187">
        <f>IF($K3127="","",INDEX(Zeiterfassung!$G$6:$G$3665,$K3127))</f>
        <v/>
      </c>
      <c r="H3127" s="188">
        <f>IF($K3127="","",INDEX(Zeiterfassung!$H$6:$H$3665,$K3127))</f>
        <v/>
      </c>
      <c r="I3127" s="335">
        <f>IF(B3127=B3126,"",IF($K3127="","",INDEX(Zeiterfassung!$I$6:$I$3665,MATCH(INDEX(Zeiterfassung!$K$6:$K$3665,$K3127),Zeiterfassung!$K$6:$K$3665,0))))</f>
        <v/>
      </c>
      <c r="J3127" s="335">
        <f>IF(B3127=B3126,"",IF($K3127="","",INDEX(Zeiterfassung!$J$6:$J$3665,MATCH(INDEX(Zeiterfassung!$K$6:$K$3665,$K3127),Zeiterfassung!$K$6:$K$3665,0))))</f>
        <v/>
      </c>
      <c r="K3127">
        <f>IFERROR(AGGREGATE(15,6,(ROW(Zeiterfassung!$D$6:$D$3665)-ROW(Zeiterfassung!$D$6)+1)/(Zeiterfassung!$D$6:$D$3665&lt;&gt;""),3122),"")</f>
        <v/>
      </c>
    </row>
    <row r="3128" ht="20" customHeight="1">
      <c r="A3128" s="183">
        <f>IF($K3128="","",WEEKNUM(INDEX(Zeiterfassung!$K$6:$K$3665,$K3128),21))</f>
        <v/>
      </c>
      <c r="B3128" s="184">
        <f>IF($K3128="","",INDEX(Zeiterfassung!$K$6:$K$3665,$K3128))</f>
        <v/>
      </c>
      <c r="C3128" s="185">
        <f>IF($K3128="","",INDEX(Zeiterfassung!$K$6:$K$3665,$K3128))</f>
        <v/>
      </c>
      <c r="D3128" s="186">
        <f>IF($K3128="","",INDEX(Zeiterfassung!$D$6:$D$3665,$K3128))</f>
        <v/>
      </c>
      <c r="E3128" s="186">
        <f>IF($K3128="","",INDEX(Zeiterfassung!$E$6:$E$3665,$K3128))</f>
        <v/>
      </c>
      <c r="F3128" s="187">
        <f>IF($K3128="","",INDEX(Zeiterfassung!$F$6:$F$3665,$K3128))</f>
        <v/>
      </c>
      <c r="G3128" s="187">
        <f>IF($K3128="","",INDEX(Zeiterfassung!$G$6:$G$3665,$K3128))</f>
        <v/>
      </c>
      <c r="H3128" s="188">
        <f>IF($K3128="","",INDEX(Zeiterfassung!$H$6:$H$3665,$K3128))</f>
        <v/>
      </c>
      <c r="I3128" s="335">
        <f>IF(B3128=B3127,"",IF($K3128="","",INDEX(Zeiterfassung!$I$6:$I$3665,MATCH(INDEX(Zeiterfassung!$K$6:$K$3665,$K3128),Zeiterfassung!$K$6:$K$3665,0))))</f>
        <v/>
      </c>
      <c r="J3128" s="335">
        <f>IF(B3128=B3127,"",IF($K3128="","",INDEX(Zeiterfassung!$J$6:$J$3665,MATCH(INDEX(Zeiterfassung!$K$6:$K$3665,$K3128),Zeiterfassung!$K$6:$K$3665,0))))</f>
        <v/>
      </c>
      <c r="K3128">
        <f>IFERROR(AGGREGATE(15,6,(ROW(Zeiterfassung!$D$6:$D$3665)-ROW(Zeiterfassung!$D$6)+1)/(Zeiterfassung!$D$6:$D$3665&lt;&gt;""),3123),"")</f>
        <v/>
      </c>
    </row>
    <row r="3129" ht="20" customHeight="1">
      <c r="A3129" s="183">
        <f>IF($K3129="","",WEEKNUM(INDEX(Zeiterfassung!$K$6:$K$3665,$K3129),21))</f>
        <v/>
      </c>
      <c r="B3129" s="184">
        <f>IF($K3129="","",INDEX(Zeiterfassung!$K$6:$K$3665,$K3129))</f>
        <v/>
      </c>
      <c r="C3129" s="185">
        <f>IF($K3129="","",INDEX(Zeiterfassung!$K$6:$K$3665,$K3129))</f>
        <v/>
      </c>
      <c r="D3129" s="186">
        <f>IF($K3129="","",INDEX(Zeiterfassung!$D$6:$D$3665,$K3129))</f>
        <v/>
      </c>
      <c r="E3129" s="186">
        <f>IF($K3129="","",INDEX(Zeiterfassung!$E$6:$E$3665,$K3129))</f>
        <v/>
      </c>
      <c r="F3129" s="187">
        <f>IF($K3129="","",INDEX(Zeiterfassung!$F$6:$F$3665,$K3129))</f>
        <v/>
      </c>
      <c r="G3129" s="187">
        <f>IF($K3129="","",INDEX(Zeiterfassung!$G$6:$G$3665,$K3129))</f>
        <v/>
      </c>
      <c r="H3129" s="188">
        <f>IF($K3129="","",INDEX(Zeiterfassung!$H$6:$H$3665,$K3129))</f>
        <v/>
      </c>
      <c r="I3129" s="335">
        <f>IF(B3129=B3128,"",IF($K3129="","",INDEX(Zeiterfassung!$I$6:$I$3665,MATCH(INDEX(Zeiterfassung!$K$6:$K$3665,$K3129),Zeiterfassung!$K$6:$K$3665,0))))</f>
        <v/>
      </c>
      <c r="J3129" s="335">
        <f>IF(B3129=B3128,"",IF($K3129="","",INDEX(Zeiterfassung!$J$6:$J$3665,MATCH(INDEX(Zeiterfassung!$K$6:$K$3665,$K3129),Zeiterfassung!$K$6:$K$3665,0))))</f>
        <v/>
      </c>
      <c r="K3129">
        <f>IFERROR(AGGREGATE(15,6,(ROW(Zeiterfassung!$D$6:$D$3665)-ROW(Zeiterfassung!$D$6)+1)/(Zeiterfassung!$D$6:$D$3665&lt;&gt;""),3124),"")</f>
        <v/>
      </c>
    </row>
    <row r="3130" ht="20" customHeight="1">
      <c r="A3130" s="183">
        <f>IF($K3130="","",WEEKNUM(INDEX(Zeiterfassung!$K$6:$K$3665,$K3130),21))</f>
        <v/>
      </c>
      <c r="B3130" s="184">
        <f>IF($K3130="","",INDEX(Zeiterfassung!$K$6:$K$3665,$K3130))</f>
        <v/>
      </c>
      <c r="C3130" s="185">
        <f>IF($K3130="","",INDEX(Zeiterfassung!$K$6:$K$3665,$K3130))</f>
        <v/>
      </c>
      <c r="D3130" s="186">
        <f>IF($K3130="","",INDEX(Zeiterfassung!$D$6:$D$3665,$K3130))</f>
        <v/>
      </c>
      <c r="E3130" s="186">
        <f>IF($K3130="","",INDEX(Zeiterfassung!$E$6:$E$3665,$K3130))</f>
        <v/>
      </c>
      <c r="F3130" s="187">
        <f>IF($K3130="","",INDEX(Zeiterfassung!$F$6:$F$3665,$K3130))</f>
        <v/>
      </c>
      <c r="G3130" s="187">
        <f>IF($K3130="","",INDEX(Zeiterfassung!$G$6:$G$3665,$K3130))</f>
        <v/>
      </c>
      <c r="H3130" s="188">
        <f>IF($K3130="","",INDEX(Zeiterfassung!$H$6:$H$3665,$K3130))</f>
        <v/>
      </c>
      <c r="I3130" s="335">
        <f>IF(B3130=B3129,"",IF($K3130="","",INDEX(Zeiterfassung!$I$6:$I$3665,MATCH(INDEX(Zeiterfassung!$K$6:$K$3665,$K3130),Zeiterfassung!$K$6:$K$3665,0))))</f>
        <v/>
      </c>
      <c r="J3130" s="335">
        <f>IF(B3130=B3129,"",IF($K3130="","",INDEX(Zeiterfassung!$J$6:$J$3665,MATCH(INDEX(Zeiterfassung!$K$6:$K$3665,$K3130),Zeiterfassung!$K$6:$K$3665,0))))</f>
        <v/>
      </c>
      <c r="K3130">
        <f>IFERROR(AGGREGATE(15,6,(ROW(Zeiterfassung!$D$6:$D$3665)-ROW(Zeiterfassung!$D$6)+1)/(Zeiterfassung!$D$6:$D$3665&lt;&gt;""),3125),"")</f>
        <v/>
      </c>
    </row>
    <row r="3131" ht="20" customHeight="1">
      <c r="A3131" s="183">
        <f>IF($K3131="","",WEEKNUM(INDEX(Zeiterfassung!$K$6:$K$3665,$K3131),21))</f>
        <v/>
      </c>
      <c r="B3131" s="184">
        <f>IF($K3131="","",INDEX(Zeiterfassung!$K$6:$K$3665,$K3131))</f>
        <v/>
      </c>
      <c r="C3131" s="185">
        <f>IF($K3131="","",INDEX(Zeiterfassung!$K$6:$K$3665,$K3131))</f>
        <v/>
      </c>
      <c r="D3131" s="186">
        <f>IF($K3131="","",INDEX(Zeiterfassung!$D$6:$D$3665,$K3131))</f>
        <v/>
      </c>
      <c r="E3131" s="186">
        <f>IF($K3131="","",INDEX(Zeiterfassung!$E$6:$E$3665,$K3131))</f>
        <v/>
      </c>
      <c r="F3131" s="187">
        <f>IF($K3131="","",INDEX(Zeiterfassung!$F$6:$F$3665,$K3131))</f>
        <v/>
      </c>
      <c r="G3131" s="187">
        <f>IF($K3131="","",INDEX(Zeiterfassung!$G$6:$G$3665,$K3131))</f>
        <v/>
      </c>
      <c r="H3131" s="188">
        <f>IF($K3131="","",INDEX(Zeiterfassung!$H$6:$H$3665,$K3131))</f>
        <v/>
      </c>
      <c r="I3131" s="335">
        <f>IF(B3131=B3130,"",IF($K3131="","",INDEX(Zeiterfassung!$I$6:$I$3665,MATCH(INDEX(Zeiterfassung!$K$6:$K$3665,$K3131),Zeiterfassung!$K$6:$K$3665,0))))</f>
        <v/>
      </c>
      <c r="J3131" s="335">
        <f>IF(B3131=B3130,"",IF($K3131="","",INDEX(Zeiterfassung!$J$6:$J$3665,MATCH(INDEX(Zeiterfassung!$K$6:$K$3665,$K3131),Zeiterfassung!$K$6:$K$3665,0))))</f>
        <v/>
      </c>
      <c r="K3131">
        <f>IFERROR(AGGREGATE(15,6,(ROW(Zeiterfassung!$D$6:$D$3665)-ROW(Zeiterfassung!$D$6)+1)/(Zeiterfassung!$D$6:$D$3665&lt;&gt;""),3126),"")</f>
        <v/>
      </c>
    </row>
    <row r="3132" ht="20" customHeight="1">
      <c r="A3132" s="183">
        <f>IF($K3132="","",WEEKNUM(INDEX(Zeiterfassung!$K$6:$K$3665,$K3132),21))</f>
        <v/>
      </c>
      <c r="B3132" s="184">
        <f>IF($K3132="","",INDEX(Zeiterfassung!$K$6:$K$3665,$K3132))</f>
        <v/>
      </c>
      <c r="C3132" s="185">
        <f>IF($K3132="","",INDEX(Zeiterfassung!$K$6:$K$3665,$K3132))</f>
        <v/>
      </c>
      <c r="D3132" s="186">
        <f>IF($K3132="","",INDEX(Zeiterfassung!$D$6:$D$3665,$K3132))</f>
        <v/>
      </c>
      <c r="E3132" s="186">
        <f>IF($K3132="","",INDEX(Zeiterfassung!$E$6:$E$3665,$K3132))</f>
        <v/>
      </c>
      <c r="F3132" s="187">
        <f>IF($K3132="","",INDEX(Zeiterfassung!$F$6:$F$3665,$K3132))</f>
        <v/>
      </c>
      <c r="G3132" s="187">
        <f>IF($K3132="","",INDEX(Zeiterfassung!$G$6:$G$3665,$K3132))</f>
        <v/>
      </c>
      <c r="H3132" s="188">
        <f>IF($K3132="","",INDEX(Zeiterfassung!$H$6:$H$3665,$K3132))</f>
        <v/>
      </c>
      <c r="I3132" s="335">
        <f>IF(B3132=B3131,"",IF($K3132="","",INDEX(Zeiterfassung!$I$6:$I$3665,MATCH(INDEX(Zeiterfassung!$K$6:$K$3665,$K3132),Zeiterfassung!$K$6:$K$3665,0))))</f>
        <v/>
      </c>
      <c r="J3132" s="335">
        <f>IF(B3132=B3131,"",IF($K3132="","",INDEX(Zeiterfassung!$J$6:$J$3665,MATCH(INDEX(Zeiterfassung!$K$6:$K$3665,$K3132),Zeiterfassung!$K$6:$K$3665,0))))</f>
        <v/>
      </c>
      <c r="K3132">
        <f>IFERROR(AGGREGATE(15,6,(ROW(Zeiterfassung!$D$6:$D$3665)-ROW(Zeiterfassung!$D$6)+1)/(Zeiterfassung!$D$6:$D$3665&lt;&gt;""),3127),"")</f>
        <v/>
      </c>
    </row>
    <row r="3133" ht="20" customHeight="1">
      <c r="A3133" s="183">
        <f>IF($K3133="","",WEEKNUM(INDEX(Zeiterfassung!$K$6:$K$3665,$K3133),21))</f>
        <v/>
      </c>
      <c r="B3133" s="184">
        <f>IF($K3133="","",INDEX(Zeiterfassung!$K$6:$K$3665,$K3133))</f>
        <v/>
      </c>
      <c r="C3133" s="185">
        <f>IF($K3133="","",INDEX(Zeiterfassung!$K$6:$K$3665,$K3133))</f>
        <v/>
      </c>
      <c r="D3133" s="186">
        <f>IF($K3133="","",INDEX(Zeiterfassung!$D$6:$D$3665,$K3133))</f>
        <v/>
      </c>
      <c r="E3133" s="186">
        <f>IF($K3133="","",INDEX(Zeiterfassung!$E$6:$E$3665,$K3133))</f>
        <v/>
      </c>
      <c r="F3133" s="187">
        <f>IF($K3133="","",INDEX(Zeiterfassung!$F$6:$F$3665,$K3133))</f>
        <v/>
      </c>
      <c r="G3133" s="187">
        <f>IF($K3133="","",INDEX(Zeiterfassung!$G$6:$G$3665,$K3133))</f>
        <v/>
      </c>
      <c r="H3133" s="188">
        <f>IF($K3133="","",INDEX(Zeiterfassung!$H$6:$H$3665,$K3133))</f>
        <v/>
      </c>
      <c r="I3133" s="335">
        <f>IF(B3133=B3132,"",IF($K3133="","",INDEX(Zeiterfassung!$I$6:$I$3665,MATCH(INDEX(Zeiterfassung!$K$6:$K$3665,$K3133),Zeiterfassung!$K$6:$K$3665,0))))</f>
        <v/>
      </c>
      <c r="J3133" s="335">
        <f>IF(B3133=B3132,"",IF($K3133="","",INDEX(Zeiterfassung!$J$6:$J$3665,MATCH(INDEX(Zeiterfassung!$K$6:$K$3665,$K3133),Zeiterfassung!$K$6:$K$3665,0))))</f>
        <v/>
      </c>
      <c r="K3133">
        <f>IFERROR(AGGREGATE(15,6,(ROW(Zeiterfassung!$D$6:$D$3665)-ROW(Zeiterfassung!$D$6)+1)/(Zeiterfassung!$D$6:$D$3665&lt;&gt;""),3128),"")</f>
        <v/>
      </c>
    </row>
    <row r="3134" ht="20" customHeight="1">
      <c r="A3134" s="183">
        <f>IF($K3134="","",WEEKNUM(INDEX(Zeiterfassung!$K$6:$K$3665,$K3134),21))</f>
        <v/>
      </c>
      <c r="B3134" s="184">
        <f>IF($K3134="","",INDEX(Zeiterfassung!$K$6:$K$3665,$K3134))</f>
        <v/>
      </c>
      <c r="C3134" s="185">
        <f>IF($K3134="","",INDEX(Zeiterfassung!$K$6:$K$3665,$K3134))</f>
        <v/>
      </c>
      <c r="D3134" s="186">
        <f>IF($K3134="","",INDEX(Zeiterfassung!$D$6:$D$3665,$K3134))</f>
        <v/>
      </c>
      <c r="E3134" s="186">
        <f>IF($K3134="","",INDEX(Zeiterfassung!$E$6:$E$3665,$K3134))</f>
        <v/>
      </c>
      <c r="F3134" s="187">
        <f>IF($K3134="","",INDEX(Zeiterfassung!$F$6:$F$3665,$K3134))</f>
        <v/>
      </c>
      <c r="G3134" s="187">
        <f>IF($K3134="","",INDEX(Zeiterfassung!$G$6:$G$3665,$K3134))</f>
        <v/>
      </c>
      <c r="H3134" s="188">
        <f>IF($K3134="","",INDEX(Zeiterfassung!$H$6:$H$3665,$K3134))</f>
        <v/>
      </c>
      <c r="I3134" s="335">
        <f>IF(B3134=B3133,"",IF($K3134="","",INDEX(Zeiterfassung!$I$6:$I$3665,MATCH(INDEX(Zeiterfassung!$K$6:$K$3665,$K3134),Zeiterfassung!$K$6:$K$3665,0))))</f>
        <v/>
      </c>
      <c r="J3134" s="335">
        <f>IF(B3134=B3133,"",IF($K3134="","",INDEX(Zeiterfassung!$J$6:$J$3665,MATCH(INDEX(Zeiterfassung!$K$6:$K$3665,$K3134),Zeiterfassung!$K$6:$K$3665,0))))</f>
        <v/>
      </c>
      <c r="K3134">
        <f>IFERROR(AGGREGATE(15,6,(ROW(Zeiterfassung!$D$6:$D$3665)-ROW(Zeiterfassung!$D$6)+1)/(Zeiterfassung!$D$6:$D$3665&lt;&gt;""),3129),"")</f>
        <v/>
      </c>
    </row>
    <row r="3135" ht="20" customHeight="1">
      <c r="A3135" s="183">
        <f>IF($K3135="","",WEEKNUM(INDEX(Zeiterfassung!$K$6:$K$3665,$K3135),21))</f>
        <v/>
      </c>
      <c r="B3135" s="184">
        <f>IF($K3135="","",INDEX(Zeiterfassung!$K$6:$K$3665,$K3135))</f>
        <v/>
      </c>
      <c r="C3135" s="185">
        <f>IF($K3135="","",INDEX(Zeiterfassung!$K$6:$K$3665,$K3135))</f>
        <v/>
      </c>
      <c r="D3135" s="186">
        <f>IF($K3135="","",INDEX(Zeiterfassung!$D$6:$D$3665,$K3135))</f>
        <v/>
      </c>
      <c r="E3135" s="186">
        <f>IF($K3135="","",INDEX(Zeiterfassung!$E$6:$E$3665,$K3135))</f>
        <v/>
      </c>
      <c r="F3135" s="187">
        <f>IF($K3135="","",INDEX(Zeiterfassung!$F$6:$F$3665,$K3135))</f>
        <v/>
      </c>
      <c r="G3135" s="187">
        <f>IF($K3135="","",INDEX(Zeiterfassung!$G$6:$G$3665,$K3135))</f>
        <v/>
      </c>
      <c r="H3135" s="188">
        <f>IF($K3135="","",INDEX(Zeiterfassung!$H$6:$H$3665,$K3135))</f>
        <v/>
      </c>
      <c r="I3135" s="335">
        <f>IF(B3135=B3134,"",IF($K3135="","",INDEX(Zeiterfassung!$I$6:$I$3665,MATCH(INDEX(Zeiterfassung!$K$6:$K$3665,$K3135),Zeiterfassung!$K$6:$K$3665,0))))</f>
        <v/>
      </c>
      <c r="J3135" s="335">
        <f>IF(B3135=B3134,"",IF($K3135="","",INDEX(Zeiterfassung!$J$6:$J$3665,MATCH(INDEX(Zeiterfassung!$K$6:$K$3665,$K3135),Zeiterfassung!$K$6:$K$3665,0))))</f>
        <v/>
      </c>
      <c r="K3135">
        <f>IFERROR(AGGREGATE(15,6,(ROW(Zeiterfassung!$D$6:$D$3665)-ROW(Zeiterfassung!$D$6)+1)/(Zeiterfassung!$D$6:$D$3665&lt;&gt;""),3130),"")</f>
        <v/>
      </c>
    </row>
    <row r="3136" ht="20" customHeight="1">
      <c r="A3136" s="183">
        <f>IF($K3136="","",WEEKNUM(INDEX(Zeiterfassung!$K$6:$K$3665,$K3136),21))</f>
        <v/>
      </c>
      <c r="B3136" s="184">
        <f>IF($K3136="","",INDEX(Zeiterfassung!$K$6:$K$3665,$K3136))</f>
        <v/>
      </c>
      <c r="C3136" s="185">
        <f>IF($K3136="","",INDEX(Zeiterfassung!$K$6:$K$3665,$K3136))</f>
        <v/>
      </c>
      <c r="D3136" s="186">
        <f>IF($K3136="","",INDEX(Zeiterfassung!$D$6:$D$3665,$K3136))</f>
        <v/>
      </c>
      <c r="E3136" s="186">
        <f>IF($K3136="","",INDEX(Zeiterfassung!$E$6:$E$3665,$K3136))</f>
        <v/>
      </c>
      <c r="F3136" s="187">
        <f>IF($K3136="","",INDEX(Zeiterfassung!$F$6:$F$3665,$K3136))</f>
        <v/>
      </c>
      <c r="G3136" s="187">
        <f>IF($K3136="","",INDEX(Zeiterfassung!$G$6:$G$3665,$K3136))</f>
        <v/>
      </c>
      <c r="H3136" s="188">
        <f>IF($K3136="","",INDEX(Zeiterfassung!$H$6:$H$3665,$K3136))</f>
        <v/>
      </c>
      <c r="I3136" s="335">
        <f>IF(B3136=B3135,"",IF($K3136="","",INDEX(Zeiterfassung!$I$6:$I$3665,MATCH(INDEX(Zeiterfassung!$K$6:$K$3665,$K3136),Zeiterfassung!$K$6:$K$3665,0))))</f>
        <v/>
      </c>
      <c r="J3136" s="335">
        <f>IF(B3136=B3135,"",IF($K3136="","",INDEX(Zeiterfassung!$J$6:$J$3665,MATCH(INDEX(Zeiterfassung!$K$6:$K$3665,$K3136),Zeiterfassung!$K$6:$K$3665,0))))</f>
        <v/>
      </c>
      <c r="K3136">
        <f>IFERROR(AGGREGATE(15,6,(ROW(Zeiterfassung!$D$6:$D$3665)-ROW(Zeiterfassung!$D$6)+1)/(Zeiterfassung!$D$6:$D$3665&lt;&gt;""),3131),"")</f>
        <v/>
      </c>
    </row>
    <row r="3137" ht="20" customHeight="1">
      <c r="A3137" s="183">
        <f>IF($K3137="","",WEEKNUM(INDEX(Zeiterfassung!$K$6:$K$3665,$K3137),21))</f>
        <v/>
      </c>
      <c r="B3137" s="184">
        <f>IF($K3137="","",INDEX(Zeiterfassung!$K$6:$K$3665,$K3137))</f>
        <v/>
      </c>
      <c r="C3137" s="185">
        <f>IF($K3137="","",INDEX(Zeiterfassung!$K$6:$K$3665,$K3137))</f>
        <v/>
      </c>
      <c r="D3137" s="186">
        <f>IF($K3137="","",INDEX(Zeiterfassung!$D$6:$D$3665,$K3137))</f>
        <v/>
      </c>
      <c r="E3137" s="186">
        <f>IF($K3137="","",INDEX(Zeiterfassung!$E$6:$E$3665,$K3137))</f>
        <v/>
      </c>
      <c r="F3137" s="187">
        <f>IF($K3137="","",INDEX(Zeiterfassung!$F$6:$F$3665,$K3137))</f>
        <v/>
      </c>
      <c r="G3137" s="187">
        <f>IF($K3137="","",INDEX(Zeiterfassung!$G$6:$G$3665,$K3137))</f>
        <v/>
      </c>
      <c r="H3137" s="188">
        <f>IF($K3137="","",INDEX(Zeiterfassung!$H$6:$H$3665,$K3137))</f>
        <v/>
      </c>
      <c r="I3137" s="335">
        <f>IF(B3137=B3136,"",IF($K3137="","",INDEX(Zeiterfassung!$I$6:$I$3665,MATCH(INDEX(Zeiterfassung!$K$6:$K$3665,$K3137),Zeiterfassung!$K$6:$K$3665,0))))</f>
        <v/>
      </c>
      <c r="J3137" s="335">
        <f>IF(B3137=B3136,"",IF($K3137="","",INDEX(Zeiterfassung!$J$6:$J$3665,MATCH(INDEX(Zeiterfassung!$K$6:$K$3665,$K3137),Zeiterfassung!$K$6:$K$3665,0))))</f>
        <v/>
      </c>
      <c r="K3137">
        <f>IFERROR(AGGREGATE(15,6,(ROW(Zeiterfassung!$D$6:$D$3665)-ROW(Zeiterfassung!$D$6)+1)/(Zeiterfassung!$D$6:$D$3665&lt;&gt;""),3132),"")</f>
        <v/>
      </c>
    </row>
    <row r="3138" ht="20" customHeight="1">
      <c r="A3138" s="183">
        <f>IF($K3138="","",WEEKNUM(INDEX(Zeiterfassung!$K$6:$K$3665,$K3138),21))</f>
        <v/>
      </c>
      <c r="B3138" s="184">
        <f>IF($K3138="","",INDEX(Zeiterfassung!$K$6:$K$3665,$K3138))</f>
        <v/>
      </c>
      <c r="C3138" s="185">
        <f>IF($K3138="","",INDEX(Zeiterfassung!$K$6:$K$3665,$K3138))</f>
        <v/>
      </c>
      <c r="D3138" s="186">
        <f>IF($K3138="","",INDEX(Zeiterfassung!$D$6:$D$3665,$K3138))</f>
        <v/>
      </c>
      <c r="E3138" s="186">
        <f>IF($K3138="","",INDEX(Zeiterfassung!$E$6:$E$3665,$K3138))</f>
        <v/>
      </c>
      <c r="F3138" s="187">
        <f>IF($K3138="","",INDEX(Zeiterfassung!$F$6:$F$3665,$K3138))</f>
        <v/>
      </c>
      <c r="G3138" s="187">
        <f>IF($K3138="","",INDEX(Zeiterfassung!$G$6:$G$3665,$K3138))</f>
        <v/>
      </c>
      <c r="H3138" s="188">
        <f>IF($K3138="","",INDEX(Zeiterfassung!$H$6:$H$3665,$K3138))</f>
        <v/>
      </c>
      <c r="I3138" s="335">
        <f>IF(B3138=B3137,"",IF($K3138="","",INDEX(Zeiterfassung!$I$6:$I$3665,MATCH(INDEX(Zeiterfassung!$K$6:$K$3665,$K3138),Zeiterfassung!$K$6:$K$3665,0))))</f>
        <v/>
      </c>
      <c r="J3138" s="335">
        <f>IF(B3138=B3137,"",IF($K3138="","",INDEX(Zeiterfassung!$J$6:$J$3665,MATCH(INDEX(Zeiterfassung!$K$6:$K$3665,$K3138),Zeiterfassung!$K$6:$K$3665,0))))</f>
        <v/>
      </c>
      <c r="K3138">
        <f>IFERROR(AGGREGATE(15,6,(ROW(Zeiterfassung!$D$6:$D$3665)-ROW(Zeiterfassung!$D$6)+1)/(Zeiterfassung!$D$6:$D$3665&lt;&gt;""),3133),"")</f>
        <v/>
      </c>
    </row>
    <row r="3139" ht="20" customHeight="1">
      <c r="A3139" s="183">
        <f>IF($K3139="","",WEEKNUM(INDEX(Zeiterfassung!$K$6:$K$3665,$K3139),21))</f>
        <v/>
      </c>
      <c r="B3139" s="184">
        <f>IF($K3139="","",INDEX(Zeiterfassung!$K$6:$K$3665,$K3139))</f>
        <v/>
      </c>
      <c r="C3139" s="185">
        <f>IF($K3139="","",INDEX(Zeiterfassung!$K$6:$K$3665,$K3139))</f>
        <v/>
      </c>
      <c r="D3139" s="186">
        <f>IF($K3139="","",INDEX(Zeiterfassung!$D$6:$D$3665,$K3139))</f>
        <v/>
      </c>
      <c r="E3139" s="186">
        <f>IF($K3139="","",INDEX(Zeiterfassung!$E$6:$E$3665,$K3139))</f>
        <v/>
      </c>
      <c r="F3139" s="187">
        <f>IF($K3139="","",INDEX(Zeiterfassung!$F$6:$F$3665,$K3139))</f>
        <v/>
      </c>
      <c r="G3139" s="187">
        <f>IF($K3139="","",INDEX(Zeiterfassung!$G$6:$G$3665,$K3139))</f>
        <v/>
      </c>
      <c r="H3139" s="188">
        <f>IF($K3139="","",INDEX(Zeiterfassung!$H$6:$H$3665,$K3139))</f>
        <v/>
      </c>
      <c r="I3139" s="335">
        <f>IF(B3139=B3138,"",IF($K3139="","",INDEX(Zeiterfassung!$I$6:$I$3665,MATCH(INDEX(Zeiterfassung!$K$6:$K$3665,$K3139),Zeiterfassung!$K$6:$K$3665,0))))</f>
        <v/>
      </c>
      <c r="J3139" s="335">
        <f>IF(B3139=B3138,"",IF($K3139="","",INDEX(Zeiterfassung!$J$6:$J$3665,MATCH(INDEX(Zeiterfassung!$K$6:$K$3665,$K3139),Zeiterfassung!$K$6:$K$3665,0))))</f>
        <v/>
      </c>
      <c r="K3139">
        <f>IFERROR(AGGREGATE(15,6,(ROW(Zeiterfassung!$D$6:$D$3665)-ROW(Zeiterfassung!$D$6)+1)/(Zeiterfassung!$D$6:$D$3665&lt;&gt;""),3134),"")</f>
        <v/>
      </c>
    </row>
    <row r="3140" ht="20" customHeight="1">
      <c r="A3140" s="183">
        <f>IF($K3140="","",WEEKNUM(INDEX(Zeiterfassung!$K$6:$K$3665,$K3140),21))</f>
        <v/>
      </c>
      <c r="B3140" s="184">
        <f>IF($K3140="","",INDEX(Zeiterfassung!$K$6:$K$3665,$K3140))</f>
        <v/>
      </c>
      <c r="C3140" s="185">
        <f>IF($K3140="","",INDEX(Zeiterfassung!$K$6:$K$3665,$K3140))</f>
        <v/>
      </c>
      <c r="D3140" s="186">
        <f>IF($K3140="","",INDEX(Zeiterfassung!$D$6:$D$3665,$K3140))</f>
        <v/>
      </c>
      <c r="E3140" s="186">
        <f>IF($K3140="","",INDEX(Zeiterfassung!$E$6:$E$3665,$K3140))</f>
        <v/>
      </c>
      <c r="F3140" s="187">
        <f>IF($K3140="","",INDEX(Zeiterfassung!$F$6:$F$3665,$K3140))</f>
        <v/>
      </c>
      <c r="G3140" s="187">
        <f>IF($K3140="","",INDEX(Zeiterfassung!$G$6:$G$3665,$K3140))</f>
        <v/>
      </c>
      <c r="H3140" s="188">
        <f>IF($K3140="","",INDEX(Zeiterfassung!$H$6:$H$3665,$K3140))</f>
        <v/>
      </c>
      <c r="I3140" s="335">
        <f>IF(B3140=B3139,"",IF($K3140="","",INDEX(Zeiterfassung!$I$6:$I$3665,MATCH(INDEX(Zeiterfassung!$K$6:$K$3665,$K3140),Zeiterfassung!$K$6:$K$3665,0))))</f>
        <v/>
      </c>
      <c r="J3140" s="335">
        <f>IF(B3140=B3139,"",IF($K3140="","",INDEX(Zeiterfassung!$J$6:$J$3665,MATCH(INDEX(Zeiterfassung!$K$6:$K$3665,$K3140),Zeiterfassung!$K$6:$K$3665,0))))</f>
        <v/>
      </c>
      <c r="K3140">
        <f>IFERROR(AGGREGATE(15,6,(ROW(Zeiterfassung!$D$6:$D$3665)-ROW(Zeiterfassung!$D$6)+1)/(Zeiterfassung!$D$6:$D$3665&lt;&gt;""),3135),"")</f>
        <v/>
      </c>
    </row>
    <row r="3141" ht="20" customHeight="1">
      <c r="A3141" s="183">
        <f>IF($K3141="","",WEEKNUM(INDEX(Zeiterfassung!$K$6:$K$3665,$K3141),21))</f>
        <v/>
      </c>
      <c r="B3141" s="184">
        <f>IF($K3141="","",INDEX(Zeiterfassung!$K$6:$K$3665,$K3141))</f>
        <v/>
      </c>
      <c r="C3141" s="185">
        <f>IF($K3141="","",INDEX(Zeiterfassung!$K$6:$K$3665,$K3141))</f>
        <v/>
      </c>
      <c r="D3141" s="186">
        <f>IF($K3141="","",INDEX(Zeiterfassung!$D$6:$D$3665,$K3141))</f>
        <v/>
      </c>
      <c r="E3141" s="186">
        <f>IF($K3141="","",INDEX(Zeiterfassung!$E$6:$E$3665,$K3141))</f>
        <v/>
      </c>
      <c r="F3141" s="187">
        <f>IF($K3141="","",INDEX(Zeiterfassung!$F$6:$F$3665,$K3141))</f>
        <v/>
      </c>
      <c r="G3141" s="187">
        <f>IF($K3141="","",INDEX(Zeiterfassung!$G$6:$G$3665,$K3141))</f>
        <v/>
      </c>
      <c r="H3141" s="188">
        <f>IF($K3141="","",INDEX(Zeiterfassung!$H$6:$H$3665,$K3141))</f>
        <v/>
      </c>
      <c r="I3141" s="335">
        <f>IF(B3141=B3140,"",IF($K3141="","",INDEX(Zeiterfassung!$I$6:$I$3665,MATCH(INDEX(Zeiterfassung!$K$6:$K$3665,$K3141),Zeiterfassung!$K$6:$K$3665,0))))</f>
        <v/>
      </c>
      <c r="J3141" s="335">
        <f>IF(B3141=B3140,"",IF($K3141="","",INDEX(Zeiterfassung!$J$6:$J$3665,MATCH(INDEX(Zeiterfassung!$K$6:$K$3665,$K3141),Zeiterfassung!$K$6:$K$3665,0))))</f>
        <v/>
      </c>
      <c r="K3141">
        <f>IFERROR(AGGREGATE(15,6,(ROW(Zeiterfassung!$D$6:$D$3665)-ROW(Zeiterfassung!$D$6)+1)/(Zeiterfassung!$D$6:$D$3665&lt;&gt;""),3136),"")</f>
        <v/>
      </c>
    </row>
    <row r="3142" ht="20" customHeight="1">
      <c r="A3142" s="183">
        <f>IF($K3142="","",WEEKNUM(INDEX(Zeiterfassung!$K$6:$K$3665,$K3142),21))</f>
        <v/>
      </c>
      <c r="B3142" s="184">
        <f>IF($K3142="","",INDEX(Zeiterfassung!$K$6:$K$3665,$K3142))</f>
        <v/>
      </c>
      <c r="C3142" s="185">
        <f>IF($K3142="","",INDEX(Zeiterfassung!$K$6:$K$3665,$K3142))</f>
        <v/>
      </c>
      <c r="D3142" s="186">
        <f>IF($K3142="","",INDEX(Zeiterfassung!$D$6:$D$3665,$K3142))</f>
        <v/>
      </c>
      <c r="E3142" s="186">
        <f>IF($K3142="","",INDEX(Zeiterfassung!$E$6:$E$3665,$K3142))</f>
        <v/>
      </c>
      <c r="F3142" s="187">
        <f>IF($K3142="","",INDEX(Zeiterfassung!$F$6:$F$3665,$K3142))</f>
        <v/>
      </c>
      <c r="G3142" s="187">
        <f>IF($K3142="","",INDEX(Zeiterfassung!$G$6:$G$3665,$K3142))</f>
        <v/>
      </c>
      <c r="H3142" s="188">
        <f>IF($K3142="","",INDEX(Zeiterfassung!$H$6:$H$3665,$K3142))</f>
        <v/>
      </c>
      <c r="I3142" s="335">
        <f>IF(B3142=B3141,"",IF($K3142="","",INDEX(Zeiterfassung!$I$6:$I$3665,MATCH(INDEX(Zeiterfassung!$K$6:$K$3665,$K3142),Zeiterfassung!$K$6:$K$3665,0))))</f>
        <v/>
      </c>
      <c r="J3142" s="335">
        <f>IF(B3142=B3141,"",IF($K3142="","",INDEX(Zeiterfassung!$J$6:$J$3665,MATCH(INDEX(Zeiterfassung!$K$6:$K$3665,$K3142),Zeiterfassung!$K$6:$K$3665,0))))</f>
        <v/>
      </c>
      <c r="K3142">
        <f>IFERROR(AGGREGATE(15,6,(ROW(Zeiterfassung!$D$6:$D$3665)-ROW(Zeiterfassung!$D$6)+1)/(Zeiterfassung!$D$6:$D$3665&lt;&gt;""),3137),"")</f>
        <v/>
      </c>
    </row>
    <row r="3143" ht="20" customHeight="1">
      <c r="A3143" s="183">
        <f>IF($K3143="","",WEEKNUM(INDEX(Zeiterfassung!$K$6:$K$3665,$K3143),21))</f>
        <v/>
      </c>
      <c r="B3143" s="184">
        <f>IF($K3143="","",INDEX(Zeiterfassung!$K$6:$K$3665,$K3143))</f>
        <v/>
      </c>
      <c r="C3143" s="185">
        <f>IF($K3143="","",INDEX(Zeiterfassung!$K$6:$K$3665,$K3143))</f>
        <v/>
      </c>
      <c r="D3143" s="186">
        <f>IF($K3143="","",INDEX(Zeiterfassung!$D$6:$D$3665,$K3143))</f>
        <v/>
      </c>
      <c r="E3143" s="186">
        <f>IF($K3143="","",INDEX(Zeiterfassung!$E$6:$E$3665,$K3143))</f>
        <v/>
      </c>
      <c r="F3143" s="187">
        <f>IF($K3143="","",INDEX(Zeiterfassung!$F$6:$F$3665,$K3143))</f>
        <v/>
      </c>
      <c r="G3143" s="187">
        <f>IF($K3143="","",INDEX(Zeiterfassung!$G$6:$G$3665,$K3143))</f>
        <v/>
      </c>
      <c r="H3143" s="188">
        <f>IF($K3143="","",INDEX(Zeiterfassung!$H$6:$H$3665,$K3143))</f>
        <v/>
      </c>
      <c r="I3143" s="335">
        <f>IF(B3143=B3142,"",IF($K3143="","",INDEX(Zeiterfassung!$I$6:$I$3665,MATCH(INDEX(Zeiterfassung!$K$6:$K$3665,$K3143),Zeiterfassung!$K$6:$K$3665,0))))</f>
        <v/>
      </c>
      <c r="J3143" s="335">
        <f>IF(B3143=B3142,"",IF($K3143="","",INDEX(Zeiterfassung!$J$6:$J$3665,MATCH(INDEX(Zeiterfassung!$K$6:$K$3665,$K3143),Zeiterfassung!$K$6:$K$3665,0))))</f>
        <v/>
      </c>
      <c r="K3143">
        <f>IFERROR(AGGREGATE(15,6,(ROW(Zeiterfassung!$D$6:$D$3665)-ROW(Zeiterfassung!$D$6)+1)/(Zeiterfassung!$D$6:$D$3665&lt;&gt;""),3138),"")</f>
        <v/>
      </c>
    </row>
    <row r="3144" ht="20" customHeight="1">
      <c r="A3144" s="183">
        <f>IF($K3144="","",WEEKNUM(INDEX(Zeiterfassung!$K$6:$K$3665,$K3144),21))</f>
        <v/>
      </c>
      <c r="B3144" s="184">
        <f>IF($K3144="","",INDEX(Zeiterfassung!$K$6:$K$3665,$K3144))</f>
        <v/>
      </c>
      <c r="C3144" s="185">
        <f>IF($K3144="","",INDEX(Zeiterfassung!$K$6:$K$3665,$K3144))</f>
        <v/>
      </c>
      <c r="D3144" s="186">
        <f>IF($K3144="","",INDEX(Zeiterfassung!$D$6:$D$3665,$K3144))</f>
        <v/>
      </c>
      <c r="E3144" s="186">
        <f>IF($K3144="","",INDEX(Zeiterfassung!$E$6:$E$3665,$K3144))</f>
        <v/>
      </c>
      <c r="F3144" s="187">
        <f>IF($K3144="","",INDEX(Zeiterfassung!$F$6:$F$3665,$K3144))</f>
        <v/>
      </c>
      <c r="G3144" s="187">
        <f>IF($K3144="","",INDEX(Zeiterfassung!$G$6:$G$3665,$K3144))</f>
        <v/>
      </c>
      <c r="H3144" s="188">
        <f>IF($K3144="","",INDEX(Zeiterfassung!$H$6:$H$3665,$K3144))</f>
        <v/>
      </c>
      <c r="I3144" s="335">
        <f>IF(B3144=B3143,"",IF($K3144="","",INDEX(Zeiterfassung!$I$6:$I$3665,MATCH(INDEX(Zeiterfassung!$K$6:$K$3665,$K3144),Zeiterfassung!$K$6:$K$3665,0))))</f>
        <v/>
      </c>
      <c r="J3144" s="335">
        <f>IF(B3144=B3143,"",IF($K3144="","",INDEX(Zeiterfassung!$J$6:$J$3665,MATCH(INDEX(Zeiterfassung!$K$6:$K$3665,$K3144),Zeiterfassung!$K$6:$K$3665,0))))</f>
        <v/>
      </c>
      <c r="K3144">
        <f>IFERROR(AGGREGATE(15,6,(ROW(Zeiterfassung!$D$6:$D$3665)-ROW(Zeiterfassung!$D$6)+1)/(Zeiterfassung!$D$6:$D$3665&lt;&gt;""),3139),"")</f>
        <v/>
      </c>
    </row>
    <row r="3145" ht="20" customHeight="1">
      <c r="A3145" s="183">
        <f>IF($K3145="","",WEEKNUM(INDEX(Zeiterfassung!$K$6:$K$3665,$K3145),21))</f>
        <v/>
      </c>
      <c r="B3145" s="184">
        <f>IF($K3145="","",INDEX(Zeiterfassung!$K$6:$K$3665,$K3145))</f>
        <v/>
      </c>
      <c r="C3145" s="185">
        <f>IF($K3145="","",INDEX(Zeiterfassung!$K$6:$K$3665,$K3145))</f>
        <v/>
      </c>
      <c r="D3145" s="186">
        <f>IF($K3145="","",INDEX(Zeiterfassung!$D$6:$D$3665,$K3145))</f>
        <v/>
      </c>
      <c r="E3145" s="186">
        <f>IF($K3145="","",INDEX(Zeiterfassung!$E$6:$E$3665,$K3145))</f>
        <v/>
      </c>
      <c r="F3145" s="187">
        <f>IF($K3145="","",INDEX(Zeiterfassung!$F$6:$F$3665,$K3145))</f>
        <v/>
      </c>
      <c r="G3145" s="187">
        <f>IF($K3145="","",INDEX(Zeiterfassung!$G$6:$G$3665,$K3145))</f>
        <v/>
      </c>
      <c r="H3145" s="188">
        <f>IF($K3145="","",INDEX(Zeiterfassung!$H$6:$H$3665,$K3145))</f>
        <v/>
      </c>
      <c r="I3145" s="335">
        <f>IF(B3145=B3144,"",IF($K3145="","",INDEX(Zeiterfassung!$I$6:$I$3665,MATCH(INDEX(Zeiterfassung!$K$6:$K$3665,$K3145),Zeiterfassung!$K$6:$K$3665,0))))</f>
        <v/>
      </c>
      <c r="J3145" s="335">
        <f>IF(B3145=B3144,"",IF($K3145="","",INDEX(Zeiterfassung!$J$6:$J$3665,MATCH(INDEX(Zeiterfassung!$K$6:$K$3665,$K3145),Zeiterfassung!$K$6:$K$3665,0))))</f>
        <v/>
      </c>
      <c r="K3145">
        <f>IFERROR(AGGREGATE(15,6,(ROW(Zeiterfassung!$D$6:$D$3665)-ROW(Zeiterfassung!$D$6)+1)/(Zeiterfassung!$D$6:$D$3665&lt;&gt;""),3140),"")</f>
        <v/>
      </c>
    </row>
    <row r="3146" ht="20" customHeight="1">
      <c r="A3146" s="183">
        <f>IF($K3146="","",WEEKNUM(INDEX(Zeiterfassung!$K$6:$K$3665,$K3146),21))</f>
        <v/>
      </c>
      <c r="B3146" s="184">
        <f>IF($K3146="","",INDEX(Zeiterfassung!$K$6:$K$3665,$K3146))</f>
        <v/>
      </c>
      <c r="C3146" s="185">
        <f>IF($K3146="","",INDEX(Zeiterfassung!$K$6:$K$3665,$K3146))</f>
        <v/>
      </c>
      <c r="D3146" s="186">
        <f>IF($K3146="","",INDEX(Zeiterfassung!$D$6:$D$3665,$K3146))</f>
        <v/>
      </c>
      <c r="E3146" s="186">
        <f>IF($K3146="","",INDEX(Zeiterfassung!$E$6:$E$3665,$K3146))</f>
        <v/>
      </c>
      <c r="F3146" s="187">
        <f>IF($K3146="","",INDEX(Zeiterfassung!$F$6:$F$3665,$K3146))</f>
        <v/>
      </c>
      <c r="G3146" s="187">
        <f>IF($K3146="","",INDEX(Zeiterfassung!$G$6:$G$3665,$K3146))</f>
        <v/>
      </c>
      <c r="H3146" s="188">
        <f>IF($K3146="","",INDEX(Zeiterfassung!$H$6:$H$3665,$K3146))</f>
        <v/>
      </c>
      <c r="I3146" s="335">
        <f>IF(B3146=B3145,"",IF($K3146="","",INDEX(Zeiterfassung!$I$6:$I$3665,MATCH(INDEX(Zeiterfassung!$K$6:$K$3665,$K3146),Zeiterfassung!$K$6:$K$3665,0))))</f>
        <v/>
      </c>
      <c r="J3146" s="335">
        <f>IF(B3146=B3145,"",IF($K3146="","",INDEX(Zeiterfassung!$J$6:$J$3665,MATCH(INDEX(Zeiterfassung!$K$6:$K$3665,$K3146),Zeiterfassung!$K$6:$K$3665,0))))</f>
        <v/>
      </c>
      <c r="K3146">
        <f>IFERROR(AGGREGATE(15,6,(ROW(Zeiterfassung!$D$6:$D$3665)-ROW(Zeiterfassung!$D$6)+1)/(Zeiterfassung!$D$6:$D$3665&lt;&gt;""),3141),"")</f>
        <v/>
      </c>
    </row>
    <row r="3147" ht="20" customHeight="1">
      <c r="A3147" s="183">
        <f>IF($K3147="","",WEEKNUM(INDEX(Zeiterfassung!$K$6:$K$3665,$K3147),21))</f>
        <v/>
      </c>
      <c r="B3147" s="184">
        <f>IF($K3147="","",INDEX(Zeiterfassung!$K$6:$K$3665,$K3147))</f>
        <v/>
      </c>
      <c r="C3147" s="185">
        <f>IF($K3147="","",INDEX(Zeiterfassung!$K$6:$K$3665,$K3147))</f>
        <v/>
      </c>
      <c r="D3147" s="186">
        <f>IF($K3147="","",INDEX(Zeiterfassung!$D$6:$D$3665,$K3147))</f>
        <v/>
      </c>
      <c r="E3147" s="186">
        <f>IF($K3147="","",INDEX(Zeiterfassung!$E$6:$E$3665,$K3147))</f>
        <v/>
      </c>
      <c r="F3147" s="187">
        <f>IF($K3147="","",INDEX(Zeiterfassung!$F$6:$F$3665,$K3147))</f>
        <v/>
      </c>
      <c r="G3147" s="187">
        <f>IF($K3147="","",INDEX(Zeiterfassung!$G$6:$G$3665,$K3147))</f>
        <v/>
      </c>
      <c r="H3147" s="188">
        <f>IF($K3147="","",INDEX(Zeiterfassung!$H$6:$H$3665,$K3147))</f>
        <v/>
      </c>
      <c r="I3147" s="335">
        <f>IF(B3147=B3146,"",IF($K3147="","",INDEX(Zeiterfassung!$I$6:$I$3665,MATCH(INDEX(Zeiterfassung!$K$6:$K$3665,$K3147),Zeiterfassung!$K$6:$K$3665,0))))</f>
        <v/>
      </c>
      <c r="J3147" s="335">
        <f>IF(B3147=B3146,"",IF($K3147="","",INDEX(Zeiterfassung!$J$6:$J$3665,MATCH(INDEX(Zeiterfassung!$K$6:$K$3665,$K3147),Zeiterfassung!$K$6:$K$3665,0))))</f>
        <v/>
      </c>
      <c r="K3147">
        <f>IFERROR(AGGREGATE(15,6,(ROW(Zeiterfassung!$D$6:$D$3665)-ROW(Zeiterfassung!$D$6)+1)/(Zeiterfassung!$D$6:$D$3665&lt;&gt;""),3142),"")</f>
        <v/>
      </c>
    </row>
    <row r="3148" ht="20" customHeight="1">
      <c r="A3148" s="183">
        <f>IF($K3148="","",WEEKNUM(INDEX(Zeiterfassung!$K$6:$K$3665,$K3148),21))</f>
        <v/>
      </c>
      <c r="B3148" s="184">
        <f>IF($K3148="","",INDEX(Zeiterfassung!$K$6:$K$3665,$K3148))</f>
        <v/>
      </c>
      <c r="C3148" s="185">
        <f>IF($K3148="","",INDEX(Zeiterfassung!$K$6:$K$3665,$K3148))</f>
        <v/>
      </c>
      <c r="D3148" s="186">
        <f>IF($K3148="","",INDEX(Zeiterfassung!$D$6:$D$3665,$K3148))</f>
        <v/>
      </c>
      <c r="E3148" s="186">
        <f>IF($K3148="","",INDEX(Zeiterfassung!$E$6:$E$3665,$K3148))</f>
        <v/>
      </c>
      <c r="F3148" s="187">
        <f>IF($K3148="","",INDEX(Zeiterfassung!$F$6:$F$3665,$K3148))</f>
        <v/>
      </c>
      <c r="G3148" s="187">
        <f>IF($K3148="","",INDEX(Zeiterfassung!$G$6:$G$3665,$K3148))</f>
        <v/>
      </c>
      <c r="H3148" s="188">
        <f>IF($K3148="","",INDEX(Zeiterfassung!$H$6:$H$3665,$K3148))</f>
        <v/>
      </c>
      <c r="I3148" s="335">
        <f>IF(B3148=B3147,"",IF($K3148="","",INDEX(Zeiterfassung!$I$6:$I$3665,MATCH(INDEX(Zeiterfassung!$K$6:$K$3665,$K3148),Zeiterfassung!$K$6:$K$3665,0))))</f>
        <v/>
      </c>
      <c r="J3148" s="335">
        <f>IF(B3148=B3147,"",IF($K3148="","",INDEX(Zeiterfassung!$J$6:$J$3665,MATCH(INDEX(Zeiterfassung!$K$6:$K$3665,$K3148),Zeiterfassung!$K$6:$K$3665,0))))</f>
        <v/>
      </c>
      <c r="K3148">
        <f>IFERROR(AGGREGATE(15,6,(ROW(Zeiterfassung!$D$6:$D$3665)-ROW(Zeiterfassung!$D$6)+1)/(Zeiterfassung!$D$6:$D$3665&lt;&gt;""),3143),"")</f>
        <v/>
      </c>
    </row>
    <row r="3149" ht="20" customHeight="1">
      <c r="A3149" s="183">
        <f>IF($K3149="","",WEEKNUM(INDEX(Zeiterfassung!$K$6:$K$3665,$K3149),21))</f>
        <v/>
      </c>
      <c r="B3149" s="184">
        <f>IF($K3149="","",INDEX(Zeiterfassung!$K$6:$K$3665,$K3149))</f>
        <v/>
      </c>
      <c r="C3149" s="185">
        <f>IF($K3149="","",INDEX(Zeiterfassung!$K$6:$K$3665,$K3149))</f>
        <v/>
      </c>
      <c r="D3149" s="186">
        <f>IF($K3149="","",INDEX(Zeiterfassung!$D$6:$D$3665,$K3149))</f>
        <v/>
      </c>
      <c r="E3149" s="186">
        <f>IF($K3149="","",INDEX(Zeiterfassung!$E$6:$E$3665,$K3149))</f>
        <v/>
      </c>
      <c r="F3149" s="187">
        <f>IF($K3149="","",INDEX(Zeiterfassung!$F$6:$F$3665,$K3149))</f>
        <v/>
      </c>
      <c r="G3149" s="187">
        <f>IF($K3149="","",INDEX(Zeiterfassung!$G$6:$G$3665,$K3149))</f>
        <v/>
      </c>
      <c r="H3149" s="188">
        <f>IF($K3149="","",INDEX(Zeiterfassung!$H$6:$H$3665,$K3149))</f>
        <v/>
      </c>
      <c r="I3149" s="335">
        <f>IF(B3149=B3148,"",IF($K3149="","",INDEX(Zeiterfassung!$I$6:$I$3665,MATCH(INDEX(Zeiterfassung!$K$6:$K$3665,$K3149),Zeiterfassung!$K$6:$K$3665,0))))</f>
        <v/>
      </c>
      <c r="J3149" s="335">
        <f>IF(B3149=B3148,"",IF($K3149="","",INDEX(Zeiterfassung!$J$6:$J$3665,MATCH(INDEX(Zeiterfassung!$K$6:$K$3665,$K3149),Zeiterfassung!$K$6:$K$3665,0))))</f>
        <v/>
      </c>
      <c r="K3149">
        <f>IFERROR(AGGREGATE(15,6,(ROW(Zeiterfassung!$D$6:$D$3665)-ROW(Zeiterfassung!$D$6)+1)/(Zeiterfassung!$D$6:$D$3665&lt;&gt;""),3144),"")</f>
        <v/>
      </c>
    </row>
    <row r="3150" ht="20" customHeight="1">
      <c r="A3150" s="183">
        <f>IF($K3150="","",WEEKNUM(INDEX(Zeiterfassung!$K$6:$K$3665,$K3150),21))</f>
        <v/>
      </c>
      <c r="B3150" s="184">
        <f>IF($K3150="","",INDEX(Zeiterfassung!$K$6:$K$3665,$K3150))</f>
        <v/>
      </c>
      <c r="C3150" s="185">
        <f>IF($K3150="","",INDEX(Zeiterfassung!$K$6:$K$3665,$K3150))</f>
        <v/>
      </c>
      <c r="D3150" s="186">
        <f>IF($K3150="","",INDEX(Zeiterfassung!$D$6:$D$3665,$K3150))</f>
        <v/>
      </c>
      <c r="E3150" s="186">
        <f>IF($K3150="","",INDEX(Zeiterfassung!$E$6:$E$3665,$K3150))</f>
        <v/>
      </c>
      <c r="F3150" s="187">
        <f>IF($K3150="","",INDEX(Zeiterfassung!$F$6:$F$3665,$K3150))</f>
        <v/>
      </c>
      <c r="G3150" s="187">
        <f>IF($K3150="","",INDEX(Zeiterfassung!$G$6:$G$3665,$K3150))</f>
        <v/>
      </c>
      <c r="H3150" s="188">
        <f>IF($K3150="","",INDEX(Zeiterfassung!$H$6:$H$3665,$K3150))</f>
        <v/>
      </c>
      <c r="I3150" s="335">
        <f>IF(B3150=B3149,"",IF($K3150="","",INDEX(Zeiterfassung!$I$6:$I$3665,MATCH(INDEX(Zeiterfassung!$K$6:$K$3665,$K3150),Zeiterfassung!$K$6:$K$3665,0))))</f>
        <v/>
      </c>
      <c r="J3150" s="335">
        <f>IF(B3150=B3149,"",IF($K3150="","",INDEX(Zeiterfassung!$J$6:$J$3665,MATCH(INDEX(Zeiterfassung!$K$6:$K$3665,$K3150),Zeiterfassung!$K$6:$K$3665,0))))</f>
        <v/>
      </c>
      <c r="K3150">
        <f>IFERROR(AGGREGATE(15,6,(ROW(Zeiterfassung!$D$6:$D$3665)-ROW(Zeiterfassung!$D$6)+1)/(Zeiterfassung!$D$6:$D$3665&lt;&gt;""),3145),"")</f>
        <v/>
      </c>
    </row>
    <row r="3151" ht="20" customHeight="1">
      <c r="A3151" s="183">
        <f>IF($K3151="","",WEEKNUM(INDEX(Zeiterfassung!$K$6:$K$3665,$K3151),21))</f>
        <v/>
      </c>
      <c r="B3151" s="184">
        <f>IF($K3151="","",INDEX(Zeiterfassung!$K$6:$K$3665,$K3151))</f>
        <v/>
      </c>
      <c r="C3151" s="185">
        <f>IF($K3151="","",INDEX(Zeiterfassung!$K$6:$K$3665,$K3151))</f>
        <v/>
      </c>
      <c r="D3151" s="186">
        <f>IF($K3151="","",INDEX(Zeiterfassung!$D$6:$D$3665,$K3151))</f>
        <v/>
      </c>
      <c r="E3151" s="186">
        <f>IF($K3151="","",INDEX(Zeiterfassung!$E$6:$E$3665,$K3151))</f>
        <v/>
      </c>
      <c r="F3151" s="187">
        <f>IF($K3151="","",INDEX(Zeiterfassung!$F$6:$F$3665,$K3151))</f>
        <v/>
      </c>
      <c r="G3151" s="187">
        <f>IF($K3151="","",INDEX(Zeiterfassung!$G$6:$G$3665,$K3151))</f>
        <v/>
      </c>
      <c r="H3151" s="188">
        <f>IF($K3151="","",INDEX(Zeiterfassung!$H$6:$H$3665,$K3151))</f>
        <v/>
      </c>
      <c r="I3151" s="335">
        <f>IF(B3151=B3150,"",IF($K3151="","",INDEX(Zeiterfassung!$I$6:$I$3665,MATCH(INDEX(Zeiterfassung!$K$6:$K$3665,$K3151),Zeiterfassung!$K$6:$K$3665,0))))</f>
        <v/>
      </c>
      <c r="J3151" s="335">
        <f>IF(B3151=B3150,"",IF($K3151="","",INDEX(Zeiterfassung!$J$6:$J$3665,MATCH(INDEX(Zeiterfassung!$K$6:$K$3665,$K3151),Zeiterfassung!$K$6:$K$3665,0))))</f>
        <v/>
      </c>
      <c r="K3151">
        <f>IFERROR(AGGREGATE(15,6,(ROW(Zeiterfassung!$D$6:$D$3665)-ROW(Zeiterfassung!$D$6)+1)/(Zeiterfassung!$D$6:$D$3665&lt;&gt;""),3146),"")</f>
        <v/>
      </c>
    </row>
    <row r="3152" ht="20" customHeight="1">
      <c r="A3152" s="183">
        <f>IF($K3152="","",WEEKNUM(INDEX(Zeiterfassung!$K$6:$K$3665,$K3152),21))</f>
        <v/>
      </c>
      <c r="B3152" s="184">
        <f>IF($K3152="","",INDEX(Zeiterfassung!$K$6:$K$3665,$K3152))</f>
        <v/>
      </c>
      <c r="C3152" s="185">
        <f>IF($K3152="","",INDEX(Zeiterfassung!$K$6:$K$3665,$K3152))</f>
        <v/>
      </c>
      <c r="D3152" s="186">
        <f>IF($K3152="","",INDEX(Zeiterfassung!$D$6:$D$3665,$K3152))</f>
        <v/>
      </c>
      <c r="E3152" s="186">
        <f>IF($K3152="","",INDEX(Zeiterfassung!$E$6:$E$3665,$K3152))</f>
        <v/>
      </c>
      <c r="F3152" s="187">
        <f>IF($K3152="","",INDEX(Zeiterfassung!$F$6:$F$3665,$K3152))</f>
        <v/>
      </c>
      <c r="G3152" s="187">
        <f>IF($K3152="","",INDEX(Zeiterfassung!$G$6:$G$3665,$K3152))</f>
        <v/>
      </c>
      <c r="H3152" s="188">
        <f>IF($K3152="","",INDEX(Zeiterfassung!$H$6:$H$3665,$K3152))</f>
        <v/>
      </c>
      <c r="I3152" s="335">
        <f>IF(B3152=B3151,"",IF($K3152="","",INDEX(Zeiterfassung!$I$6:$I$3665,MATCH(INDEX(Zeiterfassung!$K$6:$K$3665,$K3152),Zeiterfassung!$K$6:$K$3665,0))))</f>
        <v/>
      </c>
      <c r="J3152" s="335">
        <f>IF(B3152=B3151,"",IF($K3152="","",INDEX(Zeiterfassung!$J$6:$J$3665,MATCH(INDEX(Zeiterfassung!$K$6:$K$3665,$K3152),Zeiterfassung!$K$6:$K$3665,0))))</f>
        <v/>
      </c>
      <c r="K3152">
        <f>IFERROR(AGGREGATE(15,6,(ROW(Zeiterfassung!$D$6:$D$3665)-ROW(Zeiterfassung!$D$6)+1)/(Zeiterfassung!$D$6:$D$3665&lt;&gt;""),3147),"")</f>
        <v/>
      </c>
    </row>
    <row r="3153" ht="20" customHeight="1">
      <c r="A3153" s="183">
        <f>IF($K3153="","",WEEKNUM(INDEX(Zeiterfassung!$K$6:$K$3665,$K3153),21))</f>
        <v/>
      </c>
      <c r="B3153" s="184">
        <f>IF($K3153="","",INDEX(Zeiterfassung!$K$6:$K$3665,$K3153))</f>
        <v/>
      </c>
      <c r="C3153" s="185">
        <f>IF($K3153="","",INDEX(Zeiterfassung!$K$6:$K$3665,$K3153))</f>
        <v/>
      </c>
      <c r="D3153" s="186">
        <f>IF($K3153="","",INDEX(Zeiterfassung!$D$6:$D$3665,$K3153))</f>
        <v/>
      </c>
      <c r="E3153" s="186">
        <f>IF($K3153="","",INDEX(Zeiterfassung!$E$6:$E$3665,$K3153))</f>
        <v/>
      </c>
      <c r="F3153" s="187">
        <f>IF($K3153="","",INDEX(Zeiterfassung!$F$6:$F$3665,$K3153))</f>
        <v/>
      </c>
      <c r="G3153" s="187">
        <f>IF($K3153="","",INDEX(Zeiterfassung!$G$6:$G$3665,$K3153))</f>
        <v/>
      </c>
      <c r="H3153" s="188">
        <f>IF($K3153="","",INDEX(Zeiterfassung!$H$6:$H$3665,$K3153))</f>
        <v/>
      </c>
      <c r="I3153" s="335">
        <f>IF(B3153=B3152,"",IF($K3153="","",INDEX(Zeiterfassung!$I$6:$I$3665,MATCH(INDEX(Zeiterfassung!$K$6:$K$3665,$K3153),Zeiterfassung!$K$6:$K$3665,0))))</f>
        <v/>
      </c>
      <c r="J3153" s="335">
        <f>IF(B3153=B3152,"",IF($K3153="","",INDEX(Zeiterfassung!$J$6:$J$3665,MATCH(INDEX(Zeiterfassung!$K$6:$K$3665,$K3153),Zeiterfassung!$K$6:$K$3665,0))))</f>
        <v/>
      </c>
      <c r="K3153">
        <f>IFERROR(AGGREGATE(15,6,(ROW(Zeiterfassung!$D$6:$D$3665)-ROW(Zeiterfassung!$D$6)+1)/(Zeiterfassung!$D$6:$D$3665&lt;&gt;""),3148),"")</f>
        <v/>
      </c>
    </row>
    <row r="3154" ht="20" customHeight="1">
      <c r="A3154" s="183">
        <f>IF($K3154="","",WEEKNUM(INDEX(Zeiterfassung!$K$6:$K$3665,$K3154),21))</f>
        <v/>
      </c>
      <c r="B3154" s="184">
        <f>IF($K3154="","",INDEX(Zeiterfassung!$K$6:$K$3665,$K3154))</f>
        <v/>
      </c>
      <c r="C3154" s="185">
        <f>IF($K3154="","",INDEX(Zeiterfassung!$K$6:$K$3665,$K3154))</f>
        <v/>
      </c>
      <c r="D3154" s="186">
        <f>IF($K3154="","",INDEX(Zeiterfassung!$D$6:$D$3665,$K3154))</f>
        <v/>
      </c>
      <c r="E3154" s="186">
        <f>IF($K3154="","",INDEX(Zeiterfassung!$E$6:$E$3665,$K3154))</f>
        <v/>
      </c>
      <c r="F3154" s="187">
        <f>IF($K3154="","",INDEX(Zeiterfassung!$F$6:$F$3665,$K3154))</f>
        <v/>
      </c>
      <c r="G3154" s="187">
        <f>IF($K3154="","",INDEX(Zeiterfassung!$G$6:$G$3665,$K3154))</f>
        <v/>
      </c>
      <c r="H3154" s="188">
        <f>IF($K3154="","",INDEX(Zeiterfassung!$H$6:$H$3665,$K3154))</f>
        <v/>
      </c>
      <c r="I3154" s="335">
        <f>IF(B3154=B3153,"",IF($K3154="","",INDEX(Zeiterfassung!$I$6:$I$3665,MATCH(INDEX(Zeiterfassung!$K$6:$K$3665,$K3154),Zeiterfassung!$K$6:$K$3665,0))))</f>
        <v/>
      </c>
      <c r="J3154" s="335">
        <f>IF(B3154=B3153,"",IF($K3154="","",INDEX(Zeiterfassung!$J$6:$J$3665,MATCH(INDEX(Zeiterfassung!$K$6:$K$3665,$K3154),Zeiterfassung!$K$6:$K$3665,0))))</f>
        <v/>
      </c>
      <c r="K3154">
        <f>IFERROR(AGGREGATE(15,6,(ROW(Zeiterfassung!$D$6:$D$3665)-ROW(Zeiterfassung!$D$6)+1)/(Zeiterfassung!$D$6:$D$3665&lt;&gt;""),3149),"")</f>
        <v/>
      </c>
    </row>
    <row r="3155" ht="20" customHeight="1">
      <c r="A3155" s="183">
        <f>IF($K3155="","",WEEKNUM(INDEX(Zeiterfassung!$K$6:$K$3665,$K3155),21))</f>
        <v/>
      </c>
      <c r="B3155" s="184">
        <f>IF($K3155="","",INDEX(Zeiterfassung!$K$6:$K$3665,$K3155))</f>
        <v/>
      </c>
      <c r="C3155" s="185">
        <f>IF($K3155="","",INDEX(Zeiterfassung!$K$6:$K$3665,$K3155))</f>
        <v/>
      </c>
      <c r="D3155" s="186">
        <f>IF($K3155="","",INDEX(Zeiterfassung!$D$6:$D$3665,$K3155))</f>
        <v/>
      </c>
      <c r="E3155" s="186">
        <f>IF($K3155="","",INDEX(Zeiterfassung!$E$6:$E$3665,$K3155))</f>
        <v/>
      </c>
      <c r="F3155" s="187">
        <f>IF($K3155="","",INDEX(Zeiterfassung!$F$6:$F$3665,$K3155))</f>
        <v/>
      </c>
      <c r="G3155" s="187">
        <f>IF($K3155="","",INDEX(Zeiterfassung!$G$6:$G$3665,$K3155))</f>
        <v/>
      </c>
      <c r="H3155" s="188">
        <f>IF($K3155="","",INDEX(Zeiterfassung!$H$6:$H$3665,$K3155))</f>
        <v/>
      </c>
      <c r="I3155" s="335">
        <f>IF(B3155=B3154,"",IF($K3155="","",INDEX(Zeiterfassung!$I$6:$I$3665,MATCH(INDEX(Zeiterfassung!$K$6:$K$3665,$K3155),Zeiterfassung!$K$6:$K$3665,0))))</f>
        <v/>
      </c>
      <c r="J3155" s="335">
        <f>IF(B3155=B3154,"",IF($K3155="","",INDEX(Zeiterfassung!$J$6:$J$3665,MATCH(INDEX(Zeiterfassung!$K$6:$K$3665,$K3155),Zeiterfassung!$K$6:$K$3665,0))))</f>
        <v/>
      </c>
      <c r="K3155">
        <f>IFERROR(AGGREGATE(15,6,(ROW(Zeiterfassung!$D$6:$D$3665)-ROW(Zeiterfassung!$D$6)+1)/(Zeiterfassung!$D$6:$D$3665&lt;&gt;""),3150),"")</f>
        <v/>
      </c>
    </row>
    <row r="3156" ht="20" customHeight="1">
      <c r="A3156" s="183">
        <f>IF($K3156="","",WEEKNUM(INDEX(Zeiterfassung!$K$6:$K$3665,$K3156),21))</f>
        <v/>
      </c>
      <c r="B3156" s="184">
        <f>IF($K3156="","",INDEX(Zeiterfassung!$K$6:$K$3665,$K3156))</f>
        <v/>
      </c>
      <c r="C3156" s="185">
        <f>IF($K3156="","",INDEX(Zeiterfassung!$K$6:$K$3665,$K3156))</f>
        <v/>
      </c>
      <c r="D3156" s="186">
        <f>IF($K3156="","",INDEX(Zeiterfassung!$D$6:$D$3665,$K3156))</f>
        <v/>
      </c>
      <c r="E3156" s="186">
        <f>IF($K3156="","",INDEX(Zeiterfassung!$E$6:$E$3665,$K3156))</f>
        <v/>
      </c>
      <c r="F3156" s="187">
        <f>IF($K3156="","",INDEX(Zeiterfassung!$F$6:$F$3665,$K3156))</f>
        <v/>
      </c>
      <c r="G3156" s="187">
        <f>IF($K3156="","",INDEX(Zeiterfassung!$G$6:$G$3665,$K3156))</f>
        <v/>
      </c>
      <c r="H3156" s="188">
        <f>IF($K3156="","",INDEX(Zeiterfassung!$H$6:$H$3665,$K3156))</f>
        <v/>
      </c>
      <c r="I3156" s="335">
        <f>IF(B3156=B3155,"",IF($K3156="","",INDEX(Zeiterfassung!$I$6:$I$3665,MATCH(INDEX(Zeiterfassung!$K$6:$K$3665,$K3156),Zeiterfassung!$K$6:$K$3665,0))))</f>
        <v/>
      </c>
      <c r="J3156" s="335">
        <f>IF(B3156=B3155,"",IF($K3156="","",INDEX(Zeiterfassung!$J$6:$J$3665,MATCH(INDEX(Zeiterfassung!$K$6:$K$3665,$K3156),Zeiterfassung!$K$6:$K$3665,0))))</f>
        <v/>
      </c>
      <c r="K3156">
        <f>IFERROR(AGGREGATE(15,6,(ROW(Zeiterfassung!$D$6:$D$3665)-ROW(Zeiterfassung!$D$6)+1)/(Zeiterfassung!$D$6:$D$3665&lt;&gt;""),3151),"")</f>
        <v/>
      </c>
    </row>
    <row r="3157" ht="20" customHeight="1">
      <c r="A3157" s="183">
        <f>IF($K3157="","",WEEKNUM(INDEX(Zeiterfassung!$K$6:$K$3665,$K3157),21))</f>
        <v/>
      </c>
      <c r="B3157" s="184">
        <f>IF($K3157="","",INDEX(Zeiterfassung!$K$6:$K$3665,$K3157))</f>
        <v/>
      </c>
      <c r="C3157" s="185">
        <f>IF($K3157="","",INDEX(Zeiterfassung!$K$6:$K$3665,$K3157))</f>
        <v/>
      </c>
      <c r="D3157" s="186">
        <f>IF($K3157="","",INDEX(Zeiterfassung!$D$6:$D$3665,$K3157))</f>
        <v/>
      </c>
      <c r="E3157" s="186">
        <f>IF($K3157="","",INDEX(Zeiterfassung!$E$6:$E$3665,$K3157))</f>
        <v/>
      </c>
      <c r="F3157" s="187">
        <f>IF($K3157="","",INDEX(Zeiterfassung!$F$6:$F$3665,$K3157))</f>
        <v/>
      </c>
      <c r="G3157" s="187">
        <f>IF($K3157="","",INDEX(Zeiterfassung!$G$6:$G$3665,$K3157))</f>
        <v/>
      </c>
      <c r="H3157" s="188">
        <f>IF($K3157="","",INDEX(Zeiterfassung!$H$6:$H$3665,$K3157))</f>
        <v/>
      </c>
      <c r="I3157" s="335">
        <f>IF(B3157=B3156,"",IF($K3157="","",INDEX(Zeiterfassung!$I$6:$I$3665,MATCH(INDEX(Zeiterfassung!$K$6:$K$3665,$K3157),Zeiterfassung!$K$6:$K$3665,0))))</f>
        <v/>
      </c>
      <c r="J3157" s="335">
        <f>IF(B3157=B3156,"",IF($K3157="","",INDEX(Zeiterfassung!$J$6:$J$3665,MATCH(INDEX(Zeiterfassung!$K$6:$K$3665,$K3157),Zeiterfassung!$K$6:$K$3665,0))))</f>
        <v/>
      </c>
      <c r="K3157">
        <f>IFERROR(AGGREGATE(15,6,(ROW(Zeiterfassung!$D$6:$D$3665)-ROW(Zeiterfassung!$D$6)+1)/(Zeiterfassung!$D$6:$D$3665&lt;&gt;""),3152),"")</f>
        <v/>
      </c>
    </row>
    <row r="3158" ht="20" customHeight="1">
      <c r="A3158" s="183">
        <f>IF($K3158="","",WEEKNUM(INDEX(Zeiterfassung!$K$6:$K$3665,$K3158),21))</f>
        <v/>
      </c>
      <c r="B3158" s="184">
        <f>IF($K3158="","",INDEX(Zeiterfassung!$K$6:$K$3665,$K3158))</f>
        <v/>
      </c>
      <c r="C3158" s="185">
        <f>IF($K3158="","",INDEX(Zeiterfassung!$K$6:$K$3665,$K3158))</f>
        <v/>
      </c>
      <c r="D3158" s="186">
        <f>IF($K3158="","",INDEX(Zeiterfassung!$D$6:$D$3665,$K3158))</f>
        <v/>
      </c>
      <c r="E3158" s="186">
        <f>IF($K3158="","",INDEX(Zeiterfassung!$E$6:$E$3665,$K3158))</f>
        <v/>
      </c>
      <c r="F3158" s="187">
        <f>IF($K3158="","",INDEX(Zeiterfassung!$F$6:$F$3665,$K3158))</f>
        <v/>
      </c>
      <c r="G3158" s="187">
        <f>IF($K3158="","",INDEX(Zeiterfassung!$G$6:$G$3665,$K3158))</f>
        <v/>
      </c>
      <c r="H3158" s="188">
        <f>IF($K3158="","",INDEX(Zeiterfassung!$H$6:$H$3665,$K3158))</f>
        <v/>
      </c>
      <c r="I3158" s="335">
        <f>IF(B3158=B3157,"",IF($K3158="","",INDEX(Zeiterfassung!$I$6:$I$3665,MATCH(INDEX(Zeiterfassung!$K$6:$K$3665,$K3158),Zeiterfassung!$K$6:$K$3665,0))))</f>
        <v/>
      </c>
      <c r="J3158" s="335">
        <f>IF(B3158=B3157,"",IF($K3158="","",INDEX(Zeiterfassung!$J$6:$J$3665,MATCH(INDEX(Zeiterfassung!$K$6:$K$3665,$K3158),Zeiterfassung!$K$6:$K$3665,0))))</f>
        <v/>
      </c>
      <c r="K3158">
        <f>IFERROR(AGGREGATE(15,6,(ROW(Zeiterfassung!$D$6:$D$3665)-ROW(Zeiterfassung!$D$6)+1)/(Zeiterfassung!$D$6:$D$3665&lt;&gt;""),3153),"")</f>
        <v/>
      </c>
    </row>
    <row r="3159" ht="20" customHeight="1">
      <c r="A3159" s="183">
        <f>IF($K3159="","",WEEKNUM(INDEX(Zeiterfassung!$K$6:$K$3665,$K3159),21))</f>
        <v/>
      </c>
      <c r="B3159" s="184">
        <f>IF($K3159="","",INDEX(Zeiterfassung!$K$6:$K$3665,$K3159))</f>
        <v/>
      </c>
      <c r="C3159" s="185">
        <f>IF($K3159="","",INDEX(Zeiterfassung!$K$6:$K$3665,$K3159))</f>
        <v/>
      </c>
      <c r="D3159" s="186">
        <f>IF($K3159="","",INDEX(Zeiterfassung!$D$6:$D$3665,$K3159))</f>
        <v/>
      </c>
      <c r="E3159" s="186">
        <f>IF($K3159="","",INDEX(Zeiterfassung!$E$6:$E$3665,$K3159))</f>
        <v/>
      </c>
      <c r="F3159" s="187">
        <f>IF($K3159="","",INDEX(Zeiterfassung!$F$6:$F$3665,$K3159))</f>
        <v/>
      </c>
      <c r="G3159" s="187">
        <f>IF($K3159="","",INDEX(Zeiterfassung!$G$6:$G$3665,$K3159))</f>
        <v/>
      </c>
      <c r="H3159" s="188">
        <f>IF($K3159="","",INDEX(Zeiterfassung!$H$6:$H$3665,$K3159))</f>
        <v/>
      </c>
      <c r="I3159" s="335">
        <f>IF(B3159=B3158,"",IF($K3159="","",INDEX(Zeiterfassung!$I$6:$I$3665,MATCH(INDEX(Zeiterfassung!$K$6:$K$3665,$K3159),Zeiterfassung!$K$6:$K$3665,0))))</f>
        <v/>
      </c>
      <c r="J3159" s="335">
        <f>IF(B3159=B3158,"",IF($K3159="","",INDEX(Zeiterfassung!$J$6:$J$3665,MATCH(INDEX(Zeiterfassung!$K$6:$K$3665,$K3159),Zeiterfassung!$K$6:$K$3665,0))))</f>
        <v/>
      </c>
      <c r="K3159">
        <f>IFERROR(AGGREGATE(15,6,(ROW(Zeiterfassung!$D$6:$D$3665)-ROW(Zeiterfassung!$D$6)+1)/(Zeiterfassung!$D$6:$D$3665&lt;&gt;""),3154),"")</f>
        <v/>
      </c>
    </row>
    <row r="3160" ht="20" customHeight="1">
      <c r="A3160" s="183">
        <f>IF($K3160="","",WEEKNUM(INDEX(Zeiterfassung!$K$6:$K$3665,$K3160),21))</f>
        <v/>
      </c>
      <c r="B3160" s="184">
        <f>IF($K3160="","",INDEX(Zeiterfassung!$K$6:$K$3665,$K3160))</f>
        <v/>
      </c>
      <c r="C3160" s="185">
        <f>IF($K3160="","",INDEX(Zeiterfassung!$K$6:$K$3665,$K3160))</f>
        <v/>
      </c>
      <c r="D3160" s="186">
        <f>IF($K3160="","",INDEX(Zeiterfassung!$D$6:$D$3665,$K3160))</f>
        <v/>
      </c>
      <c r="E3160" s="186">
        <f>IF($K3160="","",INDEX(Zeiterfassung!$E$6:$E$3665,$K3160))</f>
        <v/>
      </c>
      <c r="F3160" s="187">
        <f>IF($K3160="","",INDEX(Zeiterfassung!$F$6:$F$3665,$K3160))</f>
        <v/>
      </c>
      <c r="G3160" s="187">
        <f>IF($K3160="","",INDEX(Zeiterfassung!$G$6:$G$3665,$K3160))</f>
        <v/>
      </c>
      <c r="H3160" s="188">
        <f>IF($K3160="","",INDEX(Zeiterfassung!$H$6:$H$3665,$K3160))</f>
        <v/>
      </c>
      <c r="I3160" s="335">
        <f>IF(B3160=B3159,"",IF($K3160="","",INDEX(Zeiterfassung!$I$6:$I$3665,MATCH(INDEX(Zeiterfassung!$K$6:$K$3665,$K3160),Zeiterfassung!$K$6:$K$3665,0))))</f>
        <v/>
      </c>
      <c r="J3160" s="335">
        <f>IF(B3160=B3159,"",IF($K3160="","",INDEX(Zeiterfassung!$J$6:$J$3665,MATCH(INDEX(Zeiterfassung!$K$6:$K$3665,$K3160),Zeiterfassung!$K$6:$K$3665,0))))</f>
        <v/>
      </c>
      <c r="K3160">
        <f>IFERROR(AGGREGATE(15,6,(ROW(Zeiterfassung!$D$6:$D$3665)-ROW(Zeiterfassung!$D$6)+1)/(Zeiterfassung!$D$6:$D$3665&lt;&gt;""),3155),"")</f>
        <v/>
      </c>
    </row>
    <row r="3161" ht="20" customHeight="1">
      <c r="A3161" s="183">
        <f>IF($K3161="","",WEEKNUM(INDEX(Zeiterfassung!$K$6:$K$3665,$K3161),21))</f>
        <v/>
      </c>
      <c r="B3161" s="184">
        <f>IF($K3161="","",INDEX(Zeiterfassung!$K$6:$K$3665,$K3161))</f>
        <v/>
      </c>
      <c r="C3161" s="185">
        <f>IF($K3161="","",INDEX(Zeiterfassung!$K$6:$K$3665,$K3161))</f>
        <v/>
      </c>
      <c r="D3161" s="186">
        <f>IF($K3161="","",INDEX(Zeiterfassung!$D$6:$D$3665,$K3161))</f>
        <v/>
      </c>
      <c r="E3161" s="186">
        <f>IF($K3161="","",INDEX(Zeiterfassung!$E$6:$E$3665,$K3161))</f>
        <v/>
      </c>
      <c r="F3161" s="187">
        <f>IF($K3161="","",INDEX(Zeiterfassung!$F$6:$F$3665,$K3161))</f>
        <v/>
      </c>
      <c r="G3161" s="187">
        <f>IF($K3161="","",INDEX(Zeiterfassung!$G$6:$G$3665,$K3161))</f>
        <v/>
      </c>
      <c r="H3161" s="188">
        <f>IF($K3161="","",INDEX(Zeiterfassung!$H$6:$H$3665,$K3161))</f>
        <v/>
      </c>
      <c r="I3161" s="335">
        <f>IF(B3161=B3160,"",IF($K3161="","",INDEX(Zeiterfassung!$I$6:$I$3665,MATCH(INDEX(Zeiterfassung!$K$6:$K$3665,$K3161),Zeiterfassung!$K$6:$K$3665,0))))</f>
        <v/>
      </c>
      <c r="J3161" s="335">
        <f>IF(B3161=B3160,"",IF($K3161="","",INDEX(Zeiterfassung!$J$6:$J$3665,MATCH(INDEX(Zeiterfassung!$K$6:$K$3665,$K3161),Zeiterfassung!$K$6:$K$3665,0))))</f>
        <v/>
      </c>
      <c r="K3161">
        <f>IFERROR(AGGREGATE(15,6,(ROW(Zeiterfassung!$D$6:$D$3665)-ROW(Zeiterfassung!$D$6)+1)/(Zeiterfassung!$D$6:$D$3665&lt;&gt;""),3156),"")</f>
        <v/>
      </c>
    </row>
    <row r="3162" ht="20" customHeight="1">
      <c r="A3162" s="183">
        <f>IF($K3162="","",WEEKNUM(INDEX(Zeiterfassung!$K$6:$K$3665,$K3162),21))</f>
        <v/>
      </c>
      <c r="B3162" s="184">
        <f>IF($K3162="","",INDEX(Zeiterfassung!$K$6:$K$3665,$K3162))</f>
        <v/>
      </c>
      <c r="C3162" s="185">
        <f>IF($K3162="","",INDEX(Zeiterfassung!$K$6:$K$3665,$K3162))</f>
        <v/>
      </c>
      <c r="D3162" s="186">
        <f>IF($K3162="","",INDEX(Zeiterfassung!$D$6:$D$3665,$K3162))</f>
        <v/>
      </c>
      <c r="E3162" s="186">
        <f>IF($K3162="","",INDEX(Zeiterfassung!$E$6:$E$3665,$K3162))</f>
        <v/>
      </c>
      <c r="F3162" s="187">
        <f>IF($K3162="","",INDEX(Zeiterfassung!$F$6:$F$3665,$K3162))</f>
        <v/>
      </c>
      <c r="G3162" s="187">
        <f>IF($K3162="","",INDEX(Zeiterfassung!$G$6:$G$3665,$K3162))</f>
        <v/>
      </c>
      <c r="H3162" s="188">
        <f>IF($K3162="","",INDEX(Zeiterfassung!$H$6:$H$3665,$K3162))</f>
        <v/>
      </c>
      <c r="I3162" s="335">
        <f>IF(B3162=B3161,"",IF($K3162="","",INDEX(Zeiterfassung!$I$6:$I$3665,MATCH(INDEX(Zeiterfassung!$K$6:$K$3665,$K3162),Zeiterfassung!$K$6:$K$3665,0))))</f>
        <v/>
      </c>
      <c r="J3162" s="335">
        <f>IF(B3162=B3161,"",IF($K3162="","",INDEX(Zeiterfassung!$J$6:$J$3665,MATCH(INDEX(Zeiterfassung!$K$6:$K$3665,$K3162),Zeiterfassung!$K$6:$K$3665,0))))</f>
        <v/>
      </c>
      <c r="K3162">
        <f>IFERROR(AGGREGATE(15,6,(ROW(Zeiterfassung!$D$6:$D$3665)-ROW(Zeiterfassung!$D$6)+1)/(Zeiterfassung!$D$6:$D$3665&lt;&gt;""),3157),"")</f>
        <v/>
      </c>
    </row>
    <row r="3163" ht="20" customHeight="1">
      <c r="A3163" s="183">
        <f>IF($K3163="","",WEEKNUM(INDEX(Zeiterfassung!$K$6:$K$3665,$K3163),21))</f>
        <v/>
      </c>
      <c r="B3163" s="184">
        <f>IF($K3163="","",INDEX(Zeiterfassung!$K$6:$K$3665,$K3163))</f>
        <v/>
      </c>
      <c r="C3163" s="185">
        <f>IF($K3163="","",INDEX(Zeiterfassung!$K$6:$K$3665,$K3163))</f>
        <v/>
      </c>
      <c r="D3163" s="186">
        <f>IF($K3163="","",INDEX(Zeiterfassung!$D$6:$D$3665,$K3163))</f>
        <v/>
      </c>
      <c r="E3163" s="186">
        <f>IF($K3163="","",INDEX(Zeiterfassung!$E$6:$E$3665,$K3163))</f>
        <v/>
      </c>
      <c r="F3163" s="187">
        <f>IF($K3163="","",INDEX(Zeiterfassung!$F$6:$F$3665,$K3163))</f>
        <v/>
      </c>
      <c r="G3163" s="187">
        <f>IF($K3163="","",INDEX(Zeiterfassung!$G$6:$G$3665,$K3163))</f>
        <v/>
      </c>
      <c r="H3163" s="188">
        <f>IF($K3163="","",INDEX(Zeiterfassung!$H$6:$H$3665,$K3163))</f>
        <v/>
      </c>
      <c r="I3163" s="335">
        <f>IF(B3163=B3162,"",IF($K3163="","",INDEX(Zeiterfassung!$I$6:$I$3665,MATCH(INDEX(Zeiterfassung!$K$6:$K$3665,$K3163),Zeiterfassung!$K$6:$K$3665,0))))</f>
        <v/>
      </c>
      <c r="J3163" s="335">
        <f>IF(B3163=B3162,"",IF($K3163="","",INDEX(Zeiterfassung!$J$6:$J$3665,MATCH(INDEX(Zeiterfassung!$K$6:$K$3665,$K3163),Zeiterfassung!$K$6:$K$3665,0))))</f>
        <v/>
      </c>
      <c r="K3163">
        <f>IFERROR(AGGREGATE(15,6,(ROW(Zeiterfassung!$D$6:$D$3665)-ROW(Zeiterfassung!$D$6)+1)/(Zeiterfassung!$D$6:$D$3665&lt;&gt;""),3158),"")</f>
        <v/>
      </c>
    </row>
    <row r="3164" ht="20" customHeight="1">
      <c r="A3164" s="183">
        <f>IF($K3164="","",WEEKNUM(INDEX(Zeiterfassung!$K$6:$K$3665,$K3164),21))</f>
        <v/>
      </c>
      <c r="B3164" s="184">
        <f>IF($K3164="","",INDEX(Zeiterfassung!$K$6:$K$3665,$K3164))</f>
        <v/>
      </c>
      <c r="C3164" s="185">
        <f>IF($K3164="","",INDEX(Zeiterfassung!$K$6:$K$3665,$K3164))</f>
        <v/>
      </c>
      <c r="D3164" s="186">
        <f>IF($K3164="","",INDEX(Zeiterfassung!$D$6:$D$3665,$K3164))</f>
        <v/>
      </c>
      <c r="E3164" s="186">
        <f>IF($K3164="","",INDEX(Zeiterfassung!$E$6:$E$3665,$K3164))</f>
        <v/>
      </c>
      <c r="F3164" s="187">
        <f>IF($K3164="","",INDEX(Zeiterfassung!$F$6:$F$3665,$K3164))</f>
        <v/>
      </c>
      <c r="G3164" s="187">
        <f>IF($K3164="","",INDEX(Zeiterfassung!$G$6:$G$3665,$K3164))</f>
        <v/>
      </c>
      <c r="H3164" s="188">
        <f>IF($K3164="","",INDEX(Zeiterfassung!$H$6:$H$3665,$K3164))</f>
        <v/>
      </c>
      <c r="I3164" s="335">
        <f>IF(B3164=B3163,"",IF($K3164="","",INDEX(Zeiterfassung!$I$6:$I$3665,MATCH(INDEX(Zeiterfassung!$K$6:$K$3665,$K3164),Zeiterfassung!$K$6:$K$3665,0))))</f>
        <v/>
      </c>
      <c r="J3164" s="335">
        <f>IF(B3164=B3163,"",IF($K3164="","",INDEX(Zeiterfassung!$J$6:$J$3665,MATCH(INDEX(Zeiterfassung!$K$6:$K$3665,$K3164),Zeiterfassung!$K$6:$K$3665,0))))</f>
        <v/>
      </c>
      <c r="K3164">
        <f>IFERROR(AGGREGATE(15,6,(ROW(Zeiterfassung!$D$6:$D$3665)-ROW(Zeiterfassung!$D$6)+1)/(Zeiterfassung!$D$6:$D$3665&lt;&gt;""),3159),"")</f>
        <v/>
      </c>
    </row>
    <row r="3165" ht="20" customHeight="1">
      <c r="A3165" s="183">
        <f>IF($K3165="","",WEEKNUM(INDEX(Zeiterfassung!$K$6:$K$3665,$K3165),21))</f>
        <v/>
      </c>
      <c r="B3165" s="184">
        <f>IF($K3165="","",INDEX(Zeiterfassung!$K$6:$K$3665,$K3165))</f>
        <v/>
      </c>
      <c r="C3165" s="185">
        <f>IF($K3165="","",INDEX(Zeiterfassung!$K$6:$K$3665,$K3165))</f>
        <v/>
      </c>
      <c r="D3165" s="186">
        <f>IF($K3165="","",INDEX(Zeiterfassung!$D$6:$D$3665,$K3165))</f>
        <v/>
      </c>
      <c r="E3165" s="186">
        <f>IF($K3165="","",INDEX(Zeiterfassung!$E$6:$E$3665,$K3165))</f>
        <v/>
      </c>
      <c r="F3165" s="187">
        <f>IF($K3165="","",INDEX(Zeiterfassung!$F$6:$F$3665,$K3165))</f>
        <v/>
      </c>
      <c r="G3165" s="187">
        <f>IF($K3165="","",INDEX(Zeiterfassung!$G$6:$G$3665,$K3165))</f>
        <v/>
      </c>
      <c r="H3165" s="188">
        <f>IF($K3165="","",INDEX(Zeiterfassung!$H$6:$H$3665,$K3165))</f>
        <v/>
      </c>
      <c r="I3165" s="335">
        <f>IF(B3165=B3164,"",IF($K3165="","",INDEX(Zeiterfassung!$I$6:$I$3665,MATCH(INDEX(Zeiterfassung!$K$6:$K$3665,$K3165),Zeiterfassung!$K$6:$K$3665,0))))</f>
        <v/>
      </c>
      <c r="J3165" s="335">
        <f>IF(B3165=B3164,"",IF($K3165="","",INDEX(Zeiterfassung!$J$6:$J$3665,MATCH(INDEX(Zeiterfassung!$K$6:$K$3665,$K3165),Zeiterfassung!$K$6:$K$3665,0))))</f>
        <v/>
      </c>
      <c r="K3165">
        <f>IFERROR(AGGREGATE(15,6,(ROW(Zeiterfassung!$D$6:$D$3665)-ROW(Zeiterfassung!$D$6)+1)/(Zeiterfassung!$D$6:$D$3665&lt;&gt;""),3160),"")</f>
        <v/>
      </c>
    </row>
    <row r="3166" ht="20" customHeight="1">
      <c r="A3166" s="183">
        <f>IF($K3166="","",WEEKNUM(INDEX(Zeiterfassung!$K$6:$K$3665,$K3166),21))</f>
        <v/>
      </c>
      <c r="B3166" s="184">
        <f>IF($K3166="","",INDEX(Zeiterfassung!$K$6:$K$3665,$K3166))</f>
        <v/>
      </c>
      <c r="C3166" s="185">
        <f>IF($K3166="","",INDEX(Zeiterfassung!$K$6:$K$3665,$K3166))</f>
        <v/>
      </c>
      <c r="D3166" s="186">
        <f>IF($K3166="","",INDEX(Zeiterfassung!$D$6:$D$3665,$K3166))</f>
        <v/>
      </c>
      <c r="E3166" s="186">
        <f>IF($K3166="","",INDEX(Zeiterfassung!$E$6:$E$3665,$K3166))</f>
        <v/>
      </c>
      <c r="F3166" s="187">
        <f>IF($K3166="","",INDEX(Zeiterfassung!$F$6:$F$3665,$K3166))</f>
        <v/>
      </c>
      <c r="G3166" s="187">
        <f>IF($K3166="","",INDEX(Zeiterfassung!$G$6:$G$3665,$K3166))</f>
        <v/>
      </c>
      <c r="H3166" s="188">
        <f>IF($K3166="","",INDEX(Zeiterfassung!$H$6:$H$3665,$K3166))</f>
        <v/>
      </c>
      <c r="I3166" s="335">
        <f>IF(B3166=B3165,"",IF($K3166="","",INDEX(Zeiterfassung!$I$6:$I$3665,MATCH(INDEX(Zeiterfassung!$K$6:$K$3665,$K3166),Zeiterfassung!$K$6:$K$3665,0))))</f>
        <v/>
      </c>
      <c r="J3166" s="335">
        <f>IF(B3166=B3165,"",IF($K3166="","",INDEX(Zeiterfassung!$J$6:$J$3665,MATCH(INDEX(Zeiterfassung!$K$6:$K$3665,$K3166),Zeiterfassung!$K$6:$K$3665,0))))</f>
        <v/>
      </c>
      <c r="K3166">
        <f>IFERROR(AGGREGATE(15,6,(ROW(Zeiterfassung!$D$6:$D$3665)-ROW(Zeiterfassung!$D$6)+1)/(Zeiterfassung!$D$6:$D$3665&lt;&gt;""),3161),"")</f>
        <v/>
      </c>
    </row>
    <row r="3167" ht="20" customHeight="1">
      <c r="A3167" s="183">
        <f>IF($K3167="","",WEEKNUM(INDEX(Zeiterfassung!$K$6:$K$3665,$K3167),21))</f>
        <v/>
      </c>
      <c r="B3167" s="184">
        <f>IF($K3167="","",INDEX(Zeiterfassung!$K$6:$K$3665,$K3167))</f>
        <v/>
      </c>
      <c r="C3167" s="185">
        <f>IF($K3167="","",INDEX(Zeiterfassung!$K$6:$K$3665,$K3167))</f>
        <v/>
      </c>
      <c r="D3167" s="186">
        <f>IF($K3167="","",INDEX(Zeiterfassung!$D$6:$D$3665,$K3167))</f>
        <v/>
      </c>
      <c r="E3167" s="186">
        <f>IF($K3167="","",INDEX(Zeiterfassung!$E$6:$E$3665,$K3167))</f>
        <v/>
      </c>
      <c r="F3167" s="187">
        <f>IF($K3167="","",INDEX(Zeiterfassung!$F$6:$F$3665,$K3167))</f>
        <v/>
      </c>
      <c r="G3167" s="187">
        <f>IF($K3167="","",INDEX(Zeiterfassung!$G$6:$G$3665,$K3167))</f>
        <v/>
      </c>
      <c r="H3167" s="188">
        <f>IF($K3167="","",INDEX(Zeiterfassung!$H$6:$H$3665,$K3167))</f>
        <v/>
      </c>
      <c r="I3167" s="335">
        <f>IF(B3167=B3166,"",IF($K3167="","",INDEX(Zeiterfassung!$I$6:$I$3665,MATCH(INDEX(Zeiterfassung!$K$6:$K$3665,$K3167),Zeiterfassung!$K$6:$K$3665,0))))</f>
        <v/>
      </c>
      <c r="J3167" s="335">
        <f>IF(B3167=B3166,"",IF($K3167="","",INDEX(Zeiterfassung!$J$6:$J$3665,MATCH(INDEX(Zeiterfassung!$K$6:$K$3665,$K3167),Zeiterfassung!$K$6:$K$3665,0))))</f>
        <v/>
      </c>
      <c r="K3167">
        <f>IFERROR(AGGREGATE(15,6,(ROW(Zeiterfassung!$D$6:$D$3665)-ROW(Zeiterfassung!$D$6)+1)/(Zeiterfassung!$D$6:$D$3665&lt;&gt;""),3162),"")</f>
        <v/>
      </c>
    </row>
    <row r="3168" ht="20" customHeight="1">
      <c r="A3168" s="183">
        <f>IF($K3168="","",WEEKNUM(INDEX(Zeiterfassung!$K$6:$K$3665,$K3168),21))</f>
        <v/>
      </c>
      <c r="B3168" s="184">
        <f>IF($K3168="","",INDEX(Zeiterfassung!$K$6:$K$3665,$K3168))</f>
        <v/>
      </c>
      <c r="C3168" s="185">
        <f>IF($K3168="","",INDEX(Zeiterfassung!$K$6:$K$3665,$K3168))</f>
        <v/>
      </c>
      <c r="D3168" s="186">
        <f>IF($K3168="","",INDEX(Zeiterfassung!$D$6:$D$3665,$K3168))</f>
        <v/>
      </c>
      <c r="E3168" s="186">
        <f>IF($K3168="","",INDEX(Zeiterfassung!$E$6:$E$3665,$K3168))</f>
        <v/>
      </c>
      <c r="F3168" s="187">
        <f>IF($K3168="","",INDEX(Zeiterfassung!$F$6:$F$3665,$K3168))</f>
        <v/>
      </c>
      <c r="G3168" s="187">
        <f>IF($K3168="","",INDEX(Zeiterfassung!$G$6:$G$3665,$K3168))</f>
        <v/>
      </c>
      <c r="H3168" s="188">
        <f>IF($K3168="","",INDEX(Zeiterfassung!$H$6:$H$3665,$K3168))</f>
        <v/>
      </c>
      <c r="I3168" s="335">
        <f>IF(B3168=B3167,"",IF($K3168="","",INDEX(Zeiterfassung!$I$6:$I$3665,MATCH(INDEX(Zeiterfassung!$K$6:$K$3665,$K3168),Zeiterfassung!$K$6:$K$3665,0))))</f>
        <v/>
      </c>
      <c r="J3168" s="335">
        <f>IF(B3168=B3167,"",IF($K3168="","",INDEX(Zeiterfassung!$J$6:$J$3665,MATCH(INDEX(Zeiterfassung!$K$6:$K$3665,$K3168),Zeiterfassung!$K$6:$K$3665,0))))</f>
        <v/>
      </c>
      <c r="K3168">
        <f>IFERROR(AGGREGATE(15,6,(ROW(Zeiterfassung!$D$6:$D$3665)-ROW(Zeiterfassung!$D$6)+1)/(Zeiterfassung!$D$6:$D$3665&lt;&gt;""),3163),"")</f>
        <v/>
      </c>
    </row>
    <row r="3169" ht="20" customHeight="1">
      <c r="A3169" s="183">
        <f>IF($K3169="","",WEEKNUM(INDEX(Zeiterfassung!$K$6:$K$3665,$K3169),21))</f>
        <v/>
      </c>
      <c r="B3169" s="184">
        <f>IF($K3169="","",INDEX(Zeiterfassung!$K$6:$K$3665,$K3169))</f>
        <v/>
      </c>
      <c r="C3169" s="185">
        <f>IF($K3169="","",INDEX(Zeiterfassung!$K$6:$K$3665,$K3169))</f>
        <v/>
      </c>
      <c r="D3169" s="186">
        <f>IF($K3169="","",INDEX(Zeiterfassung!$D$6:$D$3665,$K3169))</f>
        <v/>
      </c>
      <c r="E3169" s="186">
        <f>IF($K3169="","",INDEX(Zeiterfassung!$E$6:$E$3665,$K3169))</f>
        <v/>
      </c>
      <c r="F3169" s="187">
        <f>IF($K3169="","",INDEX(Zeiterfassung!$F$6:$F$3665,$K3169))</f>
        <v/>
      </c>
      <c r="G3169" s="187">
        <f>IF($K3169="","",INDEX(Zeiterfassung!$G$6:$G$3665,$K3169))</f>
        <v/>
      </c>
      <c r="H3169" s="188">
        <f>IF($K3169="","",INDEX(Zeiterfassung!$H$6:$H$3665,$K3169))</f>
        <v/>
      </c>
      <c r="I3169" s="335">
        <f>IF(B3169=B3168,"",IF($K3169="","",INDEX(Zeiterfassung!$I$6:$I$3665,MATCH(INDEX(Zeiterfassung!$K$6:$K$3665,$K3169),Zeiterfassung!$K$6:$K$3665,0))))</f>
        <v/>
      </c>
      <c r="J3169" s="335">
        <f>IF(B3169=B3168,"",IF($K3169="","",INDEX(Zeiterfassung!$J$6:$J$3665,MATCH(INDEX(Zeiterfassung!$K$6:$K$3665,$K3169),Zeiterfassung!$K$6:$K$3665,0))))</f>
        <v/>
      </c>
      <c r="K3169">
        <f>IFERROR(AGGREGATE(15,6,(ROW(Zeiterfassung!$D$6:$D$3665)-ROW(Zeiterfassung!$D$6)+1)/(Zeiterfassung!$D$6:$D$3665&lt;&gt;""),3164),"")</f>
        <v/>
      </c>
    </row>
    <row r="3170" ht="20" customHeight="1">
      <c r="A3170" s="183">
        <f>IF($K3170="","",WEEKNUM(INDEX(Zeiterfassung!$K$6:$K$3665,$K3170),21))</f>
        <v/>
      </c>
      <c r="B3170" s="184">
        <f>IF($K3170="","",INDEX(Zeiterfassung!$K$6:$K$3665,$K3170))</f>
        <v/>
      </c>
      <c r="C3170" s="185">
        <f>IF($K3170="","",INDEX(Zeiterfassung!$K$6:$K$3665,$K3170))</f>
        <v/>
      </c>
      <c r="D3170" s="186">
        <f>IF($K3170="","",INDEX(Zeiterfassung!$D$6:$D$3665,$K3170))</f>
        <v/>
      </c>
      <c r="E3170" s="186">
        <f>IF($K3170="","",INDEX(Zeiterfassung!$E$6:$E$3665,$K3170))</f>
        <v/>
      </c>
      <c r="F3170" s="187">
        <f>IF($K3170="","",INDEX(Zeiterfassung!$F$6:$F$3665,$K3170))</f>
        <v/>
      </c>
      <c r="G3170" s="187">
        <f>IF($K3170="","",INDEX(Zeiterfassung!$G$6:$G$3665,$K3170))</f>
        <v/>
      </c>
      <c r="H3170" s="188">
        <f>IF($K3170="","",INDEX(Zeiterfassung!$H$6:$H$3665,$K3170))</f>
        <v/>
      </c>
      <c r="I3170" s="335">
        <f>IF(B3170=B3169,"",IF($K3170="","",INDEX(Zeiterfassung!$I$6:$I$3665,MATCH(INDEX(Zeiterfassung!$K$6:$K$3665,$K3170),Zeiterfassung!$K$6:$K$3665,0))))</f>
        <v/>
      </c>
      <c r="J3170" s="335">
        <f>IF(B3170=B3169,"",IF($K3170="","",INDEX(Zeiterfassung!$J$6:$J$3665,MATCH(INDEX(Zeiterfassung!$K$6:$K$3665,$K3170),Zeiterfassung!$K$6:$K$3665,0))))</f>
        <v/>
      </c>
      <c r="K3170">
        <f>IFERROR(AGGREGATE(15,6,(ROW(Zeiterfassung!$D$6:$D$3665)-ROW(Zeiterfassung!$D$6)+1)/(Zeiterfassung!$D$6:$D$3665&lt;&gt;""),3165),"")</f>
        <v/>
      </c>
    </row>
    <row r="3171" ht="20" customHeight="1">
      <c r="A3171" s="183">
        <f>IF($K3171="","",WEEKNUM(INDEX(Zeiterfassung!$K$6:$K$3665,$K3171),21))</f>
        <v/>
      </c>
      <c r="B3171" s="184">
        <f>IF($K3171="","",INDEX(Zeiterfassung!$K$6:$K$3665,$K3171))</f>
        <v/>
      </c>
      <c r="C3171" s="185">
        <f>IF($K3171="","",INDEX(Zeiterfassung!$K$6:$K$3665,$K3171))</f>
        <v/>
      </c>
      <c r="D3171" s="186">
        <f>IF($K3171="","",INDEX(Zeiterfassung!$D$6:$D$3665,$K3171))</f>
        <v/>
      </c>
      <c r="E3171" s="186">
        <f>IF($K3171="","",INDEX(Zeiterfassung!$E$6:$E$3665,$K3171))</f>
        <v/>
      </c>
      <c r="F3171" s="187">
        <f>IF($K3171="","",INDEX(Zeiterfassung!$F$6:$F$3665,$K3171))</f>
        <v/>
      </c>
      <c r="G3171" s="187">
        <f>IF($K3171="","",INDEX(Zeiterfassung!$G$6:$G$3665,$K3171))</f>
        <v/>
      </c>
      <c r="H3171" s="188">
        <f>IF($K3171="","",INDEX(Zeiterfassung!$H$6:$H$3665,$K3171))</f>
        <v/>
      </c>
      <c r="I3171" s="335">
        <f>IF(B3171=B3170,"",IF($K3171="","",INDEX(Zeiterfassung!$I$6:$I$3665,MATCH(INDEX(Zeiterfassung!$K$6:$K$3665,$K3171),Zeiterfassung!$K$6:$K$3665,0))))</f>
        <v/>
      </c>
      <c r="J3171" s="335">
        <f>IF(B3171=B3170,"",IF($K3171="","",INDEX(Zeiterfassung!$J$6:$J$3665,MATCH(INDEX(Zeiterfassung!$K$6:$K$3665,$K3171),Zeiterfassung!$K$6:$K$3665,0))))</f>
        <v/>
      </c>
      <c r="K3171">
        <f>IFERROR(AGGREGATE(15,6,(ROW(Zeiterfassung!$D$6:$D$3665)-ROW(Zeiterfassung!$D$6)+1)/(Zeiterfassung!$D$6:$D$3665&lt;&gt;""),3166),"")</f>
        <v/>
      </c>
    </row>
    <row r="3172" ht="20" customHeight="1">
      <c r="A3172" s="183">
        <f>IF($K3172="","",WEEKNUM(INDEX(Zeiterfassung!$K$6:$K$3665,$K3172),21))</f>
        <v/>
      </c>
      <c r="B3172" s="184">
        <f>IF($K3172="","",INDEX(Zeiterfassung!$K$6:$K$3665,$K3172))</f>
        <v/>
      </c>
      <c r="C3172" s="185">
        <f>IF($K3172="","",INDEX(Zeiterfassung!$K$6:$K$3665,$K3172))</f>
        <v/>
      </c>
      <c r="D3172" s="186">
        <f>IF($K3172="","",INDEX(Zeiterfassung!$D$6:$D$3665,$K3172))</f>
        <v/>
      </c>
      <c r="E3172" s="186">
        <f>IF($K3172="","",INDEX(Zeiterfassung!$E$6:$E$3665,$K3172))</f>
        <v/>
      </c>
      <c r="F3172" s="187">
        <f>IF($K3172="","",INDEX(Zeiterfassung!$F$6:$F$3665,$K3172))</f>
        <v/>
      </c>
      <c r="G3172" s="187">
        <f>IF($K3172="","",INDEX(Zeiterfassung!$G$6:$G$3665,$K3172))</f>
        <v/>
      </c>
      <c r="H3172" s="188">
        <f>IF($K3172="","",INDEX(Zeiterfassung!$H$6:$H$3665,$K3172))</f>
        <v/>
      </c>
      <c r="I3172" s="335">
        <f>IF(B3172=B3171,"",IF($K3172="","",INDEX(Zeiterfassung!$I$6:$I$3665,MATCH(INDEX(Zeiterfassung!$K$6:$K$3665,$K3172),Zeiterfassung!$K$6:$K$3665,0))))</f>
        <v/>
      </c>
      <c r="J3172" s="335">
        <f>IF(B3172=B3171,"",IF($K3172="","",INDEX(Zeiterfassung!$J$6:$J$3665,MATCH(INDEX(Zeiterfassung!$K$6:$K$3665,$K3172),Zeiterfassung!$K$6:$K$3665,0))))</f>
        <v/>
      </c>
      <c r="K3172">
        <f>IFERROR(AGGREGATE(15,6,(ROW(Zeiterfassung!$D$6:$D$3665)-ROW(Zeiterfassung!$D$6)+1)/(Zeiterfassung!$D$6:$D$3665&lt;&gt;""),3167),"")</f>
        <v/>
      </c>
    </row>
    <row r="3173" ht="20" customHeight="1">
      <c r="A3173" s="183">
        <f>IF($K3173="","",WEEKNUM(INDEX(Zeiterfassung!$K$6:$K$3665,$K3173),21))</f>
        <v/>
      </c>
      <c r="B3173" s="184">
        <f>IF($K3173="","",INDEX(Zeiterfassung!$K$6:$K$3665,$K3173))</f>
        <v/>
      </c>
      <c r="C3173" s="185">
        <f>IF($K3173="","",INDEX(Zeiterfassung!$K$6:$K$3665,$K3173))</f>
        <v/>
      </c>
      <c r="D3173" s="186">
        <f>IF($K3173="","",INDEX(Zeiterfassung!$D$6:$D$3665,$K3173))</f>
        <v/>
      </c>
      <c r="E3173" s="186">
        <f>IF($K3173="","",INDEX(Zeiterfassung!$E$6:$E$3665,$K3173))</f>
        <v/>
      </c>
      <c r="F3173" s="187">
        <f>IF($K3173="","",INDEX(Zeiterfassung!$F$6:$F$3665,$K3173))</f>
        <v/>
      </c>
      <c r="G3173" s="187">
        <f>IF($K3173="","",INDEX(Zeiterfassung!$G$6:$G$3665,$K3173))</f>
        <v/>
      </c>
      <c r="H3173" s="188">
        <f>IF($K3173="","",INDEX(Zeiterfassung!$H$6:$H$3665,$K3173))</f>
        <v/>
      </c>
      <c r="I3173" s="335">
        <f>IF(B3173=B3172,"",IF($K3173="","",INDEX(Zeiterfassung!$I$6:$I$3665,MATCH(INDEX(Zeiterfassung!$K$6:$K$3665,$K3173),Zeiterfassung!$K$6:$K$3665,0))))</f>
        <v/>
      </c>
      <c r="J3173" s="335">
        <f>IF(B3173=B3172,"",IF($K3173="","",INDEX(Zeiterfassung!$J$6:$J$3665,MATCH(INDEX(Zeiterfassung!$K$6:$K$3665,$K3173),Zeiterfassung!$K$6:$K$3665,0))))</f>
        <v/>
      </c>
      <c r="K3173">
        <f>IFERROR(AGGREGATE(15,6,(ROW(Zeiterfassung!$D$6:$D$3665)-ROW(Zeiterfassung!$D$6)+1)/(Zeiterfassung!$D$6:$D$3665&lt;&gt;""),3168),"")</f>
        <v/>
      </c>
    </row>
    <row r="3174" ht="20" customHeight="1">
      <c r="A3174" s="183">
        <f>IF($K3174="","",WEEKNUM(INDEX(Zeiterfassung!$K$6:$K$3665,$K3174),21))</f>
        <v/>
      </c>
      <c r="B3174" s="184">
        <f>IF($K3174="","",INDEX(Zeiterfassung!$K$6:$K$3665,$K3174))</f>
        <v/>
      </c>
      <c r="C3174" s="185">
        <f>IF($K3174="","",INDEX(Zeiterfassung!$K$6:$K$3665,$K3174))</f>
        <v/>
      </c>
      <c r="D3174" s="186">
        <f>IF($K3174="","",INDEX(Zeiterfassung!$D$6:$D$3665,$K3174))</f>
        <v/>
      </c>
      <c r="E3174" s="186">
        <f>IF($K3174="","",INDEX(Zeiterfassung!$E$6:$E$3665,$K3174))</f>
        <v/>
      </c>
      <c r="F3174" s="187">
        <f>IF($K3174="","",INDEX(Zeiterfassung!$F$6:$F$3665,$K3174))</f>
        <v/>
      </c>
      <c r="G3174" s="187">
        <f>IF($K3174="","",INDEX(Zeiterfassung!$G$6:$G$3665,$K3174))</f>
        <v/>
      </c>
      <c r="H3174" s="188">
        <f>IF($K3174="","",INDEX(Zeiterfassung!$H$6:$H$3665,$K3174))</f>
        <v/>
      </c>
      <c r="I3174" s="335">
        <f>IF(B3174=B3173,"",IF($K3174="","",INDEX(Zeiterfassung!$I$6:$I$3665,MATCH(INDEX(Zeiterfassung!$K$6:$K$3665,$K3174),Zeiterfassung!$K$6:$K$3665,0))))</f>
        <v/>
      </c>
      <c r="J3174" s="335">
        <f>IF(B3174=B3173,"",IF($K3174="","",INDEX(Zeiterfassung!$J$6:$J$3665,MATCH(INDEX(Zeiterfassung!$K$6:$K$3665,$K3174),Zeiterfassung!$K$6:$K$3665,0))))</f>
        <v/>
      </c>
      <c r="K3174">
        <f>IFERROR(AGGREGATE(15,6,(ROW(Zeiterfassung!$D$6:$D$3665)-ROW(Zeiterfassung!$D$6)+1)/(Zeiterfassung!$D$6:$D$3665&lt;&gt;""),3169),"")</f>
        <v/>
      </c>
    </row>
    <row r="3175" ht="20" customHeight="1">
      <c r="A3175" s="183">
        <f>IF($K3175="","",WEEKNUM(INDEX(Zeiterfassung!$K$6:$K$3665,$K3175),21))</f>
        <v/>
      </c>
      <c r="B3175" s="184">
        <f>IF($K3175="","",INDEX(Zeiterfassung!$K$6:$K$3665,$K3175))</f>
        <v/>
      </c>
      <c r="C3175" s="185">
        <f>IF($K3175="","",INDEX(Zeiterfassung!$K$6:$K$3665,$K3175))</f>
        <v/>
      </c>
      <c r="D3175" s="186">
        <f>IF($K3175="","",INDEX(Zeiterfassung!$D$6:$D$3665,$K3175))</f>
        <v/>
      </c>
      <c r="E3175" s="186">
        <f>IF($K3175="","",INDEX(Zeiterfassung!$E$6:$E$3665,$K3175))</f>
        <v/>
      </c>
      <c r="F3175" s="187">
        <f>IF($K3175="","",INDEX(Zeiterfassung!$F$6:$F$3665,$K3175))</f>
        <v/>
      </c>
      <c r="G3175" s="187">
        <f>IF($K3175="","",INDEX(Zeiterfassung!$G$6:$G$3665,$K3175))</f>
        <v/>
      </c>
      <c r="H3175" s="188">
        <f>IF($K3175="","",INDEX(Zeiterfassung!$H$6:$H$3665,$K3175))</f>
        <v/>
      </c>
      <c r="I3175" s="335">
        <f>IF(B3175=B3174,"",IF($K3175="","",INDEX(Zeiterfassung!$I$6:$I$3665,MATCH(INDEX(Zeiterfassung!$K$6:$K$3665,$K3175),Zeiterfassung!$K$6:$K$3665,0))))</f>
        <v/>
      </c>
      <c r="J3175" s="335">
        <f>IF(B3175=B3174,"",IF($K3175="","",INDEX(Zeiterfassung!$J$6:$J$3665,MATCH(INDEX(Zeiterfassung!$K$6:$K$3665,$K3175),Zeiterfassung!$K$6:$K$3665,0))))</f>
        <v/>
      </c>
      <c r="K3175">
        <f>IFERROR(AGGREGATE(15,6,(ROW(Zeiterfassung!$D$6:$D$3665)-ROW(Zeiterfassung!$D$6)+1)/(Zeiterfassung!$D$6:$D$3665&lt;&gt;""),3170),"")</f>
        <v/>
      </c>
    </row>
    <row r="3176" ht="20" customHeight="1">
      <c r="A3176" s="183">
        <f>IF($K3176="","",WEEKNUM(INDEX(Zeiterfassung!$K$6:$K$3665,$K3176),21))</f>
        <v/>
      </c>
      <c r="B3176" s="184">
        <f>IF($K3176="","",INDEX(Zeiterfassung!$K$6:$K$3665,$K3176))</f>
        <v/>
      </c>
      <c r="C3176" s="185">
        <f>IF($K3176="","",INDEX(Zeiterfassung!$K$6:$K$3665,$K3176))</f>
        <v/>
      </c>
      <c r="D3176" s="186">
        <f>IF($K3176="","",INDEX(Zeiterfassung!$D$6:$D$3665,$K3176))</f>
        <v/>
      </c>
      <c r="E3176" s="186">
        <f>IF($K3176="","",INDEX(Zeiterfassung!$E$6:$E$3665,$K3176))</f>
        <v/>
      </c>
      <c r="F3176" s="187">
        <f>IF($K3176="","",INDEX(Zeiterfassung!$F$6:$F$3665,$K3176))</f>
        <v/>
      </c>
      <c r="G3176" s="187">
        <f>IF($K3176="","",INDEX(Zeiterfassung!$G$6:$G$3665,$K3176))</f>
        <v/>
      </c>
      <c r="H3176" s="188">
        <f>IF($K3176="","",INDEX(Zeiterfassung!$H$6:$H$3665,$K3176))</f>
        <v/>
      </c>
      <c r="I3176" s="335">
        <f>IF(B3176=B3175,"",IF($K3176="","",INDEX(Zeiterfassung!$I$6:$I$3665,MATCH(INDEX(Zeiterfassung!$K$6:$K$3665,$K3176),Zeiterfassung!$K$6:$K$3665,0))))</f>
        <v/>
      </c>
      <c r="J3176" s="335">
        <f>IF(B3176=B3175,"",IF($K3176="","",INDEX(Zeiterfassung!$J$6:$J$3665,MATCH(INDEX(Zeiterfassung!$K$6:$K$3665,$K3176),Zeiterfassung!$K$6:$K$3665,0))))</f>
        <v/>
      </c>
      <c r="K3176">
        <f>IFERROR(AGGREGATE(15,6,(ROW(Zeiterfassung!$D$6:$D$3665)-ROW(Zeiterfassung!$D$6)+1)/(Zeiterfassung!$D$6:$D$3665&lt;&gt;""),3171),"")</f>
        <v/>
      </c>
    </row>
    <row r="3177" ht="20" customHeight="1">
      <c r="A3177" s="183">
        <f>IF($K3177="","",WEEKNUM(INDEX(Zeiterfassung!$K$6:$K$3665,$K3177),21))</f>
        <v/>
      </c>
      <c r="B3177" s="184">
        <f>IF($K3177="","",INDEX(Zeiterfassung!$K$6:$K$3665,$K3177))</f>
        <v/>
      </c>
      <c r="C3177" s="185">
        <f>IF($K3177="","",INDEX(Zeiterfassung!$K$6:$K$3665,$K3177))</f>
        <v/>
      </c>
      <c r="D3177" s="186">
        <f>IF($K3177="","",INDEX(Zeiterfassung!$D$6:$D$3665,$K3177))</f>
        <v/>
      </c>
      <c r="E3177" s="186">
        <f>IF($K3177="","",INDEX(Zeiterfassung!$E$6:$E$3665,$K3177))</f>
        <v/>
      </c>
      <c r="F3177" s="187">
        <f>IF($K3177="","",INDEX(Zeiterfassung!$F$6:$F$3665,$K3177))</f>
        <v/>
      </c>
      <c r="G3177" s="187">
        <f>IF($K3177="","",INDEX(Zeiterfassung!$G$6:$G$3665,$K3177))</f>
        <v/>
      </c>
      <c r="H3177" s="188">
        <f>IF($K3177="","",INDEX(Zeiterfassung!$H$6:$H$3665,$K3177))</f>
        <v/>
      </c>
      <c r="I3177" s="335">
        <f>IF(B3177=B3176,"",IF($K3177="","",INDEX(Zeiterfassung!$I$6:$I$3665,MATCH(INDEX(Zeiterfassung!$K$6:$K$3665,$K3177),Zeiterfassung!$K$6:$K$3665,0))))</f>
        <v/>
      </c>
      <c r="J3177" s="335">
        <f>IF(B3177=B3176,"",IF($K3177="","",INDEX(Zeiterfassung!$J$6:$J$3665,MATCH(INDEX(Zeiterfassung!$K$6:$K$3665,$K3177),Zeiterfassung!$K$6:$K$3665,0))))</f>
        <v/>
      </c>
      <c r="K3177">
        <f>IFERROR(AGGREGATE(15,6,(ROW(Zeiterfassung!$D$6:$D$3665)-ROW(Zeiterfassung!$D$6)+1)/(Zeiterfassung!$D$6:$D$3665&lt;&gt;""),3172),"")</f>
        <v/>
      </c>
    </row>
    <row r="3178" ht="20" customHeight="1">
      <c r="A3178" s="183">
        <f>IF($K3178="","",WEEKNUM(INDEX(Zeiterfassung!$K$6:$K$3665,$K3178),21))</f>
        <v/>
      </c>
      <c r="B3178" s="184">
        <f>IF($K3178="","",INDEX(Zeiterfassung!$K$6:$K$3665,$K3178))</f>
        <v/>
      </c>
      <c r="C3178" s="185">
        <f>IF($K3178="","",INDEX(Zeiterfassung!$K$6:$K$3665,$K3178))</f>
        <v/>
      </c>
      <c r="D3178" s="186">
        <f>IF($K3178="","",INDEX(Zeiterfassung!$D$6:$D$3665,$K3178))</f>
        <v/>
      </c>
      <c r="E3178" s="186">
        <f>IF($K3178="","",INDEX(Zeiterfassung!$E$6:$E$3665,$K3178))</f>
        <v/>
      </c>
      <c r="F3178" s="187">
        <f>IF($K3178="","",INDEX(Zeiterfassung!$F$6:$F$3665,$K3178))</f>
        <v/>
      </c>
      <c r="G3178" s="187">
        <f>IF($K3178="","",INDEX(Zeiterfassung!$G$6:$G$3665,$K3178))</f>
        <v/>
      </c>
      <c r="H3178" s="188">
        <f>IF($K3178="","",INDEX(Zeiterfassung!$H$6:$H$3665,$K3178))</f>
        <v/>
      </c>
      <c r="I3178" s="335">
        <f>IF(B3178=B3177,"",IF($K3178="","",INDEX(Zeiterfassung!$I$6:$I$3665,MATCH(INDEX(Zeiterfassung!$K$6:$K$3665,$K3178),Zeiterfassung!$K$6:$K$3665,0))))</f>
        <v/>
      </c>
      <c r="J3178" s="335">
        <f>IF(B3178=B3177,"",IF($K3178="","",INDEX(Zeiterfassung!$J$6:$J$3665,MATCH(INDEX(Zeiterfassung!$K$6:$K$3665,$K3178),Zeiterfassung!$K$6:$K$3665,0))))</f>
        <v/>
      </c>
      <c r="K3178">
        <f>IFERROR(AGGREGATE(15,6,(ROW(Zeiterfassung!$D$6:$D$3665)-ROW(Zeiterfassung!$D$6)+1)/(Zeiterfassung!$D$6:$D$3665&lt;&gt;""),3173),"")</f>
        <v/>
      </c>
    </row>
    <row r="3179" ht="20" customHeight="1">
      <c r="A3179" s="183">
        <f>IF($K3179="","",WEEKNUM(INDEX(Zeiterfassung!$K$6:$K$3665,$K3179),21))</f>
        <v/>
      </c>
      <c r="B3179" s="184">
        <f>IF($K3179="","",INDEX(Zeiterfassung!$K$6:$K$3665,$K3179))</f>
        <v/>
      </c>
      <c r="C3179" s="185">
        <f>IF($K3179="","",INDEX(Zeiterfassung!$K$6:$K$3665,$K3179))</f>
        <v/>
      </c>
      <c r="D3179" s="186">
        <f>IF($K3179="","",INDEX(Zeiterfassung!$D$6:$D$3665,$K3179))</f>
        <v/>
      </c>
      <c r="E3179" s="186">
        <f>IF($K3179="","",INDEX(Zeiterfassung!$E$6:$E$3665,$K3179))</f>
        <v/>
      </c>
      <c r="F3179" s="187">
        <f>IF($K3179="","",INDEX(Zeiterfassung!$F$6:$F$3665,$K3179))</f>
        <v/>
      </c>
      <c r="G3179" s="187">
        <f>IF($K3179="","",INDEX(Zeiterfassung!$G$6:$G$3665,$K3179))</f>
        <v/>
      </c>
      <c r="H3179" s="188">
        <f>IF($K3179="","",INDEX(Zeiterfassung!$H$6:$H$3665,$K3179))</f>
        <v/>
      </c>
      <c r="I3179" s="335">
        <f>IF(B3179=B3178,"",IF($K3179="","",INDEX(Zeiterfassung!$I$6:$I$3665,MATCH(INDEX(Zeiterfassung!$K$6:$K$3665,$K3179),Zeiterfassung!$K$6:$K$3665,0))))</f>
        <v/>
      </c>
      <c r="J3179" s="335">
        <f>IF(B3179=B3178,"",IF($K3179="","",INDEX(Zeiterfassung!$J$6:$J$3665,MATCH(INDEX(Zeiterfassung!$K$6:$K$3665,$K3179),Zeiterfassung!$K$6:$K$3665,0))))</f>
        <v/>
      </c>
      <c r="K3179">
        <f>IFERROR(AGGREGATE(15,6,(ROW(Zeiterfassung!$D$6:$D$3665)-ROW(Zeiterfassung!$D$6)+1)/(Zeiterfassung!$D$6:$D$3665&lt;&gt;""),3174),"")</f>
        <v/>
      </c>
    </row>
    <row r="3180" ht="20" customHeight="1">
      <c r="A3180" s="183">
        <f>IF($K3180="","",WEEKNUM(INDEX(Zeiterfassung!$K$6:$K$3665,$K3180),21))</f>
        <v/>
      </c>
      <c r="B3180" s="184">
        <f>IF($K3180="","",INDEX(Zeiterfassung!$K$6:$K$3665,$K3180))</f>
        <v/>
      </c>
      <c r="C3180" s="185">
        <f>IF($K3180="","",INDEX(Zeiterfassung!$K$6:$K$3665,$K3180))</f>
        <v/>
      </c>
      <c r="D3180" s="186">
        <f>IF($K3180="","",INDEX(Zeiterfassung!$D$6:$D$3665,$K3180))</f>
        <v/>
      </c>
      <c r="E3180" s="186">
        <f>IF($K3180="","",INDEX(Zeiterfassung!$E$6:$E$3665,$K3180))</f>
        <v/>
      </c>
      <c r="F3180" s="187">
        <f>IF($K3180="","",INDEX(Zeiterfassung!$F$6:$F$3665,$K3180))</f>
        <v/>
      </c>
      <c r="G3180" s="187">
        <f>IF($K3180="","",INDEX(Zeiterfassung!$G$6:$G$3665,$K3180))</f>
        <v/>
      </c>
      <c r="H3180" s="188">
        <f>IF($K3180="","",INDEX(Zeiterfassung!$H$6:$H$3665,$K3180))</f>
        <v/>
      </c>
      <c r="I3180" s="335">
        <f>IF(B3180=B3179,"",IF($K3180="","",INDEX(Zeiterfassung!$I$6:$I$3665,MATCH(INDEX(Zeiterfassung!$K$6:$K$3665,$K3180),Zeiterfassung!$K$6:$K$3665,0))))</f>
        <v/>
      </c>
      <c r="J3180" s="335">
        <f>IF(B3180=B3179,"",IF($K3180="","",INDEX(Zeiterfassung!$J$6:$J$3665,MATCH(INDEX(Zeiterfassung!$K$6:$K$3665,$K3180),Zeiterfassung!$K$6:$K$3665,0))))</f>
        <v/>
      </c>
      <c r="K3180">
        <f>IFERROR(AGGREGATE(15,6,(ROW(Zeiterfassung!$D$6:$D$3665)-ROW(Zeiterfassung!$D$6)+1)/(Zeiterfassung!$D$6:$D$3665&lt;&gt;""),3175),"")</f>
        <v/>
      </c>
    </row>
    <row r="3181" ht="20" customHeight="1">
      <c r="A3181" s="183">
        <f>IF($K3181="","",WEEKNUM(INDEX(Zeiterfassung!$K$6:$K$3665,$K3181),21))</f>
        <v/>
      </c>
      <c r="B3181" s="184">
        <f>IF($K3181="","",INDEX(Zeiterfassung!$K$6:$K$3665,$K3181))</f>
        <v/>
      </c>
      <c r="C3181" s="185">
        <f>IF($K3181="","",INDEX(Zeiterfassung!$K$6:$K$3665,$K3181))</f>
        <v/>
      </c>
      <c r="D3181" s="186">
        <f>IF($K3181="","",INDEX(Zeiterfassung!$D$6:$D$3665,$K3181))</f>
        <v/>
      </c>
      <c r="E3181" s="186">
        <f>IF($K3181="","",INDEX(Zeiterfassung!$E$6:$E$3665,$K3181))</f>
        <v/>
      </c>
      <c r="F3181" s="187">
        <f>IF($K3181="","",INDEX(Zeiterfassung!$F$6:$F$3665,$K3181))</f>
        <v/>
      </c>
      <c r="G3181" s="187">
        <f>IF($K3181="","",INDEX(Zeiterfassung!$G$6:$G$3665,$K3181))</f>
        <v/>
      </c>
      <c r="H3181" s="188">
        <f>IF($K3181="","",INDEX(Zeiterfassung!$H$6:$H$3665,$K3181))</f>
        <v/>
      </c>
      <c r="I3181" s="335">
        <f>IF(B3181=B3180,"",IF($K3181="","",INDEX(Zeiterfassung!$I$6:$I$3665,MATCH(INDEX(Zeiterfassung!$K$6:$K$3665,$K3181),Zeiterfassung!$K$6:$K$3665,0))))</f>
        <v/>
      </c>
      <c r="J3181" s="335">
        <f>IF(B3181=B3180,"",IF($K3181="","",INDEX(Zeiterfassung!$J$6:$J$3665,MATCH(INDEX(Zeiterfassung!$K$6:$K$3665,$K3181),Zeiterfassung!$K$6:$K$3665,0))))</f>
        <v/>
      </c>
      <c r="K3181">
        <f>IFERROR(AGGREGATE(15,6,(ROW(Zeiterfassung!$D$6:$D$3665)-ROW(Zeiterfassung!$D$6)+1)/(Zeiterfassung!$D$6:$D$3665&lt;&gt;""),3176),"")</f>
        <v/>
      </c>
    </row>
    <row r="3182" ht="20" customHeight="1">
      <c r="A3182" s="183">
        <f>IF($K3182="","",WEEKNUM(INDEX(Zeiterfassung!$K$6:$K$3665,$K3182),21))</f>
        <v/>
      </c>
      <c r="B3182" s="184">
        <f>IF($K3182="","",INDEX(Zeiterfassung!$K$6:$K$3665,$K3182))</f>
        <v/>
      </c>
      <c r="C3182" s="185">
        <f>IF($K3182="","",INDEX(Zeiterfassung!$K$6:$K$3665,$K3182))</f>
        <v/>
      </c>
      <c r="D3182" s="186">
        <f>IF($K3182="","",INDEX(Zeiterfassung!$D$6:$D$3665,$K3182))</f>
        <v/>
      </c>
      <c r="E3182" s="186">
        <f>IF($K3182="","",INDEX(Zeiterfassung!$E$6:$E$3665,$K3182))</f>
        <v/>
      </c>
      <c r="F3182" s="187">
        <f>IF($K3182="","",INDEX(Zeiterfassung!$F$6:$F$3665,$K3182))</f>
        <v/>
      </c>
      <c r="G3182" s="187">
        <f>IF($K3182="","",INDEX(Zeiterfassung!$G$6:$G$3665,$K3182))</f>
        <v/>
      </c>
      <c r="H3182" s="188">
        <f>IF($K3182="","",INDEX(Zeiterfassung!$H$6:$H$3665,$K3182))</f>
        <v/>
      </c>
      <c r="I3182" s="335">
        <f>IF(B3182=B3181,"",IF($K3182="","",INDEX(Zeiterfassung!$I$6:$I$3665,MATCH(INDEX(Zeiterfassung!$K$6:$K$3665,$K3182),Zeiterfassung!$K$6:$K$3665,0))))</f>
        <v/>
      </c>
      <c r="J3182" s="335">
        <f>IF(B3182=B3181,"",IF($K3182="","",INDEX(Zeiterfassung!$J$6:$J$3665,MATCH(INDEX(Zeiterfassung!$K$6:$K$3665,$K3182),Zeiterfassung!$K$6:$K$3665,0))))</f>
        <v/>
      </c>
      <c r="K3182">
        <f>IFERROR(AGGREGATE(15,6,(ROW(Zeiterfassung!$D$6:$D$3665)-ROW(Zeiterfassung!$D$6)+1)/(Zeiterfassung!$D$6:$D$3665&lt;&gt;""),3177),"")</f>
        <v/>
      </c>
    </row>
    <row r="3183" ht="20" customHeight="1">
      <c r="A3183" s="183">
        <f>IF($K3183="","",WEEKNUM(INDEX(Zeiterfassung!$K$6:$K$3665,$K3183),21))</f>
        <v/>
      </c>
      <c r="B3183" s="184">
        <f>IF($K3183="","",INDEX(Zeiterfassung!$K$6:$K$3665,$K3183))</f>
        <v/>
      </c>
      <c r="C3183" s="185">
        <f>IF($K3183="","",INDEX(Zeiterfassung!$K$6:$K$3665,$K3183))</f>
        <v/>
      </c>
      <c r="D3183" s="186">
        <f>IF($K3183="","",INDEX(Zeiterfassung!$D$6:$D$3665,$K3183))</f>
        <v/>
      </c>
      <c r="E3183" s="186">
        <f>IF($K3183="","",INDEX(Zeiterfassung!$E$6:$E$3665,$K3183))</f>
        <v/>
      </c>
      <c r="F3183" s="187">
        <f>IF($K3183="","",INDEX(Zeiterfassung!$F$6:$F$3665,$K3183))</f>
        <v/>
      </c>
      <c r="G3183" s="187">
        <f>IF($K3183="","",INDEX(Zeiterfassung!$G$6:$G$3665,$K3183))</f>
        <v/>
      </c>
      <c r="H3183" s="188">
        <f>IF($K3183="","",INDEX(Zeiterfassung!$H$6:$H$3665,$K3183))</f>
        <v/>
      </c>
      <c r="I3183" s="335">
        <f>IF(B3183=B3182,"",IF($K3183="","",INDEX(Zeiterfassung!$I$6:$I$3665,MATCH(INDEX(Zeiterfassung!$K$6:$K$3665,$K3183),Zeiterfassung!$K$6:$K$3665,0))))</f>
        <v/>
      </c>
      <c r="J3183" s="335">
        <f>IF(B3183=B3182,"",IF($K3183="","",INDEX(Zeiterfassung!$J$6:$J$3665,MATCH(INDEX(Zeiterfassung!$K$6:$K$3665,$K3183),Zeiterfassung!$K$6:$K$3665,0))))</f>
        <v/>
      </c>
      <c r="K3183">
        <f>IFERROR(AGGREGATE(15,6,(ROW(Zeiterfassung!$D$6:$D$3665)-ROW(Zeiterfassung!$D$6)+1)/(Zeiterfassung!$D$6:$D$3665&lt;&gt;""),3178),"")</f>
        <v/>
      </c>
    </row>
    <row r="3184" ht="20" customHeight="1">
      <c r="A3184" s="183">
        <f>IF($K3184="","",WEEKNUM(INDEX(Zeiterfassung!$K$6:$K$3665,$K3184),21))</f>
        <v/>
      </c>
      <c r="B3184" s="184">
        <f>IF($K3184="","",INDEX(Zeiterfassung!$K$6:$K$3665,$K3184))</f>
        <v/>
      </c>
      <c r="C3184" s="185">
        <f>IF($K3184="","",INDEX(Zeiterfassung!$K$6:$K$3665,$K3184))</f>
        <v/>
      </c>
      <c r="D3184" s="186">
        <f>IF($K3184="","",INDEX(Zeiterfassung!$D$6:$D$3665,$K3184))</f>
        <v/>
      </c>
      <c r="E3184" s="186">
        <f>IF($K3184="","",INDEX(Zeiterfassung!$E$6:$E$3665,$K3184))</f>
        <v/>
      </c>
      <c r="F3184" s="187">
        <f>IF($K3184="","",INDEX(Zeiterfassung!$F$6:$F$3665,$K3184))</f>
        <v/>
      </c>
      <c r="G3184" s="187">
        <f>IF($K3184="","",INDEX(Zeiterfassung!$G$6:$G$3665,$K3184))</f>
        <v/>
      </c>
      <c r="H3184" s="188">
        <f>IF($K3184="","",INDEX(Zeiterfassung!$H$6:$H$3665,$K3184))</f>
        <v/>
      </c>
      <c r="I3184" s="335">
        <f>IF(B3184=B3183,"",IF($K3184="","",INDEX(Zeiterfassung!$I$6:$I$3665,MATCH(INDEX(Zeiterfassung!$K$6:$K$3665,$K3184),Zeiterfassung!$K$6:$K$3665,0))))</f>
        <v/>
      </c>
      <c r="J3184" s="335">
        <f>IF(B3184=B3183,"",IF($K3184="","",INDEX(Zeiterfassung!$J$6:$J$3665,MATCH(INDEX(Zeiterfassung!$K$6:$K$3665,$K3184),Zeiterfassung!$K$6:$K$3665,0))))</f>
        <v/>
      </c>
      <c r="K3184">
        <f>IFERROR(AGGREGATE(15,6,(ROW(Zeiterfassung!$D$6:$D$3665)-ROW(Zeiterfassung!$D$6)+1)/(Zeiterfassung!$D$6:$D$3665&lt;&gt;""),3179),"")</f>
        <v/>
      </c>
    </row>
    <row r="3185" ht="20" customHeight="1">
      <c r="A3185" s="183">
        <f>IF($K3185="","",WEEKNUM(INDEX(Zeiterfassung!$K$6:$K$3665,$K3185),21))</f>
        <v/>
      </c>
      <c r="B3185" s="184">
        <f>IF($K3185="","",INDEX(Zeiterfassung!$K$6:$K$3665,$K3185))</f>
        <v/>
      </c>
      <c r="C3185" s="185">
        <f>IF($K3185="","",INDEX(Zeiterfassung!$K$6:$K$3665,$K3185))</f>
        <v/>
      </c>
      <c r="D3185" s="186">
        <f>IF($K3185="","",INDEX(Zeiterfassung!$D$6:$D$3665,$K3185))</f>
        <v/>
      </c>
      <c r="E3185" s="186">
        <f>IF($K3185="","",INDEX(Zeiterfassung!$E$6:$E$3665,$K3185))</f>
        <v/>
      </c>
      <c r="F3185" s="187">
        <f>IF($K3185="","",INDEX(Zeiterfassung!$F$6:$F$3665,$K3185))</f>
        <v/>
      </c>
      <c r="G3185" s="187">
        <f>IF($K3185="","",INDEX(Zeiterfassung!$G$6:$G$3665,$K3185))</f>
        <v/>
      </c>
      <c r="H3185" s="188">
        <f>IF($K3185="","",INDEX(Zeiterfassung!$H$6:$H$3665,$K3185))</f>
        <v/>
      </c>
      <c r="I3185" s="335">
        <f>IF(B3185=B3184,"",IF($K3185="","",INDEX(Zeiterfassung!$I$6:$I$3665,MATCH(INDEX(Zeiterfassung!$K$6:$K$3665,$K3185),Zeiterfassung!$K$6:$K$3665,0))))</f>
        <v/>
      </c>
      <c r="J3185" s="335">
        <f>IF(B3185=B3184,"",IF($K3185="","",INDEX(Zeiterfassung!$J$6:$J$3665,MATCH(INDEX(Zeiterfassung!$K$6:$K$3665,$K3185),Zeiterfassung!$K$6:$K$3665,0))))</f>
        <v/>
      </c>
      <c r="K3185">
        <f>IFERROR(AGGREGATE(15,6,(ROW(Zeiterfassung!$D$6:$D$3665)-ROW(Zeiterfassung!$D$6)+1)/(Zeiterfassung!$D$6:$D$3665&lt;&gt;""),3180),"")</f>
        <v/>
      </c>
    </row>
    <row r="3186" ht="20" customHeight="1">
      <c r="A3186" s="183">
        <f>IF($K3186="","",WEEKNUM(INDEX(Zeiterfassung!$K$6:$K$3665,$K3186),21))</f>
        <v/>
      </c>
      <c r="B3186" s="184">
        <f>IF($K3186="","",INDEX(Zeiterfassung!$K$6:$K$3665,$K3186))</f>
        <v/>
      </c>
      <c r="C3186" s="185">
        <f>IF($K3186="","",INDEX(Zeiterfassung!$K$6:$K$3665,$K3186))</f>
        <v/>
      </c>
      <c r="D3186" s="186">
        <f>IF($K3186="","",INDEX(Zeiterfassung!$D$6:$D$3665,$K3186))</f>
        <v/>
      </c>
      <c r="E3186" s="186">
        <f>IF($K3186="","",INDEX(Zeiterfassung!$E$6:$E$3665,$K3186))</f>
        <v/>
      </c>
      <c r="F3186" s="187">
        <f>IF($K3186="","",INDEX(Zeiterfassung!$F$6:$F$3665,$K3186))</f>
        <v/>
      </c>
      <c r="G3186" s="187">
        <f>IF($K3186="","",INDEX(Zeiterfassung!$G$6:$G$3665,$K3186))</f>
        <v/>
      </c>
      <c r="H3186" s="188">
        <f>IF($K3186="","",INDEX(Zeiterfassung!$H$6:$H$3665,$K3186))</f>
        <v/>
      </c>
      <c r="I3186" s="335">
        <f>IF(B3186=B3185,"",IF($K3186="","",INDEX(Zeiterfassung!$I$6:$I$3665,MATCH(INDEX(Zeiterfassung!$K$6:$K$3665,$K3186),Zeiterfassung!$K$6:$K$3665,0))))</f>
        <v/>
      </c>
      <c r="J3186" s="335">
        <f>IF(B3186=B3185,"",IF($K3186="","",INDEX(Zeiterfassung!$J$6:$J$3665,MATCH(INDEX(Zeiterfassung!$K$6:$K$3665,$K3186),Zeiterfassung!$K$6:$K$3665,0))))</f>
        <v/>
      </c>
      <c r="K3186">
        <f>IFERROR(AGGREGATE(15,6,(ROW(Zeiterfassung!$D$6:$D$3665)-ROW(Zeiterfassung!$D$6)+1)/(Zeiterfassung!$D$6:$D$3665&lt;&gt;""),3181),"")</f>
        <v/>
      </c>
    </row>
    <row r="3187" ht="20" customHeight="1">
      <c r="A3187" s="183">
        <f>IF($K3187="","",WEEKNUM(INDEX(Zeiterfassung!$K$6:$K$3665,$K3187),21))</f>
        <v/>
      </c>
      <c r="B3187" s="184">
        <f>IF($K3187="","",INDEX(Zeiterfassung!$K$6:$K$3665,$K3187))</f>
        <v/>
      </c>
      <c r="C3187" s="185">
        <f>IF($K3187="","",INDEX(Zeiterfassung!$K$6:$K$3665,$K3187))</f>
        <v/>
      </c>
      <c r="D3187" s="186">
        <f>IF($K3187="","",INDEX(Zeiterfassung!$D$6:$D$3665,$K3187))</f>
        <v/>
      </c>
      <c r="E3187" s="186">
        <f>IF($K3187="","",INDEX(Zeiterfassung!$E$6:$E$3665,$K3187))</f>
        <v/>
      </c>
      <c r="F3187" s="187">
        <f>IF($K3187="","",INDEX(Zeiterfassung!$F$6:$F$3665,$K3187))</f>
        <v/>
      </c>
      <c r="G3187" s="187">
        <f>IF($K3187="","",INDEX(Zeiterfassung!$G$6:$G$3665,$K3187))</f>
        <v/>
      </c>
      <c r="H3187" s="188">
        <f>IF($K3187="","",INDEX(Zeiterfassung!$H$6:$H$3665,$K3187))</f>
        <v/>
      </c>
      <c r="I3187" s="335">
        <f>IF(B3187=B3186,"",IF($K3187="","",INDEX(Zeiterfassung!$I$6:$I$3665,MATCH(INDEX(Zeiterfassung!$K$6:$K$3665,$K3187),Zeiterfassung!$K$6:$K$3665,0))))</f>
        <v/>
      </c>
      <c r="J3187" s="335">
        <f>IF(B3187=B3186,"",IF($K3187="","",INDEX(Zeiterfassung!$J$6:$J$3665,MATCH(INDEX(Zeiterfassung!$K$6:$K$3665,$K3187),Zeiterfassung!$K$6:$K$3665,0))))</f>
        <v/>
      </c>
      <c r="K3187">
        <f>IFERROR(AGGREGATE(15,6,(ROW(Zeiterfassung!$D$6:$D$3665)-ROW(Zeiterfassung!$D$6)+1)/(Zeiterfassung!$D$6:$D$3665&lt;&gt;""),3182),"")</f>
        <v/>
      </c>
    </row>
    <row r="3188" ht="20" customHeight="1">
      <c r="A3188" s="183">
        <f>IF($K3188="","",WEEKNUM(INDEX(Zeiterfassung!$K$6:$K$3665,$K3188),21))</f>
        <v/>
      </c>
      <c r="B3188" s="184">
        <f>IF($K3188="","",INDEX(Zeiterfassung!$K$6:$K$3665,$K3188))</f>
        <v/>
      </c>
      <c r="C3188" s="185">
        <f>IF($K3188="","",INDEX(Zeiterfassung!$K$6:$K$3665,$K3188))</f>
        <v/>
      </c>
      <c r="D3188" s="186">
        <f>IF($K3188="","",INDEX(Zeiterfassung!$D$6:$D$3665,$K3188))</f>
        <v/>
      </c>
      <c r="E3188" s="186">
        <f>IF($K3188="","",INDEX(Zeiterfassung!$E$6:$E$3665,$K3188))</f>
        <v/>
      </c>
      <c r="F3188" s="187">
        <f>IF($K3188="","",INDEX(Zeiterfassung!$F$6:$F$3665,$K3188))</f>
        <v/>
      </c>
      <c r="G3188" s="187">
        <f>IF($K3188="","",INDEX(Zeiterfassung!$G$6:$G$3665,$K3188))</f>
        <v/>
      </c>
      <c r="H3188" s="188">
        <f>IF($K3188="","",INDEX(Zeiterfassung!$H$6:$H$3665,$K3188))</f>
        <v/>
      </c>
      <c r="I3188" s="335">
        <f>IF(B3188=B3187,"",IF($K3188="","",INDEX(Zeiterfassung!$I$6:$I$3665,MATCH(INDEX(Zeiterfassung!$K$6:$K$3665,$K3188),Zeiterfassung!$K$6:$K$3665,0))))</f>
        <v/>
      </c>
      <c r="J3188" s="335">
        <f>IF(B3188=B3187,"",IF($K3188="","",INDEX(Zeiterfassung!$J$6:$J$3665,MATCH(INDEX(Zeiterfassung!$K$6:$K$3665,$K3188),Zeiterfassung!$K$6:$K$3665,0))))</f>
        <v/>
      </c>
      <c r="K3188">
        <f>IFERROR(AGGREGATE(15,6,(ROW(Zeiterfassung!$D$6:$D$3665)-ROW(Zeiterfassung!$D$6)+1)/(Zeiterfassung!$D$6:$D$3665&lt;&gt;""),3183),"")</f>
        <v/>
      </c>
    </row>
    <row r="3189" ht="20" customHeight="1">
      <c r="A3189" s="183">
        <f>IF($K3189="","",WEEKNUM(INDEX(Zeiterfassung!$K$6:$K$3665,$K3189),21))</f>
        <v/>
      </c>
      <c r="B3189" s="184">
        <f>IF($K3189="","",INDEX(Zeiterfassung!$K$6:$K$3665,$K3189))</f>
        <v/>
      </c>
      <c r="C3189" s="185">
        <f>IF($K3189="","",INDEX(Zeiterfassung!$K$6:$K$3665,$K3189))</f>
        <v/>
      </c>
      <c r="D3189" s="186">
        <f>IF($K3189="","",INDEX(Zeiterfassung!$D$6:$D$3665,$K3189))</f>
        <v/>
      </c>
      <c r="E3189" s="186">
        <f>IF($K3189="","",INDEX(Zeiterfassung!$E$6:$E$3665,$K3189))</f>
        <v/>
      </c>
      <c r="F3189" s="187">
        <f>IF($K3189="","",INDEX(Zeiterfassung!$F$6:$F$3665,$K3189))</f>
        <v/>
      </c>
      <c r="G3189" s="187">
        <f>IF($K3189="","",INDEX(Zeiterfassung!$G$6:$G$3665,$K3189))</f>
        <v/>
      </c>
      <c r="H3189" s="188">
        <f>IF($K3189="","",INDEX(Zeiterfassung!$H$6:$H$3665,$K3189))</f>
        <v/>
      </c>
      <c r="I3189" s="335">
        <f>IF(B3189=B3188,"",IF($K3189="","",INDEX(Zeiterfassung!$I$6:$I$3665,MATCH(INDEX(Zeiterfassung!$K$6:$K$3665,$K3189),Zeiterfassung!$K$6:$K$3665,0))))</f>
        <v/>
      </c>
      <c r="J3189" s="335">
        <f>IF(B3189=B3188,"",IF($K3189="","",INDEX(Zeiterfassung!$J$6:$J$3665,MATCH(INDEX(Zeiterfassung!$K$6:$K$3665,$K3189),Zeiterfassung!$K$6:$K$3665,0))))</f>
        <v/>
      </c>
      <c r="K3189">
        <f>IFERROR(AGGREGATE(15,6,(ROW(Zeiterfassung!$D$6:$D$3665)-ROW(Zeiterfassung!$D$6)+1)/(Zeiterfassung!$D$6:$D$3665&lt;&gt;""),3184),"")</f>
        <v/>
      </c>
    </row>
    <row r="3190" ht="20" customHeight="1">
      <c r="A3190" s="183">
        <f>IF($K3190="","",WEEKNUM(INDEX(Zeiterfassung!$K$6:$K$3665,$K3190),21))</f>
        <v/>
      </c>
      <c r="B3190" s="184">
        <f>IF($K3190="","",INDEX(Zeiterfassung!$K$6:$K$3665,$K3190))</f>
        <v/>
      </c>
      <c r="C3190" s="185">
        <f>IF($K3190="","",INDEX(Zeiterfassung!$K$6:$K$3665,$K3190))</f>
        <v/>
      </c>
      <c r="D3190" s="186">
        <f>IF($K3190="","",INDEX(Zeiterfassung!$D$6:$D$3665,$K3190))</f>
        <v/>
      </c>
      <c r="E3190" s="186">
        <f>IF($K3190="","",INDEX(Zeiterfassung!$E$6:$E$3665,$K3190))</f>
        <v/>
      </c>
      <c r="F3190" s="187">
        <f>IF($K3190="","",INDEX(Zeiterfassung!$F$6:$F$3665,$K3190))</f>
        <v/>
      </c>
      <c r="G3190" s="187">
        <f>IF($K3190="","",INDEX(Zeiterfassung!$G$6:$G$3665,$K3190))</f>
        <v/>
      </c>
      <c r="H3190" s="188">
        <f>IF($K3190="","",INDEX(Zeiterfassung!$H$6:$H$3665,$K3190))</f>
        <v/>
      </c>
      <c r="I3190" s="335">
        <f>IF(B3190=B3189,"",IF($K3190="","",INDEX(Zeiterfassung!$I$6:$I$3665,MATCH(INDEX(Zeiterfassung!$K$6:$K$3665,$K3190),Zeiterfassung!$K$6:$K$3665,0))))</f>
        <v/>
      </c>
      <c r="J3190" s="335">
        <f>IF(B3190=B3189,"",IF($K3190="","",INDEX(Zeiterfassung!$J$6:$J$3665,MATCH(INDEX(Zeiterfassung!$K$6:$K$3665,$K3190),Zeiterfassung!$K$6:$K$3665,0))))</f>
        <v/>
      </c>
      <c r="K3190">
        <f>IFERROR(AGGREGATE(15,6,(ROW(Zeiterfassung!$D$6:$D$3665)-ROW(Zeiterfassung!$D$6)+1)/(Zeiterfassung!$D$6:$D$3665&lt;&gt;""),3185),"")</f>
        <v/>
      </c>
    </row>
    <row r="3191" ht="20" customHeight="1">
      <c r="A3191" s="183">
        <f>IF($K3191="","",WEEKNUM(INDEX(Zeiterfassung!$K$6:$K$3665,$K3191),21))</f>
        <v/>
      </c>
      <c r="B3191" s="184">
        <f>IF($K3191="","",INDEX(Zeiterfassung!$K$6:$K$3665,$K3191))</f>
        <v/>
      </c>
      <c r="C3191" s="185">
        <f>IF($K3191="","",INDEX(Zeiterfassung!$K$6:$K$3665,$K3191))</f>
        <v/>
      </c>
      <c r="D3191" s="186">
        <f>IF($K3191="","",INDEX(Zeiterfassung!$D$6:$D$3665,$K3191))</f>
        <v/>
      </c>
      <c r="E3191" s="186">
        <f>IF($K3191="","",INDEX(Zeiterfassung!$E$6:$E$3665,$K3191))</f>
        <v/>
      </c>
      <c r="F3191" s="187">
        <f>IF($K3191="","",INDEX(Zeiterfassung!$F$6:$F$3665,$K3191))</f>
        <v/>
      </c>
      <c r="G3191" s="187">
        <f>IF($K3191="","",INDEX(Zeiterfassung!$G$6:$G$3665,$K3191))</f>
        <v/>
      </c>
      <c r="H3191" s="188">
        <f>IF($K3191="","",INDEX(Zeiterfassung!$H$6:$H$3665,$K3191))</f>
        <v/>
      </c>
      <c r="I3191" s="335">
        <f>IF(B3191=B3190,"",IF($K3191="","",INDEX(Zeiterfassung!$I$6:$I$3665,MATCH(INDEX(Zeiterfassung!$K$6:$K$3665,$K3191),Zeiterfassung!$K$6:$K$3665,0))))</f>
        <v/>
      </c>
      <c r="J3191" s="335">
        <f>IF(B3191=B3190,"",IF($K3191="","",INDEX(Zeiterfassung!$J$6:$J$3665,MATCH(INDEX(Zeiterfassung!$K$6:$K$3665,$K3191),Zeiterfassung!$K$6:$K$3665,0))))</f>
        <v/>
      </c>
      <c r="K3191">
        <f>IFERROR(AGGREGATE(15,6,(ROW(Zeiterfassung!$D$6:$D$3665)-ROW(Zeiterfassung!$D$6)+1)/(Zeiterfassung!$D$6:$D$3665&lt;&gt;""),3186),"")</f>
        <v/>
      </c>
    </row>
    <row r="3192" ht="20" customHeight="1">
      <c r="A3192" s="183">
        <f>IF($K3192="","",WEEKNUM(INDEX(Zeiterfassung!$K$6:$K$3665,$K3192),21))</f>
        <v/>
      </c>
      <c r="B3192" s="184">
        <f>IF($K3192="","",INDEX(Zeiterfassung!$K$6:$K$3665,$K3192))</f>
        <v/>
      </c>
      <c r="C3192" s="185">
        <f>IF($K3192="","",INDEX(Zeiterfassung!$K$6:$K$3665,$K3192))</f>
        <v/>
      </c>
      <c r="D3192" s="186">
        <f>IF($K3192="","",INDEX(Zeiterfassung!$D$6:$D$3665,$K3192))</f>
        <v/>
      </c>
      <c r="E3192" s="186">
        <f>IF($K3192="","",INDEX(Zeiterfassung!$E$6:$E$3665,$K3192))</f>
        <v/>
      </c>
      <c r="F3192" s="187">
        <f>IF($K3192="","",INDEX(Zeiterfassung!$F$6:$F$3665,$K3192))</f>
        <v/>
      </c>
      <c r="G3192" s="187">
        <f>IF($K3192="","",INDEX(Zeiterfassung!$G$6:$G$3665,$K3192))</f>
        <v/>
      </c>
      <c r="H3192" s="188">
        <f>IF($K3192="","",INDEX(Zeiterfassung!$H$6:$H$3665,$K3192))</f>
        <v/>
      </c>
      <c r="I3192" s="335">
        <f>IF(B3192=B3191,"",IF($K3192="","",INDEX(Zeiterfassung!$I$6:$I$3665,MATCH(INDEX(Zeiterfassung!$K$6:$K$3665,$K3192),Zeiterfassung!$K$6:$K$3665,0))))</f>
        <v/>
      </c>
      <c r="J3192" s="335">
        <f>IF(B3192=B3191,"",IF($K3192="","",INDEX(Zeiterfassung!$J$6:$J$3665,MATCH(INDEX(Zeiterfassung!$K$6:$K$3665,$K3192),Zeiterfassung!$K$6:$K$3665,0))))</f>
        <v/>
      </c>
      <c r="K3192">
        <f>IFERROR(AGGREGATE(15,6,(ROW(Zeiterfassung!$D$6:$D$3665)-ROW(Zeiterfassung!$D$6)+1)/(Zeiterfassung!$D$6:$D$3665&lt;&gt;""),3187),"")</f>
        <v/>
      </c>
    </row>
    <row r="3193" ht="20" customHeight="1">
      <c r="A3193" s="183">
        <f>IF($K3193="","",WEEKNUM(INDEX(Zeiterfassung!$K$6:$K$3665,$K3193),21))</f>
        <v/>
      </c>
      <c r="B3193" s="184">
        <f>IF($K3193="","",INDEX(Zeiterfassung!$K$6:$K$3665,$K3193))</f>
        <v/>
      </c>
      <c r="C3193" s="185">
        <f>IF($K3193="","",INDEX(Zeiterfassung!$K$6:$K$3665,$K3193))</f>
        <v/>
      </c>
      <c r="D3193" s="186">
        <f>IF($K3193="","",INDEX(Zeiterfassung!$D$6:$D$3665,$K3193))</f>
        <v/>
      </c>
      <c r="E3193" s="186">
        <f>IF($K3193="","",INDEX(Zeiterfassung!$E$6:$E$3665,$K3193))</f>
        <v/>
      </c>
      <c r="F3193" s="187">
        <f>IF($K3193="","",INDEX(Zeiterfassung!$F$6:$F$3665,$K3193))</f>
        <v/>
      </c>
      <c r="G3193" s="187">
        <f>IF($K3193="","",INDEX(Zeiterfassung!$G$6:$G$3665,$K3193))</f>
        <v/>
      </c>
      <c r="H3193" s="188">
        <f>IF($K3193="","",INDEX(Zeiterfassung!$H$6:$H$3665,$K3193))</f>
        <v/>
      </c>
      <c r="I3193" s="335">
        <f>IF(B3193=B3192,"",IF($K3193="","",INDEX(Zeiterfassung!$I$6:$I$3665,MATCH(INDEX(Zeiterfassung!$K$6:$K$3665,$K3193),Zeiterfassung!$K$6:$K$3665,0))))</f>
        <v/>
      </c>
      <c r="J3193" s="335">
        <f>IF(B3193=B3192,"",IF($K3193="","",INDEX(Zeiterfassung!$J$6:$J$3665,MATCH(INDEX(Zeiterfassung!$K$6:$K$3665,$K3193),Zeiterfassung!$K$6:$K$3665,0))))</f>
        <v/>
      </c>
      <c r="K3193">
        <f>IFERROR(AGGREGATE(15,6,(ROW(Zeiterfassung!$D$6:$D$3665)-ROW(Zeiterfassung!$D$6)+1)/(Zeiterfassung!$D$6:$D$3665&lt;&gt;""),3188),"")</f>
        <v/>
      </c>
    </row>
    <row r="3194" ht="20" customHeight="1">
      <c r="A3194" s="183">
        <f>IF($K3194="","",WEEKNUM(INDEX(Zeiterfassung!$K$6:$K$3665,$K3194),21))</f>
        <v/>
      </c>
      <c r="B3194" s="184">
        <f>IF($K3194="","",INDEX(Zeiterfassung!$K$6:$K$3665,$K3194))</f>
        <v/>
      </c>
      <c r="C3194" s="185">
        <f>IF($K3194="","",INDEX(Zeiterfassung!$K$6:$K$3665,$K3194))</f>
        <v/>
      </c>
      <c r="D3194" s="186">
        <f>IF($K3194="","",INDEX(Zeiterfassung!$D$6:$D$3665,$K3194))</f>
        <v/>
      </c>
      <c r="E3194" s="186">
        <f>IF($K3194="","",INDEX(Zeiterfassung!$E$6:$E$3665,$K3194))</f>
        <v/>
      </c>
      <c r="F3194" s="187">
        <f>IF($K3194="","",INDEX(Zeiterfassung!$F$6:$F$3665,$K3194))</f>
        <v/>
      </c>
      <c r="G3194" s="187">
        <f>IF($K3194="","",INDEX(Zeiterfassung!$G$6:$G$3665,$K3194))</f>
        <v/>
      </c>
      <c r="H3194" s="188">
        <f>IF($K3194="","",INDEX(Zeiterfassung!$H$6:$H$3665,$K3194))</f>
        <v/>
      </c>
      <c r="I3194" s="335">
        <f>IF(B3194=B3193,"",IF($K3194="","",INDEX(Zeiterfassung!$I$6:$I$3665,MATCH(INDEX(Zeiterfassung!$K$6:$K$3665,$K3194),Zeiterfassung!$K$6:$K$3665,0))))</f>
        <v/>
      </c>
      <c r="J3194" s="335">
        <f>IF(B3194=B3193,"",IF($K3194="","",INDEX(Zeiterfassung!$J$6:$J$3665,MATCH(INDEX(Zeiterfassung!$K$6:$K$3665,$K3194),Zeiterfassung!$K$6:$K$3665,0))))</f>
        <v/>
      </c>
      <c r="K3194">
        <f>IFERROR(AGGREGATE(15,6,(ROW(Zeiterfassung!$D$6:$D$3665)-ROW(Zeiterfassung!$D$6)+1)/(Zeiterfassung!$D$6:$D$3665&lt;&gt;""),3189),"")</f>
        <v/>
      </c>
    </row>
    <row r="3195" ht="20" customHeight="1">
      <c r="A3195" s="183">
        <f>IF($K3195="","",WEEKNUM(INDEX(Zeiterfassung!$K$6:$K$3665,$K3195),21))</f>
        <v/>
      </c>
      <c r="B3195" s="184">
        <f>IF($K3195="","",INDEX(Zeiterfassung!$K$6:$K$3665,$K3195))</f>
        <v/>
      </c>
      <c r="C3195" s="185">
        <f>IF($K3195="","",INDEX(Zeiterfassung!$K$6:$K$3665,$K3195))</f>
        <v/>
      </c>
      <c r="D3195" s="186">
        <f>IF($K3195="","",INDEX(Zeiterfassung!$D$6:$D$3665,$K3195))</f>
        <v/>
      </c>
      <c r="E3195" s="186">
        <f>IF($K3195="","",INDEX(Zeiterfassung!$E$6:$E$3665,$K3195))</f>
        <v/>
      </c>
      <c r="F3195" s="187">
        <f>IF($K3195="","",INDEX(Zeiterfassung!$F$6:$F$3665,$K3195))</f>
        <v/>
      </c>
      <c r="G3195" s="187">
        <f>IF($K3195="","",INDEX(Zeiterfassung!$G$6:$G$3665,$K3195))</f>
        <v/>
      </c>
      <c r="H3195" s="188">
        <f>IF($K3195="","",INDEX(Zeiterfassung!$H$6:$H$3665,$K3195))</f>
        <v/>
      </c>
      <c r="I3195" s="335">
        <f>IF(B3195=B3194,"",IF($K3195="","",INDEX(Zeiterfassung!$I$6:$I$3665,MATCH(INDEX(Zeiterfassung!$K$6:$K$3665,$K3195),Zeiterfassung!$K$6:$K$3665,0))))</f>
        <v/>
      </c>
      <c r="J3195" s="335">
        <f>IF(B3195=B3194,"",IF($K3195="","",INDEX(Zeiterfassung!$J$6:$J$3665,MATCH(INDEX(Zeiterfassung!$K$6:$K$3665,$K3195),Zeiterfassung!$K$6:$K$3665,0))))</f>
        <v/>
      </c>
      <c r="K3195">
        <f>IFERROR(AGGREGATE(15,6,(ROW(Zeiterfassung!$D$6:$D$3665)-ROW(Zeiterfassung!$D$6)+1)/(Zeiterfassung!$D$6:$D$3665&lt;&gt;""),3190),"")</f>
        <v/>
      </c>
    </row>
    <row r="3196" ht="20" customHeight="1">
      <c r="A3196" s="183">
        <f>IF($K3196="","",WEEKNUM(INDEX(Zeiterfassung!$K$6:$K$3665,$K3196),21))</f>
        <v/>
      </c>
      <c r="B3196" s="184">
        <f>IF($K3196="","",INDEX(Zeiterfassung!$K$6:$K$3665,$K3196))</f>
        <v/>
      </c>
      <c r="C3196" s="185">
        <f>IF($K3196="","",INDEX(Zeiterfassung!$K$6:$K$3665,$K3196))</f>
        <v/>
      </c>
      <c r="D3196" s="186">
        <f>IF($K3196="","",INDEX(Zeiterfassung!$D$6:$D$3665,$K3196))</f>
        <v/>
      </c>
      <c r="E3196" s="186">
        <f>IF($K3196="","",INDEX(Zeiterfassung!$E$6:$E$3665,$K3196))</f>
        <v/>
      </c>
      <c r="F3196" s="187">
        <f>IF($K3196="","",INDEX(Zeiterfassung!$F$6:$F$3665,$K3196))</f>
        <v/>
      </c>
      <c r="G3196" s="187">
        <f>IF($K3196="","",INDEX(Zeiterfassung!$G$6:$G$3665,$K3196))</f>
        <v/>
      </c>
      <c r="H3196" s="188">
        <f>IF($K3196="","",INDEX(Zeiterfassung!$H$6:$H$3665,$K3196))</f>
        <v/>
      </c>
      <c r="I3196" s="335">
        <f>IF(B3196=B3195,"",IF($K3196="","",INDEX(Zeiterfassung!$I$6:$I$3665,MATCH(INDEX(Zeiterfassung!$K$6:$K$3665,$K3196),Zeiterfassung!$K$6:$K$3665,0))))</f>
        <v/>
      </c>
      <c r="J3196" s="335">
        <f>IF(B3196=B3195,"",IF($K3196="","",INDEX(Zeiterfassung!$J$6:$J$3665,MATCH(INDEX(Zeiterfassung!$K$6:$K$3665,$K3196),Zeiterfassung!$K$6:$K$3665,0))))</f>
        <v/>
      </c>
      <c r="K3196">
        <f>IFERROR(AGGREGATE(15,6,(ROW(Zeiterfassung!$D$6:$D$3665)-ROW(Zeiterfassung!$D$6)+1)/(Zeiterfassung!$D$6:$D$3665&lt;&gt;""),3191),"")</f>
        <v/>
      </c>
    </row>
    <row r="3197" ht="20" customHeight="1">
      <c r="A3197" s="183">
        <f>IF($K3197="","",WEEKNUM(INDEX(Zeiterfassung!$K$6:$K$3665,$K3197),21))</f>
        <v/>
      </c>
      <c r="B3197" s="184">
        <f>IF($K3197="","",INDEX(Zeiterfassung!$K$6:$K$3665,$K3197))</f>
        <v/>
      </c>
      <c r="C3197" s="185">
        <f>IF($K3197="","",INDEX(Zeiterfassung!$K$6:$K$3665,$K3197))</f>
        <v/>
      </c>
      <c r="D3197" s="186">
        <f>IF($K3197="","",INDEX(Zeiterfassung!$D$6:$D$3665,$K3197))</f>
        <v/>
      </c>
      <c r="E3197" s="186">
        <f>IF($K3197="","",INDEX(Zeiterfassung!$E$6:$E$3665,$K3197))</f>
        <v/>
      </c>
      <c r="F3197" s="187">
        <f>IF($K3197="","",INDEX(Zeiterfassung!$F$6:$F$3665,$K3197))</f>
        <v/>
      </c>
      <c r="G3197" s="187">
        <f>IF($K3197="","",INDEX(Zeiterfassung!$G$6:$G$3665,$K3197))</f>
        <v/>
      </c>
      <c r="H3197" s="188">
        <f>IF($K3197="","",INDEX(Zeiterfassung!$H$6:$H$3665,$K3197))</f>
        <v/>
      </c>
      <c r="I3197" s="335">
        <f>IF(B3197=B3196,"",IF($K3197="","",INDEX(Zeiterfassung!$I$6:$I$3665,MATCH(INDEX(Zeiterfassung!$K$6:$K$3665,$K3197),Zeiterfassung!$K$6:$K$3665,0))))</f>
        <v/>
      </c>
      <c r="J3197" s="335">
        <f>IF(B3197=B3196,"",IF($K3197="","",INDEX(Zeiterfassung!$J$6:$J$3665,MATCH(INDEX(Zeiterfassung!$K$6:$K$3665,$K3197),Zeiterfassung!$K$6:$K$3665,0))))</f>
        <v/>
      </c>
      <c r="K3197">
        <f>IFERROR(AGGREGATE(15,6,(ROW(Zeiterfassung!$D$6:$D$3665)-ROW(Zeiterfassung!$D$6)+1)/(Zeiterfassung!$D$6:$D$3665&lt;&gt;""),3192),"")</f>
        <v/>
      </c>
    </row>
    <row r="3198" ht="20" customHeight="1">
      <c r="A3198" s="183">
        <f>IF($K3198="","",WEEKNUM(INDEX(Zeiterfassung!$K$6:$K$3665,$K3198),21))</f>
        <v/>
      </c>
      <c r="B3198" s="184">
        <f>IF($K3198="","",INDEX(Zeiterfassung!$K$6:$K$3665,$K3198))</f>
        <v/>
      </c>
      <c r="C3198" s="185">
        <f>IF($K3198="","",INDEX(Zeiterfassung!$K$6:$K$3665,$K3198))</f>
        <v/>
      </c>
      <c r="D3198" s="186">
        <f>IF($K3198="","",INDEX(Zeiterfassung!$D$6:$D$3665,$K3198))</f>
        <v/>
      </c>
      <c r="E3198" s="186">
        <f>IF($K3198="","",INDEX(Zeiterfassung!$E$6:$E$3665,$K3198))</f>
        <v/>
      </c>
      <c r="F3198" s="187">
        <f>IF($K3198="","",INDEX(Zeiterfassung!$F$6:$F$3665,$K3198))</f>
        <v/>
      </c>
      <c r="G3198" s="187">
        <f>IF($K3198="","",INDEX(Zeiterfassung!$G$6:$G$3665,$K3198))</f>
        <v/>
      </c>
      <c r="H3198" s="188">
        <f>IF($K3198="","",INDEX(Zeiterfassung!$H$6:$H$3665,$K3198))</f>
        <v/>
      </c>
      <c r="I3198" s="335">
        <f>IF(B3198=B3197,"",IF($K3198="","",INDEX(Zeiterfassung!$I$6:$I$3665,MATCH(INDEX(Zeiterfassung!$K$6:$K$3665,$K3198),Zeiterfassung!$K$6:$K$3665,0))))</f>
        <v/>
      </c>
      <c r="J3198" s="335">
        <f>IF(B3198=B3197,"",IF($K3198="","",INDEX(Zeiterfassung!$J$6:$J$3665,MATCH(INDEX(Zeiterfassung!$K$6:$K$3665,$K3198),Zeiterfassung!$K$6:$K$3665,0))))</f>
        <v/>
      </c>
      <c r="K3198">
        <f>IFERROR(AGGREGATE(15,6,(ROW(Zeiterfassung!$D$6:$D$3665)-ROW(Zeiterfassung!$D$6)+1)/(Zeiterfassung!$D$6:$D$3665&lt;&gt;""),3193),"")</f>
        <v/>
      </c>
    </row>
    <row r="3199" ht="20" customHeight="1">
      <c r="A3199" s="183">
        <f>IF($K3199="","",WEEKNUM(INDEX(Zeiterfassung!$K$6:$K$3665,$K3199),21))</f>
        <v/>
      </c>
      <c r="B3199" s="184">
        <f>IF($K3199="","",INDEX(Zeiterfassung!$K$6:$K$3665,$K3199))</f>
        <v/>
      </c>
      <c r="C3199" s="185">
        <f>IF($K3199="","",INDEX(Zeiterfassung!$K$6:$K$3665,$K3199))</f>
        <v/>
      </c>
      <c r="D3199" s="186">
        <f>IF($K3199="","",INDEX(Zeiterfassung!$D$6:$D$3665,$K3199))</f>
        <v/>
      </c>
      <c r="E3199" s="186">
        <f>IF($K3199="","",INDEX(Zeiterfassung!$E$6:$E$3665,$K3199))</f>
        <v/>
      </c>
      <c r="F3199" s="187">
        <f>IF($K3199="","",INDEX(Zeiterfassung!$F$6:$F$3665,$K3199))</f>
        <v/>
      </c>
      <c r="G3199" s="187">
        <f>IF($K3199="","",INDEX(Zeiterfassung!$G$6:$G$3665,$K3199))</f>
        <v/>
      </c>
      <c r="H3199" s="188">
        <f>IF($K3199="","",INDEX(Zeiterfassung!$H$6:$H$3665,$K3199))</f>
        <v/>
      </c>
      <c r="I3199" s="335">
        <f>IF(B3199=B3198,"",IF($K3199="","",INDEX(Zeiterfassung!$I$6:$I$3665,MATCH(INDEX(Zeiterfassung!$K$6:$K$3665,$K3199),Zeiterfassung!$K$6:$K$3665,0))))</f>
        <v/>
      </c>
      <c r="J3199" s="335">
        <f>IF(B3199=B3198,"",IF($K3199="","",INDEX(Zeiterfassung!$J$6:$J$3665,MATCH(INDEX(Zeiterfassung!$K$6:$K$3665,$K3199),Zeiterfassung!$K$6:$K$3665,0))))</f>
        <v/>
      </c>
      <c r="K3199">
        <f>IFERROR(AGGREGATE(15,6,(ROW(Zeiterfassung!$D$6:$D$3665)-ROW(Zeiterfassung!$D$6)+1)/(Zeiterfassung!$D$6:$D$3665&lt;&gt;""),3194),"")</f>
        <v/>
      </c>
    </row>
    <row r="3200" ht="20" customHeight="1">
      <c r="A3200" s="183">
        <f>IF($K3200="","",WEEKNUM(INDEX(Zeiterfassung!$K$6:$K$3665,$K3200),21))</f>
        <v/>
      </c>
      <c r="B3200" s="184">
        <f>IF($K3200="","",INDEX(Zeiterfassung!$K$6:$K$3665,$K3200))</f>
        <v/>
      </c>
      <c r="C3200" s="185">
        <f>IF($K3200="","",INDEX(Zeiterfassung!$K$6:$K$3665,$K3200))</f>
        <v/>
      </c>
      <c r="D3200" s="186">
        <f>IF($K3200="","",INDEX(Zeiterfassung!$D$6:$D$3665,$K3200))</f>
        <v/>
      </c>
      <c r="E3200" s="186">
        <f>IF($K3200="","",INDEX(Zeiterfassung!$E$6:$E$3665,$K3200))</f>
        <v/>
      </c>
      <c r="F3200" s="187">
        <f>IF($K3200="","",INDEX(Zeiterfassung!$F$6:$F$3665,$K3200))</f>
        <v/>
      </c>
      <c r="G3200" s="187">
        <f>IF($K3200="","",INDEX(Zeiterfassung!$G$6:$G$3665,$K3200))</f>
        <v/>
      </c>
      <c r="H3200" s="188">
        <f>IF($K3200="","",INDEX(Zeiterfassung!$H$6:$H$3665,$K3200))</f>
        <v/>
      </c>
      <c r="I3200" s="335">
        <f>IF(B3200=B3199,"",IF($K3200="","",INDEX(Zeiterfassung!$I$6:$I$3665,MATCH(INDEX(Zeiterfassung!$K$6:$K$3665,$K3200),Zeiterfassung!$K$6:$K$3665,0))))</f>
        <v/>
      </c>
      <c r="J3200" s="335">
        <f>IF(B3200=B3199,"",IF($K3200="","",INDEX(Zeiterfassung!$J$6:$J$3665,MATCH(INDEX(Zeiterfassung!$K$6:$K$3665,$K3200),Zeiterfassung!$K$6:$K$3665,0))))</f>
        <v/>
      </c>
      <c r="K3200">
        <f>IFERROR(AGGREGATE(15,6,(ROW(Zeiterfassung!$D$6:$D$3665)-ROW(Zeiterfassung!$D$6)+1)/(Zeiterfassung!$D$6:$D$3665&lt;&gt;""),3195),"")</f>
        <v/>
      </c>
    </row>
    <row r="3201" ht="20" customHeight="1">
      <c r="A3201" s="183">
        <f>IF($K3201="","",WEEKNUM(INDEX(Zeiterfassung!$K$6:$K$3665,$K3201),21))</f>
        <v/>
      </c>
      <c r="B3201" s="184">
        <f>IF($K3201="","",INDEX(Zeiterfassung!$K$6:$K$3665,$K3201))</f>
        <v/>
      </c>
      <c r="C3201" s="185">
        <f>IF($K3201="","",INDEX(Zeiterfassung!$K$6:$K$3665,$K3201))</f>
        <v/>
      </c>
      <c r="D3201" s="186">
        <f>IF($K3201="","",INDEX(Zeiterfassung!$D$6:$D$3665,$K3201))</f>
        <v/>
      </c>
      <c r="E3201" s="186">
        <f>IF($K3201="","",INDEX(Zeiterfassung!$E$6:$E$3665,$K3201))</f>
        <v/>
      </c>
      <c r="F3201" s="187">
        <f>IF($K3201="","",INDEX(Zeiterfassung!$F$6:$F$3665,$K3201))</f>
        <v/>
      </c>
      <c r="G3201" s="187">
        <f>IF($K3201="","",INDEX(Zeiterfassung!$G$6:$G$3665,$K3201))</f>
        <v/>
      </c>
      <c r="H3201" s="188">
        <f>IF($K3201="","",INDEX(Zeiterfassung!$H$6:$H$3665,$K3201))</f>
        <v/>
      </c>
      <c r="I3201" s="335">
        <f>IF(B3201=B3200,"",IF($K3201="","",INDEX(Zeiterfassung!$I$6:$I$3665,MATCH(INDEX(Zeiterfassung!$K$6:$K$3665,$K3201),Zeiterfassung!$K$6:$K$3665,0))))</f>
        <v/>
      </c>
      <c r="J3201" s="335">
        <f>IF(B3201=B3200,"",IF($K3201="","",INDEX(Zeiterfassung!$J$6:$J$3665,MATCH(INDEX(Zeiterfassung!$K$6:$K$3665,$K3201),Zeiterfassung!$K$6:$K$3665,0))))</f>
        <v/>
      </c>
      <c r="K3201">
        <f>IFERROR(AGGREGATE(15,6,(ROW(Zeiterfassung!$D$6:$D$3665)-ROW(Zeiterfassung!$D$6)+1)/(Zeiterfassung!$D$6:$D$3665&lt;&gt;""),3196),"")</f>
        <v/>
      </c>
    </row>
    <row r="3202" ht="20" customHeight="1">
      <c r="A3202" s="183">
        <f>IF($K3202="","",WEEKNUM(INDEX(Zeiterfassung!$K$6:$K$3665,$K3202),21))</f>
        <v/>
      </c>
      <c r="B3202" s="184">
        <f>IF($K3202="","",INDEX(Zeiterfassung!$K$6:$K$3665,$K3202))</f>
        <v/>
      </c>
      <c r="C3202" s="185">
        <f>IF($K3202="","",INDEX(Zeiterfassung!$K$6:$K$3665,$K3202))</f>
        <v/>
      </c>
      <c r="D3202" s="186">
        <f>IF($K3202="","",INDEX(Zeiterfassung!$D$6:$D$3665,$K3202))</f>
        <v/>
      </c>
      <c r="E3202" s="186">
        <f>IF($K3202="","",INDEX(Zeiterfassung!$E$6:$E$3665,$K3202))</f>
        <v/>
      </c>
      <c r="F3202" s="187">
        <f>IF($K3202="","",INDEX(Zeiterfassung!$F$6:$F$3665,$K3202))</f>
        <v/>
      </c>
      <c r="G3202" s="187">
        <f>IF($K3202="","",INDEX(Zeiterfassung!$G$6:$G$3665,$K3202))</f>
        <v/>
      </c>
      <c r="H3202" s="188">
        <f>IF($K3202="","",INDEX(Zeiterfassung!$H$6:$H$3665,$K3202))</f>
        <v/>
      </c>
      <c r="I3202" s="335">
        <f>IF(B3202=B3201,"",IF($K3202="","",INDEX(Zeiterfassung!$I$6:$I$3665,MATCH(INDEX(Zeiterfassung!$K$6:$K$3665,$K3202),Zeiterfassung!$K$6:$K$3665,0))))</f>
        <v/>
      </c>
      <c r="J3202" s="335">
        <f>IF(B3202=B3201,"",IF($K3202="","",INDEX(Zeiterfassung!$J$6:$J$3665,MATCH(INDEX(Zeiterfassung!$K$6:$K$3665,$K3202),Zeiterfassung!$K$6:$K$3665,0))))</f>
        <v/>
      </c>
      <c r="K3202">
        <f>IFERROR(AGGREGATE(15,6,(ROW(Zeiterfassung!$D$6:$D$3665)-ROW(Zeiterfassung!$D$6)+1)/(Zeiterfassung!$D$6:$D$3665&lt;&gt;""),3197),"")</f>
        <v/>
      </c>
    </row>
    <row r="3203" ht="20" customHeight="1">
      <c r="A3203" s="183">
        <f>IF($K3203="","",WEEKNUM(INDEX(Zeiterfassung!$K$6:$K$3665,$K3203),21))</f>
        <v/>
      </c>
      <c r="B3203" s="184">
        <f>IF($K3203="","",INDEX(Zeiterfassung!$K$6:$K$3665,$K3203))</f>
        <v/>
      </c>
      <c r="C3203" s="185">
        <f>IF($K3203="","",INDEX(Zeiterfassung!$K$6:$K$3665,$K3203))</f>
        <v/>
      </c>
      <c r="D3203" s="186">
        <f>IF($K3203="","",INDEX(Zeiterfassung!$D$6:$D$3665,$K3203))</f>
        <v/>
      </c>
      <c r="E3203" s="186">
        <f>IF($K3203="","",INDEX(Zeiterfassung!$E$6:$E$3665,$K3203))</f>
        <v/>
      </c>
      <c r="F3203" s="187">
        <f>IF($K3203="","",INDEX(Zeiterfassung!$F$6:$F$3665,$K3203))</f>
        <v/>
      </c>
      <c r="G3203" s="187">
        <f>IF($K3203="","",INDEX(Zeiterfassung!$G$6:$G$3665,$K3203))</f>
        <v/>
      </c>
      <c r="H3203" s="188">
        <f>IF($K3203="","",INDEX(Zeiterfassung!$H$6:$H$3665,$K3203))</f>
        <v/>
      </c>
      <c r="I3203" s="335">
        <f>IF(B3203=B3202,"",IF($K3203="","",INDEX(Zeiterfassung!$I$6:$I$3665,MATCH(INDEX(Zeiterfassung!$K$6:$K$3665,$K3203),Zeiterfassung!$K$6:$K$3665,0))))</f>
        <v/>
      </c>
      <c r="J3203" s="335">
        <f>IF(B3203=B3202,"",IF($K3203="","",INDEX(Zeiterfassung!$J$6:$J$3665,MATCH(INDEX(Zeiterfassung!$K$6:$K$3665,$K3203),Zeiterfassung!$K$6:$K$3665,0))))</f>
        <v/>
      </c>
      <c r="K3203">
        <f>IFERROR(AGGREGATE(15,6,(ROW(Zeiterfassung!$D$6:$D$3665)-ROW(Zeiterfassung!$D$6)+1)/(Zeiterfassung!$D$6:$D$3665&lt;&gt;""),3198),"")</f>
        <v/>
      </c>
    </row>
    <row r="3204" ht="20" customHeight="1">
      <c r="A3204" s="183">
        <f>IF($K3204="","",WEEKNUM(INDEX(Zeiterfassung!$K$6:$K$3665,$K3204),21))</f>
        <v/>
      </c>
      <c r="B3204" s="184">
        <f>IF($K3204="","",INDEX(Zeiterfassung!$K$6:$K$3665,$K3204))</f>
        <v/>
      </c>
      <c r="C3204" s="185">
        <f>IF($K3204="","",INDEX(Zeiterfassung!$K$6:$K$3665,$K3204))</f>
        <v/>
      </c>
      <c r="D3204" s="186">
        <f>IF($K3204="","",INDEX(Zeiterfassung!$D$6:$D$3665,$K3204))</f>
        <v/>
      </c>
      <c r="E3204" s="186">
        <f>IF($K3204="","",INDEX(Zeiterfassung!$E$6:$E$3665,$K3204))</f>
        <v/>
      </c>
      <c r="F3204" s="187">
        <f>IF($K3204="","",INDEX(Zeiterfassung!$F$6:$F$3665,$K3204))</f>
        <v/>
      </c>
      <c r="G3204" s="187">
        <f>IF($K3204="","",INDEX(Zeiterfassung!$G$6:$G$3665,$K3204))</f>
        <v/>
      </c>
      <c r="H3204" s="188">
        <f>IF($K3204="","",INDEX(Zeiterfassung!$H$6:$H$3665,$K3204))</f>
        <v/>
      </c>
      <c r="I3204" s="335">
        <f>IF(B3204=B3203,"",IF($K3204="","",INDEX(Zeiterfassung!$I$6:$I$3665,MATCH(INDEX(Zeiterfassung!$K$6:$K$3665,$K3204),Zeiterfassung!$K$6:$K$3665,0))))</f>
        <v/>
      </c>
      <c r="J3204" s="335">
        <f>IF(B3204=B3203,"",IF($K3204="","",INDEX(Zeiterfassung!$J$6:$J$3665,MATCH(INDEX(Zeiterfassung!$K$6:$K$3665,$K3204),Zeiterfassung!$K$6:$K$3665,0))))</f>
        <v/>
      </c>
      <c r="K3204">
        <f>IFERROR(AGGREGATE(15,6,(ROW(Zeiterfassung!$D$6:$D$3665)-ROW(Zeiterfassung!$D$6)+1)/(Zeiterfassung!$D$6:$D$3665&lt;&gt;""),3199),"")</f>
        <v/>
      </c>
    </row>
    <row r="3205" ht="20" customHeight="1">
      <c r="A3205" s="183">
        <f>IF($K3205="","",WEEKNUM(INDEX(Zeiterfassung!$K$6:$K$3665,$K3205),21))</f>
        <v/>
      </c>
      <c r="B3205" s="184">
        <f>IF($K3205="","",INDEX(Zeiterfassung!$K$6:$K$3665,$K3205))</f>
        <v/>
      </c>
      <c r="C3205" s="185">
        <f>IF($K3205="","",INDEX(Zeiterfassung!$K$6:$K$3665,$K3205))</f>
        <v/>
      </c>
      <c r="D3205" s="186">
        <f>IF($K3205="","",INDEX(Zeiterfassung!$D$6:$D$3665,$K3205))</f>
        <v/>
      </c>
      <c r="E3205" s="186">
        <f>IF($K3205="","",INDEX(Zeiterfassung!$E$6:$E$3665,$K3205))</f>
        <v/>
      </c>
      <c r="F3205" s="187">
        <f>IF($K3205="","",INDEX(Zeiterfassung!$F$6:$F$3665,$K3205))</f>
        <v/>
      </c>
      <c r="G3205" s="187">
        <f>IF($K3205="","",INDEX(Zeiterfassung!$G$6:$G$3665,$K3205))</f>
        <v/>
      </c>
      <c r="H3205" s="188">
        <f>IF($K3205="","",INDEX(Zeiterfassung!$H$6:$H$3665,$K3205))</f>
        <v/>
      </c>
      <c r="I3205" s="335">
        <f>IF(B3205=B3204,"",IF($K3205="","",INDEX(Zeiterfassung!$I$6:$I$3665,MATCH(INDEX(Zeiterfassung!$K$6:$K$3665,$K3205),Zeiterfassung!$K$6:$K$3665,0))))</f>
        <v/>
      </c>
      <c r="J3205" s="335">
        <f>IF(B3205=B3204,"",IF($K3205="","",INDEX(Zeiterfassung!$J$6:$J$3665,MATCH(INDEX(Zeiterfassung!$K$6:$K$3665,$K3205),Zeiterfassung!$K$6:$K$3665,0))))</f>
        <v/>
      </c>
      <c r="K3205">
        <f>IFERROR(AGGREGATE(15,6,(ROW(Zeiterfassung!$D$6:$D$3665)-ROW(Zeiterfassung!$D$6)+1)/(Zeiterfassung!$D$6:$D$3665&lt;&gt;""),3200),"")</f>
        <v/>
      </c>
    </row>
    <row r="3206" ht="20" customHeight="1">
      <c r="A3206" s="183">
        <f>IF($K3206="","",WEEKNUM(INDEX(Zeiterfassung!$K$6:$K$3665,$K3206),21))</f>
        <v/>
      </c>
      <c r="B3206" s="184">
        <f>IF($K3206="","",INDEX(Zeiterfassung!$K$6:$K$3665,$K3206))</f>
        <v/>
      </c>
      <c r="C3206" s="185">
        <f>IF($K3206="","",INDEX(Zeiterfassung!$K$6:$K$3665,$K3206))</f>
        <v/>
      </c>
      <c r="D3206" s="186">
        <f>IF($K3206="","",INDEX(Zeiterfassung!$D$6:$D$3665,$K3206))</f>
        <v/>
      </c>
      <c r="E3206" s="186">
        <f>IF($K3206="","",INDEX(Zeiterfassung!$E$6:$E$3665,$K3206))</f>
        <v/>
      </c>
      <c r="F3206" s="187">
        <f>IF($K3206="","",INDEX(Zeiterfassung!$F$6:$F$3665,$K3206))</f>
        <v/>
      </c>
      <c r="G3206" s="187">
        <f>IF($K3206="","",INDEX(Zeiterfassung!$G$6:$G$3665,$K3206))</f>
        <v/>
      </c>
      <c r="H3206" s="188">
        <f>IF($K3206="","",INDEX(Zeiterfassung!$H$6:$H$3665,$K3206))</f>
        <v/>
      </c>
      <c r="I3206" s="335">
        <f>IF(B3206=B3205,"",IF($K3206="","",INDEX(Zeiterfassung!$I$6:$I$3665,MATCH(INDEX(Zeiterfassung!$K$6:$K$3665,$K3206),Zeiterfassung!$K$6:$K$3665,0))))</f>
        <v/>
      </c>
      <c r="J3206" s="335">
        <f>IF(B3206=B3205,"",IF($K3206="","",INDEX(Zeiterfassung!$J$6:$J$3665,MATCH(INDEX(Zeiterfassung!$K$6:$K$3665,$K3206),Zeiterfassung!$K$6:$K$3665,0))))</f>
        <v/>
      </c>
      <c r="K3206">
        <f>IFERROR(AGGREGATE(15,6,(ROW(Zeiterfassung!$D$6:$D$3665)-ROW(Zeiterfassung!$D$6)+1)/(Zeiterfassung!$D$6:$D$3665&lt;&gt;""),3201),"")</f>
        <v/>
      </c>
    </row>
    <row r="3207" ht="20" customHeight="1">
      <c r="A3207" s="183">
        <f>IF($K3207="","",WEEKNUM(INDEX(Zeiterfassung!$K$6:$K$3665,$K3207),21))</f>
        <v/>
      </c>
      <c r="B3207" s="184">
        <f>IF($K3207="","",INDEX(Zeiterfassung!$K$6:$K$3665,$K3207))</f>
        <v/>
      </c>
      <c r="C3207" s="185">
        <f>IF($K3207="","",INDEX(Zeiterfassung!$K$6:$K$3665,$K3207))</f>
        <v/>
      </c>
      <c r="D3207" s="186">
        <f>IF($K3207="","",INDEX(Zeiterfassung!$D$6:$D$3665,$K3207))</f>
        <v/>
      </c>
      <c r="E3207" s="186">
        <f>IF($K3207="","",INDEX(Zeiterfassung!$E$6:$E$3665,$K3207))</f>
        <v/>
      </c>
      <c r="F3207" s="187">
        <f>IF($K3207="","",INDEX(Zeiterfassung!$F$6:$F$3665,$K3207))</f>
        <v/>
      </c>
      <c r="G3207" s="187">
        <f>IF($K3207="","",INDEX(Zeiterfassung!$G$6:$G$3665,$K3207))</f>
        <v/>
      </c>
      <c r="H3207" s="188">
        <f>IF($K3207="","",INDEX(Zeiterfassung!$H$6:$H$3665,$K3207))</f>
        <v/>
      </c>
      <c r="I3207" s="335">
        <f>IF(B3207=B3206,"",IF($K3207="","",INDEX(Zeiterfassung!$I$6:$I$3665,MATCH(INDEX(Zeiterfassung!$K$6:$K$3665,$K3207),Zeiterfassung!$K$6:$K$3665,0))))</f>
        <v/>
      </c>
      <c r="J3207" s="335">
        <f>IF(B3207=B3206,"",IF($K3207="","",INDEX(Zeiterfassung!$J$6:$J$3665,MATCH(INDEX(Zeiterfassung!$K$6:$K$3665,$K3207),Zeiterfassung!$K$6:$K$3665,0))))</f>
        <v/>
      </c>
      <c r="K3207">
        <f>IFERROR(AGGREGATE(15,6,(ROW(Zeiterfassung!$D$6:$D$3665)-ROW(Zeiterfassung!$D$6)+1)/(Zeiterfassung!$D$6:$D$3665&lt;&gt;""),3202),"")</f>
        <v/>
      </c>
    </row>
    <row r="3208" ht="20" customHeight="1">
      <c r="A3208" s="183">
        <f>IF($K3208="","",WEEKNUM(INDEX(Zeiterfassung!$K$6:$K$3665,$K3208),21))</f>
        <v/>
      </c>
      <c r="B3208" s="184">
        <f>IF($K3208="","",INDEX(Zeiterfassung!$K$6:$K$3665,$K3208))</f>
        <v/>
      </c>
      <c r="C3208" s="185">
        <f>IF($K3208="","",INDEX(Zeiterfassung!$K$6:$K$3665,$K3208))</f>
        <v/>
      </c>
      <c r="D3208" s="186">
        <f>IF($K3208="","",INDEX(Zeiterfassung!$D$6:$D$3665,$K3208))</f>
        <v/>
      </c>
      <c r="E3208" s="186">
        <f>IF($K3208="","",INDEX(Zeiterfassung!$E$6:$E$3665,$K3208))</f>
        <v/>
      </c>
      <c r="F3208" s="187">
        <f>IF($K3208="","",INDEX(Zeiterfassung!$F$6:$F$3665,$K3208))</f>
        <v/>
      </c>
      <c r="G3208" s="187">
        <f>IF($K3208="","",INDEX(Zeiterfassung!$G$6:$G$3665,$K3208))</f>
        <v/>
      </c>
      <c r="H3208" s="188">
        <f>IF($K3208="","",INDEX(Zeiterfassung!$H$6:$H$3665,$K3208))</f>
        <v/>
      </c>
      <c r="I3208" s="335">
        <f>IF(B3208=B3207,"",IF($K3208="","",INDEX(Zeiterfassung!$I$6:$I$3665,MATCH(INDEX(Zeiterfassung!$K$6:$K$3665,$K3208),Zeiterfassung!$K$6:$K$3665,0))))</f>
        <v/>
      </c>
      <c r="J3208" s="335">
        <f>IF(B3208=B3207,"",IF($K3208="","",INDEX(Zeiterfassung!$J$6:$J$3665,MATCH(INDEX(Zeiterfassung!$K$6:$K$3665,$K3208),Zeiterfassung!$K$6:$K$3665,0))))</f>
        <v/>
      </c>
      <c r="K3208">
        <f>IFERROR(AGGREGATE(15,6,(ROW(Zeiterfassung!$D$6:$D$3665)-ROW(Zeiterfassung!$D$6)+1)/(Zeiterfassung!$D$6:$D$3665&lt;&gt;""),3203),"")</f>
        <v/>
      </c>
    </row>
    <row r="3209" ht="20" customHeight="1">
      <c r="A3209" s="183">
        <f>IF($K3209="","",WEEKNUM(INDEX(Zeiterfassung!$K$6:$K$3665,$K3209),21))</f>
        <v/>
      </c>
      <c r="B3209" s="184">
        <f>IF($K3209="","",INDEX(Zeiterfassung!$K$6:$K$3665,$K3209))</f>
        <v/>
      </c>
      <c r="C3209" s="185">
        <f>IF($K3209="","",INDEX(Zeiterfassung!$K$6:$K$3665,$K3209))</f>
        <v/>
      </c>
      <c r="D3209" s="186">
        <f>IF($K3209="","",INDEX(Zeiterfassung!$D$6:$D$3665,$K3209))</f>
        <v/>
      </c>
      <c r="E3209" s="186">
        <f>IF($K3209="","",INDEX(Zeiterfassung!$E$6:$E$3665,$K3209))</f>
        <v/>
      </c>
      <c r="F3209" s="187">
        <f>IF($K3209="","",INDEX(Zeiterfassung!$F$6:$F$3665,$K3209))</f>
        <v/>
      </c>
      <c r="G3209" s="187">
        <f>IF($K3209="","",INDEX(Zeiterfassung!$G$6:$G$3665,$K3209))</f>
        <v/>
      </c>
      <c r="H3209" s="188">
        <f>IF($K3209="","",INDEX(Zeiterfassung!$H$6:$H$3665,$K3209))</f>
        <v/>
      </c>
      <c r="I3209" s="335">
        <f>IF(B3209=B3208,"",IF($K3209="","",INDEX(Zeiterfassung!$I$6:$I$3665,MATCH(INDEX(Zeiterfassung!$K$6:$K$3665,$K3209),Zeiterfassung!$K$6:$K$3665,0))))</f>
        <v/>
      </c>
      <c r="J3209" s="335">
        <f>IF(B3209=B3208,"",IF($K3209="","",INDEX(Zeiterfassung!$J$6:$J$3665,MATCH(INDEX(Zeiterfassung!$K$6:$K$3665,$K3209),Zeiterfassung!$K$6:$K$3665,0))))</f>
        <v/>
      </c>
      <c r="K3209">
        <f>IFERROR(AGGREGATE(15,6,(ROW(Zeiterfassung!$D$6:$D$3665)-ROW(Zeiterfassung!$D$6)+1)/(Zeiterfassung!$D$6:$D$3665&lt;&gt;""),3204),"")</f>
        <v/>
      </c>
    </row>
    <row r="3210" ht="20" customHeight="1">
      <c r="A3210" s="183">
        <f>IF($K3210="","",WEEKNUM(INDEX(Zeiterfassung!$K$6:$K$3665,$K3210),21))</f>
        <v/>
      </c>
      <c r="B3210" s="184">
        <f>IF($K3210="","",INDEX(Zeiterfassung!$K$6:$K$3665,$K3210))</f>
        <v/>
      </c>
      <c r="C3210" s="185">
        <f>IF($K3210="","",INDEX(Zeiterfassung!$K$6:$K$3665,$K3210))</f>
        <v/>
      </c>
      <c r="D3210" s="186">
        <f>IF($K3210="","",INDEX(Zeiterfassung!$D$6:$D$3665,$K3210))</f>
        <v/>
      </c>
      <c r="E3210" s="186">
        <f>IF($K3210="","",INDEX(Zeiterfassung!$E$6:$E$3665,$K3210))</f>
        <v/>
      </c>
      <c r="F3210" s="187">
        <f>IF($K3210="","",INDEX(Zeiterfassung!$F$6:$F$3665,$K3210))</f>
        <v/>
      </c>
      <c r="G3210" s="187">
        <f>IF($K3210="","",INDEX(Zeiterfassung!$G$6:$G$3665,$K3210))</f>
        <v/>
      </c>
      <c r="H3210" s="188">
        <f>IF($K3210="","",INDEX(Zeiterfassung!$H$6:$H$3665,$K3210))</f>
        <v/>
      </c>
      <c r="I3210" s="335">
        <f>IF(B3210=B3209,"",IF($K3210="","",INDEX(Zeiterfassung!$I$6:$I$3665,MATCH(INDEX(Zeiterfassung!$K$6:$K$3665,$K3210),Zeiterfassung!$K$6:$K$3665,0))))</f>
        <v/>
      </c>
      <c r="J3210" s="335">
        <f>IF(B3210=B3209,"",IF($K3210="","",INDEX(Zeiterfassung!$J$6:$J$3665,MATCH(INDEX(Zeiterfassung!$K$6:$K$3665,$K3210),Zeiterfassung!$K$6:$K$3665,0))))</f>
        <v/>
      </c>
      <c r="K3210">
        <f>IFERROR(AGGREGATE(15,6,(ROW(Zeiterfassung!$D$6:$D$3665)-ROW(Zeiterfassung!$D$6)+1)/(Zeiterfassung!$D$6:$D$3665&lt;&gt;""),3205),"")</f>
        <v/>
      </c>
    </row>
    <row r="3211" ht="20" customHeight="1">
      <c r="A3211" s="183">
        <f>IF($K3211="","",WEEKNUM(INDEX(Zeiterfassung!$K$6:$K$3665,$K3211),21))</f>
        <v/>
      </c>
      <c r="B3211" s="184">
        <f>IF($K3211="","",INDEX(Zeiterfassung!$K$6:$K$3665,$K3211))</f>
        <v/>
      </c>
      <c r="C3211" s="185">
        <f>IF($K3211="","",INDEX(Zeiterfassung!$K$6:$K$3665,$K3211))</f>
        <v/>
      </c>
      <c r="D3211" s="186">
        <f>IF($K3211="","",INDEX(Zeiterfassung!$D$6:$D$3665,$K3211))</f>
        <v/>
      </c>
      <c r="E3211" s="186">
        <f>IF($K3211="","",INDEX(Zeiterfassung!$E$6:$E$3665,$K3211))</f>
        <v/>
      </c>
      <c r="F3211" s="187">
        <f>IF($K3211="","",INDEX(Zeiterfassung!$F$6:$F$3665,$K3211))</f>
        <v/>
      </c>
      <c r="G3211" s="187">
        <f>IF($K3211="","",INDEX(Zeiterfassung!$G$6:$G$3665,$K3211))</f>
        <v/>
      </c>
      <c r="H3211" s="188">
        <f>IF($K3211="","",INDEX(Zeiterfassung!$H$6:$H$3665,$K3211))</f>
        <v/>
      </c>
      <c r="I3211" s="335">
        <f>IF(B3211=B3210,"",IF($K3211="","",INDEX(Zeiterfassung!$I$6:$I$3665,MATCH(INDEX(Zeiterfassung!$K$6:$K$3665,$K3211),Zeiterfassung!$K$6:$K$3665,0))))</f>
        <v/>
      </c>
      <c r="J3211" s="335">
        <f>IF(B3211=B3210,"",IF($K3211="","",INDEX(Zeiterfassung!$J$6:$J$3665,MATCH(INDEX(Zeiterfassung!$K$6:$K$3665,$K3211),Zeiterfassung!$K$6:$K$3665,0))))</f>
        <v/>
      </c>
      <c r="K3211">
        <f>IFERROR(AGGREGATE(15,6,(ROW(Zeiterfassung!$D$6:$D$3665)-ROW(Zeiterfassung!$D$6)+1)/(Zeiterfassung!$D$6:$D$3665&lt;&gt;""),3206),"")</f>
        <v/>
      </c>
    </row>
    <row r="3212" ht="20" customHeight="1">
      <c r="A3212" s="183">
        <f>IF($K3212="","",WEEKNUM(INDEX(Zeiterfassung!$K$6:$K$3665,$K3212),21))</f>
        <v/>
      </c>
      <c r="B3212" s="184">
        <f>IF($K3212="","",INDEX(Zeiterfassung!$K$6:$K$3665,$K3212))</f>
        <v/>
      </c>
      <c r="C3212" s="185">
        <f>IF($K3212="","",INDEX(Zeiterfassung!$K$6:$K$3665,$K3212))</f>
        <v/>
      </c>
      <c r="D3212" s="186">
        <f>IF($K3212="","",INDEX(Zeiterfassung!$D$6:$D$3665,$K3212))</f>
        <v/>
      </c>
      <c r="E3212" s="186">
        <f>IF($K3212="","",INDEX(Zeiterfassung!$E$6:$E$3665,$K3212))</f>
        <v/>
      </c>
      <c r="F3212" s="187">
        <f>IF($K3212="","",INDEX(Zeiterfassung!$F$6:$F$3665,$K3212))</f>
        <v/>
      </c>
      <c r="G3212" s="187">
        <f>IF($K3212="","",INDEX(Zeiterfassung!$G$6:$G$3665,$K3212))</f>
        <v/>
      </c>
      <c r="H3212" s="188">
        <f>IF($K3212="","",INDEX(Zeiterfassung!$H$6:$H$3665,$K3212))</f>
        <v/>
      </c>
      <c r="I3212" s="335">
        <f>IF(B3212=B3211,"",IF($K3212="","",INDEX(Zeiterfassung!$I$6:$I$3665,MATCH(INDEX(Zeiterfassung!$K$6:$K$3665,$K3212),Zeiterfassung!$K$6:$K$3665,0))))</f>
        <v/>
      </c>
      <c r="J3212" s="335">
        <f>IF(B3212=B3211,"",IF($K3212="","",INDEX(Zeiterfassung!$J$6:$J$3665,MATCH(INDEX(Zeiterfassung!$K$6:$K$3665,$K3212),Zeiterfassung!$K$6:$K$3665,0))))</f>
        <v/>
      </c>
      <c r="K3212">
        <f>IFERROR(AGGREGATE(15,6,(ROW(Zeiterfassung!$D$6:$D$3665)-ROW(Zeiterfassung!$D$6)+1)/(Zeiterfassung!$D$6:$D$3665&lt;&gt;""),3207),"")</f>
        <v/>
      </c>
    </row>
    <row r="3213" ht="20" customHeight="1">
      <c r="A3213" s="183">
        <f>IF($K3213="","",WEEKNUM(INDEX(Zeiterfassung!$K$6:$K$3665,$K3213),21))</f>
        <v/>
      </c>
      <c r="B3213" s="184">
        <f>IF($K3213="","",INDEX(Zeiterfassung!$K$6:$K$3665,$K3213))</f>
        <v/>
      </c>
      <c r="C3213" s="185">
        <f>IF($K3213="","",INDEX(Zeiterfassung!$K$6:$K$3665,$K3213))</f>
        <v/>
      </c>
      <c r="D3213" s="186">
        <f>IF($K3213="","",INDEX(Zeiterfassung!$D$6:$D$3665,$K3213))</f>
        <v/>
      </c>
      <c r="E3213" s="186">
        <f>IF($K3213="","",INDEX(Zeiterfassung!$E$6:$E$3665,$K3213))</f>
        <v/>
      </c>
      <c r="F3213" s="187">
        <f>IF($K3213="","",INDEX(Zeiterfassung!$F$6:$F$3665,$K3213))</f>
        <v/>
      </c>
      <c r="G3213" s="187">
        <f>IF($K3213="","",INDEX(Zeiterfassung!$G$6:$G$3665,$K3213))</f>
        <v/>
      </c>
      <c r="H3213" s="188">
        <f>IF($K3213="","",INDEX(Zeiterfassung!$H$6:$H$3665,$K3213))</f>
        <v/>
      </c>
      <c r="I3213" s="335">
        <f>IF(B3213=B3212,"",IF($K3213="","",INDEX(Zeiterfassung!$I$6:$I$3665,MATCH(INDEX(Zeiterfassung!$K$6:$K$3665,$K3213),Zeiterfassung!$K$6:$K$3665,0))))</f>
        <v/>
      </c>
      <c r="J3213" s="335">
        <f>IF(B3213=B3212,"",IF($K3213="","",INDEX(Zeiterfassung!$J$6:$J$3665,MATCH(INDEX(Zeiterfassung!$K$6:$K$3665,$K3213),Zeiterfassung!$K$6:$K$3665,0))))</f>
        <v/>
      </c>
      <c r="K3213">
        <f>IFERROR(AGGREGATE(15,6,(ROW(Zeiterfassung!$D$6:$D$3665)-ROW(Zeiterfassung!$D$6)+1)/(Zeiterfassung!$D$6:$D$3665&lt;&gt;""),3208),"")</f>
        <v/>
      </c>
    </row>
    <row r="3214" ht="20" customHeight="1">
      <c r="A3214" s="183">
        <f>IF($K3214="","",WEEKNUM(INDEX(Zeiterfassung!$K$6:$K$3665,$K3214),21))</f>
        <v/>
      </c>
      <c r="B3214" s="184">
        <f>IF($K3214="","",INDEX(Zeiterfassung!$K$6:$K$3665,$K3214))</f>
        <v/>
      </c>
      <c r="C3214" s="185">
        <f>IF($K3214="","",INDEX(Zeiterfassung!$K$6:$K$3665,$K3214))</f>
        <v/>
      </c>
      <c r="D3214" s="186">
        <f>IF($K3214="","",INDEX(Zeiterfassung!$D$6:$D$3665,$K3214))</f>
        <v/>
      </c>
      <c r="E3214" s="186">
        <f>IF($K3214="","",INDEX(Zeiterfassung!$E$6:$E$3665,$K3214))</f>
        <v/>
      </c>
      <c r="F3214" s="187">
        <f>IF($K3214="","",INDEX(Zeiterfassung!$F$6:$F$3665,$K3214))</f>
        <v/>
      </c>
      <c r="G3214" s="187">
        <f>IF($K3214="","",INDEX(Zeiterfassung!$G$6:$G$3665,$K3214))</f>
        <v/>
      </c>
      <c r="H3214" s="188">
        <f>IF($K3214="","",INDEX(Zeiterfassung!$H$6:$H$3665,$K3214))</f>
        <v/>
      </c>
      <c r="I3214" s="335">
        <f>IF(B3214=B3213,"",IF($K3214="","",INDEX(Zeiterfassung!$I$6:$I$3665,MATCH(INDEX(Zeiterfassung!$K$6:$K$3665,$K3214),Zeiterfassung!$K$6:$K$3665,0))))</f>
        <v/>
      </c>
      <c r="J3214" s="335">
        <f>IF(B3214=B3213,"",IF($K3214="","",INDEX(Zeiterfassung!$J$6:$J$3665,MATCH(INDEX(Zeiterfassung!$K$6:$K$3665,$K3214),Zeiterfassung!$K$6:$K$3665,0))))</f>
        <v/>
      </c>
      <c r="K3214">
        <f>IFERROR(AGGREGATE(15,6,(ROW(Zeiterfassung!$D$6:$D$3665)-ROW(Zeiterfassung!$D$6)+1)/(Zeiterfassung!$D$6:$D$3665&lt;&gt;""),3209),"")</f>
        <v/>
      </c>
    </row>
    <row r="3215" ht="20" customHeight="1">
      <c r="A3215" s="183">
        <f>IF($K3215="","",WEEKNUM(INDEX(Zeiterfassung!$K$6:$K$3665,$K3215),21))</f>
        <v/>
      </c>
      <c r="B3215" s="184">
        <f>IF($K3215="","",INDEX(Zeiterfassung!$K$6:$K$3665,$K3215))</f>
        <v/>
      </c>
      <c r="C3215" s="185">
        <f>IF($K3215="","",INDEX(Zeiterfassung!$K$6:$K$3665,$K3215))</f>
        <v/>
      </c>
      <c r="D3215" s="186">
        <f>IF($K3215="","",INDEX(Zeiterfassung!$D$6:$D$3665,$K3215))</f>
        <v/>
      </c>
      <c r="E3215" s="186">
        <f>IF($K3215="","",INDEX(Zeiterfassung!$E$6:$E$3665,$K3215))</f>
        <v/>
      </c>
      <c r="F3215" s="187">
        <f>IF($K3215="","",INDEX(Zeiterfassung!$F$6:$F$3665,$K3215))</f>
        <v/>
      </c>
      <c r="G3215" s="187">
        <f>IF($K3215="","",INDEX(Zeiterfassung!$G$6:$G$3665,$K3215))</f>
        <v/>
      </c>
      <c r="H3215" s="188">
        <f>IF($K3215="","",INDEX(Zeiterfassung!$H$6:$H$3665,$K3215))</f>
        <v/>
      </c>
      <c r="I3215" s="335">
        <f>IF(B3215=B3214,"",IF($K3215="","",INDEX(Zeiterfassung!$I$6:$I$3665,MATCH(INDEX(Zeiterfassung!$K$6:$K$3665,$K3215),Zeiterfassung!$K$6:$K$3665,0))))</f>
        <v/>
      </c>
      <c r="J3215" s="335">
        <f>IF(B3215=B3214,"",IF($K3215="","",INDEX(Zeiterfassung!$J$6:$J$3665,MATCH(INDEX(Zeiterfassung!$K$6:$K$3665,$K3215),Zeiterfassung!$K$6:$K$3665,0))))</f>
        <v/>
      </c>
      <c r="K3215">
        <f>IFERROR(AGGREGATE(15,6,(ROW(Zeiterfassung!$D$6:$D$3665)-ROW(Zeiterfassung!$D$6)+1)/(Zeiterfassung!$D$6:$D$3665&lt;&gt;""),3210),"")</f>
        <v/>
      </c>
    </row>
    <row r="3216" ht="20" customHeight="1">
      <c r="A3216" s="183">
        <f>IF($K3216="","",WEEKNUM(INDEX(Zeiterfassung!$K$6:$K$3665,$K3216),21))</f>
        <v/>
      </c>
      <c r="B3216" s="184">
        <f>IF($K3216="","",INDEX(Zeiterfassung!$K$6:$K$3665,$K3216))</f>
        <v/>
      </c>
      <c r="C3216" s="185">
        <f>IF($K3216="","",INDEX(Zeiterfassung!$K$6:$K$3665,$K3216))</f>
        <v/>
      </c>
      <c r="D3216" s="186">
        <f>IF($K3216="","",INDEX(Zeiterfassung!$D$6:$D$3665,$K3216))</f>
        <v/>
      </c>
      <c r="E3216" s="186">
        <f>IF($K3216="","",INDEX(Zeiterfassung!$E$6:$E$3665,$K3216))</f>
        <v/>
      </c>
      <c r="F3216" s="187">
        <f>IF($K3216="","",INDEX(Zeiterfassung!$F$6:$F$3665,$K3216))</f>
        <v/>
      </c>
      <c r="G3216" s="187">
        <f>IF($K3216="","",INDEX(Zeiterfassung!$G$6:$G$3665,$K3216))</f>
        <v/>
      </c>
      <c r="H3216" s="188">
        <f>IF($K3216="","",INDEX(Zeiterfassung!$H$6:$H$3665,$K3216))</f>
        <v/>
      </c>
      <c r="I3216" s="335">
        <f>IF(B3216=B3215,"",IF($K3216="","",INDEX(Zeiterfassung!$I$6:$I$3665,MATCH(INDEX(Zeiterfassung!$K$6:$K$3665,$K3216),Zeiterfassung!$K$6:$K$3665,0))))</f>
        <v/>
      </c>
      <c r="J3216" s="335">
        <f>IF(B3216=B3215,"",IF($K3216="","",INDEX(Zeiterfassung!$J$6:$J$3665,MATCH(INDEX(Zeiterfassung!$K$6:$K$3665,$K3216),Zeiterfassung!$K$6:$K$3665,0))))</f>
        <v/>
      </c>
      <c r="K3216">
        <f>IFERROR(AGGREGATE(15,6,(ROW(Zeiterfassung!$D$6:$D$3665)-ROW(Zeiterfassung!$D$6)+1)/(Zeiterfassung!$D$6:$D$3665&lt;&gt;""),3211),"")</f>
        <v/>
      </c>
    </row>
    <row r="3217" ht="20" customHeight="1">
      <c r="A3217" s="183">
        <f>IF($K3217="","",WEEKNUM(INDEX(Zeiterfassung!$K$6:$K$3665,$K3217),21))</f>
        <v/>
      </c>
      <c r="B3217" s="184">
        <f>IF($K3217="","",INDEX(Zeiterfassung!$K$6:$K$3665,$K3217))</f>
        <v/>
      </c>
      <c r="C3217" s="185">
        <f>IF($K3217="","",INDEX(Zeiterfassung!$K$6:$K$3665,$K3217))</f>
        <v/>
      </c>
      <c r="D3217" s="186">
        <f>IF($K3217="","",INDEX(Zeiterfassung!$D$6:$D$3665,$K3217))</f>
        <v/>
      </c>
      <c r="E3217" s="186">
        <f>IF($K3217="","",INDEX(Zeiterfassung!$E$6:$E$3665,$K3217))</f>
        <v/>
      </c>
      <c r="F3217" s="187">
        <f>IF($K3217="","",INDEX(Zeiterfassung!$F$6:$F$3665,$K3217))</f>
        <v/>
      </c>
      <c r="G3217" s="187">
        <f>IF($K3217="","",INDEX(Zeiterfassung!$G$6:$G$3665,$K3217))</f>
        <v/>
      </c>
      <c r="H3217" s="188">
        <f>IF($K3217="","",INDEX(Zeiterfassung!$H$6:$H$3665,$K3217))</f>
        <v/>
      </c>
      <c r="I3217" s="335">
        <f>IF(B3217=B3216,"",IF($K3217="","",INDEX(Zeiterfassung!$I$6:$I$3665,MATCH(INDEX(Zeiterfassung!$K$6:$K$3665,$K3217),Zeiterfassung!$K$6:$K$3665,0))))</f>
        <v/>
      </c>
      <c r="J3217" s="335">
        <f>IF(B3217=B3216,"",IF($K3217="","",INDEX(Zeiterfassung!$J$6:$J$3665,MATCH(INDEX(Zeiterfassung!$K$6:$K$3665,$K3217),Zeiterfassung!$K$6:$K$3665,0))))</f>
        <v/>
      </c>
      <c r="K3217">
        <f>IFERROR(AGGREGATE(15,6,(ROW(Zeiterfassung!$D$6:$D$3665)-ROW(Zeiterfassung!$D$6)+1)/(Zeiterfassung!$D$6:$D$3665&lt;&gt;""),3212),"")</f>
        <v/>
      </c>
    </row>
    <row r="3218" ht="20" customHeight="1">
      <c r="A3218" s="183">
        <f>IF($K3218="","",WEEKNUM(INDEX(Zeiterfassung!$K$6:$K$3665,$K3218),21))</f>
        <v/>
      </c>
      <c r="B3218" s="184">
        <f>IF($K3218="","",INDEX(Zeiterfassung!$K$6:$K$3665,$K3218))</f>
        <v/>
      </c>
      <c r="C3218" s="185">
        <f>IF($K3218="","",INDEX(Zeiterfassung!$K$6:$K$3665,$K3218))</f>
        <v/>
      </c>
      <c r="D3218" s="186">
        <f>IF($K3218="","",INDEX(Zeiterfassung!$D$6:$D$3665,$K3218))</f>
        <v/>
      </c>
      <c r="E3218" s="186">
        <f>IF($K3218="","",INDEX(Zeiterfassung!$E$6:$E$3665,$K3218))</f>
        <v/>
      </c>
      <c r="F3218" s="187">
        <f>IF($K3218="","",INDEX(Zeiterfassung!$F$6:$F$3665,$K3218))</f>
        <v/>
      </c>
      <c r="G3218" s="187">
        <f>IF($K3218="","",INDEX(Zeiterfassung!$G$6:$G$3665,$K3218))</f>
        <v/>
      </c>
      <c r="H3218" s="188">
        <f>IF($K3218="","",INDEX(Zeiterfassung!$H$6:$H$3665,$K3218))</f>
        <v/>
      </c>
      <c r="I3218" s="335">
        <f>IF(B3218=B3217,"",IF($K3218="","",INDEX(Zeiterfassung!$I$6:$I$3665,MATCH(INDEX(Zeiterfassung!$K$6:$K$3665,$K3218),Zeiterfassung!$K$6:$K$3665,0))))</f>
        <v/>
      </c>
      <c r="J3218" s="335">
        <f>IF(B3218=B3217,"",IF($K3218="","",INDEX(Zeiterfassung!$J$6:$J$3665,MATCH(INDEX(Zeiterfassung!$K$6:$K$3665,$K3218),Zeiterfassung!$K$6:$K$3665,0))))</f>
        <v/>
      </c>
      <c r="K3218">
        <f>IFERROR(AGGREGATE(15,6,(ROW(Zeiterfassung!$D$6:$D$3665)-ROW(Zeiterfassung!$D$6)+1)/(Zeiterfassung!$D$6:$D$3665&lt;&gt;""),3213),"")</f>
        <v/>
      </c>
    </row>
    <row r="3219" ht="20" customHeight="1">
      <c r="A3219" s="183">
        <f>IF($K3219="","",WEEKNUM(INDEX(Zeiterfassung!$K$6:$K$3665,$K3219),21))</f>
        <v/>
      </c>
      <c r="B3219" s="184">
        <f>IF($K3219="","",INDEX(Zeiterfassung!$K$6:$K$3665,$K3219))</f>
        <v/>
      </c>
      <c r="C3219" s="185">
        <f>IF($K3219="","",INDEX(Zeiterfassung!$K$6:$K$3665,$K3219))</f>
        <v/>
      </c>
      <c r="D3219" s="186">
        <f>IF($K3219="","",INDEX(Zeiterfassung!$D$6:$D$3665,$K3219))</f>
        <v/>
      </c>
      <c r="E3219" s="186">
        <f>IF($K3219="","",INDEX(Zeiterfassung!$E$6:$E$3665,$K3219))</f>
        <v/>
      </c>
      <c r="F3219" s="187">
        <f>IF($K3219="","",INDEX(Zeiterfassung!$F$6:$F$3665,$K3219))</f>
        <v/>
      </c>
      <c r="G3219" s="187">
        <f>IF($K3219="","",INDEX(Zeiterfassung!$G$6:$G$3665,$K3219))</f>
        <v/>
      </c>
      <c r="H3219" s="188">
        <f>IF($K3219="","",INDEX(Zeiterfassung!$H$6:$H$3665,$K3219))</f>
        <v/>
      </c>
      <c r="I3219" s="335">
        <f>IF(B3219=B3218,"",IF($K3219="","",INDEX(Zeiterfassung!$I$6:$I$3665,MATCH(INDEX(Zeiterfassung!$K$6:$K$3665,$K3219),Zeiterfassung!$K$6:$K$3665,0))))</f>
        <v/>
      </c>
      <c r="J3219" s="335">
        <f>IF(B3219=B3218,"",IF($K3219="","",INDEX(Zeiterfassung!$J$6:$J$3665,MATCH(INDEX(Zeiterfassung!$K$6:$K$3665,$K3219),Zeiterfassung!$K$6:$K$3665,0))))</f>
        <v/>
      </c>
      <c r="K3219">
        <f>IFERROR(AGGREGATE(15,6,(ROW(Zeiterfassung!$D$6:$D$3665)-ROW(Zeiterfassung!$D$6)+1)/(Zeiterfassung!$D$6:$D$3665&lt;&gt;""),3214),"")</f>
        <v/>
      </c>
    </row>
    <row r="3220" ht="20" customHeight="1">
      <c r="A3220" s="183">
        <f>IF($K3220="","",WEEKNUM(INDEX(Zeiterfassung!$K$6:$K$3665,$K3220),21))</f>
        <v/>
      </c>
      <c r="B3220" s="184">
        <f>IF($K3220="","",INDEX(Zeiterfassung!$K$6:$K$3665,$K3220))</f>
        <v/>
      </c>
      <c r="C3220" s="185">
        <f>IF($K3220="","",INDEX(Zeiterfassung!$K$6:$K$3665,$K3220))</f>
        <v/>
      </c>
      <c r="D3220" s="186">
        <f>IF($K3220="","",INDEX(Zeiterfassung!$D$6:$D$3665,$K3220))</f>
        <v/>
      </c>
      <c r="E3220" s="186">
        <f>IF($K3220="","",INDEX(Zeiterfassung!$E$6:$E$3665,$K3220))</f>
        <v/>
      </c>
      <c r="F3220" s="187">
        <f>IF($K3220="","",INDEX(Zeiterfassung!$F$6:$F$3665,$K3220))</f>
        <v/>
      </c>
      <c r="G3220" s="187">
        <f>IF($K3220="","",INDEX(Zeiterfassung!$G$6:$G$3665,$K3220))</f>
        <v/>
      </c>
      <c r="H3220" s="188">
        <f>IF($K3220="","",INDEX(Zeiterfassung!$H$6:$H$3665,$K3220))</f>
        <v/>
      </c>
      <c r="I3220" s="335">
        <f>IF(B3220=B3219,"",IF($K3220="","",INDEX(Zeiterfassung!$I$6:$I$3665,MATCH(INDEX(Zeiterfassung!$K$6:$K$3665,$K3220),Zeiterfassung!$K$6:$K$3665,0))))</f>
        <v/>
      </c>
      <c r="J3220" s="335">
        <f>IF(B3220=B3219,"",IF($K3220="","",INDEX(Zeiterfassung!$J$6:$J$3665,MATCH(INDEX(Zeiterfassung!$K$6:$K$3665,$K3220),Zeiterfassung!$K$6:$K$3665,0))))</f>
        <v/>
      </c>
      <c r="K3220">
        <f>IFERROR(AGGREGATE(15,6,(ROW(Zeiterfassung!$D$6:$D$3665)-ROW(Zeiterfassung!$D$6)+1)/(Zeiterfassung!$D$6:$D$3665&lt;&gt;""),3215),"")</f>
        <v/>
      </c>
    </row>
    <row r="3221" ht="20" customHeight="1">
      <c r="A3221" s="183">
        <f>IF($K3221="","",WEEKNUM(INDEX(Zeiterfassung!$K$6:$K$3665,$K3221),21))</f>
        <v/>
      </c>
      <c r="B3221" s="184">
        <f>IF($K3221="","",INDEX(Zeiterfassung!$K$6:$K$3665,$K3221))</f>
        <v/>
      </c>
      <c r="C3221" s="185">
        <f>IF($K3221="","",INDEX(Zeiterfassung!$K$6:$K$3665,$K3221))</f>
        <v/>
      </c>
      <c r="D3221" s="186">
        <f>IF($K3221="","",INDEX(Zeiterfassung!$D$6:$D$3665,$K3221))</f>
        <v/>
      </c>
      <c r="E3221" s="186">
        <f>IF($K3221="","",INDEX(Zeiterfassung!$E$6:$E$3665,$K3221))</f>
        <v/>
      </c>
      <c r="F3221" s="187">
        <f>IF($K3221="","",INDEX(Zeiterfassung!$F$6:$F$3665,$K3221))</f>
        <v/>
      </c>
      <c r="G3221" s="187">
        <f>IF($K3221="","",INDEX(Zeiterfassung!$G$6:$G$3665,$K3221))</f>
        <v/>
      </c>
      <c r="H3221" s="188">
        <f>IF($K3221="","",INDEX(Zeiterfassung!$H$6:$H$3665,$K3221))</f>
        <v/>
      </c>
      <c r="I3221" s="335">
        <f>IF(B3221=B3220,"",IF($K3221="","",INDEX(Zeiterfassung!$I$6:$I$3665,MATCH(INDEX(Zeiterfassung!$K$6:$K$3665,$K3221),Zeiterfassung!$K$6:$K$3665,0))))</f>
        <v/>
      </c>
      <c r="J3221" s="335">
        <f>IF(B3221=B3220,"",IF($K3221="","",INDEX(Zeiterfassung!$J$6:$J$3665,MATCH(INDEX(Zeiterfassung!$K$6:$K$3665,$K3221),Zeiterfassung!$K$6:$K$3665,0))))</f>
        <v/>
      </c>
      <c r="K3221">
        <f>IFERROR(AGGREGATE(15,6,(ROW(Zeiterfassung!$D$6:$D$3665)-ROW(Zeiterfassung!$D$6)+1)/(Zeiterfassung!$D$6:$D$3665&lt;&gt;""),3216),"")</f>
        <v/>
      </c>
    </row>
    <row r="3222" ht="20" customHeight="1">
      <c r="A3222" s="183">
        <f>IF($K3222="","",WEEKNUM(INDEX(Zeiterfassung!$K$6:$K$3665,$K3222),21))</f>
        <v/>
      </c>
      <c r="B3222" s="184">
        <f>IF($K3222="","",INDEX(Zeiterfassung!$K$6:$K$3665,$K3222))</f>
        <v/>
      </c>
      <c r="C3222" s="185">
        <f>IF($K3222="","",INDEX(Zeiterfassung!$K$6:$K$3665,$K3222))</f>
        <v/>
      </c>
      <c r="D3222" s="186">
        <f>IF($K3222="","",INDEX(Zeiterfassung!$D$6:$D$3665,$K3222))</f>
        <v/>
      </c>
      <c r="E3222" s="186">
        <f>IF($K3222="","",INDEX(Zeiterfassung!$E$6:$E$3665,$K3222))</f>
        <v/>
      </c>
      <c r="F3222" s="187">
        <f>IF($K3222="","",INDEX(Zeiterfassung!$F$6:$F$3665,$K3222))</f>
        <v/>
      </c>
      <c r="G3222" s="187">
        <f>IF($K3222="","",INDEX(Zeiterfassung!$G$6:$G$3665,$K3222))</f>
        <v/>
      </c>
      <c r="H3222" s="188">
        <f>IF($K3222="","",INDEX(Zeiterfassung!$H$6:$H$3665,$K3222))</f>
        <v/>
      </c>
      <c r="I3222" s="335">
        <f>IF(B3222=B3221,"",IF($K3222="","",INDEX(Zeiterfassung!$I$6:$I$3665,MATCH(INDEX(Zeiterfassung!$K$6:$K$3665,$K3222),Zeiterfassung!$K$6:$K$3665,0))))</f>
        <v/>
      </c>
      <c r="J3222" s="335">
        <f>IF(B3222=B3221,"",IF($K3222="","",INDEX(Zeiterfassung!$J$6:$J$3665,MATCH(INDEX(Zeiterfassung!$K$6:$K$3665,$K3222),Zeiterfassung!$K$6:$K$3665,0))))</f>
        <v/>
      </c>
      <c r="K3222">
        <f>IFERROR(AGGREGATE(15,6,(ROW(Zeiterfassung!$D$6:$D$3665)-ROW(Zeiterfassung!$D$6)+1)/(Zeiterfassung!$D$6:$D$3665&lt;&gt;""),3217),"")</f>
        <v/>
      </c>
    </row>
    <row r="3223" ht="20" customHeight="1">
      <c r="A3223" s="183">
        <f>IF($K3223="","",WEEKNUM(INDEX(Zeiterfassung!$K$6:$K$3665,$K3223),21))</f>
        <v/>
      </c>
      <c r="B3223" s="184">
        <f>IF($K3223="","",INDEX(Zeiterfassung!$K$6:$K$3665,$K3223))</f>
        <v/>
      </c>
      <c r="C3223" s="185">
        <f>IF($K3223="","",INDEX(Zeiterfassung!$K$6:$K$3665,$K3223))</f>
        <v/>
      </c>
      <c r="D3223" s="186">
        <f>IF($K3223="","",INDEX(Zeiterfassung!$D$6:$D$3665,$K3223))</f>
        <v/>
      </c>
      <c r="E3223" s="186">
        <f>IF($K3223="","",INDEX(Zeiterfassung!$E$6:$E$3665,$K3223))</f>
        <v/>
      </c>
      <c r="F3223" s="187">
        <f>IF($K3223="","",INDEX(Zeiterfassung!$F$6:$F$3665,$K3223))</f>
        <v/>
      </c>
      <c r="G3223" s="187">
        <f>IF($K3223="","",INDEX(Zeiterfassung!$G$6:$G$3665,$K3223))</f>
        <v/>
      </c>
      <c r="H3223" s="188">
        <f>IF($K3223="","",INDEX(Zeiterfassung!$H$6:$H$3665,$K3223))</f>
        <v/>
      </c>
      <c r="I3223" s="335">
        <f>IF(B3223=B3222,"",IF($K3223="","",INDEX(Zeiterfassung!$I$6:$I$3665,MATCH(INDEX(Zeiterfassung!$K$6:$K$3665,$K3223),Zeiterfassung!$K$6:$K$3665,0))))</f>
        <v/>
      </c>
      <c r="J3223" s="335">
        <f>IF(B3223=B3222,"",IF($K3223="","",INDEX(Zeiterfassung!$J$6:$J$3665,MATCH(INDEX(Zeiterfassung!$K$6:$K$3665,$K3223),Zeiterfassung!$K$6:$K$3665,0))))</f>
        <v/>
      </c>
      <c r="K3223">
        <f>IFERROR(AGGREGATE(15,6,(ROW(Zeiterfassung!$D$6:$D$3665)-ROW(Zeiterfassung!$D$6)+1)/(Zeiterfassung!$D$6:$D$3665&lt;&gt;""),3218),"")</f>
        <v/>
      </c>
    </row>
    <row r="3224" ht="20" customHeight="1">
      <c r="A3224" s="183">
        <f>IF($K3224="","",WEEKNUM(INDEX(Zeiterfassung!$K$6:$K$3665,$K3224),21))</f>
        <v/>
      </c>
      <c r="B3224" s="184">
        <f>IF($K3224="","",INDEX(Zeiterfassung!$K$6:$K$3665,$K3224))</f>
        <v/>
      </c>
      <c r="C3224" s="185">
        <f>IF($K3224="","",INDEX(Zeiterfassung!$K$6:$K$3665,$K3224))</f>
        <v/>
      </c>
      <c r="D3224" s="186">
        <f>IF($K3224="","",INDEX(Zeiterfassung!$D$6:$D$3665,$K3224))</f>
        <v/>
      </c>
      <c r="E3224" s="186">
        <f>IF($K3224="","",INDEX(Zeiterfassung!$E$6:$E$3665,$K3224))</f>
        <v/>
      </c>
      <c r="F3224" s="187">
        <f>IF($K3224="","",INDEX(Zeiterfassung!$F$6:$F$3665,$K3224))</f>
        <v/>
      </c>
      <c r="G3224" s="187">
        <f>IF($K3224="","",INDEX(Zeiterfassung!$G$6:$G$3665,$K3224))</f>
        <v/>
      </c>
      <c r="H3224" s="188">
        <f>IF($K3224="","",INDEX(Zeiterfassung!$H$6:$H$3665,$K3224))</f>
        <v/>
      </c>
      <c r="I3224" s="335">
        <f>IF(B3224=B3223,"",IF($K3224="","",INDEX(Zeiterfassung!$I$6:$I$3665,MATCH(INDEX(Zeiterfassung!$K$6:$K$3665,$K3224),Zeiterfassung!$K$6:$K$3665,0))))</f>
        <v/>
      </c>
      <c r="J3224" s="335">
        <f>IF(B3224=B3223,"",IF($K3224="","",INDEX(Zeiterfassung!$J$6:$J$3665,MATCH(INDEX(Zeiterfassung!$K$6:$K$3665,$K3224),Zeiterfassung!$K$6:$K$3665,0))))</f>
        <v/>
      </c>
      <c r="K3224">
        <f>IFERROR(AGGREGATE(15,6,(ROW(Zeiterfassung!$D$6:$D$3665)-ROW(Zeiterfassung!$D$6)+1)/(Zeiterfassung!$D$6:$D$3665&lt;&gt;""),3219),"")</f>
        <v/>
      </c>
    </row>
    <row r="3225" ht="20" customHeight="1">
      <c r="A3225" s="183">
        <f>IF($K3225="","",WEEKNUM(INDEX(Zeiterfassung!$K$6:$K$3665,$K3225),21))</f>
        <v/>
      </c>
      <c r="B3225" s="184">
        <f>IF($K3225="","",INDEX(Zeiterfassung!$K$6:$K$3665,$K3225))</f>
        <v/>
      </c>
      <c r="C3225" s="185">
        <f>IF($K3225="","",INDEX(Zeiterfassung!$K$6:$K$3665,$K3225))</f>
        <v/>
      </c>
      <c r="D3225" s="186">
        <f>IF($K3225="","",INDEX(Zeiterfassung!$D$6:$D$3665,$K3225))</f>
        <v/>
      </c>
      <c r="E3225" s="186">
        <f>IF($K3225="","",INDEX(Zeiterfassung!$E$6:$E$3665,$K3225))</f>
        <v/>
      </c>
      <c r="F3225" s="187">
        <f>IF($K3225="","",INDEX(Zeiterfassung!$F$6:$F$3665,$K3225))</f>
        <v/>
      </c>
      <c r="G3225" s="187">
        <f>IF($K3225="","",INDEX(Zeiterfassung!$G$6:$G$3665,$K3225))</f>
        <v/>
      </c>
      <c r="H3225" s="188">
        <f>IF($K3225="","",INDEX(Zeiterfassung!$H$6:$H$3665,$K3225))</f>
        <v/>
      </c>
      <c r="I3225" s="335">
        <f>IF(B3225=B3224,"",IF($K3225="","",INDEX(Zeiterfassung!$I$6:$I$3665,MATCH(INDEX(Zeiterfassung!$K$6:$K$3665,$K3225),Zeiterfassung!$K$6:$K$3665,0))))</f>
        <v/>
      </c>
      <c r="J3225" s="335">
        <f>IF(B3225=B3224,"",IF($K3225="","",INDEX(Zeiterfassung!$J$6:$J$3665,MATCH(INDEX(Zeiterfassung!$K$6:$K$3665,$K3225),Zeiterfassung!$K$6:$K$3665,0))))</f>
        <v/>
      </c>
      <c r="K3225">
        <f>IFERROR(AGGREGATE(15,6,(ROW(Zeiterfassung!$D$6:$D$3665)-ROW(Zeiterfassung!$D$6)+1)/(Zeiterfassung!$D$6:$D$3665&lt;&gt;""),3220),"")</f>
        <v/>
      </c>
    </row>
    <row r="3226" ht="20" customHeight="1">
      <c r="A3226" s="183">
        <f>IF($K3226="","",WEEKNUM(INDEX(Zeiterfassung!$K$6:$K$3665,$K3226),21))</f>
        <v/>
      </c>
      <c r="B3226" s="184">
        <f>IF($K3226="","",INDEX(Zeiterfassung!$K$6:$K$3665,$K3226))</f>
        <v/>
      </c>
      <c r="C3226" s="185">
        <f>IF($K3226="","",INDEX(Zeiterfassung!$K$6:$K$3665,$K3226))</f>
        <v/>
      </c>
      <c r="D3226" s="186">
        <f>IF($K3226="","",INDEX(Zeiterfassung!$D$6:$D$3665,$K3226))</f>
        <v/>
      </c>
      <c r="E3226" s="186">
        <f>IF($K3226="","",INDEX(Zeiterfassung!$E$6:$E$3665,$K3226))</f>
        <v/>
      </c>
      <c r="F3226" s="187">
        <f>IF($K3226="","",INDEX(Zeiterfassung!$F$6:$F$3665,$K3226))</f>
        <v/>
      </c>
      <c r="G3226" s="187">
        <f>IF($K3226="","",INDEX(Zeiterfassung!$G$6:$G$3665,$K3226))</f>
        <v/>
      </c>
      <c r="H3226" s="188">
        <f>IF($K3226="","",INDEX(Zeiterfassung!$H$6:$H$3665,$K3226))</f>
        <v/>
      </c>
      <c r="I3226" s="335">
        <f>IF(B3226=B3225,"",IF($K3226="","",INDEX(Zeiterfassung!$I$6:$I$3665,MATCH(INDEX(Zeiterfassung!$K$6:$K$3665,$K3226),Zeiterfassung!$K$6:$K$3665,0))))</f>
        <v/>
      </c>
      <c r="J3226" s="335">
        <f>IF(B3226=B3225,"",IF($K3226="","",INDEX(Zeiterfassung!$J$6:$J$3665,MATCH(INDEX(Zeiterfassung!$K$6:$K$3665,$K3226),Zeiterfassung!$K$6:$K$3665,0))))</f>
        <v/>
      </c>
      <c r="K3226">
        <f>IFERROR(AGGREGATE(15,6,(ROW(Zeiterfassung!$D$6:$D$3665)-ROW(Zeiterfassung!$D$6)+1)/(Zeiterfassung!$D$6:$D$3665&lt;&gt;""),3221),"")</f>
        <v/>
      </c>
    </row>
    <row r="3227" ht="20" customHeight="1">
      <c r="A3227" s="183">
        <f>IF($K3227="","",WEEKNUM(INDEX(Zeiterfassung!$K$6:$K$3665,$K3227),21))</f>
        <v/>
      </c>
      <c r="B3227" s="184">
        <f>IF($K3227="","",INDEX(Zeiterfassung!$K$6:$K$3665,$K3227))</f>
        <v/>
      </c>
      <c r="C3227" s="185">
        <f>IF($K3227="","",INDEX(Zeiterfassung!$K$6:$K$3665,$K3227))</f>
        <v/>
      </c>
      <c r="D3227" s="186">
        <f>IF($K3227="","",INDEX(Zeiterfassung!$D$6:$D$3665,$K3227))</f>
        <v/>
      </c>
      <c r="E3227" s="186">
        <f>IF($K3227="","",INDEX(Zeiterfassung!$E$6:$E$3665,$K3227))</f>
        <v/>
      </c>
      <c r="F3227" s="187">
        <f>IF($K3227="","",INDEX(Zeiterfassung!$F$6:$F$3665,$K3227))</f>
        <v/>
      </c>
      <c r="G3227" s="187">
        <f>IF($K3227="","",INDEX(Zeiterfassung!$G$6:$G$3665,$K3227))</f>
        <v/>
      </c>
      <c r="H3227" s="188">
        <f>IF($K3227="","",INDEX(Zeiterfassung!$H$6:$H$3665,$K3227))</f>
        <v/>
      </c>
      <c r="I3227" s="335">
        <f>IF(B3227=B3226,"",IF($K3227="","",INDEX(Zeiterfassung!$I$6:$I$3665,MATCH(INDEX(Zeiterfassung!$K$6:$K$3665,$K3227),Zeiterfassung!$K$6:$K$3665,0))))</f>
        <v/>
      </c>
      <c r="J3227" s="335">
        <f>IF(B3227=B3226,"",IF($K3227="","",INDEX(Zeiterfassung!$J$6:$J$3665,MATCH(INDEX(Zeiterfassung!$K$6:$K$3665,$K3227),Zeiterfassung!$K$6:$K$3665,0))))</f>
        <v/>
      </c>
      <c r="K3227">
        <f>IFERROR(AGGREGATE(15,6,(ROW(Zeiterfassung!$D$6:$D$3665)-ROW(Zeiterfassung!$D$6)+1)/(Zeiterfassung!$D$6:$D$3665&lt;&gt;""),3222),"")</f>
        <v/>
      </c>
    </row>
    <row r="3228" ht="20" customHeight="1">
      <c r="A3228" s="183">
        <f>IF($K3228="","",WEEKNUM(INDEX(Zeiterfassung!$K$6:$K$3665,$K3228),21))</f>
        <v/>
      </c>
      <c r="B3228" s="184">
        <f>IF($K3228="","",INDEX(Zeiterfassung!$K$6:$K$3665,$K3228))</f>
        <v/>
      </c>
      <c r="C3228" s="185">
        <f>IF($K3228="","",INDEX(Zeiterfassung!$K$6:$K$3665,$K3228))</f>
        <v/>
      </c>
      <c r="D3228" s="186">
        <f>IF($K3228="","",INDEX(Zeiterfassung!$D$6:$D$3665,$K3228))</f>
        <v/>
      </c>
      <c r="E3228" s="186">
        <f>IF($K3228="","",INDEX(Zeiterfassung!$E$6:$E$3665,$K3228))</f>
        <v/>
      </c>
      <c r="F3228" s="187">
        <f>IF($K3228="","",INDEX(Zeiterfassung!$F$6:$F$3665,$K3228))</f>
        <v/>
      </c>
      <c r="G3228" s="187">
        <f>IF($K3228="","",INDEX(Zeiterfassung!$G$6:$G$3665,$K3228))</f>
        <v/>
      </c>
      <c r="H3228" s="188">
        <f>IF($K3228="","",INDEX(Zeiterfassung!$H$6:$H$3665,$K3228))</f>
        <v/>
      </c>
      <c r="I3228" s="335">
        <f>IF(B3228=B3227,"",IF($K3228="","",INDEX(Zeiterfassung!$I$6:$I$3665,MATCH(INDEX(Zeiterfassung!$K$6:$K$3665,$K3228),Zeiterfassung!$K$6:$K$3665,0))))</f>
        <v/>
      </c>
      <c r="J3228" s="335">
        <f>IF(B3228=B3227,"",IF($K3228="","",INDEX(Zeiterfassung!$J$6:$J$3665,MATCH(INDEX(Zeiterfassung!$K$6:$K$3665,$K3228),Zeiterfassung!$K$6:$K$3665,0))))</f>
        <v/>
      </c>
      <c r="K3228">
        <f>IFERROR(AGGREGATE(15,6,(ROW(Zeiterfassung!$D$6:$D$3665)-ROW(Zeiterfassung!$D$6)+1)/(Zeiterfassung!$D$6:$D$3665&lt;&gt;""),3223),"")</f>
        <v/>
      </c>
    </row>
    <row r="3229" ht="20" customHeight="1">
      <c r="A3229" s="183">
        <f>IF($K3229="","",WEEKNUM(INDEX(Zeiterfassung!$K$6:$K$3665,$K3229),21))</f>
        <v/>
      </c>
      <c r="B3229" s="184">
        <f>IF($K3229="","",INDEX(Zeiterfassung!$K$6:$K$3665,$K3229))</f>
        <v/>
      </c>
      <c r="C3229" s="185">
        <f>IF($K3229="","",INDEX(Zeiterfassung!$K$6:$K$3665,$K3229))</f>
        <v/>
      </c>
      <c r="D3229" s="186">
        <f>IF($K3229="","",INDEX(Zeiterfassung!$D$6:$D$3665,$K3229))</f>
        <v/>
      </c>
      <c r="E3229" s="186">
        <f>IF($K3229="","",INDEX(Zeiterfassung!$E$6:$E$3665,$K3229))</f>
        <v/>
      </c>
      <c r="F3229" s="187">
        <f>IF($K3229="","",INDEX(Zeiterfassung!$F$6:$F$3665,$K3229))</f>
        <v/>
      </c>
      <c r="G3229" s="187">
        <f>IF($K3229="","",INDEX(Zeiterfassung!$G$6:$G$3665,$K3229))</f>
        <v/>
      </c>
      <c r="H3229" s="188">
        <f>IF($K3229="","",INDEX(Zeiterfassung!$H$6:$H$3665,$K3229))</f>
        <v/>
      </c>
      <c r="I3229" s="335">
        <f>IF(B3229=B3228,"",IF($K3229="","",INDEX(Zeiterfassung!$I$6:$I$3665,MATCH(INDEX(Zeiterfassung!$K$6:$K$3665,$K3229),Zeiterfassung!$K$6:$K$3665,0))))</f>
        <v/>
      </c>
      <c r="J3229" s="335">
        <f>IF(B3229=B3228,"",IF($K3229="","",INDEX(Zeiterfassung!$J$6:$J$3665,MATCH(INDEX(Zeiterfassung!$K$6:$K$3665,$K3229),Zeiterfassung!$K$6:$K$3665,0))))</f>
        <v/>
      </c>
      <c r="K3229">
        <f>IFERROR(AGGREGATE(15,6,(ROW(Zeiterfassung!$D$6:$D$3665)-ROW(Zeiterfassung!$D$6)+1)/(Zeiterfassung!$D$6:$D$3665&lt;&gt;""),3224),"")</f>
        <v/>
      </c>
    </row>
    <row r="3230" ht="20" customHeight="1">
      <c r="A3230" s="183">
        <f>IF($K3230="","",WEEKNUM(INDEX(Zeiterfassung!$K$6:$K$3665,$K3230),21))</f>
        <v/>
      </c>
      <c r="B3230" s="184">
        <f>IF($K3230="","",INDEX(Zeiterfassung!$K$6:$K$3665,$K3230))</f>
        <v/>
      </c>
      <c r="C3230" s="185">
        <f>IF($K3230="","",INDEX(Zeiterfassung!$K$6:$K$3665,$K3230))</f>
        <v/>
      </c>
      <c r="D3230" s="186">
        <f>IF($K3230="","",INDEX(Zeiterfassung!$D$6:$D$3665,$K3230))</f>
        <v/>
      </c>
      <c r="E3230" s="186">
        <f>IF($K3230="","",INDEX(Zeiterfassung!$E$6:$E$3665,$K3230))</f>
        <v/>
      </c>
      <c r="F3230" s="187">
        <f>IF($K3230="","",INDEX(Zeiterfassung!$F$6:$F$3665,$K3230))</f>
        <v/>
      </c>
      <c r="G3230" s="187">
        <f>IF($K3230="","",INDEX(Zeiterfassung!$G$6:$G$3665,$K3230))</f>
        <v/>
      </c>
      <c r="H3230" s="188">
        <f>IF($K3230="","",INDEX(Zeiterfassung!$H$6:$H$3665,$K3230))</f>
        <v/>
      </c>
      <c r="I3230" s="335">
        <f>IF(B3230=B3229,"",IF($K3230="","",INDEX(Zeiterfassung!$I$6:$I$3665,MATCH(INDEX(Zeiterfassung!$K$6:$K$3665,$K3230),Zeiterfassung!$K$6:$K$3665,0))))</f>
        <v/>
      </c>
      <c r="J3230" s="335">
        <f>IF(B3230=B3229,"",IF($K3230="","",INDEX(Zeiterfassung!$J$6:$J$3665,MATCH(INDEX(Zeiterfassung!$K$6:$K$3665,$K3230),Zeiterfassung!$K$6:$K$3665,0))))</f>
        <v/>
      </c>
      <c r="K3230">
        <f>IFERROR(AGGREGATE(15,6,(ROW(Zeiterfassung!$D$6:$D$3665)-ROW(Zeiterfassung!$D$6)+1)/(Zeiterfassung!$D$6:$D$3665&lt;&gt;""),3225),"")</f>
        <v/>
      </c>
    </row>
    <row r="3231" ht="20" customHeight="1">
      <c r="A3231" s="183">
        <f>IF($K3231="","",WEEKNUM(INDEX(Zeiterfassung!$K$6:$K$3665,$K3231),21))</f>
        <v/>
      </c>
      <c r="B3231" s="184">
        <f>IF($K3231="","",INDEX(Zeiterfassung!$K$6:$K$3665,$K3231))</f>
        <v/>
      </c>
      <c r="C3231" s="185">
        <f>IF($K3231="","",INDEX(Zeiterfassung!$K$6:$K$3665,$K3231))</f>
        <v/>
      </c>
      <c r="D3231" s="186">
        <f>IF($K3231="","",INDEX(Zeiterfassung!$D$6:$D$3665,$K3231))</f>
        <v/>
      </c>
      <c r="E3231" s="186">
        <f>IF($K3231="","",INDEX(Zeiterfassung!$E$6:$E$3665,$K3231))</f>
        <v/>
      </c>
      <c r="F3231" s="187">
        <f>IF($K3231="","",INDEX(Zeiterfassung!$F$6:$F$3665,$K3231))</f>
        <v/>
      </c>
      <c r="G3231" s="187">
        <f>IF($K3231="","",INDEX(Zeiterfassung!$G$6:$G$3665,$K3231))</f>
        <v/>
      </c>
      <c r="H3231" s="188">
        <f>IF($K3231="","",INDEX(Zeiterfassung!$H$6:$H$3665,$K3231))</f>
        <v/>
      </c>
      <c r="I3231" s="335">
        <f>IF(B3231=B3230,"",IF($K3231="","",INDEX(Zeiterfassung!$I$6:$I$3665,MATCH(INDEX(Zeiterfassung!$K$6:$K$3665,$K3231),Zeiterfassung!$K$6:$K$3665,0))))</f>
        <v/>
      </c>
      <c r="J3231" s="335">
        <f>IF(B3231=B3230,"",IF($K3231="","",INDEX(Zeiterfassung!$J$6:$J$3665,MATCH(INDEX(Zeiterfassung!$K$6:$K$3665,$K3231),Zeiterfassung!$K$6:$K$3665,0))))</f>
        <v/>
      </c>
      <c r="K3231">
        <f>IFERROR(AGGREGATE(15,6,(ROW(Zeiterfassung!$D$6:$D$3665)-ROW(Zeiterfassung!$D$6)+1)/(Zeiterfassung!$D$6:$D$3665&lt;&gt;""),3226),"")</f>
        <v/>
      </c>
    </row>
    <row r="3232" ht="20" customHeight="1">
      <c r="A3232" s="183">
        <f>IF($K3232="","",WEEKNUM(INDEX(Zeiterfassung!$K$6:$K$3665,$K3232),21))</f>
        <v/>
      </c>
      <c r="B3232" s="184">
        <f>IF($K3232="","",INDEX(Zeiterfassung!$K$6:$K$3665,$K3232))</f>
        <v/>
      </c>
      <c r="C3232" s="185">
        <f>IF($K3232="","",INDEX(Zeiterfassung!$K$6:$K$3665,$K3232))</f>
        <v/>
      </c>
      <c r="D3232" s="186">
        <f>IF($K3232="","",INDEX(Zeiterfassung!$D$6:$D$3665,$K3232))</f>
        <v/>
      </c>
      <c r="E3232" s="186">
        <f>IF($K3232="","",INDEX(Zeiterfassung!$E$6:$E$3665,$K3232))</f>
        <v/>
      </c>
      <c r="F3232" s="187">
        <f>IF($K3232="","",INDEX(Zeiterfassung!$F$6:$F$3665,$K3232))</f>
        <v/>
      </c>
      <c r="G3232" s="187">
        <f>IF($K3232="","",INDEX(Zeiterfassung!$G$6:$G$3665,$K3232))</f>
        <v/>
      </c>
      <c r="H3232" s="188">
        <f>IF($K3232="","",INDEX(Zeiterfassung!$H$6:$H$3665,$K3232))</f>
        <v/>
      </c>
      <c r="I3232" s="335">
        <f>IF(B3232=B3231,"",IF($K3232="","",INDEX(Zeiterfassung!$I$6:$I$3665,MATCH(INDEX(Zeiterfassung!$K$6:$K$3665,$K3232),Zeiterfassung!$K$6:$K$3665,0))))</f>
        <v/>
      </c>
      <c r="J3232" s="335">
        <f>IF(B3232=B3231,"",IF($K3232="","",INDEX(Zeiterfassung!$J$6:$J$3665,MATCH(INDEX(Zeiterfassung!$K$6:$K$3665,$K3232),Zeiterfassung!$K$6:$K$3665,0))))</f>
        <v/>
      </c>
      <c r="K3232">
        <f>IFERROR(AGGREGATE(15,6,(ROW(Zeiterfassung!$D$6:$D$3665)-ROW(Zeiterfassung!$D$6)+1)/(Zeiterfassung!$D$6:$D$3665&lt;&gt;""),3227),"")</f>
        <v/>
      </c>
    </row>
    <row r="3233" ht="20" customHeight="1">
      <c r="A3233" s="183">
        <f>IF($K3233="","",WEEKNUM(INDEX(Zeiterfassung!$K$6:$K$3665,$K3233),21))</f>
        <v/>
      </c>
      <c r="B3233" s="184">
        <f>IF($K3233="","",INDEX(Zeiterfassung!$K$6:$K$3665,$K3233))</f>
        <v/>
      </c>
      <c r="C3233" s="185">
        <f>IF($K3233="","",INDEX(Zeiterfassung!$K$6:$K$3665,$K3233))</f>
        <v/>
      </c>
      <c r="D3233" s="186">
        <f>IF($K3233="","",INDEX(Zeiterfassung!$D$6:$D$3665,$K3233))</f>
        <v/>
      </c>
      <c r="E3233" s="186">
        <f>IF($K3233="","",INDEX(Zeiterfassung!$E$6:$E$3665,$K3233))</f>
        <v/>
      </c>
      <c r="F3233" s="187">
        <f>IF($K3233="","",INDEX(Zeiterfassung!$F$6:$F$3665,$K3233))</f>
        <v/>
      </c>
      <c r="G3233" s="187">
        <f>IF($K3233="","",INDEX(Zeiterfassung!$G$6:$G$3665,$K3233))</f>
        <v/>
      </c>
      <c r="H3233" s="188">
        <f>IF($K3233="","",INDEX(Zeiterfassung!$H$6:$H$3665,$K3233))</f>
        <v/>
      </c>
      <c r="I3233" s="335">
        <f>IF(B3233=B3232,"",IF($K3233="","",INDEX(Zeiterfassung!$I$6:$I$3665,MATCH(INDEX(Zeiterfassung!$K$6:$K$3665,$K3233),Zeiterfassung!$K$6:$K$3665,0))))</f>
        <v/>
      </c>
      <c r="J3233" s="335">
        <f>IF(B3233=B3232,"",IF($K3233="","",INDEX(Zeiterfassung!$J$6:$J$3665,MATCH(INDEX(Zeiterfassung!$K$6:$K$3665,$K3233),Zeiterfassung!$K$6:$K$3665,0))))</f>
        <v/>
      </c>
      <c r="K3233">
        <f>IFERROR(AGGREGATE(15,6,(ROW(Zeiterfassung!$D$6:$D$3665)-ROW(Zeiterfassung!$D$6)+1)/(Zeiterfassung!$D$6:$D$3665&lt;&gt;""),3228),"")</f>
        <v/>
      </c>
    </row>
    <row r="3234" ht="20" customHeight="1">
      <c r="A3234" s="183">
        <f>IF($K3234="","",WEEKNUM(INDEX(Zeiterfassung!$K$6:$K$3665,$K3234),21))</f>
        <v/>
      </c>
      <c r="B3234" s="184">
        <f>IF($K3234="","",INDEX(Zeiterfassung!$K$6:$K$3665,$K3234))</f>
        <v/>
      </c>
      <c r="C3234" s="185">
        <f>IF($K3234="","",INDEX(Zeiterfassung!$K$6:$K$3665,$K3234))</f>
        <v/>
      </c>
      <c r="D3234" s="186">
        <f>IF($K3234="","",INDEX(Zeiterfassung!$D$6:$D$3665,$K3234))</f>
        <v/>
      </c>
      <c r="E3234" s="186">
        <f>IF($K3234="","",INDEX(Zeiterfassung!$E$6:$E$3665,$K3234))</f>
        <v/>
      </c>
      <c r="F3234" s="187">
        <f>IF($K3234="","",INDEX(Zeiterfassung!$F$6:$F$3665,$K3234))</f>
        <v/>
      </c>
      <c r="G3234" s="187">
        <f>IF($K3234="","",INDEX(Zeiterfassung!$G$6:$G$3665,$K3234))</f>
        <v/>
      </c>
      <c r="H3234" s="188">
        <f>IF($K3234="","",INDEX(Zeiterfassung!$H$6:$H$3665,$K3234))</f>
        <v/>
      </c>
      <c r="I3234" s="335">
        <f>IF(B3234=B3233,"",IF($K3234="","",INDEX(Zeiterfassung!$I$6:$I$3665,MATCH(INDEX(Zeiterfassung!$K$6:$K$3665,$K3234),Zeiterfassung!$K$6:$K$3665,0))))</f>
        <v/>
      </c>
      <c r="J3234" s="335">
        <f>IF(B3234=B3233,"",IF($K3234="","",INDEX(Zeiterfassung!$J$6:$J$3665,MATCH(INDEX(Zeiterfassung!$K$6:$K$3665,$K3234),Zeiterfassung!$K$6:$K$3665,0))))</f>
        <v/>
      </c>
      <c r="K3234">
        <f>IFERROR(AGGREGATE(15,6,(ROW(Zeiterfassung!$D$6:$D$3665)-ROW(Zeiterfassung!$D$6)+1)/(Zeiterfassung!$D$6:$D$3665&lt;&gt;""),3229),"")</f>
        <v/>
      </c>
    </row>
    <row r="3235" ht="20" customHeight="1">
      <c r="A3235" s="183">
        <f>IF($K3235="","",WEEKNUM(INDEX(Zeiterfassung!$K$6:$K$3665,$K3235),21))</f>
        <v/>
      </c>
      <c r="B3235" s="184">
        <f>IF($K3235="","",INDEX(Zeiterfassung!$K$6:$K$3665,$K3235))</f>
        <v/>
      </c>
      <c r="C3235" s="185">
        <f>IF($K3235="","",INDEX(Zeiterfassung!$K$6:$K$3665,$K3235))</f>
        <v/>
      </c>
      <c r="D3235" s="186">
        <f>IF($K3235="","",INDEX(Zeiterfassung!$D$6:$D$3665,$K3235))</f>
        <v/>
      </c>
      <c r="E3235" s="186">
        <f>IF($K3235="","",INDEX(Zeiterfassung!$E$6:$E$3665,$K3235))</f>
        <v/>
      </c>
      <c r="F3235" s="187">
        <f>IF($K3235="","",INDEX(Zeiterfassung!$F$6:$F$3665,$K3235))</f>
        <v/>
      </c>
      <c r="G3235" s="187">
        <f>IF($K3235="","",INDEX(Zeiterfassung!$G$6:$G$3665,$K3235))</f>
        <v/>
      </c>
      <c r="H3235" s="188">
        <f>IF($K3235="","",INDEX(Zeiterfassung!$H$6:$H$3665,$K3235))</f>
        <v/>
      </c>
      <c r="I3235" s="335">
        <f>IF(B3235=B3234,"",IF($K3235="","",INDEX(Zeiterfassung!$I$6:$I$3665,MATCH(INDEX(Zeiterfassung!$K$6:$K$3665,$K3235),Zeiterfassung!$K$6:$K$3665,0))))</f>
        <v/>
      </c>
      <c r="J3235" s="335">
        <f>IF(B3235=B3234,"",IF($K3235="","",INDEX(Zeiterfassung!$J$6:$J$3665,MATCH(INDEX(Zeiterfassung!$K$6:$K$3665,$K3235),Zeiterfassung!$K$6:$K$3665,0))))</f>
        <v/>
      </c>
      <c r="K3235">
        <f>IFERROR(AGGREGATE(15,6,(ROW(Zeiterfassung!$D$6:$D$3665)-ROW(Zeiterfassung!$D$6)+1)/(Zeiterfassung!$D$6:$D$3665&lt;&gt;""),3230),"")</f>
        <v/>
      </c>
    </row>
    <row r="3236" ht="20" customHeight="1">
      <c r="A3236" s="183">
        <f>IF($K3236="","",WEEKNUM(INDEX(Zeiterfassung!$K$6:$K$3665,$K3236),21))</f>
        <v/>
      </c>
      <c r="B3236" s="184">
        <f>IF($K3236="","",INDEX(Zeiterfassung!$K$6:$K$3665,$K3236))</f>
        <v/>
      </c>
      <c r="C3236" s="185">
        <f>IF($K3236="","",INDEX(Zeiterfassung!$K$6:$K$3665,$K3236))</f>
        <v/>
      </c>
      <c r="D3236" s="186">
        <f>IF($K3236="","",INDEX(Zeiterfassung!$D$6:$D$3665,$K3236))</f>
        <v/>
      </c>
      <c r="E3236" s="186">
        <f>IF($K3236="","",INDEX(Zeiterfassung!$E$6:$E$3665,$K3236))</f>
        <v/>
      </c>
      <c r="F3236" s="187">
        <f>IF($K3236="","",INDEX(Zeiterfassung!$F$6:$F$3665,$K3236))</f>
        <v/>
      </c>
      <c r="G3236" s="187">
        <f>IF($K3236="","",INDEX(Zeiterfassung!$G$6:$G$3665,$K3236))</f>
        <v/>
      </c>
      <c r="H3236" s="188">
        <f>IF($K3236="","",INDEX(Zeiterfassung!$H$6:$H$3665,$K3236))</f>
        <v/>
      </c>
      <c r="I3236" s="335">
        <f>IF(B3236=B3235,"",IF($K3236="","",INDEX(Zeiterfassung!$I$6:$I$3665,MATCH(INDEX(Zeiterfassung!$K$6:$K$3665,$K3236),Zeiterfassung!$K$6:$K$3665,0))))</f>
        <v/>
      </c>
      <c r="J3236" s="335">
        <f>IF(B3236=B3235,"",IF($K3236="","",INDEX(Zeiterfassung!$J$6:$J$3665,MATCH(INDEX(Zeiterfassung!$K$6:$K$3665,$K3236),Zeiterfassung!$K$6:$K$3665,0))))</f>
        <v/>
      </c>
      <c r="K3236">
        <f>IFERROR(AGGREGATE(15,6,(ROW(Zeiterfassung!$D$6:$D$3665)-ROW(Zeiterfassung!$D$6)+1)/(Zeiterfassung!$D$6:$D$3665&lt;&gt;""),3231),"")</f>
        <v/>
      </c>
    </row>
    <row r="3237" ht="20" customHeight="1">
      <c r="A3237" s="183">
        <f>IF($K3237="","",WEEKNUM(INDEX(Zeiterfassung!$K$6:$K$3665,$K3237),21))</f>
        <v/>
      </c>
      <c r="B3237" s="184">
        <f>IF($K3237="","",INDEX(Zeiterfassung!$K$6:$K$3665,$K3237))</f>
        <v/>
      </c>
      <c r="C3237" s="185">
        <f>IF($K3237="","",INDEX(Zeiterfassung!$K$6:$K$3665,$K3237))</f>
        <v/>
      </c>
      <c r="D3237" s="186">
        <f>IF($K3237="","",INDEX(Zeiterfassung!$D$6:$D$3665,$K3237))</f>
        <v/>
      </c>
      <c r="E3237" s="186">
        <f>IF($K3237="","",INDEX(Zeiterfassung!$E$6:$E$3665,$K3237))</f>
        <v/>
      </c>
      <c r="F3237" s="187">
        <f>IF($K3237="","",INDEX(Zeiterfassung!$F$6:$F$3665,$K3237))</f>
        <v/>
      </c>
      <c r="G3237" s="187">
        <f>IF($K3237="","",INDEX(Zeiterfassung!$G$6:$G$3665,$K3237))</f>
        <v/>
      </c>
      <c r="H3237" s="188">
        <f>IF($K3237="","",INDEX(Zeiterfassung!$H$6:$H$3665,$K3237))</f>
        <v/>
      </c>
      <c r="I3237" s="335">
        <f>IF(B3237=B3236,"",IF($K3237="","",INDEX(Zeiterfassung!$I$6:$I$3665,MATCH(INDEX(Zeiterfassung!$K$6:$K$3665,$K3237),Zeiterfassung!$K$6:$K$3665,0))))</f>
        <v/>
      </c>
      <c r="J3237" s="335">
        <f>IF(B3237=B3236,"",IF($K3237="","",INDEX(Zeiterfassung!$J$6:$J$3665,MATCH(INDEX(Zeiterfassung!$K$6:$K$3665,$K3237),Zeiterfassung!$K$6:$K$3665,0))))</f>
        <v/>
      </c>
      <c r="K3237">
        <f>IFERROR(AGGREGATE(15,6,(ROW(Zeiterfassung!$D$6:$D$3665)-ROW(Zeiterfassung!$D$6)+1)/(Zeiterfassung!$D$6:$D$3665&lt;&gt;""),3232),"")</f>
        <v/>
      </c>
    </row>
    <row r="3238" ht="20" customHeight="1">
      <c r="A3238" s="183">
        <f>IF($K3238="","",WEEKNUM(INDEX(Zeiterfassung!$K$6:$K$3665,$K3238),21))</f>
        <v/>
      </c>
      <c r="B3238" s="184">
        <f>IF($K3238="","",INDEX(Zeiterfassung!$K$6:$K$3665,$K3238))</f>
        <v/>
      </c>
      <c r="C3238" s="185">
        <f>IF($K3238="","",INDEX(Zeiterfassung!$K$6:$K$3665,$K3238))</f>
        <v/>
      </c>
      <c r="D3238" s="186">
        <f>IF($K3238="","",INDEX(Zeiterfassung!$D$6:$D$3665,$K3238))</f>
        <v/>
      </c>
      <c r="E3238" s="186">
        <f>IF($K3238="","",INDEX(Zeiterfassung!$E$6:$E$3665,$K3238))</f>
        <v/>
      </c>
      <c r="F3238" s="187">
        <f>IF($K3238="","",INDEX(Zeiterfassung!$F$6:$F$3665,$K3238))</f>
        <v/>
      </c>
      <c r="G3238" s="187">
        <f>IF($K3238="","",INDEX(Zeiterfassung!$G$6:$G$3665,$K3238))</f>
        <v/>
      </c>
      <c r="H3238" s="188">
        <f>IF($K3238="","",INDEX(Zeiterfassung!$H$6:$H$3665,$K3238))</f>
        <v/>
      </c>
      <c r="I3238" s="335">
        <f>IF(B3238=B3237,"",IF($K3238="","",INDEX(Zeiterfassung!$I$6:$I$3665,MATCH(INDEX(Zeiterfassung!$K$6:$K$3665,$K3238),Zeiterfassung!$K$6:$K$3665,0))))</f>
        <v/>
      </c>
      <c r="J3238" s="335">
        <f>IF(B3238=B3237,"",IF($K3238="","",INDEX(Zeiterfassung!$J$6:$J$3665,MATCH(INDEX(Zeiterfassung!$K$6:$K$3665,$K3238),Zeiterfassung!$K$6:$K$3665,0))))</f>
        <v/>
      </c>
      <c r="K3238">
        <f>IFERROR(AGGREGATE(15,6,(ROW(Zeiterfassung!$D$6:$D$3665)-ROW(Zeiterfassung!$D$6)+1)/(Zeiterfassung!$D$6:$D$3665&lt;&gt;""),3233),"")</f>
        <v/>
      </c>
    </row>
    <row r="3239" ht="20" customHeight="1">
      <c r="A3239" s="183">
        <f>IF($K3239="","",WEEKNUM(INDEX(Zeiterfassung!$K$6:$K$3665,$K3239),21))</f>
        <v/>
      </c>
      <c r="B3239" s="184">
        <f>IF($K3239="","",INDEX(Zeiterfassung!$K$6:$K$3665,$K3239))</f>
        <v/>
      </c>
      <c r="C3239" s="185">
        <f>IF($K3239="","",INDEX(Zeiterfassung!$K$6:$K$3665,$K3239))</f>
        <v/>
      </c>
      <c r="D3239" s="186">
        <f>IF($K3239="","",INDEX(Zeiterfassung!$D$6:$D$3665,$K3239))</f>
        <v/>
      </c>
      <c r="E3239" s="186">
        <f>IF($K3239="","",INDEX(Zeiterfassung!$E$6:$E$3665,$K3239))</f>
        <v/>
      </c>
      <c r="F3239" s="187">
        <f>IF($K3239="","",INDEX(Zeiterfassung!$F$6:$F$3665,$K3239))</f>
        <v/>
      </c>
      <c r="G3239" s="187">
        <f>IF($K3239="","",INDEX(Zeiterfassung!$G$6:$G$3665,$K3239))</f>
        <v/>
      </c>
      <c r="H3239" s="188">
        <f>IF($K3239="","",INDEX(Zeiterfassung!$H$6:$H$3665,$K3239))</f>
        <v/>
      </c>
      <c r="I3239" s="335">
        <f>IF(B3239=B3238,"",IF($K3239="","",INDEX(Zeiterfassung!$I$6:$I$3665,MATCH(INDEX(Zeiterfassung!$K$6:$K$3665,$K3239),Zeiterfassung!$K$6:$K$3665,0))))</f>
        <v/>
      </c>
      <c r="J3239" s="335">
        <f>IF(B3239=B3238,"",IF($K3239="","",INDEX(Zeiterfassung!$J$6:$J$3665,MATCH(INDEX(Zeiterfassung!$K$6:$K$3665,$K3239),Zeiterfassung!$K$6:$K$3665,0))))</f>
        <v/>
      </c>
      <c r="K3239">
        <f>IFERROR(AGGREGATE(15,6,(ROW(Zeiterfassung!$D$6:$D$3665)-ROW(Zeiterfassung!$D$6)+1)/(Zeiterfassung!$D$6:$D$3665&lt;&gt;""),3234),"")</f>
        <v/>
      </c>
    </row>
    <row r="3240" ht="20" customHeight="1">
      <c r="A3240" s="183">
        <f>IF($K3240="","",WEEKNUM(INDEX(Zeiterfassung!$K$6:$K$3665,$K3240),21))</f>
        <v/>
      </c>
      <c r="B3240" s="184">
        <f>IF($K3240="","",INDEX(Zeiterfassung!$K$6:$K$3665,$K3240))</f>
        <v/>
      </c>
      <c r="C3240" s="185">
        <f>IF($K3240="","",INDEX(Zeiterfassung!$K$6:$K$3665,$K3240))</f>
        <v/>
      </c>
      <c r="D3240" s="186">
        <f>IF($K3240="","",INDEX(Zeiterfassung!$D$6:$D$3665,$K3240))</f>
        <v/>
      </c>
      <c r="E3240" s="186">
        <f>IF($K3240="","",INDEX(Zeiterfassung!$E$6:$E$3665,$K3240))</f>
        <v/>
      </c>
      <c r="F3240" s="187">
        <f>IF($K3240="","",INDEX(Zeiterfassung!$F$6:$F$3665,$K3240))</f>
        <v/>
      </c>
      <c r="G3240" s="187">
        <f>IF($K3240="","",INDEX(Zeiterfassung!$G$6:$G$3665,$K3240))</f>
        <v/>
      </c>
      <c r="H3240" s="188">
        <f>IF($K3240="","",INDEX(Zeiterfassung!$H$6:$H$3665,$K3240))</f>
        <v/>
      </c>
      <c r="I3240" s="335">
        <f>IF(B3240=B3239,"",IF($K3240="","",INDEX(Zeiterfassung!$I$6:$I$3665,MATCH(INDEX(Zeiterfassung!$K$6:$K$3665,$K3240),Zeiterfassung!$K$6:$K$3665,0))))</f>
        <v/>
      </c>
      <c r="J3240" s="335">
        <f>IF(B3240=B3239,"",IF($K3240="","",INDEX(Zeiterfassung!$J$6:$J$3665,MATCH(INDEX(Zeiterfassung!$K$6:$K$3665,$K3240),Zeiterfassung!$K$6:$K$3665,0))))</f>
        <v/>
      </c>
      <c r="K3240">
        <f>IFERROR(AGGREGATE(15,6,(ROW(Zeiterfassung!$D$6:$D$3665)-ROW(Zeiterfassung!$D$6)+1)/(Zeiterfassung!$D$6:$D$3665&lt;&gt;""),3235),"")</f>
        <v/>
      </c>
    </row>
    <row r="3241" ht="20" customHeight="1">
      <c r="A3241" s="183">
        <f>IF($K3241="","",WEEKNUM(INDEX(Zeiterfassung!$K$6:$K$3665,$K3241),21))</f>
        <v/>
      </c>
      <c r="B3241" s="184">
        <f>IF($K3241="","",INDEX(Zeiterfassung!$K$6:$K$3665,$K3241))</f>
        <v/>
      </c>
      <c r="C3241" s="185">
        <f>IF($K3241="","",INDEX(Zeiterfassung!$K$6:$K$3665,$K3241))</f>
        <v/>
      </c>
      <c r="D3241" s="186">
        <f>IF($K3241="","",INDEX(Zeiterfassung!$D$6:$D$3665,$K3241))</f>
        <v/>
      </c>
      <c r="E3241" s="186">
        <f>IF($K3241="","",INDEX(Zeiterfassung!$E$6:$E$3665,$K3241))</f>
        <v/>
      </c>
      <c r="F3241" s="187">
        <f>IF($K3241="","",INDEX(Zeiterfassung!$F$6:$F$3665,$K3241))</f>
        <v/>
      </c>
      <c r="G3241" s="187">
        <f>IF($K3241="","",INDEX(Zeiterfassung!$G$6:$G$3665,$K3241))</f>
        <v/>
      </c>
      <c r="H3241" s="188">
        <f>IF($K3241="","",INDEX(Zeiterfassung!$H$6:$H$3665,$K3241))</f>
        <v/>
      </c>
      <c r="I3241" s="335">
        <f>IF(B3241=B3240,"",IF($K3241="","",INDEX(Zeiterfassung!$I$6:$I$3665,MATCH(INDEX(Zeiterfassung!$K$6:$K$3665,$K3241),Zeiterfassung!$K$6:$K$3665,0))))</f>
        <v/>
      </c>
      <c r="J3241" s="335">
        <f>IF(B3241=B3240,"",IF($K3241="","",INDEX(Zeiterfassung!$J$6:$J$3665,MATCH(INDEX(Zeiterfassung!$K$6:$K$3665,$K3241),Zeiterfassung!$K$6:$K$3665,0))))</f>
        <v/>
      </c>
      <c r="K3241">
        <f>IFERROR(AGGREGATE(15,6,(ROW(Zeiterfassung!$D$6:$D$3665)-ROW(Zeiterfassung!$D$6)+1)/(Zeiterfassung!$D$6:$D$3665&lt;&gt;""),3236),"")</f>
        <v/>
      </c>
    </row>
    <row r="3242" ht="20" customHeight="1">
      <c r="A3242" s="183">
        <f>IF($K3242="","",WEEKNUM(INDEX(Zeiterfassung!$K$6:$K$3665,$K3242),21))</f>
        <v/>
      </c>
      <c r="B3242" s="184">
        <f>IF($K3242="","",INDEX(Zeiterfassung!$K$6:$K$3665,$K3242))</f>
        <v/>
      </c>
      <c r="C3242" s="185">
        <f>IF($K3242="","",INDEX(Zeiterfassung!$K$6:$K$3665,$K3242))</f>
        <v/>
      </c>
      <c r="D3242" s="186">
        <f>IF($K3242="","",INDEX(Zeiterfassung!$D$6:$D$3665,$K3242))</f>
        <v/>
      </c>
      <c r="E3242" s="186">
        <f>IF($K3242="","",INDEX(Zeiterfassung!$E$6:$E$3665,$K3242))</f>
        <v/>
      </c>
      <c r="F3242" s="187">
        <f>IF($K3242="","",INDEX(Zeiterfassung!$F$6:$F$3665,$K3242))</f>
        <v/>
      </c>
      <c r="G3242" s="187">
        <f>IF($K3242="","",INDEX(Zeiterfassung!$G$6:$G$3665,$K3242))</f>
        <v/>
      </c>
      <c r="H3242" s="188">
        <f>IF($K3242="","",INDEX(Zeiterfassung!$H$6:$H$3665,$K3242))</f>
        <v/>
      </c>
      <c r="I3242" s="335">
        <f>IF(B3242=B3241,"",IF($K3242="","",INDEX(Zeiterfassung!$I$6:$I$3665,MATCH(INDEX(Zeiterfassung!$K$6:$K$3665,$K3242),Zeiterfassung!$K$6:$K$3665,0))))</f>
        <v/>
      </c>
      <c r="J3242" s="335">
        <f>IF(B3242=B3241,"",IF($K3242="","",INDEX(Zeiterfassung!$J$6:$J$3665,MATCH(INDEX(Zeiterfassung!$K$6:$K$3665,$K3242),Zeiterfassung!$K$6:$K$3665,0))))</f>
        <v/>
      </c>
      <c r="K3242">
        <f>IFERROR(AGGREGATE(15,6,(ROW(Zeiterfassung!$D$6:$D$3665)-ROW(Zeiterfassung!$D$6)+1)/(Zeiterfassung!$D$6:$D$3665&lt;&gt;""),3237),"")</f>
        <v/>
      </c>
    </row>
    <row r="3243" ht="20" customHeight="1">
      <c r="A3243" s="183">
        <f>IF($K3243="","",WEEKNUM(INDEX(Zeiterfassung!$K$6:$K$3665,$K3243),21))</f>
        <v/>
      </c>
      <c r="B3243" s="184">
        <f>IF($K3243="","",INDEX(Zeiterfassung!$K$6:$K$3665,$K3243))</f>
        <v/>
      </c>
      <c r="C3243" s="185">
        <f>IF($K3243="","",INDEX(Zeiterfassung!$K$6:$K$3665,$K3243))</f>
        <v/>
      </c>
      <c r="D3243" s="186">
        <f>IF($K3243="","",INDEX(Zeiterfassung!$D$6:$D$3665,$K3243))</f>
        <v/>
      </c>
      <c r="E3243" s="186">
        <f>IF($K3243="","",INDEX(Zeiterfassung!$E$6:$E$3665,$K3243))</f>
        <v/>
      </c>
      <c r="F3243" s="187">
        <f>IF($K3243="","",INDEX(Zeiterfassung!$F$6:$F$3665,$K3243))</f>
        <v/>
      </c>
      <c r="G3243" s="187">
        <f>IF($K3243="","",INDEX(Zeiterfassung!$G$6:$G$3665,$K3243))</f>
        <v/>
      </c>
      <c r="H3243" s="188">
        <f>IF($K3243="","",INDEX(Zeiterfassung!$H$6:$H$3665,$K3243))</f>
        <v/>
      </c>
      <c r="I3243" s="335">
        <f>IF(B3243=B3242,"",IF($K3243="","",INDEX(Zeiterfassung!$I$6:$I$3665,MATCH(INDEX(Zeiterfassung!$K$6:$K$3665,$K3243),Zeiterfassung!$K$6:$K$3665,0))))</f>
        <v/>
      </c>
      <c r="J3243" s="335">
        <f>IF(B3243=B3242,"",IF($K3243="","",INDEX(Zeiterfassung!$J$6:$J$3665,MATCH(INDEX(Zeiterfassung!$K$6:$K$3665,$K3243),Zeiterfassung!$K$6:$K$3665,0))))</f>
        <v/>
      </c>
      <c r="K3243">
        <f>IFERROR(AGGREGATE(15,6,(ROW(Zeiterfassung!$D$6:$D$3665)-ROW(Zeiterfassung!$D$6)+1)/(Zeiterfassung!$D$6:$D$3665&lt;&gt;""),3238),"")</f>
        <v/>
      </c>
    </row>
    <row r="3244" ht="20" customHeight="1">
      <c r="A3244" s="183">
        <f>IF($K3244="","",WEEKNUM(INDEX(Zeiterfassung!$K$6:$K$3665,$K3244),21))</f>
        <v/>
      </c>
      <c r="B3244" s="184">
        <f>IF($K3244="","",INDEX(Zeiterfassung!$K$6:$K$3665,$K3244))</f>
        <v/>
      </c>
      <c r="C3244" s="185">
        <f>IF($K3244="","",INDEX(Zeiterfassung!$K$6:$K$3665,$K3244))</f>
        <v/>
      </c>
      <c r="D3244" s="186">
        <f>IF($K3244="","",INDEX(Zeiterfassung!$D$6:$D$3665,$K3244))</f>
        <v/>
      </c>
      <c r="E3244" s="186">
        <f>IF($K3244="","",INDEX(Zeiterfassung!$E$6:$E$3665,$K3244))</f>
        <v/>
      </c>
      <c r="F3244" s="187">
        <f>IF($K3244="","",INDEX(Zeiterfassung!$F$6:$F$3665,$K3244))</f>
        <v/>
      </c>
      <c r="G3244" s="187">
        <f>IF($K3244="","",INDEX(Zeiterfassung!$G$6:$G$3665,$K3244))</f>
        <v/>
      </c>
      <c r="H3244" s="188">
        <f>IF($K3244="","",INDEX(Zeiterfassung!$H$6:$H$3665,$K3244))</f>
        <v/>
      </c>
      <c r="I3244" s="335">
        <f>IF(B3244=B3243,"",IF($K3244="","",INDEX(Zeiterfassung!$I$6:$I$3665,MATCH(INDEX(Zeiterfassung!$K$6:$K$3665,$K3244),Zeiterfassung!$K$6:$K$3665,0))))</f>
        <v/>
      </c>
      <c r="J3244" s="335">
        <f>IF(B3244=B3243,"",IF($K3244="","",INDEX(Zeiterfassung!$J$6:$J$3665,MATCH(INDEX(Zeiterfassung!$K$6:$K$3665,$K3244),Zeiterfassung!$K$6:$K$3665,0))))</f>
        <v/>
      </c>
      <c r="K3244">
        <f>IFERROR(AGGREGATE(15,6,(ROW(Zeiterfassung!$D$6:$D$3665)-ROW(Zeiterfassung!$D$6)+1)/(Zeiterfassung!$D$6:$D$3665&lt;&gt;""),3239),"")</f>
        <v/>
      </c>
    </row>
    <row r="3245" ht="20" customHeight="1">
      <c r="A3245" s="183">
        <f>IF($K3245="","",WEEKNUM(INDEX(Zeiterfassung!$K$6:$K$3665,$K3245),21))</f>
        <v/>
      </c>
      <c r="B3245" s="184">
        <f>IF($K3245="","",INDEX(Zeiterfassung!$K$6:$K$3665,$K3245))</f>
        <v/>
      </c>
      <c r="C3245" s="185">
        <f>IF($K3245="","",INDEX(Zeiterfassung!$K$6:$K$3665,$K3245))</f>
        <v/>
      </c>
      <c r="D3245" s="186">
        <f>IF($K3245="","",INDEX(Zeiterfassung!$D$6:$D$3665,$K3245))</f>
        <v/>
      </c>
      <c r="E3245" s="186">
        <f>IF($K3245="","",INDEX(Zeiterfassung!$E$6:$E$3665,$K3245))</f>
        <v/>
      </c>
      <c r="F3245" s="187">
        <f>IF($K3245="","",INDEX(Zeiterfassung!$F$6:$F$3665,$K3245))</f>
        <v/>
      </c>
      <c r="G3245" s="187">
        <f>IF($K3245="","",INDEX(Zeiterfassung!$G$6:$G$3665,$K3245))</f>
        <v/>
      </c>
      <c r="H3245" s="188">
        <f>IF($K3245="","",INDEX(Zeiterfassung!$H$6:$H$3665,$K3245))</f>
        <v/>
      </c>
      <c r="I3245" s="335">
        <f>IF(B3245=B3244,"",IF($K3245="","",INDEX(Zeiterfassung!$I$6:$I$3665,MATCH(INDEX(Zeiterfassung!$K$6:$K$3665,$K3245),Zeiterfassung!$K$6:$K$3665,0))))</f>
        <v/>
      </c>
      <c r="J3245" s="335">
        <f>IF(B3245=B3244,"",IF($K3245="","",INDEX(Zeiterfassung!$J$6:$J$3665,MATCH(INDEX(Zeiterfassung!$K$6:$K$3665,$K3245),Zeiterfassung!$K$6:$K$3665,0))))</f>
        <v/>
      </c>
      <c r="K3245">
        <f>IFERROR(AGGREGATE(15,6,(ROW(Zeiterfassung!$D$6:$D$3665)-ROW(Zeiterfassung!$D$6)+1)/(Zeiterfassung!$D$6:$D$3665&lt;&gt;""),3240),"")</f>
        <v/>
      </c>
    </row>
    <row r="3246" ht="20" customHeight="1">
      <c r="A3246" s="183">
        <f>IF($K3246="","",WEEKNUM(INDEX(Zeiterfassung!$K$6:$K$3665,$K3246),21))</f>
        <v/>
      </c>
      <c r="B3246" s="184">
        <f>IF($K3246="","",INDEX(Zeiterfassung!$K$6:$K$3665,$K3246))</f>
        <v/>
      </c>
      <c r="C3246" s="185">
        <f>IF($K3246="","",INDEX(Zeiterfassung!$K$6:$K$3665,$K3246))</f>
        <v/>
      </c>
      <c r="D3246" s="186">
        <f>IF($K3246="","",INDEX(Zeiterfassung!$D$6:$D$3665,$K3246))</f>
        <v/>
      </c>
      <c r="E3246" s="186">
        <f>IF($K3246="","",INDEX(Zeiterfassung!$E$6:$E$3665,$K3246))</f>
        <v/>
      </c>
      <c r="F3246" s="187">
        <f>IF($K3246="","",INDEX(Zeiterfassung!$F$6:$F$3665,$K3246))</f>
        <v/>
      </c>
      <c r="G3246" s="187">
        <f>IF($K3246="","",INDEX(Zeiterfassung!$G$6:$G$3665,$K3246))</f>
        <v/>
      </c>
      <c r="H3246" s="188">
        <f>IF($K3246="","",INDEX(Zeiterfassung!$H$6:$H$3665,$K3246))</f>
        <v/>
      </c>
      <c r="I3246" s="335">
        <f>IF(B3246=B3245,"",IF($K3246="","",INDEX(Zeiterfassung!$I$6:$I$3665,MATCH(INDEX(Zeiterfassung!$K$6:$K$3665,$K3246),Zeiterfassung!$K$6:$K$3665,0))))</f>
        <v/>
      </c>
      <c r="J3246" s="335">
        <f>IF(B3246=B3245,"",IF($K3246="","",INDEX(Zeiterfassung!$J$6:$J$3665,MATCH(INDEX(Zeiterfassung!$K$6:$K$3665,$K3246),Zeiterfassung!$K$6:$K$3665,0))))</f>
        <v/>
      </c>
      <c r="K3246">
        <f>IFERROR(AGGREGATE(15,6,(ROW(Zeiterfassung!$D$6:$D$3665)-ROW(Zeiterfassung!$D$6)+1)/(Zeiterfassung!$D$6:$D$3665&lt;&gt;""),3241),"")</f>
        <v/>
      </c>
    </row>
    <row r="3247" ht="20" customHeight="1">
      <c r="A3247" s="183">
        <f>IF($K3247="","",WEEKNUM(INDEX(Zeiterfassung!$K$6:$K$3665,$K3247),21))</f>
        <v/>
      </c>
      <c r="B3247" s="184">
        <f>IF($K3247="","",INDEX(Zeiterfassung!$K$6:$K$3665,$K3247))</f>
        <v/>
      </c>
      <c r="C3247" s="185">
        <f>IF($K3247="","",INDEX(Zeiterfassung!$K$6:$K$3665,$K3247))</f>
        <v/>
      </c>
      <c r="D3247" s="186">
        <f>IF($K3247="","",INDEX(Zeiterfassung!$D$6:$D$3665,$K3247))</f>
        <v/>
      </c>
      <c r="E3247" s="186">
        <f>IF($K3247="","",INDEX(Zeiterfassung!$E$6:$E$3665,$K3247))</f>
        <v/>
      </c>
      <c r="F3247" s="187">
        <f>IF($K3247="","",INDEX(Zeiterfassung!$F$6:$F$3665,$K3247))</f>
        <v/>
      </c>
      <c r="G3247" s="187">
        <f>IF($K3247="","",INDEX(Zeiterfassung!$G$6:$G$3665,$K3247))</f>
        <v/>
      </c>
      <c r="H3247" s="188">
        <f>IF($K3247="","",INDEX(Zeiterfassung!$H$6:$H$3665,$K3247))</f>
        <v/>
      </c>
      <c r="I3247" s="335">
        <f>IF(B3247=B3246,"",IF($K3247="","",INDEX(Zeiterfassung!$I$6:$I$3665,MATCH(INDEX(Zeiterfassung!$K$6:$K$3665,$K3247),Zeiterfassung!$K$6:$K$3665,0))))</f>
        <v/>
      </c>
      <c r="J3247" s="335">
        <f>IF(B3247=B3246,"",IF($K3247="","",INDEX(Zeiterfassung!$J$6:$J$3665,MATCH(INDEX(Zeiterfassung!$K$6:$K$3665,$K3247),Zeiterfassung!$K$6:$K$3665,0))))</f>
        <v/>
      </c>
      <c r="K3247">
        <f>IFERROR(AGGREGATE(15,6,(ROW(Zeiterfassung!$D$6:$D$3665)-ROW(Zeiterfassung!$D$6)+1)/(Zeiterfassung!$D$6:$D$3665&lt;&gt;""),3242),"")</f>
        <v/>
      </c>
    </row>
    <row r="3248" ht="20" customHeight="1">
      <c r="A3248" s="183">
        <f>IF($K3248="","",WEEKNUM(INDEX(Zeiterfassung!$K$6:$K$3665,$K3248),21))</f>
        <v/>
      </c>
      <c r="B3248" s="184">
        <f>IF($K3248="","",INDEX(Zeiterfassung!$K$6:$K$3665,$K3248))</f>
        <v/>
      </c>
      <c r="C3248" s="185">
        <f>IF($K3248="","",INDEX(Zeiterfassung!$K$6:$K$3665,$K3248))</f>
        <v/>
      </c>
      <c r="D3248" s="186">
        <f>IF($K3248="","",INDEX(Zeiterfassung!$D$6:$D$3665,$K3248))</f>
        <v/>
      </c>
      <c r="E3248" s="186">
        <f>IF($K3248="","",INDEX(Zeiterfassung!$E$6:$E$3665,$K3248))</f>
        <v/>
      </c>
      <c r="F3248" s="187">
        <f>IF($K3248="","",INDEX(Zeiterfassung!$F$6:$F$3665,$K3248))</f>
        <v/>
      </c>
      <c r="G3248" s="187">
        <f>IF($K3248="","",INDEX(Zeiterfassung!$G$6:$G$3665,$K3248))</f>
        <v/>
      </c>
      <c r="H3248" s="188">
        <f>IF($K3248="","",INDEX(Zeiterfassung!$H$6:$H$3665,$K3248))</f>
        <v/>
      </c>
      <c r="I3248" s="335">
        <f>IF(B3248=B3247,"",IF($K3248="","",INDEX(Zeiterfassung!$I$6:$I$3665,MATCH(INDEX(Zeiterfassung!$K$6:$K$3665,$K3248),Zeiterfassung!$K$6:$K$3665,0))))</f>
        <v/>
      </c>
      <c r="J3248" s="335">
        <f>IF(B3248=B3247,"",IF($K3248="","",INDEX(Zeiterfassung!$J$6:$J$3665,MATCH(INDEX(Zeiterfassung!$K$6:$K$3665,$K3248),Zeiterfassung!$K$6:$K$3665,0))))</f>
        <v/>
      </c>
      <c r="K3248">
        <f>IFERROR(AGGREGATE(15,6,(ROW(Zeiterfassung!$D$6:$D$3665)-ROW(Zeiterfassung!$D$6)+1)/(Zeiterfassung!$D$6:$D$3665&lt;&gt;""),3243),"")</f>
        <v/>
      </c>
    </row>
    <row r="3249" ht="20" customHeight="1">
      <c r="A3249" s="183">
        <f>IF($K3249="","",WEEKNUM(INDEX(Zeiterfassung!$K$6:$K$3665,$K3249),21))</f>
        <v/>
      </c>
      <c r="B3249" s="184">
        <f>IF($K3249="","",INDEX(Zeiterfassung!$K$6:$K$3665,$K3249))</f>
        <v/>
      </c>
      <c r="C3249" s="185">
        <f>IF($K3249="","",INDEX(Zeiterfassung!$K$6:$K$3665,$K3249))</f>
        <v/>
      </c>
      <c r="D3249" s="186">
        <f>IF($K3249="","",INDEX(Zeiterfassung!$D$6:$D$3665,$K3249))</f>
        <v/>
      </c>
      <c r="E3249" s="186">
        <f>IF($K3249="","",INDEX(Zeiterfassung!$E$6:$E$3665,$K3249))</f>
        <v/>
      </c>
      <c r="F3249" s="187">
        <f>IF($K3249="","",INDEX(Zeiterfassung!$F$6:$F$3665,$K3249))</f>
        <v/>
      </c>
      <c r="G3249" s="187">
        <f>IF($K3249="","",INDEX(Zeiterfassung!$G$6:$G$3665,$K3249))</f>
        <v/>
      </c>
      <c r="H3249" s="188">
        <f>IF($K3249="","",INDEX(Zeiterfassung!$H$6:$H$3665,$K3249))</f>
        <v/>
      </c>
      <c r="I3249" s="335">
        <f>IF(B3249=B3248,"",IF($K3249="","",INDEX(Zeiterfassung!$I$6:$I$3665,MATCH(INDEX(Zeiterfassung!$K$6:$K$3665,$K3249),Zeiterfassung!$K$6:$K$3665,0))))</f>
        <v/>
      </c>
      <c r="J3249" s="335">
        <f>IF(B3249=B3248,"",IF($K3249="","",INDEX(Zeiterfassung!$J$6:$J$3665,MATCH(INDEX(Zeiterfassung!$K$6:$K$3665,$K3249),Zeiterfassung!$K$6:$K$3665,0))))</f>
        <v/>
      </c>
      <c r="K3249">
        <f>IFERROR(AGGREGATE(15,6,(ROW(Zeiterfassung!$D$6:$D$3665)-ROW(Zeiterfassung!$D$6)+1)/(Zeiterfassung!$D$6:$D$3665&lt;&gt;""),3244),"")</f>
        <v/>
      </c>
    </row>
    <row r="3250" ht="20" customHeight="1">
      <c r="A3250" s="183">
        <f>IF($K3250="","",WEEKNUM(INDEX(Zeiterfassung!$K$6:$K$3665,$K3250),21))</f>
        <v/>
      </c>
      <c r="B3250" s="184">
        <f>IF($K3250="","",INDEX(Zeiterfassung!$K$6:$K$3665,$K3250))</f>
        <v/>
      </c>
      <c r="C3250" s="185">
        <f>IF($K3250="","",INDEX(Zeiterfassung!$K$6:$K$3665,$K3250))</f>
        <v/>
      </c>
      <c r="D3250" s="186">
        <f>IF($K3250="","",INDEX(Zeiterfassung!$D$6:$D$3665,$K3250))</f>
        <v/>
      </c>
      <c r="E3250" s="186">
        <f>IF($K3250="","",INDEX(Zeiterfassung!$E$6:$E$3665,$K3250))</f>
        <v/>
      </c>
      <c r="F3250" s="187">
        <f>IF($K3250="","",INDEX(Zeiterfassung!$F$6:$F$3665,$K3250))</f>
        <v/>
      </c>
      <c r="G3250" s="187">
        <f>IF($K3250="","",INDEX(Zeiterfassung!$G$6:$G$3665,$K3250))</f>
        <v/>
      </c>
      <c r="H3250" s="188">
        <f>IF($K3250="","",INDEX(Zeiterfassung!$H$6:$H$3665,$K3250))</f>
        <v/>
      </c>
      <c r="I3250" s="335">
        <f>IF(B3250=B3249,"",IF($K3250="","",INDEX(Zeiterfassung!$I$6:$I$3665,MATCH(INDEX(Zeiterfassung!$K$6:$K$3665,$K3250),Zeiterfassung!$K$6:$K$3665,0))))</f>
        <v/>
      </c>
      <c r="J3250" s="335">
        <f>IF(B3250=B3249,"",IF($K3250="","",INDEX(Zeiterfassung!$J$6:$J$3665,MATCH(INDEX(Zeiterfassung!$K$6:$K$3665,$K3250),Zeiterfassung!$K$6:$K$3665,0))))</f>
        <v/>
      </c>
      <c r="K3250">
        <f>IFERROR(AGGREGATE(15,6,(ROW(Zeiterfassung!$D$6:$D$3665)-ROW(Zeiterfassung!$D$6)+1)/(Zeiterfassung!$D$6:$D$3665&lt;&gt;""),3245),"")</f>
        <v/>
      </c>
    </row>
    <row r="3251" ht="20" customHeight="1">
      <c r="A3251" s="183">
        <f>IF($K3251="","",WEEKNUM(INDEX(Zeiterfassung!$K$6:$K$3665,$K3251),21))</f>
        <v/>
      </c>
      <c r="B3251" s="184">
        <f>IF($K3251="","",INDEX(Zeiterfassung!$K$6:$K$3665,$K3251))</f>
        <v/>
      </c>
      <c r="C3251" s="185">
        <f>IF($K3251="","",INDEX(Zeiterfassung!$K$6:$K$3665,$K3251))</f>
        <v/>
      </c>
      <c r="D3251" s="186">
        <f>IF($K3251="","",INDEX(Zeiterfassung!$D$6:$D$3665,$K3251))</f>
        <v/>
      </c>
      <c r="E3251" s="186">
        <f>IF($K3251="","",INDEX(Zeiterfassung!$E$6:$E$3665,$K3251))</f>
        <v/>
      </c>
      <c r="F3251" s="187">
        <f>IF($K3251="","",INDEX(Zeiterfassung!$F$6:$F$3665,$K3251))</f>
        <v/>
      </c>
      <c r="G3251" s="187">
        <f>IF($K3251="","",INDEX(Zeiterfassung!$G$6:$G$3665,$K3251))</f>
        <v/>
      </c>
      <c r="H3251" s="188">
        <f>IF($K3251="","",INDEX(Zeiterfassung!$H$6:$H$3665,$K3251))</f>
        <v/>
      </c>
      <c r="I3251" s="335">
        <f>IF(B3251=B3250,"",IF($K3251="","",INDEX(Zeiterfassung!$I$6:$I$3665,MATCH(INDEX(Zeiterfassung!$K$6:$K$3665,$K3251),Zeiterfassung!$K$6:$K$3665,0))))</f>
        <v/>
      </c>
      <c r="J3251" s="335">
        <f>IF(B3251=B3250,"",IF($K3251="","",INDEX(Zeiterfassung!$J$6:$J$3665,MATCH(INDEX(Zeiterfassung!$K$6:$K$3665,$K3251),Zeiterfassung!$K$6:$K$3665,0))))</f>
        <v/>
      </c>
      <c r="K3251">
        <f>IFERROR(AGGREGATE(15,6,(ROW(Zeiterfassung!$D$6:$D$3665)-ROW(Zeiterfassung!$D$6)+1)/(Zeiterfassung!$D$6:$D$3665&lt;&gt;""),3246),"")</f>
        <v/>
      </c>
    </row>
    <row r="3252" ht="20" customHeight="1">
      <c r="A3252" s="183">
        <f>IF($K3252="","",WEEKNUM(INDEX(Zeiterfassung!$K$6:$K$3665,$K3252),21))</f>
        <v/>
      </c>
      <c r="B3252" s="184">
        <f>IF($K3252="","",INDEX(Zeiterfassung!$K$6:$K$3665,$K3252))</f>
        <v/>
      </c>
      <c r="C3252" s="185">
        <f>IF($K3252="","",INDEX(Zeiterfassung!$K$6:$K$3665,$K3252))</f>
        <v/>
      </c>
      <c r="D3252" s="186">
        <f>IF($K3252="","",INDEX(Zeiterfassung!$D$6:$D$3665,$K3252))</f>
        <v/>
      </c>
      <c r="E3252" s="186">
        <f>IF($K3252="","",INDEX(Zeiterfassung!$E$6:$E$3665,$K3252))</f>
        <v/>
      </c>
      <c r="F3252" s="187">
        <f>IF($K3252="","",INDEX(Zeiterfassung!$F$6:$F$3665,$K3252))</f>
        <v/>
      </c>
      <c r="G3252" s="187">
        <f>IF($K3252="","",INDEX(Zeiterfassung!$G$6:$G$3665,$K3252))</f>
        <v/>
      </c>
      <c r="H3252" s="188">
        <f>IF($K3252="","",INDEX(Zeiterfassung!$H$6:$H$3665,$K3252))</f>
        <v/>
      </c>
      <c r="I3252" s="335">
        <f>IF(B3252=B3251,"",IF($K3252="","",INDEX(Zeiterfassung!$I$6:$I$3665,MATCH(INDEX(Zeiterfassung!$K$6:$K$3665,$K3252),Zeiterfassung!$K$6:$K$3665,0))))</f>
        <v/>
      </c>
      <c r="J3252" s="335">
        <f>IF(B3252=B3251,"",IF($K3252="","",INDEX(Zeiterfassung!$J$6:$J$3665,MATCH(INDEX(Zeiterfassung!$K$6:$K$3665,$K3252),Zeiterfassung!$K$6:$K$3665,0))))</f>
        <v/>
      </c>
      <c r="K3252">
        <f>IFERROR(AGGREGATE(15,6,(ROW(Zeiterfassung!$D$6:$D$3665)-ROW(Zeiterfassung!$D$6)+1)/(Zeiterfassung!$D$6:$D$3665&lt;&gt;""),3247),"")</f>
        <v/>
      </c>
    </row>
    <row r="3253" ht="20" customHeight="1">
      <c r="A3253" s="183">
        <f>IF($K3253="","",WEEKNUM(INDEX(Zeiterfassung!$K$6:$K$3665,$K3253),21))</f>
        <v/>
      </c>
      <c r="B3253" s="184">
        <f>IF($K3253="","",INDEX(Zeiterfassung!$K$6:$K$3665,$K3253))</f>
        <v/>
      </c>
      <c r="C3253" s="185">
        <f>IF($K3253="","",INDEX(Zeiterfassung!$K$6:$K$3665,$K3253))</f>
        <v/>
      </c>
      <c r="D3253" s="186">
        <f>IF($K3253="","",INDEX(Zeiterfassung!$D$6:$D$3665,$K3253))</f>
        <v/>
      </c>
      <c r="E3253" s="186">
        <f>IF($K3253="","",INDEX(Zeiterfassung!$E$6:$E$3665,$K3253))</f>
        <v/>
      </c>
      <c r="F3253" s="187">
        <f>IF($K3253="","",INDEX(Zeiterfassung!$F$6:$F$3665,$K3253))</f>
        <v/>
      </c>
      <c r="G3253" s="187">
        <f>IF($K3253="","",INDEX(Zeiterfassung!$G$6:$G$3665,$K3253))</f>
        <v/>
      </c>
      <c r="H3253" s="188">
        <f>IF($K3253="","",INDEX(Zeiterfassung!$H$6:$H$3665,$K3253))</f>
        <v/>
      </c>
      <c r="I3253" s="335">
        <f>IF(B3253=B3252,"",IF($K3253="","",INDEX(Zeiterfassung!$I$6:$I$3665,MATCH(INDEX(Zeiterfassung!$K$6:$K$3665,$K3253),Zeiterfassung!$K$6:$K$3665,0))))</f>
        <v/>
      </c>
      <c r="J3253" s="335">
        <f>IF(B3253=B3252,"",IF($K3253="","",INDEX(Zeiterfassung!$J$6:$J$3665,MATCH(INDEX(Zeiterfassung!$K$6:$K$3665,$K3253),Zeiterfassung!$K$6:$K$3665,0))))</f>
        <v/>
      </c>
      <c r="K3253">
        <f>IFERROR(AGGREGATE(15,6,(ROW(Zeiterfassung!$D$6:$D$3665)-ROW(Zeiterfassung!$D$6)+1)/(Zeiterfassung!$D$6:$D$3665&lt;&gt;""),3248),"")</f>
        <v/>
      </c>
    </row>
    <row r="3254" ht="20" customHeight="1">
      <c r="A3254" s="183">
        <f>IF($K3254="","",WEEKNUM(INDEX(Zeiterfassung!$K$6:$K$3665,$K3254),21))</f>
        <v/>
      </c>
      <c r="B3254" s="184">
        <f>IF($K3254="","",INDEX(Zeiterfassung!$K$6:$K$3665,$K3254))</f>
        <v/>
      </c>
      <c r="C3254" s="185">
        <f>IF($K3254="","",INDEX(Zeiterfassung!$K$6:$K$3665,$K3254))</f>
        <v/>
      </c>
      <c r="D3254" s="186">
        <f>IF($K3254="","",INDEX(Zeiterfassung!$D$6:$D$3665,$K3254))</f>
        <v/>
      </c>
      <c r="E3254" s="186">
        <f>IF($K3254="","",INDEX(Zeiterfassung!$E$6:$E$3665,$K3254))</f>
        <v/>
      </c>
      <c r="F3254" s="187">
        <f>IF($K3254="","",INDEX(Zeiterfassung!$F$6:$F$3665,$K3254))</f>
        <v/>
      </c>
      <c r="G3254" s="187">
        <f>IF($K3254="","",INDEX(Zeiterfassung!$G$6:$G$3665,$K3254))</f>
        <v/>
      </c>
      <c r="H3254" s="188">
        <f>IF($K3254="","",INDEX(Zeiterfassung!$H$6:$H$3665,$K3254))</f>
        <v/>
      </c>
      <c r="I3254" s="335">
        <f>IF(B3254=B3253,"",IF($K3254="","",INDEX(Zeiterfassung!$I$6:$I$3665,MATCH(INDEX(Zeiterfassung!$K$6:$K$3665,$K3254),Zeiterfassung!$K$6:$K$3665,0))))</f>
        <v/>
      </c>
      <c r="J3254" s="335">
        <f>IF(B3254=B3253,"",IF($K3254="","",INDEX(Zeiterfassung!$J$6:$J$3665,MATCH(INDEX(Zeiterfassung!$K$6:$K$3665,$K3254),Zeiterfassung!$K$6:$K$3665,0))))</f>
        <v/>
      </c>
      <c r="K3254">
        <f>IFERROR(AGGREGATE(15,6,(ROW(Zeiterfassung!$D$6:$D$3665)-ROW(Zeiterfassung!$D$6)+1)/(Zeiterfassung!$D$6:$D$3665&lt;&gt;""),3249),"")</f>
        <v/>
      </c>
    </row>
    <row r="3255" ht="20" customHeight="1">
      <c r="A3255" s="183">
        <f>IF($K3255="","",WEEKNUM(INDEX(Zeiterfassung!$K$6:$K$3665,$K3255),21))</f>
        <v/>
      </c>
      <c r="B3255" s="184">
        <f>IF($K3255="","",INDEX(Zeiterfassung!$K$6:$K$3665,$K3255))</f>
        <v/>
      </c>
      <c r="C3255" s="185">
        <f>IF($K3255="","",INDEX(Zeiterfassung!$K$6:$K$3665,$K3255))</f>
        <v/>
      </c>
      <c r="D3255" s="186">
        <f>IF($K3255="","",INDEX(Zeiterfassung!$D$6:$D$3665,$K3255))</f>
        <v/>
      </c>
      <c r="E3255" s="186">
        <f>IF($K3255="","",INDEX(Zeiterfassung!$E$6:$E$3665,$K3255))</f>
        <v/>
      </c>
      <c r="F3255" s="187">
        <f>IF($K3255="","",INDEX(Zeiterfassung!$F$6:$F$3665,$K3255))</f>
        <v/>
      </c>
      <c r="G3255" s="187">
        <f>IF($K3255="","",INDEX(Zeiterfassung!$G$6:$G$3665,$K3255))</f>
        <v/>
      </c>
      <c r="H3255" s="188">
        <f>IF($K3255="","",INDEX(Zeiterfassung!$H$6:$H$3665,$K3255))</f>
        <v/>
      </c>
      <c r="I3255" s="335">
        <f>IF(B3255=B3254,"",IF($K3255="","",INDEX(Zeiterfassung!$I$6:$I$3665,MATCH(INDEX(Zeiterfassung!$K$6:$K$3665,$K3255),Zeiterfassung!$K$6:$K$3665,0))))</f>
        <v/>
      </c>
      <c r="J3255" s="335">
        <f>IF(B3255=B3254,"",IF($K3255="","",INDEX(Zeiterfassung!$J$6:$J$3665,MATCH(INDEX(Zeiterfassung!$K$6:$K$3665,$K3255),Zeiterfassung!$K$6:$K$3665,0))))</f>
        <v/>
      </c>
      <c r="K3255">
        <f>IFERROR(AGGREGATE(15,6,(ROW(Zeiterfassung!$D$6:$D$3665)-ROW(Zeiterfassung!$D$6)+1)/(Zeiterfassung!$D$6:$D$3665&lt;&gt;""),3250),"")</f>
        <v/>
      </c>
    </row>
    <row r="3256" ht="20" customHeight="1">
      <c r="A3256" s="183">
        <f>IF($K3256="","",WEEKNUM(INDEX(Zeiterfassung!$K$6:$K$3665,$K3256),21))</f>
        <v/>
      </c>
      <c r="B3256" s="184">
        <f>IF($K3256="","",INDEX(Zeiterfassung!$K$6:$K$3665,$K3256))</f>
        <v/>
      </c>
      <c r="C3256" s="185">
        <f>IF($K3256="","",INDEX(Zeiterfassung!$K$6:$K$3665,$K3256))</f>
        <v/>
      </c>
      <c r="D3256" s="186">
        <f>IF($K3256="","",INDEX(Zeiterfassung!$D$6:$D$3665,$K3256))</f>
        <v/>
      </c>
      <c r="E3256" s="186">
        <f>IF($K3256="","",INDEX(Zeiterfassung!$E$6:$E$3665,$K3256))</f>
        <v/>
      </c>
      <c r="F3256" s="187">
        <f>IF($K3256="","",INDEX(Zeiterfassung!$F$6:$F$3665,$K3256))</f>
        <v/>
      </c>
      <c r="G3256" s="187">
        <f>IF($K3256="","",INDEX(Zeiterfassung!$G$6:$G$3665,$K3256))</f>
        <v/>
      </c>
      <c r="H3256" s="188">
        <f>IF($K3256="","",INDEX(Zeiterfassung!$H$6:$H$3665,$K3256))</f>
        <v/>
      </c>
      <c r="I3256" s="335">
        <f>IF(B3256=B3255,"",IF($K3256="","",INDEX(Zeiterfassung!$I$6:$I$3665,MATCH(INDEX(Zeiterfassung!$K$6:$K$3665,$K3256),Zeiterfassung!$K$6:$K$3665,0))))</f>
        <v/>
      </c>
      <c r="J3256" s="335">
        <f>IF(B3256=B3255,"",IF($K3256="","",INDEX(Zeiterfassung!$J$6:$J$3665,MATCH(INDEX(Zeiterfassung!$K$6:$K$3665,$K3256),Zeiterfassung!$K$6:$K$3665,0))))</f>
        <v/>
      </c>
      <c r="K3256">
        <f>IFERROR(AGGREGATE(15,6,(ROW(Zeiterfassung!$D$6:$D$3665)-ROW(Zeiterfassung!$D$6)+1)/(Zeiterfassung!$D$6:$D$3665&lt;&gt;""),3251),"")</f>
        <v/>
      </c>
    </row>
    <row r="3257" ht="20" customHeight="1">
      <c r="A3257" s="183">
        <f>IF($K3257="","",WEEKNUM(INDEX(Zeiterfassung!$K$6:$K$3665,$K3257),21))</f>
        <v/>
      </c>
      <c r="B3257" s="184">
        <f>IF($K3257="","",INDEX(Zeiterfassung!$K$6:$K$3665,$K3257))</f>
        <v/>
      </c>
      <c r="C3257" s="185">
        <f>IF($K3257="","",INDEX(Zeiterfassung!$K$6:$K$3665,$K3257))</f>
        <v/>
      </c>
      <c r="D3257" s="186">
        <f>IF($K3257="","",INDEX(Zeiterfassung!$D$6:$D$3665,$K3257))</f>
        <v/>
      </c>
      <c r="E3257" s="186">
        <f>IF($K3257="","",INDEX(Zeiterfassung!$E$6:$E$3665,$K3257))</f>
        <v/>
      </c>
      <c r="F3257" s="187">
        <f>IF($K3257="","",INDEX(Zeiterfassung!$F$6:$F$3665,$K3257))</f>
        <v/>
      </c>
      <c r="G3257" s="187">
        <f>IF($K3257="","",INDEX(Zeiterfassung!$G$6:$G$3665,$K3257))</f>
        <v/>
      </c>
      <c r="H3257" s="188">
        <f>IF($K3257="","",INDEX(Zeiterfassung!$H$6:$H$3665,$K3257))</f>
        <v/>
      </c>
      <c r="I3257" s="335">
        <f>IF(B3257=B3256,"",IF($K3257="","",INDEX(Zeiterfassung!$I$6:$I$3665,MATCH(INDEX(Zeiterfassung!$K$6:$K$3665,$K3257),Zeiterfassung!$K$6:$K$3665,0))))</f>
        <v/>
      </c>
      <c r="J3257" s="335">
        <f>IF(B3257=B3256,"",IF($K3257="","",INDEX(Zeiterfassung!$J$6:$J$3665,MATCH(INDEX(Zeiterfassung!$K$6:$K$3665,$K3257),Zeiterfassung!$K$6:$K$3665,0))))</f>
        <v/>
      </c>
      <c r="K3257">
        <f>IFERROR(AGGREGATE(15,6,(ROW(Zeiterfassung!$D$6:$D$3665)-ROW(Zeiterfassung!$D$6)+1)/(Zeiterfassung!$D$6:$D$3665&lt;&gt;""),3252),"")</f>
        <v/>
      </c>
    </row>
    <row r="3258" ht="20" customHeight="1">
      <c r="A3258" s="183">
        <f>IF($K3258="","",WEEKNUM(INDEX(Zeiterfassung!$K$6:$K$3665,$K3258),21))</f>
        <v/>
      </c>
      <c r="B3258" s="184">
        <f>IF($K3258="","",INDEX(Zeiterfassung!$K$6:$K$3665,$K3258))</f>
        <v/>
      </c>
      <c r="C3258" s="185">
        <f>IF($K3258="","",INDEX(Zeiterfassung!$K$6:$K$3665,$K3258))</f>
        <v/>
      </c>
      <c r="D3258" s="186">
        <f>IF($K3258="","",INDEX(Zeiterfassung!$D$6:$D$3665,$K3258))</f>
        <v/>
      </c>
      <c r="E3258" s="186">
        <f>IF($K3258="","",INDEX(Zeiterfassung!$E$6:$E$3665,$K3258))</f>
        <v/>
      </c>
      <c r="F3258" s="187">
        <f>IF($K3258="","",INDEX(Zeiterfassung!$F$6:$F$3665,$K3258))</f>
        <v/>
      </c>
      <c r="G3258" s="187">
        <f>IF($K3258="","",INDEX(Zeiterfassung!$G$6:$G$3665,$K3258))</f>
        <v/>
      </c>
      <c r="H3258" s="188">
        <f>IF($K3258="","",INDEX(Zeiterfassung!$H$6:$H$3665,$K3258))</f>
        <v/>
      </c>
      <c r="I3258" s="335">
        <f>IF(B3258=B3257,"",IF($K3258="","",INDEX(Zeiterfassung!$I$6:$I$3665,MATCH(INDEX(Zeiterfassung!$K$6:$K$3665,$K3258),Zeiterfassung!$K$6:$K$3665,0))))</f>
        <v/>
      </c>
      <c r="J3258" s="335">
        <f>IF(B3258=B3257,"",IF($K3258="","",INDEX(Zeiterfassung!$J$6:$J$3665,MATCH(INDEX(Zeiterfassung!$K$6:$K$3665,$K3258),Zeiterfassung!$K$6:$K$3665,0))))</f>
        <v/>
      </c>
      <c r="K3258">
        <f>IFERROR(AGGREGATE(15,6,(ROW(Zeiterfassung!$D$6:$D$3665)-ROW(Zeiterfassung!$D$6)+1)/(Zeiterfassung!$D$6:$D$3665&lt;&gt;""),3253),"")</f>
        <v/>
      </c>
    </row>
    <row r="3259" ht="20" customHeight="1">
      <c r="A3259" s="183">
        <f>IF($K3259="","",WEEKNUM(INDEX(Zeiterfassung!$K$6:$K$3665,$K3259),21))</f>
        <v/>
      </c>
      <c r="B3259" s="184">
        <f>IF($K3259="","",INDEX(Zeiterfassung!$K$6:$K$3665,$K3259))</f>
        <v/>
      </c>
      <c r="C3259" s="185">
        <f>IF($K3259="","",INDEX(Zeiterfassung!$K$6:$K$3665,$K3259))</f>
        <v/>
      </c>
      <c r="D3259" s="186">
        <f>IF($K3259="","",INDEX(Zeiterfassung!$D$6:$D$3665,$K3259))</f>
        <v/>
      </c>
      <c r="E3259" s="186">
        <f>IF($K3259="","",INDEX(Zeiterfassung!$E$6:$E$3665,$K3259))</f>
        <v/>
      </c>
      <c r="F3259" s="187">
        <f>IF($K3259="","",INDEX(Zeiterfassung!$F$6:$F$3665,$K3259))</f>
        <v/>
      </c>
      <c r="G3259" s="187">
        <f>IF($K3259="","",INDEX(Zeiterfassung!$G$6:$G$3665,$K3259))</f>
        <v/>
      </c>
      <c r="H3259" s="188">
        <f>IF($K3259="","",INDEX(Zeiterfassung!$H$6:$H$3665,$K3259))</f>
        <v/>
      </c>
      <c r="I3259" s="335">
        <f>IF(B3259=B3258,"",IF($K3259="","",INDEX(Zeiterfassung!$I$6:$I$3665,MATCH(INDEX(Zeiterfassung!$K$6:$K$3665,$K3259),Zeiterfassung!$K$6:$K$3665,0))))</f>
        <v/>
      </c>
      <c r="J3259" s="335">
        <f>IF(B3259=B3258,"",IF($K3259="","",INDEX(Zeiterfassung!$J$6:$J$3665,MATCH(INDEX(Zeiterfassung!$K$6:$K$3665,$K3259),Zeiterfassung!$K$6:$K$3665,0))))</f>
        <v/>
      </c>
      <c r="K3259">
        <f>IFERROR(AGGREGATE(15,6,(ROW(Zeiterfassung!$D$6:$D$3665)-ROW(Zeiterfassung!$D$6)+1)/(Zeiterfassung!$D$6:$D$3665&lt;&gt;""),3254),"")</f>
        <v/>
      </c>
    </row>
    <row r="3260" ht="20" customHeight="1">
      <c r="A3260" s="183">
        <f>IF($K3260="","",WEEKNUM(INDEX(Zeiterfassung!$K$6:$K$3665,$K3260),21))</f>
        <v/>
      </c>
      <c r="B3260" s="184">
        <f>IF($K3260="","",INDEX(Zeiterfassung!$K$6:$K$3665,$K3260))</f>
        <v/>
      </c>
      <c r="C3260" s="185">
        <f>IF($K3260="","",INDEX(Zeiterfassung!$K$6:$K$3665,$K3260))</f>
        <v/>
      </c>
      <c r="D3260" s="186">
        <f>IF($K3260="","",INDEX(Zeiterfassung!$D$6:$D$3665,$K3260))</f>
        <v/>
      </c>
      <c r="E3260" s="186">
        <f>IF($K3260="","",INDEX(Zeiterfassung!$E$6:$E$3665,$K3260))</f>
        <v/>
      </c>
      <c r="F3260" s="187">
        <f>IF($K3260="","",INDEX(Zeiterfassung!$F$6:$F$3665,$K3260))</f>
        <v/>
      </c>
      <c r="G3260" s="187">
        <f>IF($K3260="","",INDEX(Zeiterfassung!$G$6:$G$3665,$K3260))</f>
        <v/>
      </c>
      <c r="H3260" s="188">
        <f>IF($K3260="","",INDEX(Zeiterfassung!$H$6:$H$3665,$K3260))</f>
        <v/>
      </c>
      <c r="I3260" s="335">
        <f>IF(B3260=B3259,"",IF($K3260="","",INDEX(Zeiterfassung!$I$6:$I$3665,MATCH(INDEX(Zeiterfassung!$K$6:$K$3665,$K3260),Zeiterfassung!$K$6:$K$3665,0))))</f>
        <v/>
      </c>
      <c r="J3260" s="335">
        <f>IF(B3260=B3259,"",IF($K3260="","",INDEX(Zeiterfassung!$J$6:$J$3665,MATCH(INDEX(Zeiterfassung!$K$6:$K$3665,$K3260),Zeiterfassung!$K$6:$K$3665,0))))</f>
        <v/>
      </c>
      <c r="K3260">
        <f>IFERROR(AGGREGATE(15,6,(ROW(Zeiterfassung!$D$6:$D$3665)-ROW(Zeiterfassung!$D$6)+1)/(Zeiterfassung!$D$6:$D$3665&lt;&gt;""),3255),"")</f>
        <v/>
      </c>
    </row>
    <row r="3261" ht="20" customHeight="1">
      <c r="A3261" s="183">
        <f>IF($K3261="","",WEEKNUM(INDEX(Zeiterfassung!$K$6:$K$3665,$K3261),21))</f>
        <v/>
      </c>
      <c r="B3261" s="184">
        <f>IF($K3261="","",INDEX(Zeiterfassung!$K$6:$K$3665,$K3261))</f>
        <v/>
      </c>
      <c r="C3261" s="185">
        <f>IF($K3261="","",INDEX(Zeiterfassung!$K$6:$K$3665,$K3261))</f>
        <v/>
      </c>
      <c r="D3261" s="186">
        <f>IF($K3261="","",INDEX(Zeiterfassung!$D$6:$D$3665,$K3261))</f>
        <v/>
      </c>
      <c r="E3261" s="186">
        <f>IF($K3261="","",INDEX(Zeiterfassung!$E$6:$E$3665,$K3261))</f>
        <v/>
      </c>
      <c r="F3261" s="187">
        <f>IF($K3261="","",INDEX(Zeiterfassung!$F$6:$F$3665,$K3261))</f>
        <v/>
      </c>
      <c r="G3261" s="187">
        <f>IF($K3261="","",INDEX(Zeiterfassung!$G$6:$G$3665,$K3261))</f>
        <v/>
      </c>
      <c r="H3261" s="188">
        <f>IF($K3261="","",INDEX(Zeiterfassung!$H$6:$H$3665,$K3261))</f>
        <v/>
      </c>
      <c r="I3261" s="335">
        <f>IF(B3261=B3260,"",IF($K3261="","",INDEX(Zeiterfassung!$I$6:$I$3665,MATCH(INDEX(Zeiterfassung!$K$6:$K$3665,$K3261),Zeiterfassung!$K$6:$K$3665,0))))</f>
        <v/>
      </c>
      <c r="J3261" s="335">
        <f>IF(B3261=B3260,"",IF($K3261="","",INDEX(Zeiterfassung!$J$6:$J$3665,MATCH(INDEX(Zeiterfassung!$K$6:$K$3665,$K3261),Zeiterfassung!$K$6:$K$3665,0))))</f>
        <v/>
      </c>
      <c r="K3261">
        <f>IFERROR(AGGREGATE(15,6,(ROW(Zeiterfassung!$D$6:$D$3665)-ROW(Zeiterfassung!$D$6)+1)/(Zeiterfassung!$D$6:$D$3665&lt;&gt;""),3256),"")</f>
        <v/>
      </c>
    </row>
    <row r="3262" ht="20" customHeight="1">
      <c r="A3262" s="183">
        <f>IF($K3262="","",WEEKNUM(INDEX(Zeiterfassung!$K$6:$K$3665,$K3262),21))</f>
        <v/>
      </c>
      <c r="B3262" s="184">
        <f>IF($K3262="","",INDEX(Zeiterfassung!$K$6:$K$3665,$K3262))</f>
        <v/>
      </c>
      <c r="C3262" s="185">
        <f>IF($K3262="","",INDEX(Zeiterfassung!$K$6:$K$3665,$K3262))</f>
        <v/>
      </c>
      <c r="D3262" s="186">
        <f>IF($K3262="","",INDEX(Zeiterfassung!$D$6:$D$3665,$K3262))</f>
        <v/>
      </c>
      <c r="E3262" s="186">
        <f>IF($K3262="","",INDEX(Zeiterfassung!$E$6:$E$3665,$K3262))</f>
        <v/>
      </c>
      <c r="F3262" s="187">
        <f>IF($K3262="","",INDEX(Zeiterfassung!$F$6:$F$3665,$K3262))</f>
        <v/>
      </c>
      <c r="G3262" s="187">
        <f>IF($K3262="","",INDEX(Zeiterfassung!$G$6:$G$3665,$K3262))</f>
        <v/>
      </c>
      <c r="H3262" s="188">
        <f>IF($K3262="","",INDEX(Zeiterfassung!$H$6:$H$3665,$K3262))</f>
        <v/>
      </c>
      <c r="I3262" s="335">
        <f>IF(B3262=B3261,"",IF($K3262="","",INDEX(Zeiterfassung!$I$6:$I$3665,MATCH(INDEX(Zeiterfassung!$K$6:$K$3665,$K3262),Zeiterfassung!$K$6:$K$3665,0))))</f>
        <v/>
      </c>
      <c r="J3262" s="335">
        <f>IF(B3262=B3261,"",IF($K3262="","",INDEX(Zeiterfassung!$J$6:$J$3665,MATCH(INDEX(Zeiterfassung!$K$6:$K$3665,$K3262),Zeiterfassung!$K$6:$K$3665,0))))</f>
        <v/>
      </c>
      <c r="K3262">
        <f>IFERROR(AGGREGATE(15,6,(ROW(Zeiterfassung!$D$6:$D$3665)-ROW(Zeiterfassung!$D$6)+1)/(Zeiterfassung!$D$6:$D$3665&lt;&gt;""),3257),"")</f>
        <v/>
      </c>
    </row>
    <row r="3263" ht="20" customHeight="1">
      <c r="A3263" s="183">
        <f>IF($K3263="","",WEEKNUM(INDEX(Zeiterfassung!$K$6:$K$3665,$K3263),21))</f>
        <v/>
      </c>
      <c r="B3263" s="184">
        <f>IF($K3263="","",INDEX(Zeiterfassung!$K$6:$K$3665,$K3263))</f>
        <v/>
      </c>
      <c r="C3263" s="185">
        <f>IF($K3263="","",INDEX(Zeiterfassung!$K$6:$K$3665,$K3263))</f>
        <v/>
      </c>
      <c r="D3263" s="186">
        <f>IF($K3263="","",INDEX(Zeiterfassung!$D$6:$D$3665,$K3263))</f>
        <v/>
      </c>
      <c r="E3263" s="186">
        <f>IF($K3263="","",INDEX(Zeiterfassung!$E$6:$E$3665,$K3263))</f>
        <v/>
      </c>
      <c r="F3263" s="187">
        <f>IF($K3263="","",INDEX(Zeiterfassung!$F$6:$F$3665,$K3263))</f>
        <v/>
      </c>
      <c r="G3263" s="187">
        <f>IF($K3263="","",INDEX(Zeiterfassung!$G$6:$G$3665,$K3263))</f>
        <v/>
      </c>
      <c r="H3263" s="188">
        <f>IF($K3263="","",INDEX(Zeiterfassung!$H$6:$H$3665,$K3263))</f>
        <v/>
      </c>
      <c r="I3263" s="335">
        <f>IF(B3263=B3262,"",IF($K3263="","",INDEX(Zeiterfassung!$I$6:$I$3665,MATCH(INDEX(Zeiterfassung!$K$6:$K$3665,$K3263),Zeiterfassung!$K$6:$K$3665,0))))</f>
        <v/>
      </c>
      <c r="J3263" s="335">
        <f>IF(B3263=B3262,"",IF($K3263="","",INDEX(Zeiterfassung!$J$6:$J$3665,MATCH(INDEX(Zeiterfassung!$K$6:$K$3665,$K3263),Zeiterfassung!$K$6:$K$3665,0))))</f>
        <v/>
      </c>
      <c r="K3263">
        <f>IFERROR(AGGREGATE(15,6,(ROW(Zeiterfassung!$D$6:$D$3665)-ROW(Zeiterfassung!$D$6)+1)/(Zeiterfassung!$D$6:$D$3665&lt;&gt;""),3258),"")</f>
        <v/>
      </c>
    </row>
    <row r="3264" ht="20" customHeight="1">
      <c r="A3264" s="183">
        <f>IF($K3264="","",WEEKNUM(INDEX(Zeiterfassung!$K$6:$K$3665,$K3264),21))</f>
        <v/>
      </c>
      <c r="B3264" s="184">
        <f>IF($K3264="","",INDEX(Zeiterfassung!$K$6:$K$3665,$K3264))</f>
        <v/>
      </c>
      <c r="C3264" s="185">
        <f>IF($K3264="","",INDEX(Zeiterfassung!$K$6:$K$3665,$K3264))</f>
        <v/>
      </c>
      <c r="D3264" s="186">
        <f>IF($K3264="","",INDEX(Zeiterfassung!$D$6:$D$3665,$K3264))</f>
        <v/>
      </c>
      <c r="E3264" s="186">
        <f>IF($K3264="","",INDEX(Zeiterfassung!$E$6:$E$3665,$K3264))</f>
        <v/>
      </c>
      <c r="F3264" s="187">
        <f>IF($K3264="","",INDEX(Zeiterfassung!$F$6:$F$3665,$K3264))</f>
        <v/>
      </c>
      <c r="G3264" s="187">
        <f>IF($K3264="","",INDEX(Zeiterfassung!$G$6:$G$3665,$K3264))</f>
        <v/>
      </c>
      <c r="H3264" s="188">
        <f>IF($K3264="","",INDEX(Zeiterfassung!$H$6:$H$3665,$K3264))</f>
        <v/>
      </c>
      <c r="I3264" s="335">
        <f>IF(B3264=B3263,"",IF($K3264="","",INDEX(Zeiterfassung!$I$6:$I$3665,MATCH(INDEX(Zeiterfassung!$K$6:$K$3665,$K3264),Zeiterfassung!$K$6:$K$3665,0))))</f>
        <v/>
      </c>
      <c r="J3264" s="335">
        <f>IF(B3264=B3263,"",IF($K3264="","",INDEX(Zeiterfassung!$J$6:$J$3665,MATCH(INDEX(Zeiterfassung!$K$6:$K$3665,$K3264),Zeiterfassung!$K$6:$K$3665,0))))</f>
        <v/>
      </c>
      <c r="K3264">
        <f>IFERROR(AGGREGATE(15,6,(ROW(Zeiterfassung!$D$6:$D$3665)-ROW(Zeiterfassung!$D$6)+1)/(Zeiterfassung!$D$6:$D$3665&lt;&gt;""),3259),"")</f>
        <v/>
      </c>
    </row>
    <row r="3265" ht="20" customHeight="1">
      <c r="A3265" s="183">
        <f>IF($K3265="","",WEEKNUM(INDEX(Zeiterfassung!$K$6:$K$3665,$K3265),21))</f>
        <v/>
      </c>
      <c r="B3265" s="184">
        <f>IF($K3265="","",INDEX(Zeiterfassung!$K$6:$K$3665,$K3265))</f>
        <v/>
      </c>
      <c r="C3265" s="185">
        <f>IF($K3265="","",INDEX(Zeiterfassung!$K$6:$K$3665,$K3265))</f>
        <v/>
      </c>
      <c r="D3265" s="186">
        <f>IF($K3265="","",INDEX(Zeiterfassung!$D$6:$D$3665,$K3265))</f>
        <v/>
      </c>
      <c r="E3265" s="186">
        <f>IF($K3265="","",INDEX(Zeiterfassung!$E$6:$E$3665,$K3265))</f>
        <v/>
      </c>
      <c r="F3265" s="187">
        <f>IF($K3265="","",INDEX(Zeiterfassung!$F$6:$F$3665,$K3265))</f>
        <v/>
      </c>
      <c r="G3265" s="187">
        <f>IF($K3265="","",INDEX(Zeiterfassung!$G$6:$G$3665,$K3265))</f>
        <v/>
      </c>
      <c r="H3265" s="188">
        <f>IF($K3265="","",INDEX(Zeiterfassung!$H$6:$H$3665,$K3265))</f>
        <v/>
      </c>
      <c r="I3265" s="335">
        <f>IF(B3265=B3264,"",IF($K3265="","",INDEX(Zeiterfassung!$I$6:$I$3665,MATCH(INDEX(Zeiterfassung!$K$6:$K$3665,$K3265),Zeiterfassung!$K$6:$K$3665,0))))</f>
        <v/>
      </c>
      <c r="J3265" s="335">
        <f>IF(B3265=B3264,"",IF($K3265="","",INDEX(Zeiterfassung!$J$6:$J$3665,MATCH(INDEX(Zeiterfassung!$K$6:$K$3665,$K3265),Zeiterfassung!$K$6:$K$3665,0))))</f>
        <v/>
      </c>
      <c r="K3265">
        <f>IFERROR(AGGREGATE(15,6,(ROW(Zeiterfassung!$D$6:$D$3665)-ROW(Zeiterfassung!$D$6)+1)/(Zeiterfassung!$D$6:$D$3665&lt;&gt;""),3260),"")</f>
        <v/>
      </c>
    </row>
    <row r="3266" ht="20" customHeight="1">
      <c r="A3266" s="183">
        <f>IF($K3266="","",WEEKNUM(INDEX(Zeiterfassung!$K$6:$K$3665,$K3266),21))</f>
        <v/>
      </c>
      <c r="B3266" s="184">
        <f>IF($K3266="","",INDEX(Zeiterfassung!$K$6:$K$3665,$K3266))</f>
        <v/>
      </c>
      <c r="C3266" s="185">
        <f>IF($K3266="","",INDEX(Zeiterfassung!$K$6:$K$3665,$K3266))</f>
        <v/>
      </c>
      <c r="D3266" s="186">
        <f>IF($K3266="","",INDEX(Zeiterfassung!$D$6:$D$3665,$K3266))</f>
        <v/>
      </c>
      <c r="E3266" s="186">
        <f>IF($K3266="","",INDEX(Zeiterfassung!$E$6:$E$3665,$K3266))</f>
        <v/>
      </c>
      <c r="F3266" s="187">
        <f>IF($K3266="","",INDEX(Zeiterfassung!$F$6:$F$3665,$K3266))</f>
        <v/>
      </c>
      <c r="G3266" s="187">
        <f>IF($K3266="","",INDEX(Zeiterfassung!$G$6:$G$3665,$K3266))</f>
        <v/>
      </c>
      <c r="H3266" s="188">
        <f>IF($K3266="","",INDEX(Zeiterfassung!$H$6:$H$3665,$K3266))</f>
        <v/>
      </c>
      <c r="I3266" s="335">
        <f>IF(B3266=B3265,"",IF($K3266="","",INDEX(Zeiterfassung!$I$6:$I$3665,MATCH(INDEX(Zeiterfassung!$K$6:$K$3665,$K3266),Zeiterfassung!$K$6:$K$3665,0))))</f>
        <v/>
      </c>
      <c r="J3266" s="335">
        <f>IF(B3266=B3265,"",IF($K3266="","",INDEX(Zeiterfassung!$J$6:$J$3665,MATCH(INDEX(Zeiterfassung!$K$6:$K$3665,$K3266),Zeiterfassung!$K$6:$K$3665,0))))</f>
        <v/>
      </c>
      <c r="K3266">
        <f>IFERROR(AGGREGATE(15,6,(ROW(Zeiterfassung!$D$6:$D$3665)-ROW(Zeiterfassung!$D$6)+1)/(Zeiterfassung!$D$6:$D$3665&lt;&gt;""),3261),"")</f>
        <v/>
      </c>
    </row>
    <row r="3267" ht="20" customHeight="1">
      <c r="A3267" s="183">
        <f>IF($K3267="","",WEEKNUM(INDEX(Zeiterfassung!$K$6:$K$3665,$K3267),21))</f>
        <v/>
      </c>
      <c r="B3267" s="184">
        <f>IF($K3267="","",INDEX(Zeiterfassung!$K$6:$K$3665,$K3267))</f>
        <v/>
      </c>
      <c r="C3267" s="185">
        <f>IF($K3267="","",INDEX(Zeiterfassung!$K$6:$K$3665,$K3267))</f>
        <v/>
      </c>
      <c r="D3267" s="186">
        <f>IF($K3267="","",INDEX(Zeiterfassung!$D$6:$D$3665,$K3267))</f>
        <v/>
      </c>
      <c r="E3267" s="186">
        <f>IF($K3267="","",INDEX(Zeiterfassung!$E$6:$E$3665,$K3267))</f>
        <v/>
      </c>
      <c r="F3267" s="187">
        <f>IF($K3267="","",INDEX(Zeiterfassung!$F$6:$F$3665,$K3267))</f>
        <v/>
      </c>
      <c r="G3267" s="187">
        <f>IF($K3267="","",INDEX(Zeiterfassung!$G$6:$G$3665,$K3267))</f>
        <v/>
      </c>
      <c r="H3267" s="188">
        <f>IF($K3267="","",INDEX(Zeiterfassung!$H$6:$H$3665,$K3267))</f>
        <v/>
      </c>
      <c r="I3267" s="335">
        <f>IF(B3267=B3266,"",IF($K3267="","",INDEX(Zeiterfassung!$I$6:$I$3665,MATCH(INDEX(Zeiterfassung!$K$6:$K$3665,$K3267),Zeiterfassung!$K$6:$K$3665,0))))</f>
        <v/>
      </c>
      <c r="J3267" s="335">
        <f>IF(B3267=B3266,"",IF($K3267="","",INDEX(Zeiterfassung!$J$6:$J$3665,MATCH(INDEX(Zeiterfassung!$K$6:$K$3665,$K3267),Zeiterfassung!$K$6:$K$3665,0))))</f>
        <v/>
      </c>
      <c r="K3267">
        <f>IFERROR(AGGREGATE(15,6,(ROW(Zeiterfassung!$D$6:$D$3665)-ROW(Zeiterfassung!$D$6)+1)/(Zeiterfassung!$D$6:$D$3665&lt;&gt;""),3262),"")</f>
        <v/>
      </c>
    </row>
    <row r="3268" ht="20" customHeight="1">
      <c r="A3268" s="183">
        <f>IF($K3268="","",WEEKNUM(INDEX(Zeiterfassung!$K$6:$K$3665,$K3268),21))</f>
        <v/>
      </c>
      <c r="B3268" s="184">
        <f>IF($K3268="","",INDEX(Zeiterfassung!$K$6:$K$3665,$K3268))</f>
        <v/>
      </c>
      <c r="C3268" s="185">
        <f>IF($K3268="","",INDEX(Zeiterfassung!$K$6:$K$3665,$K3268))</f>
        <v/>
      </c>
      <c r="D3268" s="186">
        <f>IF($K3268="","",INDEX(Zeiterfassung!$D$6:$D$3665,$K3268))</f>
        <v/>
      </c>
      <c r="E3268" s="186">
        <f>IF($K3268="","",INDEX(Zeiterfassung!$E$6:$E$3665,$K3268))</f>
        <v/>
      </c>
      <c r="F3268" s="187">
        <f>IF($K3268="","",INDEX(Zeiterfassung!$F$6:$F$3665,$K3268))</f>
        <v/>
      </c>
      <c r="G3268" s="187">
        <f>IF($K3268="","",INDEX(Zeiterfassung!$G$6:$G$3665,$K3268))</f>
        <v/>
      </c>
      <c r="H3268" s="188">
        <f>IF($K3268="","",INDEX(Zeiterfassung!$H$6:$H$3665,$K3268))</f>
        <v/>
      </c>
      <c r="I3268" s="335">
        <f>IF(B3268=B3267,"",IF($K3268="","",INDEX(Zeiterfassung!$I$6:$I$3665,MATCH(INDEX(Zeiterfassung!$K$6:$K$3665,$K3268),Zeiterfassung!$K$6:$K$3665,0))))</f>
        <v/>
      </c>
      <c r="J3268" s="335">
        <f>IF(B3268=B3267,"",IF($K3268="","",INDEX(Zeiterfassung!$J$6:$J$3665,MATCH(INDEX(Zeiterfassung!$K$6:$K$3665,$K3268),Zeiterfassung!$K$6:$K$3665,0))))</f>
        <v/>
      </c>
      <c r="K3268">
        <f>IFERROR(AGGREGATE(15,6,(ROW(Zeiterfassung!$D$6:$D$3665)-ROW(Zeiterfassung!$D$6)+1)/(Zeiterfassung!$D$6:$D$3665&lt;&gt;""),3263),"")</f>
        <v/>
      </c>
    </row>
    <row r="3269" ht="20" customHeight="1">
      <c r="A3269" s="183">
        <f>IF($K3269="","",WEEKNUM(INDEX(Zeiterfassung!$K$6:$K$3665,$K3269),21))</f>
        <v/>
      </c>
      <c r="B3269" s="184">
        <f>IF($K3269="","",INDEX(Zeiterfassung!$K$6:$K$3665,$K3269))</f>
        <v/>
      </c>
      <c r="C3269" s="185">
        <f>IF($K3269="","",INDEX(Zeiterfassung!$K$6:$K$3665,$K3269))</f>
        <v/>
      </c>
      <c r="D3269" s="186">
        <f>IF($K3269="","",INDEX(Zeiterfassung!$D$6:$D$3665,$K3269))</f>
        <v/>
      </c>
      <c r="E3269" s="186">
        <f>IF($K3269="","",INDEX(Zeiterfassung!$E$6:$E$3665,$K3269))</f>
        <v/>
      </c>
      <c r="F3269" s="187">
        <f>IF($K3269="","",INDEX(Zeiterfassung!$F$6:$F$3665,$K3269))</f>
        <v/>
      </c>
      <c r="G3269" s="187">
        <f>IF($K3269="","",INDEX(Zeiterfassung!$G$6:$G$3665,$K3269))</f>
        <v/>
      </c>
      <c r="H3269" s="188">
        <f>IF($K3269="","",INDEX(Zeiterfassung!$H$6:$H$3665,$K3269))</f>
        <v/>
      </c>
      <c r="I3269" s="335">
        <f>IF(B3269=B3268,"",IF($K3269="","",INDEX(Zeiterfassung!$I$6:$I$3665,MATCH(INDEX(Zeiterfassung!$K$6:$K$3665,$K3269),Zeiterfassung!$K$6:$K$3665,0))))</f>
        <v/>
      </c>
      <c r="J3269" s="335">
        <f>IF(B3269=B3268,"",IF($K3269="","",INDEX(Zeiterfassung!$J$6:$J$3665,MATCH(INDEX(Zeiterfassung!$K$6:$K$3665,$K3269),Zeiterfassung!$K$6:$K$3665,0))))</f>
        <v/>
      </c>
      <c r="K3269">
        <f>IFERROR(AGGREGATE(15,6,(ROW(Zeiterfassung!$D$6:$D$3665)-ROW(Zeiterfassung!$D$6)+1)/(Zeiterfassung!$D$6:$D$3665&lt;&gt;""),3264),"")</f>
        <v/>
      </c>
    </row>
    <row r="3270" ht="20" customHeight="1">
      <c r="A3270" s="183">
        <f>IF($K3270="","",WEEKNUM(INDEX(Zeiterfassung!$K$6:$K$3665,$K3270),21))</f>
        <v/>
      </c>
      <c r="B3270" s="184">
        <f>IF($K3270="","",INDEX(Zeiterfassung!$K$6:$K$3665,$K3270))</f>
        <v/>
      </c>
      <c r="C3270" s="185">
        <f>IF($K3270="","",INDEX(Zeiterfassung!$K$6:$K$3665,$K3270))</f>
        <v/>
      </c>
      <c r="D3270" s="186">
        <f>IF($K3270="","",INDEX(Zeiterfassung!$D$6:$D$3665,$K3270))</f>
        <v/>
      </c>
      <c r="E3270" s="186">
        <f>IF($K3270="","",INDEX(Zeiterfassung!$E$6:$E$3665,$K3270))</f>
        <v/>
      </c>
      <c r="F3270" s="187">
        <f>IF($K3270="","",INDEX(Zeiterfassung!$F$6:$F$3665,$K3270))</f>
        <v/>
      </c>
      <c r="G3270" s="187">
        <f>IF($K3270="","",INDEX(Zeiterfassung!$G$6:$G$3665,$K3270))</f>
        <v/>
      </c>
      <c r="H3270" s="188">
        <f>IF($K3270="","",INDEX(Zeiterfassung!$H$6:$H$3665,$K3270))</f>
        <v/>
      </c>
      <c r="I3270" s="335">
        <f>IF(B3270=B3269,"",IF($K3270="","",INDEX(Zeiterfassung!$I$6:$I$3665,MATCH(INDEX(Zeiterfassung!$K$6:$K$3665,$K3270),Zeiterfassung!$K$6:$K$3665,0))))</f>
        <v/>
      </c>
      <c r="J3270" s="335">
        <f>IF(B3270=B3269,"",IF($K3270="","",INDEX(Zeiterfassung!$J$6:$J$3665,MATCH(INDEX(Zeiterfassung!$K$6:$K$3665,$K3270),Zeiterfassung!$K$6:$K$3665,0))))</f>
        <v/>
      </c>
      <c r="K3270">
        <f>IFERROR(AGGREGATE(15,6,(ROW(Zeiterfassung!$D$6:$D$3665)-ROW(Zeiterfassung!$D$6)+1)/(Zeiterfassung!$D$6:$D$3665&lt;&gt;""),3265),"")</f>
        <v/>
      </c>
    </row>
    <row r="3271" ht="20" customHeight="1">
      <c r="A3271" s="183">
        <f>IF($K3271="","",WEEKNUM(INDEX(Zeiterfassung!$K$6:$K$3665,$K3271),21))</f>
        <v/>
      </c>
      <c r="B3271" s="184">
        <f>IF($K3271="","",INDEX(Zeiterfassung!$K$6:$K$3665,$K3271))</f>
        <v/>
      </c>
      <c r="C3271" s="185">
        <f>IF($K3271="","",INDEX(Zeiterfassung!$K$6:$K$3665,$K3271))</f>
        <v/>
      </c>
      <c r="D3271" s="186">
        <f>IF($K3271="","",INDEX(Zeiterfassung!$D$6:$D$3665,$K3271))</f>
        <v/>
      </c>
      <c r="E3271" s="186">
        <f>IF($K3271="","",INDEX(Zeiterfassung!$E$6:$E$3665,$K3271))</f>
        <v/>
      </c>
      <c r="F3271" s="187">
        <f>IF($K3271="","",INDEX(Zeiterfassung!$F$6:$F$3665,$K3271))</f>
        <v/>
      </c>
      <c r="G3271" s="187">
        <f>IF($K3271="","",INDEX(Zeiterfassung!$G$6:$G$3665,$K3271))</f>
        <v/>
      </c>
      <c r="H3271" s="188">
        <f>IF($K3271="","",INDEX(Zeiterfassung!$H$6:$H$3665,$K3271))</f>
        <v/>
      </c>
      <c r="I3271" s="335">
        <f>IF(B3271=B3270,"",IF($K3271="","",INDEX(Zeiterfassung!$I$6:$I$3665,MATCH(INDEX(Zeiterfassung!$K$6:$K$3665,$K3271),Zeiterfassung!$K$6:$K$3665,0))))</f>
        <v/>
      </c>
      <c r="J3271" s="335">
        <f>IF(B3271=B3270,"",IF($K3271="","",INDEX(Zeiterfassung!$J$6:$J$3665,MATCH(INDEX(Zeiterfassung!$K$6:$K$3665,$K3271),Zeiterfassung!$K$6:$K$3665,0))))</f>
        <v/>
      </c>
      <c r="K3271">
        <f>IFERROR(AGGREGATE(15,6,(ROW(Zeiterfassung!$D$6:$D$3665)-ROW(Zeiterfassung!$D$6)+1)/(Zeiterfassung!$D$6:$D$3665&lt;&gt;""),3266),"")</f>
        <v/>
      </c>
    </row>
    <row r="3272" ht="20" customHeight="1">
      <c r="A3272" s="183">
        <f>IF($K3272="","",WEEKNUM(INDEX(Zeiterfassung!$K$6:$K$3665,$K3272),21))</f>
        <v/>
      </c>
      <c r="B3272" s="184">
        <f>IF($K3272="","",INDEX(Zeiterfassung!$K$6:$K$3665,$K3272))</f>
        <v/>
      </c>
      <c r="C3272" s="185">
        <f>IF($K3272="","",INDEX(Zeiterfassung!$K$6:$K$3665,$K3272))</f>
        <v/>
      </c>
      <c r="D3272" s="186">
        <f>IF($K3272="","",INDEX(Zeiterfassung!$D$6:$D$3665,$K3272))</f>
        <v/>
      </c>
      <c r="E3272" s="186">
        <f>IF($K3272="","",INDEX(Zeiterfassung!$E$6:$E$3665,$K3272))</f>
        <v/>
      </c>
      <c r="F3272" s="187">
        <f>IF($K3272="","",INDEX(Zeiterfassung!$F$6:$F$3665,$K3272))</f>
        <v/>
      </c>
      <c r="G3272" s="187">
        <f>IF($K3272="","",INDEX(Zeiterfassung!$G$6:$G$3665,$K3272))</f>
        <v/>
      </c>
      <c r="H3272" s="188">
        <f>IF($K3272="","",INDEX(Zeiterfassung!$H$6:$H$3665,$K3272))</f>
        <v/>
      </c>
      <c r="I3272" s="335">
        <f>IF(B3272=B3271,"",IF($K3272="","",INDEX(Zeiterfassung!$I$6:$I$3665,MATCH(INDEX(Zeiterfassung!$K$6:$K$3665,$K3272),Zeiterfassung!$K$6:$K$3665,0))))</f>
        <v/>
      </c>
      <c r="J3272" s="335">
        <f>IF(B3272=B3271,"",IF($K3272="","",INDEX(Zeiterfassung!$J$6:$J$3665,MATCH(INDEX(Zeiterfassung!$K$6:$K$3665,$K3272),Zeiterfassung!$K$6:$K$3665,0))))</f>
        <v/>
      </c>
      <c r="K3272">
        <f>IFERROR(AGGREGATE(15,6,(ROW(Zeiterfassung!$D$6:$D$3665)-ROW(Zeiterfassung!$D$6)+1)/(Zeiterfassung!$D$6:$D$3665&lt;&gt;""),3267),"")</f>
        <v/>
      </c>
    </row>
    <row r="3273" ht="20" customHeight="1">
      <c r="A3273" s="183">
        <f>IF($K3273="","",WEEKNUM(INDEX(Zeiterfassung!$K$6:$K$3665,$K3273),21))</f>
        <v/>
      </c>
      <c r="B3273" s="184">
        <f>IF($K3273="","",INDEX(Zeiterfassung!$K$6:$K$3665,$K3273))</f>
        <v/>
      </c>
      <c r="C3273" s="185">
        <f>IF($K3273="","",INDEX(Zeiterfassung!$K$6:$K$3665,$K3273))</f>
        <v/>
      </c>
      <c r="D3273" s="186">
        <f>IF($K3273="","",INDEX(Zeiterfassung!$D$6:$D$3665,$K3273))</f>
        <v/>
      </c>
      <c r="E3273" s="186">
        <f>IF($K3273="","",INDEX(Zeiterfassung!$E$6:$E$3665,$K3273))</f>
        <v/>
      </c>
      <c r="F3273" s="187">
        <f>IF($K3273="","",INDEX(Zeiterfassung!$F$6:$F$3665,$K3273))</f>
        <v/>
      </c>
      <c r="G3273" s="187">
        <f>IF($K3273="","",INDEX(Zeiterfassung!$G$6:$G$3665,$K3273))</f>
        <v/>
      </c>
      <c r="H3273" s="188">
        <f>IF($K3273="","",INDEX(Zeiterfassung!$H$6:$H$3665,$K3273))</f>
        <v/>
      </c>
      <c r="I3273" s="335">
        <f>IF(B3273=B3272,"",IF($K3273="","",INDEX(Zeiterfassung!$I$6:$I$3665,MATCH(INDEX(Zeiterfassung!$K$6:$K$3665,$K3273),Zeiterfassung!$K$6:$K$3665,0))))</f>
        <v/>
      </c>
      <c r="J3273" s="335">
        <f>IF(B3273=B3272,"",IF($K3273="","",INDEX(Zeiterfassung!$J$6:$J$3665,MATCH(INDEX(Zeiterfassung!$K$6:$K$3665,$K3273),Zeiterfassung!$K$6:$K$3665,0))))</f>
        <v/>
      </c>
      <c r="K3273">
        <f>IFERROR(AGGREGATE(15,6,(ROW(Zeiterfassung!$D$6:$D$3665)-ROW(Zeiterfassung!$D$6)+1)/(Zeiterfassung!$D$6:$D$3665&lt;&gt;""),3268),"")</f>
        <v/>
      </c>
    </row>
    <row r="3274" ht="20" customHeight="1">
      <c r="A3274" s="183">
        <f>IF($K3274="","",WEEKNUM(INDEX(Zeiterfassung!$K$6:$K$3665,$K3274),21))</f>
        <v/>
      </c>
      <c r="B3274" s="184">
        <f>IF($K3274="","",INDEX(Zeiterfassung!$K$6:$K$3665,$K3274))</f>
        <v/>
      </c>
      <c r="C3274" s="185">
        <f>IF($K3274="","",INDEX(Zeiterfassung!$K$6:$K$3665,$K3274))</f>
        <v/>
      </c>
      <c r="D3274" s="186">
        <f>IF($K3274="","",INDEX(Zeiterfassung!$D$6:$D$3665,$K3274))</f>
        <v/>
      </c>
      <c r="E3274" s="186">
        <f>IF($K3274="","",INDEX(Zeiterfassung!$E$6:$E$3665,$K3274))</f>
        <v/>
      </c>
      <c r="F3274" s="187">
        <f>IF($K3274="","",INDEX(Zeiterfassung!$F$6:$F$3665,$K3274))</f>
        <v/>
      </c>
      <c r="G3274" s="187">
        <f>IF($K3274="","",INDEX(Zeiterfassung!$G$6:$G$3665,$K3274))</f>
        <v/>
      </c>
      <c r="H3274" s="188">
        <f>IF($K3274="","",INDEX(Zeiterfassung!$H$6:$H$3665,$K3274))</f>
        <v/>
      </c>
      <c r="I3274" s="335">
        <f>IF(B3274=B3273,"",IF($K3274="","",INDEX(Zeiterfassung!$I$6:$I$3665,MATCH(INDEX(Zeiterfassung!$K$6:$K$3665,$K3274),Zeiterfassung!$K$6:$K$3665,0))))</f>
        <v/>
      </c>
      <c r="J3274" s="335">
        <f>IF(B3274=B3273,"",IF($K3274="","",INDEX(Zeiterfassung!$J$6:$J$3665,MATCH(INDEX(Zeiterfassung!$K$6:$K$3665,$K3274),Zeiterfassung!$K$6:$K$3665,0))))</f>
        <v/>
      </c>
      <c r="K3274">
        <f>IFERROR(AGGREGATE(15,6,(ROW(Zeiterfassung!$D$6:$D$3665)-ROW(Zeiterfassung!$D$6)+1)/(Zeiterfassung!$D$6:$D$3665&lt;&gt;""),3269),"")</f>
        <v/>
      </c>
    </row>
    <row r="3275" ht="20" customHeight="1">
      <c r="A3275" s="183">
        <f>IF($K3275="","",WEEKNUM(INDEX(Zeiterfassung!$K$6:$K$3665,$K3275),21))</f>
        <v/>
      </c>
      <c r="B3275" s="184">
        <f>IF($K3275="","",INDEX(Zeiterfassung!$K$6:$K$3665,$K3275))</f>
        <v/>
      </c>
      <c r="C3275" s="185">
        <f>IF($K3275="","",INDEX(Zeiterfassung!$K$6:$K$3665,$K3275))</f>
        <v/>
      </c>
      <c r="D3275" s="186">
        <f>IF($K3275="","",INDEX(Zeiterfassung!$D$6:$D$3665,$K3275))</f>
        <v/>
      </c>
      <c r="E3275" s="186">
        <f>IF($K3275="","",INDEX(Zeiterfassung!$E$6:$E$3665,$K3275))</f>
        <v/>
      </c>
      <c r="F3275" s="187">
        <f>IF($K3275="","",INDEX(Zeiterfassung!$F$6:$F$3665,$K3275))</f>
        <v/>
      </c>
      <c r="G3275" s="187">
        <f>IF($K3275="","",INDEX(Zeiterfassung!$G$6:$G$3665,$K3275))</f>
        <v/>
      </c>
      <c r="H3275" s="188">
        <f>IF($K3275="","",INDEX(Zeiterfassung!$H$6:$H$3665,$K3275))</f>
        <v/>
      </c>
      <c r="I3275" s="335">
        <f>IF(B3275=B3274,"",IF($K3275="","",INDEX(Zeiterfassung!$I$6:$I$3665,MATCH(INDEX(Zeiterfassung!$K$6:$K$3665,$K3275),Zeiterfassung!$K$6:$K$3665,0))))</f>
        <v/>
      </c>
      <c r="J3275" s="335">
        <f>IF(B3275=B3274,"",IF($K3275="","",INDEX(Zeiterfassung!$J$6:$J$3665,MATCH(INDEX(Zeiterfassung!$K$6:$K$3665,$K3275),Zeiterfassung!$K$6:$K$3665,0))))</f>
        <v/>
      </c>
      <c r="K3275">
        <f>IFERROR(AGGREGATE(15,6,(ROW(Zeiterfassung!$D$6:$D$3665)-ROW(Zeiterfassung!$D$6)+1)/(Zeiterfassung!$D$6:$D$3665&lt;&gt;""),3270),"")</f>
        <v/>
      </c>
    </row>
    <row r="3276" ht="20" customHeight="1">
      <c r="A3276" s="183">
        <f>IF($K3276="","",WEEKNUM(INDEX(Zeiterfassung!$K$6:$K$3665,$K3276),21))</f>
        <v/>
      </c>
      <c r="B3276" s="184">
        <f>IF($K3276="","",INDEX(Zeiterfassung!$K$6:$K$3665,$K3276))</f>
        <v/>
      </c>
      <c r="C3276" s="185">
        <f>IF($K3276="","",INDEX(Zeiterfassung!$K$6:$K$3665,$K3276))</f>
        <v/>
      </c>
      <c r="D3276" s="186">
        <f>IF($K3276="","",INDEX(Zeiterfassung!$D$6:$D$3665,$K3276))</f>
        <v/>
      </c>
      <c r="E3276" s="186">
        <f>IF($K3276="","",INDEX(Zeiterfassung!$E$6:$E$3665,$K3276))</f>
        <v/>
      </c>
      <c r="F3276" s="187">
        <f>IF($K3276="","",INDEX(Zeiterfassung!$F$6:$F$3665,$K3276))</f>
        <v/>
      </c>
      <c r="G3276" s="187">
        <f>IF($K3276="","",INDEX(Zeiterfassung!$G$6:$G$3665,$K3276))</f>
        <v/>
      </c>
      <c r="H3276" s="188">
        <f>IF($K3276="","",INDEX(Zeiterfassung!$H$6:$H$3665,$K3276))</f>
        <v/>
      </c>
      <c r="I3276" s="335">
        <f>IF(B3276=B3275,"",IF($K3276="","",INDEX(Zeiterfassung!$I$6:$I$3665,MATCH(INDEX(Zeiterfassung!$K$6:$K$3665,$K3276),Zeiterfassung!$K$6:$K$3665,0))))</f>
        <v/>
      </c>
      <c r="J3276" s="335">
        <f>IF(B3276=B3275,"",IF($K3276="","",INDEX(Zeiterfassung!$J$6:$J$3665,MATCH(INDEX(Zeiterfassung!$K$6:$K$3665,$K3276),Zeiterfassung!$K$6:$K$3665,0))))</f>
        <v/>
      </c>
      <c r="K3276">
        <f>IFERROR(AGGREGATE(15,6,(ROW(Zeiterfassung!$D$6:$D$3665)-ROW(Zeiterfassung!$D$6)+1)/(Zeiterfassung!$D$6:$D$3665&lt;&gt;""),3271),"")</f>
        <v/>
      </c>
    </row>
    <row r="3277" ht="20" customHeight="1">
      <c r="A3277" s="183">
        <f>IF($K3277="","",WEEKNUM(INDEX(Zeiterfassung!$K$6:$K$3665,$K3277),21))</f>
        <v/>
      </c>
      <c r="B3277" s="184">
        <f>IF($K3277="","",INDEX(Zeiterfassung!$K$6:$K$3665,$K3277))</f>
        <v/>
      </c>
      <c r="C3277" s="185">
        <f>IF($K3277="","",INDEX(Zeiterfassung!$K$6:$K$3665,$K3277))</f>
        <v/>
      </c>
      <c r="D3277" s="186">
        <f>IF($K3277="","",INDEX(Zeiterfassung!$D$6:$D$3665,$K3277))</f>
        <v/>
      </c>
      <c r="E3277" s="186">
        <f>IF($K3277="","",INDEX(Zeiterfassung!$E$6:$E$3665,$K3277))</f>
        <v/>
      </c>
      <c r="F3277" s="187">
        <f>IF($K3277="","",INDEX(Zeiterfassung!$F$6:$F$3665,$K3277))</f>
        <v/>
      </c>
      <c r="G3277" s="187">
        <f>IF($K3277="","",INDEX(Zeiterfassung!$G$6:$G$3665,$K3277))</f>
        <v/>
      </c>
      <c r="H3277" s="188">
        <f>IF($K3277="","",INDEX(Zeiterfassung!$H$6:$H$3665,$K3277))</f>
        <v/>
      </c>
      <c r="I3277" s="335">
        <f>IF(B3277=B3276,"",IF($K3277="","",INDEX(Zeiterfassung!$I$6:$I$3665,MATCH(INDEX(Zeiterfassung!$K$6:$K$3665,$K3277),Zeiterfassung!$K$6:$K$3665,0))))</f>
        <v/>
      </c>
      <c r="J3277" s="335">
        <f>IF(B3277=B3276,"",IF($K3277="","",INDEX(Zeiterfassung!$J$6:$J$3665,MATCH(INDEX(Zeiterfassung!$K$6:$K$3665,$K3277),Zeiterfassung!$K$6:$K$3665,0))))</f>
        <v/>
      </c>
      <c r="K3277">
        <f>IFERROR(AGGREGATE(15,6,(ROW(Zeiterfassung!$D$6:$D$3665)-ROW(Zeiterfassung!$D$6)+1)/(Zeiterfassung!$D$6:$D$3665&lt;&gt;""),3272),"")</f>
        <v/>
      </c>
    </row>
    <row r="3278" ht="20" customHeight="1">
      <c r="A3278" s="183">
        <f>IF($K3278="","",WEEKNUM(INDEX(Zeiterfassung!$K$6:$K$3665,$K3278),21))</f>
        <v/>
      </c>
      <c r="B3278" s="184">
        <f>IF($K3278="","",INDEX(Zeiterfassung!$K$6:$K$3665,$K3278))</f>
        <v/>
      </c>
      <c r="C3278" s="185">
        <f>IF($K3278="","",INDEX(Zeiterfassung!$K$6:$K$3665,$K3278))</f>
        <v/>
      </c>
      <c r="D3278" s="186">
        <f>IF($K3278="","",INDEX(Zeiterfassung!$D$6:$D$3665,$K3278))</f>
        <v/>
      </c>
      <c r="E3278" s="186">
        <f>IF($K3278="","",INDEX(Zeiterfassung!$E$6:$E$3665,$K3278))</f>
        <v/>
      </c>
      <c r="F3278" s="187">
        <f>IF($K3278="","",INDEX(Zeiterfassung!$F$6:$F$3665,$K3278))</f>
        <v/>
      </c>
      <c r="G3278" s="187">
        <f>IF($K3278="","",INDEX(Zeiterfassung!$G$6:$G$3665,$K3278))</f>
        <v/>
      </c>
      <c r="H3278" s="188">
        <f>IF($K3278="","",INDEX(Zeiterfassung!$H$6:$H$3665,$K3278))</f>
        <v/>
      </c>
      <c r="I3278" s="335">
        <f>IF(B3278=B3277,"",IF($K3278="","",INDEX(Zeiterfassung!$I$6:$I$3665,MATCH(INDEX(Zeiterfassung!$K$6:$K$3665,$K3278),Zeiterfassung!$K$6:$K$3665,0))))</f>
        <v/>
      </c>
      <c r="J3278" s="335">
        <f>IF(B3278=B3277,"",IF($K3278="","",INDEX(Zeiterfassung!$J$6:$J$3665,MATCH(INDEX(Zeiterfassung!$K$6:$K$3665,$K3278),Zeiterfassung!$K$6:$K$3665,0))))</f>
        <v/>
      </c>
      <c r="K3278">
        <f>IFERROR(AGGREGATE(15,6,(ROW(Zeiterfassung!$D$6:$D$3665)-ROW(Zeiterfassung!$D$6)+1)/(Zeiterfassung!$D$6:$D$3665&lt;&gt;""),3273),"")</f>
        <v/>
      </c>
    </row>
    <row r="3279" ht="20" customHeight="1">
      <c r="A3279" s="183">
        <f>IF($K3279="","",WEEKNUM(INDEX(Zeiterfassung!$K$6:$K$3665,$K3279),21))</f>
        <v/>
      </c>
      <c r="B3279" s="184">
        <f>IF($K3279="","",INDEX(Zeiterfassung!$K$6:$K$3665,$K3279))</f>
        <v/>
      </c>
      <c r="C3279" s="185">
        <f>IF($K3279="","",INDEX(Zeiterfassung!$K$6:$K$3665,$K3279))</f>
        <v/>
      </c>
      <c r="D3279" s="186">
        <f>IF($K3279="","",INDEX(Zeiterfassung!$D$6:$D$3665,$K3279))</f>
        <v/>
      </c>
      <c r="E3279" s="186">
        <f>IF($K3279="","",INDEX(Zeiterfassung!$E$6:$E$3665,$K3279))</f>
        <v/>
      </c>
      <c r="F3279" s="187">
        <f>IF($K3279="","",INDEX(Zeiterfassung!$F$6:$F$3665,$K3279))</f>
        <v/>
      </c>
      <c r="G3279" s="187">
        <f>IF($K3279="","",INDEX(Zeiterfassung!$G$6:$G$3665,$K3279))</f>
        <v/>
      </c>
      <c r="H3279" s="188">
        <f>IF($K3279="","",INDEX(Zeiterfassung!$H$6:$H$3665,$K3279))</f>
        <v/>
      </c>
      <c r="I3279" s="335">
        <f>IF(B3279=B3278,"",IF($K3279="","",INDEX(Zeiterfassung!$I$6:$I$3665,MATCH(INDEX(Zeiterfassung!$K$6:$K$3665,$K3279),Zeiterfassung!$K$6:$K$3665,0))))</f>
        <v/>
      </c>
      <c r="J3279" s="335">
        <f>IF(B3279=B3278,"",IF($K3279="","",INDEX(Zeiterfassung!$J$6:$J$3665,MATCH(INDEX(Zeiterfassung!$K$6:$K$3665,$K3279),Zeiterfassung!$K$6:$K$3665,0))))</f>
        <v/>
      </c>
      <c r="K3279">
        <f>IFERROR(AGGREGATE(15,6,(ROW(Zeiterfassung!$D$6:$D$3665)-ROW(Zeiterfassung!$D$6)+1)/(Zeiterfassung!$D$6:$D$3665&lt;&gt;""),3274),"")</f>
        <v/>
      </c>
    </row>
    <row r="3280" ht="20" customHeight="1">
      <c r="A3280" s="183">
        <f>IF($K3280="","",WEEKNUM(INDEX(Zeiterfassung!$K$6:$K$3665,$K3280),21))</f>
        <v/>
      </c>
      <c r="B3280" s="184">
        <f>IF($K3280="","",INDEX(Zeiterfassung!$K$6:$K$3665,$K3280))</f>
        <v/>
      </c>
      <c r="C3280" s="185">
        <f>IF($K3280="","",INDEX(Zeiterfassung!$K$6:$K$3665,$K3280))</f>
        <v/>
      </c>
      <c r="D3280" s="186">
        <f>IF($K3280="","",INDEX(Zeiterfassung!$D$6:$D$3665,$K3280))</f>
        <v/>
      </c>
      <c r="E3280" s="186">
        <f>IF($K3280="","",INDEX(Zeiterfassung!$E$6:$E$3665,$K3280))</f>
        <v/>
      </c>
      <c r="F3280" s="187">
        <f>IF($K3280="","",INDEX(Zeiterfassung!$F$6:$F$3665,$K3280))</f>
        <v/>
      </c>
      <c r="G3280" s="187">
        <f>IF($K3280="","",INDEX(Zeiterfassung!$G$6:$G$3665,$K3280))</f>
        <v/>
      </c>
      <c r="H3280" s="188">
        <f>IF($K3280="","",INDEX(Zeiterfassung!$H$6:$H$3665,$K3280))</f>
        <v/>
      </c>
      <c r="I3280" s="335">
        <f>IF(B3280=B3279,"",IF($K3280="","",INDEX(Zeiterfassung!$I$6:$I$3665,MATCH(INDEX(Zeiterfassung!$K$6:$K$3665,$K3280),Zeiterfassung!$K$6:$K$3665,0))))</f>
        <v/>
      </c>
      <c r="J3280" s="335">
        <f>IF(B3280=B3279,"",IF($K3280="","",INDEX(Zeiterfassung!$J$6:$J$3665,MATCH(INDEX(Zeiterfassung!$K$6:$K$3665,$K3280),Zeiterfassung!$K$6:$K$3665,0))))</f>
        <v/>
      </c>
      <c r="K3280">
        <f>IFERROR(AGGREGATE(15,6,(ROW(Zeiterfassung!$D$6:$D$3665)-ROW(Zeiterfassung!$D$6)+1)/(Zeiterfassung!$D$6:$D$3665&lt;&gt;""),3275),"")</f>
        <v/>
      </c>
    </row>
    <row r="3281" ht="20" customHeight="1">
      <c r="A3281" s="183">
        <f>IF($K3281="","",WEEKNUM(INDEX(Zeiterfassung!$K$6:$K$3665,$K3281),21))</f>
        <v/>
      </c>
      <c r="B3281" s="184">
        <f>IF($K3281="","",INDEX(Zeiterfassung!$K$6:$K$3665,$K3281))</f>
        <v/>
      </c>
      <c r="C3281" s="185">
        <f>IF($K3281="","",INDEX(Zeiterfassung!$K$6:$K$3665,$K3281))</f>
        <v/>
      </c>
      <c r="D3281" s="186">
        <f>IF($K3281="","",INDEX(Zeiterfassung!$D$6:$D$3665,$K3281))</f>
        <v/>
      </c>
      <c r="E3281" s="186">
        <f>IF($K3281="","",INDEX(Zeiterfassung!$E$6:$E$3665,$K3281))</f>
        <v/>
      </c>
      <c r="F3281" s="187">
        <f>IF($K3281="","",INDEX(Zeiterfassung!$F$6:$F$3665,$K3281))</f>
        <v/>
      </c>
      <c r="G3281" s="187">
        <f>IF($K3281="","",INDEX(Zeiterfassung!$G$6:$G$3665,$K3281))</f>
        <v/>
      </c>
      <c r="H3281" s="188">
        <f>IF($K3281="","",INDEX(Zeiterfassung!$H$6:$H$3665,$K3281))</f>
        <v/>
      </c>
      <c r="I3281" s="335">
        <f>IF(B3281=B3280,"",IF($K3281="","",INDEX(Zeiterfassung!$I$6:$I$3665,MATCH(INDEX(Zeiterfassung!$K$6:$K$3665,$K3281),Zeiterfassung!$K$6:$K$3665,0))))</f>
        <v/>
      </c>
      <c r="J3281" s="335">
        <f>IF(B3281=B3280,"",IF($K3281="","",INDEX(Zeiterfassung!$J$6:$J$3665,MATCH(INDEX(Zeiterfassung!$K$6:$K$3665,$K3281),Zeiterfassung!$K$6:$K$3665,0))))</f>
        <v/>
      </c>
      <c r="K3281">
        <f>IFERROR(AGGREGATE(15,6,(ROW(Zeiterfassung!$D$6:$D$3665)-ROW(Zeiterfassung!$D$6)+1)/(Zeiterfassung!$D$6:$D$3665&lt;&gt;""),3276),"")</f>
        <v/>
      </c>
    </row>
    <row r="3282" ht="20" customHeight="1">
      <c r="A3282" s="183">
        <f>IF($K3282="","",WEEKNUM(INDEX(Zeiterfassung!$K$6:$K$3665,$K3282),21))</f>
        <v/>
      </c>
      <c r="B3282" s="184">
        <f>IF($K3282="","",INDEX(Zeiterfassung!$K$6:$K$3665,$K3282))</f>
        <v/>
      </c>
      <c r="C3282" s="185">
        <f>IF($K3282="","",INDEX(Zeiterfassung!$K$6:$K$3665,$K3282))</f>
        <v/>
      </c>
      <c r="D3282" s="186">
        <f>IF($K3282="","",INDEX(Zeiterfassung!$D$6:$D$3665,$K3282))</f>
        <v/>
      </c>
      <c r="E3282" s="186">
        <f>IF($K3282="","",INDEX(Zeiterfassung!$E$6:$E$3665,$K3282))</f>
        <v/>
      </c>
      <c r="F3282" s="187">
        <f>IF($K3282="","",INDEX(Zeiterfassung!$F$6:$F$3665,$K3282))</f>
        <v/>
      </c>
      <c r="G3282" s="187">
        <f>IF($K3282="","",INDEX(Zeiterfassung!$G$6:$G$3665,$K3282))</f>
        <v/>
      </c>
      <c r="H3282" s="188">
        <f>IF($K3282="","",INDEX(Zeiterfassung!$H$6:$H$3665,$K3282))</f>
        <v/>
      </c>
      <c r="I3282" s="335">
        <f>IF(B3282=B3281,"",IF($K3282="","",INDEX(Zeiterfassung!$I$6:$I$3665,MATCH(INDEX(Zeiterfassung!$K$6:$K$3665,$K3282),Zeiterfassung!$K$6:$K$3665,0))))</f>
        <v/>
      </c>
      <c r="J3282" s="335">
        <f>IF(B3282=B3281,"",IF($K3282="","",INDEX(Zeiterfassung!$J$6:$J$3665,MATCH(INDEX(Zeiterfassung!$K$6:$K$3665,$K3282),Zeiterfassung!$K$6:$K$3665,0))))</f>
        <v/>
      </c>
      <c r="K3282">
        <f>IFERROR(AGGREGATE(15,6,(ROW(Zeiterfassung!$D$6:$D$3665)-ROW(Zeiterfassung!$D$6)+1)/(Zeiterfassung!$D$6:$D$3665&lt;&gt;""),3277),"")</f>
        <v/>
      </c>
    </row>
    <row r="3283" ht="20" customHeight="1">
      <c r="A3283" s="183">
        <f>IF($K3283="","",WEEKNUM(INDEX(Zeiterfassung!$K$6:$K$3665,$K3283),21))</f>
        <v/>
      </c>
      <c r="B3283" s="184">
        <f>IF($K3283="","",INDEX(Zeiterfassung!$K$6:$K$3665,$K3283))</f>
        <v/>
      </c>
      <c r="C3283" s="185">
        <f>IF($K3283="","",INDEX(Zeiterfassung!$K$6:$K$3665,$K3283))</f>
        <v/>
      </c>
      <c r="D3283" s="186">
        <f>IF($K3283="","",INDEX(Zeiterfassung!$D$6:$D$3665,$K3283))</f>
        <v/>
      </c>
      <c r="E3283" s="186">
        <f>IF($K3283="","",INDEX(Zeiterfassung!$E$6:$E$3665,$K3283))</f>
        <v/>
      </c>
      <c r="F3283" s="187">
        <f>IF($K3283="","",INDEX(Zeiterfassung!$F$6:$F$3665,$K3283))</f>
        <v/>
      </c>
      <c r="G3283" s="187">
        <f>IF($K3283="","",INDEX(Zeiterfassung!$G$6:$G$3665,$K3283))</f>
        <v/>
      </c>
      <c r="H3283" s="188">
        <f>IF($K3283="","",INDEX(Zeiterfassung!$H$6:$H$3665,$K3283))</f>
        <v/>
      </c>
      <c r="I3283" s="335">
        <f>IF(B3283=B3282,"",IF($K3283="","",INDEX(Zeiterfassung!$I$6:$I$3665,MATCH(INDEX(Zeiterfassung!$K$6:$K$3665,$K3283),Zeiterfassung!$K$6:$K$3665,0))))</f>
        <v/>
      </c>
      <c r="J3283" s="335">
        <f>IF(B3283=B3282,"",IF($K3283="","",INDEX(Zeiterfassung!$J$6:$J$3665,MATCH(INDEX(Zeiterfassung!$K$6:$K$3665,$K3283),Zeiterfassung!$K$6:$K$3665,0))))</f>
        <v/>
      </c>
      <c r="K3283">
        <f>IFERROR(AGGREGATE(15,6,(ROW(Zeiterfassung!$D$6:$D$3665)-ROW(Zeiterfassung!$D$6)+1)/(Zeiterfassung!$D$6:$D$3665&lt;&gt;""),3278),"")</f>
        <v/>
      </c>
    </row>
    <row r="3284" ht="20" customHeight="1">
      <c r="A3284" s="183">
        <f>IF($K3284="","",WEEKNUM(INDEX(Zeiterfassung!$K$6:$K$3665,$K3284),21))</f>
        <v/>
      </c>
      <c r="B3284" s="184">
        <f>IF($K3284="","",INDEX(Zeiterfassung!$K$6:$K$3665,$K3284))</f>
        <v/>
      </c>
      <c r="C3284" s="185">
        <f>IF($K3284="","",INDEX(Zeiterfassung!$K$6:$K$3665,$K3284))</f>
        <v/>
      </c>
      <c r="D3284" s="186">
        <f>IF($K3284="","",INDEX(Zeiterfassung!$D$6:$D$3665,$K3284))</f>
        <v/>
      </c>
      <c r="E3284" s="186">
        <f>IF($K3284="","",INDEX(Zeiterfassung!$E$6:$E$3665,$K3284))</f>
        <v/>
      </c>
      <c r="F3284" s="187">
        <f>IF($K3284="","",INDEX(Zeiterfassung!$F$6:$F$3665,$K3284))</f>
        <v/>
      </c>
      <c r="G3284" s="187">
        <f>IF($K3284="","",INDEX(Zeiterfassung!$G$6:$G$3665,$K3284))</f>
        <v/>
      </c>
      <c r="H3284" s="188">
        <f>IF($K3284="","",INDEX(Zeiterfassung!$H$6:$H$3665,$K3284))</f>
        <v/>
      </c>
      <c r="I3284" s="335">
        <f>IF(B3284=B3283,"",IF($K3284="","",INDEX(Zeiterfassung!$I$6:$I$3665,MATCH(INDEX(Zeiterfassung!$K$6:$K$3665,$K3284),Zeiterfassung!$K$6:$K$3665,0))))</f>
        <v/>
      </c>
      <c r="J3284" s="335">
        <f>IF(B3284=B3283,"",IF($K3284="","",INDEX(Zeiterfassung!$J$6:$J$3665,MATCH(INDEX(Zeiterfassung!$K$6:$K$3665,$K3284),Zeiterfassung!$K$6:$K$3665,0))))</f>
        <v/>
      </c>
      <c r="K3284">
        <f>IFERROR(AGGREGATE(15,6,(ROW(Zeiterfassung!$D$6:$D$3665)-ROW(Zeiterfassung!$D$6)+1)/(Zeiterfassung!$D$6:$D$3665&lt;&gt;""),3279),"")</f>
        <v/>
      </c>
    </row>
    <row r="3285" ht="20" customHeight="1">
      <c r="A3285" s="183">
        <f>IF($K3285="","",WEEKNUM(INDEX(Zeiterfassung!$K$6:$K$3665,$K3285),21))</f>
        <v/>
      </c>
      <c r="B3285" s="184">
        <f>IF($K3285="","",INDEX(Zeiterfassung!$K$6:$K$3665,$K3285))</f>
        <v/>
      </c>
      <c r="C3285" s="185">
        <f>IF($K3285="","",INDEX(Zeiterfassung!$K$6:$K$3665,$K3285))</f>
        <v/>
      </c>
      <c r="D3285" s="186">
        <f>IF($K3285="","",INDEX(Zeiterfassung!$D$6:$D$3665,$K3285))</f>
        <v/>
      </c>
      <c r="E3285" s="186">
        <f>IF($K3285="","",INDEX(Zeiterfassung!$E$6:$E$3665,$K3285))</f>
        <v/>
      </c>
      <c r="F3285" s="187">
        <f>IF($K3285="","",INDEX(Zeiterfassung!$F$6:$F$3665,$K3285))</f>
        <v/>
      </c>
      <c r="G3285" s="187">
        <f>IF($K3285="","",INDEX(Zeiterfassung!$G$6:$G$3665,$K3285))</f>
        <v/>
      </c>
      <c r="H3285" s="188">
        <f>IF($K3285="","",INDEX(Zeiterfassung!$H$6:$H$3665,$K3285))</f>
        <v/>
      </c>
      <c r="I3285" s="335">
        <f>IF(B3285=B3284,"",IF($K3285="","",INDEX(Zeiterfassung!$I$6:$I$3665,MATCH(INDEX(Zeiterfassung!$K$6:$K$3665,$K3285),Zeiterfassung!$K$6:$K$3665,0))))</f>
        <v/>
      </c>
      <c r="J3285" s="335">
        <f>IF(B3285=B3284,"",IF($K3285="","",INDEX(Zeiterfassung!$J$6:$J$3665,MATCH(INDEX(Zeiterfassung!$K$6:$K$3665,$K3285),Zeiterfassung!$K$6:$K$3665,0))))</f>
        <v/>
      </c>
      <c r="K3285">
        <f>IFERROR(AGGREGATE(15,6,(ROW(Zeiterfassung!$D$6:$D$3665)-ROW(Zeiterfassung!$D$6)+1)/(Zeiterfassung!$D$6:$D$3665&lt;&gt;""),3280),"")</f>
        <v/>
      </c>
    </row>
    <row r="3286" ht="20" customHeight="1">
      <c r="A3286" s="183">
        <f>IF($K3286="","",WEEKNUM(INDEX(Zeiterfassung!$K$6:$K$3665,$K3286),21))</f>
        <v/>
      </c>
      <c r="B3286" s="184">
        <f>IF($K3286="","",INDEX(Zeiterfassung!$K$6:$K$3665,$K3286))</f>
        <v/>
      </c>
      <c r="C3286" s="185">
        <f>IF($K3286="","",INDEX(Zeiterfassung!$K$6:$K$3665,$K3286))</f>
        <v/>
      </c>
      <c r="D3286" s="186">
        <f>IF($K3286="","",INDEX(Zeiterfassung!$D$6:$D$3665,$K3286))</f>
        <v/>
      </c>
      <c r="E3286" s="186">
        <f>IF($K3286="","",INDEX(Zeiterfassung!$E$6:$E$3665,$K3286))</f>
        <v/>
      </c>
      <c r="F3286" s="187">
        <f>IF($K3286="","",INDEX(Zeiterfassung!$F$6:$F$3665,$K3286))</f>
        <v/>
      </c>
      <c r="G3286" s="187">
        <f>IF($K3286="","",INDEX(Zeiterfassung!$G$6:$G$3665,$K3286))</f>
        <v/>
      </c>
      <c r="H3286" s="188">
        <f>IF($K3286="","",INDEX(Zeiterfassung!$H$6:$H$3665,$K3286))</f>
        <v/>
      </c>
      <c r="I3286" s="335">
        <f>IF(B3286=B3285,"",IF($K3286="","",INDEX(Zeiterfassung!$I$6:$I$3665,MATCH(INDEX(Zeiterfassung!$K$6:$K$3665,$K3286),Zeiterfassung!$K$6:$K$3665,0))))</f>
        <v/>
      </c>
      <c r="J3286" s="335">
        <f>IF(B3286=B3285,"",IF($K3286="","",INDEX(Zeiterfassung!$J$6:$J$3665,MATCH(INDEX(Zeiterfassung!$K$6:$K$3665,$K3286),Zeiterfassung!$K$6:$K$3665,0))))</f>
        <v/>
      </c>
      <c r="K3286">
        <f>IFERROR(AGGREGATE(15,6,(ROW(Zeiterfassung!$D$6:$D$3665)-ROW(Zeiterfassung!$D$6)+1)/(Zeiterfassung!$D$6:$D$3665&lt;&gt;""),3281),"")</f>
        <v/>
      </c>
    </row>
    <row r="3287" ht="20" customHeight="1">
      <c r="A3287" s="183">
        <f>IF($K3287="","",WEEKNUM(INDEX(Zeiterfassung!$K$6:$K$3665,$K3287),21))</f>
        <v/>
      </c>
      <c r="B3287" s="184">
        <f>IF($K3287="","",INDEX(Zeiterfassung!$K$6:$K$3665,$K3287))</f>
        <v/>
      </c>
      <c r="C3287" s="185">
        <f>IF($K3287="","",INDEX(Zeiterfassung!$K$6:$K$3665,$K3287))</f>
        <v/>
      </c>
      <c r="D3287" s="186">
        <f>IF($K3287="","",INDEX(Zeiterfassung!$D$6:$D$3665,$K3287))</f>
        <v/>
      </c>
      <c r="E3287" s="186">
        <f>IF($K3287="","",INDEX(Zeiterfassung!$E$6:$E$3665,$K3287))</f>
        <v/>
      </c>
      <c r="F3287" s="187">
        <f>IF($K3287="","",INDEX(Zeiterfassung!$F$6:$F$3665,$K3287))</f>
        <v/>
      </c>
      <c r="G3287" s="187">
        <f>IF($K3287="","",INDEX(Zeiterfassung!$G$6:$G$3665,$K3287))</f>
        <v/>
      </c>
      <c r="H3287" s="188">
        <f>IF($K3287="","",INDEX(Zeiterfassung!$H$6:$H$3665,$K3287))</f>
        <v/>
      </c>
      <c r="I3287" s="335">
        <f>IF(B3287=B3286,"",IF($K3287="","",INDEX(Zeiterfassung!$I$6:$I$3665,MATCH(INDEX(Zeiterfassung!$K$6:$K$3665,$K3287),Zeiterfassung!$K$6:$K$3665,0))))</f>
        <v/>
      </c>
      <c r="J3287" s="335">
        <f>IF(B3287=B3286,"",IF($K3287="","",INDEX(Zeiterfassung!$J$6:$J$3665,MATCH(INDEX(Zeiterfassung!$K$6:$K$3665,$K3287),Zeiterfassung!$K$6:$K$3665,0))))</f>
        <v/>
      </c>
      <c r="K3287">
        <f>IFERROR(AGGREGATE(15,6,(ROW(Zeiterfassung!$D$6:$D$3665)-ROW(Zeiterfassung!$D$6)+1)/(Zeiterfassung!$D$6:$D$3665&lt;&gt;""),3282),"")</f>
        <v/>
      </c>
    </row>
    <row r="3288" ht="20" customHeight="1">
      <c r="A3288" s="183">
        <f>IF($K3288="","",WEEKNUM(INDEX(Zeiterfassung!$K$6:$K$3665,$K3288),21))</f>
        <v/>
      </c>
      <c r="B3288" s="184">
        <f>IF($K3288="","",INDEX(Zeiterfassung!$K$6:$K$3665,$K3288))</f>
        <v/>
      </c>
      <c r="C3288" s="185">
        <f>IF($K3288="","",INDEX(Zeiterfassung!$K$6:$K$3665,$K3288))</f>
        <v/>
      </c>
      <c r="D3288" s="186">
        <f>IF($K3288="","",INDEX(Zeiterfassung!$D$6:$D$3665,$K3288))</f>
        <v/>
      </c>
      <c r="E3288" s="186">
        <f>IF($K3288="","",INDEX(Zeiterfassung!$E$6:$E$3665,$K3288))</f>
        <v/>
      </c>
      <c r="F3288" s="187">
        <f>IF($K3288="","",INDEX(Zeiterfassung!$F$6:$F$3665,$K3288))</f>
        <v/>
      </c>
      <c r="G3288" s="187">
        <f>IF($K3288="","",INDEX(Zeiterfassung!$G$6:$G$3665,$K3288))</f>
        <v/>
      </c>
      <c r="H3288" s="188">
        <f>IF($K3288="","",INDEX(Zeiterfassung!$H$6:$H$3665,$K3288))</f>
        <v/>
      </c>
      <c r="I3288" s="335">
        <f>IF(B3288=B3287,"",IF($K3288="","",INDEX(Zeiterfassung!$I$6:$I$3665,MATCH(INDEX(Zeiterfassung!$K$6:$K$3665,$K3288),Zeiterfassung!$K$6:$K$3665,0))))</f>
        <v/>
      </c>
      <c r="J3288" s="335">
        <f>IF(B3288=B3287,"",IF($K3288="","",INDEX(Zeiterfassung!$J$6:$J$3665,MATCH(INDEX(Zeiterfassung!$K$6:$K$3665,$K3288),Zeiterfassung!$K$6:$K$3665,0))))</f>
        <v/>
      </c>
      <c r="K3288">
        <f>IFERROR(AGGREGATE(15,6,(ROW(Zeiterfassung!$D$6:$D$3665)-ROW(Zeiterfassung!$D$6)+1)/(Zeiterfassung!$D$6:$D$3665&lt;&gt;""),3283),"")</f>
        <v/>
      </c>
    </row>
    <row r="3289" ht="20" customHeight="1">
      <c r="A3289" s="183">
        <f>IF($K3289="","",WEEKNUM(INDEX(Zeiterfassung!$K$6:$K$3665,$K3289),21))</f>
        <v/>
      </c>
      <c r="B3289" s="184">
        <f>IF($K3289="","",INDEX(Zeiterfassung!$K$6:$K$3665,$K3289))</f>
        <v/>
      </c>
      <c r="C3289" s="185">
        <f>IF($K3289="","",INDEX(Zeiterfassung!$K$6:$K$3665,$K3289))</f>
        <v/>
      </c>
      <c r="D3289" s="186">
        <f>IF($K3289="","",INDEX(Zeiterfassung!$D$6:$D$3665,$K3289))</f>
        <v/>
      </c>
      <c r="E3289" s="186">
        <f>IF($K3289="","",INDEX(Zeiterfassung!$E$6:$E$3665,$K3289))</f>
        <v/>
      </c>
      <c r="F3289" s="187">
        <f>IF($K3289="","",INDEX(Zeiterfassung!$F$6:$F$3665,$K3289))</f>
        <v/>
      </c>
      <c r="G3289" s="187">
        <f>IF($K3289="","",INDEX(Zeiterfassung!$G$6:$G$3665,$K3289))</f>
        <v/>
      </c>
      <c r="H3289" s="188">
        <f>IF($K3289="","",INDEX(Zeiterfassung!$H$6:$H$3665,$K3289))</f>
        <v/>
      </c>
      <c r="I3289" s="335">
        <f>IF(B3289=B3288,"",IF($K3289="","",INDEX(Zeiterfassung!$I$6:$I$3665,MATCH(INDEX(Zeiterfassung!$K$6:$K$3665,$K3289),Zeiterfassung!$K$6:$K$3665,0))))</f>
        <v/>
      </c>
      <c r="J3289" s="335">
        <f>IF(B3289=B3288,"",IF($K3289="","",INDEX(Zeiterfassung!$J$6:$J$3665,MATCH(INDEX(Zeiterfassung!$K$6:$K$3665,$K3289),Zeiterfassung!$K$6:$K$3665,0))))</f>
        <v/>
      </c>
      <c r="K3289">
        <f>IFERROR(AGGREGATE(15,6,(ROW(Zeiterfassung!$D$6:$D$3665)-ROW(Zeiterfassung!$D$6)+1)/(Zeiterfassung!$D$6:$D$3665&lt;&gt;""),3284),"")</f>
        <v/>
      </c>
    </row>
    <row r="3290" ht="20" customHeight="1">
      <c r="A3290" s="183">
        <f>IF($K3290="","",WEEKNUM(INDEX(Zeiterfassung!$K$6:$K$3665,$K3290),21))</f>
        <v/>
      </c>
      <c r="B3290" s="184">
        <f>IF($K3290="","",INDEX(Zeiterfassung!$K$6:$K$3665,$K3290))</f>
        <v/>
      </c>
      <c r="C3290" s="185">
        <f>IF($K3290="","",INDEX(Zeiterfassung!$K$6:$K$3665,$K3290))</f>
        <v/>
      </c>
      <c r="D3290" s="186">
        <f>IF($K3290="","",INDEX(Zeiterfassung!$D$6:$D$3665,$K3290))</f>
        <v/>
      </c>
      <c r="E3290" s="186">
        <f>IF($K3290="","",INDEX(Zeiterfassung!$E$6:$E$3665,$K3290))</f>
        <v/>
      </c>
      <c r="F3290" s="187">
        <f>IF($K3290="","",INDEX(Zeiterfassung!$F$6:$F$3665,$K3290))</f>
        <v/>
      </c>
      <c r="G3290" s="187">
        <f>IF($K3290="","",INDEX(Zeiterfassung!$G$6:$G$3665,$K3290))</f>
        <v/>
      </c>
      <c r="H3290" s="188">
        <f>IF($K3290="","",INDEX(Zeiterfassung!$H$6:$H$3665,$K3290))</f>
        <v/>
      </c>
      <c r="I3290" s="335">
        <f>IF(B3290=B3289,"",IF($K3290="","",INDEX(Zeiterfassung!$I$6:$I$3665,MATCH(INDEX(Zeiterfassung!$K$6:$K$3665,$K3290),Zeiterfassung!$K$6:$K$3665,0))))</f>
        <v/>
      </c>
      <c r="J3290" s="335">
        <f>IF(B3290=B3289,"",IF($K3290="","",INDEX(Zeiterfassung!$J$6:$J$3665,MATCH(INDEX(Zeiterfassung!$K$6:$K$3665,$K3290),Zeiterfassung!$K$6:$K$3665,0))))</f>
        <v/>
      </c>
      <c r="K3290">
        <f>IFERROR(AGGREGATE(15,6,(ROW(Zeiterfassung!$D$6:$D$3665)-ROW(Zeiterfassung!$D$6)+1)/(Zeiterfassung!$D$6:$D$3665&lt;&gt;""),3285),"")</f>
        <v/>
      </c>
    </row>
    <row r="3291" ht="20" customHeight="1">
      <c r="A3291" s="183">
        <f>IF($K3291="","",WEEKNUM(INDEX(Zeiterfassung!$K$6:$K$3665,$K3291),21))</f>
        <v/>
      </c>
      <c r="B3291" s="184">
        <f>IF($K3291="","",INDEX(Zeiterfassung!$K$6:$K$3665,$K3291))</f>
        <v/>
      </c>
      <c r="C3291" s="185">
        <f>IF($K3291="","",INDEX(Zeiterfassung!$K$6:$K$3665,$K3291))</f>
        <v/>
      </c>
      <c r="D3291" s="186">
        <f>IF($K3291="","",INDEX(Zeiterfassung!$D$6:$D$3665,$K3291))</f>
        <v/>
      </c>
      <c r="E3291" s="186">
        <f>IF($K3291="","",INDEX(Zeiterfassung!$E$6:$E$3665,$K3291))</f>
        <v/>
      </c>
      <c r="F3291" s="187">
        <f>IF($K3291="","",INDEX(Zeiterfassung!$F$6:$F$3665,$K3291))</f>
        <v/>
      </c>
      <c r="G3291" s="187">
        <f>IF($K3291="","",INDEX(Zeiterfassung!$G$6:$G$3665,$K3291))</f>
        <v/>
      </c>
      <c r="H3291" s="188">
        <f>IF($K3291="","",INDEX(Zeiterfassung!$H$6:$H$3665,$K3291))</f>
        <v/>
      </c>
      <c r="I3291" s="335">
        <f>IF(B3291=B3290,"",IF($K3291="","",INDEX(Zeiterfassung!$I$6:$I$3665,MATCH(INDEX(Zeiterfassung!$K$6:$K$3665,$K3291),Zeiterfassung!$K$6:$K$3665,0))))</f>
        <v/>
      </c>
      <c r="J3291" s="335">
        <f>IF(B3291=B3290,"",IF($K3291="","",INDEX(Zeiterfassung!$J$6:$J$3665,MATCH(INDEX(Zeiterfassung!$K$6:$K$3665,$K3291),Zeiterfassung!$K$6:$K$3665,0))))</f>
        <v/>
      </c>
      <c r="K3291">
        <f>IFERROR(AGGREGATE(15,6,(ROW(Zeiterfassung!$D$6:$D$3665)-ROW(Zeiterfassung!$D$6)+1)/(Zeiterfassung!$D$6:$D$3665&lt;&gt;""),3286),"")</f>
        <v/>
      </c>
    </row>
    <row r="3292" ht="20" customHeight="1">
      <c r="A3292" s="183">
        <f>IF($K3292="","",WEEKNUM(INDEX(Zeiterfassung!$K$6:$K$3665,$K3292),21))</f>
        <v/>
      </c>
      <c r="B3292" s="184">
        <f>IF($K3292="","",INDEX(Zeiterfassung!$K$6:$K$3665,$K3292))</f>
        <v/>
      </c>
      <c r="C3292" s="185">
        <f>IF($K3292="","",INDEX(Zeiterfassung!$K$6:$K$3665,$K3292))</f>
        <v/>
      </c>
      <c r="D3292" s="186">
        <f>IF($K3292="","",INDEX(Zeiterfassung!$D$6:$D$3665,$K3292))</f>
        <v/>
      </c>
      <c r="E3292" s="186">
        <f>IF($K3292="","",INDEX(Zeiterfassung!$E$6:$E$3665,$K3292))</f>
        <v/>
      </c>
      <c r="F3292" s="187">
        <f>IF($K3292="","",INDEX(Zeiterfassung!$F$6:$F$3665,$K3292))</f>
        <v/>
      </c>
      <c r="G3292" s="187">
        <f>IF($K3292="","",INDEX(Zeiterfassung!$G$6:$G$3665,$K3292))</f>
        <v/>
      </c>
      <c r="H3292" s="188">
        <f>IF($K3292="","",INDEX(Zeiterfassung!$H$6:$H$3665,$K3292))</f>
        <v/>
      </c>
      <c r="I3292" s="335">
        <f>IF(B3292=B3291,"",IF($K3292="","",INDEX(Zeiterfassung!$I$6:$I$3665,MATCH(INDEX(Zeiterfassung!$K$6:$K$3665,$K3292),Zeiterfassung!$K$6:$K$3665,0))))</f>
        <v/>
      </c>
      <c r="J3292" s="335">
        <f>IF(B3292=B3291,"",IF($K3292="","",INDEX(Zeiterfassung!$J$6:$J$3665,MATCH(INDEX(Zeiterfassung!$K$6:$K$3665,$K3292),Zeiterfassung!$K$6:$K$3665,0))))</f>
        <v/>
      </c>
      <c r="K3292">
        <f>IFERROR(AGGREGATE(15,6,(ROW(Zeiterfassung!$D$6:$D$3665)-ROW(Zeiterfassung!$D$6)+1)/(Zeiterfassung!$D$6:$D$3665&lt;&gt;""),3287),"")</f>
        <v/>
      </c>
    </row>
    <row r="3293" ht="20" customHeight="1">
      <c r="A3293" s="183">
        <f>IF($K3293="","",WEEKNUM(INDEX(Zeiterfassung!$K$6:$K$3665,$K3293),21))</f>
        <v/>
      </c>
      <c r="B3293" s="184">
        <f>IF($K3293="","",INDEX(Zeiterfassung!$K$6:$K$3665,$K3293))</f>
        <v/>
      </c>
      <c r="C3293" s="185">
        <f>IF($K3293="","",INDEX(Zeiterfassung!$K$6:$K$3665,$K3293))</f>
        <v/>
      </c>
      <c r="D3293" s="186">
        <f>IF($K3293="","",INDEX(Zeiterfassung!$D$6:$D$3665,$K3293))</f>
        <v/>
      </c>
      <c r="E3293" s="186">
        <f>IF($K3293="","",INDEX(Zeiterfassung!$E$6:$E$3665,$K3293))</f>
        <v/>
      </c>
      <c r="F3293" s="187">
        <f>IF($K3293="","",INDEX(Zeiterfassung!$F$6:$F$3665,$K3293))</f>
        <v/>
      </c>
      <c r="G3293" s="187">
        <f>IF($K3293="","",INDEX(Zeiterfassung!$G$6:$G$3665,$K3293))</f>
        <v/>
      </c>
      <c r="H3293" s="188">
        <f>IF($K3293="","",INDEX(Zeiterfassung!$H$6:$H$3665,$K3293))</f>
        <v/>
      </c>
      <c r="I3293" s="335">
        <f>IF(B3293=B3292,"",IF($K3293="","",INDEX(Zeiterfassung!$I$6:$I$3665,MATCH(INDEX(Zeiterfassung!$K$6:$K$3665,$K3293),Zeiterfassung!$K$6:$K$3665,0))))</f>
        <v/>
      </c>
      <c r="J3293" s="335">
        <f>IF(B3293=B3292,"",IF($K3293="","",INDEX(Zeiterfassung!$J$6:$J$3665,MATCH(INDEX(Zeiterfassung!$K$6:$K$3665,$K3293),Zeiterfassung!$K$6:$K$3665,0))))</f>
        <v/>
      </c>
      <c r="K3293">
        <f>IFERROR(AGGREGATE(15,6,(ROW(Zeiterfassung!$D$6:$D$3665)-ROW(Zeiterfassung!$D$6)+1)/(Zeiterfassung!$D$6:$D$3665&lt;&gt;""),3288),"")</f>
        <v/>
      </c>
    </row>
    <row r="3294" ht="20" customHeight="1">
      <c r="A3294" s="183">
        <f>IF($K3294="","",WEEKNUM(INDEX(Zeiterfassung!$K$6:$K$3665,$K3294),21))</f>
        <v/>
      </c>
      <c r="B3294" s="184">
        <f>IF($K3294="","",INDEX(Zeiterfassung!$K$6:$K$3665,$K3294))</f>
        <v/>
      </c>
      <c r="C3294" s="185">
        <f>IF($K3294="","",INDEX(Zeiterfassung!$K$6:$K$3665,$K3294))</f>
        <v/>
      </c>
      <c r="D3294" s="186">
        <f>IF($K3294="","",INDEX(Zeiterfassung!$D$6:$D$3665,$K3294))</f>
        <v/>
      </c>
      <c r="E3294" s="186">
        <f>IF($K3294="","",INDEX(Zeiterfassung!$E$6:$E$3665,$K3294))</f>
        <v/>
      </c>
      <c r="F3294" s="187">
        <f>IF($K3294="","",INDEX(Zeiterfassung!$F$6:$F$3665,$K3294))</f>
        <v/>
      </c>
      <c r="G3294" s="187">
        <f>IF($K3294="","",INDEX(Zeiterfassung!$G$6:$G$3665,$K3294))</f>
        <v/>
      </c>
      <c r="H3294" s="188">
        <f>IF($K3294="","",INDEX(Zeiterfassung!$H$6:$H$3665,$K3294))</f>
        <v/>
      </c>
      <c r="I3294" s="335">
        <f>IF(B3294=B3293,"",IF($K3294="","",INDEX(Zeiterfassung!$I$6:$I$3665,MATCH(INDEX(Zeiterfassung!$K$6:$K$3665,$K3294),Zeiterfassung!$K$6:$K$3665,0))))</f>
        <v/>
      </c>
      <c r="J3294" s="335">
        <f>IF(B3294=B3293,"",IF($K3294="","",INDEX(Zeiterfassung!$J$6:$J$3665,MATCH(INDEX(Zeiterfassung!$K$6:$K$3665,$K3294),Zeiterfassung!$K$6:$K$3665,0))))</f>
        <v/>
      </c>
      <c r="K3294">
        <f>IFERROR(AGGREGATE(15,6,(ROW(Zeiterfassung!$D$6:$D$3665)-ROW(Zeiterfassung!$D$6)+1)/(Zeiterfassung!$D$6:$D$3665&lt;&gt;""),3289),"")</f>
        <v/>
      </c>
    </row>
    <row r="3295" ht="20" customHeight="1">
      <c r="A3295" s="183">
        <f>IF($K3295="","",WEEKNUM(INDEX(Zeiterfassung!$K$6:$K$3665,$K3295),21))</f>
        <v/>
      </c>
      <c r="B3295" s="184">
        <f>IF($K3295="","",INDEX(Zeiterfassung!$K$6:$K$3665,$K3295))</f>
        <v/>
      </c>
      <c r="C3295" s="185">
        <f>IF($K3295="","",INDEX(Zeiterfassung!$K$6:$K$3665,$K3295))</f>
        <v/>
      </c>
      <c r="D3295" s="186">
        <f>IF($K3295="","",INDEX(Zeiterfassung!$D$6:$D$3665,$K3295))</f>
        <v/>
      </c>
      <c r="E3295" s="186">
        <f>IF($K3295="","",INDEX(Zeiterfassung!$E$6:$E$3665,$K3295))</f>
        <v/>
      </c>
      <c r="F3295" s="187">
        <f>IF($K3295="","",INDEX(Zeiterfassung!$F$6:$F$3665,$K3295))</f>
        <v/>
      </c>
      <c r="G3295" s="187">
        <f>IF($K3295="","",INDEX(Zeiterfassung!$G$6:$G$3665,$K3295))</f>
        <v/>
      </c>
      <c r="H3295" s="188">
        <f>IF($K3295="","",INDEX(Zeiterfassung!$H$6:$H$3665,$K3295))</f>
        <v/>
      </c>
      <c r="I3295" s="335">
        <f>IF(B3295=B3294,"",IF($K3295="","",INDEX(Zeiterfassung!$I$6:$I$3665,MATCH(INDEX(Zeiterfassung!$K$6:$K$3665,$K3295),Zeiterfassung!$K$6:$K$3665,0))))</f>
        <v/>
      </c>
      <c r="J3295" s="335">
        <f>IF(B3295=B3294,"",IF($K3295="","",INDEX(Zeiterfassung!$J$6:$J$3665,MATCH(INDEX(Zeiterfassung!$K$6:$K$3665,$K3295),Zeiterfassung!$K$6:$K$3665,0))))</f>
        <v/>
      </c>
      <c r="K3295">
        <f>IFERROR(AGGREGATE(15,6,(ROW(Zeiterfassung!$D$6:$D$3665)-ROW(Zeiterfassung!$D$6)+1)/(Zeiterfassung!$D$6:$D$3665&lt;&gt;""),3290),"")</f>
        <v/>
      </c>
    </row>
    <row r="3296" ht="20" customHeight="1">
      <c r="A3296" s="183">
        <f>IF($K3296="","",WEEKNUM(INDEX(Zeiterfassung!$K$6:$K$3665,$K3296),21))</f>
        <v/>
      </c>
      <c r="B3296" s="184">
        <f>IF($K3296="","",INDEX(Zeiterfassung!$K$6:$K$3665,$K3296))</f>
        <v/>
      </c>
      <c r="C3296" s="185">
        <f>IF($K3296="","",INDEX(Zeiterfassung!$K$6:$K$3665,$K3296))</f>
        <v/>
      </c>
      <c r="D3296" s="186">
        <f>IF($K3296="","",INDEX(Zeiterfassung!$D$6:$D$3665,$K3296))</f>
        <v/>
      </c>
      <c r="E3296" s="186">
        <f>IF($K3296="","",INDEX(Zeiterfassung!$E$6:$E$3665,$K3296))</f>
        <v/>
      </c>
      <c r="F3296" s="187">
        <f>IF($K3296="","",INDEX(Zeiterfassung!$F$6:$F$3665,$K3296))</f>
        <v/>
      </c>
      <c r="G3296" s="187">
        <f>IF($K3296="","",INDEX(Zeiterfassung!$G$6:$G$3665,$K3296))</f>
        <v/>
      </c>
      <c r="H3296" s="188">
        <f>IF($K3296="","",INDEX(Zeiterfassung!$H$6:$H$3665,$K3296))</f>
        <v/>
      </c>
      <c r="I3296" s="335">
        <f>IF(B3296=B3295,"",IF($K3296="","",INDEX(Zeiterfassung!$I$6:$I$3665,MATCH(INDEX(Zeiterfassung!$K$6:$K$3665,$K3296),Zeiterfassung!$K$6:$K$3665,0))))</f>
        <v/>
      </c>
      <c r="J3296" s="335">
        <f>IF(B3296=B3295,"",IF($K3296="","",INDEX(Zeiterfassung!$J$6:$J$3665,MATCH(INDEX(Zeiterfassung!$K$6:$K$3665,$K3296),Zeiterfassung!$K$6:$K$3665,0))))</f>
        <v/>
      </c>
      <c r="K3296">
        <f>IFERROR(AGGREGATE(15,6,(ROW(Zeiterfassung!$D$6:$D$3665)-ROW(Zeiterfassung!$D$6)+1)/(Zeiterfassung!$D$6:$D$3665&lt;&gt;""),3291),"")</f>
        <v/>
      </c>
    </row>
    <row r="3297" ht="20" customHeight="1">
      <c r="A3297" s="183">
        <f>IF($K3297="","",WEEKNUM(INDEX(Zeiterfassung!$K$6:$K$3665,$K3297),21))</f>
        <v/>
      </c>
      <c r="B3297" s="184">
        <f>IF($K3297="","",INDEX(Zeiterfassung!$K$6:$K$3665,$K3297))</f>
        <v/>
      </c>
      <c r="C3297" s="185">
        <f>IF($K3297="","",INDEX(Zeiterfassung!$K$6:$K$3665,$K3297))</f>
        <v/>
      </c>
      <c r="D3297" s="186">
        <f>IF($K3297="","",INDEX(Zeiterfassung!$D$6:$D$3665,$K3297))</f>
        <v/>
      </c>
      <c r="E3297" s="186">
        <f>IF($K3297="","",INDEX(Zeiterfassung!$E$6:$E$3665,$K3297))</f>
        <v/>
      </c>
      <c r="F3297" s="187">
        <f>IF($K3297="","",INDEX(Zeiterfassung!$F$6:$F$3665,$K3297))</f>
        <v/>
      </c>
      <c r="G3297" s="187">
        <f>IF($K3297="","",INDEX(Zeiterfassung!$G$6:$G$3665,$K3297))</f>
        <v/>
      </c>
      <c r="H3297" s="188">
        <f>IF($K3297="","",INDEX(Zeiterfassung!$H$6:$H$3665,$K3297))</f>
        <v/>
      </c>
      <c r="I3297" s="335">
        <f>IF(B3297=B3296,"",IF($K3297="","",INDEX(Zeiterfassung!$I$6:$I$3665,MATCH(INDEX(Zeiterfassung!$K$6:$K$3665,$K3297),Zeiterfassung!$K$6:$K$3665,0))))</f>
        <v/>
      </c>
      <c r="J3297" s="335">
        <f>IF(B3297=B3296,"",IF($K3297="","",INDEX(Zeiterfassung!$J$6:$J$3665,MATCH(INDEX(Zeiterfassung!$K$6:$K$3665,$K3297),Zeiterfassung!$K$6:$K$3665,0))))</f>
        <v/>
      </c>
      <c r="K3297">
        <f>IFERROR(AGGREGATE(15,6,(ROW(Zeiterfassung!$D$6:$D$3665)-ROW(Zeiterfassung!$D$6)+1)/(Zeiterfassung!$D$6:$D$3665&lt;&gt;""),3292),"")</f>
        <v/>
      </c>
    </row>
    <row r="3298" ht="20" customHeight="1">
      <c r="A3298" s="183">
        <f>IF($K3298="","",WEEKNUM(INDEX(Zeiterfassung!$K$6:$K$3665,$K3298),21))</f>
        <v/>
      </c>
      <c r="B3298" s="184">
        <f>IF($K3298="","",INDEX(Zeiterfassung!$K$6:$K$3665,$K3298))</f>
        <v/>
      </c>
      <c r="C3298" s="185">
        <f>IF($K3298="","",INDEX(Zeiterfassung!$K$6:$K$3665,$K3298))</f>
        <v/>
      </c>
      <c r="D3298" s="186">
        <f>IF($K3298="","",INDEX(Zeiterfassung!$D$6:$D$3665,$K3298))</f>
        <v/>
      </c>
      <c r="E3298" s="186">
        <f>IF($K3298="","",INDEX(Zeiterfassung!$E$6:$E$3665,$K3298))</f>
        <v/>
      </c>
      <c r="F3298" s="187">
        <f>IF($K3298="","",INDEX(Zeiterfassung!$F$6:$F$3665,$K3298))</f>
        <v/>
      </c>
      <c r="G3298" s="187">
        <f>IF($K3298="","",INDEX(Zeiterfassung!$G$6:$G$3665,$K3298))</f>
        <v/>
      </c>
      <c r="H3298" s="188">
        <f>IF($K3298="","",INDEX(Zeiterfassung!$H$6:$H$3665,$K3298))</f>
        <v/>
      </c>
      <c r="I3298" s="335">
        <f>IF(B3298=B3297,"",IF($K3298="","",INDEX(Zeiterfassung!$I$6:$I$3665,MATCH(INDEX(Zeiterfassung!$K$6:$K$3665,$K3298),Zeiterfassung!$K$6:$K$3665,0))))</f>
        <v/>
      </c>
      <c r="J3298" s="335">
        <f>IF(B3298=B3297,"",IF($K3298="","",INDEX(Zeiterfassung!$J$6:$J$3665,MATCH(INDEX(Zeiterfassung!$K$6:$K$3665,$K3298),Zeiterfassung!$K$6:$K$3665,0))))</f>
        <v/>
      </c>
      <c r="K3298">
        <f>IFERROR(AGGREGATE(15,6,(ROW(Zeiterfassung!$D$6:$D$3665)-ROW(Zeiterfassung!$D$6)+1)/(Zeiterfassung!$D$6:$D$3665&lt;&gt;""),3293),"")</f>
        <v/>
      </c>
    </row>
    <row r="3299" ht="20" customHeight="1">
      <c r="A3299" s="183">
        <f>IF($K3299="","",WEEKNUM(INDEX(Zeiterfassung!$K$6:$K$3665,$K3299),21))</f>
        <v/>
      </c>
      <c r="B3299" s="184">
        <f>IF($K3299="","",INDEX(Zeiterfassung!$K$6:$K$3665,$K3299))</f>
        <v/>
      </c>
      <c r="C3299" s="185">
        <f>IF($K3299="","",INDEX(Zeiterfassung!$K$6:$K$3665,$K3299))</f>
        <v/>
      </c>
      <c r="D3299" s="186">
        <f>IF($K3299="","",INDEX(Zeiterfassung!$D$6:$D$3665,$K3299))</f>
        <v/>
      </c>
      <c r="E3299" s="186">
        <f>IF($K3299="","",INDEX(Zeiterfassung!$E$6:$E$3665,$K3299))</f>
        <v/>
      </c>
      <c r="F3299" s="187">
        <f>IF($K3299="","",INDEX(Zeiterfassung!$F$6:$F$3665,$K3299))</f>
        <v/>
      </c>
      <c r="G3299" s="187">
        <f>IF($K3299="","",INDEX(Zeiterfassung!$G$6:$G$3665,$K3299))</f>
        <v/>
      </c>
      <c r="H3299" s="188">
        <f>IF($K3299="","",INDEX(Zeiterfassung!$H$6:$H$3665,$K3299))</f>
        <v/>
      </c>
      <c r="I3299" s="335">
        <f>IF(B3299=B3298,"",IF($K3299="","",INDEX(Zeiterfassung!$I$6:$I$3665,MATCH(INDEX(Zeiterfassung!$K$6:$K$3665,$K3299),Zeiterfassung!$K$6:$K$3665,0))))</f>
        <v/>
      </c>
      <c r="J3299" s="335">
        <f>IF(B3299=B3298,"",IF($K3299="","",INDEX(Zeiterfassung!$J$6:$J$3665,MATCH(INDEX(Zeiterfassung!$K$6:$K$3665,$K3299),Zeiterfassung!$K$6:$K$3665,0))))</f>
        <v/>
      </c>
      <c r="K3299">
        <f>IFERROR(AGGREGATE(15,6,(ROW(Zeiterfassung!$D$6:$D$3665)-ROW(Zeiterfassung!$D$6)+1)/(Zeiterfassung!$D$6:$D$3665&lt;&gt;""),3294),"")</f>
        <v/>
      </c>
    </row>
    <row r="3300" ht="20" customHeight="1">
      <c r="A3300" s="183">
        <f>IF($K3300="","",WEEKNUM(INDEX(Zeiterfassung!$K$6:$K$3665,$K3300),21))</f>
        <v/>
      </c>
      <c r="B3300" s="184">
        <f>IF($K3300="","",INDEX(Zeiterfassung!$K$6:$K$3665,$K3300))</f>
        <v/>
      </c>
      <c r="C3300" s="185">
        <f>IF($K3300="","",INDEX(Zeiterfassung!$K$6:$K$3665,$K3300))</f>
        <v/>
      </c>
      <c r="D3300" s="186">
        <f>IF($K3300="","",INDEX(Zeiterfassung!$D$6:$D$3665,$K3300))</f>
        <v/>
      </c>
      <c r="E3300" s="186">
        <f>IF($K3300="","",INDEX(Zeiterfassung!$E$6:$E$3665,$K3300))</f>
        <v/>
      </c>
      <c r="F3300" s="187">
        <f>IF($K3300="","",INDEX(Zeiterfassung!$F$6:$F$3665,$K3300))</f>
        <v/>
      </c>
      <c r="G3300" s="187">
        <f>IF($K3300="","",INDEX(Zeiterfassung!$G$6:$G$3665,$K3300))</f>
        <v/>
      </c>
      <c r="H3300" s="188">
        <f>IF($K3300="","",INDEX(Zeiterfassung!$H$6:$H$3665,$K3300))</f>
        <v/>
      </c>
      <c r="I3300" s="335">
        <f>IF(B3300=B3299,"",IF($K3300="","",INDEX(Zeiterfassung!$I$6:$I$3665,MATCH(INDEX(Zeiterfassung!$K$6:$K$3665,$K3300),Zeiterfassung!$K$6:$K$3665,0))))</f>
        <v/>
      </c>
      <c r="J3300" s="335">
        <f>IF(B3300=B3299,"",IF($K3300="","",INDEX(Zeiterfassung!$J$6:$J$3665,MATCH(INDEX(Zeiterfassung!$K$6:$K$3665,$K3300),Zeiterfassung!$K$6:$K$3665,0))))</f>
        <v/>
      </c>
      <c r="K3300">
        <f>IFERROR(AGGREGATE(15,6,(ROW(Zeiterfassung!$D$6:$D$3665)-ROW(Zeiterfassung!$D$6)+1)/(Zeiterfassung!$D$6:$D$3665&lt;&gt;""),3295),"")</f>
        <v/>
      </c>
    </row>
    <row r="3301" ht="20" customHeight="1">
      <c r="A3301" s="183">
        <f>IF($K3301="","",WEEKNUM(INDEX(Zeiterfassung!$K$6:$K$3665,$K3301),21))</f>
        <v/>
      </c>
      <c r="B3301" s="184">
        <f>IF($K3301="","",INDEX(Zeiterfassung!$K$6:$K$3665,$K3301))</f>
        <v/>
      </c>
      <c r="C3301" s="185">
        <f>IF($K3301="","",INDEX(Zeiterfassung!$K$6:$K$3665,$K3301))</f>
        <v/>
      </c>
      <c r="D3301" s="186">
        <f>IF($K3301="","",INDEX(Zeiterfassung!$D$6:$D$3665,$K3301))</f>
        <v/>
      </c>
      <c r="E3301" s="186">
        <f>IF($K3301="","",INDEX(Zeiterfassung!$E$6:$E$3665,$K3301))</f>
        <v/>
      </c>
      <c r="F3301" s="187">
        <f>IF($K3301="","",INDEX(Zeiterfassung!$F$6:$F$3665,$K3301))</f>
        <v/>
      </c>
      <c r="G3301" s="187">
        <f>IF($K3301="","",INDEX(Zeiterfassung!$G$6:$G$3665,$K3301))</f>
        <v/>
      </c>
      <c r="H3301" s="188">
        <f>IF($K3301="","",INDEX(Zeiterfassung!$H$6:$H$3665,$K3301))</f>
        <v/>
      </c>
      <c r="I3301" s="335">
        <f>IF(B3301=B3300,"",IF($K3301="","",INDEX(Zeiterfassung!$I$6:$I$3665,MATCH(INDEX(Zeiterfassung!$K$6:$K$3665,$K3301),Zeiterfassung!$K$6:$K$3665,0))))</f>
        <v/>
      </c>
      <c r="J3301" s="335">
        <f>IF(B3301=B3300,"",IF($K3301="","",INDEX(Zeiterfassung!$J$6:$J$3665,MATCH(INDEX(Zeiterfassung!$K$6:$K$3665,$K3301),Zeiterfassung!$K$6:$K$3665,0))))</f>
        <v/>
      </c>
      <c r="K3301">
        <f>IFERROR(AGGREGATE(15,6,(ROW(Zeiterfassung!$D$6:$D$3665)-ROW(Zeiterfassung!$D$6)+1)/(Zeiterfassung!$D$6:$D$3665&lt;&gt;""),3296),"")</f>
        <v/>
      </c>
    </row>
    <row r="3302" ht="20" customHeight="1">
      <c r="A3302" s="183">
        <f>IF($K3302="","",WEEKNUM(INDEX(Zeiterfassung!$K$6:$K$3665,$K3302),21))</f>
        <v/>
      </c>
      <c r="B3302" s="184">
        <f>IF($K3302="","",INDEX(Zeiterfassung!$K$6:$K$3665,$K3302))</f>
        <v/>
      </c>
      <c r="C3302" s="185">
        <f>IF($K3302="","",INDEX(Zeiterfassung!$K$6:$K$3665,$K3302))</f>
        <v/>
      </c>
      <c r="D3302" s="186">
        <f>IF($K3302="","",INDEX(Zeiterfassung!$D$6:$D$3665,$K3302))</f>
        <v/>
      </c>
      <c r="E3302" s="186">
        <f>IF($K3302="","",INDEX(Zeiterfassung!$E$6:$E$3665,$K3302))</f>
        <v/>
      </c>
      <c r="F3302" s="187">
        <f>IF($K3302="","",INDEX(Zeiterfassung!$F$6:$F$3665,$K3302))</f>
        <v/>
      </c>
      <c r="G3302" s="187">
        <f>IF($K3302="","",INDEX(Zeiterfassung!$G$6:$G$3665,$K3302))</f>
        <v/>
      </c>
      <c r="H3302" s="188">
        <f>IF($K3302="","",INDEX(Zeiterfassung!$H$6:$H$3665,$K3302))</f>
        <v/>
      </c>
      <c r="I3302" s="335">
        <f>IF(B3302=B3301,"",IF($K3302="","",INDEX(Zeiterfassung!$I$6:$I$3665,MATCH(INDEX(Zeiterfassung!$K$6:$K$3665,$K3302),Zeiterfassung!$K$6:$K$3665,0))))</f>
        <v/>
      </c>
      <c r="J3302" s="335">
        <f>IF(B3302=B3301,"",IF($K3302="","",INDEX(Zeiterfassung!$J$6:$J$3665,MATCH(INDEX(Zeiterfassung!$K$6:$K$3665,$K3302),Zeiterfassung!$K$6:$K$3665,0))))</f>
        <v/>
      </c>
      <c r="K3302">
        <f>IFERROR(AGGREGATE(15,6,(ROW(Zeiterfassung!$D$6:$D$3665)-ROW(Zeiterfassung!$D$6)+1)/(Zeiterfassung!$D$6:$D$3665&lt;&gt;""),3297),"")</f>
        <v/>
      </c>
    </row>
    <row r="3303" ht="20" customHeight="1">
      <c r="A3303" s="183">
        <f>IF($K3303="","",WEEKNUM(INDEX(Zeiterfassung!$K$6:$K$3665,$K3303),21))</f>
        <v/>
      </c>
      <c r="B3303" s="184">
        <f>IF($K3303="","",INDEX(Zeiterfassung!$K$6:$K$3665,$K3303))</f>
        <v/>
      </c>
      <c r="C3303" s="185">
        <f>IF($K3303="","",INDEX(Zeiterfassung!$K$6:$K$3665,$K3303))</f>
        <v/>
      </c>
      <c r="D3303" s="186">
        <f>IF($K3303="","",INDEX(Zeiterfassung!$D$6:$D$3665,$K3303))</f>
        <v/>
      </c>
      <c r="E3303" s="186">
        <f>IF($K3303="","",INDEX(Zeiterfassung!$E$6:$E$3665,$K3303))</f>
        <v/>
      </c>
      <c r="F3303" s="187">
        <f>IF($K3303="","",INDEX(Zeiterfassung!$F$6:$F$3665,$K3303))</f>
        <v/>
      </c>
      <c r="G3303" s="187">
        <f>IF($K3303="","",INDEX(Zeiterfassung!$G$6:$G$3665,$K3303))</f>
        <v/>
      </c>
      <c r="H3303" s="188">
        <f>IF($K3303="","",INDEX(Zeiterfassung!$H$6:$H$3665,$K3303))</f>
        <v/>
      </c>
      <c r="I3303" s="335">
        <f>IF(B3303=B3302,"",IF($K3303="","",INDEX(Zeiterfassung!$I$6:$I$3665,MATCH(INDEX(Zeiterfassung!$K$6:$K$3665,$K3303),Zeiterfassung!$K$6:$K$3665,0))))</f>
        <v/>
      </c>
      <c r="J3303" s="335">
        <f>IF(B3303=B3302,"",IF($K3303="","",INDEX(Zeiterfassung!$J$6:$J$3665,MATCH(INDEX(Zeiterfassung!$K$6:$K$3665,$K3303),Zeiterfassung!$K$6:$K$3665,0))))</f>
        <v/>
      </c>
      <c r="K3303">
        <f>IFERROR(AGGREGATE(15,6,(ROW(Zeiterfassung!$D$6:$D$3665)-ROW(Zeiterfassung!$D$6)+1)/(Zeiterfassung!$D$6:$D$3665&lt;&gt;""),3298),"")</f>
        <v/>
      </c>
    </row>
    <row r="3304" ht="20" customHeight="1">
      <c r="A3304" s="183">
        <f>IF($K3304="","",WEEKNUM(INDEX(Zeiterfassung!$K$6:$K$3665,$K3304),21))</f>
        <v/>
      </c>
      <c r="B3304" s="184">
        <f>IF($K3304="","",INDEX(Zeiterfassung!$K$6:$K$3665,$K3304))</f>
        <v/>
      </c>
      <c r="C3304" s="185">
        <f>IF($K3304="","",INDEX(Zeiterfassung!$K$6:$K$3665,$K3304))</f>
        <v/>
      </c>
      <c r="D3304" s="186">
        <f>IF($K3304="","",INDEX(Zeiterfassung!$D$6:$D$3665,$K3304))</f>
        <v/>
      </c>
      <c r="E3304" s="186">
        <f>IF($K3304="","",INDEX(Zeiterfassung!$E$6:$E$3665,$K3304))</f>
        <v/>
      </c>
      <c r="F3304" s="187">
        <f>IF($K3304="","",INDEX(Zeiterfassung!$F$6:$F$3665,$K3304))</f>
        <v/>
      </c>
      <c r="G3304" s="187">
        <f>IF($K3304="","",INDEX(Zeiterfassung!$G$6:$G$3665,$K3304))</f>
        <v/>
      </c>
      <c r="H3304" s="188">
        <f>IF($K3304="","",INDEX(Zeiterfassung!$H$6:$H$3665,$K3304))</f>
        <v/>
      </c>
      <c r="I3304" s="335">
        <f>IF(B3304=B3303,"",IF($K3304="","",INDEX(Zeiterfassung!$I$6:$I$3665,MATCH(INDEX(Zeiterfassung!$K$6:$K$3665,$K3304),Zeiterfassung!$K$6:$K$3665,0))))</f>
        <v/>
      </c>
      <c r="J3304" s="335">
        <f>IF(B3304=B3303,"",IF($K3304="","",INDEX(Zeiterfassung!$J$6:$J$3665,MATCH(INDEX(Zeiterfassung!$K$6:$K$3665,$K3304),Zeiterfassung!$K$6:$K$3665,0))))</f>
        <v/>
      </c>
      <c r="K3304">
        <f>IFERROR(AGGREGATE(15,6,(ROW(Zeiterfassung!$D$6:$D$3665)-ROW(Zeiterfassung!$D$6)+1)/(Zeiterfassung!$D$6:$D$3665&lt;&gt;""),3299),"")</f>
        <v/>
      </c>
    </row>
    <row r="3305" ht="20" customHeight="1">
      <c r="A3305" s="183">
        <f>IF($K3305="","",WEEKNUM(INDEX(Zeiterfassung!$K$6:$K$3665,$K3305),21))</f>
        <v/>
      </c>
      <c r="B3305" s="184">
        <f>IF($K3305="","",INDEX(Zeiterfassung!$K$6:$K$3665,$K3305))</f>
        <v/>
      </c>
      <c r="C3305" s="185">
        <f>IF($K3305="","",INDEX(Zeiterfassung!$K$6:$K$3665,$K3305))</f>
        <v/>
      </c>
      <c r="D3305" s="186">
        <f>IF($K3305="","",INDEX(Zeiterfassung!$D$6:$D$3665,$K3305))</f>
        <v/>
      </c>
      <c r="E3305" s="186">
        <f>IF($K3305="","",INDEX(Zeiterfassung!$E$6:$E$3665,$K3305))</f>
        <v/>
      </c>
      <c r="F3305" s="187">
        <f>IF($K3305="","",INDEX(Zeiterfassung!$F$6:$F$3665,$K3305))</f>
        <v/>
      </c>
      <c r="G3305" s="187">
        <f>IF($K3305="","",INDEX(Zeiterfassung!$G$6:$G$3665,$K3305))</f>
        <v/>
      </c>
      <c r="H3305" s="188">
        <f>IF($K3305="","",INDEX(Zeiterfassung!$H$6:$H$3665,$K3305))</f>
        <v/>
      </c>
      <c r="I3305" s="335">
        <f>IF(B3305=B3304,"",IF($K3305="","",INDEX(Zeiterfassung!$I$6:$I$3665,MATCH(INDEX(Zeiterfassung!$K$6:$K$3665,$K3305),Zeiterfassung!$K$6:$K$3665,0))))</f>
        <v/>
      </c>
      <c r="J3305" s="335">
        <f>IF(B3305=B3304,"",IF($K3305="","",INDEX(Zeiterfassung!$J$6:$J$3665,MATCH(INDEX(Zeiterfassung!$K$6:$K$3665,$K3305),Zeiterfassung!$K$6:$K$3665,0))))</f>
        <v/>
      </c>
      <c r="K3305">
        <f>IFERROR(AGGREGATE(15,6,(ROW(Zeiterfassung!$D$6:$D$3665)-ROW(Zeiterfassung!$D$6)+1)/(Zeiterfassung!$D$6:$D$3665&lt;&gt;""),3300),"")</f>
        <v/>
      </c>
    </row>
    <row r="3306" ht="20" customHeight="1">
      <c r="A3306" s="183">
        <f>IF($K3306="","",WEEKNUM(INDEX(Zeiterfassung!$K$6:$K$3665,$K3306),21))</f>
        <v/>
      </c>
      <c r="B3306" s="184">
        <f>IF($K3306="","",INDEX(Zeiterfassung!$K$6:$K$3665,$K3306))</f>
        <v/>
      </c>
      <c r="C3306" s="185">
        <f>IF($K3306="","",INDEX(Zeiterfassung!$K$6:$K$3665,$K3306))</f>
        <v/>
      </c>
      <c r="D3306" s="186">
        <f>IF($K3306="","",INDEX(Zeiterfassung!$D$6:$D$3665,$K3306))</f>
        <v/>
      </c>
      <c r="E3306" s="186">
        <f>IF($K3306="","",INDEX(Zeiterfassung!$E$6:$E$3665,$K3306))</f>
        <v/>
      </c>
      <c r="F3306" s="187">
        <f>IF($K3306="","",INDEX(Zeiterfassung!$F$6:$F$3665,$K3306))</f>
        <v/>
      </c>
      <c r="G3306" s="187">
        <f>IF($K3306="","",INDEX(Zeiterfassung!$G$6:$G$3665,$K3306))</f>
        <v/>
      </c>
      <c r="H3306" s="188">
        <f>IF($K3306="","",INDEX(Zeiterfassung!$H$6:$H$3665,$K3306))</f>
        <v/>
      </c>
      <c r="I3306" s="335">
        <f>IF(B3306=B3305,"",IF($K3306="","",INDEX(Zeiterfassung!$I$6:$I$3665,MATCH(INDEX(Zeiterfassung!$K$6:$K$3665,$K3306),Zeiterfassung!$K$6:$K$3665,0))))</f>
        <v/>
      </c>
      <c r="J3306" s="335">
        <f>IF(B3306=B3305,"",IF($K3306="","",INDEX(Zeiterfassung!$J$6:$J$3665,MATCH(INDEX(Zeiterfassung!$K$6:$K$3665,$K3306),Zeiterfassung!$K$6:$K$3665,0))))</f>
        <v/>
      </c>
      <c r="K3306">
        <f>IFERROR(AGGREGATE(15,6,(ROW(Zeiterfassung!$D$6:$D$3665)-ROW(Zeiterfassung!$D$6)+1)/(Zeiterfassung!$D$6:$D$3665&lt;&gt;""),3301),"")</f>
        <v/>
      </c>
    </row>
    <row r="3307" ht="20" customHeight="1">
      <c r="A3307" s="183">
        <f>IF($K3307="","",WEEKNUM(INDEX(Zeiterfassung!$K$6:$K$3665,$K3307),21))</f>
        <v/>
      </c>
      <c r="B3307" s="184">
        <f>IF($K3307="","",INDEX(Zeiterfassung!$K$6:$K$3665,$K3307))</f>
        <v/>
      </c>
      <c r="C3307" s="185">
        <f>IF($K3307="","",INDEX(Zeiterfassung!$K$6:$K$3665,$K3307))</f>
        <v/>
      </c>
      <c r="D3307" s="186">
        <f>IF($K3307="","",INDEX(Zeiterfassung!$D$6:$D$3665,$K3307))</f>
        <v/>
      </c>
      <c r="E3307" s="186">
        <f>IF($K3307="","",INDEX(Zeiterfassung!$E$6:$E$3665,$K3307))</f>
        <v/>
      </c>
      <c r="F3307" s="187">
        <f>IF($K3307="","",INDEX(Zeiterfassung!$F$6:$F$3665,$K3307))</f>
        <v/>
      </c>
      <c r="G3307" s="187">
        <f>IF($K3307="","",INDEX(Zeiterfassung!$G$6:$G$3665,$K3307))</f>
        <v/>
      </c>
      <c r="H3307" s="188">
        <f>IF($K3307="","",INDEX(Zeiterfassung!$H$6:$H$3665,$K3307))</f>
        <v/>
      </c>
      <c r="I3307" s="335">
        <f>IF(B3307=B3306,"",IF($K3307="","",INDEX(Zeiterfassung!$I$6:$I$3665,MATCH(INDEX(Zeiterfassung!$K$6:$K$3665,$K3307),Zeiterfassung!$K$6:$K$3665,0))))</f>
        <v/>
      </c>
      <c r="J3307" s="335">
        <f>IF(B3307=B3306,"",IF($K3307="","",INDEX(Zeiterfassung!$J$6:$J$3665,MATCH(INDEX(Zeiterfassung!$K$6:$K$3665,$K3307),Zeiterfassung!$K$6:$K$3665,0))))</f>
        <v/>
      </c>
      <c r="K3307">
        <f>IFERROR(AGGREGATE(15,6,(ROW(Zeiterfassung!$D$6:$D$3665)-ROW(Zeiterfassung!$D$6)+1)/(Zeiterfassung!$D$6:$D$3665&lt;&gt;""),3302),"")</f>
        <v/>
      </c>
    </row>
    <row r="3308" ht="20" customHeight="1">
      <c r="A3308" s="183">
        <f>IF($K3308="","",WEEKNUM(INDEX(Zeiterfassung!$K$6:$K$3665,$K3308),21))</f>
        <v/>
      </c>
      <c r="B3308" s="184">
        <f>IF($K3308="","",INDEX(Zeiterfassung!$K$6:$K$3665,$K3308))</f>
        <v/>
      </c>
      <c r="C3308" s="185">
        <f>IF($K3308="","",INDEX(Zeiterfassung!$K$6:$K$3665,$K3308))</f>
        <v/>
      </c>
      <c r="D3308" s="186">
        <f>IF($K3308="","",INDEX(Zeiterfassung!$D$6:$D$3665,$K3308))</f>
        <v/>
      </c>
      <c r="E3308" s="186">
        <f>IF($K3308="","",INDEX(Zeiterfassung!$E$6:$E$3665,$K3308))</f>
        <v/>
      </c>
      <c r="F3308" s="187">
        <f>IF($K3308="","",INDEX(Zeiterfassung!$F$6:$F$3665,$K3308))</f>
        <v/>
      </c>
      <c r="G3308" s="187">
        <f>IF($K3308="","",INDEX(Zeiterfassung!$G$6:$G$3665,$K3308))</f>
        <v/>
      </c>
      <c r="H3308" s="188">
        <f>IF($K3308="","",INDEX(Zeiterfassung!$H$6:$H$3665,$K3308))</f>
        <v/>
      </c>
      <c r="I3308" s="335">
        <f>IF(B3308=B3307,"",IF($K3308="","",INDEX(Zeiterfassung!$I$6:$I$3665,MATCH(INDEX(Zeiterfassung!$K$6:$K$3665,$K3308),Zeiterfassung!$K$6:$K$3665,0))))</f>
        <v/>
      </c>
      <c r="J3308" s="335">
        <f>IF(B3308=B3307,"",IF($K3308="","",INDEX(Zeiterfassung!$J$6:$J$3665,MATCH(INDEX(Zeiterfassung!$K$6:$K$3665,$K3308),Zeiterfassung!$K$6:$K$3665,0))))</f>
        <v/>
      </c>
      <c r="K3308">
        <f>IFERROR(AGGREGATE(15,6,(ROW(Zeiterfassung!$D$6:$D$3665)-ROW(Zeiterfassung!$D$6)+1)/(Zeiterfassung!$D$6:$D$3665&lt;&gt;""),3303),"")</f>
        <v/>
      </c>
    </row>
    <row r="3309" ht="20" customHeight="1">
      <c r="A3309" s="183">
        <f>IF($K3309="","",WEEKNUM(INDEX(Zeiterfassung!$K$6:$K$3665,$K3309),21))</f>
        <v/>
      </c>
      <c r="B3309" s="184">
        <f>IF($K3309="","",INDEX(Zeiterfassung!$K$6:$K$3665,$K3309))</f>
        <v/>
      </c>
      <c r="C3309" s="185">
        <f>IF($K3309="","",INDEX(Zeiterfassung!$K$6:$K$3665,$K3309))</f>
        <v/>
      </c>
      <c r="D3309" s="186">
        <f>IF($K3309="","",INDEX(Zeiterfassung!$D$6:$D$3665,$K3309))</f>
        <v/>
      </c>
      <c r="E3309" s="186">
        <f>IF($K3309="","",INDEX(Zeiterfassung!$E$6:$E$3665,$K3309))</f>
        <v/>
      </c>
      <c r="F3309" s="187">
        <f>IF($K3309="","",INDEX(Zeiterfassung!$F$6:$F$3665,$K3309))</f>
        <v/>
      </c>
      <c r="G3309" s="187">
        <f>IF($K3309="","",INDEX(Zeiterfassung!$G$6:$G$3665,$K3309))</f>
        <v/>
      </c>
      <c r="H3309" s="188">
        <f>IF($K3309="","",INDEX(Zeiterfassung!$H$6:$H$3665,$K3309))</f>
        <v/>
      </c>
      <c r="I3309" s="335">
        <f>IF(B3309=B3308,"",IF($K3309="","",INDEX(Zeiterfassung!$I$6:$I$3665,MATCH(INDEX(Zeiterfassung!$K$6:$K$3665,$K3309),Zeiterfassung!$K$6:$K$3665,0))))</f>
        <v/>
      </c>
      <c r="J3309" s="335">
        <f>IF(B3309=B3308,"",IF($K3309="","",INDEX(Zeiterfassung!$J$6:$J$3665,MATCH(INDEX(Zeiterfassung!$K$6:$K$3665,$K3309),Zeiterfassung!$K$6:$K$3665,0))))</f>
        <v/>
      </c>
      <c r="K3309">
        <f>IFERROR(AGGREGATE(15,6,(ROW(Zeiterfassung!$D$6:$D$3665)-ROW(Zeiterfassung!$D$6)+1)/(Zeiterfassung!$D$6:$D$3665&lt;&gt;""),3304),"")</f>
        <v/>
      </c>
    </row>
    <row r="3310" ht="20" customHeight="1">
      <c r="A3310" s="183">
        <f>IF($K3310="","",WEEKNUM(INDEX(Zeiterfassung!$K$6:$K$3665,$K3310),21))</f>
        <v/>
      </c>
      <c r="B3310" s="184">
        <f>IF($K3310="","",INDEX(Zeiterfassung!$K$6:$K$3665,$K3310))</f>
        <v/>
      </c>
      <c r="C3310" s="185">
        <f>IF($K3310="","",INDEX(Zeiterfassung!$K$6:$K$3665,$K3310))</f>
        <v/>
      </c>
      <c r="D3310" s="186">
        <f>IF($K3310="","",INDEX(Zeiterfassung!$D$6:$D$3665,$K3310))</f>
        <v/>
      </c>
      <c r="E3310" s="186">
        <f>IF($K3310="","",INDEX(Zeiterfassung!$E$6:$E$3665,$K3310))</f>
        <v/>
      </c>
      <c r="F3310" s="187">
        <f>IF($K3310="","",INDEX(Zeiterfassung!$F$6:$F$3665,$K3310))</f>
        <v/>
      </c>
      <c r="G3310" s="187">
        <f>IF($K3310="","",INDEX(Zeiterfassung!$G$6:$G$3665,$K3310))</f>
        <v/>
      </c>
      <c r="H3310" s="188">
        <f>IF($K3310="","",INDEX(Zeiterfassung!$H$6:$H$3665,$K3310))</f>
        <v/>
      </c>
      <c r="I3310" s="335">
        <f>IF(B3310=B3309,"",IF($K3310="","",INDEX(Zeiterfassung!$I$6:$I$3665,MATCH(INDEX(Zeiterfassung!$K$6:$K$3665,$K3310),Zeiterfassung!$K$6:$K$3665,0))))</f>
        <v/>
      </c>
      <c r="J3310" s="335">
        <f>IF(B3310=B3309,"",IF($K3310="","",INDEX(Zeiterfassung!$J$6:$J$3665,MATCH(INDEX(Zeiterfassung!$K$6:$K$3665,$K3310),Zeiterfassung!$K$6:$K$3665,0))))</f>
        <v/>
      </c>
      <c r="K3310">
        <f>IFERROR(AGGREGATE(15,6,(ROW(Zeiterfassung!$D$6:$D$3665)-ROW(Zeiterfassung!$D$6)+1)/(Zeiterfassung!$D$6:$D$3665&lt;&gt;""),3305),"")</f>
        <v/>
      </c>
    </row>
    <row r="3311" ht="20" customHeight="1">
      <c r="A3311" s="183">
        <f>IF($K3311="","",WEEKNUM(INDEX(Zeiterfassung!$K$6:$K$3665,$K3311),21))</f>
        <v/>
      </c>
      <c r="B3311" s="184">
        <f>IF($K3311="","",INDEX(Zeiterfassung!$K$6:$K$3665,$K3311))</f>
        <v/>
      </c>
      <c r="C3311" s="185">
        <f>IF($K3311="","",INDEX(Zeiterfassung!$K$6:$K$3665,$K3311))</f>
        <v/>
      </c>
      <c r="D3311" s="186">
        <f>IF($K3311="","",INDEX(Zeiterfassung!$D$6:$D$3665,$K3311))</f>
        <v/>
      </c>
      <c r="E3311" s="186">
        <f>IF($K3311="","",INDEX(Zeiterfassung!$E$6:$E$3665,$K3311))</f>
        <v/>
      </c>
      <c r="F3311" s="187">
        <f>IF($K3311="","",INDEX(Zeiterfassung!$F$6:$F$3665,$K3311))</f>
        <v/>
      </c>
      <c r="G3311" s="187">
        <f>IF($K3311="","",INDEX(Zeiterfassung!$G$6:$G$3665,$K3311))</f>
        <v/>
      </c>
      <c r="H3311" s="188">
        <f>IF($K3311="","",INDEX(Zeiterfassung!$H$6:$H$3665,$K3311))</f>
        <v/>
      </c>
      <c r="I3311" s="335">
        <f>IF(B3311=B3310,"",IF($K3311="","",INDEX(Zeiterfassung!$I$6:$I$3665,MATCH(INDEX(Zeiterfassung!$K$6:$K$3665,$K3311),Zeiterfassung!$K$6:$K$3665,0))))</f>
        <v/>
      </c>
      <c r="J3311" s="335">
        <f>IF(B3311=B3310,"",IF($K3311="","",INDEX(Zeiterfassung!$J$6:$J$3665,MATCH(INDEX(Zeiterfassung!$K$6:$K$3665,$K3311),Zeiterfassung!$K$6:$K$3665,0))))</f>
        <v/>
      </c>
      <c r="K3311">
        <f>IFERROR(AGGREGATE(15,6,(ROW(Zeiterfassung!$D$6:$D$3665)-ROW(Zeiterfassung!$D$6)+1)/(Zeiterfassung!$D$6:$D$3665&lt;&gt;""),3306),"")</f>
        <v/>
      </c>
    </row>
    <row r="3312" ht="20" customHeight="1">
      <c r="A3312" s="183">
        <f>IF($K3312="","",WEEKNUM(INDEX(Zeiterfassung!$K$6:$K$3665,$K3312),21))</f>
        <v/>
      </c>
      <c r="B3312" s="184">
        <f>IF($K3312="","",INDEX(Zeiterfassung!$K$6:$K$3665,$K3312))</f>
        <v/>
      </c>
      <c r="C3312" s="185">
        <f>IF($K3312="","",INDEX(Zeiterfassung!$K$6:$K$3665,$K3312))</f>
        <v/>
      </c>
      <c r="D3312" s="186">
        <f>IF($K3312="","",INDEX(Zeiterfassung!$D$6:$D$3665,$K3312))</f>
        <v/>
      </c>
      <c r="E3312" s="186">
        <f>IF($K3312="","",INDEX(Zeiterfassung!$E$6:$E$3665,$K3312))</f>
        <v/>
      </c>
      <c r="F3312" s="187">
        <f>IF($K3312="","",INDEX(Zeiterfassung!$F$6:$F$3665,$K3312))</f>
        <v/>
      </c>
      <c r="G3312" s="187">
        <f>IF($K3312="","",INDEX(Zeiterfassung!$G$6:$G$3665,$K3312))</f>
        <v/>
      </c>
      <c r="H3312" s="188">
        <f>IF($K3312="","",INDEX(Zeiterfassung!$H$6:$H$3665,$K3312))</f>
        <v/>
      </c>
      <c r="I3312" s="335">
        <f>IF(B3312=B3311,"",IF($K3312="","",INDEX(Zeiterfassung!$I$6:$I$3665,MATCH(INDEX(Zeiterfassung!$K$6:$K$3665,$K3312),Zeiterfassung!$K$6:$K$3665,0))))</f>
        <v/>
      </c>
      <c r="J3312" s="335">
        <f>IF(B3312=B3311,"",IF($K3312="","",INDEX(Zeiterfassung!$J$6:$J$3665,MATCH(INDEX(Zeiterfassung!$K$6:$K$3665,$K3312),Zeiterfassung!$K$6:$K$3665,0))))</f>
        <v/>
      </c>
      <c r="K3312">
        <f>IFERROR(AGGREGATE(15,6,(ROW(Zeiterfassung!$D$6:$D$3665)-ROW(Zeiterfassung!$D$6)+1)/(Zeiterfassung!$D$6:$D$3665&lt;&gt;""),3307),"")</f>
        <v/>
      </c>
    </row>
    <row r="3313" ht="20" customHeight="1">
      <c r="A3313" s="183">
        <f>IF($K3313="","",WEEKNUM(INDEX(Zeiterfassung!$K$6:$K$3665,$K3313),21))</f>
        <v/>
      </c>
      <c r="B3313" s="184">
        <f>IF($K3313="","",INDEX(Zeiterfassung!$K$6:$K$3665,$K3313))</f>
        <v/>
      </c>
      <c r="C3313" s="185">
        <f>IF($K3313="","",INDEX(Zeiterfassung!$K$6:$K$3665,$K3313))</f>
        <v/>
      </c>
      <c r="D3313" s="186">
        <f>IF($K3313="","",INDEX(Zeiterfassung!$D$6:$D$3665,$K3313))</f>
        <v/>
      </c>
      <c r="E3313" s="186">
        <f>IF($K3313="","",INDEX(Zeiterfassung!$E$6:$E$3665,$K3313))</f>
        <v/>
      </c>
      <c r="F3313" s="187">
        <f>IF($K3313="","",INDEX(Zeiterfassung!$F$6:$F$3665,$K3313))</f>
        <v/>
      </c>
      <c r="G3313" s="187">
        <f>IF($K3313="","",INDEX(Zeiterfassung!$G$6:$G$3665,$K3313))</f>
        <v/>
      </c>
      <c r="H3313" s="188">
        <f>IF($K3313="","",INDEX(Zeiterfassung!$H$6:$H$3665,$K3313))</f>
        <v/>
      </c>
      <c r="I3313" s="335">
        <f>IF(B3313=B3312,"",IF($K3313="","",INDEX(Zeiterfassung!$I$6:$I$3665,MATCH(INDEX(Zeiterfassung!$K$6:$K$3665,$K3313),Zeiterfassung!$K$6:$K$3665,0))))</f>
        <v/>
      </c>
      <c r="J3313" s="335">
        <f>IF(B3313=B3312,"",IF($K3313="","",INDEX(Zeiterfassung!$J$6:$J$3665,MATCH(INDEX(Zeiterfassung!$K$6:$K$3665,$K3313),Zeiterfassung!$K$6:$K$3665,0))))</f>
        <v/>
      </c>
      <c r="K3313">
        <f>IFERROR(AGGREGATE(15,6,(ROW(Zeiterfassung!$D$6:$D$3665)-ROW(Zeiterfassung!$D$6)+1)/(Zeiterfassung!$D$6:$D$3665&lt;&gt;""),3308),"")</f>
        <v/>
      </c>
    </row>
    <row r="3314" ht="20" customHeight="1">
      <c r="A3314" s="183">
        <f>IF($K3314="","",WEEKNUM(INDEX(Zeiterfassung!$K$6:$K$3665,$K3314),21))</f>
        <v/>
      </c>
      <c r="B3314" s="184">
        <f>IF($K3314="","",INDEX(Zeiterfassung!$K$6:$K$3665,$K3314))</f>
        <v/>
      </c>
      <c r="C3314" s="185">
        <f>IF($K3314="","",INDEX(Zeiterfassung!$K$6:$K$3665,$K3314))</f>
        <v/>
      </c>
      <c r="D3314" s="186">
        <f>IF($K3314="","",INDEX(Zeiterfassung!$D$6:$D$3665,$K3314))</f>
        <v/>
      </c>
      <c r="E3314" s="186">
        <f>IF($K3314="","",INDEX(Zeiterfassung!$E$6:$E$3665,$K3314))</f>
        <v/>
      </c>
      <c r="F3314" s="187">
        <f>IF($K3314="","",INDEX(Zeiterfassung!$F$6:$F$3665,$K3314))</f>
        <v/>
      </c>
      <c r="G3314" s="187">
        <f>IF($K3314="","",INDEX(Zeiterfassung!$G$6:$G$3665,$K3314))</f>
        <v/>
      </c>
      <c r="H3314" s="188">
        <f>IF($K3314="","",INDEX(Zeiterfassung!$H$6:$H$3665,$K3314))</f>
        <v/>
      </c>
      <c r="I3314" s="335">
        <f>IF(B3314=B3313,"",IF($K3314="","",INDEX(Zeiterfassung!$I$6:$I$3665,MATCH(INDEX(Zeiterfassung!$K$6:$K$3665,$K3314),Zeiterfassung!$K$6:$K$3665,0))))</f>
        <v/>
      </c>
      <c r="J3314" s="335">
        <f>IF(B3314=B3313,"",IF($K3314="","",INDEX(Zeiterfassung!$J$6:$J$3665,MATCH(INDEX(Zeiterfassung!$K$6:$K$3665,$K3314),Zeiterfassung!$K$6:$K$3665,0))))</f>
        <v/>
      </c>
      <c r="K3314">
        <f>IFERROR(AGGREGATE(15,6,(ROW(Zeiterfassung!$D$6:$D$3665)-ROW(Zeiterfassung!$D$6)+1)/(Zeiterfassung!$D$6:$D$3665&lt;&gt;""),3309),"")</f>
        <v/>
      </c>
    </row>
    <row r="3315" ht="20" customHeight="1">
      <c r="A3315" s="183">
        <f>IF($K3315="","",WEEKNUM(INDEX(Zeiterfassung!$K$6:$K$3665,$K3315),21))</f>
        <v/>
      </c>
      <c r="B3315" s="184">
        <f>IF($K3315="","",INDEX(Zeiterfassung!$K$6:$K$3665,$K3315))</f>
        <v/>
      </c>
      <c r="C3315" s="185">
        <f>IF($K3315="","",INDEX(Zeiterfassung!$K$6:$K$3665,$K3315))</f>
        <v/>
      </c>
      <c r="D3315" s="186">
        <f>IF($K3315="","",INDEX(Zeiterfassung!$D$6:$D$3665,$K3315))</f>
        <v/>
      </c>
      <c r="E3315" s="186">
        <f>IF($K3315="","",INDEX(Zeiterfassung!$E$6:$E$3665,$K3315))</f>
        <v/>
      </c>
      <c r="F3315" s="187">
        <f>IF($K3315="","",INDEX(Zeiterfassung!$F$6:$F$3665,$K3315))</f>
        <v/>
      </c>
      <c r="G3315" s="187">
        <f>IF($K3315="","",INDEX(Zeiterfassung!$G$6:$G$3665,$K3315))</f>
        <v/>
      </c>
      <c r="H3315" s="188">
        <f>IF($K3315="","",INDEX(Zeiterfassung!$H$6:$H$3665,$K3315))</f>
        <v/>
      </c>
      <c r="I3315" s="335">
        <f>IF(B3315=B3314,"",IF($K3315="","",INDEX(Zeiterfassung!$I$6:$I$3665,MATCH(INDEX(Zeiterfassung!$K$6:$K$3665,$K3315),Zeiterfassung!$K$6:$K$3665,0))))</f>
        <v/>
      </c>
      <c r="J3315" s="335">
        <f>IF(B3315=B3314,"",IF($K3315="","",INDEX(Zeiterfassung!$J$6:$J$3665,MATCH(INDEX(Zeiterfassung!$K$6:$K$3665,$K3315),Zeiterfassung!$K$6:$K$3665,0))))</f>
        <v/>
      </c>
      <c r="K3315">
        <f>IFERROR(AGGREGATE(15,6,(ROW(Zeiterfassung!$D$6:$D$3665)-ROW(Zeiterfassung!$D$6)+1)/(Zeiterfassung!$D$6:$D$3665&lt;&gt;""),3310),"")</f>
        <v/>
      </c>
    </row>
    <row r="3316" ht="20" customHeight="1">
      <c r="A3316" s="183">
        <f>IF($K3316="","",WEEKNUM(INDEX(Zeiterfassung!$K$6:$K$3665,$K3316),21))</f>
        <v/>
      </c>
      <c r="B3316" s="184">
        <f>IF($K3316="","",INDEX(Zeiterfassung!$K$6:$K$3665,$K3316))</f>
        <v/>
      </c>
      <c r="C3316" s="185">
        <f>IF($K3316="","",INDEX(Zeiterfassung!$K$6:$K$3665,$K3316))</f>
        <v/>
      </c>
      <c r="D3316" s="186">
        <f>IF($K3316="","",INDEX(Zeiterfassung!$D$6:$D$3665,$K3316))</f>
        <v/>
      </c>
      <c r="E3316" s="186">
        <f>IF($K3316="","",INDEX(Zeiterfassung!$E$6:$E$3665,$K3316))</f>
        <v/>
      </c>
      <c r="F3316" s="187">
        <f>IF($K3316="","",INDEX(Zeiterfassung!$F$6:$F$3665,$K3316))</f>
        <v/>
      </c>
      <c r="G3316" s="187">
        <f>IF($K3316="","",INDEX(Zeiterfassung!$G$6:$G$3665,$K3316))</f>
        <v/>
      </c>
      <c r="H3316" s="188">
        <f>IF($K3316="","",INDEX(Zeiterfassung!$H$6:$H$3665,$K3316))</f>
        <v/>
      </c>
      <c r="I3316" s="335">
        <f>IF(B3316=B3315,"",IF($K3316="","",INDEX(Zeiterfassung!$I$6:$I$3665,MATCH(INDEX(Zeiterfassung!$K$6:$K$3665,$K3316),Zeiterfassung!$K$6:$K$3665,0))))</f>
        <v/>
      </c>
      <c r="J3316" s="335">
        <f>IF(B3316=B3315,"",IF($K3316="","",INDEX(Zeiterfassung!$J$6:$J$3665,MATCH(INDEX(Zeiterfassung!$K$6:$K$3665,$K3316),Zeiterfassung!$K$6:$K$3665,0))))</f>
        <v/>
      </c>
      <c r="K3316">
        <f>IFERROR(AGGREGATE(15,6,(ROW(Zeiterfassung!$D$6:$D$3665)-ROW(Zeiterfassung!$D$6)+1)/(Zeiterfassung!$D$6:$D$3665&lt;&gt;""),3311),"")</f>
        <v/>
      </c>
    </row>
    <row r="3317" ht="20" customHeight="1">
      <c r="A3317" s="183">
        <f>IF($K3317="","",WEEKNUM(INDEX(Zeiterfassung!$K$6:$K$3665,$K3317),21))</f>
        <v/>
      </c>
      <c r="B3317" s="184">
        <f>IF($K3317="","",INDEX(Zeiterfassung!$K$6:$K$3665,$K3317))</f>
        <v/>
      </c>
      <c r="C3317" s="185">
        <f>IF($K3317="","",INDEX(Zeiterfassung!$K$6:$K$3665,$K3317))</f>
        <v/>
      </c>
      <c r="D3317" s="186">
        <f>IF($K3317="","",INDEX(Zeiterfassung!$D$6:$D$3665,$K3317))</f>
        <v/>
      </c>
      <c r="E3317" s="186">
        <f>IF($K3317="","",INDEX(Zeiterfassung!$E$6:$E$3665,$K3317))</f>
        <v/>
      </c>
      <c r="F3317" s="187">
        <f>IF($K3317="","",INDEX(Zeiterfassung!$F$6:$F$3665,$K3317))</f>
        <v/>
      </c>
      <c r="G3317" s="187">
        <f>IF($K3317="","",INDEX(Zeiterfassung!$G$6:$G$3665,$K3317))</f>
        <v/>
      </c>
      <c r="H3317" s="188">
        <f>IF($K3317="","",INDEX(Zeiterfassung!$H$6:$H$3665,$K3317))</f>
        <v/>
      </c>
      <c r="I3317" s="335">
        <f>IF(B3317=B3316,"",IF($K3317="","",INDEX(Zeiterfassung!$I$6:$I$3665,MATCH(INDEX(Zeiterfassung!$K$6:$K$3665,$K3317),Zeiterfassung!$K$6:$K$3665,0))))</f>
        <v/>
      </c>
      <c r="J3317" s="335">
        <f>IF(B3317=B3316,"",IF($K3317="","",INDEX(Zeiterfassung!$J$6:$J$3665,MATCH(INDEX(Zeiterfassung!$K$6:$K$3665,$K3317),Zeiterfassung!$K$6:$K$3665,0))))</f>
        <v/>
      </c>
      <c r="K3317">
        <f>IFERROR(AGGREGATE(15,6,(ROW(Zeiterfassung!$D$6:$D$3665)-ROW(Zeiterfassung!$D$6)+1)/(Zeiterfassung!$D$6:$D$3665&lt;&gt;""),3312),"")</f>
        <v/>
      </c>
    </row>
    <row r="3318" ht="20" customHeight="1">
      <c r="A3318" s="183">
        <f>IF($K3318="","",WEEKNUM(INDEX(Zeiterfassung!$K$6:$K$3665,$K3318),21))</f>
        <v/>
      </c>
      <c r="B3318" s="184">
        <f>IF($K3318="","",INDEX(Zeiterfassung!$K$6:$K$3665,$K3318))</f>
        <v/>
      </c>
      <c r="C3318" s="185">
        <f>IF($K3318="","",INDEX(Zeiterfassung!$K$6:$K$3665,$K3318))</f>
        <v/>
      </c>
      <c r="D3318" s="186">
        <f>IF($K3318="","",INDEX(Zeiterfassung!$D$6:$D$3665,$K3318))</f>
        <v/>
      </c>
      <c r="E3318" s="186">
        <f>IF($K3318="","",INDEX(Zeiterfassung!$E$6:$E$3665,$K3318))</f>
        <v/>
      </c>
      <c r="F3318" s="187">
        <f>IF($K3318="","",INDEX(Zeiterfassung!$F$6:$F$3665,$K3318))</f>
        <v/>
      </c>
      <c r="G3318" s="187">
        <f>IF($K3318="","",INDEX(Zeiterfassung!$G$6:$G$3665,$K3318))</f>
        <v/>
      </c>
      <c r="H3318" s="188">
        <f>IF($K3318="","",INDEX(Zeiterfassung!$H$6:$H$3665,$K3318))</f>
        <v/>
      </c>
      <c r="I3318" s="335">
        <f>IF(B3318=B3317,"",IF($K3318="","",INDEX(Zeiterfassung!$I$6:$I$3665,MATCH(INDEX(Zeiterfassung!$K$6:$K$3665,$K3318),Zeiterfassung!$K$6:$K$3665,0))))</f>
        <v/>
      </c>
      <c r="J3318" s="335">
        <f>IF(B3318=B3317,"",IF($K3318="","",INDEX(Zeiterfassung!$J$6:$J$3665,MATCH(INDEX(Zeiterfassung!$K$6:$K$3665,$K3318),Zeiterfassung!$K$6:$K$3665,0))))</f>
        <v/>
      </c>
      <c r="K3318">
        <f>IFERROR(AGGREGATE(15,6,(ROW(Zeiterfassung!$D$6:$D$3665)-ROW(Zeiterfassung!$D$6)+1)/(Zeiterfassung!$D$6:$D$3665&lt;&gt;""),3313),"")</f>
        <v/>
      </c>
    </row>
    <row r="3319" ht="20" customHeight="1">
      <c r="A3319" s="183">
        <f>IF($K3319="","",WEEKNUM(INDEX(Zeiterfassung!$K$6:$K$3665,$K3319),21))</f>
        <v/>
      </c>
      <c r="B3319" s="184">
        <f>IF($K3319="","",INDEX(Zeiterfassung!$K$6:$K$3665,$K3319))</f>
        <v/>
      </c>
      <c r="C3319" s="185">
        <f>IF($K3319="","",INDEX(Zeiterfassung!$K$6:$K$3665,$K3319))</f>
        <v/>
      </c>
      <c r="D3319" s="186">
        <f>IF($K3319="","",INDEX(Zeiterfassung!$D$6:$D$3665,$K3319))</f>
        <v/>
      </c>
      <c r="E3319" s="186">
        <f>IF($K3319="","",INDEX(Zeiterfassung!$E$6:$E$3665,$K3319))</f>
        <v/>
      </c>
      <c r="F3319" s="187">
        <f>IF($K3319="","",INDEX(Zeiterfassung!$F$6:$F$3665,$K3319))</f>
        <v/>
      </c>
      <c r="G3319" s="187">
        <f>IF($K3319="","",INDEX(Zeiterfassung!$G$6:$G$3665,$K3319))</f>
        <v/>
      </c>
      <c r="H3319" s="188">
        <f>IF($K3319="","",INDEX(Zeiterfassung!$H$6:$H$3665,$K3319))</f>
        <v/>
      </c>
      <c r="I3319" s="335">
        <f>IF(B3319=B3318,"",IF($K3319="","",INDEX(Zeiterfassung!$I$6:$I$3665,MATCH(INDEX(Zeiterfassung!$K$6:$K$3665,$K3319),Zeiterfassung!$K$6:$K$3665,0))))</f>
        <v/>
      </c>
      <c r="J3319" s="335">
        <f>IF(B3319=B3318,"",IF($K3319="","",INDEX(Zeiterfassung!$J$6:$J$3665,MATCH(INDEX(Zeiterfassung!$K$6:$K$3665,$K3319),Zeiterfassung!$K$6:$K$3665,0))))</f>
        <v/>
      </c>
      <c r="K3319">
        <f>IFERROR(AGGREGATE(15,6,(ROW(Zeiterfassung!$D$6:$D$3665)-ROW(Zeiterfassung!$D$6)+1)/(Zeiterfassung!$D$6:$D$3665&lt;&gt;""),3314),"")</f>
        <v/>
      </c>
    </row>
    <row r="3320" ht="20" customHeight="1">
      <c r="A3320" s="183">
        <f>IF($K3320="","",WEEKNUM(INDEX(Zeiterfassung!$K$6:$K$3665,$K3320),21))</f>
        <v/>
      </c>
      <c r="B3320" s="184">
        <f>IF($K3320="","",INDEX(Zeiterfassung!$K$6:$K$3665,$K3320))</f>
        <v/>
      </c>
      <c r="C3320" s="185">
        <f>IF($K3320="","",INDEX(Zeiterfassung!$K$6:$K$3665,$K3320))</f>
        <v/>
      </c>
      <c r="D3320" s="186">
        <f>IF($K3320="","",INDEX(Zeiterfassung!$D$6:$D$3665,$K3320))</f>
        <v/>
      </c>
      <c r="E3320" s="186">
        <f>IF($K3320="","",INDEX(Zeiterfassung!$E$6:$E$3665,$K3320))</f>
        <v/>
      </c>
      <c r="F3320" s="187">
        <f>IF($K3320="","",INDEX(Zeiterfassung!$F$6:$F$3665,$K3320))</f>
        <v/>
      </c>
      <c r="G3320" s="187">
        <f>IF($K3320="","",INDEX(Zeiterfassung!$G$6:$G$3665,$K3320))</f>
        <v/>
      </c>
      <c r="H3320" s="188">
        <f>IF($K3320="","",INDEX(Zeiterfassung!$H$6:$H$3665,$K3320))</f>
        <v/>
      </c>
      <c r="I3320" s="335">
        <f>IF(B3320=B3319,"",IF($K3320="","",INDEX(Zeiterfassung!$I$6:$I$3665,MATCH(INDEX(Zeiterfassung!$K$6:$K$3665,$K3320),Zeiterfassung!$K$6:$K$3665,0))))</f>
        <v/>
      </c>
      <c r="J3320" s="335">
        <f>IF(B3320=B3319,"",IF($K3320="","",INDEX(Zeiterfassung!$J$6:$J$3665,MATCH(INDEX(Zeiterfassung!$K$6:$K$3665,$K3320),Zeiterfassung!$K$6:$K$3665,0))))</f>
        <v/>
      </c>
      <c r="K3320">
        <f>IFERROR(AGGREGATE(15,6,(ROW(Zeiterfassung!$D$6:$D$3665)-ROW(Zeiterfassung!$D$6)+1)/(Zeiterfassung!$D$6:$D$3665&lt;&gt;""),3315),"")</f>
        <v/>
      </c>
    </row>
    <row r="3321" ht="20" customHeight="1">
      <c r="A3321" s="183">
        <f>IF($K3321="","",WEEKNUM(INDEX(Zeiterfassung!$K$6:$K$3665,$K3321),21))</f>
        <v/>
      </c>
      <c r="B3321" s="184">
        <f>IF($K3321="","",INDEX(Zeiterfassung!$K$6:$K$3665,$K3321))</f>
        <v/>
      </c>
      <c r="C3321" s="185">
        <f>IF($K3321="","",INDEX(Zeiterfassung!$K$6:$K$3665,$K3321))</f>
        <v/>
      </c>
      <c r="D3321" s="186">
        <f>IF($K3321="","",INDEX(Zeiterfassung!$D$6:$D$3665,$K3321))</f>
        <v/>
      </c>
      <c r="E3321" s="186">
        <f>IF($K3321="","",INDEX(Zeiterfassung!$E$6:$E$3665,$K3321))</f>
        <v/>
      </c>
      <c r="F3321" s="187">
        <f>IF($K3321="","",INDEX(Zeiterfassung!$F$6:$F$3665,$K3321))</f>
        <v/>
      </c>
      <c r="G3321" s="187">
        <f>IF($K3321="","",INDEX(Zeiterfassung!$G$6:$G$3665,$K3321))</f>
        <v/>
      </c>
      <c r="H3321" s="188">
        <f>IF($K3321="","",INDEX(Zeiterfassung!$H$6:$H$3665,$K3321))</f>
        <v/>
      </c>
      <c r="I3321" s="335">
        <f>IF(B3321=B3320,"",IF($K3321="","",INDEX(Zeiterfassung!$I$6:$I$3665,MATCH(INDEX(Zeiterfassung!$K$6:$K$3665,$K3321),Zeiterfassung!$K$6:$K$3665,0))))</f>
        <v/>
      </c>
      <c r="J3321" s="335">
        <f>IF(B3321=B3320,"",IF($K3321="","",INDEX(Zeiterfassung!$J$6:$J$3665,MATCH(INDEX(Zeiterfassung!$K$6:$K$3665,$K3321),Zeiterfassung!$K$6:$K$3665,0))))</f>
        <v/>
      </c>
      <c r="K3321">
        <f>IFERROR(AGGREGATE(15,6,(ROW(Zeiterfassung!$D$6:$D$3665)-ROW(Zeiterfassung!$D$6)+1)/(Zeiterfassung!$D$6:$D$3665&lt;&gt;""),3316),"")</f>
        <v/>
      </c>
    </row>
    <row r="3322" ht="20" customHeight="1">
      <c r="A3322" s="183">
        <f>IF($K3322="","",WEEKNUM(INDEX(Zeiterfassung!$K$6:$K$3665,$K3322),21))</f>
        <v/>
      </c>
      <c r="B3322" s="184">
        <f>IF($K3322="","",INDEX(Zeiterfassung!$K$6:$K$3665,$K3322))</f>
        <v/>
      </c>
      <c r="C3322" s="185">
        <f>IF($K3322="","",INDEX(Zeiterfassung!$K$6:$K$3665,$K3322))</f>
        <v/>
      </c>
      <c r="D3322" s="186">
        <f>IF($K3322="","",INDEX(Zeiterfassung!$D$6:$D$3665,$K3322))</f>
        <v/>
      </c>
      <c r="E3322" s="186">
        <f>IF($K3322="","",INDEX(Zeiterfassung!$E$6:$E$3665,$K3322))</f>
        <v/>
      </c>
      <c r="F3322" s="187">
        <f>IF($K3322="","",INDEX(Zeiterfassung!$F$6:$F$3665,$K3322))</f>
        <v/>
      </c>
      <c r="G3322" s="187">
        <f>IF($K3322="","",INDEX(Zeiterfassung!$G$6:$G$3665,$K3322))</f>
        <v/>
      </c>
      <c r="H3322" s="188">
        <f>IF($K3322="","",INDEX(Zeiterfassung!$H$6:$H$3665,$K3322))</f>
        <v/>
      </c>
      <c r="I3322" s="335">
        <f>IF(B3322=B3321,"",IF($K3322="","",INDEX(Zeiterfassung!$I$6:$I$3665,MATCH(INDEX(Zeiterfassung!$K$6:$K$3665,$K3322),Zeiterfassung!$K$6:$K$3665,0))))</f>
        <v/>
      </c>
      <c r="J3322" s="335">
        <f>IF(B3322=B3321,"",IF($K3322="","",INDEX(Zeiterfassung!$J$6:$J$3665,MATCH(INDEX(Zeiterfassung!$K$6:$K$3665,$K3322),Zeiterfassung!$K$6:$K$3665,0))))</f>
        <v/>
      </c>
      <c r="K3322">
        <f>IFERROR(AGGREGATE(15,6,(ROW(Zeiterfassung!$D$6:$D$3665)-ROW(Zeiterfassung!$D$6)+1)/(Zeiterfassung!$D$6:$D$3665&lt;&gt;""),3317),"")</f>
        <v/>
      </c>
    </row>
    <row r="3323" ht="20" customHeight="1">
      <c r="A3323" s="183">
        <f>IF($K3323="","",WEEKNUM(INDEX(Zeiterfassung!$K$6:$K$3665,$K3323),21))</f>
        <v/>
      </c>
      <c r="B3323" s="184">
        <f>IF($K3323="","",INDEX(Zeiterfassung!$K$6:$K$3665,$K3323))</f>
        <v/>
      </c>
      <c r="C3323" s="185">
        <f>IF($K3323="","",INDEX(Zeiterfassung!$K$6:$K$3665,$K3323))</f>
        <v/>
      </c>
      <c r="D3323" s="186">
        <f>IF($K3323="","",INDEX(Zeiterfassung!$D$6:$D$3665,$K3323))</f>
        <v/>
      </c>
      <c r="E3323" s="186">
        <f>IF($K3323="","",INDEX(Zeiterfassung!$E$6:$E$3665,$K3323))</f>
        <v/>
      </c>
      <c r="F3323" s="187">
        <f>IF($K3323="","",INDEX(Zeiterfassung!$F$6:$F$3665,$K3323))</f>
        <v/>
      </c>
      <c r="G3323" s="187">
        <f>IF($K3323="","",INDEX(Zeiterfassung!$G$6:$G$3665,$K3323))</f>
        <v/>
      </c>
      <c r="H3323" s="188">
        <f>IF($K3323="","",INDEX(Zeiterfassung!$H$6:$H$3665,$K3323))</f>
        <v/>
      </c>
      <c r="I3323" s="335">
        <f>IF(B3323=B3322,"",IF($K3323="","",INDEX(Zeiterfassung!$I$6:$I$3665,MATCH(INDEX(Zeiterfassung!$K$6:$K$3665,$K3323),Zeiterfassung!$K$6:$K$3665,0))))</f>
        <v/>
      </c>
      <c r="J3323" s="335">
        <f>IF(B3323=B3322,"",IF($K3323="","",INDEX(Zeiterfassung!$J$6:$J$3665,MATCH(INDEX(Zeiterfassung!$K$6:$K$3665,$K3323),Zeiterfassung!$K$6:$K$3665,0))))</f>
        <v/>
      </c>
      <c r="K3323">
        <f>IFERROR(AGGREGATE(15,6,(ROW(Zeiterfassung!$D$6:$D$3665)-ROW(Zeiterfassung!$D$6)+1)/(Zeiterfassung!$D$6:$D$3665&lt;&gt;""),3318),"")</f>
        <v/>
      </c>
    </row>
    <row r="3324" ht="20" customHeight="1">
      <c r="A3324" s="183">
        <f>IF($K3324="","",WEEKNUM(INDEX(Zeiterfassung!$K$6:$K$3665,$K3324),21))</f>
        <v/>
      </c>
      <c r="B3324" s="184">
        <f>IF($K3324="","",INDEX(Zeiterfassung!$K$6:$K$3665,$K3324))</f>
        <v/>
      </c>
      <c r="C3324" s="185">
        <f>IF($K3324="","",INDEX(Zeiterfassung!$K$6:$K$3665,$K3324))</f>
        <v/>
      </c>
      <c r="D3324" s="186">
        <f>IF($K3324="","",INDEX(Zeiterfassung!$D$6:$D$3665,$K3324))</f>
        <v/>
      </c>
      <c r="E3324" s="186">
        <f>IF($K3324="","",INDEX(Zeiterfassung!$E$6:$E$3665,$K3324))</f>
        <v/>
      </c>
      <c r="F3324" s="187">
        <f>IF($K3324="","",INDEX(Zeiterfassung!$F$6:$F$3665,$K3324))</f>
        <v/>
      </c>
      <c r="G3324" s="187">
        <f>IF($K3324="","",INDEX(Zeiterfassung!$G$6:$G$3665,$K3324))</f>
        <v/>
      </c>
      <c r="H3324" s="188">
        <f>IF($K3324="","",INDEX(Zeiterfassung!$H$6:$H$3665,$K3324))</f>
        <v/>
      </c>
      <c r="I3324" s="335">
        <f>IF(B3324=B3323,"",IF($K3324="","",INDEX(Zeiterfassung!$I$6:$I$3665,MATCH(INDEX(Zeiterfassung!$K$6:$K$3665,$K3324),Zeiterfassung!$K$6:$K$3665,0))))</f>
        <v/>
      </c>
      <c r="J3324" s="335">
        <f>IF(B3324=B3323,"",IF($K3324="","",INDEX(Zeiterfassung!$J$6:$J$3665,MATCH(INDEX(Zeiterfassung!$K$6:$K$3665,$K3324),Zeiterfassung!$K$6:$K$3665,0))))</f>
        <v/>
      </c>
      <c r="K3324">
        <f>IFERROR(AGGREGATE(15,6,(ROW(Zeiterfassung!$D$6:$D$3665)-ROW(Zeiterfassung!$D$6)+1)/(Zeiterfassung!$D$6:$D$3665&lt;&gt;""),3319),"")</f>
        <v/>
      </c>
    </row>
    <row r="3325" ht="20" customHeight="1">
      <c r="A3325" s="183">
        <f>IF($K3325="","",WEEKNUM(INDEX(Zeiterfassung!$K$6:$K$3665,$K3325),21))</f>
        <v/>
      </c>
      <c r="B3325" s="184">
        <f>IF($K3325="","",INDEX(Zeiterfassung!$K$6:$K$3665,$K3325))</f>
        <v/>
      </c>
      <c r="C3325" s="185">
        <f>IF($K3325="","",INDEX(Zeiterfassung!$K$6:$K$3665,$K3325))</f>
        <v/>
      </c>
      <c r="D3325" s="186">
        <f>IF($K3325="","",INDEX(Zeiterfassung!$D$6:$D$3665,$K3325))</f>
        <v/>
      </c>
      <c r="E3325" s="186">
        <f>IF($K3325="","",INDEX(Zeiterfassung!$E$6:$E$3665,$K3325))</f>
        <v/>
      </c>
      <c r="F3325" s="187">
        <f>IF($K3325="","",INDEX(Zeiterfassung!$F$6:$F$3665,$K3325))</f>
        <v/>
      </c>
      <c r="G3325" s="187">
        <f>IF($K3325="","",INDEX(Zeiterfassung!$G$6:$G$3665,$K3325))</f>
        <v/>
      </c>
      <c r="H3325" s="188">
        <f>IF($K3325="","",INDEX(Zeiterfassung!$H$6:$H$3665,$K3325))</f>
        <v/>
      </c>
      <c r="I3325" s="335">
        <f>IF(B3325=B3324,"",IF($K3325="","",INDEX(Zeiterfassung!$I$6:$I$3665,MATCH(INDEX(Zeiterfassung!$K$6:$K$3665,$K3325),Zeiterfassung!$K$6:$K$3665,0))))</f>
        <v/>
      </c>
      <c r="J3325" s="335">
        <f>IF(B3325=B3324,"",IF($K3325="","",INDEX(Zeiterfassung!$J$6:$J$3665,MATCH(INDEX(Zeiterfassung!$K$6:$K$3665,$K3325),Zeiterfassung!$K$6:$K$3665,0))))</f>
        <v/>
      </c>
      <c r="K3325">
        <f>IFERROR(AGGREGATE(15,6,(ROW(Zeiterfassung!$D$6:$D$3665)-ROW(Zeiterfassung!$D$6)+1)/(Zeiterfassung!$D$6:$D$3665&lt;&gt;""),3320),"")</f>
        <v/>
      </c>
    </row>
    <row r="3326" ht="20" customHeight="1">
      <c r="A3326" s="183">
        <f>IF($K3326="","",WEEKNUM(INDEX(Zeiterfassung!$K$6:$K$3665,$K3326),21))</f>
        <v/>
      </c>
      <c r="B3326" s="184">
        <f>IF($K3326="","",INDEX(Zeiterfassung!$K$6:$K$3665,$K3326))</f>
        <v/>
      </c>
      <c r="C3326" s="185">
        <f>IF($K3326="","",INDEX(Zeiterfassung!$K$6:$K$3665,$K3326))</f>
        <v/>
      </c>
      <c r="D3326" s="186">
        <f>IF($K3326="","",INDEX(Zeiterfassung!$D$6:$D$3665,$K3326))</f>
        <v/>
      </c>
      <c r="E3326" s="186">
        <f>IF($K3326="","",INDEX(Zeiterfassung!$E$6:$E$3665,$K3326))</f>
        <v/>
      </c>
      <c r="F3326" s="187">
        <f>IF($K3326="","",INDEX(Zeiterfassung!$F$6:$F$3665,$K3326))</f>
        <v/>
      </c>
      <c r="G3326" s="187">
        <f>IF($K3326="","",INDEX(Zeiterfassung!$G$6:$G$3665,$K3326))</f>
        <v/>
      </c>
      <c r="H3326" s="188">
        <f>IF($K3326="","",INDEX(Zeiterfassung!$H$6:$H$3665,$K3326))</f>
        <v/>
      </c>
      <c r="I3326" s="335">
        <f>IF(B3326=B3325,"",IF($K3326="","",INDEX(Zeiterfassung!$I$6:$I$3665,MATCH(INDEX(Zeiterfassung!$K$6:$K$3665,$K3326),Zeiterfassung!$K$6:$K$3665,0))))</f>
        <v/>
      </c>
      <c r="J3326" s="335">
        <f>IF(B3326=B3325,"",IF($K3326="","",INDEX(Zeiterfassung!$J$6:$J$3665,MATCH(INDEX(Zeiterfassung!$K$6:$K$3665,$K3326),Zeiterfassung!$K$6:$K$3665,0))))</f>
        <v/>
      </c>
      <c r="K3326">
        <f>IFERROR(AGGREGATE(15,6,(ROW(Zeiterfassung!$D$6:$D$3665)-ROW(Zeiterfassung!$D$6)+1)/(Zeiterfassung!$D$6:$D$3665&lt;&gt;""),3321),"")</f>
        <v/>
      </c>
    </row>
    <row r="3327" ht="20" customHeight="1">
      <c r="A3327" s="183">
        <f>IF($K3327="","",WEEKNUM(INDEX(Zeiterfassung!$K$6:$K$3665,$K3327),21))</f>
        <v/>
      </c>
      <c r="B3327" s="184">
        <f>IF($K3327="","",INDEX(Zeiterfassung!$K$6:$K$3665,$K3327))</f>
        <v/>
      </c>
      <c r="C3327" s="185">
        <f>IF($K3327="","",INDEX(Zeiterfassung!$K$6:$K$3665,$K3327))</f>
        <v/>
      </c>
      <c r="D3327" s="186">
        <f>IF($K3327="","",INDEX(Zeiterfassung!$D$6:$D$3665,$K3327))</f>
        <v/>
      </c>
      <c r="E3327" s="186">
        <f>IF($K3327="","",INDEX(Zeiterfassung!$E$6:$E$3665,$K3327))</f>
        <v/>
      </c>
      <c r="F3327" s="187">
        <f>IF($K3327="","",INDEX(Zeiterfassung!$F$6:$F$3665,$K3327))</f>
        <v/>
      </c>
      <c r="G3327" s="187">
        <f>IF($K3327="","",INDEX(Zeiterfassung!$G$6:$G$3665,$K3327))</f>
        <v/>
      </c>
      <c r="H3327" s="188">
        <f>IF($K3327="","",INDEX(Zeiterfassung!$H$6:$H$3665,$K3327))</f>
        <v/>
      </c>
      <c r="I3327" s="335">
        <f>IF(B3327=B3326,"",IF($K3327="","",INDEX(Zeiterfassung!$I$6:$I$3665,MATCH(INDEX(Zeiterfassung!$K$6:$K$3665,$K3327),Zeiterfassung!$K$6:$K$3665,0))))</f>
        <v/>
      </c>
      <c r="J3327" s="335">
        <f>IF(B3327=B3326,"",IF($K3327="","",INDEX(Zeiterfassung!$J$6:$J$3665,MATCH(INDEX(Zeiterfassung!$K$6:$K$3665,$K3327),Zeiterfassung!$K$6:$K$3665,0))))</f>
        <v/>
      </c>
      <c r="K3327">
        <f>IFERROR(AGGREGATE(15,6,(ROW(Zeiterfassung!$D$6:$D$3665)-ROW(Zeiterfassung!$D$6)+1)/(Zeiterfassung!$D$6:$D$3665&lt;&gt;""),3322),"")</f>
        <v/>
      </c>
    </row>
    <row r="3328" ht="20" customHeight="1">
      <c r="A3328" s="183">
        <f>IF($K3328="","",WEEKNUM(INDEX(Zeiterfassung!$K$6:$K$3665,$K3328),21))</f>
        <v/>
      </c>
      <c r="B3328" s="184">
        <f>IF($K3328="","",INDEX(Zeiterfassung!$K$6:$K$3665,$K3328))</f>
        <v/>
      </c>
      <c r="C3328" s="185">
        <f>IF($K3328="","",INDEX(Zeiterfassung!$K$6:$K$3665,$K3328))</f>
        <v/>
      </c>
      <c r="D3328" s="186">
        <f>IF($K3328="","",INDEX(Zeiterfassung!$D$6:$D$3665,$K3328))</f>
        <v/>
      </c>
      <c r="E3328" s="186">
        <f>IF($K3328="","",INDEX(Zeiterfassung!$E$6:$E$3665,$K3328))</f>
        <v/>
      </c>
      <c r="F3328" s="187">
        <f>IF($K3328="","",INDEX(Zeiterfassung!$F$6:$F$3665,$K3328))</f>
        <v/>
      </c>
      <c r="G3328" s="187">
        <f>IF($K3328="","",INDEX(Zeiterfassung!$G$6:$G$3665,$K3328))</f>
        <v/>
      </c>
      <c r="H3328" s="188">
        <f>IF($K3328="","",INDEX(Zeiterfassung!$H$6:$H$3665,$K3328))</f>
        <v/>
      </c>
      <c r="I3328" s="335">
        <f>IF(B3328=B3327,"",IF($K3328="","",INDEX(Zeiterfassung!$I$6:$I$3665,MATCH(INDEX(Zeiterfassung!$K$6:$K$3665,$K3328),Zeiterfassung!$K$6:$K$3665,0))))</f>
        <v/>
      </c>
      <c r="J3328" s="335">
        <f>IF(B3328=B3327,"",IF($K3328="","",INDEX(Zeiterfassung!$J$6:$J$3665,MATCH(INDEX(Zeiterfassung!$K$6:$K$3665,$K3328),Zeiterfassung!$K$6:$K$3665,0))))</f>
        <v/>
      </c>
      <c r="K3328">
        <f>IFERROR(AGGREGATE(15,6,(ROW(Zeiterfassung!$D$6:$D$3665)-ROW(Zeiterfassung!$D$6)+1)/(Zeiterfassung!$D$6:$D$3665&lt;&gt;""),3323),"")</f>
        <v/>
      </c>
    </row>
    <row r="3329" ht="20" customHeight="1">
      <c r="A3329" s="183">
        <f>IF($K3329="","",WEEKNUM(INDEX(Zeiterfassung!$K$6:$K$3665,$K3329),21))</f>
        <v/>
      </c>
      <c r="B3329" s="184">
        <f>IF($K3329="","",INDEX(Zeiterfassung!$K$6:$K$3665,$K3329))</f>
        <v/>
      </c>
      <c r="C3329" s="185">
        <f>IF($K3329="","",INDEX(Zeiterfassung!$K$6:$K$3665,$K3329))</f>
        <v/>
      </c>
      <c r="D3329" s="186">
        <f>IF($K3329="","",INDEX(Zeiterfassung!$D$6:$D$3665,$K3329))</f>
        <v/>
      </c>
      <c r="E3329" s="186">
        <f>IF($K3329="","",INDEX(Zeiterfassung!$E$6:$E$3665,$K3329))</f>
        <v/>
      </c>
      <c r="F3329" s="187">
        <f>IF($K3329="","",INDEX(Zeiterfassung!$F$6:$F$3665,$K3329))</f>
        <v/>
      </c>
      <c r="G3329" s="187">
        <f>IF($K3329="","",INDEX(Zeiterfassung!$G$6:$G$3665,$K3329))</f>
        <v/>
      </c>
      <c r="H3329" s="188">
        <f>IF($K3329="","",INDEX(Zeiterfassung!$H$6:$H$3665,$K3329))</f>
        <v/>
      </c>
      <c r="I3329" s="335">
        <f>IF(B3329=B3328,"",IF($K3329="","",INDEX(Zeiterfassung!$I$6:$I$3665,MATCH(INDEX(Zeiterfassung!$K$6:$K$3665,$K3329),Zeiterfassung!$K$6:$K$3665,0))))</f>
        <v/>
      </c>
      <c r="J3329" s="335">
        <f>IF(B3329=B3328,"",IF($K3329="","",INDEX(Zeiterfassung!$J$6:$J$3665,MATCH(INDEX(Zeiterfassung!$K$6:$K$3665,$K3329),Zeiterfassung!$K$6:$K$3665,0))))</f>
        <v/>
      </c>
      <c r="K3329">
        <f>IFERROR(AGGREGATE(15,6,(ROW(Zeiterfassung!$D$6:$D$3665)-ROW(Zeiterfassung!$D$6)+1)/(Zeiterfassung!$D$6:$D$3665&lt;&gt;""),3324),"")</f>
        <v/>
      </c>
    </row>
    <row r="3330" ht="20" customHeight="1">
      <c r="A3330" s="183">
        <f>IF($K3330="","",WEEKNUM(INDEX(Zeiterfassung!$K$6:$K$3665,$K3330),21))</f>
        <v/>
      </c>
      <c r="B3330" s="184">
        <f>IF($K3330="","",INDEX(Zeiterfassung!$K$6:$K$3665,$K3330))</f>
        <v/>
      </c>
      <c r="C3330" s="185">
        <f>IF($K3330="","",INDEX(Zeiterfassung!$K$6:$K$3665,$K3330))</f>
        <v/>
      </c>
      <c r="D3330" s="186">
        <f>IF($K3330="","",INDEX(Zeiterfassung!$D$6:$D$3665,$K3330))</f>
        <v/>
      </c>
      <c r="E3330" s="186">
        <f>IF($K3330="","",INDEX(Zeiterfassung!$E$6:$E$3665,$K3330))</f>
        <v/>
      </c>
      <c r="F3330" s="187">
        <f>IF($K3330="","",INDEX(Zeiterfassung!$F$6:$F$3665,$K3330))</f>
        <v/>
      </c>
      <c r="G3330" s="187">
        <f>IF($K3330="","",INDEX(Zeiterfassung!$G$6:$G$3665,$K3330))</f>
        <v/>
      </c>
      <c r="H3330" s="188">
        <f>IF($K3330="","",INDEX(Zeiterfassung!$H$6:$H$3665,$K3330))</f>
        <v/>
      </c>
      <c r="I3330" s="335">
        <f>IF(B3330=B3329,"",IF($K3330="","",INDEX(Zeiterfassung!$I$6:$I$3665,MATCH(INDEX(Zeiterfassung!$K$6:$K$3665,$K3330),Zeiterfassung!$K$6:$K$3665,0))))</f>
        <v/>
      </c>
      <c r="J3330" s="335">
        <f>IF(B3330=B3329,"",IF($K3330="","",INDEX(Zeiterfassung!$J$6:$J$3665,MATCH(INDEX(Zeiterfassung!$K$6:$K$3665,$K3330),Zeiterfassung!$K$6:$K$3665,0))))</f>
        <v/>
      </c>
      <c r="K3330">
        <f>IFERROR(AGGREGATE(15,6,(ROW(Zeiterfassung!$D$6:$D$3665)-ROW(Zeiterfassung!$D$6)+1)/(Zeiterfassung!$D$6:$D$3665&lt;&gt;""),3325),"")</f>
        <v/>
      </c>
    </row>
    <row r="3331" ht="20" customHeight="1">
      <c r="A3331" s="183">
        <f>IF($K3331="","",WEEKNUM(INDEX(Zeiterfassung!$K$6:$K$3665,$K3331),21))</f>
        <v/>
      </c>
      <c r="B3331" s="184">
        <f>IF($K3331="","",INDEX(Zeiterfassung!$K$6:$K$3665,$K3331))</f>
        <v/>
      </c>
      <c r="C3331" s="185">
        <f>IF($K3331="","",INDEX(Zeiterfassung!$K$6:$K$3665,$K3331))</f>
        <v/>
      </c>
      <c r="D3331" s="186">
        <f>IF($K3331="","",INDEX(Zeiterfassung!$D$6:$D$3665,$K3331))</f>
        <v/>
      </c>
      <c r="E3331" s="186">
        <f>IF($K3331="","",INDEX(Zeiterfassung!$E$6:$E$3665,$K3331))</f>
        <v/>
      </c>
      <c r="F3331" s="187">
        <f>IF($K3331="","",INDEX(Zeiterfassung!$F$6:$F$3665,$K3331))</f>
        <v/>
      </c>
      <c r="G3331" s="187">
        <f>IF($K3331="","",INDEX(Zeiterfassung!$G$6:$G$3665,$K3331))</f>
        <v/>
      </c>
      <c r="H3331" s="188">
        <f>IF($K3331="","",INDEX(Zeiterfassung!$H$6:$H$3665,$K3331))</f>
        <v/>
      </c>
      <c r="I3331" s="335">
        <f>IF(B3331=B3330,"",IF($K3331="","",INDEX(Zeiterfassung!$I$6:$I$3665,MATCH(INDEX(Zeiterfassung!$K$6:$K$3665,$K3331),Zeiterfassung!$K$6:$K$3665,0))))</f>
        <v/>
      </c>
      <c r="J3331" s="335">
        <f>IF(B3331=B3330,"",IF($K3331="","",INDEX(Zeiterfassung!$J$6:$J$3665,MATCH(INDEX(Zeiterfassung!$K$6:$K$3665,$K3331),Zeiterfassung!$K$6:$K$3665,0))))</f>
        <v/>
      </c>
      <c r="K3331">
        <f>IFERROR(AGGREGATE(15,6,(ROW(Zeiterfassung!$D$6:$D$3665)-ROW(Zeiterfassung!$D$6)+1)/(Zeiterfassung!$D$6:$D$3665&lt;&gt;""),3326),"")</f>
        <v/>
      </c>
    </row>
    <row r="3332" ht="20" customHeight="1">
      <c r="A3332" s="183">
        <f>IF($K3332="","",WEEKNUM(INDEX(Zeiterfassung!$K$6:$K$3665,$K3332),21))</f>
        <v/>
      </c>
      <c r="B3332" s="184">
        <f>IF($K3332="","",INDEX(Zeiterfassung!$K$6:$K$3665,$K3332))</f>
        <v/>
      </c>
      <c r="C3332" s="185">
        <f>IF($K3332="","",INDEX(Zeiterfassung!$K$6:$K$3665,$K3332))</f>
        <v/>
      </c>
      <c r="D3332" s="186">
        <f>IF($K3332="","",INDEX(Zeiterfassung!$D$6:$D$3665,$K3332))</f>
        <v/>
      </c>
      <c r="E3332" s="186">
        <f>IF($K3332="","",INDEX(Zeiterfassung!$E$6:$E$3665,$K3332))</f>
        <v/>
      </c>
      <c r="F3332" s="187">
        <f>IF($K3332="","",INDEX(Zeiterfassung!$F$6:$F$3665,$K3332))</f>
        <v/>
      </c>
      <c r="G3332" s="187">
        <f>IF($K3332="","",INDEX(Zeiterfassung!$G$6:$G$3665,$K3332))</f>
        <v/>
      </c>
      <c r="H3332" s="188">
        <f>IF($K3332="","",INDEX(Zeiterfassung!$H$6:$H$3665,$K3332))</f>
        <v/>
      </c>
      <c r="I3332" s="335">
        <f>IF(B3332=B3331,"",IF($K3332="","",INDEX(Zeiterfassung!$I$6:$I$3665,MATCH(INDEX(Zeiterfassung!$K$6:$K$3665,$K3332),Zeiterfassung!$K$6:$K$3665,0))))</f>
        <v/>
      </c>
      <c r="J3332" s="335">
        <f>IF(B3332=B3331,"",IF($K3332="","",INDEX(Zeiterfassung!$J$6:$J$3665,MATCH(INDEX(Zeiterfassung!$K$6:$K$3665,$K3332),Zeiterfassung!$K$6:$K$3665,0))))</f>
        <v/>
      </c>
      <c r="K3332">
        <f>IFERROR(AGGREGATE(15,6,(ROW(Zeiterfassung!$D$6:$D$3665)-ROW(Zeiterfassung!$D$6)+1)/(Zeiterfassung!$D$6:$D$3665&lt;&gt;""),3327),"")</f>
        <v/>
      </c>
    </row>
    <row r="3333" ht="20" customHeight="1">
      <c r="A3333" s="183">
        <f>IF($K3333="","",WEEKNUM(INDEX(Zeiterfassung!$K$6:$K$3665,$K3333),21))</f>
        <v/>
      </c>
      <c r="B3333" s="184">
        <f>IF($K3333="","",INDEX(Zeiterfassung!$K$6:$K$3665,$K3333))</f>
        <v/>
      </c>
      <c r="C3333" s="185">
        <f>IF($K3333="","",INDEX(Zeiterfassung!$K$6:$K$3665,$K3333))</f>
        <v/>
      </c>
      <c r="D3333" s="186">
        <f>IF($K3333="","",INDEX(Zeiterfassung!$D$6:$D$3665,$K3333))</f>
        <v/>
      </c>
      <c r="E3333" s="186">
        <f>IF($K3333="","",INDEX(Zeiterfassung!$E$6:$E$3665,$K3333))</f>
        <v/>
      </c>
      <c r="F3333" s="187">
        <f>IF($K3333="","",INDEX(Zeiterfassung!$F$6:$F$3665,$K3333))</f>
        <v/>
      </c>
      <c r="G3333" s="187">
        <f>IF($K3333="","",INDEX(Zeiterfassung!$G$6:$G$3665,$K3333))</f>
        <v/>
      </c>
      <c r="H3333" s="188">
        <f>IF($K3333="","",INDEX(Zeiterfassung!$H$6:$H$3665,$K3333))</f>
        <v/>
      </c>
      <c r="I3333" s="335">
        <f>IF(B3333=B3332,"",IF($K3333="","",INDEX(Zeiterfassung!$I$6:$I$3665,MATCH(INDEX(Zeiterfassung!$K$6:$K$3665,$K3333),Zeiterfassung!$K$6:$K$3665,0))))</f>
        <v/>
      </c>
      <c r="J3333" s="335">
        <f>IF(B3333=B3332,"",IF($K3333="","",INDEX(Zeiterfassung!$J$6:$J$3665,MATCH(INDEX(Zeiterfassung!$K$6:$K$3665,$K3333),Zeiterfassung!$K$6:$K$3665,0))))</f>
        <v/>
      </c>
      <c r="K3333">
        <f>IFERROR(AGGREGATE(15,6,(ROW(Zeiterfassung!$D$6:$D$3665)-ROW(Zeiterfassung!$D$6)+1)/(Zeiterfassung!$D$6:$D$3665&lt;&gt;""),3328),"")</f>
        <v/>
      </c>
    </row>
    <row r="3334" ht="20" customHeight="1">
      <c r="A3334" s="183">
        <f>IF($K3334="","",WEEKNUM(INDEX(Zeiterfassung!$K$6:$K$3665,$K3334),21))</f>
        <v/>
      </c>
      <c r="B3334" s="184">
        <f>IF($K3334="","",INDEX(Zeiterfassung!$K$6:$K$3665,$K3334))</f>
        <v/>
      </c>
      <c r="C3334" s="185">
        <f>IF($K3334="","",INDEX(Zeiterfassung!$K$6:$K$3665,$K3334))</f>
        <v/>
      </c>
      <c r="D3334" s="186">
        <f>IF($K3334="","",INDEX(Zeiterfassung!$D$6:$D$3665,$K3334))</f>
        <v/>
      </c>
      <c r="E3334" s="186">
        <f>IF($K3334="","",INDEX(Zeiterfassung!$E$6:$E$3665,$K3334))</f>
        <v/>
      </c>
      <c r="F3334" s="187">
        <f>IF($K3334="","",INDEX(Zeiterfassung!$F$6:$F$3665,$K3334))</f>
        <v/>
      </c>
      <c r="G3334" s="187">
        <f>IF($K3334="","",INDEX(Zeiterfassung!$G$6:$G$3665,$K3334))</f>
        <v/>
      </c>
      <c r="H3334" s="188">
        <f>IF($K3334="","",INDEX(Zeiterfassung!$H$6:$H$3665,$K3334))</f>
        <v/>
      </c>
      <c r="I3334" s="335">
        <f>IF(B3334=B3333,"",IF($K3334="","",INDEX(Zeiterfassung!$I$6:$I$3665,MATCH(INDEX(Zeiterfassung!$K$6:$K$3665,$K3334),Zeiterfassung!$K$6:$K$3665,0))))</f>
        <v/>
      </c>
      <c r="J3334" s="335">
        <f>IF(B3334=B3333,"",IF($K3334="","",INDEX(Zeiterfassung!$J$6:$J$3665,MATCH(INDEX(Zeiterfassung!$K$6:$K$3665,$K3334),Zeiterfassung!$K$6:$K$3665,0))))</f>
        <v/>
      </c>
      <c r="K3334">
        <f>IFERROR(AGGREGATE(15,6,(ROW(Zeiterfassung!$D$6:$D$3665)-ROW(Zeiterfassung!$D$6)+1)/(Zeiterfassung!$D$6:$D$3665&lt;&gt;""),3329),"")</f>
        <v/>
      </c>
    </row>
    <row r="3335" ht="20" customHeight="1">
      <c r="A3335" s="183">
        <f>IF($K3335="","",WEEKNUM(INDEX(Zeiterfassung!$K$6:$K$3665,$K3335),21))</f>
        <v/>
      </c>
      <c r="B3335" s="184">
        <f>IF($K3335="","",INDEX(Zeiterfassung!$K$6:$K$3665,$K3335))</f>
        <v/>
      </c>
      <c r="C3335" s="185">
        <f>IF($K3335="","",INDEX(Zeiterfassung!$K$6:$K$3665,$K3335))</f>
        <v/>
      </c>
      <c r="D3335" s="186">
        <f>IF($K3335="","",INDEX(Zeiterfassung!$D$6:$D$3665,$K3335))</f>
        <v/>
      </c>
      <c r="E3335" s="186">
        <f>IF($K3335="","",INDEX(Zeiterfassung!$E$6:$E$3665,$K3335))</f>
        <v/>
      </c>
      <c r="F3335" s="187">
        <f>IF($K3335="","",INDEX(Zeiterfassung!$F$6:$F$3665,$K3335))</f>
        <v/>
      </c>
      <c r="G3335" s="187">
        <f>IF($K3335="","",INDEX(Zeiterfassung!$G$6:$G$3665,$K3335))</f>
        <v/>
      </c>
      <c r="H3335" s="188">
        <f>IF($K3335="","",INDEX(Zeiterfassung!$H$6:$H$3665,$K3335))</f>
        <v/>
      </c>
      <c r="I3335" s="335">
        <f>IF(B3335=B3334,"",IF($K3335="","",INDEX(Zeiterfassung!$I$6:$I$3665,MATCH(INDEX(Zeiterfassung!$K$6:$K$3665,$K3335),Zeiterfassung!$K$6:$K$3665,0))))</f>
        <v/>
      </c>
      <c r="J3335" s="335">
        <f>IF(B3335=B3334,"",IF($K3335="","",INDEX(Zeiterfassung!$J$6:$J$3665,MATCH(INDEX(Zeiterfassung!$K$6:$K$3665,$K3335),Zeiterfassung!$K$6:$K$3665,0))))</f>
        <v/>
      </c>
      <c r="K3335">
        <f>IFERROR(AGGREGATE(15,6,(ROW(Zeiterfassung!$D$6:$D$3665)-ROW(Zeiterfassung!$D$6)+1)/(Zeiterfassung!$D$6:$D$3665&lt;&gt;""),3330),"")</f>
        <v/>
      </c>
    </row>
    <row r="3336" ht="20" customHeight="1">
      <c r="A3336" s="183">
        <f>IF($K3336="","",WEEKNUM(INDEX(Zeiterfassung!$K$6:$K$3665,$K3336),21))</f>
        <v/>
      </c>
      <c r="B3336" s="184">
        <f>IF($K3336="","",INDEX(Zeiterfassung!$K$6:$K$3665,$K3336))</f>
        <v/>
      </c>
      <c r="C3336" s="185">
        <f>IF($K3336="","",INDEX(Zeiterfassung!$K$6:$K$3665,$K3336))</f>
        <v/>
      </c>
      <c r="D3336" s="186">
        <f>IF($K3336="","",INDEX(Zeiterfassung!$D$6:$D$3665,$K3336))</f>
        <v/>
      </c>
      <c r="E3336" s="186">
        <f>IF($K3336="","",INDEX(Zeiterfassung!$E$6:$E$3665,$K3336))</f>
        <v/>
      </c>
      <c r="F3336" s="187">
        <f>IF($K3336="","",INDEX(Zeiterfassung!$F$6:$F$3665,$K3336))</f>
        <v/>
      </c>
      <c r="G3336" s="187">
        <f>IF($K3336="","",INDEX(Zeiterfassung!$G$6:$G$3665,$K3336))</f>
        <v/>
      </c>
      <c r="H3336" s="188">
        <f>IF($K3336="","",INDEX(Zeiterfassung!$H$6:$H$3665,$K3336))</f>
        <v/>
      </c>
      <c r="I3336" s="335">
        <f>IF(B3336=B3335,"",IF($K3336="","",INDEX(Zeiterfassung!$I$6:$I$3665,MATCH(INDEX(Zeiterfassung!$K$6:$K$3665,$K3336),Zeiterfassung!$K$6:$K$3665,0))))</f>
        <v/>
      </c>
      <c r="J3336" s="335">
        <f>IF(B3336=B3335,"",IF($K3336="","",INDEX(Zeiterfassung!$J$6:$J$3665,MATCH(INDEX(Zeiterfassung!$K$6:$K$3665,$K3336),Zeiterfassung!$K$6:$K$3665,0))))</f>
        <v/>
      </c>
      <c r="K3336">
        <f>IFERROR(AGGREGATE(15,6,(ROW(Zeiterfassung!$D$6:$D$3665)-ROW(Zeiterfassung!$D$6)+1)/(Zeiterfassung!$D$6:$D$3665&lt;&gt;""),3331),"")</f>
        <v/>
      </c>
    </row>
    <row r="3337" ht="20" customHeight="1">
      <c r="A3337" s="183">
        <f>IF($K3337="","",WEEKNUM(INDEX(Zeiterfassung!$K$6:$K$3665,$K3337),21))</f>
        <v/>
      </c>
      <c r="B3337" s="184">
        <f>IF($K3337="","",INDEX(Zeiterfassung!$K$6:$K$3665,$K3337))</f>
        <v/>
      </c>
      <c r="C3337" s="185">
        <f>IF($K3337="","",INDEX(Zeiterfassung!$K$6:$K$3665,$K3337))</f>
        <v/>
      </c>
      <c r="D3337" s="186">
        <f>IF($K3337="","",INDEX(Zeiterfassung!$D$6:$D$3665,$K3337))</f>
        <v/>
      </c>
      <c r="E3337" s="186">
        <f>IF($K3337="","",INDEX(Zeiterfassung!$E$6:$E$3665,$K3337))</f>
        <v/>
      </c>
      <c r="F3337" s="187">
        <f>IF($K3337="","",INDEX(Zeiterfassung!$F$6:$F$3665,$K3337))</f>
        <v/>
      </c>
      <c r="G3337" s="187">
        <f>IF($K3337="","",INDEX(Zeiterfassung!$G$6:$G$3665,$K3337))</f>
        <v/>
      </c>
      <c r="H3337" s="188">
        <f>IF($K3337="","",INDEX(Zeiterfassung!$H$6:$H$3665,$K3337))</f>
        <v/>
      </c>
      <c r="I3337" s="335">
        <f>IF(B3337=B3336,"",IF($K3337="","",INDEX(Zeiterfassung!$I$6:$I$3665,MATCH(INDEX(Zeiterfassung!$K$6:$K$3665,$K3337),Zeiterfassung!$K$6:$K$3665,0))))</f>
        <v/>
      </c>
      <c r="J3337" s="335">
        <f>IF(B3337=B3336,"",IF($K3337="","",INDEX(Zeiterfassung!$J$6:$J$3665,MATCH(INDEX(Zeiterfassung!$K$6:$K$3665,$K3337),Zeiterfassung!$K$6:$K$3665,0))))</f>
        <v/>
      </c>
      <c r="K3337">
        <f>IFERROR(AGGREGATE(15,6,(ROW(Zeiterfassung!$D$6:$D$3665)-ROW(Zeiterfassung!$D$6)+1)/(Zeiterfassung!$D$6:$D$3665&lt;&gt;""),3332),"")</f>
        <v/>
      </c>
    </row>
    <row r="3338" ht="20" customHeight="1">
      <c r="A3338" s="183">
        <f>IF($K3338="","",WEEKNUM(INDEX(Zeiterfassung!$K$6:$K$3665,$K3338),21))</f>
        <v/>
      </c>
      <c r="B3338" s="184">
        <f>IF($K3338="","",INDEX(Zeiterfassung!$K$6:$K$3665,$K3338))</f>
        <v/>
      </c>
      <c r="C3338" s="185">
        <f>IF($K3338="","",INDEX(Zeiterfassung!$K$6:$K$3665,$K3338))</f>
        <v/>
      </c>
      <c r="D3338" s="186">
        <f>IF($K3338="","",INDEX(Zeiterfassung!$D$6:$D$3665,$K3338))</f>
        <v/>
      </c>
      <c r="E3338" s="186">
        <f>IF($K3338="","",INDEX(Zeiterfassung!$E$6:$E$3665,$K3338))</f>
        <v/>
      </c>
      <c r="F3338" s="187">
        <f>IF($K3338="","",INDEX(Zeiterfassung!$F$6:$F$3665,$K3338))</f>
        <v/>
      </c>
      <c r="G3338" s="187">
        <f>IF($K3338="","",INDEX(Zeiterfassung!$G$6:$G$3665,$K3338))</f>
        <v/>
      </c>
      <c r="H3338" s="188">
        <f>IF($K3338="","",INDEX(Zeiterfassung!$H$6:$H$3665,$K3338))</f>
        <v/>
      </c>
      <c r="I3338" s="335">
        <f>IF(B3338=B3337,"",IF($K3338="","",INDEX(Zeiterfassung!$I$6:$I$3665,MATCH(INDEX(Zeiterfassung!$K$6:$K$3665,$K3338),Zeiterfassung!$K$6:$K$3665,0))))</f>
        <v/>
      </c>
      <c r="J3338" s="335">
        <f>IF(B3338=B3337,"",IF($K3338="","",INDEX(Zeiterfassung!$J$6:$J$3665,MATCH(INDEX(Zeiterfassung!$K$6:$K$3665,$K3338),Zeiterfassung!$K$6:$K$3665,0))))</f>
        <v/>
      </c>
      <c r="K3338">
        <f>IFERROR(AGGREGATE(15,6,(ROW(Zeiterfassung!$D$6:$D$3665)-ROW(Zeiterfassung!$D$6)+1)/(Zeiterfassung!$D$6:$D$3665&lt;&gt;""),3333),"")</f>
        <v/>
      </c>
    </row>
    <row r="3339" ht="20" customHeight="1">
      <c r="A3339" s="183">
        <f>IF($K3339="","",WEEKNUM(INDEX(Zeiterfassung!$K$6:$K$3665,$K3339),21))</f>
        <v/>
      </c>
      <c r="B3339" s="184">
        <f>IF($K3339="","",INDEX(Zeiterfassung!$K$6:$K$3665,$K3339))</f>
        <v/>
      </c>
      <c r="C3339" s="185">
        <f>IF($K3339="","",INDEX(Zeiterfassung!$K$6:$K$3665,$K3339))</f>
        <v/>
      </c>
      <c r="D3339" s="186">
        <f>IF($K3339="","",INDEX(Zeiterfassung!$D$6:$D$3665,$K3339))</f>
        <v/>
      </c>
      <c r="E3339" s="186">
        <f>IF($K3339="","",INDEX(Zeiterfassung!$E$6:$E$3665,$K3339))</f>
        <v/>
      </c>
      <c r="F3339" s="187">
        <f>IF($K3339="","",INDEX(Zeiterfassung!$F$6:$F$3665,$K3339))</f>
        <v/>
      </c>
      <c r="G3339" s="187">
        <f>IF($K3339="","",INDEX(Zeiterfassung!$G$6:$G$3665,$K3339))</f>
        <v/>
      </c>
      <c r="H3339" s="188">
        <f>IF($K3339="","",INDEX(Zeiterfassung!$H$6:$H$3665,$K3339))</f>
        <v/>
      </c>
      <c r="I3339" s="335">
        <f>IF(B3339=B3338,"",IF($K3339="","",INDEX(Zeiterfassung!$I$6:$I$3665,MATCH(INDEX(Zeiterfassung!$K$6:$K$3665,$K3339),Zeiterfassung!$K$6:$K$3665,0))))</f>
        <v/>
      </c>
      <c r="J3339" s="335">
        <f>IF(B3339=B3338,"",IF($K3339="","",INDEX(Zeiterfassung!$J$6:$J$3665,MATCH(INDEX(Zeiterfassung!$K$6:$K$3665,$K3339),Zeiterfassung!$K$6:$K$3665,0))))</f>
        <v/>
      </c>
      <c r="K3339">
        <f>IFERROR(AGGREGATE(15,6,(ROW(Zeiterfassung!$D$6:$D$3665)-ROW(Zeiterfassung!$D$6)+1)/(Zeiterfassung!$D$6:$D$3665&lt;&gt;""),3334),"")</f>
        <v/>
      </c>
    </row>
    <row r="3340" ht="20" customHeight="1">
      <c r="A3340" s="183">
        <f>IF($K3340="","",WEEKNUM(INDEX(Zeiterfassung!$K$6:$K$3665,$K3340),21))</f>
        <v/>
      </c>
      <c r="B3340" s="184">
        <f>IF($K3340="","",INDEX(Zeiterfassung!$K$6:$K$3665,$K3340))</f>
        <v/>
      </c>
      <c r="C3340" s="185">
        <f>IF($K3340="","",INDEX(Zeiterfassung!$K$6:$K$3665,$K3340))</f>
        <v/>
      </c>
      <c r="D3340" s="186">
        <f>IF($K3340="","",INDEX(Zeiterfassung!$D$6:$D$3665,$K3340))</f>
        <v/>
      </c>
      <c r="E3340" s="186">
        <f>IF($K3340="","",INDEX(Zeiterfassung!$E$6:$E$3665,$K3340))</f>
        <v/>
      </c>
      <c r="F3340" s="187">
        <f>IF($K3340="","",INDEX(Zeiterfassung!$F$6:$F$3665,$K3340))</f>
        <v/>
      </c>
      <c r="G3340" s="187">
        <f>IF($K3340="","",INDEX(Zeiterfassung!$G$6:$G$3665,$K3340))</f>
        <v/>
      </c>
      <c r="H3340" s="188">
        <f>IF($K3340="","",INDEX(Zeiterfassung!$H$6:$H$3665,$K3340))</f>
        <v/>
      </c>
      <c r="I3340" s="335">
        <f>IF(B3340=B3339,"",IF($K3340="","",INDEX(Zeiterfassung!$I$6:$I$3665,MATCH(INDEX(Zeiterfassung!$K$6:$K$3665,$K3340),Zeiterfassung!$K$6:$K$3665,0))))</f>
        <v/>
      </c>
      <c r="J3340" s="335">
        <f>IF(B3340=B3339,"",IF($K3340="","",INDEX(Zeiterfassung!$J$6:$J$3665,MATCH(INDEX(Zeiterfassung!$K$6:$K$3665,$K3340),Zeiterfassung!$K$6:$K$3665,0))))</f>
        <v/>
      </c>
      <c r="K3340">
        <f>IFERROR(AGGREGATE(15,6,(ROW(Zeiterfassung!$D$6:$D$3665)-ROW(Zeiterfassung!$D$6)+1)/(Zeiterfassung!$D$6:$D$3665&lt;&gt;""),3335),"")</f>
        <v/>
      </c>
    </row>
    <row r="3341" ht="20" customHeight="1">
      <c r="A3341" s="183">
        <f>IF($K3341="","",WEEKNUM(INDEX(Zeiterfassung!$K$6:$K$3665,$K3341),21))</f>
        <v/>
      </c>
      <c r="B3341" s="184">
        <f>IF($K3341="","",INDEX(Zeiterfassung!$K$6:$K$3665,$K3341))</f>
        <v/>
      </c>
      <c r="C3341" s="185">
        <f>IF($K3341="","",INDEX(Zeiterfassung!$K$6:$K$3665,$K3341))</f>
        <v/>
      </c>
      <c r="D3341" s="186">
        <f>IF($K3341="","",INDEX(Zeiterfassung!$D$6:$D$3665,$K3341))</f>
        <v/>
      </c>
      <c r="E3341" s="186">
        <f>IF($K3341="","",INDEX(Zeiterfassung!$E$6:$E$3665,$K3341))</f>
        <v/>
      </c>
      <c r="F3341" s="187">
        <f>IF($K3341="","",INDEX(Zeiterfassung!$F$6:$F$3665,$K3341))</f>
        <v/>
      </c>
      <c r="G3341" s="187">
        <f>IF($K3341="","",INDEX(Zeiterfassung!$G$6:$G$3665,$K3341))</f>
        <v/>
      </c>
      <c r="H3341" s="188">
        <f>IF($K3341="","",INDEX(Zeiterfassung!$H$6:$H$3665,$K3341))</f>
        <v/>
      </c>
      <c r="I3341" s="335">
        <f>IF(B3341=B3340,"",IF($K3341="","",INDEX(Zeiterfassung!$I$6:$I$3665,MATCH(INDEX(Zeiterfassung!$K$6:$K$3665,$K3341),Zeiterfassung!$K$6:$K$3665,0))))</f>
        <v/>
      </c>
      <c r="J3341" s="335">
        <f>IF(B3341=B3340,"",IF($K3341="","",INDEX(Zeiterfassung!$J$6:$J$3665,MATCH(INDEX(Zeiterfassung!$K$6:$K$3665,$K3341),Zeiterfassung!$K$6:$K$3665,0))))</f>
        <v/>
      </c>
      <c r="K3341">
        <f>IFERROR(AGGREGATE(15,6,(ROW(Zeiterfassung!$D$6:$D$3665)-ROW(Zeiterfassung!$D$6)+1)/(Zeiterfassung!$D$6:$D$3665&lt;&gt;""),3336),"")</f>
        <v/>
      </c>
    </row>
    <row r="3342" ht="20" customHeight="1">
      <c r="A3342" s="183">
        <f>IF($K3342="","",WEEKNUM(INDEX(Zeiterfassung!$K$6:$K$3665,$K3342),21))</f>
        <v/>
      </c>
      <c r="B3342" s="184">
        <f>IF($K3342="","",INDEX(Zeiterfassung!$K$6:$K$3665,$K3342))</f>
        <v/>
      </c>
      <c r="C3342" s="185">
        <f>IF($K3342="","",INDEX(Zeiterfassung!$K$6:$K$3665,$K3342))</f>
        <v/>
      </c>
      <c r="D3342" s="186">
        <f>IF($K3342="","",INDEX(Zeiterfassung!$D$6:$D$3665,$K3342))</f>
        <v/>
      </c>
      <c r="E3342" s="186">
        <f>IF($K3342="","",INDEX(Zeiterfassung!$E$6:$E$3665,$K3342))</f>
        <v/>
      </c>
      <c r="F3342" s="187">
        <f>IF($K3342="","",INDEX(Zeiterfassung!$F$6:$F$3665,$K3342))</f>
        <v/>
      </c>
      <c r="G3342" s="187">
        <f>IF($K3342="","",INDEX(Zeiterfassung!$G$6:$G$3665,$K3342))</f>
        <v/>
      </c>
      <c r="H3342" s="188">
        <f>IF($K3342="","",INDEX(Zeiterfassung!$H$6:$H$3665,$K3342))</f>
        <v/>
      </c>
      <c r="I3342" s="335">
        <f>IF(B3342=B3341,"",IF($K3342="","",INDEX(Zeiterfassung!$I$6:$I$3665,MATCH(INDEX(Zeiterfassung!$K$6:$K$3665,$K3342),Zeiterfassung!$K$6:$K$3665,0))))</f>
        <v/>
      </c>
      <c r="J3342" s="335">
        <f>IF(B3342=B3341,"",IF($K3342="","",INDEX(Zeiterfassung!$J$6:$J$3665,MATCH(INDEX(Zeiterfassung!$K$6:$K$3665,$K3342),Zeiterfassung!$K$6:$K$3665,0))))</f>
        <v/>
      </c>
      <c r="K3342">
        <f>IFERROR(AGGREGATE(15,6,(ROW(Zeiterfassung!$D$6:$D$3665)-ROW(Zeiterfassung!$D$6)+1)/(Zeiterfassung!$D$6:$D$3665&lt;&gt;""),3337),"")</f>
        <v/>
      </c>
    </row>
    <row r="3343" ht="20" customHeight="1">
      <c r="A3343" s="183">
        <f>IF($K3343="","",WEEKNUM(INDEX(Zeiterfassung!$K$6:$K$3665,$K3343),21))</f>
        <v/>
      </c>
      <c r="B3343" s="184">
        <f>IF($K3343="","",INDEX(Zeiterfassung!$K$6:$K$3665,$K3343))</f>
        <v/>
      </c>
      <c r="C3343" s="185">
        <f>IF($K3343="","",INDEX(Zeiterfassung!$K$6:$K$3665,$K3343))</f>
        <v/>
      </c>
      <c r="D3343" s="186">
        <f>IF($K3343="","",INDEX(Zeiterfassung!$D$6:$D$3665,$K3343))</f>
        <v/>
      </c>
      <c r="E3343" s="186">
        <f>IF($K3343="","",INDEX(Zeiterfassung!$E$6:$E$3665,$K3343))</f>
        <v/>
      </c>
      <c r="F3343" s="187">
        <f>IF($K3343="","",INDEX(Zeiterfassung!$F$6:$F$3665,$K3343))</f>
        <v/>
      </c>
      <c r="G3343" s="187">
        <f>IF($K3343="","",INDEX(Zeiterfassung!$G$6:$G$3665,$K3343))</f>
        <v/>
      </c>
      <c r="H3343" s="188">
        <f>IF($K3343="","",INDEX(Zeiterfassung!$H$6:$H$3665,$K3343))</f>
        <v/>
      </c>
      <c r="I3343" s="335">
        <f>IF(B3343=B3342,"",IF($K3343="","",INDEX(Zeiterfassung!$I$6:$I$3665,MATCH(INDEX(Zeiterfassung!$K$6:$K$3665,$K3343),Zeiterfassung!$K$6:$K$3665,0))))</f>
        <v/>
      </c>
      <c r="J3343" s="335">
        <f>IF(B3343=B3342,"",IF($K3343="","",INDEX(Zeiterfassung!$J$6:$J$3665,MATCH(INDEX(Zeiterfassung!$K$6:$K$3665,$K3343),Zeiterfassung!$K$6:$K$3665,0))))</f>
        <v/>
      </c>
      <c r="K3343">
        <f>IFERROR(AGGREGATE(15,6,(ROW(Zeiterfassung!$D$6:$D$3665)-ROW(Zeiterfassung!$D$6)+1)/(Zeiterfassung!$D$6:$D$3665&lt;&gt;""),3338),"")</f>
        <v/>
      </c>
    </row>
    <row r="3344" ht="20" customHeight="1">
      <c r="A3344" s="183">
        <f>IF($K3344="","",WEEKNUM(INDEX(Zeiterfassung!$K$6:$K$3665,$K3344),21))</f>
        <v/>
      </c>
      <c r="B3344" s="184">
        <f>IF($K3344="","",INDEX(Zeiterfassung!$K$6:$K$3665,$K3344))</f>
        <v/>
      </c>
      <c r="C3344" s="185">
        <f>IF($K3344="","",INDEX(Zeiterfassung!$K$6:$K$3665,$K3344))</f>
        <v/>
      </c>
      <c r="D3344" s="186">
        <f>IF($K3344="","",INDEX(Zeiterfassung!$D$6:$D$3665,$K3344))</f>
        <v/>
      </c>
      <c r="E3344" s="186">
        <f>IF($K3344="","",INDEX(Zeiterfassung!$E$6:$E$3665,$K3344))</f>
        <v/>
      </c>
      <c r="F3344" s="187">
        <f>IF($K3344="","",INDEX(Zeiterfassung!$F$6:$F$3665,$K3344))</f>
        <v/>
      </c>
      <c r="G3344" s="187">
        <f>IF($K3344="","",INDEX(Zeiterfassung!$G$6:$G$3665,$K3344))</f>
        <v/>
      </c>
      <c r="H3344" s="188">
        <f>IF($K3344="","",INDEX(Zeiterfassung!$H$6:$H$3665,$K3344))</f>
        <v/>
      </c>
      <c r="I3344" s="335">
        <f>IF(B3344=B3343,"",IF($K3344="","",INDEX(Zeiterfassung!$I$6:$I$3665,MATCH(INDEX(Zeiterfassung!$K$6:$K$3665,$K3344),Zeiterfassung!$K$6:$K$3665,0))))</f>
        <v/>
      </c>
      <c r="J3344" s="335">
        <f>IF(B3344=B3343,"",IF($K3344="","",INDEX(Zeiterfassung!$J$6:$J$3665,MATCH(INDEX(Zeiterfassung!$K$6:$K$3665,$K3344),Zeiterfassung!$K$6:$K$3665,0))))</f>
        <v/>
      </c>
      <c r="K3344">
        <f>IFERROR(AGGREGATE(15,6,(ROW(Zeiterfassung!$D$6:$D$3665)-ROW(Zeiterfassung!$D$6)+1)/(Zeiterfassung!$D$6:$D$3665&lt;&gt;""),3339),"")</f>
        <v/>
      </c>
    </row>
    <row r="3345" ht="20" customHeight="1">
      <c r="A3345" s="183">
        <f>IF($K3345="","",WEEKNUM(INDEX(Zeiterfassung!$K$6:$K$3665,$K3345),21))</f>
        <v/>
      </c>
      <c r="B3345" s="184">
        <f>IF($K3345="","",INDEX(Zeiterfassung!$K$6:$K$3665,$K3345))</f>
        <v/>
      </c>
      <c r="C3345" s="185">
        <f>IF($K3345="","",INDEX(Zeiterfassung!$K$6:$K$3665,$K3345))</f>
        <v/>
      </c>
      <c r="D3345" s="186">
        <f>IF($K3345="","",INDEX(Zeiterfassung!$D$6:$D$3665,$K3345))</f>
        <v/>
      </c>
      <c r="E3345" s="186">
        <f>IF($K3345="","",INDEX(Zeiterfassung!$E$6:$E$3665,$K3345))</f>
        <v/>
      </c>
      <c r="F3345" s="187">
        <f>IF($K3345="","",INDEX(Zeiterfassung!$F$6:$F$3665,$K3345))</f>
        <v/>
      </c>
      <c r="G3345" s="187">
        <f>IF($K3345="","",INDEX(Zeiterfassung!$G$6:$G$3665,$K3345))</f>
        <v/>
      </c>
      <c r="H3345" s="188">
        <f>IF($K3345="","",INDEX(Zeiterfassung!$H$6:$H$3665,$K3345))</f>
        <v/>
      </c>
      <c r="I3345" s="335">
        <f>IF(B3345=B3344,"",IF($K3345="","",INDEX(Zeiterfassung!$I$6:$I$3665,MATCH(INDEX(Zeiterfassung!$K$6:$K$3665,$K3345),Zeiterfassung!$K$6:$K$3665,0))))</f>
        <v/>
      </c>
      <c r="J3345" s="335">
        <f>IF(B3345=B3344,"",IF($K3345="","",INDEX(Zeiterfassung!$J$6:$J$3665,MATCH(INDEX(Zeiterfassung!$K$6:$K$3665,$K3345),Zeiterfassung!$K$6:$K$3665,0))))</f>
        <v/>
      </c>
      <c r="K3345">
        <f>IFERROR(AGGREGATE(15,6,(ROW(Zeiterfassung!$D$6:$D$3665)-ROW(Zeiterfassung!$D$6)+1)/(Zeiterfassung!$D$6:$D$3665&lt;&gt;""),3340),"")</f>
        <v/>
      </c>
    </row>
    <row r="3346" ht="20" customHeight="1">
      <c r="A3346" s="183">
        <f>IF($K3346="","",WEEKNUM(INDEX(Zeiterfassung!$K$6:$K$3665,$K3346),21))</f>
        <v/>
      </c>
      <c r="B3346" s="184">
        <f>IF($K3346="","",INDEX(Zeiterfassung!$K$6:$K$3665,$K3346))</f>
        <v/>
      </c>
      <c r="C3346" s="185">
        <f>IF($K3346="","",INDEX(Zeiterfassung!$K$6:$K$3665,$K3346))</f>
        <v/>
      </c>
      <c r="D3346" s="186">
        <f>IF($K3346="","",INDEX(Zeiterfassung!$D$6:$D$3665,$K3346))</f>
        <v/>
      </c>
      <c r="E3346" s="186">
        <f>IF($K3346="","",INDEX(Zeiterfassung!$E$6:$E$3665,$K3346))</f>
        <v/>
      </c>
      <c r="F3346" s="187">
        <f>IF($K3346="","",INDEX(Zeiterfassung!$F$6:$F$3665,$K3346))</f>
        <v/>
      </c>
      <c r="G3346" s="187">
        <f>IF($K3346="","",INDEX(Zeiterfassung!$G$6:$G$3665,$K3346))</f>
        <v/>
      </c>
      <c r="H3346" s="188">
        <f>IF($K3346="","",INDEX(Zeiterfassung!$H$6:$H$3665,$K3346))</f>
        <v/>
      </c>
      <c r="I3346" s="335">
        <f>IF(B3346=B3345,"",IF($K3346="","",INDEX(Zeiterfassung!$I$6:$I$3665,MATCH(INDEX(Zeiterfassung!$K$6:$K$3665,$K3346),Zeiterfassung!$K$6:$K$3665,0))))</f>
        <v/>
      </c>
      <c r="J3346" s="335">
        <f>IF(B3346=B3345,"",IF($K3346="","",INDEX(Zeiterfassung!$J$6:$J$3665,MATCH(INDEX(Zeiterfassung!$K$6:$K$3665,$K3346),Zeiterfassung!$K$6:$K$3665,0))))</f>
        <v/>
      </c>
      <c r="K3346">
        <f>IFERROR(AGGREGATE(15,6,(ROW(Zeiterfassung!$D$6:$D$3665)-ROW(Zeiterfassung!$D$6)+1)/(Zeiterfassung!$D$6:$D$3665&lt;&gt;""),3341),"")</f>
        <v/>
      </c>
    </row>
    <row r="3347" ht="20" customHeight="1">
      <c r="A3347" s="183">
        <f>IF($K3347="","",WEEKNUM(INDEX(Zeiterfassung!$K$6:$K$3665,$K3347),21))</f>
        <v/>
      </c>
      <c r="B3347" s="184">
        <f>IF($K3347="","",INDEX(Zeiterfassung!$K$6:$K$3665,$K3347))</f>
        <v/>
      </c>
      <c r="C3347" s="185">
        <f>IF($K3347="","",INDEX(Zeiterfassung!$K$6:$K$3665,$K3347))</f>
        <v/>
      </c>
      <c r="D3347" s="186">
        <f>IF($K3347="","",INDEX(Zeiterfassung!$D$6:$D$3665,$K3347))</f>
        <v/>
      </c>
      <c r="E3347" s="186">
        <f>IF($K3347="","",INDEX(Zeiterfassung!$E$6:$E$3665,$K3347))</f>
        <v/>
      </c>
      <c r="F3347" s="187">
        <f>IF($K3347="","",INDEX(Zeiterfassung!$F$6:$F$3665,$K3347))</f>
        <v/>
      </c>
      <c r="G3347" s="187">
        <f>IF($K3347="","",INDEX(Zeiterfassung!$G$6:$G$3665,$K3347))</f>
        <v/>
      </c>
      <c r="H3347" s="188">
        <f>IF($K3347="","",INDEX(Zeiterfassung!$H$6:$H$3665,$K3347))</f>
        <v/>
      </c>
      <c r="I3347" s="335">
        <f>IF(B3347=B3346,"",IF($K3347="","",INDEX(Zeiterfassung!$I$6:$I$3665,MATCH(INDEX(Zeiterfassung!$K$6:$K$3665,$K3347),Zeiterfassung!$K$6:$K$3665,0))))</f>
        <v/>
      </c>
      <c r="J3347" s="335">
        <f>IF(B3347=B3346,"",IF($K3347="","",INDEX(Zeiterfassung!$J$6:$J$3665,MATCH(INDEX(Zeiterfassung!$K$6:$K$3665,$K3347),Zeiterfassung!$K$6:$K$3665,0))))</f>
        <v/>
      </c>
      <c r="K3347">
        <f>IFERROR(AGGREGATE(15,6,(ROW(Zeiterfassung!$D$6:$D$3665)-ROW(Zeiterfassung!$D$6)+1)/(Zeiterfassung!$D$6:$D$3665&lt;&gt;""),3342),"")</f>
        <v/>
      </c>
    </row>
    <row r="3348" ht="20" customHeight="1">
      <c r="A3348" s="183">
        <f>IF($K3348="","",WEEKNUM(INDEX(Zeiterfassung!$K$6:$K$3665,$K3348),21))</f>
        <v/>
      </c>
      <c r="B3348" s="184">
        <f>IF($K3348="","",INDEX(Zeiterfassung!$K$6:$K$3665,$K3348))</f>
        <v/>
      </c>
      <c r="C3348" s="185">
        <f>IF($K3348="","",INDEX(Zeiterfassung!$K$6:$K$3665,$K3348))</f>
        <v/>
      </c>
      <c r="D3348" s="186">
        <f>IF($K3348="","",INDEX(Zeiterfassung!$D$6:$D$3665,$K3348))</f>
        <v/>
      </c>
      <c r="E3348" s="186">
        <f>IF($K3348="","",INDEX(Zeiterfassung!$E$6:$E$3665,$K3348))</f>
        <v/>
      </c>
      <c r="F3348" s="187">
        <f>IF($K3348="","",INDEX(Zeiterfassung!$F$6:$F$3665,$K3348))</f>
        <v/>
      </c>
      <c r="G3348" s="187">
        <f>IF($K3348="","",INDEX(Zeiterfassung!$G$6:$G$3665,$K3348))</f>
        <v/>
      </c>
      <c r="H3348" s="188">
        <f>IF($K3348="","",INDEX(Zeiterfassung!$H$6:$H$3665,$K3348))</f>
        <v/>
      </c>
      <c r="I3348" s="335">
        <f>IF(B3348=B3347,"",IF($K3348="","",INDEX(Zeiterfassung!$I$6:$I$3665,MATCH(INDEX(Zeiterfassung!$K$6:$K$3665,$K3348),Zeiterfassung!$K$6:$K$3665,0))))</f>
        <v/>
      </c>
      <c r="J3348" s="335">
        <f>IF(B3348=B3347,"",IF($K3348="","",INDEX(Zeiterfassung!$J$6:$J$3665,MATCH(INDEX(Zeiterfassung!$K$6:$K$3665,$K3348),Zeiterfassung!$K$6:$K$3665,0))))</f>
        <v/>
      </c>
      <c r="K3348">
        <f>IFERROR(AGGREGATE(15,6,(ROW(Zeiterfassung!$D$6:$D$3665)-ROW(Zeiterfassung!$D$6)+1)/(Zeiterfassung!$D$6:$D$3665&lt;&gt;""),3343),"")</f>
        <v/>
      </c>
    </row>
    <row r="3349" ht="20" customHeight="1">
      <c r="A3349" s="183">
        <f>IF($K3349="","",WEEKNUM(INDEX(Zeiterfassung!$K$6:$K$3665,$K3349),21))</f>
        <v/>
      </c>
      <c r="B3349" s="184">
        <f>IF($K3349="","",INDEX(Zeiterfassung!$K$6:$K$3665,$K3349))</f>
        <v/>
      </c>
      <c r="C3349" s="185">
        <f>IF($K3349="","",INDEX(Zeiterfassung!$K$6:$K$3665,$K3349))</f>
        <v/>
      </c>
      <c r="D3349" s="186">
        <f>IF($K3349="","",INDEX(Zeiterfassung!$D$6:$D$3665,$K3349))</f>
        <v/>
      </c>
      <c r="E3349" s="186">
        <f>IF($K3349="","",INDEX(Zeiterfassung!$E$6:$E$3665,$K3349))</f>
        <v/>
      </c>
      <c r="F3349" s="187">
        <f>IF($K3349="","",INDEX(Zeiterfassung!$F$6:$F$3665,$K3349))</f>
        <v/>
      </c>
      <c r="G3349" s="187">
        <f>IF($K3349="","",INDEX(Zeiterfassung!$G$6:$G$3665,$K3349))</f>
        <v/>
      </c>
      <c r="H3349" s="188">
        <f>IF($K3349="","",INDEX(Zeiterfassung!$H$6:$H$3665,$K3349))</f>
        <v/>
      </c>
      <c r="I3349" s="335">
        <f>IF(B3349=B3348,"",IF($K3349="","",INDEX(Zeiterfassung!$I$6:$I$3665,MATCH(INDEX(Zeiterfassung!$K$6:$K$3665,$K3349),Zeiterfassung!$K$6:$K$3665,0))))</f>
        <v/>
      </c>
      <c r="J3349" s="335">
        <f>IF(B3349=B3348,"",IF($K3349="","",INDEX(Zeiterfassung!$J$6:$J$3665,MATCH(INDEX(Zeiterfassung!$K$6:$K$3665,$K3349),Zeiterfassung!$K$6:$K$3665,0))))</f>
        <v/>
      </c>
      <c r="K3349">
        <f>IFERROR(AGGREGATE(15,6,(ROW(Zeiterfassung!$D$6:$D$3665)-ROW(Zeiterfassung!$D$6)+1)/(Zeiterfassung!$D$6:$D$3665&lt;&gt;""),3344),"")</f>
        <v/>
      </c>
    </row>
    <row r="3350" ht="20" customHeight="1">
      <c r="A3350" s="183">
        <f>IF($K3350="","",WEEKNUM(INDEX(Zeiterfassung!$K$6:$K$3665,$K3350),21))</f>
        <v/>
      </c>
      <c r="B3350" s="184">
        <f>IF($K3350="","",INDEX(Zeiterfassung!$K$6:$K$3665,$K3350))</f>
        <v/>
      </c>
      <c r="C3350" s="185">
        <f>IF($K3350="","",INDEX(Zeiterfassung!$K$6:$K$3665,$K3350))</f>
        <v/>
      </c>
      <c r="D3350" s="186">
        <f>IF($K3350="","",INDEX(Zeiterfassung!$D$6:$D$3665,$K3350))</f>
        <v/>
      </c>
      <c r="E3350" s="186">
        <f>IF($K3350="","",INDEX(Zeiterfassung!$E$6:$E$3665,$K3350))</f>
        <v/>
      </c>
      <c r="F3350" s="187">
        <f>IF($K3350="","",INDEX(Zeiterfassung!$F$6:$F$3665,$K3350))</f>
        <v/>
      </c>
      <c r="G3350" s="187">
        <f>IF($K3350="","",INDEX(Zeiterfassung!$G$6:$G$3665,$K3350))</f>
        <v/>
      </c>
      <c r="H3350" s="188">
        <f>IF($K3350="","",INDEX(Zeiterfassung!$H$6:$H$3665,$K3350))</f>
        <v/>
      </c>
      <c r="I3350" s="335">
        <f>IF(B3350=B3349,"",IF($K3350="","",INDEX(Zeiterfassung!$I$6:$I$3665,MATCH(INDEX(Zeiterfassung!$K$6:$K$3665,$K3350),Zeiterfassung!$K$6:$K$3665,0))))</f>
        <v/>
      </c>
      <c r="J3350" s="335">
        <f>IF(B3350=B3349,"",IF($K3350="","",INDEX(Zeiterfassung!$J$6:$J$3665,MATCH(INDEX(Zeiterfassung!$K$6:$K$3665,$K3350),Zeiterfassung!$K$6:$K$3665,0))))</f>
        <v/>
      </c>
      <c r="K3350">
        <f>IFERROR(AGGREGATE(15,6,(ROW(Zeiterfassung!$D$6:$D$3665)-ROW(Zeiterfassung!$D$6)+1)/(Zeiterfassung!$D$6:$D$3665&lt;&gt;""),3345),"")</f>
        <v/>
      </c>
    </row>
    <row r="3351" ht="20" customHeight="1">
      <c r="A3351" s="183">
        <f>IF($K3351="","",WEEKNUM(INDEX(Zeiterfassung!$K$6:$K$3665,$K3351),21))</f>
        <v/>
      </c>
      <c r="B3351" s="184">
        <f>IF($K3351="","",INDEX(Zeiterfassung!$K$6:$K$3665,$K3351))</f>
        <v/>
      </c>
      <c r="C3351" s="185">
        <f>IF($K3351="","",INDEX(Zeiterfassung!$K$6:$K$3665,$K3351))</f>
        <v/>
      </c>
      <c r="D3351" s="186">
        <f>IF($K3351="","",INDEX(Zeiterfassung!$D$6:$D$3665,$K3351))</f>
        <v/>
      </c>
      <c r="E3351" s="186">
        <f>IF($K3351="","",INDEX(Zeiterfassung!$E$6:$E$3665,$K3351))</f>
        <v/>
      </c>
      <c r="F3351" s="187">
        <f>IF($K3351="","",INDEX(Zeiterfassung!$F$6:$F$3665,$K3351))</f>
        <v/>
      </c>
      <c r="G3351" s="187">
        <f>IF($K3351="","",INDEX(Zeiterfassung!$G$6:$G$3665,$K3351))</f>
        <v/>
      </c>
      <c r="H3351" s="188">
        <f>IF($K3351="","",INDEX(Zeiterfassung!$H$6:$H$3665,$K3351))</f>
        <v/>
      </c>
      <c r="I3351" s="335">
        <f>IF(B3351=B3350,"",IF($K3351="","",INDEX(Zeiterfassung!$I$6:$I$3665,MATCH(INDEX(Zeiterfassung!$K$6:$K$3665,$K3351),Zeiterfassung!$K$6:$K$3665,0))))</f>
        <v/>
      </c>
      <c r="J3351" s="335">
        <f>IF(B3351=B3350,"",IF($K3351="","",INDEX(Zeiterfassung!$J$6:$J$3665,MATCH(INDEX(Zeiterfassung!$K$6:$K$3665,$K3351),Zeiterfassung!$K$6:$K$3665,0))))</f>
        <v/>
      </c>
      <c r="K3351">
        <f>IFERROR(AGGREGATE(15,6,(ROW(Zeiterfassung!$D$6:$D$3665)-ROW(Zeiterfassung!$D$6)+1)/(Zeiterfassung!$D$6:$D$3665&lt;&gt;""),3346),"")</f>
        <v/>
      </c>
    </row>
    <row r="3352" ht="20" customHeight="1">
      <c r="A3352" s="183">
        <f>IF($K3352="","",WEEKNUM(INDEX(Zeiterfassung!$K$6:$K$3665,$K3352),21))</f>
        <v/>
      </c>
      <c r="B3352" s="184">
        <f>IF($K3352="","",INDEX(Zeiterfassung!$K$6:$K$3665,$K3352))</f>
        <v/>
      </c>
      <c r="C3352" s="185">
        <f>IF($K3352="","",INDEX(Zeiterfassung!$K$6:$K$3665,$K3352))</f>
        <v/>
      </c>
      <c r="D3352" s="186">
        <f>IF($K3352="","",INDEX(Zeiterfassung!$D$6:$D$3665,$K3352))</f>
        <v/>
      </c>
      <c r="E3352" s="186">
        <f>IF($K3352="","",INDEX(Zeiterfassung!$E$6:$E$3665,$K3352))</f>
        <v/>
      </c>
      <c r="F3352" s="187">
        <f>IF($K3352="","",INDEX(Zeiterfassung!$F$6:$F$3665,$K3352))</f>
        <v/>
      </c>
      <c r="G3352" s="187">
        <f>IF($K3352="","",INDEX(Zeiterfassung!$G$6:$G$3665,$K3352))</f>
        <v/>
      </c>
      <c r="H3352" s="188">
        <f>IF($K3352="","",INDEX(Zeiterfassung!$H$6:$H$3665,$K3352))</f>
        <v/>
      </c>
      <c r="I3352" s="335">
        <f>IF(B3352=B3351,"",IF($K3352="","",INDEX(Zeiterfassung!$I$6:$I$3665,MATCH(INDEX(Zeiterfassung!$K$6:$K$3665,$K3352),Zeiterfassung!$K$6:$K$3665,0))))</f>
        <v/>
      </c>
      <c r="J3352" s="335">
        <f>IF(B3352=B3351,"",IF($K3352="","",INDEX(Zeiterfassung!$J$6:$J$3665,MATCH(INDEX(Zeiterfassung!$K$6:$K$3665,$K3352),Zeiterfassung!$K$6:$K$3665,0))))</f>
        <v/>
      </c>
      <c r="K3352">
        <f>IFERROR(AGGREGATE(15,6,(ROW(Zeiterfassung!$D$6:$D$3665)-ROW(Zeiterfassung!$D$6)+1)/(Zeiterfassung!$D$6:$D$3665&lt;&gt;""),3347),"")</f>
        <v/>
      </c>
    </row>
    <row r="3353" ht="20" customHeight="1">
      <c r="A3353" s="183">
        <f>IF($K3353="","",WEEKNUM(INDEX(Zeiterfassung!$K$6:$K$3665,$K3353),21))</f>
        <v/>
      </c>
      <c r="B3353" s="184">
        <f>IF($K3353="","",INDEX(Zeiterfassung!$K$6:$K$3665,$K3353))</f>
        <v/>
      </c>
      <c r="C3353" s="185">
        <f>IF($K3353="","",INDEX(Zeiterfassung!$K$6:$K$3665,$K3353))</f>
        <v/>
      </c>
      <c r="D3353" s="186">
        <f>IF($K3353="","",INDEX(Zeiterfassung!$D$6:$D$3665,$K3353))</f>
        <v/>
      </c>
      <c r="E3353" s="186">
        <f>IF($K3353="","",INDEX(Zeiterfassung!$E$6:$E$3665,$K3353))</f>
        <v/>
      </c>
      <c r="F3353" s="187">
        <f>IF($K3353="","",INDEX(Zeiterfassung!$F$6:$F$3665,$K3353))</f>
        <v/>
      </c>
      <c r="G3353" s="187">
        <f>IF($K3353="","",INDEX(Zeiterfassung!$G$6:$G$3665,$K3353))</f>
        <v/>
      </c>
      <c r="H3353" s="188">
        <f>IF($K3353="","",INDEX(Zeiterfassung!$H$6:$H$3665,$K3353))</f>
        <v/>
      </c>
      <c r="I3353" s="335">
        <f>IF(B3353=B3352,"",IF($K3353="","",INDEX(Zeiterfassung!$I$6:$I$3665,MATCH(INDEX(Zeiterfassung!$K$6:$K$3665,$K3353),Zeiterfassung!$K$6:$K$3665,0))))</f>
        <v/>
      </c>
      <c r="J3353" s="335">
        <f>IF(B3353=B3352,"",IF($K3353="","",INDEX(Zeiterfassung!$J$6:$J$3665,MATCH(INDEX(Zeiterfassung!$K$6:$K$3665,$K3353),Zeiterfassung!$K$6:$K$3665,0))))</f>
        <v/>
      </c>
      <c r="K3353">
        <f>IFERROR(AGGREGATE(15,6,(ROW(Zeiterfassung!$D$6:$D$3665)-ROW(Zeiterfassung!$D$6)+1)/(Zeiterfassung!$D$6:$D$3665&lt;&gt;""),3348),"")</f>
        <v/>
      </c>
    </row>
    <row r="3354" ht="20" customHeight="1">
      <c r="A3354" s="183">
        <f>IF($K3354="","",WEEKNUM(INDEX(Zeiterfassung!$K$6:$K$3665,$K3354),21))</f>
        <v/>
      </c>
      <c r="B3354" s="184">
        <f>IF($K3354="","",INDEX(Zeiterfassung!$K$6:$K$3665,$K3354))</f>
        <v/>
      </c>
      <c r="C3354" s="185">
        <f>IF($K3354="","",INDEX(Zeiterfassung!$K$6:$K$3665,$K3354))</f>
        <v/>
      </c>
      <c r="D3354" s="186">
        <f>IF($K3354="","",INDEX(Zeiterfassung!$D$6:$D$3665,$K3354))</f>
        <v/>
      </c>
      <c r="E3354" s="186">
        <f>IF($K3354="","",INDEX(Zeiterfassung!$E$6:$E$3665,$K3354))</f>
        <v/>
      </c>
      <c r="F3354" s="187">
        <f>IF($K3354="","",INDEX(Zeiterfassung!$F$6:$F$3665,$K3354))</f>
        <v/>
      </c>
      <c r="G3354" s="187">
        <f>IF($K3354="","",INDEX(Zeiterfassung!$G$6:$G$3665,$K3354))</f>
        <v/>
      </c>
      <c r="H3354" s="188">
        <f>IF($K3354="","",INDEX(Zeiterfassung!$H$6:$H$3665,$K3354))</f>
        <v/>
      </c>
      <c r="I3354" s="335">
        <f>IF(B3354=B3353,"",IF($K3354="","",INDEX(Zeiterfassung!$I$6:$I$3665,MATCH(INDEX(Zeiterfassung!$K$6:$K$3665,$K3354),Zeiterfassung!$K$6:$K$3665,0))))</f>
        <v/>
      </c>
      <c r="J3354" s="335">
        <f>IF(B3354=B3353,"",IF($K3354="","",INDEX(Zeiterfassung!$J$6:$J$3665,MATCH(INDEX(Zeiterfassung!$K$6:$K$3665,$K3354),Zeiterfassung!$K$6:$K$3665,0))))</f>
        <v/>
      </c>
      <c r="K3354">
        <f>IFERROR(AGGREGATE(15,6,(ROW(Zeiterfassung!$D$6:$D$3665)-ROW(Zeiterfassung!$D$6)+1)/(Zeiterfassung!$D$6:$D$3665&lt;&gt;""),3349),"")</f>
        <v/>
      </c>
    </row>
    <row r="3355" ht="20" customHeight="1">
      <c r="A3355" s="183">
        <f>IF($K3355="","",WEEKNUM(INDEX(Zeiterfassung!$K$6:$K$3665,$K3355),21))</f>
        <v/>
      </c>
      <c r="B3355" s="184">
        <f>IF($K3355="","",INDEX(Zeiterfassung!$K$6:$K$3665,$K3355))</f>
        <v/>
      </c>
      <c r="C3355" s="185">
        <f>IF($K3355="","",INDEX(Zeiterfassung!$K$6:$K$3665,$K3355))</f>
        <v/>
      </c>
      <c r="D3355" s="186">
        <f>IF($K3355="","",INDEX(Zeiterfassung!$D$6:$D$3665,$K3355))</f>
        <v/>
      </c>
      <c r="E3355" s="186">
        <f>IF($K3355="","",INDEX(Zeiterfassung!$E$6:$E$3665,$K3355))</f>
        <v/>
      </c>
      <c r="F3355" s="187">
        <f>IF($K3355="","",INDEX(Zeiterfassung!$F$6:$F$3665,$K3355))</f>
        <v/>
      </c>
      <c r="G3355" s="187">
        <f>IF($K3355="","",INDEX(Zeiterfassung!$G$6:$G$3665,$K3355))</f>
        <v/>
      </c>
      <c r="H3355" s="188">
        <f>IF($K3355="","",INDEX(Zeiterfassung!$H$6:$H$3665,$K3355))</f>
        <v/>
      </c>
      <c r="I3355" s="335">
        <f>IF(B3355=B3354,"",IF($K3355="","",INDEX(Zeiterfassung!$I$6:$I$3665,MATCH(INDEX(Zeiterfassung!$K$6:$K$3665,$K3355),Zeiterfassung!$K$6:$K$3665,0))))</f>
        <v/>
      </c>
      <c r="J3355" s="335">
        <f>IF(B3355=B3354,"",IF($K3355="","",INDEX(Zeiterfassung!$J$6:$J$3665,MATCH(INDEX(Zeiterfassung!$K$6:$K$3665,$K3355),Zeiterfassung!$K$6:$K$3665,0))))</f>
        <v/>
      </c>
      <c r="K3355">
        <f>IFERROR(AGGREGATE(15,6,(ROW(Zeiterfassung!$D$6:$D$3665)-ROW(Zeiterfassung!$D$6)+1)/(Zeiterfassung!$D$6:$D$3665&lt;&gt;""),3350),"")</f>
        <v/>
      </c>
    </row>
    <row r="3356" ht="20" customHeight="1">
      <c r="A3356" s="183">
        <f>IF($K3356="","",WEEKNUM(INDEX(Zeiterfassung!$K$6:$K$3665,$K3356),21))</f>
        <v/>
      </c>
      <c r="B3356" s="184">
        <f>IF($K3356="","",INDEX(Zeiterfassung!$K$6:$K$3665,$K3356))</f>
        <v/>
      </c>
      <c r="C3356" s="185">
        <f>IF($K3356="","",INDEX(Zeiterfassung!$K$6:$K$3665,$K3356))</f>
        <v/>
      </c>
      <c r="D3356" s="186">
        <f>IF($K3356="","",INDEX(Zeiterfassung!$D$6:$D$3665,$K3356))</f>
        <v/>
      </c>
      <c r="E3356" s="186">
        <f>IF($K3356="","",INDEX(Zeiterfassung!$E$6:$E$3665,$K3356))</f>
        <v/>
      </c>
      <c r="F3356" s="187">
        <f>IF($K3356="","",INDEX(Zeiterfassung!$F$6:$F$3665,$K3356))</f>
        <v/>
      </c>
      <c r="G3356" s="187">
        <f>IF($K3356="","",INDEX(Zeiterfassung!$G$6:$G$3665,$K3356))</f>
        <v/>
      </c>
      <c r="H3356" s="188">
        <f>IF($K3356="","",INDEX(Zeiterfassung!$H$6:$H$3665,$K3356))</f>
        <v/>
      </c>
      <c r="I3356" s="335">
        <f>IF(B3356=B3355,"",IF($K3356="","",INDEX(Zeiterfassung!$I$6:$I$3665,MATCH(INDEX(Zeiterfassung!$K$6:$K$3665,$K3356),Zeiterfassung!$K$6:$K$3665,0))))</f>
        <v/>
      </c>
      <c r="J3356" s="335">
        <f>IF(B3356=B3355,"",IF($K3356="","",INDEX(Zeiterfassung!$J$6:$J$3665,MATCH(INDEX(Zeiterfassung!$K$6:$K$3665,$K3356),Zeiterfassung!$K$6:$K$3665,0))))</f>
        <v/>
      </c>
      <c r="K3356">
        <f>IFERROR(AGGREGATE(15,6,(ROW(Zeiterfassung!$D$6:$D$3665)-ROW(Zeiterfassung!$D$6)+1)/(Zeiterfassung!$D$6:$D$3665&lt;&gt;""),3351),"")</f>
        <v/>
      </c>
    </row>
    <row r="3357" ht="20" customHeight="1">
      <c r="A3357" s="183">
        <f>IF($K3357="","",WEEKNUM(INDEX(Zeiterfassung!$K$6:$K$3665,$K3357),21))</f>
        <v/>
      </c>
      <c r="B3357" s="184">
        <f>IF($K3357="","",INDEX(Zeiterfassung!$K$6:$K$3665,$K3357))</f>
        <v/>
      </c>
      <c r="C3357" s="185">
        <f>IF($K3357="","",INDEX(Zeiterfassung!$K$6:$K$3665,$K3357))</f>
        <v/>
      </c>
      <c r="D3357" s="186">
        <f>IF($K3357="","",INDEX(Zeiterfassung!$D$6:$D$3665,$K3357))</f>
        <v/>
      </c>
      <c r="E3357" s="186">
        <f>IF($K3357="","",INDEX(Zeiterfassung!$E$6:$E$3665,$K3357))</f>
        <v/>
      </c>
      <c r="F3357" s="187">
        <f>IF($K3357="","",INDEX(Zeiterfassung!$F$6:$F$3665,$K3357))</f>
        <v/>
      </c>
      <c r="G3357" s="187">
        <f>IF($K3357="","",INDEX(Zeiterfassung!$G$6:$G$3665,$K3357))</f>
        <v/>
      </c>
      <c r="H3357" s="188">
        <f>IF($K3357="","",INDEX(Zeiterfassung!$H$6:$H$3665,$K3357))</f>
        <v/>
      </c>
      <c r="I3357" s="335">
        <f>IF(B3357=B3356,"",IF($K3357="","",INDEX(Zeiterfassung!$I$6:$I$3665,MATCH(INDEX(Zeiterfassung!$K$6:$K$3665,$K3357),Zeiterfassung!$K$6:$K$3665,0))))</f>
        <v/>
      </c>
      <c r="J3357" s="335">
        <f>IF(B3357=B3356,"",IF($K3357="","",INDEX(Zeiterfassung!$J$6:$J$3665,MATCH(INDEX(Zeiterfassung!$K$6:$K$3665,$K3357),Zeiterfassung!$K$6:$K$3665,0))))</f>
        <v/>
      </c>
      <c r="K3357">
        <f>IFERROR(AGGREGATE(15,6,(ROW(Zeiterfassung!$D$6:$D$3665)-ROW(Zeiterfassung!$D$6)+1)/(Zeiterfassung!$D$6:$D$3665&lt;&gt;""),3352),"")</f>
        <v/>
      </c>
    </row>
    <row r="3358" ht="20" customHeight="1">
      <c r="A3358" s="183">
        <f>IF($K3358="","",WEEKNUM(INDEX(Zeiterfassung!$K$6:$K$3665,$K3358),21))</f>
        <v/>
      </c>
      <c r="B3358" s="184">
        <f>IF($K3358="","",INDEX(Zeiterfassung!$K$6:$K$3665,$K3358))</f>
        <v/>
      </c>
      <c r="C3358" s="185">
        <f>IF($K3358="","",INDEX(Zeiterfassung!$K$6:$K$3665,$K3358))</f>
        <v/>
      </c>
      <c r="D3358" s="186">
        <f>IF($K3358="","",INDEX(Zeiterfassung!$D$6:$D$3665,$K3358))</f>
        <v/>
      </c>
      <c r="E3358" s="186">
        <f>IF($K3358="","",INDEX(Zeiterfassung!$E$6:$E$3665,$K3358))</f>
        <v/>
      </c>
      <c r="F3358" s="187">
        <f>IF($K3358="","",INDEX(Zeiterfassung!$F$6:$F$3665,$K3358))</f>
        <v/>
      </c>
      <c r="G3358" s="187">
        <f>IF($K3358="","",INDEX(Zeiterfassung!$G$6:$G$3665,$K3358))</f>
        <v/>
      </c>
      <c r="H3358" s="188">
        <f>IF($K3358="","",INDEX(Zeiterfassung!$H$6:$H$3665,$K3358))</f>
        <v/>
      </c>
      <c r="I3358" s="335">
        <f>IF(B3358=B3357,"",IF($K3358="","",INDEX(Zeiterfassung!$I$6:$I$3665,MATCH(INDEX(Zeiterfassung!$K$6:$K$3665,$K3358),Zeiterfassung!$K$6:$K$3665,0))))</f>
        <v/>
      </c>
      <c r="J3358" s="335">
        <f>IF(B3358=B3357,"",IF($K3358="","",INDEX(Zeiterfassung!$J$6:$J$3665,MATCH(INDEX(Zeiterfassung!$K$6:$K$3665,$K3358),Zeiterfassung!$K$6:$K$3665,0))))</f>
        <v/>
      </c>
      <c r="K3358">
        <f>IFERROR(AGGREGATE(15,6,(ROW(Zeiterfassung!$D$6:$D$3665)-ROW(Zeiterfassung!$D$6)+1)/(Zeiterfassung!$D$6:$D$3665&lt;&gt;""),3353),"")</f>
        <v/>
      </c>
    </row>
    <row r="3359" ht="20" customHeight="1">
      <c r="A3359" s="183">
        <f>IF($K3359="","",WEEKNUM(INDEX(Zeiterfassung!$K$6:$K$3665,$K3359),21))</f>
        <v/>
      </c>
      <c r="B3359" s="184">
        <f>IF($K3359="","",INDEX(Zeiterfassung!$K$6:$K$3665,$K3359))</f>
        <v/>
      </c>
      <c r="C3359" s="185">
        <f>IF($K3359="","",INDEX(Zeiterfassung!$K$6:$K$3665,$K3359))</f>
        <v/>
      </c>
      <c r="D3359" s="186">
        <f>IF($K3359="","",INDEX(Zeiterfassung!$D$6:$D$3665,$K3359))</f>
        <v/>
      </c>
      <c r="E3359" s="186">
        <f>IF($K3359="","",INDEX(Zeiterfassung!$E$6:$E$3665,$K3359))</f>
        <v/>
      </c>
      <c r="F3359" s="187">
        <f>IF($K3359="","",INDEX(Zeiterfassung!$F$6:$F$3665,$K3359))</f>
        <v/>
      </c>
      <c r="G3359" s="187">
        <f>IF($K3359="","",INDEX(Zeiterfassung!$G$6:$G$3665,$K3359))</f>
        <v/>
      </c>
      <c r="H3359" s="188">
        <f>IF($K3359="","",INDEX(Zeiterfassung!$H$6:$H$3665,$K3359))</f>
        <v/>
      </c>
      <c r="I3359" s="335">
        <f>IF(B3359=B3358,"",IF($K3359="","",INDEX(Zeiterfassung!$I$6:$I$3665,MATCH(INDEX(Zeiterfassung!$K$6:$K$3665,$K3359),Zeiterfassung!$K$6:$K$3665,0))))</f>
        <v/>
      </c>
      <c r="J3359" s="335">
        <f>IF(B3359=B3358,"",IF($K3359="","",INDEX(Zeiterfassung!$J$6:$J$3665,MATCH(INDEX(Zeiterfassung!$K$6:$K$3665,$K3359),Zeiterfassung!$K$6:$K$3665,0))))</f>
        <v/>
      </c>
      <c r="K3359">
        <f>IFERROR(AGGREGATE(15,6,(ROW(Zeiterfassung!$D$6:$D$3665)-ROW(Zeiterfassung!$D$6)+1)/(Zeiterfassung!$D$6:$D$3665&lt;&gt;""),3354),"")</f>
        <v/>
      </c>
    </row>
    <row r="3360" ht="20" customHeight="1">
      <c r="A3360" s="183">
        <f>IF($K3360="","",WEEKNUM(INDEX(Zeiterfassung!$K$6:$K$3665,$K3360),21))</f>
        <v/>
      </c>
      <c r="B3360" s="184">
        <f>IF($K3360="","",INDEX(Zeiterfassung!$K$6:$K$3665,$K3360))</f>
        <v/>
      </c>
      <c r="C3360" s="185">
        <f>IF($K3360="","",INDEX(Zeiterfassung!$K$6:$K$3665,$K3360))</f>
        <v/>
      </c>
      <c r="D3360" s="186">
        <f>IF($K3360="","",INDEX(Zeiterfassung!$D$6:$D$3665,$K3360))</f>
        <v/>
      </c>
      <c r="E3360" s="186">
        <f>IF($K3360="","",INDEX(Zeiterfassung!$E$6:$E$3665,$K3360))</f>
        <v/>
      </c>
      <c r="F3360" s="187">
        <f>IF($K3360="","",INDEX(Zeiterfassung!$F$6:$F$3665,$K3360))</f>
        <v/>
      </c>
      <c r="G3360" s="187">
        <f>IF($K3360="","",INDEX(Zeiterfassung!$G$6:$G$3665,$K3360))</f>
        <v/>
      </c>
      <c r="H3360" s="188">
        <f>IF($K3360="","",INDEX(Zeiterfassung!$H$6:$H$3665,$K3360))</f>
        <v/>
      </c>
      <c r="I3360" s="335">
        <f>IF(B3360=B3359,"",IF($K3360="","",INDEX(Zeiterfassung!$I$6:$I$3665,MATCH(INDEX(Zeiterfassung!$K$6:$K$3665,$K3360),Zeiterfassung!$K$6:$K$3665,0))))</f>
        <v/>
      </c>
      <c r="J3360" s="335">
        <f>IF(B3360=B3359,"",IF($K3360="","",INDEX(Zeiterfassung!$J$6:$J$3665,MATCH(INDEX(Zeiterfassung!$K$6:$K$3665,$K3360),Zeiterfassung!$K$6:$K$3665,0))))</f>
        <v/>
      </c>
      <c r="K3360">
        <f>IFERROR(AGGREGATE(15,6,(ROW(Zeiterfassung!$D$6:$D$3665)-ROW(Zeiterfassung!$D$6)+1)/(Zeiterfassung!$D$6:$D$3665&lt;&gt;""),3355),"")</f>
        <v/>
      </c>
    </row>
    <row r="3361" ht="20" customHeight="1">
      <c r="A3361" s="183">
        <f>IF($K3361="","",WEEKNUM(INDEX(Zeiterfassung!$K$6:$K$3665,$K3361),21))</f>
        <v/>
      </c>
      <c r="B3361" s="184">
        <f>IF($K3361="","",INDEX(Zeiterfassung!$K$6:$K$3665,$K3361))</f>
        <v/>
      </c>
      <c r="C3361" s="185">
        <f>IF($K3361="","",INDEX(Zeiterfassung!$K$6:$K$3665,$K3361))</f>
        <v/>
      </c>
      <c r="D3361" s="186">
        <f>IF($K3361="","",INDEX(Zeiterfassung!$D$6:$D$3665,$K3361))</f>
        <v/>
      </c>
      <c r="E3361" s="186">
        <f>IF($K3361="","",INDEX(Zeiterfassung!$E$6:$E$3665,$K3361))</f>
        <v/>
      </c>
      <c r="F3361" s="187">
        <f>IF($K3361="","",INDEX(Zeiterfassung!$F$6:$F$3665,$K3361))</f>
        <v/>
      </c>
      <c r="G3361" s="187">
        <f>IF($K3361="","",INDEX(Zeiterfassung!$G$6:$G$3665,$K3361))</f>
        <v/>
      </c>
      <c r="H3361" s="188">
        <f>IF($K3361="","",INDEX(Zeiterfassung!$H$6:$H$3665,$K3361))</f>
        <v/>
      </c>
      <c r="I3361" s="335">
        <f>IF(B3361=B3360,"",IF($K3361="","",INDEX(Zeiterfassung!$I$6:$I$3665,MATCH(INDEX(Zeiterfassung!$K$6:$K$3665,$K3361),Zeiterfassung!$K$6:$K$3665,0))))</f>
        <v/>
      </c>
      <c r="J3361" s="335">
        <f>IF(B3361=B3360,"",IF($K3361="","",INDEX(Zeiterfassung!$J$6:$J$3665,MATCH(INDEX(Zeiterfassung!$K$6:$K$3665,$K3361),Zeiterfassung!$K$6:$K$3665,0))))</f>
        <v/>
      </c>
      <c r="K3361">
        <f>IFERROR(AGGREGATE(15,6,(ROW(Zeiterfassung!$D$6:$D$3665)-ROW(Zeiterfassung!$D$6)+1)/(Zeiterfassung!$D$6:$D$3665&lt;&gt;""),3356),"")</f>
        <v/>
      </c>
    </row>
    <row r="3362" ht="20" customHeight="1">
      <c r="A3362" s="183">
        <f>IF($K3362="","",WEEKNUM(INDEX(Zeiterfassung!$K$6:$K$3665,$K3362),21))</f>
        <v/>
      </c>
      <c r="B3362" s="184">
        <f>IF($K3362="","",INDEX(Zeiterfassung!$K$6:$K$3665,$K3362))</f>
        <v/>
      </c>
      <c r="C3362" s="185">
        <f>IF($K3362="","",INDEX(Zeiterfassung!$K$6:$K$3665,$K3362))</f>
        <v/>
      </c>
      <c r="D3362" s="186">
        <f>IF($K3362="","",INDEX(Zeiterfassung!$D$6:$D$3665,$K3362))</f>
        <v/>
      </c>
      <c r="E3362" s="186">
        <f>IF($K3362="","",INDEX(Zeiterfassung!$E$6:$E$3665,$K3362))</f>
        <v/>
      </c>
      <c r="F3362" s="187">
        <f>IF($K3362="","",INDEX(Zeiterfassung!$F$6:$F$3665,$K3362))</f>
        <v/>
      </c>
      <c r="G3362" s="187">
        <f>IF($K3362="","",INDEX(Zeiterfassung!$G$6:$G$3665,$K3362))</f>
        <v/>
      </c>
      <c r="H3362" s="188">
        <f>IF($K3362="","",INDEX(Zeiterfassung!$H$6:$H$3665,$K3362))</f>
        <v/>
      </c>
      <c r="I3362" s="335">
        <f>IF(B3362=B3361,"",IF($K3362="","",INDEX(Zeiterfassung!$I$6:$I$3665,MATCH(INDEX(Zeiterfassung!$K$6:$K$3665,$K3362),Zeiterfassung!$K$6:$K$3665,0))))</f>
        <v/>
      </c>
      <c r="J3362" s="335">
        <f>IF(B3362=B3361,"",IF($K3362="","",INDEX(Zeiterfassung!$J$6:$J$3665,MATCH(INDEX(Zeiterfassung!$K$6:$K$3665,$K3362),Zeiterfassung!$K$6:$K$3665,0))))</f>
        <v/>
      </c>
      <c r="K3362">
        <f>IFERROR(AGGREGATE(15,6,(ROW(Zeiterfassung!$D$6:$D$3665)-ROW(Zeiterfassung!$D$6)+1)/(Zeiterfassung!$D$6:$D$3665&lt;&gt;""),3357),"")</f>
        <v/>
      </c>
    </row>
    <row r="3363" ht="20" customHeight="1">
      <c r="A3363" s="183">
        <f>IF($K3363="","",WEEKNUM(INDEX(Zeiterfassung!$K$6:$K$3665,$K3363),21))</f>
        <v/>
      </c>
      <c r="B3363" s="184">
        <f>IF($K3363="","",INDEX(Zeiterfassung!$K$6:$K$3665,$K3363))</f>
        <v/>
      </c>
      <c r="C3363" s="185">
        <f>IF($K3363="","",INDEX(Zeiterfassung!$K$6:$K$3665,$K3363))</f>
        <v/>
      </c>
      <c r="D3363" s="186">
        <f>IF($K3363="","",INDEX(Zeiterfassung!$D$6:$D$3665,$K3363))</f>
        <v/>
      </c>
      <c r="E3363" s="186">
        <f>IF($K3363="","",INDEX(Zeiterfassung!$E$6:$E$3665,$K3363))</f>
        <v/>
      </c>
      <c r="F3363" s="187">
        <f>IF($K3363="","",INDEX(Zeiterfassung!$F$6:$F$3665,$K3363))</f>
        <v/>
      </c>
      <c r="G3363" s="187">
        <f>IF($K3363="","",INDEX(Zeiterfassung!$G$6:$G$3665,$K3363))</f>
        <v/>
      </c>
      <c r="H3363" s="188">
        <f>IF($K3363="","",INDEX(Zeiterfassung!$H$6:$H$3665,$K3363))</f>
        <v/>
      </c>
      <c r="I3363" s="335">
        <f>IF(B3363=B3362,"",IF($K3363="","",INDEX(Zeiterfassung!$I$6:$I$3665,MATCH(INDEX(Zeiterfassung!$K$6:$K$3665,$K3363),Zeiterfassung!$K$6:$K$3665,0))))</f>
        <v/>
      </c>
      <c r="J3363" s="335">
        <f>IF(B3363=B3362,"",IF($K3363="","",INDEX(Zeiterfassung!$J$6:$J$3665,MATCH(INDEX(Zeiterfassung!$K$6:$K$3665,$K3363),Zeiterfassung!$K$6:$K$3665,0))))</f>
        <v/>
      </c>
      <c r="K3363">
        <f>IFERROR(AGGREGATE(15,6,(ROW(Zeiterfassung!$D$6:$D$3665)-ROW(Zeiterfassung!$D$6)+1)/(Zeiterfassung!$D$6:$D$3665&lt;&gt;""),3358),"")</f>
        <v/>
      </c>
    </row>
    <row r="3364" ht="20" customHeight="1">
      <c r="A3364" s="183">
        <f>IF($K3364="","",WEEKNUM(INDEX(Zeiterfassung!$K$6:$K$3665,$K3364),21))</f>
        <v/>
      </c>
      <c r="B3364" s="184">
        <f>IF($K3364="","",INDEX(Zeiterfassung!$K$6:$K$3665,$K3364))</f>
        <v/>
      </c>
      <c r="C3364" s="185">
        <f>IF($K3364="","",INDEX(Zeiterfassung!$K$6:$K$3665,$K3364))</f>
        <v/>
      </c>
      <c r="D3364" s="186">
        <f>IF($K3364="","",INDEX(Zeiterfassung!$D$6:$D$3665,$K3364))</f>
        <v/>
      </c>
      <c r="E3364" s="186">
        <f>IF($K3364="","",INDEX(Zeiterfassung!$E$6:$E$3665,$K3364))</f>
        <v/>
      </c>
      <c r="F3364" s="187">
        <f>IF($K3364="","",INDEX(Zeiterfassung!$F$6:$F$3665,$K3364))</f>
        <v/>
      </c>
      <c r="G3364" s="187">
        <f>IF($K3364="","",INDEX(Zeiterfassung!$G$6:$G$3665,$K3364))</f>
        <v/>
      </c>
      <c r="H3364" s="188">
        <f>IF($K3364="","",INDEX(Zeiterfassung!$H$6:$H$3665,$K3364))</f>
        <v/>
      </c>
      <c r="I3364" s="335">
        <f>IF(B3364=B3363,"",IF($K3364="","",INDEX(Zeiterfassung!$I$6:$I$3665,MATCH(INDEX(Zeiterfassung!$K$6:$K$3665,$K3364),Zeiterfassung!$K$6:$K$3665,0))))</f>
        <v/>
      </c>
      <c r="J3364" s="335">
        <f>IF(B3364=B3363,"",IF($K3364="","",INDEX(Zeiterfassung!$J$6:$J$3665,MATCH(INDEX(Zeiterfassung!$K$6:$K$3665,$K3364),Zeiterfassung!$K$6:$K$3665,0))))</f>
        <v/>
      </c>
      <c r="K3364">
        <f>IFERROR(AGGREGATE(15,6,(ROW(Zeiterfassung!$D$6:$D$3665)-ROW(Zeiterfassung!$D$6)+1)/(Zeiterfassung!$D$6:$D$3665&lt;&gt;""),3359),"")</f>
        <v/>
      </c>
    </row>
    <row r="3365" ht="20" customHeight="1">
      <c r="A3365" s="183">
        <f>IF($K3365="","",WEEKNUM(INDEX(Zeiterfassung!$K$6:$K$3665,$K3365),21))</f>
        <v/>
      </c>
      <c r="B3365" s="184">
        <f>IF($K3365="","",INDEX(Zeiterfassung!$K$6:$K$3665,$K3365))</f>
        <v/>
      </c>
      <c r="C3365" s="185">
        <f>IF($K3365="","",INDEX(Zeiterfassung!$K$6:$K$3665,$K3365))</f>
        <v/>
      </c>
      <c r="D3365" s="186">
        <f>IF($K3365="","",INDEX(Zeiterfassung!$D$6:$D$3665,$K3365))</f>
        <v/>
      </c>
      <c r="E3365" s="186">
        <f>IF($K3365="","",INDEX(Zeiterfassung!$E$6:$E$3665,$K3365))</f>
        <v/>
      </c>
      <c r="F3365" s="187">
        <f>IF($K3365="","",INDEX(Zeiterfassung!$F$6:$F$3665,$K3365))</f>
        <v/>
      </c>
      <c r="G3365" s="187">
        <f>IF($K3365="","",INDEX(Zeiterfassung!$G$6:$G$3665,$K3365))</f>
        <v/>
      </c>
      <c r="H3365" s="188">
        <f>IF($K3365="","",INDEX(Zeiterfassung!$H$6:$H$3665,$K3365))</f>
        <v/>
      </c>
      <c r="I3365" s="335">
        <f>IF(B3365=B3364,"",IF($K3365="","",INDEX(Zeiterfassung!$I$6:$I$3665,MATCH(INDEX(Zeiterfassung!$K$6:$K$3665,$K3365),Zeiterfassung!$K$6:$K$3665,0))))</f>
        <v/>
      </c>
      <c r="J3365" s="335">
        <f>IF(B3365=B3364,"",IF($K3365="","",INDEX(Zeiterfassung!$J$6:$J$3665,MATCH(INDEX(Zeiterfassung!$K$6:$K$3665,$K3365),Zeiterfassung!$K$6:$K$3665,0))))</f>
        <v/>
      </c>
      <c r="K3365">
        <f>IFERROR(AGGREGATE(15,6,(ROW(Zeiterfassung!$D$6:$D$3665)-ROW(Zeiterfassung!$D$6)+1)/(Zeiterfassung!$D$6:$D$3665&lt;&gt;""),3360),"")</f>
        <v/>
      </c>
    </row>
    <row r="3366" ht="20" customHeight="1">
      <c r="A3366" s="183">
        <f>IF($K3366="","",WEEKNUM(INDEX(Zeiterfassung!$K$6:$K$3665,$K3366),21))</f>
        <v/>
      </c>
      <c r="B3366" s="184">
        <f>IF($K3366="","",INDEX(Zeiterfassung!$K$6:$K$3665,$K3366))</f>
        <v/>
      </c>
      <c r="C3366" s="185">
        <f>IF($K3366="","",INDEX(Zeiterfassung!$K$6:$K$3665,$K3366))</f>
        <v/>
      </c>
      <c r="D3366" s="186">
        <f>IF($K3366="","",INDEX(Zeiterfassung!$D$6:$D$3665,$K3366))</f>
        <v/>
      </c>
      <c r="E3366" s="186">
        <f>IF($K3366="","",INDEX(Zeiterfassung!$E$6:$E$3665,$K3366))</f>
        <v/>
      </c>
      <c r="F3366" s="187">
        <f>IF($K3366="","",INDEX(Zeiterfassung!$F$6:$F$3665,$K3366))</f>
        <v/>
      </c>
      <c r="G3366" s="187">
        <f>IF($K3366="","",INDEX(Zeiterfassung!$G$6:$G$3665,$K3366))</f>
        <v/>
      </c>
      <c r="H3366" s="188">
        <f>IF($K3366="","",INDEX(Zeiterfassung!$H$6:$H$3665,$K3366))</f>
        <v/>
      </c>
      <c r="I3366" s="335">
        <f>IF(B3366=B3365,"",IF($K3366="","",INDEX(Zeiterfassung!$I$6:$I$3665,MATCH(INDEX(Zeiterfassung!$K$6:$K$3665,$K3366),Zeiterfassung!$K$6:$K$3665,0))))</f>
        <v/>
      </c>
      <c r="J3366" s="335">
        <f>IF(B3366=B3365,"",IF($K3366="","",INDEX(Zeiterfassung!$J$6:$J$3665,MATCH(INDEX(Zeiterfassung!$K$6:$K$3665,$K3366),Zeiterfassung!$K$6:$K$3665,0))))</f>
        <v/>
      </c>
      <c r="K3366">
        <f>IFERROR(AGGREGATE(15,6,(ROW(Zeiterfassung!$D$6:$D$3665)-ROW(Zeiterfassung!$D$6)+1)/(Zeiterfassung!$D$6:$D$3665&lt;&gt;""),3361),"")</f>
        <v/>
      </c>
    </row>
    <row r="3367" ht="20" customHeight="1">
      <c r="A3367" s="183">
        <f>IF($K3367="","",WEEKNUM(INDEX(Zeiterfassung!$K$6:$K$3665,$K3367),21))</f>
        <v/>
      </c>
      <c r="B3367" s="184">
        <f>IF($K3367="","",INDEX(Zeiterfassung!$K$6:$K$3665,$K3367))</f>
        <v/>
      </c>
      <c r="C3367" s="185">
        <f>IF($K3367="","",INDEX(Zeiterfassung!$K$6:$K$3665,$K3367))</f>
        <v/>
      </c>
      <c r="D3367" s="186">
        <f>IF($K3367="","",INDEX(Zeiterfassung!$D$6:$D$3665,$K3367))</f>
        <v/>
      </c>
      <c r="E3367" s="186">
        <f>IF($K3367="","",INDEX(Zeiterfassung!$E$6:$E$3665,$K3367))</f>
        <v/>
      </c>
      <c r="F3367" s="187">
        <f>IF($K3367="","",INDEX(Zeiterfassung!$F$6:$F$3665,$K3367))</f>
        <v/>
      </c>
      <c r="G3367" s="187">
        <f>IF($K3367="","",INDEX(Zeiterfassung!$G$6:$G$3665,$K3367))</f>
        <v/>
      </c>
      <c r="H3367" s="188">
        <f>IF($K3367="","",INDEX(Zeiterfassung!$H$6:$H$3665,$K3367))</f>
        <v/>
      </c>
      <c r="I3367" s="335">
        <f>IF(B3367=B3366,"",IF($K3367="","",INDEX(Zeiterfassung!$I$6:$I$3665,MATCH(INDEX(Zeiterfassung!$K$6:$K$3665,$K3367),Zeiterfassung!$K$6:$K$3665,0))))</f>
        <v/>
      </c>
      <c r="J3367" s="335">
        <f>IF(B3367=B3366,"",IF($K3367="","",INDEX(Zeiterfassung!$J$6:$J$3665,MATCH(INDEX(Zeiterfassung!$K$6:$K$3665,$K3367),Zeiterfassung!$K$6:$K$3665,0))))</f>
        <v/>
      </c>
      <c r="K3367">
        <f>IFERROR(AGGREGATE(15,6,(ROW(Zeiterfassung!$D$6:$D$3665)-ROW(Zeiterfassung!$D$6)+1)/(Zeiterfassung!$D$6:$D$3665&lt;&gt;""),3362),"")</f>
        <v/>
      </c>
    </row>
    <row r="3368" ht="20" customHeight="1">
      <c r="A3368" s="183">
        <f>IF($K3368="","",WEEKNUM(INDEX(Zeiterfassung!$K$6:$K$3665,$K3368),21))</f>
        <v/>
      </c>
      <c r="B3368" s="184">
        <f>IF($K3368="","",INDEX(Zeiterfassung!$K$6:$K$3665,$K3368))</f>
        <v/>
      </c>
      <c r="C3368" s="185">
        <f>IF($K3368="","",INDEX(Zeiterfassung!$K$6:$K$3665,$K3368))</f>
        <v/>
      </c>
      <c r="D3368" s="186">
        <f>IF($K3368="","",INDEX(Zeiterfassung!$D$6:$D$3665,$K3368))</f>
        <v/>
      </c>
      <c r="E3368" s="186">
        <f>IF($K3368="","",INDEX(Zeiterfassung!$E$6:$E$3665,$K3368))</f>
        <v/>
      </c>
      <c r="F3368" s="187">
        <f>IF($K3368="","",INDEX(Zeiterfassung!$F$6:$F$3665,$K3368))</f>
        <v/>
      </c>
      <c r="G3368" s="187">
        <f>IF($K3368="","",INDEX(Zeiterfassung!$G$6:$G$3665,$K3368))</f>
        <v/>
      </c>
      <c r="H3368" s="188">
        <f>IF($K3368="","",INDEX(Zeiterfassung!$H$6:$H$3665,$K3368))</f>
        <v/>
      </c>
      <c r="I3368" s="335">
        <f>IF(B3368=B3367,"",IF($K3368="","",INDEX(Zeiterfassung!$I$6:$I$3665,MATCH(INDEX(Zeiterfassung!$K$6:$K$3665,$K3368),Zeiterfassung!$K$6:$K$3665,0))))</f>
        <v/>
      </c>
      <c r="J3368" s="335">
        <f>IF(B3368=B3367,"",IF($K3368="","",INDEX(Zeiterfassung!$J$6:$J$3665,MATCH(INDEX(Zeiterfassung!$K$6:$K$3665,$K3368),Zeiterfassung!$K$6:$K$3665,0))))</f>
        <v/>
      </c>
      <c r="K3368">
        <f>IFERROR(AGGREGATE(15,6,(ROW(Zeiterfassung!$D$6:$D$3665)-ROW(Zeiterfassung!$D$6)+1)/(Zeiterfassung!$D$6:$D$3665&lt;&gt;""),3363),"")</f>
        <v/>
      </c>
    </row>
    <row r="3369" ht="20" customHeight="1">
      <c r="A3369" s="183">
        <f>IF($K3369="","",WEEKNUM(INDEX(Zeiterfassung!$K$6:$K$3665,$K3369),21))</f>
        <v/>
      </c>
      <c r="B3369" s="184">
        <f>IF($K3369="","",INDEX(Zeiterfassung!$K$6:$K$3665,$K3369))</f>
        <v/>
      </c>
      <c r="C3369" s="185">
        <f>IF($K3369="","",INDEX(Zeiterfassung!$K$6:$K$3665,$K3369))</f>
        <v/>
      </c>
      <c r="D3369" s="186">
        <f>IF($K3369="","",INDEX(Zeiterfassung!$D$6:$D$3665,$K3369))</f>
        <v/>
      </c>
      <c r="E3369" s="186">
        <f>IF($K3369="","",INDEX(Zeiterfassung!$E$6:$E$3665,$K3369))</f>
        <v/>
      </c>
      <c r="F3369" s="187">
        <f>IF($K3369="","",INDEX(Zeiterfassung!$F$6:$F$3665,$K3369))</f>
        <v/>
      </c>
      <c r="G3369" s="187">
        <f>IF($K3369="","",INDEX(Zeiterfassung!$G$6:$G$3665,$K3369))</f>
        <v/>
      </c>
      <c r="H3369" s="188">
        <f>IF($K3369="","",INDEX(Zeiterfassung!$H$6:$H$3665,$K3369))</f>
        <v/>
      </c>
      <c r="I3369" s="335">
        <f>IF(B3369=B3368,"",IF($K3369="","",INDEX(Zeiterfassung!$I$6:$I$3665,MATCH(INDEX(Zeiterfassung!$K$6:$K$3665,$K3369),Zeiterfassung!$K$6:$K$3665,0))))</f>
        <v/>
      </c>
      <c r="J3369" s="335">
        <f>IF(B3369=B3368,"",IF($K3369="","",INDEX(Zeiterfassung!$J$6:$J$3665,MATCH(INDEX(Zeiterfassung!$K$6:$K$3665,$K3369),Zeiterfassung!$K$6:$K$3665,0))))</f>
        <v/>
      </c>
      <c r="K3369">
        <f>IFERROR(AGGREGATE(15,6,(ROW(Zeiterfassung!$D$6:$D$3665)-ROW(Zeiterfassung!$D$6)+1)/(Zeiterfassung!$D$6:$D$3665&lt;&gt;""),3364),"")</f>
        <v/>
      </c>
    </row>
    <row r="3370" ht="20" customHeight="1">
      <c r="A3370" s="183">
        <f>IF($K3370="","",WEEKNUM(INDEX(Zeiterfassung!$K$6:$K$3665,$K3370),21))</f>
        <v/>
      </c>
      <c r="B3370" s="184">
        <f>IF($K3370="","",INDEX(Zeiterfassung!$K$6:$K$3665,$K3370))</f>
        <v/>
      </c>
      <c r="C3370" s="185">
        <f>IF($K3370="","",INDEX(Zeiterfassung!$K$6:$K$3665,$K3370))</f>
        <v/>
      </c>
      <c r="D3370" s="186">
        <f>IF($K3370="","",INDEX(Zeiterfassung!$D$6:$D$3665,$K3370))</f>
        <v/>
      </c>
      <c r="E3370" s="186">
        <f>IF($K3370="","",INDEX(Zeiterfassung!$E$6:$E$3665,$K3370))</f>
        <v/>
      </c>
      <c r="F3370" s="187">
        <f>IF($K3370="","",INDEX(Zeiterfassung!$F$6:$F$3665,$K3370))</f>
        <v/>
      </c>
      <c r="G3370" s="187">
        <f>IF($K3370="","",INDEX(Zeiterfassung!$G$6:$G$3665,$K3370))</f>
        <v/>
      </c>
      <c r="H3370" s="188">
        <f>IF($K3370="","",INDEX(Zeiterfassung!$H$6:$H$3665,$K3370))</f>
        <v/>
      </c>
      <c r="I3370" s="335">
        <f>IF(B3370=B3369,"",IF($K3370="","",INDEX(Zeiterfassung!$I$6:$I$3665,MATCH(INDEX(Zeiterfassung!$K$6:$K$3665,$K3370),Zeiterfassung!$K$6:$K$3665,0))))</f>
        <v/>
      </c>
      <c r="J3370" s="335">
        <f>IF(B3370=B3369,"",IF($K3370="","",INDEX(Zeiterfassung!$J$6:$J$3665,MATCH(INDEX(Zeiterfassung!$K$6:$K$3665,$K3370),Zeiterfassung!$K$6:$K$3665,0))))</f>
        <v/>
      </c>
      <c r="K3370">
        <f>IFERROR(AGGREGATE(15,6,(ROW(Zeiterfassung!$D$6:$D$3665)-ROW(Zeiterfassung!$D$6)+1)/(Zeiterfassung!$D$6:$D$3665&lt;&gt;""),3365),"")</f>
        <v/>
      </c>
    </row>
    <row r="3371" ht="20" customHeight="1">
      <c r="A3371" s="183">
        <f>IF($K3371="","",WEEKNUM(INDEX(Zeiterfassung!$K$6:$K$3665,$K3371),21))</f>
        <v/>
      </c>
      <c r="B3371" s="184">
        <f>IF($K3371="","",INDEX(Zeiterfassung!$K$6:$K$3665,$K3371))</f>
        <v/>
      </c>
      <c r="C3371" s="185">
        <f>IF($K3371="","",INDEX(Zeiterfassung!$K$6:$K$3665,$K3371))</f>
        <v/>
      </c>
      <c r="D3371" s="186">
        <f>IF($K3371="","",INDEX(Zeiterfassung!$D$6:$D$3665,$K3371))</f>
        <v/>
      </c>
      <c r="E3371" s="186">
        <f>IF($K3371="","",INDEX(Zeiterfassung!$E$6:$E$3665,$K3371))</f>
        <v/>
      </c>
      <c r="F3371" s="187">
        <f>IF($K3371="","",INDEX(Zeiterfassung!$F$6:$F$3665,$K3371))</f>
        <v/>
      </c>
      <c r="G3371" s="187">
        <f>IF($K3371="","",INDEX(Zeiterfassung!$G$6:$G$3665,$K3371))</f>
        <v/>
      </c>
      <c r="H3371" s="188">
        <f>IF($K3371="","",INDEX(Zeiterfassung!$H$6:$H$3665,$K3371))</f>
        <v/>
      </c>
      <c r="I3371" s="335">
        <f>IF(B3371=B3370,"",IF($K3371="","",INDEX(Zeiterfassung!$I$6:$I$3665,MATCH(INDEX(Zeiterfassung!$K$6:$K$3665,$K3371),Zeiterfassung!$K$6:$K$3665,0))))</f>
        <v/>
      </c>
      <c r="J3371" s="335">
        <f>IF(B3371=B3370,"",IF($K3371="","",INDEX(Zeiterfassung!$J$6:$J$3665,MATCH(INDEX(Zeiterfassung!$K$6:$K$3665,$K3371),Zeiterfassung!$K$6:$K$3665,0))))</f>
        <v/>
      </c>
      <c r="K3371">
        <f>IFERROR(AGGREGATE(15,6,(ROW(Zeiterfassung!$D$6:$D$3665)-ROW(Zeiterfassung!$D$6)+1)/(Zeiterfassung!$D$6:$D$3665&lt;&gt;""),3366),"")</f>
        <v/>
      </c>
    </row>
    <row r="3372" ht="20" customHeight="1">
      <c r="A3372" s="183">
        <f>IF($K3372="","",WEEKNUM(INDEX(Zeiterfassung!$K$6:$K$3665,$K3372),21))</f>
        <v/>
      </c>
      <c r="B3372" s="184">
        <f>IF($K3372="","",INDEX(Zeiterfassung!$K$6:$K$3665,$K3372))</f>
        <v/>
      </c>
      <c r="C3372" s="185">
        <f>IF($K3372="","",INDEX(Zeiterfassung!$K$6:$K$3665,$K3372))</f>
        <v/>
      </c>
      <c r="D3372" s="186">
        <f>IF($K3372="","",INDEX(Zeiterfassung!$D$6:$D$3665,$K3372))</f>
        <v/>
      </c>
      <c r="E3372" s="186">
        <f>IF($K3372="","",INDEX(Zeiterfassung!$E$6:$E$3665,$K3372))</f>
        <v/>
      </c>
      <c r="F3372" s="187">
        <f>IF($K3372="","",INDEX(Zeiterfassung!$F$6:$F$3665,$K3372))</f>
        <v/>
      </c>
      <c r="G3372" s="187">
        <f>IF($K3372="","",INDEX(Zeiterfassung!$G$6:$G$3665,$K3372))</f>
        <v/>
      </c>
      <c r="H3372" s="188">
        <f>IF($K3372="","",INDEX(Zeiterfassung!$H$6:$H$3665,$K3372))</f>
        <v/>
      </c>
      <c r="I3372" s="335">
        <f>IF(B3372=B3371,"",IF($K3372="","",INDEX(Zeiterfassung!$I$6:$I$3665,MATCH(INDEX(Zeiterfassung!$K$6:$K$3665,$K3372),Zeiterfassung!$K$6:$K$3665,0))))</f>
        <v/>
      </c>
      <c r="J3372" s="335">
        <f>IF(B3372=B3371,"",IF($K3372="","",INDEX(Zeiterfassung!$J$6:$J$3665,MATCH(INDEX(Zeiterfassung!$K$6:$K$3665,$K3372),Zeiterfassung!$K$6:$K$3665,0))))</f>
        <v/>
      </c>
      <c r="K3372">
        <f>IFERROR(AGGREGATE(15,6,(ROW(Zeiterfassung!$D$6:$D$3665)-ROW(Zeiterfassung!$D$6)+1)/(Zeiterfassung!$D$6:$D$3665&lt;&gt;""),3367),"")</f>
        <v/>
      </c>
    </row>
    <row r="3373" ht="20" customHeight="1">
      <c r="A3373" s="183">
        <f>IF($K3373="","",WEEKNUM(INDEX(Zeiterfassung!$K$6:$K$3665,$K3373),21))</f>
        <v/>
      </c>
      <c r="B3373" s="184">
        <f>IF($K3373="","",INDEX(Zeiterfassung!$K$6:$K$3665,$K3373))</f>
        <v/>
      </c>
      <c r="C3373" s="185">
        <f>IF($K3373="","",INDEX(Zeiterfassung!$K$6:$K$3665,$K3373))</f>
        <v/>
      </c>
      <c r="D3373" s="186">
        <f>IF($K3373="","",INDEX(Zeiterfassung!$D$6:$D$3665,$K3373))</f>
        <v/>
      </c>
      <c r="E3373" s="186">
        <f>IF($K3373="","",INDEX(Zeiterfassung!$E$6:$E$3665,$K3373))</f>
        <v/>
      </c>
      <c r="F3373" s="187">
        <f>IF($K3373="","",INDEX(Zeiterfassung!$F$6:$F$3665,$K3373))</f>
        <v/>
      </c>
      <c r="G3373" s="187">
        <f>IF($K3373="","",INDEX(Zeiterfassung!$G$6:$G$3665,$K3373))</f>
        <v/>
      </c>
      <c r="H3373" s="188">
        <f>IF($K3373="","",INDEX(Zeiterfassung!$H$6:$H$3665,$K3373))</f>
        <v/>
      </c>
      <c r="I3373" s="335">
        <f>IF(B3373=B3372,"",IF($K3373="","",INDEX(Zeiterfassung!$I$6:$I$3665,MATCH(INDEX(Zeiterfassung!$K$6:$K$3665,$K3373),Zeiterfassung!$K$6:$K$3665,0))))</f>
        <v/>
      </c>
      <c r="J3373" s="335">
        <f>IF(B3373=B3372,"",IF($K3373="","",INDEX(Zeiterfassung!$J$6:$J$3665,MATCH(INDEX(Zeiterfassung!$K$6:$K$3665,$K3373),Zeiterfassung!$K$6:$K$3665,0))))</f>
        <v/>
      </c>
      <c r="K3373">
        <f>IFERROR(AGGREGATE(15,6,(ROW(Zeiterfassung!$D$6:$D$3665)-ROW(Zeiterfassung!$D$6)+1)/(Zeiterfassung!$D$6:$D$3665&lt;&gt;""),3368),"")</f>
        <v/>
      </c>
    </row>
    <row r="3374" ht="20" customHeight="1">
      <c r="A3374" s="183">
        <f>IF($K3374="","",WEEKNUM(INDEX(Zeiterfassung!$K$6:$K$3665,$K3374),21))</f>
        <v/>
      </c>
      <c r="B3374" s="184">
        <f>IF($K3374="","",INDEX(Zeiterfassung!$K$6:$K$3665,$K3374))</f>
        <v/>
      </c>
      <c r="C3374" s="185">
        <f>IF($K3374="","",INDEX(Zeiterfassung!$K$6:$K$3665,$K3374))</f>
        <v/>
      </c>
      <c r="D3374" s="186">
        <f>IF($K3374="","",INDEX(Zeiterfassung!$D$6:$D$3665,$K3374))</f>
        <v/>
      </c>
      <c r="E3374" s="186">
        <f>IF($K3374="","",INDEX(Zeiterfassung!$E$6:$E$3665,$K3374))</f>
        <v/>
      </c>
      <c r="F3374" s="187">
        <f>IF($K3374="","",INDEX(Zeiterfassung!$F$6:$F$3665,$K3374))</f>
        <v/>
      </c>
      <c r="G3374" s="187">
        <f>IF($K3374="","",INDEX(Zeiterfassung!$G$6:$G$3665,$K3374))</f>
        <v/>
      </c>
      <c r="H3374" s="188">
        <f>IF($K3374="","",INDEX(Zeiterfassung!$H$6:$H$3665,$K3374))</f>
        <v/>
      </c>
      <c r="I3374" s="335">
        <f>IF(B3374=B3373,"",IF($K3374="","",INDEX(Zeiterfassung!$I$6:$I$3665,MATCH(INDEX(Zeiterfassung!$K$6:$K$3665,$K3374),Zeiterfassung!$K$6:$K$3665,0))))</f>
        <v/>
      </c>
      <c r="J3374" s="335">
        <f>IF(B3374=B3373,"",IF($K3374="","",INDEX(Zeiterfassung!$J$6:$J$3665,MATCH(INDEX(Zeiterfassung!$K$6:$K$3665,$K3374),Zeiterfassung!$K$6:$K$3665,0))))</f>
        <v/>
      </c>
      <c r="K3374">
        <f>IFERROR(AGGREGATE(15,6,(ROW(Zeiterfassung!$D$6:$D$3665)-ROW(Zeiterfassung!$D$6)+1)/(Zeiterfassung!$D$6:$D$3665&lt;&gt;""),3369),"")</f>
        <v/>
      </c>
    </row>
    <row r="3375" ht="20" customHeight="1">
      <c r="A3375" s="183">
        <f>IF($K3375="","",WEEKNUM(INDEX(Zeiterfassung!$K$6:$K$3665,$K3375),21))</f>
        <v/>
      </c>
      <c r="B3375" s="184">
        <f>IF($K3375="","",INDEX(Zeiterfassung!$K$6:$K$3665,$K3375))</f>
        <v/>
      </c>
      <c r="C3375" s="185">
        <f>IF($K3375="","",INDEX(Zeiterfassung!$K$6:$K$3665,$K3375))</f>
        <v/>
      </c>
      <c r="D3375" s="186">
        <f>IF($K3375="","",INDEX(Zeiterfassung!$D$6:$D$3665,$K3375))</f>
        <v/>
      </c>
      <c r="E3375" s="186">
        <f>IF($K3375="","",INDEX(Zeiterfassung!$E$6:$E$3665,$K3375))</f>
        <v/>
      </c>
      <c r="F3375" s="187">
        <f>IF($K3375="","",INDEX(Zeiterfassung!$F$6:$F$3665,$K3375))</f>
        <v/>
      </c>
      <c r="G3375" s="187">
        <f>IF($K3375="","",INDEX(Zeiterfassung!$G$6:$G$3665,$K3375))</f>
        <v/>
      </c>
      <c r="H3375" s="188">
        <f>IF($K3375="","",INDEX(Zeiterfassung!$H$6:$H$3665,$K3375))</f>
        <v/>
      </c>
      <c r="I3375" s="335">
        <f>IF(B3375=B3374,"",IF($K3375="","",INDEX(Zeiterfassung!$I$6:$I$3665,MATCH(INDEX(Zeiterfassung!$K$6:$K$3665,$K3375),Zeiterfassung!$K$6:$K$3665,0))))</f>
        <v/>
      </c>
      <c r="J3375" s="335">
        <f>IF(B3375=B3374,"",IF($K3375="","",INDEX(Zeiterfassung!$J$6:$J$3665,MATCH(INDEX(Zeiterfassung!$K$6:$K$3665,$K3375),Zeiterfassung!$K$6:$K$3665,0))))</f>
        <v/>
      </c>
      <c r="K3375">
        <f>IFERROR(AGGREGATE(15,6,(ROW(Zeiterfassung!$D$6:$D$3665)-ROW(Zeiterfassung!$D$6)+1)/(Zeiterfassung!$D$6:$D$3665&lt;&gt;""),3370),"")</f>
        <v/>
      </c>
    </row>
    <row r="3376" ht="20" customHeight="1">
      <c r="A3376" s="183">
        <f>IF($K3376="","",WEEKNUM(INDEX(Zeiterfassung!$K$6:$K$3665,$K3376),21))</f>
        <v/>
      </c>
      <c r="B3376" s="184">
        <f>IF($K3376="","",INDEX(Zeiterfassung!$K$6:$K$3665,$K3376))</f>
        <v/>
      </c>
      <c r="C3376" s="185">
        <f>IF($K3376="","",INDEX(Zeiterfassung!$K$6:$K$3665,$K3376))</f>
        <v/>
      </c>
      <c r="D3376" s="186">
        <f>IF($K3376="","",INDEX(Zeiterfassung!$D$6:$D$3665,$K3376))</f>
        <v/>
      </c>
      <c r="E3376" s="186">
        <f>IF($K3376="","",INDEX(Zeiterfassung!$E$6:$E$3665,$K3376))</f>
        <v/>
      </c>
      <c r="F3376" s="187">
        <f>IF($K3376="","",INDEX(Zeiterfassung!$F$6:$F$3665,$K3376))</f>
        <v/>
      </c>
      <c r="G3376" s="187">
        <f>IF($K3376="","",INDEX(Zeiterfassung!$G$6:$G$3665,$K3376))</f>
        <v/>
      </c>
      <c r="H3376" s="188">
        <f>IF($K3376="","",INDEX(Zeiterfassung!$H$6:$H$3665,$K3376))</f>
        <v/>
      </c>
      <c r="I3376" s="335">
        <f>IF(B3376=B3375,"",IF($K3376="","",INDEX(Zeiterfassung!$I$6:$I$3665,MATCH(INDEX(Zeiterfassung!$K$6:$K$3665,$K3376),Zeiterfassung!$K$6:$K$3665,0))))</f>
        <v/>
      </c>
      <c r="J3376" s="335">
        <f>IF(B3376=B3375,"",IF($K3376="","",INDEX(Zeiterfassung!$J$6:$J$3665,MATCH(INDEX(Zeiterfassung!$K$6:$K$3665,$K3376),Zeiterfassung!$K$6:$K$3665,0))))</f>
        <v/>
      </c>
      <c r="K3376">
        <f>IFERROR(AGGREGATE(15,6,(ROW(Zeiterfassung!$D$6:$D$3665)-ROW(Zeiterfassung!$D$6)+1)/(Zeiterfassung!$D$6:$D$3665&lt;&gt;""),3371),"")</f>
        <v/>
      </c>
    </row>
    <row r="3377" ht="20" customHeight="1">
      <c r="A3377" s="183">
        <f>IF($K3377="","",WEEKNUM(INDEX(Zeiterfassung!$K$6:$K$3665,$K3377),21))</f>
        <v/>
      </c>
      <c r="B3377" s="184">
        <f>IF($K3377="","",INDEX(Zeiterfassung!$K$6:$K$3665,$K3377))</f>
        <v/>
      </c>
      <c r="C3377" s="185">
        <f>IF($K3377="","",INDEX(Zeiterfassung!$K$6:$K$3665,$K3377))</f>
        <v/>
      </c>
      <c r="D3377" s="186">
        <f>IF($K3377="","",INDEX(Zeiterfassung!$D$6:$D$3665,$K3377))</f>
        <v/>
      </c>
      <c r="E3377" s="186">
        <f>IF($K3377="","",INDEX(Zeiterfassung!$E$6:$E$3665,$K3377))</f>
        <v/>
      </c>
      <c r="F3377" s="187">
        <f>IF($K3377="","",INDEX(Zeiterfassung!$F$6:$F$3665,$K3377))</f>
        <v/>
      </c>
      <c r="G3377" s="187">
        <f>IF($K3377="","",INDEX(Zeiterfassung!$G$6:$G$3665,$K3377))</f>
        <v/>
      </c>
      <c r="H3377" s="188">
        <f>IF($K3377="","",INDEX(Zeiterfassung!$H$6:$H$3665,$K3377))</f>
        <v/>
      </c>
      <c r="I3377" s="335">
        <f>IF(B3377=B3376,"",IF($K3377="","",INDEX(Zeiterfassung!$I$6:$I$3665,MATCH(INDEX(Zeiterfassung!$K$6:$K$3665,$K3377),Zeiterfassung!$K$6:$K$3665,0))))</f>
        <v/>
      </c>
      <c r="J3377" s="335">
        <f>IF(B3377=B3376,"",IF($K3377="","",INDEX(Zeiterfassung!$J$6:$J$3665,MATCH(INDEX(Zeiterfassung!$K$6:$K$3665,$K3377),Zeiterfassung!$K$6:$K$3665,0))))</f>
        <v/>
      </c>
      <c r="K3377">
        <f>IFERROR(AGGREGATE(15,6,(ROW(Zeiterfassung!$D$6:$D$3665)-ROW(Zeiterfassung!$D$6)+1)/(Zeiterfassung!$D$6:$D$3665&lt;&gt;""),3372),"")</f>
        <v/>
      </c>
    </row>
    <row r="3378" ht="20" customHeight="1">
      <c r="A3378" s="183">
        <f>IF($K3378="","",WEEKNUM(INDEX(Zeiterfassung!$K$6:$K$3665,$K3378),21))</f>
        <v/>
      </c>
      <c r="B3378" s="184">
        <f>IF($K3378="","",INDEX(Zeiterfassung!$K$6:$K$3665,$K3378))</f>
        <v/>
      </c>
      <c r="C3378" s="185">
        <f>IF($K3378="","",INDEX(Zeiterfassung!$K$6:$K$3665,$K3378))</f>
        <v/>
      </c>
      <c r="D3378" s="186">
        <f>IF($K3378="","",INDEX(Zeiterfassung!$D$6:$D$3665,$K3378))</f>
        <v/>
      </c>
      <c r="E3378" s="186">
        <f>IF($K3378="","",INDEX(Zeiterfassung!$E$6:$E$3665,$K3378))</f>
        <v/>
      </c>
      <c r="F3378" s="187">
        <f>IF($K3378="","",INDEX(Zeiterfassung!$F$6:$F$3665,$K3378))</f>
        <v/>
      </c>
      <c r="G3378" s="187">
        <f>IF($K3378="","",INDEX(Zeiterfassung!$G$6:$G$3665,$K3378))</f>
        <v/>
      </c>
      <c r="H3378" s="188">
        <f>IF($K3378="","",INDEX(Zeiterfassung!$H$6:$H$3665,$K3378))</f>
        <v/>
      </c>
      <c r="I3378" s="335">
        <f>IF(B3378=B3377,"",IF($K3378="","",INDEX(Zeiterfassung!$I$6:$I$3665,MATCH(INDEX(Zeiterfassung!$K$6:$K$3665,$K3378),Zeiterfassung!$K$6:$K$3665,0))))</f>
        <v/>
      </c>
      <c r="J3378" s="335">
        <f>IF(B3378=B3377,"",IF($K3378="","",INDEX(Zeiterfassung!$J$6:$J$3665,MATCH(INDEX(Zeiterfassung!$K$6:$K$3665,$K3378),Zeiterfassung!$K$6:$K$3665,0))))</f>
        <v/>
      </c>
      <c r="K3378">
        <f>IFERROR(AGGREGATE(15,6,(ROW(Zeiterfassung!$D$6:$D$3665)-ROW(Zeiterfassung!$D$6)+1)/(Zeiterfassung!$D$6:$D$3665&lt;&gt;""),3373),"")</f>
        <v/>
      </c>
    </row>
    <row r="3379" ht="20" customHeight="1">
      <c r="A3379" s="183">
        <f>IF($K3379="","",WEEKNUM(INDEX(Zeiterfassung!$K$6:$K$3665,$K3379),21))</f>
        <v/>
      </c>
      <c r="B3379" s="184">
        <f>IF($K3379="","",INDEX(Zeiterfassung!$K$6:$K$3665,$K3379))</f>
        <v/>
      </c>
      <c r="C3379" s="185">
        <f>IF($K3379="","",INDEX(Zeiterfassung!$K$6:$K$3665,$K3379))</f>
        <v/>
      </c>
      <c r="D3379" s="186">
        <f>IF($K3379="","",INDEX(Zeiterfassung!$D$6:$D$3665,$K3379))</f>
        <v/>
      </c>
      <c r="E3379" s="186">
        <f>IF($K3379="","",INDEX(Zeiterfassung!$E$6:$E$3665,$K3379))</f>
        <v/>
      </c>
      <c r="F3379" s="187">
        <f>IF($K3379="","",INDEX(Zeiterfassung!$F$6:$F$3665,$K3379))</f>
        <v/>
      </c>
      <c r="G3379" s="187">
        <f>IF($K3379="","",INDEX(Zeiterfassung!$G$6:$G$3665,$K3379))</f>
        <v/>
      </c>
      <c r="H3379" s="188">
        <f>IF($K3379="","",INDEX(Zeiterfassung!$H$6:$H$3665,$K3379))</f>
        <v/>
      </c>
      <c r="I3379" s="335">
        <f>IF(B3379=B3378,"",IF($K3379="","",INDEX(Zeiterfassung!$I$6:$I$3665,MATCH(INDEX(Zeiterfassung!$K$6:$K$3665,$K3379),Zeiterfassung!$K$6:$K$3665,0))))</f>
        <v/>
      </c>
      <c r="J3379" s="335">
        <f>IF(B3379=B3378,"",IF($K3379="","",INDEX(Zeiterfassung!$J$6:$J$3665,MATCH(INDEX(Zeiterfassung!$K$6:$K$3665,$K3379),Zeiterfassung!$K$6:$K$3665,0))))</f>
        <v/>
      </c>
      <c r="K3379">
        <f>IFERROR(AGGREGATE(15,6,(ROW(Zeiterfassung!$D$6:$D$3665)-ROW(Zeiterfassung!$D$6)+1)/(Zeiterfassung!$D$6:$D$3665&lt;&gt;""),3374),"")</f>
        <v/>
      </c>
    </row>
    <row r="3380" ht="20" customHeight="1">
      <c r="A3380" s="183">
        <f>IF($K3380="","",WEEKNUM(INDEX(Zeiterfassung!$K$6:$K$3665,$K3380),21))</f>
        <v/>
      </c>
      <c r="B3380" s="184">
        <f>IF($K3380="","",INDEX(Zeiterfassung!$K$6:$K$3665,$K3380))</f>
        <v/>
      </c>
      <c r="C3380" s="185">
        <f>IF($K3380="","",INDEX(Zeiterfassung!$K$6:$K$3665,$K3380))</f>
        <v/>
      </c>
      <c r="D3380" s="186">
        <f>IF($K3380="","",INDEX(Zeiterfassung!$D$6:$D$3665,$K3380))</f>
        <v/>
      </c>
      <c r="E3380" s="186">
        <f>IF($K3380="","",INDEX(Zeiterfassung!$E$6:$E$3665,$K3380))</f>
        <v/>
      </c>
      <c r="F3380" s="187">
        <f>IF($K3380="","",INDEX(Zeiterfassung!$F$6:$F$3665,$K3380))</f>
        <v/>
      </c>
      <c r="G3380" s="187">
        <f>IF($K3380="","",INDEX(Zeiterfassung!$G$6:$G$3665,$K3380))</f>
        <v/>
      </c>
      <c r="H3380" s="188">
        <f>IF($K3380="","",INDEX(Zeiterfassung!$H$6:$H$3665,$K3380))</f>
        <v/>
      </c>
      <c r="I3380" s="335">
        <f>IF(B3380=B3379,"",IF($K3380="","",INDEX(Zeiterfassung!$I$6:$I$3665,MATCH(INDEX(Zeiterfassung!$K$6:$K$3665,$K3380),Zeiterfassung!$K$6:$K$3665,0))))</f>
        <v/>
      </c>
      <c r="J3380" s="335">
        <f>IF(B3380=B3379,"",IF($K3380="","",INDEX(Zeiterfassung!$J$6:$J$3665,MATCH(INDEX(Zeiterfassung!$K$6:$K$3665,$K3380),Zeiterfassung!$K$6:$K$3665,0))))</f>
        <v/>
      </c>
      <c r="K3380">
        <f>IFERROR(AGGREGATE(15,6,(ROW(Zeiterfassung!$D$6:$D$3665)-ROW(Zeiterfassung!$D$6)+1)/(Zeiterfassung!$D$6:$D$3665&lt;&gt;""),3375),"")</f>
        <v/>
      </c>
    </row>
    <row r="3381" ht="20" customHeight="1">
      <c r="A3381" s="183">
        <f>IF($K3381="","",WEEKNUM(INDEX(Zeiterfassung!$K$6:$K$3665,$K3381),21))</f>
        <v/>
      </c>
      <c r="B3381" s="184">
        <f>IF($K3381="","",INDEX(Zeiterfassung!$K$6:$K$3665,$K3381))</f>
        <v/>
      </c>
      <c r="C3381" s="185">
        <f>IF($K3381="","",INDEX(Zeiterfassung!$K$6:$K$3665,$K3381))</f>
        <v/>
      </c>
      <c r="D3381" s="186">
        <f>IF($K3381="","",INDEX(Zeiterfassung!$D$6:$D$3665,$K3381))</f>
        <v/>
      </c>
      <c r="E3381" s="186">
        <f>IF($K3381="","",INDEX(Zeiterfassung!$E$6:$E$3665,$K3381))</f>
        <v/>
      </c>
      <c r="F3381" s="187">
        <f>IF($K3381="","",INDEX(Zeiterfassung!$F$6:$F$3665,$K3381))</f>
        <v/>
      </c>
      <c r="G3381" s="187">
        <f>IF($K3381="","",INDEX(Zeiterfassung!$G$6:$G$3665,$K3381))</f>
        <v/>
      </c>
      <c r="H3381" s="188">
        <f>IF($K3381="","",INDEX(Zeiterfassung!$H$6:$H$3665,$K3381))</f>
        <v/>
      </c>
      <c r="I3381" s="335">
        <f>IF(B3381=B3380,"",IF($K3381="","",INDEX(Zeiterfassung!$I$6:$I$3665,MATCH(INDEX(Zeiterfassung!$K$6:$K$3665,$K3381),Zeiterfassung!$K$6:$K$3665,0))))</f>
        <v/>
      </c>
      <c r="J3381" s="335">
        <f>IF(B3381=B3380,"",IF($K3381="","",INDEX(Zeiterfassung!$J$6:$J$3665,MATCH(INDEX(Zeiterfassung!$K$6:$K$3665,$K3381),Zeiterfassung!$K$6:$K$3665,0))))</f>
        <v/>
      </c>
      <c r="K3381">
        <f>IFERROR(AGGREGATE(15,6,(ROW(Zeiterfassung!$D$6:$D$3665)-ROW(Zeiterfassung!$D$6)+1)/(Zeiterfassung!$D$6:$D$3665&lt;&gt;""),3376),"")</f>
        <v/>
      </c>
    </row>
    <row r="3382" ht="20" customHeight="1">
      <c r="A3382" s="183">
        <f>IF($K3382="","",WEEKNUM(INDEX(Zeiterfassung!$K$6:$K$3665,$K3382),21))</f>
        <v/>
      </c>
      <c r="B3382" s="184">
        <f>IF($K3382="","",INDEX(Zeiterfassung!$K$6:$K$3665,$K3382))</f>
        <v/>
      </c>
      <c r="C3382" s="185">
        <f>IF($K3382="","",INDEX(Zeiterfassung!$K$6:$K$3665,$K3382))</f>
        <v/>
      </c>
      <c r="D3382" s="186">
        <f>IF($K3382="","",INDEX(Zeiterfassung!$D$6:$D$3665,$K3382))</f>
        <v/>
      </c>
      <c r="E3382" s="186">
        <f>IF($K3382="","",INDEX(Zeiterfassung!$E$6:$E$3665,$K3382))</f>
        <v/>
      </c>
      <c r="F3382" s="187">
        <f>IF($K3382="","",INDEX(Zeiterfassung!$F$6:$F$3665,$K3382))</f>
        <v/>
      </c>
      <c r="G3382" s="187">
        <f>IF($K3382="","",INDEX(Zeiterfassung!$G$6:$G$3665,$K3382))</f>
        <v/>
      </c>
      <c r="H3382" s="188">
        <f>IF($K3382="","",INDEX(Zeiterfassung!$H$6:$H$3665,$K3382))</f>
        <v/>
      </c>
      <c r="I3382" s="335">
        <f>IF(B3382=B3381,"",IF($K3382="","",INDEX(Zeiterfassung!$I$6:$I$3665,MATCH(INDEX(Zeiterfassung!$K$6:$K$3665,$K3382),Zeiterfassung!$K$6:$K$3665,0))))</f>
        <v/>
      </c>
      <c r="J3382" s="335">
        <f>IF(B3382=B3381,"",IF($K3382="","",INDEX(Zeiterfassung!$J$6:$J$3665,MATCH(INDEX(Zeiterfassung!$K$6:$K$3665,$K3382),Zeiterfassung!$K$6:$K$3665,0))))</f>
        <v/>
      </c>
      <c r="K3382">
        <f>IFERROR(AGGREGATE(15,6,(ROW(Zeiterfassung!$D$6:$D$3665)-ROW(Zeiterfassung!$D$6)+1)/(Zeiterfassung!$D$6:$D$3665&lt;&gt;""),3377),"")</f>
        <v/>
      </c>
    </row>
    <row r="3383" ht="20" customHeight="1">
      <c r="A3383" s="183">
        <f>IF($K3383="","",WEEKNUM(INDEX(Zeiterfassung!$K$6:$K$3665,$K3383),21))</f>
        <v/>
      </c>
      <c r="B3383" s="184">
        <f>IF($K3383="","",INDEX(Zeiterfassung!$K$6:$K$3665,$K3383))</f>
        <v/>
      </c>
      <c r="C3383" s="185">
        <f>IF($K3383="","",INDEX(Zeiterfassung!$K$6:$K$3665,$K3383))</f>
        <v/>
      </c>
      <c r="D3383" s="186">
        <f>IF($K3383="","",INDEX(Zeiterfassung!$D$6:$D$3665,$K3383))</f>
        <v/>
      </c>
      <c r="E3383" s="186">
        <f>IF($K3383="","",INDEX(Zeiterfassung!$E$6:$E$3665,$K3383))</f>
        <v/>
      </c>
      <c r="F3383" s="187">
        <f>IF($K3383="","",INDEX(Zeiterfassung!$F$6:$F$3665,$K3383))</f>
        <v/>
      </c>
      <c r="G3383" s="187">
        <f>IF($K3383="","",INDEX(Zeiterfassung!$G$6:$G$3665,$K3383))</f>
        <v/>
      </c>
      <c r="H3383" s="188">
        <f>IF($K3383="","",INDEX(Zeiterfassung!$H$6:$H$3665,$K3383))</f>
        <v/>
      </c>
      <c r="I3383" s="335">
        <f>IF(B3383=B3382,"",IF($K3383="","",INDEX(Zeiterfassung!$I$6:$I$3665,MATCH(INDEX(Zeiterfassung!$K$6:$K$3665,$K3383),Zeiterfassung!$K$6:$K$3665,0))))</f>
        <v/>
      </c>
      <c r="J3383" s="335">
        <f>IF(B3383=B3382,"",IF($K3383="","",INDEX(Zeiterfassung!$J$6:$J$3665,MATCH(INDEX(Zeiterfassung!$K$6:$K$3665,$K3383),Zeiterfassung!$K$6:$K$3665,0))))</f>
        <v/>
      </c>
      <c r="K3383">
        <f>IFERROR(AGGREGATE(15,6,(ROW(Zeiterfassung!$D$6:$D$3665)-ROW(Zeiterfassung!$D$6)+1)/(Zeiterfassung!$D$6:$D$3665&lt;&gt;""),3378),"")</f>
        <v/>
      </c>
    </row>
    <row r="3384" ht="20" customHeight="1">
      <c r="A3384" s="183">
        <f>IF($K3384="","",WEEKNUM(INDEX(Zeiterfassung!$K$6:$K$3665,$K3384),21))</f>
        <v/>
      </c>
      <c r="B3384" s="184">
        <f>IF($K3384="","",INDEX(Zeiterfassung!$K$6:$K$3665,$K3384))</f>
        <v/>
      </c>
      <c r="C3384" s="185">
        <f>IF($K3384="","",INDEX(Zeiterfassung!$K$6:$K$3665,$K3384))</f>
        <v/>
      </c>
      <c r="D3384" s="186">
        <f>IF($K3384="","",INDEX(Zeiterfassung!$D$6:$D$3665,$K3384))</f>
        <v/>
      </c>
      <c r="E3384" s="186">
        <f>IF($K3384="","",INDEX(Zeiterfassung!$E$6:$E$3665,$K3384))</f>
        <v/>
      </c>
      <c r="F3384" s="187">
        <f>IF($K3384="","",INDEX(Zeiterfassung!$F$6:$F$3665,$K3384))</f>
        <v/>
      </c>
      <c r="G3384" s="187">
        <f>IF($K3384="","",INDEX(Zeiterfassung!$G$6:$G$3665,$K3384))</f>
        <v/>
      </c>
      <c r="H3384" s="188">
        <f>IF($K3384="","",INDEX(Zeiterfassung!$H$6:$H$3665,$K3384))</f>
        <v/>
      </c>
      <c r="I3384" s="335">
        <f>IF(B3384=B3383,"",IF($K3384="","",INDEX(Zeiterfassung!$I$6:$I$3665,MATCH(INDEX(Zeiterfassung!$K$6:$K$3665,$K3384),Zeiterfassung!$K$6:$K$3665,0))))</f>
        <v/>
      </c>
      <c r="J3384" s="335">
        <f>IF(B3384=B3383,"",IF($K3384="","",INDEX(Zeiterfassung!$J$6:$J$3665,MATCH(INDEX(Zeiterfassung!$K$6:$K$3665,$K3384),Zeiterfassung!$K$6:$K$3665,0))))</f>
        <v/>
      </c>
      <c r="K3384">
        <f>IFERROR(AGGREGATE(15,6,(ROW(Zeiterfassung!$D$6:$D$3665)-ROW(Zeiterfassung!$D$6)+1)/(Zeiterfassung!$D$6:$D$3665&lt;&gt;""),3379),"")</f>
        <v/>
      </c>
    </row>
    <row r="3385" ht="20" customHeight="1">
      <c r="A3385" s="183">
        <f>IF($K3385="","",WEEKNUM(INDEX(Zeiterfassung!$K$6:$K$3665,$K3385),21))</f>
        <v/>
      </c>
      <c r="B3385" s="184">
        <f>IF($K3385="","",INDEX(Zeiterfassung!$K$6:$K$3665,$K3385))</f>
        <v/>
      </c>
      <c r="C3385" s="185">
        <f>IF($K3385="","",INDEX(Zeiterfassung!$K$6:$K$3665,$K3385))</f>
        <v/>
      </c>
      <c r="D3385" s="186">
        <f>IF($K3385="","",INDEX(Zeiterfassung!$D$6:$D$3665,$K3385))</f>
        <v/>
      </c>
      <c r="E3385" s="186">
        <f>IF($K3385="","",INDEX(Zeiterfassung!$E$6:$E$3665,$K3385))</f>
        <v/>
      </c>
      <c r="F3385" s="187">
        <f>IF($K3385="","",INDEX(Zeiterfassung!$F$6:$F$3665,$K3385))</f>
        <v/>
      </c>
      <c r="G3385" s="187">
        <f>IF($K3385="","",INDEX(Zeiterfassung!$G$6:$G$3665,$K3385))</f>
        <v/>
      </c>
      <c r="H3385" s="188">
        <f>IF($K3385="","",INDEX(Zeiterfassung!$H$6:$H$3665,$K3385))</f>
        <v/>
      </c>
      <c r="I3385" s="335">
        <f>IF(B3385=B3384,"",IF($K3385="","",INDEX(Zeiterfassung!$I$6:$I$3665,MATCH(INDEX(Zeiterfassung!$K$6:$K$3665,$K3385),Zeiterfassung!$K$6:$K$3665,0))))</f>
        <v/>
      </c>
      <c r="J3385" s="335">
        <f>IF(B3385=B3384,"",IF($K3385="","",INDEX(Zeiterfassung!$J$6:$J$3665,MATCH(INDEX(Zeiterfassung!$K$6:$K$3665,$K3385),Zeiterfassung!$K$6:$K$3665,0))))</f>
        <v/>
      </c>
      <c r="K3385">
        <f>IFERROR(AGGREGATE(15,6,(ROW(Zeiterfassung!$D$6:$D$3665)-ROW(Zeiterfassung!$D$6)+1)/(Zeiterfassung!$D$6:$D$3665&lt;&gt;""),3380),"")</f>
        <v/>
      </c>
    </row>
    <row r="3386" ht="20" customHeight="1">
      <c r="A3386" s="183">
        <f>IF($K3386="","",WEEKNUM(INDEX(Zeiterfassung!$K$6:$K$3665,$K3386),21))</f>
        <v/>
      </c>
      <c r="B3386" s="184">
        <f>IF($K3386="","",INDEX(Zeiterfassung!$K$6:$K$3665,$K3386))</f>
        <v/>
      </c>
      <c r="C3386" s="185">
        <f>IF($K3386="","",INDEX(Zeiterfassung!$K$6:$K$3665,$K3386))</f>
        <v/>
      </c>
      <c r="D3386" s="186">
        <f>IF($K3386="","",INDEX(Zeiterfassung!$D$6:$D$3665,$K3386))</f>
        <v/>
      </c>
      <c r="E3386" s="186">
        <f>IF($K3386="","",INDEX(Zeiterfassung!$E$6:$E$3665,$K3386))</f>
        <v/>
      </c>
      <c r="F3386" s="187">
        <f>IF($K3386="","",INDEX(Zeiterfassung!$F$6:$F$3665,$K3386))</f>
        <v/>
      </c>
      <c r="G3386" s="187">
        <f>IF($K3386="","",INDEX(Zeiterfassung!$G$6:$G$3665,$K3386))</f>
        <v/>
      </c>
      <c r="H3386" s="188">
        <f>IF($K3386="","",INDEX(Zeiterfassung!$H$6:$H$3665,$K3386))</f>
        <v/>
      </c>
      <c r="I3386" s="335">
        <f>IF(B3386=B3385,"",IF($K3386="","",INDEX(Zeiterfassung!$I$6:$I$3665,MATCH(INDEX(Zeiterfassung!$K$6:$K$3665,$K3386),Zeiterfassung!$K$6:$K$3665,0))))</f>
        <v/>
      </c>
      <c r="J3386" s="335">
        <f>IF(B3386=B3385,"",IF($K3386="","",INDEX(Zeiterfassung!$J$6:$J$3665,MATCH(INDEX(Zeiterfassung!$K$6:$K$3665,$K3386),Zeiterfassung!$K$6:$K$3665,0))))</f>
        <v/>
      </c>
      <c r="K3386">
        <f>IFERROR(AGGREGATE(15,6,(ROW(Zeiterfassung!$D$6:$D$3665)-ROW(Zeiterfassung!$D$6)+1)/(Zeiterfassung!$D$6:$D$3665&lt;&gt;""),3381),"")</f>
        <v/>
      </c>
    </row>
    <row r="3387" ht="20" customHeight="1">
      <c r="A3387" s="183">
        <f>IF($K3387="","",WEEKNUM(INDEX(Zeiterfassung!$K$6:$K$3665,$K3387),21))</f>
        <v/>
      </c>
      <c r="B3387" s="184">
        <f>IF($K3387="","",INDEX(Zeiterfassung!$K$6:$K$3665,$K3387))</f>
        <v/>
      </c>
      <c r="C3387" s="185">
        <f>IF($K3387="","",INDEX(Zeiterfassung!$K$6:$K$3665,$K3387))</f>
        <v/>
      </c>
      <c r="D3387" s="186">
        <f>IF($K3387="","",INDEX(Zeiterfassung!$D$6:$D$3665,$K3387))</f>
        <v/>
      </c>
      <c r="E3387" s="186">
        <f>IF($K3387="","",INDEX(Zeiterfassung!$E$6:$E$3665,$K3387))</f>
        <v/>
      </c>
      <c r="F3387" s="187">
        <f>IF($K3387="","",INDEX(Zeiterfassung!$F$6:$F$3665,$K3387))</f>
        <v/>
      </c>
      <c r="G3387" s="187">
        <f>IF($K3387="","",INDEX(Zeiterfassung!$G$6:$G$3665,$K3387))</f>
        <v/>
      </c>
      <c r="H3387" s="188">
        <f>IF($K3387="","",INDEX(Zeiterfassung!$H$6:$H$3665,$K3387))</f>
        <v/>
      </c>
      <c r="I3387" s="335">
        <f>IF(B3387=B3386,"",IF($K3387="","",INDEX(Zeiterfassung!$I$6:$I$3665,MATCH(INDEX(Zeiterfassung!$K$6:$K$3665,$K3387),Zeiterfassung!$K$6:$K$3665,0))))</f>
        <v/>
      </c>
      <c r="J3387" s="335">
        <f>IF(B3387=B3386,"",IF($K3387="","",INDEX(Zeiterfassung!$J$6:$J$3665,MATCH(INDEX(Zeiterfassung!$K$6:$K$3665,$K3387),Zeiterfassung!$K$6:$K$3665,0))))</f>
        <v/>
      </c>
      <c r="K3387">
        <f>IFERROR(AGGREGATE(15,6,(ROW(Zeiterfassung!$D$6:$D$3665)-ROW(Zeiterfassung!$D$6)+1)/(Zeiterfassung!$D$6:$D$3665&lt;&gt;""),3382),"")</f>
        <v/>
      </c>
    </row>
    <row r="3388" ht="20" customHeight="1">
      <c r="A3388" s="183">
        <f>IF($K3388="","",WEEKNUM(INDEX(Zeiterfassung!$K$6:$K$3665,$K3388),21))</f>
        <v/>
      </c>
      <c r="B3388" s="184">
        <f>IF($K3388="","",INDEX(Zeiterfassung!$K$6:$K$3665,$K3388))</f>
        <v/>
      </c>
      <c r="C3388" s="185">
        <f>IF($K3388="","",INDEX(Zeiterfassung!$K$6:$K$3665,$K3388))</f>
        <v/>
      </c>
      <c r="D3388" s="186">
        <f>IF($K3388="","",INDEX(Zeiterfassung!$D$6:$D$3665,$K3388))</f>
        <v/>
      </c>
      <c r="E3388" s="186">
        <f>IF($K3388="","",INDEX(Zeiterfassung!$E$6:$E$3665,$K3388))</f>
        <v/>
      </c>
      <c r="F3388" s="187">
        <f>IF($K3388="","",INDEX(Zeiterfassung!$F$6:$F$3665,$K3388))</f>
        <v/>
      </c>
      <c r="G3388" s="187">
        <f>IF($K3388="","",INDEX(Zeiterfassung!$G$6:$G$3665,$K3388))</f>
        <v/>
      </c>
      <c r="H3388" s="188">
        <f>IF($K3388="","",INDEX(Zeiterfassung!$H$6:$H$3665,$K3388))</f>
        <v/>
      </c>
      <c r="I3388" s="335">
        <f>IF(B3388=B3387,"",IF($K3388="","",INDEX(Zeiterfassung!$I$6:$I$3665,MATCH(INDEX(Zeiterfassung!$K$6:$K$3665,$K3388),Zeiterfassung!$K$6:$K$3665,0))))</f>
        <v/>
      </c>
      <c r="J3388" s="335">
        <f>IF(B3388=B3387,"",IF($K3388="","",INDEX(Zeiterfassung!$J$6:$J$3665,MATCH(INDEX(Zeiterfassung!$K$6:$K$3665,$K3388),Zeiterfassung!$K$6:$K$3665,0))))</f>
        <v/>
      </c>
      <c r="K3388">
        <f>IFERROR(AGGREGATE(15,6,(ROW(Zeiterfassung!$D$6:$D$3665)-ROW(Zeiterfassung!$D$6)+1)/(Zeiterfassung!$D$6:$D$3665&lt;&gt;""),3383),"")</f>
        <v/>
      </c>
    </row>
    <row r="3389" ht="20" customHeight="1">
      <c r="A3389" s="183">
        <f>IF($K3389="","",WEEKNUM(INDEX(Zeiterfassung!$K$6:$K$3665,$K3389),21))</f>
        <v/>
      </c>
      <c r="B3389" s="184">
        <f>IF($K3389="","",INDEX(Zeiterfassung!$K$6:$K$3665,$K3389))</f>
        <v/>
      </c>
      <c r="C3389" s="185">
        <f>IF($K3389="","",INDEX(Zeiterfassung!$K$6:$K$3665,$K3389))</f>
        <v/>
      </c>
      <c r="D3389" s="186">
        <f>IF($K3389="","",INDEX(Zeiterfassung!$D$6:$D$3665,$K3389))</f>
        <v/>
      </c>
      <c r="E3389" s="186">
        <f>IF($K3389="","",INDEX(Zeiterfassung!$E$6:$E$3665,$K3389))</f>
        <v/>
      </c>
      <c r="F3389" s="187">
        <f>IF($K3389="","",INDEX(Zeiterfassung!$F$6:$F$3665,$K3389))</f>
        <v/>
      </c>
      <c r="G3389" s="187">
        <f>IF($K3389="","",INDEX(Zeiterfassung!$G$6:$G$3665,$K3389))</f>
        <v/>
      </c>
      <c r="H3389" s="188">
        <f>IF($K3389="","",INDEX(Zeiterfassung!$H$6:$H$3665,$K3389))</f>
        <v/>
      </c>
      <c r="I3389" s="335">
        <f>IF(B3389=B3388,"",IF($K3389="","",INDEX(Zeiterfassung!$I$6:$I$3665,MATCH(INDEX(Zeiterfassung!$K$6:$K$3665,$K3389),Zeiterfassung!$K$6:$K$3665,0))))</f>
        <v/>
      </c>
      <c r="J3389" s="335">
        <f>IF(B3389=B3388,"",IF($K3389="","",INDEX(Zeiterfassung!$J$6:$J$3665,MATCH(INDEX(Zeiterfassung!$K$6:$K$3665,$K3389),Zeiterfassung!$K$6:$K$3665,0))))</f>
        <v/>
      </c>
      <c r="K3389">
        <f>IFERROR(AGGREGATE(15,6,(ROW(Zeiterfassung!$D$6:$D$3665)-ROW(Zeiterfassung!$D$6)+1)/(Zeiterfassung!$D$6:$D$3665&lt;&gt;""),3384),"")</f>
        <v/>
      </c>
    </row>
    <row r="3390" ht="20" customHeight="1">
      <c r="A3390" s="183">
        <f>IF($K3390="","",WEEKNUM(INDEX(Zeiterfassung!$K$6:$K$3665,$K3390),21))</f>
        <v/>
      </c>
      <c r="B3390" s="184">
        <f>IF($K3390="","",INDEX(Zeiterfassung!$K$6:$K$3665,$K3390))</f>
        <v/>
      </c>
      <c r="C3390" s="185">
        <f>IF($K3390="","",INDEX(Zeiterfassung!$K$6:$K$3665,$K3390))</f>
        <v/>
      </c>
      <c r="D3390" s="186">
        <f>IF($K3390="","",INDEX(Zeiterfassung!$D$6:$D$3665,$K3390))</f>
        <v/>
      </c>
      <c r="E3390" s="186">
        <f>IF($K3390="","",INDEX(Zeiterfassung!$E$6:$E$3665,$K3390))</f>
        <v/>
      </c>
      <c r="F3390" s="187">
        <f>IF($K3390="","",INDEX(Zeiterfassung!$F$6:$F$3665,$K3390))</f>
        <v/>
      </c>
      <c r="G3390" s="187">
        <f>IF($K3390="","",INDEX(Zeiterfassung!$G$6:$G$3665,$K3390))</f>
        <v/>
      </c>
      <c r="H3390" s="188">
        <f>IF($K3390="","",INDEX(Zeiterfassung!$H$6:$H$3665,$K3390))</f>
        <v/>
      </c>
      <c r="I3390" s="335">
        <f>IF(B3390=B3389,"",IF($K3390="","",INDEX(Zeiterfassung!$I$6:$I$3665,MATCH(INDEX(Zeiterfassung!$K$6:$K$3665,$K3390),Zeiterfassung!$K$6:$K$3665,0))))</f>
        <v/>
      </c>
      <c r="J3390" s="335">
        <f>IF(B3390=B3389,"",IF($K3390="","",INDEX(Zeiterfassung!$J$6:$J$3665,MATCH(INDEX(Zeiterfassung!$K$6:$K$3665,$K3390),Zeiterfassung!$K$6:$K$3665,0))))</f>
        <v/>
      </c>
      <c r="K3390">
        <f>IFERROR(AGGREGATE(15,6,(ROW(Zeiterfassung!$D$6:$D$3665)-ROW(Zeiterfassung!$D$6)+1)/(Zeiterfassung!$D$6:$D$3665&lt;&gt;""),3385),"")</f>
        <v/>
      </c>
    </row>
    <row r="3391" ht="20" customHeight="1">
      <c r="A3391" s="183">
        <f>IF($K3391="","",WEEKNUM(INDEX(Zeiterfassung!$K$6:$K$3665,$K3391),21))</f>
        <v/>
      </c>
      <c r="B3391" s="184">
        <f>IF($K3391="","",INDEX(Zeiterfassung!$K$6:$K$3665,$K3391))</f>
        <v/>
      </c>
      <c r="C3391" s="185">
        <f>IF($K3391="","",INDEX(Zeiterfassung!$K$6:$K$3665,$K3391))</f>
        <v/>
      </c>
      <c r="D3391" s="186">
        <f>IF($K3391="","",INDEX(Zeiterfassung!$D$6:$D$3665,$K3391))</f>
        <v/>
      </c>
      <c r="E3391" s="186">
        <f>IF($K3391="","",INDEX(Zeiterfassung!$E$6:$E$3665,$K3391))</f>
        <v/>
      </c>
      <c r="F3391" s="187">
        <f>IF($K3391="","",INDEX(Zeiterfassung!$F$6:$F$3665,$K3391))</f>
        <v/>
      </c>
      <c r="G3391" s="187">
        <f>IF($K3391="","",INDEX(Zeiterfassung!$G$6:$G$3665,$K3391))</f>
        <v/>
      </c>
      <c r="H3391" s="188">
        <f>IF($K3391="","",INDEX(Zeiterfassung!$H$6:$H$3665,$K3391))</f>
        <v/>
      </c>
      <c r="I3391" s="335">
        <f>IF(B3391=B3390,"",IF($K3391="","",INDEX(Zeiterfassung!$I$6:$I$3665,MATCH(INDEX(Zeiterfassung!$K$6:$K$3665,$K3391),Zeiterfassung!$K$6:$K$3665,0))))</f>
        <v/>
      </c>
      <c r="J3391" s="335">
        <f>IF(B3391=B3390,"",IF($K3391="","",INDEX(Zeiterfassung!$J$6:$J$3665,MATCH(INDEX(Zeiterfassung!$K$6:$K$3665,$K3391),Zeiterfassung!$K$6:$K$3665,0))))</f>
        <v/>
      </c>
      <c r="K3391">
        <f>IFERROR(AGGREGATE(15,6,(ROW(Zeiterfassung!$D$6:$D$3665)-ROW(Zeiterfassung!$D$6)+1)/(Zeiterfassung!$D$6:$D$3665&lt;&gt;""),3386),"")</f>
        <v/>
      </c>
    </row>
    <row r="3392" ht="20" customHeight="1">
      <c r="A3392" s="183">
        <f>IF($K3392="","",WEEKNUM(INDEX(Zeiterfassung!$K$6:$K$3665,$K3392),21))</f>
        <v/>
      </c>
      <c r="B3392" s="184">
        <f>IF($K3392="","",INDEX(Zeiterfassung!$K$6:$K$3665,$K3392))</f>
        <v/>
      </c>
      <c r="C3392" s="185">
        <f>IF($K3392="","",INDEX(Zeiterfassung!$K$6:$K$3665,$K3392))</f>
        <v/>
      </c>
      <c r="D3392" s="186">
        <f>IF($K3392="","",INDEX(Zeiterfassung!$D$6:$D$3665,$K3392))</f>
        <v/>
      </c>
      <c r="E3392" s="186">
        <f>IF($K3392="","",INDEX(Zeiterfassung!$E$6:$E$3665,$K3392))</f>
        <v/>
      </c>
      <c r="F3392" s="187">
        <f>IF($K3392="","",INDEX(Zeiterfassung!$F$6:$F$3665,$K3392))</f>
        <v/>
      </c>
      <c r="G3392" s="187">
        <f>IF($K3392="","",INDEX(Zeiterfassung!$G$6:$G$3665,$K3392))</f>
        <v/>
      </c>
      <c r="H3392" s="188">
        <f>IF($K3392="","",INDEX(Zeiterfassung!$H$6:$H$3665,$K3392))</f>
        <v/>
      </c>
      <c r="I3392" s="335">
        <f>IF(B3392=B3391,"",IF($K3392="","",INDEX(Zeiterfassung!$I$6:$I$3665,MATCH(INDEX(Zeiterfassung!$K$6:$K$3665,$K3392),Zeiterfassung!$K$6:$K$3665,0))))</f>
        <v/>
      </c>
      <c r="J3392" s="335">
        <f>IF(B3392=B3391,"",IF($K3392="","",INDEX(Zeiterfassung!$J$6:$J$3665,MATCH(INDEX(Zeiterfassung!$K$6:$K$3665,$K3392),Zeiterfassung!$K$6:$K$3665,0))))</f>
        <v/>
      </c>
      <c r="K3392">
        <f>IFERROR(AGGREGATE(15,6,(ROW(Zeiterfassung!$D$6:$D$3665)-ROW(Zeiterfassung!$D$6)+1)/(Zeiterfassung!$D$6:$D$3665&lt;&gt;""),3387),"")</f>
        <v/>
      </c>
    </row>
    <row r="3393" ht="20" customHeight="1">
      <c r="A3393" s="183">
        <f>IF($K3393="","",WEEKNUM(INDEX(Zeiterfassung!$K$6:$K$3665,$K3393),21))</f>
        <v/>
      </c>
      <c r="B3393" s="184">
        <f>IF($K3393="","",INDEX(Zeiterfassung!$K$6:$K$3665,$K3393))</f>
        <v/>
      </c>
      <c r="C3393" s="185">
        <f>IF($K3393="","",INDEX(Zeiterfassung!$K$6:$K$3665,$K3393))</f>
        <v/>
      </c>
      <c r="D3393" s="186">
        <f>IF($K3393="","",INDEX(Zeiterfassung!$D$6:$D$3665,$K3393))</f>
        <v/>
      </c>
      <c r="E3393" s="186">
        <f>IF($K3393="","",INDEX(Zeiterfassung!$E$6:$E$3665,$K3393))</f>
        <v/>
      </c>
      <c r="F3393" s="187">
        <f>IF($K3393="","",INDEX(Zeiterfassung!$F$6:$F$3665,$K3393))</f>
        <v/>
      </c>
      <c r="G3393" s="187">
        <f>IF($K3393="","",INDEX(Zeiterfassung!$G$6:$G$3665,$K3393))</f>
        <v/>
      </c>
      <c r="H3393" s="188">
        <f>IF($K3393="","",INDEX(Zeiterfassung!$H$6:$H$3665,$K3393))</f>
        <v/>
      </c>
      <c r="I3393" s="335">
        <f>IF(B3393=B3392,"",IF($K3393="","",INDEX(Zeiterfassung!$I$6:$I$3665,MATCH(INDEX(Zeiterfassung!$K$6:$K$3665,$K3393),Zeiterfassung!$K$6:$K$3665,0))))</f>
        <v/>
      </c>
      <c r="J3393" s="335">
        <f>IF(B3393=B3392,"",IF($K3393="","",INDEX(Zeiterfassung!$J$6:$J$3665,MATCH(INDEX(Zeiterfassung!$K$6:$K$3665,$K3393),Zeiterfassung!$K$6:$K$3665,0))))</f>
        <v/>
      </c>
      <c r="K3393">
        <f>IFERROR(AGGREGATE(15,6,(ROW(Zeiterfassung!$D$6:$D$3665)-ROW(Zeiterfassung!$D$6)+1)/(Zeiterfassung!$D$6:$D$3665&lt;&gt;""),3388),"")</f>
        <v/>
      </c>
    </row>
    <row r="3394" ht="20" customHeight="1">
      <c r="A3394" s="183">
        <f>IF($K3394="","",WEEKNUM(INDEX(Zeiterfassung!$K$6:$K$3665,$K3394),21))</f>
        <v/>
      </c>
      <c r="B3394" s="184">
        <f>IF($K3394="","",INDEX(Zeiterfassung!$K$6:$K$3665,$K3394))</f>
        <v/>
      </c>
      <c r="C3394" s="185">
        <f>IF($K3394="","",INDEX(Zeiterfassung!$K$6:$K$3665,$K3394))</f>
        <v/>
      </c>
      <c r="D3394" s="186">
        <f>IF($K3394="","",INDEX(Zeiterfassung!$D$6:$D$3665,$K3394))</f>
        <v/>
      </c>
      <c r="E3394" s="186">
        <f>IF($K3394="","",INDEX(Zeiterfassung!$E$6:$E$3665,$K3394))</f>
        <v/>
      </c>
      <c r="F3394" s="187">
        <f>IF($K3394="","",INDEX(Zeiterfassung!$F$6:$F$3665,$K3394))</f>
        <v/>
      </c>
      <c r="G3394" s="187">
        <f>IF($K3394="","",INDEX(Zeiterfassung!$G$6:$G$3665,$K3394))</f>
        <v/>
      </c>
      <c r="H3394" s="188">
        <f>IF($K3394="","",INDEX(Zeiterfassung!$H$6:$H$3665,$K3394))</f>
        <v/>
      </c>
      <c r="I3394" s="335">
        <f>IF(B3394=B3393,"",IF($K3394="","",INDEX(Zeiterfassung!$I$6:$I$3665,MATCH(INDEX(Zeiterfassung!$K$6:$K$3665,$K3394),Zeiterfassung!$K$6:$K$3665,0))))</f>
        <v/>
      </c>
      <c r="J3394" s="335">
        <f>IF(B3394=B3393,"",IF($K3394="","",INDEX(Zeiterfassung!$J$6:$J$3665,MATCH(INDEX(Zeiterfassung!$K$6:$K$3665,$K3394),Zeiterfassung!$K$6:$K$3665,0))))</f>
        <v/>
      </c>
      <c r="K3394">
        <f>IFERROR(AGGREGATE(15,6,(ROW(Zeiterfassung!$D$6:$D$3665)-ROW(Zeiterfassung!$D$6)+1)/(Zeiterfassung!$D$6:$D$3665&lt;&gt;""),3389),"")</f>
        <v/>
      </c>
    </row>
    <row r="3395" ht="20" customHeight="1">
      <c r="A3395" s="183">
        <f>IF($K3395="","",WEEKNUM(INDEX(Zeiterfassung!$K$6:$K$3665,$K3395),21))</f>
        <v/>
      </c>
      <c r="B3395" s="184">
        <f>IF($K3395="","",INDEX(Zeiterfassung!$K$6:$K$3665,$K3395))</f>
        <v/>
      </c>
      <c r="C3395" s="185">
        <f>IF($K3395="","",INDEX(Zeiterfassung!$K$6:$K$3665,$K3395))</f>
        <v/>
      </c>
      <c r="D3395" s="186">
        <f>IF($K3395="","",INDEX(Zeiterfassung!$D$6:$D$3665,$K3395))</f>
        <v/>
      </c>
      <c r="E3395" s="186">
        <f>IF($K3395="","",INDEX(Zeiterfassung!$E$6:$E$3665,$K3395))</f>
        <v/>
      </c>
      <c r="F3395" s="187">
        <f>IF($K3395="","",INDEX(Zeiterfassung!$F$6:$F$3665,$K3395))</f>
        <v/>
      </c>
      <c r="G3395" s="187">
        <f>IF($K3395="","",INDEX(Zeiterfassung!$G$6:$G$3665,$K3395))</f>
        <v/>
      </c>
      <c r="H3395" s="188">
        <f>IF($K3395="","",INDEX(Zeiterfassung!$H$6:$H$3665,$K3395))</f>
        <v/>
      </c>
      <c r="I3395" s="335">
        <f>IF(B3395=B3394,"",IF($K3395="","",INDEX(Zeiterfassung!$I$6:$I$3665,MATCH(INDEX(Zeiterfassung!$K$6:$K$3665,$K3395),Zeiterfassung!$K$6:$K$3665,0))))</f>
        <v/>
      </c>
      <c r="J3395" s="335">
        <f>IF(B3395=B3394,"",IF($K3395="","",INDEX(Zeiterfassung!$J$6:$J$3665,MATCH(INDEX(Zeiterfassung!$K$6:$K$3665,$K3395),Zeiterfassung!$K$6:$K$3665,0))))</f>
        <v/>
      </c>
      <c r="K3395">
        <f>IFERROR(AGGREGATE(15,6,(ROW(Zeiterfassung!$D$6:$D$3665)-ROW(Zeiterfassung!$D$6)+1)/(Zeiterfassung!$D$6:$D$3665&lt;&gt;""),3390),"")</f>
        <v/>
      </c>
    </row>
    <row r="3396" ht="20" customHeight="1">
      <c r="A3396" s="183">
        <f>IF($K3396="","",WEEKNUM(INDEX(Zeiterfassung!$K$6:$K$3665,$K3396),21))</f>
        <v/>
      </c>
      <c r="B3396" s="184">
        <f>IF($K3396="","",INDEX(Zeiterfassung!$K$6:$K$3665,$K3396))</f>
        <v/>
      </c>
      <c r="C3396" s="185">
        <f>IF($K3396="","",INDEX(Zeiterfassung!$K$6:$K$3665,$K3396))</f>
        <v/>
      </c>
      <c r="D3396" s="186">
        <f>IF($K3396="","",INDEX(Zeiterfassung!$D$6:$D$3665,$K3396))</f>
        <v/>
      </c>
      <c r="E3396" s="186">
        <f>IF($K3396="","",INDEX(Zeiterfassung!$E$6:$E$3665,$K3396))</f>
        <v/>
      </c>
      <c r="F3396" s="187">
        <f>IF($K3396="","",INDEX(Zeiterfassung!$F$6:$F$3665,$K3396))</f>
        <v/>
      </c>
      <c r="G3396" s="187">
        <f>IF($K3396="","",INDEX(Zeiterfassung!$G$6:$G$3665,$K3396))</f>
        <v/>
      </c>
      <c r="H3396" s="188">
        <f>IF($K3396="","",INDEX(Zeiterfassung!$H$6:$H$3665,$K3396))</f>
        <v/>
      </c>
      <c r="I3396" s="335">
        <f>IF(B3396=B3395,"",IF($K3396="","",INDEX(Zeiterfassung!$I$6:$I$3665,MATCH(INDEX(Zeiterfassung!$K$6:$K$3665,$K3396),Zeiterfassung!$K$6:$K$3665,0))))</f>
        <v/>
      </c>
      <c r="J3396" s="335">
        <f>IF(B3396=B3395,"",IF($K3396="","",INDEX(Zeiterfassung!$J$6:$J$3665,MATCH(INDEX(Zeiterfassung!$K$6:$K$3665,$K3396),Zeiterfassung!$K$6:$K$3665,0))))</f>
        <v/>
      </c>
      <c r="K3396">
        <f>IFERROR(AGGREGATE(15,6,(ROW(Zeiterfassung!$D$6:$D$3665)-ROW(Zeiterfassung!$D$6)+1)/(Zeiterfassung!$D$6:$D$3665&lt;&gt;""),3391),"")</f>
        <v/>
      </c>
    </row>
    <row r="3397" ht="20" customHeight="1">
      <c r="A3397" s="183">
        <f>IF($K3397="","",WEEKNUM(INDEX(Zeiterfassung!$K$6:$K$3665,$K3397),21))</f>
        <v/>
      </c>
      <c r="B3397" s="184">
        <f>IF($K3397="","",INDEX(Zeiterfassung!$K$6:$K$3665,$K3397))</f>
        <v/>
      </c>
      <c r="C3397" s="185">
        <f>IF($K3397="","",INDEX(Zeiterfassung!$K$6:$K$3665,$K3397))</f>
        <v/>
      </c>
      <c r="D3397" s="186">
        <f>IF($K3397="","",INDEX(Zeiterfassung!$D$6:$D$3665,$K3397))</f>
        <v/>
      </c>
      <c r="E3397" s="186">
        <f>IF($K3397="","",INDEX(Zeiterfassung!$E$6:$E$3665,$K3397))</f>
        <v/>
      </c>
      <c r="F3397" s="187">
        <f>IF($K3397="","",INDEX(Zeiterfassung!$F$6:$F$3665,$K3397))</f>
        <v/>
      </c>
      <c r="G3397" s="187">
        <f>IF($K3397="","",INDEX(Zeiterfassung!$G$6:$G$3665,$K3397))</f>
        <v/>
      </c>
      <c r="H3397" s="188">
        <f>IF($K3397="","",INDEX(Zeiterfassung!$H$6:$H$3665,$K3397))</f>
        <v/>
      </c>
      <c r="I3397" s="335">
        <f>IF(B3397=B3396,"",IF($K3397="","",INDEX(Zeiterfassung!$I$6:$I$3665,MATCH(INDEX(Zeiterfassung!$K$6:$K$3665,$K3397),Zeiterfassung!$K$6:$K$3665,0))))</f>
        <v/>
      </c>
      <c r="J3397" s="335">
        <f>IF(B3397=B3396,"",IF($K3397="","",INDEX(Zeiterfassung!$J$6:$J$3665,MATCH(INDEX(Zeiterfassung!$K$6:$K$3665,$K3397),Zeiterfassung!$K$6:$K$3665,0))))</f>
        <v/>
      </c>
      <c r="K3397">
        <f>IFERROR(AGGREGATE(15,6,(ROW(Zeiterfassung!$D$6:$D$3665)-ROW(Zeiterfassung!$D$6)+1)/(Zeiterfassung!$D$6:$D$3665&lt;&gt;""),3392),"")</f>
        <v/>
      </c>
    </row>
    <row r="3398" ht="20" customHeight="1">
      <c r="A3398" s="183">
        <f>IF($K3398="","",WEEKNUM(INDEX(Zeiterfassung!$K$6:$K$3665,$K3398),21))</f>
        <v/>
      </c>
      <c r="B3398" s="184">
        <f>IF($K3398="","",INDEX(Zeiterfassung!$K$6:$K$3665,$K3398))</f>
        <v/>
      </c>
      <c r="C3398" s="185">
        <f>IF($K3398="","",INDEX(Zeiterfassung!$K$6:$K$3665,$K3398))</f>
        <v/>
      </c>
      <c r="D3398" s="186">
        <f>IF($K3398="","",INDEX(Zeiterfassung!$D$6:$D$3665,$K3398))</f>
        <v/>
      </c>
      <c r="E3398" s="186">
        <f>IF($K3398="","",INDEX(Zeiterfassung!$E$6:$E$3665,$K3398))</f>
        <v/>
      </c>
      <c r="F3398" s="187">
        <f>IF($K3398="","",INDEX(Zeiterfassung!$F$6:$F$3665,$K3398))</f>
        <v/>
      </c>
      <c r="G3398" s="187">
        <f>IF($K3398="","",INDEX(Zeiterfassung!$G$6:$G$3665,$K3398))</f>
        <v/>
      </c>
      <c r="H3398" s="188">
        <f>IF($K3398="","",INDEX(Zeiterfassung!$H$6:$H$3665,$K3398))</f>
        <v/>
      </c>
      <c r="I3398" s="335">
        <f>IF(B3398=B3397,"",IF($K3398="","",INDEX(Zeiterfassung!$I$6:$I$3665,MATCH(INDEX(Zeiterfassung!$K$6:$K$3665,$K3398),Zeiterfassung!$K$6:$K$3665,0))))</f>
        <v/>
      </c>
      <c r="J3398" s="335">
        <f>IF(B3398=B3397,"",IF($K3398="","",INDEX(Zeiterfassung!$J$6:$J$3665,MATCH(INDEX(Zeiterfassung!$K$6:$K$3665,$K3398),Zeiterfassung!$K$6:$K$3665,0))))</f>
        <v/>
      </c>
      <c r="K3398">
        <f>IFERROR(AGGREGATE(15,6,(ROW(Zeiterfassung!$D$6:$D$3665)-ROW(Zeiterfassung!$D$6)+1)/(Zeiterfassung!$D$6:$D$3665&lt;&gt;""),3393),"")</f>
        <v/>
      </c>
    </row>
    <row r="3399" ht="20" customHeight="1">
      <c r="A3399" s="183">
        <f>IF($K3399="","",WEEKNUM(INDEX(Zeiterfassung!$K$6:$K$3665,$K3399),21))</f>
        <v/>
      </c>
      <c r="B3399" s="184">
        <f>IF($K3399="","",INDEX(Zeiterfassung!$K$6:$K$3665,$K3399))</f>
        <v/>
      </c>
      <c r="C3399" s="185">
        <f>IF($K3399="","",INDEX(Zeiterfassung!$K$6:$K$3665,$K3399))</f>
        <v/>
      </c>
      <c r="D3399" s="186">
        <f>IF($K3399="","",INDEX(Zeiterfassung!$D$6:$D$3665,$K3399))</f>
        <v/>
      </c>
      <c r="E3399" s="186">
        <f>IF($K3399="","",INDEX(Zeiterfassung!$E$6:$E$3665,$K3399))</f>
        <v/>
      </c>
      <c r="F3399" s="187">
        <f>IF($K3399="","",INDEX(Zeiterfassung!$F$6:$F$3665,$K3399))</f>
        <v/>
      </c>
      <c r="G3399" s="187">
        <f>IF($K3399="","",INDEX(Zeiterfassung!$G$6:$G$3665,$K3399))</f>
        <v/>
      </c>
      <c r="H3399" s="188">
        <f>IF($K3399="","",INDEX(Zeiterfassung!$H$6:$H$3665,$K3399))</f>
        <v/>
      </c>
      <c r="I3399" s="335">
        <f>IF(B3399=B3398,"",IF($K3399="","",INDEX(Zeiterfassung!$I$6:$I$3665,MATCH(INDEX(Zeiterfassung!$K$6:$K$3665,$K3399),Zeiterfassung!$K$6:$K$3665,0))))</f>
        <v/>
      </c>
      <c r="J3399" s="335">
        <f>IF(B3399=B3398,"",IF($K3399="","",INDEX(Zeiterfassung!$J$6:$J$3665,MATCH(INDEX(Zeiterfassung!$K$6:$K$3665,$K3399),Zeiterfassung!$K$6:$K$3665,0))))</f>
        <v/>
      </c>
      <c r="K3399">
        <f>IFERROR(AGGREGATE(15,6,(ROW(Zeiterfassung!$D$6:$D$3665)-ROW(Zeiterfassung!$D$6)+1)/(Zeiterfassung!$D$6:$D$3665&lt;&gt;""),3394),"")</f>
        <v/>
      </c>
    </row>
    <row r="3400" ht="20" customHeight="1">
      <c r="A3400" s="183">
        <f>IF($K3400="","",WEEKNUM(INDEX(Zeiterfassung!$K$6:$K$3665,$K3400),21))</f>
        <v/>
      </c>
      <c r="B3400" s="184">
        <f>IF($K3400="","",INDEX(Zeiterfassung!$K$6:$K$3665,$K3400))</f>
        <v/>
      </c>
      <c r="C3400" s="185">
        <f>IF($K3400="","",INDEX(Zeiterfassung!$K$6:$K$3665,$K3400))</f>
        <v/>
      </c>
      <c r="D3400" s="186">
        <f>IF($K3400="","",INDEX(Zeiterfassung!$D$6:$D$3665,$K3400))</f>
        <v/>
      </c>
      <c r="E3400" s="186">
        <f>IF($K3400="","",INDEX(Zeiterfassung!$E$6:$E$3665,$K3400))</f>
        <v/>
      </c>
      <c r="F3400" s="187">
        <f>IF($K3400="","",INDEX(Zeiterfassung!$F$6:$F$3665,$K3400))</f>
        <v/>
      </c>
      <c r="G3400" s="187">
        <f>IF($K3400="","",INDEX(Zeiterfassung!$G$6:$G$3665,$K3400))</f>
        <v/>
      </c>
      <c r="H3400" s="188">
        <f>IF($K3400="","",INDEX(Zeiterfassung!$H$6:$H$3665,$K3400))</f>
        <v/>
      </c>
      <c r="I3400" s="335">
        <f>IF(B3400=B3399,"",IF($K3400="","",INDEX(Zeiterfassung!$I$6:$I$3665,MATCH(INDEX(Zeiterfassung!$K$6:$K$3665,$K3400),Zeiterfassung!$K$6:$K$3665,0))))</f>
        <v/>
      </c>
      <c r="J3400" s="335">
        <f>IF(B3400=B3399,"",IF($K3400="","",INDEX(Zeiterfassung!$J$6:$J$3665,MATCH(INDEX(Zeiterfassung!$K$6:$K$3665,$K3400),Zeiterfassung!$K$6:$K$3665,0))))</f>
        <v/>
      </c>
      <c r="K3400">
        <f>IFERROR(AGGREGATE(15,6,(ROW(Zeiterfassung!$D$6:$D$3665)-ROW(Zeiterfassung!$D$6)+1)/(Zeiterfassung!$D$6:$D$3665&lt;&gt;""),3395),"")</f>
        <v/>
      </c>
    </row>
    <row r="3401" ht="20" customHeight="1">
      <c r="A3401" s="183">
        <f>IF($K3401="","",WEEKNUM(INDEX(Zeiterfassung!$K$6:$K$3665,$K3401),21))</f>
        <v/>
      </c>
      <c r="B3401" s="184">
        <f>IF($K3401="","",INDEX(Zeiterfassung!$K$6:$K$3665,$K3401))</f>
        <v/>
      </c>
      <c r="C3401" s="185">
        <f>IF($K3401="","",INDEX(Zeiterfassung!$K$6:$K$3665,$K3401))</f>
        <v/>
      </c>
      <c r="D3401" s="186">
        <f>IF($K3401="","",INDEX(Zeiterfassung!$D$6:$D$3665,$K3401))</f>
        <v/>
      </c>
      <c r="E3401" s="186">
        <f>IF($K3401="","",INDEX(Zeiterfassung!$E$6:$E$3665,$K3401))</f>
        <v/>
      </c>
      <c r="F3401" s="187">
        <f>IF($K3401="","",INDEX(Zeiterfassung!$F$6:$F$3665,$K3401))</f>
        <v/>
      </c>
      <c r="G3401" s="187">
        <f>IF($K3401="","",INDEX(Zeiterfassung!$G$6:$G$3665,$K3401))</f>
        <v/>
      </c>
      <c r="H3401" s="188">
        <f>IF($K3401="","",INDEX(Zeiterfassung!$H$6:$H$3665,$K3401))</f>
        <v/>
      </c>
      <c r="I3401" s="335">
        <f>IF(B3401=B3400,"",IF($K3401="","",INDEX(Zeiterfassung!$I$6:$I$3665,MATCH(INDEX(Zeiterfassung!$K$6:$K$3665,$K3401),Zeiterfassung!$K$6:$K$3665,0))))</f>
        <v/>
      </c>
      <c r="J3401" s="335">
        <f>IF(B3401=B3400,"",IF($K3401="","",INDEX(Zeiterfassung!$J$6:$J$3665,MATCH(INDEX(Zeiterfassung!$K$6:$K$3665,$K3401),Zeiterfassung!$K$6:$K$3665,0))))</f>
        <v/>
      </c>
      <c r="K3401">
        <f>IFERROR(AGGREGATE(15,6,(ROW(Zeiterfassung!$D$6:$D$3665)-ROW(Zeiterfassung!$D$6)+1)/(Zeiterfassung!$D$6:$D$3665&lt;&gt;""),3396),"")</f>
        <v/>
      </c>
    </row>
    <row r="3402" ht="20" customHeight="1">
      <c r="A3402" s="183">
        <f>IF($K3402="","",WEEKNUM(INDEX(Zeiterfassung!$K$6:$K$3665,$K3402),21))</f>
        <v/>
      </c>
      <c r="B3402" s="184">
        <f>IF($K3402="","",INDEX(Zeiterfassung!$K$6:$K$3665,$K3402))</f>
        <v/>
      </c>
      <c r="C3402" s="185">
        <f>IF($K3402="","",INDEX(Zeiterfassung!$K$6:$K$3665,$K3402))</f>
        <v/>
      </c>
      <c r="D3402" s="186">
        <f>IF($K3402="","",INDEX(Zeiterfassung!$D$6:$D$3665,$K3402))</f>
        <v/>
      </c>
      <c r="E3402" s="186">
        <f>IF($K3402="","",INDEX(Zeiterfassung!$E$6:$E$3665,$K3402))</f>
        <v/>
      </c>
      <c r="F3402" s="187">
        <f>IF($K3402="","",INDEX(Zeiterfassung!$F$6:$F$3665,$K3402))</f>
        <v/>
      </c>
      <c r="G3402" s="187">
        <f>IF($K3402="","",INDEX(Zeiterfassung!$G$6:$G$3665,$K3402))</f>
        <v/>
      </c>
      <c r="H3402" s="188">
        <f>IF($K3402="","",INDEX(Zeiterfassung!$H$6:$H$3665,$K3402))</f>
        <v/>
      </c>
      <c r="I3402" s="335">
        <f>IF(B3402=B3401,"",IF($K3402="","",INDEX(Zeiterfassung!$I$6:$I$3665,MATCH(INDEX(Zeiterfassung!$K$6:$K$3665,$K3402),Zeiterfassung!$K$6:$K$3665,0))))</f>
        <v/>
      </c>
      <c r="J3402" s="335">
        <f>IF(B3402=B3401,"",IF($K3402="","",INDEX(Zeiterfassung!$J$6:$J$3665,MATCH(INDEX(Zeiterfassung!$K$6:$K$3665,$K3402),Zeiterfassung!$K$6:$K$3665,0))))</f>
        <v/>
      </c>
      <c r="K3402">
        <f>IFERROR(AGGREGATE(15,6,(ROW(Zeiterfassung!$D$6:$D$3665)-ROW(Zeiterfassung!$D$6)+1)/(Zeiterfassung!$D$6:$D$3665&lt;&gt;""),3397),"")</f>
        <v/>
      </c>
    </row>
    <row r="3403" ht="20" customHeight="1">
      <c r="A3403" s="183">
        <f>IF($K3403="","",WEEKNUM(INDEX(Zeiterfassung!$K$6:$K$3665,$K3403),21))</f>
        <v/>
      </c>
      <c r="B3403" s="184">
        <f>IF($K3403="","",INDEX(Zeiterfassung!$K$6:$K$3665,$K3403))</f>
        <v/>
      </c>
      <c r="C3403" s="185">
        <f>IF($K3403="","",INDEX(Zeiterfassung!$K$6:$K$3665,$K3403))</f>
        <v/>
      </c>
      <c r="D3403" s="186">
        <f>IF($K3403="","",INDEX(Zeiterfassung!$D$6:$D$3665,$K3403))</f>
        <v/>
      </c>
      <c r="E3403" s="186">
        <f>IF($K3403="","",INDEX(Zeiterfassung!$E$6:$E$3665,$K3403))</f>
        <v/>
      </c>
      <c r="F3403" s="187">
        <f>IF($K3403="","",INDEX(Zeiterfassung!$F$6:$F$3665,$K3403))</f>
        <v/>
      </c>
      <c r="G3403" s="187">
        <f>IF($K3403="","",INDEX(Zeiterfassung!$G$6:$G$3665,$K3403))</f>
        <v/>
      </c>
      <c r="H3403" s="188">
        <f>IF($K3403="","",INDEX(Zeiterfassung!$H$6:$H$3665,$K3403))</f>
        <v/>
      </c>
      <c r="I3403" s="335">
        <f>IF(B3403=B3402,"",IF($K3403="","",INDEX(Zeiterfassung!$I$6:$I$3665,MATCH(INDEX(Zeiterfassung!$K$6:$K$3665,$K3403),Zeiterfassung!$K$6:$K$3665,0))))</f>
        <v/>
      </c>
      <c r="J3403" s="335">
        <f>IF(B3403=B3402,"",IF($K3403="","",INDEX(Zeiterfassung!$J$6:$J$3665,MATCH(INDEX(Zeiterfassung!$K$6:$K$3665,$K3403),Zeiterfassung!$K$6:$K$3665,0))))</f>
        <v/>
      </c>
      <c r="K3403">
        <f>IFERROR(AGGREGATE(15,6,(ROW(Zeiterfassung!$D$6:$D$3665)-ROW(Zeiterfassung!$D$6)+1)/(Zeiterfassung!$D$6:$D$3665&lt;&gt;""),3398),"")</f>
        <v/>
      </c>
    </row>
    <row r="3404" ht="20" customHeight="1">
      <c r="A3404" s="183">
        <f>IF($K3404="","",WEEKNUM(INDEX(Zeiterfassung!$K$6:$K$3665,$K3404),21))</f>
        <v/>
      </c>
      <c r="B3404" s="184">
        <f>IF($K3404="","",INDEX(Zeiterfassung!$K$6:$K$3665,$K3404))</f>
        <v/>
      </c>
      <c r="C3404" s="185">
        <f>IF($K3404="","",INDEX(Zeiterfassung!$K$6:$K$3665,$K3404))</f>
        <v/>
      </c>
      <c r="D3404" s="186">
        <f>IF($K3404="","",INDEX(Zeiterfassung!$D$6:$D$3665,$K3404))</f>
        <v/>
      </c>
      <c r="E3404" s="186">
        <f>IF($K3404="","",INDEX(Zeiterfassung!$E$6:$E$3665,$K3404))</f>
        <v/>
      </c>
      <c r="F3404" s="187">
        <f>IF($K3404="","",INDEX(Zeiterfassung!$F$6:$F$3665,$K3404))</f>
        <v/>
      </c>
      <c r="G3404" s="187">
        <f>IF($K3404="","",INDEX(Zeiterfassung!$G$6:$G$3665,$K3404))</f>
        <v/>
      </c>
      <c r="H3404" s="188">
        <f>IF($K3404="","",INDEX(Zeiterfassung!$H$6:$H$3665,$K3404))</f>
        <v/>
      </c>
      <c r="I3404" s="335">
        <f>IF(B3404=B3403,"",IF($K3404="","",INDEX(Zeiterfassung!$I$6:$I$3665,MATCH(INDEX(Zeiterfassung!$K$6:$K$3665,$K3404),Zeiterfassung!$K$6:$K$3665,0))))</f>
        <v/>
      </c>
      <c r="J3404" s="335">
        <f>IF(B3404=B3403,"",IF($K3404="","",INDEX(Zeiterfassung!$J$6:$J$3665,MATCH(INDEX(Zeiterfassung!$K$6:$K$3665,$K3404),Zeiterfassung!$K$6:$K$3665,0))))</f>
        <v/>
      </c>
      <c r="K3404">
        <f>IFERROR(AGGREGATE(15,6,(ROW(Zeiterfassung!$D$6:$D$3665)-ROW(Zeiterfassung!$D$6)+1)/(Zeiterfassung!$D$6:$D$3665&lt;&gt;""),3399),"")</f>
        <v/>
      </c>
    </row>
    <row r="3405" ht="20" customHeight="1">
      <c r="A3405" s="183">
        <f>IF($K3405="","",WEEKNUM(INDEX(Zeiterfassung!$K$6:$K$3665,$K3405),21))</f>
        <v/>
      </c>
      <c r="B3405" s="184">
        <f>IF($K3405="","",INDEX(Zeiterfassung!$K$6:$K$3665,$K3405))</f>
        <v/>
      </c>
      <c r="C3405" s="185">
        <f>IF($K3405="","",INDEX(Zeiterfassung!$K$6:$K$3665,$K3405))</f>
        <v/>
      </c>
      <c r="D3405" s="186">
        <f>IF($K3405="","",INDEX(Zeiterfassung!$D$6:$D$3665,$K3405))</f>
        <v/>
      </c>
      <c r="E3405" s="186">
        <f>IF($K3405="","",INDEX(Zeiterfassung!$E$6:$E$3665,$K3405))</f>
        <v/>
      </c>
      <c r="F3405" s="187">
        <f>IF($K3405="","",INDEX(Zeiterfassung!$F$6:$F$3665,$K3405))</f>
        <v/>
      </c>
      <c r="G3405" s="187">
        <f>IF($K3405="","",INDEX(Zeiterfassung!$G$6:$G$3665,$K3405))</f>
        <v/>
      </c>
      <c r="H3405" s="188">
        <f>IF($K3405="","",INDEX(Zeiterfassung!$H$6:$H$3665,$K3405))</f>
        <v/>
      </c>
      <c r="I3405" s="335">
        <f>IF(B3405=B3404,"",IF($K3405="","",INDEX(Zeiterfassung!$I$6:$I$3665,MATCH(INDEX(Zeiterfassung!$K$6:$K$3665,$K3405),Zeiterfassung!$K$6:$K$3665,0))))</f>
        <v/>
      </c>
      <c r="J3405" s="335">
        <f>IF(B3405=B3404,"",IF($K3405="","",INDEX(Zeiterfassung!$J$6:$J$3665,MATCH(INDEX(Zeiterfassung!$K$6:$K$3665,$K3405),Zeiterfassung!$K$6:$K$3665,0))))</f>
        <v/>
      </c>
      <c r="K3405">
        <f>IFERROR(AGGREGATE(15,6,(ROW(Zeiterfassung!$D$6:$D$3665)-ROW(Zeiterfassung!$D$6)+1)/(Zeiterfassung!$D$6:$D$3665&lt;&gt;""),3400),"")</f>
        <v/>
      </c>
    </row>
    <row r="3406" ht="20" customHeight="1">
      <c r="A3406" s="183">
        <f>IF($K3406="","",WEEKNUM(INDEX(Zeiterfassung!$K$6:$K$3665,$K3406),21))</f>
        <v/>
      </c>
      <c r="B3406" s="184">
        <f>IF($K3406="","",INDEX(Zeiterfassung!$K$6:$K$3665,$K3406))</f>
        <v/>
      </c>
      <c r="C3406" s="185">
        <f>IF($K3406="","",INDEX(Zeiterfassung!$K$6:$K$3665,$K3406))</f>
        <v/>
      </c>
      <c r="D3406" s="186">
        <f>IF($K3406="","",INDEX(Zeiterfassung!$D$6:$D$3665,$K3406))</f>
        <v/>
      </c>
      <c r="E3406" s="186">
        <f>IF($K3406="","",INDEX(Zeiterfassung!$E$6:$E$3665,$K3406))</f>
        <v/>
      </c>
      <c r="F3406" s="187">
        <f>IF($K3406="","",INDEX(Zeiterfassung!$F$6:$F$3665,$K3406))</f>
        <v/>
      </c>
      <c r="G3406" s="187">
        <f>IF($K3406="","",INDEX(Zeiterfassung!$G$6:$G$3665,$K3406))</f>
        <v/>
      </c>
      <c r="H3406" s="188">
        <f>IF($K3406="","",INDEX(Zeiterfassung!$H$6:$H$3665,$K3406))</f>
        <v/>
      </c>
      <c r="I3406" s="335">
        <f>IF(B3406=B3405,"",IF($K3406="","",INDEX(Zeiterfassung!$I$6:$I$3665,MATCH(INDEX(Zeiterfassung!$K$6:$K$3665,$K3406),Zeiterfassung!$K$6:$K$3665,0))))</f>
        <v/>
      </c>
      <c r="J3406" s="335">
        <f>IF(B3406=B3405,"",IF($K3406="","",INDEX(Zeiterfassung!$J$6:$J$3665,MATCH(INDEX(Zeiterfassung!$K$6:$K$3665,$K3406),Zeiterfassung!$K$6:$K$3665,0))))</f>
        <v/>
      </c>
      <c r="K3406">
        <f>IFERROR(AGGREGATE(15,6,(ROW(Zeiterfassung!$D$6:$D$3665)-ROW(Zeiterfassung!$D$6)+1)/(Zeiterfassung!$D$6:$D$3665&lt;&gt;""),3401),"")</f>
        <v/>
      </c>
    </row>
    <row r="3407" ht="20" customHeight="1">
      <c r="A3407" s="183">
        <f>IF($K3407="","",WEEKNUM(INDEX(Zeiterfassung!$K$6:$K$3665,$K3407),21))</f>
        <v/>
      </c>
      <c r="B3407" s="184">
        <f>IF($K3407="","",INDEX(Zeiterfassung!$K$6:$K$3665,$K3407))</f>
        <v/>
      </c>
      <c r="C3407" s="185">
        <f>IF($K3407="","",INDEX(Zeiterfassung!$K$6:$K$3665,$K3407))</f>
        <v/>
      </c>
      <c r="D3407" s="186">
        <f>IF($K3407="","",INDEX(Zeiterfassung!$D$6:$D$3665,$K3407))</f>
        <v/>
      </c>
      <c r="E3407" s="186">
        <f>IF($K3407="","",INDEX(Zeiterfassung!$E$6:$E$3665,$K3407))</f>
        <v/>
      </c>
      <c r="F3407" s="187">
        <f>IF($K3407="","",INDEX(Zeiterfassung!$F$6:$F$3665,$K3407))</f>
        <v/>
      </c>
      <c r="G3407" s="187">
        <f>IF($K3407="","",INDEX(Zeiterfassung!$G$6:$G$3665,$K3407))</f>
        <v/>
      </c>
      <c r="H3407" s="188">
        <f>IF($K3407="","",INDEX(Zeiterfassung!$H$6:$H$3665,$K3407))</f>
        <v/>
      </c>
      <c r="I3407" s="335">
        <f>IF(B3407=B3406,"",IF($K3407="","",INDEX(Zeiterfassung!$I$6:$I$3665,MATCH(INDEX(Zeiterfassung!$K$6:$K$3665,$K3407),Zeiterfassung!$K$6:$K$3665,0))))</f>
        <v/>
      </c>
      <c r="J3407" s="335">
        <f>IF(B3407=B3406,"",IF($K3407="","",INDEX(Zeiterfassung!$J$6:$J$3665,MATCH(INDEX(Zeiterfassung!$K$6:$K$3665,$K3407),Zeiterfassung!$K$6:$K$3665,0))))</f>
        <v/>
      </c>
      <c r="K3407">
        <f>IFERROR(AGGREGATE(15,6,(ROW(Zeiterfassung!$D$6:$D$3665)-ROW(Zeiterfassung!$D$6)+1)/(Zeiterfassung!$D$6:$D$3665&lt;&gt;""),3402),"")</f>
        <v/>
      </c>
    </row>
    <row r="3408" ht="20" customHeight="1">
      <c r="A3408" s="183">
        <f>IF($K3408="","",WEEKNUM(INDEX(Zeiterfassung!$K$6:$K$3665,$K3408),21))</f>
        <v/>
      </c>
      <c r="B3408" s="184">
        <f>IF($K3408="","",INDEX(Zeiterfassung!$K$6:$K$3665,$K3408))</f>
        <v/>
      </c>
      <c r="C3408" s="185">
        <f>IF($K3408="","",INDEX(Zeiterfassung!$K$6:$K$3665,$K3408))</f>
        <v/>
      </c>
      <c r="D3408" s="186">
        <f>IF($K3408="","",INDEX(Zeiterfassung!$D$6:$D$3665,$K3408))</f>
        <v/>
      </c>
      <c r="E3408" s="186">
        <f>IF($K3408="","",INDEX(Zeiterfassung!$E$6:$E$3665,$K3408))</f>
        <v/>
      </c>
      <c r="F3408" s="187">
        <f>IF($K3408="","",INDEX(Zeiterfassung!$F$6:$F$3665,$K3408))</f>
        <v/>
      </c>
      <c r="G3408" s="187">
        <f>IF($K3408="","",INDEX(Zeiterfassung!$G$6:$G$3665,$K3408))</f>
        <v/>
      </c>
      <c r="H3408" s="188">
        <f>IF($K3408="","",INDEX(Zeiterfassung!$H$6:$H$3665,$K3408))</f>
        <v/>
      </c>
      <c r="I3408" s="335">
        <f>IF(B3408=B3407,"",IF($K3408="","",INDEX(Zeiterfassung!$I$6:$I$3665,MATCH(INDEX(Zeiterfassung!$K$6:$K$3665,$K3408),Zeiterfassung!$K$6:$K$3665,0))))</f>
        <v/>
      </c>
      <c r="J3408" s="335">
        <f>IF(B3408=B3407,"",IF($K3408="","",INDEX(Zeiterfassung!$J$6:$J$3665,MATCH(INDEX(Zeiterfassung!$K$6:$K$3665,$K3408),Zeiterfassung!$K$6:$K$3665,0))))</f>
        <v/>
      </c>
      <c r="K3408">
        <f>IFERROR(AGGREGATE(15,6,(ROW(Zeiterfassung!$D$6:$D$3665)-ROW(Zeiterfassung!$D$6)+1)/(Zeiterfassung!$D$6:$D$3665&lt;&gt;""),3403),"")</f>
        <v/>
      </c>
    </row>
    <row r="3409" ht="20" customHeight="1">
      <c r="A3409" s="183">
        <f>IF($K3409="","",WEEKNUM(INDEX(Zeiterfassung!$K$6:$K$3665,$K3409),21))</f>
        <v/>
      </c>
      <c r="B3409" s="184">
        <f>IF($K3409="","",INDEX(Zeiterfassung!$K$6:$K$3665,$K3409))</f>
        <v/>
      </c>
      <c r="C3409" s="185">
        <f>IF($K3409="","",INDEX(Zeiterfassung!$K$6:$K$3665,$K3409))</f>
        <v/>
      </c>
      <c r="D3409" s="186">
        <f>IF($K3409="","",INDEX(Zeiterfassung!$D$6:$D$3665,$K3409))</f>
        <v/>
      </c>
      <c r="E3409" s="186">
        <f>IF($K3409="","",INDEX(Zeiterfassung!$E$6:$E$3665,$K3409))</f>
        <v/>
      </c>
      <c r="F3409" s="187">
        <f>IF($K3409="","",INDEX(Zeiterfassung!$F$6:$F$3665,$K3409))</f>
        <v/>
      </c>
      <c r="G3409" s="187">
        <f>IF($K3409="","",INDEX(Zeiterfassung!$G$6:$G$3665,$K3409))</f>
        <v/>
      </c>
      <c r="H3409" s="188">
        <f>IF($K3409="","",INDEX(Zeiterfassung!$H$6:$H$3665,$K3409))</f>
        <v/>
      </c>
      <c r="I3409" s="335">
        <f>IF(B3409=B3408,"",IF($K3409="","",INDEX(Zeiterfassung!$I$6:$I$3665,MATCH(INDEX(Zeiterfassung!$K$6:$K$3665,$K3409),Zeiterfassung!$K$6:$K$3665,0))))</f>
        <v/>
      </c>
      <c r="J3409" s="335">
        <f>IF(B3409=B3408,"",IF($K3409="","",INDEX(Zeiterfassung!$J$6:$J$3665,MATCH(INDEX(Zeiterfassung!$K$6:$K$3665,$K3409),Zeiterfassung!$K$6:$K$3665,0))))</f>
        <v/>
      </c>
      <c r="K3409">
        <f>IFERROR(AGGREGATE(15,6,(ROW(Zeiterfassung!$D$6:$D$3665)-ROW(Zeiterfassung!$D$6)+1)/(Zeiterfassung!$D$6:$D$3665&lt;&gt;""),3404),"")</f>
        <v/>
      </c>
    </row>
    <row r="3410" ht="20" customHeight="1">
      <c r="A3410" s="183">
        <f>IF($K3410="","",WEEKNUM(INDEX(Zeiterfassung!$K$6:$K$3665,$K3410),21))</f>
        <v/>
      </c>
      <c r="B3410" s="184">
        <f>IF($K3410="","",INDEX(Zeiterfassung!$K$6:$K$3665,$K3410))</f>
        <v/>
      </c>
      <c r="C3410" s="185">
        <f>IF($K3410="","",INDEX(Zeiterfassung!$K$6:$K$3665,$K3410))</f>
        <v/>
      </c>
      <c r="D3410" s="186">
        <f>IF($K3410="","",INDEX(Zeiterfassung!$D$6:$D$3665,$K3410))</f>
        <v/>
      </c>
      <c r="E3410" s="186">
        <f>IF($K3410="","",INDEX(Zeiterfassung!$E$6:$E$3665,$K3410))</f>
        <v/>
      </c>
      <c r="F3410" s="187">
        <f>IF($K3410="","",INDEX(Zeiterfassung!$F$6:$F$3665,$K3410))</f>
        <v/>
      </c>
      <c r="G3410" s="187">
        <f>IF($K3410="","",INDEX(Zeiterfassung!$G$6:$G$3665,$K3410))</f>
        <v/>
      </c>
      <c r="H3410" s="188">
        <f>IF($K3410="","",INDEX(Zeiterfassung!$H$6:$H$3665,$K3410))</f>
        <v/>
      </c>
      <c r="I3410" s="335">
        <f>IF(B3410=B3409,"",IF($K3410="","",INDEX(Zeiterfassung!$I$6:$I$3665,MATCH(INDEX(Zeiterfassung!$K$6:$K$3665,$K3410),Zeiterfassung!$K$6:$K$3665,0))))</f>
        <v/>
      </c>
      <c r="J3410" s="335">
        <f>IF(B3410=B3409,"",IF($K3410="","",INDEX(Zeiterfassung!$J$6:$J$3665,MATCH(INDEX(Zeiterfassung!$K$6:$K$3665,$K3410),Zeiterfassung!$K$6:$K$3665,0))))</f>
        <v/>
      </c>
      <c r="K3410">
        <f>IFERROR(AGGREGATE(15,6,(ROW(Zeiterfassung!$D$6:$D$3665)-ROW(Zeiterfassung!$D$6)+1)/(Zeiterfassung!$D$6:$D$3665&lt;&gt;""),3405),"")</f>
        <v/>
      </c>
    </row>
    <row r="3411" ht="20" customHeight="1">
      <c r="A3411" s="183">
        <f>IF($K3411="","",WEEKNUM(INDEX(Zeiterfassung!$K$6:$K$3665,$K3411),21))</f>
        <v/>
      </c>
      <c r="B3411" s="184">
        <f>IF($K3411="","",INDEX(Zeiterfassung!$K$6:$K$3665,$K3411))</f>
        <v/>
      </c>
      <c r="C3411" s="185">
        <f>IF($K3411="","",INDEX(Zeiterfassung!$K$6:$K$3665,$K3411))</f>
        <v/>
      </c>
      <c r="D3411" s="186">
        <f>IF($K3411="","",INDEX(Zeiterfassung!$D$6:$D$3665,$K3411))</f>
        <v/>
      </c>
      <c r="E3411" s="186">
        <f>IF($K3411="","",INDEX(Zeiterfassung!$E$6:$E$3665,$K3411))</f>
        <v/>
      </c>
      <c r="F3411" s="187">
        <f>IF($K3411="","",INDEX(Zeiterfassung!$F$6:$F$3665,$K3411))</f>
        <v/>
      </c>
      <c r="G3411" s="187">
        <f>IF($K3411="","",INDEX(Zeiterfassung!$G$6:$G$3665,$K3411))</f>
        <v/>
      </c>
      <c r="H3411" s="188">
        <f>IF($K3411="","",INDEX(Zeiterfassung!$H$6:$H$3665,$K3411))</f>
        <v/>
      </c>
      <c r="I3411" s="335">
        <f>IF(B3411=B3410,"",IF($K3411="","",INDEX(Zeiterfassung!$I$6:$I$3665,MATCH(INDEX(Zeiterfassung!$K$6:$K$3665,$K3411),Zeiterfassung!$K$6:$K$3665,0))))</f>
        <v/>
      </c>
      <c r="J3411" s="335">
        <f>IF(B3411=B3410,"",IF($K3411="","",INDEX(Zeiterfassung!$J$6:$J$3665,MATCH(INDEX(Zeiterfassung!$K$6:$K$3665,$K3411),Zeiterfassung!$K$6:$K$3665,0))))</f>
        <v/>
      </c>
      <c r="K3411">
        <f>IFERROR(AGGREGATE(15,6,(ROW(Zeiterfassung!$D$6:$D$3665)-ROW(Zeiterfassung!$D$6)+1)/(Zeiterfassung!$D$6:$D$3665&lt;&gt;""),3406),"")</f>
        <v/>
      </c>
    </row>
    <row r="3412" ht="20" customHeight="1">
      <c r="A3412" s="183">
        <f>IF($K3412="","",WEEKNUM(INDEX(Zeiterfassung!$K$6:$K$3665,$K3412),21))</f>
        <v/>
      </c>
      <c r="B3412" s="184">
        <f>IF($K3412="","",INDEX(Zeiterfassung!$K$6:$K$3665,$K3412))</f>
        <v/>
      </c>
      <c r="C3412" s="185">
        <f>IF($K3412="","",INDEX(Zeiterfassung!$K$6:$K$3665,$K3412))</f>
        <v/>
      </c>
      <c r="D3412" s="186">
        <f>IF($K3412="","",INDEX(Zeiterfassung!$D$6:$D$3665,$K3412))</f>
        <v/>
      </c>
      <c r="E3412" s="186">
        <f>IF($K3412="","",INDEX(Zeiterfassung!$E$6:$E$3665,$K3412))</f>
        <v/>
      </c>
      <c r="F3412" s="187">
        <f>IF($K3412="","",INDEX(Zeiterfassung!$F$6:$F$3665,$K3412))</f>
        <v/>
      </c>
      <c r="G3412" s="187">
        <f>IF($K3412="","",INDEX(Zeiterfassung!$G$6:$G$3665,$K3412))</f>
        <v/>
      </c>
      <c r="H3412" s="188">
        <f>IF($K3412="","",INDEX(Zeiterfassung!$H$6:$H$3665,$K3412))</f>
        <v/>
      </c>
      <c r="I3412" s="335">
        <f>IF(B3412=B3411,"",IF($K3412="","",INDEX(Zeiterfassung!$I$6:$I$3665,MATCH(INDEX(Zeiterfassung!$K$6:$K$3665,$K3412),Zeiterfassung!$K$6:$K$3665,0))))</f>
        <v/>
      </c>
      <c r="J3412" s="335">
        <f>IF(B3412=B3411,"",IF($K3412="","",INDEX(Zeiterfassung!$J$6:$J$3665,MATCH(INDEX(Zeiterfassung!$K$6:$K$3665,$K3412),Zeiterfassung!$K$6:$K$3665,0))))</f>
        <v/>
      </c>
      <c r="K3412">
        <f>IFERROR(AGGREGATE(15,6,(ROW(Zeiterfassung!$D$6:$D$3665)-ROW(Zeiterfassung!$D$6)+1)/(Zeiterfassung!$D$6:$D$3665&lt;&gt;""),3407),"")</f>
        <v/>
      </c>
    </row>
    <row r="3413" ht="20" customHeight="1">
      <c r="A3413" s="183">
        <f>IF($K3413="","",WEEKNUM(INDEX(Zeiterfassung!$K$6:$K$3665,$K3413),21))</f>
        <v/>
      </c>
      <c r="B3413" s="184">
        <f>IF($K3413="","",INDEX(Zeiterfassung!$K$6:$K$3665,$K3413))</f>
        <v/>
      </c>
      <c r="C3413" s="185">
        <f>IF($K3413="","",INDEX(Zeiterfassung!$K$6:$K$3665,$K3413))</f>
        <v/>
      </c>
      <c r="D3413" s="186">
        <f>IF($K3413="","",INDEX(Zeiterfassung!$D$6:$D$3665,$K3413))</f>
        <v/>
      </c>
      <c r="E3413" s="186">
        <f>IF($K3413="","",INDEX(Zeiterfassung!$E$6:$E$3665,$K3413))</f>
        <v/>
      </c>
      <c r="F3413" s="187">
        <f>IF($K3413="","",INDEX(Zeiterfassung!$F$6:$F$3665,$K3413))</f>
        <v/>
      </c>
      <c r="G3413" s="187">
        <f>IF($K3413="","",INDEX(Zeiterfassung!$G$6:$G$3665,$K3413))</f>
        <v/>
      </c>
      <c r="H3413" s="188">
        <f>IF($K3413="","",INDEX(Zeiterfassung!$H$6:$H$3665,$K3413))</f>
        <v/>
      </c>
      <c r="I3413" s="335">
        <f>IF(B3413=B3412,"",IF($K3413="","",INDEX(Zeiterfassung!$I$6:$I$3665,MATCH(INDEX(Zeiterfassung!$K$6:$K$3665,$K3413),Zeiterfassung!$K$6:$K$3665,0))))</f>
        <v/>
      </c>
      <c r="J3413" s="335">
        <f>IF(B3413=B3412,"",IF($K3413="","",INDEX(Zeiterfassung!$J$6:$J$3665,MATCH(INDEX(Zeiterfassung!$K$6:$K$3665,$K3413),Zeiterfassung!$K$6:$K$3665,0))))</f>
        <v/>
      </c>
      <c r="K3413">
        <f>IFERROR(AGGREGATE(15,6,(ROW(Zeiterfassung!$D$6:$D$3665)-ROW(Zeiterfassung!$D$6)+1)/(Zeiterfassung!$D$6:$D$3665&lt;&gt;""),3408),"")</f>
        <v/>
      </c>
    </row>
    <row r="3414" ht="20" customHeight="1">
      <c r="A3414" s="183">
        <f>IF($K3414="","",WEEKNUM(INDEX(Zeiterfassung!$K$6:$K$3665,$K3414),21))</f>
        <v/>
      </c>
      <c r="B3414" s="184">
        <f>IF($K3414="","",INDEX(Zeiterfassung!$K$6:$K$3665,$K3414))</f>
        <v/>
      </c>
      <c r="C3414" s="185">
        <f>IF($K3414="","",INDEX(Zeiterfassung!$K$6:$K$3665,$K3414))</f>
        <v/>
      </c>
      <c r="D3414" s="186">
        <f>IF($K3414="","",INDEX(Zeiterfassung!$D$6:$D$3665,$K3414))</f>
        <v/>
      </c>
      <c r="E3414" s="186">
        <f>IF($K3414="","",INDEX(Zeiterfassung!$E$6:$E$3665,$K3414))</f>
        <v/>
      </c>
      <c r="F3414" s="187">
        <f>IF($K3414="","",INDEX(Zeiterfassung!$F$6:$F$3665,$K3414))</f>
        <v/>
      </c>
      <c r="G3414" s="187">
        <f>IF($K3414="","",INDEX(Zeiterfassung!$G$6:$G$3665,$K3414))</f>
        <v/>
      </c>
      <c r="H3414" s="188">
        <f>IF($K3414="","",INDEX(Zeiterfassung!$H$6:$H$3665,$K3414))</f>
        <v/>
      </c>
      <c r="I3414" s="335">
        <f>IF(B3414=B3413,"",IF($K3414="","",INDEX(Zeiterfassung!$I$6:$I$3665,MATCH(INDEX(Zeiterfassung!$K$6:$K$3665,$K3414),Zeiterfassung!$K$6:$K$3665,0))))</f>
        <v/>
      </c>
      <c r="J3414" s="335">
        <f>IF(B3414=B3413,"",IF($K3414="","",INDEX(Zeiterfassung!$J$6:$J$3665,MATCH(INDEX(Zeiterfassung!$K$6:$K$3665,$K3414),Zeiterfassung!$K$6:$K$3665,0))))</f>
        <v/>
      </c>
      <c r="K3414">
        <f>IFERROR(AGGREGATE(15,6,(ROW(Zeiterfassung!$D$6:$D$3665)-ROW(Zeiterfassung!$D$6)+1)/(Zeiterfassung!$D$6:$D$3665&lt;&gt;""),3409),"")</f>
        <v/>
      </c>
    </row>
    <row r="3415" ht="20" customHeight="1">
      <c r="A3415" s="183">
        <f>IF($K3415="","",WEEKNUM(INDEX(Zeiterfassung!$K$6:$K$3665,$K3415),21))</f>
        <v/>
      </c>
      <c r="B3415" s="184">
        <f>IF($K3415="","",INDEX(Zeiterfassung!$K$6:$K$3665,$K3415))</f>
        <v/>
      </c>
      <c r="C3415" s="185">
        <f>IF($K3415="","",INDEX(Zeiterfassung!$K$6:$K$3665,$K3415))</f>
        <v/>
      </c>
      <c r="D3415" s="186">
        <f>IF($K3415="","",INDEX(Zeiterfassung!$D$6:$D$3665,$K3415))</f>
        <v/>
      </c>
      <c r="E3415" s="186">
        <f>IF($K3415="","",INDEX(Zeiterfassung!$E$6:$E$3665,$K3415))</f>
        <v/>
      </c>
      <c r="F3415" s="187">
        <f>IF($K3415="","",INDEX(Zeiterfassung!$F$6:$F$3665,$K3415))</f>
        <v/>
      </c>
      <c r="G3415" s="187">
        <f>IF($K3415="","",INDEX(Zeiterfassung!$G$6:$G$3665,$K3415))</f>
        <v/>
      </c>
      <c r="H3415" s="188">
        <f>IF($K3415="","",INDEX(Zeiterfassung!$H$6:$H$3665,$K3415))</f>
        <v/>
      </c>
      <c r="I3415" s="335">
        <f>IF(B3415=B3414,"",IF($K3415="","",INDEX(Zeiterfassung!$I$6:$I$3665,MATCH(INDEX(Zeiterfassung!$K$6:$K$3665,$K3415),Zeiterfassung!$K$6:$K$3665,0))))</f>
        <v/>
      </c>
      <c r="J3415" s="335">
        <f>IF(B3415=B3414,"",IF($K3415="","",INDEX(Zeiterfassung!$J$6:$J$3665,MATCH(INDEX(Zeiterfassung!$K$6:$K$3665,$K3415),Zeiterfassung!$K$6:$K$3665,0))))</f>
        <v/>
      </c>
      <c r="K3415">
        <f>IFERROR(AGGREGATE(15,6,(ROW(Zeiterfassung!$D$6:$D$3665)-ROW(Zeiterfassung!$D$6)+1)/(Zeiterfassung!$D$6:$D$3665&lt;&gt;""),3410),"")</f>
        <v/>
      </c>
    </row>
    <row r="3416" ht="20" customHeight="1">
      <c r="A3416" s="183">
        <f>IF($K3416="","",WEEKNUM(INDEX(Zeiterfassung!$K$6:$K$3665,$K3416),21))</f>
        <v/>
      </c>
      <c r="B3416" s="184">
        <f>IF($K3416="","",INDEX(Zeiterfassung!$K$6:$K$3665,$K3416))</f>
        <v/>
      </c>
      <c r="C3416" s="185">
        <f>IF($K3416="","",INDEX(Zeiterfassung!$K$6:$K$3665,$K3416))</f>
        <v/>
      </c>
      <c r="D3416" s="186">
        <f>IF($K3416="","",INDEX(Zeiterfassung!$D$6:$D$3665,$K3416))</f>
        <v/>
      </c>
      <c r="E3416" s="186">
        <f>IF($K3416="","",INDEX(Zeiterfassung!$E$6:$E$3665,$K3416))</f>
        <v/>
      </c>
      <c r="F3416" s="187">
        <f>IF($K3416="","",INDEX(Zeiterfassung!$F$6:$F$3665,$K3416))</f>
        <v/>
      </c>
      <c r="G3416" s="187">
        <f>IF($K3416="","",INDEX(Zeiterfassung!$G$6:$G$3665,$K3416))</f>
        <v/>
      </c>
      <c r="H3416" s="188">
        <f>IF($K3416="","",INDEX(Zeiterfassung!$H$6:$H$3665,$K3416))</f>
        <v/>
      </c>
      <c r="I3416" s="335">
        <f>IF(B3416=B3415,"",IF($K3416="","",INDEX(Zeiterfassung!$I$6:$I$3665,MATCH(INDEX(Zeiterfassung!$K$6:$K$3665,$K3416),Zeiterfassung!$K$6:$K$3665,0))))</f>
        <v/>
      </c>
      <c r="J3416" s="335">
        <f>IF(B3416=B3415,"",IF($K3416="","",INDEX(Zeiterfassung!$J$6:$J$3665,MATCH(INDEX(Zeiterfassung!$K$6:$K$3665,$K3416),Zeiterfassung!$K$6:$K$3665,0))))</f>
        <v/>
      </c>
      <c r="K3416">
        <f>IFERROR(AGGREGATE(15,6,(ROW(Zeiterfassung!$D$6:$D$3665)-ROW(Zeiterfassung!$D$6)+1)/(Zeiterfassung!$D$6:$D$3665&lt;&gt;""),3411),"")</f>
        <v/>
      </c>
    </row>
    <row r="3417" ht="20" customHeight="1">
      <c r="A3417" s="183">
        <f>IF($K3417="","",WEEKNUM(INDEX(Zeiterfassung!$K$6:$K$3665,$K3417),21))</f>
        <v/>
      </c>
      <c r="B3417" s="184">
        <f>IF($K3417="","",INDEX(Zeiterfassung!$K$6:$K$3665,$K3417))</f>
        <v/>
      </c>
      <c r="C3417" s="185">
        <f>IF($K3417="","",INDEX(Zeiterfassung!$K$6:$K$3665,$K3417))</f>
        <v/>
      </c>
      <c r="D3417" s="186">
        <f>IF($K3417="","",INDEX(Zeiterfassung!$D$6:$D$3665,$K3417))</f>
        <v/>
      </c>
      <c r="E3417" s="186">
        <f>IF($K3417="","",INDEX(Zeiterfassung!$E$6:$E$3665,$K3417))</f>
        <v/>
      </c>
      <c r="F3417" s="187">
        <f>IF($K3417="","",INDEX(Zeiterfassung!$F$6:$F$3665,$K3417))</f>
        <v/>
      </c>
      <c r="G3417" s="187">
        <f>IF($K3417="","",INDEX(Zeiterfassung!$G$6:$G$3665,$K3417))</f>
        <v/>
      </c>
      <c r="H3417" s="188">
        <f>IF($K3417="","",INDEX(Zeiterfassung!$H$6:$H$3665,$K3417))</f>
        <v/>
      </c>
      <c r="I3417" s="335">
        <f>IF(B3417=B3416,"",IF($K3417="","",INDEX(Zeiterfassung!$I$6:$I$3665,MATCH(INDEX(Zeiterfassung!$K$6:$K$3665,$K3417),Zeiterfassung!$K$6:$K$3665,0))))</f>
        <v/>
      </c>
      <c r="J3417" s="335">
        <f>IF(B3417=B3416,"",IF($K3417="","",INDEX(Zeiterfassung!$J$6:$J$3665,MATCH(INDEX(Zeiterfassung!$K$6:$K$3665,$K3417),Zeiterfassung!$K$6:$K$3665,0))))</f>
        <v/>
      </c>
      <c r="K3417">
        <f>IFERROR(AGGREGATE(15,6,(ROW(Zeiterfassung!$D$6:$D$3665)-ROW(Zeiterfassung!$D$6)+1)/(Zeiterfassung!$D$6:$D$3665&lt;&gt;""),3412),"")</f>
        <v/>
      </c>
    </row>
    <row r="3418" ht="20" customHeight="1">
      <c r="A3418" s="183">
        <f>IF($K3418="","",WEEKNUM(INDEX(Zeiterfassung!$K$6:$K$3665,$K3418),21))</f>
        <v/>
      </c>
      <c r="B3418" s="184">
        <f>IF($K3418="","",INDEX(Zeiterfassung!$K$6:$K$3665,$K3418))</f>
        <v/>
      </c>
      <c r="C3418" s="185">
        <f>IF($K3418="","",INDEX(Zeiterfassung!$K$6:$K$3665,$K3418))</f>
        <v/>
      </c>
      <c r="D3418" s="186">
        <f>IF($K3418="","",INDEX(Zeiterfassung!$D$6:$D$3665,$K3418))</f>
        <v/>
      </c>
      <c r="E3418" s="186">
        <f>IF($K3418="","",INDEX(Zeiterfassung!$E$6:$E$3665,$K3418))</f>
        <v/>
      </c>
      <c r="F3418" s="187">
        <f>IF($K3418="","",INDEX(Zeiterfassung!$F$6:$F$3665,$K3418))</f>
        <v/>
      </c>
      <c r="G3418" s="187">
        <f>IF($K3418="","",INDEX(Zeiterfassung!$G$6:$G$3665,$K3418))</f>
        <v/>
      </c>
      <c r="H3418" s="188">
        <f>IF($K3418="","",INDEX(Zeiterfassung!$H$6:$H$3665,$K3418))</f>
        <v/>
      </c>
      <c r="I3418" s="335">
        <f>IF(B3418=B3417,"",IF($K3418="","",INDEX(Zeiterfassung!$I$6:$I$3665,MATCH(INDEX(Zeiterfassung!$K$6:$K$3665,$K3418),Zeiterfassung!$K$6:$K$3665,0))))</f>
        <v/>
      </c>
      <c r="J3418" s="335">
        <f>IF(B3418=B3417,"",IF($K3418="","",INDEX(Zeiterfassung!$J$6:$J$3665,MATCH(INDEX(Zeiterfassung!$K$6:$K$3665,$K3418),Zeiterfassung!$K$6:$K$3665,0))))</f>
        <v/>
      </c>
      <c r="K3418">
        <f>IFERROR(AGGREGATE(15,6,(ROW(Zeiterfassung!$D$6:$D$3665)-ROW(Zeiterfassung!$D$6)+1)/(Zeiterfassung!$D$6:$D$3665&lt;&gt;""),3413),"")</f>
        <v/>
      </c>
    </row>
    <row r="3419" ht="20" customHeight="1">
      <c r="A3419" s="183">
        <f>IF($K3419="","",WEEKNUM(INDEX(Zeiterfassung!$K$6:$K$3665,$K3419),21))</f>
        <v/>
      </c>
      <c r="B3419" s="184">
        <f>IF($K3419="","",INDEX(Zeiterfassung!$K$6:$K$3665,$K3419))</f>
        <v/>
      </c>
      <c r="C3419" s="185">
        <f>IF($K3419="","",INDEX(Zeiterfassung!$K$6:$K$3665,$K3419))</f>
        <v/>
      </c>
      <c r="D3419" s="186">
        <f>IF($K3419="","",INDEX(Zeiterfassung!$D$6:$D$3665,$K3419))</f>
        <v/>
      </c>
      <c r="E3419" s="186">
        <f>IF($K3419="","",INDEX(Zeiterfassung!$E$6:$E$3665,$K3419))</f>
        <v/>
      </c>
      <c r="F3419" s="187">
        <f>IF($K3419="","",INDEX(Zeiterfassung!$F$6:$F$3665,$K3419))</f>
        <v/>
      </c>
      <c r="G3419" s="187">
        <f>IF($K3419="","",INDEX(Zeiterfassung!$G$6:$G$3665,$K3419))</f>
        <v/>
      </c>
      <c r="H3419" s="188">
        <f>IF($K3419="","",INDEX(Zeiterfassung!$H$6:$H$3665,$K3419))</f>
        <v/>
      </c>
      <c r="I3419" s="335">
        <f>IF(B3419=B3418,"",IF($K3419="","",INDEX(Zeiterfassung!$I$6:$I$3665,MATCH(INDEX(Zeiterfassung!$K$6:$K$3665,$K3419),Zeiterfassung!$K$6:$K$3665,0))))</f>
        <v/>
      </c>
      <c r="J3419" s="335">
        <f>IF(B3419=B3418,"",IF($K3419="","",INDEX(Zeiterfassung!$J$6:$J$3665,MATCH(INDEX(Zeiterfassung!$K$6:$K$3665,$K3419),Zeiterfassung!$K$6:$K$3665,0))))</f>
        <v/>
      </c>
      <c r="K3419">
        <f>IFERROR(AGGREGATE(15,6,(ROW(Zeiterfassung!$D$6:$D$3665)-ROW(Zeiterfassung!$D$6)+1)/(Zeiterfassung!$D$6:$D$3665&lt;&gt;""),3414),"")</f>
        <v/>
      </c>
    </row>
    <row r="3420" ht="20" customHeight="1">
      <c r="A3420" s="183">
        <f>IF($K3420="","",WEEKNUM(INDEX(Zeiterfassung!$K$6:$K$3665,$K3420),21))</f>
        <v/>
      </c>
      <c r="B3420" s="184">
        <f>IF($K3420="","",INDEX(Zeiterfassung!$K$6:$K$3665,$K3420))</f>
        <v/>
      </c>
      <c r="C3420" s="185">
        <f>IF($K3420="","",INDEX(Zeiterfassung!$K$6:$K$3665,$K3420))</f>
        <v/>
      </c>
      <c r="D3420" s="186">
        <f>IF($K3420="","",INDEX(Zeiterfassung!$D$6:$D$3665,$K3420))</f>
        <v/>
      </c>
      <c r="E3420" s="186">
        <f>IF($K3420="","",INDEX(Zeiterfassung!$E$6:$E$3665,$K3420))</f>
        <v/>
      </c>
      <c r="F3420" s="187">
        <f>IF($K3420="","",INDEX(Zeiterfassung!$F$6:$F$3665,$K3420))</f>
        <v/>
      </c>
      <c r="G3420" s="187">
        <f>IF($K3420="","",INDEX(Zeiterfassung!$G$6:$G$3665,$K3420))</f>
        <v/>
      </c>
      <c r="H3420" s="188">
        <f>IF($K3420="","",INDEX(Zeiterfassung!$H$6:$H$3665,$K3420))</f>
        <v/>
      </c>
      <c r="I3420" s="335">
        <f>IF(B3420=B3419,"",IF($K3420="","",INDEX(Zeiterfassung!$I$6:$I$3665,MATCH(INDEX(Zeiterfassung!$K$6:$K$3665,$K3420),Zeiterfassung!$K$6:$K$3665,0))))</f>
        <v/>
      </c>
      <c r="J3420" s="335">
        <f>IF(B3420=B3419,"",IF($K3420="","",INDEX(Zeiterfassung!$J$6:$J$3665,MATCH(INDEX(Zeiterfassung!$K$6:$K$3665,$K3420),Zeiterfassung!$K$6:$K$3665,0))))</f>
        <v/>
      </c>
      <c r="K3420">
        <f>IFERROR(AGGREGATE(15,6,(ROW(Zeiterfassung!$D$6:$D$3665)-ROW(Zeiterfassung!$D$6)+1)/(Zeiterfassung!$D$6:$D$3665&lt;&gt;""),3415),"")</f>
        <v/>
      </c>
    </row>
    <row r="3421" ht="20" customHeight="1">
      <c r="A3421" s="183">
        <f>IF($K3421="","",WEEKNUM(INDEX(Zeiterfassung!$K$6:$K$3665,$K3421),21))</f>
        <v/>
      </c>
      <c r="B3421" s="184">
        <f>IF($K3421="","",INDEX(Zeiterfassung!$K$6:$K$3665,$K3421))</f>
        <v/>
      </c>
      <c r="C3421" s="185">
        <f>IF($K3421="","",INDEX(Zeiterfassung!$K$6:$K$3665,$K3421))</f>
        <v/>
      </c>
      <c r="D3421" s="186">
        <f>IF($K3421="","",INDEX(Zeiterfassung!$D$6:$D$3665,$K3421))</f>
        <v/>
      </c>
      <c r="E3421" s="186">
        <f>IF($K3421="","",INDEX(Zeiterfassung!$E$6:$E$3665,$K3421))</f>
        <v/>
      </c>
      <c r="F3421" s="187">
        <f>IF($K3421="","",INDEX(Zeiterfassung!$F$6:$F$3665,$K3421))</f>
        <v/>
      </c>
      <c r="G3421" s="187">
        <f>IF($K3421="","",INDEX(Zeiterfassung!$G$6:$G$3665,$K3421))</f>
        <v/>
      </c>
      <c r="H3421" s="188">
        <f>IF($K3421="","",INDEX(Zeiterfassung!$H$6:$H$3665,$K3421))</f>
        <v/>
      </c>
      <c r="I3421" s="335">
        <f>IF(B3421=B3420,"",IF($K3421="","",INDEX(Zeiterfassung!$I$6:$I$3665,MATCH(INDEX(Zeiterfassung!$K$6:$K$3665,$K3421),Zeiterfassung!$K$6:$K$3665,0))))</f>
        <v/>
      </c>
      <c r="J3421" s="335">
        <f>IF(B3421=B3420,"",IF($K3421="","",INDEX(Zeiterfassung!$J$6:$J$3665,MATCH(INDEX(Zeiterfassung!$K$6:$K$3665,$K3421),Zeiterfassung!$K$6:$K$3665,0))))</f>
        <v/>
      </c>
      <c r="K3421">
        <f>IFERROR(AGGREGATE(15,6,(ROW(Zeiterfassung!$D$6:$D$3665)-ROW(Zeiterfassung!$D$6)+1)/(Zeiterfassung!$D$6:$D$3665&lt;&gt;""),3416),"")</f>
        <v/>
      </c>
    </row>
    <row r="3422" ht="20" customHeight="1">
      <c r="A3422" s="183">
        <f>IF($K3422="","",WEEKNUM(INDEX(Zeiterfassung!$K$6:$K$3665,$K3422),21))</f>
        <v/>
      </c>
      <c r="B3422" s="184">
        <f>IF($K3422="","",INDEX(Zeiterfassung!$K$6:$K$3665,$K3422))</f>
        <v/>
      </c>
      <c r="C3422" s="185">
        <f>IF($K3422="","",INDEX(Zeiterfassung!$K$6:$K$3665,$K3422))</f>
        <v/>
      </c>
      <c r="D3422" s="186">
        <f>IF($K3422="","",INDEX(Zeiterfassung!$D$6:$D$3665,$K3422))</f>
        <v/>
      </c>
      <c r="E3422" s="186">
        <f>IF($K3422="","",INDEX(Zeiterfassung!$E$6:$E$3665,$K3422))</f>
        <v/>
      </c>
      <c r="F3422" s="187">
        <f>IF($K3422="","",INDEX(Zeiterfassung!$F$6:$F$3665,$K3422))</f>
        <v/>
      </c>
      <c r="G3422" s="187">
        <f>IF($K3422="","",INDEX(Zeiterfassung!$G$6:$G$3665,$K3422))</f>
        <v/>
      </c>
      <c r="H3422" s="188">
        <f>IF($K3422="","",INDEX(Zeiterfassung!$H$6:$H$3665,$K3422))</f>
        <v/>
      </c>
      <c r="I3422" s="335">
        <f>IF(B3422=B3421,"",IF($K3422="","",INDEX(Zeiterfassung!$I$6:$I$3665,MATCH(INDEX(Zeiterfassung!$K$6:$K$3665,$K3422),Zeiterfassung!$K$6:$K$3665,0))))</f>
        <v/>
      </c>
      <c r="J3422" s="335">
        <f>IF(B3422=B3421,"",IF($K3422="","",INDEX(Zeiterfassung!$J$6:$J$3665,MATCH(INDEX(Zeiterfassung!$K$6:$K$3665,$K3422),Zeiterfassung!$K$6:$K$3665,0))))</f>
        <v/>
      </c>
      <c r="K3422">
        <f>IFERROR(AGGREGATE(15,6,(ROW(Zeiterfassung!$D$6:$D$3665)-ROW(Zeiterfassung!$D$6)+1)/(Zeiterfassung!$D$6:$D$3665&lt;&gt;""),3417),"")</f>
        <v/>
      </c>
    </row>
    <row r="3423" ht="20" customHeight="1">
      <c r="A3423" s="183">
        <f>IF($K3423="","",WEEKNUM(INDEX(Zeiterfassung!$K$6:$K$3665,$K3423),21))</f>
        <v/>
      </c>
      <c r="B3423" s="184">
        <f>IF($K3423="","",INDEX(Zeiterfassung!$K$6:$K$3665,$K3423))</f>
        <v/>
      </c>
      <c r="C3423" s="185">
        <f>IF($K3423="","",INDEX(Zeiterfassung!$K$6:$K$3665,$K3423))</f>
        <v/>
      </c>
      <c r="D3423" s="186">
        <f>IF($K3423="","",INDEX(Zeiterfassung!$D$6:$D$3665,$K3423))</f>
        <v/>
      </c>
      <c r="E3423" s="186">
        <f>IF($K3423="","",INDEX(Zeiterfassung!$E$6:$E$3665,$K3423))</f>
        <v/>
      </c>
      <c r="F3423" s="187">
        <f>IF($K3423="","",INDEX(Zeiterfassung!$F$6:$F$3665,$K3423))</f>
        <v/>
      </c>
      <c r="G3423" s="187">
        <f>IF($K3423="","",INDEX(Zeiterfassung!$G$6:$G$3665,$K3423))</f>
        <v/>
      </c>
      <c r="H3423" s="188">
        <f>IF($K3423="","",INDEX(Zeiterfassung!$H$6:$H$3665,$K3423))</f>
        <v/>
      </c>
      <c r="I3423" s="335">
        <f>IF(B3423=B3422,"",IF($K3423="","",INDEX(Zeiterfassung!$I$6:$I$3665,MATCH(INDEX(Zeiterfassung!$K$6:$K$3665,$K3423),Zeiterfassung!$K$6:$K$3665,0))))</f>
        <v/>
      </c>
      <c r="J3423" s="335">
        <f>IF(B3423=B3422,"",IF($K3423="","",INDEX(Zeiterfassung!$J$6:$J$3665,MATCH(INDEX(Zeiterfassung!$K$6:$K$3665,$K3423),Zeiterfassung!$K$6:$K$3665,0))))</f>
        <v/>
      </c>
      <c r="K3423">
        <f>IFERROR(AGGREGATE(15,6,(ROW(Zeiterfassung!$D$6:$D$3665)-ROW(Zeiterfassung!$D$6)+1)/(Zeiterfassung!$D$6:$D$3665&lt;&gt;""),3418),"")</f>
        <v/>
      </c>
    </row>
    <row r="3424" ht="20" customHeight="1">
      <c r="A3424" s="183">
        <f>IF($K3424="","",WEEKNUM(INDEX(Zeiterfassung!$K$6:$K$3665,$K3424),21))</f>
        <v/>
      </c>
      <c r="B3424" s="184">
        <f>IF($K3424="","",INDEX(Zeiterfassung!$K$6:$K$3665,$K3424))</f>
        <v/>
      </c>
      <c r="C3424" s="185">
        <f>IF($K3424="","",INDEX(Zeiterfassung!$K$6:$K$3665,$K3424))</f>
        <v/>
      </c>
      <c r="D3424" s="186">
        <f>IF($K3424="","",INDEX(Zeiterfassung!$D$6:$D$3665,$K3424))</f>
        <v/>
      </c>
      <c r="E3424" s="186">
        <f>IF($K3424="","",INDEX(Zeiterfassung!$E$6:$E$3665,$K3424))</f>
        <v/>
      </c>
      <c r="F3424" s="187">
        <f>IF($K3424="","",INDEX(Zeiterfassung!$F$6:$F$3665,$K3424))</f>
        <v/>
      </c>
      <c r="G3424" s="187">
        <f>IF($K3424="","",INDEX(Zeiterfassung!$G$6:$G$3665,$K3424))</f>
        <v/>
      </c>
      <c r="H3424" s="188">
        <f>IF($K3424="","",INDEX(Zeiterfassung!$H$6:$H$3665,$K3424))</f>
        <v/>
      </c>
      <c r="I3424" s="335">
        <f>IF(B3424=B3423,"",IF($K3424="","",INDEX(Zeiterfassung!$I$6:$I$3665,MATCH(INDEX(Zeiterfassung!$K$6:$K$3665,$K3424),Zeiterfassung!$K$6:$K$3665,0))))</f>
        <v/>
      </c>
      <c r="J3424" s="335">
        <f>IF(B3424=B3423,"",IF($K3424="","",INDEX(Zeiterfassung!$J$6:$J$3665,MATCH(INDEX(Zeiterfassung!$K$6:$K$3665,$K3424),Zeiterfassung!$K$6:$K$3665,0))))</f>
        <v/>
      </c>
      <c r="K3424">
        <f>IFERROR(AGGREGATE(15,6,(ROW(Zeiterfassung!$D$6:$D$3665)-ROW(Zeiterfassung!$D$6)+1)/(Zeiterfassung!$D$6:$D$3665&lt;&gt;""),3419),"")</f>
        <v/>
      </c>
    </row>
    <row r="3425" ht="20" customHeight="1">
      <c r="A3425" s="183">
        <f>IF($K3425="","",WEEKNUM(INDEX(Zeiterfassung!$K$6:$K$3665,$K3425),21))</f>
        <v/>
      </c>
      <c r="B3425" s="184">
        <f>IF($K3425="","",INDEX(Zeiterfassung!$K$6:$K$3665,$K3425))</f>
        <v/>
      </c>
      <c r="C3425" s="185">
        <f>IF($K3425="","",INDEX(Zeiterfassung!$K$6:$K$3665,$K3425))</f>
        <v/>
      </c>
      <c r="D3425" s="186">
        <f>IF($K3425="","",INDEX(Zeiterfassung!$D$6:$D$3665,$K3425))</f>
        <v/>
      </c>
      <c r="E3425" s="186">
        <f>IF($K3425="","",INDEX(Zeiterfassung!$E$6:$E$3665,$K3425))</f>
        <v/>
      </c>
      <c r="F3425" s="187">
        <f>IF($K3425="","",INDEX(Zeiterfassung!$F$6:$F$3665,$K3425))</f>
        <v/>
      </c>
      <c r="G3425" s="187">
        <f>IF($K3425="","",INDEX(Zeiterfassung!$G$6:$G$3665,$K3425))</f>
        <v/>
      </c>
      <c r="H3425" s="188">
        <f>IF($K3425="","",INDEX(Zeiterfassung!$H$6:$H$3665,$K3425))</f>
        <v/>
      </c>
      <c r="I3425" s="335">
        <f>IF(B3425=B3424,"",IF($K3425="","",INDEX(Zeiterfassung!$I$6:$I$3665,MATCH(INDEX(Zeiterfassung!$K$6:$K$3665,$K3425),Zeiterfassung!$K$6:$K$3665,0))))</f>
        <v/>
      </c>
      <c r="J3425" s="335">
        <f>IF(B3425=B3424,"",IF($K3425="","",INDEX(Zeiterfassung!$J$6:$J$3665,MATCH(INDEX(Zeiterfassung!$K$6:$K$3665,$K3425),Zeiterfassung!$K$6:$K$3665,0))))</f>
        <v/>
      </c>
      <c r="K3425">
        <f>IFERROR(AGGREGATE(15,6,(ROW(Zeiterfassung!$D$6:$D$3665)-ROW(Zeiterfassung!$D$6)+1)/(Zeiterfassung!$D$6:$D$3665&lt;&gt;""),3420),"")</f>
        <v/>
      </c>
    </row>
    <row r="3426" ht="20" customHeight="1">
      <c r="A3426" s="183">
        <f>IF($K3426="","",WEEKNUM(INDEX(Zeiterfassung!$K$6:$K$3665,$K3426),21))</f>
        <v/>
      </c>
      <c r="B3426" s="184">
        <f>IF($K3426="","",INDEX(Zeiterfassung!$K$6:$K$3665,$K3426))</f>
        <v/>
      </c>
      <c r="C3426" s="185">
        <f>IF($K3426="","",INDEX(Zeiterfassung!$K$6:$K$3665,$K3426))</f>
        <v/>
      </c>
      <c r="D3426" s="186">
        <f>IF($K3426="","",INDEX(Zeiterfassung!$D$6:$D$3665,$K3426))</f>
        <v/>
      </c>
      <c r="E3426" s="186">
        <f>IF($K3426="","",INDEX(Zeiterfassung!$E$6:$E$3665,$K3426))</f>
        <v/>
      </c>
      <c r="F3426" s="187">
        <f>IF($K3426="","",INDEX(Zeiterfassung!$F$6:$F$3665,$K3426))</f>
        <v/>
      </c>
      <c r="G3426" s="187">
        <f>IF($K3426="","",INDEX(Zeiterfassung!$G$6:$G$3665,$K3426))</f>
        <v/>
      </c>
      <c r="H3426" s="188">
        <f>IF($K3426="","",INDEX(Zeiterfassung!$H$6:$H$3665,$K3426))</f>
        <v/>
      </c>
      <c r="I3426" s="335">
        <f>IF(B3426=B3425,"",IF($K3426="","",INDEX(Zeiterfassung!$I$6:$I$3665,MATCH(INDEX(Zeiterfassung!$K$6:$K$3665,$K3426),Zeiterfassung!$K$6:$K$3665,0))))</f>
        <v/>
      </c>
      <c r="J3426" s="335">
        <f>IF(B3426=B3425,"",IF($K3426="","",INDEX(Zeiterfassung!$J$6:$J$3665,MATCH(INDEX(Zeiterfassung!$K$6:$K$3665,$K3426),Zeiterfassung!$K$6:$K$3665,0))))</f>
        <v/>
      </c>
      <c r="K3426">
        <f>IFERROR(AGGREGATE(15,6,(ROW(Zeiterfassung!$D$6:$D$3665)-ROW(Zeiterfassung!$D$6)+1)/(Zeiterfassung!$D$6:$D$3665&lt;&gt;""),3421),"")</f>
        <v/>
      </c>
    </row>
    <row r="3427" ht="20" customHeight="1">
      <c r="A3427" s="183">
        <f>IF($K3427="","",WEEKNUM(INDEX(Zeiterfassung!$K$6:$K$3665,$K3427),21))</f>
        <v/>
      </c>
      <c r="B3427" s="184">
        <f>IF($K3427="","",INDEX(Zeiterfassung!$K$6:$K$3665,$K3427))</f>
        <v/>
      </c>
      <c r="C3427" s="185">
        <f>IF($K3427="","",INDEX(Zeiterfassung!$K$6:$K$3665,$K3427))</f>
        <v/>
      </c>
      <c r="D3427" s="186">
        <f>IF($K3427="","",INDEX(Zeiterfassung!$D$6:$D$3665,$K3427))</f>
        <v/>
      </c>
      <c r="E3427" s="186">
        <f>IF($K3427="","",INDEX(Zeiterfassung!$E$6:$E$3665,$K3427))</f>
        <v/>
      </c>
      <c r="F3427" s="187">
        <f>IF($K3427="","",INDEX(Zeiterfassung!$F$6:$F$3665,$K3427))</f>
        <v/>
      </c>
      <c r="G3427" s="187">
        <f>IF($K3427="","",INDEX(Zeiterfassung!$G$6:$G$3665,$K3427))</f>
        <v/>
      </c>
      <c r="H3427" s="188">
        <f>IF($K3427="","",INDEX(Zeiterfassung!$H$6:$H$3665,$K3427))</f>
        <v/>
      </c>
      <c r="I3427" s="335">
        <f>IF(B3427=B3426,"",IF($K3427="","",INDEX(Zeiterfassung!$I$6:$I$3665,MATCH(INDEX(Zeiterfassung!$K$6:$K$3665,$K3427),Zeiterfassung!$K$6:$K$3665,0))))</f>
        <v/>
      </c>
      <c r="J3427" s="335">
        <f>IF(B3427=B3426,"",IF($K3427="","",INDEX(Zeiterfassung!$J$6:$J$3665,MATCH(INDEX(Zeiterfassung!$K$6:$K$3665,$K3427),Zeiterfassung!$K$6:$K$3665,0))))</f>
        <v/>
      </c>
      <c r="K3427">
        <f>IFERROR(AGGREGATE(15,6,(ROW(Zeiterfassung!$D$6:$D$3665)-ROW(Zeiterfassung!$D$6)+1)/(Zeiterfassung!$D$6:$D$3665&lt;&gt;""),3422),"")</f>
        <v/>
      </c>
    </row>
    <row r="3428" ht="20" customHeight="1">
      <c r="A3428" s="183">
        <f>IF($K3428="","",WEEKNUM(INDEX(Zeiterfassung!$K$6:$K$3665,$K3428),21))</f>
        <v/>
      </c>
      <c r="B3428" s="184">
        <f>IF($K3428="","",INDEX(Zeiterfassung!$K$6:$K$3665,$K3428))</f>
        <v/>
      </c>
      <c r="C3428" s="185">
        <f>IF($K3428="","",INDEX(Zeiterfassung!$K$6:$K$3665,$K3428))</f>
        <v/>
      </c>
      <c r="D3428" s="186">
        <f>IF($K3428="","",INDEX(Zeiterfassung!$D$6:$D$3665,$K3428))</f>
        <v/>
      </c>
      <c r="E3428" s="186">
        <f>IF($K3428="","",INDEX(Zeiterfassung!$E$6:$E$3665,$K3428))</f>
        <v/>
      </c>
      <c r="F3428" s="187">
        <f>IF($K3428="","",INDEX(Zeiterfassung!$F$6:$F$3665,$K3428))</f>
        <v/>
      </c>
      <c r="G3428" s="187">
        <f>IF($K3428="","",INDEX(Zeiterfassung!$G$6:$G$3665,$K3428))</f>
        <v/>
      </c>
      <c r="H3428" s="188">
        <f>IF($K3428="","",INDEX(Zeiterfassung!$H$6:$H$3665,$K3428))</f>
        <v/>
      </c>
      <c r="I3428" s="335">
        <f>IF(B3428=B3427,"",IF($K3428="","",INDEX(Zeiterfassung!$I$6:$I$3665,MATCH(INDEX(Zeiterfassung!$K$6:$K$3665,$K3428),Zeiterfassung!$K$6:$K$3665,0))))</f>
        <v/>
      </c>
      <c r="J3428" s="335">
        <f>IF(B3428=B3427,"",IF($K3428="","",INDEX(Zeiterfassung!$J$6:$J$3665,MATCH(INDEX(Zeiterfassung!$K$6:$K$3665,$K3428),Zeiterfassung!$K$6:$K$3665,0))))</f>
        <v/>
      </c>
      <c r="K3428">
        <f>IFERROR(AGGREGATE(15,6,(ROW(Zeiterfassung!$D$6:$D$3665)-ROW(Zeiterfassung!$D$6)+1)/(Zeiterfassung!$D$6:$D$3665&lt;&gt;""),3423),"")</f>
        <v/>
      </c>
    </row>
    <row r="3429" ht="20" customHeight="1">
      <c r="A3429" s="183">
        <f>IF($K3429="","",WEEKNUM(INDEX(Zeiterfassung!$K$6:$K$3665,$K3429),21))</f>
        <v/>
      </c>
      <c r="B3429" s="184">
        <f>IF($K3429="","",INDEX(Zeiterfassung!$K$6:$K$3665,$K3429))</f>
        <v/>
      </c>
      <c r="C3429" s="185">
        <f>IF($K3429="","",INDEX(Zeiterfassung!$K$6:$K$3665,$K3429))</f>
        <v/>
      </c>
      <c r="D3429" s="186">
        <f>IF($K3429="","",INDEX(Zeiterfassung!$D$6:$D$3665,$K3429))</f>
        <v/>
      </c>
      <c r="E3429" s="186">
        <f>IF($K3429="","",INDEX(Zeiterfassung!$E$6:$E$3665,$K3429))</f>
        <v/>
      </c>
      <c r="F3429" s="187">
        <f>IF($K3429="","",INDEX(Zeiterfassung!$F$6:$F$3665,$K3429))</f>
        <v/>
      </c>
      <c r="G3429" s="187">
        <f>IF($K3429="","",INDEX(Zeiterfassung!$G$6:$G$3665,$K3429))</f>
        <v/>
      </c>
      <c r="H3429" s="188">
        <f>IF($K3429="","",INDEX(Zeiterfassung!$H$6:$H$3665,$K3429))</f>
        <v/>
      </c>
      <c r="I3429" s="335">
        <f>IF(B3429=B3428,"",IF($K3429="","",INDEX(Zeiterfassung!$I$6:$I$3665,MATCH(INDEX(Zeiterfassung!$K$6:$K$3665,$K3429),Zeiterfassung!$K$6:$K$3665,0))))</f>
        <v/>
      </c>
      <c r="J3429" s="335">
        <f>IF(B3429=B3428,"",IF($K3429="","",INDEX(Zeiterfassung!$J$6:$J$3665,MATCH(INDEX(Zeiterfassung!$K$6:$K$3665,$K3429),Zeiterfassung!$K$6:$K$3665,0))))</f>
        <v/>
      </c>
      <c r="K3429">
        <f>IFERROR(AGGREGATE(15,6,(ROW(Zeiterfassung!$D$6:$D$3665)-ROW(Zeiterfassung!$D$6)+1)/(Zeiterfassung!$D$6:$D$3665&lt;&gt;""),3424),"")</f>
        <v/>
      </c>
    </row>
    <row r="3430" ht="20" customHeight="1">
      <c r="A3430" s="183">
        <f>IF($K3430="","",WEEKNUM(INDEX(Zeiterfassung!$K$6:$K$3665,$K3430),21))</f>
        <v/>
      </c>
      <c r="B3430" s="184">
        <f>IF($K3430="","",INDEX(Zeiterfassung!$K$6:$K$3665,$K3430))</f>
        <v/>
      </c>
      <c r="C3430" s="185">
        <f>IF($K3430="","",INDEX(Zeiterfassung!$K$6:$K$3665,$K3430))</f>
        <v/>
      </c>
      <c r="D3430" s="186">
        <f>IF($K3430="","",INDEX(Zeiterfassung!$D$6:$D$3665,$K3430))</f>
        <v/>
      </c>
      <c r="E3430" s="186">
        <f>IF($K3430="","",INDEX(Zeiterfassung!$E$6:$E$3665,$K3430))</f>
        <v/>
      </c>
      <c r="F3430" s="187">
        <f>IF($K3430="","",INDEX(Zeiterfassung!$F$6:$F$3665,$K3430))</f>
        <v/>
      </c>
      <c r="G3430" s="187">
        <f>IF($K3430="","",INDEX(Zeiterfassung!$G$6:$G$3665,$K3430))</f>
        <v/>
      </c>
      <c r="H3430" s="188">
        <f>IF($K3430="","",INDEX(Zeiterfassung!$H$6:$H$3665,$K3430))</f>
        <v/>
      </c>
      <c r="I3430" s="335">
        <f>IF(B3430=B3429,"",IF($K3430="","",INDEX(Zeiterfassung!$I$6:$I$3665,MATCH(INDEX(Zeiterfassung!$K$6:$K$3665,$K3430),Zeiterfassung!$K$6:$K$3665,0))))</f>
        <v/>
      </c>
      <c r="J3430" s="335">
        <f>IF(B3430=B3429,"",IF($K3430="","",INDEX(Zeiterfassung!$J$6:$J$3665,MATCH(INDEX(Zeiterfassung!$K$6:$K$3665,$K3430),Zeiterfassung!$K$6:$K$3665,0))))</f>
        <v/>
      </c>
      <c r="K3430">
        <f>IFERROR(AGGREGATE(15,6,(ROW(Zeiterfassung!$D$6:$D$3665)-ROW(Zeiterfassung!$D$6)+1)/(Zeiterfassung!$D$6:$D$3665&lt;&gt;""),3425),"")</f>
        <v/>
      </c>
    </row>
    <row r="3431" ht="20" customHeight="1">
      <c r="A3431" s="183">
        <f>IF($K3431="","",WEEKNUM(INDEX(Zeiterfassung!$K$6:$K$3665,$K3431),21))</f>
        <v/>
      </c>
      <c r="B3431" s="184">
        <f>IF($K3431="","",INDEX(Zeiterfassung!$K$6:$K$3665,$K3431))</f>
        <v/>
      </c>
      <c r="C3431" s="185">
        <f>IF($K3431="","",INDEX(Zeiterfassung!$K$6:$K$3665,$K3431))</f>
        <v/>
      </c>
      <c r="D3431" s="186">
        <f>IF($K3431="","",INDEX(Zeiterfassung!$D$6:$D$3665,$K3431))</f>
        <v/>
      </c>
      <c r="E3431" s="186">
        <f>IF($K3431="","",INDEX(Zeiterfassung!$E$6:$E$3665,$K3431))</f>
        <v/>
      </c>
      <c r="F3431" s="187">
        <f>IF($K3431="","",INDEX(Zeiterfassung!$F$6:$F$3665,$K3431))</f>
        <v/>
      </c>
      <c r="G3431" s="187">
        <f>IF($K3431="","",INDEX(Zeiterfassung!$G$6:$G$3665,$K3431))</f>
        <v/>
      </c>
      <c r="H3431" s="188">
        <f>IF($K3431="","",INDEX(Zeiterfassung!$H$6:$H$3665,$K3431))</f>
        <v/>
      </c>
      <c r="I3431" s="335">
        <f>IF(B3431=B3430,"",IF($K3431="","",INDEX(Zeiterfassung!$I$6:$I$3665,MATCH(INDEX(Zeiterfassung!$K$6:$K$3665,$K3431),Zeiterfassung!$K$6:$K$3665,0))))</f>
        <v/>
      </c>
      <c r="J3431" s="335">
        <f>IF(B3431=B3430,"",IF($K3431="","",INDEX(Zeiterfassung!$J$6:$J$3665,MATCH(INDEX(Zeiterfassung!$K$6:$K$3665,$K3431),Zeiterfassung!$K$6:$K$3665,0))))</f>
        <v/>
      </c>
      <c r="K3431">
        <f>IFERROR(AGGREGATE(15,6,(ROW(Zeiterfassung!$D$6:$D$3665)-ROW(Zeiterfassung!$D$6)+1)/(Zeiterfassung!$D$6:$D$3665&lt;&gt;""),3426),"")</f>
        <v/>
      </c>
    </row>
    <row r="3432" ht="20" customHeight="1">
      <c r="A3432" s="183">
        <f>IF($K3432="","",WEEKNUM(INDEX(Zeiterfassung!$K$6:$K$3665,$K3432),21))</f>
        <v/>
      </c>
      <c r="B3432" s="184">
        <f>IF($K3432="","",INDEX(Zeiterfassung!$K$6:$K$3665,$K3432))</f>
        <v/>
      </c>
      <c r="C3432" s="185">
        <f>IF($K3432="","",INDEX(Zeiterfassung!$K$6:$K$3665,$K3432))</f>
        <v/>
      </c>
      <c r="D3432" s="186">
        <f>IF($K3432="","",INDEX(Zeiterfassung!$D$6:$D$3665,$K3432))</f>
        <v/>
      </c>
      <c r="E3432" s="186">
        <f>IF($K3432="","",INDEX(Zeiterfassung!$E$6:$E$3665,$K3432))</f>
        <v/>
      </c>
      <c r="F3432" s="187">
        <f>IF($K3432="","",INDEX(Zeiterfassung!$F$6:$F$3665,$K3432))</f>
        <v/>
      </c>
      <c r="G3432" s="187">
        <f>IF($K3432="","",INDEX(Zeiterfassung!$G$6:$G$3665,$K3432))</f>
        <v/>
      </c>
      <c r="H3432" s="188">
        <f>IF($K3432="","",INDEX(Zeiterfassung!$H$6:$H$3665,$K3432))</f>
        <v/>
      </c>
      <c r="I3432" s="335">
        <f>IF(B3432=B3431,"",IF($K3432="","",INDEX(Zeiterfassung!$I$6:$I$3665,MATCH(INDEX(Zeiterfassung!$K$6:$K$3665,$K3432),Zeiterfassung!$K$6:$K$3665,0))))</f>
        <v/>
      </c>
      <c r="J3432" s="335">
        <f>IF(B3432=B3431,"",IF($K3432="","",INDEX(Zeiterfassung!$J$6:$J$3665,MATCH(INDEX(Zeiterfassung!$K$6:$K$3665,$K3432),Zeiterfassung!$K$6:$K$3665,0))))</f>
        <v/>
      </c>
      <c r="K3432">
        <f>IFERROR(AGGREGATE(15,6,(ROW(Zeiterfassung!$D$6:$D$3665)-ROW(Zeiterfassung!$D$6)+1)/(Zeiterfassung!$D$6:$D$3665&lt;&gt;""),3427),"")</f>
        <v/>
      </c>
    </row>
    <row r="3433" ht="20" customHeight="1">
      <c r="A3433" s="183">
        <f>IF($K3433="","",WEEKNUM(INDEX(Zeiterfassung!$K$6:$K$3665,$K3433),21))</f>
        <v/>
      </c>
      <c r="B3433" s="184">
        <f>IF($K3433="","",INDEX(Zeiterfassung!$K$6:$K$3665,$K3433))</f>
        <v/>
      </c>
      <c r="C3433" s="185">
        <f>IF($K3433="","",INDEX(Zeiterfassung!$K$6:$K$3665,$K3433))</f>
        <v/>
      </c>
      <c r="D3433" s="186">
        <f>IF($K3433="","",INDEX(Zeiterfassung!$D$6:$D$3665,$K3433))</f>
        <v/>
      </c>
      <c r="E3433" s="186">
        <f>IF($K3433="","",INDEX(Zeiterfassung!$E$6:$E$3665,$K3433))</f>
        <v/>
      </c>
      <c r="F3433" s="187">
        <f>IF($K3433="","",INDEX(Zeiterfassung!$F$6:$F$3665,$K3433))</f>
        <v/>
      </c>
      <c r="G3433" s="187">
        <f>IF($K3433="","",INDEX(Zeiterfassung!$G$6:$G$3665,$K3433))</f>
        <v/>
      </c>
      <c r="H3433" s="188">
        <f>IF($K3433="","",INDEX(Zeiterfassung!$H$6:$H$3665,$K3433))</f>
        <v/>
      </c>
      <c r="I3433" s="335">
        <f>IF(B3433=B3432,"",IF($K3433="","",INDEX(Zeiterfassung!$I$6:$I$3665,MATCH(INDEX(Zeiterfassung!$K$6:$K$3665,$K3433),Zeiterfassung!$K$6:$K$3665,0))))</f>
        <v/>
      </c>
      <c r="J3433" s="335">
        <f>IF(B3433=B3432,"",IF($K3433="","",INDEX(Zeiterfassung!$J$6:$J$3665,MATCH(INDEX(Zeiterfassung!$K$6:$K$3665,$K3433),Zeiterfassung!$K$6:$K$3665,0))))</f>
        <v/>
      </c>
      <c r="K3433">
        <f>IFERROR(AGGREGATE(15,6,(ROW(Zeiterfassung!$D$6:$D$3665)-ROW(Zeiterfassung!$D$6)+1)/(Zeiterfassung!$D$6:$D$3665&lt;&gt;""),3428),"")</f>
        <v/>
      </c>
    </row>
    <row r="3434" ht="20" customHeight="1">
      <c r="A3434" s="183">
        <f>IF($K3434="","",WEEKNUM(INDEX(Zeiterfassung!$K$6:$K$3665,$K3434),21))</f>
        <v/>
      </c>
      <c r="B3434" s="184">
        <f>IF($K3434="","",INDEX(Zeiterfassung!$K$6:$K$3665,$K3434))</f>
        <v/>
      </c>
      <c r="C3434" s="185">
        <f>IF($K3434="","",INDEX(Zeiterfassung!$K$6:$K$3665,$K3434))</f>
        <v/>
      </c>
      <c r="D3434" s="186">
        <f>IF($K3434="","",INDEX(Zeiterfassung!$D$6:$D$3665,$K3434))</f>
        <v/>
      </c>
      <c r="E3434" s="186">
        <f>IF($K3434="","",INDEX(Zeiterfassung!$E$6:$E$3665,$K3434))</f>
        <v/>
      </c>
      <c r="F3434" s="187">
        <f>IF($K3434="","",INDEX(Zeiterfassung!$F$6:$F$3665,$K3434))</f>
        <v/>
      </c>
      <c r="G3434" s="187">
        <f>IF($K3434="","",INDEX(Zeiterfassung!$G$6:$G$3665,$K3434))</f>
        <v/>
      </c>
      <c r="H3434" s="188">
        <f>IF($K3434="","",INDEX(Zeiterfassung!$H$6:$H$3665,$K3434))</f>
        <v/>
      </c>
      <c r="I3434" s="335">
        <f>IF(B3434=B3433,"",IF($K3434="","",INDEX(Zeiterfassung!$I$6:$I$3665,MATCH(INDEX(Zeiterfassung!$K$6:$K$3665,$K3434),Zeiterfassung!$K$6:$K$3665,0))))</f>
        <v/>
      </c>
      <c r="J3434" s="335">
        <f>IF(B3434=B3433,"",IF($K3434="","",INDEX(Zeiterfassung!$J$6:$J$3665,MATCH(INDEX(Zeiterfassung!$K$6:$K$3665,$K3434),Zeiterfassung!$K$6:$K$3665,0))))</f>
        <v/>
      </c>
      <c r="K3434">
        <f>IFERROR(AGGREGATE(15,6,(ROW(Zeiterfassung!$D$6:$D$3665)-ROW(Zeiterfassung!$D$6)+1)/(Zeiterfassung!$D$6:$D$3665&lt;&gt;""),3429),"")</f>
        <v/>
      </c>
    </row>
    <row r="3435" ht="20" customHeight="1">
      <c r="A3435" s="183">
        <f>IF($K3435="","",WEEKNUM(INDEX(Zeiterfassung!$K$6:$K$3665,$K3435),21))</f>
        <v/>
      </c>
      <c r="B3435" s="184">
        <f>IF($K3435="","",INDEX(Zeiterfassung!$K$6:$K$3665,$K3435))</f>
        <v/>
      </c>
      <c r="C3435" s="185">
        <f>IF($K3435="","",INDEX(Zeiterfassung!$K$6:$K$3665,$K3435))</f>
        <v/>
      </c>
      <c r="D3435" s="186">
        <f>IF($K3435="","",INDEX(Zeiterfassung!$D$6:$D$3665,$K3435))</f>
        <v/>
      </c>
      <c r="E3435" s="186">
        <f>IF($K3435="","",INDEX(Zeiterfassung!$E$6:$E$3665,$K3435))</f>
        <v/>
      </c>
      <c r="F3435" s="187">
        <f>IF($K3435="","",INDEX(Zeiterfassung!$F$6:$F$3665,$K3435))</f>
        <v/>
      </c>
      <c r="G3435" s="187">
        <f>IF($K3435="","",INDEX(Zeiterfassung!$G$6:$G$3665,$K3435))</f>
        <v/>
      </c>
      <c r="H3435" s="188">
        <f>IF($K3435="","",INDEX(Zeiterfassung!$H$6:$H$3665,$K3435))</f>
        <v/>
      </c>
      <c r="I3435" s="335">
        <f>IF(B3435=B3434,"",IF($K3435="","",INDEX(Zeiterfassung!$I$6:$I$3665,MATCH(INDEX(Zeiterfassung!$K$6:$K$3665,$K3435),Zeiterfassung!$K$6:$K$3665,0))))</f>
        <v/>
      </c>
      <c r="J3435" s="335">
        <f>IF(B3435=B3434,"",IF($K3435="","",INDEX(Zeiterfassung!$J$6:$J$3665,MATCH(INDEX(Zeiterfassung!$K$6:$K$3665,$K3435),Zeiterfassung!$K$6:$K$3665,0))))</f>
        <v/>
      </c>
      <c r="K3435">
        <f>IFERROR(AGGREGATE(15,6,(ROW(Zeiterfassung!$D$6:$D$3665)-ROW(Zeiterfassung!$D$6)+1)/(Zeiterfassung!$D$6:$D$3665&lt;&gt;""),3430),"")</f>
        <v/>
      </c>
    </row>
    <row r="3436" ht="20" customHeight="1">
      <c r="A3436" s="183">
        <f>IF($K3436="","",WEEKNUM(INDEX(Zeiterfassung!$K$6:$K$3665,$K3436),21))</f>
        <v/>
      </c>
      <c r="B3436" s="184">
        <f>IF($K3436="","",INDEX(Zeiterfassung!$K$6:$K$3665,$K3436))</f>
        <v/>
      </c>
      <c r="C3436" s="185">
        <f>IF($K3436="","",INDEX(Zeiterfassung!$K$6:$K$3665,$K3436))</f>
        <v/>
      </c>
      <c r="D3436" s="186">
        <f>IF($K3436="","",INDEX(Zeiterfassung!$D$6:$D$3665,$K3436))</f>
        <v/>
      </c>
      <c r="E3436" s="186">
        <f>IF($K3436="","",INDEX(Zeiterfassung!$E$6:$E$3665,$K3436))</f>
        <v/>
      </c>
      <c r="F3436" s="187">
        <f>IF($K3436="","",INDEX(Zeiterfassung!$F$6:$F$3665,$K3436))</f>
        <v/>
      </c>
      <c r="G3436" s="187">
        <f>IF($K3436="","",INDEX(Zeiterfassung!$G$6:$G$3665,$K3436))</f>
        <v/>
      </c>
      <c r="H3436" s="188">
        <f>IF($K3436="","",INDEX(Zeiterfassung!$H$6:$H$3665,$K3436))</f>
        <v/>
      </c>
      <c r="I3436" s="335">
        <f>IF(B3436=B3435,"",IF($K3436="","",INDEX(Zeiterfassung!$I$6:$I$3665,MATCH(INDEX(Zeiterfassung!$K$6:$K$3665,$K3436),Zeiterfassung!$K$6:$K$3665,0))))</f>
        <v/>
      </c>
      <c r="J3436" s="335">
        <f>IF(B3436=B3435,"",IF($K3436="","",INDEX(Zeiterfassung!$J$6:$J$3665,MATCH(INDEX(Zeiterfassung!$K$6:$K$3665,$K3436),Zeiterfassung!$K$6:$K$3665,0))))</f>
        <v/>
      </c>
      <c r="K3436">
        <f>IFERROR(AGGREGATE(15,6,(ROW(Zeiterfassung!$D$6:$D$3665)-ROW(Zeiterfassung!$D$6)+1)/(Zeiterfassung!$D$6:$D$3665&lt;&gt;""),3431),"")</f>
        <v/>
      </c>
    </row>
    <row r="3437" ht="20" customHeight="1">
      <c r="A3437" s="183">
        <f>IF($K3437="","",WEEKNUM(INDEX(Zeiterfassung!$K$6:$K$3665,$K3437),21))</f>
        <v/>
      </c>
      <c r="B3437" s="184">
        <f>IF($K3437="","",INDEX(Zeiterfassung!$K$6:$K$3665,$K3437))</f>
        <v/>
      </c>
      <c r="C3437" s="185">
        <f>IF($K3437="","",INDEX(Zeiterfassung!$K$6:$K$3665,$K3437))</f>
        <v/>
      </c>
      <c r="D3437" s="186">
        <f>IF($K3437="","",INDEX(Zeiterfassung!$D$6:$D$3665,$K3437))</f>
        <v/>
      </c>
      <c r="E3437" s="186">
        <f>IF($K3437="","",INDEX(Zeiterfassung!$E$6:$E$3665,$K3437))</f>
        <v/>
      </c>
      <c r="F3437" s="187">
        <f>IF($K3437="","",INDEX(Zeiterfassung!$F$6:$F$3665,$K3437))</f>
        <v/>
      </c>
      <c r="G3437" s="187">
        <f>IF($K3437="","",INDEX(Zeiterfassung!$G$6:$G$3665,$K3437))</f>
        <v/>
      </c>
      <c r="H3437" s="188">
        <f>IF($K3437="","",INDEX(Zeiterfassung!$H$6:$H$3665,$K3437))</f>
        <v/>
      </c>
      <c r="I3437" s="335">
        <f>IF(B3437=B3436,"",IF($K3437="","",INDEX(Zeiterfassung!$I$6:$I$3665,MATCH(INDEX(Zeiterfassung!$K$6:$K$3665,$K3437),Zeiterfassung!$K$6:$K$3665,0))))</f>
        <v/>
      </c>
      <c r="J3437" s="335">
        <f>IF(B3437=B3436,"",IF($K3437="","",INDEX(Zeiterfassung!$J$6:$J$3665,MATCH(INDEX(Zeiterfassung!$K$6:$K$3665,$K3437),Zeiterfassung!$K$6:$K$3665,0))))</f>
        <v/>
      </c>
      <c r="K3437">
        <f>IFERROR(AGGREGATE(15,6,(ROW(Zeiterfassung!$D$6:$D$3665)-ROW(Zeiterfassung!$D$6)+1)/(Zeiterfassung!$D$6:$D$3665&lt;&gt;""),3432),"")</f>
        <v/>
      </c>
    </row>
    <row r="3438" ht="20" customHeight="1">
      <c r="A3438" s="183">
        <f>IF($K3438="","",WEEKNUM(INDEX(Zeiterfassung!$K$6:$K$3665,$K3438),21))</f>
        <v/>
      </c>
      <c r="B3438" s="184">
        <f>IF($K3438="","",INDEX(Zeiterfassung!$K$6:$K$3665,$K3438))</f>
        <v/>
      </c>
      <c r="C3438" s="185">
        <f>IF($K3438="","",INDEX(Zeiterfassung!$K$6:$K$3665,$K3438))</f>
        <v/>
      </c>
      <c r="D3438" s="186">
        <f>IF($K3438="","",INDEX(Zeiterfassung!$D$6:$D$3665,$K3438))</f>
        <v/>
      </c>
      <c r="E3438" s="186">
        <f>IF($K3438="","",INDEX(Zeiterfassung!$E$6:$E$3665,$K3438))</f>
        <v/>
      </c>
      <c r="F3438" s="187">
        <f>IF($K3438="","",INDEX(Zeiterfassung!$F$6:$F$3665,$K3438))</f>
        <v/>
      </c>
      <c r="G3438" s="187">
        <f>IF($K3438="","",INDEX(Zeiterfassung!$G$6:$G$3665,$K3438))</f>
        <v/>
      </c>
      <c r="H3438" s="188">
        <f>IF($K3438="","",INDEX(Zeiterfassung!$H$6:$H$3665,$K3438))</f>
        <v/>
      </c>
      <c r="I3438" s="335">
        <f>IF(B3438=B3437,"",IF($K3438="","",INDEX(Zeiterfassung!$I$6:$I$3665,MATCH(INDEX(Zeiterfassung!$K$6:$K$3665,$K3438),Zeiterfassung!$K$6:$K$3665,0))))</f>
        <v/>
      </c>
      <c r="J3438" s="335">
        <f>IF(B3438=B3437,"",IF($K3438="","",INDEX(Zeiterfassung!$J$6:$J$3665,MATCH(INDEX(Zeiterfassung!$K$6:$K$3665,$K3438),Zeiterfassung!$K$6:$K$3665,0))))</f>
        <v/>
      </c>
      <c r="K3438">
        <f>IFERROR(AGGREGATE(15,6,(ROW(Zeiterfassung!$D$6:$D$3665)-ROW(Zeiterfassung!$D$6)+1)/(Zeiterfassung!$D$6:$D$3665&lt;&gt;""),3433),"")</f>
        <v/>
      </c>
    </row>
    <row r="3439" ht="20" customHeight="1">
      <c r="A3439" s="183">
        <f>IF($K3439="","",WEEKNUM(INDEX(Zeiterfassung!$K$6:$K$3665,$K3439),21))</f>
        <v/>
      </c>
      <c r="B3439" s="184">
        <f>IF($K3439="","",INDEX(Zeiterfassung!$K$6:$K$3665,$K3439))</f>
        <v/>
      </c>
      <c r="C3439" s="185">
        <f>IF($K3439="","",INDEX(Zeiterfassung!$K$6:$K$3665,$K3439))</f>
        <v/>
      </c>
      <c r="D3439" s="186">
        <f>IF($K3439="","",INDEX(Zeiterfassung!$D$6:$D$3665,$K3439))</f>
        <v/>
      </c>
      <c r="E3439" s="186">
        <f>IF($K3439="","",INDEX(Zeiterfassung!$E$6:$E$3665,$K3439))</f>
        <v/>
      </c>
      <c r="F3439" s="187">
        <f>IF($K3439="","",INDEX(Zeiterfassung!$F$6:$F$3665,$K3439))</f>
        <v/>
      </c>
      <c r="G3439" s="187">
        <f>IF($K3439="","",INDEX(Zeiterfassung!$G$6:$G$3665,$K3439))</f>
        <v/>
      </c>
      <c r="H3439" s="188">
        <f>IF($K3439="","",INDEX(Zeiterfassung!$H$6:$H$3665,$K3439))</f>
        <v/>
      </c>
      <c r="I3439" s="335">
        <f>IF(B3439=B3438,"",IF($K3439="","",INDEX(Zeiterfassung!$I$6:$I$3665,MATCH(INDEX(Zeiterfassung!$K$6:$K$3665,$K3439),Zeiterfassung!$K$6:$K$3665,0))))</f>
        <v/>
      </c>
      <c r="J3439" s="335">
        <f>IF(B3439=B3438,"",IF($K3439="","",INDEX(Zeiterfassung!$J$6:$J$3665,MATCH(INDEX(Zeiterfassung!$K$6:$K$3665,$K3439),Zeiterfassung!$K$6:$K$3665,0))))</f>
        <v/>
      </c>
      <c r="K3439">
        <f>IFERROR(AGGREGATE(15,6,(ROW(Zeiterfassung!$D$6:$D$3665)-ROW(Zeiterfassung!$D$6)+1)/(Zeiterfassung!$D$6:$D$3665&lt;&gt;""),3434),"")</f>
        <v/>
      </c>
    </row>
    <row r="3440" ht="20" customHeight="1">
      <c r="A3440" s="183">
        <f>IF($K3440="","",WEEKNUM(INDEX(Zeiterfassung!$K$6:$K$3665,$K3440),21))</f>
        <v/>
      </c>
      <c r="B3440" s="184">
        <f>IF($K3440="","",INDEX(Zeiterfassung!$K$6:$K$3665,$K3440))</f>
        <v/>
      </c>
      <c r="C3440" s="185">
        <f>IF($K3440="","",INDEX(Zeiterfassung!$K$6:$K$3665,$K3440))</f>
        <v/>
      </c>
      <c r="D3440" s="186">
        <f>IF($K3440="","",INDEX(Zeiterfassung!$D$6:$D$3665,$K3440))</f>
        <v/>
      </c>
      <c r="E3440" s="186">
        <f>IF($K3440="","",INDEX(Zeiterfassung!$E$6:$E$3665,$K3440))</f>
        <v/>
      </c>
      <c r="F3440" s="187">
        <f>IF($K3440="","",INDEX(Zeiterfassung!$F$6:$F$3665,$K3440))</f>
        <v/>
      </c>
      <c r="G3440" s="187">
        <f>IF($K3440="","",INDEX(Zeiterfassung!$G$6:$G$3665,$K3440))</f>
        <v/>
      </c>
      <c r="H3440" s="188">
        <f>IF($K3440="","",INDEX(Zeiterfassung!$H$6:$H$3665,$K3440))</f>
        <v/>
      </c>
      <c r="I3440" s="335">
        <f>IF(B3440=B3439,"",IF($K3440="","",INDEX(Zeiterfassung!$I$6:$I$3665,MATCH(INDEX(Zeiterfassung!$K$6:$K$3665,$K3440),Zeiterfassung!$K$6:$K$3665,0))))</f>
        <v/>
      </c>
      <c r="J3440" s="335">
        <f>IF(B3440=B3439,"",IF($K3440="","",INDEX(Zeiterfassung!$J$6:$J$3665,MATCH(INDEX(Zeiterfassung!$K$6:$K$3665,$K3440),Zeiterfassung!$K$6:$K$3665,0))))</f>
        <v/>
      </c>
      <c r="K3440">
        <f>IFERROR(AGGREGATE(15,6,(ROW(Zeiterfassung!$D$6:$D$3665)-ROW(Zeiterfassung!$D$6)+1)/(Zeiterfassung!$D$6:$D$3665&lt;&gt;""),3435),"")</f>
        <v/>
      </c>
    </row>
    <row r="3441" ht="20" customHeight="1">
      <c r="A3441" s="183">
        <f>IF($K3441="","",WEEKNUM(INDEX(Zeiterfassung!$K$6:$K$3665,$K3441),21))</f>
        <v/>
      </c>
      <c r="B3441" s="184">
        <f>IF($K3441="","",INDEX(Zeiterfassung!$K$6:$K$3665,$K3441))</f>
        <v/>
      </c>
      <c r="C3441" s="185">
        <f>IF($K3441="","",INDEX(Zeiterfassung!$K$6:$K$3665,$K3441))</f>
        <v/>
      </c>
      <c r="D3441" s="186">
        <f>IF($K3441="","",INDEX(Zeiterfassung!$D$6:$D$3665,$K3441))</f>
        <v/>
      </c>
      <c r="E3441" s="186">
        <f>IF($K3441="","",INDEX(Zeiterfassung!$E$6:$E$3665,$K3441))</f>
        <v/>
      </c>
      <c r="F3441" s="187">
        <f>IF($K3441="","",INDEX(Zeiterfassung!$F$6:$F$3665,$K3441))</f>
        <v/>
      </c>
      <c r="G3441" s="187">
        <f>IF($K3441="","",INDEX(Zeiterfassung!$G$6:$G$3665,$K3441))</f>
        <v/>
      </c>
      <c r="H3441" s="188">
        <f>IF($K3441="","",INDEX(Zeiterfassung!$H$6:$H$3665,$K3441))</f>
        <v/>
      </c>
      <c r="I3441" s="335">
        <f>IF(B3441=B3440,"",IF($K3441="","",INDEX(Zeiterfassung!$I$6:$I$3665,MATCH(INDEX(Zeiterfassung!$K$6:$K$3665,$K3441),Zeiterfassung!$K$6:$K$3665,0))))</f>
        <v/>
      </c>
      <c r="J3441" s="335">
        <f>IF(B3441=B3440,"",IF($K3441="","",INDEX(Zeiterfassung!$J$6:$J$3665,MATCH(INDEX(Zeiterfassung!$K$6:$K$3665,$K3441),Zeiterfassung!$K$6:$K$3665,0))))</f>
        <v/>
      </c>
      <c r="K3441">
        <f>IFERROR(AGGREGATE(15,6,(ROW(Zeiterfassung!$D$6:$D$3665)-ROW(Zeiterfassung!$D$6)+1)/(Zeiterfassung!$D$6:$D$3665&lt;&gt;""),3436),"")</f>
        <v/>
      </c>
    </row>
    <row r="3442" ht="20" customHeight="1">
      <c r="A3442" s="183">
        <f>IF($K3442="","",WEEKNUM(INDEX(Zeiterfassung!$K$6:$K$3665,$K3442),21))</f>
        <v/>
      </c>
      <c r="B3442" s="184">
        <f>IF($K3442="","",INDEX(Zeiterfassung!$K$6:$K$3665,$K3442))</f>
        <v/>
      </c>
      <c r="C3442" s="185">
        <f>IF($K3442="","",INDEX(Zeiterfassung!$K$6:$K$3665,$K3442))</f>
        <v/>
      </c>
      <c r="D3442" s="186">
        <f>IF($K3442="","",INDEX(Zeiterfassung!$D$6:$D$3665,$K3442))</f>
        <v/>
      </c>
      <c r="E3442" s="186">
        <f>IF($K3442="","",INDEX(Zeiterfassung!$E$6:$E$3665,$K3442))</f>
        <v/>
      </c>
      <c r="F3442" s="187">
        <f>IF($K3442="","",INDEX(Zeiterfassung!$F$6:$F$3665,$K3442))</f>
        <v/>
      </c>
      <c r="G3442" s="187">
        <f>IF($K3442="","",INDEX(Zeiterfassung!$G$6:$G$3665,$K3442))</f>
        <v/>
      </c>
      <c r="H3442" s="188">
        <f>IF($K3442="","",INDEX(Zeiterfassung!$H$6:$H$3665,$K3442))</f>
        <v/>
      </c>
      <c r="I3442" s="335">
        <f>IF(B3442=B3441,"",IF($K3442="","",INDEX(Zeiterfassung!$I$6:$I$3665,MATCH(INDEX(Zeiterfassung!$K$6:$K$3665,$K3442),Zeiterfassung!$K$6:$K$3665,0))))</f>
        <v/>
      </c>
      <c r="J3442" s="335">
        <f>IF(B3442=B3441,"",IF($K3442="","",INDEX(Zeiterfassung!$J$6:$J$3665,MATCH(INDEX(Zeiterfassung!$K$6:$K$3665,$K3442),Zeiterfassung!$K$6:$K$3665,0))))</f>
        <v/>
      </c>
      <c r="K3442">
        <f>IFERROR(AGGREGATE(15,6,(ROW(Zeiterfassung!$D$6:$D$3665)-ROW(Zeiterfassung!$D$6)+1)/(Zeiterfassung!$D$6:$D$3665&lt;&gt;""),3437),"")</f>
        <v/>
      </c>
    </row>
    <row r="3443" ht="20" customHeight="1">
      <c r="A3443" s="183">
        <f>IF($K3443="","",WEEKNUM(INDEX(Zeiterfassung!$K$6:$K$3665,$K3443),21))</f>
        <v/>
      </c>
      <c r="B3443" s="184">
        <f>IF($K3443="","",INDEX(Zeiterfassung!$K$6:$K$3665,$K3443))</f>
        <v/>
      </c>
      <c r="C3443" s="185">
        <f>IF($K3443="","",INDEX(Zeiterfassung!$K$6:$K$3665,$K3443))</f>
        <v/>
      </c>
      <c r="D3443" s="186">
        <f>IF($K3443="","",INDEX(Zeiterfassung!$D$6:$D$3665,$K3443))</f>
        <v/>
      </c>
      <c r="E3443" s="186">
        <f>IF($K3443="","",INDEX(Zeiterfassung!$E$6:$E$3665,$K3443))</f>
        <v/>
      </c>
      <c r="F3443" s="187">
        <f>IF($K3443="","",INDEX(Zeiterfassung!$F$6:$F$3665,$K3443))</f>
        <v/>
      </c>
      <c r="G3443" s="187">
        <f>IF($K3443="","",INDEX(Zeiterfassung!$G$6:$G$3665,$K3443))</f>
        <v/>
      </c>
      <c r="H3443" s="188">
        <f>IF($K3443="","",INDEX(Zeiterfassung!$H$6:$H$3665,$K3443))</f>
        <v/>
      </c>
      <c r="I3443" s="335">
        <f>IF(B3443=B3442,"",IF($K3443="","",INDEX(Zeiterfassung!$I$6:$I$3665,MATCH(INDEX(Zeiterfassung!$K$6:$K$3665,$K3443),Zeiterfassung!$K$6:$K$3665,0))))</f>
        <v/>
      </c>
      <c r="J3443" s="335">
        <f>IF(B3443=B3442,"",IF($K3443="","",INDEX(Zeiterfassung!$J$6:$J$3665,MATCH(INDEX(Zeiterfassung!$K$6:$K$3665,$K3443),Zeiterfassung!$K$6:$K$3665,0))))</f>
        <v/>
      </c>
      <c r="K3443">
        <f>IFERROR(AGGREGATE(15,6,(ROW(Zeiterfassung!$D$6:$D$3665)-ROW(Zeiterfassung!$D$6)+1)/(Zeiterfassung!$D$6:$D$3665&lt;&gt;""),3438),"")</f>
        <v/>
      </c>
    </row>
    <row r="3444" ht="20" customHeight="1">
      <c r="A3444" s="183">
        <f>IF($K3444="","",WEEKNUM(INDEX(Zeiterfassung!$K$6:$K$3665,$K3444),21))</f>
        <v/>
      </c>
      <c r="B3444" s="184">
        <f>IF($K3444="","",INDEX(Zeiterfassung!$K$6:$K$3665,$K3444))</f>
        <v/>
      </c>
      <c r="C3444" s="185">
        <f>IF($K3444="","",INDEX(Zeiterfassung!$K$6:$K$3665,$K3444))</f>
        <v/>
      </c>
      <c r="D3444" s="186">
        <f>IF($K3444="","",INDEX(Zeiterfassung!$D$6:$D$3665,$K3444))</f>
        <v/>
      </c>
      <c r="E3444" s="186">
        <f>IF($K3444="","",INDEX(Zeiterfassung!$E$6:$E$3665,$K3444))</f>
        <v/>
      </c>
      <c r="F3444" s="187">
        <f>IF($K3444="","",INDEX(Zeiterfassung!$F$6:$F$3665,$K3444))</f>
        <v/>
      </c>
      <c r="G3444" s="187">
        <f>IF($K3444="","",INDEX(Zeiterfassung!$G$6:$G$3665,$K3444))</f>
        <v/>
      </c>
      <c r="H3444" s="188">
        <f>IF($K3444="","",INDEX(Zeiterfassung!$H$6:$H$3665,$K3444))</f>
        <v/>
      </c>
      <c r="I3444" s="335">
        <f>IF(B3444=B3443,"",IF($K3444="","",INDEX(Zeiterfassung!$I$6:$I$3665,MATCH(INDEX(Zeiterfassung!$K$6:$K$3665,$K3444),Zeiterfassung!$K$6:$K$3665,0))))</f>
        <v/>
      </c>
      <c r="J3444" s="335">
        <f>IF(B3444=B3443,"",IF($K3444="","",INDEX(Zeiterfassung!$J$6:$J$3665,MATCH(INDEX(Zeiterfassung!$K$6:$K$3665,$K3444),Zeiterfassung!$K$6:$K$3665,0))))</f>
        <v/>
      </c>
      <c r="K3444">
        <f>IFERROR(AGGREGATE(15,6,(ROW(Zeiterfassung!$D$6:$D$3665)-ROW(Zeiterfassung!$D$6)+1)/(Zeiterfassung!$D$6:$D$3665&lt;&gt;""),3439),"")</f>
        <v/>
      </c>
    </row>
    <row r="3445" ht="20" customHeight="1">
      <c r="A3445" s="183">
        <f>IF($K3445="","",WEEKNUM(INDEX(Zeiterfassung!$K$6:$K$3665,$K3445),21))</f>
        <v/>
      </c>
      <c r="B3445" s="184">
        <f>IF($K3445="","",INDEX(Zeiterfassung!$K$6:$K$3665,$K3445))</f>
        <v/>
      </c>
      <c r="C3445" s="185">
        <f>IF($K3445="","",INDEX(Zeiterfassung!$K$6:$K$3665,$K3445))</f>
        <v/>
      </c>
      <c r="D3445" s="186">
        <f>IF($K3445="","",INDEX(Zeiterfassung!$D$6:$D$3665,$K3445))</f>
        <v/>
      </c>
      <c r="E3445" s="186">
        <f>IF($K3445="","",INDEX(Zeiterfassung!$E$6:$E$3665,$K3445))</f>
        <v/>
      </c>
      <c r="F3445" s="187">
        <f>IF($K3445="","",INDEX(Zeiterfassung!$F$6:$F$3665,$K3445))</f>
        <v/>
      </c>
      <c r="G3445" s="187">
        <f>IF($K3445="","",INDEX(Zeiterfassung!$G$6:$G$3665,$K3445))</f>
        <v/>
      </c>
      <c r="H3445" s="188">
        <f>IF($K3445="","",INDEX(Zeiterfassung!$H$6:$H$3665,$K3445))</f>
        <v/>
      </c>
      <c r="I3445" s="335">
        <f>IF(B3445=B3444,"",IF($K3445="","",INDEX(Zeiterfassung!$I$6:$I$3665,MATCH(INDEX(Zeiterfassung!$K$6:$K$3665,$K3445),Zeiterfassung!$K$6:$K$3665,0))))</f>
        <v/>
      </c>
      <c r="J3445" s="335">
        <f>IF(B3445=B3444,"",IF($K3445="","",INDEX(Zeiterfassung!$J$6:$J$3665,MATCH(INDEX(Zeiterfassung!$K$6:$K$3665,$K3445),Zeiterfassung!$K$6:$K$3665,0))))</f>
        <v/>
      </c>
      <c r="K3445">
        <f>IFERROR(AGGREGATE(15,6,(ROW(Zeiterfassung!$D$6:$D$3665)-ROW(Zeiterfassung!$D$6)+1)/(Zeiterfassung!$D$6:$D$3665&lt;&gt;""),3440),"")</f>
        <v/>
      </c>
    </row>
    <row r="3446" ht="20" customHeight="1">
      <c r="A3446" s="183">
        <f>IF($K3446="","",WEEKNUM(INDEX(Zeiterfassung!$K$6:$K$3665,$K3446),21))</f>
        <v/>
      </c>
      <c r="B3446" s="184">
        <f>IF($K3446="","",INDEX(Zeiterfassung!$K$6:$K$3665,$K3446))</f>
        <v/>
      </c>
      <c r="C3446" s="185">
        <f>IF($K3446="","",INDEX(Zeiterfassung!$K$6:$K$3665,$K3446))</f>
        <v/>
      </c>
      <c r="D3446" s="186">
        <f>IF($K3446="","",INDEX(Zeiterfassung!$D$6:$D$3665,$K3446))</f>
        <v/>
      </c>
      <c r="E3446" s="186">
        <f>IF($K3446="","",INDEX(Zeiterfassung!$E$6:$E$3665,$K3446))</f>
        <v/>
      </c>
      <c r="F3446" s="187">
        <f>IF($K3446="","",INDEX(Zeiterfassung!$F$6:$F$3665,$K3446))</f>
        <v/>
      </c>
      <c r="G3446" s="187">
        <f>IF($K3446="","",INDEX(Zeiterfassung!$G$6:$G$3665,$K3446))</f>
        <v/>
      </c>
      <c r="H3446" s="188">
        <f>IF($K3446="","",INDEX(Zeiterfassung!$H$6:$H$3665,$K3446))</f>
        <v/>
      </c>
      <c r="I3446" s="335">
        <f>IF(B3446=B3445,"",IF($K3446="","",INDEX(Zeiterfassung!$I$6:$I$3665,MATCH(INDEX(Zeiterfassung!$K$6:$K$3665,$K3446),Zeiterfassung!$K$6:$K$3665,0))))</f>
        <v/>
      </c>
      <c r="J3446" s="335">
        <f>IF(B3446=B3445,"",IF($K3446="","",INDEX(Zeiterfassung!$J$6:$J$3665,MATCH(INDEX(Zeiterfassung!$K$6:$K$3665,$K3446),Zeiterfassung!$K$6:$K$3665,0))))</f>
        <v/>
      </c>
      <c r="K3446">
        <f>IFERROR(AGGREGATE(15,6,(ROW(Zeiterfassung!$D$6:$D$3665)-ROW(Zeiterfassung!$D$6)+1)/(Zeiterfassung!$D$6:$D$3665&lt;&gt;""),3441),"")</f>
        <v/>
      </c>
    </row>
    <row r="3447" ht="20" customHeight="1">
      <c r="A3447" s="183">
        <f>IF($K3447="","",WEEKNUM(INDEX(Zeiterfassung!$K$6:$K$3665,$K3447),21))</f>
        <v/>
      </c>
      <c r="B3447" s="184">
        <f>IF($K3447="","",INDEX(Zeiterfassung!$K$6:$K$3665,$K3447))</f>
        <v/>
      </c>
      <c r="C3447" s="185">
        <f>IF($K3447="","",INDEX(Zeiterfassung!$K$6:$K$3665,$K3447))</f>
        <v/>
      </c>
      <c r="D3447" s="186">
        <f>IF($K3447="","",INDEX(Zeiterfassung!$D$6:$D$3665,$K3447))</f>
        <v/>
      </c>
      <c r="E3447" s="186">
        <f>IF($K3447="","",INDEX(Zeiterfassung!$E$6:$E$3665,$K3447))</f>
        <v/>
      </c>
      <c r="F3447" s="187">
        <f>IF($K3447="","",INDEX(Zeiterfassung!$F$6:$F$3665,$K3447))</f>
        <v/>
      </c>
      <c r="G3447" s="187">
        <f>IF($K3447="","",INDEX(Zeiterfassung!$G$6:$G$3665,$K3447))</f>
        <v/>
      </c>
      <c r="H3447" s="188">
        <f>IF($K3447="","",INDEX(Zeiterfassung!$H$6:$H$3665,$K3447))</f>
        <v/>
      </c>
      <c r="I3447" s="335">
        <f>IF(B3447=B3446,"",IF($K3447="","",INDEX(Zeiterfassung!$I$6:$I$3665,MATCH(INDEX(Zeiterfassung!$K$6:$K$3665,$K3447),Zeiterfassung!$K$6:$K$3665,0))))</f>
        <v/>
      </c>
      <c r="J3447" s="335">
        <f>IF(B3447=B3446,"",IF($K3447="","",INDEX(Zeiterfassung!$J$6:$J$3665,MATCH(INDEX(Zeiterfassung!$K$6:$K$3665,$K3447),Zeiterfassung!$K$6:$K$3665,0))))</f>
        <v/>
      </c>
      <c r="K3447">
        <f>IFERROR(AGGREGATE(15,6,(ROW(Zeiterfassung!$D$6:$D$3665)-ROW(Zeiterfassung!$D$6)+1)/(Zeiterfassung!$D$6:$D$3665&lt;&gt;""),3442),"")</f>
        <v/>
      </c>
    </row>
    <row r="3448" ht="20" customHeight="1">
      <c r="A3448" s="183">
        <f>IF($K3448="","",WEEKNUM(INDEX(Zeiterfassung!$K$6:$K$3665,$K3448),21))</f>
        <v/>
      </c>
      <c r="B3448" s="184">
        <f>IF($K3448="","",INDEX(Zeiterfassung!$K$6:$K$3665,$K3448))</f>
        <v/>
      </c>
      <c r="C3448" s="185">
        <f>IF($K3448="","",INDEX(Zeiterfassung!$K$6:$K$3665,$K3448))</f>
        <v/>
      </c>
      <c r="D3448" s="186">
        <f>IF($K3448="","",INDEX(Zeiterfassung!$D$6:$D$3665,$K3448))</f>
        <v/>
      </c>
      <c r="E3448" s="186">
        <f>IF($K3448="","",INDEX(Zeiterfassung!$E$6:$E$3665,$K3448))</f>
        <v/>
      </c>
      <c r="F3448" s="187">
        <f>IF($K3448="","",INDEX(Zeiterfassung!$F$6:$F$3665,$K3448))</f>
        <v/>
      </c>
      <c r="G3448" s="187">
        <f>IF($K3448="","",INDEX(Zeiterfassung!$G$6:$G$3665,$K3448))</f>
        <v/>
      </c>
      <c r="H3448" s="188">
        <f>IF($K3448="","",INDEX(Zeiterfassung!$H$6:$H$3665,$K3448))</f>
        <v/>
      </c>
      <c r="I3448" s="335">
        <f>IF(B3448=B3447,"",IF($K3448="","",INDEX(Zeiterfassung!$I$6:$I$3665,MATCH(INDEX(Zeiterfassung!$K$6:$K$3665,$K3448),Zeiterfassung!$K$6:$K$3665,0))))</f>
        <v/>
      </c>
      <c r="J3448" s="335">
        <f>IF(B3448=B3447,"",IF($K3448="","",INDEX(Zeiterfassung!$J$6:$J$3665,MATCH(INDEX(Zeiterfassung!$K$6:$K$3665,$K3448),Zeiterfassung!$K$6:$K$3665,0))))</f>
        <v/>
      </c>
      <c r="K3448">
        <f>IFERROR(AGGREGATE(15,6,(ROW(Zeiterfassung!$D$6:$D$3665)-ROW(Zeiterfassung!$D$6)+1)/(Zeiterfassung!$D$6:$D$3665&lt;&gt;""),3443),"")</f>
        <v/>
      </c>
    </row>
    <row r="3449" ht="20" customHeight="1">
      <c r="A3449" s="183">
        <f>IF($K3449="","",WEEKNUM(INDEX(Zeiterfassung!$K$6:$K$3665,$K3449),21))</f>
        <v/>
      </c>
      <c r="B3449" s="184">
        <f>IF($K3449="","",INDEX(Zeiterfassung!$K$6:$K$3665,$K3449))</f>
        <v/>
      </c>
      <c r="C3449" s="185">
        <f>IF($K3449="","",INDEX(Zeiterfassung!$K$6:$K$3665,$K3449))</f>
        <v/>
      </c>
      <c r="D3449" s="186">
        <f>IF($K3449="","",INDEX(Zeiterfassung!$D$6:$D$3665,$K3449))</f>
        <v/>
      </c>
      <c r="E3449" s="186">
        <f>IF($K3449="","",INDEX(Zeiterfassung!$E$6:$E$3665,$K3449))</f>
        <v/>
      </c>
      <c r="F3449" s="187">
        <f>IF($K3449="","",INDEX(Zeiterfassung!$F$6:$F$3665,$K3449))</f>
        <v/>
      </c>
      <c r="G3449" s="187">
        <f>IF($K3449="","",INDEX(Zeiterfassung!$G$6:$G$3665,$K3449))</f>
        <v/>
      </c>
      <c r="H3449" s="188">
        <f>IF($K3449="","",INDEX(Zeiterfassung!$H$6:$H$3665,$K3449))</f>
        <v/>
      </c>
      <c r="I3449" s="335">
        <f>IF(B3449=B3448,"",IF($K3449="","",INDEX(Zeiterfassung!$I$6:$I$3665,MATCH(INDEX(Zeiterfassung!$K$6:$K$3665,$K3449),Zeiterfassung!$K$6:$K$3665,0))))</f>
        <v/>
      </c>
      <c r="J3449" s="335">
        <f>IF(B3449=B3448,"",IF($K3449="","",INDEX(Zeiterfassung!$J$6:$J$3665,MATCH(INDEX(Zeiterfassung!$K$6:$K$3665,$K3449),Zeiterfassung!$K$6:$K$3665,0))))</f>
        <v/>
      </c>
      <c r="K3449">
        <f>IFERROR(AGGREGATE(15,6,(ROW(Zeiterfassung!$D$6:$D$3665)-ROW(Zeiterfassung!$D$6)+1)/(Zeiterfassung!$D$6:$D$3665&lt;&gt;""),3444),"")</f>
        <v/>
      </c>
    </row>
    <row r="3450" ht="20" customHeight="1">
      <c r="A3450" s="183">
        <f>IF($K3450="","",WEEKNUM(INDEX(Zeiterfassung!$K$6:$K$3665,$K3450),21))</f>
        <v/>
      </c>
      <c r="B3450" s="184">
        <f>IF($K3450="","",INDEX(Zeiterfassung!$K$6:$K$3665,$K3450))</f>
        <v/>
      </c>
      <c r="C3450" s="185">
        <f>IF($K3450="","",INDEX(Zeiterfassung!$K$6:$K$3665,$K3450))</f>
        <v/>
      </c>
      <c r="D3450" s="186">
        <f>IF($K3450="","",INDEX(Zeiterfassung!$D$6:$D$3665,$K3450))</f>
        <v/>
      </c>
      <c r="E3450" s="186">
        <f>IF($K3450="","",INDEX(Zeiterfassung!$E$6:$E$3665,$K3450))</f>
        <v/>
      </c>
      <c r="F3450" s="187">
        <f>IF($K3450="","",INDEX(Zeiterfassung!$F$6:$F$3665,$K3450))</f>
        <v/>
      </c>
      <c r="G3450" s="187">
        <f>IF($K3450="","",INDEX(Zeiterfassung!$G$6:$G$3665,$K3450))</f>
        <v/>
      </c>
      <c r="H3450" s="188">
        <f>IF($K3450="","",INDEX(Zeiterfassung!$H$6:$H$3665,$K3450))</f>
        <v/>
      </c>
      <c r="I3450" s="335">
        <f>IF(B3450=B3449,"",IF($K3450="","",INDEX(Zeiterfassung!$I$6:$I$3665,MATCH(INDEX(Zeiterfassung!$K$6:$K$3665,$K3450),Zeiterfassung!$K$6:$K$3665,0))))</f>
        <v/>
      </c>
      <c r="J3450" s="335">
        <f>IF(B3450=B3449,"",IF($K3450="","",INDEX(Zeiterfassung!$J$6:$J$3665,MATCH(INDEX(Zeiterfassung!$K$6:$K$3665,$K3450),Zeiterfassung!$K$6:$K$3665,0))))</f>
        <v/>
      </c>
      <c r="K3450">
        <f>IFERROR(AGGREGATE(15,6,(ROW(Zeiterfassung!$D$6:$D$3665)-ROW(Zeiterfassung!$D$6)+1)/(Zeiterfassung!$D$6:$D$3665&lt;&gt;""),3445),"")</f>
        <v/>
      </c>
    </row>
    <row r="3451" ht="20" customHeight="1">
      <c r="A3451" s="183">
        <f>IF($K3451="","",WEEKNUM(INDEX(Zeiterfassung!$K$6:$K$3665,$K3451),21))</f>
        <v/>
      </c>
      <c r="B3451" s="184">
        <f>IF($K3451="","",INDEX(Zeiterfassung!$K$6:$K$3665,$K3451))</f>
        <v/>
      </c>
      <c r="C3451" s="185">
        <f>IF($K3451="","",INDEX(Zeiterfassung!$K$6:$K$3665,$K3451))</f>
        <v/>
      </c>
      <c r="D3451" s="186">
        <f>IF($K3451="","",INDEX(Zeiterfassung!$D$6:$D$3665,$K3451))</f>
        <v/>
      </c>
      <c r="E3451" s="186">
        <f>IF($K3451="","",INDEX(Zeiterfassung!$E$6:$E$3665,$K3451))</f>
        <v/>
      </c>
      <c r="F3451" s="187">
        <f>IF($K3451="","",INDEX(Zeiterfassung!$F$6:$F$3665,$K3451))</f>
        <v/>
      </c>
      <c r="G3451" s="187">
        <f>IF($K3451="","",INDEX(Zeiterfassung!$G$6:$G$3665,$K3451))</f>
        <v/>
      </c>
      <c r="H3451" s="188">
        <f>IF($K3451="","",INDEX(Zeiterfassung!$H$6:$H$3665,$K3451))</f>
        <v/>
      </c>
      <c r="I3451" s="335">
        <f>IF(B3451=B3450,"",IF($K3451="","",INDEX(Zeiterfassung!$I$6:$I$3665,MATCH(INDEX(Zeiterfassung!$K$6:$K$3665,$K3451),Zeiterfassung!$K$6:$K$3665,0))))</f>
        <v/>
      </c>
      <c r="J3451" s="335">
        <f>IF(B3451=B3450,"",IF($K3451="","",INDEX(Zeiterfassung!$J$6:$J$3665,MATCH(INDEX(Zeiterfassung!$K$6:$K$3665,$K3451),Zeiterfassung!$K$6:$K$3665,0))))</f>
        <v/>
      </c>
      <c r="K3451">
        <f>IFERROR(AGGREGATE(15,6,(ROW(Zeiterfassung!$D$6:$D$3665)-ROW(Zeiterfassung!$D$6)+1)/(Zeiterfassung!$D$6:$D$3665&lt;&gt;""),3446),"")</f>
        <v/>
      </c>
    </row>
    <row r="3452" ht="20" customHeight="1">
      <c r="A3452" s="183">
        <f>IF($K3452="","",WEEKNUM(INDEX(Zeiterfassung!$K$6:$K$3665,$K3452),21))</f>
        <v/>
      </c>
      <c r="B3452" s="184">
        <f>IF($K3452="","",INDEX(Zeiterfassung!$K$6:$K$3665,$K3452))</f>
        <v/>
      </c>
      <c r="C3452" s="185">
        <f>IF($K3452="","",INDEX(Zeiterfassung!$K$6:$K$3665,$K3452))</f>
        <v/>
      </c>
      <c r="D3452" s="186">
        <f>IF($K3452="","",INDEX(Zeiterfassung!$D$6:$D$3665,$K3452))</f>
        <v/>
      </c>
      <c r="E3452" s="186">
        <f>IF($K3452="","",INDEX(Zeiterfassung!$E$6:$E$3665,$K3452))</f>
        <v/>
      </c>
      <c r="F3452" s="187">
        <f>IF($K3452="","",INDEX(Zeiterfassung!$F$6:$F$3665,$K3452))</f>
        <v/>
      </c>
      <c r="G3452" s="187">
        <f>IF($K3452="","",INDEX(Zeiterfassung!$G$6:$G$3665,$K3452))</f>
        <v/>
      </c>
      <c r="H3452" s="188">
        <f>IF($K3452="","",INDEX(Zeiterfassung!$H$6:$H$3665,$K3452))</f>
        <v/>
      </c>
      <c r="I3452" s="335">
        <f>IF(B3452=B3451,"",IF($K3452="","",INDEX(Zeiterfassung!$I$6:$I$3665,MATCH(INDEX(Zeiterfassung!$K$6:$K$3665,$K3452),Zeiterfassung!$K$6:$K$3665,0))))</f>
        <v/>
      </c>
      <c r="J3452" s="335">
        <f>IF(B3452=B3451,"",IF($K3452="","",INDEX(Zeiterfassung!$J$6:$J$3665,MATCH(INDEX(Zeiterfassung!$K$6:$K$3665,$K3452),Zeiterfassung!$K$6:$K$3665,0))))</f>
        <v/>
      </c>
      <c r="K3452">
        <f>IFERROR(AGGREGATE(15,6,(ROW(Zeiterfassung!$D$6:$D$3665)-ROW(Zeiterfassung!$D$6)+1)/(Zeiterfassung!$D$6:$D$3665&lt;&gt;""),3447),"")</f>
        <v/>
      </c>
    </row>
    <row r="3453" ht="20" customHeight="1">
      <c r="A3453" s="183">
        <f>IF($K3453="","",WEEKNUM(INDEX(Zeiterfassung!$K$6:$K$3665,$K3453),21))</f>
        <v/>
      </c>
      <c r="B3453" s="184">
        <f>IF($K3453="","",INDEX(Zeiterfassung!$K$6:$K$3665,$K3453))</f>
        <v/>
      </c>
      <c r="C3453" s="185">
        <f>IF($K3453="","",INDEX(Zeiterfassung!$K$6:$K$3665,$K3453))</f>
        <v/>
      </c>
      <c r="D3453" s="186">
        <f>IF($K3453="","",INDEX(Zeiterfassung!$D$6:$D$3665,$K3453))</f>
        <v/>
      </c>
      <c r="E3453" s="186">
        <f>IF($K3453="","",INDEX(Zeiterfassung!$E$6:$E$3665,$K3453))</f>
        <v/>
      </c>
      <c r="F3453" s="187">
        <f>IF($K3453="","",INDEX(Zeiterfassung!$F$6:$F$3665,$K3453))</f>
        <v/>
      </c>
      <c r="G3453" s="187">
        <f>IF($K3453="","",INDEX(Zeiterfassung!$G$6:$G$3665,$K3453))</f>
        <v/>
      </c>
      <c r="H3453" s="188">
        <f>IF($K3453="","",INDEX(Zeiterfassung!$H$6:$H$3665,$K3453))</f>
        <v/>
      </c>
      <c r="I3453" s="335">
        <f>IF(B3453=B3452,"",IF($K3453="","",INDEX(Zeiterfassung!$I$6:$I$3665,MATCH(INDEX(Zeiterfassung!$K$6:$K$3665,$K3453),Zeiterfassung!$K$6:$K$3665,0))))</f>
        <v/>
      </c>
      <c r="J3453" s="335">
        <f>IF(B3453=B3452,"",IF($K3453="","",INDEX(Zeiterfassung!$J$6:$J$3665,MATCH(INDEX(Zeiterfassung!$K$6:$K$3665,$K3453),Zeiterfassung!$K$6:$K$3665,0))))</f>
        <v/>
      </c>
      <c r="K3453">
        <f>IFERROR(AGGREGATE(15,6,(ROW(Zeiterfassung!$D$6:$D$3665)-ROW(Zeiterfassung!$D$6)+1)/(Zeiterfassung!$D$6:$D$3665&lt;&gt;""),3448),"")</f>
        <v/>
      </c>
    </row>
    <row r="3454" ht="20" customHeight="1">
      <c r="A3454" s="183">
        <f>IF($K3454="","",WEEKNUM(INDEX(Zeiterfassung!$K$6:$K$3665,$K3454),21))</f>
        <v/>
      </c>
      <c r="B3454" s="184">
        <f>IF($K3454="","",INDEX(Zeiterfassung!$K$6:$K$3665,$K3454))</f>
        <v/>
      </c>
      <c r="C3454" s="185">
        <f>IF($K3454="","",INDEX(Zeiterfassung!$K$6:$K$3665,$K3454))</f>
        <v/>
      </c>
      <c r="D3454" s="186">
        <f>IF($K3454="","",INDEX(Zeiterfassung!$D$6:$D$3665,$K3454))</f>
        <v/>
      </c>
      <c r="E3454" s="186">
        <f>IF($K3454="","",INDEX(Zeiterfassung!$E$6:$E$3665,$K3454))</f>
        <v/>
      </c>
      <c r="F3454" s="187">
        <f>IF($K3454="","",INDEX(Zeiterfassung!$F$6:$F$3665,$K3454))</f>
        <v/>
      </c>
      <c r="G3454" s="187">
        <f>IF($K3454="","",INDEX(Zeiterfassung!$G$6:$G$3665,$K3454))</f>
        <v/>
      </c>
      <c r="H3454" s="188">
        <f>IF($K3454="","",INDEX(Zeiterfassung!$H$6:$H$3665,$K3454))</f>
        <v/>
      </c>
      <c r="I3454" s="335">
        <f>IF(B3454=B3453,"",IF($K3454="","",INDEX(Zeiterfassung!$I$6:$I$3665,MATCH(INDEX(Zeiterfassung!$K$6:$K$3665,$K3454),Zeiterfassung!$K$6:$K$3665,0))))</f>
        <v/>
      </c>
      <c r="J3454" s="335">
        <f>IF(B3454=B3453,"",IF($K3454="","",INDEX(Zeiterfassung!$J$6:$J$3665,MATCH(INDEX(Zeiterfassung!$K$6:$K$3665,$K3454),Zeiterfassung!$K$6:$K$3665,0))))</f>
        <v/>
      </c>
      <c r="K3454">
        <f>IFERROR(AGGREGATE(15,6,(ROW(Zeiterfassung!$D$6:$D$3665)-ROW(Zeiterfassung!$D$6)+1)/(Zeiterfassung!$D$6:$D$3665&lt;&gt;""),3449),"")</f>
        <v/>
      </c>
    </row>
    <row r="3455" ht="20" customHeight="1">
      <c r="A3455" s="183">
        <f>IF($K3455="","",WEEKNUM(INDEX(Zeiterfassung!$K$6:$K$3665,$K3455),21))</f>
        <v/>
      </c>
      <c r="B3455" s="184">
        <f>IF($K3455="","",INDEX(Zeiterfassung!$K$6:$K$3665,$K3455))</f>
        <v/>
      </c>
      <c r="C3455" s="185">
        <f>IF($K3455="","",INDEX(Zeiterfassung!$K$6:$K$3665,$K3455))</f>
        <v/>
      </c>
      <c r="D3455" s="186">
        <f>IF($K3455="","",INDEX(Zeiterfassung!$D$6:$D$3665,$K3455))</f>
        <v/>
      </c>
      <c r="E3455" s="186">
        <f>IF($K3455="","",INDEX(Zeiterfassung!$E$6:$E$3665,$K3455))</f>
        <v/>
      </c>
      <c r="F3455" s="187">
        <f>IF($K3455="","",INDEX(Zeiterfassung!$F$6:$F$3665,$K3455))</f>
        <v/>
      </c>
      <c r="G3455" s="187">
        <f>IF($K3455="","",INDEX(Zeiterfassung!$G$6:$G$3665,$K3455))</f>
        <v/>
      </c>
      <c r="H3455" s="188">
        <f>IF($K3455="","",INDEX(Zeiterfassung!$H$6:$H$3665,$K3455))</f>
        <v/>
      </c>
      <c r="I3455" s="335">
        <f>IF(B3455=B3454,"",IF($K3455="","",INDEX(Zeiterfassung!$I$6:$I$3665,MATCH(INDEX(Zeiterfassung!$K$6:$K$3665,$K3455),Zeiterfassung!$K$6:$K$3665,0))))</f>
        <v/>
      </c>
      <c r="J3455" s="335">
        <f>IF(B3455=B3454,"",IF($K3455="","",INDEX(Zeiterfassung!$J$6:$J$3665,MATCH(INDEX(Zeiterfassung!$K$6:$K$3665,$K3455),Zeiterfassung!$K$6:$K$3665,0))))</f>
        <v/>
      </c>
      <c r="K3455">
        <f>IFERROR(AGGREGATE(15,6,(ROW(Zeiterfassung!$D$6:$D$3665)-ROW(Zeiterfassung!$D$6)+1)/(Zeiterfassung!$D$6:$D$3665&lt;&gt;""),3450),"")</f>
        <v/>
      </c>
    </row>
    <row r="3456" ht="20" customHeight="1">
      <c r="A3456" s="183">
        <f>IF($K3456="","",WEEKNUM(INDEX(Zeiterfassung!$K$6:$K$3665,$K3456),21))</f>
        <v/>
      </c>
      <c r="B3456" s="184">
        <f>IF($K3456="","",INDEX(Zeiterfassung!$K$6:$K$3665,$K3456))</f>
        <v/>
      </c>
      <c r="C3456" s="185">
        <f>IF($K3456="","",INDEX(Zeiterfassung!$K$6:$K$3665,$K3456))</f>
        <v/>
      </c>
      <c r="D3456" s="186">
        <f>IF($K3456="","",INDEX(Zeiterfassung!$D$6:$D$3665,$K3456))</f>
        <v/>
      </c>
      <c r="E3456" s="186">
        <f>IF($K3456="","",INDEX(Zeiterfassung!$E$6:$E$3665,$K3456))</f>
        <v/>
      </c>
      <c r="F3456" s="187">
        <f>IF($K3456="","",INDEX(Zeiterfassung!$F$6:$F$3665,$K3456))</f>
        <v/>
      </c>
      <c r="G3456" s="187">
        <f>IF($K3456="","",INDEX(Zeiterfassung!$G$6:$G$3665,$K3456))</f>
        <v/>
      </c>
      <c r="H3456" s="188">
        <f>IF($K3456="","",INDEX(Zeiterfassung!$H$6:$H$3665,$K3456))</f>
        <v/>
      </c>
      <c r="I3456" s="335">
        <f>IF(B3456=B3455,"",IF($K3456="","",INDEX(Zeiterfassung!$I$6:$I$3665,MATCH(INDEX(Zeiterfassung!$K$6:$K$3665,$K3456),Zeiterfassung!$K$6:$K$3665,0))))</f>
        <v/>
      </c>
      <c r="J3456" s="335">
        <f>IF(B3456=B3455,"",IF($K3456="","",INDEX(Zeiterfassung!$J$6:$J$3665,MATCH(INDEX(Zeiterfassung!$K$6:$K$3665,$K3456),Zeiterfassung!$K$6:$K$3665,0))))</f>
        <v/>
      </c>
      <c r="K3456">
        <f>IFERROR(AGGREGATE(15,6,(ROW(Zeiterfassung!$D$6:$D$3665)-ROW(Zeiterfassung!$D$6)+1)/(Zeiterfassung!$D$6:$D$3665&lt;&gt;""),3451),"")</f>
        <v/>
      </c>
    </row>
    <row r="3457" ht="20" customHeight="1">
      <c r="A3457" s="183">
        <f>IF($K3457="","",WEEKNUM(INDEX(Zeiterfassung!$K$6:$K$3665,$K3457),21))</f>
        <v/>
      </c>
      <c r="B3457" s="184">
        <f>IF($K3457="","",INDEX(Zeiterfassung!$K$6:$K$3665,$K3457))</f>
        <v/>
      </c>
      <c r="C3457" s="185">
        <f>IF($K3457="","",INDEX(Zeiterfassung!$K$6:$K$3665,$K3457))</f>
        <v/>
      </c>
      <c r="D3457" s="186">
        <f>IF($K3457="","",INDEX(Zeiterfassung!$D$6:$D$3665,$K3457))</f>
        <v/>
      </c>
      <c r="E3457" s="186">
        <f>IF($K3457="","",INDEX(Zeiterfassung!$E$6:$E$3665,$K3457))</f>
        <v/>
      </c>
      <c r="F3457" s="187">
        <f>IF($K3457="","",INDEX(Zeiterfassung!$F$6:$F$3665,$K3457))</f>
        <v/>
      </c>
      <c r="G3457" s="187">
        <f>IF($K3457="","",INDEX(Zeiterfassung!$G$6:$G$3665,$K3457))</f>
        <v/>
      </c>
      <c r="H3457" s="188">
        <f>IF($K3457="","",INDEX(Zeiterfassung!$H$6:$H$3665,$K3457))</f>
        <v/>
      </c>
      <c r="I3457" s="335">
        <f>IF(B3457=B3456,"",IF($K3457="","",INDEX(Zeiterfassung!$I$6:$I$3665,MATCH(INDEX(Zeiterfassung!$K$6:$K$3665,$K3457),Zeiterfassung!$K$6:$K$3665,0))))</f>
        <v/>
      </c>
      <c r="J3457" s="335">
        <f>IF(B3457=B3456,"",IF($K3457="","",INDEX(Zeiterfassung!$J$6:$J$3665,MATCH(INDEX(Zeiterfassung!$K$6:$K$3665,$K3457),Zeiterfassung!$K$6:$K$3665,0))))</f>
        <v/>
      </c>
      <c r="K3457">
        <f>IFERROR(AGGREGATE(15,6,(ROW(Zeiterfassung!$D$6:$D$3665)-ROW(Zeiterfassung!$D$6)+1)/(Zeiterfassung!$D$6:$D$3665&lt;&gt;""),3452),"")</f>
        <v/>
      </c>
    </row>
    <row r="3458" ht="20" customHeight="1">
      <c r="A3458" s="183">
        <f>IF($K3458="","",WEEKNUM(INDEX(Zeiterfassung!$K$6:$K$3665,$K3458),21))</f>
        <v/>
      </c>
      <c r="B3458" s="184">
        <f>IF($K3458="","",INDEX(Zeiterfassung!$K$6:$K$3665,$K3458))</f>
        <v/>
      </c>
      <c r="C3458" s="185">
        <f>IF($K3458="","",INDEX(Zeiterfassung!$K$6:$K$3665,$K3458))</f>
        <v/>
      </c>
      <c r="D3458" s="186">
        <f>IF($K3458="","",INDEX(Zeiterfassung!$D$6:$D$3665,$K3458))</f>
        <v/>
      </c>
      <c r="E3458" s="186">
        <f>IF($K3458="","",INDEX(Zeiterfassung!$E$6:$E$3665,$K3458))</f>
        <v/>
      </c>
      <c r="F3458" s="187">
        <f>IF($K3458="","",INDEX(Zeiterfassung!$F$6:$F$3665,$K3458))</f>
        <v/>
      </c>
      <c r="G3458" s="187">
        <f>IF($K3458="","",INDEX(Zeiterfassung!$G$6:$G$3665,$K3458))</f>
        <v/>
      </c>
      <c r="H3458" s="188">
        <f>IF($K3458="","",INDEX(Zeiterfassung!$H$6:$H$3665,$K3458))</f>
        <v/>
      </c>
      <c r="I3458" s="335">
        <f>IF(B3458=B3457,"",IF($K3458="","",INDEX(Zeiterfassung!$I$6:$I$3665,MATCH(INDEX(Zeiterfassung!$K$6:$K$3665,$K3458),Zeiterfassung!$K$6:$K$3665,0))))</f>
        <v/>
      </c>
      <c r="J3458" s="335">
        <f>IF(B3458=B3457,"",IF($K3458="","",INDEX(Zeiterfassung!$J$6:$J$3665,MATCH(INDEX(Zeiterfassung!$K$6:$K$3665,$K3458),Zeiterfassung!$K$6:$K$3665,0))))</f>
        <v/>
      </c>
      <c r="K3458">
        <f>IFERROR(AGGREGATE(15,6,(ROW(Zeiterfassung!$D$6:$D$3665)-ROW(Zeiterfassung!$D$6)+1)/(Zeiterfassung!$D$6:$D$3665&lt;&gt;""),3453),"")</f>
        <v/>
      </c>
    </row>
    <row r="3459" ht="20" customHeight="1">
      <c r="A3459" s="183">
        <f>IF($K3459="","",WEEKNUM(INDEX(Zeiterfassung!$K$6:$K$3665,$K3459),21))</f>
        <v/>
      </c>
      <c r="B3459" s="184">
        <f>IF($K3459="","",INDEX(Zeiterfassung!$K$6:$K$3665,$K3459))</f>
        <v/>
      </c>
      <c r="C3459" s="185">
        <f>IF($K3459="","",INDEX(Zeiterfassung!$K$6:$K$3665,$K3459))</f>
        <v/>
      </c>
      <c r="D3459" s="186">
        <f>IF($K3459="","",INDEX(Zeiterfassung!$D$6:$D$3665,$K3459))</f>
        <v/>
      </c>
      <c r="E3459" s="186">
        <f>IF($K3459="","",INDEX(Zeiterfassung!$E$6:$E$3665,$K3459))</f>
        <v/>
      </c>
      <c r="F3459" s="187">
        <f>IF($K3459="","",INDEX(Zeiterfassung!$F$6:$F$3665,$K3459))</f>
        <v/>
      </c>
      <c r="G3459" s="187">
        <f>IF($K3459="","",INDEX(Zeiterfassung!$G$6:$G$3665,$K3459))</f>
        <v/>
      </c>
      <c r="H3459" s="188">
        <f>IF($K3459="","",INDEX(Zeiterfassung!$H$6:$H$3665,$K3459))</f>
        <v/>
      </c>
      <c r="I3459" s="335">
        <f>IF(B3459=B3458,"",IF($K3459="","",INDEX(Zeiterfassung!$I$6:$I$3665,MATCH(INDEX(Zeiterfassung!$K$6:$K$3665,$K3459),Zeiterfassung!$K$6:$K$3665,0))))</f>
        <v/>
      </c>
      <c r="J3459" s="335">
        <f>IF(B3459=B3458,"",IF($K3459="","",INDEX(Zeiterfassung!$J$6:$J$3665,MATCH(INDEX(Zeiterfassung!$K$6:$K$3665,$K3459),Zeiterfassung!$K$6:$K$3665,0))))</f>
        <v/>
      </c>
      <c r="K3459">
        <f>IFERROR(AGGREGATE(15,6,(ROW(Zeiterfassung!$D$6:$D$3665)-ROW(Zeiterfassung!$D$6)+1)/(Zeiterfassung!$D$6:$D$3665&lt;&gt;""),3454),"")</f>
        <v/>
      </c>
    </row>
    <row r="3460" ht="20" customHeight="1">
      <c r="A3460" s="183">
        <f>IF($K3460="","",WEEKNUM(INDEX(Zeiterfassung!$K$6:$K$3665,$K3460),21))</f>
        <v/>
      </c>
      <c r="B3460" s="184">
        <f>IF($K3460="","",INDEX(Zeiterfassung!$K$6:$K$3665,$K3460))</f>
        <v/>
      </c>
      <c r="C3460" s="185">
        <f>IF($K3460="","",INDEX(Zeiterfassung!$K$6:$K$3665,$K3460))</f>
        <v/>
      </c>
      <c r="D3460" s="186">
        <f>IF($K3460="","",INDEX(Zeiterfassung!$D$6:$D$3665,$K3460))</f>
        <v/>
      </c>
      <c r="E3460" s="186">
        <f>IF($K3460="","",INDEX(Zeiterfassung!$E$6:$E$3665,$K3460))</f>
        <v/>
      </c>
      <c r="F3460" s="187">
        <f>IF($K3460="","",INDEX(Zeiterfassung!$F$6:$F$3665,$K3460))</f>
        <v/>
      </c>
      <c r="G3460" s="187">
        <f>IF($K3460="","",INDEX(Zeiterfassung!$G$6:$G$3665,$K3460))</f>
        <v/>
      </c>
      <c r="H3460" s="188">
        <f>IF($K3460="","",INDEX(Zeiterfassung!$H$6:$H$3665,$K3460))</f>
        <v/>
      </c>
      <c r="I3460" s="335">
        <f>IF(B3460=B3459,"",IF($K3460="","",INDEX(Zeiterfassung!$I$6:$I$3665,MATCH(INDEX(Zeiterfassung!$K$6:$K$3665,$K3460),Zeiterfassung!$K$6:$K$3665,0))))</f>
        <v/>
      </c>
      <c r="J3460" s="335">
        <f>IF(B3460=B3459,"",IF($K3460="","",INDEX(Zeiterfassung!$J$6:$J$3665,MATCH(INDEX(Zeiterfassung!$K$6:$K$3665,$K3460),Zeiterfassung!$K$6:$K$3665,0))))</f>
        <v/>
      </c>
      <c r="K3460">
        <f>IFERROR(AGGREGATE(15,6,(ROW(Zeiterfassung!$D$6:$D$3665)-ROW(Zeiterfassung!$D$6)+1)/(Zeiterfassung!$D$6:$D$3665&lt;&gt;""),3455),"")</f>
        <v/>
      </c>
    </row>
    <row r="3461" ht="20" customHeight="1">
      <c r="A3461" s="183">
        <f>IF($K3461="","",WEEKNUM(INDEX(Zeiterfassung!$K$6:$K$3665,$K3461),21))</f>
        <v/>
      </c>
      <c r="B3461" s="184">
        <f>IF($K3461="","",INDEX(Zeiterfassung!$K$6:$K$3665,$K3461))</f>
        <v/>
      </c>
      <c r="C3461" s="185">
        <f>IF($K3461="","",INDEX(Zeiterfassung!$K$6:$K$3665,$K3461))</f>
        <v/>
      </c>
      <c r="D3461" s="186">
        <f>IF($K3461="","",INDEX(Zeiterfassung!$D$6:$D$3665,$K3461))</f>
        <v/>
      </c>
      <c r="E3461" s="186">
        <f>IF($K3461="","",INDEX(Zeiterfassung!$E$6:$E$3665,$K3461))</f>
        <v/>
      </c>
      <c r="F3461" s="187">
        <f>IF($K3461="","",INDEX(Zeiterfassung!$F$6:$F$3665,$K3461))</f>
        <v/>
      </c>
      <c r="G3461" s="187">
        <f>IF($K3461="","",INDEX(Zeiterfassung!$G$6:$G$3665,$K3461))</f>
        <v/>
      </c>
      <c r="H3461" s="188">
        <f>IF($K3461="","",INDEX(Zeiterfassung!$H$6:$H$3665,$K3461))</f>
        <v/>
      </c>
      <c r="I3461" s="335">
        <f>IF(B3461=B3460,"",IF($K3461="","",INDEX(Zeiterfassung!$I$6:$I$3665,MATCH(INDEX(Zeiterfassung!$K$6:$K$3665,$K3461),Zeiterfassung!$K$6:$K$3665,0))))</f>
        <v/>
      </c>
      <c r="J3461" s="335">
        <f>IF(B3461=B3460,"",IF($K3461="","",INDEX(Zeiterfassung!$J$6:$J$3665,MATCH(INDEX(Zeiterfassung!$K$6:$K$3665,$K3461),Zeiterfassung!$K$6:$K$3665,0))))</f>
        <v/>
      </c>
      <c r="K3461">
        <f>IFERROR(AGGREGATE(15,6,(ROW(Zeiterfassung!$D$6:$D$3665)-ROW(Zeiterfassung!$D$6)+1)/(Zeiterfassung!$D$6:$D$3665&lt;&gt;""),3456),"")</f>
        <v/>
      </c>
    </row>
    <row r="3462" ht="20" customHeight="1">
      <c r="A3462" s="183">
        <f>IF($K3462="","",WEEKNUM(INDEX(Zeiterfassung!$K$6:$K$3665,$K3462),21))</f>
        <v/>
      </c>
      <c r="B3462" s="184">
        <f>IF($K3462="","",INDEX(Zeiterfassung!$K$6:$K$3665,$K3462))</f>
        <v/>
      </c>
      <c r="C3462" s="185">
        <f>IF($K3462="","",INDEX(Zeiterfassung!$K$6:$K$3665,$K3462))</f>
        <v/>
      </c>
      <c r="D3462" s="186">
        <f>IF($K3462="","",INDEX(Zeiterfassung!$D$6:$D$3665,$K3462))</f>
        <v/>
      </c>
      <c r="E3462" s="186">
        <f>IF($K3462="","",INDEX(Zeiterfassung!$E$6:$E$3665,$K3462))</f>
        <v/>
      </c>
      <c r="F3462" s="187">
        <f>IF($K3462="","",INDEX(Zeiterfassung!$F$6:$F$3665,$K3462))</f>
        <v/>
      </c>
      <c r="G3462" s="187">
        <f>IF($K3462="","",INDEX(Zeiterfassung!$G$6:$G$3665,$K3462))</f>
        <v/>
      </c>
      <c r="H3462" s="188">
        <f>IF($K3462="","",INDEX(Zeiterfassung!$H$6:$H$3665,$K3462))</f>
        <v/>
      </c>
      <c r="I3462" s="335">
        <f>IF(B3462=B3461,"",IF($K3462="","",INDEX(Zeiterfassung!$I$6:$I$3665,MATCH(INDEX(Zeiterfassung!$K$6:$K$3665,$K3462),Zeiterfassung!$K$6:$K$3665,0))))</f>
        <v/>
      </c>
      <c r="J3462" s="335">
        <f>IF(B3462=B3461,"",IF($K3462="","",INDEX(Zeiterfassung!$J$6:$J$3665,MATCH(INDEX(Zeiterfassung!$K$6:$K$3665,$K3462),Zeiterfassung!$K$6:$K$3665,0))))</f>
        <v/>
      </c>
      <c r="K3462">
        <f>IFERROR(AGGREGATE(15,6,(ROW(Zeiterfassung!$D$6:$D$3665)-ROW(Zeiterfassung!$D$6)+1)/(Zeiterfassung!$D$6:$D$3665&lt;&gt;""),3457),"")</f>
        <v/>
      </c>
    </row>
    <row r="3463" ht="20" customHeight="1">
      <c r="A3463" s="183">
        <f>IF($K3463="","",WEEKNUM(INDEX(Zeiterfassung!$K$6:$K$3665,$K3463),21))</f>
        <v/>
      </c>
      <c r="B3463" s="184">
        <f>IF($K3463="","",INDEX(Zeiterfassung!$K$6:$K$3665,$K3463))</f>
        <v/>
      </c>
      <c r="C3463" s="185">
        <f>IF($K3463="","",INDEX(Zeiterfassung!$K$6:$K$3665,$K3463))</f>
        <v/>
      </c>
      <c r="D3463" s="186">
        <f>IF($K3463="","",INDEX(Zeiterfassung!$D$6:$D$3665,$K3463))</f>
        <v/>
      </c>
      <c r="E3463" s="186">
        <f>IF($K3463="","",INDEX(Zeiterfassung!$E$6:$E$3665,$K3463))</f>
        <v/>
      </c>
      <c r="F3463" s="187">
        <f>IF($K3463="","",INDEX(Zeiterfassung!$F$6:$F$3665,$K3463))</f>
        <v/>
      </c>
      <c r="G3463" s="187">
        <f>IF($K3463="","",INDEX(Zeiterfassung!$G$6:$G$3665,$K3463))</f>
        <v/>
      </c>
      <c r="H3463" s="188">
        <f>IF($K3463="","",INDEX(Zeiterfassung!$H$6:$H$3665,$K3463))</f>
        <v/>
      </c>
      <c r="I3463" s="335">
        <f>IF(B3463=B3462,"",IF($K3463="","",INDEX(Zeiterfassung!$I$6:$I$3665,MATCH(INDEX(Zeiterfassung!$K$6:$K$3665,$K3463),Zeiterfassung!$K$6:$K$3665,0))))</f>
        <v/>
      </c>
      <c r="J3463" s="335">
        <f>IF(B3463=B3462,"",IF($K3463="","",INDEX(Zeiterfassung!$J$6:$J$3665,MATCH(INDEX(Zeiterfassung!$K$6:$K$3665,$K3463),Zeiterfassung!$K$6:$K$3665,0))))</f>
        <v/>
      </c>
      <c r="K3463">
        <f>IFERROR(AGGREGATE(15,6,(ROW(Zeiterfassung!$D$6:$D$3665)-ROW(Zeiterfassung!$D$6)+1)/(Zeiterfassung!$D$6:$D$3665&lt;&gt;""),3458),"")</f>
        <v/>
      </c>
    </row>
    <row r="3464" ht="20" customHeight="1">
      <c r="A3464" s="183">
        <f>IF($K3464="","",WEEKNUM(INDEX(Zeiterfassung!$K$6:$K$3665,$K3464),21))</f>
        <v/>
      </c>
      <c r="B3464" s="184">
        <f>IF($K3464="","",INDEX(Zeiterfassung!$K$6:$K$3665,$K3464))</f>
        <v/>
      </c>
      <c r="C3464" s="185">
        <f>IF($K3464="","",INDEX(Zeiterfassung!$K$6:$K$3665,$K3464))</f>
        <v/>
      </c>
      <c r="D3464" s="186">
        <f>IF($K3464="","",INDEX(Zeiterfassung!$D$6:$D$3665,$K3464))</f>
        <v/>
      </c>
      <c r="E3464" s="186">
        <f>IF($K3464="","",INDEX(Zeiterfassung!$E$6:$E$3665,$K3464))</f>
        <v/>
      </c>
      <c r="F3464" s="187">
        <f>IF($K3464="","",INDEX(Zeiterfassung!$F$6:$F$3665,$K3464))</f>
        <v/>
      </c>
      <c r="G3464" s="187">
        <f>IF($K3464="","",INDEX(Zeiterfassung!$G$6:$G$3665,$K3464))</f>
        <v/>
      </c>
      <c r="H3464" s="188">
        <f>IF($K3464="","",INDEX(Zeiterfassung!$H$6:$H$3665,$K3464))</f>
        <v/>
      </c>
      <c r="I3464" s="335">
        <f>IF(B3464=B3463,"",IF($K3464="","",INDEX(Zeiterfassung!$I$6:$I$3665,MATCH(INDEX(Zeiterfassung!$K$6:$K$3665,$K3464),Zeiterfassung!$K$6:$K$3665,0))))</f>
        <v/>
      </c>
      <c r="J3464" s="335">
        <f>IF(B3464=B3463,"",IF($K3464="","",INDEX(Zeiterfassung!$J$6:$J$3665,MATCH(INDEX(Zeiterfassung!$K$6:$K$3665,$K3464),Zeiterfassung!$K$6:$K$3665,0))))</f>
        <v/>
      </c>
      <c r="K3464">
        <f>IFERROR(AGGREGATE(15,6,(ROW(Zeiterfassung!$D$6:$D$3665)-ROW(Zeiterfassung!$D$6)+1)/(Zeiterfassung!$D$6:$D$3665&lt;&gt;""),3459),"")</f>
        <v/>
      </c>
    </row>
    <row r="3465" ht="20" customHeight="1">
      <c r="A3465" s="183">
        <f>IF($K3465="","",WEEKNUM(INDEX(Zeiterfassung!$K$6:$K$3665,$K3465),21))</f>
        <v/>
      </c>
      <c r="B3465" s="184">
        <f>IF($K3465="","",INDEX(Zeiterfassung!$K$6:$K$3665,$K3465))</f>
        <v/>
      </c>
      <c r="C3465" s="185">
        <f>IF($K3465="","",INDEX(Zeiterfassung!$K$6:$K$3665,$K3465))</f>
        <v/>
      </c>
      <c r="D3465" s="186">
        <f>IF($K3465="","",INDEX(Zeiterfassung!$D$6:$D$3665,$K3465))</f>
        <v/>
      </c>
      <c r="E3465" s="186">
        <f>IF($K3465="","",INDEX(Zeiterfassung!$E$6:$E$3665,$K3465))</f>
        <v/>
      </c>
      <c r="F3465" s="187">
        <f>IF($K3465="","",INDEX(Zeiterfassung!$F$6:$F$3665,$K3465))</f>
        <v/>
      </c>
      <c r="G3465" s="187">
        <f>IF($K3465="","",INDEX(Zeiterfassung!$G$6:$G$3665,$K3465))</f>
        <v/>
      </c>
      <c r="H3465" s="188">
        <f>IF($K3465="","",INDEX(Zeiterfassung!$H$6:$H$3665,$K3465))</f>
        <v/>
      </c>
      <c r="I3465" s="335">
        <f>IF(B3465=B3464,"",IF($K3465="","",INDEX(Zeiterfassung!$I$6:$I$3665,MATCH(INDEX(Zeiterfassung!$K$6:$K$3665,$K3465),Zeiterfassung!$K$6:$K$3665,0))))</f>
        <v/>
      </c>
      <c r="J3465" s="335">
        <f>IF(B3465=B3464,"",IF($K3465="","",INDEX(Zeiterfassung!$J$6:$J$3665,MATCH(INDEX(Zeiterfassung!$K$6:$K$3665,$K3465),Zeiterfassung!$K$6:$K$3665,0))))</f>
        <v/>
      </c>
      <c r="K3465">
        <f>IFERROR(AGGREGATE(15,6,(ROW(Zeiterfassung!$D$6:$D$3665)-ROW(Zeiterfassung!$D$6)+1)/(Zeiterfassung!$D$6:$D$3665&lt;&gt;""),3460),"")</f>
        <v/>
      </c>
    </row>
    <row r="3466" ht="20" customHeight="1">
      <c r="A3466" s="183">
        <f>IF($K3466="","",WEEKNUM(INDEX(Zeiterfassung!$K$6:$K$3665,$K3466),21))</f>
        <v/>
      </c>
      <c r="B3466" s="184">
        <f>IF($K3466="","",INDEX(Zeiterfassung!$K$6:$K$3665,$K3466))</f>
        <v/>
      </c>
      <c r="C3466" s="185">
        <f>IF($K3466="","",INDEX(Zeiterfassung!$K$6:$K$3665,$K3466))</f>
        <v/>
      </c>
      <c r="D3466" s="186">
        <f>IF($K3466="","",INDEX(Zeiterfassung!$D$6:$D$3665,$K3466))</f>
        <v/>
      </c>
      <c r="E3466" s="186">
        <f>IF($K3466="","",INDEX(Zeiterfassung!$E$6:$E$3665,$K3466))</f>
        <v/>
      </c>
      <c r="F3466" s="187">
        <f>IF($K3466="","",INDEX(Zeiterfassung!$F$6:$F$3665,$K3466))</f>
        <v/>
      </c>
      <c r="G3466" s="187">
        <f>IF($K3466="","",INDEX(Zeiterfassung!$G$6:$G$3665,$K3466))</f>
        <v/>
      </c>
      <c r="H3466" s="188">
        <f>IF($K3466="","",INDEX(Zeiterfassung!$H$6:$H$3665,$K3466))</f>
        <v/>
      </c>
      <c r="I3466" s="335">
        <f>IF(B3466=B3465,"",IF($K3466="","",INDEX(Zeiterfassung!$I$6:$I$3665,MATCH(INDEX(Zeiterfassung!$K$6:$K$3665,$K3466),Zeiterfassung!$K$6:$K$3665,0))))</f>
        <v/>
      </c>
      <c r="J3466" s="335">
        <f>IF(B3466=B3465,"",IF($K3466="","",INDEX(Zeiterfassung!$J$6:$J$3665,MATCH(INDEX(Zeiterfassung!$K$6:$K$3665,$K3466),Zeiterfassung!$K$6:$K$3665,0))))</f>
        <v/>
      </c>
      <c r="K3466">
        <f>IFERROR(AGGREGATE(15,6,(ROW(Zeiterfassung!$D$6:$D$3665)-ROW(Zeiterfassung!$D$6)+1)/(Zeiterfassung!$D$6:$D$3665&lt;&gt;""),3461),"")</f>
        <v/>
      </c>
    </row>
    <row r="3467" ht="20" customHeight="1">
      <c r="A3467" s="183">
        <f>IF($K3467="","",WEEKNUM(INDEX(Zeiterfassung!$K$6:$K$3665,$K3467),21))</f>
        <v/>
      </c>
      <c r="B3467" s="184">
        <f>IF($K3467="","",INDEX(Zeiterfassung!$K$6:$K$3665,$K3467))</f>
        <v/>
      </c>
      <c r="C3467" s="185">
        <f>IF($K3467="","",INDEX(Zeiterfassung!$K$6:$K$3665,$K3467))</f>
        <v/>
      </c>
      <c r="D3467" s="186">
        <f>IF($K3467="","",INDEX(Zeiterfassung!$D$6:$D$3665,$K3467))</f>
        <v/>
      </c>
      <c r="E3467" s="186">
        <f>IF($K3467="","",INDEX(Zeiterfassung!$E$6:$E$3665,$K3467))</f>
        <v/>
      </c>
      <c r="F3467" s="187">
        <f>IF($K3467="","",INDEX(Zeiterfassung!$F$6:$F$3665,$K3467))</f>
        <v/>
      </c>
      <c r="G3467" s="187">
        <f>IF($K3467="","",INDEX(Zeiterfassung!$G$6:$G$3665,$K3467))</f>
        <v/>
      </c>
      <c r="H3467" s="188">
        <f>IF($K3467="","",INDEX(Zeiterfassung!$H$6:$H$3665,$K3467))</f>
        <v/>
      </c>
      <c r="I3467" s="335">
        <f>IF(B3467=B3466,"",IF($K3467="","",INDEX(Zeiterfassung!$I$6:$I$3665,MATCH(INDEX(Zeiterfassung!$K$6:$K$3665,$K3467),Zeiterfassung!$K$6:$K$3665,0))))</f>
        <v/>
      </c>
      <c r="J3467" s="335">
        <f>IF(B3467=B3466,"",IF($K3467="","",INDEX(Zeiterfassung!$J$6:$J$3665,MATCH(INDEX(Zeiterfassung!$K$6:$K$3665,$K3467),Zeiterfassung!$K$6:$K$3665,0))))</f>
        <v/>
      </c>
      <c r="K3467">
        <f>IFERROR(AGGREGATE(15,6,(ROW(Zeiterfassung!$D$6:$D$3665)-ROW(Zeiterfassung!$D$6)+1)/(Zeiterfassung!$D$6:$D$3665&lt;&gt;""),3462),"")</f>
        <v/>
      </c>
    </row>
    <row r="3468" ht="20" customHeight="1">
      <c r="A3468" s="183">
        <f>IF($K3468="","",WEEKNUM(INDEX(Zeiterfassung!$K$6:$K$3665,$K3468),21))</f>
        <v/>
      </c>
      <c r="B3468" s="184">
        <f>IF($K3468="","",INDEX(Zeiterfassung!$K$6:$K$3665,$K3468))</f>
        <v/>
      </c>
      <c r="C3468" s="185">
        <f>IF($K3468="","",INDEX(Zeiterfassung!$K$6:$K$3665,$K3468))</f>
        <v/>
      </c>
      <c r="D3468" s="186">
        <f>IF($K3468="","",INDEX(Zeiterfassung!$D$6:$D$3665,$K3468))</f>
        <v/>
      </c>
      <c r="E3468" s="186">
        <f>IF($K3468="","",INDEX(Zeiterfassung!$E$6:$E$3665,$K3468))</f>
        <v/>
      </c>
      <c r="F3468" s="187">
        <f>IF($K3468="","",INDEX(Zeiterfassung!$F$6:$F$3665,$K3468))</f>
        <v/>
      </c>
      <c r="G3468" s="187">
        <f>IF($K3468="","",INDEX(Zeiterfassung!$G$6:$G$3665,$K3468))</f>
        <v/>
      </c>
      <c r="H3468" s="188">
        <f>IF($K3468="","",INDEX(Zeiterfassung!$H$6:$H$3665,$K3468))</f>
        <v/>
      </c>
      <c r="I3468" s="335">
        <f>IF(B3468=B3467,"",IF($K3468="","",INDEX(Zeiterfassung!$I$6:$I$3665,MATCH(INDEX(Zeiterfassung!$K$6:$K$3665,$K3468),Zeiterfassung!$K$6:$K$3665,0))))</f>
        <v/>
      </c>
      <c r="J3468" s="335">
        <f>IF(B3468=B3467,"",IF($K3468="","",INDEX(Zeiterfassung!$J$6:$J$3665,MATCH(INDEX(Zeiterfassung!$K$6:$K$3665,$K3468),Zeiterfassung!$K$6:$K$3665,0))))</f>
        <v/>
      </c>
      <c r="K3468">
        <f>IFERROR(AGGREGATE(15,6,(ROW(Zeiterfassung!$D$6:$D$3665)-ROW(Zeiterfassung!$D$6)+1)/(Zeiterfassung!$D$6:$D$3665&lt;&gt;""),3463),"")</f>
        <v/>
      </c>
    </row>
    <row r="3469" ht="20" customHeight="1">
      <c r="A3469" s="183">
        <f>IF($K3469="","",WEEKNUM(INDEX(Zeiterfassung!$K$6:$K$3665,$K3469),21))</f>
        <v/>
      </c>
      <c r="B3469" s="184">
        <f>IF($K3469="","",INDEX(Zeiterfassung!$K$6:$K$3665,$K3469))</f>
        <v/>
      </c>
      <c r="C3469" s="185">
        <f>IF($K3469="","",INDEX(Zeiterfassung!$K$6:$K$3665,$K3469))</f>
        <v/>
      </c>
      <c r="D3469" s="186">
        <f>IF($K3469="","",INDEX(Zeiterfassung!$D$6:$D$3665,$K3469))</f>
        <v/>
      </c>
      <c r="E3469" s="186">
        <f>IF($K3469="","",INDEX(Zeiterfassung!$E$6:$E$3665,$K3469))</f>
        <v/>
      </c>
      <c r="F3469" s="187">
        <f>IF($K3469="","",INDEX(Zeiterfassung!$F$6:$F$3665,$K3469))</f>
        <v/>
      </c>
      <c r="G3469" s="187">
        <f>IF($K3469="","",INDEX(Zeiterfassung!$G$6:$G$3665,$K3469))</f>
        <v/>
      </c>
      <c r="H3469" s="188">
        <f>IF($K3469="","",INDEX(Zeiterfassung!$H$6:$H$3665,$K3469))</f>
        <v/>
      </c>
      <c r="I3469" s="335">
        <f>IF(B3469=B3468,"",IF($K3469="","",INDEX(Zeiterfassung!$I$6:$I$3665,MATCH(INDEX(Zeiterfassung!$K$6:$K$3665,$K3469),Zeiterfassung!$K$6:$K$3665,0))))</f>
        <v/>
      </c>
      <c r="J3469" s="335">
        <f>IF(B3469=B3468,"",IF($K3469="","",INDEX(Zeiterfassung!$J$6:$J$3665,MATCH(INDEX(Zeiterfassung!$K$6:$K$3665,$K3469),Zeiterfassung!$K$6:$K$3665,0))))</f>
        <v/>
      </c>
      <c r="K3469">
        <f>IFERROR(AGGREGATE(15,6,(ROW(Zeiterfassung!$D$6:$D$3665)-ROW(Zeiterfassung!$D$6)+1)/(Zeiterfassung!$D$6:$D$3665&lt;&gt;""),3464),"")</f>
        <v/>
      </c>
    </row>
    <row r="3470" ht="20" customHeight="1">
      <c r="A3470" s="183">
        <f>IF($K3470="","",WEEKNUM(INDEX(Zeiterfassung!$K$6:$K$3665,$K3470),21))</f>
        <v/>
      </c>
      <c r="B3470" s="184">
        <f>IF($K3470="","",INDEX(Zeiterfassung!$K$6:$K$3665,$K3470))</f>
        <v/>
      </c>
      <c r="C3470" s="185">
        <f>IF($K3470="","",INDEX(Zeiterfassung!$K$6:$K$3665,$K3470))</f>
        <v/>
      </c>
      <c r="D3470" s="186">
        <f>IF($K3470="","",INDEX(Zeiterfassung!$D$6:$D$3665,$K3470))</f>
        <v/>
      </c>
      <c r="E3470" s="186">
        <f>IF($K3470="","",INDEX(Zeiterfassung!$E$6:$E$3665,$K3470))</f>
        <v/>
      </c>
      <c r="F3470" s="187">
        <f>IF($K3470="","",INDEX(Zeiterfassung!$F$6:$F$3665,$K3470))</f>
        <v/>
      </c>
      <c r="G3470" s="187">
        <f>IF($K3470="","",INDEX(Zeiterfassung!$G$6:$G$3665,$K3470))</f>
        <v/>
      </c>
      <c r="H3470" s="188">
        <f>IF($K3470="","",INDEX(Zeiterfassung!$H$6:$H$3665,$K3470))</f>
        <v/>
      </c>
      <c r="I3470" s="335">
        <f>IF(B3470=B3469,"",IF($K3470="","",INDEX(Zeiterfassung!$I$6:$I$3665,MATCH(INDEX(Zeiterfassung!$K$6:$K$3665,$K3470),Zeiterfassung!$K$6:$K$3665,0))))</f>
        <v/>
      </c>
      <c r="J3470" s="335">
        <f>IF(B3470=B3469,"",IF($K3470="","",INDEX(Zeiterfassung!$J$6:$J$3665,MATCH(INDEX(Zeiterfassung!$K$6:$K$3665,$K3470),Zeiterfassung!$K$6:$K$3665,0))))</f>
        <v/>
      </c>
      <c r="K3470">
        <f>IFERROR(AGGREGATE(15,6,(ROW(Zeiterfassung!$D$6:$D$3665)-ROW(Zeiterfassung!$D$6)+1)/(Zeiterfassung!$D$6:$D$3665&lt;&gt;""),3465),"")</f>
        <v/>
      </c>
    </row>
    <row r="3471" ht="20" customHeight="1">
      <c r="A3471" s="183">
        <f>IF($K3471="","",WEEKNUM(INDEX(Zeiterfassung!$K$6:$K$3665,$K3471),21))</f>
        <v/>
      </c>
      <c r="B3471" s="184">
        <f>IF($K3471="","",INDEX(Zeiterfassung!$K$6:$K$3665,$K3471))</f>
        <v/>
      </c>
      <c r="C3471" s="185">
        <f>IF($K3471="","",INDEX(Zeiterfassung!$K$6:$K$3665,$K3471))</f>
        <v/>
      </c>
      <c r="D3471" s="186">
        <f>IF($K3471="","",INDEX(Zeiterfassung!$D$6:$D$3665,$K3471))</f>
        <v/>
      </c>
      <c r="E3471" s="186">
        <f>IF($K3471="","",INDEX(Zeiterfassung!$E$6:$E$3665,$K3471))</f>
        <v/>
      </c>
      <c r="F3471" s="187">
        <f>IF($K3471="","",INDEX(Zeiterfassung!$F$6:$F$3665,$K3471))</f>
        <v/>
      </c>
      <c r="G3471" s="187">
        <f>IF($K3471="","",INDEX(Zeiterfassung!$G$6:$G$3665,$K3471))</f>
        <v/>
      </c>
      <c r="H3471" s="188">
        <f>IF($K3471="","",INDEX(Zeiterfassung!$H$6:$H$3665,$K3471))</f>
        <v/>
      </c>
      <c r="I3471" s="335">
        <f>IF(B3471=B3470,"",IF($K3471="","",INDEX(Zeiterfassung!$I$6:$I$3665,MATCH(INDEX(Zeiterfassung!$K$6:$K$3665,$K3471),Zeiterfassung!$K$6:$K$3665,0))))</f>
        <v/>
      </c>
      <c r="J3471" s="335">
        <f>IF(B3471=B3470,"",IF($K3471="","",INDEX(Zeiterfassung!$J$6:$J$3665,MATCH(INDEX(Zeiterfassung!$K$6:$K$3665,$K3471),Zeiterfassung!$K$6:$K$3665,0))))</f>
        <v/>
      </c>
      <c r="K3471">
        <f>IFERROR(AGGREGATE(15,6,(ROW(Zeiterfassung!$D$6:$D$3665)-ROW(Zeiterfassung!$D$6)+1)/(Zeiterfassung!$D$6:$D$3665&lt;&gt;""),3466),"")</f>
        <v/>
      </c>
    </row>
    <row r="3472" ht="20" customHeight="1">
      <c r="A3472" s="183">
        <f>IF($K3472="","",WEEKNUM(INDEX(Zeiterfassung!$K$6:$K$3665,$K3472),21))</f>
        <v/>
      </c>
      <c r="B3472" s="184">
        <f>IF($K3472="","",INDEX(Zeiterfassung!$K$6:$K$3665,$K3472))</f>
        <v/>
      </c>
      <c r="C3472" s="185">
        <f>IF($K3472="","",INDEX(Zeiterfassung!$K$6:$K$3665,$K3472))</f>
        <v/>
      </c>
      <c r="D3472" s="186">
        <f>IF($K3472="","",INDEX(Zeiterfassung!$D$6:$D$3665,$K3472))</f>
        <v/>
      </c>
      <c r="E3472" s="186">
        <f>IF($K3472="","",INDEX(Zeiterfassung!$E$6:$E$3665,$K3472))</f>
        <v/>
      </c>
      <c r="F3472" s="187">
        <f>IF($K3472="","",INDEX(Zeiterfassung!$F$6:$F$3665,$K3472))</f>
        <v/>
      </c>
      <c r="G3472" s="187">
        <f>IF($K3472="","",INDEX(Zeiterfassung!$G$6:$G$3665,$K3472))</f>
        <v/>
      </c>
      <c r="H3472" s="188">
        <f>IF($K3472="","",INDEX(Zeiterfassung!$H$6:$H$3665,$K3472))</f>
        <v/>
      </c>
      <c r="I3472" s="335">
        <f>IF(B3472=B3471,"",IF($K3472="","",INDEX(Zeiterfassung!$I$6:$I$3665,MATCH(INDEX(Zeiterfassung!$K$6:$K$3665,$K3472),Zeiterfassung!$K$6:$K$3665,0))))</f>
        <v/>
      </c>
      <c r="J3472" s="335">
        <f>IF(B3472=B3471,"",IF($K3472="","",INDEX(Zeiterfassung!$J$6:$J$3665,MATCH(INDEX(Zeiterfassung!$K$6:$K$3665,$K3472),Zeiterfassung!$K$6:$K$3665,0))))</f>
        <v/>
      </c>
      <c r="K3472">
        <f>IFERROR(AGGREGATE(15,6,(ROW(Zeiterfassung!$D$6:$D$3665)-ROW(Zeiterfassung!$D$6)+1)/(Zeiterfassung!$D$6:$D$3665&lt;&gt;""),3467),"")</f>
        <v/>
      </c>
    </row>
    <row r="3473" ht="20" customHeight="1">
      <c r="A3473" s="183">
        <f>IF($K3473="","",WEEKNUM(INDEX(Zeiterfassung!$K$6:$K$3665,$K3473),21))</f>
        <v/>
      </c>
      <c r="B3473" s="184">
        <f>IF($K3473="","",INDEX(Zeiterfassung!$K$6:$K$3665,$K3473))</f>
        <v/>
      </c>
      <c r="C3473" s="185">
        <f>IF($K3473="","",INDEX(Zeiterfassung!$K$6:$K$3665,$K3473))</f>
        <v/>
      </c>
      <c r="D3473" s="186">
        <f>IF($K3473="","",INDEX(Zeiterfassung!$D$6:$D$3665,$K3473))</f>
        <v/>
      </c>
      <c r="E3473" s="186">
        <f>IF($K3473="","",INDEX(Zeiterfassung!$E$6:$E$3665,$K3473))</f>
        <v/>
      </c>
      <c r="F3473" s="187">
        <f>IF($K3473="","",INDEX(Zeiterfassung!$F$6:$F$3665,$K3473))</f>
        <v/>
      </c>
      <c r="G3473" s="187">
        <f>IF($K3473="","",INDEX(Zeiterfassung!$G$6:$G$3665,$K3473))</f>
        <v/>
      </c>
      <c r="H3473" s="188">
        <f>IF($K3473="","",INDEX(Zeiterfassung!$H$6:$H$3665,$K3473))</f>
        <v/>
      </c>
      <c r="I3473" s="335">
        <f>IF(B3473=B3472,"",IF($K3473="","",INDEX(Zeiterfassung!$I$6:$I$3665,MATCH(INDEX(Zeiterfassung!$K$6:$K$3665,$K3473),Zeiterfassung!$K$6:$K$3665,0))))</f>
        <v/>
      </c>
      <c r="J3473" s="335">
        <f>IF(B3473=B3472,"",IF($K3473="","",INDEX(Zeiterfassung!$J$6:$J$3665,MATCH(INDEX(Zeiterfassung!$K$6:$K$3665,$K3473),Zeiterfassung!$K$6:$K$3665,0))))</f>
        <v/>
      </c>
      <c r="K3473">
        <f>IFERROR(AGGREGATE(15,6,(ROW(Zeiterfassung!$D$6:$D$3665)-ROW(Zeiterfassung!$D$6)+1)/(Zeiterfassung!$D$6:$D$3665&lt;&gt;""),3468),"")</f>
        <v/>
      </c>
    </row>
    <row r="3474" ht="20" customHeight="1">
      <c r="A3474" s="183">
        <f>IF($K3474="","",WEEKNUM(INDEX(Zeiterfassung!$K$6:$K$3665,$K3474),21))</f>
        <v/>
      </c>
      <c r="B3474" s="184">
        <f>IF($K3474="","",INDEX(Zeiterfassung!$K$6:$K$3665,$K3474))</f>
        <v/>
      </c>
      <c r="C3474" s="185">
        <f>IF($K3474="","",INDEX(Zeiterfassung!$K$6:$K$3665,$K3474))</f>
        <v/>
      </c>
      <c r="D3474" s="186">
        <f>IF($K3474="","",INDEX(Zeiterfassung!$D$6:$D$3665,$K3474))</f>
        <v/>
      </c>
      <c r="E3474" s="186">
        <f>IF($K3474="","",INDEX(Zeiterfassung!$E$6:$E$3665,$K3474))</f>
        <v/>
      </c>
      <c r="F3474" s="187">
        <f>IF($K3474="","",INDEX(Zeiterfassung!$F$6:$F$3665,$K3474))</f>
        <v/>
      </c>
      <c r="G3474" s="187">
        <f>IF($K3474="","",INDEX(Zeiterfassung!$G$6:$G$3665,$K3474))</f>
        <v/>
      </c>
      <c r="H3474" s="188">
        <f>IF($K3474="","",INDEX(Zeiterfassung!$H$6:$H$3665,$K3474))</f>
        <v/>
      </c>
      <c r="I3474" s="335">
        <f>IF(B3474=B3473,"",IF($K3474="","",INDEX(Zeiterfassung!$I$6:$I$3665,MATCH(INDEX(Zeiterfassung!$K$6:$K$3665,$K3474),Zeiterfassung!$K$6:$K$3665,0))))</f>
        <v/>
      </c>
      <c r="J3474" s="335">
        <f>IF(B3474=B3473,"",IF($K3474="","",INDEX(Zeiterfassung!$J$6:$J$3665,MATCH(INDEX(Zeiterfassung!$K$6:$K$3665,$K3474),Zeiterfassung!$K$6:$K$3665,0))))</f>
        <v/>
      </c>
      <c r="K3474">
        <f>IFERROR(AGGREGATE(15,6,(ROW(Zeiterfassung!$D$6:$D$3665)-ROW(Zeiterfassung!$D$6)+1)/(Zeiterfassung!$D$6:$D$3665&lt;&gt;""),3469),"")</f>
        <v/>
      </c>
    </row>
    <row r="3475" ht="20" customHeight="1">
      <c r="A3475" s="183">
        <f>IF($K3475="","",WEEKNUM(INDEX(Zeiterfassung!$K$6:$K$3665,$K3475),21))</f>
        <v/>
      </c>
      <c r="B3475" s="184">
        <f>IF($K3475="","",INDEX(Zeiterfassung!$K$6:$K$3665,$K3475))</f>
        <v/>
      </c>
      <c r="C3475" s="185">
        <f>IF($K3475="","",INDEX(Zeiterfassung!$K$6:$K$3665,$K3475))</f>
        <v/>
      </c>
      <c r="D3475" s="186">
        <f>IF($K3475="","",INDEX(Zeiterfassung!$D$6:$D$3665,$K3475))</f>
        <v/>
      </c>
      <c r="E3475" s="186">
        <f>IF($K3475="","",INDEX(Zeiterfassung!$E$6:$E$3665,$K3475))</f>
        <v/>
      </c>
      <c r="F3475" s="187">
        <f>IF($K3475="","",INDEX(Zeiterfassung!$F$6:$F$3665,$K3475))</f>
        <v/>
      </c>
      <c r="G3475" s="187">
        <f>IF($K3475="","",INDEX(Zeiterfassung!$G$6:$G$3665,$K3475))</f>
        <v/>
      </c>
      <c r="H3475" s="188">
        <f>IF($K3475="","",INDEX(Zeiterfassung!$H$6:$H$3665,$K3475))</f>
        <v/>
      </c>
      <c r="I3475" s="335">
        <f>IF(B3475=B3474,"",IF($K3475="","",INDEX(Zeiterfassung!$I$6:$I$3665,MATCH(INDEX(Zeiterfassung!$K$6:$K$3665,$K3475),Zeiterfassung!$K$6:$K$3665,0))))</f>
        <v/>
      </c>
      <c r="J3475" s="335">
        <f>IF(B3475=B3474,"",IF($K3475="","",INDEX(Zeiterfassung!$J$6:$J$3665,MATCH(INDEX(Zeiterfassung!$K$6:$K$3665,$K3475),Zeiterfassung!$K$6:$K$3665,0))))</f>
        <v/>
      </c>
      <c r="K3475">
        <f>IFERROR(AGGREGATE(15,6,(ROW(Zeiterfassung!$D$6:$D$3665)-ROW(Zeiterfassung!$D$6)+1)/(Zeiterfassung!$D$6:$D$3665&lt;&gt;""),3470),"")</f>
        <v/>
      </c>
    </row>
    <row r="3476" ht="20" customHeight="1">
      <c r="A3476" s="183">
        <f>IF($K3476="","",WEEKNUM(INDEX(Zeiterfassung!$K$6:$K$3665,$K3476),21))</f>
        <v/>
      </c>
      <c r="B3476" s="184">
        <f>IF($K3476="","",INDEX(Zeiterfassung!$K$6:$K$3665,$K3476))</f>
        <v/>
      </c>
      <c r="C3476" s="185">
        <f>IF($K3476="","",INDEX(Zeiterfassung!$K$6:$K$3665,$K3476))</f>
        <v/>
      </c>
      <c r="D3476" s="186">
        <f>IF($K3476="","",INDEX(Zeiterfassung!$D$6:$D$3665,$K3476))</f>
        <v/>
      </c>
      <c r="E3476" s="186">
        <f>IF($K3476="","",INDEX(Zeiterfassung!$E$6:$E$3665,$K3476))</f>
        <v/>
      </c>
      <c r="F3476" s="187">
        <f>IF($K3476="","",INDEX(Zeiterfassung!$F$6:$F$3665,$K3476))</f>
        <v/>
      </c>
      <c r="G3476" s="187">
        <f>IF($K3476="","",INDEX(Zeiterfassung!$G$6:$G$3665,$K3476))</f>
        <v/>
      </c>
      <c r="H3476" s="188">
        <f>IF($K3476="","",INDEX(Zeiterfassung!$H$6:$H$3665,$K3476))</f>
        <v/>
      </c>
      <c r="I3476" s="335">
        <f>IF(B3476=B3475,"",IF($K3476="","",INDEX(Zeiterfassung!$I$6:$I$3665,MATCH(INDEX(Zeiterfassung!$K$6:$K$3665,$K3476),Zeiterfassung!$K$6:$K$3665,0))))</f>
        <v/>
      </c>
      <c r="J3476" s="335">
        <f>IF(B3476=B3475,"",IF($K3476="","",INDEX(Zeiterfassung!$J$6:$J$3665,MATCH(INDEX(Zeiterfassung!$K$6:$K$3665,$K3476),Zeiterfassung!$K$6:$K$3665,0))))</f>
        <v/>
      </c>
      <c r="K3476">
        <f>IFERROR(AGGREGATE(15,6,(ROW(Zeiterfassung!$D$6:$D$3665)-ROW(Zeiterfassung!$D$6)+1)/(Zeiterfassung!$D$6:$D$3665&lt;&gt;""),3471),"")</f>
        <v/>
      </c>
    </row>
    <row r="3477" ht="20" customHeight="1">
      <c r="A3477" s="183">
        <f>IF($K3477="","",WEEKNUM(INDEX(Zeiterfassung!$K$6:$K$3665,$K3477),21))</f>
        <v/>
      </c>
      <c r="B3477" s="184">
        <f>IF($K3477="","",INDEX(Zeiterfassung!$K$6:$K$3665,$K3477))</f>
        <v/>
      </c>
      <c r="C3477" s="185">
        <f>IF($K3477="","",INDEX(Zeiterfassung!$K$6:$K$3665,$K3477))</f>
        <v/>
      </c>
      <c r="D3477" s="186">
        <f>IF($K3477="","",INDEX(Zeiterfassung!$D$6:$D$3665,$K3477))</f>
        <v/>
      </c>
      <c r="E3477" s="186">
        <f>IF($K3477="","",INDEX(Zeiterfassung!$E$6:$E$3665,$K3477))</f>
        <v/>
      </c>
      <c r="F3477" s="187">
        <f>IF($K3477="","",INDEX(Zeiterfassung!$F$6:$F$3665,$K3477))</f>
        <v/>
      </c>
      <c r="G3477" s="187">
        <f>IF($K3477="","",INDEX(Zeiterfassung!$G$6:$G$3665,$K3477))</f>
        <v/>
      </c>
      <c r="H3477" s="188">
        <f>IF($K3477="","",INDEX(Zeiterfassung!$H$6:$H$3665,$K3477))</f>
        <v/>
      </c>
      <c r="I3477" s="335">
        <f>IF(B3477=B3476,"",IF($K3477="","",INDEX(Zeiterfassung!$I$6:$I$3665,MATCH(INDEX(Zeiterfassung!$K$6:$K$3665,$K3477),Zeiterfassung!$K$6:$K$3665,0))))</f>
        <v/>
      </c>
      <c r="J3477" s="335">
        <f>IF(B3477=B3476,"",IF($K3477="","",INDEX(Zeiterfassung!$J$6:$J$3665,MATCH(INDEX(Zeiterfassung!$K$6:$K$3665,$K3477),Zeiterfassung!$K$6:$K$3665,0))))</f>
        <v/>
      </c>
      <c r="K3477">
        <f>IFERROR(AGGREGATE(15,6,(ROW(Zeiterfassung!$D$6:$D$3665)-ROW(Zeiterfassung!$D$6)+1)/(Zeiterfassung!$D$6:$D$3665&lt;&gt;""),3472),"")</f>
        <v/>
      </c>
    </row>
    <row r="3478" ht="20" customHeight="1">
      <c r="A3478" s="183">
        <f>IF($K3478="","",WEEKNUM(INDEX(Zeiterfassung!$K$6:$K$3665,$K3478),21))</f>
        <v/>
      </c>
      <c r="B3478" s="184">
        <f>IF($K3478="","",INDEX(Zeiterfassung!$K$6:$K$3665,$K3478))</f>
        <v/>
      </c>
      <c r="C3478" s="185">
        <f>IF($K3478="","",INDEX(Zeiterfassung!$K$6:$K$3665,$K3478))</f>
        <v/>
      </c>
      <c r="D3478" s="186">
        <f>IF($K3478="","",INDEX(Zeiterfassung!$D$6:$D$3665,$K3478))</f>
        <v/>
      </c>
      <c r="E3478" s="186">
        <f>IF($K3478="","",INDEX(Zeiterfassung!$E$6:$E$3665,$K3478))</f>
        <v/>
      </c>
      <c r="F3478" s="187">
        <f>IF($K3478="","",INDEX(Zeiterfassung!$F$6:$F$3665,$K3478))</f>
        <v/>
      </c>
      <c r="G3478" s="187">
        <f>IF($K3478="","",INDEX(Zeiterfassung!$G$6:$G$3665,$K3478))</f>
        <v/>
      </c>
      <c r="H3478" s="188">
        <f>IF($K3478="","",INDEX(Zeiterfassung!$H$6:$H$3665,$K3478))</f>
        <v/>
      </c>
      <c r="I3478" s="335">
        <f>IF(B3478=B3477,"",IF($K3478="","",INDEX(Zeiterfassung!$I$6:$I$3665,MATCH(INDEX(Zeiterfassung!$K$6:$K$3665,$K3478),Zeiterfassung!$K$6:$K$3665,0))))</f>
        <v/>
      </c>
      <c r="J3478" s="335">
        <f>IF(B3478=B3477,"",IF($K3478="","",INDEX(Zeiterfassung!$J$6:$J$3665,MATCH(INDEX(Zeiterfassung!$K$6:$K$3665,$K3478),Zeiterfassung!$K$6:$K$3665,0))))</f>
        <v/>
      </c>
      <c r="K3478">
        <f>IFERROR(AGGREGATE(15,6,(ROW(Zeiterfassung!$D$6:$D$3665)-ROW(Zeiterfassung!$D$6)+1)/(Zeiterfassung!$D$6:$D$3665&lt;&gt;""),3473),"")</f>
        <v/>
      </c>
    </row>
    <row r="3479" ht="20" customHeight="1">
      <c r="A3479" s="183">
        <f>IF($K3479="","",WEEKNUM(INDEX(Zeiterfassung!$K$6:$K$3665,$K3479),21))</f>
        <v/>
      </c>
      <c r="B3479" s="184">
        <f>IF($K3479="","",INDEX(Zeiterfassung!$K$6:$K$3665,$K3479))</f>
        <v/>
      </c>
      <c r="C3479" s="185">
        <f>IF($K3479="","",INDEX(Zeiterfassung!$K$6:$K$3665,$K3479))</f>
        <v/>
      </c>
      <c r="D3479" s="186">
        <f>IF($K3479="","",INDEX(Zeiterfassung!$D$6:$D$3665,$K3479))</f>
        <v/>
      </c>
      <c r="E3479" s="186">
        <f>IF($K3479="","",INDEX(Zeiterfassung!$E$6:$E$3665,$K3479))</f>
        <v/>
      </c>
      <c r="F3479" s="187">
        <f>IF($K3479="","",INDEX(Zeiterfassung!$F$6:$F$3665,$K3479))</f>
        <v/>
      </c>
      <c r="G3479" s="187">
        <f>IF($K3479="","",INDEX(Zeiterfassung!$G$6:$G$3665,$K3479))</f>
        <v/>
      </c>
      <c r="H3479" s="188">
        <f>IF($K3479="","",INDEX(Zeiterfassung!$H$6:$H$3665,$K3479))</f>
        <v/>
      </c>
      <c r="I3479" s="335">
        <f>IF(B3479=B3478,"",IF($K3479="","",INDEX(Zeiterfassung!$I$6:$I$3665,MATCH(INDEX(Zeiterfassung!$K$6:$K$3665,$K3479),Zeiterfassung!$K$6:$K$3665,0))))</f>
        <v/>
      </c>
      <c r="J3479" s="335">
        <f>IF(B3479=B3478,"",IF($K3479="","",INDEX(Zeiterfassung!$J$6:$J$3665,MATCH(INDEX(Zeiterfassung!$K$6:$K$3665,$K3479),Zeiterfassung!$K$6:$K$3665,0))))</f>
        <v/>
      </c>
      <c r="K3479">
        <f>IFERROR(AGGREGATE(15,6,(ROW(Zeiterfassung!$D$6:$D$3665)-ROW(Zeiterfassung!$D$6)+1)/(Zeiterfassung!$D$6:$D$3665&lt;&gt;""),3474),"")</f>
        <v/>
      </c>
    </row>
    <row r="3480" ht="20" customHeight="1">
      <c r="A3480" s="183">
        <f>IF($K3480="","",WEEKNUM(INDEX(Zeiterfassung!$K$6:$K$3665,$K3480),21))</f>
        <v/>
      </c>
      <c r="B3480" s="184">
        <f>IF($K3480="","",INDEX(Zeiterfassung!$K$6:$K$3665,$K3480))</f>
        <v/>
      </c>
      <c r="C3480" s="185">
        <f>IF($K3480="","",INDEX(Zeiterfassung!$K$6:$K$3665,$K3480))</f>
        <v/>
      </c>
      <c r="D3480" s="186">
        <f>IF($K3480="","",INDEX(Zeiterfassung!$D$6:$D$3665,$K3480))</f>
        <v/>
      </c>
      <c r="E3480" s="186">
        <f>IF($K3480="","",INDEX(Zeiterfassung!$E$6:$E$3665,$K3480))</f>
        <v/>
      </c>
      <c r="F3480" s="187">
        <f>IF($K3480="","",INDEX(Zeiterfassung!$F$6:$F$3665,$K3480))</f>
        <v/>
      </c>
      <c r="G3480" s="187">
        <f>IF($K3480="","",INDEX(Zeiterfassung!$G$6:$G$3665,$K3480))</f>
        <v/>
      </c>
      <c r="H3480" s="188">
        <f>IF($K3480="","",INDEX(Zeiterfassung!$H$6:$H$3665,$K3480))</f>
        <v/>
      </c>
      <c r="I3480" s="335">
        <f>IF(B3480=B3479,"",IF($K3480="","",INDEX(Zeiterfassung!$I$6:$I$3665,MATCH(INDEX(Zeiterfassung!$K$6:$K$3665,$K3480),Zeiterfassung!$K$6:$K$3665,0))))</f>
        <v/>
      </c>
      <c r="J3480" s="335">
        <f>IF(B3480=B3479,"",IF($K3480="","",INDEX(Zeiterfassung!$J$6:$J$3665,MATCH(INDEX(Zeiterfassung!$K$6:$K$3665,$K3480),Zeiterfassung!$K$6:$K$3665,0))))</f>
        <v/>
      </c>
      <c r="K3480">
        <f>IFERROR(AGGREGATE(15,6,(ROW(Zeiterfassung!$D$6:$D$3665)-ROW(Zeiterfassung!$D$6)+1)/(Zeiterfassung!$D$6:$D$3665&lt;&gt;""),3475),"")</f>
        <v/>
      </c>
    </row>
    <row r="3481" ht="20" customHeight="1">
      <c r="A3481" s="183">
        <f>IF($K3481="","",WEEKNUM(INDEX(Zeiterfassung!$K$6:$K$3665,$K3481),21))</f>
        <v/>
      </c>
      <c r="B3481" s="184">
        <f>IF($K3481="","",INDEX(Zeiterfassung!$K$6:$K$3665,$K3481))</f>
        <v/>
      </c>
      <c r="C3481" s="185">
        <f>IF($K3481="","",INDEX(Zeiterfassung!$K$6:$K$3665,$K3481))</f>
        <v/>
      </c>
      <c r="D3481" s="186">
        <f>IF($K3481="","",INDEX(Zeiterfassung!$D$6:$D$3665,$K3481))</f>
        <v/>
      </c>
      <c r="E3481" s="186">
        <f>IF($K3481="","",INDEX(Zeiterfassung!$E$6:$E$3665,$K3481))</f>
        <v/>
      </c>
      <c r="F3481" s="187">
        <f>IF($K3481="","",INDEX(Zeiterfassung!$F$6:$F$3665,$K3481))</f>
        <v/>
      </c>
      <c r="G3481" s="187">
        <f>IF($K3481="","",INDEX(Zeiterfassung!$G$6:$G$3665,$K3481))</f>
        <v/>
      </c>
      <c r="H3481" s="188">
        <f>IF($K3481="","",INDEX(Zeiterfassung!$H$6:$H$3665,$K3481))</f>
        <v/>
      </c>
      <c r="I3481" s="335">
        <f>IF(B3481=B3480,"",IF($K3481="","",INDEX(Zeiterfassung!$I$6:$I$3665,MATCH(INDEX(Zeiterfassung!$K$6:$K$3665,$K3481),Zeiterfassung!$K$6:$K$3665,0))))</f>
        <v/>
      </c>
      <c r="J3481" s="335">
        <f>IF(B3481=B3480,"",IF($K3481="","",INDEX(Zeiterfassung!$J$6:$J$3665,MATCH(INDEX(Zeiterfassung!$K$6:$K$3665,$K3481),Zeiterfassung!$K$6:$K$3665,0))))</f>
        <v/>
      </c>
      <c r="K3481">
        <f>IFERROR(AGGREGATE(15,6,(ROW(Zeiterfassung!$D$6:$D$3665)-ROW(Zeiterfassung!$D$6)+1)/(Zeiterfassung!$D$6:$D$3665&lt;&gt;""),3476),"")</f>
        <v/>
      </c>
    </row>
    <row r="3482" ht="20" customHeight="1">
      <c r="A3482" s="183">
        <f>IF($K3482="","",WEEKNUM(INDEX(Zeiterfassung!$K$6:$K$3665,$K3482),21))</f>
        <v/>
      </c>
      <c r="B3482" s="184">
        <f>IF($K3482="","",INDEX(Zeiterfassung!$K$6:$K$3665,$K3482))</f>
        <v/>
      </c>
      <c r="C3482" s="185">
        <f>IF($K3482="","",INDEX(Zeiterfassung!$K$6:$K$3665,$K3482))</f>
        <v/>
      </c>
      <c r="D3482" s="186">
        <f>IF($K3482="","",INDEX(Zeiterfassung!$D$6:$D$3665,$K3482))</f>
        <v/>
      </c>
      <c r="E3482" s="186">
        <f>IF($K3482="","",INDEX(Zeiterfassung!$E$6:$E$3665,$K3482))</f>
        <v/>
      </c>
      <c r="F3482" s="187">
        <f>IF($K3482="","",INDEX(Zeiterfassung!$F$6:$F$3665,$K3482))</f>
        <v/>
      </c>
      <c r="G3482" s="187">
        <f>IF($K3482="","",INDEX(Zeiterfassung!$G$6:$G$3665,$K3482))</f>
        <v/>
      </c>
      <c r="H3482" s="188">
        <f>IF($K3482="","",INDEX(Zeiterfassung!$H$6:$H$3665,$K3482))</f>
        <v/>
      </c>
      <c r="I3482" s="335">
        <f>IF(B3482=B3481,"",IF($K3482="","",INDEX(Zeiterfassung!$I$6:$I$3665,MATCH(INDEX(Zeiterfassung!$K$6:$K$3665,$K3482),Zeiterfassung!$K$6:$K$3665,0))))</f>
        <v/>
      </c>
      <c r="J3482" s="335">
        <f>IF(B3482=B3481,"",IF($K3482="","",INDEX(Zeiterfassung!$J$6:$J$3665,MATCH(INDEX(Zeiterfassung!$K$6:$K$3665,$K3482),Zeiterfassung!$K$6:$K$3665,0))))</f>
        <v/>
      </c>
      <c r="K3482">
        <f>IFERROR(AGGREGATE(15,6,(ROW(Zeiterfassung!$D$6:$D$3665)-ROW(Zeiterfassung!$D$6)+1)/(Zeiterfassung!$D$6:$D$3665&lt;&gt;""),3477),"")</f>
        <v/>
      </c>
    </row>
    <row r="3483" ht="20" customHeight="1">
      <c r="A3483" s="183">
        <f>IF($K3483="","",WEEKNUM(INDEX(Zeiterfassung!$K$6:$K$3665,$K3483),21))</f>
        <v/>
      </c>
      <c r="B3483" s="184">
        <f>IF($K3483="","",INDEX(Zeiterfassung!$K$6:$K$3665,$K3483))</f>
        <v/>
      </c>
      <c r="C3483" s="185">
        <f>IF($K3483="","",INDEX(Zeiterfassung!$K$6:$K$3665,$K3483))</f>
        <v/>
      </c>
      <c r="D3483" s="186">
        <f>IF($K3483="","",INDEX(Zeiterfassung!$D$6:$D$3665,$K3483))</f>
        <v/>
      </c>
      <c r="E3483" s="186">
        <f>IF($K3483="","",INDEX(Zeiterfassung!$E$6:$E$3665,$K3483))</f>
        <v/>
      </c>
      <c r="F3483" s="187">
        <f>IF($K3483="","",INDEX(Zeiterfassung!$F$6:$F$3665,$K3483))</f>
        <v/>
      </c>
      <c r="G3483" s="187">
        <f>IF($K3483="","",INDEX(Zeiterfassung!$G$6:$G$3665,$K3483))</f>
        <v/>
      </c>
      <c r="H3483" s="188">
        <f>IF($K3483="","",INDEX(Zeiterfassung!$H$6:$H$3665,$K3483))</f>
        <v/>
      </c>
      <c r="I3483" s="335">
        <f>IF(B3483=B3482,"",IF($K3483="","",INDEX(Zeiterfassung!$I$6:$I$3665,MATCH(INDEX(Zeiterfassung!$K$6:$K$3665,$K3483),Zeiterfassung!$K$6:$K$3665,0))))</f>
        <v/>
      </c>
      <c r="J3483" s="335">
        <f>IF(B3483=B3482,"",IF($K3483="","",INDEX(Zeiterfassung!$J$6:$J$3665,MATCH(INDEX(Zeiterfassung!$K$6:$K$3665,$K3483),Zeiterfassung!$K$6:$K$3665,0))))</f>
        <v/>
      </c>
      <c r="K3483">
        <f>IFERROR(AGGREGATE(15,6,(ROW(Zeiterfassung!$D$6:$D$3665)-ROW(Zeiterfassung!$D$6)+1)/(Zeiterfassung!$D$6:$D$3665&lt;&gt;""),3478),"")</f>
        <v/>
      </c>
    </row>
    <row r="3484" ht="20" customHeight="1">
      <c r="A3484" s="183">
        <f>IF($K3484="","",WEEKNUM(INDEX(Zeiterfassung!$K$6:$K$3665,$K3484),21))</f>
        <v/>
      </c>
      <c r="B3484" s="184">
        <f>IF($K3484="","",INDEX(Zeiterfassung!$K$6:$K$3665,$K3484))</f>
        <v/>
      </c>
      <c r="C3484" s="185">
        <f>IF($K3484="","",INDEX(Zeiterfassung!$K$6:$K$3665,$K3484))</f>
        <v/>
      </c>
      <c r="D3484" s="186">
        <f>IF($K3484="","",INDEX(Zeiterfassung!$D$6:$D$3665,$K3484))</f>
        <v/>
      </c>
      <c r="E3484" s="186">
        <f>IF($K3484="","",INDEX(Zeiterfassung!$E$6:$E$3665,$K3484))</f>
        <v/>
      </c>
      <c r="F3484" s="187">
        <f>IF($K3484="","",INDEX(Zeiterfassung!$F$6:$F$3665,$K3484))</f>
        <v/>
      </c>
      <c r="G3484" s="187">
        <f>IF($K3484="","",INDEX(Zeiterfassung!$G$6:$G$3665,$K3484))</f>
        <v/>
      </c>
      <c r="H3484" s="188">
        <f>IF($K3484="","",INDEX(Zeiterfassung!$H$6:$H$3665,$K3484))</f>
        <v/>
      </c>
      <c r="I3484" s="335">
        <f>IF(B3484=B3483,"",IF($K3484="","",INDEX(Zeiterfassung!$I$6:$I$3665,MATCH(INDEX(Zeiterfassung!$K$6:$K$3665,$K3484),Zeiterfassung!$K$6:$K$3665,0))))</f>
        <v/>
      </c>
      <c r="J3484" s="335">
        <f>IF(B3484=B3483,"",IF($K3484="","",INDEX(Zeiterfassung!$J$6:$J$3665,MATCH(INDEX(Zeiterfassung!$K$6:$K$3665,$K3484),Zeiterfassung!$K$6:$K$3665,0))))</f>
        <v/>
      </c>
      <c r="K3484">
        <f>IFERROR(AGGREGATE(15,6,(ROW(Zeiterfassung!$D$6:$D$3665)-ROW(Zeiterfassung!$D$6)+1)/(Zeiterfassung!$D$6:$D$3665&lt;&gt;""),3479),"")</f>
        <v/>
      </c>
    </row>
    <row r="3485" ht="20" customHeight="1">
      <c r="A3485" s="183">
        <f>IF($K3485="","",WEEKNUM(INDEX(Zeiterfassung!$K$6:$K$3665,$K3485),21))</f>
        <v/>
      </c>
      <c r="B3485" s="184">
        <f>IF($K3485="","",INDEX(Zeiterfassung!$K$6:$K$3665,$K3485))</f>
        <v/>
      </c>
      <c r="C3485" s="185">
        <f>IF($K3485="","",INDEX(Zeiterfassung!$K$6:$K$3665,$K3485))</f>
        <v/>
      </c>
      <c r="D3485" s="186">
        <f>IF($K3485="","",INDEX(Zeiterfassung!$D$6:$D$3665,$K3485))</f>
        <v/>
      </c>
      <c r="E3485" s="186">
        <f>IF($K3485="","",INDEX(Zeiterfassung!$E$6:$E$3665,$K3485))</f>
        <v/>
      </c>
      <c r="F3485" s="187">
        <f>IF($K3485="","",INDEX(Zeiterfassung!$F$6:$F$3665,$K3485))</f>
        <v/>
      </c>
      <c r="G3485" s="187">
        <f>IF($K3485="","",INDEX(Zeiterfassung!$G$6:$G$3665,$K3485))</f>
        <v/>
      </c>
      <c r="H3485" s="188">
        <f>IF($K3485="","",INDEX(Zeiterfassung!$H$6:$H$3665,$K3485))</f>
        <v/>
      </c>
      <c r="I3485" s="335">
        <f>IF(B3485=B3484,"",IF($K3485="","",INDEX(Zeiterfassung!$I$6:$I$3665,MATCH(INDEX(Zeiterfassung!$K$6:$K$3665,$K3485),Zeiterfassung!$K$6:$K$3665,0))))</f>
        <v/>
      </c>
      <c r="J3485" s="335">
        <f>IF(B3485=B3484,"",IF($K3485="","",INDEX(Zeiterfassung!$J$6:$J$3665,MATCH(INDEX(Zeiterfassung!$K$6:$K$3665,$K3485),Zeiterfassung!$K$6:$K$3665,0))))</f>
        <v/>
      </c>
      <c r="K3485">
        <f>IFERROR(AGGREGATE(15,6,(ROW(Zeiterfassung!$D$6:$D$3665)-ROW(Zeiterfassung!$D$6)+1)/(Zeiterfassung!$D$6:$D$3665&lt;&gt;""),3480),"")</f>
        <v/>
      </c>
    </row>
    <row r="3486" ht="20" customHeight="1">
      <c r="A3486" s="183">
        <f>IF($K3486="","",WEEKNUM(INDEX(Zeiterfassung!$K$6:$K$3665,$K3486),21))</f>
        <v/>
      </c>
      <c r="B3486" s="184">
        <f>IF($K3486="","",INDEX(Zeiterfassung!$K$6:$K$3665,$K3486))</f>
        <v/>
      </c>
      <c r="C3486" s="185">
        <f>IF($K3486="","",INDEX(Zeiterfassung!$K$6:$K$3665,$K3486))</f>
        <v/>
      </c>
      <c r="D3486" s="186">
        <f>IF($K3486="","",INDEX(Zeiterfassung!$D$6:$D$3665,$K3486))</f>
        <v/>
      </c>
      <c r="E3486" s="186">
        <f>IF($K3486="","",INDEX(Zeiterfassung!$E$6:$E$3665,$K3486))</f>
        <v/>
      </c>
      <c r="F3486" s="187">
        <f>IF($K3486="","",INDEX(Zeiterfassung!$F$6:$F$3665,$K3486))</f>
        <v/>
      </c>
      <c r="G3486" s="187">
        <f>IF($K3486="","",INDEX(Zeiterfassung!$G$6:$G$3665,$K3486))</f>
        <v/>
      </c>
      <c r="H3486" s="188">
        <f>IF($K3486="","",INDEX(Zeiterfassung!$H$6:$H$3665,$K3486))</f>
        <v/>
      </c>
      <c r="I3486" s="335">
        <f>IF(B3486=B3485,"",IF($K3486="","",INDEX(Zeiterfassung!$I$6:$I$3665,MATCH(INDEX(Zeiterfassung!$K$6:$K$3665,$K3486),Zeiterfassung!$K$6:$K$3665,0))))</f>
        <v/>
      </c>
      <c r="J3486" s="335">
        <f>IF(B3486=B3485,"",IF($K3486="","",INDEX(Zeiterfassung!$J$6:$J$3665,MATCH(INDEX(Zeiterfassung!$K$6:$K$3665,$K3486),Zeiterfassung!$K$6:$K$3665,0))))</f>
        <v/>
      </c>
      <c r="K3486">
        <f>IFERROR(AGGREGATE(15,6,(ROW(Zeiterfassung!$D$6:$D$3665)-ROW(Zeiterfassung!$D$6)+1)/(Zeiterfassung!$D$6:$D$3665&lt;&gt;""),3481),"")</f>
        <v/>
      </c>
    </row>
    <row r="3487" ht="20" customHeight="1">
      <c r="A3487" s="183">
        <f>IF($K3487="","",WEEKNUM(INDEX(Zeiterfassung!$K$6:$K$3665,$K3487),21))</f>
        <v/>
      </c>
      <c r="B3487" s="184">
        <f>IF($K3487="","",INDEX(Zeiterfassung!$K$6:$K$3665,$K3487))</f>
        <v/>
      </c>
      <c r="C3487" s="185">
        <f>IF($K3487="","",INDEX(Zeiterfassung!$K$6:$K$3665,$K3487))</f>
        <v/>
      </c>
      <c r="D3487" s="186">
        <f>IF($K3487="","",INDEX(Zeiterfassung!$D$6:$D$3665,$K3487))</f>
        <v/>
      </c>
      <c r="E3487" s="186">
        <f>IF($K3487="","",INDEX(Zeiterfassung!$E$6:$E$3665,$K3487))</f>
        <v/>
      </c>
      <c r="F3487" s="187">
        <f>IF($K3487="","",INDEX(Zeiterfassung!$F$6:$F$3665,$K3487))</f>
        <v/>
      </c>
      <c r="G3487" s="187">
        <f>IF($K3487="","",INDEX(Zeiterfassung!$G$6:$G$3665,$K3487))</f>
        <v/>
      </c>
      <c r="H3487" s="188">
        <f>IF($K3487="","",INDEX(Zeiterfassung!$H$6:$H$3665,$K3487))</f>
        <v/>
      </c>
      <c r="I3487" s="335">
        <f>IF(B3487=B3486,"",IF($K3487="","",INDEX(Zeiterfassung!$I$6:$I$3665,MATCH(INDEX(Zeiterfassung!$K$6:$K$3665,$K3487),Zeiterfassung!$K$6:$K$3665,0))))</f>
        <v/>
      </c>
      <c r="J3487" s="335">
        <f>IF(B3487=B3486,"",IF($K3487="","",INDEX(Zeiterfassung!$J$6:$J$3665,MATCH(INDEX(Zeiterfassung!$K$6:$K$3665,$K3487),Zeiterfassung!$K$6:$K$3665,0))))</f>
        <v/>
      </c>
      <c r="K3487">
        <f>IFERROR(AGGREGATE(15,6,(ROW(Zeiterfassung!$D$6:$D$3665)-ROW(Zeiterfassung!$D$6)+1)/(Zeiterfassung!$D$6:$D$3665&lt;&gt;""),3482),"")</f>
        <v/>
      </c>
    </row>
    <row r="3488" ht="20" customHeight="1">
      <c r="A3488" s="183">
        <f>IF($K3488="","",WEEKNUM(INDEX(Zeiterfassung!$K$6:$K$3665,$K3488),21))</f>
        <v/>
      </c>
      <c r="B3488" s="184">
        <f>IF($K3488="","",INDEX(Zeiterfassung!$K$6:$K$3665,$K3488))</f>
        <v/>
      </c>
      <c r="C3488" s="185">
        <f>IF($K3488="","",INDEX(Zeiterfassung!$K$6:$K$3665,$K3488))</f>
        <v/>
      </c>
      <c r="D3488" s="186">
        <f>IF($K3488="","",INDEX(Zeiterfassung!$D$6:$D$3665,$K3488))</f>
        <v/>
      </c>
      <c r="E3488" s="186">
        <f>IF($K3488="","",INDEX(Zeiterfassung!$E$6:$E$3665,$K3488))</f>
        <v/>
      </c>
      <c r="F3488" s="187">
        <f>IF($K3488="","",INDEX(Zeiterfassung!$F$6:$F$3665,$K3488))</f>
        <v/>
      </c>
      <c r="G3488" s="187">
        <f>IF($K3488="","",INDEX(Zeiterfassung!$G$6:$G$3665,$K3488))</f>
        <v/>
      </c>
      <c r="H3488" s="188">
        <f>IF($K3488="","",INDEX(Zeiterfassung!$H$6:$H$3665,$K3488))</f>
        <v/>
      </c>
      <c r="I3488" s="335">
        <f>IF(B3488=B3487,"",IF($K3488="","",INDEX(Zeiterfassung!$I$6:$I$3665,MATCH(INDEX(Zeiterfassung!$K$6:$K$3665,$K3488),Zeiterfassung!$K$6:$K$3665,0))))</f>
        <v/>
      </c>
      <c r="J3488" s="335">
        <f>IF(B3488=B3487,"",IF($K3488="","",INDEX(Zeiterfassung!$J$6:$J$3665,MATCH(INDEX(Zeiterfassung!$K$6:$K$3665,$K3488),Zeiterfassung!$K$6:$K$3665,0))))</f>
        <v/>
      </c>
      <c r="K3488">
        <f>IFERROR(AGGREGATE(15,6,(ROW(Zeiterfassung!$D$6:$D$3665)-ROW(Zeiterfassung!$D$6)+1)/(Zeiterfassung!$D$6:$D$3665&lt;&gt;""),3483),"")</f>
        <v/>
      </c>
    </row>
    <row r="3489" ht="20" customHeight="1">
      <c r="A3489" s="183">
        <f>IF($K3489="","",WEEKNUM(INDEX(Zeiterfassung!$K$6:$K$3665,$K3489),21))</f>
        <v/>
      </c>
      <c r="B3489" s="184">
        <f>IF($K3489="","",INDEX(Zeiterfassung!$K$6:$K$3665,$K3489))</f>
        <v/>
      </c>
      <c r="C3489" s="185">
        <f>IF($K3489="","",INDEX(Zeiterfassung!$K$6:$K$3665,$K3489))</f>
        <v/>
      </c>
      <c r="D3489" s="186">
        <f>IF($K3489="","",INDEX(Zeiterfassung!$D$6:$D$3665,$K3489))</f>
        <v/>
      </c>
      <c r="E3489" s="186">
        <f>IF($K3489="","",INDEX(Zeiterfassung!$E$6:$E$3665,$K3489))</f>
        <v/>
      </c>
      <c r="F3489" s="187">
        <f>IF($K3489="","",INDEX(Zeiterfassung!$F$6:$F$3665,$K3489))</f>
        <v/>
      </c>
      <c r="G3489" s="187">
        <f>IF($K3489="","",INDEX(Zeiterfassung!$G$6:$G$3665,$K3489))</f>
        <v/>
      </c>
      <c r="H3489" s="188">
        <f>IF($K3489="","",INDEX(Zeiterfassung!$H$6:$H$3665,$K3489))</f>
        <v/>
      </c>
      <c r="I3489" s="335">
        <f>IF(B3489=B3488,"",IF($K3489="","",INDEX(Zeiterfassung!$I$6:$I$3665,MATCH(INDEX(Zeiterfassung!$K$6:$K$3665,$K3489),Zeiterfassung!$K$6:$K$3665,0))))</f>
        <v/>
      </c>
      <c r="J3489" s="335">
        <f>IF(B3489=B3488,"",IF($K3489="","",INDEX(Zeiterfassung!$J$6:$J$3665,MATCH(INDEX(Zeiterfassung!$K$6:$K$3665,$K3489),Zeiterfassung!$K$6:$K$3665,0))))</f>
        <v/>
      </c>
      <c r="K3489">
        <f>IFERROR(AGGREGATE(15,6,(ROW(Zeiterfassung!$D$6:$D$3665)-ROW(Zeiterfassung!$D$6)+1)/(Zeiterfassung!$D$6:$D$3665&lt;&gt;""),3484),"")</f>
        <v/>
      </c>
    </row>
    <row r="3490" ht="20" customHeight="1">
      <c r="A3490" s="183">
        <f>IF($K3490="","",WEEKNUM(INDEX(Zeiterfassung!$K$6:$K$3665,$K3490),21))</f>
        <v/>
      </c>
      <c r="B3490" s="184">
        <f>IF($K3490="","",INDEX(Zeiterfassung!$K$6:$K$3665,$K3490))</f>
        <v/>
      </c>
      <c r="C3490" s="185">
        <f>IF($K3490="","",INDEX(Zeiterfassung!$K$6:$K$3665,$K3490))</f>
        <v/>
      </c>
      <c r="D3490" s="186">
        <f>IF($K3490="","",INDEX(Zeiterfassung!$D$6:$D$3665,$K3490))</f>
        <v/>
      </c>
      <c r="E3490" s="186">
        <f>IF($K3490="","",INDEX(Zeiterfassung!$E$6:$E$3665,$K3490))</f>
        <v/>
      </c>
      <c r="F3490" s="187">
        <f>IF($K3490="","",INDEX(Zeiterfassung!$F$6:$F$3665,$K3490))</f>
        <v/>
      </c>
      <c r="G3490" s="187">
        <f>IF($K3490="","",INDEX(Zeiterfassung!$G$6:$G$3665,$K3490))</f>
        <v/>
      </c>
      <c r="H3490" s="188">
        <f>IF($K3490="","",INDEX(Zeiterfassung!$H$6:$H$3665,$K3490))</f>
        <v/>
      </c>
      <c r="I3490" s="335">
        <f>IF(B3490=B3489,"",IF($K3490="","",INDEX(Zeiterfassung!$I$6:$I$3665,MATCH(INDEX(Zeiterfassung!$K$6:$K$3665,$K3490),Zeiterfassung!$K$6:$K$3665,0))))</f>
        <v/>
      </c>
      <c r="J3490" s="335">
        <f>IF(B3490=B3489,"",IF($K3490="","",INDEX(Zeiterfassung!$J$6:$J$3665,MATCH(INDEX(Zeiterfassung!$K$6:$K$3665,$K3490),Zeiterfassung!$K$6:$K$3665,0))))</f>
        <v/>
      </c>
      <c r="K3490">
        <f>IFERROR(AGGREGATE(15,6,(ROW(Zeiterfassung!$D$6:$D$3665)-ROW(Zeiterfassung!$D$6)+1)/(Zeiterfassung!$D$6:$D$3665&lt;&gt;""),3485),"")</f>
        <v/>
      </c>
    </row>
    <row r="3491" ht="20" customHeight="1">
      <c r="A3491" s="183">
        <f>IF($K3491="","",WEEKNUM(INDEX(Zeiterfassung!$K$6:$K$3665,$K3491),21))</f>
        <v/>
      </c>
      <c r="B3491" s="184">
        <f>IF($K3491="","",INDEX(Zeiterfassung!$K$6:$K$3665,$K3491))</f>
        <v/>
      </c>
      <c r="C3491" s="185">
        <f>IF($K3491="","",INDEX(Zeiterfassung!$K$6:$K$3665,$K3491))</f>
        <v/>
      </c>
      <c r="D3491" s="186">
        <f>IF($K3491="","",INDEX(Zeiterfassung!$D$6:$D$3665,$K3491))</f>
        <v/>
      </c>
      <c r="E3491" s="186">
        <f>IF($K3491="","",INDEX(Zeiterfassung!$E$6:$E$3665,$K3491))</f>
        <v/>
      </c>
      <c r="F3491" s="187">
        <f>IF($K3491="","",INDEX(Zeiterfassung!$F$6:$F$3665,$K3491))</f>
        <v/>
      </c>
      <c r="G3491" s="187">
        <f>IF($K3491="","",INDEX(Zeiterfassung!$G$6:$G$3665,$K3491))</f>
        <v/>
      </c>
      <c r="H3491" s="188">
        <f>IF($K3491="","",INDEX(Zeiterfassung!$H$6:$H$3665,$K3491))</f>
        <v/>
      </c>
      <c r="I3491" s="335">
        <f>IF(B3491=B3490,"",IF($K3491="","",INDEX(Zeiterfassung!$I$6:$I$3665,MATCH(INDEX(Zeiterfassung!$K$6:$K$3665,$K3491),Zeiterfassung!$K$6:$K$3665,0))))</f>
        <v/>
      </c>
      <c r="J3491" s="335">
        <f>IF(B3491=B3490,"",IF($K3491="","",INDEX(Zeiterfassung!$J$6:$J$3665,MATCH(INDEX(Zeiterfassung!$K$6:$K$3665,$K3491),Zeiterfassung!$K$6:$K$3665,0))))</f>
        <v/>
      </c>
      <c r="K3491">
        <f>IFERROR(AGGREGATE(15,6,(ROW(Zeiterfassung!$D$6:$D$3665)-ROW(Zeiterfassung!$D$6)+1)/(Zeiterfassung!$D$6:$D$3665&lt;&gt;""),3486),"")</f>
        <v/>
      </c>
    </row>
    <row r="3492" ht="20" customHeight="1">
      <c r="A3492" s="183">
        <f>IF($K3492="","",WEEKNUM(INDEX(Zeiterfassung!$K$6:$K$3665,$K3492),21))</f>
        <v/>
      </c>
      <c r="B3492" s="184">
        <f>IF($K3492="","",INDEX(Zeiterfassung!$K$6:$K$3665,$K3492))</f>
        <v/>
      </c>
      <c r="C3492" s="185">
        <f>IF($K3492="","",INDEX(Zeiterfassung!$K$6:$K$3665,$K3492))</f>
        <v/>
      </c>
      <c r="D3492" s="186">
        <f>IF($K3492="","",INDEX(Zeiterfassung!$D$6:$D$3665,$K3492))</f>
        <v/>
      </c>
      <c r="E3492" s="186">
        <f>IF($K3492="","",INDEX(Zeiterfassung!$E$6:$E$3665,$K3492))</f>
        <v/>
      </c>
      <c r="F3492" s="187">
        <f>IF($K3492="","",INDEX(Zeiterfassung!$F$6:$F$3665,$K3492))</f>
        <v/>
      </c>
      <c r="G3492" s="187">
        <f>IF($K3492="","",INDEX(Zeiterfassung!$G$6:$G$3665,$K3492))</f>
        <v/>
      </c>
      <c r="H3492" s="188">
        <f>IF($K3492="","",INDEX(Zeiterfassung!$H$6:$H$3665,$K3492))</f>
        <v/>
      </c>
      <c r="I3492" s="335">
        <f>IF(B3492=B3491,"",IF($K3492="","",INDEX(Zeiterfassung!$I$6:$I$3665,MATCH(INDEX(Zeiterfassung!$K$6:$K$3665,$K3492),Zeiterfassung!$K$6:$K$3665,0))))</f>
        <v/>
      </c>
      <c r="J3492" s="335">
        <f>IF(B3492=B3491,"",IF($K3492="","",INDEX(Zeiterfassung!$J$6:$J$3665,MATCH(INDEX(Zeiterfassung!$K$6:$K$3665,$K3492),Zeiterfassung!$K$6:$K$3665,0))))</f>
        <v/>
      </c>
      <c r="K3492">
        <f>IFERROR(AGGREGATE(15,6,(ROW(Zeiterfassung!$D$6:$D$3665)-ROW(Zeiterfassung!$D$6)+1)/(Zeiterfassung!$D$6:$D$3665&lt;&gt;""),3487),"")</f>
        <v/>
      </c>
    </row>
    <row r="3493" ht="20" customHeight="1">
      <c r="A3493" s="183">
        <f>IF($K3493="","",WEEKNUM(INDEX(Zeiterfassung!$K$6:$K$3665,$K3493),21))</f>
        <v/>
      </c>
      <c r="B3493" s="184">
        <f>IF($K3493="","",INDEX(Zeiterfassung!$K$6:$K$3665,$K3493))</f>
        <v/>
      </c>
      <c r="C3493" s="185">
        <f>IF($K3493="","",INDEX(Zeiterfassung!$K$6:$K$3665,$K3493))</f>
        <v/>
      </c>
      <c r="D3493" s="186">
        <f>IF($K3493="","",INDEX(Zeiterfassung!$D$6:$D$3665,$K3493))</f>
        <v/>
      </c>
      <c r="E3493" s="186">
        <f>IF($K3493="","",INDEX(Zeiterfassung!$E$6:$E$3665,$K3493))</f>
        <v/>
      </c>
      <c r="F3493" s="187">
        <f>IF($K3493="","",INDEX(Zeiterfassung!$F$6:$F$3665,$K3493))</f>
        <v/>
      </c>
      <c r="G3493" s="187">
        <f>IF($K3493="","",INDEX(Zeiterfassung!$G$6:$G$3665,$K3493))</f>
        <v/>
      </c>
      <c r="H3493" s="188">
        <f>IF($K3493="","",INDEX(Zeiterfassung!$H$6:$H$3665,$K3493))</f>
        <v/>
      </c>
      <c r="I3493" s="335">
        <f>IF(B3493=B3492,"",IF($K3493="","",INDEX(Zeiterfassung!$I$6:$I$3665,MATCH(INDEX(Zeiterfassung!$K$6:$K$3665,$K3493),Zeiterfassung!$K$6:$K$3665,0))))</f>
        <v/>
      </c>
      <c r="J3493" s="335">
        <f>IF(B3493=B3492,"",IF($K3493="","",INDEX(Zeiterfassung!$J$6:$J$3665,MATCH(INDEX(Zeiterfassung!$K$6:$K$3665,$K3493),Zeiterfassung!$K$6:$K$3665,0))))</f>
        <v/>
      </c>
      <c r="K3493">
        <f>IFERROR(AGGREGATE(15,6,(ROW(Zeiterfassung!$D$6:$D$3665)-ROW(Zeiterfassung!$D$6)+1)/(Zeiterfassung!$D$6:$D$3665&lt;&gt;""),3488),"")</f>
        <v/>
      </c>
    </row>
    <row r="3494" ht="20" customHeight="1">
      <c r="A3494" s="183">
        <f>IF($K3494="","",WEEKNUM(INDEX(Zeiterfassung!$K$6:$K$3665,$K3494),21))</f>
        <v/>
      </c>
      <c r="B3494" s="184">
        <f>IF($K3494="","",INDEX(Zeiterfassung!$K$6:$K$3665,$K3494))</f>
        <v/>
      </c>
      <c r="C3494" s="185">
        <f>IF($K3494="","",INDEX(Zeiterfassung!$K$6:$K$3665,$K3494))</f>
        <v/>
      </c>
      <c r="D3494" s="186">
        <f>IF($K3494="","",INDEX(Zeiterfassung!$D$6:$D$3665,$K3494))</f>
        <v/>
      </c>
      <c r="E3494" s="186">
        <f>IF($K3494="","",INDEX(Zeiterfassung!$E$6:$E$3665,$K3494))</f>
        <v/>
      </c>
      <c r="F3494" s="187">
        <f>IF($K3494="","",INDEX(Zeiterfassung!$F$6:$F$3665,$K3494))</f>
        <v/>
      </c>
      <c r="G3494" s="187">
        <f>IF($K3494="","",INDEX(Zeiterfassung!$G$6:$G$3665,$K3494))</f>
        <v/>
      </c>
      <c r="H3494" s="188">
        <f>IF($K3494="","",INDEX(Zeiterfassung!$H$6:$H$3665,$K3494))</f>
        <v/>
      </c>
      <c r="I3494" s="335">
        <f>IF(B3494=B3493,"",IF($K3494="","",INDEX(Zeiterfassung!$I$6:$I$3665,MATCH(INDEX(Zeiterfassung!$K$6:$K$3665,$K3494),Zeiterfassung!$K$6:$K$3665,0))))</f>
        <v/>
      </c>
      <c r="J3494" s="335">
        <f>IF(B3494=B3493,"",IF($K3494="","",INDEX(Zeiterfassung!$J$6:$J$3665,MATCH(INDEX(Zeiterfassung!$K$6:$K$3665,$K3494),Zeiterfassung!$K$6:$K$3665,0))))</f>
        <v/>
      </c>
      <c r="K3494">
        <f>IFERROR(AGGREGATE(15,6,(ROW(Zeiterfassung!$D$6:$D$3665)-ROW(Zeiterfassung!$D$6)+1)/(Zeiterfassung!$D$6:$D$3665&lt;&gt;""),3489),"")</f>
        <v/>
      </c>
    </row>
    <row r="3495" ht="20" customHeight="1">
      <c r="A3495" s="183">
        <f>IF($K3495="","",WEEKNUM(INDEX(Zeiterfassung!$K$6:$K$3665,$K3495),21))</f>
        <v/>
      </c>
      <c r="B3495" s="184">
        <f>IF($K3495="","",INDEX(Zeiterfassung!$K$6:$K$3665,$K3495))</f>
        <v/>
      </c>
      <c r="C3495" s="185">
        <f>IF($K3495="","",INDEX(Zeiterfassung!$K$6:$K$3665,$K3495))</f>
        <v/>
      </c>
      <c r="D3495" s="186">
        <f>IF($K3495="","",INDEX(Zeiterfassung!$D$6:$D$3665,$K3495))</f>
        <v/>
      </c>
      <c r="E3495" s="186">
        <f>IF($K3495="","",INDEX(Zeiterfassung!$E$6:$E$3665,$K3495))</f>
        <v/>
      </c>
      <c r="F3495" s="187">
        <f>IF($K3495="","",INDEX(Zeiterfassung!$F$6:$F$3665,$K3495))</f>
        <v/>
      </c>
      <c r="G3495" s="187">
        <f>IF($K3495="","",INDEX(Zeiterfassung!$G$6:$G$3665,$K3495))</f>
        <v/>
      </c>
      <c r="H3495" s="188">
        <f>IF($K3495="","",INDEX(Zeiterfassung!$H$6:$H$3665,$K3495))</f>
        <v/>
      </c>
      <c r="I3495" s="335">
        <f>IF(B3495=B3494,"",IF($K3495="","",INDEX(Zeiterfassung!$I$6:$I$3665,MATCH(INDEX(Zeiterfassung!$K$6:$K$3665,$K3495),Zeiterfassung!$K$6:$K$3665,0))))</f>
        <v/>
      </c>
      <c r="J3495" s="335">
        <f>IF(B3495=B3494,"",IF($K3495="","",INDEX(Zeiterfassung!$J$6:$J$3665,MATCH(INDEX(Zeiterfassung!$K$6:$K$3665,$K3495),Zeiterfassung!$K$6:$K$3665,0))))</f>
        <v/>
      </c>
      <c r="K3495">
        <f>IFERROR(AGGREGATE(15,6,(ROW(Zeiterfassung!$D$6:$D$3665)-ROW(Zeiterfassung!$D$6)+1)/(Zeiterfassung!$D$6:$D$3665&lt;&gt;""),3490),"")</f>
        <v/>
      </c>
    </row>
    <row r="3496" ht="20" customHeight="1">
      <c r="A3496" s="183">
        <f>IF($K3496="","",WEEKNUM(INDEX(Zeiterfassung!$K$6:$K$3665,$K3496),21))</f>
        <v/>
      </c>
      <c r="B3496" s="184">
        <f>IF($K3496="","",INDEX(Zeiterfassung!$K$6:$K$3665,$K3496))</f>
        <v/>
      </c>
      <c r="C3496" s="185">
        <f>IF($K3496="","",INDEX(Zeiterfassung!$K$6:$K$3665,$K3496))</f>
        <v/>
      </c>
      <c r="D3496" s="186">
        <f>IF($K3496="","",INDEX(Zeiterfassung!$D$6:$D$3665,$K3496))</f>
        <v/>
      </c>
      <c r="E3496" s="186">
        <f>IF($K3496="","",INDEX(Zeiterfassung!$E$6:$E$3665,$K3496))</f>
        <v/>
      </c>
      <c r="F3496" s="187">
        <f>IF($K3496="","",INDEX(Zeiterfassung!$F$6:$F$3665,$K3496))</f>
        <v/>
      </c>
      <c r="G3496" s="187">
        <f>IF($K3496="","",INDEX(Zeiterfassung!$G$6:$G$3665,$K3496))</f>
        <v/>
      </c>
      <c r="H3496" s="188">
        <f>IF($K3496="","",INDEX(Zeiterfassung!$H$6:$H$3665,$K3496))</f>
        <v/>
      </c>
      <c r="I3496" s="335">
        <f>IF(B3496=B3495,"",IF($K3496="","",INDEX(Zeiterfassung!$I$6:$I$3665,MATCH(INDEX(Zeiterfassung!$K$6:$K$3665,$K3496),Zeiterfassung!$K$6:$K$3665,0))))</f>
        <v/>
      </c>
      <c r="J3496" s="335">
        <f>IF(B3496=B3495,"",IF($K3496="","",INDEX(Zeiterfassung!$J$6:$J$3665,MATCH(INDEX(Zeiterfassung!$K$6:$K$3665,$K3496),Zeiterfassung!$K$6:$K$3665,0))))</f>
        <v/>
      </c>
      <c r="K3496">
        <f>IFERROR(AGGREGATE(15,6,(ROW(Zeiterfassung!$D$6:$D$3665)-ROW(Zeiterfassung!$D$6)+1)/(Zeiterfassung!$D$6:$D$3665&lt;&gt;""),3491),"")</f>
        <v/>
      </c>
    </row>
    <row r="3497" ht="20" customHeight="1">
      <c r="A3497" s="183">
        <f>IF($K3497="","",WEEKNUM(INDEX(Zeiterfassung!$K$6:$K$3665,$K3497),21))</f>
        <v/>
      </c>
      <c r="B3497" s="184">
        <f>IF($K3497="","",INDEX(Zeiterfassung!$K$6:$K$3665,$K3497))</f>
        <v/>
      </c>
      <c r="C3497" s="185">
        <f>IF($K3497="","",INDEX(Zeiterfassung!$K$6:$K$3665,$K3497))</f>
        <v/>
      </c>
      <c r="D3497" s="186">
        <f>IF($K3497="","",INDEX(Zeiterfassung!$D$6:$D$3665,$K3497))</f>
        <v/>
      </c>
      <c r="E3497" s="186">
        <f>IF($K3497="","",INDEX(Zeiterfassung!$E$6:$E$3665,$K3497))</f>
        <v/>
      </c>
      <c r="F3497" s="187">
        <f>IF($K3497="","",INDEX(Zeiterfassung!$F$6:$F$3665,$K3497))</f>
        <v/>
      </c>
      <c r="G3497" s="187">
        <f>IF($K3497="","",INDEX(Zeiterfassung!$G$6:$G$3665,$K3497))</f>
        <v/>
      </c>
      <c r="H3497" s="188">
        <f>IF($K3497="","",INDEX(Zeiterfassung!$H$6:$H$3665,$K3497))</f>
        <v/>
      </c>
      <c r="I3497" s="335">
        <f>IF(B3497=B3496,"",IF($K3497="","",INDEX(Zeiterfassung!$I$6:$I$3665,MATCH(INDEX(Zeiterfassung!$K$6:$K$3665,$K3497),Zeiterfassung!$K$6:$K$3665,0))))</f>
        <v/>
      </c>
      <c r="J3497" s="335">
        <f>IF(B3497=B3496,"",IF($K3497="","",INDEX(Zeiterfassung!$J$6:$J$3665,MATCH(INDEX(Zeiterfassung!$K$6:$K$3665,$K3497),Zeiterfassung!$K$6:$K$3665,0))))</f>
        <v/>
      </c>
      <c r="K3497">
        <f>IFERROR(AGGREGATE(15,6,(ROW(Zeiterfassung!$D$6:$D$3665)-ROW(Zeiterfassung!$D$6)+1)/(Zeiterfassung!$D$6:$D$3665&lt;&gt;""),3492),"")</f>
        <v/>
      </c>
    </row>
    <row r="3498" ht="20" customHeight="1">
      <c r="A3498" s="183">
        <f>IF($K3498="","",WEEKNUM(INDEX(Zeiterfassung!$K$6:$K$3665,$K3498),21))</f>
        <v/>
      </c>
      <c r="B3498" s="184">
        <f>IF($K3498="","",INDEX(Zeiterfassung!$K$6:$K$3665,$K3498))</f>
        <v/>
      </c>
      <c r="C3498" s="185">
        <f>IF($K3498="","",INDEX(Zeiterfassung!$K$6:$K$3665,$K3498))</f>
        <v/>
      </c>
      <c r="D3498" s="186">
        <f>IF($K3498="","",INDEX(Zeiterfassung!$D$6:$D$3665,$K3498))</f>
        <v/>
      </c>
      <c r="E3498" s="186">
        <f>IF($K3498="","",INDEX(Zeiterfassung!$E$6:$E$3665,$K3498))</f>
        <v/>
      </c>
      <c r="F3498" s="187">
        <f>IF($K3498="","",INDEX(Zeiterfassung!$F$6:$F$3665,$K3498))</f>
        <v/>
      </c>
      <c r="G3498" s="187">
        <f>IF($K3498="","",INDEX(Zeiterfassung!$G$6:$G$3665,$K3498))</f>
        <v/>
      </c>
      <c r="H3498" s="188">
        <f>IF($K3498="","",INDEX(Zeiterfassung!$H$6:$H$3665,$K3498))</f>
        <v/>
      </c>
      <c r="I3498" s="335">
        <f>IF(B3498=B3497,"",IF($K3498="","",INDEX(Zeiterfassung!$I$6:$I$3665,MATCH(INDEX(Zeiterfassung!$K$6:$K$3665,$K3498),Zeiterfassung!$K$6:$K$3665,0))))</f>
        <v/>
      </c>
      <c r="J3498" s="335">
        <f>IF(B3498=B3497,"",IF($K3498="","",INDEX(Zeiterfassung!$J$6:$J$3665,MATCH(INDEX(Zeiterfassung!$K$6:$K$3665,$K3498),Zeiterfassung!$K$6:$K$3665,0))))</f>
        <v/>
      </c>
      <c r="K3498">
        <f>IFERROR(AGGREGATE(15,6,(ROW(Zeiterfassung!$D$6:$D$3665)-ROW(Zeiterfassung!$D$6)+1)/(Zeiterfassung!$D$6:$D$3665&lt;&gt;""),3493),"")</f>
        <v/>
      </c>
    </row>
    <row r="3499" ht="20" customHeight="1">
      <c r="A3499" s="183">
        <f>IF($K3499="","",WEEKNUM(INDEX(Zeiterfassung!$K$6:$K$3665,$K3499),21))</f>
        <v/>
      </c>
      <c r="B3499" s="184">
        <f>IF($K3499="","",INDEX(Zeiterfassung!$K$6:$K$3665,$K3499))</f>
        <v/>
      </c>
      <c r="C3499" s="185">
        <f>IF($K3499="","",INDEX(Zeiterfassung!$K$6:$K$3665,$K3499))</f>
        <v/>
      </c>
      <c r="D3499" s="186">
        <f>IF($K3499="","",INDEX(Zeiterfassung!$D$6:$D$3665,$K3499))</f>
        <v/>
      </c>
      <c r="E3499" s="186">
        <f>IF($K3499="","",INDEX(Zeiterfassung!$E$6:$E$3665,$K3499))</f>
        <v/>
      </c>
      <c r="F3499" s="187">
        <f>IF($K3499="","",INDEX(Zeiterfassung!$F$6:$F$3665,$K3499))</f>
        <v/>
      </c>
      <c r="G3499" s="187">
        <f>IF($K3499="","",INDEX(Zeiterfassung!$G$6:$G$3665,$K3499))</f>
        <v/>
      </c>
      <c r="H3499" s="188">
        <f>IF($K3499="","",INDEX(Zeiterfassung!$H$6:$H$3665,$K3499))</f>
        <v/>
      </c>
      <c r="I3499" s="335">
        <f>IF(B3499=B3498,"",IF($K3499="","",INDEX(Zeiterfassung!$I$6:$I$3665,MATCH(INDEX(Zeiterfassung!$K$6:$K$3665,$K3499),Zeiterfassung!$K$6:$K$3665,0))))</f>
        <v/>
      </c>
      <c r="J3499" s="335">
        <f>IF(B3499=B3498,"",IF($K3499="","",INDEX(Zeiterfassung!$J$6:$J$3665,MATCH(INDEX(Zeiterfassung!$K$6:$K$3665,$K3499),Zeiterfassung!$K$6:$K$3665,0))))</f>
        <v/>
      </c>
      <c r="K3499">
        <f>IFERROR(AGGREGATE(15,6,(ROW(Zeiterfassung!$D$6:$D$3665)-ROW(Zeiterfassung!$D$6)+1)/(Zeiterfassung!$D$6:$D$3665&lt;&gt;""),3494),"")</f>
        <v/>
      </c>
    </row>
    <row r="3500" ht="20" customHeight="1">
      <c r="A3500" s="183">
        <f>IF($K3500="","",WEEKNUM(INDEX(Zeiterfassung!$K$6:$K$3665,$K3500),21))</f>
        <v/>
      </c>
      <c r="B3500" s="184">
        <f>IF($K3500="","",INDEX(Zeiterfassung!$K$6:$K$3665,$K3500))</f>
        <v/>
      </c>
      <c r="C3500" s="185">
        <f>IF($K3500="","",INDEX(Zeiterfassung!$K$6:$K$3665,$K3500))</f>
        <v/>
      </c>
      <c r="D3500" s="186">
        <f>IF($K3500="","",INDEX(Zeiterfassung!$D$6:$D$3665,$K3500))</f>
        <v/>
      </c>
      <c r="E3500" s="186">
        <f>IF($K3500="","",INDEX(Zeiterfassung!$E$6:$E$3665,$K3500))</f>
        <v/>
      </c>
      <c r="F3500" s="187">
        <f>IF($K3500="","",INDEX(Zeiterfassung!$F$6:$F$3665,$K3500))</f>
        <v/>
      </c>
      <c r="G3500" s="187">
        <f>IF($K3500="","",INDEX(Zeiterfassung!$G$6:$G$3665,$K3500))</f>
        <v/>
      </c>
      <c r="H3500" s="188">
        <f>IF($K3500="","",INDEX(Zeiterfassung!$H$6:$H$3665,$K3500))</f>
        <v/>
      </c>
      <c r="I3500" s="335">
        <f>IF(B3500=B3499,"",IF($K3500="","",INDEX(Zeiterfassung!$I$6:$I$3665,MATCH(INDEX(Zeiterfassung!$K$6:$K$3665,$K3500),Zeiterfassung!$K$6:$K$3665,0))))</f>
        <v/>
      </c>
      <c r="J3500" s="335">
        <f>IF(B3500=B3499,"",IF($K3500="","",INDEX(Zeiterfassung!$J$6:$J$3665,MATCH(INDEX(Zeiterfassung!$K$6:$K$3665,$K3500),Zeiterfassung!$K$6:$K$3665,0))))</f>
        <v/>
      </c>
      <c r="K3500">
        <f>IFERROR(AGGREGATE(15,6,(ROW(Zeiterfassung!$D$6:$D$3665)-ROW(Zeiterfassung!$D$6)+1)/(Zeiterfassung!$D$6:$D$3665&lt;&gt;""),3495),"")</f>
        <v/>
      </c>
    </row>
    <row r="3501" ht="20" customHeight="1">
      <c r="A3501" s="183">
        <f>IF($K3501="","",WEEKNUM(INDEX(Zeiterfassung!$K$6:$K$3665,$K3501),21))</f>
        <v/>
      </c>
      <c r="B3501" s="184">
        <f>IF($K3501="","",INDEX(Zeiterfassung!$K$6:$K$3665,$K3501))</f>
        <v/>
      </c>
      <c r="C3501" s="185">
        <f>IF($K3501="","",INDEX(Zeiterfassung!$K$6:$K$3665,$K3501))</f>
        <v/>
      </c>
      <c r="D3501" s="186">
        <f>IF($K3501="","",INDEX(Zeiterfassung!$D$6:$D$3665,$K3501))</f>
        <v/>
      </c>
      <c r="E3501" s="186">
        <f>IF($K3501="","",INDEX(Zeiterfassung!$E$6:$E$3665,$K3501))</f>
        <v/>
      </c>
      <c r="F3501" s="187">
        <f>IF($K3501="","",INDEX(Zeiterfassung!$F$6:$F$3665,$K3501))</f>
        <v/>
      </c>
      <c r="G3501" s="187">
        <f>IF($K3501="","",INDEX(Zeiterfassung!$G$6:$G$3665,$K3501))</f>
        <v/>
      </c>
      <c r="H3501" s="188">
        <f>IF($K3501="","",INDEX(Zeiterfassung!$H$6:$H$3665,$K3501))</f>
        <v/>
      </c>
      <c r="I3501" s="335">
        <f>IF(B3501=B3500,"",IF($K3501="","",INDEX(Zeiterfassung!$I$6:$I$3665,MATCH(INDEX(Zeiterfassung!$K$6:$K$3665,$K3501),Zeiterfassung!$K$6:$K$3665,0))))</f>
        <v/>
      </c>
      <c r="J3501" s="335">
        <f>IF(B3501=B3500,"",IF($K3501="","",INDEX(Zeiterfassung!$J$6:$J$3665,MATCH(INDEX(Zeiterfassung!$K$6:$K$3665,$K3501),Zeiterfassung!$K$6:$K$3665,0))))</f>
        <v/>
      </c>
      <c r="K3501">
        <f>IFERROR(AGGREGATE(15,6,(ROW(Zeiterfassung!$D$6:$D$3665)-ROW(Zeiterfassung!$D$6)+1)/(Zeiterfassung!$D$6:$D$3665&lt;&gt;""),3496),"")</f>
        <v/>
      </c>
    </row>
    <row r="3502" ht="20" customHeight="1">
      <c r="A3502" s="183">
        <f>IF($K3502="","",WEEKNUM(INDEX(Zeiterfassung!$K$6:$K$3665,$K3502),21))</f>
        <v/>
      </c>
      <c r="B3502" s="184">
        <f>IF($K3502="","",INDEX(Zeiterfassung!$K$6:$K$3665,$K3502))</f>
        <v/>
      </c>
      <c r="C3502" s="185">
        <f>IF($K3502="","",INDEX(Zeiterfassung!$K$6:$K$3665,$K3502))</f>
        <v/>
      </c>
      <c r="D3502" s="186">
        <f>IF($K3502="","",INDEX(Zeiterfassung!$D$6:$D$3665,$K3502))</f>
        <v/>
      </c>
      <c r="E3502" s="186">
        <f>IF($K3502="","",INDEX(Zeiterfassung!$E$6:$E$3665,$K3502))</f>
        <v/>
      </c>
      <c r="F3502" s="187">
        <f>IF($K3502="","",INDEX(Zeiterfassung!$F$6:$F$3665,$K3502))</f>
        <v/>
      </c>
      <c r="G3502" s="187">
        <f>IF($K3502="","",INDEX(Zeiterfassung!$G$6:$G$3665,$K3502))</f>
        <v/>
      </c>
      <c r="H3502" s="188">
        <f>IF($K3502="","",INDEX(Zeiterfassung!$H$6:$H$3665,$K3502))</f>
        <v/>
      </c>
      <c r="I3502" s="335">
        <f>IF(B3502=B3501,"",IF($K3502="","",INDEX(Zeiterfassung!$I$6:$I$3665,MATCH(INDEX(Zeiterfassung!$K$6:$K$3665,$K3502),Zeiterfassung!$K$6:$K$3665,0))))</f>
        <v/>
      </c>
      <c r="J3502" s="335">
        <f>IF(B3502=B3501,"",IF($K3502="","",INDEX(Zeiterfassung!$J$6:$J$3665,MATCH(INDEX(Zeiterfassung!$K$6:$K$3665,$K3502),Zeiterfassung!$K$6:$K$3665,0))))</f>
        <v/>
      </c>
      <c r="K3502">
        <f>IFERROR(AGGREGATE(15,6,(ROW(Zeiterfassung!$D$6:$D$3665)-ROW(Zeiterfassung!$D$6)+1)/(Zeiterfassung!$D$6:$D$3665&lt;&gt;""),3497),"")</f>
        <v/>
      </c>
    </row>
    <row r="3503" ht="20" customHeight="1">
      <c r="A3503" s="183">
        <f>IF($K3503="","",WEEKNUM(INDEX(Zeiterfassung!$K$6:$K$3665,$K3503),21))</f>
        <v/>
      </c>
      <c r="B3503" s="184">
        <f>IF($K3503="","",INDEX(Zeiterfassung!$K$6:$K$3665,$K3503))</f>
        <v/>
      </c>
      <c r="C3503" s="185">
        <f>IF($K3503="","",INDEX(Zeiterfassung!$K$6:$K$3665,$K3503))</f>
        <v/>
      </c>
      <c r="D3503" s="186">
        <f>IF($K3503="","",INDEX(Zeiterfassung!$D$6:$D$3665,$K3503))</f>
        <v/>
      </c>
      <c r="E3503" s="186">
        <f>IF($K3503="","",INDEX(Zeiterfassung!$E$6:$E$3665,$K3503))</f>
        <v/>
      </c>
      <c r="F3503" s="187">
        <f>IF($K3503="","",INDEX(Zeiterfassung!$F$6:$F$3665,$K3503))</f>
        <v/>
      </c>
      <c r="G3503" s="187">
        <f>IF($K3503="","",INDEX(Zeiterfassung!$G$6:$G$3665,$K3503))</f>
        <v/>
      </c>
      <c r="H3503" s="188">
        <f>IF($K3503="","",INDEX(Zeiterfassung!$H$6:$H$3665,$K3503))</f>
        <v/>
      </c>
      <c r="I3503" s="335">
        <f>IF(B3503=B3502,"",IF($K3503="","",INDEX(Zeiterfassung!$I$6:$I$3665,MATCH(INDEX(Zeiterfassung!$K$6:$K$3665,$K3503),Zeiterfassung!$K$6:$K$3665,0))))</f>
        <v/>
      </c>
      <c r="J3503" s="335">
        <f>IF(B3503=B3502,"",IF($K3503="","",INDEX(Zeiterfassung!$J$6:$J$3665,MATCH(INDEX(Zeiterfassung!$K$6:$K$3665,$K3503),Zeiterfassung!$K$6:$K$3665,0))))</f>
        <v/>
      </c>
      <c r="K3503">
        <f>IFERROR(AGGREGATE(15,6,(ROW(Zeiterfassung!$D$6:$D$3665)-ROW(Zeiterfassung!$D$6)+1)/(Zeiterfassung!$D$6:$D$3665&lt;&gt;""),3498),"")</f>
        <v/>
      </c>
    </row>
    <row r="3504" ht="20" customHeight="1">
      <c r="A3504" s="183">
        <f>IF($K3504="","",WEEKNUM(INDEX(Zeiterfassung!$K$6:$K$3665,$K3504),21))</f>
        <v/>
      </c>
      <c r="B3504" s="184">
        <f>IF($K3504="","",INDEX(Zeiterfassung!$K$6:$K$3665,$K3504))</f>
        <v/>
      </c>
      <c r="C3504" s="185">
        <f>IF($K3504="","",INDEX(Zeiterfassung!$K$6:$K$3665,$K3504))</f>
        <v/>
      </c>
      <c r="D3504" s="186">
        <f>IF($K3504="","",INDEX(Zeiterfassung!$D$6:$D$3665,$K3504))</f>
        <v/>
      </c>
      <c r="E3504" s="186">
        <f>IF($K3504="","",INDEX(Zeiterfassung!$E$6:$E$3665,$K3504))</f>
        <v/>
      </c>
      <c r="F3504" s="187">
        <f>IF($K3504="","",INDEX(Zeiterfassung!$F$6:$F$3665,$K3504))</f>
        <v/>
      </c>
      <c r="G3504" s="187">
        <f>IF($K3504="","",INDEX(Zeiterfassung!$G$6:$G$3665,$K3504))</f>
        <v/>
      </c>
      <c r="H3504" s="188">
        <f>IF($K3504="","",INDEX(Zeiterfassung!$H$6:$H$3665,$K3504))</f>
        <v/>
      </c>
      <c r="I3504" s="335">
        <f>IF(B3504=B3503,"",IF($K3504="","",INDEX(Zeiterfassung!$I$6:$I$3665,MATCH(INDEX(Zeiterfassung!$K$6:$K$3665,$K3504),Zeiterfassung!$K$6:$K$3665,0))))</f>
        <v/>
      </c>
      <c r="J3504" s="335">
        <f>IF(B3504=B3503,"",IF($K3504="","",INDEX(Zeiterfassung!$J$6:$J$3665,MATCH(INDEX(Zeiterfassung!$K$6:$K$3665,$K3504),Zeiterfassung!$K$6:$K$3665,0))))</f>
        <v/>
      </c>
      <c r="K3504">
        <f>IFERROR(AGGREGATE(15,6,(ROW(Zeiterfassung!$D$6:$D$3665)-ROW(Zeiterfassung!$D$6)+1)/(Zeiterfassung!$D$6:$D$3665&lt;&gt;""),3499),"")</f>
        <v/>
      </c>
    </row>
    <row r="3505" ht="20" customHeight="1">
      <c r="A3505" s="183">
        <f>IF($K3505="","",WEEKNUM(INDEX(Zeiterfassung!$K$6:$K$3665,$K3505),21))</f>
        <v/>
      </c>
      <c r="B3505" s="184">
        <f>IF($K3505="","",INDEX(Zeiterfassung!$K$6:$K$3665,$K3505))</f>
        <v/>
      </c>
      <c r="C3505" s="185">
        <f>IF($K3505="","",INDEX(Zeiterfassung!$K$6:$K$3665,$K3505))</f>
        <v/>
      </c>
      <c r="D3505" s="186">
        <f>IF($K3505="","",INDEX(Zeiterfassung!$D$6:$D$3665,$K3505))</f>
        <v/>
      </c>
      <c r="E3505" s="186">
        <f>IF($K3505="","",INDEX(Zeiterfassung!$E$6:$E$3665,$K3505))</f>
        <v/>
      </c>
      <c r="F3505" s="187">
        <f>IF($K3505="","",INDEX(Zeiterfassung!$F$6:$F$3665,$K3505))</f>
        <v/>
      </c>
      <c r="G3505" s="187">
        <f>IF($K3505="","",INDEX(Zeiterfassung!$G$6:$G$3665,$K3505))</f>
        <v/>
      </c>
      <c r="H3505" s="188">
        <f>IF($K3505="","",INDEX(Zeiterfassung!$H$6:$H$3665,$K3505))</f>
        <v/>
      </c>
      <c r="I3505" s="335">
        <f>IF(B3505=B3504,"",IF($K3505="","",INDEX(Zeiterfassung!$I$6:$I$3665,MATCH(INDEX(Zeiterfassung!$K$6:$K$3665,$K3505),Zeiterfassung!$K$6:$K$3665,0))))</f>
        <v/>
      </c>
      <c r="J3505" s="335">
        <f>IF(B3505=B3504,"",IF($K3505="","",INDEX(Zeiterfassung!$J$6:$J$3665,MATCH(INDEX(Zeiterfassung!$K$6:$K$3665,$K3505),Zeiterfassung!$K$6:$K$3665,0))))</f>
        <v/>
      </c>
      <c r="K3505">
        <f>IFERROR(AGGREGATE(15,6,(ROW(Zeiterfassung!$D$6:$D$3665)-ROW(Zeiterfassung!$D$6)+1)/(Zeiterfassung!$D$6:$D$3665&lt;&gt;""),3500),"")</f>
        <v/>
      </c>
    </row>
    <row r="3506" ht="20" customHeight="1">
      <c r="A3506" s="183">
        <f>IF($K3506="","",WEEKNUM(INDEX(Zeiterfassung!$K$6:$K$3665,$K3506),21))</f>
        <v/>
      </c>
      <c r="B3506" s="184">
        <f>IF($K3506="","",INDEX(Zeiterfassung!$K$6:$K$3665,$K3506))</f>
        <v/>
      </c>
      <c r="C3506" s="185">
        <f>IF($K3506="","",INDEX(Zeiterfassung!$K$6:$K$3665,$K3506))</f>
        <v/>
      </c>
      <c r="D3506" s="186">
        <f>IF($K3506="","",INDEX(Zeiterfassung!$D$6:$D$3665,$K3506))</f>
        <v/>
      </c>
      <c r="E3506" s="186">
        <f>IF($K3506="","",INDEX(Zeiterfassung!$E$6:$E$3665,$K3506))</f>
        <v/>
      </c>
      <c r="F3506" s="187">
        <f>IF($K3506="","",INDEX(Zeiterfassung!$F$6:$F$3665,$K3506))</f>
        <v/>
      </c>
      <c r="G3506" s="187">
        <f>IF($K3506="","",INDEX(Zeiterfassung!$G$6:$G$3665,$K3506))</f>
        <v/>
      </c>
      <c r="H3506" s="188">
        <f>IF($K3506="","",INDEX(Zeiterfassung!$H$6:$H$3665,$K3506))</f>
        <v/>
      </c>
      <c r="I3506" s="335">
        <f>IF(B3506=B3505,"",IF($K3506="","",INDEX(Zeiterfassung!$I$6:$I$3665,MATCH(INDEX(Zeiterfassung!$K$6:$K$3665,$K3506),Zeiterfassung!$K$6:$K$3665,0))))</f>
        <v/>
      </c>
      <c r="J3506" s="335">
        <f>IF(B3506=B3505,"",IF($K3506="","",INDEX(Zeiterfassung!$J$6:$J$3665,MATCH(INDEX(Zeiterfassung!$K$6:$K$3665,$K3506),Zeiterfassung!$K$6:$K$3665,0))))</f>
        <v/>
      </c>
      <c r="K3506">
        <f>IFERROR(AGGREGATE(15,6,(ROW(Zeiterfassung!$D$6:$D$3665)-ROW(Zeiterfassung!$D$6)+1)/(Zeiterfassung!$D$6:$D$3665&lt;&gt;""),3501),"")</f>
        <v/>
      </c>
    </row>
    <row r="3507" ht="20" customHeight="1">
      <c r="A3507" s="183">
        <f>IF($K3507="","",WEEKNUM(INDEX(Zeiterfassung!$K$6:$K$3665,$K3507),21))</f>
        <v/>
      </c>
      <c r="B3507" s="184">
        <f>IF($K3507="","",INDEX(Zeiterfassung!$K$6:$K$3665,$K3507))</f>
        <v/>
      </c>
      <c r="C3507" s="185">
        <f>IF($K3507="","",INDEX(Zeiterfassung!$K$6:$K$3665,$K3507))</f>
        <v/>
      </c>
      <c r="D3507" s="186">
        <f>IF($K3507="","",INDEX(Zeiterfassung!$D$6:$D$3665,$K3507))</f>
        <v/>
      </c>
      <c r="E3507" s="186">
        <f>IF($K3507="","",INDEX(Zeiterfassung!$E$6:$E$3665,$K3507))</f>
        <v/>
      </c>
      <c r="F3507" s="187">
        <f>IF($K3507="","",INDEX(Zeiterfassung!$F$6:$F$3665,$K3507))</f>
        <v/>
      </c>
      <c r="G3507" s="187">
        <f>IF($K3507="","",INDEX(Zeiterfassung!$G$6:$G$3665,$K3507))</f>
        <v/>
      </c>
      <c r="H3507" s="188">
        <f>IF($K3507="","",INDEX(Zeiterfassung!$H$6:$H$3665,$K3507))</f>
        <v/>
      </c>
      <c r="I3507" s="335">
        <f>IF(B3507=B3506,"",IF($K3507="","",INDEX(Zeiterfassung!$I$6:$I$3665,MATCH(INDEX(Zeiterfassung!$K$6:$K$3665,$K3507),Zeiterfassung!$K$6:$K$3665,0))))</f>
        <v/>
      </c>
      <c r="J3507" s="335">
        <f>IF(B3507=B3506,"",IF($K3507="","",INDEX(Zeiterfassung!$J$6:$J$3665,MATCH(INDEX(Zeiterfassung!$K$6:$K$3665,$K3507),Zeiterfassung!$K$6:$K$3665,0))))</f>
        <v/>
      </c>
      <c r="K3507">
        <f>IFERROR(AGGREGATE(15,6,(ROW(Zeiterfassung!$D$6:$D$3665)-ROW(Zeiterfassung!$D$6)+1)/(Zeiterfassung!$D$6:$D$3665&lt;&gt;""),3502),"")</f>
        <v/>
      </c>
    </row>
    <row r="3508" ht="20" customHeight="1">
      <c r="A3508" s="183">
        <f>IF($K3508="","",WEEKNUM(INDEX(Zeiterfassung!$K$6:$K$3665,$K3508),21))</f>
        <v/>
      </c>
      <c r="B3508" s="184">
        <f>IF($K3508="","",INDEX(Zeiterfassung!$K$6:$K$3665,$K3508))</f>
        <v/>
      </c>
      <c r="C3508" s="185">
        <f>IF($K3508="","",INDEX(Zeiterfassung!$K$6:$K$3665,$K3508))</f>
        <v/>
      </c>
      <c r="D3508" s="186">
        <f>IF($K3508="","",INDEX(Zeiterfassung!$D$6:$D$3665,$K3508))</f>
        <v/>
      </c>
      <c r="E3508" s="186">
        <f>IF($K3508="","",INDEX(Zeiterfassung!$E$6:$E$3665,$K3508))</f>
        <v/>
      </c>
      <c r="F3508" s="187">
        <f>IF($K3508="","",INDEX(Zeiterfassung!$F$6:$F$3665,$K3508))</f>
        <v/>
      </c>
      <c r="G3508" s="187">
        <f>IF($K3508="","",INDEX(Zeiterfassung!$G$6:$G$3665,$K3508))</f>
        <v/>
      </c>
      <c r="H3508" s="188">
        <f>IF($K3508="","",INDEX(Zeiterfassung!$H$6:$H$3665,$K3508))</f>
        <v/>
      </c>
      <c r="I3508" s="335">
        <f>IF(B3508=B3507,"",IF($K3508="","",INDEX(Zeiterfassung!$I$6:$I$3665,MATCH(INDEX(Zeiterfassung!$K$6:$K$3665,$K3508),Zeiterfassung!$K$6:$K$3665,0))))</f>
        <v/>
      </c>
      <c r="J3508" s="335">
        <f>IF(B3508=B3507,"",IF($K3508="","",INDEX(Zeiterfassung!$J$6:$J$3665,MATCH(INDEX(Zeiterfassung!$K$6:$K$3665,$K3508),Zeiterfassung!$K$6:$K$3665,0))))</f>
        <v/>
      </c>
      <c r="K3508">
        <f>IFERROR(AGGREGATE(15,6,(ROW(Zeiterfassung!$D$6:$D$3665)-ROW(Zeiterfassung!$D$6)+1)/(Zeiterfassung!$D$6:$D$3665&lt;&gt;""),3503),"")</f>
        <v/>
      </c>
    </row>
    <row r="3509" ht="20" customHeight="1">
      <c r="A3509" s="183">
        <f>IF($K3509="","",WEEKNUM(INDEX(Zeiterfassung!$K$6:$K$3665,$K3509),21))</f>
        <v/>
      </c>
      <c r="B3509" s="184">
        <f>IF($K3509="","",INDEX(Zeiterfassung!$K$6:$K$3665,$K3509))</f>
        <v/>
      </c>
      <c r="C3509" s="185">
        <f>IF($K3509="","",INDEX(Zeiterfassung!$K$6:$K$3665,$K3509))</f>
        <v/>
      </c>
      <c r="D3509" s="186">
        <f>IF($K3509="","",INDEX(Zeiterfassung!$D$6:$D$3665,$K3509))</f>
        <v/>
      </c>
      <c r="E3509" s="186">
        <f>IF($K3509="","",INDEX(Zeiterfassung!$E$6:$E$3665,$K3509))</f>
        <v/>
      </c>
      <c r="F3509" s="187">
        <f>IF($K3509="","",INDEX(Zeiterfassung!$F$6:$F$3665,$K3509))</f>
        <v/>
      </c>
      <c r="G3509" s="187">
        <f>IF($K3509="","",INDEX(Zeiterfassung!$G$6:$G$3665,$K3509))</f>
        <v/>
      </c>
      <c r="H3509" s="188">
        <f>IF($K3509="","",INDEX(Zeiterfassung!$H$6:$H$3665,$K3509))</f>
        <v/>
      </c>
      <c r="I3509" s="335">
        <f>IF(B3509=B3508,"",IF($K3509="","",INDEX(Zeiterfassung!$I$6:$I$3665,MATCH(INDEX(Zeiterfassung!$K$6:$K$3665,$K3509),Zeiterfassung!$K$6:$K$3665,0))))</f>
        <v/>
      </c>
      <c r="J3509" s="335">
        <f>IF(B3509=B3508,"",IF($K3509="","",INDEX(Zeiterfassung!$J$6:$J$3665,MATCH(INDEX(Zeiterfassung!$K$6:$K$3665,$K3509),Zeiterfassung!$K$6:$K$3665,0))))</f>
        <v/>
      </c>
      <c r="K3509">
        <f>IFERROR(AGGREGATE(15,6,(ROW(Zeiterfassung!$D$6:$D$3665)-ROW(Zeiterfassung!$D$6)+1)/(Zeiterfassung!$D$6:$D$3665&lt;&gt;""),3504),"")</f>
        <v/>
      </c>
    </row>
    <row r="3510" ht="20" customHeight="1">
      <c r="A3510" s="183">
        <f>IF($K3510="","",WEEKNUM(INDEX(Zeiterfassung!$K$6:$K$3665,$K3510),21))</f>
        <v/>
      </c>
      <c r="B3510" s="184">
        <f>IF($K3510="","",INDEX(Zeiterfassung!$K$6:$K$3665,$K3510))</f>
        <v/>
      </c>
      <c r="C3510" s="185">
        <f>IF($K3510="","",INDEX(Zeiterfassung!$K$6:$K$3665,$K3510))</f>
        <v/>
      </c>
      <c r="D3510" s="186">
        <f>IF($K3510="","",INDEX(Zeiterfassung!$D$6:$D$3665,$K3510))</f>
        <v/>
      </c>
      <c r="E3510" s="186">
        <f>IF($K3510="","",INDEX(Zeiterfassung!$E$6:$E$3665,$K3510))</f>
        <v/>
      </c>
      <c r="F3510" s="187">
        <f>IF($K3510="","",INDEX(Zeiterfassung!$F$6:$F$3665,$K3510))</f>
        <v/>
      </c>
      <c r="G3510" s="187">
        <f>IF($K3510="","",INDEX(Zeiterfassung!$G$6:$G$3665,$K3510))</f>
        <v/>
      </c>
      <c r="H3510" s="188">
        <f>IF($K3510="","",INDEX(Zeiterfassung!$H$6:$H$3665,$K3510))</f>
        <v/>
      </c>
      <c r="I3510" s="335">
        <f>IF(B3510=B3509,"",IF($K3510="","",INDEX(Zeiterfassung!$I$6:$I$3665,MATCH(INDEX(Zeiterfassung!$K$6:$K$3665,$K3510),Zeiterfassung!$K$6:$K$3665,0))))</f>
        <v/>
      </c>
      <c r="J3510" s="335">
        <f>IF(B3510=B3509,"",IF($K3510="","",INDEX(Zeiterfassung!$J$6:$J$3665,MATCH(INDEX(Zeiterfassung!$K$6:$K$3665,$K3510),Zeiterfassung!$K$6:$K$3665,0))))</f>
        <v/>
      </c>
      <c r="K3510">
        <f>IFERROR(AGGREGATE(15,6,(ROW(Zeiterfassung!$D$6:$D$3665)-ROW(Zeiterfassung!$D$6)+1)/(Zeiterfassung!$D$6:$D$3665&lt;&gt;""),3505),"")</f>
        <v/>
      </c>
    </row>
    <row r="3511" ht="20" customHeight="1">
      <c r="A3511" s="183">
        <f>IF($K3511="","",WEEKNUM(INDEX(Zeiterfassung!$K$6:$K$3665,$K3511),21))</f>
        <v/>
      </c>
      <c r="B3511" s="184">
        <f>IF($K3511="","",INDEX(Zeiterfassung!$K$6:$K$3665,$K3511))</f>
        <v/>
      </c>
      <c r="C3511" s="185">
        <f>IF($K3511="","",INDEX(Zeiterfassung!$K$6:$K$3665,$K3511))</f>
        <v/>
      </c>
      <c r="D3511" s="186">
        <f>IF($K3511="","",INDEX(Zeiterfassung!$D$6:$D$3665,$K3511))</f>
        <v/>
      </c>
      <c r="E3511" s="186">
        <f>IF($K3511="","",INDEX(Zeiterfassung!$E$6:$E$3665,$K3511))</f>
        <v/>
      </c>
      <c r="F3511" s="187">
        <f>IF($K3511="","",INDEX(Zeiterfassung!$F$6:$F$3665,$K3511))</f>
        <v/>
      </c>
      <c r="G3511" s="187">
        <f>IF($K3511="","",INDEX(Zeiterfassung!$G$6:$G$3665,$K3511))</f>
        <v/>
      </c>
      <c r="H3511" s="188">
        <f>IF($K3511="","",INDEX(Zeiterfassung!$H$6:$H$3665,$K3511))</f>
        <v/>
      </c>
      <c r="I3511" s="335">
        <f>IF(B3511=B3510,"",IF($K3511="","",INDEX(Zeiterfassung!$I$6:$I$3665,MATCH(INDEX(Zeiterfassung!$K$6:$K$3665,$K3511),Zeiterfassung!$K$6:$K$3665,0))))</f>
        <v/>
      </c>
      <c r="J3511" s="335">
        <f>IF(B3511=B3510,"",IF($K3511="","",INDEX(Zeiterfassung!$J$6:$J$3665,MATCH(INDEX(Zeiterfassung!$K$6:$K$3665,$K3511),Zeiterfassung!$K$6:$K$3665,0))))</f>
        <v/>
      </c>
      <c r="K3511">
        <f>IFERROR(AGGREGATE(15,6,(ROW(Zeiterfassung!$D$6:$D$3665)-ROW(Zeiterfassung!$D$6)+1)/(Zeiterfassung!$D$6:$D$3665&lt;&gt;""),3506),"")</f>
        <v/>
      </c>
    </row>
    <row r="3512" ht="20" customHeight="1">
      <c r="A3512" s="183">
        <f>IF($K3512="","",WEEKNUM(INDEX(Zeiterfassung!$K$6:$K$3665,$K3512),21))</f>
        <v/>
      </c>
      <c r="B3512" s="184">
        <f>IF($K3512="","",INDEX(Zeiterfassung!$K$6:$K$3665,$K3512))</f>
        <v/>
      </c>
      <c r="C3512" s="185">
        <f>IF($K3512="","",INDEX(Zeiterfassung!$K$6:$K$3665,$K3512))</f>
        <v/>
      </c>
      <c r="D3512" s="186">
        <f>IF($K3512="","",INDEX(Zeiterfassung!$D$6:$D$3665,$K3512))</f>
        <v/>
      </c>
      <c r="E3512" s="186">
        <f>IF($K3512="","",INDEX(Zeiterfassung!$E$6:$E$3665,$K3512))</f>
        <v/>
      </c>
      <c r="F3512" s="187">
        <f>IF($K3512="","",INDEX(Zeiterfassung!$F$6:$F$3665,$K3512))</f>
        <v/>
      </c>
      <c r="G3512" s="187">
        <f>IF($K3512="","",INDEX(Zeiterfassung!$G$6:$G$3665,$K3512))</f>
        <v/>
      </c>
      <c r="H3512" s="188">
        <f>IF($K3512="","",INDEX(Zeiterfassung!$H$6:$H$3665,$K3512))</f>
        <v/>
      </c>
      <c r="I3512" s="335">
        <f>IF(B3512=B3511,"",IF($K3512="","",INDEX(Zeiterfassung!$I$6:$I$3665,MATCH(INDEX(Zeiterfassung!$K$6:$K$3665,$K3512),Zeiterfassung!$K$6:$K$3665,0))))</f>
        <v/>
      </c>
      <c r="J3512" s="335">
        <f>IF(B3512=B3511,"",IF($K3512="","",INDEX(Zeiterfassung!$J$6:$J$3665,MATCH(INDEX(Zeiterfassung!$K$6:$K$3665,$K3512),Zeiterfassung!$K$6:$K$3665,0))))</f>
        <v/>
      </c>
      <c r="K3512">
        <f>IFERROR(AGGREGATE(15,6,(ROW(Zeiterfassung!$D$6:$D$3665)-ROW(Zeiterfassung!$D$6)+1)/(Zeiterfassung!$D$6:$D$3665&lt;&gt;""),3507),"")</f>
        <v/>
      </c>
    </row>
    <row r="3513" ht="20" customHeight="1">
      <c r="A3513" s="183">
        <f>IF($K3513="","",WEEKNUM(INDEX(Zeiterfassung!$K$6:$K$3665,$K3513),21))</f>
        <v/>
      </c>
      <c r="B3513" s="184">
        <f>IF($K3513="","",INDEX(Zeiterfassung!$K$6:$K$3665,$K3513))</f>
        <v/>
      </c>
      <c r="C3513" s="185">
        <f>IF($K3513="","",INDEX(Zeiterfassung!$K$6:$K$3665,$K3513))</f>
        <v/>
      </c>
      <c r="D3513" s="186">
        <f>IF($K3513="","",INDEX(Zeiterfassung!$D$6:$D$3665,$K3513))</f>
        <v/>
      </c>
      <c r="E3513" s="186">
        <f>IF($K3513="","",INDEX(Zeiterfassung!$E$6:$E$3665,$K3513))</f>
        <v/>
      </c>
      <c r="F3513" s="187">
        <f>IF($K3513="","",INDEX(Zeiterfassung!$F$6:$F$3665,$K3513))</f>
        <v/>
      </c>
      <c r="G3513" s="187">
        <f>IF($K3513="","",INDEX(Zeiterfassung!$G$6:$G$3665,$K3513))</f>
        <v/>
      </c>
      <c r="H3513" s="188">
        <f>IF($K3513="","",INDEX(Zeiterfassung!$H$6:$H$3665,$K3513))</f>
        <v/>
      </c>
      <c r="I3513" s="335">
        <f>IF(B3513=B3512,"",IF($K3513="","",INDEX(Zeiterfassung!$I$6:$I$3665,MATCH(INDEX(Zeiterfassung!$K$6:$K$3665,$K3513),Zeiterfassung!$K$6:$K$3665,0))))</f>
        <v/>
      </c>
      <c r="J3513" s="335">
        <f>IF(B3513=B3512,"",IF($K3513="","",INDEX(Zeiterfassung!$J$6:$J$3665,MATCH(INDEX(Zeiterfassung!$K$6:$K$3665,$K3513),Zeiterfassung!$K$6:$K$3665,0))))</f>
        <v/>
      </c>
      <c r="K3513">
        <f>IFERROR(AGGREGATE(15,6,(ROW(Zeiterfassung!$D$6:$D$3665)-ROW(Zeiterfassung!$D$6)+1)/(Zeiterfassung!$D$6:$D$3665&lt;&gt;""),3508),"")</f>
        <v/>
      </c>
    </row>
    <row r="3514" ht="20" customHeight="1">
      <c r="A3514" s="183">
        <f>IF($K3514="","",WEEKNUM(INDEX(Zeiterfassung!$K$6:$K$3665,$K3514),21))</f>
        <v/>
      </c>
      <c r="B3514" s="184">
        <f>IF($K3514="","",INDEX(Zeiterfassung!$K$6:$K$3665,$K3514))</f>
        <v/>
      </c>
      <c r="C3514" s="185">
        <f>IF($K3514="","",INDEX(Zeiterfassung!$K$6:$K$3665,$K3514))</f>
        <v/>
      </c>
      <c r="D3514" s="186">
        <f>IF($K3514="","",INDEX(Zeiterfassung!$D$6:$D$3665,$K3514))</f>
        <v/>
      </c>
      <c r="E3514" s="186">
        <f>IF($K3514="","",INDEX(Zeiterfassung!$E$6:$E$3665,$K3514))</f>
        <v/>
      </c>
      <c r="F3514" s="187">
        <f>IF($K3514="","",INDEX(Zeiterfassung!$F$6:$F$3665,$K3514))</f>
        <v/>
      </c>
      <c r="G3514" s="187">
        <f>IF($K3514="","",INDEX(Zeiterfassung!$G$6:$G$3665,$K3514))</f>
        <v/>
      </c>
      <c r="H3514" s="188">
        <f>IF($K3514="","",INDEX(Zeiterfassung!$H$6:$H$3665,$K3514))</f>
        <v/>
      </c>
      <c r="I3514" s="335">
        <f>IF(B3514=B3513,"",IF($K3514="","",INDEX(Zeiterfassung!$I$6:$I$3665,MATCH(INDEX(Zeiterfassung!$K$6:$K$3665,$K3514),Zeiterfassung!$K$6:$K$3665,0))))</f>
        <v/>
      </c>
      <c r="J3514" s="335">
        <f>IF(B3514=B3513,"",IF($K3514="","",INDEX(Zeiterfassung!$J$6:$J$3665,MATCH(INDEX(Zeiterfassung!$K$6:$K$3665,$K3514),Zeiterfassung!$K$6:$K$3665,0))))</f>
        <v/>
      </c>
      <c r="K3514">
        <f>IFERROR(AGGREGATE(15,6,(ROW(Zeiterfassung!$D$6:$D$3665)-ROW(Zeiterfassung!$D$6)+1)/(Zeiterfassung!$D$6:$D$3665&lt;&gt;""),3509),"")</f>
        <v/>
      </c>
    </row>
    <row r="3515" ht="20" customHeight="1">
      <c r="A3515" s="183">
        <f>IF($K3515="","",WEEKNUM(INDEX(Zeiterfassung!$K$6:$K$3665,$K3515),21))</f>
        <v/>
      </c>
      <c r="B3515" s="184">
        <f>IF($K3515="","",INDEX(Zeiterfassung!$K$6:$K$3665,$K3515))</f>
        <v/>
      </c>
      <c r="C3515" s="185">
        <f>IF($K3515="","",INDEX(Zeiterfassung!$K$6:$K$3665,$K3515))</f>
        <v/>
      </c>
      <c r="D3515" s="186">
        <f>IF($K3515="","",INDEX(Zeiterfassung!$D$6:$D$3665,$K3515))</f>
        <v/>
      </c>
      <c r="E3515" s="186">
        <f>IF($K3515="","",INDEX(Zeiterfassung!$E$6:$E$3665,$K3515))</f>
        <v/>
      </c>
      <c r="F3515" s="187">
        <f>IF($K3515="","",INDEX(Zeiterfassung!$F$6:$F$3665,$K3515))</f>
        <v/>
      </c>
      <c r="G3515" s="187">
        <f>IF($K3515="","",INDEX(Zeiterfassung!$G$6:$G$3665,$K3515))</f>
        <v/>
      </c>
      <c r="H3515" s="188">
        <f>IF($K3515="","",INDEX(Zeiterfassung!$H$6:$H$3665,$K3515))</f>
        <v/>
      </c>
      <c r="I3515" s="335">
        <f>IF(B3515=B3514,"",IF($K3515="","",INDEX(Zeiterfassung!$I$6:$I$3665,MATCH(INDEX(Zeiterfassung!$K$6:$K$3665,$K3515),Zeiterfassung!$K$6:$K$3665,0))))</f>
        <v/>
      </c>
      <c r="J3515" s="335">
        <f>IF(B3515=B3514,"",IF($K3515="","",INDEX(Zeiterfassung!$J$6:$J$3665,MATCH(INDEX(Zeiterfassung!$K$6:$K$3665,$K3515),Zeiterfassung!$K$6:$K$3665,0))))</f>
        <v/>
      </c>
      <c r="K3515">
        <f>IFERROR(AGGREGATE(15,6,(ROW(Zeiterfassung!$D$6:$D$3665)-ROW(Zeiterfassung!$D$6)+1)/(Zeiterfassung!$D$6:$D$3665&lt;&gt;""),3510),"")</f>
        <v/>
      </c>
    </row>
    <row r="3516" ht="20" customHeight="1">
      <c r="A3516" s="183">
        <f>IF($K3516="","",WEEKNUM(INDEX(Zeiterfassung!$K$6:$K$3665,$K3516),21))</f>
        <v/>
      </c>
      <c r="B3516" s="184">
        <f>IF($K3516="","",INDEX(Zeiterfassung!$K$6:$K$3665,$K3516))</f>
        <v/>
      </c>
      <c r="C3516" s="185">
        <f>IF($K3516="","",INDEX(Zeiterfassung!$K$6:$K$3665,$K3516))</f>
        <v/>
      </c>
      <c r="D3516" s="186">
        <f>IF($K3516="","",INDEX(Zeiterfassung!$D$6:$D$3665,$K3516))</f>
        <v/>
      </c>
      <c r="E3516" s="186">
        <f>IF($K3516="","",INDEX(Zeiterfassung!$E$6:$E$3665,$K3516))</f>
        <v/>
      </c>
      <c r="F3516" s="187">
        <f>IF($K3516="","",INDEX(Zeiterfassung!$F$6:$F$3665,$K3516))</f>
        <v/>
      </c>
      <c r="G3516" s="187">
        <f>IF($K3516="","",INDEX(Zeiterfassung!$G$6:$G$3665,$K3516))</f>
        <v/>
      </c>
      <c r="H3516" s="188">
        <f>IF($K3516="","",INDEX(Zeiterfassung!$H$6:$H$3665,$K3516))</f>
        <v/>
      </c>
      <c r="I3516" s="335">
        <f>IF(B3516=B3515,"",IF($K3516="","",INDEX(Zeiterfassung!$I$6:$I$3665,MATCH(INDEX(Zeiterfassung!$K$6:$K$3665,$K3516),Zeiterfassung!$K$6:$K$3665,0))))</f>
        <v/>
      </c>
      <c r="J3516" s="335">
        <f>IF(B3516=B3515,"",IF($K3516="","",INDEX(Zeiterfassung!$J$6:$J$3665,MATCH(INDEX(Zeiterfassung!$K$6:$K$3665,$K3516),Zeiterfassung!$K$6:$K$3665,0))))</f>
        <v/>
      </c>
      <c r="K3516">
        <f>IFERROR(AGGREGATE(15,6,(ROW(Zeiterfassung!$D$6:$D$3665)-ROW(Zeiterfassung!$D$6)+1)/(Zeiterfassung!$D$6:$D$3665&lt;&gt;""),3511),"")</f>
        <v/>
      </c>
    </row>
    <row r="3517" ht="20" customHeight="1">
      <c r="A3517" s="183">
        <f>IF($K3517="","",WEEKNUM(INDEX(Zeiterfassung!$K$6:$K$3665,$K3517),21))</f>
        <v/>
      </c>
      <c r="B3517" s="184">
        <f>IF($K3517="","",INDEX(Zeiterfassung!$K$6:$K$3665,$K3517))</f>
        <v/>
      </c>
      <c r="C3517" s="185">
        <f>IF($K3517="","",INDEX(Zeiterfassung!$K$6:$K$3665,$K3517))</f>
        <v/>
      </c>
      <c r="D3517" s="186">
        <f>IF($K3517="","",INDEX(Zeiterfassung!$D$6:$D$3665,$K3517))</f>
        <v/>
      </c>
      <c r="E3517" s="186">
        <f>IF($K3517="","",INDEX(Zeiterfassung!$E$6:$E$3665,$K3517))</f>
        <v/>
      </c>
      <c r="F3517" s="187">
        <f>IF($K3517="","",INDEX(Zeiterfassung!$F$6:$F$3665,$K3517))</f>
        <v/>
      </c>
      <c r="G3517" s="187">
        <f>IF($K3517="","",INDEX(Zeiterfassung!$G$6:$G$3665,$K3517))</f>
        <v/>
      </c>
      <c r="H3517" s="188">
        <f>IF($K3517="","",INDEX(Zeiterfassung!$H$6:$H$3665,$K3517))</f>
        <v/>
      </c>
      <c r="I3517" s="335">
        <f>IF(B3517=B3516,"",IF($K3517="","",INDEX(Zeiterfassung!$I$6:$I$3665,MATCH(INDEX(Zeiterfassung!$K$6:$K$3665,$K3517),Zeiterfassung!$K$6:$K$3665,0))))</f>
        <v/>
      </c>
      <c r="J3517" s="335">
        <f>IF(B3517=B3516,"",IF($K3517="","",INDEX(Zeiterfassung!$J$6:$J$3665,MATCH(INDEX(Zeiterfassung!$K$6:$K$3665,$K3517),Zeiterfassung!$K$6:$K$3665,0))))</f>
        <v/>
      </c>
      <c r="K3517">
        <f>IFERROR(AGGREGATE(15,6,(ROW(Zeiterfassung!$D$6:$D$3665)-ROW(Zeiterfassung!$D$6)+1)/(Zeiterfassung!$D$6:$D$3665&lt;&gt;""),3512),"")</f>
        <v/>
      </c>
    </row>
    <row r="3518" ht="20" customHeight="1">
      <c r="A3518" s="183">
        <f>IF($K3518="","",WEEKNUM(INDEX(Zeiterfassung!$K$6:$K$3665,$K3518),21))</f>
        <v/>
      </c>
      <c r="B3518" s="184">
        <f>IF($K3518="","",INDEX(Zeiterfassung!$K$6:$K$3665,$K3518))</f>
        <v/>
      </c>
      <c r="C3518" s="185">
        <f>IF($K3518="","",INDEX(Zeiterfassung!$K$6:$K$3665,$K3518))</f>
        <v/>
      </c>
      <c r="D3518" s="186">
        <f>IF($K3518="","",INDEX(Zeiterfassung!$D$6:$D$3665,$K3518))</f>
        <v/>
      </c>
      <c r="E3518" s="186">
        <f>IF($K3518="","",INDEX(Zeiterfassung!$E$6:$E$3665,$K3518))</f>
        <v/>
      </c>
      <c r="F3518" s="187">
        <f>IF($K3518="","",INDEX(Zeiterfassung!$F$6:$F$3665,$K3518))</f>
        <v/>
      </c>
      <c r="G3518" s="187">
        <f>IF($K3518="","",INDEX(Zeiterfassung!$G$6:$G$3665,$K3518))</f>
        <v/>
      </c>
      <c r="H3518" s="188">
        <f>IF($K3518="","",INDEX(Zeiterfassung!$H$6:$H$3665,$K3518))</f>
        <v/>
      </c>
      <c r="I3518" s="335">
        <f>IF(B3518=B3517,"",IF($K3518="","",INDEX(Zeiterfassung!$I$6:$I$3665,MATCH(INDEX(Zeiterfassung!$K$6:$K$3665,$K3518),Zeiterfassung!$K$6:$K$3665,0))))</f>
        <v/>
      </c>
      <c r="J3518" s="335">
        <f>IF(B3518=B3517,"",IF($K3518="","",INDEX(Zeiterfassung!$J$6:$J$3665,MATCH(INDEX(Zeiterfassung!$K$6:$K$3665,$K3518),Zeiterfassung!$K$6:$K$3665,0))))</f>
        <v/>
      </c>
      <c r="K3518">
        <f>IFERROR(AGGREGATE(15,6,(ROW(Zeiterfassung!$D$6:$D$3665)-ROW(Zeiterfassung!$D$6)+1)/(Zeiterfassung!$D$6:$D$3665&lt;&gt;""),3513),"")</f>
        <v/>
      </c>
    </row>
    <row r="3519" ht="20" customHeight="1">
      <c r="A3519" s="183">
        <f>IF($K3519="","",WEEKNUM(INDEX(Zeiterfassung!$K$6:$K$3665,$K3519),21))</f>
        <v/>
      </c>
      <c r="B3519" s="184">
        <f>IF($K3519="","",INDEX(Zeiterfassung!$K$6:$K$3665,$K3519))</f>
        <v/>
      </c>
      <c r="C3519" s="185">
        <f>IF($K3519="","",INDEX(Zeiterfassung!$K$6:$K$3665,$K3519))</f>
        <v/>
      </c>
      <c r="D3519" s="186">
        <f>IF($K3519="","",INDEX(Zeiterfassung!$D$6:$D$3665,$K3519))</f>
        <v/>
      </c>
      <c r="E3519" s="186">
        <f>IF($K3519="","",INDEX(Zeiterfassung!$E$6:$E$3665,$K3519))</f>
        <v/>
      </c>
      <c r="F3519" s="187">
        <f>IF($K3519="","",INDEX(Zeiterfassung!$F$6:$F$3665,$K3519))</f>
        <v/>
      </c>
      <c r="G3519" s="187">
        <f>IF($K3519="","",INDEX(Zeiterfassung!$G$6:$G$3665,$K3519))</f>
        <v/>
      </c>
      <c r="H3519" s="188">
        <f>IF($K3519="","",INDEX(Zeiterfassung!$H$6:$H$3665,$K3519))</f>
        <v/>
      </c>
      <c r="I3519" s="335">
        <f>IF(B3519=B3518,"",IF($K3519="","",INDEX(Zeiterfassung!$I$6:$I$3665,MATCH(INDEX(Zeiterfassung!$K$6:$K$3665,$K3519),Zeiterfassung!$K$6:$K$3665,0))))</f>
        <v/>
      </c>
      <c r="J3519" s="335">
        <f>IF(B3519=B3518,"",IF($K3519="","",INDEX(Zeiterfassung!$J$6:$J$3665,MATCH(INDEX(Zeiterfassung!$K$6:$K$3665,$K3519),Zeiterfassung!$K$6:$K$3665,0))))</f>
        <v/>
      </c>
      <c r="K3519">
        <f>IFERROR(AGGREGATE(15,6,(ROW(Zeiterfassung!$D$6:$D$3665)-ROW(Zeiterfassung!$D$6)+1)/(Zeiterfassung!$D$6:$D$3665&lt;&gt;""),3514),"")</f>
        <v/>
      </c>
    </row>
    <row r="3520" ht="20" customHeight="1">
      <c r="A3520" s="183">
        <f>IF($K3520="","",WEEKNUM(INDEX(Zeiterfassung!$K$6:$K$3665,$K3520),21))</f>
        <v/>
      </c>
      <c r="B3520" s="184">
        <f>IF($K3520="","",INDEX(Zeiterfassung!$K$6:$K$3665,$K3520))</f>
        <v/>
      </c>
      <c r="C3520" s="185">
        <f>IF($K3520="","",INDEX(Zeiterfassung!$K$6:$K$3665,$K3520))</f>
        <v/>
      </c>
      <c r="D3520" s="186">
        <f>IF($K3520="","",INDEX(Zeiterfassung!$D$6:$D$3665,$K3520))</f>
        <v/>
      </c>
      <c r="E3520" s="186">
        <f>IF($K3520="","",INDEX(Zeiterfassung!$E$6:$E$3665,$K3520))</f>
        <v/>
      </c>
      <c r="F3520" s="187">
        <f>IF($K3520="","",INDEX(Zeiterfassung!$F$6:$F$3665,$K3520))</f>
        <v/>
      </c>
      <c r="G3520" s="187">
        <f>IF($K3520="","",INDEX(Zeiterfassung!$G$6:$G$3665,$K3520))</f>
        <v/>
      </c>
      <c r="H3520" s="188">
        <f>IF($K3520="","",INDEX(Zeiterfassung!$H$6:$H$3665,$K3520))</f>
        <v/>
      </c>
      <c r="I3520" s="335">
        <f>IF(B3520=B3519,"",IF($K3520="","",INDEX(Zeiterfassung!$I$6:$I$3665,MATCH(INDEX(Zeiterfassung!$K$6:$K$3665,$K3520),Zeiterfassung!$K$6:$K$3665,0))))</f>
        <v/>
      </c>
      <c r="J3520" s="335">
        <f>IF(B3520=B3519,"",IF($K3520="","",INDEX(Zeiterfassung!$J$6:$J$3665,MATCH(INDEX(Zeiterfassung!$K$6:$K$3665,$K3520),Zeiterfassung!$K$6:$K$3665,0))))</f>
        <v/>
      </c>
      <c r="K3520">
        <f>IFERROR(AGGREGATE(15,6,(ROW(Zeiterfassung!$D$6:$D$3665)-ROW(Zeiterfassung!$D$6)+1)/(Zeiterfassung!$D$6:$D$3665&lt;&gt;""),3515),"")</f>
        <v/>
      </c>
    </row>
    <row r="3521" ht="20" customHeight="1">
      <c r="A3521" s="183">
        <f>IF($K3521="","",WEEKNUM(INDEX(Zeiterfassung!$K$6:$K$3665,$K3521),21))</f>
        <v/>
      </c>
      <c r="B3521" s="184">
        <f>IF($K3521="","",INDEX(Zeiterfassung!$K$6:$K$3665,$K3521))</f>
        <v/>
      </c>
      <c r="C3521" s="185">
        <f>IF($K3521="","",INDEX(Zeiterfassung!$K$6:$K$3665,$K3521))</f>
        <v/>
      </c>
      <c r="D3521" s="186">
        <f>IF($K3521="","",INDEX(Zeiterfassung!$D$6:$D$3665,$K3521))</f>
        <v/>
      </c>
      <c r="E3521" s="186">
        <f>IF($K3521="","",INDEX(Zeiterfassung!$E$6:$E$3665,$K3521))</f>
        <v/>
      </c>
      <c r="F3521" s="187">
        <f>IF($K3521="","",INDEX(Zeiterfassung!$F$6:$F$3665,$K3521))</f>
        <v/>
      </c>
      <c r="G3521" s="187">
        <f>IF($K3521="","",INDEX(Zeiterfassung!$G$6:$G$3665,$K3521))</f>
        <v/>
      </c>
      <c r="H3521" s="188">
        <f>IF($K3521="","",INDEX(Zeiterfassung!$H$6:$H$3665,$K3521))</f>
        <v/>
      </c>
      <c r="I3521" s="335">
        <f>IF(B3521=B3520,"",IF($K3521="","",INDEX(Zeiterfassung!$I$6:$I$3665,MATCH(INDEX(Zeiterfassung!$K$6:$K$3665,$K3521),Zeiterfassung!$K$6:$K$3665,0))))</f>
        <v/>
      </c>
      <c r="J3521" s="335">
        <f>IF(B3521=B3520,"",IF($K3521="","",INDEX(Zeiterfassung!$J$6:$J$3665,MATCH(INDEX(Zeiterfassung!$K$6:$K$3665,$K3521),Zeiterfassung!$K$6:$K$3665,0))))</f>
        <v/>
      </c>
      <c r="K3521">
        <f>IFERROR(AGGREGATE(15,6,(ROW(Zeiterfassung!$D$6:$D$3665)-ROW(Zeiterfassung!$D$6)+1)/(Zeiterfassung!$D$6:$D$3665&lt;&gt;""),3516),"")</f>
        <v/>
      </c>
    </row>
    <row r="3522" ht="20" customHeight="1">
      <c r="A3522" s="183">
        <f>IF($K3522="","",WEEKNUM(INDEX(Zeiterfassung!$K$6:$K$3665,$K3522),21))</f>
        <v/>
      </c>
      <c r="B3522" s="184">
        <f>IF($K3522="","",INDEX(Zeiterfassung!$K$6:$K$3665,$K3522))</f>
        <v/>
      </c>
      <c r="C3522" s="185">
        <f>IF($K3522="","",INDEX(Zeiterfassung!$K$6:$K$3665,$K3522))</f>
        <v/>
      </c>
      <c r="D3522" s="186">
        <f>IF($K3522="","",INDEX(Zeiterfassung!$D$6:$D$3665,$K3522))</f>
        <v/>
      </c>
      <c r="E3522" s="186">
        <f>IF($K3522="","",INDEX(Zeiterfassung!$E$6:$E$3665,$K3522))</f>
        <v/>
      </c>
      <c r="F3522" s="187">
        <f>IF($K3522="","",INDEX(Zeiterfassung!$F$6:$F$3665,$K3522))</f>
        <v/>
      </c>
      <c r="G3522" s="187">
        <f>IF($K3522="","",INDEX(Zeiterfassung!$G$6:$G$3665,$K3522))</f>
        <v/>
      </c>
      <c r="H3522" s="188">
        <f>IF($K3522="","",INDEX(Zeiterfassung!$H$6:$H$3665,$K3522))</f>
        <v/>
      </c>
      <c r="I3522" s="335">
        <f>IF(B3522=B3521,"",IF($K3522="","",INDEX(Zeiterfassung!$I$6:$I$3665,MATCH(INDEX(Zeiterfassung!$K$6:$K$3665,$K3522),Zeiterfassung!$K$6:$K$3665,0))))</f>
        <v/>
      </c>
      <c r="J3522" s="335">
        <f>IF(B3522=B3521,"",IF($K3522="","",INDEX(Zeiterfassung!$J$6:$J$3665,MATCH(INDEX(Zeiterfassung!$K$6:$K$3665,$K3522),Zeiterfassung!$K$6:$K$3665,0))))</f>
        <v/>
      </c>
      <c r="K3522">
        <f>IFERROR(AGGREGATE(15,6,(ROW(Zeiterfassung!$D$6:$D$3665)-ROW(Zeiterfassung!$D$6)+1)/(Zeiterfassung!$D$6:$D$3665&lt;&gt;""),3517),"")</f>
        <v/>
      </c>
    </row>
    <row r="3523" ht="20" customHeight="1">
      <c r="A3523" s="183">
        <f>IF($K3523="","",WEEKNUM(INDEX(Zeiterfassung!$K$6:$K$3665,$K3523),21))</f>
        <v/>
      </c>
      <c r="B3523" s="184">
        <f>IF($K3523="","",INDEX(Zeiterfassung!$K$6:$K$3665,$K3523))</f>
        <v/>
      </c>
      <c r="C3523" s="185">
        <f>IF($K3523="","",INDEX(Zeiterfassung!$K$6:$K$3665,$K3523))</f>
        <v/>
      </c>
      <c r="D3523" s="186">
        <f>IF($K3523="","",INDEX(Zeiterfassung!$D$6:$D$3665,$K3523))</f>
        <v/>
      </c>
      <c r="E3523" s="186">
        <f>IF($K3523="","",INDEX(Zeiterfassung!$E$6:$E$3665,$K3523))</f>
        <v/>
      </c>
      <c r="F3523" s="187">
        <f>IF($K3523="","",INDEX(Zeiterfassung!$F$6:$F$3665,$K3523))</f>
        <v/>
      </c>
      <c r="G3523" s="187">
        <f>IF($K3523="","",INDEX(Zeiterfassung!$G$6:$G$3665,$K3523))</f>
        <v/>
      </c>
      <c r="H3523" s="188">
        <f>IF($K3523="","",INDEX(Zeiterfassung!$H$6:$H$3665,$K3523))</f>
        <v/>
      </c>
      <c r="I3523" s="335">
        <f>IF(B3523=B3522,"",IF($K3523="","",INDEX(Zeiterfassung!$I$6:$I$3665,MATCH(INDEX(Zeiterfassung!$K$6:$K$3665,$K3523),Zeiterfassung!$K$6:$K$3665,0))))</f>
        <v/>
      </c>
      <c r="J3523" s="335">
        <f>IF(B3523=B3522,"",IF($K3523="","",INDEX(Zeiterfassung!$J$6:$J$3665,MATCH(INDEX(Zeiterfassung!$K$6:$K$3665,$K3523),Zeiterfassung!$K$6:$K$3665,0))))</f>
        <v/>
      </c>
      <c r="K3523">
        <f>IFERROR(AGGREGATE(15,6,(ROW(Zeiterfassung!$D$6:$D$3665)-ROW(Zeiterfassung!$D$6)+1)/(Zeiterfassung!$D$6:$D$3665&lt;&gt;""),3518),"")</f>
        <v/>
      </c>
    </row>
    <row r="3524" ht="20" customHeight="1">
      <c r="A3524" s="183">
        <f>IF($K3524="","",WEEKNUM(INDEX(Zeiterfassung!$K$6:$K$3665,$K3524),21))</f>
        <v/>
      </c>
      <c r="B3524" s="184">
        <f>IF($K3524="","",INDEX(Zeiterfassung!$K$6:$K$3665,$K3524))</f>
        <v/>
      </c>
      <c r="C3524" s="185">
        <f>IF($K3524="","",INDEX(Zeiterfassung!$K$6:$K$3665,$K3524))</f>
        <v/>
      </c>
      <c r="D3524" s="186">
        <f>IF($K3524="","",INDEX(Zeiterfassung!$D$6:$D$3665,$K3524))</f>
        <v/>
      </c>
      <c r="E3524" s="186">
        <f>IF($K3524="","",INDEX(Zeiterfassung!$E$6:$E$3665,$K3524))</f>
        <v/>
      </c>
      <c r="F3524" s="187">
        <f>IF($K3524="","",INDEX(Zeiterfassung!$F$6:$F$3665,$K3524))</f>
        <v/>
      </c>
      <c r="G3524" s="187">
        <f>IF($K3524="","",INDEX(Zeiterfassung!$G$6:$G$3665,$K3524))</f>
        <v/>
      </c>
      <c r="H3524" s="188">
        <f>IF($K3524="","",INDEX(Zeiterfassung!$H$6:$H$3665,$K3524))</f>
        <v/>
      </c>
      <c r="I3524" s="335">
        <f>IF(B3524=B3523,"",IF($K3524="","",INDEX(Zeiterfassung!$I$6:$I$3665,MATCH(INDEX(Zeiterfassung!$K$6:$K$3665,$K3524),Zeiterfassung!$K$6:$K$3665,0))))</f>
        <v/>
      </c>
      <c r="J3524" s="335">
        <f>IF(B3524=B3523,"",IF($K3524="","",INDEX(Zeiterfassung!$J$6:$J$3665,MATCH(INDEX(Zeiterfassung!$K$6:$K$3665,$K3524),Zeiterfassung!$K$6:$K$3665,0))))</f>
        <v/>
      </c>
      <c r="K3524">
        <f>IFERROR(AGGREGATE(15,6,(ROW(Zeiterfassung!$D$6:$D$3665)-ROW(Zeiterfassung!$D$6)+1)/(Zeiterfassung!$D$6:$D$3665&lt;&gt;""),3519),"")</f>
        <v/>
      </c>
    </row>
    <row r="3525" ht="20" customHeight="1">
      <c r="A3525" s="183">
        <f>IF($K3525="","",WEEKNUM(INDEX(Zeiterfassung!$K$6:$K$3665,$K3525),21))</f>
        <v/>
      </c>
      <c r="B3525" s="184">
        <f>IF($K3525="","",INDEX(Zeiterfassung!$K$6:$K$3665,$K3525))</f>
        <v/>
      </c>
      <c r="C3525" s="185">
        <f>IF($K3525="","",INDEX(Zeiterfassung!$K$6:$K$3665,$K3525))</f>
        <v/>
      </c>
      <c r="D3525" s="186">
        <f>IF($K3525="","",INDEX(Zeiterfassung!$D$6:$D$3665,$K3525))</f>
        <v/>
      </c>
      <c r="E3525" s="186">
        <f>IF($K3525="","",INDEX(Zeiterfassung!$E$6:$E$3665,$K3525))</f>
        <v/>
      </c>
      <c r="F3525" s="187">
        <f>IF($K3525="","",INDEX(Zeiterfassung!$F$6:$F$3665,$K3525))</f>
        <v/>
      </c>
      <c r="G3525" s="187">
        <f>IF($K3525="","",INDEX(Zeiterfassung!$G$6:$G$3665,$K3525))</f>
        <v/>
      </c>
      <c r="H3525" s="188">
        <f>IF($K3525="","",INDEX(Zeiterfassung!$H$6:$H$3665,$K3525))</f>
        <v/>
      </c>
      <c r="I3525" s="335">
        <f>IF(B3525=B3524,"",IF($K3525="","",INDEX(Zeiterfassung!$I$6:$I$3665,MATCH(INDEX(Zeiterfassung!$K$6:$K$3665,$K3525),Zeiterfassung!$K$6:$K$3665,0))))</f>
        <v/>
      </c>
      <c r="J3525" s="335">
        <f>IF(B3525=B3524,"",IF($K3525="","",INDEX(Zeiterfassung!$J$6:$J$3665,MATCH(INDEX(Zeiterfassung!$K$6:$K$3665,$K3525),Zeiterfassung!$K$6:$K$3665,0))))</f>
        <v/>
      </c>
      <c r="K3525">
        <f>IFERROR(AGGREGATE(15,6,(ROW(Zeiterfassung!$D$6:$D$3665)-ROW(Zeiterfassung!$D$6)+1)/(Zeiterfassung!$D$6:$D$3665&lt;&gt;""),3520),"")</f>
        <v/>
      </c>
    </row>
    <row r="3526" ht="20" customHeight="1">
      <c r="A3526" s="183">
        <f>IF($K3526="","",WEEKNUM(INDEX(Zeiterfassung!$K$6:$K$3665,$K3526),21))</f>
        <v/>
      </c>
      <c r="B3526" s="184">
        <f>IF($K3526="","",INDEX(Zeiterfassung!$K$6:$K$3665,$K3526))</f>
        <v/>
      </c>
      <c r="C3526" s="185">
        <f>IF($K3526="","",INDEX(Zeiterfassung!$K$6:$K$3665,$K3526))</f>
        <v/>
      </c>
      <c r="D3526" s="186">
        <f>IF($K3526="","",INDEX(Zeiterfassung!$D$6:$D$3665,$K3526))</f>
        <v/>
      </c>
      <c r="E3526" s="186">
        <f>IF($K3526="","",INDEX(Zeiterfassung!$E$6:$E$3665,$K3526))</f>
        <v/>
      </c>
      <c r="F3526" s="187">
        <f>IF($K3526="","",INDEX(Zeiterfassung!$F$6:$F$3665,$K3526))</f>
        <v/>
      </c>
      <c r="G3526" s="187">
        <f>IF($K3526="","",INDEX(Zeiterfassung!$G$6:$G$3665,$K3526))</f>
        <v/>
      </c>
      <c r="H3526" s="188">
        <f>IF($K3526="","",INDEX(Zeiterfassung!$H$6:$H$3665,$K3526))</f>
        <v/>
      </c>
      <c r="I3526" s="335">
        <f>IF(B3526=B3525,"",IF($K3526="","",INDEX(Zeiterfassung!$I$6:$I$3665,MATCH(INDEX(Zeiterfassung!$K$6:$K$3665,$K3526),Zeiterfassung!$K$6:$K$3665,0))))</f>
        <v/>
      </c>
      <c r="J3526" s="335">
        <f>IF(B3526=B3525,"",IF($K3526="","",INDEX(Zeiterfassung!$J$6:$J$3665,MATCH(INDEX(Zeiterfassung!$K$6:$K$3665,$K3526),Zeiterfassung!$K$6:$K$3665,0))))</f>
        <v/>
      </c>
      <c r="K3526">
        <f>IFERROR(AGGREGATE(15,6,(ROW(Zeiterfassung!$D$6:$D$3665)-ROW(Zeiterfassung!$D$6)+1)/(Zeiterfassung!$D$6:$D$3665&lt;&gt;""),3521),"")</f>
        <v/>
      </c>
    </row>
    <row r="3527" ht="20" customHeight="1">
      <c r="A3527" s="183">
        <f>IF($K3527="","",WEEKNUM(INDEX(Zeiterfassung!$K$6:$K$3665,$K3527),21))</f>
        <v/>
      </c>
      <c r="B3527" s="184">
        <f>IF($K3527="","",INDEX(Zeiterfassung!$K$6:$K$3665,$K3527))</f>
        <v/>
      </c>
      <c r="C3527" s="185">
        <f>IF($K3527="","",INDEX(Zeiterfassung!$K$6:$K$3665,$K3527))</f>
        <v/>
      </c>
      <c r="D3527" s="186">
        <f>IF($K3527="","",INDEX(Zeiterfassung!$D$6:$D$3665,$K3527))</f>
        <v/>
      </c>
      <c r="E3527" s="186">
        <f>IF($K3527="","",INDEX(Zeiterfassung!$E$6:$E$3665,$K3527))</f>
        <v/>
      </c>
      <c r="F3527" s="187">
        <f>IF($K3527="","",INDEX(Zeiterfassung!$F$6:$F$3665,$K3527))</f>
        <v/>
      </c>
      <c r="G3527" s="187">
        <f>IF($K3527="","",INDEX(Zeiterfassung!$G$6:$G$3665,$K3527))</f>
        <v/>
      </c>
      <c r="H3527" s="188">
        <f>IF($K3527="","",INDEX(Zeiterfassung!$H$6:$H$3665,$K3527))</f>
        <v/>
      </c>
      <c r="I3527" s="335">
        <f>IF(B3527=B3526,"",IF($K3527="","",INDEX(Zeiterfassung!$I$6:$I$3665,MATCH(INDEX(Zeiterfassung!$K$6:$K$3665,$K3527),Zeiterfassung!$K$6:$K$3665,0))))</f>
        <v/>
      </c>
      <c r="J3527" s="335">
        <f>IF(B3527=B3526,"",IF($K3527="","",INDEX(Zeiterfassung!$J$6:$J$3665,MATCH(INDEX(Zeiterfassung!$K$6:$K$3665,$K3527),Zeiterfassung!$K$6:$K$3665,0))))</f>
        <v/>
      </c>
      <c r="K3527">
        <f>IFERROR(AGGREGATE(15,6,(ROW(Zeiterfassung!$D$6:$D$3665)-ROW(Zeiterfassung!$D$6)+1)/(Zeiterfassung!$D$6:$D$3665&lt;&gt;""),3522),"")</f>
        <v/>
      </c>
    </row>
    <row r="3528" ht="20" customHeight="1">
      <c r="A3528" s="183">
        <f>IF($K3528="","",WEEKNUM(INDEX(Zeiterfassung!$K$6:$K$3665,$K3528),21))</f>
        <v/>
      </c>
      <c r="B3528" s="184">
        <f>IF($K3528="","",INDEX(Zeiterfassung!$K$6:$K$3665,$K3528))</f>
        <v/>
      </c>
      <c r="C3528" s="185">
        <f>IF($K3528="","",INDEX(Zeiterfassung!$K$6:$K$3665,$K3528))</f>
        <v/>
      </c>
      <c r="D3528" s="186">
        <f>IF($K3528="","",INDEX(Zeiterfassung!$D$6:$D$3665,$K3528))</f>
        <v/>
      </c>
      <c r="E3528" s="186">
        <f>IF($K3528="","",INDEX(Zeiterfassung!$E$6:$E$3665,$K3528))</f>
        <v/>
      </c>
      <c r="F3528" s="187">
        <f>IF($K3528="","",INDEX(Zeiterfassung!$F$6:$F$3665,$K3528))</f>
        <v/>
      </c>
      <c r="G3528" s="187">
        <f>IF($K3528="","",INDEX(Zeiterfassung!$G$6:$G$3665,$K3528))</f>
        <v/>
      </c>
      <c r="H3528" s="188">
        <f>IF($K3528="","",INDEX(Zeiterfassung!$H$6:$H$3665,$K3528))</f>
        <v/>
      </c>
      <c r="I3528" s="335">
        <f>IF(B3528=B3527,"",IF($K3528="","",INDEX(Zeiterfassung!$I$6:$I$3665,MATCH(INDEX(Zeiterfassung!$K$6:$K$3665,$K3528),Zeiterfassung!$K$6:$K$3665,0))))</f>
        <v/>
      </c>
      <c r="J3528" s="335">
        <f>IF(B3528=B3527,"",IF($K3528="","",INDEX(Zeiterfassung!$J$6:$J$3665,MATCH(INDEX(Zeiterfassung!$K$6:$K$3665,$K3528),Zeiterfassung!$K$6:$K$3665,0))))</f>
        <v/>
      </c>
      <c r="K3528">
        <f>IFERROR(AGGREGATE(15,6,(ROW(Zeiterfassung!$D$6:$D$3665)-ROW(Zeiterfassung!$D$6)+1)/(Zeiterfassung!$D$6:$D$3665&lt;&gt;""),3523),"")</f>
        <v/>
      </c>
    </row>
    <row r="3529" ht="20" customHeight="1">
      <c r="A3529" s="183">
        <f>IF($K3529="","",WEEKNUM(INDEX(Zeiterfassung!$K$6:$K$3665,$K3529),21))</f>
        <v/>
      </c>
      <c r="B3529" s="184">
        <f>IF($K3529="","",INDEX(Zeiterfassung!$K$6:$K$3665,$K3529))</f>
        <v/>
      </c>
      <c r="C3529" s="185">
        <f>IF($K3529="","",INDEX(Zeiterfassung!$K$6:$K$3665,$K3529))</f>
        <v/>
      </c>
      <c r="D3529" s="186">
        <f>IF($K3529="","",INDEX(Zeiterfassung!$D$6:$D$3665,$K3529))</f>
        <v/>
      </c>
      <c r="E3529" s="186">
        <f>IF($K3529="","",INDEX(Zeiterfassung!$E$6:$E$3665,$K3529))</f>
        <v/>
      </c>
      <c r="F3529" s="187">
        <f>IF($K3529="","",INDEX(Zeiterfassung!$F$6:$F$3665,$K3529))</f>
        <v/>
      </c>
      <c r="G3529" s="187">
        <f>IF($K3529="","",INDEX(Zeiterfassung!$G$6:$G$3665,$K3529))</f>
        <v/>
      </c>
      <c r="H3529" s="188">
        <f>IF($K3529="","",INDEX(Zeiterfassung!$H$6:$H$3665,$K3529))</f>
        <v/>
      </c>
      <c r="I3529" s="335">
        <f>IF(B3529=B3528,"",IF($K3529="","",INDEX(Zeiterfassung!$I$6:$I$3665,MATCH(INDEX(Zeiterfassung!$K$6:$K$3665,$K3529),Zeiterfassung!$K$6:$K$3665,0))))</f>
        <v/>
      </c>
      <c r="J3529" s="335">
        <f>IF(B3529=B3528,"",IF($K3529="","",INDEX(Zeiterfassung!$J$6:$J$3665,MATCH(INDEX(Zeiterfassung!$K$6:$K$3665,$K3529),Zeiterfassung!$K$6:$K$3665,0))))</f>
        <v/>
      </c>
      <c r="K3529">
        <f>IFERROR(AGGREGATE(15,6,(ROW(Zeiterfassung!$D$6:$D$3665)-ROW(Zeiterfassung!$D$6)+1)/(Zeiterfassung!$D$6:$D$3665&lt;&gt;""),3524),"")</f>
        <v/>
      </c>
    </row>
    <row r="3530" ht="20" customHeight="1">
      <c r="A3530" s="183">
        <f>IF($K3530="","",WEEKNUM(INDEX(Zeiterfassung!$K$6:$K$3665,$K3530),21))</f>
        <v/>
      </c>
      <c r="B3530" s="184">
        <f>IF($K3530="","",INDEX(Zeiterfassung!$K$6:$K$3665,$K3530))</f>
        <v/>
      </c>
      <c r="C3530" s="185">
        <f>IF($K3530="","",INDEX(Zeiterfassung!$K$6:$K$3665,$K3530))</f>
        <v/>
      </c>
      <c r="D3530" s="186">
        <f>IF($K3530="","",INDEX(Zeiterfassung!$D$6:$D$3665,$K3530))</f>
        <v/>
      </c>
      <c r="E3530" s="186">
        <f>IF($K3530="","",INDEX(Zeiterfassung!$E$6:$E$3665,$K3530))</f>
        <v/>
      </c>
      <c r="F3530" s="187">
        <f>IF($K3530="","",INDEX(Zeiterfassung!$F$6:$F$3665,$K3530))</f>
        <v/>
      </c>
      <c r="G3530" s="187">
        <f>IF($K3530="","",INDEX(Zeiterfassung!$G$6:$G$3665,$K3530))</f>
        <v/>
      </c>
      <c r="H3530" s="188">
        <f>IF($K3530="","",INDEX(Zeiterfassung!$H$6:$H$3665,$K3530))</f>
        <v/>
      </c>
      <c r="I3530" s="335">
        <f>IF(B3530=B3529,"",IF($K3530="","",INDEX(Zeiterfassung!$I$6:$I$3665,MATCH(INDEX(Zeiterfassung!$K$6:$K$3665,$K3530),Zeiterfassung!$K$6:$K$3665,0))))</f>
        <v/>
      </c>
      <c r="J3530" s="335">
        <f>IF(B3530=B3529,"",IF($K3530="","",INDEX(Zeiterfassung!$J$6:$J$3665,MATCH(INDEX(Zeiterfassung!$K$6:$K$3665,$K3530),Zeiterfassung!$K$6:$K$3665,0))))</f>
        <v/>
      </c>
      <c r="K3530">
        <f>IFERROR(AGGREGATE(15,6,(ROW(Zeiterfassung!$D$6:$D$3665)-ROW(Zeiterfassung!$D$6)+1)/(Zeiterfassung!$D$6:$D$3665&lt;&gt;""),3525),"")</f>
        <v/>
      </c>
    </row>
    <row r="3531" ht="20" customHeight="1">
      <c r="A3531" s="183">
        <f>IF($K3531="","",WEEKNUM(INDEX(Zeiterfassung!$K$6:$K$3665,$K3531),21))</f>
        <v/>
      </c>
      <c r="B3531" s="184">
        <f>IF($K3531="","",INDEX(Zeiterfassung!$K$6:$K$3665,$K3531))</f>
        <v/>
      </c>
      <c r="C3531" s="185">
        <f>IF($K3531="","",INDEX(Zeiterfassung!$K$6:$K$3665,$K3531))</f>
        <v/>
      </c>
      <c r="D3531" s="186">
        <f>IF($K3531="","",INDEX(Zeiterfassung!$D$6:$D$3665,$K3531))</f>
        <v/>
      </c>
      <c r="E3531" s="186">
        <f>IF($K3531="","",INDEX(Zeiterfassung!$E$6:$E$3665,$K3531))</f>
        <v/>
      </c>
      <c r="F3531" s="187">
        <f>IF($K3531="","",INDEX(Zeiterfassung!$F$6:$F$3665,$K3531))</f>
        <v/>
      </c>
      <c r="G3531" s="187">
        <f>IF($K3531="","",INDEX(Zeiterfassung!$G$6:$G$3665,$K3531))</f>
        <v/>
      </c>
      <c r="H3531" s="188">
        <f>IF($K3531="","",INDEX(Zeiterfassung!$H$6:$H$3665,$K3531))</f>
        <v/>
      </c>
      <c r="I3531" s="335">
        <f>IF(B3531=B3530,"",IF($K3531="","",INDEX(Zeiterfassung!$I$6:$I$3665,MATCH(INDEX(Zeiterfassung!$K$6:$K$3665,$K3531),Zeiterfassung!$K$6:$K$3665,0))))</f>
        <v/>
      </c>
      <c r="J3531" s="335">
        <f>IF(B3531=B3530,"",IF($K3531="","",INDEX(Zeiterfassung!$J$6:$J$3665,MATCH(INDEX(Zeiterfassung!$K$6:$K$3665,$K3531),Zeiterfassung!$K$6:$K$3665,0))))</f>
        <v/>
      </c>
      <c r="K3531">
        <f>IFERROR(AGGREGATE(15,6,(ROW(Zeiterfassung!$D$6:$D$3665)-ROW(Zeiterfassung!$D$6)+1)/(Zeiterfassung!$D$6:$D$3665&lt;&gt;""),3526),"")</f>
        <v/>
      </c>
    </row>
    <row r="3532" ht="20" customHeight="1">
      <c r="A3532" s="183">
        <f>IF($K3532="","",WEEKNUM(INDEX(Zeiterfassung!$K$6:$K$3665,$K3532),21))</f>
        <v/>
      </c>
      <c r="B3532" s="184">
        <f>IF($K3532="","",INDEX(Zeiterfassung!$K$6:$K$3665,$K3532))</f>
        <v/>
      </c>
      <c r="C3532" s="185">
        <f>IF($K3532="","",INDEX(Zeiterfassung!$K$6:$K$3665,$K3532))</f>
        <v/>
      </c>
      <c r="D3532" s="186">
        <f>IF($K3532="","",INDEX(Zeiterfassung!$D$6:$D$3665,$K3532))</f>
        <v/>
      </c>
      <c r="E3532" s="186">
        <f>IF($K3532="","",INDEX(Zeiterfassung!$E$6:$E$3665,$K3532))</f>
        <v/>
      </c>
      <c r="F3532" s="187">
        <f>IF($K3532="","",INDEX(Zeiterfassung!$F$6:$F$3665,$K3532))</f>
        <v/>
      </c>
      <c r="G3532" s="187">
        <f>IF($K3532="","",INDEX(Zeiterfassung!$G$6:$G$3665,$K3532))</f>
        <v/>
      </c>
      <c r="H3532" s="188">
        <f>IF($K3532="","",INDEX(Zeiterfassung!$H$6:$H$3665,$K3532))</f>
        <v/>
      </c>
      <c r="I3532" s="335">
        <f>IF(B3532=B3531,"",IF($K3532="","",INDEX(Zeiterfassung!$I$6:$I$3665,MATCH(INDEX(Zeiterfassung!$K$6:$K$3665,$K3532),Zeiterfassung!$K$6:$K$3665,0))))</f>
        <v/>
      </c>
      <c r="J3532" s="335">
        <f>IF(B3532=B3531,"",IF($K3532="","",INDEX(Zeiterfassung!$J$6:$J$3665,MATCH(INDEX(Zeiterfassung!$K$6:$K$3665,$K3532),Zeiterfassung!$K$6:$K$3665,0))))</f>
        <v/>
      </c>
      <c r="K3532">
        <f>IFERROR(AGGREGATE(15,6,(ROW(Zeiterfassung!$D$6:$D$3665)-ROW(Zeiterfassung!$D$6)+1)/(Zeiterfassung!$D$6:$D$3665&lt;&gt;""),3527),"")</f>
        <v/>
      </c>
    </row>
    <row r="3533" ht="20" customHeight="1">
      <c r="A3533" s="183">
        <f>IF($K3533="","",WEEKNUM(INDEX(Zeiterfassung!$K$6:$K$3665,$K3533),21))</f>
        <v/>
      </c>
      <c r="B3533" s="184">
        <f>IF($K3533="","",INDEX(Zeiterfassung!$K$6:$K$3665,$K3533))</f>
        <v/>
      </c>
      <c r="C3533" s="185">
        <f>IF($K3533="","",INDEX(Zeiterfassung!$K$6:$K$3665,$K3533))</f>
        <v/>
      </c>
      <c r="D3533" s="186">
        <f>IF($K3533="","",INDEX(Zeiterfassung!$D$6:$D$3665,$K3533))</f>
        <v/>
      </c>
      <c r="E3533" s="186">
        <f>IF($K3533="","",INDEX(Zeiterfassung!$E$6:$E$3665,$K3533))</f>
        <v/>
      </c>
      <c r="F3533" s="187">
        <f>IF($K3533="","",INDEX(Zeiterfassung!$F$6:$F$3665,$K3533))</f>
        <v/>
      </c>
      <c r="G3533" s="187">
        <f>IF($K3533="","",INDEX(Zeiterfassung!$G$6:$G$3665,$K3533))</f>
        <v/>
      </c>
      <c r="H3533" s="188">
        <f>IF($K3533="","",INDEX(Zeiterfassung!$H$6:$H$3665,$K3533))</f>
        <v/>
      </c>
      <c r="I3533" s="335">
        <f>IF(B3533=B3532,"",IF($K3533="","",INDEX(Zeiterfassung!$I$6:$I$3665,MATCH(INDEX(Zeiterfassung!$K$6:$K$3665,$K3533),Zeiterfassung!$K$6:$K$3665,0))))</f>
        <v/>
      </c>
      <c r="J3533" s="335">
        <f>IF(B3533=B3532,"",IF($K3533="","",INDEX(Zeiterfassung!$J$6:$J$3665,MATCH(INDEX(Zeiterfassung!$K$6:$K$3665,$K3533),Zeiterfassung!$K$6:$K$3665,0))))</f>
        <v/>
      </c>
      <c r="K3533">
        <f>IFERROR(AGGREGATE(15,6,(ROW(Zeiterfassung!$D$6:$D$3665)-ROW(Zeiterfassung!$D$6)+1)/(Zeiterfassung!$D$6:$D$3665&lt;&gt;""),3528),"")</f>
        <v/>
      </c>
    </row>
    <row r="3534" ht="20" customHeight="1">
      <c r="A3534" s="183">
        <f>IF($K3534="","",WEEKNUM(INDEX(Zeiterfassung!$K$6:$K$3665,$K3534),21))</f>
        <v/>
      </c>
      <c r="B3534" s="184">
        <f>IF($K3534="","",INDEX(Zeiterfassung!$K$6:$K$3665,$K3534))</f>
        <v/>
      </c>
      <c r="C3534" s="185">
        <f>IF($K3534="","",INDEX(Zeiterfassung!$K$6:$K$3665,$K3534))</f>
        <v/>
      </c>
      <c r="D3534" s="186">
        <f>IF($K3534="","",INDEX(Zeiterfassung!$D$6:$D$3665,$K3534))</f>
        <v/>
      </c>
      <c r="E3534" s="186">
        <f>IF($K3534="","",INDEX(Zeiterfassung!$E$6:$E$3665,$K3534))</f>
        <v/>
      </c>
      <c r="F3534" s="187">
        <f>IF($K3534="","",INDEX(Zeiterfassung!$F$6:$F$3665,$K3534))</f>
        <v/>
      </c>
      <c r="G3534" s="187">
        <f>IF($K3534="","",INDEX(Zeiterfassung!$G$6:$G$3665,$K3534))</f>
        <v/>
      </c>
      <c r="H3534" s="188">
        <f>IF($K3534="","",INDEX(Zeiterfassung!$H$6:$H$3665,$K3534))</f>
        <v/>
      </c>
      <c r="I3534" s="335">
        <f>IF(B3534=B3533,"",IF($K3534="","",INDEX(Zeiterfassung!$I$6:$I$3665,MATCH(INDEX(Zeiterfassung!$K$6:$K$3665,$K3534),Zeiterfassung!$K$6:$K$3665,0))))</f>
        <v/>
      </c>
      <c r="J3534" s="335">
        <f>IF(B3534=B3533,"",IF($K3534="","",INDEX(Zeiterfassung!$J$6:$J$3665,MATCH(INDEX(Zeiterfassung!$K$6:$K$3665,$K3534),Zeiterfassung!$K$6:$K$3665,0))))</f>
        <v/>
      </c>
      <c r="K3534">
        <f>IFERROR(AGGREGATE(15,6,(ROW(Zeiterfassung!$D$6:$D$3665)-ROW(Zeiterfassung!$D$6)+1)/(Zeiterfassung!$D$6:$D$3665&lt;&gt;""),3529),"")</f>
        <v/>
      </c>
    </row>
    <row r="3535" ht="20" customHeight="1">
      <c r="A3535" s="183">
        <f>IF($K3535="","",WEEKNUM(INDEX(Zeiterfassung!$K$6:$K$3665,$K3535),21))</f>
        <v/>
      </c>
      <c r="B3535" s="184">
        <f>IF($K3535="","",INDEX(Zeiterfassung!$K$6:$K$3665,$K3535))</f>
        <v/>
      </c>
      <c r="C3535" s="185">
        <f>IF($K3535="","",INDEX(Zeiterfassung!$K$6:$K$3665,$K3535))</f>
        <v/>
      </c>
      <c r="D3535" s="186">
        <f>IF($K3535="","",INDEX(Zeiterfassung!$D$6:$D$3665,$K3535))</f>
        <v/>
      </c>
      <c r="E3535" s="186">
        <f>IF($K3535="","",INDEX(Zeiterfassung!$E$6:$E$3665,$K3535))</f>
        <v/>
      </c>
      <c r="F3535" s="187">
        <f>IF($K3535="","",INDEX(Zeiterfassung!$F$6:$F$3665,$K3535))</f>
        <v/>
      </c>
      <c r="G3535" s="187">
        <f>IF($K3535="","",INDEX(Zeiterfassung!$G$6:$G$3665,$K3535))</f>
        <v/>
      </c>
      <c r="H3535" s="188">
        <f>IF($K3535="","",INDEX(Zeiterfassung!$H$6:$H$3665,$K3535))</f>
        <v/>
      </c>
      <c r="I3535" s="335">
        <f>IF(B3535=B3534,"",IF($K3535="","",INDEX(Zeiterfassung!$I$6:$I$3665,MATCH(INDEX(Zeiterfassung!$K$6:$K$3665,$K3535),Zeiterfassung!$K$6:$K$3665,0))))</f>
        <v/>
      </c>
      <c r="J3535" s="335">
        <f>IF(B3535=B3534,"",IF($K3535="","",INDEX(Zeiterfassung!$J$6:$J$3665,MATCH(INDEX(Zeiterfassung!$K$6:$K$3665,$K3535),Zeiterfassung!$K$6:$K$3665,0))))</f>
        <v/>
      </c>
      <c r="K3535">
        <f>IFERROR(AGGREGATE(15,6,(ROW(Zeiterfassung!$D$6:$D$3665)-ROW(Zeiterfassung!$D$6)+1)/(Zeiterfassung!$D$6:$D$3665&lt;&gt;""),3530),"")</f>
        <v/>
      </c>
    </row>
    <row r="3536" ht="20" customHeight="1">
      <c r="A3536" s="183">
        <f>IF($K3536="","",WEEKNUM(INDEX(Zeiterfassung!$K$6:$K$3665,$K3536),21))</f>
        <v/>
      </c>
      <c r="B3536" s="184">
        <f>IF($K3536="","",INDEX(Zeiterfassung!$K$6:$K$3665,$K3536))</f>
        <v/>
      </c>
      <c r="C3536" s="185">
        <f>IF($K3536="","",INDEX(Zeiterfassung!$K$6:$K$3665,$K3536))</f>
        <v/>
      </c>
      <c r="D3536" s="186">
        <f>IF($K3536="","",INDEX(Zeiterfassung!$D$6:$D$3665,$K3536))</f>
        <v/>
      </c>
      <c r="E3536" s="186">
        <f>IF($K3536="","",INDEX(Zeiterfassung!$E$6:$E$3665,$K3536))</f>
        <v/>
      </c>
      <c r="F3536" s="187">
        <f>IF($K3536="","",INDEX(Zeiterfassung!$F$6:$F$3665,$K3536))</f>
        <v/>
      </c>
      <c r="G3536" s="187">
        <f>IF($K3536="","",INDEX(Zeiterfassung!$G$6:$G$3665,$K3536))</f>
        <v/>
      </c>
      <c r="H3536" s="188">
        <f>IF($K3536="","",INDEX(Zeiterfassung!$H$6:$H$3665,$K3536))</f>
        <v/>
      </c>
      <c r="I3536" s="335">
        <f>IF(B3536=B3535,"",IF($K3536="","",INDEX(Zeiterfassung!$I$6:$I$3665,MATCH(INDEX(Zeiterfassung!$K$6:$K$3665,$K3536),Zeiterfassung!$K$6:$K$3665,0))))</f>
        <v/>
      </c>
      <c r="J3536" s="335">
        <f>IF(B3536=B3535,"",IF($K3536="","",INDEX(Zeiterfassung!$J$6:$J$3665,MATCH(INDEX(Zeiterfassung!$K$6:$K$3665,$K3536),Zeiterfassung!$K$6:$K$3665,0))))</f>
        <v/>
      </c>
      <c r="K3536">
        <f>IFERROR(AGGREGATE(15,6,(ROW(Zeiterfassung!$D$6:$D$3665)-ROW(Zeiterfassung!$D$6)+1)/(Zeiterfassung!$D$6:$D$3665&lt;&gt;""),3531),"")</f>
        <v/>
      </c>
    </row>
    <row r="3537" ht="20" customHeight="1">
      <c r="A3537" s="183">
        <f>IF($K3537="","",WEEKNUM(INDEX(Zeiterfassung!$K$6:$K$3665,$K3537),21))</f>
        <v/>
      </c>
      <c r="B3537" s="184">
        <f>IF($K3537="","",INDEX(Zeiterfassung!$K$6:$K$3665,$K3537))</f>
        <v/>
      </c>
      <c r="C3537" s="185">
        <f>IF($K3537="","",INDEX(Zeiterfassung!$K$6:$K$3665,$K3537))</f>
        <v/>
      </c>
      <c r="D3537" s="186">
        <f>IF($K3537="","",INDEX(Zeiterfassung!$D$6:$D$3665,$K3537))</f>
        <v/>
      </c>
      <c r="E3537" s="186">
        <f>IF($K3537="","",INDEX(Zeiterfassung!$E$6:$E$3665,$K3537))</f>
        <v/>
      </c>
      <c r="F3537" s="187">
        <f>IF($K3537="","",INDEX(Zeiterfassung!$F$6:$F$3665,$K3537))</f>
        <v/>
      </c>
      <c r="G3537" s="187">
        <f>IF($K3537="","",INDEX(Zeiterfassung!$G$6:$G$3665,$K3537))</f>
        <v/>
      </c>
      <c r="H3537" s="188">
        <f>IF($K3537="","",INDEX(Zeiterfassung!$H$6:$H$3665,$K3537))</f>
        <v/>
      </c>
      <c r="I3537" s="335">
        <f>IF(B3537=B3536,"",IF($K3537="","",INDEX(Zeiterfassung!$I$6:$I$3665,MATCH(INDEX(Zeiterfassung!$K$6:$K$3665,$K3537),Zeiterfassung!$K$6:$K$3665,0))))</f>
        <v/>
      </c>
      <c r="J3537" s="335">
        <f>IF(B3537=B3536,"",IF($K3537="","",INDEX(Zeiterfassung!$J$6:$J$3665,MATCH(INDEX(Zeiterfassung!$K$6:$K$3665,$K3537),Zeiterfassung!$K$6:$K$3665,0))))</f>
        <v/>
      </c>
      <c r="K3537">
        <f>IFERROR(AGGREGATE(15,6,(ROW(Zeiterfassung!$D$6:$D$3665)-ROW(Zeiterfassung!$D$6)+1)/(Zeiterfassung!$D$6:$D$3665&lt;&gt;""),3532),"")</f>
        <v/>
      </c>
    </row>
    <row r="3538" ht="20" customHeight="1">
      <c r="A3538" s="183">
        <f>IF($K3538="","",WEEKNUM(INDEX(Zeiterfassung!$K$6:$K$3665,$K3538),21))</f>
        <v/>
      </c>
      <c r="B3538" s="184">
        <f>IF($K3538="","",INDEX(Zeiterfassung!$K$6:$K$3665,$K3538))</f>
        <v/>
      </c>
      <c r="C3538" s="185">
        <f>IF($K3538="","",INDEX(Zeiterfassung!$K$6:$K$3665,$K3538))</f>
        <v/>
      </c>
      <c r="D3538" s="186">
        <f>IF($K3538="","",INDEX(Zeiterfassung!$D$6:$D$3665,$K3538))</f>
        <v/>
      </c>
      <c r="E3538" s="186">
        <f>IF($K3538="","",INDEX(Zeiterfassung!$E$6:$E$3665,$K3538))</f>
        <v/>
      </c>
      <c r="F3538" s="187">
        <f>IF($K3538="","",INDEX(Zeiterfassung!$F$6:$F$3665,$K3538))</f>
        <v/>
      </c>
      <c r="G3538" s="187">
        <f>IF($K3538="","",INDEX(Zeiterfassung!$G$6:$G$3665,$K3538))</f>
        <v/>
      </c>
      <c r="H3538" s="188">
        <f>IF($K3538="","",INDEX(Zeiterfassung!$H$6:$H$3665,$K3538))</f>
        <v/>
      </c>
      <c r="I3538" s="335">
        <f>IF(B3538=B3537,"",IF($K3538="","",INDEX(Zeiterfassung!$I$6:$I$3665,MATCH(INDEX(Zeiterfassung!$K$6:$K$3665,$K3538),Zeiterfassung!$K$6:$K$3665,0))))</f>
        <v/>
      </c>
      <c r="J3538" s="335">
        <f>IF(B3538=B3537,"",IF($K3538="","",INDEX(Zeiterfassung!$J$6:$J$3665,MATCH(INDEX(Zeiterfassung!$K$6:$K$3665,$K3538),Zeiterfassung!$K$6:$K$3665,0))))</f>
        <v/>
      </c>
      <c r="K3538">
        <f>IFERROR(AGGREGATE(15,6,(ROW(Zeiterfassung!$D$6:$D$3665)-ROW(Zeiterfassung!$D$6)+1)/(Zeiterfassung!$D$6:$D$3665&lt;&gt;""),3533),"")</f>
        <v/>
      </c>
    </row>
    <row r="3539" ht="20" customHeight="1">
      <c r="A3539" s="183">
        <f>IF($K3539="","",WEEKNUM(INDEX(Zeiterfassung!$K$6:$K$3665,$K3539),21))</f>
        <v/>
      </c>
      <c r="B3539" s="184">
        <f>IF($K3539="","",INDEX(Zeiterfassung!$K$6:$K$3665,$K3539))</f>
        <v/>
      </c>
      <c r="C3539" s="185">
        <f>IF($K3539="","",INDEX(Zeiterfassung!$K$6:$K$3665,$K3539))</f>
        <v/>
      </c>
      <c r="D3539" s="186">
        <f>IF($K3539="","",INDEX(Zeiterfassung!$D$6:$D$3665,$K3539))</f>
        <v/>
      </c>
      <c r="E3539" s="186">
        <f>IF($K3539="","",INDEX(Zeiterfassung!$E$6:$E$3665,$K3539))</f>
        <v/>
      </c>
      <c r="F3539" s="187">
        <f>IF($K3539="","",INDEX(Zeiterfassung!$F$6:$F$3665,$K3539))</f>
        <v/>
      </c>
      <c r="G3539" s="187">
        <f>IF($K3539="","",INDEX(Zeiterfassung!$G$6:$G$3665,$K3539))</f>
        <v/>
      </c>
      <c r="H3539" s="188">
        <f>IF($K3539="","",INDEX(Zeiterfassung!$H$6:$H$3665,$K3539))</f>
        <v/>
      </c>
      <c r="I3539" s="335">
        <f>IF(B3539=B3538,"",IF($K3539="","",INDEX(Zeiterfassung!$I$6:$I$3665,MATCH(INDEX(Zeiterfassung!$K$6:$K$3665,$K3539),Zeiterfassung!$K$6:$K$3665,0))))</f>
        <v/>
      </c>
      <c r="J3539" s="335">
        <f>IF(B3539=B3538,"",IF($K3539="","",INDEX(Zeiterfassung!$J$6:$J$3665,MATCH(INDEX(Zeiterfassung!$K$6:$K$3665,$K3539),Zeiterfassung!$K$6:$K$3665,0))))</f>
        <v/>
      </c>
      <c r="K3539">
        <f>IFERROR(AGGREGATE(15,6,(ROW(Zeiterfassung!$D$6:$D$3665)-ROW(Zeiterfassung!$D$6)+1)/(Zeiterfassung!$D$6:$D$3665&lt;&gt;""),3534),"")</f>
        <v/>
      </c>
    </row>
    <row r="3540" ht="20" customHeight="1">
      <c r="A3540" s="183">
        <f>IF($K3540="","",WEEKNUM(INDEX(Zeiterfassung!$K$6:$K$3665,$K3540),21))</f>
        <v/>
      </c>
      <c r="B3540" s="184">
        <f>IF($K3540="","",INDEX(Zeiterfassung!$K$6:$K$3665,$K3540))</f>
        <v/>
      </c>
      <c r="C3540" s="185">
        <f>IF($K3540="","",INDEX(Zeiterfassung!$K$6:$K$3665,$K3540))</f>
        <v/>
      </c>
      <c r="D3540" s="186">
        <f>IF($K3540="","",INDEX(Zeiterfassung!$D$6:$D$3665,$K3540))</f>
        <v/>
      </c>
      <c r="E3540" s="186">
        <f>IF($K3540="","",INDEX(Zeiterfassung!$E$6:$E$3665,$K3540))</f>
        <v/>
      </c>
      <c r="F3540" s="187">
        <f>IF($K3540="","",INDEX(Zeiterfassung!$F$6:$F$3665,$K3540))</f>
        <v/>
      </c>
      <c r="G3540" s="187">
        <f>IF($K3540="","",INDEX(Zeiterfassung!$G$6:$G$3665,$K3540))</f>
        <v/>
      </c>
      <c r="H3540" s="188">
        <f>IF($K3540="","",INDEX(Zeiterfassung!$H$6:$H$3665,$K3540))</f>
        <v/>
      </c>
      <c r="I3540" s="335">
        <f>IF(B3540=B3539,"",IF($K3540="","",INDEX(Zeiterfassung!$I$6:$I$3665,MATCH(INDEX(Zeiterfassung!$K$6:$K$3665,$K3540),Zeiterfassung!$K$6:$K$3665,0))))</f>
        <v/>
      </c>
      <c r="J3540" s="335">
        <f>IF(B3540=B3539,"",IF($K3540="","",INDEX(Zeiterfassung!$J$6:$J$3665,MATCH(INDEX(Zeiterfassung!$K$6:$K$3665,$K3540),Zeiterfassung!$K$6:$K$3665,0))))</f>
        <v/>
      </c>
      <c r="K3540">
        <f>IFERROR(AGGREGATE(15,6,(ROW(Zeiterfassung!$D$6:$D$3665)-ROW(Zeiterfassung!$D$6)+1)/(Zeiterfassung!$D$6:$D$3665&lt;&gt;""),3535),"")</f>
        <v/>
      </c>
    </row>
    <row r="3541" ht="20" customHeight="1">
      <c r="A3541" s="183">
        <f>IF($K3541="","",WEEKNUM(INDEX(Zeiterfassung!$K$6:$K$3665,$K3541),21))</f>
        <v/>
      </c>
      <c r="B3541" s="184">
        <f>IF($K3541="","",INDEX(Zeiterfassung!$K$6:$K$3665,$K3541))</f>
        <v/>
      </c>
      <c r="C3541" s="185">
        <f>IF($K3541="","",INDEX(Zeiterfassung!$K$6:$K$3665,$K3541))</f>
        <v/>
      </c>
      <c r="D3541" s="186">
        <f>IF($K3541="","",INDEX(Zeiterfassung!$D$6:$D$3665,$K3541))</f>
        <v/>
      </c>
      <c r="E3541" s="186">
        <f>IF($K3541="","",INDEX(Zeiterfassung!$E$6:$E$3665,$K3541))</f>
        <v/>
      </c>
      <c r="F3541" s="187">
        <f>IF($K3541="","",INDEX(Zeiterfassung!$F$6:$F$3665,$K3541))</f>
        <v/>
      </c>
      <c r="G3541" s="187">
        <f>IF($K3541="","",INDEX(Zeiterfassung!$G$6:$G$3665,$K3541))</f>
        <v/>
      </c>
      <c r="H3541" s="188">
        <f>IF($K3541="","",INDEX(Zeiterfassung!$H$6:$H$3665,$K3541))</f>
        <v/>
      </c>
      <c r="I3541" s="335">
        <f>IF(B3541=B3540,"",IF($K3541="","",INDEX(Zeiterfassung!$I$6:$I$3665,MATCH(INDEX(Zeiterfassung!$K$6:$K$3665,$K3541),Zeiterfassung!$K$6:$K$3665,0))))</f>
        <v/>
      </c>
      <c r="J3541" s="335">
        <f>IF(B3541=B3540,"",IF($K3541="","",INDEX(Zeiterfassung!$J$6:$J$3665,MATCH(INDEX(Zeiterfassung!$K$6:$K$3665,$K3541),Zeiterfassung!$K$6:$K$3665,0))))</f>
        <v/>
      </c>
      <c r="K3541">
        <f>IFERROR(AGGREGATE(15,6,(ROW(Zeiterfassung!$D$6:$D$3665)-ROW(Zeiterfassung!$D$6)+1)/(Zeiterfassung!$D$6:$D$3665&lt;&gt;""),3536),"")</f>
        <v/>
      </c>
    </row>
    <row r="3542" ht="20" customHeight="1">
      <c r="A3542" s="183">
        <f>IF($K3542="","",WEEKNUM(INDEX(Zeiterfassung!$K$6:$K$3665,$K3542),21))</f>
        <v/>
      </c>
      <c r="B3542" s="184">
        <f>IF($K3542="","",INDEX(Zeiterfassung!$K$6:$K$3665,$K3542))</f>
        <v/>
      </c>
      <c r="C3542" s="185">
        <f>IF($K3542="","",INDEX(Zeiterfassung!$K$6:$K$3665,$K3542))</f>
        <v/>
      </c>
      <c r="D3542" s="186">
        <f>IF($K3542="","",INDEX(Zeiterfassung!$D$6:$D$3665,$K3542))</f>
        <v/>
      </c>
      <c r="E3542" s="186">
        <f>IF($K3542="","",INDEX(Zeiterfassung!$E$6:$E$3665,$K3542))</f>
        <v/>
      </c>
      <c r="F3542" s="187">
        <f>IF($K3542="","",INDEX(Zeiterfassung!$F$6:$F$3665,$K3542))</f>
        <v/>
      </c>
      <c r="G3542" s="187">
        <f>IF($K3542="","",INDEX(Zeiterfassung!$G$6:$G$3665,$K3542))</f>
        <v/>
      </c>
      <c r="H3542" s="188">
        <f>IF($K3542="","",INDEX(Zeiterfassung!$H$6:$H$3665,$K3542))</f>
        <v/>
      </c>
      <c r="I3542" s="335">
        <f>IF(B3542=B3541,"",IF($K3542="","",INDEX(Zeiterfassung!$I$6:$I$3665,MATCH(INDEX(Zeiterfassung!$K$6:$K$3665,$K3542),Zeiterfassung!$K$6:$K$3665,0))))</f>
        <v/>
      </c>
      <c r="J3542" s="335">
        <f>IF(B3542=B3541,"",IF($K3542="","",INDEX(Zeiterfassung!$J$6:$J$3665,MATCH(INDEX(Zeiterfassung!$K$6:$K$3665,$K3542),Zeiterfassung!$K$6:$K$3665,0))))</f>
        <v/>
      </c>
      <c r="K3542">
        <f>IFERROR(AGGREGATE(15,6,(ROW(Zeiterfassung!$D$6:$D$3665)-ROW(Zeiterfassung!$D$6)+1)/(Zeiterfassung!$D$6:$D$3665&lt;&gt;""),3537),"")</f>
        <v/>
      </c>
    </row>
    <row r="3543" ht="20" customHeight="1">
      <c r="A3543" s="183">
        <f>IF($K3543="","",WEEKNUM(INDEX(Zeiterfassung!$K$6:$K$3665,$K3543),21))</f>
        <v/>
      </c>
      <c r="B3543" s="184">
        <f>IF($K3543="","",INDEX(Zeiterfassung!$K$6:$K$3665,$K3543))</f>
        <v/>
      </c>
      <c r="C3543" s="185">
        <f>IF($K3543="","",INDEX(Zeiterfassung!$K$6:$K$3665,$K3543))</f>
        <v/>
      </c>
      <c r="D3543" s="186">
        <f>IF($K3543="","",INDEX(Zeiterfassung!$D$6:$D$3665,$K3543))</f>
        <v/>
      </c>
      <c r="E3543" s="186">
        <f>IF($K3543="","",INDEX(Zeiterfassung!$E$6:$E$3665,$K3543))</f>
        <v/>
      </c>
      <c r="F3543" s="187">
        <f>IF($K3543="","",INDEX(Zeiterfassung!$F$6:$F$3665,$K3543))</f>
        <v/>
      </c>
      <c r="G3543" s="187">
        <f>IF($K3543="","",INDEX(Zeiterfassung!$G$6:$G$3665,$K3543))</f>
        <v/>
      </c>
      <c r="H3543" s="188">
        <f>IF($K3543="","",INDEX(Zeiterfassung!$H$6:$H$3665,$K3543))</f>
        <v/>
      </c>
      <c r="I3543" s="335">
        <f>IF(B3543=B3542,"",IF($K3543="","",INDEX(Zeiterfassung!$I$6:$I$3665,MATCH(INDEX(Zeiterfassung!$K$6:$K$3665,$K3543),Zeiterfassung!$K$6:$K$3665,0))))</f>
        <v/>
      </c>
      <c r="J3543" s="335">
        <f>IF(B3543=B3542,"",IF($K3543="","",INDEX(Zeiterfassung!$J$6:$J$3665,MATCH(INDEX(Zeiterfassung!$K$6:$K$3665,$K3543),Zeiterfassung!$K$6:$K$3665,0))))</f>
        <v/>
      </c>
      <c r="K3543">
        <f>IFERROR(AGGREGATE(15,6,(ROW(Zeiterfassung!$D$6:$D$3665)-ROW(Zeiterfassung!$D$6)+1)/(Zeiterfassung!$D$6:$D$3665&lt;&gt;""),3538),"")</f>
        <v/>
      </c>
    </row>
    <row r="3544" ht="20" customHeight="1">
      <c r="A3544" s="183">
        <f>IF($K3544="","",WEEKNUM(INDEX(Zeiterfassung!$K$6:$K$3665,$K3544),21))</f>
        <v/>
      </c>
      <c r="B3544" s="184">
        <f>IF($K3544="","",INDEX(Zeiterfassung!$K$6:$K$3665,$K3544))</f>
        <v/>
      </c>
      <c r="C3544" s="185">
        <f>IF($K3544="","",INDEX(Zeiterfassung!$K$6:$K$3665,$K3544))</f>
        <v/>
      </c>
      <c r="D3544" s="186">
        <f>IF($K3544="","",INDEX(Zeiterfassung!$D$6:$D$3665,$K3544))</f>
        <v/>
      </c>
      <c r="E3544" s="186">
        <f>IF($K3544="","",INDEX(Zeiterfassung!$E$6:$E$3665,$K3544))</f>
        <v/>
      </c>
      <c r="F3544" s="187">
        <f>IF($K3544="","",INDEX(Zeiterfassung!$F$6:$F$3665,$K3544))</f>
        <v/>
      </c>
      <c r="G3544" s="187">
        <f>IF($K3544="","",INDEX(Zeiterfassung!$G$6:$G$3665,$K3544))</f>
        <v/>
      </c>
      <c r="H3544" s="188">
        <f>IF($K3544="","",INDEX(Zeiterfassung!$H$6:$H$3665,$K3544))</f>
        <v/>
      </c>
      <c r="I3544" s="335">
        <f>IF(B3544=B3543,"",IF($K3544="","",INDEX(Zeiterfassung!$I$6:$I$3665,MATCH(INDEX(Zeiterfassung!$K$6:$K$3665,$K3544),Zeiterfassung!$K$6:$K$3665,0))))</f>
        <v/>
      </c>
      <c r="J3544" s="335">
        <f>IF(B3544=B3543,"",IF($K3544="","",INDEX(Zeiterfassung!$J$6:$J$3665,MATCH(INDEX(Zeiterfassung!$K$6:$K$3665,$K3544),Zeiterfassung!$K$6:$K$3665,0))))</f>
        <v/>
      </c>
      <c r="K3544">
        <f>IFERROR(AGGREGATE(15,6,(ROW(Zeiterfassung!$D$6:$D$3665)-ROW(Zeiterfassung!$D$6)+1)/(Zeiterfassung!$D$6:$D$3665&lt;&gt;""),3539),"")</f>
        <v/>
      </c>
    </row>
    <row r="3545" ht="20" customHeight="1">
      <c r="A3545" s="183">
        <f>IF($K3545="","",WEEKNUM(INDEX(Zeiterfassung!$K$6:$K$3665,$K3545),21))</f>
        <v/>
      </c>
      <c r="B3545" s="184">
        <f>IF($K3545="","",INDEX(Zeiterfassung!$K$6:$K$3665,$K3545))</f>
        <v/>
      </c>
      <c r="C3545" s="185">
        <f>IF($K3545="","",INDEX(Zeiterfassung!$K$6:$K$3665,$K3545))</f>
        <v/>
      </c>
      <c r="D3545" s="186">
        <f>IF($K3545="","",INDEX(Zeiterfassung!$D$6:$D$3665,$K3545))</f>
        <v/>
      </c>
      <c r="E3545" s="186">
        <f>IF($K3545="","",INDEX(Zeiterfassung!$E$6:$E$3665,$K3545))</f>
        <v/>
      </c>
      <c r="F3545" s="187">
        <f>IF($K3545="","",INDEX(Zeiterfassung!$F$6:$F$3665,$K3545))</f>
        <v/>
      </c>
      <c r="G3545" s="187">
        <f>IF($K3545="","",INDEX(Zeiterfassung!$G$6:$G$3665,$K3545))</f>
        <v/>
      </c>
      <c r="H3545" s="188">
        <f>IF($K3545="","",INDEX(Zeiterfassung!$H$6:$H$3665,$K3545))</f>
        <v/>
      </c>
      <c r="I3545" s="335">
        <f>IF(B3545=B3544,"",IF($K3545="","",INDEX(Zeiterfassung!$I$6:$I$3665,MATCH(INDEX(Zeiterfassung!$K$6:$K$3665,$K3545),Zeiterfassung!$K$6:$K$3665,0))))</f>
        <v/>
      </c>
      <c r="J3545" s="335">
        <f>IF(B3545=B3544,"",IF($K3545="","",INDEX(Zeiterfassung!$J$6:$J$3665,MATCH(INDEX(Zeiterfassung!$K$6:$K$3665,$K3545),Zeiterfassung!$K$6:$K$3665,0))))</f>
        <v/>
      </c>
      <c r="K3545">
        <f>IFERROR(AGGREGATE(15,6,(ROW(Zeiterfassung!$D$6:$D$3665)-ROW(Zeiterfassung!$D$6)+1)/(Zeiterfassung!$D$6:$D$3665&lt;&gt;""),3540),"")</f>
        <v/>
      </c>
    </row>
    <row r="3546" ht="20" customHeight="1">
      <c r="A3546" s="183">
        <f>IF($K3546="","",WEEKNUM(INDEX(Zeiterfassung!$K$6:$K$3665,$K3546),21))</f>
        <v/>
      </c>
      <c r="B3546" s="184">
        <f>IF($K3546="","",INDEX(Zeiterfassung!$K$6:$K$3665,$K3546))</f>
        <v/>
      </c>
      <c r="C3546" s="185">
        <f>IF($K3546="","",INDEX(Zeiterfassung!$K$6:$K$3665,$K3546))</f>
        <v/>
      </c>
      <c r="D3546" s="186">
        <f>IF($K3546="","",INDEX(Zeiterfassung!$D$6:$D$3665,$K3546))</f>
        <v/>
      </c>
      <c r="E3546" s="186">
        <f>IF($K3546="","",INDEX(Zeiterfassung!$E$6:$E$3665,$K3546))</f>
        <v/>
      </c>
      <c r="F3546" s="187">
        <f>IF($K3546="","",INDEX(Zeiterfassung!$F$6:$F$3665,$K3546))</f>
        <v/>
      </c>
      <c r="G3546" s="187">
        <f>IF($K3546="","",INDEX(Zeiterfassung!$G$6:$G$3665,$K3546))</f>
        <v/>
      </c>
      <c r="H3546" s="188">
        <f>IF($K3546="","",INDEX(Zeiterfassung!$H$6:$H$3665,$K3546))</f>
        <v/>
      </c>
      <c r="I3546" s="335">
        <f>IF(B3546=B3545,"",IF($K3546="","",INDEX(Zeiterfassung!$I$6:$I$3665,MATCH(INDEX(Zeiterfassung!$K$6:$K$3665,$K3546),Zeiterfassung!$K$6:$K$3665,0))))</f>
        <v/>
      </c>
      <c r="J3546" s="335">
        <f>IF(B3546=B3545,"",IF($K3546="","",INDEX(Zeiterfassung!$J$6:$J$3665,MATCH(INDEX(Zeiterfassung!$K$6:$K$3665,$K3546),Zeiterfassung!$K$6:$K$3665,0))))</f>
        <v/>
      </c>
      <c r="K3546">
        <f>IFERROR(AGGREGATE(15,6,(ROW(Zeiterfassung!$D$6:$D$3665)-ROW(Zeiterfassung!$D$6)+1)/(Zeiterfassung!$D$6:$D$3665&lt;&gt;""),3541),"")</f>
        <v/>
      </c>
    </row>
    <row r="3547" ht="20" customHeight="1">
      <c r="A3547" s="183">
        <f>IF($K3547="","",WEEKNUM(INDEX(Zeiterfassung!$K$6:$K$3665,$K3547),21))</f>
        <v/>
      </c>
      <c r="B3547" s="184">
        <f>IF($K3547="","",INDEX(Zeiterfassung!$K$6:$K$3665,$K3547))</f>
        <v/>
      </c>
      <c r="C3547" s="185">
        <f>IF($K3547="","",INDEX(Zeiterfassung!$K$6:$K$3665,$K3547))</f>
        <v/>
      </c>
      <c r="D3547" s="186">
        <f>IF($K3547="","",INDEX(Zeiterfassung!$D$6:$D$3665,$K3547))</f>
        <v/>
      </c>
      <c r="E3547" s="186">
        <f>IF($K3547="","",INDEX(Zeiterfassung!$E$6:$E$3665,$K3547))</f>
        <v/>
      </c>
      <c r="F3547" s="187">
        <f>IF($K3547="","",INDEX(Zeiterfassung!$F$6:$F$3665,$K3547))</f>
        <v/>
      </c>
      <c r="G3547" s="187">
        <f>IF($K3547="","",INDEX(Zeiterfassung!$G$6:$G$3665,$K3547))</f>
        <v/>
      </c>
      <c r="H3547" s="188">
        <f>IF($K3547="","",INDEX(Zeiterfassung!$H$6:$H$3665,$K3547))</f>
        <v/>
      </c>
      <c r="I3547" s="335">
        <f>IF(B3547=B3546,"",IF($K3547="","",INDEX(Zeiterfassung!$I$6:$I$3665,MATCH(INDEX(Zeiterfassung!$K$6:$K$3665,$K3547),Zeiterfassung!$K$6:$K$3665,0))))</f>
        <v/>
      </c>
      <c r="J3547" s="335">
        <f>IF(B3547=B3546,"",IF($K3547="","",INDEX(Zeiterfassung!$J$6:$J$3665,MATCH(INDEX(Zeiterfassung!$K$6:$K$3665,$K3547),Zeiterfassung!$K$6:$K$3665,0))))</f>
        <v/>
      </c>
      <c r="K3547">
        <f>IFERROR(AGGREGATE(15,6,(ROW(Zeiterfassung!$D$6:$D$3665)-ROW(Zeiterfassung!$D$6)+1)/(Zeiterfassung!$D$6:$D$3665&lt;&gt;""),3542),"")</f>
        <v/>
      </c>
    </row>
    <row r="3548" ht="20" customHeight="1">
      <c r="A3548" s="183">
        <f>IF($K3548="","",WEEKNUM(INDEX(Zeiterfassung!$K$6:$K$3665,$K3548),21))</f>
        <v/>
      </c>
      <c r="B3548" s="184">
        <f>IF($K3548="","",INDEX(Zeiterfassung!$K$6:$K$3665,$K3548))</f>
        <v/>
      </c>
      <c r="C3548" s="185">
        <f>IF($K3548="","",INDEX(Zeiterfassung!$K$6:$K$3665,$K3548))</f>
        <v/>
      </c>
      <c r="D3548" s="186">
        <f>IF($K3548="","",INDEX(Zeiterfassung!$D$6:$D$3665,$K3548))</f>
        <v/>
      </c>
      <c r="E3548" s="186">
        <f>IF($K3548="","",INDEX(Zeiterfassung!$E$6:$E$3665,$K3548))</f>
        <v/>
      </c>
      <c r="F3548" s="187">
        <f>IF($K3548="","",INDEX(Zeiterfassung!$F$6:$F$3665,$K3548))</f>
        <v/>
      </c>
      <c r="G3548" s="187">
        <f>IF($K3548="","",INDEX(Zeiterfassung!$G$6:$G$3665,$K3548))</f>
        <v/>
      </c>
      <c r="H3548" s="188">
        <f>IF($K3548="","",INDEX(Zeiterfassung!$H$6:$H$3665,$K3548))</f>
        <v/>
      </c>
      <c r="I3548" s="335">
        <f>IF(B3548=B3547,"",IF($K3548="","",INDEX(Zeiterfassung!$I$6:$I$3665,MATCH(INDEX(Zeiterfassung!$K$6:$K$3665,$K3548),Zeiterfassung!$K$6:$K$3665,0))))</f>
        <v/>
      </c>
      <c r="J3548" s="335">
        <f>IF(B3548=B3547,"",IF($K3548="","",INDEX(Zeiterfassung!$J$6:$J$3665,MATCH(INDEX(Zeiterfassung!$K$6:$K$3665,$K3548),Zeiterfassung!$K$6:$K$3665,0))))</f>
        <v/>
      </c>
      <c r="K3548">
        <f>IFERROR(AGGREGATE(15,6,(ROW(Zeiterfassung!$D$6:$D$3665)-ROW(Zeiterfassung!$D$6)+1)/(Zeiterfassung!$D$6:$D$3665&lt;&gt;""),3543),"")</f>
        <v/>
      </c>
    </row>
    <row r="3549" ht="20" customHeight="1">
      <c r="A3549" s="183">
        <f>IF($K3549="","",WEEKNUM(INDEX(Zeiterfassung!$K$6:$K$3665,$K3549),21))</f>
        <v/>
      </c>
      <c r="B3549" s="184">
        <f>IF($K3549="","",INDEX(Zeiterfassung!$K$6:$K$3665,$K3549))</f>
        <v/>
      </c>
      <c r="C3549" s="185">
        <f>IF($K3549="","",INDEX(Zeiterfassung!$K$6:$K$3665,$K3549))</f>
        <v/>
      </c>
      <c r="D3549" s="186">
        <f>IF($K3549="","",INDEX(Zeiterfassung!$D$6:$D$3665,$K3549))</f>
        <v/>
      </c>
      <c r="E3549" s="186">
        <f>IF($K3549="","",INDEX(Zeiterfassung!$E$6:$E$3665,$K3549))</f>
        <v/>
      </c>
      <c r="F3549" s="187">
        <f>IF($K3549="","",INDEX(Zeiterfassung!$F$6:$F$3665,$K3549))</f>
        <v/>
      </c>
      <c r="G3549" s="187">
        <f>IF($K3549="","",INDEX(Zeiterfassung!$G$6:$G$3665,$K3549))</f>
        <v/>
      </c>
      <c r="H3549" s="188">
        <f>IF($K3549="","",INDEX(Zeiterfassung!$H$6:$H$3665,$K3549))</f>
        <v/>
      </c>
      <c r="I3549" s="335">
        <f>IF(B3549=B3548,"",IF($K3549="","",INDEX(Zeiterfassung!$I$6:$I$3665,MATCH(INDEX(Zeiterfassung!$K$6:$K$3665,$K3549),Zeiterfassung!$K$6:$K$3665,0))))</f>
        <v/>
      </c>
      <c r="J3549" s="335">
        <f>IF(B3549=B3548,"",IF($K3549="","",INDEX(Zeiterfassung!$J$6:$J$3665,MATCH(INDEX(Zeiterfassung!$K$6:$K$3665,$K3549),Zeiterfassung!$K$6:$K$3665,0))))</f>
        <v/>
      </c>
      <c r="K3549">
        <f>IFERROR(AGGREGATE(15,6,(ROW(Zeiterfassung!$D$6:$D$3665)-ROW(Zeiterfassung!$D$6)+1)/(Zeiterfassung!$D$6:$D$3665&lt;&gt;""),3544),"")</f>
        <v/>
      </c>
    </row>
    <row r="3550" ht="20" customHeight="1">
      <c r="A3550" s="183">
        <f>IF($K3550="","",WEEKNUM(INDEX(Zeiterfassung!$K$6:$K$3665,$K3550),21))</f>
        <v/>
      </c>
      <c r="B3550" s="184">
        <f>IF($K3550="","",INDEX(Zeiterfassung!$K$6:$K$3665,$K3550))</f>
        <v/>
      </c>
      <c r="C3550" s="185">
        <f>IF($K3550="","",INDEX(Zeiterfassung!$K$6:$K$3665,$K3550))</f>
        <v/>
      </c>
      <c r="D3550" s="186">
        <f>IF($K3550="","",INDEX(Zeiterfassung!$D$6:$D$3665,$K3550))</f>
        <v/>
      </c>
      <c r="E3550" s="186">
        <f>IF($K3550="","",INDEX(Zeiterfassung!$E$6:$E$3665,$K3550))</f>
        <v/>
      </c>
      <c r="F3550" s="187">
        <f>IF($K3550="","",INDEX(Zeiterfassung!$F$6:$F$3665,$K3550))</f>
        <v/>
      </c>
      <c r="G3550" s="187">
        <f>IF($K3550="","",INDEX(Zeiterfassung!$G$6:$G$3665,$K3550))</f>
        <v/>
      </c>
      <c r="H3550" s="188">
        <f>IF($K3550="","",INDEX(Zeiterfassung!$H$6:$H$3665,$K3550))</f>
        <v/>
      </c>
      <c r="I3550" s="335">
        <f>IF(B3550=B3549,"",IF($K3550="","",INDEX(Zeiterfassung!$I$6:$I$3665,MATCH(INDEX(Zeiterfassung!$K$6:$K$3665,$K3550),Zeiterfassung!$K$6:$K$3665,0))))</f>
        <v/>
      </c>
      <c r="J3550" s="335">
        <f>IF(B3550=B3549,"",IF($K3550="","",INDEX(Zeiterfassung!$J$6:$J$3665,MATCH(INDEX(Zeiterfassung!$K$6:$K$3665,$K3550),Zeiterfassung!$K$6:$K$3665,0))))</f>
        <v/>
      </c>
      <c r="K3550">
        <f>IFERROR(AGGREGATE(15,6,(ROW(Zeiterfassung!$D$6:$D$3665)-ROW(Zeiterfassung!$D$6)+1)/(Zeiterfassung!$D$6:$D$3665&lt;&gt;""),3545),"")</f>
        <v/>
      </c>
    </row>
    <row r="3551" ht="20" customHeight="1">
      <c r="A3551" s="183">
        <f>IF($K3551="","",WEEKNUM(INDEX(Zeiterfassung!$K$6:$K$3665,$K3551),21))</f>
        <v/>
      </c>
      <c r="B3551" s="184">
        <f>IF($K3551="","",INDEX(Zeiterfassung!$K$6:$K$3665,$K3551))</f>
        <v/>
      </c>
      <c r="C3551" s="185">
        <f>IF($K3551="","",INDEX(Zeiterfassung!$K$6:$K$3665,$K3551))</f>
        <v/>
      </c>
      <c r="D3551" s="186">
        <f>IF($K3551="","",INDEX(Zeiterfassung!$D$6:$D$3665,$K3551))</f>
        <v/>
      </c>
      <c r="E3551" s="186">
        <f>IF($K3551="","",INDEX(Zeiterfassung!$E$6:$E$3665,$K3551))</f>
        <v/>
      </c>
      <c r="F3551" s="187">
        <f>IF($K3551="","",INDEX(Zeiterfassung!$F$6:$F$3665,$K3551))</f>
        <v/>
      </c>
      <c r="G3551" s="187">
        <f>IF($K3551="","",INDEX(Zeiterfassung!$G$6:$G$3665,$K3551))</f>
        <v/>
      </c>
      <c r="H3551" s="188">
        <f>IF($K3551="","",INDEX(Zeiterfassung!$H$6:$H$3665,$K3551))</f>
        <v/>
      </c>
      <c r="I3551" s="335">
        <f>IF(B3551=B3550,"",IF($K3551="","",INDEX(Zeiterfassung!$I$6:$I$3665,MATCH(INDEX(Zeiterfassung!$K$6:$K$3665,$K3551),Zeiterfassung!$K$6:$K$3665,0))))</f>
        <v/>
      </c>
      <c r="J3551" s="335">
        <f>IF(B3551=B3550,"",IF($K3551="","",INDEX(Zeiterfassung!$J$6:$J$3665,MATCH(INDEX(Zeiterfassung!$K$6:$K$3665,$K3551),Zeiterfassung!$K$6:$K$3665,0))))</f>
        <v/>
      </c>
      <c r="K3551">
        <f>IFERROR(AGGREGATE(15,6,(ROW(Zeiterfassung!$D$6:$D$3665)-ROW(Zeiterfassung!$D$6)+1)/(Zeiterfassung!$D$6:$D$3665&lt;&gt;""),3546),"")</f>
        <v/>
      </c>
    </row>
    <row r="3552" ht="20" customHeight="1">
      <c r="A3552" s="183">
        <f>IF($K3552="","",WEEKNUM(INDEX(Zeiterfassung!$K$6:$K$3665,$K3552),21))</f>
        <v/>
      </c>
      <c r="B3552" s="184">
        <f>IF($K3552="","",INDEX(Zeiterfassung!$K$6:$K$3665,$K3552))</f>
        <v/>
      </c>
      <c r="C3552" s="185">
        <f>IF($K3552="","",INDEX(Zeiterfassung!$K$6:$K$3665,$K3552))</f>
        <v/>
      </c>
      <c r="D3552" s="186">
        <f>IF($K3552="","",INDEX(Zeiterfassung!$D$6:$D$3665,$K3552))</f>
        <v/>
      </c>
      <c r="E3552" s="186">
        <f>IF($K3552="","",INDEX(Zeiterfassung!$E$6:$E$3665,$K3552))</f>
        <v/>
      </c>
      <c r="F3552" s="187">
        <f>IF($K3552="","",INDEX(Zeiterfassung!$F$6:$F$3665,$K3552))</f>
        <v/>
      </c>
      <c r="G3552" s="187">
        <f>IF($K3552="","",INDEX(Zeiterfassung!$G$6:$G$3665,$K3552))</f>
        <v/>
      </c>
      <c r="H3552" s="188">
        <f>IF($K3552="","",INDEX(Zeiterfassung!$H$6:$H$3665,$K3552))</f>
        <v/>
      </c>
      <c r="I3552" s="335">
        <f>IF(B3552=B3551,"",IF($K3552="","",INDEX(Zeiterfassung!$I$6:$I$3665,MATCH(INDEX(Zeiterfassung!$K$6:$K$3665,$K3552),Zeiterfassung!$K$6:$K$3665,0))))</f>
        <v/>
      </c>
      <c r="J3552" s="335">
        <f>IF(B3552=B3551,"",IF($K3552="","",INDEX(Zeiterfassung!$J$6:$J$3665,MATCH(INDEX(Zeiterfassung!$K$6:$K$3665,$K3552),Zeiterfassung!$K$6:$K$3665,0))))</f>
        <v/>
      </c>
      <c r="K3552">
        <f>IFERROR(AGGREGATE(15,6,(ROW(Zeiterfassung!$D$6:$D$3665)-ROW(Zeiterfassung!$D$6)+1)/(Zeiterfassung!$D$6:$D$3665&lt;&gt;""),3547),"")</f>
        <v/>
      </c>
    </row>
    <row r="3553" ht="20" customHeight="1">
      <c r="A3553" s="183">
        <f>IF($K3553="","",WEEKNUM(INDEX(Zeiterfassung!$K$6:$K$3665,$K3553),21))</f>
        <v/>
      </c>
      <c r="B3553" s="184">
        <f>IF($K3553="","",INDEX(Zeiterfassung!$K$6:$K$3665,$K3553))</f>
        <v/>
      </c>
      <c r="C3553" s="185">
        <f>IF($K3553="","",INDEX(Zeiterfassung!$K$6:$K$3665,$K3553))</f>
        <v/>
      </c>
      <c r="D3553" s="186">
        <f>IF($K3553="","",INDEX(Zeiterfassung!$D$6:$D$3665,$K3553))</f>
        <v/>
      </c>
      <c r="E3553" s="186">
        <f>IF($K3553="","",INDEX(Zeiterfassung!$E$6:$E$3665,$K3553))</f>
        <v/>
      </c>
      <c r="F3553" s="187">
        <f>IF($K3553="","",INDEX(Zeiterfassung!$F$6:$F$3665,$K3553))</f>
        <v/>
      </c>
      <c r="G3553" s="187">
        <f>IF($K3553="","",INDEX(Zeiterfassung!$G$6:$G$3665,$K3553))</f>
        <v/>
      </c>
      <c r="H3553" s="188">
        <f>IF($K3553="","",INDEX(Zeiterfassung!$H$6:$H$3665,$K3553))</f>
        <v/>
      </c>
      <c r="I3553" s="335">
        <f>IF(B3553=B3552,"",IF($K3553="","",INDEX(Zeiterfassung!$I$6:$I$3665,MATCH(INDEX(Zeiterfassung!$K$6:$K$3665,$K3553),Zeiterfassung!$K$6:$K$3665,0))))</f>
        <v/>
      </c>
      <c r="J3553" s="335">
        <f>IF(B3553=B3552,"",IF($K3553="","",INDEX(Zeiterfassung!$J$6:$J$3665,MATCH(INDEX(Zeiterfassung!$K$6:$K$3665,$K3553),Zeiterfassung!$K$6:$K$3665,0))))</f>
        <v/>
      </c>
      <c r="K3553">
        <f>IFERROR(AGGREGATE(15,6,(ROW(Zeiterfassung!$D$6:$D$3665)-ROW(Zeiterfassung!$D$6)+1)/(Zeiterfassung!$D$6:$D$3665&lt;&gt;""),3548),"")</f>
        <v/>
      </c>
    </row>
    <row r="3554" ht="20" customHeight="1">
      <c r="A3554" s="183">
        <f>IF($K3554="","",WEEKNUM(INDEX(Zeiterfassung!$K$6:$K$3665,$K3554),21))</f>
        <v/>
      </c>
      <c r="B3554" s="184">
        <f>IF($K3554="","",INDEX(Zeiterfassung!$K$6:$K$3665,$K3554))</f>
        <v/>
      </c>
      <c r="C3554" s="185">
        <f>IF($K3554="","",INDEX(Zeiterfassung!$K$6:$K$3665,$K3554))</f>
        <v/>
      </c>
      <c r="D3554" s="186">
        <f>IF($K3554="","",INDEX(Zeiterfassung!$D$6:$D$3665,$K3554))</f>
        <v/>
      </c>
      <c r="E3554" s="186">
        <f>IF($K3554="","",INDEX(Zeiterfassung!$E$6:$E$3665,$K3554))</f>
        <v/>
      </c>
      <c r="F3554" s="187">
        <f>IF($K3554="","",INDEX(Zeiterfassung!$F$6:$F$3665,$K3554))</f>
        <v/>
      </c>
      <c r="G3554" s="187">
        <f>IF($K3554="","",INDEX(Zeiterfassung!$G$6:$G$3665,$K3554))</f>
        <v/>
      </c>
      <c r="H3554" s="188">
        <f>IF($K3554="","",INDEX(Zeiterfassung!$H$6:$H$3665,$K3554))</f>
        <v/>
      </c>
      <c r="I3554" s="335">
        <f>IF(B3554=B3553,"",IF($K3554="","",INDEX(Zeiterfassung!$I$6:$I$3665,MATCH(INDEX(Zeiterfassung!$K$6:$K$3665,$K3554),Zeiterfassung!$K$6:$K$3665,0))))</f>
        <v/>
      </c>
      <c r="J3554" s="335">
        <f>IF(B3554=B3553,"",IF($K3554="","",INDEX(Zeiterfassung!$J$6:$J$3665,MATCH(INDEX(Zeiterfassung!$K$6:$K$3665,$K3554),Zeiterfassung!$K$6:$K$3665,0))))</f>
        <v/>
      </c>
      <c r="K3554">
        <f>IFERROR(AGGREGATE(15,6,(ROW(Zeiterfassung!$D$6:$D$3665)-ROW(Zeiterfassung!$D$6)+1)/(Zeiterfassung!$D$6:$D$3665&lt;&gt;""),3549),"")</f>
        <v/>
      </c>
    </row>
    <row r="3555" ht="20" customHeight="1">
      <c r="A3555" s="183">
        <f>IF($K3555="","",WEEKNUM(INDEX(Zeiterfassung!$K$6:$K$3665,$K3555),21))</f>
        <v/>
      </c>
      <c r="B3555" s="184">
        <f>IF($K3555="","",INDEX(Zeiterfassung!$K$6:$K$3665,$K3555))</f>
        <v/>
      </c>
      <c r="C3555" s="185">
        <f>IF($K3555="","",INDEX(Zeiterfassung!$K$6:$K$3665,$K3555))</f>
        <v/>
      </c>
      <c r="D3555" s="186">
        <f>IF($K3555="","",INDEX(Zeiterfassung!$D$6:$D$3665,$K3555))</f>
        <v/>
      </c>
      <c r="E3555" s="186">
        <f>IF($K3555="","",INDEX(Zeiterfassung!$E$6:$E$3665,$K3555))</f>
        <v/>
      </c>
      <c r="F3555" s="187">
        <f>IF($K3555="","",INDEX(Zeiterfassung!$F$6:$F$3665,$K3555))</f>
        <v/>
      </c>
      <c r="G3555" s="187">
        <f>IF($K3555="","",INDEX(Zeiterfassung!$G$6:$G$3665,$K3555))</f>
        <v/>
      </c>
      <c r="H3555" s="188">
        <f>IF($K3555="","",INDEX(Zeiterfassung!$H$6:$H$3665,$K3555))</f>
        <v/>
      </c>
      <c r="I3555" s="335">
        <f>IF(B3555=B3554,"",IF($K3555="","",INDEX(Zeiterfassung!$I$6:$I$3665,MATCH(INDEX(Zeiterfassung!$K$6:$K$3665,$K3555),Zeiterfassung!$K$6:$K$3665,0))))</f>
        <v/>
      </c>
      <c r="J3555" s="335">
        <f>IF(B3555=B3554,"",IF($K3555="","",INDEX(Zeiterfassung!$J$6:$J$3665,MATCH(INDEX(Zeiterfassung!$K$6:$K$3665,$K3555),Zeiterfassung!$K$6:$K$3665,0))))</f>
        <v/>
      </c>
      <c r="K3555">
        <f>IFERROR(AGGREGATE(15,6,(ROW(Zeiterfassung!$D$6:$D$3665)-ROW(Zeiterfassung!$D$6)+1)/(Zeiterfassung!$D$6:$D$3665&lt;&gt;""),3550),"")</f>
        <v/>
      </c>
    </row>
    <row r="3556" ht="20" customHeight="1">
      <c r="A3556" s="183">
        <f>IF($K3556="","",WEEKNUM(INDEX(Zeiterfassung!$K$6:$K$3665,$K3556),21))</f>
        <v/>
      </c>
      <c r="B3556" s="184">
        <f>IF($K3556="","",INDEX(Zeiterfassung!$K$6:$K$3665,$K3556))</f>
        <v/>
      </c>
      <c r="C3556" s="185">
        <f>IF($K3556="","",INDEX(Zeiterfassung!$K$6:$K$3665,$K3556))</f>
        <v/>
      </c>
      <c r="D3556" s="186">
        <f>IF($K3556="","",INDEX(Zeiterfassung!$D$6:$D$3665,$K3556))</f>
        <v/>
      </c>
      <c r="E3556" s="186">
        <f>IF($K3556="","",INDEX(Zeiterfassung!$E$6:$E$3665,$K3556))</f>
        <v/>
      </c>
      <c r="F3556" s="187">
        <f>IF($K3556="","",INDEX(Zeiterfassung!$F$6:$F$3665,$K3556))</f>
        <v/>
      </c>
      <c r="G3556" s="187">
        <f>IF($K3556="","",INDEX(Zeiterfassung!$G$6:$G$3665,$K3556))</f>
        <v/>
      </c>
      <c r="H3556" s="188">
        <f>IF($K3556="","",INDEX(Zeiterfassung!$H$6:$H$3665,$K3556))</f>
        <v/>
      </c>
      <c r="I3556" s="335">
        <f>IF(B3556=B3555,"",IF($K3556="","",INDEX(Zeiterfassung!$I$6:$I$3665,MATCH(INDEX(Zeiterfassung!$K$6:$K$3665,$K3556),Zeiterfassung!$K$6:$K$3665,0))))</f>
        <v/>
      </c>
      <c r="J3556" s="335">
        <f>IF(B3556=B3555,"",IF($K3556="","",INDEX(Zeiterfassung!$J$6:$J$3665,MATCH(INDEX(Zeiterfassung!$K$6:$K$3665,$K3556),Zeiterfassung!$K$6:$K$3665,0))))</f>
        <v/>
      </c>
      <c r="K3556">
        <f>IFERROR(AGGREGATE(15,6,(ROW(Zeiterfassung!$D$6:$D$3665)-ROW(Zeiterfassung!$D$6)+1)/(Zeiterfassung!$D$6:$D$3665&lt;&gt;""),3551),"")</f>
        <v/>
      </c>
    </row>
    <row r="3557" ht="20" customHeight="1">
      <c r="A3557" s="183">
        <f>IF($K3557="","",WEEKNUM(INDEX(Zeiterfassung!$K$6:$K$3665,$K3557),21))</f>
        <v/>
      </c>
      <c r="B3557" s="184">
        <f>IF($K3557="","",INDEX(Zeiterfassung!$K$6:$K$3665,$K3557))</f>
        <v/>
      </c>
      <c r="C3557" s="185">
        <f>IF($K3557="","",INDEX(Zeiterfassung!$K$6:$K$3665,$K3557))</f>
        <v/>
      </c>
      <c r="D3557" s="186">
        <f>IF($K3557="","",INDEX(Zeiterfassung!$D$6:$D$3665,$K3557))</f>
        <v/>
      </c>
      <c r="E3557" s="186">
        <f>IF($K3557="","",INDEX(Zeiterfassung!$E$6:$E$3665,$K3557))</f>
        <v/>
      </c>
      <c r="F3557" s="187">
        <f>IF($K3557="","",INDEX(Zeiterfassung!$F$6:$F$3665,$K3557))</f>
        <v/>
      </c>
      <c r="G3557" s="187">
        <f>IF($K3557="","",INDEX(Zeiterfassung!$G$6:$G$3665,$K3557))</f>
        <v/>
      </c>
      <c r="H3557" s="188">
        <f>IF($K3557="","",INDEX(Zeiterfassung!$H$6:$H$3665,$K3557))</f>
        <v/>
      </c>
      <c r="I3557" s="335">
        <f>IF(B3557=B3556,"",IF($K3557="","",INDEX(Zeiterfassung!$I$6:$I$3665,MATCH(INDEX(Zeiterfassung!$K$6:$K$3665,$K3557),Zeiterfassung!$K$6:$K$3665,0))))</f>
        <v/>
      </c>
      <c r="J3557" s="335">
        <f>IF(B3557=B3556,"",IF($K3557="","",INDEX(Zeiterfassung!$J$6:$J$3665,MATCH(INDEX(Zeiterfassung!$K$6:$K$3665,$K3557),Zeiterfassung!$K$6:$K$3665,0))))</f>
        <v/>
      </c>
      <c r="K3557">
        <f>IFERROR(AGGREGATE(15,6,(ROW(Zeiterfassung!$D$6:$D$3665)-ROW(Zeiterfassung!$D$6)+1)/(Zeiterfassung!$D$6:$D$3665&lt;&gt;""),3552),"")</f>
        <v/>
      </c>
    </row>
    <row r="3558" ht="20" customHeight="1">
      <c r="A3558" s="183">
        <f>IF($K3558="","",WEEKNUM(INDEX(Zeiterfassung!$K$6:$K$3665,$K3558),21))</f>
        <v/>
      </c>
      <c r="B3558" s="184">
        <f>IF($K3558="","",INDEX(Zeiterfassung!$K$6:$K$3665,$K3558))</f>
        <v/>
      </c>
      <c r="C3558" s="185">
        <f>IF($K3558="","",INDEX(Zeiterfassung!$K$6:$K$3665,$K3558))</f>
        <v/>
      </c>
      <c r="D3558" s="186">
        <f>IF($K3558="","",INDEX(Zeiterfassung!$D$6:$D$3665,$K3558))</f>
        <v/>
      </c>
      <c r="E3558" s="186">
        <f>IF($K3558="","",INDEX(Zeiterfassung!$E$6:$E$3665,$K3558))</f>
        <v/>
      </c>
      <c r="F3558" s="187">
        <f>IF($K3558="","",INDEX(Zeiterfassung!$F$6:$F$3665,$K3558))</f>
        <v/>
      </c>
      <c r="G3558" s="187">
        <f>IF($K3558="","",INDEX(Zeiterfassung!$G$6:$G$3665,$K3558))</f>
        <v/>
      </c>
      <c r="H3558" s="188">
        <f>IF($K3558="","",INDEX(Zeiterfassung!$H$6:$H$3665,$K3558))</f>
        <v/>
      </c>
      <c r="I3558" s="335">
        <f>IF(B3558=B3557,"",IF($K3558="","",INDEX(Zeiterfassung!$I$6:$I$3665,MATCH(INDEX(Zeiterfassung!$K$6:$K$3665,$K3558),Zeiterfassung!$K$6:$K$3665,0))))</f>
        <v/>
      </c>
      <c r="J3558" s="335">
        <f>IF(B3558=B3557,"",IF($K3558="","",INDEX(Zeiterfassung!$J$6:$J$3665,MATCH(INDEX(Zeiterfassung!$K$6:$K$3665,$K3558),Zeiterfassung!$K$6:$K$3665,0))))</f>
        <v/>
      </c>
      <c r="K3558">
        <f>IFERROR(AGGREGATE(15,6,(ROW(Zeiterfassung!$D$6:$D$3665)-ROW(Zeiterfassung!$D$6)+1)/(Zeiterfassung!$D$6:$D$3665&lt;&gt;""),3553),"")</f>
        <v/>
      </c>
    </row>
    <row r="3559" ht="20" customHeight="1">
      <c r="A3559" s="183">
        <f>IF($K3559="","",WEEKNUM(INDEX(Zeiterfassung!$K$6:$K$3665,$K3559),21))</f>
        <v/>
      </c>
      <c r="B3559" s="184">
        <f>IF($K3559="","",INDEX(Zeiterfassung!$K$6:$K$3665,$K3559))</f>
        <v/>
      </c>
      <c r="C3559" s="185">
        <f>IF($K3559="","",INDEX(Zeiterfassung!$K$6:$K$3665,$K3559))</f>
        <v/>
      </c>
      <c r="D3559" s="186">
        <f>IF($K3559="","",INDEX(Zeiterfassung!$D$6:$D$3665,$K3559))</f>
        <v/>
      </c>
      <c r="E3559" s="186">
        <f>IF($K3559="","",INDEX(Zeiterfassung!$E$6:$E$3665,$K3559))</f>
        <v/>
      </c>
      <c r="F3559" s="187">
        <f>IF($K3559="","",INDEX(Zeiterfassung!$F$6:$F$3665,$K3559))</f>
        <v/>
      </c>
      <c r="G3559" s="187">
        <f>IF($K3559="","",INDEX(Zeiterfassung!$G$6:$G$3665,$K3559))</f>
        <v/>
      </c>
      <c r="H3559" s="188">
        <f>IF($K3559="","",INDEX(Zeiterfassung!$H$6:$H$3665,$K3559))</f>
        <v/>
      </c>
      <c r="I3559" s="335">
        <f>IF(B3559=B3558,"",IF($K3559="","",INDEX(Zeiterfassung!$I$6:$I$3665,MATCH(INDEX(Zeiterfassung!$K$6:$K$3665,$K3559),Zeiterfassung!$K$6:$K$3665,0))))</f>
        <v/>
      </c>
      <c r="J3559" s="335">
        <f>IF(B3559=B3558,"",IF($K3559="","",INDEX(Zeiterfassung!$J$6:$J$3665,MATCH(INDEX(Zeiterfassung!$K$6:$K$3665,$K3559),Zeiterfassung!$K$6:$K$3665,0))))</f>
        <v/>
      </c>
      <c r="K3559">
        <f>IFERROR(AGGREGATE(15,6,(ROW(Zeiterfassung!$D$6:$D$3665)-ROW(Zeiterfassung!$D$6)+1)/(Zeiterfassung!$D$6:$D$3665&lt;&gt;""),3554),"")</f>
        <v/>
      </c>
    </row>
    <row r="3560" ht="20" customHeight="1">
      <c r="A3560" s="183">
        <f>IF($K3560="","",WEEKNUM(INDEX(Zeiterfassung!$K$6:$K$3665,$K3560),21))</f>
        <v/>
      </c>
      <c r="B3560" s="184">
        <f>IF($K3560="","",INDEX(Zeiterfassung!$K$6:$K$3665,$K3560))</f>
        <v/>
      </c>
      <c r="C3560" s="185">
        <f>IF($K3560="","",INDEX(Zeiterfassung!$K$6:$K$3665,$K3560))</f>
        <v/>
      </c>
      <c r="D3560" s="186">
        <f>IF($K3560="","",INDEX(Zeiterfassung!$D$6:$D$3665,$K3560))</f>
        <v/>
      </c>
      <c r="E3560" s="186">
        <f>IF($K3560="","",INDEX(Zeiterfassung!$E$6:$E$3665,$K3560))</f>
        <v/>
      </c>
      <c r="F3560" s="187">
        <f>IF($K3560="","",INDEX(Zeiterfassung!$F$6:$F$3665,$K3560))</f>
        <v/>
      </c>
      <c r="G3560" s="187">
        <f>IF($K3560="","",INDEX(Zeiterfassung!$G$6:$G$3665,$K3560))</f>
        <v/>
      </c>
      <c r="H3560" s="188">
        <f>IF($K3560="","",INDEX(Zeiterfassung!$H$6:$H$3665,$K3560))</f>
        <v/>
      </c>
      <c r="I3560" s="335">
        <f>IF(B3560=B3559,"",IF($K3560="","",INDEX(Zeiterfassung!$I$6:$I$3665,MATCH(INDEX(Zeiterfassung!$K$6:$K$3665,$K3560),Zeiterfassung!$K$6:$K$3665,0))))</f>
        <v/>
      </c>
      <c r="J3560" s="335">
        <f>IF(B3560=B3559,"",IF($K3560="","",INDEX(Zeiterfassung!$J$6:$J$3665,MATCH(INDEX(Zeiterfassung!$K$6:$K$3665,$K3560),Zeiterfassung!$K$6:$K$3665,0))))</f>
        <v/>
      </c>
      <c r="K3560">
        <f>IFERROR(AGGREGATE(15,6,(ROW(Zeiterfassung!$D$6:$D$3665)-ROW(Zeiterfassung!$D$6)+1)/(Zeiterfassung!$D$6:$D$3665&lt;&gt;""),3555),"")</f>
        <v/>
      </c>
    </row>
    <row r="3561" ht="20" customHeight="1">
      <c r="A3561" s="183">
        <f>IF($K3561="","",WEEKNUM(INDEX(Zeiterfassung!$K$6:$K$3665,$K3561),21))</f>
        <v/>
      </c>
      <c r="B3561" s="184">
        <f>IF($K3561="","",INDEX(Zeiterfassung!$K$6:$K$3665,$K3561))</f>
        <v/>
      </c>
      <c r="C3561" s="185">
        <f>IF($K3561="","",INDEX(Zeiterfassung!$K$6:$K$3665,$K3561))</f>
        <v/>
      </c>
      <c r="D3561" s="186">
        <f>IF($K3561="","",INDEX(Zeiterfassung!$D$6:$D$3665,$K3561))</f>
        <v/>
      </c>
      <c r="E3561" s="186">
        <f>IF($K3561="","",INDEX(Zeiterfassung!$E$6:$E$3665,$K3561))</f>
        <v/>
      </c>
      <c r="F3561" s="187">
        <f>IF($K3561="","",INDEX(Zeiterfassung!$F$6:$F$3665,$K3561))</f>
        <v/>
      </c>
      <c r="G3561" s="187">
        <f>IF($K3561="","",INDEX(Zeiterfassung!$G$6:$G$3665,$K3561))</f>
        <v/>
      </c>
      <c r="H3561" s="188">
        <f>IF($K3561="","",INDEX(Zeiterfassung!$H$6:$H$3665,$K3561))</f>
        <v/>
      </c>
      <c r="I3561" s="335">
        <f>IF(B3561=B3560,"",IF($K3561="","",INDEX(Zeiterfassung!$I$6:$I$3665,MATCH(INDEX(Zeiterfassung!$K$6:$K$3665,$K3561),Zeiterfassung!$K$6:$K$3665,0))))</f>
        <v/>
      </c>
      <c r="J3561" s="335">
        <f>IF(B3561=B3560,"",IF($K3561="","",INDEX(Zeiterfassung!$J$6:$J$3665,MATCH(INDEX(Zeiterfassung!$K$6:$K$3665,$K3561),Zeiterfassung!$K$6:$K$3665,0))))</f>
        <v/>
      </c>
      <c r="K3561">
        <f>IFERROR(AGGREGATE(15,6,(ROW(Zeiterfassung!$D$6:$D$3665)-ROW(Zeiterfassung!$D$6)+1)/(Zeiterfassung!$D$6:$D$3665&lt;&gt;""),3556),"")</f>
        <v/>
      </c>
    </row>
    <row r="3562" ht="20" customHeight="1">
      <c r="A3562" s="183">
        <f>IF($K3562="","",WEEKNUM(INDEX(Zeiterfassung!$K$6:$K$3665,$K3562),21))</f>
        <v/>
      </c>
      <c r="B3562" s="184">
        <f>IF($K3562="","",INDEX(Zeiterfassung!$K$6:$K$3665,$K3562))</f>
        <v/>
      </c>
      <c r="C3562" s="185">
        <f>IF($K3562="","",INDEX(Zeiterfassung!$K$6:$K$3665,$K3562))</f>
        <v/>
      </c>
      <c r="D3562" s="186">
        <f>IF($K3562="","",INDEX(Zeiterfassung!$D$6:$D$3665,$K3562))</f>
        <v/>
      </c>
      <c r="E3562" s="186">
        <f>IF($K3562="","",INDEX(Zeiterfassung!$E$6:$E$3665,$K3562))</f>
        <v/>
      </c>
      <c r="F3562" s="187">
        <f>IF($K3562="","",INDEX(Zeiterfassung!$F$6:$F$3665,$K3562))</f>
        <v/>
      </c>
      <c r="G3562" s="187">
        <f>IF($K3562="","",INDEX(Zeiterfassung!$G$6:$G$3665,$K3562))</f>
        <v/>
      </c>
      <c r="H3562" s="188">
        <f>IF($K3562="","",INDEX(Zeiterfassung!$H$6:$H$3665,$K3562))</f>
        <v/>
      </c>
      <c r="I3562" s="335">
        <f>IF(B3562=B3561,"",IF($K3562="","",INDEX(Zeiterfassung!$I$6:$I$3665,MATCH(INDEX(Zeiterfassung!$K$6:$K$3665,$K3562),Zeiterfassung!$K$6:$K$3665,0))))</f>
        <v/>
      </c>
      <c r="J3562" s="335">
        <f>IF(B3562=B3561,"",IF($K3562="","",INDEX(Zeiterfassung!$J$6:$J$3665,MATCH(INDEX(Zeiterfassung!$K$6:$K$3665,$K3562),Zeiterfassung!$K$6:$K$3665,0))))</f>
        <v/>
      </c>
      <c r="K3562">
        <f>IFERROR(AGGREGATE(15,6,(ROW(Zeiterfassung!$D$6:$D$3665)-ROW(Zeiterfassung!$D$6)+1)/(Zeiterfassung!$D$6:$D$3665&lt;&gt;""),3557),"")</f>
        <v/>
      </c>
    </row>
    <row r="3563" ht="20" customHeight="1">
      <c r="A3563" s="183">
        <f>IF($K3563="","",WEEKNUM(INDEX(Zeiterfassung!$K$6:$K$3665,$K3563),21))</f>
        <v/>
      </c>
      <c r="B3563" s="184">
        <f>IF($K3563="","",INDEX(Zeiterfassung!$K$6:$K$3665,$K3563))</f>
        <v/>
      </c>
      <c r="C3563" s="185">
        <f>IF($K3563="","",INDEX(Zeiterfassung!$K$6:$K$3665,$K3563))</f>
        <v/>
      </c>
      <c r="D3563" s="186">
        <f>IF($K3563="","",INDEX(Zeiterfassung!$D$6:$D$3665,$K3563))</f>
        <v/>
      </c>
      <c r="E3563" s="186">
        <f>IF($K3563="","",INDEX(Zeiterfassung!$E$6:$E$3665,$K3563))</f>
        <v/>
      </c>
      <c r="F3563" s="187">
        <f>IF($K3563="","",INDEX(Zeiterfassung!$F$6:$F$3665,$K3563))</f>
        <v/>
      </c>
      <c r="G3563" s="187">
        <f>IF($K3563="","",INDEX(Zeiterfassung!$G$6:$G$3665,$K3563))</f>
        <v/>
      </c>
      <c r="H3563" s="188">
        <f>IF($K3563="","",INDEX(Zeiterfassung!$H$6:$H$3665,$K3563))</f>
        <v/>
      </c>
      <c r="I3563" s="335">
        <f>IF(B3563=B3562,"",IF($K3563="","",INDEX(Zeiterfassung!$I$6:$I$3665,MATCH(INDEX(Zeiterfassung!$K$6:$K$3665,$K3563),Zeiterfassung!$K$6:$K$3665,0))))</f>
        <v/>
      </c>
      <c r="J3563" s="335">
        <f>IF(B3563=B3562,"",IF($K3563="","",INDEX(Zeiterfassung!$J$6:$J$3665,MATCH(INDEX(Zeiterfassung!$K$6:$K$3665,$K3563),Zeiterfassung!$K$6:$K$3665,0))))</f>
        <v/>
      </c>
      <c r="K3563">
        <f>IFERROR(AGGREGATE(15,6,(ROW(Zeiterfassung!$D$6:$D$3665)-ROW(Zeiterfassung!$D$6)+1)/(Zeiterfassung!$D$6:$D$3665&lt;&gt;""),3558),"")</f>
        <v/>
      </c>
    </row>
    <row r="3564" ht="20" customHeight="1">
      <c r="A3564" s="183">
        <f>IF($K3564="","",WEEKNUM(INDEX(Zeiterfassung!$K$6:$K$3665,$K3564),21))</f>
        <v/>
      </c>
      <c r="B3564" s="184">
        <f>IF($K3564="","",INDEX(Zeiterfassung!$K$6:$K$3665,$K3564))</f>
        <v/>
      </c>
      <c r="C3564" s="185">
        <f>IF($K3564="","",INDEX(Zeiterfassung!$K$6:$K$3665,$K3564))</f>
        <v/>
      </c>
      <c r="D3564" s="186">
        <f>IF($K3564="","",INDEX(Zeiterfassung!$D$6:$D$3665,$K3564))</f>
        <v/>
      </c>
      <c r="E3564" s="186">
        <f>IF($K3564="","",INDEX(Zeiterfassung!$E$6:$E$3665,$K3564))</f>
        <v/>
      </c>
      <c r="F3564" s="187">
        <f>IF($K3564="","",INDEX(Zeiterfassung!$F$6:$F$3665,$K3564))</f>
        <v/>
      </c>
      <c r="G3564" s="187">
        <f>IF($K3564="","",INDEX(Zeiterfassung!$G$6:$G$3665,$K3564))</f>
        <v/>
      </c>
      <c r="H3564" s="188">
        <f>IF($K3564="","",INDEX(Zeiterfassung!$H$6:$H$3665,$K3564))</f>
        <v/>
      </c>
      <c r="I3564" s="335">
        <f>IF(B3564=B3563,"",IF($K3564="","",INDEX(Zeiterfassung!$I$6:$I$3665,MATCH(INDEX(Zeiterfassung!$K$6:$K$3665,$K3564),Zeiterfassung!$K$6:$K$3665,0))))</f>
        <v/>
      </c>
      <c r="J3564" s="335">
        <f>IF(B3564=B3563,"",IF($K3564="","",INDEX(Zeiterfassung!$J$6:$J$3665,MATCH(INDEX(Zeiterfassung!$K$6:$K$3665,$K3564),Zeiterfassung!$K$6:$K$3665,0))))</f>
        <v/>
      </c>
      <c r="K3564">
        <f>IFERROR(AGGREGATE(15,6,(ROW(Zeiterfassung!$D$6:$D$3665)-ROW(Zeiterfassung!$D$6)+1)/(Zeiterfassung!$D$6:$D$3665&lt;&gt;""),3559),"")</f>
        <v/>
      </c>
    </row>
    <row r="3565" ht="20" customHeight="1">
      <c r="A3565" s="183">
        <f>IF($K3565="","",WEEKNUM(INDEX(Zeiterfassung!$K$6:$K$3665,$K3565),21))</f>
        <v/>
      </c>
      <c r="B3565" s="184">
        <f>IF($K3565="","",INDEX(Zeiterfassung!$K$6:$K$3665,$K3565))</f>
        <v/>
      </c>
      <c r="C3565" s="185">
        <f>IF($K3565="","",INDEX(Zeiterfassung!$K$6:$K$3665,$K3565))</f>
        <v/>
      </c>
      <c r="D3565" s="186">
        <f>IF($K3565="","",INDEX(Zeiterfassung!$D$6:$D$3665,$K3565))</f>
        <v/>
      </c>
      <c r="E3565" s="186">
        <f>IF($K3565="","",INDEX(Zeiterfassung!$E$6:$E$3665,$K3565))</f>
        <v/>
      </c>
      <c r="F3565" s="187">
        <f>IF($K3565="","",INDEX(Zeiterfassung!$F$6:$F$3665,$K3565))</f>
        <v/>
      </c>
      <c r="G3565" s="187">
        <f>IF($K3565="","",INDEX(Zeiterfassung!$G$6:$G$3665,$K3565))</f>
        <v/>
      </c>
      <c r="H3565" s="188">
        <f>IF($K3565="","",INDEX(Zeiterfassung!$H$6:$H$3665,$K3565))</f>
        <v/>
      </c>
      <c r="I3565" s="335">
        <f>IF(B3565=B3564,"",IF($K3565="","",INDEX(Zeiterfassung!$I$6:$I$3665,MATCH(INDEX(Zeiterfassung!$K$6:$K$3665,$K3565),Zeiterfassung!$K$6:$K$3665,0))))</f>
        <v/>
      </c>
      <c r="J3565" s="335">
        <f>IF(B3565=B3564,"",IF($K3565="","",INDEX(Zeiterfassung!$J$6:$J$3665,MATCH(INDEX(Zeiterfassung!$K$6:$K$3665,$K3565),Zeiterfassung!$K$6:$K$3665,0))))</f>
        <v/>
      </c>
      <c r="K3565">
        <f>IFERROR(AGGREGATE(15,6,(ROW(Zeiterfassung!$D$6:$D$3665)-ROW(Zeiterfassung!$D$6)+1)/(Zeiterfassung!$D$6:$D$3665&lt;&gt;""),3560),"")</f>
        <v/>
      </c>
    </row>
    <row r="3566" ht="20" customHeight="1">
      <c r="A3566" s="183">
        <f>IF($K3566="","",WEEKNUM(INDEX(Zeiterfassung!$K$6:$K$3665,$K3566),21))</f>
        <v/>
      </c>
      <c r="B3566" s="184">
        <f>IF($K3566="","",INDEX(Zeiterfassung!$K$6:$K$3665,$K3566))</f>
        <v/>
      </c>
      <c r="C3566" s="185">
        <f>IF($K3566="","",INDEX(Zeiterfassung!$K$6:$K$3665,$K3566))</f>
        <v/>
      </c>
      <c r="D3566" s="186">
        <f>IF($K3566="","",INDEX(Zeiterfassung!$D$6:$D$3665,$K3566))</f>
        <v/>
      </c>
      <c r="E3566" s="186">
        <f>IF($K3566="","",INDEX(Zeiterfassung!$E$6:$E$3665,$K3566))</f>
        <v/>
      </c>
      <c r="F3566" s="187">
        <f>IF($K3566="","",INDEX(Zeiterfassung!$F$6:$F$3665,$K3566))</f>
        <v/>
      </c>
      <c r="G3566" s="187">
        <f>IF($K3566="","",INDEX(Zeiterfassung!$G$6:$G$3665,$K3566))</f>
        <v/>
      </c>
      <c r="H3566" s="188">
        <f>IF($K3566="","",INDEX(Zeiterfassung!$H$6:$H$3665,$K3566))</f>
        <v/>
      </c>
      <c r="I3566" s="335">
        <f>IF(B3566=B3565,"",IF($K3566="","",INDEX(Zeiterfassung!$I$6:$I$3665,MATCH(INDEX(Zeiterfassung!$K$6:$K$3665,$K3566),Zeiterfassung!$K$6:$K$3665,0))))</f>
        <v/>
      </c>
      <c r="J3566" s="335">
        <f>IF(B3566=B3565,"",IF($K3566="","",INDEX(Zeiterfassung!$J$6:$J$3665,MATCH(INDEX(Zeiterfassung!$K$6:$K$3665,$K3566),Zeiterfassung!$K$6:$K$3665,0))))</f>
        <v/>
      </c>
      <c r="K3566">
        <f>IFERROR(AGGREGATE(15,6,(ROW(Zeiterfassung!$D$6:$D$3665)-ROW(Zeiterfassung!$D$6)+1)/(Zeiterfassung!$D$6:$D$3665&lt;&gt;""),3561),"")</f>
        <v/>
      </c>
    </row>
    <row r="3567" ht="20" customHeight="1">
      <c r="A3567" s="183">
        <f>IF($K3567="","",WEEKNUM(INDEX(Zeiterfassung!$K$6:$K$3665,$K3567),21))</f>
        <v/>
      </c>
      <c r="B3567" s="184">
        <f>IF($K3567="","",INDEX(Zeiterfassung!$K$6:$K$3665,$K3567))</f>
        <v/>
      </c>
      <c r="C3567" s="185">
        <f>IF($K3567="","",INDEX(Zeiterfassung!$K$6:$K$3665,$K3567))</f>
        <v/>
      </c>
      <c r="D3567" s="186">
        <f>IF($K3567="","",INDEX(Zeiterfassung!$D$6:$D$3665,$K3567))</f>
        <v/>
      </c>
      <c r="E3567" s="186">
        <f>IF($K3567="","",INDEX(Zeiterfassung!$E$6:$E$3665,$K3567))</f>
        <v/>
      </c>
      <c r="F3567" s="187">
        <f>IF($K3567="","",INDEX(Zeiterfassung!$F$6:$F$3665,$K3567))</f>
        <v/>
      </c>
      <c r="G3567" s="187">
        <f>IF($K3567="","",INDEX(Zeiterfassung!$G$6:$G$3665,$K3567))</f>
        <v/>
      </c>
      <c r="H3567" s="188">
        <f>IF($K3567="","",INDEX(Zeiterfassung!$H$6:$H$3665,$K3567))</f>
        <v/>
      </c>
      <c r="I3567" s="335">
        <f>IF(B3567=B3566,"",IF($K3567="","",INDEX(Zeiterfassung!$I$6:$I$3665,MATCH(INDEX(Zeiterfassung!$K$6:$K$3665,$K3567),Zeiterfassung!$K$6:$K$3665,0))))</f>
        <v/>
      </c>
      <c r="J3567" s="335">
        <f>IF(B3567=B3566,"",IF($K3567="","",INDEX(Zeiterfassung!$J$6:$J$3665,MATCH(INDEX(Zeiterfassung!$K$6:$K$3665,$K3567),Zeiterfassung!$K$6:$K$3665,0))))</f>
        <v/>
      </c>
      <c r="K3567">
        <f>IFERROR(AGGREGATE(15,6,(ROW(Zeiterfassung!$D$6:$D$3665)-ROW(Zeiterfassung!$D$6)+1)/(Zeiterfassung!$D$6:$D$3665&lt;&gt;""),3562),"")</f>
        <v/>
      </c>
    </row>
    <row r="3568" ht="20" customHeight="1">
      <c r="A3568" s="183">
        <f>IF($K3568="","",WEEKNUM(INDEX(Zeiterfassung!$K$6:$K$3665,$K3568),21))</f>
        <v/>
      </c>
      <c r="B3568" s="184">
        <f>IF($K3568="","",INDEX(Zeiterfassung!$K$6:$K$3665,$K3568))</f>
        <v/>
      </c>
      <c r="C3568" s="185">
        <f>IF($K3568="","",INDEX(Zeiterfassung!$K$6:$K$3665,$K3568))</f>
        <v/>
      </c>
      <c r="D3568" s="186">
        <f>IF($K3568="","",INDEX(Zeiterfassung!$D$6:$D$3665,$K3568))</f>
        <v/>
      </c>
      <c r="E3568" s="186">
        <f>IF($K3568="","",INDEX(Zeiterfassung!$E$6:$E$3665,$K3568))</f>
        <v/>
      </c>
      <c r="F3568" s="187">
        <f>IF($K3568="","",INDEX(Zeiterfassung!$F$6:$F$3665,$K3568))</f>
        <v/>
      </c>
      <c r="G3568" s="187">
        <f>IF($K3568="","",INDEX(Zeiterfassung!$G$6:$G$3665,$K3568))</f>
        <v/>
      </c>
      <c r="H3568" s="188">
        <f>IF($K3568="","",INDEX(Zeiterfassung!$H$6:$H$3665,$K3568))</f>
        <v/>
      </c>
      <c r="I3568" s="335">
        <f>IF(B3568=B3567,"",IF($K3568="","",INDEX(Zeiterfassung!$I$6:$I$3665,MATCH(INDEX(Zeiterfassung!$K$6:$K$3665,$K3568),Zeiterfassung!$K$6:$K$3665,0))))</f>
        <v/>
      </c>
      <c r="J3568" s="335">
        <f>IF(B3568=B3567,"",IF($K3568="","",INDEX(Zeiterfassung!$J$6:$J$3665,MATCH(INDEX(Zeiterfassung!$K$6:$K$3665,$K3568),Zeiterfassung!$K$6:$K$3665,0))))</f>
        <v/>
      </c>
      <c r="K3568">
        <f>IFERROR(AGGREGATE(15,6,(ROW(Zeiterfassung!$D$6:$D$3665)-ROW(Zeiterfassung!$D$6)+1)/(Zeiterfassung!$D$6:$D$3665&lt;&gt;""),3563),"")</f>
        <v/>
      </c>
    </row>
    <row r="3569" ht="20" customHeight="1">
      <c r="A3569" s="183">
        <f>IF($K3569="","",WEEKNUM(INDEX(Zeiterfassung!$K$6:$K$3665,$K3569),21))</f>
        <v/>
      </c>
      <c r="B3569" s="184">
        <f>IF($K3569="","",INDEX(Zeiterfassung!$K$6:$K$3665,$K3569))</f>
        <v/>
      </c>
      <c r="C3569" s="185">
        <f>IF($K3569="","",INDEX(Zeiterfassung!$K$6:$K$3665,$K3569))</f>
        <v/>
      </c>
      <c r="D3569" s="186">
        <f>IF($K3569="","",INDEX(Zeiterfassung!$D$6:$D$3665,$K3569))</f>
        <v/>
      </c>
      <c r="E3569" s="186">
        <f>IF($K3569="","",INDEX(Zeiterfassung!$E$6:$E$3665,$K3569))</f>
        <v/>
      </c>
      <c r="F3569" s="187">
        <f>IF($K3569="","",INDEX(Zeiterfassung!$F$6:$F$3665,$K3569))</f>
        <v/>
      </c>
      <c r="G3569" s="187">
        <f>IF($K3569="","",INDEX(Zeiterfassung!$G$6:$G$3665,$K3569))</f>
        <v/>
      </c>
      <c r="H3569" s="188">
        <f>IF($K3569="","",INDEX(Zeiterfassung!$H$6:$H$3665,$K3569))</f>
        <v/>
      </c>
      <c r="I3569" s="335">
        <f>IF(B3569=B3568,"",IF($K3569="","",INDEX(Zeiterfassung!$I$6:$I$3665,MATCH(INDEX(Zeiterfassung!$K$6:$K$3665,$K3569),Zeiterfassung!$K$6:$K$3665,0))))</f>
        <v/>
      </c>
      <c r="J3569" s="335">
        <f>IF(B3569=B3568,"",IF($K3569="","",INDEX(Zeiterfassung!$J$6:$J$3665,MATCH(INDEX(Zeiterfassung!$K$6:$K$3665,$K3569),Zeiterfassung!$K$6:$K$3665,0))))</f>
        <v/>
      </c>
      <c r="K3569">
        <f>IFERROR(AGGREGATE(15,6,(ROW(Zeiterfassung!$D$6:$D$3665)-ROW(Zeiterfassung!$D$6)+1)/(Zeiterfassung!$D$6:$D$3665&lt;&gt;""),3564),"")</f>
        <v/>
      </c>
    </row>
    <row r="3570" ht="20" customHeight="1">
      <c r="A3570" s="183">
        <f>IF($K3570="","",WEEKNUM(INDEX(Zeiterfassung!$K$6:$K$3665,$K3570),21))</f>
        <v/>
      </c>
      <c r="B3570" s="184">
        <f>IF($K3570="","",INDEX(Zeiterfassung!$K$6:$K$3665,$K3570))</f>
        <v/>
      </c>
      <c r="C3570" s="185">
        <f>IF($K3570="","",INDEX(Zeiterfassung!$K$6:$K$3665,$K3570))</f>
        <v/>
      </c>
      <c r="D3570" s="186">
        <f>IF($K3570="","",INDEX(Zeiterfassung!$D$6:$D$3665,$K3570))</f>
        <v/>
      </c>
      <c r="E3570" s="186">
        <f>IF($K3570="","",INDEX(Zeiterfassung!$E$6:$E$3665,$K3570))</f>
        <v/>
      </c>
      <c r="F3570" s="187">
        <f>IF($K3570="","",INDEX(Zeiterfassung!$F$6:$F$3665,$K3570))</f>
        <v/>
      </c>
      <c r="G3570" s="187">
        <f>IF($K3570="","",INDEX(Zeiterfassung!$G$6:$G$3665,$K3570))</f>
        <v/>
      </c>
      <c r="H3570" s="188">
        <f>IF($K3570="","",INDEX(Zeiterfassung!$H$6:$H$3665,$K3570))</f>
        <v/>
      </c>
      <c r="I3570" s="335">
        <f>IF(B3570=B3569,"",IF($K3570="","",INDEX(Zeiterfassung!$I$6:$I$3665,MATCH(INDEX(Zeiterfassung!$K$6:$K$3665,$K3570),Zeiterfassung!$K$6:$K$3665,0))))</f>
        <v/>
      </c>
      <c r="J3570" s="335">
        <f>IF(B3570=B3569,"",IF($K3570="","",INDEX(Zeiterfassung!$J$6:$J$3665,MATCH(INDEX(Zeiterfassung!$K$6:$K$3665,$K3570),Zeiterfassung!$K$6:$K$3665,0))))</f>
        <v/>
      </c>
      <c r="K3570">
        <f>IFERROR(AGGREGATE(15,6,(ROW(Zeiterfassung!$D$6:$D$3665)-ROW(Zeiterfassung!$D$6)+1)/(Zeiterfassung!$D$6:$D$3665&lt;&gt;""),3565),"")</f>
        <v/>
      </c>
    </row>
    <row r="3571" ht="20" customHeight="1">
      <c r="A3571" s="183">
        <f>IF($K3571="","",WEEKNUM(INDEX(Zeiterfassung!$K$6:$K$3665,$K3571),21))</f>
        <v/>
      </c>
      <c r="B3571" s="184">
        <f>IF($K3571="","",INDEX(Zeiterfassung!$K$6:$K$3665,$K3571))</f>
        <v/>
      </c>
      <c r="C3571" s="185">
        <f>IF($K3571="","",INDEX(Zeiterfassung!$K$6:$K$3665,$K3571))</f>
        <v/>
      </c>
      <c r="D3571" s="186">
        <f>IF($K3571="","",INDEX(Zeiterfassung!$D$6:$D$3665,$K3571))</f>
        <v/>
      </c>
      <c r="E3571" s="186">
        <f>IF($K3571="","",INDEX(Zeiterfassung!$E$6:$E$3665,$K3571))</f>
        <v/>
      </c>
      <c r="F3571" s="187">
        <f>IF($K3571="","",INDEX(Zeiterfassung!$F$6:$F$3665,$K3571))</f>
        <v/>
      </c>
      <c r="G3571" s="187">
        <f>IF($K3571="","",INDEX(Zeiterfassung!$G$6:$G$3665,$K3571))</f>
        <v/>
      </c>
      <c r="H3571" s="188">
        <f>IF($K3571="","",INDEX(Zeiterfassung!$H$6:$H$3665,$K3571))</f>
        <v/>
      </c>
      <c r="I3571" s="335">
        <f>IF(B3571=B3570,"",IF($K3571="","",INDEX(Zeiterfassung!$I$6:$I$3665,MATCH(INDEX(Zeiterfassung!$K$6:$K$3665,$K3571),Zeiterfassung!$K$6:$K$3665,0))))</f>
        <v/>
      </c>
      <c r="J3571" s="335">
        <f>IF(B3571=B3570,"",IF($K3571="","",INDEX(Zeiterfassung!$J$6:$J$3665,MATCH(INDEX(Zeiterfassung!$K$6:$K$3665,$K3571),Zeiterfassung!$K$6:$K$3665,0))))</f>
        <v/>
      </c>
      <c r="K3571">
        <f>IFERROR(AGGREGATE(15,6,(ROW(Zeiterfassung!$D$6:$D$3665)-ROW(Zeiterfassung!$D$6)+1)/(Zeiterfassung!$D$6:$D$3665&lt;&gt;""),3566),"")</f>
        <v/>
      </c>
    </row>
    <row r="3572" ht="20" customHeight="1">
      <c r="A3572" s="183">
        <f>IF($K3572="","",WEEKNUM(INDEX(Zeiterfassung!$K$6:$K$3665,$K3572),21))</f>
        <v/>
      </c>
      <c r="B3572" s="184">
        <f>IF($K3572="","",INDEX(Zeiterfassung!$K$6:$K$3665,$K3572))</f>
        <v/>
      </c>
      <c r="C3572" s="185">
        <f>IF($K3572="","",INDEX(Zeiterfassung!$K$6:$K$3665,$K3572))</f>
        <v/>
      </c>
      <c r="D3572" s="186">
        <f>IF($K3572="","",INDEX(Zeiterfassung!$D$6:$D$3665,$K3572))</f>
        <v/>
      </c>
      <c r="E3572" s="186">
        <f>IF($K3572="","",INDEX(Zeiterfassung!$E$6:$E$3665,$K3572))</f>
        <v/>
      </c>
      <c r="F3572" s="187">
        <f>IF($K3572="","",INDEX(Zeiterfassung!$F$6:$F$3665,$K3572))</f>
        <v/>
      </c>
      <c r="G3572" s="187">
        <f>IF($K3572="","",INDEX(Zeiterfassung!$G$6:$G$3665,$K3572))</f>
        <v/>
      </c>
      <c r="H3572" s="188">
        <f>IF($K3572="","",INDEX(Zeiterfassung!$H$6:$H$3665,$K3572))</f>
        <v/>
      </c>
      <c r="I3572" s="335">
        <f>IF(B3572=B3571,"",IF($K3572="","",INDEX(Zeiterfassung!$I$6:$I$3665,MATCH(INDEX(Zeiterfassung!$K$6:$K$3665,$K3572),Zeiterfassung!$K$6:$K$3665,0))))</f>
        <v/>
      </c>
      <c r="J3572" s="335">
        <f>IF(B3572=B3571,"",IF($K3572="","",INDEX(Zeiterfassung!$J$6:$J$3665,MATCH(INDEX(Zeiterfassung!$K$6:$K$3665,$K3572),Zeiterfassung!$K$6:$K$3665,0))))</f>
        <v/>
      </c>
      <c r="K3572">
        <f>IFERROR(AGGREGATE(15,6,(ROW(Zeiterfassung!$D$6:$D$3665)-ROW(Zeiterfassung!$D$6)+1)/(Zeiterfassung!$D$6:$D$3665&lt;&gt;""),3567),"")</f>
        <v/>
      </c>
    </row>
    <row r="3573" ht="20" customHeight="1">
      <c r="A3573" s="183">
        <f>IF($K3573="","",WEEKNUM(INDEX(Zeiterfassung!$K$6:$K$3665,$K3573),21))</f>
        <v/>
      </c>
      <c r="B3573" s="184">
        <f>IF($K3573="","",INDEX(Zeiterfassung!$K$6:$K$3665,$K3573))</f>
        <v/>
      </c>
      <c r="C3573" s="185">
        <f>IF($K3573="","",INDEX(Zeiterfassung!$K$6:$K$3665,$K3573))</f>
        <v/>
      </c>
      <c r="D3573" s="186">
        <f>IF($K3573="","",INDEX(Zeiterfassung!$D$6:$D$3665,$K3573))</f>
        <v/>
      </c>
      <c r="E3573" s="186">
        <f>IF($K3573="","",INDEX(Zeiterfassung!$E$6:$E$3665,$K3573))</f>
        <v/>
      </c>
      <c r="F3573" s="187">
        <f>IF($K3573="","",INDEX(Zeiterfassung!$F$6:$F$3665,$K3573))</f>
        <v/>
      </c>
      <c r="G3573" s="187">
        <f>IF($K3573="","",INDEX(Zeiterfassung!$G$6:$G$3665,$K3573))</f>
        <v/>
      </c>
      <c r="H3573" s="188">
        <f>IF($K3573="","",INDEX(Zeiterfassung!$H$6:$H$3665,$K3573))</f>
        <v/>
      </c>
      <c r="I3573" s="335">
        <f>IF(B3573=B3572,"",IF($K3573="","",INDEX(Zeiterfassung!$I$6:$I$3665,MATCH(INDEX(Zeiterfassung!$K$6:$K$3665,$K3573),Zeiterfassung!$K$6:$K$3665,0))))</f>
        <v/>
      </c>
      <c r="J3573" s="335">
        <f>IF(B3573=B3572,"",IF($K3573="","",INDEX(Zeiterfassung!$J$6:$J$3665,MATCH(INDEX(Zeiterfassung!$K$6:$K$3665,$K3573),Zeiterfassung!$K$6:$K$3665,0))))</f>
        <v/>
      </c>
      <c r="K3573">
        <f>IFERROR(AGGREGATE(15,6,(ROW(Zeiterfassung!$D$6:$D$3665)-ROW(Zeiterfassung!$D$6)+1)/(Zeiterfassung!$D$6:$D$3665&lt;&gt;""),3568),"")</f>
        <v/>
      </c>
    </row>
    <row r="3574" ht="20" customHeight="1">
      <c r="A3574" s="183">
        <f>IF($K3574="","",WEEKNUM(INDEX(Zeiterfassung!$K$6:$K$3665,$K3574),21))</f>
        <v/>
      </c>
      <c r="B3574" s="184">
        <f>IF($K3574="","",INDEX(Zeiterfassung!$K$6:$K$3665,$K3574))</f>
        <v/>
      </c>
      <c r="C3574" s="185">
        <f>IF($K3574="","",INDEX(Zeiterfassung!$K$6:$K$3665,$K3574))</f>
        <v/>
      </c>
      <c r="D3574" s="186">
        <f>IF($K3574="","",INDEX(Zeiterfassung!$D$6:$D$3665,$K3574))</f>
        <v/>
      </c>
      <c r="E3574" s="186">
        <f>IF($K3574="","",INDEX(Zeiterfassung!$E$6:$E$3665,$K3574))</f>
        <v/>
      </c>
      <c r="F3574" s="187">
        <f>IF($K3574="","",INDEX(Zeiterfassung!$F$6:$F$3665,$K3574))</f>
        <v/>
      </c>
      <c r="G3574" s="187">
        <f>IF($K3574="","",INDEX(Zeiterfassung!$G$6:$G$3665,$K3574))</f>
        <v/>
      </c>
      <c r="H3574" s="188">
        <f>IF($K3574="","",INDEX(Zeiterfassung!$H$6:$H$3665,$K3574))</f>
        <v/>
      </c>
      <c r="I3574" s="335">
        <f>IF(B3574=B3573,"",IF($K3574="","",INDEX(Zeiterfassung!$I$6:$I$3665,MATCH(INDEX(Zeiterfassung!$K$6:$K$3665,$K3574),Zeiterfassung!$K$6:$K$3665,0))))</f>
        <v/>
      </c>
      <c r="J3574" s="335">
        <f>IF(B3574=B3573,"",IF($K3574="","",INDEX(Zeiterfassung!$J$6:$J$3665,MATCH(INDEX(Zeiterfassung!$K$6:$K$3665,$K3574),Zeiterfassung!$K$6:$K$3665,0))))</f>
        <v/>
      </c>
      <c r="K3574">
        <f>IFERROR(AGGREGATE(15,6,(ROW(Zeiterfassung!$D$6:$D$3665)-ROW(Zeiterfassung!$D$6)+1)/(Zeiterfassung!$D$6:$D$3665&lt;&gt;""),3569),"")</f>
        <v/>
      </c>
    </row>
    <row r="3575" ht="20" customHeight="1">
      <c r="A3575" s="183">
        <f>IF($K3575="","",WEEKNUM(INDEX(Zeiterfassung!$K$6:$K$3665,$K3575),21))</f>
        <v/>
      </c>
      <c r="B3575" s="184">
        <f>IF($K3575="","",INDEX(Zeiterfassung!$K$6:$K$3665,$K3575))</f>
        <v/>
      </c>
      <c r="C3575" s="185">
        <f>IF($K3575="","",INDEX(Zeiterfassung!$K$6:$K$3665,$K3575))</f>
        <v/>
      </c>
      <c r="D3575" s="186">
        <f>IF($K3575="","",INDEX(Zeiterfassung!$D$6:$D$3665,$K3575))</f>
        <v/>
      </c>
      <c r="E3575" s="186">
        <f>IF($K3575="","",INDEX(Zeiterfassung!$E$6:$E$3665,$K3575))</f>
        <v/>
      </c>
      <c r="F3575" s="187">
        <f>IF($K3575="","",INDEX(Zeiterfassung!$F$6:$F$3665,$K3575))</f>
        <v/>
      </c>
      <c r="G3575" s="187">
        <f>IF($K3575="","",INDEX(Zeiterfassung!$G$6:$G$3665,$K3575))</f>
        <v/>
      </c>
      <c r="H3575" s="188">
        <f>IF($K3575="","",INDEX(Zeiterfassung!$H$6:$H$3665,$K3575))</f>
        <v/>
      </c>
      <c r="I3575" s="335">
        <f>IF(B3575=B3574,"",IF($K3575="","",INDEX(Zeiterfassung!$I$6:$I$3665,MATCH(INDEX(Zeiterfassung!$K$6:$K$3665,$K3575),Zeiterfassung!$K$6:$K$3665,0))))</f>
        <v/>
      </c>
      <c r="J3575" s="335">
        <f>IF(B3575=B3574,"",IF($K3575="","",INDEX(Zeiterfassung!$J$6:$J$3665,MATCH(INDEX(Zeiterfassung!$K$6:$K$3665,$K3575),Zeiterfassung!$K$6:$K$3665,0))))</f>
        <v/>
      </c>
      <c r="K3575">
        <f>IFERROR(AGGREGATE(15,6,(ROW(Zeiterfassung!$D$6:$D$3665)-ROW(Zeiterfassung!$D$6)+1)/(Zeiterfassung!$D$6:$D$3665&lt;&gt;""),3570),"")</f>
        <v/>
      </c>
    </row>
    <row r="3576" ht="20" customHeight="1">
      <c r="A3576" s="183">
        <f>IF($K3576="","",WEEKNUM(INDEX(Zeiterfassung!$K$6:$K$3665,$K3576),21))</f>
        <v/>
      </c>
      <c r="B3576" s="184">
        <f>IF($K3576="","",INDEX(Zeiterfassung!$K$6:$K$3665,$K3576))</f>
        <v/>
      </c>
      <c r="C3576" s="185">
        <f>IF($K3576="","",INDEX(Zeiterfassung!$K$6:$K$3665,$K3576))</f>
        <v/>
      </c>
      <c r="D3576" s="186">
        <f>IF($K3576="","",INDEX(Zeiterfassung!$D$6:$D$3665,$K3576))</f>
        <v/>
      </c>
      <c r="E3576" s="186">
        <f>IF($K3576="","",INDEX(Zeiterfassung!$E$6:$E$3665,$K3576))</f>
        <v/>
      </c>
      <c r="F3576" s="187">
        <f>IF($K3576="","",INDEX(Zeiterfassung!$F$6:$F$3665,$K3576))</f>
        <v/>
      </c>
      <c r="G3576" s="187">
        <f>IF($K3576="","",INDEX(Zeiterfassung!$G$6:$G$3665,$K3576))</f>
        <v/>
      </c>
      <c r="H3576" s="188">
        <f>IF($K3576="","",INDEX(Zeiterfassung!$H$6:$H$3665,$K3576))</f>
        <v/>
      </c>
      <c r="I3576" s="335">
        <f>IF(B3576=B3575,"",IF($K3576="","",INDEX(Zeiterfassung!$I$6:$I$3665,MATCH(INDEX(Zeiterfassung!$K$6:$K$3665,$K3576),Zeiterfassung!$K$6:$K$3665,0))))</f>
        <v/>
      </c>
      <c r="J3576" s="335">
        <f>IF(B3576=B3575,"",IF($K3576="","",INDEX(Zeiterfassung!$J$6:$J$3665,MATCH(INDEX(Zeiterfassung!$K$6:$K$3665,$K3576),Zeiterfassung!$K$6:$K$3665,0))))</f>
        <v/>
      </c>
      <c r="K3576">
        <f>IFERROR(AGGREGATE(15,6,(ROW(Zeiterfassung!$D$6:$D$3665)-ROW(Zeiterfassung!$D$6)+1)/(Zeiterfassung!$D$6:$D$3665&lt;&gt;""),3571),"")</f>
        <v/>
      </c>
    </row>
    <row r="3577" ht="20" customHeight="1">
      <c r="A3577" s="183">
        <f>IF($K3577="","",WEEKNUM(INDEX(Zeiterfassung!$K$6:$K$3665,$K3577),21))</f>
        <v/>
      </c>
      <c r="B3577" s="184">
        <f>IF($K3577="","",INDEX(Zeiterfassung!$K$6:$K$3665,$K3577))</f>
        <v/>
      </c>
      <c r="C3577" s="185">
        <f>IF($K3577="","",INDEX(Zeiterfassung!$K$6:$K$3665,$K3577))</f>
        <v/>
      </c>
      <c r="D3577" s="186">
        <f>IF($K3577="","",INDEX(Zeiterfassung!$D$6:$D$3665,$K3577))</f>
        <v/>
      </c>
      <c r="E3577" s="186">
        <f>IF($K3577="","",INDEX(Zeiterfassung!$E$6:$E$3665,$K3577))</f>
        <v/>
      </c>
      <c r="F3577" s="187">
        <f>IF($K3577="","",INDEX(Zeiterfassung!$F$6:$F$3665,$K3577))</f>
        <v/>
      </c>
      <c r="G3577" s="187">
        <f>IF($K3577="","",INDEX(Zeiterfassung!$G$6:$G$3665,$K3577))</f>
        <v/>
      </c>
      <c r="H3577" s="188">
        <f>IF($K3577="","",INDEX(Zeiterfassung!$H$6:$H$3665,$K3577))</f>
        <v/>
      </c>
      <c r="I3577" s="335">
        <f>IF(B3577=B3576,"",IF($K3577="","",INDEX(Zeiterfassung!$I$6:$I$3665,MATCH(INDEX(Zeiterfassung!$K$6:$K$3665,$K3577),Zeiterfassung!$K$6:$K$3665,0))))</f>
        <v/>
      </c>
      <c r="J3577" s="335">
        <f>IF(B3577=B3576,"",IF($K3577="","",INDEX(Zeiterfassung!$J$6:$J$3665,MATCH(INDEX(Zeiterfassung!$K$6:$K$3665,$K3577),Zeiterfassung!$K$6:$K$3665,0))))</f>
        <v/>
      </c>
      <c r="K3577">
        <f>IFERROR(AGGREGATE(15,6,(ROW(Zeiterfassung!$D$6:$D$3665)-ROW(Zeiterfassung!$D$6)+1)/(Zeiterfassung!$D$6:$D$3665&lt;&gt;""),3572),"")</f>
        <v/>
      </c>
    </row>
    <row r="3578" ht="20" customHeight="1">
      <c r="A3578" s="183">
        <f>IF($K3578="","",WEEKNUM(INDEX(Zeiterfassung!$K$6:$K$3665,$K3578),21))</f>
        <v/>
      </c>
      <c r="B3578" s="184">
        <f>IF($K3578="","",INDEX(Zeiterfassung!$K$6:$K$3665,$K3578))</f>
        <v/>
      </c>
      <c r="C3578" s="185">
        <f>IF($K3578="","",INDEX(Zeiterfassung!$K$6:$K$3665,$K3578))</f>
        <v/>
      </c>
      <c r="D3578" s="186">
        <f>IF($K3578="","",INDEX(Zeiterfassung!$D$6:$D$3665,$K3578))</f>
        <v/>
      </c>
      <c r="E3578" s="186">
        <f>IF($K3578="","",INDEX(Zeiterfassung!$E$6:$E$3665,$K3578))</f>
        <v/>
      </c>
      <c r="F3578" s="187">
        <f>IF($K3578="","",INDEX(Zeiterfassung!$F$6:$F$3665,$K3578))</f>
        <v/>
      </c>
      <c r="G3578" s="187">
        <f>IF($K3578="","",INDEX(Zeiterfassung!$G$6:$G$3665,$K3578))</f>
        <v/>
      </c>
      <c r="H3578" s="188">
        <f>IF($K3578="","",INDEX(Zeiterfassung!$H$6:$H$3665,$K3578))</f>
        <v/>
      </c>
      <c r="I3578" s="335">
        <f>IF(B3578=B3577,"",IF($K3578="","",INDEX(Zeiterfassung!$I$6:$I$3665,MATCH(INDEX(Zeiterfassung!$K$6:$K$3665,$K3578),Zeiterfassung!$K$6:$K$3665,0))))</f>
        <v/>
      </c>
      <c r="J3578" s="335">
        <f>IF(B3578=B3577,"",IF($K3578="","",INDEX(Zeiterfassung!$J$6:$J$3665,MATCH(INDEX(Zeiterfassung!$K$6:$K$3665,$K3578),Zeiterfassung!$K$6:$K$3665,0))))</f>
        <v/>
      </c>
      <c r="K3578">
        <f>IFERROR(AGGREGATE(15,6,(ROW(Zeiterfassung!$D$6:$D$3665)-ROW(Zeiterfassung!$D$6)+1)/(Zeiterfassung!$D$6:$D$3665&lt;&gt;""),3573),"")</f>
        <v/>
      </c>
    </row>
    <row r="3579" ht="20" customHeight="1">
      <c r="A3579" s="183">
        <f>IF($K3579="","",WEEKNUM(INDEX(Zeiterfassung!$K$6:$K$3665,$K3579),21))</f>
        <v/>
      </c>
      <c r="B3579" s="184">
        <f>IF($K3579="","",INDEX(Zeiterfassung!$K$6:$K$3665,$K3579))</f>
        <v/>
      </c>
      <c r="C3579" s="185">
        <f>IF($K3579="","",INDEX(Zeiterfassung!$K$6:$K$3665,$K3579))</f>
        <v/>
      </c>
      <c r="D3579" s="186">
        <f>IF($K3579="","",INDEX(Zeiterfassung!$D$6:$D$3665,$K3579))</f>
        <v/>
      </c>
      <c r="E3579" s="186">
        <f>IF($K3579="","",INDEX(Zeiterfassung!$E$6:$E$3665,$K3579))</f>
        <v/>
      </c>
      <c r="F3579" s="187">
        <f>IF($K3579="","",INDEX(Zeiterfassung!$F$6:$F$3665,$K3579))</f>
        <v/>
      </c>
      <c r="G3579" s="187">
        <f>IF($K3579="","",INDEX(Zeiterfassung!$G$6:$G$3665,$K3579))</f>
        <v/>
      </c>
      <c r="H3579" s="188">
        <f>IF($K3579="","",INDEX(Zeiterfassung!$H$6:$H$3665,$K3579))</f>
        <v/>
      </c>
      <c r="I3579" s="335">
        <f>IF(B3579=B3578,"",IF($K3579="","",INDEX(Zeiterfassung!$I$6:$I$3665,MATCH(INDEX(Zeiterfassung!$K$6:$K$3665,$K3579),Zeiterfassung!$K$6:$K$3665,0))))</f>
        <v/>
      </c>
      <c r="J3579" s="335">
        <f>IF(B3579=B3578,"",IF($K3579="","",INDEX(Zeiterfassung!$J$6:$J$3665,MATCH(INDEX(Zeiterfassung!$K$6:$K$3665,$K3579),Zeiterfassung!$K$6:$K$3665,0))))</f>
        <v/>
      </c>
      <c r="K3579">
        <f>IFERROR(AGGREGATE(15,6,(ROW(Zeiterfassung!$D$6:$D$3665)-ROW(Zeiterfassung!$D$6)+1)/(Zeiterfassung!$D$6:$D$3665&lt;&gt;""),3574),"")</f>
        <v/>
      </c>
    </row>
    <row r="3580" ht="20" customHeight="1">
      <c r="A3580" s="183">
        <f>IF($K3580="","",WEEKNUM(INDEX(Zeiterfassung!$K$6:$K$3665,$K3580),21))</f>
        <v/>
      </c>
      <c r="B3580" s="184">
        <f>IF($K3580="","",INDEX(Zeiterfassung!$K$6:$K$3665,$K3580))</f>
        <v/>
      </c>
      <c r="C3580" s="185">
        <f>IF($K3580="","",INDEX(Zeiterfassung!$K$6:$K$3665,$K3580))</f>
        <v/>
      </c>
      <c r="D3580" s="186">
        <f>IF($K3580="","",INDEX(Zeiterfassung!$D$6:$D$3665,$K3580))</f>
        <v/>
      </c>
      <c r="E3580" s="186">
        <f>IF($K3580="","",INDEX(Zeiterfassung!$E$6:$E$3665,$K3580))</f>
        <v/>
      </c>
      <c r="F3580" s="187">
        <f>IF($K3580="","",INDEX(Zeiterfassung!$F$6:$F$3665,$K3580))</f>
        <v/>
      </c>
      <c r="G3580" s="187">
        <f>IF($K3580="","",INDEX(Zeiterfassung!$G$6:$G$3665,$K3580))</f>
        <v/>
      </c>
      <c r="H3580" s="188">
        <f>IF($K3580="","",INDEX(Zeiterfassung!$H$6:$H$3665,$K3580))</f>
        <v/>
      </c>
      <c r="I3580" s="335">
        <f>IF(B3580=B3579,"",IF($K3580="","",INDEX(Zeiterfassung!$I$6:$I$3665,MATCH(INDEX(Zeiterfassung!$K$6:$K$3665,$K3580),Zeiterfassung!$K$6:$K$3665,0))))</f>
        <v/>
      </c>
      <c r="J3580" s="335">
        <f>IF(B3580=B3579,"",IF($K3580="","",INDEX(Zeiterfassung!$J$6:$J$3665,MATCH(INDEX(Zeiterfassung!$K$6:$K$3665,$K3580),Zeiterfassung!$K$6:$K$3665,0))))</f>
        <v/>
      </c>
      <c r="K3580">
        <f>IFERROR(AGGREGATE(15,6,(ROW(Zeiterfassung!$D$6:$D$3665)-ROW(Zeiterfassung!$D$6)+1)/(Zeiterfassung!$D$6:$D$3665&lt;&gt;""),3575),"")</f>
        <v/>
      </c>
    </row>
    <row r="3581" ht="20" customHeight="1">
      <c r="A3581" s="183">
        <f>IF($K3581="","",WEEKNUM(INDEX(Zeiterfassung!$K$6:$K$3665,$K3581),21))</f>
        <v/>
      </c>
      <c r="B3581" s="184">
        <f>IF($K3581="","",INDEX(Zeiterfassung!$K$6:$K$3665,$K3581))</f>
        <v/>
      </c>
      <c r="C3581" s="185">
        <f>IF($K3581="","",INDEX(Zeiterfassung!$K$6:$K$3665,$K3581))</f>
        <v/>
      </c>
      <c r="D3581" s="186">
        <f>IF($K3581="","",INDEX(Zeiterfassung!$D$6:$D$3665,$K3581))</f>
        <v/>
      </c>
      <c r="E3581" s="186">
        <f>IF($K3581="","",INDEX(Zeiterfassung!$E$6:$E$3665,$K3581))</f>
        <v/>
      </c>
      <c r="F3581" s="187">
        <f>IF($K3581="","",INDEX(Zeiterfassung!$F$6:$F$3665,$K3581))</f>
        <v/>
      </c>
      <c r="G3581" s="187">
        <f>IF($K3581="","",INDEX(Zeiterfassung!$G$6:$G$3665,$K3581))</f>
        <v/>
      </c>
      <c r="H3581" s="188">
        <f>IF($K3581="","",INDEX(Zeiterfassung!$H$6:$H$3665,$K3581))</f>
        <v/>
      </c>
      <c r="I3581" s="335">
        <f>IF(B3581=B3580,"",IF($K3581="","",INDEX(Zeiterfassung!$I$6:$I$3665,MATCH(INDEX(Zeiterfassung!$K$6:$K$3665,$K3581),Zeiterfassung!$K$6:$K$3665,0))))</f>
        <v/>
      </c>
      <c r="J3581" s="335">
        <f>IF(B3581=B3580,"",IF($K3581="","",INDEX(Zeiterfassung!$J$6:$J$3665,MATCH(INDEX(Zeiterfassung!$K$6:$K$3665,$K3581),Zeiterfassung!$K$6:$K$3665,0))))</f>
        <v/>
      </c>
      <c r="K3581">
        <f>IFERROR(AGGREGATE(15,6,(ROW(Zeiterfassung!$D$6:$D$3665)-ROW(Zeiterfassung!$D$6)+1)/(Zeiterfassung!$D$6:$D$3665&lt;&gt;""),3576),"")</f>
        <v/>
      </c>
    </row>
    <row r="3582" ht="20" customHeight="1">
      <c r="A3582" s="183">
        <f>IF($K3582="","",WEEKNUM(INDEX(Zeiterfassung!$K$6:$K$3665,$K3582),21))</f>
        <v/>
      </c>
      <c r="B3582" s="184">
        <f>IF($K3582="","",INDEX(Zeiterfassung!$K$6:$K$3665,$K3582))</f>
        <v/>
      </c>
      <c r="C3582" s="185">
        <f>IF($K3582="","",INDEX(Zeiterfassung!$K$6:$K$3665,$K3582))</f>
        <v/>
      </c>
      <c r="D3582" s="186">
        <f>IF($K3582="","",INDEX(Zeiterfassung!$D$6:$D$3665,$K3582))</f>
        <v/>
      </c>
      <c r="E3582" s="186">
        <f>IF($K3582="","",INDEX(Zeiterfassung!$E$6:$E$3665,$K3582))</f>
        <v/>
      </c>
      <c r="F3582" s="187">
        <f>IF($K3582="","",INDEX(Zeiterfassung!$F$6:$F$3665,$K3582))</f>
        <v/>
      </c>
      <c r="G3582" s="187">
        <f>IF($K3582="","",INDEX(Zeiterfassung!$G$6:$G$3665,$K3582))</f>
        <v/>
      </c>
      <c r="H3582" s="188">
        <f>IF($K3582="","",INDEX(Zeiterfassung!$H$6:$H$3665,$K3582))</f>
        <v/>
      </c>
      <c r="I3582" s="335">
        <f>IF(B3582=B3581,"",IF($K3582="","",INDEX(Zeiterfassung!$I$6:$I$3665,MATCH(INDEX(Zeiterfassung!$K$6:$K$3665,$K3582),Zeiterfassung!$K$6:$K$3665,0))))</f>
        <v/>
      </c>
      <c r="J3582" s="335">
        <f>IF(B3582=B3581,"",IF($K3582="","",INDEX(Zeiterfassung!$J$6:$J$3665,MATCH(INDEX(Zeiterfassung!$K$6:$K$3665,$K3582),Zeiterfassung!$K$6:$K$3665,0))))</f>
        <v/>
      </c>
      <c r="K3582">
        <f>IFERROR(AGGREGATE(15,6,(ROW(Zeiterfassung!$D$6:$D$3665)-ROW(Zeiterfassung!$D$6)+1)/(Zeiterfassung!$D$6:$D$3665&lt;&gt;""),3577),"")</f>
        <v/>
      </c>
    </row>
    <row r="3583" ht="20" customHeight="1">
      <c r="A3583" s="183">
        <f>IF($K3583="","",WEEKNUM(INDEX(Zeiterfassung!$K$6:$K$3665,$K3583),21))</f>
        <v/>
      </c>
      <c r="B3583" s="184">
        <f>IF($K3583="","",INDEX(Zeiterfassung!$K$6:$K$3665,$K3583))</f>
        <v/>
      </c>
      <c r="C3583" s="185">
        <f>IF($K3583="","",INDEX(Zeiterfassung!$K$6:$K$3665,$K3583))</f>
        <v/>
      </c>
      <c r="D3583" s="186">
        <f>IF($K3583="","",INDEX(Zeiterfassung!$D$6:$D$3665,$K3583))</f>
        <v/>
      </c>
      <c r="E3583" s="186">
        <f>IF($K3583="","",INDEX(Zeiterfassung!$E$6:$E$3665,$K3583))</f>
        <v/>
      </c>
      <c r="F3583" s="187">
        <f>IF($K3583="","",INDEX(Zeiterfassung!$F$6:$F$3665,$K3583))</f>
        <v/>
      </c>
      <c r="G3583" s="187">
        <f>IF($K3583="","",INDEX(Zeiterfassung!$G$6:$G$3665,$K3583))</f>
        <v/>
      </c>
      <c r="H3583" s="188">
        <f>IF($K3583="","",INDEX(Zeiterfassung!$H$6:$H$3665,$K3583))</f>
        <v/>
      </c>
      <c r="I3583" s="335">
        <f>IF(B3583=B3582,"",IF($K3583="","",INDEX(Zeiterfassung!$I$6:$I$3665,MATCH(INDEX(Zeiterfassung!$K$6:$K$3665,$K3583),Zeiterfassung!$K$6:$K$3665,0))))</f>
        <v/>
      </c>
      <c r="J3583" s="335">
        <f>IF(B3583=B3582,"",IF($K3583="","",INDEX(Zeiterfassung!$J$6:$J$3665,MATCH(INDEX(Zeiterfassung!$K$6:$K$3665,$K3583),Zeiterfassung!$K$6:$K$3665,0))))</f>
        <v/>
      </c>
      <c r="K3583">
        <f>IFERROR(AGGREGATE(15,6,(ROW(Zeiterfassung!$D$6:$D$3665)-ROW(Zeiterfassung!$D$6)+1)/(Zeiterfassung!$D$6:$D$3665&lt;&gt;""),3578),"")</f>
        <v/>
      </c>
    </row>
    <row r="3584" ht="20" customHeight="1">
      <c r="A3584" s="183">
        <f>IF($K3584="","",WEEKNUM(INDEX(Zeiterfassung!$K$6:$K$3665,$K3584),21))</f>
        <v/>
      </c>
      <c r="B3584" s="184">
        <f>IF($K3584="","",INDEX(Zeiterfassung!$K$6:$K$3665,$K3584))</f>
        <v/>
      </c>
      <c r="C3584" s="185">
        <f>IF($K3584="","",INDEX(Zeiterfassung!$K$6:$K$3665,$K3584))</f>
        <v/>
      </c>
      <c r="D3584" s="186">
        <f>IF($K3584="","",INDEX(Zeiterfassung!$D$6:$D$3665,$K3584))</f>
        <v/>
      </c>
      <c r="E3584" s="186">
        <f>IF($K3584="","",INDEX(Zeiterfassung!$E$6:$E$3665,$K3584))</f>
        <v/>
      </c>
      <c r="F3584" s="187">
        <f>IF($K3584="","",INDEX(Zeiterfassung!$F$6:$F$3665,$K3584))</f>
        <v/>
      </c>
      <c r="G3584" s="187">
        <f>IF($K3584="","",INDEX(Zeiterfassung!$G$6:$G$3665,$K3584))</f>
        <v/>
      </c>
      <c r="H3584" s="188">
        <f>IF($K3584="","",INDEX(Zeiterfassung!$H$6:$H$3665,$K3584))</f>
        <v/>
      </c>
      <c r="I3584" s="335">
        <f>IF(B3584=B3583,"",IF($K3584="","",INDEX(Zeiterfassung!$I$6:$I$3665,MATCH(INDEX(Zeiterfassung!$K$6:$K$3665,$K3584),Zeiterfassung!$K$6:$K$3665,0))))</f>
        <v/>
      </c>
      <c r="J3584" s="335">
        <f>IF(B3584=B3583,"",IF($K3584="","",INDEX(Zeiterfassung!$J$6:$J$3665,MATCH(INDEX(Zeiterfassung!$K$6:$K$3665,$K3584),Zeiterfassung!$K$6:$K$3665,0))))</f>
        <v/>
      </c>
      <c r="K3584">
        <f>IFERROR(AGGREGATE(15,6,(ROW(Zeiterfassung!$D$6:$D$3665)-ROW(Zeiterfassung!$D$6)+1)/(Zeiterfassung!$D$6:$D$3665&lt;&gt;""),3579),"")</f>
        <v/>
      </c>
    </row>
    <row r="3585" ht="20" customHeight="1">
      <c r="A3585" s="183">
        <f>IF($K3585="","",WEEKNUM(INDEX(Zeiterfassung!$K$6:$K$3665,$K3585),21))</f>
        <v/>
      </c>
      <c r="B3585" s="184">
        <f>IF($K3585="","",INDEX(Zeiterfassung!$K$6:$K$3665,$K3585))</f>
        <v/>
      </c>
      <c r="C3585" s="185">
        <f>IF($K3585="","",INDEX(Zeiterfassung!$K$6:$K$3665,$K3585))</f>
        <v/>
      </c>
      <c r="D3585" s="186">
        <f>IF($K3585="","",INDEX(Zeiterfassung!$D$6:$D$3665,$K3585))</f>
        <v/>
      </c>
      <c r="E3585" s="186">
        <f>IF($K3585="","",INDEX(Zeiterfassung!$E$6:$E$3665,$K3585))</f>
        <v/>
      </c>
      <c r="F3585" s="187">
        <f>IF($K3585="","",INDEX(Zeiterfassung!$F$6:$F$3665,$K3585))</f>
        <v/>
      </c>
      <c r="G3585" s="187">
        <f>IF($K3585="","",INDEX(Zeiterfassung!$G$6:$G$3665,$K3585))</f>
        <v/>
      </c>
      <c r="H3585" s="188">
        <f>IF($K3585="","",INDEX(Zeiterfassung!$H$6:$H$3665,$K3585))</f>
        <v/>
      </c>
      <c r="I3585" s="335">
        <f>IF(B3585=B3584,"",IF($K3585="","",INDEX(Zeiterfassung!$I$6:$I$3665,MATCH(INDEX(Zeiterfassung!$K$6:$K$3665,$K3585),Zeiterfassung!$K$6:$K$3665,0))))</f>
        <v/>
      </c>
      <c r="J3585" s="335">
        <f>IF(B3585=B3584,"",IF($K3585="","",INDEX(Zeiterfassung!$J$6:$J$3665,MATCH(INDEX(Zeiterfassung!$K$6:$K$3665,$K3585),Zeiterfassung!$K$6:$K$3665,0))))</f>
        <v/>
      </c>
      <c r="K3585">
        <f>IFERROR(AGGREGATE(15,6,(ROW(Zeiterfassung!$D$6:$D$3665)-ROW(Zeiterfassung!$D$6)+1)/(Zeiterfassung!$D$6:$D$3665&lt;&gt;""),3580),"")</f>
        <v/>
      </c>
    </row>
    <row r="3586" ht="20" customHeight="1">
      <c r="A3586" s="183">
        <f>IF($K3586="","",WEEKNUM(INDEX(Zeiterfassung!$K$6:$K$3665,$K3586),21))</f>
        <v/>
      </c>
      <c r="B3586" s="184">
        <f>IF($K3586="","",INDEX(Zeiterfassung!$K$6:$K$3665,$K3586))</f>
        <v/>
      </c>
      <c r="C3586" s="185">
        <f>IF($K3586="","",INDEX(Zeiterfassung!$K$6:$K$3665,$K3586))</f>
        <v/>
      </c>
      <c r="D3586" s="186">
        <f>IF($K3586="","",INDEX(Zeiterfassung!$D$6:$D$3665,$K3586))</f>
        <v/>
      </c>
      <c r="E3586" s="186">
        <f>IF($K3586="","",INDEX(Zeiterfassung!$E$6:$E$3665,$K3586))</f>
        <v/>
      </c>
      <c r="F3586" s="187">
        <f>IF($K3586="","",INDEX(Zeiterfassung!$F$6:$F$3665,$K3586))</f>
        <v/>
      </c>
      <c r="G3586" s="187">
        <f>IF($K3586="","",INDEX(Zeiterfassung!$G$6:$G$3665,$K3586))</f>
        <v/>
      </c>
      <c r="H3586" s="188">
        <f>IF($K3586="","",INDEX(Zeiterfassung!$H$6:$H$3665,$K3586))</f>
        <v/>
      </c>
      <c r="I3586" s="335">
        <f>IF(B3586=B3585,"",IF($K3586="","",INDEX(Zeiterfassung!$I$6:$I$3665,MATCH(INDEX(Zeiterfassung!$K$6:$K$3665,$K3586),Zeiterfassung!$K$6:$K$3665,0))))</f>
        <v/>
      </c>
      <c r="J3586" s="335">
        <f>IF(B3586=B3585,"",IF($K3586="","",INDEX(Zeiterfassung!$J$6:$J$3665,MATCH(INDEX(Zeiterfassung!$K$6:$K$3665,$K3586),Zeiterfassung!$K$6:$K$3665,0))))</f>
        <v/>
      </c>
      <c r="K3586">
        <f>IFERROR(AGGREGATE(15,6,(ROW(Zeiterfassung!$D$6:$D$3665)-ROW(Zeiterfassung!$D$6)+1)/(Zeiterfassung!$D$6:$D$3665&lt;&gt;""),3581),"")</f>
        <v/>
      </c>
    </row>
    <row r="3587" ht="20" customHeight="1">
      <c r="A3587" s="183">
        <f>IF($K3587="","",WEEKNUM(INDEX(Zeiterfassung!$K$6:$K$3665,$K3587),21))</f>
        <v/>
      </c>
      <c r="B3587" s="184">
        <f>IF($K3587="","",INDEX(Zeiterfassung!$K$6:$K$3665,$K3587))</f>
        <v/>
      </c>
      <c r="C3587" s="185">
        <f>IF($K3587="","",INDEX(Zeiterfassung!$K$6:$K$3665,$K3587))</f>
        <v/>
      </c>
      <c r="D3587" s="186">
        <f>IF($K3587="","",INDEX(Zeiterfassung!$D$6:$D$3665,$K3587))</f>
        <v/>
      </c>
      <c r="E3587" s="186">
        <f>IF($K3587="","",INDEX(Zeiterfassung!$E$6:$E$3665,$K3587))</f>
        <v/>
      </c>
      <c r="F3587" s="187">
        <f>IF($K3587="","",INDEX(Zeiterfassung!$F$6:$F$3665,$K3587))</f>
        <v/>
      </c>
      <c r="G3587" s="187">
        <f>IF($K3587="","",INDEX(Zeiterfassung!$G$6:$G$3665,$K3587))</f>
        <v/>
      </c>
      <c r="H3587" s="188">
        <f>IF($K3587="","",INDEX(Zeiterfassung!$H$6:$H$3665,$K3587))</f>
        <v/>
      </c>
      <c r="I3587" s="335">
        <f>IF(B3587=B3586,"",IF($K3587="","",INDEX(Zeiterfassung!$I$6:$I$3665,MATCH(INDEX(Zeiterfassung!$K$6:$K$3665,$K3587),Zeiterfassung!$K$6:$K$3665,0))))</f>
        <v/>
      </c>
      <c r="J3587" s="335">
        <f>IF(B3587=B3586,"",IF($K3587="","",INDEX(Zeiterfassung!$J$6:$J$3665,MATCH(INDEX(Zeiterfassung!$K$6:$K$3665,$K3587),Zeiterfassung!$K$6:$K$3665,0))))</f>
        <v/>
      </c>
      <c r="K3587">
        <f>IFERROR(AGGREGATE(15,6,(ROW(Zeiterfassung!$D$6:$D$3665)-ROW(Zeiterfassung!$D$6)+1)/(Zeiterfassung!$D$6:$D$3665&lt;&gt;""),3582),"")</f>
        <v/>
      </c>
    </row>
    <row r="3588" ht="20" customHeight="1">
      <c r="A3588" s="183">
        <f>IF($K3588="","",WEEKNUM(INDEX(Zeiterfassung!$K$6:$K$3665,$K3588),21))</f>
        <v/>
      </c>
      <c r="B3588" s="184">
        <f>IF($K3588="","",INDEX(Zeiterfassung!$K$6:$K$3665,$K3588))</f>
        <v/>
      </c>
      <c r="C3588" s="185">
        <f>IF($K3588="","",INDEX(Zeiterfassung!$K$6:$K$3665,$K3588))</f>
        <v/>
      </c>
      <c r="D3588" s="186">
        <f>IF($K3588="","",INDEX(Zeiterfassung!$D$6:$D$3665,$K3588))</f>
        <v/>
      </c>
      <c r="E3588" s="186">
        <f>IF($K3588="","",INDEX(Zeiterfassung!$E$6:$E$3665,$K3588))</f>
        <v/>
      </c>
      <c r="F3588" s="187">
        <f>IF($K3588="","",INDEX(Zeiterfassung!$F$6:$F$3665,$K3588))</f>
        <v/>
      </c>
      <c r="G3588" s="187">
        <f>IF($K3588="","",INDEX(Zeiterfassung!$G$6:$G$3665,$K3588))</f>
        <v/>
      </c>
      <c r="H3588" s="188">
        <f>IF($K3588="","",INDEX(Zeiterfassung!$H$6:$H$3665,$K3588))</f>
        <v/>
      </c>
      <c r="I3588" s="335">
        <f>IF(B3588=B3587,"",IF($K3588="","",INDEX(Zeiterfassung!$I$6:$I$3665,MATCH(INDEX(Zeiterfassung!$K$6:$K$3665,$K3588),Zeiterfassung!$K$6:$K$3665,0))))</f>
        <v/>
      </c>
      <c r="J3588" s="335">
        <f>IF(B3588=B3587,"",IF($K3588="","",INDEX(Zeiterfassung!$J$6:$J$3665,MATCH(INDEX(Zeiterfassung!$K$6:$K$3665,$K3588),Zeiterfassung!$K$6:$K$3665,0))))</f>
        <v/>
      </c>
      <c r="K3588">
        <f>IFERROR(AGGREGATE(15,6,(ROW(Zeiterfassung!$D$6:$D$3665)-ROW(Zeiterfassung!$D$6)+1)/(Zeiterfassung!$D$6:$D$3665&lt;&gt;""),3583),"")</f>
        <v/>
      </c>
    </row>
    <row r="3589" ht="20" customHeight="1">
      <c r="A3589" s="183">
        <f>IF($K3589="","",WEEKNUM(INDEX(Zeiterfassung!$K$6:$K$3665,$K3589),21))</f>
        <v/>
      </c>
      <c r="B3589" s="184">
        <f>IF($K3589="","",INDEX(Zeiterfassung!$K$6:$K$3665,$K3589))</f>
        <v/>
      </c>
      <c r="C3589" s="185">
        <f>IF($K3589="","",INDEX(Zeiterfassung!$K$6:$K$3665,$K3589))</f>
        <v/>
      </c>
      <c r="D3589" s="186">
        <f>IF($K3589="","",INDEX(Zeiterfassung!$D$6:$D$3665,$K3589))</f>
        <v/>
      </c>
      <c r="E3589" s="186">
        <f>IF($K3589="","",INDEX(Zeiterfassung!$E$6:$E$3665,$K3589))</f>
        <v/>
      </c>
      <c r="F3589" s="187">
        <f>IF($K3589="","",INDEX(Zeiterfassung!$F$6:$F$3665,$K3589))</f>
        <v/>
      </c>
      <c r="G3589" s="187">
        <f>IF($K3589="","",INDEX(Zeiterfassung!$G$6:$G$3665,$K3589))</f>
        <v/>
      </c>
      <c r="H3589" s="188">
        <f>IF($K3589="","",INDEX(Zeiterfassung!$H$6:$H$3665,$K3589))</f>
        <v/>
      </c>
      <c r="I3589" s="335">
        <f>IF(B3589=B3588,"",IF($K3589="","",INDEX(Zeiterfassung!$I$6:$I$3665,MATCH(INDEX(Zeiterfassung!$K$6:$K$3665,$K3589),Zeiterfassung!$K$6:$K$3665,0))))</f>
        <v/>
      </c>
      <c r="J3589" s="335">
        <f>IF(B3589=B3588,"",IF($K3589="","",INDEX(Zeiterfassung!$J$6:$J$3665,MATCH(INDEX(Zeiterfassung!$K$6:$K$3665,$K3589),Zeiterfassung!$K$6:$K$3665,0))))</f>
        <v/>
      </c>
      <c r="K3589">
        <f>IFERROR(AGGREGATE(15,6,(ROW(Zeiterfassung!$D$6:$D$3665)-ROW(Zeiterfassung!$D$6)+1)/(Zeiterfassung!$D$6:$D$3665&lt;&gt;""),3584),"")</f>
        <v/>
      </c>
    </row>
    <row r="3590" ht="20" customHeight="1">
      <c r="A3590" s="183">
        <f>IF($K3590="","",WEEKNUM(INDEX(Zeiterfassung!$K$6:$K$3665,$K3590),21))</f>
        <v/>
      </c>
      <c r="B3590" s="184">
        <f>IF($K3590="","",INDEX(Zeiterfassung!$K$6:$K$3665,$K3590))</f>
        <v/>
      </c>
      <c r="C3590" s="185">
        <f>IF($K3590="","",INDEX(Zeiterfassung!$K$6:$K$3665,$K3590))</f>
        <v/>
      </c>
      <c r="D3590" s="186">
        <f>IF($K3590="","",INDEX(Zeiterfassung!$D$6:$D$3665,$K3590))</f>
        <v/>
      </c>
      <c r="E3590" s="186">
        <f>IF($K3590="","",INDEX(Zeiterfassung!$E$6:$E$3665,$K3590))</f>
        <v/>
      </c>
      <c r="F3590" s="187">
        <f>IF($K3590="","",INDEX(Zeiterfassung!$F$6:$F$3665,$K3590))</f>
        <v/>
      </c>
      <c r="G3590" s="187">
        <f>IF($K3590="","",INDEX(Zeiterfassung!$G$6:$G$3665,$K3590))</f>
        <v/>
      </c>
      <c r="H3590" s="188">
        <f>IF($K3590="","",INDEX(Zeiterfassung!$H$6:$H$3665,$K3590))</f>
        <v/>
      </c>
      <c r="I3590" s="335">
        <f>IF(B3590=B3589,"",IF($K3590="","",INDEX(Zeiterfassung!$I$6:$I$3665,MATCH(INDEX(Zeiterfassung!$K$6:$K$3665,$K3590),Zeiterfassung!$K$6:$K$3665,0))))</f>
        <v/>
      </c>
      <c r="J3590" s="335">
        <f>IF(B3590=B3589,"",IF($K3590="","",INDEX(Zeiterfassung!$J$6:$J$3665,MATCH(INDEX(Zeiterfassung!$K$6:$K$3665,$K3590),Zeiterfassung!$K$6:$K$3665,0))))</f>
        <v/>
      </c>
      <c r="K3590">
        <f>IFERROR(AGGREGATE(15,6,(ROW(Zeiterfassung!$D$6:$D$3665)-ROW(Zeiterfassung!$D$6)+1)/(Zeiterfassung!$D$6:$D$3665&lt;&gt;""),3585),"")</f>
        <v/>
      </c>
    </row>
    <row r="3591" ht="20" customHeight="1">
      <c r="A3591" s="183">
        <f>IF($K3591="","",WEEKNUM(INDEX(Zeiterfassung!$K$6:$K$3665,$K3591),21))</f>
        <v/>
      </c>
      <c r="B3591" s="184">
        <f>IF($K3591="","",INDEX(Zeiterfassung!$K$6:$K$3665,$K3591))</f>
        <v/>
      </c>
      <c r="C3591" s="185">
        <f>IF($K3591="","",INDEX(Zeiterfassung!$K$6:$K$3665,$K3591))</f>
        <v/>
      </c>
      <c r="D3591" s="186">
        <f>IF($K3591="","",INDEX(Zeiterfassung!$D$6:$D$3665,$K3591))</f>
        <v/>
      </c>
      <c r="E3591" s="186">
        <f>IF($K3591="","",INDEX(Zeiterfassung!$E$6:$E$3665,$K3591))</f>
        <v/>
      </c>
      <c r="F3591" s="187">
        <f>IF($K3591="","",INDEX(Zeiterfassung!$F$6:$F$3665,$K3591))</f>
        <v/>
      </c>
      <c r="G3591" s="187">
        <f>IF($K3591="","",INDEX(Zeiterfassung!$G$6:$G$3665,$K3591))</f>
        <v/>
      </c>
      <c r="H3591" s="188">
        <f>IF($K3591="","",INDEX(Zeiterfassung!$H$6:$H$3665,$K3591))</f>
        <v/>
      </c>
      <c r="I3591" s="335">
        <f>IF(B3591=B3590,"",IF($K3591="","",INDEX(Zeiterfassung!$I$6:$I$3665,MATCH(INDEX(Zeiterfassung!$K$6:$K$3665,$K3591),Zeiterfassung!$K$6:$K$3665,0))))</f>
        <v/>
      </c>
      <c r="J3591" s="335">
        <f>IF(B3591=B3590,"",IF($K3591="","",INDEX(Zeiterfassung!$J$6:$J$3665,MATCH(INDEX(Zeiterfassung!$K$6:$K$3665,$K3591),Zeiterfassung!$K$6:$K$3665,0))))</f>
        <v/>
      </c>
      <c r="K3591">
        <f>IFERROR(AGGREGATE(15,6,(ROW(Zeiterfassung!$D$6:$D$3665)-ROW(Zeiterfassung!$D$6)+1)/(Zeiterfassung!$D$6:$D$3665&lt;&gt;""),3586),"")</f>
        <v/>
      </c>
    </row>
    <row r="3592" ht="20" customHeight="1">
      <c r="A3592" s="183">
        <f>IF($K3592="","",WEEKNUM(INDEX(Zeiterfassung!$K$6:$K$3665,$K3592),21))</f>
        <v/>
      </c>
      <c r="B3592" s="184">
        <f>IF($K3592="","",INDEX(Zeiterfassung!$K$6:$K$3665,$K3592))</f>
        <v/>
      </c>
      <c r="C3592" s="185">
        <f>IF($K3592="","",INDEX(Zeiterfassung!$K$6:$K$3665,$K3592))</f>
        <v/>
      </c>
      <c r="D3592" s="186">
        <f>IF($K3592="","",INDEX(Zeiterfassung!$D$6:$D$3665,$K3592))</f>
        <v/>
      </c>
      <c r="E3592" s="186">
        <f>IF($K3592="","",INDEX(Zeiterfassung!$E$6:$E$3665,$K3592))</f>
        <v/>
      </c>
      <c r="F3592" s="187">
        <f>IF($K3592="","",INDEX(Zeiterfassung!$F$6:$F$3665,$K3592))</f>
        <v/>
      </c>
      <c r="G3592" s="187">
        <f>IF($K3592="","",INDEX(Zeiterfassung!$G$6:$G$3665,$K3592))</f>
        <v/>
      </c>
      <c r="H3592" s="188">
        <f>IF($K3592="","",INDEX(Zeiterfassung!$H$6:$H$3665,$K3592))</f>
        <v/>
      </c>
      <c r="I3592" s="335">
        <f>IF(B3592=B3591,"",IF($K3592="","",INDEX(Zeiterfassung!$I$6:$I$3665,MATCH(INDEX(Zeiterfassung!$K$6:$K$3665,$K3592),Zeiterfassung!$K$6:$K$3665,0))))</f>
        <v/>
      </c>
      <c r="J3592" s="335">
        <f>IF(B3592=B3591,"",IF($K3592="","",INDEX(Zeiterfassung!$J$6:$J$3665,MATCH(INDEX(Zeiterfassung!$K$6:$K$3665,$K3592),Zeiterfassung!$K$6:$K$3665,0))))</f>
        <v/>
      </c>
      <c r="K3592">
        <f>IFERROR(AGGREGATE(15,6,(ROW(Zeiterfassung!$D$6:$D$3665)-ROW(Zeiterfassung!$D$6)+1)/(Zeiterfassung!$D$6:$D$3665&lt;&gt;""),3587),"")</f>
        <v/>
      </c>
    </row>
    <row r="3593" ht="20" customHeight="1">
      <c r="A3593" s="183">
        <f>IF($K3593="","",WEEKNUM(INDEX(Zeiterfassung!$K$6:$K$3665,$K3593),21))</f>
        <v/>
      </c>
      <c r="B3593" s="184">
        <f>IF($K3593="","",INDEX(Zeiterfassung!$K$6:$K$3665,$K3593))</f>
        <v/>
      </c>
      <c r="C3593" s="185">
        <f>IF($K3593="","",INDEX(Zeiterfassung!$K$6:$K$3665,$K3593))</f>
        <v/>
      </c>
      <c r="D3593" s="186">
        <f>IF($K3593="","",INDEX(Zeiterfassung!$D$6:$D$3665,$K3593))</f>
        <v/>
      </c>
      <c r="E3593" s="186">
        <f>IF($K3593="","",INDEX(Zeiterfassung!$E$6:$E$3665,$K3593))</f>
        <v/>
      </c>
      <c r="F3593" s="187">
        <f>IF($K3593="","",INDEX(Zeiterfassung!$F$6:$F$3665,$K3593))</f>
        <v/>
      </c>
      <c r="G3593" s="187">
        <f>IF($K3593="","",INDEX(Zeiterfassung!$G$6:$G$3665,$K3593))</f>
        <v/>
      </c>
      <c r="H3593" s="188">
        <f>IF($K3593="","",INDEX(Zeiterfassung!$H$6:$H$3665,$K3593))</f>
        <v/>
      </c>
      <c r="I3593" s="335">
        <f>IF(B3593=B3592,"",IF($K3593="","",INDEX(Zeiterfassung!$I$6:$I$3665,MATCH(INDEX(Zeiterfassung!$K$6:$K$3665,$K3593),Zeiterfassung!$K$6:$K$3665,0))))</f>
        <v/>
      </c>
      <c r="J3593" s="335">
        <f>IF(B3593=B3592,"",IF($K3593="","",INDEX(Zeiterfassung!$J$6:$J$3665,MATCH(INDEX(Zeiterfassung!$K$6:$K$3665,$K3593),Zeiterfassung!$K$6:$K$3665,0))))</f>
        <v/>
      </c>
      <c r="K3593">
        <f>IFERROR(AGGREGATE(15,6,(ROW(Zeiterfassung!$D$6:$D$3665)-ROW(Zeiterfassung!$D$6)+1)/(Zeiterfassung!$D$6:$D$3665&lt;&gt;""),3588),"")</f>
        <v/>
      </c>
    </row>
    <row r="3594" ht="20" customHeight="1">
      <c r="A3594" s="183">
        <f>IF($K3594="","",WEEKNUM(INDEX(Zeiterfassung!$K$6:$K$3665,$K3594),21))</f>
        <v/>
      </c>
      <c r="B3594" s="184">
        <f>IF($K3594="","",INDEX(Zeiterfassung!$K$6:$K$3665,$K3594))</f>
        <v/>
      </c>
      <c r="C3594" s="185">
        <f>IF($K3594="","",INDEX(Zeiterfassung!$K$6:$K$3665,$K3594))</f>
        <v/>
      </c>
      <c r="D3594" s="186">
        <f>IF($K3594="","",INDEX(Zeiterfassung!$D$6:$D$3665,$K3594))</f>
        <v/>
      </c>
      <c r="E3594" s="186">
        <f>IF($K3594="","",INDEX(Zeiterfassung!$E$6:$E$3665,$K3594))</f>
        <v/>
      </c>
      <c r="F3594" s="187">
        <f>IF($K3594="","",INDEX(Zeiterfassung!$F$6:$F$3665,$K3594))</f>
        <v/>
      </c>
      <c r="G3594" s="187">
        <f>IF($K3594="","",INDEX(Zeiterfassung!$G$6:$G$3665,$K3594))</f>
        <v/>
      </c>
      <c r="H3594" s="188">
        <f>IF($K3594="","",INDEX(Zeiterfassung!$H$6:$H$3665,$K3594))</f>
        <v/>
      </c>
      <c r="I3594" s="335">
        <f>IF(B3594=B3593,"",IF($K3594="","",INDEX(Zeiterfassung!$I$6:$I$3665,MATCH(INDEX(Zeiterfassung!$K$6:$K$3665,$K3594),Zeiterfassung!$K$6:$K$3665,0))))</f>
        <v/>
      </c>
      <c r="J3594" s="335">
        <f>IF(B3594=B3593,"",IF($K3594="","",INDEX(Zeiterfassung!$J$6:$J$3665,MATCH(INDEX(Zeiterfassung!$K$6:$K$3665,$K3594),Zeiterfassung!$K$6:$K$3665,0))))</f>
        <v/>
      </c>
      <c r="K3594">
        <f>IFERROR(AGGREGATE(15,6,(ROW(Zeiterfassung!$D$6:$D$3665)-ROW(Zeiterfassung!$D$6)+1)/(Zeiterfassung!$D$6:$D$3665&lt;&gt;""),3589),"")</f>
        <v/>
      </c>
    </row>
    <row r="3595" ht="20" customHeight="1">
      <c r="A3595" s="183">
        <f>IF($K3595="","",WEEKNUM(INDEX(Zeiterfassung!$K$6:$K$3665,$K3595),21))</f>
        <v/>
      </c>
      <c r="B3595" s="184">
        <f>IF($K3595="","",INDEX(Zeiterfassung!$K$6:$K$3665,$K3595))</f>
        <v/>
      </c>
      <c r="C3595" s="185">
        <f>IF($K3595="","",INDEX(Zeiterfassung!$K$6:$K$3665,$K3595))</f>
        <v/>
      </c>
      <c r="D3595" s="186">
        <f>IF($K3595="","",INDEX(Zeiterfassung!$D$6:$D$3665,$K3595))</f>
        <v/>
      </c>
      <c r="E3595" s="186">
        <f>IF($K3595="","",INDEX(Zeiterfassung!$E$6:$E$3665,$K3595))</f>
        <v/>
      </c>
      <c r="F3595" s="187">
        <f>IF($K3595="","",INDEX(Zeiterfassung!$F$6:$F$3665,$K3595))</f>
        <v/>
      </c>
      <c r="G3595" s="187">
        <f>IF($K3595="","",INDEX(Zeiterfassung!$G$6:$G$3665,$K3595))</f>
        <v/>
      </c>
      <c r="H3595" s="188">
        <f>IF($K3595="","",INDEX(Zeiterfassung!$H$6:$H$3665,$K3595))</f>
        <v/>
      </c>
      <c r="I3595" s="335">
        <f>IF(B3595=B3594,"",IF($K3595="","",INDEX(Zeiterfassung!$I$6:$I$3665,MATCH(INDEX(Zeiterfassung!$K$6:$K$3665,$K3595),Zeiterfassung!$K$6:$K$3665,0))))</f>
        <v/>
      </c>
      <c r="J3595" s="335">
        <f>IF(B3595=B3594,"",IF($K3595="","",INDEX(Zeiterfassung!$J$6:$J$3665,MATCH(INDEX(Zeiterfassung!$K$6:$K$3665,$K3595),Zeiterfassung!$K$6:$K$3665,0))))</f>
        <v/>
      </c>
      <c r="K3595">
        <f>IFERROR(AGGREGATE(15,6,(ROW(Zeiterfassung!$D$6:$D$3665)-ROW(Zeiterfassung!$D$6)+1)/(Zeiterfassung!$D$6:$D$3665&lt;&gt;""),3590),"")</f>
        <v/>
      </c>
    </row>
    <row r="3596" ht="20" customHeight="1">
      <c r="A3596" s="183">
        <f>IF($K3596="","",WEEKNUM(INDEX(Zeiterfassung!$K$6:$K$3665,$K3596),21))</f>
        <v/>
      </c>
      <c r="B3596" s="184">
        <f>IF($K3596="","",INDEX(Zeiterfassung!$K$6:$K$3665,$K3596))</f>
        <v/>
      </c>
      <c r="C3596" s="185">
        <f>IF($K3596="","",INDEX(Zeiterfassung!$K$6:$K$3665,$K3596))</f>
        <v/>
      </c>
      <c r="D3596" s="186">
        <f>IF($K3596="","",INDEX(Zeiterfassung!$D$6:$D$3665,$K3596))</f>
        <v/>
      </c>
      <c r="E3596" s="186">
        <f>IF($K3596="","",INDEX(Zeiterfassung!$E$6:$E$3665,$K3596))</f>
        <v/>
      </c>
      <c r="F3596" s="187">
        <f>IF($K3596="","",INDEX(Zeiterfassung!$F$6:$F$3665,$K3596))</f>
        <v/>
      </c>
      <c r="G3596" s="187">
        <f>IF($K3596="","",INDEX(Zeiterfassung!$G$6:$G$3665,$K3596))</f>
        <v/>
      </c>
      <c r="H3596" s="188">
        <f>IF($K3596="","",INDEX(Zeiterfassung!$H$6:$H$3665,$K3596))</f>
        <v/>
      </c>
      <c r="I3596" s="335">
        <f>IF(B3596=B3595,"",IF($K3596="","",INDEX(Zeiterfassung!$I$6:$I$3665,MATCH(INDEX(Zeiterfassung!$K$6:$K$3665,$K3596),Zeiterfassung!$K$6:$K$3665,0))))</f>
        <v/>
      </c>
      <c r="J3596" s="335">
        <f>IF(B3596=B3595,"",IF($K3596="","",INDEX(Zeiterfassung!$J$6:$J$3665,MATCH(INDEX(Zeiterfassung!$K$6:$K$3665,$K3596),Zeiterfassung!$K$6:$K$3665,0))))</f>
        <v/>
      </c>
      <c r="K3596">
        <f>IFERROR(AGGREGATE(15,6,(ROW(Zeiterfassung!$D$6:$D$3665)-ROW(Zeiterfassung!$D$6)+1)/(Zeiterfassung!$D$6:$D$3665&lt;&gt;""),3591),"")</f>
        <v/>
      </c>
    </row>
    <row r="3597" ht="20" customHeight="1">
      <c r="A3597" s="183">
        <f>IF($K3597="","",WEEKNUM(INDEX(Zeiterfassung!$K$6:$K$3665,$K3597),21))</f>
        <v/>
      </c>
      <c r="B3597" s="184">
        <f>IF($K3597="","",INDEX(Zeiterfassung!$K$6:$K$3665,$K3597))</f>
        <v/>
      </c>
      <c r="C3597" s="185">
        <f>IF($K3597="","",INDEX(Zeiterfassung!$K$6:$K$3665,$K3597))</f>
        <v/>
      </c>
      <c r="D3597" s="186">
        <f>IF($K3597="","",INDEX(Zeiterfassung!$D$6:$D$3665,$K3597))</f>
        <v/>
      </c>
      <c r="E3597" s="186">
        <f>IF($K3597="","",INDEX(Zeiterfassung!$E$6:$E$3665,$K3597))</f>
        <v/>
      </c>
      <c r="F3597" s="187">
        <f>IF($K3597="","",INDEX(Zeiterfassung!$F$6:$F$3665,$K3597))</f>
        <v/>
      </c>
      <c r="G3597" s="187">
        <f>IF($K3597="","",INDEX(Zeiterfassung!$G$6:$G$3665,$K3597))</f>
        <v/>
      </c>
      <c r="H3597" s="188">
        <f>IF($K3597="","",INDEX(Zeiterfassung!$H$6:$H$3665,$K3597))</f>
        <v/>
      </c>
      <c r="I3597" s="335">
        <f>IF(B3597=B3596,"",IF($K3597="","",INDEX(Zeiterfassung!$I$6:$I$3665,MATCH(INDEX(Zeiterfassung!$K$6:$K$3665,$K3597),Zeiterfassung!$K$6:$K$3665,0))))</f>
        <v/>
      </c>
      <c r="J3597" s="335">
        <f>IF(B3597=B3596,"",IF($K3597="","",INDEX(Zeiterfassung!$J$6:$J$3665,MATCH(INDEX(Zeiterfassung!$K$6:$K$3665,$K3597),Zeiterfassung!$K$6:$K$3665,0))))</f>
        <v/>
      </c>
      <c r="K3597">
        <f>IFERROR(AGGREGATE(15,6,(ROW(Zeiterfassung!$D$6:$D$3665)-ROW(Zeiterfassung!$D$6)+1)/(Zeiterfassung!$D$6:$D$3665&lt;&gt;""),3592),"")</f>
        <v/>
      </c>
    </row>
    <row r="3598" ht="20" customHeight="1">
      <c r="A3598" s="183">
        <f>IF($K3598="","",WEEKNUM(INDEX(Zeiterfassung!$K$6:$K$3665,$K3598),21))</f>
        <v/>
      </c>
      <c r="B3598" s="184">
        <f>IF($K3598="","",INDEX(Zeiterfassung!$K$6:$K$3665,$K3598))</f>
        <v/>
      </c>
      <c r="C3598" s="185">
        <f>IF($K3598="","",INDEX(Zeiterfassung!$K$6:$K$3665,$K3598))</f>
        <v/>
      </c>
      <c r="D3598" s="186">
        <f>IF($K3598="","",INDEX(Zeiterfassung!$D$6:$D$3665,$K3598))</f>
        <v/>
      </c>
      <c r="E3598" s="186">
        <f>IF($K3598="","",INDEX(Zeiterfassung!$E$6:$E$3665,$K3598))</f>
        <v/>
      </c>
      <c r="F3598" s="187">
        <f>IF($K3598="","",INDEX(Zeiterfassung!$F$6:$F$3665,$K3598))</f>
        <v/>
      </c>
      <c r="G3598" s="187">
        <f>IF($K3598="","",INDEX(Zeiterfassung!$G$6:$G$3665,$K3598))</f>
        <v/>
      </c>
      <c r="H3598" s="188">
        <f>IF($K3598="","",INDEX(Zeiterfassung!$H$6:$H$3665,$K3598))</f>
        <v/>
      </c>
      <c r="I3598" s="335">
        <f>IF(B3598=B3597,"",IF($K3598="","",INDEX(Zeiterfassung!$I$6:$I$3665,MATCH(INDEX(Zeiterfassung!$K$6:$K$3665,$K3598),Zeiterfassung!$K$6:$K$3665,0))))</f>
        <v/>
      </c>
      <c r="J3598" s="335">
        <f>IF(B3598=B3597,"",IF($K3598="","",INDEX(Zeiterfassung!$J$6:$J$3665,MATCH(INDEX(Zeiterfassung!$K$6:$K$3665,$K3598),Zeiterfassung!$K$6:$K$3665,0))))</f>
        <v/>
      </c>
      <c r="K3598">
        <f>IFERROR(AGGREGATE(15,6,(ROW(Zeiterfassung!$D$6:$D$3665)-ROW(Zeiterfassung!$D$6)+1)/(Zeiterfassung!$D$6:$D$3665&lt;&gt;""),3593),"")</f>
        <v/>
      </c>
    </row>
    <row r="3599" ht="20" customHeight="1">
      <c r="A3599" s="183">
        <f>IF($K3599="","",WEEKNUM(INDEX(Zeiterfassung!$K$6:$K$3665,$K3599),21))</f>
        <v/>
      </c>
      <c r="B3599" s="184">
        <f>IF($K3599="","",INDEX(Zeiterfassung!$K$6:$K$3665,$K3599))</f>
        <v/>
      </c>
      <c r="C3599" s="185">
        <f>IF($K3599="","",INDEX(Zeiterfassung!$K$6:$K$3665,$K3599))</f>
        <v/>
      </c>
      <c r="D3599" s="186">
        <f>IF($K3599="","",INDEX(Zeiterfassung!$D$6:$D$3665,$K3599))</f>
        <v/>
      </c>
      <c r="E3599" s="186">
        <f>IF($K3599="","",INDEX(Zeiterfassung!$E$6:$E$3665,$K3599))</f>
        <v/>
      </c>
      <c r="F3599" s="187">
        <f>IF($K3599="","",INDEX(Zeiterfassung!$F$6:$F$3665,$K3599))</f>
        <v/>
      </c>
      <c r="G3599" s="187">
        <f>IF($K3599="","",INDEX(Zeiterfassung!$G$6:$G$3665,$K3599))</f>
        <v/>
      </c>
      <c r="H3599" s="188">
        <f>IF($K3599="","",INDEX(Zeiterfassung!$H$6:$H$3665,$K3599))</f>
        <v/>
      </c>
      <c r="I3599" s="335">
        <f>IF(B3599=B3598,"",IF($K3599="","",INDEX(Zeiterfassung!$I$6:$I$3665,MATCH(INDEX(Zeiterfassung!$K$6:$K$3665,$K3599),Zeiterfassung!$K$6:$K$3665,0))))</f>
        <v/>
      </c>
      <c r="J3599" s="335">
        <f>IF(B3599=B3598,"",IF($K3599="","",INDEX(Zeiterfassung!$J$6:$J$3665,MATCH(INDEX(Zeiterfassung!$K$6:$K$3665,$K3599),Zeiterfassung!$K$6:$K$3665,0))))</f>
        <v/>
      </c>
      <c r="K3599">
        <f>IFERROR(AGGREGATE(15,6,(ROW(Zeiterfassung!$D$6:$D$3665)-ROW(Zeiterfassung!$D$6)+1)/(Zeiterfassung!$D$6:$D$3665&lt;&gt;""),3594),"")</f>
        <v/>
      </c>
    </row>
    <row r="3600" ht="20" customHeight="1">
      <c r="A3600" s="183">
        <f>IF($K3600="","",WEEKNUM(INDEX(Zeiterfassung!$K$6:$K$3665,$K3600),21))</f>
        <v/>
      </c>
      <c r="B3600" s="184">
        <f>IF($K3600="","",INDEX(Zeiterfassung!$K$6:$K$3665,$K3600))</f>
        <v/>
      </c>
      <c r="C3600" s="185">
        <f>IF($K3600="","",INDEX(Zeiterfassung!$K$6:$K$3665,$K3600))</f>
        <v/>
      </c>
      <c r="D3600" s="186">
        <f>IF($K3600="","",INDEX(Zeiterfassung!$D$6:$D$3665,$K3600))</f>
        <v/>
      </c>
      <c r="E3600" s="186">
        <f>IF($K3600="","",INDEX(Zeiterfassung!$E$6:$E$3665,$K3600))</f>
        <v/>
      </c>
      <c r="F3600" s="187">
        <f>IF($K3600="","",INDEX(Zeiterfassung!$F$6:$F$3665,$K3600))</f>
        <v/>
      </c>
      <c r="G3600" s="187">
        <f>IF($K3600="","",INDEX(Zeiterfassung!$G$6:$G$3665,$K3600))</f>
        <v/>
      </c>
      <c r="H3600" s="188">
        <f>IF($K3600="","",INDEX(Zeiterfassung!$H$6:$H$3665,$K3600))</f>
        <v/>
      </c>
      <c r="I3600" s="335">
        <f>IF(B3600=B3599,"",IF($K3600="","",INDEX(Zeiterfassung!$I$6:$I$3665,MATCH(INDEX(Zeiterfassung!$K$6:$K$3665,$K3600),Zeiterfassung!$K$6:$K$3665,0))))</f>
        <v/>
      </c>
      <c r="J3600" s="335">
        <f>IF(B3600=B3599,"",IF($K3600="","",INDEX(Zeiterfassung!$J$6:$J$3665,MATCH(INDEX(Zeiterfassung!$K$6:$K$3665,$K3600),Zeiterfassung!$K$6:$K$3665,0))))</f>
        <v/>
      </c>
      <c r="K3600">
        <f>IFERROR(AGGREGATE(15,6,(ROW(Zeiterfassung!$D$6:$D$3665)-ROW(Zeiterfassung!$D$6)+1)/(Zeiterfassung!$D$6:$D$3665&lt;&gt;""),3595),"")</f>
        <v/>
      </c>
    </row>
    <row r="3601" ht="20" customHeight="1">
      <c r="A3601" s="183">
        <f>IF($K3601="","",WEEKNUM(INDEX(Zeiterfassung!$K$6:$K$3665,$K3601),21))</f>
        <v/>
      </c>
      <c r="B3601" s="184">
        <f>IF($K3601="","",INDEX(Zeiterfassung!$K$6:$K$3665,$K3601))</f>
        <v/>
      </c>
      <c r="C3601" s="185">
        <f>IF($K3601="","",INDEX(Zeiterfassung!$K$6:$K$3665,$K3601))</f>
        <v/>
      </c>
      <c r="D3601" s="186">
        <f>IF($K3601="","",INDEX(Zeiterfassung!$D$6:$D$3665,$K3601))</f>
        <v/>
      </c>
      <c r="E3601" s="186">
        <f>IF($K3601="","",INDEX(Zeiterfassung!$E$6:$E$3665,$K3601))</f>
        <v/>
      </c>
      <c r="F3601" s="187">
        <f>IF($K3601="","",INDEX(Zeiterfassung!$F$6:$F$3665,$K3601))</f>
        <v/>
      </c>
      <c r="G3601" s="187">
        <f>IF($K3601="","",INDEX(Zeiterfassung!$G$6:$G$3665,$K3601))</f>
        <v/>
      </c>
      <c r="H3601" s="188">
        <f>IF($K3601="","",INDEX(Zeiterfassung!$H$6:$H$3665,$K3601))</f>
        <v/>
      </c>
      <c r="I3601" s="335">
        <f>IF(B3601=B3600,"",IF($K3601="","",INDEX(Zeiterfassung!$I$6:$I$3665,MATCH(INDEX(Zeiterfassung!$K$6:$K$3665,$K3601),Zeiterfassung!$K$6:$K$3665,0))))</f>
        <v/>
      </c>
      <c r="J3601" s="335">
        <f>IF(B3601=B3600,"",IF($K3601="","",INDEX(Zeiterfassung!$J$6:$J$3665,MATCH(INDEX(Zeiterfassung!$K$6:$K$3665,$K3601),Zeiterfassung!$K$6:$K$3665,0))))</f>
        <v/>
      </c>
      <c r="K3601">
        <f>IFERROR(AGGREGATE(15,6,(ROW(Zeiterfassung!$D$6:$D$3665)-ROW(Zeiterfassung!$D$6)+1)/(Zeiterfassung!$D$6:$D$3665&lt;&gt;""),3596),"")</f>
        <v/>
      </c>
    </row>
    <row r="3602" ht="20" customHeight="1">
      <c r="A3602" s="183">
        <f>IF($K3602="","",WEEKNUM(INDEX(Zeiterfassung!$K$6:$K$3665,$K3602),21))</f>
        <v/>
      </c>
      <c r="B3602" s="184">
        <f>IF($K3602="","",INDEX(Zeiterfassung!$K$6:$K$3665,$K3602))</f>
        <v/>
      </c>
      <c r="C3602" s="185">
        <f>IF($K3602="","",INDEX(Zeiterfassung!$K$6:$K$3665,$K3602))</f>
        <v/>
      </c>
      <c r="D3602" s="186">
        <f>IF($K3602="","",INDEX(Zeiterfassung!$D$6:$D$3665,$K3602))</f>
        <v/>
      </c>
      <c r="E3602" s="186">
        <f>IF($K3602="","",INDEX(Zeiterfassung!$E$6:$E$3665,$K3602))</f>
        <v/>
      </c>
      <c r="F3602" s="187">
        <f>IF($K3602="","",INDEX(Zeiterfassung!$F$6:$F$3665,$K3602))</f>
        <v/>
      </c>
      <c r="G3602" s="187">
        <f>IF($K3602="","",INDEX(Zeiterfassung!$G$6:$G$3665,$K3602))</f>
        <v/>
      </c>
      <c r="H3602" s="188">
        <f>IF($K3602="","",INDEX(Zeiterfassung!$H$6:$H$3665,$K3602))</f>
        <v/>
      </c>
      <c r="I3602" s="335">
        <f>IF(B3602=B3601,"",IF($K3602="","",INDEX(Zeiterfassung!$I$6:$I$3665,MATCH(INDEX(Zeiterfassung!$K$6:$K$3665,$K3602),Zeiterfassung!$K$6:$K$3665,0))))</f>
        <v/>
      </c>
      <c r="J3602" s="335">
        <f>IF(B3602=B3601,"",IF($K3602="","",INDEX(Zeiterfassung!$J$6:$J$3665,MATCH(INDEX(Zeiterfassung!$K$6:$K$3665,$K3602),Zeiterfassung!$K$6:$K$3665,0))))</f>
        <v/>
      </c>
      <c r="K3602">
        <f>IFERROR(AGGREGATE(15,6,(ROW(Zeiterfassung!$D$6:$D$3665)-ROW(Zeiterfassung!$D$6)+1)/(Zeiterfassung!$D$6:$D$3665&lt;&gt;""),3597),"")</f>
        <v/>
      </c>
    </row>
    <row r="3603" ht="20" customHeight="1">
      <c r="A3603" s="183">
        <f>IF($K3603="","",WEEKNUM(INDEX(Zeiterfassung!$K$6:$K$3665,$K3603),21))</f>
        <v/>
      </c>
      <c r="B3603" s="184">
        <f>IF($K3603="","",INDEX(Zeiterfassung!$K$6:$K$3665,$K3603))</f>
        <v/>
      </c>
      <c r="C3603" s="185">
        <f>IF($K3603="","",INDEX(Zeiterfassung!$K$6:$K$3665,$K3603))</f>
        <v/>
      </c>
      <c r="D3603" s="186">
        <f>IF($K3603="","",INDEX(Zeiterfassung!$D$6:$D$3665,$K3603))</f>
        <v/>
      </c>
      <c r="E3603" s="186">
        <f>IF($K3603="","",INDEX(Zeiterfassung!$E$6:$E$3665,$K3603))</f>
        <v/>
      </c>
      <c r="F3603" s="187">
        <f>IF($K3603="","",INDEX(Zeiterfassung!$F$6:$F$3665,$K3603))</f>
        <v/>
      </c>
      <c r="G3603" s="187">
        <f>IF($K3603="","",INDEX(Zeiterfassung!$G$6:$G$3665,$K3603))</f>
        <v/>
      </c>
      <c r="H3603" s="188">
        <f>IF($K3603="","",INDEX(Zeiterfassung!$H$6:$H$3665,$K3603))</f>
        <v/>
      </c>
      <c r="I3603" s="335">
        <f>IF(B3603=B3602,"",IF($K3603="","",INDEX(Zeiterfassung!$I$6:$I$3665,MATCH(INDEX(Zeiterfassung!$K$6:$K$3665,$K3603),Zeiterfassung!$K$6:$K$3665,0))))</f>
        <v/>
      </c>
      <c r="J3603" s="335">
        <f>IF(B3603=B3602,"",IF($K3603="","",INDEX(Zeiterfassung!$J$6:$J$3665,MATCH(INDEX(Zeiterfassung!$K$6:$K$3665,$K3603),Zeiterfassung!$K$6:$K$3665,0))))</f>
        <v/>
      </c>
      <c r="K3603">
        <f>IFERROR(AGGREGATE(15,6,(ROW(Zeiterfassung!$D$6:$D$3665)-ROW(Zeiterfassung!$D$6)+1)/(Zeiterfassung!$D$6:$D$3665&lt;&gt;""),3598),"")</f>
        <v/>
      </c>
    </row>
    <row r="3604" ht="20" customHeight="1">
      <c r="A3604" s="183">
        <f>IF($K3604="","",WEEKNUM(INDEX(Zeiterfassung!$K$6:$K$3665,$K3604),21))</f>
        <v/>
      </c>
      <c r="B3604" s="184">
        <f>IF($K3604="","",INDEX(Zeiterfassung!$K$6:$K$3665,$K3604))</f>
        <v/>
      </c>
      <c r="C3604" s="185">
        <f>IF($K3604="","",INDEX(Zeiterfassung!$K$6:$K$3665,$K3604))</f>
        <v/>
      </c>
      <c r="D3604" s="186">
        <f>IF($K3604="","",INDEX(Zeiterfassung!$D$6:$D$3665,$K3604))</f>
        <v/>
      </c>
      <c r="E3604" s="186">
        <f>IF($K3604="","",INDEX(Zeiterfassung!$E$6:$E$3665,$K3604))</f>
        <v/>
      </c>
      <c r="F3604" s="187">
        <f>IF($K3604="","",INDEX(Zeiterfassung!$F$6:$F$3665,$K3604))</f>
        <v/>
      </c>
      <c r="G3604" s="187">
        <f>IF($K3604="","",INDEX(Zeiterfassung!$G$6:$G$3665,$K3604))</f>
        <v/>
      </c>
      <c r="H3604" s="188">
        <f>IF($K3604="","",INDEX(Zeiterfassung!$H$6:$H$3665,$K3604))</f>
        <v/>
      </c>
      <c r="I3604" s="335">
        <f>IF(B3604=B3603,"",IF($K3604="","",INDEX(Zeiterfassung!$I$6:$I$3665,MATCH(INDEX(Zeiterfassung!$K$6:$K$3665,$K3604),Zeiterfassung!$K$6:$K$3665,0))))</f>
        <v/>
      </c>
      <c r="J3604" s="335">
        <f>IF(B3604=B3603,"",IF($K3604="","",INDEX(Zeiterfassung!$J$6:$J$3665,MATCH(INDEX(Zeiterfassung!$K$6:$K$3665,$K3604),Zeiterfassung!$K$6:$K$3665,0))))</f>
        <v/>
      </c>
      <c r="K3604">
        <f>IFERROR(AGGREGATE(15,6,(ROW(Zeiterfassung!$D$6:$D$3665)-ROW(Zeiterfassung!$D$6)+1)/(Zeiterfassung!$D$6:$D$3665&lt;&gt;""),3599),"")</f>
        <v/>
      </c>
    </row>
    <row r="3605" ht="20" customHeight="1">
      <c r="A3605" s="183">
        <f>IF($K3605="","",WEEKNUM(INDEX(Zeiterfassung!$K$6:$K$3665,$K3605),21))</f>
        <v/>
      </c>
      <c r="B3605" s="184">
        <f>IF($K3605="","",INDEX(Zeiterfassung!$K$6:$K$3665,$K3605))</f>
        <v/>
      </c>
      <c r="C3605" s="185">
        <f>IF($K3605="","",INDEX(Zeiterfassung!$K$6:$K$3665,$K3605))</f>
        <v/>
      </c>
      <c r="D3605" s="186">
        <f>IF($K3605="","",INDEX(Zeiterfassung!$D$6:$D$3665,$K3605))</f>
        <v/>
      </c>
      <c r="E3605" s="186">
        <f>IF($K3605="","",INDEX(Zeiterfassung!$E$6:$E$3665,$K3605))</f>
        <v/>
      </c>
      <c r="F3605" s="187">
        <f>IF($K3605="","",INDEX(Zeiterfassung!$F$6:$F$3665,$K3605))</f>
        <v/>
      </c>
      <c r="G3605" s="187">
        <f>IF($K3605="","",INDEX(Zeiterfassung!$G$6:$G$3665,$K3605))</f>
        <v/>
      </c>
      <c r="H3605" s="188">
        <f>IF($K3605="","",INDEX(Zeiterfassung!$H$6:$H$3665,$K3605))</f>
        <v/>
      </c>
      <c r="I3605" s="335">
        <f>IF(B3605=B3604,"",IF($K3605="","",INDEX(Zeiterfassung!$I$6:$I$3665,MATCH(INDEX(Zeiterfassung!$K$6:$K$3665,$K3605),Zeiterfassung!$K$6:$K$3665,0))))</f>
        <v/>
      </c>
      <c r="J3605" s="335">
        <f>IF(B3605=B3604,"",IF($K3605="","",INDEX(Zeiterfassung!$J$6:$J$3665,MATCH(INDEX(Zeiterfassung!$K$6:$K$3665,$K3605),Zeiterfassung!$K$6:$K$3665,0))))</f>
        <v/>
      </c>
      <c r="K3605">
        <f>IFERROR(AGGREGATE(15,6,(ROW(Zeiterfassung!$D$6:$D$3665)-ROW(Zeiterfassung!$D$6)+1)/(Zeiterfassung!$D$6:$D$3665&lt;&gt;""),3600),"")</f>
        <v/>
      </c>
    </row>
    <row r="3606" ht="20" customHeight="1">
      <c r="A3606" s="183">
        <f>IF($K3606="","",WEEKNUM(INDEX(Zeiterfassung!$K$6:$K$3665,$K3606),21))</f>
        <v/>
      </c>
      <c r="B3606" s="184">
        <f>IF($K3606="","",INDEX(Zeiterfassung!$K$6:$K$3665,$K3606))</f>
        <v/>
      </c>
      <c r="C3606" s="185">
        <f>IF($K3606="","",INDEX(Zeiterfassung!$K$6:$K$3665,$K3606))</f>
        <v/>
      </c>
      <c r="D3606" s="186">
        <f>IF($K3606="","",INDEX(Zeiterfassung!$D$6:$D$3665,$K3606))</f>
        <v/>
      </c>
      <c r="E3606" s="186">
        <f>IF($K3606="","",INDEX(Zeiterfassung!$E$6:$E$3665,$K3606))</f>
        <v/>
      </c>
      <c r="F3606" s="187">
        <f>IF($K3606="","",INDEX(Zeiterfassung!$F$6:$F$3665,$K3606))</f>
        <v/>
      </c>
      <c r="G3606" s="187">
        <f>IF($K3606="","",INDEX(Zeiterfassung!$G$6:$G$3665,$K3606))</f>
        <v/>
      </c>
      <c r="H3606" s="188">
        <f>IF($K3606="","",INDEX(Zeiterfassung!$H$6:$H$3665,$K3606))</f>
        <v/>
      </c>
      <c r="I3606" s="335">
        <f>IF(B3606=B3605,"",IF($K3606="","",INDEX(Zeiterfassung!$I$6:$I$3665,MATCH(INDEX(Zeiterfassung!$K$6:$K$3665,$K3606),Zeiterfassung!$K$6:$K$3665,0))))</f>
        <v/>
      </c>
      <c r="J3606" s="335">
        <f>IF(B3606=B3605,"",IF($K3606="","",INDEX(Zeiterfassung!$J$6:$J$3665,MATCH(INDEX(Zeiterfassung!$K$6:$K$3665,$K3606),Zeiterfassung!$K$6:$K$3665,0))))</f>
        <v/>
      </c>
      <c r="K3606">
        <f>IFERROR(AGGREGATE(15,6,(ROW(Zeiterfassung!$D$6:$D$3665)-ROW(Zeiterfassung!$D$6)+1)/(Zeiterfassung!$D$6:$D$3665&lt;&gt;""),3601),"")</f>
        <v/>
      </c>
    </row>
    <row r="3607" ht="20" customHeight="1">
      <c r="A3607" s="183">
        <f>IF($K3607="","",WEEKNUM(INDEX(Zeiterfassung!$K$6:$K$3665,$K3607),21))</f>
        <v/>
      </c>
      <c r="B3607" s="184">
        <f>IF($K3607="","",INDEX(Zeiterfassung!$K$6:$K$3665,$K3607))</f>
        <v/>
      </c>
      <c r="C3607" s="185">
        <f>IF($K3607="","",INDEX(Zeiterfassung!$K$6:$K$3665,$K3607))</f>
        <v/>
      </c>
      <c r="D3607" s="186">
        <f>IF($K3607="","",INDEX(Zeiterfassung!$D$6:$D$3665,$K3607))</f>
        <v/>
      </c>
      <c r="E3607" s="186">
        <f>IF($K3607="","",INDEX(Zeiterfassung!$E$6:$E$3665,$K3607))</f>
        <v/>
      </c>
      <c r="F3607" s="187">
        <f>IF($K3607="","",INDEX(Zeiterfassung!$F$6:$F$3665,$K3607))</f>
        <v/>
      </c>
      <c r="G3607" s="187">
        <f>IF($K3607="","",INDEX(Zeiterfassung!$G$6:$G$3665,$K3607))</f>
        <v/>
      </c>
      <c r="H3607" s="188">
        <f>IF($K3607="","",INDEX(Zeiterfassung!$H$6:$H$3665,$K3607))</f>
        <v/>
      </c>
      <c r="I3607" s="335">
        <f>IF(B3607=B3606,"",IF($K3607="","",INDEX(Zeiterfassung!$I$6:$I$3665,MATCH(INDEX(Zeiterfassung!$K$6:$K$3665,$K3607),Zeiterfassung!$K$6:$K$3665,0))))</f>
        <v/>
      </c>
      <c r="J3607" s="335">
        <f>IF(B3607=B3606,"",IF($K3607="","",INDEX(Zeiterfassung!$J$6:$J$3665,MATCH(INDEX(Zeiterfassung!$K$6:$K$3665,$K3607),Zeiterfassung!$K$6:$K$3665,0))))</f>
        <v/>
      </c>
      <c r="K3607">
        <f>IFERROR(AGGREGATE(15,6,(ROW(Zeiterfassung!$D$6:$D$3665)-ROW(Zeiterfassung!$D$6)+1)/(Zeiterfassung!$D$6:$D$3665&lt;&gt;""),3602),"")</f>
        <v/>
      </c>
    </row>
    <row r="3608" ht="20" customHeight="1">
      <c r="A3608" s="183">
        <f>IF($K3608="","",WEEKNUM(INDEX(Zeiterfassung!$K$6:$K$3665,$K3608),21))</f>
        <v/>
      </c>
      <c r="B3608" s="184">
        <f>IF($K3608="","",INDEX(Zeiterfassung!$K$6:$K$3665,$K3608))</f>
        <v/>
      </c>
      <c r="C3608" s="185">
        <f>IF($K3608="","",INDEX(Zeiterfassung!$K$6:$K$3665,$K3608))</f>
        <v/>
      </c>
      <c r="D3608" s="186">
        <f>IF($K3608="","",INDEX(Zeiterfassung!$D$6:$D$3665,$K3608))</f>
        <v/>
      </c>
      <c r="E3608" s="186">
        <f>IF($K3608="","",INDEX(Zeiterfassung!$E$6:$E$3665,$K3608))</f>
        <v/>
      </c>
      <c r="F3608" s="187">
        <f>IF($K3608="","",INDEX(Zeiterfassung!$F$6:$F$3665,$K3608))</f>
        <v/>
      </c>
      <c r="G3608" s="187">
        <f>IF($K3608="","",INDEX(Zeiterfassung!$G$6:$G$3665,$K3608))</f>
        <v/>
      </c>
      <c r="H3608" s="188">
        <f>IF($K3608="","",INDEX(Zeiterfassung!$H$6:$H$3665,$K3608))</f>
        <v/>
      </c>
      <c r="I3608" s="335">
        <f>IF(B3608=B3607,"",IF($K3608="","",INDEX(Zeiterfassung!$I$6:$I$3665,MATCH(INDEX(Zeiterfassung!$K$6:$K$3665,$K3608),Zeiterfassung!$K$6:$K$3665,0))))</f>
        <v/>
      </c>
      <c r="J3608" s="335">
        <f>IF(B3608=B3607,"",IF($K3608="","",INDEX(Zeiterfassung!$J$6:$J$3665,MATCH(INDEX(Zeiterfassung!$K$6:$K$3665,$K3608),Zeiterfassung!$K$6:$K$3665,0))))</f>
        <v/>
      </c>
      <c r="K3608">
        <f>IFERROR(AGGREGATE(15,6,(ROW(Zeiterfassung!$D$6:$D$3665)-ROW(Zeiterfassung!$D$6)+1)/(Zeiterfassung!$D$6:$D$3665&lt;&gt;""),3603),"")</f>
        <v/>
      </c>
    </row>
    <row r="3609" ht="20" customHeight="1">
      <c r="A3609" s="183">
        <f>IF($K3609="","",WEEKNUM(INDEX(Zeiterfassung!$K$6:$K$3665,$K3609),21))</f>
        <v/>
      </c>
      <c r="B3609" s="184">
        <f>IF($K3609="","",INDEX(Zeiterfassung!$K$6:$K$3665,$K3609))</f>
        <v/>
      </c>
      <c r="C3609" s="185">
        <f>IF($K3609="","",INDEX(Zeiterfassung!$K$6:$K$3665,$K3609))</f>
        <v/>
      </c>
      <c r="D3609" s="186">
        <f>IF($K3609="","",INDEX(Zeiterfassung!$D$6:$D$3665,$K3609))</f>
        <v/>
      </c>
      <c r="E3609" s="186">
        <f>IF($K3609="","",INDEX(Zeiterfassung!$E$6:$E$3665,$K3609))</f>
        <v/>
      </c>
      <c r="F3609" s="187">
        <f>IF($K3609="","",INDEX(Zeiterfassung!$F$6:$F$3665,$K3609))</f>
        <v/>
      </c>
      <c r="G3609" s="187">
        <f>IF($K3609="","",INDEX(Zeiterfassung!$G$6:$G$3665,$K3609))</f>
        <v/>
      </c>
      <c r="H3609" s="188">
        <f>IF($K3609="","",INDEX(Zeiterfassung!$H$6:$H$3665,$K3609))</f>
        <v/>
      </c>
      <c r="I3609" s="335">
        <f>IF(B3609=B3608,"",IF($K3609="","",INDEX(Zeiterfassung!$I$6:$I$3665,MATCH(INDEX(Zeiterfassung!$K$6:$K$3665,$K3609),Zeiterfassung!$K$6:$K$3665,0))))</f>
        <v/>
      </c>
      <c r="J3609" s="335">
        <f>IF(B3609=B3608,"",IF($K3609="","",INDEX(Zeiterfassung!$J$6:$J$3665,MATCH(INDEX(Zeiterfassung!$K$6:$K$3665,$K3609),Zeiterfassung!$K$6:$K$3665,0))))</f>
        <v/>
      </c>
      <c r="K3609">
        <f>IFERROR(AGGREGATE(15,6,(ROW(Zeiterfassung!$D$6:$D$3665)-ROW(Zeiterfassung!$D$6)+1)/(Zeiterfassung!$D$6:$D$3665&lt;&gt;""),3604),"")</f>
        <v/>
      </c>
    </row>
    <row r="3610" ht="20" customHeight="1">
      <c r="A3610" s="183">
        <f>IF($K3610="","",WEEKNUM(INDEX(Zeiterfassung!$K$6:$K$3665,$K3610),21))</f>
        <v/>
      </c>
      <c r="B3610" s="184">
        <f>IF($K3610="","",INDEX(Zeiterfassung!$K$6:$K$3665,$K3610))</f>
        <v/>
      </c>
      <c r="C3610" s="185">
        <f>IF($K3610="","",INDEX(Zeiterfassung!$K$6:$K$3665,$K3610))</f>
        <v/>
      </c>
      <c r="D3610" s="186">
        <f>IF($K3610="","",INDEX(Zeiterfassung!$D$6:$D$3665,$K3610))</f>
        <v/>
      </c>
      <c r="E3610" s="186">
        <f>IF($K3610="","",INDEX(Zeiterfassung!$E$6:$E$3665,$K3610))</f>
        <v/>
      </c>
      <c r="F3610" s="187">
        <f>IF($K3610="","",INDEX(Zeiterfassung!$F$6:$F$3665,$K3610))</f>
        <v/>
      </c>
      <c r="G3610" s="187">
        <f>IF($K3610="","",INDEX(Zeiterfassung!$G$6:$G$3665,$K3610))</f>
        <v/>
      </c>
      <c r="H3610" s="188">
        <f>IF($K3610="","",INDEX(Zeiterfassung!$H$6:$H$3665,$K3610))</f>
        <v/>
      </c>
      <c r="I3610" s="335">
        <f>IF(B3610=B3609,"",IF($K3610="","",INDEX(Zeiterfassung!$I$6:$I$3665,MATCH(INDEX(Zeiterfassung!$K$6:$K$3665,$K3610),Zeiterfassung!$K$6:$K$3665,0))))</f>
        <v/>
      </c>
      <c r="J3610" s="335">
        <f>IF(B3610=B3609,"",IF($K3610="","",INDEX(Zeiterfassung!$J$6:$J$3665,MATCH(INDEX(Zeiterfassung!$K$6:$K$3665,$K3610),Zeiterfassung!$K$6:$K$3665,0))))</f>
        <v/>
      </c>
      <c r="K3610">
        <f>IFERROR(AGGREGATE(15,6,(ROW(Zeiterfassung!$D$6:$D$3665)-ROW(Zeiterfassung!$D$6)+1)/(Zeiterfassung!$D$6:$D$3665&lt;&gt;""),3605),"")</f>
        <v/>
      </c>
    </row>
    <row r="3611" ht="20" customHeight="1">
      <c r="A3611" s="183">
        <f>IF($K3611="","",WEEKNUM(INDEX(Zeiterfassung!$K$6:$K$3665,$K3611),21))</f>
        <v/>
      </c>
      <c r="B3611" s="184">
        <f>IF($K3611="","",INDEX(Zeiterfassung!$K$6:$K$3665,$K3611))</f>
        <v/>
      </c>
      <c r="C3611" s="185">
        <f>IF($K3611="","",INDEX(Zeiterfassung!$K$6:$K$3665,$K3611))</f>
        <v/>
      </c>
      <c r="D3611" s="186">
        <f>IF($K3611="","",INDEX(Zeiterfassung!$D$6:$D$3665,$K3611))</f>
        <v/>
      </c>
      <c r="E3611" s="186">
        <f>IF($K3611="","",INDEX(Zeiterfassung!$E$6:$E$3665,$K3611))</f>
        <v/>
      </c>
      <c r="F3611" s="187">
        <f>IF($K3611="","",INDEX(Zeiterfassung!$F$6:$F$3665,$K3611))</f>
        <v/>
      </c>
      <c r="G3611" s="187">
        <f>IF($K3611="","",INDEX(Zeiterfassung!$G$6:$G$3665,$K3611))</f>
        <v/>
      </c>
      <c r="H3611" s="188">
        <f>IF($K3611="","",INDEX(Zeiterfassung!$H$6:$H$3665,$K3611))</f>
        <v/>
      </c>
      <c r="I3611" s="335">
        <f>IF(B3611=B3610,"",IF($K3611="","",INDEX(Zeiterfassung!$I$6:$I$3665,MATCH(INDEX(Zeiterfassung!$K$6:$K$3665,$K3611),Zeiterfassung!$K$6:$K$3665,0))))</f>
        <v/>
      </c>
      <c r="J3611" s="335">
        <f>IF(B3611=B3610,"",IF($K3611="","",INDEX(Zeiterfassung!$J$6:$J$3665,MATCH(INDEX(Zeiterfassung!$K$6:$K$3665,$K3611),Zeiterfassung!$K$6:$K$3665,0))))</f>
        <v/>
      </c>
      <c r="K3611">
        <f>IFERROR(AGGREGATE(15,6,(ROW(Zeiterfassung!$D$6:$D$3665)-ROW(Zeiterfassung!$D$6)+1)/(Zeiterfassung!$D$6:$D$3665&lt;&gt;""),3606),"")</f>
        <v/>
      </c>
    </row>
    <row r="3612" ht="20" customHeight="1">
      <c r="A3612" s="183">
        <f>IF($K3612="","",WEEKNUM(INDEX(Zeiterfassung!$K$6:$K$3665,$K3612),21))</f>
        <v/>
      </c>
      <c r="B3612" s="184">
        <f>IF($K3612="","",INDEX(Zeiterfassung!$K$6:$K$3665,$K3612))</f>
        <v/>
      </c>
      <c r="C3612" s="185">
        <f>IF($K3612="","",INDEX(Zeiterfassung!$K$6:$K$3665,$K3612))</f>
        <v/>
      </c>
      <c r="D3612" s="186">
        <f>IF($K3612="","",INDEX(Zeiterfassung!$D$6:$D$3665,$K3612))</f>
        <v/>
      </c>
      <c r="E3612" s="186">
        <f>IF($K3612="","",INDEX(Zeiterfassung!$E$6:$E$3665,$K3612))</f>
        <v/>
      </c>
      <c r="F3612" s="187">
        <f>IF($K3612="","",INDEX(Zeiterfassung!$F$6:$F$3665,$K3612))</f>
        <v/>
      </c>
      <c r="G3612" s="187">
        <f>IF($K3612="","",INDEX(Zeiterfassung!$G$6:$G$3665,$K3612))</f>
        <v/>
      </c>
      <c r="H3612" s="188">
        <f>IF($K3612="","",INDEX(Zeiterfassung!$H$6:$H$3665,$K3612))</f>
        <v/>
      </c>
      <c r="I3612" s="335">
        <f>IF(B3612=B3611,"",IF($K3612="","",INDEX(Zeiterfassung!$I$6:$I$3665,MATCH(INDEX(Zeiterfassung!$K$6:$K$3665,$K3612),Zeiterfassung!$K$6:$K$3665,0))))</f>
        <v/>
      </c>
      <c r="J3612" s="335">
        <f>IF(B3612=B3611,"",IF($K3612="","",INDEX(Zeiterfassung!$J$6:$J$3665,MATCH(INDEX(Zeiterfassung!$K$6:$K$3665,$K3612),Zeiterfassung!$K$6:$K$3665,0))))</f>
        <v/>
      </c>
      <c r="K3612">
        <f>IFERROR(AGGREGATE(15,6,(ROW(Zeiterfassung!$D$6:$D$3665)-ROW(Zeiterfassung!$D$6)+1)/(Zeiterfassung!$D$6:$D$3665&lt;&gt;""),3607),"")</f>
        <v/>
      </c>
    </row>
    <row r="3613" ht="20" customHeight="1">
      <c r="A3613" s="183">
        <f>IF($K3613="","",WEEKNUM(INDEX(Zeiterfassung!$K$6:$K$3665,$K3613),21))</f>
        <v/>
      </c>
      <c r="B3613" s="184">
        <f>IF($K3613="","",INDEX(Zeiterfassung!$K$6:$K$3665,$K3613))</f>
        <v/>
      </c>
      <c r="C3613" s="185">
        <f>IF($K3613="","",INDEX(Zeiterfassung!$K$6:$K$3665,$K3613))</f>
        <v/>
      </c>
      <c r="D3613" s="186">
        <f>IF($K3613="","",INDEX(Zeiterfassung!$D$6:$D$3665,$K3613))</f>
        <v/>
      </c>
      <c r="E3613" s="186">
        <f>IF($K3613="","",INDEX(Zeiterfassung!$E$6:$E$3665,$K3613))</f>
        <v/>
      </c>
      <c r="F3613" s="187">
        <f>IF($K3613="","",INDEX(Zeiterfassung!$F$6:$F$3665,$K3613))</f>
        <v/>
      </c>
      <c r="G3613" s="187">
        <f>IF($K3613="","",INDEX(Zeiterfassung!$G$6:$G$3665,$K3613))</f>
        <v/>
      </c>
      <c r="H3613" s="188">
        <f>IF($K3613="","",INDEX(Zeiterfassung!$H$6:$H$3665,$K3613))</f>
        <v/>
      </c>
      <c r="I3613" s="335">
        <f>IF(B3613=B3612,"",IF($K3613="","",INDEX(Zeiterfassung!$I$6:$I$3665,MATCH(INDEX(Zeiterfassung!$K$6:$K$3665,$K3613),Zeiterfassung!$K$6:$K$3665,0))))</f>
        <v/>
      </c>
      <c r="J3613" s="335">
        <f>IF(B3613=B3612,"",IF($K3613="","",INDEX(Zeiterfassung!$J$6:$J$3665,MATCH(INDEX(Zeiterfassung!$K$6:$K$3665,$K3613),Zeiterfassung!$K$6:$K$3665,0))))</f>
        <v/>
      </c>
      <c r="K3613">
        <f>IFERROR(AGGREGATE(15,6,(ROW(Zeiterfassung!$D$6:$D$3665)-ROW(Zeiterfassung!$D$6)+1)/(Zeiterfassung!$D$6:$D$3665&lt;&gt;""),3608),"")</f>
        <v/>
      </c>
    </row>
    <row r="3614" ht="20" customHeight="1">
      <c r="A3614" s="183">
        <f>IF($K3614="","",WEEKNUM(INDEX(Zeiterfassung!$K$6:$K$3665,$K3614),21))</f>
        <v/>
      </c>
      <c r="B3614" s="184">
        <f>IF($K3614="","",INDEX(Zeiterfassung!$K$6:$K$3665,$K3614))</f>
        <v/>
      </c>
      <c r="C3614" s="185">
        <f>IF($K3614="","",INDEX(Zeiterfassung!$K$6:$K$3665,$K3614))</f>
        <v/>
      </c>
      <c r="D3614" s="186">
        <f>IF($K3614="","",INDEX(Zeiterfassung!$D$6:$D$3665,$K3614))</f>
        <v/>
      </c>
      <c r="E3614" s="186">
        <f>IF($K3614="","",INDEX(Zeiterfassung!$E$6:$E$3665,$K3614))</f>
        <v/>
      </c>
      <c r="F3614" s="187">
        <f>IF($K3614="","",INDEX(Zeiterfassung!$F$6:$F$3665,$K3614))</f>
        <v/>
      </c>
      <c r="G3614" s="187">
        <f>IF($K3614="","",INDEX(Zeiterfassung!$G$6:$G$3665,$K3614))</f>
        <v/>
      </c>
      <c r="H3614" s="188">
        <f>IF($K3614="","",INDEX(Zeiterfassung!$H$6:$H$3665,$K3614))</f>
        <v/>
      </c>
      <c r="I3614" s="335">
        <f>IF(B3614=B3613,"",IF($K3614="","",INDEX(Zeiterfassung!$I$6:$I$3665,MATCH(INDEX(Zeiterfassung!$K$6:$K$3665,$K3614),Zeiterfassung!$K$6:$K$3665,0))))</f>
        <v/>
      </c>
      <c r="J3614" s="335">
        <f>IF(B3614=B3613,"",IF($K3614="","",INDEX(Zeiterfassung!$J$6:$J$3665,MATCH(INDEX(Zeiterfassung!$K$6:$K$3665,$K3614),Zeiterfassung!$K$6:$K$3665,0))))</f>
        <v/>
      </c>
      <c r="K3614">
        <f>IFERROR(AGGREGATE(15,6,(ROW(Zeiterfassung!$D$6:$D$3665)-ROW(Zeiterfassung!$D$6)+1)/(Zeiterfassung!$D$6:$D$3665&lt;&gt;""),3609),"")</f>
        <v/>
      </c>
    </row>
    <row r="3615" ht="20" customHeight="1">
      <c r="A3615" s="183">
        <f>IF($K3615="","",WEEKNUM(INDEX(Zeiterfassung!$K$6:$K$3665,$K3615),21))</f>
        <v/>
      </c>
      <c r="B3615" s="184">
        <f>IF($K3615="","",INDEX(Zeiterfassung!$K$6:$K$3665,$K3615))</f>
        <v/>
      </c>
      <c r="C3615" s="185">
        <f>IF($K3615="","",INDEX(Zeiterfassung!$K$6:$K$3665,$K3615))</f>
        <v/>
      </c>
      <c r="D3615" s="186">
        <f>IF($K3615="","",INDEX(Zeiterfassung!$D$6:$D$3665,$K3615))</f>
        <v/>
      </c>
      <c r="E3615" s="186">
        <f>IF($K3615="","",INDEX(Zeiterfassung!$E$6:$E$3665,$K3615))</f>
        <v/>
      </c>
      <c r="F3615" s="187">
        <f>IF($K3615="","",INDEX(Zeiterfassung!$F$6:$F$3665,$K3615))</f>
        <v/>
      </c>
      <c r="G3615" s="187">
        <f>IF($K3615="","",INDEX(Zeiterfassung!$G$6:$G$3665,$K3615))</f>
        <v/>
      </c>
      <c r="H3615" s="188">
        <f>IF($K3615="","",INDEX(Zeiterfassung!$H$6:$H$3665,$K3615))</f>
        <v/>
      </c>
      <c r="I3615" s="335">
        <f>IF(B3615=B3614,"",IF($K3615="","",INDEX(Zeiterfassung!$I$6:$I$3665,MATCH(INDEX(Zeiterfassung!$K$6:$K$3665,$K3615),Zeiterfassung!$K$6:$K$3665,0))))</f>
        <v/>
      </c>
      <c r="J3615" s="335">
        <f>IF(B3615=B3614,"",IF($K3615="","",INDEX(Zeiterfassung!$J$6:$J$3665,MATCH(INDEX(Zeiterfassung!$K$6:$K$3665,$K3615),Zeiterfassung!$K$6:$K$3665,0))))</f>
        <v/>
      </c>
      <c r="K3615">
        <f>IFERROR(AGGREGATE(15,6,(ROW(Zeiterfassung!$D$6:$D$3665)-ROW(Zeiterfassung!$D$6)+1)/(Zeiterfassung!$D$6:$D$3665&lt;&gt;""),3610),"")</f>
        <v/>
      </c>
    </row>
    <row r="3616" ht="20" customHeight="1">
      <c r="A3616" s="183">
        <f>IF($K3616="","",WEEKNUM(INDEX(Zeiterfassung!$K$6:$K$3665,$K3616),21))</f>
        <v/>
      </c>
      <c r="B3616" s="184">
        <f>IF($K3616="","",INDEX(Zeiterfassung!$K$6:$K$3665,$K3616))</f>
        <v/>
      </c>
      <c r="C3616" s="185">
        <f>IF($K3616="","",INDEX(Zeiterfassung!$K$6:$K$3665,$K3616))</f>
        <v/>
      </c>
      <c r="D3616" s="186">
        <f>IF($K3616="","",INDEX(Zeiterfassung!$D$6:$D$3665,$K3616))</f>
        <v/>
      </c>
      <c r="E3616" s="186">
        <f>IF($K3616="","",INDEX(Zeiterfassung!$E$6:$E$3665,$K3616))</f>
        <v/>
      </c>
      <c r="F3616" s="187">
        <f>IF($K3616="","",INDEX(Zeiterfassung!$F$6:$F$3665,$K3616))</f>
        <v/>
      </c>
      <c r="G3616" s="187">
        <f>IF($K3616="","",INDEX(Zeiterfassung!$G$6:$G$3665,$K3616))</f>
        <v/>
      </c>
      <c r="H3616" s="188">
        <f>IF($K3616="","",INDEX(Zeiterfassung!$H$6:$H$3665,$K3616))</f>
        <v/>
      </c>
      <c r="I3616" s="335">
        <f>IF(B3616=B3615,"",IF($K3616="","",INDEX(Zeiterfassung!$I$6:$I$3665,MATCH(INDEX(Zeiterfassung!$K$6:$K$3665,$K3616),Zeiterfassung!$K$6:$K$3665,0))))</f>
        <v/>
      </c>
      <c r="J3616" s="335">
        <f>IF(B3616=B3615,"",IF($K3616="","",INDEX(Zeiterfassung!$J$6:$J$3665,MATCH(INDEX(Zeiterfassung!$K$6:$K$3665,$K3616),Zeiterfassung!$K$6:$K$3665,0))))</f>
        <v/>
      </c>
      <c r="K3616">
        <f>IFERROR(AGGREGATE(15,6,(ROW(Zeiterfassung!$D$6:$D$3665)-ROW(Zeiterfassung!$D$6)+1)/(Zeiterfassung!$D$6:$D$3665&lt;&gt;""),3611),"")</f>
        <v/>
      </c>
    </row>
    <row r="3617" ht="20" customHeight="1">
      <c r="A3617" s="183">
        <f>IF($K3617="","",WEEKNUM(INDEX(Zeiterfassung!$K$6:$K$3665,$K3617),21))</f>
        <v/>
      </c>
      <c r="B3617" s="184">
        <f>IF($K3617="","",INDEX(Zeiterfassung!$K$6:$K$3665,$K3617))</f>
        <v/>
      </c>
      <c r="C3617" s="185">
        <f>IF($K3617="","",INDEX(Zeiterfassung!$K$6:$K$3665,$K3617))</f>
        <v/>
      </c>
      <c r="D3617" s="186">
        <f>IF($K3617="","",INDEX(Zeiterfassung!$D$6:$D$3665,$K3617))</f>
        <v/>
      </c>
      <c r="E3617" s="186">
        <f>IF($K3617="","",INDEX(Zeiterfassung!$E$6:$E$3665,$K3617))</f>
        <v/>
      </c>
      <c r="F3617" s="187">
        <f>IF($K3617="","",INDEX(Zeiterfassung!$F$6:$F$3665,$K3617))</f>
        <v/>
      </c>
      <c r="G3617" s="187">
        <f>IF($K3617="","",INDEX(Zeiterfassung!$G$6:$G$3665,$K3617))</f>
        <v/>
      </c>
      <c r="H3617" s="188">
        <f>IF($K3617="","",INDEX(Zeiterfassung!$H$6:$H$3665,$K3617))</f>
        <v/>
      </c>
      <c r="I3617" s="335">
        <f>IF(B3617=B3616,"",IF($K3617="","",INDEX(Zeiterfassung!$I$6:$I$3665,MATCH(INDEX(Zeiterfassung!$K$6:$K$3665,$K3617),Zeiterfassung!$K$6:$K$3665,0))))</f>
        <v/>
      </c>
      <c r="J3617" s="335">
        <f>IF(B3617=B3616,"",IF($K3617="","",INDEX(Zeiterfassung!$J$6:$J$3665,MATCH(INDEX(Zeiterfassung!$K$6:$K$3665,$K3617),Zeiterfassung!$K$6:$K$3665,0))))</f>
        <v/>
      </c>
      <c r="K3617">
        <f>IFERROR(AGGREGATE(15,6,(ROW(Zeiterfassung!$D$6:$D$3665)-ROW(Zeiterfassung!$D$6)+1)/(Zeiterfassung!$D$6:$D$3665&lt;&gt;""),3612),"")</f>
        <v/>
      </c>
    </row>
    <row r="3618" ht="20" customHeight="1">
      <c r="A3618" s="183">
        <f>IF($K3618="","",WEEKNUM(INDEX(Zeiterfassung!$K$6:$K$3665,$K3618),21))</f>
        <v/>
      </c>
      <c r="B3618" s="184">
        <f>IF($K3618="","",INDEX(Zeiterfassung!$K$6:$K$3665,$K3618))</f>
        <v/>
      </c>
      <c r="C3618" s="185">
        <f>IF($K3618="","",INDEX(Zeiterfassung!$K$6:$K$3665,$K3618))</f>
        <v/>
      </c>
      <c r="D3618" s="186">
        <f>IF($K3618="","",INDEX(Zeiterfassung!$D$6:$D$3665,$K3618))</f>
        <v/>
      </c>
      <c r="E3618" s="186">
        <f>IF($K3618="","",INDEX(Zeiterfassung!$E$6:$E$3665,$K3618))</f>
        <v/>
      </c>
      <c r="F3618" s="187">
        <f>IF($K3618="","",INDEX(Zeiterfassung!$F$6:$F$3665,$K3618))</f>
        <v/>
      </c>
      <c r="G3618" s="187">
        <f>IF($K3618="","",INDEX(Zeiterfassung!$G$6:$G$3665,$K3618))</f>
        <v/>
      </c>
      <c r="H3618" s="188">
        <f>IF($K3618="","",INDEX(Zeiterfassung!$H$6:$H$3665,$K3618))</f>
        <v/>
      </c>
      <c r="I3618" s="335">
        <f>IF(B3618=B3617,"",IF($K3618="","",INDEX(Zeiterfassung!$I$6:$I$3665,MATCH(INDEX(Zeiterfassung!$K$6:$K$3665,$K3618),Zeiterfassung!$K$6:$K$3665,0))))</f>
        <v/>
      </c>
      <c r="J3618" s="335">
        <f>IF(B3618=B3617,"",IF($K3618="","",INDEX(Zeiterfassung!$J$6:$J$3665,MATCH(INDEX(Zeiterfassung!$K$6:$K$3665,$K3618),Zeiterfassung!$K$6:$K$3665,0))))</f>
        <v/>
      </c>
      <c r="K3618">
        <f>IFERROR(AGGREGATE(15,6,(ROW(Zeiterfassung!$D$6:$D$3665)-ROW(Zeiterfassung!$D$6)+1)/(Zeiterfassung!$D$6:$D$3665&lt;&gt;""),3613),"")</f>
        <v/>
      </c>
    </row>
    <row r="3619" ht="20" customHeight="1">
      <c r="A3619" s="183">
        <f>IF($K3619="","",WEEKNUM(INDEX(Zeiterfassung!$K$6:$K$3665,$K3619),21))</f>
        <v/>
      </c>
      <c r="B3619" s="184">
        <f>IF($K3619="","",INDEX(Zeiterfassung!$K$6:$K$3665,$K3619))</f>
        <v/>
      </c>
      <c r="C3619" s="185">
        <f>IF($K3619="","",INDEX(Zeiterfassung!$K$6:$K$3665,$K3619))</f>
        <v/>
      </c>
      <c r="D3619" s="186">
        <f>IF($K3619="","",INDEX(Zeiterfassung!$D$6:$D$3665,$K3619))</f>
        <v/>
      </c>
      <c r="E3619" s="186">
        <f>IF($K3619="","",INDEX(Zeiterfassung!$E$6:$E$3665,$K3619))</f>
        <v/>
      </c>
      <c r="F3619" s="187">
        <f>IF($K3619="","",INDEX(Zeiterfassung!$F$6:$F$3665,$K3619))</f>
        <v/>
      </c>
      <c r="G3619" s="187">
        <f>IF($K3619="","",INDEX(Zeiterfassung!$G$6:$G$3665,$K3619))</f>
        <v/>
      </c>
      <c r="H3619" s="188">
        <f>IF($K3619="","",INDEX(Zeiterfassung!$H$6:$H$3665,$K3619))</f>
        <v/>
      </c>
      <c r="I3619" s="335">
        <f>IF(B3619=B3618,"",IF($K3619="","",INDEX(Zeiterfassung!$I$6:$I$3665,MATCH(INDEX(Zeiterfassung!$K$6:$K$3665,$K3619),Zeiterfassung!$K$6:$K$3665,0))))</f>
        <v/>
      </c>
      <c r="J3619" s="335">
        <f>IF(B3619=B3618,"",IF($K3619="","",INDEX(Zeiterfassung!$J$6:$J$3665,MATCH(INDEX(Zeiterfassung!$K$6:$K$3665,$K3619),Zeiterfassung!$K$6:$K$3665,0))))</f>
        <v/>
      </c>
      <c r="K3619">
        <f>IFERROR(AGGREGATE(15,6,(ROW(Zeiterfassung!$D$6:$D$3665)-ROW(Zeiterfassung!$D$6)+1)/(Zeiterfassung!$D$6:$D$3665&lt;&gt;""),3614),"")</f>
        <v/>
      </c>
    </row>
    <row r="3620" ht="20" customHeight="1">
      <c r="A3620" s="183">
        <f>IF($K3620="","",WEEKNUM(INDEX(Zeiterfassung!$K$6:$K$3665,$K3620),21))</f>
        <v/>
      </c>
      <c r="B3620" s="184">
        <f>IF($K3620="","",INDEX(Zeiterfassung!$K$6:$K$3665,$K3620))</f>
        <v/>
      </c>
      <c r="C3620" s="185">
        <f>IF($K3620="","",INDEX(Zeiterfassung!$K$6:$K$3665,$K3620))</f>
        <v/>
      </c>
      <c r="D3620" s="186">
        <f>IF($K3620="","",INDEX(Zeiterfassung!$D$6:$D$3665,$K3620))</f>
        <v/>
      </c>
      <c r="E3620" s="186">
        <f>IF($K3620="","",INDEX(Zeiterfassung!$E$6:$E$3665,$K3620))</f>
        <v/>
      </c>
      <c r="F3620" s="187">
        <f>IF($K3620="","",INDEX(Zeiterfassung!$F$6:$F$3665,$K3620))</f>
        <v/>
      </c>
      <c r="G3620" s="187">
        <f>IF($K3620="","",INDEX(Zeiterfassung!$G$6:$G$3665,$K3620))</f>
        <v/>
      </c>
      <c r="H3620" s="188">
        <f>IF($K3620="","",INDEX(Zeiterfassung!$H$6:$H$3665,$K3620))</f>
        <v/>
      </c>
      <c r="I3620" s="335">
        <f>IF(B3620=B3619,"",IF($K3620="","",INDEX(Zeiterfassung!$I$6:$I$3665,MATCH(INDEX(Zeiterfassung!$K$6:$K$3665,$K3620),Zeiterfassung!$K$6:$K$3665,0))))</f>
        <v/>
      </c>
      <c r="J3620" s="335">
        <f>IF(B3620=B3619,"",IF($K3620="","",INDEX(Zeiterfassung!$J$6:$J$3665,MATCH(INDEX(Zeiterfassung!$K$6:$K$3665,$K3620),Zeiterfassung!$K$6:$K$3665,0))))</f>
        <v/>
      </c>
      <c r="K3620">
        <f>IFERROR(AGGREGATE(15,6,(ROW(Zeiterfassung!$D$6:$D$3665)-ROW(Zeiterfassung!$D$6)+1)/(Zeiterfassung!$D$6:$D$3665&lt;&gt;""),3615),"")</f>
        <v/>
      </c>
    </row>
    <row r="3621" ht="20" customHeight="1">
      <c r="A3621" s="183">
        <f>IF($K3621="","",WEEKNUM(INDEX(Zeiterfassung!$K$6:$K$3665,$K3621),21))</f>
        <v/>
      </c>
      <c r="B3621" s="184">
        <f>IF($K3621="","",INDEX(Zeiterfassung!$K$6:$K$3665,$K3621))</f>
        <v/>
      </c>
      <c r="C3621" s="185">
        <f>IF($K3621="","",INDEX(Zeiterfassung!$K$6:$K$3665,$K3621))</f>
        <v/>
      </c>
      <c r="D3621" s="186">
        <f>IF($K3621="","",INDEX(Zeiterfassung!$D$6:$D$3665,$K3621))</f>
        <v/>
      </c>
      <c r="E3621" s="186">
        <f>IF($K3621="","",INDEX(Zeiterfassung!$E$6:$E$3665,$K3621))</f>
        <v/>
      </c>
      <c r="F3621" s="187">
        <f>IF($K3621="","",INDEX(Zeiterfassung!$F$6:$F$3665,$K3621))</f>
        <v/>
      </c>
      <c r="G3621" s="187">
        <f>IF($K3621="","",INDEX(Zeiterfassung!$G$6:$G$3665,$K3621))</f>
        <v/>
      </c>
      <c r="H3621" s="188">
        <f>IF($K3621="","",INDEX(Zeiterfassung!$H$6:$H$3665,$K3621))</f>
        <v/>
      </c>
      <c r="I3621" s="335">
        <f>IF(B3621=B3620,"",IF($K3621="","",INDEX(Zeiterfassung!$I$6:$I$3665,MATCH(INDEX(Zeiterfassung!$K$6:$K$3665,$K3621),Zeiterfassung!$K$6:$K$3665,0))))</f>
        <v/>
      </c>
      <c r="J3621" s="335">
        <f>IF(B3621=B3620,"",IF($K3621="","",INDEX(Zeiterfassung!$J$6:$J$3665,MATCH(INDEX(Zeiterfassung!$K$6:$K$3665,$K3621),Zeiterfassung!$K$6:$K$3665,0))))</f>
        <v/>
      </c>
      <c r="K3621">
        <f>IFERROR(AGGREGATE(15,6,(ROW(Zeiterfassung!$D$6:$D$3665)-ROW(Zeiterfassung!$D$6)+1)/(Zeiterfassung!$D$6:$D$3665&lt;&gt;""),3616),"")</f>
        <v/>
      </c>
    </row>
    <row r="3622" ht="20" customHeight="1">
      <c r="A3622" s="183">
        <f>IF($K3622="","",WEEKNUM(INDEX(Zeiterfassung!$K$6:$K$3665,$K3622),21))</f>
        <v/>
      </c>
      <c r="B3622" s="184">
        <f>IF($K3622="","",INDEX(Zeiterfassung!$K$6:$K$3665,$K3622))</f>
        <v/>
      </c>
      <c r="C3622" s="185">
        <f>IF($K3622="","",INDEX(Zeiterfassung!$K$6:$K$3665,$K3622))</f>
        <v/>
      </c>
      <c r="D3622" s="186">
        <f>IF($K3622="","",INDEX(Zeiterfassung!$D$6:$D$3665,$K3622))</f>
        <v/>
      </c>
      <c r="E3622" s="186">
        <f>IF($K3622="","",INDEX(Zeiterfassung!$E$6:$E$3665,$K3622))</f>
        <v/>
      </c>
      <c r="F3622" s="187">
        <f>IF($K3622="","",INDEX(Zeiterfassung!$F$6:$F$3665,$K3622))</f>
        <v/>
      </c>
      <c r="G3622" s="187">
        <f>IF($K3622="","",INDEX(Zeiterfassung!$G$6:$G$3665,$K3622))</f>
        <v/>
      </c>
      <c r="H3622" s="188">
        <f>IF($K3622="","",INDEX(Zeiterfassung!$H$6:$H$3665,$K3622))</f>
        <v/>
      </c>
      <c r="I3622" s="335">
        <f>IF(B3622=B3621,"",IF($K3622="","",INDEX(Zeiterfassung!$I$6:$I$3665,MATCH(INDEX(Zeiterfassung!$K$6:$K$3665,$K3622),Zeiterfassung!$K$6:$K$3665,0))))</f>
        <v/>
      </c>
      <c r="J3622" s="335">
        <f>IF(B3622=B3621,"",IF($K3622="","",INDEX(Zeiterfassung!$J$6:$J$3665,MATCH(INDEX(Zeiterfassung!$K$6:$K$3665,$K3622),Zeiterfassung!$K$6:$K$3665,0))))</f>
        <v/>
      </c>
      <c r="K3622">
        <f>IFERROR(AGGREGATE(15,6,(ROW(Zeiterfassung!$D$6:$D$3665)-ROW(Zeiterfassung!$D$6)+1)/(Zeiterfassung!$D$6:$D$3665&lt;&gt;""),3617),"")</f>
        <v/>
      </c>
    </row>
    <row r="3623" ht="20" customHeight="1">
      <c r="A3623" s="183">
        <f>IF($K3623="","",WEEKNUM(INDEX(Zeiterfassung!$K$6:$K$3665,$K3623),21))</f>
        <v/>
      </c>
      <c r="B3623" s="184">
        <f>IF($K3623="","",INDEX(Zeiterfassung!$K$6:$K$3665,$K3623))</f>
        <v/>
      </c>
      <c r="C3623" s="185">
        <f>IF($K3623="","",INDEX(Zeiterfassung!$K$6:$K$3665,$K3623))</f>
        <v/>
      </c>
      <c r="D3623" s="186">
        <f>IF($K3623="","",INDEX(Zeiterfassung!$D$6:$D$3665,$K3623))</f>
        <v/>
      </c>
      <c r="E3623" s="186">
        <f>IF($K3623="","",INDEX(Zeiterfassung!$E$6:$E$3665,$K3623))</f>
        <v/>
      </c>
      <c r="F3623" s="187">
        <f>IF($K3623="","",INDEX(Zeiterfassung!$F$6:$F$3665,$K3623))</f>
        <v/>
      </c>
      <c r="G3623" s="187">
        <f>IF($K3623="","",INDEX(Zeiterfassung!$G$6:$G$3665,$K3623))</f>
        <v/>
      </c>
      <c r="H3623" s="188">
        <f>IF($K3623="","",INDEX(Zeiterfassung!$H$6:$H$3665,$K3623))</f>
        <v/>
      </c>
      <c r="I3623" s="335">
        <f>IF(B3623=B3622,"",IF($K3623="","",INDEX(Zeiterfassung!$I$6:$I$3665,MATCH(INDEX(Zeiterfassung!$K$6:$K$3665,$K3623),Zeiterfassung!$K$6:$K$3665,0))))</f>
        <v/>
      </c>
      <c r="J3623" s="335">
        <f>IF(B3623=B3622,"",IF($K3623="","",INDEX(Zeiterfassung!$J$6:$J$3665,MATCH(INDEX(Zeiterfassung!$K$6:$K$3665,$K3623),Zeiterfassung!$K$6:$K$3665,0))))</f>
        <v/>
      </c>
      <c r="K3623">
        <f>IFERROR(AGGREGATE(15,6,(ROW(Zeiterfassung!$D$6:$D$3665)-ROW(Zeiterfassung!$D$6)+1)/(Zeiterfassung!$D$6:$D$3665&lt;&gt;""),3618),"")</f>
        <v/>
      </c>
    </row>
    <row r="3624" ht="20" customHeight="1">
      <c r="A3624" s="183">
        <f>IF($K3624="","",WEEKNUM(INDEX(Zeiterfassung!$K$6:$K$3665,$K3624),21))</f>
        <v/>
      </c>
      <c r="B3624" s="184">
        <f>IF($K3624="","",INDEX(Zeiterfassung!$K$6:$K$3665,$K3624))</f>
        <v/>
      </c>
      <c r="C3624" s="185">
        <f>IF($K3624="","",INDEX(Zeiterfassung!$K$6:$K$3665,$K3624))</f>
        <v/>
      </c>
      <c r="D3624" s="186">
        <f>IF($K3624="","",INDEX(Zeiterfassung!$D$6:$D$3665,$K3624))</f>
        <v/>
      </c>
      <c r="E3624" s="186">
        <f>IF($K3624="","",INDEX(Zeiterfassung!$E$6:$E$3665,$K3624))</f>
        <v/>
      </c>
      <c r="F3624" s="187">
        <f>IF($K3624="","",INDEX(Zeiterfassung!$F$6:$F$3665,$K3624))</f>
        <v/>
      </c>
      <c r="G3624" s="187">
        <f>IF($K3624="","",INDEX(Zeiterfassung!$G$6:$G$3665,$K3624))</f>
        <v/>
      </c>
      <c r="H3624" s="188">
        <f>IF($K3624="","",INDEX(Zeiterfassung!$H$6:$H$3665,$K3624))</f>
        <v/>
      </c>
      <c r="I3624" s="335">
        <f>IF(B3624=B3623,"",IF($K3624="","",INDEX(Zeiterfassung!$I$6:$I$3665,MATCH(INDEX(Zeiterfassung!$K$6:$K$3665,$K3624),Zeiterfassung!$K$6:$K$3665,0))))</f>
        <v/>
      </c>
      <c r="J3624" s="335">
        <f>IF(B3624=B3623,"",IF($K3624="","",INDEX(Zeiterfassung!$J$6:$J$3665,MATCH(INDEX(Zeiterfassung!$K$6:$K$3665,$K3624),Zeiterfassung!$K$6:$K$3665,0))))</f>
        <v/>
      </c>
      <c r="K3624">
        <f>IFERROR(AGGREGATE(15,6,(ROW(Zeiterfassung!$D$6:$D$3665)-ROW(Zeiterfassung!$D$6)+1)/(Zeiterfassung!$D$6:$D$3665&lt;&gt;""),3619),"")</f>
        <v/>
      </c>
    </row>
    <row r="3625" ht="20" customHeight="1">
      <c r="A3625" s="183">
        <f>IF($K3625="","",WEEKNUM(INDEX(Zeiterfassung!$K$6:$K$3665,$K3625),21))</f>
        <v/>
      </c>
      <c r="B3625" s="184">
        <f>IF($K3625="","",INDEX(Zeiterfassung!$K$6:$K$3665,$K3625))</f>
        <v/>
      </c>
      <c r="C3625" s="185">
        <f>IF($K3625="","",INDEX(Zeiterfassung!$K$6:$K$3665,$K3625))</f>
        <v/>
      </c>
      <c r="D3625" s="186">
        <f>IF($K3625="","",INDEX(Zeiterfassung!$D$6:$D$3665,$K3625))</f>
        <v/>
      </c>
      <c r="E3625" s="186">
        <f>IF($K3625="","",INDEX(Zeiterfassung!$E$6:$E$3665,$K3625))</f>
        <v/>
      </c>
      <c r="F3625" s="187">
        <f>IF($K3625="","",INDEX(Zeiterfassung!$F$6:$F$3665,$K3625))</f>
        <v/>
      </c>
      <c r="G3625" s="187">
        <f>IF($K3625="","",INDEX(Zeiterfassung!$G$6:$G$3665,$K3625))</f>
        <v/>
      </c>
      <c r="H3625" s="188">
        <f>IF($K3625="","",INDEX(Zeiterfassung!$H$6:$H$3665,$K3625))</f>
        <v/>
      </c>
      <c r="I3625" s="335">
        <f>IF(B3625=B3624,"",IF($K3625="","",INDEX(Zeiterfassung!$I$6:$I$3665,MATCH(INDEX(Zeiterfassung!$K$6:$K$3665,$K3625),Zeiterfassung!$K$6:$K$3665,0))))</f>
        <v/>
      </c>
      <c r="J3625" s="335">
        <f>IF(B3625=B3624,"",IF($K3625="","",INDEX(Zeiterfassung!$J$6:$J$3665,MATCH(INDEX(Zeiterfassung!$K$6:$K$3665,$K3625),Zeiterfassung!$K$6:$K$3665,0))))</f>
        <v/>
      </c>
      <c r="K3625">
        <f>IFERROR(AGGREGATE(15,6,(ROW(Zeiterfassung!$D$6:$D$3665)-ROW(Zeiterfassung!$D$6)+1)/(Zeiterfassung!$D$6:$D$3665&lt;&gt;""),3620),"")</f>
        <v/>
      </c>
    </row>
    <row r="3626" ht="20" customHeight="1">
      <c r="A3626" s="183">
        <f>IF($K3626="","",WEEKNUM(INDEX(Zeiterfassung!$K$6:$K$3665,$K3626),21))</f>
        <v/>
      </c>
      <c r="B3626" s="184">
        <f>IF($K3626="","",INDEX(Zeiterfassung!$K$6:$K$3665,$K3626))</f>
        <v/>
      </c>
      <c r="C3626" s="185">
        <f>IF($K3626="","",INDEX(Zeiterfassung!$K$6:$K$3665,$K3626))</f>
        <v/>
      </c>
      <c r="D3626" s="186">
        <f>IF($K3626="","",INDEX(Zeiterfassung!$D$6:$D$3665,$K3626))</f>
        <v/>
      </c>
      <c r="E3626" s="186">
        <f>IF($K3626="","",INDEX(Zeiterfassung!$E$6:$E$3665,$K3626))</f>
        <v/>
      </c>
      <c r="F3626" s="187">
        <f>IF($K3626="","",INDEX(Zeiterfassung!$F$6:$F$3665,$K3626))</f>
        <v/>
      </c>
      <c r="G3626" s="187">
        <f>IF($K3626="","",INDEX(Zeiterfassung!$G$6:$G$3665,$K3626))</f>
        <v/>
      </c>
      <c r="H3626" s="188">
        <f>IF($K3626="","",INDEX(Zeiterfassung!$H$6:$H$3665,$K3626))</f>
        <v/>
      </c>
      <c r="I3626" s="335">
        <f>IF(B3626=B3625,"",IF($K3626="","",INDEX(Zeiterfassung!$I$6:$I$3665,MATCH(INDEX(Zeiterfassung!$K$6:$K$3665,$K3626),Zeiterfassung!$K$6:$K$3665,0))))</f>
        <v/>
      </c>
      <c r="J3626" s="335">
        <f>IF(B3626=B3625,"",IF($K3626="","",INDEX(Zeiterfassung!$J$6:$J$3665,MATCH(INDEX(Zeiterfassung!$K$6:$K$3665,$K3626),Zeiterfassung!$K$6:$K$3665,0))))</f>
        <v/>
      </c>
      <c r="K3626">
        <f>IFERROR(AGGREGATE(15,6,(ROW(Zeiterfassung!$D$6:$D$3665)-ROW(Zeiterfassung!$D$6)+1)/(Zeiterfassung!$D$6:$D$3665&lt;&gt;""),3621),"")</f>
        <v/>
      </c>
    </row>
    <row r="3627" ht="20" customHeight="1">
      <c r="A3627" s="183">
        <f>IF($K3627="","",WEEKNUM(INDEX(Zeiterfassung!$K$6:$K$3665,$K3627),21))</f>
        <v/>
      </c>
      <c r="B3627" s="184">
        <f>IF($K3627="","",INDEX(Zeiterfassung!$K$6:$K$3665,$K3627))</f>
        <v/>
      </c>
      <c r="C3627" s="185">
        <f>IF($K3627="","",INDEX(Zeiterfassung!$K$6:$K$3665,$K3627))</f>
        <v/>
      </c>
      <c r="D3627" s="186">
        <f>IF($K3627="","",INDEX(Zeiterfassung!$D$6:$D$3665,$K3627))</f>
        <v/>
      </c>
      <c r="E3627" s="186">
        <f>IF($K3627="","",INDEX(Zeiterfassung!$E$6:$E$3665,$K3627))</f>
        <v/>
      </c>
      <c r="F3627" s="187">
        <f>IF($K3627="","",INDEX(Zeiterfassung!$F$6:$F$3665,$K3627))</f>
        <v/>
      </c>
      <c r="G3627" s="187">
        <f>IF($K3627="","",INDEX(Zeiterfassung!$G$6:$G$3665,$K3627))</f>
        <v/>
      </c>
      <c r="H3627" s="188">
        <f>IF($K3627="","",INDEX(Zeiterfassung!$H$6:$H$3665,$K3627))</f>
        <v/>
      </c>
      <c r="I3627" s="335">
        <f>IF(B3627=B3626,"",IF($K3627="","",INDEX(Zeiterfassung!$I$6:$I$3665,MATCH(INDEX(Zeiterfassung!$K$6:$K$3665,$K3627),Zeiterfassung!$K$6:$K$3665,0))))</f>
        <v/>
      </c>
      <c r="J3627" s="335">
        <f>IF(B3627=B3626,"",IF($K3627="","",INDEX(Zeiterfassung!$J$6:$J$3665,MATCH(INDEX(Zeiterfassung!$K$6:$K$3665,$K3627),Zeiterfassung!$K$6:$K$3665,0))))</f>
        <v/>
      </c>
      <c r="K3627">
        <f>IFERROR(AGGREGATE(15,6,(ROW(Zeiterfassung!$D$6:$D$3665)-ROW(Zeiterfassung!$D$6)+1)/(Zeiterfassung!$D$6:$D$3665&lt;&gt;""),3622),"")</f>
        <v/>
      </c>
    </row>
    <row r="3628" ht="20" customHeight="1">
      <c r="A3628" s="183">
        <f>IF($K3628="","",WEEKNUM(INDEX(Zeiterfassung!$K$6:$K$3665,$K3628),21))</f>
        <v/>
      </c>
      <c r="B3628" s="184">
        <f>IF($K3628="","",INDEX(Zeiterfassung!$K$6:$K$3665,$K3628))</f>
        <v/>
      </c>
      <c r="C3628" s="185">
        <f>IF($K3628="","",INDEX(Zeiterfassung!$K$6:$K$3665,$K3628))</f>
        <v/>
      </c>
      <c r="D3628" s="186">
        <f>IF($K3628="","",INDEX(Zeiterfassung!$D$6:$D$3665,$K3628))</f>
        <v/>
      </c>
      <c r="E3628" s="186">
        <f>IF($K3628="","",INDEX(Zeiterfassung!$E$6:$E$3665,$K3628))</f>
        <v/>
      </c>
      <c r="F3628" s="187">
        <f>IF($K3628="","",INDEX(Zeiterfassung!$F$6:$F$3665,$K3628))</f>
        <v/>
      </c>
      <c r="G3628" s="187">
        <f>IF($K3628="","",INDEX(Zeiterfassung!$G$6:$G$3665,$K3628))</f>
        <v/>
      </c>
      <c r="H3628" s="188">
        <f>IF($K3628="","",INDEX(Zeiterfassung!$H$6:$H$3665,$K3628))</f>
        <v/>
      </c>
      <c r="I3628" s="335">
        <f>IF(B3628=B3627,"",IF($K3628="","",INDEX(Zeiterfassung!$I$6:$I$3665,MATCH(INDEX(Zeiterfassung!$K$6:$K$3665,$K3628),Zeiterfassung!$K$6:$K$3665,0))))</f>
        <v/>
      </c>
      <c r="J3628" s="335">
        <f>IF(B3628=B3627,"",IF($K3628="","",INDEX(Zeiterfassung!$J$6:$J$3665,MATCH(INDEX(Zeiterfassung!$K$6:$K$3665,$K3628),Zeiterfassung!$K$6:$K$3665,0))))</f>
        <v/>
      </c>
      <c r="K3628">
        <f>IFERROR(AGGREGATE(15,6,(ROW(Zeiterfassung!$D$6:$D$3665)-ROW(Zeiterfassung!$D$6)+1)/(Zeiterfassung!$D$6:$D$3665&lt;&gt;""),3623),"")</f>
        <v/>
      </c>
    </row>
    <row r="3629" ht="20" customHeight="1">
      <c r="A3629" s="183">
        <f>IF($K3629="","",WEEKNUM(INDEX(Zeiterfassung!$K$6:$K$3665,$K3629),21))</f>
        <v/>
      </c>
      <c r="B3629" s="184">
        <f>IF($K3629="","",INDEX(Zeiterfassung!$K$6:$K$3665,$K3629))</f>
        <v/>
      </c>
      <c r="C3629" s="185">
        <f>IF($K3629="","",INDEX(Zeiterfassung!$K$6:$K$3665,$K3629))</f>
        <v/>
      </c>
      <c r="D3629" s="186">
        <f>IF($K3629="","",INDEX(Zeiterfassung!$D$6:$D$3665,$K3629))</f>
        <v/>
      </c>
      <c r="E3629" s="186">
        <f>IF($K3629="","",INDEX(Zeiterfassung!$E$6:$E$3665,$K3629))</f>
        <v/>
      </c>
      <c r="F3629" s="187">
        <f>IF($K3629="","",INDEX(Zeiterfassung!$F$6:$F$3665,$K3629))</f>
        <v/>
      </c>
      <c r="G3629" s="187">
        <f>IF($K3629="","",INDEX(Zeiterfassung!$G$6:$G$3665,$K3629))</f>
        <v/>
      </c>
      <c r="H3629" s="188">
        <f>IF($K3629="","",INDEX(Zeiterfassung!$H$6:$H$3665,$K3629))</f>
        <v/>
      </c>
      <c r="I3629" s="335">
        <f>IF(B3629=B3628,"",IF($K3629="","",INDEX(Zeiterfassung!$I$6:$I$3665,MATCH(INDEX(Zeiterfassung!$K$6:$K$3665,$K3629),Zeiterfassung!$K$6:$K$3665,0))))</f>
        <v/>
      </c>
      <c r="J3629" s="335">
        <f>IF(B3629=B3628,"",IF($K3629="","",INDEX(Zeiterfassung!$J$6:$J$3665,MATCH(INDEX(Zeiterfassung!$K$6:$K$3665,$K3629),Zeiterfassung!$K$6:$K$3665,0))))</f>
        <v/>
      </c>
      <c r="K3629">
        <f>IFERROR(AGGREGATE(15,6,(ROW(Zeiterfassung!$D$6:$D$3665)-ROW(Zeiterfassung!$D$6)+1)/(Zeiterfassung!$D$6:$D$3665&lt;&gt;""),3624),"")</f>
        <v/>
      </c>
    </row>
    <row r="3630" ht="20" customHeight="1">
      <c r="A3630" s="183">
        <f>IF($K3630="","",WEEKNUM(INDEX(Zeiterfassung!$K$6:$K$3665,$K3630),21))</f>
        <v/>
      </c>
      <c r="B3630" s="184">
        <f>IF($K3630="","",INDEX(Zeiterfassung!$K$6:$K$3665,$K3630))</f>
        <v/>
      </c>
      <c r="C3630" s="185">
        <f>IF($K3630="","",INDEX(Zeiterfassung!$K$6:$K$3665,$K3630))</f>
        <v/>
      </c>
      <c r="D3630" s="186">
        <f>IF($K3630="","",INDEX(Zeiterfassung!$D$6:$D$3665,$K3630))</f>
        <v/>
      </c>
      <c r="E3630" s="186">
        <f>IF($K3630="","",INDEX(Zeiterfassung!$E$6:$E$3665,$K3630))</f>
        <v/>
      </c>
      <c r="F3630" s="187">
        <f>IF($K3630="","",INDEX(Zeiterfassung!$F$6:$F$3665,$K3630))</f>
        <v/>
      </c>
      <c r="G3630" s="187">
        <f>IF($K3630="","",INDEX(Zeiterfassung!$G$6:$G$3665,$K3630))</f>
        <v/>
      </c>
      <c r="H3630" s="188">
        <f>IF($K3630="","",INDEX(Zeiterfassung!$H$6:$H$3665,$K3630))</f>
        <v/>
      </c>
      <c r="I3630" s="335">
        <f>IF(B3630=B3629,"",IF($K3630="","",INDEX(Zeiterfassung!$I$6:$I$3665,MATCH(INDEX(Zeiterfassung!$K$6:$K$3665,$K3630),Zeiterfassung!$K$6:$K$3665,0))))</f>
        <v/>
      </c>
      <c r="J3630" s="335">
        <f>IF(B3630=B3629,"",IF($K3630="","",INDEX(Zeiterfassung!$J$6:$J$3665,MATCH(INDEX(Zeiterfassung!$K$6:$K$3665,$K3630),Zeiterfassung!$K$6:$K$3665,0))))</f>
        <v/>
      </c>
      <c r="K3630">
        <f>IFERROR(AGGREGATE(15,6,(ROW(Zeiterfassung!$D$6:$D$3665)-ROW(Zeiterfassung!$D$6)+1)/(Zeiterfassung!$D$6:$D$3665&lt;&gt;""),3625),"")</f>
        <v/>
      </c>
    </row>
    <row r="3631" ht="20" customHeight="1">
      <c r="A3631" s="183">
        <f>IF($K3631="","",WEEKNUM(INDEX(Zeiterfassung!$K$6:$K$3665,$K3631),21))</f>
        <v/>
      </c>
      <c r="B3631" s="184">
        <f>IF($K3631="","",INDEX(Zeiterfassung!$K$6:$K$3665,$K3631))</f>
        <v/>
      </c>
      <c r="C3631" s="185">
        <f>IF($K3631="","",INDEX(Zeiterfassung!$K$6:$K$3665,$K3631))</f>
        <v/>
      </c>
      <c r="D3631" s="186">
        <f>IF($K3631="","",INDEX(Zeiterfassung!$D$6:$D$3665,$K3631))</f>
        <v/>
      </c>
      <c r="E3631" s="186">
        <f>IF($K3631="","",INDEX(Zeiterfassung!$E$6:$E$3665,$K3631))</f>
        <v/>
      </c>
      <c r="F3631" s="187">
        <f>IF($K3631="","",INDEX(Zeiterfassung!$F$6:$F$3665,$K3631))</f>
        <v/>
      </c>
      <c r="G3631" s="187">
        <f>IF($K3631="","",INDEX(Zeiterfassung!$G$6:$G$3665,$K3631))</f>
        <v/>
      </c>
      <c r="H3631" s="188">
        <f>IF($K3631="","",INDEX(Zeiterfassung!$H$6:$H$3665,$K3631))</f>
        <v/>
      </c>
      <c r="I3631" s="335">
        <f>IF(B3631=B3630,"",IF($K3631="","",INDEX(Zeiterfassung!$I$6:$I$3665,MATCH(INDEX(Zeiterfassung!$K$6:$K$3665,$K3631),Zeiterfassung!$K$6:$K$3665,0))))</f>
        <v/>
      </c>
      <c r="J3631" s="335">
        <f>IF(B3631=B3630,"",IF($K3631="","",INDEX(Zeiterfassung!$J$6:$J$3665,MATCH(INDEX(Zeiterfassung!$K$6:$K$3665,$K3631),Zeiterfassung!$K$6:$K$3665,0))))</f>
        <v/>
      </c>
      <c r="K3631">
        <f>IFERROR(AGGREGATE(15,6,(ROW(Zeiterfassung!$D$6:$D$3665)-ROW(Zeiterfassung!$D$6)+1)/(Zeiterfassung!$D$6:$D$3665&lt;&gt;""),3626),"")</f>
        <v/>
      </c>
    </row>
    <row r="3632" ht="20" customHeight="1">
      <c r="A3632" s="183">
        <f>IF($K3632="","",WEEKNUM(INDEX(Zeiterfassung!$K$6:$K$3665,$K3632),21))</f>
        <v/>
      </c>
      <c r="B3632" s="184">
        <f>IF($K3632="","",INDEX(Zeiterfassung!$K$6:$K$3665,$K3632))</f>
        <v/>
      </c>
      <c r="C3632" s="185">
        <f>IF($K3632="","",INDEX(Zeiterfassung!$K$6:$K$3665,$K3632))</f>
        <v/>
      </c>
      <c r="D3632" s="186">
        <f>IF($K3632="","",INDEX(Zeiterfassung!$D$6:$D$3665,$K3632))</f>
        <v/>
      </c>
      <c r="E3632" s="186">
        <f>IF($K3632="","",INDEX(Zeiterfassung!$E$6:$E$3665,$K3632))</f>
        <v/>
      </c>
      <c r="F3632" s="187">
        <f>IF($K3632="","",INDEX(Zeiterfassung!$F$6:$F$3665,$K3632))</f>
        <v/>
      </c>
      <c r="G3632" s="187">
        <f>IF($K3632="","",INDEX(Zeiterfassung!$G$6:$G$3665,$K3632))</f>
        <v/>
      </c>
      <c r="H3632" s="188">
        <f>IF($K3632="","",INDEX(Zeiterfassung!$H$6:$H$3665,$K3632))</f>
        <v/>
      </c>
      <c r="I3632" s="335">
        <f>IF(B3632=B3631,"",IF($K3632="","",INDEX(Zeiterfassung!$I$6:$I$3665,MATCH(INDEX(Zeiterfassung!$K$6:$K$3665,$K3632),Zeiterfassung!$K$6:$K$3665,0))))</f>
        <v/>
      </c>
      <c r="J3632" s="335">
        <f>IF(B3632=B3631,"",IF($K3632="","",INDEX(Zeiterfassung!$J$6:$J$3665,MATCH(INDEX(Zeiterfassung!$K$6:$K$3665,$K3632),Zeiterfassung!$K$6:$K$3665,0))))</f>
        <v/>
      </c>
      <c r="K3632">
        <f>IFERROR(AGGREGATE(15,6,(ROW(Zeiterfassung!$D$6:$D$3665)-ROW(Zeiterfassung!$D$6)+1)/(Zeiterfassung!$D$6:$D$3665&lt;&gt;""),3627),"")</f>
        <v/>
      </c>
    </row>
    <row r="3633" ht="20" customHeight="1">
      <c r="A3633" s="183">
        <f>IF($K3633="","",WEEKNUM(INDEX(Zeiterfassung!$K$6:$K$3665,$K3633),21))</f>
        <v/>
      </c>
      <c r="B3633" s="184">
        <f>IF($K3633="","",INDEX(Zeiterfassung!$K$6:$K$3665,$K3633))</f>
        <v/>
      </c>
      <c r="C3633" s="185">
        <f>IF($K3633="","",INDEX(Zeiterfassung!$K$6:$K$3665,$K3633))</f>
        <v/>
      </c>
      <c r="D3633" s="186">
        <f>IF($K3633="","",INDEX(Zeiterfassung!$D$6:$D$3665,$K3633))</f>
        <v/>
      </c>
      <c r="E3633" s="186">
        <f>IF($K3633="","",INDEX(Zeiterfassung!$E$6:$E$3665,$K3633))</f>
        <v/>
      </c>
      <c r="F3633" s="187">
        <f>IF($K3633="","",INDEX(Zeiterfassung!$F$6:$F$3665,$K3633))</f>
        <v/>
      </c>
      <c r="G3633" s="187">
        <f>IF($K3633="","",INDEX(Zeiterfassung!$G$6:$G$3665,$K3633))</f>
        <v/>
      </c>
      <c r="H3633" s="188">
        <f>IF($K3633="","",INDEX(Zeiterfassung!$H$6:$H$3665,$K3633))</f>
        <v/>
      </c>
      <c r="I3633" s="335">
        <f>IF(B3633=B3632,"",IF($K3633="","",INDEX(Zeiterfassung!$I$6:$I$3665,MATCH(INDEX(Zeiterfassung!$K$6:$K$3665,$K3633),Zeiterfassung!$K$6:$K$3665,0))))</f>
        <v/>
      </c>
      <c r="J3633" s="335">
        <f>IF(B3633=B3632,"",IF($K3633="","",INDEX(Zeiterfassung!$J$6:$J$3665,MATCH(INDEX(Zeiterfassung!$K$6:$K$3665,$K3633),Zeiterfassung!$K$6:$K$3665,0))))</f>
        <v/>
      </c>
      <c r="K3633">
        <f>IFERROR(AGGREGATE(15,6,(ROW(Zeiterfassung!$D$6:$D$3665)-ROW(Zeiterfassung!$D$6)+1)/(Zeiterfassung!$D$6:$D$3665&lt;&gt;""),3628),"")</f>
        <v/>
      </c>
    </row>
    <row r="3634" ht="20" customHeight="1">
      <c r="A3634" s="183">
        <f>IF($K3634="","",WEEKNUM(INDEX(Zeiterfassung!$K$6:$K$3665,$K3634),21))</f>
        <v/>
      </c>
      <c r="B3634" s="184">
        <f>IF($K3634="","",INDEX(Zeiterfassung!$K$6:$K$3665,$K3634))</f>
        <v/>
      </c>
      <c r="C3634" s="185">
        <f>IF($K3634="","",INDEX(Zeiterfassung!$K$6:$K$3665,$K3634))</f>
        <v/>
      </c>
      <c r="D3634" s="186">
        <f>IF($K3634="","",INDEX(Zeiterfassung!$D$6:$D$3665,$K3634))</f>
        <v/>
      </c>
      <c r="E3634" s="186">
        <f>IF($K3634="","",INDEX(Zeiterfassung!$E$6:$E$3665,$K3634))</f>
        <v/>
      </c>
      <c r="F3634" s="187">
        <f>IF($K3634="","",INDEX(Zeiterfassung!$F$6:$F$3665,$K3634))</f>
        <v/>
      </c>
      <c r="G3634" s="187">
        <f>IF($K3634="","",INDEX(Zeiterfassung!$G$6:$G$3665,$K3634))</f>
        <v/>
      </c>
      <c r="H3634" s="188">
        <f>IF($K3634="","",INDEX(Zeiterfassung!$H$6:$H$3665,$K3634))</f>
        <v/>
      </c>
      <c r="I3634" s="335">
        <f>IF(B3634=B3633,"",IF($K3634="","",INDEX(Zeiterfassung!$I$6:$I$3665,MATCH(INDEX(Zeiterfassung!$K$6:$K$3665,$K3634),Zeiterfassung!$K$6:$K$3665,0))))</f>
        <v/>
      </c>
      <c r="J3634" s="335">
        <f>IF(B3634=B3633,"",IF($K3634="","",INDEX(Zeiterfassung!$J$6:$J$3665,MATCH(INDEX(Zeiterfassung!$K$6:$K$3665,$K3634),Zeiterfassung!$K$6:$K$3665,0))))</f>
        <v/>
      </c>
      <c r="K3634">
        <f>IFERROR(AGGREGATE(15,6,(ROW(Zeiterfassung!$D$6:$D$3665)-ROW(Zeiterfassung!$D$6)+1)/(Zeiterfassung!$D$6:$D$3665&lt;&gt;""),3629),"")</f>
        <v/>
      </c>
    </row>
    <row r="3635" ht="20" customHeight="1">
      <c r="A3635" s="183">
        <f>IF($K3635="","",WEEKNUM(INDEX(Zeiterfassung!$K$6:$K$3665,$K3635),21))</f>
        <v/>
      </c>
      <c r="B3635" s="184">
        <f>IF($K3635="","",INDEX(Zeiterfassung!$K$6:$K$3665,$K3635))</f>
        <v/>
      </c>
      <c r="C3635" s="185">
        <f>IF($K3635="","",INDEX(Zeiterfassung!$K$6:$K$3665,$K3635))</f>
        <v/>
      </c>
      <c r="D3635" s="186">
        <f>IF($K3635="","",INDEX(Zeiterfassung!$D$6:$D$3665,$K3635))</f>
        <v/>
      </c>
      <c r="E3635" s="186">
        <f>IF($K3635="","",INDEX(Zeiterfassung!$E$6:$E$3665,$K3635))</f>
        <v/>
      </c>
      <c r="F3635" s="187">
        <f>IF($K3635="","",INDEX(Zeiterfassung!$F$6:$F$3665,$K3635))</f>
        <v/>
      </c>
      <c r="G3635" s="187">
        <f>IF($K3635="","",INDEX(Zeiterfassung!$G$6:$G$3665,$K3635))</f>
        <v/>
      </c>
      <c r="H3635" s="188">
        <f>IF($K3635="","",INDEX(Zeiterfassung!$H$6:$H$3665,$K3635))</f>
        <v/>
      </c>
      <c r="I3635" s="335">
        <f>IF(B3635=B3634,"",IF($K3635="","",INDEX(Zeiterfassung!$I$6:$I$3665,MATCH(INDEX(Zeiterfassung!$K$6:$K$3665,$K3635),Zeiterfassung!$K$6:$K$3665,0))))</f>
        <v/>
      </c>
      <c r="J3635" s="335">
        <f>IF(B3635=B3634,"",IF($K3635="","",INDEX(Zeiterfassung!$J$6:$J$3665,MATCH(INDEX(Zeiterfassung!$K$6:$K$3665,$K3635),Zeiterfassung!$K$6:$K$3665,0))))</f>
        <v/>
      </c>
      <c r="K3635">
        <f>IFERROR(AGGREGATE(15,6,(ROW(Zeiterfassung!$D$6:$D$3665)-ROW(Zeiterfassung!$D$6)+1)/(Zeiterfassung!$D$6:$D$3665&lt;&gt;""),3630),"")</f>
        <v/>
      </c>
    </row>
    <row r="3636" ht="20" customHeight="1">
      <c r="A3636" s="183">
        <f>IF($K3636="","",WEEKNUM(INDEX(Zeiterfassung!$K$6:$K$3665,$K3636),21))</f>
        <v/>
      </c>
      <c r="B3636" s="184">
        <f>IF($K3636="","",INDEX(Zeiterfassung!$K$6:$K$3665,$K3636))</f>
        <v/>
      </c>
      <c r="C3636" s="185">
        <f>IF($K3636="","",INDEX(Zeiterfassung!$K$6:$K$3665,$K3636))</f>
        <v/>
      </c>
      <c r="D3636" s="186">
        <f>IF($K3636="","",INDEX(Zeiterfassung!$D$6:$D$3665,$K3636))</f>
        <v/>
      </c>
      <c r="E3636" s="186">
        <f>IF($K3636="","",INDEX(Zeiterfassung!$E$6:$E$3665,$K3636))</f>
        <v/>
      </c>
      <c r="F3636" s="187">
        <f>IF($K3636="","",INDEX(Zeiterfassung!$F$6:$F$3665,$K3636))</f>
        <v/>
      </c>
      <c r="G3636" s="187">
        <f>IF($K3636="","",INDEX(Zeiterfassung!$G$6:$G$3665,$K3636))</f>
        <v/>
      </c>
      <c r="H3636" s="188">
        <f>IF($K3636="","",INDEX(Zeiterfassung!$H$6:$H$3665,$K3636))</f>
        <v/>
      </c>
      <c r="I3636" s="335">
        <f>IF(B3636=B3635,"",IF($K3636="","",INDEX(Zeiterfassung!$I$6:$I$3665,MATCH(INDEX(Zeiterfassung!$K$6:$K$3665,$K3636),Zeiterfassung!$K$6:$K$3665,0))))</f>
        <v/>
      </c>
      <c r="J3636" s="335">
        <f>IF(B3636=B3635,"",IF($K3636="","",INDEX(Zeiterfassung!$J$6:$J$3665,MATCH(INDEX(Zeiterfassung!$K$6:$K$3665,$K3636),Zeiterfassung!$K$6:$K$3665,0))))</f>
        <v/>
      </c>
      <c r="K3636">
        <f>IFERROR(AGGREGATE(15,6,(ROW(Zeiterfassung!$D$6:$D$3665)-ROW(Zeiterfassung!$D$6)+1)/(Zeiterfassung!$D$6:$D$3665&lt;&gt;""),3631),"")</f>
        <v/>
      </c>
    </row>
    <row r="3637" ht="20" customHeight="1">
      <c r="A3637" s="183">
        <f>IF($K3637="","",WEEKNUM(INDEX(Zeiterfassung!$K$6:$K$3665,$K3637),21))</f>
        <v/>
      </c>
      <c r="B3637" s="184">
        <f>IF($K3637="","",INDEX(Zeiterfassung!$K$6:$K$3665,$K3637))</f>
        <v/>
      </c>
      <c r="C3637" s="185">
        <f>IF($K3637="","",INDEX(Zeiterfassung!$K$6:$K$3665,$K3637))</f>
        <v/>
      </c>
      <c r="D3637" s="186">
        <f>IF($K3637="","",INDEX(Zeiterfassung!$D$6:$D$3665,$K3637))</f>
        <v/>
      </c>
      <c r="E3637" s="186">
        <f>IF($K3637="","",INDEX(Zeiterfassung!$E$6:$E$3665,$K3637))</f>
        <v/>
      </c>
      <c r="F3637" s="187">
        <f>IF($K3637="","",INDEX(Zeiterfassung!$F$6:$F$3665,$K3637))</f>
        <v/>
      </c>
      <c r="G3637" s="187">
        <f>IF($K3637="","",INDEX(Zeiterfassung!$G$6:$G$3665,$K3637))</f>
        <v/>
      </c>
      <c r="H3637" s="188">
        <f>IF($K3637="","",INDEX(Zeiterfassung!$H$6:$H$3665,$K3637))</f>
        <v/>
      </c>
      <c r="I3637" s="335">
        <f>IF(B3637=B3636,"",IF($K3637="","",INDEX(Zeiterfassung!$I$6:$I$3665,MATCH(INDEX(Zeiterfassung!$K$6:$K$3665,$K3637),Zeiterfassung!$K$6:$K$3665,0))))</f>
        <v/>
      </c>
      <c r="J3637" s="335">
        <f>IF(B3637=B3636,"",IF($K3637="","",INDEX(Zeiterfassung!$J$6:$J$3665,MATCH(INDEX(Zeiterfassung!$K$6:$K$3665,$K3637),Zeiterfassung!$K$6:$K$3665,0))))</f>
        <v/>
      </c>
      <c r="K3637">
        <f>IFERROR(AGGREGATE(15,6,(ROW(Zeiterfassung!$D$6:$D$3665)-ROW(Zeiterfassung!$D$6)+1)/(Zeiterfassung!$D$6:$D$3665&lt;&gt;""),3632),"")</f>
        <v/>
      </c>
    </row>
    <row r="3638" ht="20" customHeight="1">
      <c r="A3638" s="183">
        <f>IF($K3638="","",WEEKNUM(INDEX(Zeiterfassung!$K$6:$K$3665,$K3638),21))</f>
        <v/>
      </c>
      <c r="B3638" s="184">
        <f>IF($K3638="","",INDEX(Zeiterfassung!$K$6:$K$3665,$K3638))</f>
        <v/>
      </c>
      <c r="C3638" s="185">
        <f>IF($K3638="","",INDEX(Zeiterfassung!$K$6:$K$3665,$K3638))</f>
        <v/>
      </c>
      <c r="D3638" s="186">
        <f>IF($K3638="","",INDEX(Zeiterfassung!$D$6:$D$3665,$K3638))</f>
        <v/>
      </c>
      <c r="E3638" s="186">
        <f>IF($K3638="","",INDEX(Zeiterfassung!$E$6:$E$3665,$K3638))</f>
        <v/>
      </c>
      <c r="F3638" s="187">
        <f>IF($K3638="","",INDEX(Zeiterfassung!$F$6:$F$3665,$K3638))</f>
        <v/>
      </c>
      <c r="G3638" s="187">
        <f>IF($K3638="","",INDEX(Zeiterfassung!$G$6:$G$3665,$K3638))</f>
        <v/>
      </c>
      <c r="H3638" s="188">
        <f>IF($K3638="","",INDEX(Zeiterfassung!$H$6:$H$3665,$K3638))</f>
        <v/>
      </c>
      <c r="I3638" s="335">
        <f>IF(B3638=B3637,"",IF($K3638="","",INDEX(Zeiterfassung!$I$6:$I$3665,MATCH(INDEX(Zeiterfassung!$K$6:$K$3665,$K3638),Zeiterfassung!$K$6:$K$3665,0))))</f>
        <v/>
      </c>
      <c r="J3638" s="335">
        <f>IF(B3638=B3637,"",IF($K3638="","",INDEX(Zeiterfassung!$J$6:$J$3665,MATCH(INDEX(Zeiterfassung!$K$6:$K$3665,$K3638),Zeiterfassung!$K$6:$K$3665,0))))</f>
        <v/>
      </c>
      <c r="K3638">
        <f>IFERROR(AGGREGATE(15,6,(ROW(Zeiterfassung!$D$6:$D$3665)-ROW(Zeiterfassung!$D$6)+1)/(Zeiterfassung!$D$6:$D$3665&lt;&gt;""),3633),"")</f>
        <v/>
      </c>
    </row>
    <row r="3639" ht="20" customHeight="1">
      <c r="A3639" s="183">
        <f>IF($K3639="","",WEEKNUM(INDEX(Zeiterfassung!$K$6:$K$3665,$K3639),21))</f>
        <v/>
      </c>
      <c r="B3639" s="184">
        <f>IF($K3639="","",INDEX(Zeiterfassung!$K$6:$K$3665,$K3639))</f>
        <v/>
      </c>
      <c r="C3639" s="185">
        <f>IF($K3639="","",INDEX(Zeiterfassung!$K$6:$K$3665,$K3639))</f>
        <v/>
      </c>
      <c r="D3639" s="186">
        <f>IF($K3639="","",INDEX(Zeiterfassung!$D$6:$D$3665,$K3639))</f>
        <v/>
      </c>
      <c r="E3639" s="186">
        <f>IF($K3639="","",INDEX(Zeiterfassung!$E$6:$E$3665,$K3639))</f>
        <v/>
      </c>
      <c r="F3639" s="187">
        <f>IF($K3639="","",INDEX(Zeiterfassung!$F$6:$F$3665,$K3639))</f>
        <v/>
      </c>
      <c r="G3639" s="187">
        <f>IF($K3639="","",INDEX(Zeiterfassung!$G$6:$G$3665,$K3639))</f>
        <v/>
      </c>
      <c r="H3639" s="188">
        <f>IF($K3639="","",INDEX(Zeiterfassung!$H$6:$H$3665,$K3639))</f>
        <v/>
      </c>
      <c r="I3639" s="335">
        <f>IF(B3639=B3638,"",IF($K3639="","",INDEX(Zeiterfassung!$I$6:$I$3665,MATCH(INDEX(Zeiterfassung!$K$6:$K$3665,$K3639),Zeiterfassung!$K$6:$K$3665,0))))</f>
        <v/>
      </c>
      <c r="J3639" s="335">
        <f>IF(B3639=B3638,"",IF($K3639="","",INDEX(Zeiterfassung!$J$6:$J$3665,MATCH(INDEX(Zeiterfassung!$K$6:$K$3665,$K3639),Zeiterfassung!$K$6:$K$3665,0))))</f>
        <v/>
      </c>
      <c r="K3639">
        <f>IFERROR(AGGREGATE(15,6,(ROW(Zeiterfassung!$D$6:$D$3665)-ROW(Zeiterfassung!$D$6)+1)/(Zeiterfassung!$D$6:$D$3665&lt;&gt;""),3634),"")</f>
        <v/>
      </c>
    </row>
    <row r="3640" ht="20" customHeight="1">
      <c r="A3640" s="183">
        <f>IF($K3640="","",WEEKNUM(INDEX(Zeiterfassung!$K$6:$K$3665,$K3640),21))</f>
        <v/>
      </c>
      <c r="B3640" s="184">
        <f>IF($K3640="","",INDEX(Zeiterfassung!$K$6:$K$3665,$K3640))</f>
        <v/>
      </c>
      <c r="C3640" s="185">
        <f>IF($K3640="","",INDEX(Zeiterfassung!$K$6:$K$3665,$K3640))</f>
        <v/>
      </c>
      <c r="D3640" s="186">
        <f>IF($K3640="","",INDEX(Zeiterfassung!$D$6:$D$3665,$K3640))</f>
        <v/>
      </c>
      <c r="E3640" s="186">
        <f>IF($K3640="","",INDEX(Zeiterfassung!$E$6:$E$3665,$K3640))</f>
        <v/>
      </c>
      <c r="F3640" s="187">
        <f>IF($K3640="","",INDEX(Zeiterfassung!$F$6:$F$3665,$K3640))</f>
        <v/>
      </c>
      <c r="G3640" s="187">
        <f>IF($K3640="","",INDEX(Zeiterfassung!$G$6:$G$3665,$K3640))</f>
        <v/>
      </c>
      <c r="H3640" s="188">
        <f>IF($K3640="","",INDEX(Zeiterfassung!$H$6:$H$3665,$K3640))</f>
        <v/>
      </c>
      <c r="I3640" s="335">
        <f>IF(B3640=B3639,"",IF($K3640="","",INDEX(Zeiterfassung!$I$6:$I$3665,MATCH(INDEX(Zeiterfassung!$K$6:$K$3665,$K3640),Zeiterfassung!$K$6:$K$3665,0))))</f>
        <v/>
      </c>
      <c r="J3640" s="335">
        <f>IF(B3640=B3639,"",IF($K3640="","",INDEX(Zeiterfassung!$J$6:$J$3665,MATCH(INDEX(Zeiterfassung!$K$6:$K$3665,$K3640),Zeiterfassung!$K$6:$K$3665,0))))</f>
        <v/>
      </c>
      <c r="K3640">
        <f>IFERROR(AGGREGATE(15,6,(ROW(Zeiterfassung!$D$6:$D$3665)-ROW(Zeiterfassung!$D$6)+1)/(Zeiterfassung!$D$6:$D$3665&lt;&gt;""),3635),"")</f>
        <v/>
      </c>
    </row>
    <row r="3641" ht="20" customHeight="1">
      <c r="A3641" s="183">
        <f>IF($K3641="","",WEEKNUM(INDEX(Zeiterfassung!$K$6:$K$3665,$K3641),21))</f>
        <v/>
      </c>
      <c r="B3641" s="184">
        <f>IF($K3641="","",INDEX(Zeiterfassung!$K$6:$K$3665,$K3641))</f>
        <v/>
      </c>
      <c r="C3641" s="185">
        <f>IF($K3641="","",INDEX(Zeiterfassung!$K$6:$K$3665,$K3641))</f>
        <v/>
      </c>
      <c r="D3641" s="186">
        <f>IF($K3641="","",INDEX(Zeiterfassung!$D$6:$D$3665,$K3641))</f>
        <v/>
      </c>
      <c r="E3641" s="186">
        <f>IF($K3641="","",INDEX(Zeiterfassung!$E$6:$E$3665,$K3641))</f>
        <v/>
      </c>
      <c r="F3641" s="187">
        <f>IF($K3641="","",INDEX(Zeiterfassung!$F$6:$F$3665,$K3641))</f>
        <v/>
      </c>
      <c r="G3641" s="187">
        <f>IF($K3641="","",INDEX(Zeiterfassung!$G$6:$G$3665,$K3641))</f>
        <v/>
      </c>
      <c r="H3641" s="188">
        <f>IF($K3641="","",INDEX(Zeiterfassung!$H$6:$H$3665,$K3641))</f>
        <v/>
      </c>
      <c r="I3641" s="335">
        <f>IF(B3641=B3640,"",IF($K3641="","",INDEX(Zeiterfassung!$I$6:$I$3665,MATCH(INDEX(Zeiterfassung!$K$6:$K$3665,$K3641),Zeiterfassung!$K$6:$K$3665,0))))</f>
        <v/>
      </c>
      <c r="J3641" s="335">
        <f>IF(B3641=B3640,"",IF($K3641="","",INDEX(Zeiterfassung!$J$6:$J$3665,MATCH(INDEX(Zeiterfassung!$K$6:$K$3665,$K3641),Zeiterfassung!$K$6:$K$3665,0))))</f>
        <v/>
      </c>
      <c r="K3641">
        <f>IFERROR(AGGREGATE(15,6,(ROW(Zeiterfassung!$D$6:$D$3665)-ROW(Zeiterfassung!$D$6)+1)/(Zeiterfassung!$D$6:$D$3665&lt;&gt;""),3636),"")</f>
        <v/>
      </c>
    </row>
    <row r="3642" ht="20" customHeight="1">
      <c r="A3642" s="183">
        <f>IF($K3642="","",WEEKNUM(INDEX(Zeiterfassung!$K$6:$K$3665,$K3642),21))</f>
        <v/>
      </c>
      <c r="B3642" s="184">
        <f>IF($K3642="","",INDEX(Zeiterfassung!$K$6:$K$3665,$K3642))</f>
        <v/>
      </c>
      <c r="C3642" s="185">
        <f>IF($K3642="","",INDEX(Zeiterfassung!$K$6:$K$3665,$K3642))</f>
        <v/>
      </c>
      <c r="D3642" s="186">
        <f>IF($K3642="","",INDEX(Zeiterfassung!$D$6:$D$3665,$K3642))</f>
        <v/>
      </c>
      <c r="E3642" s="186">
        <f>IF($K3642="","",INDEX(Zeiterfassung!$E$6:$E$3665,$K3642))</f>
        <v/>
      </c>
      <c r="F3642" s="187">
        <f>IF($K3642="","",INDEX(Zeiterfassung!$F$6:$F$3665,$K3642))</f>
        <v/>
      </c>
      <c r="G3642" s="187">
        <f>IF($K3642="","",INDEX(Zeiterfassung!$G$6:$G$3665,$K3642))</f>
        <v/>
      </c>
      <c r="H3642" s="188">
        <f>IF($K3642="","",INDEX(Zeiterfassung!$H$6:$H$3665,$K3642))</f>
        <v/>
      </c>
      <c r="I3642" s="335">
        <f>IF(B3642=B3641,"",IF($K3642="","",INDEX(Zeiterfassung!$I$6:$I$3665,MATCH(INDEX(Zeiterfassung!$K$6:$K$3665,$K3642),Zeiterfassung!$K$6:$K$3665,0))))</f>
        <v/>
      </c>
      <c r="J3642" s="335">
        <f>IF(B3642=B3641,"",IF($K3642="","",INDEX(Zeiterfassung!$J$6:$J$3665,MATCH(INDEX(Zeiterfassung!$K$6:$K$3665,$K3642),Zeiterfassung!$K$6:$K$3665,0))))</f>
        <v/>
      </c>
      <c r="K3642">
        <f>IFERROR(AGGREGATE(15,6,(ROW(Zeiterfassung!$D$6:$D$3665)-ROW(Zeiterfassung!$D$6)+1)/(Zeiterfassung!$D$6:$D$3665&lt;&gt;""),3637),"")</f>
        <v/>
      </c>
    </row>
    <row r="3643" ht="20" customHeight="1">
      <c r="A3643" s="183">
        <f>IF($K3643="","",WEEKNUM(INDEX(Zeiterfassung!$K$6:$K$3665,$K3643),21))</f>
        <v/>
      </c>
      <c r="B3643" s="184">
        <f>IF($K3643="","",INDEX(Zeiterfassung!$K$6:$K$3665,$K3643))</f>
        <v/>
      </c>
      <c r="C3643" s="185">
        <f>IF($K3643="","",INDEX(Zeiterfassung!$K$6:$K$3665,$K3643))</f>
        <v/>
      </c>
      <c r="D3643" s="186">
        <f>IF($K3643="","",INDEX(Zeiterfassung!$D$6:$D$3665,$K3643))</f>
        <v/>
      </c>
      <c r="E3643" s="186">
        <f>IF($K3643="","",INDEX(Zeiterfassung!$E$6:$E$3665,$K3643))</f>
        <v/>
      </c>
      <c r="F3643" s="187">
        <f>IF($K3643="","",INDEX(Zeiterfassung!$F$6:$F$3665,$K3643))</f>
        <v/>
      </c>
      <c r="G3643" s="187">
        <f>IF($K3643="","",INDEX(Zeiterfassung!$G$6:$G$3665,$K3643))</f>
        <v/>
      </c>
      <c r="H3643" s="188">
        <f>IF($K3643="","",INDEX(Zeiterfassung!$H$6:$H$3665,$K3643))</f>
        <v/>
      </c>
      <c r="I3643" s="335">
        <f>IF(B3643=B3642,"",IF($K3643="","",INDEX(Zeiterfassung!$I$6:$I$3665,MATCH(INDEX(Zeiterfassung!$K$6:$K$3665,$K3643),Zeiterfassung!$K$6:$K$3665,0))))</f>
        <v/>
      </c>
      <c r="J3643" s="335">
        <f>IF(B3643=B3642,"",IF($K3643="","",INDEX(Zeiterfassung!$J$6:$J$3665,MATCH(INDEX(Zeiterfassung!$K$6:$K$3665,$K3643),Zeiterfassung!$K$6:$K$3665,0))))</f>
        <v/>
      </c>
      <c r="K3643">
        <f>IFERROR(AGGREGATE(15,6,(ROW(Zeiterfassung!$D$6:$D$3665)-ROW(Zeiterfassung!$D$6)+1)/(Zeiterfassung!$D$6:$D$3665&lt;&gt;""),3638),"")</f>
        <v/>
      </c>
    </row>
    <row r="3644" ht="20" customHeight="1">
      <c r="A3644" s="183">
        <f>IF($K3644="","",WEEKNUM(INDEX(Zeiterfassung!$K$6:$K$3665,$K3644),21))</f>
        <v/>
      </c>
      <c r="B3644" s="184">
        <f>IF($K3644="","",INDEX(Zeiterfassung!$K$6:$K$3665,$K3644))</f>
        <v/>
      </c>
      <c r="C3644" s="185">
        <f>IF($K3644="","",INDEX(Zeiterfassung!$K$6:$K$3665,$K3644))</f>
        <v/>
      </c>
      <c r="D3644" s="186">
        <f>IF($K3644="","",INDEX(Zeiterfassung!$D$6:$D$3665,$K3644))</f>
        <v/>
      </c>
      <c r="E3644" s="186">
        <f>IF($K3644="","",INDEX(Zeiterfassung!$E$6:$E$3665,$K3644))</f>
        <v/>
      </c>
      <c r="F3644" s="187">
        <f>IF($K3644="","",INDEX(Zeiterfassung!$F$6:$F$3665,$K3644))</f>
        <v/>
      </c>
      <c r="G3644" s="187">
        <f>IF($K3644="","",INDEX(Zeiterfassung!$G$6:$G$3665,$K3644))</f>
        <v/>
      </c>
      <c r="H3644" s="188">
        <f>IF($K3644="","",INDEX(Zeiterfassung!$H$6:$H$3665,$K3644))</f>
        <v/>
      </c>
      <c r="I3644" s="335">
        <f>IF(B3644=B3643,"",IF($K3644="","",INDEX(Zeiterfassung!$I$6:$I$3665,MATCH(INDEX(Zeiterfassung!$K$6:$K$3665,$K3644),Zeiterfassung!$K$6:$K$3665,0))))</f>
        <v/>
      </c>
      <c r="J3644" s="335">
        <f>IF(B3644=B3643,"",IF($K3644="","",INDEX(Zeiterfassung!$J$6:$J$3665,MATCH(INDEX(Zeiterfassung!$K$6:$K$3665,$K3644),Zeiterfassung!$K$6:$K$3665,0))))</f>
        <v/>
      </c>
      <c r="K3644">
        <f>IFERROR(AGGREGATE(15,6,(ROW(Zeiterfassung!$D$6:$D$3665)-ROW(Zeiterfassung!$D$6)+1)/(Zeiterfassung!$D$6:$D$3665&lt;&gt;""),3639),"")</f>
        <v/>
      </c>
    </row>
    <row r="3645" ht="20" customHeight="1">
      <c r="A3645" s="183">
        <f>IF($K3645="","",WEEKNUM(INDEX(Zeiterfassung!$K$6:$K$3665,$K3645),21))</f>
        <v/>
      </c>
      <c r="B3645" s="184">
        <f>IF($K3645="","",INDEX(Zeiterfassung!$K$6:$K$3665,$K3645))</f>
        <v/>
      </c>
      <c r="C3645" s="185">
        <f>IF($K3645="","",INDEX(Zeiterfassung!$K$6:$K$3665,$K3645))</f>
        <v/>
      </c>
      <c r="D3645" s="186">
        <f>IF($K3645="","",INDEX(Zeiterfassung!$D$6:$D$3665,$K3645))</f>
        <v/>
      </c>
      <c r="E3645" s="186">
        <f>IF($K3645="","",INDEX(Zeiterfassung!$E$6:$E$3665,$K3645))</f>
        <v/>
      </c>
      <c r="F3645" s="187">
        <f>IF($K3645="","",INDEX(Zeiterfassung!$F$6:$F$3665,$K3645))</f>
        <v/>
      </c>
      <c r="G3645" s="187">
        <f>IF($K3645="","",INDEX(Zeiterfassung!$G$6:$G$3665,$K3645))</f>
        <v/>
      </c>
      <c r="H3645" s="188">
        <f>IF($K3645="","",INDEX(Zeiterfassung!$H$6:$H$3665,$K3645))</f>
        <v/>
      </c>
      <c r="I3645" s="335">
        <f>IF(B3645=B3644,"",IF($K3645="","",INDEX(Zeiterfassung!$I$6:$I$3665,MATCH(INDEX(Zeiterfassung!$K$6:$K$3665,$K3645),Zeiterfassung!$K$6:$K$3665,0))))</f>
        <v/>
      </c>
      <c r="J3645" s="335">
        <f>IF(B3645=B3644,"",IF($K3645="","",INDEX(Zeiterfassung!$J$6:$J$3665,MATCH(INDEX(Zeiterfassung!$K$6:$K$3665,$K3645),Zeiterfassung!$K$6:$K$3665,0))))</f>
        <v/>
      </c>
      <c r="K3645">
        <f>IFERROR(AGGREGATE(15,6,(ROW(Zeiterfassung!$D$6:$D$3665)-ROW(Zeiterfassung!$D$6)+1)/(Zeiterfassung!$D$6:$D$3665&lt;&gt;""),3640),"")</f>
        <v/>
      </c>
    </row>
    <row r="3646" ht="20" customHeight="1">
      <c r="A3646" s="183">
        <f>IF($K3646="","",WEEKNUM(INDEX(Zeiterfassung!$K$6:$K$3665,$K3646),21))</f>
        <v/>
      </c>
      <c r="B3646" s="184">
        <f>IF($K3646="","",INDEX(Zeiterfassung!$K$6:$K$3665,$K3646))</f>
        <v/>
      </c>
      <c r="C3646" s="185">
        <f>IF($K3646="","",INDEX(Zeiterfassung!$K$6:$K$3665,$K3646))</f>
        <v/>
      </c>
      <c r="D3646" s="186">
        <f>IF($K3646="","",INDEX(Zeiterfassung!$D$6:$D$3665,$K3646))</f>
        <v/>
      </c>
      <c r="E3646" s="186">
        <f>IF($K3646="","",INDEX(Zeiterfassung!$E$6:$E$3665,$K3646))</f>
        <v/>
      </c>
      <c r="F3646" s="187">
        <f>IF($K3646="","",INDEX(Zeiterfassung!$F$6:$F$3665,$K3646))</f>
        <v/>
      </c>
      <c r="G3646" s="187">
        <f>IF($K3646="","",INDEX(Zeiterfassung!$G$6:$G$3665,$K3646))</f>
        <v/>
      </c>
      <c r="H3646" s="188">
        <f>IF($K3646="","",INDEX(Zeiterfassung!$H$6:$H$3665,$K3646))</f>
        <v/>
      </c>
      <c r="I3646" s="335">
        <f>IF(B3646=B3645,"",IF($K3646="","",INDEX(Zeiterfassung!$I$6:$I$3665,MATCH(INDEX(Zeiterfassung!$K$6:$K$3665,$K3646),Zeiterfassung!$K$6:$K$3665,0))))</f>
        <v/>
      </c>
      <c r="J3646" s="335">
        <f>IF(B3646=B3645,"",IF($K3646="","",INDEX(Zeiterfassung!$J$6:$J$3665,MATCH(INDEX(Zeiterfassung!$K$6:$K$3665,$K3646),Zeiterfassung!$K$6:$K$3665,0))))</f>
        <v/>
      </c>
      <c r="K3646">
        <f>IFERROR(AGGREGATE(15,6,(ROW(Zeiterfassung!$D$6:$D$3665)-ROW(Zeiterfassung!$D$6)+1)/(Zeiterfassung!$D$6:$D$3665&lt;&gt;""),3641),"")</f>
        <v/>
      </c>
    </row>
    <row r="3647" ht="20" customHeight="1">
      <c r="A3647" s="183">
        <f>IF($K3647="","",WEEKNUM(INDEX(Zeiterfassung!$K$6:$K$3665,$K3647),21))</f>
        <v/>
      </c>
      <c r="B3647" s="184">
        <f>IF($K3647="","",INDEX(Zeiterfassung!$K$6:$K$3665,$K3647))</f>
        <v/>
      </c>
      <c r="C3647" s="185">
        <f>IF($K3647="","",INDEX(Zeiterfassung!$K$6:$K$3665,$K3647))</f>
        <v/>
      </c>
      <c r="D3647" s="186">
        <f>IF($K3647="","",INDEX(Zeiterfassung!$D$6:$D$3665,$K3647))</f>
        <v/>
      </c>
      <c r="E3647" s="186">
        <f>IF($K3647="","",INDEX(Zeiterfassung!$E$6:$E$3665,$K3647))</f>
        <v/>
      </c>
      <c r="F3647" s="187">
        <f>IF($K3647="","",INDEX(Zeiterfassung!$F$6:$F$3665,$K3647))</f>
        <v/>
      </c>
      <c r="G3647" s="187">
        <f>IF($K3647="","",INDEX(Zeiterfassung!$G$6:$G$3665,$K3647))</f>
        <v/>
      </c>
      <c r="H3647" s="188">
        <f>IF($K3647="","",INDEX(Zeiterfassung!$H$6:$H$3665,$K3647))</f>
        <v/>
      </c>
      <c r="I3647" s="335">
        <f>IF(B3647=B3646,"",IF($K3647="","",INDEX(Zeiterfassung!$I$6:$I$3665,MATCH(INDEX(Zeiterfassung!$K$6:$K$3665,$K3647),Zeiterfassung!$K$6:$K$3665,0))))</f>
        <v/>
      </c>
      <c r="J3647" s="335">
        <f>IF(B3647=B3646,"",IF($K3647="","",INDEX(Zeiterfassung!$J$6:$J$3665,MATCH(INDEX(Zeiterfassung!$K$6:$K$3665,$K3647),Zeiterfassung!$K$6:$K$3665,0))))</f>
        <v/>
      </c>
      <c r="K3647">
        <f>IFERROR(AGGREGATE(15,6,(ROW(Zeiterfassung!$D$6:$D$3665)-ROW(Zeiterfassung!$D$6)+1)/(Zeiterfassung!$D$6:$D$3665&lt;&gt;""),3642),"")</f>
        <v/>
      </c>
    </row>
    <row r="3648" ht="20" customHeight="1">
      <c r="A3648" s="183">
        <f>IF($K3648="","",WEEKNUM(INDEX(Zeiterfassung!$K$6:$K$3665,$K3648),21))</f>
        <v/>
      </c>
      <c r="B3648" s="184">
        <f>IF($K3648="","",INDEX(Zeiterfassung!$K$6:$K$3665,$K3648))</f>
        <v/>
      </c>
      <c r="C3648" s="185">
        <f>IF($K3648="","",INDEX(Zeiterfassung!$K$6:$K$3665,$K3648))</f>
        <v/>
      </c>
      <c r="D3648" s="186">
        <f>IF($K3648="","",INDEX(Zeiterfassung!$D$6:$D$3665,$K3648))</f>
        <v/>
      </c>
      <c r="E3648" s="186">
        <f>IF($K3648="","",INDEX(Zeiterfassung!$E$6:$E$3665,$K3648))</f>
        <v/>
      </c>
      <c r="F3648" s="187">
        <f>IF($K3648="","",INDEX(Zeiterfassung!$F$6:$F$3665,$K3648))</f>
        <v/>
      </c>
      <c r="G3648" s="187">
        <f>IF($K3648="","",INDEX(Zeiterfassung!$G$6:$G$3665,$K3648))</f>
        <v/>
      </c>
      <c r="H3648" s="188">
        <f>IF($K3648="","",INDEX(Zeiterfassung!$H$6:$H$3665,$K3648))</f>
        <v/>
      </c>
      <c r="I3648" s="335">
        <f>IF(B3648=B3647,"",IF($K3648="","",INDEX(Zeiterfassung!$I$6:$I$3665,MATCH(INDEX(Zeiterfassung!$K$6:$K$3665,$K3648),Zeiterfassung!$K$6:$K$3665,0))))</f>
        <v/>
      </c>
      <c r="J3648" s="335">
        <f>IF(B3648=B3647,"",IF($K3648="","",INDEX(Zeiterfassung!$J$6:$J$3665,MATCH(INDEX(Zeiterfassung!$K$6:$K$3665,$K3648),Zeiterfassung!$K$6:$K$3665,0))))</f>
        <v/>
      </c>
      <c r="K3648">
        <f>IFERROR(AGGREGATE(15,6,(ROW(Zeiterfassung!$D$6:$D$3665)-ROW(Zeiterfassung!$D$6)+1)/(Zeiterfassung!$D$6:$D$3665&lt;&gt;""),3643),"")</f>
        <v/>
      </c>
    </row>
    <row r="3649" ht="20" customHeight="1">
      <c r="A3649" s="183">
        <f>IF($K3649="","",WEEKNUM(INDEX(Zeiterfassung!$K$6:$K$3665,$K3649),21))</f>
        <v/>
      </c>
      <c r="B3649" s="184">
        <f>IF($K3649="","",INDEX(Zeiterfassung!$K$6:$K$3665,$K3649))</f>
        <v/>
      </c>
      <c r="C3649" s="185">
        <f>IF($K3649="","",INDEX(Zeiterfassung!$K$6:$K$3665,$K3649))</f>
        <v/>
      </c>
      <c r="D3649" s="186">
        <f>IF($K3649="","",INDEX(Zeiterfassung!$D$6:$D$3665,$K3649))</f>
        <v/>
      </c>
      <c r="E3649" s="186">
        <f>IF($K3649="","",INDEX(Zeiterfassung!$E$6:$E$3665,$K3649))</f>
        <v/>
      </c>
      <c r="F3649" s="187">
        <f>IF($K3649="","",INDEX(Zeiterfassung!$F$6:$F$3665,$K3649))</f>
        <v/>
      </c>
      <c r="G3649" s="187">
        <f>IF($K3649="","",INDEX(Zeiterfassung!$G$6:$G$3665,$K3649))</f>
        <v/>
      </c>
      <c r="H3649" s="188">
        <f>IF($K3649="","",INDEX(Zeiterfassung!$H$6:$H$3665,$K3649))</f>
        <v/>
      </c>
      <c r="I3649" s="335">
        <f>IF(B3649=B3648,"",IF($K3649="","",INDEX(Zeiterfassung!$I$6:$I$3665,MATCH(INDEX(Zeiterfassung!$K$6:$K$3665,$K3649),Zeiterfassung!$K$6:$K$3665,0))))</f>
        <v/>
      </c>
      <c r="J3649" s="335">
        <f>IF(B3649=B3648,"",IF($K3649="","",INDEX(Zeiterfassung!$J$6:$J$3665,MATCH(INDEX(Zeiterfassung!$K$6:$K$3665,$K3649),Zeiterfassung!$K$6:$K$3665,0))))</f>
        <v/>
      </c>
      <c r="K3649">
        <f>IFERROR(AGGREGATE(15,6,(ROW(Zeiterfassung!$D$6:$D$3665)-ROW(Zeiterfassung!$D$6)+1)/(Zeiterfassung!$D$6:$D$3665&lt;&gt;""),3644),"")</f>
        <v/>
      </c>
    </row>
    <row r="3650" ht="20" customHeight="1">
      <c r="A3650" s="183">
        <f>IF($K3650="","",WEEKNUM(INDEX(Zeiterfassung!$K$6:$K$3665,$K3650),21))</f>
        <v/>
      </c>
      <c r="B3650" s="184">
        <f>IF($K3650="","",INDEX(Zeiterfassung!$K$6:$K$3665,$K3650))</f>
        <v/>
      </c>
      <c r="C3650" s="185">
        <f>IF($K3650="","",INDEX(Zeiterfassung!$K$6:$K$3665,$K3650))</f>
        <v/>
      </c>
      <c r="D3650" s="186">
        <f>IF($K3650="","",INDEX(Zeiterfassung!$D$6:$D$3665,$K3650))</f>
        <v/>
      </c>
      <c r="E3650" s="186">
        <f>IF($K3650="","",INDEX(Zeiterfassung!$E$6:$E$3665,$K3650))</f>
        <v/>
      </c>
      <c r="F3650" s="187">
        <f>IF($K3650="","",INDEX(Zeiterfassung!$F$6:$F$3665,$K3650))</f>
        <v/>
      </c>
      <c r="G3650" s="187">
        <f>IF($K3650="","",INDEX(Zeiterfassung!$G$6:$G$3665,$K3650))</f>
        <v/>
      </c>
      <c r="H3650" s="188">
        <f>IF($K3650="","",INDEX(Zeiterfassung!$H$6:$H$3665,$K3650))</f>
        <v/>
      </c>
      <c r="I3650" s="335">
        <f>IF(B3650=B3649,"",IF($K3650="","",INDEX(Zeiterfassung!$I$6:$I$3665,MATCH(INDEX(Zeiterfassung!$K$6:$K$3665,$K3650),Zeiterfassung!$K$6:$K$3665,0))))</f>
        <v/>
      </c>
      <c r="J3650" s="335">
        <f>IF(B3650=B3649,"",IF($K3650="","",INDEX(Zeiterfassung!$J$6:$J$3665,MATCH(INDEX(Zeiterfassung!$K$6:$K$3665,$K3650),Zeiterfassung!$K$6:$K$3665,0))))</f>
        <v/>
      </c>
      <c r="K3650">
        <f>IFERROR(AGGREGATE(15,6,(ROW(Zeiterfassung!$D$6:$D$3665)-ROW(Zeiterfassung!$D$6)+1)/(Zeiterfassung!$D$6:$D$3665&lt;&gt;""),3645),"")</f>
        <v/>
      </c>
    </row>
    <row r="3651" ht="20" customHeight="1">
      <c r="A3651" s="183">
        <f>IF($K3651="","",WEEKNUM(INDEX(Zeiterfassung!$K$6:$K$3665,$K3651),21))</f>
        <v/>
      </c>
      <c r="B3651" s="184">
        <f>IF($K3651="","",INDEX(Zeiterfassung!$K$6:$K$3665,$K3651))</f>
        <v/>
      </c>
      <c r="C3651" s="185">
        <f>IF($K3651="","",INDEX(Zeiterfassung!$K$6:$K$3665,$K3651))</f>
        <v/>
      </c>
      <c r="D3651" s="186">
        <f>IF($K3651="","",INDEX(Zeiterfassung!$D$6:$D$3665,$K3651))</f>
        <v/>
      </c>
      <c r="E3651" s="186">
        <f>IF($K3651="","",INDEX(Zeiterfassung!$E$6:$E$3665,$K3651))</f>
        <v/>
      </c>
      <c r="F3651" s="187">
        <f>IF($K3651="","",INDEX(Zeiterfassung!$F$6:$F$3665,$K3651))</f>
        <v/>
      </c>
      <c r="G3651" s="187">
        <f>IF($K3651="","",INDEX(Zeiterfassung!$G$6:$G$3665,$K3651))</f>
        <v/>
      </c>
      <c r="H3651" s="188">
        <f>IF($K3651="","",INDEX(Zeiterfassung!$H$6:$H$3665,$K3651))</f>
        <v/>
      </c>
      <c r="I3651" s="335">
        <f>IF(B3651=B3650,"",IF($K3651="","",INDEX(Zeiterfassung!$I$6:$I$3665,MATCH(INDEX(Zeiterfassung!$K$6:$K$3665,$K3651),Zeiterfassung!$K$6:$K$3665,0))))</f>
        <v/>
      </c>
      <c r="J3651" s="335">
        <f>IF(B3651=B3650,"",IF($K3651="","",INDEX(Zeiterfassung!$J$6:$J$3665,MATCH(INDEX(Zeiterfassung!$K$6:$K$3665,$K3651),Zeiterfassung!$K$6:$K$3665,0))))</f>
        <v/>
      </c>
      <c r="K3651">
        <f>IFERROR(AGGREGATE(15,6,(ROW(Zeiterfassung!$D$6:$D$3665)-ROW(Zeiterfassung!$D$6)+1)/(Zeiterfassung!$D$6:$D$3665&lt;&gt;""),3646),"")</f>
        <v/>
      </c>
    </row>
    <row r="3652" ht="20" customHeight="1">
      <c r="A3652" s="183">
        <f>IF($K3652="","",WEEKNUM(INDEX(Zeiterfassung!$K$6:$K$3665,$K3652),21))</f>
        <v/>
      </c>
      <c r="B3652" s="184">
        <f>IF($K3652="","",INDEX(Zeiterfassung!$K$6:$K$3665,$K3652))</f>
        <v/>
      </c>
      <c r="C3652" s="185">
        <f>IF($K3652="","",INDEX(Zeiterfassung!$K$6:$K$3665,$K3652))</f>
        <v/>
      </c>
      <c r="D3652" s="186">
        <f>IF($K3652="","",INDEX(Zeiterfassung!$D$6:$D$3665,$K3652))</f>
        <v/>
      </c>
      <c r="E3652" s="186">
        <f>IF($K3652="","",INDEX(Zeiterfassung!$E$6:$E$3665,$K3652))</f>
        <v/>
      </c>
      <c r="F3652" s="187">
        <f>IF($K3652="","",INDEX(Zeiterfassung!$F$6:$F$3665,$K3652))</f>
        <v/>
      </c>
      <c r="G3652" s="187">
        <f>IF($K3652="","",INDEX(Zeiterfassung!$G$6:$G$3665,$K3652))</f>
        <v/>
      </c>
      <c r="H3652" s="188">
        <f>IF($K3652="","",INDEX(Zeiterfassung!$H$6:$H$3665,$K3652))</f>
        <v/>
      </c>
      <c r="I3652" s="335">
        <f>IF(B3652=B3651,"",IF($K3652="","",INDEX(Zeiterfassung!$I$6:$I$3665,MATCH(INDEX(Zeiterfassung!$K$6:$K$3665,$K3652),Zeiterfassung!$K$6:$K$3665,0))))</f>
        <v/>
      </c>
      <c r="J3652" s="335">
        <f>IF(B3652=B3651,"",IF($K3652="","",INDEX(Zeiterfassung!$J$6:$J$3665,MATCH(INDEX(Zeiterfassung!$K$6:$K$3665,$K3652),Zeiterfassung!$K$6:$K$3665,0))))</f>
        <v/>
      </c>
      <c r="K3652">
        <f>IFERROR(AGGREGATE(15,6,(ROW(Zeiterfassung!$D$6:$D$3665)-ROW(Zeiterfassung!$D$6)+1)/(Zeiterfassung!$D$6:$D$3665&lt;&gt;""),3647),"")</f>
        <v/>
      </c>
    </row>
    <row r="3653" ht="20" customHeight="1">
      <c r="A3653" s="183">
        <f>IF($K3653="","",WEEKNUM(INDEX(Zeiterfassung!$K$6:$K$3665,$K3653),21))</f>
        <v/>
      </c>
      <c r="B3653" s="184">
        <f>IF($K3653="","",INDEX(Zeiterfassung!$K$6:$K$3665,$K3653))</f>
        <v/>
      </c>
      <c r="C3653" s="185">
        <f>IF($K3653="","",INDEX(Zeiterfassung!$K$6:$K$3665,$K3653))</f>
        <v/>
      </c>
      <c r="D3653" s="186">
        <f>IF($K3653="","",INDEX(Zeiterfassung!$D$6:$D$3665,$K3653))</f>
        <v/>
      </c>
      <c r="E3653" s="186">
        <f>IF($K3653="","",INDEX(Zeiterfassung!$E$6:$E$3665,$K3653))</f>
        <v/>
      </c>
      <c r="F3653" s="187">
        <f>IF($K3653="","",INDEX(Zeiterfassung!$F$6:$F$3665,$K3653))</f>
        <v/>
      </c>
      <c r="G3653" s="187">
        <f>IF($K3653="","",INDEX(Zeiterfassung!$G$6:$G$3665,$K3653))</f>
        <v/>
      </c>
      <c r="H3653" s="188">
        <f>IF($K3653="","",INDEX(Zeiterfassung!$H$6:$H$3665,$K3653))</f>
        <v/>
      </c>
      <c r="I3653" s="335">
        <f>IF(B3653=B3652,"",IF($K3653="","",INDEX(Zeiterfassung!$I$6:$I$3665,MATCH(INDEX(Zeiterfassung!$K$6:$K$3665,$K3653),Zeiterfassung!$K$6:$K$3665,0))))</f>
        <v/>
      </c>
      <c r="J3653" s="335">
        <f>IF(B3653=B3652,"",IF($K3653="","",INDEX(Zeiterfassung!$J$6:$J$3665,MATCH(INDEX(Zeiterfassung!$K$6:$K$3665,$K3653),Zeiterfassung!$K$6:$K$3665,0))))</f>
        <v/>
      </c>
      <c r="K3653">
        <f>IFERROR(AGGREGATE(15,6,(ROW(Zeiterfassung!$D$6:$D$3665)-ROW(Zeiterfassung!$D$6)+1)/(Zeiterfassung!$D$6:$D$3665&lt;&gt;""),3648),"")</f>
        <v/>
      </c>
    </row>
    <row r="3654" ht="20" customHeight="1">
      <c r="A3654" s="183">
        <f>IF($K3654="","",WEEKNUM(INDEX(Zeiterfassung!$K$6:$K$3665,$K3654),21))</f>
        <v/>
      </c>
      <c r="B3654" s="184">
        <f>IF($K3654="","",INDEX(Zeiterfassung!$K$6:$K$3665,$K3654))</f>
        <v/>
      </c>
      <c r="C3654" s="185">
        <f>IF($K3654="","",INDEX(Zeiterfassung!$K$6:$K$3665,$K3654))</f>
        <v/>
      </c>
      <c r="D3654" s="186">
        <f>IF($K3654="","",INDEX(Zeiterfassung!$D$6:$D$3665,$K3654))</f>
        <v/>
      </c>
      <c r="E3654" s="186">
        <f>IF($K3654="","",INDEX(Zeiterfassung!$E$6:$E$3665,$K3654))</f>
        <v/>
      </c>
      <c r="F3654" s="187">
        <f>IF($K3654="","",INDEX(Zeiterfassung!$F$6:$F$3665,$K3654))</f>
        <v/>
      </c>
      <c r="G3654" s="187">
        <f>IF($K3654="","",INDEX(Zeiterfassung!$G$6:$G$3665,$K3654))</f>
        <v/>
      </c>
      <c r="H3654" s="188">
        <f>IF($K3654="","",INDEX(Zeiterfassung!$H$6:$H$3665,$K3654))</f>
        <v/>
      </c>
      <c r="I3654" s="335">
        <f>IF(B3654=B3653,"",IF($K3654="","",INDEX(Zeiterfassung!$I$6:$I$3665,MATCH(INDEX(Zeiterfassung!$K$6:$K$3665,$K3654),Zeiterfassung!$K$6:$K$3665,0))))</f>
        <v/>
      </c>
      <c r="J3654" s="335">
        <f>IF(B3654=B3653,"",IF($K3654="","",INDEX(Zeiterfassung!$J$6:$J$3665,MATCH(INDEX(Zeiterfassung!$K$6:$K$3665,$K3654),Zeiterfassung!$K$6:$K$3665,0))))</f>
        <v/>
      </c>
      <c r="K3654">
        <f>IFERROR(AGGREGATE(15,6,(ROW(Zeiterfassung!$D$6:$D$3665)-ROW(Zeiterfassung!$D$6)+1)/(Zeiterfassung!$D$6:$D$3665&lt;&gt;""),3649),"")</f>
        <v/>
      </c>
    </row>
    <row r="3655" ht="20" customHeight="1">
      <c r="A3655" s="183">
        <f>IF($K3655="","",WEEKNUM(INDEX(Zeiterfassung!$K$6:$K$3665,$K3655),21))</f>
        <v/>
      </c>
      <c r="B3655" s="184">
        <f>IF($K3655="","",INDEX(Zeiterfassung!$K$6:$K$3665,$K3655))</f>
        <v/>
      </c>
      <c r="C3655" s="185">
        <f>IF($K3655="","",INDEX(Zeiterfassung!$K$6:$K$3665,$K3655))</f>
        <v/>
      </c>
      <c r="D3655" s="186">
        <f>IF($K3655="","",INDEX(Zeiterfassung!$D$6:$D$3665,$K3655))</f>
        <v/>
      </c>
      <c r="E3655" s="186">
        <f>IF($K3655="","",INDEX(Zeiterfassung!$E$6:$E$3665,$K3655))</f>
        <v/>
      </c>
      <c r="F3655" s="187">
        <f>IF($K3655="","",INDEX(Zeiterfassung!$F$6:$F$3665,$K3655))</f>
        <v/>
      </c>
      <c r="G3655" s="187">
        <f>IF($K3655="","",INDEX(Zeiterfassung!$G$6:$G$3665,$K3655))</f>
        <v/>
      </c>
      <c r="H3655" s="188">
        <f>IF($K3655="","",INDEX(Zeiterfassung!$H$6:$H$3665,$K3655))</f>
        <v/>
      </c>
      <c r="I3655" s="335">
        <f>IF(B3655=B3654,"",IF($K3655="","",INDEX(Zeiterfassung!$I$6:$I$3665,MATCH(INDEX(Zeiterfassung!$K$6:$K$3665,$K3655),Zeiterfassung!$K$6:$K$3665,0))))</f>
        <v/>
      </c>
      <c r="J3655" s="335">
        <f>IF(B3655=B3654,"",IF($K3655="","",INDEX(Zeiterfassung!$J$6:$J$3665,MATCH(INDEX(Zeiterfassung!$K$6:$K$3665,$K3655),Zeiterfassung!$K$6:$K$3665,0))))</f>
        <v/>
      </c>
      <c r="K3655">
        <f>IFERROR(AGGREGATE(15,6,(ROW(Zeiterfassung!$D$6:$D$3665)-ROW(Zeiterfassung!$D$6)+1)/(Zeiterfassung!$D$6:$D$3665&lt;&gt;""),3650),"")</f>
        <v/>
      </c>
    </row>
    <row r="3656" ht="20" customHeight="1">
      <c r="A3656" s="183">
        <f>IF($K3656="","",WEEKNUM(INDEX(Zeiterfassung!$K$6:$K$3665,$K3656),21))</f>
        <v/>
      </c>
      <c r="B3656" s="184">
        <f>IF($K3656="","",INDEX(Zeiterfassung!$K$6:$K$3665,$K3656))</f>
        <v/>
      </c>
      <c r="C3656" s="185">
        <f>IF($K3656="","",INDEX(Zeiterfassung!$K$6:$K$3665,$K3656))</f>
        <v/>
      </c>
      <c r="D3656" s="186">
        <f>IF($K3656="","",INDEX(Zeiterfassung!$D$6:$D$3665,$K3656))</f>
        <v/>
      </c>
      <c r="E3656" s="186">
        <f>IF($K3656="","",INDEX(Zeiterfassung!$E$6:$E$3665,$K3656))</f>
        <v/>
      </c>
      <c r="F3656" s="187">
        <f>IF($K3656="","",INDEX(Zeiterfassung!$F$6:$F$3665,$K3656))</f>
        <v/>
      </c>
      <c r="G3656" s="187">
        <f>IF($K3656="","",INDEX(Zeiterfassung!$G$6:$G$3665,$K3656))</f>
        <v/>
      </c>
      <c r="H3656" s="188">
        <f>IF($K3656="","",INDEX(Zeiterfassung!$H$6:$H$3665,$K3656))</f>
        <v/>
      </c>
      <c r="I3656" s="335">
        <f>IF(B3656=B3655,"",IF($K3656="","",INDEX(Zeiterfassung!$I$6:$I$3665,MATCH(INDEX(Zeiterfassung!$K$6:$K$3665,$K3656),Zeiterfassung!$K$6:$K$3665,0))))</f>
        <v/>
      </c>
      <c r="J3656" s="335">
        <f>IF(B3656=B3655,"",IF($K3656="","",INDEX(Zeiterfassung!$J$6:$J$3665,MATCH(INDEX(Zeiterfassung!$K$6:$K$3665,$K3656),Zeiterfassung!$K$6:$K$3665,0))))</f>
        <v/>
      </c>
      <c r="K3656">
        <f>IFERROR(AGGREGATE(15,6,(ROW(Zeiterfassung!$D$6:$D$3665)-ROW(Zeiterfassung!$D$6)+1)/(Zeiterfassung!$D$6:$D$3665&lt;&gt;""),3651),"")</f>
        <v/>
      </c>
    </row>
    <row r="3657" ht="20" customHeight="1">
      <c r="A3657" s="183">
        <f>IF($K3657="","",WEEKNUM(INDEX(Zeiterfassung!$K$6:$K$3665,$K3657),21))</f>
        <v/>
      </c>
      <c r="B3657" s="184">
        <f>IF($K3657="","",INDEX(Zeiterfassung!$K$6:$K$3665,$K3657))</f>
        <v/>
      </c>
      <c r="C3657" s="185">
        <f>IF($K3657="","",INDEX(Zeiterfassung!$K$6:$K$3665,$K3657))</f>
        <v/>
      </c>
      <c r="D3657" s="186">
        <f>IF($K3657="","",INDEX(Zeiterfassung!$D$6:$D$3665,$K3657))</f>
        <v/>
      </c>
      <c r="E3657" s="186">
        <f>IF($K3657="","",INDEX(Zeiterfassung!$E$6:$E$3665,$K3657))</f>
        <v/>
      </c>
      <c r="F3657" s="187">
        <f>IF($K3657="","",INDEX(Zeiterfassung!$F$6:$F$3665,$K3657))</f>
        <v/>
      </c>
      <c r="G3657" s="187">
        <f>IF($K3657="","",INDEX(Zeiterfassung!$G$6:$G$3665,$K3657))</f>
        <v/>
      </c>
      <c r="H3657" s="188">
        <f>IF($K3657="","",INDEX(Zeiterfassung!$H$6:$H$3665,$K3657))</f>
        <v/>
      </c>
      <c r="I3657" s="335">
        <f>IF(B3657=B3656,"",IF($K3657="","",INDEX(Zeiterfassung!$I$6:$I$3665,MATCH(INDEX(Zeiterfassung!$K$6:$K$3665,$K3657),Zeiterfassung!$K$6:$K$3665,0))))</f>
        <v/>
      </c>
      <c r="J3657" s="335">
        <f>IF(B3657=B3656,"",IF($K3657="","",INDEX(Zeiterfassung!$J$6:$J$3665,MATCH(INDEX(Zeiterfassung!$K$6:$K$3665,$K3657),Zeiterfassung!$K$6:$K$3665,0))))</f>
        <v/>
      </c>
      <c r="K3657">
        <f>IFERROR(AGGREGATE(15,6,(ROW(Zeiterfassung!$D$6:$D$3665)-ROW(Zeiterfassung!$D$6)+1)/(Zeiterfassung!$D$6:$D$3665&lt;&gt;""),3652),"")</f>
        <v/>
      </c>
    </row>
    <row r="3658" ht="20" customHeight="1">
      <c r="A3658" s="183">
        <f>IF($K3658="","",WEEKNUM(INDEX(Zeiterfassung!$K$6:$K$3665,$K3658),21))</f>
        <v/>
      </c>
      <c r="B3658" s="184">
        <f>IF($K3658="","",INDEX(Zeiterfassung!$K$6:$K$3665,$K3658))</f>
        <v/>
      </c>
      <c r="C3658" s="185">
        <f>IF($K3658="","",INDEX(Zeiterfassung!$K$6:$K$3665,$K3658))</f>
        <v/>
      </c>
      <c r="D3658" s="186">
        <f>IF($K3658="","",INDEX(Zeiterfassung!$D$6:$D$3665,$K3658))</f>
        <v/>
      </c>
      <c r="E3658" s="186">
        <f>IF($K3658="","",INDEX(Zeiterfassung!$E$6:$E$3665,$K3658))</f>
        <v/>
      </c>
      <c r="F3658" s="187">
        <f>IF($K3658="","",INDEX(Zeiterfassung!$F$6:$F$3665,$K3658))</f>
        <v/>
      </c>
      <c r="G3658" s="187">
        <f>IF($K3658="","",INDEX(Zeiterfassung!$G$6:$G$3665,$K3658))</f>
        <v/>
      </c>
      <c r="H3658" s="188">
        <f>IF($K3658="","",INDEX(Zeiterfassung!$H$6:$H$3665,$K3658))</f>
        <v/>
      </c>
      <c r="I3658" s="335">
        <f>IF(B3658=B3657,"",IF($K3658="","",INDEX(Zeiterfassung!$I$6:$I$3665,MATCH(INDEX(Zeiterfassung!$K$6:$K$3665,$K3658),Zeiterfassung!$K$6:$K$3665,0))))</f>
        <v/>
      </c>
      <c r="J3658" s="335">
        <f>IF(B3658=B3657,"",IF($K3658="","",INDEX(Zeiterfassung!$J$6:$J$3665,MATCH(INDEX(Zeiterfassung!$K$6:$K$3665,$K3658),Zeiterfassung!$K$6:$K$3665,0))))</f>
        <v/>
      </c>
      <c r="K3658">
        <f>IFERROR(AGGREGATE(15,6,(ROW(Zeiterfassung!$D$6:$D$3665)-ROW(Zeiterfassung!$D$6)+1)/(Zeiterfassung!$D$6:$D$3665&lt;&gt;""),3653),"")</f>
        <v/>
      </c>
    </row>
    <row r="3659" ht="20" customHeight="1">
      <c r="A3659" s="183">
        <f>IF($K3659="","",WEEKNUM(INDEX(Zeiterfassung!$K$6:$K$3665,$K3659),21))</f>
        <v/>
      </c>
      <c r="B3659" s="184">
        <f>IF($K3659="","",INDEX(Zeiterfassung!$K$6:$K$3665,$K3659))</f>
        <v/>
      </c>
      <c r="C3659" s="185">
        <f>IF($K3659="","",INDEX(Zeiterfassung!$K$6:$K$3665,$K3659))</f>
        <v/>
      </c>
      <c r="D3659" s="186">
        <f>IF($K3659="","",INDEX(Zeiterfassung!$D$6:$D$3665,$K3659))</f>
        <v/>
      </c>
      <c r="E3659" s="186">
        <f>IF($K3659="","",INDEX(Zeiterfassung!$E$6:$E$3665,$K3659))</f>
        <v/>
      </c>
      <c r="F3659" s="187">
        <f>IF($K3659="","",INDEX(Zeiterfassung!$F$6:$F$3665,$K3659))</f>
        <v/>
      </c>
      <c r="G3659" s="187">
        <f>IF($K3659="","",INDEX(Zeiterfassung!$G$6:$G$3665,$K3659))</f>
        <v/>
      </c>
      <c r="H3659" s="188">
        <f>IF($K3659="","",INDEX(Zeiterfassung!$H$6:$H$3665,$K3659))</f>
        <v/>
      </c>
      <c r="I3659" s="335">
        <f>IF(B3659=B3658,"",IF($K3659="","",INDEX(Zeiterfassung!$I$6:$I$3665,MATCH(INDEX(Zeiterfassung!$K$6:$K$3665,$K3659),Zeiterfassung!$K$6:$K$3665,0))))</f>
        <v/>
      </c>
      <c r="J3659" s="335">
        <f>IF(B3659=B3658,"",IF($K3659="","",INDEX(Zeiterfassung!$J$6:$J$3665,MATCH(INDEX(Zeiterfassung!$K$6:$K$3665,$K3659),Zeiterfassung!$K$6:$K$3665,0))))</f>
        <v/>
      </c>
      <c r="K3659">
        <f>IFERROR(AGGREGATE(15,6,(ROW(Zeiterfassung!$D$6:$D$3665)-ROW(Zeiterfassung!$D$6)+1)/(Zeiterfassung!$D$6:$D$3665&lt;&gt;""),3654),"")</f>
        <v/>
      </c>
    </row>
    <row r="3660" ht="20" customHeight="1">
      <c r="A3660" s="183">
        <f>IF($K3660="","",WEEKNUM(INDEX(Zeiterfassung!$K$6:$K$3665,$K3660),21))</f>
        <v/>
      </c>
      <c r="B3660" s="184">
        <f>IF($K3660="","",INDEX(Zeiterfassung!$K$6:$K$3665,$K3660))</f>
        <v/>
      </c>
      <c r="C3660" s="185">
        <f>IF($K3660="","",INDEX(Zeiterfassung!$K$6:$K$3665,$K3660))</f>
        <v/>
      </c>
      <c r="D3660" s="186">
        <f>IF($K3660="","",INDEX(Zeiterfassung!$D$6:$D$3665,$K3660))</f>
        <v/>
      </c>
      <c r="E3660" s="186">
        <f>IF($K3660="","",INDEX(Zeiterfassung!$E$6:$E$3665,$K3660))</f>
        <v/>
      </c>
      <c r="F3660" s="187">
        <f>IF($K3660="","",INDEX(Zeiterfassung!$F$6:$F$3665,$K3660))</f>
        <v/>
      </c>
      <c r="G3660" s="187">
        <f>IF($K3660="","",INDEX(Zeiterfassung!$G$6:$G$3665,$K3660))</f>
        <v/>
      </c>
      <c r="H3660" s="188">
        <f>IF($K3660="","",INDEX(Zeiterfassung!$H$6:$H$3665,$K3660))</f>
        <v/>
      </c>
      <c r="I3660" s="335">
        <f>IF(B3660=B3659,"",IF($K3660="","",INDEX(Zeiterfassung!$I$6:$I$3665,MATCH(INDEX(Zeiterfassung!$K$6:$K$3665,$K3660),Zeiterfassung!$K$6:$K$3665,0))))</f>
        <v/>
      </c>
      <c r="J3660" s="335">
        <f>IF(B3660=B3659,"",IF($K3660="","",INDEX(Zeiterfassung!$J$6:$J$3665,MATCH(INDEX(Zeiterfassung!$K$6:$K$3665,$K3660),Zeiterfassung!$K$6:$K$3665,0))))</f>
        <v/>
      </c>
      <c r="K3660">
        <f>IFERROR(AGGREGATE(15,6,(ROW(Zeiterfassung!$D$6:$D$3665)-ROW(Zeiterfassung!$D$6)+1)/(Zeiterfassung!$D$6:$D$3665&lt;&gt;""),3655),"")</f>
        <v/>
      </c>
    </row>
    <row r="3661" ht="20" customHeight="1">
      <c r="A3661" s="183">
        <f>IF($K3661="","",WEEKNUM(INDEX(Zeiterfassung!$K$6:$K$3665,$K3661),21))</f>
        <v/>
      </c>
      <c r="B3661" s="184">
        <f>IF($K3661="","",INDEX(Zeiterfassung!$K$6:$K$3665,$K3661))</f>
        <v/>
      </c>
      <c r="C3661" s="185">
        <f>IF($K3661="","",INDEX(Zeiterfassung!$K$6:$K$3665,$K3661))</f>
        <v/>
      </c>
      <c r="D3661" s="186">
        <f>IF($K3661="","",INDEX(Zeiterfassung!$D$6:$D$3665,$K3661))</f>
        <v/>
      </c>
      <c r="E3661" s="186">
        <f>IF($K3661="","",INDEX(Zeiterfassung!$E$6:$E$3665,$K3661))</f>
        <v/>
      </c>
      <c r="F3661" s="187">
        <f>IF($K3661="","",INDEX(Zeiterfassung!$F$6:$F$3665,$K3661))</f>
        <v/>
      </c>
      <c r="G3661" s="187">
        <f>IF($K3661="","",INDEX(Zeiterfassung!$G$6:$G$3665,$K3661))</f>
        <v/>
      </c>
      <c r="H3661" s="188">
        <f>IF($K3661="","",INDEX(Zeiterfassung!$H$6:$H$3665,$K3661))</f>
        <v/>
      </c>
      <c r="I3661" s="335">
        <f>IF(B3661=B3660,"",IF($K3661="","",INDEX(Zeiterfassung!$I$6:$I$3665,MATCH(INDEX(Zeiterfassung!$K$6:$K$3665,$K3661),Zeiterfassung!$K$6:$K$3665,0))))</f>
        <v/>
      </c>
      <c r="J3661" s="335">
        <f>IF(B3661=B3660,"",IF($K3661="","",INDEX(Zeiterfassung!$J$6:$J$3665,MATCH(INDEX(Zeiterfassung!$K$6:$K$3665,$K3661),Zeiterfassung!$K$6:$K$3665,0))))</f>
        <v/>
      </c>
      <c r="K3661">
        <f>IFERROR(AGGREGATE(15,6,(ROW(Zeiterfassung!$D$6:$D$3665)-ROW(Zeiterfassung!$D$6)+1)/(Zeiterfassung!$D$6:$D$3665&lt;&gt;""),3656),"")</f>
        <v/>
      </c>
    </row>
    <row r="3662" ht="20" customHeight="1">
      <c r="A3662" s="183">
        <f>IF($K3662="","",WEEKNUM(INDEX(Zeiterfassung!$K$6:$K$3665,$K3662),21))</f>
        <v/>
      </c>
      <c r="B3662" s="184">
        <f>IF($K3662="","",INDEX(Zeiterfassung!$K$6:$K$3665,$K3662))</f>
        <v/>
      </c>
      <c r="C3662" s="185">
        <f>IF($K3662="","",INDEX(Zeiterfassung!$K$6:$K$3665,$K3662))</f>
        <v/>
      </c>
      <c r="D3662" s="186">
        <f>IF($K3662="","",INDEX(Zeiterfassung!$D$6:$D$3665,$K3662))</f>
        <v/>
      </c>
      <c r="E3662" s="186">
        <f>IF($K3662="","",INDEX(Zeiterfassung!$E$6:$E$3665,$K3662))</f>
        <v/>
      </c>
      <c r="F3662" s="187">
        <f>IF($K3662="","",INDEX(Zeiterfassung!$F$6:$F$3665,$K3662))</f>
        <v/>
      </c>
      <c r="G3662" s="187">
        <f>IF($K3662="","",INDEX(Zeiterfassung!$G$6:$G$3665,$K3662))</f>
        <v/>
      </c>
      <c r="H3662" s="188">
        <f>IF($K3662="","",INDEX(Zeiterfassung!$H$6:$H$3665,$K3662))</f>
        <v/>
      </c>
      <c r="I3662" s="335">
        <f>IF(B3662=B3661,"",IF($K3662="","",INDEX(Zeiterfassung!$I$6:$I$3665,MATCH(INDEX(Zeiterfassung!$K$6:$K$3665,$K3662),Zeiterfassung!$K$6:$K$3665,0))))</f>
        <v/>
      </c>
      <c r="J3662" s="335">
        <f>IF(B3662=B3661,"",IF($K3662="","",INDEX(Zeiterfassung!$J$6:$J$3665,MATCH(INDEX(Zeiterfassung!$K$6:$K$3665,$K3662),Zeiterfassung!$K$6:$K$3665,0))))</f>
        <v/>
      </c>
      <c r="K3662">
        <f>IFERROR(AGGREGATE(15,6,(ROW(Zeiterfassung!$D$6:$D$3665)-ROW(Zeiterfassung!$D$6)+1)/(Zeiterfassung!$D$6:$D$3665&lt;&gt;""),3657),"")</f>
        <v/>
      </c>
    </row>
    <row r="3663" ht="20" customHeight="1">
      <c r="A3663" s="183">
        <f>IF($K3663="","",WEEKNUM(INDEX(Zeiterfassung!$K$6:$K$3665,$K3663),21))</f>
        <v/>
      </c>
      <c r="B3663" s="184">
        <f>IF($K3663="","",INDEX(Zeiterfassung!$K$6:$K$3665,$K3663))</f>
        <v/>
      </c>
      <c r="C3663" s="185">
        <f>IF($K3663="","",INDEX(Zeiterfassung!$K$6:$K$3665,$K3663))</f>
        <v/>
      </c>
      <c r="D3663" s="186">
        <f>IF($K3663="","",INDEX(Zeiterfassung!$D$6:$D$3665,$K3663))</f>
        <v/>
      </c>
      <c r="E3663" s="186">
        <f>IF($K3663="","",INDEX(Zeiterfassung!$E$6:$E$3665,$K3663))</f>
        <v/>
      </c>
      <c r="F3663" s="187">
        <f>IF($K3663="","",INDEX(Zeiterfassung!$F$6:$F$3665,$K3663))</f>
        <v/>
      </c>
      <c r="G3663" s="187">
        <f>IF($K3663="","",INDEX(Zeiterfassung!$G$6:$G$3665,$K3663))</f>
        <v/>
      </c>
      <c r="H3663" s="188">
        <f>IF($K3663="","",INDEX(Zeiterfassung!$H$6:$H$3665,$K3663))</f>
        <v/>
      </c>
      <c r="I3663" s="335">
        <f>IF(B3663=B3662,"",IF($K3663="","",INDEX(Zeiterfassung!$I$6:$I$3665,MATCH(INDEX(Zeiterfassung!$K$6:$K$3665,$K3663),Zeiterfassung!$K$6:$K$3665,0))))</f>
        <v/>
      </c>
      <c r="J3663" s="335">
        <f>IF(B3663=B3662,"",IF($K3663="","",INDEX(Zeiterfassung!$J$6:$J$3665,MATCH(INDEX(Zeiterfassung!$K$6:$K$3665,$K3663),Zeiterfassung!$K$6:$K$3665,0))))</f>
        <v/>
      </c>
      <c r="K3663">
        <f>IFERROR(AGGREGATE(15,6,(ROW(Zeiterfassung!$D$6:$D$3665)-ROW(Zeiterfassung!$D$6)+1)/(Zeiterfassung!$D$6:$D$3665&lt;&gt;""),3658),"")</f>
        <v/>
      </c>
    </row>
    <row r="3664" ht="20" customHeight="1">
      <c r="A3664" s="183">
        <f>IF($K3664="","",WEEKNUM(INDEX(Zeiterfassung!$K$6:$K$3665,$K3664),21))</f>
        <v/>
      </c>
      <c r="B3664" s="184">
        <f>IF($K3664="","",INDEX(Zeiterfassung!$K$6:$K$3665,$K3664))</f>
        <v/>
      </c>
      <c r="C3664" s="185">
        <f>IF($K3664="","",INDEX(Zeiterfassung!$K$6:$K$3665,$K3664))</f>
        <v/>
      </c>
      <c r="D3664" s="186">
        <f>IF($K3664="","",INDEX(Zeiterfassung!$D$6:$D$3665,$K3664))</f>
        <v/>
      </c>
      <c r="E3664" s="186">
        <f>IF($K3664="","",INDEX(Zeiterfassung!$E$6:$E$3665,$K3664))</f>
        <v/>
      </c>
      <c r="F3664" s="187">
        <f>IF($K3664="","",INDEX(Zeiterfassung!$F$6:$F$3665,$K3664))</f>
        <v/>
      </c>
      <c r="G3664" s="187">
        <f>IF($K3664="","",INDEX(Zeiterfassung!$G$6:$G$3665,$K3664))</f>
        <v/>
      </c>
      <c r="H3664" s="188">
        <f>IF($K3664="","",INDEX(Zeiterfassung!$H$6:$H$3665,$K3664))</f>
        <v/>
      </c>
      <c r="I3664" s="335">
        <f>IF(B3664=B3663,"",IF($K3664="","",INDEX(Zeiterfassung!$I$6:$I$3665,MATCH(INDEX(Zeiterfassung!$K$6:$K$3665,$K3664),Zeiterfassung!$K$6:$K$3665,0))))</f>
        <v/>
      </c>
      <c r="J3664" s="335">
        <f>IF(B3664=B3663,"",IF($K3664="","",INDEX(Zeiterfassung!$J$6:$J$3665,MATCH(INDEX(Zeiterfassung!$K$6:$K$3665,$K3664),Zeiterfassung!$K$6:$K$3665,0))))</f>
        <v/>
      </c>
      <c r="K3664">
        <f>IFERROR(AGGREGATE(15,6,(ROW(Zeiterfassung!$D$6:$D$3665)-ROW(Zeiterfassung!$D$6)+1)/(Zeiterfassung!$D$6:$D$3665&lt;&gt;""),3659),"")</f>
        <v/>
      </c>
    </row>
    <row r="3665" ht="20" customHeight="1">
      <c r="A3665" s="183">
        <f>IF($K3665="","",WEEKNUM(INDEX(Zeiterfassung!$K$6:$K$3665,$K3665),21))</f>
        <v/>
      </c>
      <c r="B3665" s="184">
        <f>IF($K3665="","",INDEX(Zeiterfassung!$K$6:$K$3665,$K3665))</f>
        <v/>
      </c>
      <c r="C3665" s="185">
        <f>IF($K3665="","",INDEX(Zeiterfassung!$K$6:$K$3665,$K3665))</f>
        <v/>
      </c>
      <c r="D3665" s="186">
        <f>IF($K3665="","",INDEX(Zeiterfassung!$D$6:$D$3665,$K3665))</f>
        <v/>
      </c>
      <c r="E3665" s="186">
        <f>IF($K3665="","",INDEX(Zeiterfassung!$E$6:$E$3665,$K3665))</f>
        <v/>
      </c>
      <c r="F3665" s="187">
        <f>IF($K3665="","",INDEX(Zeiterfassung!$F$6:$F$3665,$K3665))</f>
        <v/>
      </c>
      <c r="G3665" s="187">
        <f>IF($K3665="","",INDEX(Zeiterfassung!$G$6:$G$3665,$K3665))</f>
        <v/>
      </c>
      <c r="H3665" s="188">
        <f>IF($K3665="","",INDEX(Zeiterfassung!$H$6:$H$3665,$K3665))</f>
        <v/>
      </c>
      <c r="I3665" s="335">
        <f>IF(B3665=B3664,"",IF($K3665="","",INDEX(Zeiterfassung!$I$6:$I$3665,MATCH(INDEX(Zeiterfassung!$K$6:$K$3665,$K3665),Zeiterfassung!$K$6:$K$3665,0))))</f>
        <v/>
      </c>
      <c r="J3665" s="335">
        <f>IF(B3665=B3664,"",IF($K3665="","",INDEX(Zeiterfassung!$J$6:$J$3665,MATCH(INDEX(Zeiterfassung!$K$6:$K$3665,$K3665),Zeiterfassung!$K$6:$K$3665,0))))</f>
        <v/>
      </c>
      <c r="K3665">
        <f>IFERROR(AGGREGATE(15,6,(ROW(Zeiterfassung!$D$6:$D$3665)-ROW(Zeiterfassung!$D$6)+1)/(Zeiterfassung!$D$6:$D$3665&lt;&gt;""),3660),"")</f>
        <v/>
      </c>
    </row>
  </sheetData>
  <mergeCells count="6">
    <mergeCell ref="A1:J2"/>
    <mergeCell ref="L1:N2"/>
    <mergeCell ref="G4:J4"/>
    <mergeCell ref="D4:F4"/>
    <mergeCell ref="A3:J3"/>
    <mergeCell ref="A4:C4"/>
  </mergeCells>
  <conditionalFormatting sqref="A6:J3665">
    <cfRule type="expression" priority="1" dxfId="6" stopIfTrue="1">
      <formula>AND($B6&lt;&gt;"",COUNTIF(Berlin_Feiertage,$B6)&gt;0)</formula>
    </cfRule>
    <cfRule type="expression" priority="2" dxfId="7" stopIfTrue="1">
      <formula>AND($B6&lt;&gt;"",WEEKDAY($B6,2)&gt;5)</formula>
    </cfRule>
    <cfRule type="expression" priority="3" dxfId="8">
      <formula>AND($B6&lt;&gt;"",MOD(WEEKNUM($B6,21),2)=0)</formula>
    </cfRule>
  </conditionalFormatting>
  <hyperlinks>
    <hyperlink xmlns:r="http://schemas.openxmlformats.org/officeDocument/2006/relationships" ref="L1" r:id="rId1"/>
  </hyperlinks>
  <pageMargins left="0.25" right="0.25" top="0.45" bottom="0.45" header="0.2" footer="0.25"/>
  <pageSetup orientation="landscape" paperSize="9" fitToHeight="0" fitToWidth="1"/>
  <headerFooter>
    <oddHeader/>
    <oddFooter>&amp;LF+K Projektbau GmbH&amp;COrt / Datum ____________________    Unterschrift ______________________________&amp;RSeite &amp;P von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48" customWidth="1" min="4" max="4"/>
    <col width="17" customWidth="1" min="5" max="5"/>
    <col width="34" customWidth="1" min="6" max="6"/>
    <col width="3" customWidth="1" min="7" max="7"/>
    <col width="16" customWidth="1" min="8" max="8"/>
    <col width="16" customWidth="1" min="9" max="9"/>
    <col width="16" customWidth="1" min="10" max="10"/>
    <col width="2" customWidth="1" min="11" max="11"/>
    <col width="2" customWidth="1" min="12" max="12"/>
    <col width="2" customWidth="1" min="13" max="13"/>
  </cols>
  <sheetData>
    <row r="1" ht="18" customHeight="1">
      <c r="A1" s="26" t="inlineStr">
        <is>
          <t>MATERIALKOSTEN</t>
        </is>
      </c>
      <c r="H1" s="263" t="inlineStr">
        <is>
          <t>←  ZUM COCKPIT</t>
        </is>
      </c>
      <c r="I1" s="269" t="n"/>
      <c r="J1" s="270" t="n"/>
      <c r="K1" s="263" t="n"/>
    </row>
    <row r="2" ht="18" customHeight="1">
      <c r="H2" s="271" t="n"/>
      <c r="I2" s="272" t="n"/>
      <c r="J2" s="273" t="n"/>
    </row>
    <row r="3">
      <c r="A3" s="27" t="inlineStr">
        <is>
          <t>Fortlaufende Erfassung der projektbezogenen Material- und Sachkosten · Nachunternehmer separat erfassen</t>
        </is>
      </c>
    </row>
    <row r="5" ht="32" customHeight="1">
      <c r="A5" s="22" t="inlineStr">
        <is>
          <t>Datum</t>
        </is>
      </c>
      <c r="B5" s="22" t="inlineStr">
        <is>
          <t>Lieferant</t>
        </is>
      </c>
      <c r="C5" s="22" t="inlineStr">
        <is>
          <t>Rechnung / Beleg-Nr.</t>
        </is>
      </c>
      <c r="D5" s="22" t="inlineStr">
        <is>
          <t>Beschreibung</t>
        </is>
      </c>
      <c r="E5" s="22" t="inlineStr">
        <is>
          <t>Nettobetrag</t>
        </is>
      </c>
      <c r="F5" s="22" t="inlineStr">
        <is>
          <t>Bemerkung</t>
        </is>
      </c>
      <c r="G5" s="22" t="n"/>
      <c r="H5" s="22" t="n"/>
      <c r="I5" s="22" t="n"/>
    </row>
    <row r="6">
      <c r="A6" s="29" t="n"/>
      <c r="B6" s="30" t="n"/>
      <c r="C6" s="30" t="n"/>
      <c r="D6" s="30" t="n"/>
      <c r="E6" s="361" t="n"/>
      <c r="F6" s="30" t="n"/>
      <c r="G6" s="38" t="n"/>
      <c r="H6" s="30" t="n"/>
      <c r="I6" s="30" t="n"/>
    </row>
    <row r="7">
      <c r="A7" s="33" t="n"/>
      <c r="B7" s="34" t="n"/>
      <c r="C7" s="34" t="n"/>
      <c r="D7" s="34" t="n"/>
      <c r="E7" s="362" t="n"/>
      <c r="F7" s="34" t="n"/>
      <c r="G7" s="40" t="n"/>
      <c r="H7" s="34" t="n"/>
      <c r="I7" s="34" t="n"/>
    </row>
    <row r="8">
      <c r="A8" s="29" t="n"/>
      <c r="B8" s="30" t="n"/>
      <c r="C8" s="30" t="n"/>
      <c r="D8" s="30" t="n"/>
      <c r="E8" s="361" t="n"/>
      <c r="F8" s="30" t="n"/>
      <c r="G8" s="38" t="n"/>
      <c r="H8" s="30" t="n"/>
      <c r="I8" s="30" t="n"/>
    </row>
    <row r="9">
      <c r="A9" s="33" t="n"/>
      <c r="B9" s="34" t="n"/>
      <c r="C9" s="34" t="n"/>
      <c r="D9" s="34" t="n"/>
      <c r="E9" s="362" t="n"/>
      <c r="F9" s="34" t="n"/>
      <c r="G9" s="40" t="n"/>
      <c r="H9" s="34" t="n"/>
      <c r="I9" s="34" t="n"/>
    </row>
    <row r="10">
      <c r="A10" s="29" t="n"/>
      <c r="B10" s="30" t="n"/>
      <c r="C10" s="30" t="n"/>
      <c r="D10" s="30" t="n"/>
      <c r="E10" s="361" t="n"/>
      <c r="F10" s="30" t="n"/>
      <c r="G10" s="38" t="n"/>
      <c r="H10" s="30" t="n"/>
      <c r="I10" s="30" t="n"/>
    </row>
    <row r="11">
      <c r="A11" s="33" t="n"/>
      <c r="B11" s="34" t="n"/>
      <c r="C11" s="34" t="n"/>
      <c r="D11" s="34" t="n"/>
      <c r="E11" s="362" t="n"/>
      <c r="F11" s="34" t="n"/>
      <c r="G11" s="40" t="n"/>
      <c r="H11" s="34" t="n"/>
      <c r="I11" s="34" t="n"/>
    </row>
    <row r="12">
      <c r="A12" s="29" t="n"/>
      <c r="B12" s="30" t="n"/>
      <c r="C12" s="30" t="n"/>
      <c r="D12" s="30" t="n"/>
      <c r="E12" s="361" t="n"/>
      <c r="F12" s="30" t="n"/>
      <c r="G12" s="38" t="n"/>
      <c r="H12" s="30" t="n"/>
      <c r="I12" s="30" t="n"/>
    </row>
    <row r="13">
      <c r="A13" s="33" t="n"/>
      <c r="B13" s="34" t="n"/>
      <c r="C13" s="34" t="n"/>
      <c r="D13" s="34" t="n"/>
      <c r="E13" s="362" t="n"/>
      <c r="F13" s="34" t="n"/>
      <c r="G13" s="40" t="n"/>
      <c r="H13" s="34" t="n"/>
      <c r="I13" s="34" t="n"/>
    </row>
    <row r="14">
      <c r="A14" s="29" t="n"/>
      <c r="B14" s="30" t="n"/>
      <c r="C14" s="30" t="n"/>
      <c r="D14" s="30" t="n"/>
      <c r="E14" s="361" t="n"/>
      <c r="F14" s="30" t="n"/>
      <c r="G14" s="38" t="n"/>
      <c r="H14" s="30" t="n"/>
      <c r="I14" s="30" t="n"/>
    </row>
    <row r="15">
      <c r="A15" s="33" t="n"/>
      <c r="B15" s="34" t="n"/>
      <c r="C15" s="34" t="n"/>
      <c r="D15" s="34" t="n"/>
      <c r="E15" s="362" t="n"/>
      <c r="F15" s="34" t="n"/>
      <c r="G15" s="40" t="n"/>
      <c r="H15" s="34" t="n"/>
      <c r="I15" s="34" t="n"/>
    </row>
    <row r="16">
      <c r="A16" s="29" t="n"/>
      <c r="B16" s="30" t="n"/>
      <c r="C16" s="30" t="n"/>
      <c r="D16" s="30" t="n"/>
      <c r="E16" s="361" t="n"/>
      <c r="F16" s="30" t="n"/>
      <c r="G16" s="38" t="n"/>
      <c r="H16" s="30" t="n"/>
      <c r="I16" s="30" t="n"/>
    </row>
    <row r="17">
      <c r="A17" s="33" t="n"/>
      <c r="B17" s="34" t="n"/>
      <c r="C17" s="34" t="n"/>
      <c r="D17" s="34" t="n"/>
      <c r="E17" s="362" t="n"/>
      <c r="F17" s="34" t="n"/>
      <c r="G17" s="40" t="n"/>
      <c r="H17" s="34" t="n"/>
      <c r="I17" s="34" t="n"/>
    </row>
    <row r="18">
      <c r="A18" s="29" t="n"/>
      <c r="B18" s="30" t="n"/>
      <c r="C18" s="30" t="n"/>
      <c r="D18" s="30" t="n"/>
      <c r="E18" s="361" t="n"/>
      <c r="F18" s="30" t="n"/>
      <c r="G18" s="38" t="n"/>
      <c r="H18" s="30" t="n"/>
      <c r="I18" s="30" t="n"/>
    </row>
    <row r="19">
      <c r="A19" s="33" t="n"/>
      <c r="B19" s="34" t="n"/>
      <c r="C19" s="34" t="n"/>
      <c r="D19" s="34" t="n"/>
      <c r="E19" s="362" t="n"/>
      <c r="F19" s="34" t="n"/>
      <c r="G19" s="40" t="n"/>
      <c r="H19" s="34" t="n"/>
      <c r="I19" s="34" t="n"/>
    </row>
    <row r="20">
      <c r="A20" s="29" t="n"/>
      <c r="B20" s="30" t="n"/>
      <c r="C20" s="30" t="n"/>
      <c r="D20" s="30" t="n"/>
      <c r="E20" s="361" t="n"/>
      <c r="F20" s="30" t="n"/>
      <c r="G20" s="38" t="n"/>
      <c r="H20" s="30" t="n"/>
      <c r="I20" s="30" t="n"/>
    </row>
    <row r="21">
      <c r="A21" s="33" t="n"/>
      <c r="B21" s="34" t="n"/>
      <c r="C21" s="34" t="n"/>
      <c r="D21" s="34" t="n"/>
      <c r="E21" s="362" t="n"/>
      <c r="F21" s="34" t="n"/>
      <c r="G21" s="40" t="n"/>
      <c r="H21" s="34" t="n"/>
      <c r="I21" s="34" t="n"/>
    </row>
    <row r="22">
      <c r="A22" s="29" t="n"/>
      <c r="B22" s="30" t="n"/>
      <c r="C22" s="30" t="n"/>
      <c r="D22" s="30" t="n"/>
      <c r="E22" s="361" t="n"/>
      <c r="F22" s="30" t="n"/>
      <c r="G22" s="38" t="n"/>
      <c r="H22" s="30" t="n"/>
      <c r="I22" s="30" t="n"/>
    </row>
    <row r="23">
      <c r="A23" s="33" t="n"/>
      <c r="B23" s="34" t="n"/>
      <c r="C23" s="34" t="n"/>
      <c r="D23" s="34" t="n"/>
      <c r="E23" s="362" t="n"/>
      <c r="F23" s="34" t="n"/>
      <c r="G23" s="40" t="n"/>
      <c r="H23" s="34" t="n"/>
      <c r="I23" s="34" t="n"/>
    </row>
    <row r="24">
      <c r="A24" s="29" t="n"/>
      <c r="B24" s="30" t="n"/>
      <c r="C24" s="30" t="n"/>
      <c r="D24" s="30" t="n"/>
      <c r="E24" s="361" t="n"/>
      <c r="F24" s="30" t="n"/>
      <c r="G24" s="38" t="n"/>
      <c r="H24" s="30" t="n"/>
      <c r="I24" s="30" t="n"/>
    </row>
    <row r="25">
      <c r="A25" s="33" t="n"/>
      <c r="B25" s="34" t="n"/>
      <c r="C25" s="34" t="n"/>
      <c r="D25" s="34" t="n"/>
      <c r="E25" s="362" t="n"/>
      <c r="F25" s="34" t="n"/>
      <c r="G25" s="40" t="n"/>
      <c r="H25" s="34" t="n"/>
      <c r="I25" s="34" t="n"/>
    </row>
    <row r="26">
      <c r="A26" s="29" t="n"/>
      <c r="B26" s="30" t="n"/>
      <c r="C26" s="30" t="n"/>
      <c r="D26" s="30" t="n"/>
      <c r="E26" s="361" t="n"/>
      <c r="F26" s="30" t="n"/>
      <c r="G26" s="38" t="n"/>
      <c r="H26" s="30" t="n"/>
      <c r="I26" s="30" t="n"/>
    </row>
    <row r="27">
      <c r="A27" s="33" t="n"/>
      <c r="B27" s="34" t="n"/>
      <c r="C27" s="34" t="n"/>
      <c r="D27" s="34" t="n"/>
      <c r="E27" s="362" t="n"/>
      <c r="F27" s="34" t="n"/>
      <c r="G27" s="40" t="n"/>
      <c r="H27" s="34" t="n"/>
      <c r="I27" s="34" t="n"/>
    </row>
    <row r="28">
      <c r="A28" s="29" t="n"/>
      <c r="B28" s="30" t="n"/>
      <c r="C28" s="30" t="n"/>
      <c r="D28" s="30" t="n"/>
      <c r="E28" s="361" t="n"/>
      <c r="F28" s="30" t="n"/>
      <c r="G28" s="38" t="n"/>
      <c r="H28" s="30" t="n"/>
      <c r="I28" s="30" t="n"/>
    </row>
    <row r="29">
      <c r="A29" s="33" t="n"/>
      <c r="B29" s="34" t="n"/>
      <c r="C29" s="34" t="n"/>
      <c r="D29" s="34" t="n"/>
      <c r="E29" s="362" t="n"/>
      <c r="F29" s="34" t="n"/>
      <c r="G29" s="40" t="n"/>
      <c r="H29" s="34" t="n"/>
      <c r="I29" s="34" t="n"/>
    </row>
    <row r="30">
      <c r="A30" s="29" t="n"/>
      <c r="B30" s="30" t="n"/>
      <c r="C30" s="30" t="n"/>
      <c r="D30" s="30" t="n"/>
      <c r="E30" s="361" t="n"/>
      <c r="F30" s="30" t="n"/>
      <c r="G30" s="38" t="n"/>
      <c r="H30" s="30" t="n"/>
      <c r="I30" s="30" t="n"/>
    </row>
    <row r="31">
      <c r="A31" s="33" t="n"/>
      <c r="B31" s="34" t="n"/>
      <c r="C31" s="34" t="n"/>
      <c r="D31" s="34" t="n"/>
      <c r="E31" s="362" t="n"/>
      <c r="F31" s="34" t="n"/>
      <c r="G31" s="40" t="n"/>
      <c r="H31" s="34" t="n"/>
      <c r="I31" s="34" t="n"/>
    </row>
    <row r="32">
      <c r="A32" s="29" t="n"/>
      <c r="B32" s="30" t="n"/>
      <c r="C32" s="30" t="n"/>
      <c r="D32" s="30" t="n"/>
      <c r="E32" s="361" t="n"/>
      <c r="F32" s="30" t="n"/>
      <c r="G32" s="38" t="n"/>
      <c r="H32" s="30" t="n"/>
      <c r="I32" s="30" t="n"/>
    </row>
    <row r="33">
      <c r="A33" s="33" t="n"/>
      <c r="B33" s="34" t="n"/>
      <c r="C33" s="34" t="n"/>
      <c r="D33" s="34" t="n"/>
      <c r="E33" s="362" t="n"/>
      <c r="F33" s="34" t="n"/>
      <c r="G33" s="40" t="n"/>
      <c r="H33" s="34" t="n"/>
      <c r="I33" s="34" t="n"/>
    </row>
    <row r="34">
      <c r="A34" s="29" t="n"/>
      <c r="B34" s="30" t="n"/>
      <c r="C34" s="30" t="n"/>
      <c r="D34" s="30" t="n"/>
      <c r="E34" s="361" t="n"/>
      <c r="F34" s="30" t="n"/>
      <c r="G34" s="38" t="n"/>
      <c r="H34" s="30" t="n"/>
      <c r="I34" s="30" t="n"/>
    </row>
    <row r="35">
      <c r="A35" s="33" t="n"/>
      <c r="B35" s="34" t="n"/>
      <c r="C35" s="34" t="n"/>
      <c r="D35" s="34" t="n"/>
      <c r="E35" s="362" t="n"/>
      <c r="F35" s="34" t="n"/>
      <c r="G35" s="40" t="n"/>
      <c r="H35" s="34" t="n"/>
      <c r="I35" s="34" t="n"/>
    </row>
    <row r="36">
      <c r="A36" s="29" t="n"/>
      <c r="B36" s="30" t="n"/>
      <c r="C36" s="30" t="n"/>
      <c r="D36" s="30" t="n"/>
      <c r="E36" s="361" t="n"/>
      <c r="F36" s="30" t="n"/>
      <c r="G36" s="38" t="n"/>
      <c r="H36" s="30" t="n"/>
      <c r="I36" s="30" t="n"/>
    </row>
    <row r="37">
      <c r="A37" s="33" t="n"/>
      <c r="B37" s="34" t="n"/>
      <c r="C37" s="34" t="n"/>
      <c r="D37" s="34" t="n"/>
      <c r="E37" s="362" t="n"/>
      <c r="F37" s="34" t="n"/>
      <c r="G37" s="40" t="n"/>
      <c r="H37" s="34" t="n"/>
      <c r="I37" s="34" t="n"/>
    </row>
    <row r="38">
      <c r="A38" s="29" t="n"/>
      <c r="B38" s="30" t="n"/>
      <c r="C38" s="30" t="n"/>
      <c r="D38" s="30" t="n"/>
      <c r="E38" s="361" t="n"/>
      <c r="F38" s="30" t="n"/>
      <c r="G38" s="38" t="n"/>
      <c r="H38" s="30" t="n"/>
      <c r="I38" s="30" t="n"/>
    </row>
    <row r="39">
      <c r="A39" s="33" t="n"/>
      <c r="B39" s="34" t="n"/>
      <c r="C39" s="34" t="n"/>
      <c r="D39" s="34" t="n"/>
      <c r="E39" s="362" t="n"/>
      <c r="F39" s="34" t="n"/>
      <c r="G39" s="40" t="n"/>
      <c r="H39" s="34" t="n"/>
      <c r="I39" s="34" t="n"/>
    </row>
    <row r="40">
      <c r="A40" s="29" t="n"/>
      <c r="B40" s="30" t="n"/>
      <c r="C40" s="30" t="n"/>
      <c r="D40" s="30" t="n"/>
      <c r="E40" s="361" t="n"/>
      <c r="F40" s="30" t="n"/>
      <c r="G40" s="38" t="n"/>
      <c r="H40" s="30" t="n"/>
      <c r="I40" s="30" t="n"/>
    </row>
    <row r="41">
      <c r="A41" s="33" t="n"/>
      <c r="B41" s="34" t="n"/>
      <c r="C41" s="34" t="n"/>
      <c r="D41" s="34" t="n"/>
      <c r="E41" s="362" t="n"/>
      <c r="F41" s="34" t="n"/>
      <c r="G41" s="40" t="n"/>
      <c r="H41" s="34" t="n"/>
      <c r="I41" s="34" t="n"/>
    </row>
    <row r="42">
      <c r="A42" s="29" t="n"/>
      <c r="B42" s="30" t="n"/>
      <c r="C42" s="30" t="n"/>
      <c r="D42" s="30" t="n"/>
      <c r="E42" s="361" t="n"/>
      <c r="F42" s="30" t="n"/>
      <c r="G42" s="38" t="n"/>
      <c r="H42" s="30" t="n"/>
      <c r="I42" s="30" t="n"/>
    </row>
    <row r="43">
      <c r="A43" s="33" t="n"/>
      <c r="B43" s="34" t="n"/>
      <c r="C43" s="34" t="n"/>
      <c r="D43" s="34" t="n"/>
      <c r="E43" s="362" t="n"/>
      <c r="F43" s="34" t="n"/>
      <c r="G43" s="40" t="n"/>
      <c r="H43" s="34" t="n"/>
      <c r="I43" s="34" t="n"/>
    </row>
    <row r="44">
      <c r="A44" s="29" t="n"/>
      <c r="B44" s="30" t="n"/>
      <c r="C44" s="30" t="n"/>
      <c r="D44" s="30" t="n"/>
      <c r="E44" s="361" t="n"/>
      <c r="F44" s="30" t="n"/>
      <c r="G44" s="38" t="n"/>
      <c r="H44" s="30" t="n"/>
      <c r="I44" s="30" t="n"/>
    </row>
    <row r="45">
      <c r="A45" s="33" t="n"/>
      <c r="B45" s="34" t="n"/>
      <c r="C45" s="34" t="n"/>
      <c r="D45" s="34" t="n"/>
      <c r="E45" s="362" t="n"/>
      <c r="F45" s="34" t="n"/>
      <c r="G45" s="40" t="n"/>
      <c r="H45" s="34" t="n"/>
      <c r="I45" s="34" t="n"/>
    </row>
    <row r="46">
      <c r="A46" s="29" t="n"/>
      <c r="B46" s="30" t="n"/>
      <c r="C46" s="30" t="n"/>
      <c r="D46" s="30" t="n"/>
      <c r="E46" s="361" t="n"/>
      <c r="F46" s="30" t="n"/>
      <c r="G46" s="38" t="n"/>
      <c r="H46" s="30" t="n"/>
      <c r="I46" s="30" t="n"/>
    </row>
    <row r="47">
      <c r="A47" s="33" t="n"/>
      <c r="B47" s="34" t="n"/>
      <c r="C47" s="34" t="n"/>
      <c r="D47" s="34" t="n"/>
      <c r="E47" s="362" t="n"/>
      <c r="F47" s="34" t="n"/>
      <c r="G47" s="40" t="n"/>
      <c r="H47" s="34" t="n"/>
      <c r="I47" s="34" t="n"/>
    </row>
    <row r="48">
      <c r="A48" s="29" t="n"/>
      <c r="B48" s="30" t="n"/>
      <c r="C48" s="30" t="n"/>
      <c r="D48" s="30" t="n"/>
      <c r="E48" s="361" t="n"/>
      <c r="F48" s="30" t="n"/>
      <c r="G48" s="38" t="n"/>
      <c r="H48" s="30" t="n"/>
      <c r="I48" s="30" t="n"/>
    </row>
    <row r="49">
      <c r="A49" s="33" t="n"/>
      <c r="B49" s="34" t="n"/>
      <c r="C49" s="34" t="n"/>
      <c r="D49" s="34" t="n"/>
      <c r="E49" s="362" t="n"/>
      <c r="F49" s="34" t="n"/>
      <c r="G49" s="40" t="n"/>
      <c r="H49" s="34" t="n"/>
      <c r="I49" s="34" t="n"/>
    </row>
    <row r="50">
      <c r="A50" s="29" t="n"/>
      <c r="B50" s="30" t="n"/>
      <c r="C50" s="30" t="n"/>
      <c r="D50" s="30" t="n"/>
      <c r="E50" s="361" t="n"/>
      <c r="F50" s="30" t="n"/>
      <c r="G50" s="38" t="n"/>
      <c r="H50" s="30" t="n"/>
      <c r="I50" s="30" t="n"/>
    </row>
    <row r="51">
      <c r="A51" s="33" t="n"/>
      <c r="B51" s="34" t="n"/>
      <c r="C51" s="34" t="n"/>
      <c r="D51" s="34" t="n"/>
      <c r="E51" s="362" t="n"/>
      <c r="F51" s="34" t="n"/>
      <c r="G51" s="40" t="n"/>
      <c r="H51" s="34" t="n"/>
      <c r="I51" s="34" t="n"/>
    </row>
    <row r="52">
      <c r="A52" s="29" t="n"/>
      <c r="B52" s="30" t="n"/>
      <c r="C52" s="30" t="n"/>
      <c r="D52" s="30" t="n"/>
      <c r="E52" s="361" t="n"/>
      <c r="F52" s="30" t="n"/>
      <c r="G52" s="38" t="n"/>
      <c r="H52" s="30" t="n"/>
      <c r="I52" s="30" t="n"/>
    </row>
    <row r="53">
      <c r="A53" s="33" t="n"/>
      <c r="B53" s="34" t="n"/>
      <c r="C53" s="34" t="n"/>
      <c r="D53" s="34" t="n"/>
      <c r="E53" s="362" t="n"/>
      <c r="F53" s="34" t="n"/>
      <c r="G53" s="40" t="n"/>
      <c r="H53" s="34" t="n"/>
      <c r="I53" s="34" t="n"/>
    </row>
    <row r="54">
      <c r="A54" s="29" t="n"/>
      <c r="B54" s="30" t="n"/>
      <c r="C54" s="30" t="n"/>
      <c r="D54" s="30" t="n"/>
      <c r="E54" s="361" t="n"/>
      <c r="F54" s="30" t="n"/>
      <c r="G54" s="38" t="n"/>
      <c r="H54" s="30" t="n"/>
      <c r="I54" s="30" t="n"/>
    </row>
    <row r="55">
      <c r="A55" s="33" t="n"/>
      <c r="B55" s="34" t="n"/>
      <c r="C55" s="34" t="n"/>
      <c r="D55" s="34" t="n"/>
      <c r="E55" s="362" t="n"/>
      <c r="F55" s="34" t="n"/>
      <c r="G55" s="40" t="n"/>
      <c r="H55" s="34" t="n"/>
      <c r="I55" s="34" t="n"/>
    </row>
    <row r="56">
      <c r="A56" s="29" t="n"/>
      <c r="B56" s="30" t="n"/>
      <c r="C56" s="30" t="n"/>
      <c r="D56" s="30" t="n"/>
      <c r="E56" s="361" t="n"/>
      <c r="F56" s="30" t="n"/>
      <c r="G56" s="38" t="n"/>
      <c r="H56" s="30" t="n"/>
      <c r="I56" s="30" t="n"/>
    </row>
    <row r="57">
      <c r="A57" s="33" t="n"/>
      <c r="B57" s="34" t="n"/>
      <c r="C57" s="34" t="n"/>
      <c r="D57" s="34" t="n"/>
      <c r="E57" s="362" t="n"/>
      <c r="F57" s="34" t="n"/>
      <c r="G57" s="40" t="n"/>
      <c r="H57" s="34" t="n"/>
      <c r="I57" s="34" t="n"/>
    </row>
    <row r="58">
      <c r="A58" s="29" t="n"/>
      <c r="B58" s="30" t="n"/>
      <c r="C58" s="30" t="n"/>
      <c r="D58" s="30" t="n"/>
      <c r="E58" s="361" t="n"/>
      <c r="F58" s="30" t="n"/>
      <c r="G58" s="38" t="n"/>
      <c r="H58" s="30" t="n"/>
      <c r="I58" s="30" t="n"/>
    </row>
    <row r="59">
      <c r="A59" s="33" t="n"/>
      <c r="B59" s="34" t="n"/>
      <c r="C59" s="34" t="n"/>
      <c r="D59" s="34" t="n"/>
      <c r="E59" s="362" t="n"/>
      <c r="F59" s="34" t="n"/>
      <c r="G59" s="40" t="n"/>
      <c r="H59" s="34" t="n"/>
      <c r="I59" s="34" t="n"/>
    </row>
    <row r="60">
      <c r="A60" s="29" t="n"/>
      <c r="B60" s="30" t="n"/>
      <c r="C60" s="30" t="n"/>
      <c r="D60" s="30" t="n"/>
      <c r="E60" s="361" t="n"/>
      <c r="F60" s="30" t="n"/>
      <c r="G60" s="38" t="n"/>
      <c r="H60" s="30" t="n"/>
      <c r="I60" s="30" t="n"/>
    </row>
    <row r="61">
      <c r="A61" s="33" t="n"/>
      <c r="B61" s="34" t="n"/>
      <c r="C61" s="34" t="n"/>
      <c r="D61" s="34" t="n"/>
      <c r="E61" s="362" t="n"/>
      <c r="F61" s="34" t="n"/>
      <c r="G61" s="40" t="n"/>
      <c r="H61" s="34" t="n"/>
      <c r="I61" s="34" t="n"/>
    </row>
    <row r="62">
      <c r="A62" s="29" t="n"/>
      <c r="B62" s="30" t="n"/>
      <c r="C62" s="30" t="n"/>
      <c r="D62" s="30" t="n"/>
      <c r="E62" s="361" t="n"/>
      <c r="F62" s="30" t="n"/>
      <c r="G62" s="38" t="n"/>
      <c r="H62" s="30" t="n"/>
      <c r="I62" s="30" t="n"/>
    </row>
    <row r="63">
      <c r="A63" s="33" t="n"/>
      <c r="B63" s="34" t="n"/>
      <c r="C63" s="34" t="n"/>
      <c r="D63" s="34" t="n"/>
      <c r="E63" s="362" t="n"/>
      <c r="F63" s="34" t="n"/>
      <c r="G63" s="40" t="n"/>
      <c r="H63" s="34" t="n"/>
      <c r="I63" s="34" t="n"/>
    </row>
    <row r="64">
      <c r="A64" s="29" t="n"/>
      <c r="B64" s="30" t="n"/>
      <c r="C64" s="30" t="n"/>
      <c r="D64" s="30" t="n"/>
      <c r="E64" s="361" t="n"/>
      <c r="F64" s="30" t="n"/>
      <c r="G64" s="38" t="n"/>
      <c r="H64" s="30" t="n"/>
      <c r="I64" s="30" t="n"/>
    </row>
    <row r="65">
      <c r="A65" s="33" t="n"/>
      <c r="B65" s="34" t="n"/>
      <c r="C65" s="34" t="n"/>
      <c r="D65" s="34" t="n"/>
      <c r="E65" s="362" t="n"/>
      <c r="F65" s="34" t="n"/>
      <c r="G65" s="40" t="n"/>
      <c r="H65" s="34" t="n"/>
      <c r="I65" s="34" t="n"/>
    </row>
    <row r="66">
      <c r="A66" s="29" t="n"/>
      <c r="B66" s="30" t="n"/>
      <c r="C66" s="30" t="n"/>
      <c r="D66" s="30" t="n"/>
      <c r="E66" s="361" t="n"/>
      <c r="F66" s="30" t="n"/>
      <c r="G66" s="38" t="n"/>
      <c r="H66" s="30" t="n"/>
      <c r="I66" s="30" t="n"/>
    </row>
    <row r="67">
      <c r="A67" s="33" t="n"/>
      <c r="B67" s="34" t="n"/>
      <c r="C67" s="34" t="n"/>
      <c r="D67" s="34" t="n"/>
      <c r="E67" s="362" t="n"/>
      <c r="F67" s="34" t="n"/>
      <c r="G67" s="40" t="n"/>
      <c r="H67" s="34" t="n"/>
      <c r="I67" s="34" t="n"/>
    </row>
    <row r="68">
      <c r="A68" s="29" t="n"/>
      <c r="B68" s="30" t="n"/>
      <c r="C68" s="30" t="n"/>
      <c r="D68" s="30" t="n"/>
      <c r="E68" s="361" t="n"/>
      <c r="F68" s="30" t="n"/>
      <c r="G68" s="38" t="n"/>
      <c r="H68" s="30" t="n"/>
      <c r="I68" s="30" t="n"/>
    </row>
    <row r="69">
      <c r="A69" s="33" t="n"/>
      <c r="B69" s="34" t="n"/>
      <c r="C69" s="34" t="n"/>
      <c r="D69" s="34" t="n"/>
      <c r="E69" s="362" t="n"/>
      <c r="F69" s="34" t="n"/>
      <c r="G69" s="40" t="n"/>
      <c r="H69" s="34" t="n"/>
      <c r="I69" s="34" t="n"/>
    </row>
    <row r="70">
      <c r="A70" s="29" t="n"/>
      <c r="B70" s="30" t="n"/>
      <c r="C70" s="30" t="n"/>
      <c r="D70" s="30" t="n"/>
      <c r="E70" s="361" t="n"/>
      <c r="F70" s="30" t="n"/>
      <c r="G70" s="38" t="n"/>
      <c r="H70" s="30" t="n"/>
      <c r="I70" s="30" t="n"/>
    </row>
    <row r="71">
      <c r="A71" s="33" t="n"/>
      <c r="B71" s="34" t="n"/>
      <c r="C71" s="34" t="n"/>
      <c r="D71" s="34" t="n"/>
      <c r="E71" s="362" t="n"/>
      <c r="F71" s="34" t="n"/>
      <c r="G71" s="40" t="n"/>
      <c r="H71" s="34" t="n"/>
      <c r="I71" s="34" t="n"/>
    </row>
    <row r="72">
      <c r="A72" s="29" t="n"/>
      <c r="B72" s="30" t="n"/>
      <c r="C72" s="30" t="n"/>
      <c r="D72" s="30" t="n"/>
      <c r="E72" s="361" t="n"/>
      <c r="F72" s="30" t="n"/>
      <c r="G72" s="38" t="n"/>
      <c r="H72" s="30" t="n"/>
      <c r="I72" s="30" t="n"/>
    </row>
    <row r="73">
      <c r="A73" s="33" t="n"/>
      <c r="B73" s="34" t="n"/>
      <c r="C73" s="34" t="n"/>
      <c r="D73" s="34" t="n"/>
      <c r="E73" s="362" t="n"/>
      <c r="F73" s="34" t="n"/>
      <c r="G73" s="40" t="n"/>
      <c r="H73" s="34" t="n"/>
      <c r="I73" s="34" t="n"/>
    </row>
    <row r="74">
      <c r="A74" s="29" t="n"/>
      <c r="B74" s="30" t="n"/>
      <c r="C74" s="30" t="n"/>
      <c r="D74" s="30" t="n"/>
      <c r="E74" s="361" t="n"/>
      <c r="F74" s="30" t="n"/>
      <c r="G74" s="38" t="n"/>
      <c r="H74" s="30" t="n"/>
      <c r="I74" s="30" t="n"/>
    </row>
    <row r="75">
      <c r="A75" s="33" t="n"/>
      <c r="B75" s="34" t="n"/>
      <c r="C75" s="34" t="n"/>
      <c r="D75" s="34" t="n"/>
      <c r="E75" s="362" t="n"/>
      <c r="F75" s="34" t="n"/>
      <c r="G75" s="40" t="n"/>
      <c r="H75" s="34" t="n"/>
      <c r="I75" s="34" t="n"/>
    </row>
    <row r="76">
      <c r="A76" s="29" t="n"/>
      <c r="B76" s="30" t="n"/>
      <c r="C76" s="30" t="n"/>
      <c r="D76" s="30" t="n"/>
      <c r="E76" s="361" t="n"/>
      <c r="F76" s="30" t="n"/>
      <c r="G76" s="38" t="n"/>
      <c r="H76" s="30" t="n"/>
      <c r="I76" s="30" t="n"/>
    </row>
    <row r="77">
      <c r="A77" s="33" t="n"/>
      <c r="B77" s="34" t="n"/>
      <c r="C77" s="34" t="n"/>
      <c r="D77" s="34" t="n"/>
      <c r="E77" s="362" t="n"/>
      <c r="F77" s="34" t="n"/>
      <c r="G77" s="40" t="n"/>
      <c r="H77" s="34" t="n"/>
      <c r="I77" s="34" t="n"/>
    </row>
    <row r="78">
      <c r="A78" s="29" t="n"/>
      <c r="B78" s="30" t="n"/>
      <c r="C78" s="30" t="n"/>
      <c r="D78" s="30" t="n"/>
      <c r="E78" s="361" t="n"/>
      <c r="F78" s="30" t="n"/>
      <c r="G78" s="38" t="n"/>
      <c r="H78" s="30" t="n"/>
      <c r="I78" s="30" t="n"/>
    </row>
    <row r="79">
      <c r="A79" s="33" t="n"/>
      <c r="B79" s="34" t="n"/>
      <c r="C79" s="34" t="n"/>
      <c r="D79" s="34" t="n"/>
      <c r="E79" s="362" t="n"/>
      <c r="F79" s="34" t="n"/>
      <c r="G79" s="40" t="n"/>
      <c r="H79" s="34" t="n"/>
      <c r="I79" s="34" t="n"/>
    </row>
    <row r="80">
      <c r="A80" s="29" t="n"/>
      <c r="B80" s="30" t="n"/>
      <c r="C80" s="30" t="n"/>
      <c r="D80" s="30" t="n"/>
      <c r="E80" s="361" t="n"/>
      <c r="F80" s="30" t="n"/>
      <c r="G80" s="38" t="n"/>
      <c r="H80" s="30" t="n"/>
      <c r="I80" s="30" t="n"/>
    </row>
    <row r="81">
      <c r="A81" s="33" t="n"/>
      <c r="B81" s="34" t="n"/>
      <c r="C81" s="34" t="n"/>
      <c r="D81" s="34" t="n"/>
      <c r="E81" s="362" t="n"/>
      <c r="F81" s="34" t="n"/>
      <c r="G81" s="40" t="n"/>
      <c r="H81" s="34" t="n"/>
      <c r="I81" s="34" t="n"/>
    </row>
    <row r="82">
      <c r="A82" s="29" t="n"/>
      <c r="B82" s="30" t="n"/>
      <c r="C82" s="30" t="n"/>
      <c r="D82" s="30" t="n"/>
      <c r="E82" s="361" t="n"/>
      <c r="F82" s="30" t="n"/>
      <c r="G82" s="38" t="n"/>
      <c r="H82" s="30" t="n"/>
      <c r="I82" s="30" t="n"/>
    </row>
    <row r="83">
      <c r="A83" s="33" t="n"/>
      <c r="B83" s="34" t="n"/>
      <c r="C83" s="34" t="n"/>
      <c r="D83" s="34" t="n"/>
      <c r="E83" s="362" t="n"/>
      <c r="F83" s="34" t="n"/>
      <c r="G83" s="40" t="n"/>
      <c r="H83" s="34" t="n"/>
      <c r="I83" s="34" t="n"/>
    </row>
    <row r="84">
      <c r="A84" s="29" t="n"/>
      <c r="B84" s="30" t="n"/>
      <c r="C84" s="30" t="n"/>
      <c r="D84" s="30" t="n"/>
      <c r="E84" s="361" t="n"/>
      <c r="F84" s="30" t="n"/>
      <c r="G84" s="38" t="n"/>
      <c r="H84" s="30" t="n"/>
      <c r="I84" s="30" t="n"/>
    </row>
    <row r="85">
      <c r="A85" s="33" t="n"/>
      <c r="B85" s="34" t="n"/>
      <c r="C85" s="34" t="n"/>
      <c r="D85" s="34" t="n"/>
      <c r="E85" s="362" t="n"/>
      <c r="F85" s="34" t="n"/>
      <c r="G85" s="40" t="n"/>
      <c r="H85" s="34" t="n"/>
      <c r="I85" s="34" t="n"/>
    </row>
    <row r="86">
      <c r="A86" s="29" t="n"/>
      <c r="B86" s="30" t="n"/>
      <c r="C86" s="30" t="n"/>
      <c r="D86" s="30" t="n"/>
      <c r="E86" s="361" t="n"/>
      <c r="F86" s="30" t="n"/>
      <c r="G86" s="38" t="n"/>
      <c r="H86" s="30" t="n"/>
      <c r="I86" s="30" t="n"/>
    </row>
    <row r="87">
      <c r="A87" s="33" t="n"/>
      <c r="B87" s="34" t="n"/>
      <c r="C87" s="34" t="n"/>
      <c r="D87" s="34" t="n"/>
      <c r="E87" s="362" t="n"/>
      <c r="F87" s="34" t="n"/>
      <c r="G87" s="40" t="n"/>
      <c r="H87" s="34" t="n"/>
      <c r="I87" s="34" t="n"/>
    </row>
    <row r="88">
      <c r="A88" s="29" t="n"/>
      <c r="B88" s="30" t="n"/>
      <c r="C88" s="30" t="n"/>
      <c r="D88" s="30" t="n"/>
      <c r="E88" s="361" t="n"/>
      <c r="F88" s="30" t="n"/>
      <c r="G88" s="38" t="n"/>
      <c r="H88" s="30" t="n"/>
      <c r="I88" s="30" t="n"/>
    </row>
    <row r="89">
      <c r="A89" s="33" t="n"/>
      <c r="B89" s="34" t="n"/>
      <c r="C89" s="34" t="n"/>
      <c r="D89" s="34" t="n"/>
      <c r="E89" s="362" t="n"/>
      <c r="F89" s="34" t="n"/>
      <c r="G89" s="40" t="n"/>
      <c r="H89" s="34" t="n"/>
      <c r="I89" s="34" t="n"/>
    </row>
    <row r="90">
      <c r="A90" s="29" t="n"/>
      <c r="B90" s="30" t="n"/>
      <c r="C90" s="30" t="n"/>
      <c r="D90" s="30" t="n"/>
      <c r="E90" s="361" t="n"/>
      <c r="F90" s="30" t="n"/>
      <c r="G90" s="38" t="n"/>
      <c r="H90" s="30" t="n"/>
      <c r="I90" s="30" t="n"/>
    </row>
    <row r="91">
      <c r="A91" s="33" t="n"/>
      <c r="B91" s="34" t="n"/>
      <c r="C91" s="34" t="n"/>
      <c r="D91" s="34" t="n"/>
      <c r="E91" s="362" t="n"/>
      <c r="F91" s="34" t="n"/>
      <c r="G91" s="40" t="n"/>
      <c r="H91" s="34" t="n"/>
      <c r="I91" s="34" t="n"/>
    </row>
    <row r="92">
      <c r="A92" s="29" t="n"/>
      <c r="B92" s="30" t="n"/>
      <c r="C92" s="30" t="n"/>
      <c r="D92" s="30" t="n"/>
      <c r="E92" s="361" t="n"/>
      <c r="F92" s="30" t="n"/>
      <c r="G92" s="38" t="n"/>
      <c r="H92" s="30" t="n"/>
      <c r="I92" s="30" t="n"/>
    </row>
    <row r="93">
      <c r="A93" s="33" t="n"/>
      <c r="B93" s="34" t="n"/>
      <c r="C93" s="34" t="n"/>
      <c r="D93" s="34" t="n"/>
      <c r="E93" s="362" t="n"/>
      <c r="F93" s="34" t="n"/>
      <c r="G93" s="40" t="n"/>
      <c r="H93" s="34" t="n"/>
      <c r="I93" s="34" t="n"/>
    </row>
    <row r="94">
      <c r="A94" s="29" t="n"/>
      <c r="B94" s="30" t="n"/>
      <c r="C94" s="30" t="n"/>
      <c r="D94" s="30" t="n"/>
      <c r="E94" s="361" t="n"/>
      <c r="F94" s="30" t="n"/>
      <c r="G94" s="38" t="n"/>
      <c r="H94" s="30" t="n"/>
      <c r="I94" s="30" t="n"/>
    </row>
    <row r="95">
      <c r="A95" s="33" t="n"/>
      <c r="B95" s="34" t="n"/>
      <c r="C95" s="34" t="n"/>
      <c r="D95" s="34" t="n"/>
      <c r="E95" s="362" t="n"/>
      <c r="F95" s="34" t="n"/>
      <c r="G95" s="40" t="n"/>
      <c r="H95" s="34" t="n"/>
      <c r="I95" s="34" t="n"/>
    </row>
    <row r="96">
      <c r="A96" s="29" t="n"/>
      <c r="B96" s="30" t="n"/>
      <c r="C96" s="30" t="n"/>
      <c r="D96" s="30" t="n"/>
      <c r="E96" s="361" t="n"/>
      <c r="F96" s="30" t="n"/>
      <c r="G96" s="38" t="n"/>
      <c r="H96" s="30" t="n"/>
      <c r="I96" s="30" t="n"/>
    </row>
    <row r="97">
      <c r="A97" s="33" t="n"/>
      <c r="B97" s="34" t="n"/>
      <c r="C97" s="34" t="n"/>
      <c r="D97" s="34" t="n"/>
      <c r="E97" s="362" t="n"/>
      <c r="F97" s="34" t="n"/>
      <c r="G97" s="40" t="n"/>
      <c r="H97" s="34" t="n"/>
      <c r="I97" s="34" t="n"/>
    </row>
    <row r="98">
      <c r="A98" s="29" t="n"/>
      <c r="B98" s="30" t="n"/>
      <c r="C98" s="30" t="n"/>
      <c r="D98" s="30" t="n"/>
      <c r="E98" s="361" t="n"/>
      <c r="F98" s="30" t="n"/>
      <c r="G98" s="38" t="n"/>
      <c r="H98" s="30" t="n"/>
      <c r="I98" s="30" t="n"/>
    </row>
    <row r="99">
      <c r="A99" s="33" t="n"/>
      <c r="B99" s="34" t="n"/>
      <c r="C99" s="34" t="n"/>
      <c r="D99" s="34" t="n"/>
      <c r="E99" s="362" t="n"/>
      <c r="F99" s="34" t="n"/>
      <c r="G99" s="40" t="n"/>
      <c r="H99" s="34" t="n"/>
      <c r="I99" s="34" t="n"/>
    </row>
    <row r="100">
      <c r="A100" s="29" t="n"/>
      <c r="B100" s="30" t="n"/>
      <c r="C100" s="30" t="n"/>
      <c r="D100" s="30" t="n"/>
      <c r="E100" s="361" t="n"/>
      <c r="F100" s="30" t="n"/>
      <c r="G100" s="38" t="n"/>
      <c r="H100" s="30" t="n"/>
      <c r="I100" s="30" t="n"/>
    </row>
    <row r="101">
      <c r="A101" s="33" t="n"/>
      <c r="B101" s="34" t="n"/>
      <c r="C101" s="34" t="n"/>
      <c r="D101" s="34" t="n"/>
      <c r="E101" s="362" t="n"/>
      <c r="F101" s="34" t="n"/>
      <c r="G101" s="40" t="n"/>
      <c r="H101" s="34" t="n"/>
      <c r="I101" s="34" t="n"/>
    </row>
    <row r="102">
      <c r="A102" s="29" t="n"/>
      <c r="B102" s="30" t="n"/>
      <c r="C102" s="30" t="n"/>
      <c r="D102" s="30" t="n"/>
      <c r="E102" s="361" t="n"/>
      <c r="F102" s="30" t="n"/>
      <c r="G102" s="38" t="n"/>
      <c r="H102" s="30" t="n"/>
      <c r="I102" s="30" t="n"/>
    </row>
    <row r="103">
      <c r="A103" s="33" t="n"/>
      <c r="B103" s="34" t="n"/>
      <c r="C103" s="34" t="n"/>
      <c r="D103" s="34" t="n"/>
      <c r="E103" s="362" t="n"/>
      <c r="F103" s="34" t="n"/>
      <c r="G103" s="40" t="n"/>
      <c r="H103" s="34" t="n"/>
      <c r="I103" s="34" t="n"/>
    </row>
    <row r="104">
      <c r="A104" s="29" t="n"/>
      <c r="B104" s="30" t="n"/>
      <c r="C104" s="30" t="n"/>
      <c r="D104" s="30" t="n"/>
      <c r="E104" s="361" t="n"/>
      <c r="F104" s="30" t="n"/>
      <c r="G104" s="38" t="n"/>
      <c r="H104" s="30" t="n"/>
      <c r="I104" s="30" t="n"/>
    </row>
    <row r="105">
      <c r="A105" s="33" t="n"/>
      <c r="B105" s="34" t="n"/>
      <c r="C105" s="34" t="n"/>
      <c r="D105" s="34" t="n"/>
      <c r="E105" s="362" t="n"/>
      <c r="F105" s="34" t="n"/>
      <c r="G105" s="40" t="n"/>
      <c r="H105" s="34" t="n"/>
      <c r="I105" s="34" t="n"/>
    </row>
    <row r="106">
      <c r="A106" s="29" t="n"/>
      <c r="B106" s="30" t="n"/>
      <c r="C106" s="30" t="n"/>
      <c r="D106" s="30" t="n"/>
      <c r="E106" s="361" t="n"/>
      <c r="F106" s="30" t="n"/>
      <c r="G106" s="38" t="n"/>
      <c r="H106" s="30" t="n"/>
      <c r="I106" s="30" t="n"/>
    </row>
    <row r="107">
      <c r="A107" s="33" t="n"/>
      <c r="B107" s="34" t="n"/>
      <c r="C107" s="34" t="n"/>
      <c r="D107" s="34" t="n"/>
      <c r="E107" s="362" t="n"/>
      <c r="F107" s="34" t="n"/>
      <c r="G107" s="40" t="n"/>
      <c r="H107" s="34" t="n"/>
      <c r="I107" s="34" t="n"/>
    </row>
    <row r="108">
      <c r="A108" s="29" t="n"/>
      <c r="B108" s="30" t="n"/>
      <c r="C108" s="30" t="n"/>
      <c r="D108" s="30" t="n"/>
      <c r="E108" s="361" t="n"/>
      <c r="F108" s="30" t="n"/>
      <c r="G108" s="38" t="n"/>
      <c r="H108" s="30" t="n"/>
      <c r="I108" s="30" t="n"/>
    </row>
    <row r="109">
      <c r="A109" s="33" t="n"/>
      <c r="B109" s="34" t="n"/>
      <c r="C109" s="34" t="n"/>
      <c r="D109" s="34" t="n"/>
      <c r="E109" s="362" t="n"/>
      <c r="F109" s="34" t="n"/>
      <c r="G109" s="40" t="n"/>
      <c r="H109" s="34" t="n"/>
      <c r="I109" s="34" t="n"/>
    </row>
    <row r="110">
      <c r="A110" s="29" t="n"/>
      <c r="B110" s="30" t="n"/>
      <c r="C110" s="30" t="n"/>
      <c r="D110" s="30" t="n"/>
      <c r="E110" s="361" t="n"/>
      <c r="F110" s="30" t="n"/>
      <c r="G110" s="38" t="n"/>
      <c r="H110" s="30" t="n"/>
      <c r="I110" s="30" t="n"/>
    </row>
    <row r="111">
      <c r="A111" s="33" t="n"/>
      <c r="B111" s="34" t="n"/>
      <c r="C111" s="34" t="n"/>
      <c r="D111" s="34" t="n"/>
      <c r="E111" s="362" t="n"/>
      <c r="F111" s="34" t="n"/>
      <c r="G111" s="40" t="n"/>
      <c r="H111" s="34" t="n"/>
      <c r="I111" s="34" t="n"/>
    </row>
    <row r="112">
      <c r="A112" s="29" t="n"/>
      <c r="B112" s="30" t="n"/>
      <c r="C112" s="30" t="n"/>
      <c r="D112" s="30" t="n"/>
      <c r="E112" s="361" t="n"/>
      <c r="F112" s="30" t="n"/>
      <c r="G112" s="38" t="n"/>
      <c r="H112" s="30" t="n"/>
      <c r="I112" s="30" t="n"/>
    </row>
    <row r="113">
      <c r="A113" s="33" t="n"/>
      <c r="B113" s="34" t="n"/>
      <c r="C113" s="34" t="n"/>
      <c r="D113" s="34" t="n"/>
      <c r="E113" s="362" t="n"/>
      <c r="F113" s="34" t="n"/>
      <c r="G113" s="40" t="n"/>
      <c r="H113" s="34" t="n"/>
      <c r="I113" s="34" t="n"/>
    </row>
    <row r="114">
      <c r="A114" s="29" t="n"/>
      <c r="B114" s="30" t="n"/>
      <c r="C114" s="30" t="n"/>
      <c r="D114" s="30" t="n"/>
      <c r="E114" s="361" t="n"/>
      <c r="F114" s="30" t="n"/>
      <c r="G114" s="38" t="n"/>
      <c r="H114" s="30" t="n"/>
      <c r="I114" s="30" t="n"/>
    </row>
    <row r="115">
      <c r="A115" s="33" t="n"/>
      <c r="B115" s="34" t="n"/>
      <c r="C115" s="34" t="n"/>
      <c r="D115" s="34" t="n"/>
      <c r="E115" s="362" t="n"/>
      <c r="F115" s="34" t="n"/>
      <c r="G115" s="40" t="n"/>
      <c r="H115" s="34" t="n"/>
      <c r="I115" s="34" t="n"/>
    </row>
    <row r="116">
      <c r="A116" s="29" t="n"/>
      <c r="B116" s="30" t="n"/>
      <c r="C116" s="30" t="n"/>
      <c r="D116" s="30" t="n"/>
      <c r="E116" s="361" t="n"/>
      <c r="F116" s="30" t="n"/>
      <c r="G116" s="38" t="n"/>
      <c r="H116" s="30" t="n"/>
      <c r="I116" s="30" t="n"/>
    </row>
    <row r="117">
      <c r="A117" s="33" t="n"/>
      <c r="B117" s="34" t="n"/>
      <c r="C117" s="34" t="n"/>
      <c r="D117" s="34" t="n"/>
      <c r="E117" s="362" t="n"/>
      <c r="F117" s="34" t="n"/>
      <c r="G117" s="40" t="n"/>
      <c r="H117" s="34" t="n"/>
      <c r="I117" s="34" t="n"/>
    </row>
    <row r="118">
      <c r="A118" s="29" t="n"/>
      <c r="B118" s="30" t="n"/>
      <c r="C118" s="30" t="n"/>
      <c r="D118" s="30" t="n"/>
      <c r="E118" s="361" t="n"/>
      <c r="F118" s="30" t="n"/>
      <c r="G118" s="38" t="n"/>
      <c r="H118" s="30" t="n"/>
      <c r="I118" s="30" t="n"/>
    </row>
    <row r="119">
      <c r="A119" s="33" t="n"/>
      <c r="B119" s="34" t="n"/>
      <c r="C119" s="34" t="n"/>
      <c r="D119" s="34" t="n"/>
      <c r="E119" s="362" t="n"/>
      <c r="F119" s="34" t="n"/>
      <c r="G119" s="40" t="n"/>
      <c r="H119" s="34" t="n"/>
      <c r="I119" s="34" t="n"/>
    </row>
    <row r="120">
      <c r="A120" s="29" t="n"/>
      <c r="B120" s="30" t="n"/>
      <c r="C120" s="30" t="n"/>
      <c r="D120" s="30" t="n"/>
      <c r="E120" s="361" t="n"/>
      <c r="F120" s="30" t="n"/>
      <c r="G120" s="38" t="n"/>
      <c r="H120" s="30" t="n"/>
      <c r="I120" s="30" t="n"/>
    </row>
    <row r="121">
      <c r="A121" s="33" t="n"/>
      <c r="B121" s="34" t="n"/>
      <c r="C121" s="34" t="n"/>
      <c r="D121" s="34" t="n"/>
      <c r="E121" s="362" t="n"/>
      <c r="F121" s="34" t="n"/>
      <c r="G121" s="40" t="n"/>
      <c r="H121" s="34" t="n"/>
      <c r="I121" s="34" t="n"/>
    </row>
    <row r="122">
      <c r="A122" s="29" t="n"/>
      <c r="B122" s="30" t="n"/>
      <c r="C122" s="30" t="n"/>
      <c r="D122" s="30" t="n"/>
      <c r="E122" s="361" t="n"/>
      <c r="F122" s="30" t="n"/>
      <c r="G122" s="38" t="n"/>
      <c r="H122" s="30" t="n"/>
      <c r="I122" s="30" t="n"/>
    </row>
    <row r="123">
      <c r="A123" s="33" t="n"/>
      <c r="B123" s="34" t="n"/>
      <c r="C123" s="34" t="n"/>
      <c r="D123" s="34" t="n"/>
      <c r="E123" s="362" t="n"/>
      <c r="F123" s="34" t="n"/>
      <c r="G123" s="40" t="n"/>
      <c r="H123" s="34" t="n"/>
      <c r="I123" s="34" t="n"/>
    </row>
    <row r="124">
      <c r="A124" s="29" t="n"/>
      <c r="B124" s="30" t="n"/>
      <c r="C124" s="30" t="n"/>
      <c r="D124" s="30" t="n"/>
      <c r="E124" s="361" t="n"/>
      <c r="F124" s="30" t="n"/>
      <c r="G124" s="38" t="n"/>
      <c r="H124" s="30" t="n"/>
      <c r="I124" s="30" t="n"/>
    </row>
    <row r="125">
      <c r="A125" s="33" t="n"/>
      <c r="B125" s="34" t="n"/>
      <c r="C125" s="34" t="n"/>
      <c r="D125" s="34" t="n"/>
      <c r="E125" s="362" t="n"/>
      <c r="F125" s="34" t="n"/>
      <c r="G125" s="40" t="n"/>
      <c r="H125" s="34" t="n"/>
      <c r="I125" s="34" t="n"/>
    </row>
    <row r="126">
      <c r="A126" s="29" t="n"/>
      <c r="B126" s="30" t="n"/>
      <c r="C126" s="30" t="n"/>
      <c r="D126" s="30" t="n"/>
      <c r="E126" s="361" t="n"/>
      <c r="F126" s="30" t="n"/>
      <c r="G126" s="38" t="n"/>
      <c r="H126" s="30" t="n"/>
      <c r="I126" s="30" t="n"/>
    </row>
    <row r="127">
      <c r="A127" s="33" t="n"/>
      <c r="B127" s="34" t="n"/>
      <c r="C127" s="34" t="n"/>
      <c r="D127" s="34" t="n"/>
      <c r="E127" s="362" t="n"/>
      <c r="F127" s="34" t="n"/>
      <c r="G127" s="40" t="n"/>
      <c r="H127" s="34" t="n"/>
      <c r="I127" s="34" t="n"/>
    </row>
    <row r="128">
      <c r="A128" s="29" t="n"/>
      <c r="B128" s="30" t="n"/>
      <c r="C128" s="30" t="n"/>
      <c r="D128" s="30" t="n"/>
      <c r="E128" s="361" t="n"/>
      <c r="F128" s="30" t="n"/>
      <c r="G128" s="38" t="n"/>
      <c r="H128" s="30" t="n"/>
      <c r="I128" s="30" t="n"/>
    </row>
    <row r="129">
      <c r="A129" s="33" t="n"/>
      <c r="B129" s="34" t="n"/>
      <c r="C129" s="34" t="n"/>
      <c r="D129" s="34" t="n"/>
      <c r="E129" s="362" t="n"/>
      <c r="F129" s="34" t="n"/>
      <c r="G129" s="40" t="n"/>
      <c r="H129" s="34" t="n"/>
      <c r="I129" s="34" t="n"/>
    </row>
    <row r="130">
      <c r="A130" s="29" t="n"/>
      <c r="B130" s="30" t="n"/>
      <c r="C130" s="30" t="n"/>
      <c r="D130" s="30" t="n"/>
      <c r="E130" s="361" t="n"/>
      <c r="F130" s="30" t="n"/>
      <c r="G130" s="38" t="n"/>
      <c r="H130" s="30" t="n"/>
      <c r="I130" s="30" t="n"/>
    </row>
    <row r="131">
      <c r="A131" s="33" t="n"/>
      <c r="B131" s="34" t="n"/>
      <c r="C131" s="34" t="n"/>
      <c r="D131" s="34" t="n"/>
      <c r="E131" s="362" t="n"/>
      <c r="F131" s="34" t="n"/>
      <c r="G131" s="40" t="n"/>
      <c r="H131" s="34" t="n"/>
      <c r="I131" s="34" t="n"/>
    </row>
    <row r="132">
      <c r="A132" s="29" t="n"/>
      <c r="B132" s="30" t="n"/>
      <c r="C132" s="30" t="n"/>
      <c r="D132" s="30" t="n"/>
      <c r="E132" s="361" t="n"/>
      <c r="F132" s="30" t="n"/>
      <c r="G132" s="38" t="n"/>
      <c r="H132" s="30" t="n"/>
      <c r="I132" s="30" t="n"/>
    </row>
    <row r="133">
      <c r="A133" s="33" t="n"/>
      <c r="B133" s="34" t="n"/>
      <c r="C133" s="34" t="n"/>
      <c r="D133" s="34" t="n"/>
      <c r="E133" s="362" t="n"/>
      <c r="F133" s="34" t="n"/>
      <c r="G133" s="40" t="n"/>
      <c r="H133" s="34" t="n"/>
      <c r="I133" s="34" t="n"/>
    </row>
    <row r="134">
      <c r="A134" s="29" t="n"/>
      <c r="B134" s="30" t="n"/>
      <c r="C134" s="30" t="n"/>
      <c r="D134" s="30" t="n"/>
      <c r="E134" s="361" t="n"/>
      <c r="F134" s="30" t="n"/>
      <c r="G134" s="38" t="n"/>
      <c r="H134" s="30" t="n"/>
      <c r="I134" s="30" t="n"/>
    </row>
    <row r="135">
      <c r="A135" s="33" t="n"/>
      <c r="B135" s="34" t="n"/>
      <c r="C135" s="34" t="n"/>
      <c r="D135" s="34" t="n"/>
      <c r="E135" s="362" t="n"/>
      <c r="F135" s="34" t="n"/>
      <c r="G135" s="40" t="n"/>
      <c r="H135" s="34" t="n"/>
      <c r="I135" s="34" t="n"/>
    </row>
    <row r="136">
      <c r="A136" s="29" t="n"/>
      <c r="B136" s="30" t="n"/>
      <c r="C136" s="30" t="n"/>
      <c r="D136" s="30" t="n"/>
      <c r="E136" s="361" t="n"/>
      <c r="F136" s="30" t="n"/>
      <c r="G136" s="38" t="n"/>
      <c r="H136" s="30" t="n"/>
      <c r="I136" s="30" t="n"/>
    </row>
    <row r="137">
      <c r="A137" s="33" t="n"/>
      <c r="B137" s="34" t="n"/>
      <c r="C137" s="34" t="n"/>
      <c r="D137" s="34" t="n"/>
      <c r="E137" s="362" t="n"/>
      <c r="F137" s="34" t="n"/>
      <c r="G137" s="40" t="n"/>
      <c r="H137" s="34" t="n"/>
      <c r="I137" s="34" t="n"/>
    </row>
    <row r="138">
      <c r="A138" s="29" t="n"/>
      <c r="B138" s="30" t="n"/>
      <c r="C138" s="30" t="n"/>
      <c r="D138" s="30" t="n"/>
      <c r="E138" s="361" t="n"/>
      <c r="F138" s="30" t="n"/>
      <c r="G138" s="38" t="n"/>
      <c r="H138" s="30" t="n"/>
      <c r="I138" s="30" t="n"/>
    </row>
    <row r="139">
      <c r="A139" s="33" t="n"/>
      <c r="B139" s="34" t="n"/>
      <c r="C139" s="34" t="n"/>
      <c r="D139" s="34" t="n"/>
      <c r="E139" s="362" t="n"/>
      <c r="F139" s="34" t="n"/>
      <c r="G139" s="40" t="n"/>
      <c r="H139" s="34" t="n"/>
      <c r="I139" s="34" t="n"/>
    </row>
    <row r="140">
      <c r="A140" s="29" t="n"/>
      <c r="B140" s="30" t="n"/>
      <c r="C140" s="30" t="n"/>
      <c r="D140" s="30" t="n"/>
      <c r="E140" s="361" t="n"/>
      <c r="F140" s="30" t="n"/>
      <c r="G140" s="38" t="n"/>
      <c r="H140" s="30" t="n"/>
      <c r="I140" s="30" t="n"/>
    </row>
    <row r="141">
      <c r="A141" s="33" t="n"/>
      <c r="B141" s="34" t="n"/>
      <c r="C141" s="34" t="n"/>
      <c r="D141" s="34" t="n"/>
      <c r="E141" s="362" t="n"/>
      <c r="F141" s="34" t="n"/>
      <c r="G141" s="40" t="n"/>
      <c r="H141" s="34" t="n"/>
      <c r="I141" s="34" t="n"/>
    </row>
    <row r="142">
      <c r="A142" s="29" t="n"/>
      <c r="B142" s="30" t="n"/>
      <c r="C142" s="30" t="n"/>
      <c r="D142" s="30" t="n"/>
      <c r="E142" s="361" t="n"/>
      <c r="F142" s="30" t="n"/>
      <c r="G142" s="38" t="n"/>
      <c r="H142" s="30" t="n"/>
      <c r="I142" s="30" t="n"/>
    </row>
    <row r="143">
      <c r="A143" s="33" t="n"/>
      <c r="B143" s="34" t="n"/>
      <c r="C143" s="34" t="n"/>
      <c r="D143" s="34" t="n"/>
      <c r="E143" s="362" t="n"/>
      <c r="F143" s="34" t="n"/>
      <c r="G143" s="40" t="n"/>
      <c r="H143" s="34" t="n"/>
      <c r="I143" s="34" t="n"/>
    </row>
    <row r="144">
      <c r="A144" s="29" t="n"/>
      <c r="B144" s="30" t="n"/>
      <c r="C144" s="30" t="n"/>
      <c r="D144" s="30" t="n"/>
      <c r="E144" s="361" t="n"/>
      <c r="F144" s="30" t="n"/>
      <c r="G144" s="38" t="n"/>
      <c r="H144" s="30" t="n"/>
      <c r="I144" s="30" t="n"/>
    </row>
    <row r="145">
      <c r="A145" s="33" t="n"/>
      <c r="B145" s="34" t="n"/>
      <c r="C145" s="34" t="n"/>
      <c r="D145" s="34" t="n"/>
      <c r="E145" s="362" t="n"/>
      <c r="F145" s="34" t="n"/>
      <c r="G145" s="40" t="n"/>
      <c r="H145" s="34" t="n"/>
      <c r="I145" s="34" t="n"/>
    </row>
    <row r="146">
      <c r="A146" s="29" t="n"/>
      <c r="B146" s="30" t="n"/>
      <c r="C146" s="30" t="n"/>
      <c r="D146" s="30" t="n"/>
      <c r="E146" s="361" t="n"/>
      <c r="F146" s="30" t="n"/>
      <c r="G146" s="38" t="n"/>
      <c r="H146" s="30" t="n"/>
      <c r="I146" s="30" t="n"/>
    </row>
    <row r="147">
      <c r="A147" s="33" t="n"/>
      <c r="B147" s="34" t="n"/>
      <c r="C147" s="34" t="n"/>
      <c r="D147" s="34" t="n"/>
      <c r="E147" s="362" t="n"/>
      <c r="F147" s="34" t="n"/>
      <c r="G147" s="40" t="n"/>
      <c r="H147" s="34" t="n"/>
      <c r="I147" s="34" t="n"/>
    </row>
    <row r="148">
      <c r="A148" s="29" t="n"/>
      <c r="B148" s="30" t="n"/>
      <c r="C148" s="30" t="n"/>
      <c r="D148" s="30" t="n"/>
      <c r="E148" s="361" t="n"/>
      <c r="F148" s="30" t="n"/>
      <c r="G148" s="38" t="n"/>
      <c r="H148" s="30" t="n"/>
      <c r="I148" s="30" t="n"/>
    </row>
    <row r="149">
      <c r="A149" s="33" t="n"/>
      <c r="B149" s="34" t="n"/>
      <c r="C149" s="34" t="n"/>
      <c r="D149" s="34" t="n"/>
      <c r="E149" s="362" t="n"/>
      <c r="F149" s="34" t="n"/>
      <c r="G149" s="40" t="n"/>
      <c r="H149" s="34" t="n"/>
      <c r="I149" s="34" t="n"/>
    </row>
    <row r="150">
      <c r="A150" s="29" t="n"/>
      <c r="B150" s="30" t="n"/>
      <c r="C150" s="30" t="n"/>
      <c r="D150" s="30" t="n"/>
      <c r="E150" s="361" t="n"/>
      <c r="F150" s="30" t="n"/>
      <c r="G150" s="38" t="n"/>
      <c r="H150" s="30" t="n"/>
      <c r="I150" s="30" t="n"/>
    </row>
    <row r="151">
      <c r="A151" s="33" t="n"/>
      <c r="B151" s="34" t="n"/>
      <c r="C151" s="34" t="n"/>
      <c r="D151" s="34" t="n"/>
      <c r="E151" s="362" t="n"/>
      <c r="F151" s="34" t="n"/>
      <c r="G151" s="40" t="n"/>
      <c r="H151" s="34" t="n"/>
      <c r="I151" s="34" t="n"/>
    </row>
    <row r="152">
      <c r="A152" s="29" t="n"/>
      <c r="B152" s="30" t="n"/>
      <c r="C152" s="30" t="n"/>
      <c r="D152" s="30" t="n"/>
      <c r="E152" s="361" t="n"/>
      <c r="F152" s="30" t="n"/>
      <c r="G152" s="38" t="n"/>
      <c r="H152" s="30" t="n"/>
      <c r="I152" s="30" t="n"/>
    </row>
    <row r="153">
      <c r="A153" s="33" t="n"/>
      <c r="B153" s="34" t="n"/>
      <c r="C153" s="34" t="n"/>
      <c r="D153" s="34" t="n"/>
      <c r="E153" s="362" t="n"/>
      <c r="F153" s="34" t="n"/>
      <c r="G153" s="40" t="n"/>
      <c r="H153" s="34" t="n"/>
      <c r="I153" s="34" t="n"/>
    </row>
    <row r="154">
      <c r="A154" s="29" t="n"/>
      <c r="B154" s="30" t="n"/>
      <c r="C154" s="30" t="n"/>
      <c r="D154" s="30" t="n"/>
      <c r="E154" s="361" t="n"/>
      <c r="F154" s="30" t="n"/>
      <c r="G154" s="38" t="n"/>
      <c r="H154" s="30" t="n"/>
      <c r="I154" s="30" t="n"/>
    </row>
    <row r="155">
      <c r="A155" s="33" t="n"/>
      <c r="B155" s="34" t="n"/>
      <c r="C155" s="34" t="n"/>
      <c r="D155" s="34" t="n"/>
      <c r="E155" s="362" t="n"/>
      <c r="F155" s="34" t="n"/>
      <c r="G155" s="40" t="n"/>
      <c r="H155" s="34" t="n"/>
      <c r="I155" s="34" t="n"/>
    </row>
    <row r="156">
      <c r="A156" s="29" t="n"/>
      <c r="B156" s="30" t="n"/>
      <c r="C156" s="30" t="n"/>
      <c r="D156" s="30" t="n"/>
      <c r="E156" s="361" t="n"/>
      <c r="F156" s="30" t="n"/>
      <c r="G156" s="38" t="n"/>
      <c r="H156" s="30" t="n"/>
      <c r="I156" s="30" t="n"/>
    </row>
    <row r="157">
      <c r="A157" s="33" t="n"/>
      <c r="B157" s="34" t="n"/>
      <c r="C157" s="34" t="n"/>
      <c r="D157" s="34" t="n"/>
      <c r="E157" s="362" t="n"/>
      <c r="F157" s="34" t="n"/>
      <c r="G157" s="40" t="n"/>
      <c r="H157" s="34" t="n"/>
      <c r="I157" s="34" t="n"/>
    </row>
    <row r="158">
      <c r="A158" s="29" t="n"/>
      <c r="B158" s="30" t="n"/>
      <c r="C158" s="30" t="n"/>
      <c r="D158" s="30" t="n"/>
      <c r="E158" s="361" t="n"/>
      <c r="F158" s="30" t="n"/>
      <c r="G158" s="38" t="n"/>
      <c r="H158" s="30" t="n"/>
      <c r="I158" s="30" t="n"/>
    </row>
    <row r="159">
      <c r="A159" s="33" t="n"/>
      <c r="B159" s="34" t="n"/>
      <c r="C159" s="34" t="n"/>
      <c r="D159" s="34" t="n"/>
      <c r="E159" s="362" t="n"/>
      <c r="F159" s="34" t="n"/>
      <c r="G159" s="40" t="n"/>
      <c r="H159" s="34" t="n"/>
      <c r="I159" s="34" t="n"/>
    </row>
    <row r="160">
      <c r="A160" s="29" t="n"/>
      <c r="B160" s="30" t="n"/>
      <c r="C160" s="30" t="n"/>
      <c r="D160" s="30" t="n"/>
      <c r="E160" s="361" t="n"/>
      <c r="F160" s="30" t="n"/>
      <c r="G160" s="38" t="n"/>
      <c r="H160" s="30" t="n"/>
      <c r="I160" s="30" t="n"/>
    </row>
    <row r="161">
      <c r="A161" s="33" t="n"/>
      <c r="B161" s="34" t="n"/>
      <c r="C161" s="34" t="n"/>
      <c r="D161" s="34" t="n"/>
      <c r="E161" s="362" t="n"/>
      <c r="F161" s="34" t="n"/>
      <c r="G161" s="40" t="n"/>
      <c r="H161" s="34" t="n"/>
      <c r="I161" s="34" t="n"/>
    </row>
    <row r="162">
      <c r="A162" s="29" t="n"/>
      <c r="B162" s="30" t="n"/>
      <c r="C162" s="30" t="n"/>
      <c r="D162" s="30" t="n"/>
      <c r="E162" s="361" t="n"/>
      <c r="F162" s="30" t="n"/>
      <c r="G162" s="38" t="n"/>
      <c r="H162" s="30" t="n"/>
      <c r="I162" s="30" t="n"/>
    </row>
    <row r="163">
      <c r="A163" s="33" t="n"/>
      <c r="B163" s="34" t="n"/>
      <c r="C163" s="34" t="n"/>
      <c r="D163" s="34" t="n"/>
      <c r="E163" s="362" t="n"/>
      <c r="F163" s="34" t="n"/>
      <c r="G163" s="40" t="n"/>
      <c r="H163" s="34" t="n"/>
      <c r="I163" s="34" t="n"/>
    </row>
    <row r="164">
      <c r="A164" s="29" t="n"/>
      <c r="B164" s="30" t="n"/>
      <c r="C164" s="30" t="n"/>
      <c r="D164" s="30" t="n"/>
      <c r="E164" s="361" t="n"/>
      <c r="F164" s="30" t="n"/>
      <c r="G164" s="38" t="n"/>
      <c r="H164" s="30" t="n"/>
      <c r="I164" s="30" t="n"/>
    </row>
    <row r="165">
      <c r="A165" s="33" t="n"/>
      <c r="B165" s="34" t="n"/>
      <c r="C165" s="34" t="n"/>
      <c r="D165" s="34" t="n"/>
      <c r="E165" s="362" t="n"/>
      <c r="F165" s="34" t="n"/>
      <c r="G165" s="40" t="n"/>
      <c r="H165" s="34" t="n"/>
      <c r="I165" s="34" t="n"/>
    </row>
    <row r="166">
      <c r="A166" s="29" t="n"/>
      <c r="B166" s="30" t="n"/>
      <c r="C166" s="30" t="n"/>
      <c r="D166" s="30" t="n"/>
      <c r="E166" s="361" t="n"/>
      <c r="F166" s="30" t="n"/>
      <c r="G166" s="38" t="n"/>
      <c r="H166" s="30" t="n"/>
      <c r="I166" s="30" t="n"/>
    </row>
    <row r="167">
      <c r="A167" s="33" t="n"/>
      <c r="B167" s="34" t="n"/>
      <c r="C167" s="34" t="n"/>
      <c r="D167" s="34" t="n"/>
      <c r="E167" s="362" t="n"/>
      <c r="F167" s="34" t="n"/>
      <c r="G167" s="40" t="n"/>
      <c r="H167" s="34" t="n"/>
      <c r="I167" s="34" t="n"/>
    </row>
    <row r="168">
      <c r="A168" s="29" t="n"/>
      <c r="B168" s="30" t="n"/>
      <c r="C168" s="30" t="n"/>
      <c r="D168" s="30" t="n"/>
      <c r="E168" s="361" t="n"/>
      <c r="F168" s="30" t="n"/>
      <c r="G168" s="38" t="n"/>
      <c r="H168" s="30" t="n"/>
      <c r="I168" s="30" t="n"/>
    </row>
    <row r="169">
      <c r="A169" s="33" t="n"/>
      <c r="B169" s="34" t="n"/>
      <c r="C169" s="34" t="n"/>
      <c r="D169" s="34" t="n"/>
      <c r="E169" s="362" t="n"/>
      <c r="F169" s="34" t="n"/>
      <c r="G169" s="40" t="n"/>
      <c r="H169" s="34" t="n"/>
      <c r="I169" s="34" t="n"/>
    </row>
    <row r="170">
      <c r="A170" s="29" t="n"/>
      <c r="B170" s="30" t="n"/>
      <c r="C170" s="30" t="n"/>
      <c r="D170" s="30" t="n"/>
      <c r="E170" s="361" t="n"/>
      <c r="F170" s="30" t="n"/>
      <c r="G170" s="38" t="n"/>
      <c r="H170" s="30" t="n"/>
      <c r="I170" s="30" t="n"/>
    </row>
    <row r="171">
      <c r="A171" s="33" t="n"/>
      <c r="B171" s="34" t="n"/>
      <c r="C171" s="34" t="n"/>
      <c r="D171" s="34" t="n"/>
      <c r="E171" s="362" t="n"/>
      <c r="F171" s="34" t="n"/>
      <c r="G171" s="40" t="n"/>
      <c r="H171" s="34" t="n"/>
      <c r="I171" s="34" t="n"/>
    </row>
    <row r="172">
      <c r="A172" s="29" t="n"/>
      <c r="B172" s="30" t="n"/>
      <c r="C172" s="30" t="n"/>
      <c r="D172" s="30" t="n"/>
      <c r="E172" s="361" t="n"/>
      <c r="F172" s="30" t="n"/>
      <c r="G172" s="38" t="n"/>
      <c r="H172" s="30" t="n"/>
      <c r="I172" s="30" t="n"/>
    </row>
    <row r="173">
      <c r="A173" s="33" t="n"/>
      <c r="B173" s="34" t="n"/>
      <c r="C173" s="34" t="n"/>
      <c r="D173" s="34" t="n"/>
      <c r="E173" s="362" t="n"/>
      <c r="F173" s="34" t="n"/>
      <c r="G173" s="40" t="n"/>
      <c r="H173" s="34" t="n"/>
      <c r="I173" s="34" t="n"/>
    </row>
    <row r="174">
      <c r="A174" s="29" t="n"/>
      <c r="B174" s="30" t="n"/>
      <c r="C174" s="30" t="n"/>
      <c r="D174" s="30" t="n"/>
      <c r="E174" s="361" t="n"/>
      <c r="F174" s="30" t="n"/>
      <c r="G174" s="38" t="n"/>
      <c r="H174" s="30" t="n"/>
      <c r="I174" s="30" t="n"/>
    </row>
    <row r="175">
      <c r="A175" s="33" t="n"/>
      <c r="B175" s="34" t="n"/>
      <c r="C175" s="34" t="n"/>
      <c r="D175" s="34" t="n"/>
      <c r="E175" s="362" t="n"/>
      <c r="F175" s="34" t="n"/>
      <c r="G175" s="40" t="n"/>
      <c r="H175" s="34" t="n"/>
      <c r="I175" s="34" t="n"/>
    </row>
    <row r="176">
      <c r="A176" s="29" t="n"/>
      <c r="B176" s="30" t="n"/>
      <c r="C176" s="30" t="n"/>
      <c r="D176" s="30" t="n"/>
      <c r="E176" s="361" t="n"/>
      <c r="F176" s="30" t="n"/>
      <c r="G176" s="38" t="n"/>
      <c r="H176" s="30" t="n"/>
      <c r="I176" s="30" t="n"/>
    </row>
    <row r="177">
      <c r="A177" s="33" t="n"/>
      <c r="B177" s="34" t="n"/>
      <c r="C177" s="34" t="n"/>
      <c r="D177" s="34" t="n"/>
      <c r="E177" s="362" t="n"/>
      <c r="F177" s="34" t="n"/>
      <c r="G177" s="40" t="n"/>
      <c r="H177" s="34" t="n"/>
      <c r="I177" s="34" t="n"/>
    </row>
    <row r="178">
      <c r="A178" s="29" t="n"/>
      <c r="B178" s="30" t="n"/>
      <c r="C178" s="30" t="n"/>
      <c r="D178" s="30" t="n"/>
      <c r="E178" s="361" t="n"/>
      <c r="F178" s="30" t="n"/>
      <c r="G178" s="38" t="n"/>
      <c r="H178" s="30" t="n"/>
      <c r="I178" s="30" t="n"/>
    </row>
    <row r="179">
      <c r="A179" s="33" t="n"/>
      <c r="B179" s="34" t="n"/>
      <c r="C179" s="34" t="n"/>
      <c r="D179" s="34" t="n"/>
      <c r="E179" s="362" t="n"/>
      <c r="F179" s="34" t="n"/>
      <c r="G179" s="40" t="n"/>
      <c r="H179" s="34" t="n"/>
      <c r="I179" s="34" t="n"/>
    </row>
    <row r="180">
      <c r="A180" s="29" t="n"/>
      <c r="B180" s="30" t="n"/>
      <c r="C180" s="30" t="n"/>
      <c r="D180" s="30" t="n"/>
      <c r="E180" s="361" t="n"/>
      <c r="F180" s="30" t="n"/>
      <c r="G180" s="38" t="n"/>
      <c r="H180" s="30" t="n"/>
      <c r="I180" s="30" t="n"/>
    </row>
    <row r="181">
      <c r="A181" s="33" t="n"/>
      <c r="B181" s="34" t="n"/>
      <c r="C181" s="34" t="n"/>
      <c r="D181" s="34" t="n"/>
      <c r="E181" s="362" t="n"/>
      <c r="F181" s="34" t="n"/>
      <c r="G181" s="40" t="n"/>
      <c r="H181" s="34" t="n"/>
      <c r="I181" s="34" t="n"/>
    </row>
    <row r="182">
      <c r="A182" s="29" t="n"/>
      <c r="B182" s="30" t="n"/>
      <c r="C182" s="30" t="n"/>
      <c r="D182" s="30" t="n"/>
      <c r="E182" s="361" t="n"/>
      <c r="F182" s="30" t="n"/>
      <c r="G182" s="38" t="n"/>
      <c r="H182" s="30" t="n"/>
      <c r="I182" s="30" t="n"/>
    </row>
    <row r="183">
      <c r="A183" s="33" t="n"/>
      <c r="B183" s="34" t="n"/>
      <c r="C183" s="34" t="n"/>
      <c r="D183" s="34" t="n"/>
      <c r="E183" s="362" t="n"/>
      <c r="F183" s="34" t="n"/>
      <c r="G183" s="40" t="n"/>
      <c r="H183" s="34" t="n"/>
      <c r="I183" s="34" t="n"/>
    </row>
    <row r="184">
      <c r="A184" s="29" t="n"/>
      <c r="B184" s="30" t="n"/>
      <c r="C184" s="30" t="n"/>
      <c r="D184" s="30" t="n"/>
      <c r="E184" s="361" t="n"/>
      <c r="F184" s="30" t="n"/>
      <c r="G184" s="38" t="n"/>
      <c r="H184" s="30" t="n"/>
      <c r="I184" s="30" t="n"/>
    </row>
    <row r="185">
      <c r="A185" s="33" t="n"/>
      <c r="B185" s="34" t="n"/>
      <c r="C185" s="34" t="n"/>
      <c r="D185" s="34" t="n"/>
      <c r="E185" s="362" t="n"/>
      <c r="F185" s="34" t="n"/>
      <c r="G185" s="40" t="n"/>
      <c r="H185" s="34" t="n"/>
      <c r="I185" s="34" t="n"/>
    </row>
    <row r="186">
      <c r="A186" s="29" t="n"/>
      <c r="B186" s="30" t="n"/>
      <c r="C186" s="30" t="n"/>
      <c r="D186" s="30" t="n"/>
      <c r="E186" s="361" t="n"/>
      <c r="F186" s="30" t="n"/>
      <c r="G186" s="38" t="n"/>
      <c r="H186" s="30" t="n"/>
      <c r="I186" s="30" t="n"/>
    </row>
    <row r="187">
      <c r="A187" s="33" t="n"/>
      <c r="B187" s="34" t="n"/>
      <c r="C187" s="34" t="n"/>
      <c r="D187" s="34" t="n"/>
      <c r="E187" s="362" t="n"/>
      <c r="F187" s="34" t="n"/>
      <c r="G187" s="40" t="n"/>
      <c r="H187" s="34" t="n"/>
      <c r="I187" s="34" t="n"/>
    </row>
    <row r="188">
      <c r="A188" s="29" t="n"/>
      <c r="B188" s="30" t="n"/>
      <c r="C188" s="30" t="n"/>
      <c r="D188" s="30" t="n"/>
      <c r="E188" s="361" t="n"/>
      <c r="F188" s="30" t="n"/>
      <c r="G188" s="38" t="n"/>
      <c r="H188" s="30" t="n"/>
      <c r="I188" s="30" t="n"/>
    </row>
    <row r="189">
      <c r="A189" s="33" t="n"/>
      <c r="B189" s="34" t="n"/>
      <c r="C189" s="34" t="n"/>
      <c r="D189" s="34" t="n"/>
      <c r="E189" s="362" t="n"/>
      <c r="F189" s="34" t="n"/>
      <c r="G189" s="40" t="n"/>
      <c r="H189" s="34" t="n"/>
      <c r="I189" s="34" t="n"/>
    </row>
    <row r="190">
      <c r="A190" s="29" t="n"/>
      <c r="B190" s="30" t="n"/>
      <c r="C190" s="30" t="n"/>
      <c r="D190" s="30" t="n"/>
      <c r="E190" s="361" t="n"/>
      <c r="F190" s="30" t="n"/>
      <c r="G190" s="38" t="n"/>
      <c r="H190" s="30" t="n"/>
      <c r="I190" s="30" t="n"/>
    </row>
    <row r="191">
      <c r="A191" s="33" t="n"/>
      <c r="B191" s="34" t="n"/>
      <c r="C191" s="34" t="n"/>
      <c r="D191" s="34" t="n"/>
      <c r="E191" s="362" t="n"/>
      <c r="F191" s="34" t="n"/>
      <c r="G191" s="40" t="n"/>
      <c r="H191" s="34" t="n"/>
      <c r="I191" s="34" t="n"/>
    </row>
    <row r="192">
      <c r="A192" s="29" t="n"/>
      <c r="B192" s="30" t="n"/>
      <c r="C192" s="30" t="n"/>
      <c r="D192" s="30" t="n"/>
      <c r="E192" s="361" t="n"/>
      <c r="F192" s="30" t="n"/>
      <c r="G192" s="38" t="n"/>
      <c r="H192" s="30" t="n"/>
      <c r="I192" s="30" t="n"/>
    </row>
    <row r="193">
      <c r="A193" s="33" t="n"/>
      <c r="B193" s="34" t="n"/>
      <c r="C193" s="34" t="n"/>
      <c r="D193" s="34" t="n"/>
      <c r="E193" s="362" t="n"/>
      <c r="F193" s="34" t="n"/>
      <c r="G193" s="40" t="n"/>
      <c r="H193" s="34" t="n"/>
      <c r="I193" s="34" t="n"/>
    </row>
    <row r="194">
      <c r="A194" s="29" t="n"/>
      <c r="B194" s="30" t="n"/>
      <c r="C194" s="30" t="n"/>
      <c r="D194" s="30" t="n"/>
      <c r="E194" s="361" t="n"/>
      <c r="F194" s="30" t="n"/>
      <c r="G194" s="38" t="n"/>
      <c r="H194" s="30" t="n"/>
      <c r="I194" s="30" t="n"/>
    </row>
    <row r="195">
      <c r="A195" s="33" t="n"/>
      <c r="B195" s="34" t="n"/>
      <c r="C195" s="34" t="n"/>
      <c r="D195" s="34" t="n"/>
      <c r="E195" s="362" t="n"/>
      <c r="F195" s="34" t="n"/>
      <c r="G195" s="40" t="n"/>
      <c r="H195" s="34" t="n"/>
      <c r="I195" s="34" t="n"/>
    </row>
    <row r="196">
      <c r="A196" s="29" t="n"/>
      <c r="B196" s="30" t="n"/>
      <c r="C196" s="30" t="n"/>
      <c r="D196" s="30" t="n"/>
      <c r="E196" s="361" t="n"/>
      <c r="F196" s="30" t="n"/>
      <c r="G196" s="38" t="n"/>
      <c r="H196" s="30" t="n"/>
      <c r="I196" s="30" t="n"/>
    </row>
    <row r="197">
      <c r="A197" s="33" t="n"/>
      <c r="B197" s="34" t="n"/>
      <c r="C197" s="34" t="n"/>
      <c r="D197" s="34" t="n"/>
      <c r="E197" s="362" t="n"/>
      <c r="F197" s="34" t="n"/>
      <c r="G197" s="40" t="n"/>
      <c r="H197" s="34" t="n"/>
      <c r="I197" s="34" t="n"/>
    </row>
    <row r="198">
      <c r="A198" s="29" t="n"/>
      <c r="B198" s="30" t="n"/>
      <c r="C198" s="30" t="n"/>
      <c r="D198" s="30" t="n"/>
      <c r="E198" s="361" t="n"/>
      <c r="F198" s="30" t="n"/>
      <c r="G198" s="38" t="n"/>
      <c r="H198" s="30" t="n"/>
      <c r="I198" s="30" t="n"/>
    </row>
    <row r="199">
      <c r="A199" s="33" t="n"/>
      <c r="B199" s="34" t="n"/>
      <c r="C199" s="34" t="n"/>
      <c r="D199" s="34" t="n"/>
      <c r="E199" s="362" t="n"/>
      <c r="F199" s="34" t="n"/>
      <c r="G199" s="40" t="n"/>
      <c r="H199" s="34" t="n"/>
      <c r="I199" s="34" t="n"/>
    </row>
    <row r="200">
      <c r="A200" s="29" t="n"/>
      <c r="B200" s="30" t="n"/>
      <c r="C200" s="30" t="n"/>
      <c r="D200" s="30" t="n"/>
      <c r="E200" s="361" t="n"/>
      <c r="F200" s="30" t="n"/>
      <c r="G200" s="38" t="n"/>
      <c r="H200" s="30" t="n"/>
      <c r="I200" s="30" t="n"/>
    </row>
    <row r="201">
      <c r="A201" s="33" t="n"/>
      <c r="B201" s="34" t="n"/>
      <c r="C201" s="34" t="n"/>
      <c r="D201" s="34" t="n"/>
      <c r="E201" s="362" t="n"/>
      <c r="F201" s="34" t="n"/>
      <c r="G201" s="40" t="n"/>
      <c r="H201" s="34" t="n"/>
      <c r="I201" s="34" t="n"/>
    </row>
    <row r="202">
      <c r="A202" s="29" t="n"/>
      <c r="B202" s="30" t="n"/>
      <c r="C202" s="30" t="n"/>
      <c r="D202" s="30" t="n"/>
      <c r="E202" s="361" t="n"/>
      <c r="F202" s="30" t="n"/>
      <c r="G202" s="38" t="n"/>
      <c r="H202" s="30" t="n"/>
      <c r="I202" s="30" t="n"/>
    </row>
    <row r="203">
      <c r="A203" s="33" t="n"/>
      <c r="B203" s="34" t="n"/>
      <c r="C203" s="34" t="n"/>
      <c r="D203" s="34" t="n"/>
      <c r="E203" s="362" t="n"/>
      <c r="F203" s="34" t="n"/>
      <c r="G203" s="40" t="n"/>
      <c r="H203" s="34" t="n"/>
      <c r="I203" s="34" t="n"/>
    </row>
    <row r="204">
      <c r="A204" s="29" t="n"/>
      <c r="B204" s="30" t="n"/>
      <c r="C204" s="30" t="n"/>
      <c r="D204" s="30" t="n"/>
      <c r="E204" s="361" t="n"/>
      <c r="F204" s="30" t="n"/>
      <c r="G204" s="38" t="n"/>
      <c r="H204" s="30" t="n"/>
      <c r="I204" s="30" t="n"/>
    </row>
    <row r="205">
      <c r="A205" s="33" t="n"/>
      <c r="B205" s="34" t="n"/>
      <c r="C205" s="34" t="n"/>
      <c r="D205" s="34" t="n"/>
      <c r="E205" s="362" t="n"/>
      <c r="F205" s="34" t="n"/>
      <c r="G205" s="40" t="n"/>
      <c r="H205" s="34" t="n"/>
      <c r="I205" s="34" t="n"/>
    </row>
    <row r="206">
      <c r="A206" s="29" t="n"/>
      <c r="B206" s="30" t="n"/>
      <c r="C206" s="30" t="n"/>
      <c r="D206" s="30" t="n"/>
      <c r="E206" s="361" t="n"/>
      <c r="F206" s="30" t="n"/>
      <c r="G206" s="38" t="n"/>
      <c r="H206" s="30" t="n"/>
      <c r="I206" s="30" t="n"/>
    </row>
    <row r="207">
      <c r="A207" s="33" t="n"/>
      <c r="B207" s="34" t="n"/>
      <c r="C207" s="34" t="n"/>
      <c r="D207" s="34" t="n"/>
      <c r="E207" s="362" t="n"/>
      <c r="F207" s="34" t="n"/>
      <c r="G207" s="40" t="n"/>
      <c r="H207" s="34" t="n"/>
      <c r="I207" s="34" t="n"/>
    </row>
    <row r="208">
      <c r="A208" s="29" t="n"/>
      <c r="B208" s="30" t="n"/>
      <c r="C208" s="30" t="n"/>
      <c r="D208" s="30" t="n"/>
      <c r="E208" s="361" t="n"/>
      <c r="F208" s="30" t="n"/>
      <c r="G208" s="38" t="n"/>
      <c r="H208" s="30" t="n"/>
      <c r="I208" s="30" t="n"/>
    </row>
    <row r="209">
      <c r="A209" s="33" t="n"/>
      <c r="B209" s="34" t="n"/>
      <c r="C209" s="34" t="n"/>
      <c r="D209" s="34" t="n"/>
      <c r="E209" s="362" t="n"/>
      <c r="F209" s="34" t="n"/>
      <c r="G209" s="40" t="n"/>
      <c r="H209" s="34" t="n"/>
      <c r="I209" s="34" t="n"/>
    </row>
    <row r="210">
      <c r="A210" s="29" t="n"/>
      <c r="B210" s="30" t="n"/>
      <c r="C210" s="30" t="n"/>
      <c r="D210" s="30" t="n"/>
      <c r="E210" s="361" t="n"/>
      <c r="F210" s="30" t="n"/>
      <c r="G210" s="38" t="n"/>
      <c r="H210" s="30" t="n"/>
      <c r="I210" s="30" t="n"/>
    </row>
    <row r="211">
      <c r="A211" s="33" t="n"/>
      <c r="B211" s="34" t="n"/>
      <c r="C211" s="34" t="n"/>
      <c r="D211" s="34" t="n"/>
      <c r="E211" s="362" t="n"/>
      <c r="F211" s="34" t="n"/>
      <c r="G211" s="40" t="n"/>
      <c r="H211" s="34" t="n"/>
      <c r="I211" s="34" t="n"/>
    </row>
    <row r="212">
      <c r="A212" s="29" t="n"/>
      <c r="B212" s="30" t="n"/>
      <c r="C212" s="30" t="n"/>
      <c r="D212" s="30" t="n"/>
      <c r="E212" s="361" t="n"/>
      <c r="F212" s="30" t="n"/>
      <c r="G212" s="38" t="n"/>
      <c r="H212" s="30" t="n"/>
      <c r="I212" s="30" t="n"/>
    </row>
    <row r="213">
      <c r="A213" s="33" t="n"/>
      <c r="B213" s="34" t="n"/>
      <c r="C213" s="34" t="n"/>
      <c r="D213" s="34" t="n"/>
      <c r="E213" s="362" t="n"/>
      <c r="F213" s="34" t="n"/>
      <c r="G213" s="40" t="n"/>
      <c r="H213" s="34" t="n"/>
      <c r="I213" s="34" t="n"/>
    </row>
    <row r="214">
      <c r="A214" s="29" t="n"/>
      <c r="B214" s="30" t="n"/>
      <c r="C214" s="30" t="n"/>
      <c r="D214" s="30" t="n"/>
      <c r="E214" s="361" t="n"/>
      <c r="F214" s="30" t="n"/>
      <c r="G214" s="38" t="n"/>
      <c r="H214" s="30" t="n"/>
      <c r="I214" s="30" t="n"/>
    </row>
    <row r="215">
      <c r="A215" s="33" t="n"/>
      <c r="B215" s="34" t="n"/>
      <c r="C215" s="34" t="n"/>
      <c r="D215" s="34" t="n"/>
      <c r="E215" s="362" t="n"/>
      <c r="F215" s="34" t="n"/>
      <c r="G215" s="40" t="n"/>
      <c r="H215" s="34" t="n"/>
      <c r="I215" s="34" t="n"/>
    </row>
    <row r="216">
      <c r="A216" s="29" t="n"/>
      <c r="B216" s="30" t="n"/>
      <c r="C216" s="30" t="n"/>
      <c r="D216" s="30" t="n"/>
      <c r="E216" s="361" t="n"/>
      <c r="F216" s="30" t="n"/>
      <c r="G216" s="38" t="n"/>
      <c r="H216" s="30" t="n"/>
      <c r="I216" s="30" t="n"/>
    </row>
    <row r="217">
      <c r="A217" s="33" t="n"/>
      <c r="B217" s="34" t="n"/>
      <c r="C217" s="34" t="n"/>
      <c r="D217" s="34" t="n"/>
      <c r="E217" s="362" t="n"/>
      <c r="F217" s="34" t="n"/>
      <c r="G217" s="40" t="n"/>
      <c r="H217" s="34" t="n"/>
      <c r="I217" s="34" t="n"/>
    </row>
    <row r="218">
      <c r="A218" s="29" t="n"/>
      <c r="B218" s="30" t="n"/>
      <c r="C218" s="30" t="n"/>
      <c r="D218" s="30" t="n"/>
      <c r="E218" s="361" t="n"/>
      <c r="F218" s="30" t="n"/>
      <c r="G218" s="38" t="n"/>
      <c r="H218" s="30" t="n"/>
      <c r="I218" s="30" t="n"/>
    </row>
    <row r="219">
      <c r="A219" s="33" t="n"/>
      <c r="B219" s="34" t="n"/>
      <c r="C219" s="34" t="n"/>
      <c r="D219" s="34" t="n"/>
      <c r="E219" s="362" t="n"/>
      <c r="F219" s="34" t="n"/>
      <c r="G219" s="40" t="n"/>
      <c r="H219" s="34" t="n"/>
      <c r="I219" s="34" t="n"/>
    </row>
    <row r="220">
      <c r="A220" s="29" t="n"/>
      <c r="B220" s="30" t="n"/>
      <c r="C220" s="30" t="n"/>
      <c r="D220" s="30" t="n"/>
      <c r="E220" s="361" t="n"/>
      <c r="F220" s="30" t="n"/>
      <c r="G220" s="38" t="n"/>
      <c r="H220" s="30" t="n"/>
      <c r="I220" s="30" t="n"/>
    </row>
    <row r="221">
      <c r="A221" s="33" t="n"/>
      <c r="B221" s="34" t="n"/>
      <c r="C221" s="34" t="n"/>
      <c r="D221" s="34" t="n"/>
      <c r="E221" s="362" t="n"/>
      <c r="F221" s="34" t="n"/>
      <c r="G221" s="40" t="n"/>
      <c r="H221" s="34" t="n"/>
      <c r="I221" s="34" t="n"/>
    </row>
    <row r="222">
      <c r="A222" s="29" t="n"/>
      <c r="B222" s="30" t="n"/>
      <c r="C222" s="30" t="n"/>
      <c r="D222" s="30" t="n"/>
      <c r="E222" s="361" t="n"/>
      <c r="F222" s="30" t="n"/>
      <c r="G222" s="38" t="n"/>
      <c r="H222" s="30" t="n"/>
      <c r="I222" s="30" t="n"/>
    </row>
    <row r="223">
      <c r="A223" s="33" t="n"/>
      <c r="B223" s="34" t="n"/>
      <c r="C223" s="34" t="n"/>
      <c r="D223" s="34" t="n"/>
      <c r="E223" s="362" t="n"/>
      <c r="F223" s="34" t="n"/>
      <c r="G223" s="40" t="n"/>
      <c r="H223" s="34" t="n"/>
      <c r="I223" s="34" t="n"/>
    </row>
    <row r="224">
      <c r="A224" s="29" t="n"/>
      <c r="B224" s="30" t="n"/>
      <c r="C224" s="30" t="n"/>
      <c r="D224" s="30" t="n"/>
      <c r="E224" s="361" t="n"/>
      <c r="F224" s="30" t="n"/>
      <c r="G224" s="38" t="n"/>
      <c r="H224" s="30" t="n"/>
      <c r="I224" s="30" t="n"/>
    </row>
    <row r="225">
      <c r="A225" s="33" t="n"/>
      <c r="B225" s="34" t="n"/>
      <c r="C225" s="34" t="n"/>
      <c r="D225" s="34" t="n"/>
      <c r="E225" s="362" t="n"/>
      <c r="F225" s="34" t="n"/>
      <c r="G225" s="40" t="n"/>
      <c r="H225" s="34" t="n"/>
      <c r="I225" s="34" t="n"/>
    </row>
    <row r="226">
      <c r="A226" s="29" t="n"/>
      <c r="B226" s="30" t="n"/>
      <c r="C226" s="30" t="n"/>
      <c r="D226" s="30" t="n"/>
      <c r="E226" s="361" t="n"/>
      <c r="F226" s="30" t="n"/>
      <c r="G226" s="38" t="n"/>
      <c r="H226" s="30" t="n"/>
      <c r="I226" s="30" t="n"/>
    </row>
    <row r="227">
      <c r="A227" s="33" t="n"/>
      <c r="B227" s="34" t="n"/>
      <c r="C227" s="34" t="n"/>
      <c r="D227" s="34" t="n"/>
      <c r="E227" s="362" t="n"/>
      <c r="F227" s="34" t="n"/>
      <c r="G227" s="40" t="n"/>
      <c r="H227" s="34" t="n"/>
      <c r="I227" s="34" t="n"/>
    </row>
    <row r="228">
      <c r="A228" s="29" t="n"/>
      <c r="B228" s="30" t="n"/>
      <c r="C228" s="30" t="n"/>
      <c r="D228" s="30" t="n"/>
      <c r="E228" s="361" t="n"/>
      <c r="F228" s="30" t="n"/>
      <c r="G228" s="38" t="n"/>
      <c r="H228" s="30" t="n"/>
      <c r="I228" s="30" t="n"/>
    </row>
    <row r="229">
      <c r="A229" s="33" t="n"/>
      <c r="B229" s="34" t="n"/>
      <c r="C229" s="34" t="n"/>
      <c r="D229" s="34" t="n"/>
      <c r="E229" s="362" t="n"/>
      <c r="F229" s="34" t="n"/>
      <c r="G229" s="40" t="n"/>
      <c r="H229" s="34" t="n"/>
      <c r="I229" s="34" t="n"/>
    </row>
    <row r="230">
      <c r="A230" s="29" t="n"/>
      <c r="B230" s="30" t="n"/>
      <c r="C230" s="30" t="n"/>
      <c r="D230" s="30" t="n"/>
      <c r="E230" s="361" t="n"/>
      <c r="F230" s="30" t="n"/>
      <c r="G230" s="38" t="n"/>
      <c r="H230" s="30" t="n"/>
      <c r="I230" s="30" t="n"/>
    </row>
    <row r="231">
      <c r="A231" s="33" t="n"/>
      <c r="B231" s="34" t="n"/>
      <c r="C231" s="34" t="n"/>
      <c r="D231" s="34" t="n"/>
      <c r="E231" s="362" t="n"/>
      <c r="F231" s="34" t="n"/>
      <c r="G231" s="40" t="n"/>
      <c r="H231" s="34" t="n"/>
      <c r="I231" s="34" t="n"/>
    </row>
    <row r="232">
      <c r="A232" s="29" t="n"/>
      <c r="B232" s="30" t="n"/>
      <c r="C232" s="30" t="n"/>
      <c r="D232" s="30" t="n"/>
      <c r="E232" s="361" t="n"/>
      <c r="F232" s="30" t="n"/>
      <c r="G232" s="38" t="n"/>
      <c r="H232" s="30" t="n"/>
      <c r="I232" s="30" t="n"/>
    </row>
    <row r="233">
      <c r="A233" s="33" t="n"/>
      <c r="B233" s="34" t="n"/>
      <c r="C233" s="34" t="n"/>
      <c r="D233" s="34" t="n"/>
      <c r="E233" s="362" t="n"/>
      <c r="F233" s="34" t="n"/>
      <c r="G233" s="40" t="n"/>
      <c r="H233" s="34" t="n"/>
      <c r="I233" s="34" t="n"/>
    </row>
    <row r="234">
      <c r="A234" s="29" t="n"/>
      <c r="B234" s="30" t="n"/>
      <c r="C234" s="30" t="n"/>
      <c r="D234" s="30" t="n"/>
      <c r="E234" s="361" t="n"/>
      <c r="F234" s="30" t="n"/>
      <c r="G234" s="38" t="n"/>
      <c r="H234" s="30" t="n"/>
      <c r="I234" s="30" t="n"/>
    </row>
    <row r="235">
      <c r="A235" s="33" t="n"/>
      <c r="B235" s="34" t="n"/>
      <c r="C235" s="34" t="n"/>
      <c r="D235" s="34" t="n"/>
      <c r="E235" s="362" t="n"/>
      <c r="F235" s="34" t="n"/>
      <c r="G235" s="40" t="n"/>
      <c r="H235" s="34" t="n"/>
      <c r="I235" s="34" t="n"/>
    </row>
    <row r="236">
      <c r="A236" s="29" t="n"/>
      <c r="B236" s="30" t="n"/>
      <c r="C236" s="30" t="n"/>
      <c r="D236" s="30" t="n"/>
      <c r="E236" s="361" t="n"/>
      <c r="F236" s="30" t="n"/>
      <c r="G236" s="38" t="n"/>
      <c r="H236" s="30" t="n"/>
      <c r="I236" s="30" t="n"/>
    </row>
    <row r="237">
      <c r="A237" s="33" t="n"/>
      <c r="B237" s="34" t="n"/>
      <c r="C237" s="34" t="n"/>
      <c r="D237" s="34" t="n"/>
      <c r="E237" s="362" t="n"/>
      <c r="F237" s="34" t="n"/>
      <c r="G237" s="40" t="n"/>
      <c r="H237" s="34" t="n"/>
      <c r="I237" s="34" t="n"/>
    </row>
    <row r="238">
      <c r="A238" s="29" t="n"/>
      <c r="B238" s="30" t="n"/>
      <c r="C238" s="30" t="n"/>
      <c r="D238" s="30" t="n"/>
      <c r="E238" s="361" t="n"/>
      <c r="F238" s="30" t="n"/>
      <c r="G238" s="38" t="n"/>
      <c r="H238" s="30" t="n"/>
      <c r="I238" s="30" t="n"/>
    </row>
    <row r="239">
      <c r="A239" s="33" t="n"/>
      <c r="B239" s="34" t="n"/>
      <c r="C239" s="34" t="n"/>
      <c r="D239" s="34" t="n"/>
      <c r="E239" s="362" t="n"/>
      <c r="F239" s="34" t="n"/>
      <c r="G239" s="40" t="n"/>
      <c r="H239" s="34" t="n"/>
      <c r="I239" s="34" t="n"/>
    </row>
    <row r="240">
      <c r="A240" s="29" t="n"/>
      <c r="B240" s="30" t="n"/>
      <c r="C240" s="30" t="n"/>
      <c r="D240" s="30" t="n"/>
      <c r="E240" s="361" t="n"/>
      <c r="F240" s="30" t="n"/>
      <c r="G240" s="38" t="n"/>
      <c r="H240" s="30" t="n"/>
      <c r="I240" s="30" t="n"/>
    </row>
    <row r="241">
      <c r="A241" s="33" t="n"/>
      <c r="B241" s="34" t="n"/>
      <c r="C241" s="34" t="n"/>
      <c r="D241" s="34" t="n"/>
      <c r="E241" s="362" t="n"/>
      <c r="F241" s="34" t="n"/>
      <c r="G241" s="40" t="n"/>
      <c r="H241" s="34" t="n"/>
      <c r="I241" s="34" t="n"/>
    </row>
    <row r="242">
      <c r="A242" s="29" t="n"/>
      <c r="B242" s="30" t="n"/>
      <c r="C242" s="30" t="n"/>
      <c r="D242" s="30" t="n"/>
      <c r="E242" s="361" t="n"/>
      <c r="F242" s="30" t="n"/>
      <c r="G242" s="38" t="n"/>
      <c r="H242" s="30" t="n"/>
      <c r="I242" s="30" t="n"/>
    </row>
    <row r="243">
      <c r="A243" s="33" t="n"/>
      <c r="B243" s="34" t="n"/>
      <c r="C243" s="34" t="n"/>
      <c r="D243" s="34" t="n"/>
      <c r="E243" s="362" t="n"/>
      <c r="F243" s="34" t="n"/>
      <c r="G243" s="40" t="n"/>
      <c r="H243" s="34" t="n"/>
      <c r="I243" s="34" t="n"/>
    </row>
    <row r="244">
      <c r="A244" s="29" t="n"/>
      <c r="B244" s="30" t="n"/>
      <c r="C244" s="30" t="n"/>
      <c r="D244" s="30" t="n"/>
      <c r="E244" s="361" t="n"/>
      <c r="F244" s="30" t="n"/>
      <c r="G244" s="38" t="n"/>
      <c r="H244" s="30" t="n"/>
      <c r="I244" s="30" t="n"/>
    </row>
    <row r="245">
      <c r="A245" s="33" t="n"/>
      <c r="B245" s="34" t="n"/>
      <c r="C245" s="34" t="n"/>
      <c r="D245" s="34" t="n"/>
      <c r="E245" s="362" t="n"/>
      <c r="F245" s="34" t="n"/>
      <c r="G245" s="40" t="n"/>
      <c r="H245" s="34" t="n"/>
      <c r="I245" s="34" t="n"/>
    </row>
    <row r="246">
      <c r="A246" s="29" t="n"/>
      <c r="B246" s="30" t="n"/>
      <c r="C246" s="30" t="n"/>
      <c r="D246" s="30" t="n"/>
      <c r="E246" s="361" t="n"/>
      <c r="F246" s="30" t="n"/>
      <c r="G246" s="38" t="n"/>
      <c r="H246" s="30" t="n"/>
      <c r="I246" s="30" t="n"/>
    </row>
    <row r="247">
      <c r="A247" s="33" t="n"/>
      <c r="B247" s="34" t="n"/>
      <c r="C247" s="34" t="n"/>
      <c r="D247" s="34" t="n"/>
      <c r="E247" s="362" t="n"/>
      <c r="F247" s="34" t="n"/>
      <c r="G247" s="40" t="n"/>
      <c r="H247" s="34" t="n"/>
      <c r="I247" s="34" t="n"/>
    </row>
    <row r="248">
      <c r="A248" s="29" t="n"/>
      <c r="B248" s="30" t="n"/>
      <c r="C248" s="30" t="n"/>
      <c r="D248" s="30" t="n"/>
      <c r="E248" s="361" t="n"/>
      <c r="F248" s="30" t="n"/>
      <c r="G248" s="38" t="n"/>
      <c r="H248" s="30" t="n"/>
      <c r="I248" s="30" t="n"/>
    </row>
    <row r="249">
      <c r="A249" s="33" t="n"/>
      <c r="B249" s="34" t="n"/>
      <c r="C249" s="34" t="n"/>
      <c r="D249" s="34" t="n"/>
      <c r="E249" s="362" t="n"/>
      <c r="F249" s="34" t="n"/>
      <c r="G249" s="40" t="n"/>
      <c r="H249" s="34" t="n"/>
      <c r="I249" s="34" t="n"/>
    </row>
    <row r="250">
      <c r="A250" s="29" t="n"/>
      <c r="B250" s="30" t="n"/>
      <c r="C250" s="30" t="n"/>
      <c r="D250" s="30" t="n"/>
      <c r="E250" s="361" t="n"/>
      <c r="F250" s="30" t="n"/>
      <c r="G250" s="38" t="n"/>
      <c r="H250" s="30" t="n"/>
      <c r="I250" s="30" t="n"/>
    </row>
    <row r="251">
      <c r="A251" s="33" t="n"/>
      <c r="B251" s="34" t="n"/>
      <c r="C251" s="34" t="n"/>
      <c r="D251" s="34" t="n"/>
      <c r="E251" s="362" t="n"/>
      <c r="F251" s="34" t="n"/>
      <c r="G251" s="40" t="n"/>
      <c r="H251" s="34" t="n"/>
      <c r="I251" s="34" t="n"/>
    </row>
    <row r="252">
      <c r="A252" s="29" t="n"/>
      <c r="B252" s="30" t="n"/>
      <c r="C252" s="30" t="n"/>
      <c r="D252" s="30" t="n"/>
      <c r="E252" s="361" t="n"/>
      <c r="F252" s="30" t="n"/>
      <c r="G252" s="38" t="n"/>
      <c r="H252" s="30" t="n"/>
      <c r="I252" s="30" t="n"/>
    </row>
    <row r="253">
      <c r="A253" s="33" t="n"/>
      <c r="B253" s="34" t="n"/>
      <c r="C253" s="34" t="n"/>
      <c r="D253" s="34" t="n"/>
      <c r="E253" s="362" t="n"/>
      <c r="F253" s="34" t="n"/>
      <c r="G253" s="40" t="n"/>
      <c r="H253" s="34" t="n"/>
      <c r="I253" s="34" t="n"/>
    </row>
    <row r="254">
      <c r="A254" s="29" t="n"/>
      <c r="B254" s="30" t="n"/>
      <c r="C254" s="30" t="n"/>
      <c r="D254" s="30" t="n"/>
      <c r="E254" s="361" t="n"/>
      <c r="F254" s="30" t="n"/>
      <c r="G254" s="38" t="n"/>
      <c r="H254" s="30" t="n"/>
      <c r="I254" s="30" t="n"/>
    </row>
    <row r="255">
      <c r="A255" s="33" t="n"/>
      <c r="B255" s="34" t="n"/>
      <c r="C255" s="34" t="n"/>
      <c r="D255" s="34" t="n"/>
      <c r="E255" s="362" t="n"/>
      <c r="F255" s="34" t="n"/>
      <c r="G255" s="40" t="n"/>
      <c r="H255" s="34" t="n"/>
      <c r="I255" s="34" t="n"/>
    </row>
    <row r="256">
      <c r="A256" s="29" t="n"/>
      <c r="B256" s="30" t="n"/>
      <c r="C256" s="30" t="n"/>
      <c r="D256" s="30" t="n"/>
      <c r="E256" s="361" t="n"/>
      <c r="F256" s="30" t="n"/>
      <c r="G256" s="38" t="n"/>
      <c r="H256" s="30" t="n"/>
      <c r="I256" s="30" t="n"/>
    </row>
    <row r="257">
      <c r="A257" s="33" t="n"/>
      <c r="B257" s="34" t="n"/>
      <c r="C257" s="34" t="n"/>
      <c r="D257" s="34" t="n"/>
      <c r="E257" s="362" t="n"/>
      <c r="F257" s="34" t="n"/>
      <c r="G257" s="40" t="n"/>
      <c r="H257" s="34" t="n"/>
      <c r="I257" s="34" t="n"/>
    </row>
    <row r="258">
      <c r="A258" s="29" t="n"/>
      <c r="B258" s="30" t="n"/>
      <c r="C258" s="30" t="n"/>
      <c r="D258" s="30" t="n"/>
      <c r="E258" s="361" t="n"/>
      <c r="F258" s="30" t="n"/>
      <c r="G258" s="38" t="n"/>
      <c r="H258" s="30" t="n"/>
      <c r="I258" s="30" t="n"/>
    </row>
    <row r="259">
      <c r="A259" s="33" t="n"/>
      <c r="B259" s="34" t="n"/>
      <c r="C259" s="34" t="n"/>
      <c r="D259" s="34" t="n"/>
      <c r="E259" s="362" t="n"/>
      <c r="F259" s="34" t="n"/>
      <c r="G259" s="40" t="n"/>
      <c r="H259" s="34" t="n"/>
      <c r="I259" s="34" t="n"/>
    </row>
    <row r="260">
      <c r="A260" s="29" t="n"/>
      <c r="B260" s="30" t="n"/>
      <c r="C260" s="30" t="n"/>
      <c r="D260" s="30" t="n"/>
      <c r="E260" s="361" t="n"/>
      <c r="F260" s="30" t="n"/>
      <c r="G260" s="38" t="n"/>
      <c r="H260" s="30" t="n"/>
      <c r="I260" s="30" t="n"/>
    </row>
    <row r="261">
      <c r="A261" s="33" t="n"/>
      <c r="B261" s="34" t="n"/>
      <c r="C261" s="34" t="n"/>
      <c r="D261" s="34" t="n"/>
      <c r="E261" s="362" t="n"/>
      <c r="F261" s="34" t="n"/>
      <c r="G261" s="40" t="n"/>
      <c r="H261" s="34" t="n"/>
      <c r="I261" s="34" t="n"/>
    </row>
    <row r="262">
      <c r="A262" s="29" t="n"/>
      <c r="B262" s="30" t="n"/>
      <c r="C262" s="30" t="n"/>
      <c r="D262" s="30" t="n"/>
      <c r="E262" s="361" t="n"/>
      <c r="F262" s="30" t="n"/>
      <c r="G262" s="38" t="n"/>
      <c r="H262" s="30" t="n"/>
      <c r="I262" s="30" t="n"/>
    </row>
    <row r="263">
      <c r="A263" s="33" t="n"/>
      <c r="B263" s="34" t="n"/>
      <c r="C263" s="34" t="n"/>
      <c r="D263" s="34" t="n"/>
      <c r="E263" s="362" t="n"/>
      <c r="F263" s="34" t="n"/>
      <c r="G263" s="40" t="n"/>
      <c r="H263" s="34" t="n"/>
      <c r="I263" s="34" t="n"/>
    </row>
    <row r="264">
      <c r="A264" s="29" t="n"/>
      <c r="B264" s="30" t="n"/>
      <c r="C264" s="30" t="n"/>
      <c r="D264" s="30" t="n"/>
      <c r="E264" s="361" t="n"/>
      <c r="F264" s="30" t="n"/>
      <c r="G264" s="38" t="n"/>
      <c r="H264" s="30" t="n"/>
      <c r="I264" s="30" t="n"/>
    </row>
    <row r="265">
      <c r="A265" s="33" t="n"/>
      <c r="B265" s="34" t="n"/>
      <c r="C265" s="34" t="n"/>
      <c r="D265" s="34" t="n"/>
      <c r="E265" s="362" t="n"/>
      <c r="F265" s="34" t="n"/>
      <c r="G265" s="40" t="n"/>
      <c r="H265" s="34" t="n"/>
      <c r="I265" s="34" t="n"/>
    </row>
    <row r="266">
      <c r="A266" s="29" t="n"/>
      <c r="B266" s="30" t="n"/>
      <c r="C266" s="30" t="n"/>
      <c r="D266" s="30" t="n"/>
      <c r="E266" s="361" t="n"/>
      <c r="F266" s="30" t="n"/>
      <c r="G266" s="38" t="n"/>
      <c r="H266" s="30" t="n"/>
      <c r="I266" s="30" t="n"/>
    </row>
    <row r="267">
      <c r="A267" s="33" t="n"/>
      <c r="B267" s="34" t="n"/>
      <c r="C267" s="34" t="n"/>
      <c r="D267" s="34" t="n"/>
      <c r="E267" s="362" t="n"/>
      <c r="F267" s="34" t="n"/>
      <c r="G267" s="40" t="n"/>
      <c r="H267" s="34" t="n"/>
      <c r="I267" s="34" t="n"/>
    </row>
    <row r="268">
      <c r="A268" s="29" t="n"/>
      <c r="B268" s="30" t="n"/>
      <c r="C268" s="30" t="n"/>
      <c r="D268" s="30" t="n"/>
      <c r="E268" s="361" t="n"/>
      <c r="F268" s="30" t="n"/>
      <c r="G268" s="38" t="n"/>
      <c r="H268" s="30" t="n"/>
      <c r="I268" s="30" t="n"/>
    </row>
    <row r="269">
      <c r="A269" s="33" t="n"/>
      <c r="B269" s="34" t="n"/>
      <c r="C269" s="34" t="n"/>
      <c r="D269" s="34" t="n"/>
      <c r="E269" s="362" t="n"/>
      <c r="F269" s="34" t="n"/>
      <c r="G269" s="40" t="n"/>
      <c r="H269" s="34" t="n"/>
      <c r="I269" s="34" t="n"/>
    </row>
    <row r="270">
      <c r="A270" s="29" t="n"/>
      <c r="B270" s="30" t="n"/>
      <c r="C270" s="30" t="n"/>
      <c r="D270" s="30" t="n"/>
      <c r="E270" s="361" t="n"/>
      <c r="F270" s="30" t="n"/>
      <c r="G270" s="38" t="n"/>
      <c r="H270" s="30" t="n"/>
      <c r="I270" s="30" t="n"/>
    </row>
    <row r="271">
      <c r="A271" s="33" t="n"/>
      <c r="B271" s="34" t="n"/>
      <c r="C271" s="34" t="n"/>
      <c r="D271" s="34" t="n"/>
      <c r="E271" s="362" t="n"/>
      <c r="F271" s="34" t="n"/>
      <c r="G271" s="40" t="n"/>
      <c r="H271" s="34" t="n"/>
      <c r="I271" s="34" t="n"/>
    </row>
    <row r="272">
      <c r="A272" s="29" t="n"/>
      <c r="B272" s="30" t="n"/>
      <c r="C272" s="30" t="n"/>
      <c r="D272" s="30" t="n"/>
      <c r="E272" s="361" t="n"/>
      <c r="F272" s="30" t="n"/>
      <c r="G272" s="38" t="n"/>
      <c r="H272" s="30" t="n"/>
      <c r="I272" s="30" t="n"/>
    </row>
    <row r="273">
      <c r="A273" s="33" t="n"/>
      <c r="B273" s="34" t="n"/>
      <c r="C273" s="34" t="n"/>
      <c r="D273" s="34" t="n"/>
      <c r="E273" s="362" t="n"/>
      <c r="F273" s="34" t="n"/>
      <c r="G273" s="40" t="n"/>
      <c r="H273" s="34" t="n"/>
      <c r="I273" s="34" t="n"/>
    </row>
    <row r="274">
      <c r="A274" s="29" t="n"/>
      <c r="B274" s="30" t="n"/>
      <c r="C274" s="30" t="n"/>
      <c r="D274" s="30" t="n"/>
      <c r="E274" s="361" t="n"/>
      <c r="F274" s="30" t="n"/>
      <c r="G274" s="38" t="n"/>
      <c r="H274" s="30" t="n"/>
      <c r="I274" s="30" t="n"/>
    </row>
    <row r="275">
      <c r="A275" s="33" t="n"/>
      <c r="B275" s="34" t="n"/>
      <c r="C275" s="34" t="n"/>
      <c r="D275" s="34" t="n"/>
      <c r="E275" s="362" t="n"/>
      <c r="F275" s="34" t="n"/>
      <c r="G275" s="40" t="n"/>
      <c r="H275" s="34" t="n"/>
      <c r="I275" s="34" t="n"/>
    </row>
    <row r="276">
      <c r="A276" s="29" t="n"/>
      <c r="B276" s="30" t="n"/>
      <c r="C276" s="30" t="n"/>
      <c r="D276" s="30" t="n"/>
      <c r="E276" s="361" t="n"/>
      <c r="F276" s="30" t="n"/>
      <c r="G276" s="38" t="n"/>
      <c r="H276" s="30" t="n"/>
      <c r="I276" s="30" t="n"/>
    </row>
    <row r="277">
      <c r="A277" s="33" t="n"/>
      <c r="B277" s="34" t="n"/>
      <c r="C277" s="34" t="n"/>
      <c r="D277" s="34" t="n"/>
      <c r="E277" s="362" t="n"/>
      <c r="F277" s="34" t="n"/>
      <c r="G277" s="40" t="n"/>
      <c r="H277" s="34" t="n"/>
      <c r="I277" s="34" t="n"/>
    </row>
    <row r="278">
      <c r="A278" s="29" t="n"/>
      <c r="B278" s="30" t="n"/>
      <c r="C278" s="30" t="n"/>
      <c r="D278" s="30" t="n"/>
      <c r="E278" s="361" t="n"/>
      <c r="F278" s="30" t="n"/>
      <c r="G278" s="38" t="n"/>
      <c r="H278" s="30" t="n"/>
      <c r="I278" s="30" t="n"/>
    </row>
    <row r="279">
      <c r="A279" s="33" t="n"/>
      <c r="B279" s="34" t="n"/>
      <c r="C279" s="34" t="n"/>
      <c r="D279" s="34" t="n"/>
      <c r="E279" s="362" t="n"/>
      <c r="F279" s="34" t="n"/>
      <c r="G279" s="40" t="n"/>
      <c r="H279" s="34" t="n"/>
      <c r="I279" s="34" t="n"/>
    </row>
    <row r="280">
      <c r="A280" s="29" t="n"/>
      <c r="B280" s="30" t="n"/>
      <c r="C280" s="30" t="n"/>
      <c r="D280" s="30" t="n"/>
      <c r="E280" s="361" t="n"/>
      <c r="F280" s="30" t="n"/>
      <c r="G280" s="38" t="n"/>
      <c r="H280" s="30" t="n"/>
      <c r="I280" s="30" t="n"/>
    </row>
    <row r="281">
      <c r="A281" s="33" t="n"/>
      <c r="B281" s="34" t="n"/>
      <c r="C281" s="34" t="n"/>
      <c r="D281" s="34" t="n"/>
      <c r="E281" s="362" t="n"/>
      <c r="F281" s="34" t="n"/>
      <c r="G281" s="40" t="n"/>
      <c r="H281" s="34" t="n"/>
      <c r="I281" s="34" t="n"/>
    </row>
    <row r="282">
      <c r="A282" s="29" t="n"/>
      <c r="B282" s="30" t="n"/>
      <c r="C282" s="30" t="n"/>
      <c r="D282" s="30" t="n"/>
      <c r="E282" s="361" t="n"/>
      <c r="F282" s="30" t="n"/>
      <c r="G282" s="38" t="n"/>
      <c r="H282" s="30" t="n"/>
      <c r="I282" s="30" t="n"/>
    </row>
    <row r="283">
      <c r="A283" s="33" t="n"/>
      <c r="B283" s="34" t="n"/>
      <c r="C283" s="34" t="n"/>
      <c r="D283" s="34" t="n"/>
      <c r="E283" s="362" t="n"/>
      <c r="F283" s="34" t="n"/>
      <c r="G283" s="40" t="n"/>
      <c r="H283" s="34" t="n"/>
      <c r="I283" s="34" t="n"/>
    </row>
    <row r="284">
      <c r="A284" s="29" t="n"/>
      <c r="B284" s="30" t="n"/>
      <c r="C284" s="30" t="n"/>
      <c r="D284" s="30" t="n"/>
      <c r="E284" s="361" t="n"/>
      <c r="F284" s="30" t="n"/>
      <c r="G284" s="38" t="n"/>
      <c r="H284" s="30" t="n"/>
      <c r="I284" s="30" t="n"/>
    </row>
    <row r="285">
      <c r="A285" s="33" t="n"/>
      <c r="B285" s="34" t="n"/>
      <c r="C285" s="34" t="n"/>
      <c r="D285" s="34" t="n"/>
      <c r="E285" s="362" t="n"/>
      <c r="F285" s="34" t="n"/>
      <c r="G285" s="40" t="n"/>
      <c r="H285" s="34" t="n"/>
      <c r="I285" s="34" t="n"/>
    </row>
    <row r="286">
      <c r="A286" s="29" t="n"/>
      <c r="B286" s="30" t="n"/>
      <c r="C286" s="30" t="n"/>
      <c r="D286" s="30" t="n"/>
      <c r="E286" s="361" t="n"/>
      <c r="F286" s="30" t="n"/>
      <c r="G286" s="38" t="n"/>
      <c r="H286" s="30" t="n"/>
      <c r="I286" s="30" t="n"/>
    </row>
    <row r="287">
      <c r="A287" s="33" t="n"/>
      <c r="B287" s="34" t="n"/>
      <c r="C287" s="34" t="n"/>
      <c r="D287" s="34" t="n"/>
      <c r="E287" s="362" t="n"/>
      <c r="F287" s="34" t="n"/>
      <c r="G287" s="40" t="n"/>
      <c r="H287" s="34" t="n"/>
      <c r="I287" s="34" t="n"/>
    </row>
    <row r="288">
      <c r="A288" s="29" t="n"/>
      <c r="B288" s="30" t="n"/>
      <c r="C288" s="30" t="n"/>
      <c r="D288" s="30" t="n"/>
      <c r="E288" s="361" t="n"/>
      <c r="F288" s="30" t="n"/>
      <c r="G288" s="38" t="n"/>
      <c r="H288" s="30" t="n"/>
      <c r="I288" s="30" t="n"/>
    </row>
    <row r="289">
      <c r="A289" s="33" t="n"/>
      <c r="B289" s="34" t="n"/>
      <c r="C289" s="34" t="n"/>
      <c r="D289" s="34" t="n"/>
      <c r="E289" s="362" t="n"/>
      <c r="F289" s="34" t="n"/>
      <c r="G289" s="40" t="n"/>
      <c r="H289" s="34" t="n"/>
      <c r="I289" s="34" t="n"/>
    </row>
    <row r="290">
      <c r="A290" s="29" t="n"/>
      <c r="B290" s="30" t="n"/>
      <c r="C290" s="30" t="n"/>
      <c r="D290" s="30" t="n"/>
      <c r="E290" s="361" t="n"/>
      <c r="F290" s="30" t="n"/>
      <c r="G290" s="38" t="n"/>
      <c r="H290" s="30" t="n"/>
      <c r="I290" s="30" t="n"/>
    </row>
    <row r="291">
      <c r="A291" s="33" t="n"/>
      <c r="B291" s="34" t="n"/>
      <c r="C291" s="34" t="n"/>
      <c r="D291" s="34" t="n"/>
      <c r="E291" s="362" t="n"/>
      <c r="F291" s="34" t="n"/>
      <c r="G291" s="40" t="n"/>
      <c r="H291" s="34" t="n"/>
      <c r="I291" s="34" t="n"/>
    </row>
    <row r="292">
      <c r="A292" s="29" t="n"/>
      <c r="B292" s="30" t="n"/>
      <c r="C292" s="30" t="n"/>
      <c r="D292" s="30" t="n"/>
      <c r="E292" s="361" t="n"/>
      <c r="F292" s="30" t="n"/>
      <c r="G292" s="38" t="n"/>
      <c r="H292" s="30" t="n"/>
      <c r="I292" s="30" t="n"/>
    </row>
    <row r="293">
      <c r="A293" s="33" t="n"/>
      <c r="B293" s="34" t="n"/>
      <c r="C293" s="34" t="n"/>
      <c r="D293" s="34" t="n"/>
      <c r="E293" s="362" t="n"/>
      <c r="F293" s="34" t="n"/>
      <c r="G293" s="40" t="n"/>
      <c r="H293" s="34" t="n"/>
      <c r="I293" s="34" t="n"/>
    </row>
    <row r="294">
      <c r="A294" s="29" t="n"/>
      <c r="B294" s="30" t="n"/>
      <c r="C294" s="30" t="n"/>
      <c r="D294" s="30" t="n"/>
      <c r="E294" s="361" t="n"/>
      <c r="F294" s="30" t="n"/>
      <c r="G294" s="38" t="n"/>
      <c r="H294" s="30" t="n"/>
      <c r="I294" s="30" t="n"/>
    </row>
    <row r="295">
      <c r="A295" s="33" t="n"/>
      <c r="B295" s="34" t="n"/>
      <c r="C295" s="34" t="n"/>
      <c r="D295" s="34" t="n"/>
      <c r="E295" s="362" t="n"/>
      <c r="F295" s="34" t="n"/>
      <c r="G295" s="40" t="n"/>
      <c r="H295" s="34" t="n"/>
      <c r="I295" s="34" t="n"/>
    </row>
    <row r="296">
      <c r="A296" s="29" t="n"/>
      <c r="B296" s="30" t="n"/>
      <c r="C296" s="30" t="n"/>
      <c r="D296" s="30" t="n"/>
      <c r="E296" s="361" t="n"/>
      <c r="F296" s="30" t="n"/>
      <c r="G296" s="38" t="n"/>
      <c r="H296" s="30" t="n"/>
      <c r="I296" s="30" t="n"/>
    </row>
    <row r="297">
      <c r="A297" s="33" t="n"/>
      <c r="B297" s="34" t="n"/>
      <c r="C297" s="34" t="n"/>
      <c r="D297" s="34" t="n"/>
      <c r="E297" s="362" t="n"/>
      <c r="F297" s="34" t="n"/>
      <c r="G297" s="40" t="n"/>
      <c r="H297" s="34" t="n"/>
      <c r="I297" s="34" t="n"/>
    </row>
    <row r="298">
      <c r="A298" s="29" t="n"/>
      <c r="B298" s="30" t="n"/>
      <c r="C298" s="30" t="n"/>
      <c r="D298" s="30" t="n"/>
      <c r="E298" s="361" t="n"/>
      <c r="F298" s="30" t="n"/>
      <c r="G298" s="38" t="n"/>
      <c r="H298" s="30" t="n"/>
      <c r="I298" s="30" t="n"/>
    </row>
    <row r="299">
      <c r="A299" s="33" t="n"/>
      <c r="B299" s="34" t="n"/>
      <c r="C299" s="34" t="n"/>
      <c r="D299" s="34" t="n"/>
      <c r="E299" s="362" t="n"/>
      <c r="F299" s="34" t="n"/>
      <c r="G299" s="40" t="n"/>
      <c r="H299" s="34" t="n"/>
      <c r="I299" s="34" t="n"/>
    </row>
    <row r="300">
      <c r="A300" s="29" t="n"/>
      <c r="B300" s="30" t="n"/>
      <c r="C300" s="30" t="n"/>
      <c r="D300" s="30" t="n"/>
      <c r="E300" s="361" t="n"/>
      <c r="F300" s="30" t="n"/>
      <c r="G300" s="38" t="n"/>
      <c r="H300" s="30" t="n"/>
      <c r="I300" s="30" t="n"/>
    </row>
    <row r="301">
      <c r="A301" s="33" t="n"/>
      <c r="B301" s="34" t="n"/>
      <c r="C301" s="34" t="n"/>
      <c r="D301" s="34" t="n"/>
      <c r="E301" s="362" t="n"/>
      <c r="F301" s="34" t="n"/>
      <c r="G301" s="40" t="n"/>
      <c r="H301" s="34" t="n"/>
      <c r="I301" s="34" t="n"/>
    </row>
    <row r="302">
      <c r="A302" s="29" t="n"/>
      <c r="B302" s="30" t="n"/>
      <c r="C302" s="30" t="n"/>
      <c r="D302" s="30" t="n"/>
      <c r="E302" s="361" t="n"/>
      <c r="F302" s="30" t="n"/>
      <c r="G302" s="38" t="n"/>
      <c r="H302" s="30" t="n"/>
      <c r="I302" s="30" t="n"/>
    </row>
    <row r="303">
      <c r="A303" s="33" t="n"/>
      <c r="B303" s="34" t="n"/>
      <c r="C303" s="34" t="n"/>
      <c r="D303" s="34" t="n"/>
      <c r="E303" s="362" t="n"/>
      <c r="F303" s="34" t="n"/>
      <c r="G303" s="40" t="n"/>
      <c r="H303" s="34" t="n"/>
      <c r="I303" s="34" t="n"/>
    </row>
    <row r="304">
      <c r="A304" s="29" t="n"/>
      <c r="B304" s="30" t="n"/>
      <c r="C304" s="30" t="n"/>
      <c r="D304" s="30" t="n"/>
      <c r="E304" s="361" t="n"/>
      <c r="F304" s="30" t="n"/>
      <c r="G304" s="38" t="n"/>
      <c r="H304" s="30" t="n"/>
      <c r="I304" s="30" t="n"/>
    </row>
    <row r="305">
      <c r="A305" s="33" t="n"/>
      <c r="B305" s="34" t="n"/>
      <c r="C305" s="34" t="n"/>
      <c r="D305" s="34" t="n"/>
      <c r="E305" s="362" t="n"/>
      <c r="F305" s="34" t="n"/>
      <c r="G305" s="40" t="n"/>
      <c r="H305" s="34" t="n"/>
      <c r="I305" s="34" t="n"/>
    </row>
  </sheetData>
  <autoFilter ref="A5:F305"/>
  <mergeCells count="3">
    <mergeCell ref="A3:F3"/>
    <mergeCell ref="H1:J2"/>
    <mergeCell ref="A1:F2"/>
  </mergeCells>
  <dataValidations count="1">
    <dataValidation sqref="B6:B305" showDropDown="0" showInputMessage="0" showErrorMessage="0" allowBlank="1" errorTitle="Ungültiger Lieferant" error="Bitte einen Lieferanten aus der Liste auswählen." promptTitle="Lieferant" prompt="Lieferant auswählen" type="list">
      <formula1>=LieferantenListe</formula1>
    </dataValidation>
  </dataValidations>
  <hyperlinks>
    <hyperlink xmlns:r="http://schemas.openxmlformats.org/officeDocument/2006/relationships" ref="H1" r:id="rId1"/>
  </hyperlinks>
  <pageMargins left="0.2" right="0.2" top="0.35" bottom="0.35" header="0.5" footer="0.5"/>
  <pageSetup orientation="landscape" fitToHeight="0" fitToWidth="1"/>
  <headerFooter>
    <oddHeader/>
    <oddFooter>&amp;CSeite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20" customWidth="1" min="4" max="4"/>
    <col width="16" customWidth="1" min="5" max="5"/>
    <col width="19" customWidth="1" min="6" max="6"/>
    <col width="19" customWidth="1" min="7" max="7"/>
    <col width="19" customWidth="1" min="8" max="8"/>
    <col width="30" customWidth="1" min="9" max="9"/>
    <col width="28" customWidth="1" min="11" max="11"/>
    <col width="3" customWidth="1" min="12" max="12"/>
    <col width="18" customWidth="1" min="13" max="13"/>
    <col width="13" customWidth="1" min="15" max="15"/>
    <col width="13" customWidth="1" min="16" max="16"/>
    <col width="13" customWidth="1" min="17" max="17"/>
  </cols>
  <sheetData>
    <row r="1" ht="18" customHeight="1">
      <c r="A1" s="26" t="inlineStr">
        <is>
          <t>RECHNUNGSSTAND</t>
        </is>
      </c>
      <c r="O1" s="263" t="inlineStr">
        <is>
          <t>←  ZUM COCKPIT</t>
        </is>
      </c>
      <c r="P1" s="269" t="n"/>
      <c r="Q1" s="270" t="n"/>
    </row>
    <row r="2" ht="18" customHeight="1">
      <c r="K2" s="215" t="inlineStr">
        <is>
          <t>PROJEKTFORTSCHRITT</t>
        </is>
      </c>
      <c r="L2" s="251" t="n"/>
      <c r="M2" s="252" t="n"/>
      <c r="O2" s="271" t="n"/>
      <c r="P2" s="272" t="n"/>
      <c r="Q2" s="273" t="n"/>
    </row>
    <row r="3">
      <c r="A3" s="27" t="inlineStr">
        <is>
          <t>Fortlaufende Erfassung von Abschlags-, Teilschluss- und Schlussrechnungen</t>
        </is>
      </c>
      <c r="K3" s="266" t="inlineStr">
        <is>
          <t>Auftragssumme netto</t>
        </is>
      </c>
      <c r="L3" s="258" t="n"/>
      <c r="M3" s="241">
        <f>'Projektübersicht'!$B$28</f>
        <v/>
      </c>
    </row>
    <row r="4">
      <c r="K4" s="266" t="inlineStr">
        <is>
          <t>In Rechnung gestellt netto</t>
        </is>
      </c>
      <c r="L4" s="258" t="n"/>
      <c r="M4" s="241">
        <f>SUM($F$6:$F$305)</f>
        <v/>
      </c>
    </row>
    <row r="5" ht="32" customHeight="1">
      <c r="A5" s="363" t="inlineStr">
        <is>
          <t>Rechnungsdatum</t>
        </is>
      </c>
      <c r="B5" s="363" t="inlineStr">
        <is>
          <t>Rechnungsnummer</t>
        </is>
      </c>
      <c r="C5" s="363" t="inlineStr">
        <is>
          <t>Rechnungsart</t>
        </is>
      </c>
      <c r="D5" s="363" t="inlineStr">
        <is>
          <t>Leistungszeitraum</t>
        </is>
      </c>
      <c r="E5" s="363" t="inlineStr">
        <is>
          <t>Leistungsstand / Bezeichnung</t>
        </is>
      </c>
      <c r="F5" s="363" t="inlineStr">
        <is>
          <t>Rechnungsbetrag netto
(diese Rechnung)</t>
        </is>
      </c>
      <c r="G5" s="363" t="inlineStr">
        <is>
          <t>Zahlungseingang</t>
        </is>
      </c>
      <c r="H5" s="363" t="inlineStr">
        <is>
          <t>Offener Betrag</t>
        </is>
      </c>
      <c r="I5" s="363" t="inlineStr">
        <is>
          <t>Bemerkung</t>
        </is>
      </c>
      <c r="K5" s="267" t="inlineStr">
        <is>
          <t>Unfertige Leistungen netto</t>
        </is>
      </c>
      <c r="L5" s="258" t="n"/>
      <c r="M5" s="244" t="n"/>
    </row>
    <row r="6">
      <c r="A6" s="403" t="n"/>
      <c r="B6" s="404" t="n"/>
      <c r="C6" s="404" t="n"/>
      <c r="D6" s="405" t="n"/>
      <c r="E6" s="405" t="n"/>
      <c r="F6" s="406" t="n"/>
      <c r="G6" s="406" t="n"/>
      <c r="H6" s="368">
        <f>IF(F6="","",F6-IF(G6="",0,G6))</f>
        <v/>
      </c>
      <c r="I6" s="405" t="n"/>
      <c r="K6" s="268" t="inlineStr">
        <is>
          <t>Leistungsstand gesamt</t>
        </is>
      </c>
      <c r="L6" s="258" t="n"/>
      <c r="M6" s="246">
        <f>SUM(M4:M5)</f>
        <v/>
      </c>
    </row>
    <row r="7">
      <c r="A7" s="407" t="n"/>
      <c r="B7" s="408" t="n"/>
      <c r="C7" s="408" t="n"/>
      <c r="D7" s="409" t="n"/>
      <c r="E7" s="409" t="n"/>
      <c r="F7" s="410" t="n"/>
      <c r="G7" s="410" t="n"/>
      <c r="H7" s="373">
        <f>IF(F7="","",F7-IF(G7="",0,G7))</f>
        <v/>
      </c>
      <c r="I7" s="409" t="n"/>
      <c r="K7" s="268" t="inlineStr">
        <is>
          <t>Restleistung</t>
        </is>
      </c>
      <c r="L7" s="258" t="n"/>
      <c r="M7" s="246">
        <f>MAX(0,M3-M6)</f>
        <v/>
      </c>
    </row>
    <row r="8">
      <c r="A8" s="403" t="n"/>
      <c r="B8" s="404" t="n"/>
      <c r="C8" s="404" t="n"/>
      <c r="D8" s="405" t="n"/>
      <c r="E8" s="405" t="n"/>
      <c r="F8" s="406" t="n"/>
      <c r="G8" s="406" t="n"/>
      <c r="H8" s="368">
        <f>IF(F8="","",F8-IF(G8="",0,G8))</f>
        <v/>
      </c>
      <c r="I8" s="405" t="n"/>
      <c r="K8" s="268" t="inlineStr">
        <is>
          <t>Projektfortschritt</t>
        </is>
      </c>
      <c r="L8" s="258" t="n"/>
      <c r="M8" s="247">
        <f>IF(M3&gt;0,M6/M3,"")</f>
        <v/>
      </c>
    </row>
    <row r="9" ht="28" customHeight="1">
      <c r="A9" s="407" t="n"/>
      <c r="B9" s="408" t="n"/>
      <c r="C9" s="408" t="n"/>
      <c r="D9" s="409" t="n"/>
      <c r="E9" s="409" t="n"/>
      <c r="F9" s="410" t="n"/>
      <c r="G9" s="410" t="n"/>
      <c r="H9" s="373">
        <f>IF(F9="","",F9-IF(G9="",0,G9))</f>
        <v/>
      </c>
      <c r="I9" s="409" t="n"/>
      <c r="K9" s="248" t="inlineStr">
        <is>
          <t>Hinweis: Unfertige Leistungen werden manuell zum jeweiligen Stichtag bewertet.</t>
        </is>
      </c>
    </row>
    <row r="10">
      <c r="A10" s="403" t="n"/>
      <c r="B10" s="404" t="n"/>
      <c r="C10" s="404" t="n"/>
      <c r="D10" s="405" t="n"/>
      <c r="E10" s="405" t="n"/>
      <c r="F10" s="406" t="n"/>
      <c r="G10" s="406" t="n"/>
      <c r="H10" s="368">
        <f>IF(F10="","",F10-IF(G10="",0,G10))</f>
        <v/>
      </c>
      <c r="I10" s="405" t="n"/>
    </row>
    <row r="11">
      <c r="A11" s="407" t="n"/>
      <c r="B11" s="408" t="n"/>
      <c r="C11" s="408" t="n"/>
      <c r="D11" s="409" t="n"/>
      <c r="E11" s="409" t="n"/>
      <c r="F11" s="410" t="n"/>
      <c r="G11" s="410" t="n"/>
      <c r="H11" s="373">
        <f>IF(F11="","",F11-IF(G11="",0,G11))</f>
        <v/>
      </c>
      <c r="I11" s="409" t="n"/>
      <c r="K11" s="374" t="inlineStr">
        <is>
          <t>RECHNUNGSPRÜFUNG</t>
        </is>
      </c>
    </row>
    <row r="12">
      <c r="A12" s="403" t="n"/>
      <c r="B12" s="404" t="n"/>
      <c r="C12" s="404" t="n"/>
      <c r="D12" s="405" t="n"/>
      <c r="E12" s="405" t="n"/>
      <c r="F12" s="406" t="n"/>
      <c r="G12" s="406" t="n"/>
      <c r="H12" s="368">
        <f>IF(F12="","",F12-IF(G12="",0,G12))</f>
        <v/>
      </c>
      <c r="I12" s="405" t="n"/>
      <c r="K12" s="375" t="inlineStr">
        <is>
          <t>→ PRÜFBLATT ÖFFNEN</t>
        </is>
      </c>
    </row>
    <row r="13">
      <c r="A13" s="407" t="n"/>
      <c r="B13" s="408" t="n"/>
      <c r="C13" s="408" t="n"/>
      <c r="D13" s="409" t="n"/>
      <c r="E13" s="409" t="n"/>
      <c r="F13" s="410" t="n"/>
      <c r="G13" s="410" t="n"/>
      <c r="H13" s="373">
        <f>IF(F13="","",F13-IF(G13="",0,G13))</f>
        <v/>
      </c>
      <c r="I13" s="409" t="n"/>
    </row>
    <row r="14">
      <c r="A14" s="403" t="n"/>
      <c r="B14" s="404" t="n"/>
      <c r="C14" s="404" t="n"/>
      <c r="D14" s="405" t="n"/>
      <c r="E14" s="405" t="n"/>
      <c r="F14" s="406" t="n"/>
      <c r="G14" s="406" t="n"/>
      <c r="H14" s="368">
        <f>IF(F14="","",F14-IF(G14="",0,G14))</f>
        <v/>
      </c>
      <c r="I14" s="405" t="n"/>
    </row>
    <row r="15">
      <c r="A15" s="407" t="n"/>
      <c r="B15" s="408" t="n"/>
      <c r="C15" s="408" t="n"/>
      <c r="D15" s="409" t="n"/>
      <c r="E15" s="409" t="n"/>
      <c r="F15" s="410" t="n"/>
      <c r="G15" s="410" t="n"/>
      <c r="H15" s="373">
        <f>IF(F15="","",F15-IF(G15="",0,G15))</f>
        <v/>
      </c>
      <c r="I15" s="409" t="n"/>
    </row>
    <row r="16">
      <c r="A16" s="403" t="n"/>
      <c r="B16" s="404" t="n"/>
      <c r="C16" s="404" t="n"/>
      <c r="D16" s="405" t="n"/>
      <c r="E16" s="405" t="n"/>
      <c r="F16" s="406" t="n"/>
      <c r="G16" s="406" t="n"/>
      <c r="H16" s="368">
        <f>IF(F16="","",F16-IF(G16="",0,G16))</f>
        <v/>
      </c>
      <c r="I16" s="405" t="n"/>
    </row>
    <row r="17">
      <c r="A17" s="407" t="n"/>
      <c r="B17" s="408" t="n"/>
      <c r="C17" s="408" t="n"/>
      <c r="D17" s="409" t="n"/>
      <c r="E17" s="409" t="n"/>
      <c r="F17" s="410" t="n"/>
      <c r="G17" s="410" t="n"/>
      <c r="H17" s="373">
        <f>IF(F17="","",F17-IF(G17="",0,G17))</f>
        <v/>
      </c>
      <c r="I17" s="409" t="n"/>
    </row>
    <row r="18">
      <c r="A18" s="403" t="n"/>
      <c r="B18" s="404" t="n"/>
      <c r="C18" s="404" t="n"/>
      <c r="D18" s="405" t="n"/>
      <c r="E18" s="405" t="n"/>
      <c r="F18" s="406" t="n"/>
      <c r="G18" s="406" t="n"/>
      <c r="H18" s="368">
        <f>IF(F18="","",F18-IF(G18="",0,G18))</f>
        <v/>
      </c>
      <c r="I18" s="405" t="n"/>
    </row>
    <row r="19">
      <c r="A19" s="407" t="n"/>
      <c r="B19" s="408" t="n"/>
      <c r="C19" s="408" t="n"/>
      <c r="D19" s="409" t="n"/>
      <c r="E19" s="409" t="n"/>
      <c r="F19" s="410" t="n"/>
      <c r="G19" s="410" t="n"/>
      <c r="H19" s="373">
        <f>IF(F19="","",F19-IF(G19="",0,G19))</f>
        <v/>
      </c>
      <c r="I19" s="409" t="n"/>
    </row>
    <row r="20">
      <c r="A20" s="403" t="n"/>
      <c r="B20" s="404" t="n"/>
      <c r="C20" s="404" t="n"/>
      <c r="D20" s="405" t="n"/>
      <c r="E20" s="405" t="n"/>
      <c r="F20" s="406" t="n"/>
      <c r="G20" s="406" t="n"/>
      <c r="H20" s="368">
        <f>IF(F20="","",F20-IF(G20="",0,G20))</f>
        <v/>
      </c>
      <c r="I20" s="405" t="n"/>
    </row>
    <row r="21">
      <c r="A21" s="407" t="n"/>
      <c r="B21" s="408" t="n"/>
      <c r="C21" s="408" t="n"/>
      <c r="D21" s="409" t="n"/>
      <c r="E21" s="409" t="n"/>
      <c r="F21" s="410" t="n"/>
      <c r="G21" s="410" t="n"/>
      <c r="H21" s="373">
        <f>IF(F21="","",F21-IF(G21="",0,G21))</f>
        <v/>
      </c>
      <c r="I21" s="409" t="n"/>
    </row>
    <row r="22">
      <c r="A22" s="403" t="n"/>
      <c r="B22" s="404" t="n"/>
      <c r="C22" s="404" t="n"/>
      <c r="D22" s="405" t="n"/>
      <c r="E22" s="405" t="n"/>
      <c r="F22" s="406" t="n"/>
      <c r="G22" s="406" t="n"/>
      <c r="H22" s="368">
        <f>IF(F22="","",F22-IF(G22="",0,G22))</f>
        <v/>
      </c>
      <c r="I22" s="405" t="n"/>
    </row>
    <row r="23">
      <c r="A23" s="407" t="n"/>
      <c r="B23" s="408" t="n"/>
      <c r="C23" s="408" t="n"/>
      <c r="D23" s="409" t="n"/>
      <c r="E23" s="409" t="n"/>
      <c r="F23" s="410" t="n"/>
      <c r="G23" s="410" t="n"/>
      <c r="H23" s="373">
        <f>IF(F23="","",F23-IF(G23="",0,G23))</f>
        <v/>
      </c>
      <c r="I23" s="409" t="n"/>
    </row>
    <row r="24">
      <c r="A24" s="403" t="n"/>
      <c r="B24" s="404" t="n"/>
      <c r="C24" s="404" t="n"/>
      <c r="D24" s="405" t="n"/>
      <c r="E24" s="405" t="n"/>
      <c r="F24" s="406" t="n"/>
      <c r="G24" s="406" t="n"/>
      <c r="H24" s="368">
        <f>IF(F24="","",F24-IF(G24="",0,G24))</f>
        <v/>
      </c>
      <c r="I24" s="405" t="n"/>
    </row>
    <row r="25">
      <c r="A25" s="407" t="n"/>
      <c r="B25" s="408" t="n"/>
      <c r="C25" s="408" t="n"/>
      <c r="D25" s="409" t="n"/>
      <c r="E25" s="409" t="n"/>
      <c r="F25" s="410" t="n"/>
      <c r="G25" s="410" t="n"/>
      <c r="H25" s="373">
        <f>IF(F25="","",F25-IF(G25="",0,G25))</f>
        <v/>
      </c>
      <c r="I25" s="409" t="n"/>
    </row>
    <row r="26">
      <c r="A26" s="403" t="n"/>
      <c r="B26" s="404" t="n"/>
      <c r="C26" s="404" t="n"/>
      <c r="D26" s="405" t="n"/>
      <c r="E26" s="405" t="n"/>
      <c r="F26" s="406" t="n"/>
      <c r="G26" s="406" t="n"/>
      <c r="H26" s="368">
        <f>IF(F26="","",F26-IF(G26="",0,G26))</f>
        <v/>
      </c>
      <c r="I26" s="405" t="n"/>
    </row>
    <row r="27">
      <c r="A27" s="407" t="n"/>
      <c r="B27" s="408" t="n"/>
      <c r="C27" s="408" t="n"/>
      <c r="D27" s="409" t="n"/>
      <c r="E27" s="409" t="n"/>
      <c r="F27" s="410" t="n"/>
      <c r="G27" s="410" t="n"/>
      <c r="H27" s="373">
        <f>IF(F27="","",F27-IF(G27="",0,G27))</f>
        <v/>
      </c>
      <c r="I27" s="409" t="n"/>
    </row>
    <row r="28">
      <c r="A28" s="403" t="n"/>
      <c r="B28" s="404" t="n"/>
      <c r="C28" s="404" t="n"/>
      <c r="D28" s="405" t="n"/>
      <c r="E28" s="405" t="n"/>
      <c r="F28" s="406" t="n"/>
      <c r="G28" s="406" t="n"/>
      <c r="H28" s="368">
        <f>IF(F28="","",F28-IF(G28="",0,G28))</f>
        <v/>
      </c>
      <c r="I28" s="405" t="n"/>
    </row>
    <row r="29">
      <c r="A29" s="407" t="n"/>
      <c r="B29" s="408" t="n"/>
      <c r="C29" s="408" t="n"/>
      <c r="D29" s="409" t="n"/>
      <c r="E29" s="409" t="n"/>
      <c r="F29" s="410" t="n"/>
      <c r="G29" s="410" t="n"/>
      <c r="H29" s="373">
        <f>IF(F29="","",F29-IF(G29="",0,G29))</f>
        <v/>
      </c>
      <c r="I29" s="409" t="n"/>
    </row>
    <row r="30">
      <c r="A30" s="403" t="n"/>
      <c r="B30" s="404" t="n"/>
      <c r="C30" s="404" t="n"/>
      <c r="D30" s="405" t="n"/>
      <c r="E30" s="405" t="n"/>
      <c r="F30" s="406" t="n"/>
      <c r="G30" s="406" t="n"/>
      <c r="H30" s="368">
        <f>IF(F30="","",F30-IF(G30="",0,G30))</f>
        <v/>
      </c>
      <c r="I30" s="405" t="n"/>
    </row>
    <row r="31">
      <c r="A31" s="407" t="n"/>
      <c r="B31" s="408" t="n"/>
      <c r="C31" s="408" t="n"/>
      <c r="D31" s="409" t="n"/>
      <c r="E31" s="409" t="n"/>
      <c r="F31" s="410" t="n"/>
      <c r="G31" s="410" t="n"/>
      <c r="H31" s="373">
        <f>IF(F31="","",F31-IF(G31="",0,G31))</f>
        <v/>
      </c>
      <c r="I31" s="409" t="n"/>
    </row>
    <row r="32">
      <c r="A32" s="403" t="n"/>
      <c r="B32" s="404" t="n"/>
      <c r="C32" s="404" t="n"/>
      <c r="D32" s="405" t="n"/>
      <c r="E32" s="405" t="n"/>
      <c r="F32" s="406" t="n"/>
      <c r="G32" s="406" t="n"/>
      <c r="H32" s="368">
        <f>IF(F32="","",F32-IF(G32="",0,G32))</f>
        <v/>
      </c>
      <c r="I32" s="405" t="n"/>
    </row>
    <row r="33">
      <c r="A33" s="407" t="n"/>
      <c r="B33" s="408" t="n"/>
      <c r="C33" s="408" t="n"/>
      <c r="D33" s="409" t="n"/>
      <c r="E33" s="409" t="n"/>
      <c r="F33" s="410" t="n"/>
      <c r="G33" s="410" t="n"/>
      <c r="H33" s="373">
        <f>IF(F33="","",F33-IF(G33="",0,G33))</f>
        <v/>
      </c>
      <c r="I33" s="409" t="n"/>
    </row>
    <row r="34">
      <c r="A34" s="403" t="n"/>
      <c r="B34" s="404" t="n"/>
      <c r="C34" s="404" t="n"/>
      <c r="D34" s="405" t="n"/>
      <c r="E34" s="405" t="n"/>
      <c r="F34" s="406" t="n"/>
      <c r="G34" s="406" t="n"/>
      <c r="H34" s="368">
        <f>IF(F34="","",F34-IF(G34="",0,G34))</f>
        <v/>
      </c>
      <c r="I34" s="405" t="n"/>
    </row>
    <row r="35">
      <c r="A35" s="407" t="n"/>
      <c r="B35" s="408" t="n"/>
      <c r="C35" s="408" t="n"/>
      <c r="D35" s="409" t="n"/>
      <c r="E35" s="409" t="n"/>
      <c r="F35" s="410" t="n"/>
      <c r="G35" s="410" t="n"/>
      <c r="H35" s="373">
        <f>IF(F35="","",F35-IF(G35="",0,G35))</f>
        <v/>
      </c>
      <c r="I35" s="409" t="n"/>
    </row>
    <row r="36">
      <c r="A36" s="403" t="n"/>
      <c r="B36" s="404" t="n"/>
      <c r="C36" s="404" t="n"/>
      <c r="D36" s="405" t="n"/>
      <c r="E36" s="405" t="n"/>
      <c r="F36" s="406" t="n"/>
      <c r="G36" s="406" t="n"/>
      <c r="H36" s="368">
        <f>IF(F36="","",F36-IF(G36="",0,G36))</f>
        <v/>
      </c>
      <c r="I36" s="405" t="n"/>
    </row>
    <row r="37">
      <c r="A37" s="407" t="n"/>
      <c r="B37" s="408" t="n"/>
      <c r="C37" s="408" t="n"/>
      <c r="D37" s="409" t="n"/>
      <c r="E37" s="409" t="n"/>
      <c r="F37" s="410" t="n"/>
      <c r="G37" s="410" t="n"/>
      <c r="H37" s="373">
        <f>IF(F37="","",F37-IF(G37="",0,G37))</f>
        <v/>
      </c>
      <c r="I37" s="409" t="n"/>
    </row>
    <row r="38">
      <c r="A38" s="403" t="n"/>
      <c r="B38" s="404" t="n"/>
      <c r="C38" s="404" t="n"/>
      <c r="D38" s="405" t="n"/>
      <c r="E38" s="405" t="n"/>
      <c r="F38" s="406" t="n"/>
      <c r="G38" s="406" t="n"/>
      <c r="H38" s="368">
        <f>IF(F38="","",F38-IF(G38="",0,G38))</f>
        <v/>
      </c>
      <c r="I38" s="405" t="n"/>
    </row>
    <row r="39">
      <c r="A39" s="407" t="n"/>
      <c r="B39" s="408" t="n"/>
      <c r="C39" s="408" t="n"/>
      <c r="D39" s="409" t="n"/>
      <c r="E39" s="409" t="n"/>
      <c r="F39" s="410" t="n"/>
      <c r="G39" s="410" t="n"/>
      <c r="H39" s="373">
        <f>IF(F39="","",F39-IF(G39="",0,G39))</f>
        <v/>
      </c>
      <c r="I39" s="409" t="n"/>
    </row>
    <row r="40">
      <c r="A40" s="403" t="n"/>
      <c r="B40" s="404" t="n"/>
      <c r="C40" s="404" t="n"/>
      <c r="D40" s="405" t="n"/>
      <c r="E40" s="405" t="n"/>
      <c r="F40" s="406" t="n"/>
      <c r="G40" s="406" t="n"/>
      <c r="H40" s="368">
        <f>IF(F40="","",F40-IF(G40="",0,G40))</f>
        <v/>
      </c>
      <c r="I40" s="405" t="n"/>
    </row>
    <row r="41">
      <c r="A41" s="407" t="n"/>
      <c r="B41" s="408" t="n"/>
      <c r="C41" s="408" t="n"/>
      <c r="D41" s="409" t="n"/>
      <c r="E41" s="409" t="n"/>
      <c r="F41" s="410" t="n"/>
      <c r="G41" s="410" t="n"/>
      <c r="H41" s="373">
        <f>IF(F41="","",F41-IF(G41="",0,G41))</f>
        <v/>
      </c>
      <c r="I41" s="409" t="n"/>
    </row>
    <row r="42">
      <c r="A42" s="403" t="n"/>
      <c r="B42" s="404" t="n"/>
      <c r="C42" s="404" t="n"/>
      <c r="D42" s="405" t="n"/>
      <c r="E42" s="405" t="n"/>
      <c r="F42" s="406" t="n"/>
      <c r="G42" s="406" t="n"/>
      <c r="H42" s="368">
        <f>IF(F42="","",F42-IF(G42="",0,G42))</f>
        <v/>
      </c>
      <c r="I42" s="405" t="n"/>
    </row>
    <row r="43">
      <c r="A43" s="407" t="n"/>
      <c r="B43" s="408" t="n"/>
      <c r="C43" s="408" t="n"/>
      <c r="D43" s="409" t="n"/>
      <c r="E43" s="409" t="n"/>
      <c r="F43" s="410" t="n"/>
      <c r="G43" s="410" t="n"/>
      <c r="H43" s="373">
        <f>IF(F43="","",F43-IF(G43="",0,G43))</f>
        <v/>
      </c>
      <c r="I43" s="409" t="n"/>
    </row>
    <row r="44">
      <c r="A44" s="403" t="n"/>
      <c r="B44" s="404" t="n"/>
      <c r="C44" s="404" t="n"/>
      <c r="D44" s="405" t="n"/>
      <c r="E44" s="405" t="n"/>
      <c r="F44" s="406" t="n"/>
      <c r="G44" s="406" t="n"/>
      <c r="H44" s="368">
        <f>IF(F44="","",F44-IF(G44="",0,G44))</f>
        <v/>
      </c>
      <c r="I44" s="405" t="n"/>
    </row>
    <row r="45">
      <c r="A45" s="407" t="n"/>
      <c r="B45" s="408" t="n"/>
      <c r="C45" s="408" t="n"/>
      <c r="D45" s="409" t="n"/>
      <c r="E45" s="409" t="n"/>
      <c r="F45" s="410" t="n"/>
      <c r="G45" s="410" t="n"/>
      <c r="H45" s="373">
        <f>IF(F45="","",F45-IF(G45="",0,G45))</f>
        <v/>
      </c>
      <c r="I45" s="409" t="n"/>
    </row>
    <row r="46">
      <c r="A46" s="403" t="n"/>
      <c r="B46" s="404" t="n"/>
      <c r="C46" s="404" t="n"/>
      <c r="D46" s="405" t="n"/>
      <c r="E46" s="405" t="n"/>
      <c r="F46" s="406" t="n"/>
      <c r="G46" s="406" t="n"/>
      <c r="H46" s="368">
        <f>IF(F46="","",F46-IF(G46="",0,G46))</f>
        <v/>
      </c>
      <c r="I46" s="405" t="n"/>
    </row>
    <row r="47">
      <c r="A47" s="407" t="n"/>
      <c r="B47" s="408" t="n"/>
      <c r="C47" s="408" t="n"/>
      <c r="D47" s="409" t="n"/>
      <c r="E47" s="409" t="n"/>
      <c r="F47" s="410" t="n"/>
      <c r="G47" s="410" t="n"/>
      <c r="H47" s="373">
        <f>IF(F47="","",F47-IF(G47="",0,G47))</f>
        <v/>
      </c>
      <c r="I47" s="409" t="n"/>
    </row>
    <row r="48">
      <c r="A48" s="403" t="n"/>
      <c r="B48" s="404" t="n"/>
      <c r="C48" s="404" t="n"/>
      <c r="D48" s="405" t="n"/>
      <c r="E48" s="405" t="n"/>
      <c r="F48" s="406" t="n"/>
      <c r="G48" s="406" t="n"/>
      <c r="H48" s="368">
        <f>IF(F48="","",F48-IF(G48="",0,G48))</f>
        <v/>
      </c>
      <c r="I48" s="405" t="n"/>
    </row>
    <row r="49">
      <c r="A49" s="407" t="n"/>
      <c r="B49" s="408" t="n"/>
      <c r="C49" s="408" t="n"/>
      <c r="D49" s="409" t="n"/>
      <c r="E49" s="409" t="n"/>
      <c r="F49" s="410" t="n"/>
      <c r="G49" s="410" t="n"/>
      <c r="H49" s="373">
        <f>IF(F49="","",F49-IF(G49="",0,G49))</f>
        <v/>
      </c>
      <c r="I49" s="409" t="n"/>
    </row>
    <row r="50">
      <c r="A50" s="403" t="n"/>
      <c r="B50" s="404" t="n"/>
      <c r="C50" s="404" t="n"/>
      <c r="D50" s="405" t="n"/>
      <c r="E50" s="405" t="n"/>
      <c r="F50" s="406" t="n"/>
      <c r="G50" s="406" t="n"/>
      <c r="H50" s="368">
        <f>IF(F50="","",F50-IF(G50="",0,G50))</f>
        <v/>
      </c>
      <c r="I50" s="405" t="n"/>
    </row>
    <row r="51">
      <c r="A51" s="407" t="n"/>
      <c r="B51" s="408" t="n"/>
      <c r="C51" s="408" t="n"/>
      <c r="D51" s="409" t="n"/>
      <c r="E51" s="409" t="n"/>
      <c r="F51" s="410" t="n"/>
      <c r="G51" s="410" t="n"/>
      <c r="H51" s="373">
        <f>IF(F51="","",F51-IF(G51="",0,G51))</f>
        <v/>
      </c>
      <c r="I51" s="409" t="n"/>
    </row>
    <row r="52">
      <c r="A52" s="403" t="n"/>
      <c r="B52" s="404" t="n"/>
      <c r="C52" s="404" t="n"/>
      <c r="D52" s="405" t="n"/>
      <c r="E52" s="405" t="n"/>
      <c r="F52" s="406" t="n"/>
      <c r="G52" s="406" t="n"/>
      <c r="H52" s="368">
        <f>IF(F52="","",F52-IF(G52="",0,G52))</f>
        <v/>
      </c>
      <c r="I52" s="405" t="n"/>
    </row>
    <row r="53">
      <c r="A53" s="407" t="n"/>
      <c r="B53" s="408" t="n"/>
      <c r="C53" s="408" t="n"/>
      <c r="D53" s="409" t="n"/>
      <c r="E53" s="409" t="n"/>
      <c r="F53" s="410" t="n"/>
      <c r="G53" s="410" t="n"/>
      <c r="H53" s="373">
        <f>IF(F53="","",F53-IF(G53="",0,G53))</f>
        <v/>
      </c>
      <c r="I53" s="409" t="n"/>
    </row>
    <row r="54">
      <c r="A54" s="403" t="n"/>
      <c r="B54" s="404" t="n"/>
      <c r="C54" s="404" t="n"/>
      <c r="D54" s="405" t="n"/>
      <c r="E54" s="405" t="n"/>
      <c r="F54" s="406" t="n"/>
      <c r="G54" s="406" t="n"/>
      <c r="H54" s="368">
        <f>IF(F54="","",F54-IF(G54="",0,G54))</f>
        <v/>
      </c>
      <c r="I54" s="405" t="n"/>
    </row>
    <row r="55">
      <c r="A55" s="407" t="n"/>
      <c r="B55" s="408" t="n"/>
      <c r="C55" s="408" t="n"/>
      <c r="D55" s="409" t="n"/>
      <c r="E55" s="409" t="n"/>
      <c r="F55" s="410" t="n"/>
      <c r="G55" s="410" t="n"/>
      <c r="H55" s="373">
        <f>IF(F55="","",F55-IF(G55="",0,G55))</f>
        <v/>
      </c>
      <c r="I55" s="409" t="n"/>
    </row>
    <row r="56">
      <c r="A56" s="403" t="n"/>
      <c r="B56" s="404" t="n"/>
      <c r="C56" s="404" t="n"/>
      <c r="D56" s="405" t="n"/>
      <c r="E56" s="405" t="n"/>
      <c r="F56" s="406" t="n"/>
      <c r="G56" s="406" t="n"/>
      <c r="H56" s="368">
        <f>IF(F56="","",F56-IF(G56="",0,G56))</f>
        <v/>
      </c>
      <c r="I56" s="405" t="n"/>
    </row>
    <row r="57">
      <c r="A57" s="407" t="n"/>
      <c r="B57" s="408" t="n"/>
      <c r="C57" s="408" t="n"/>
      <c r="D57" s="409" t="n"/>
      <c r="E57" s="409" t="n"/>
      <c r="F57" s="410" t="n"/>
      <c r="G57" s="410" t="n"/>
      <c r="H57" s="373">
        <f>IF(F57="","",F57-IF(G57="",0,G57))</f>
        <v/>
      </c>
      <c r="I57" s="409" t="n"/>
    </row>
    <row r="58">
      <c r="A58" s="403" t="n"/>
      <c r="B58" s="404" t="n"/>
      <c r="C58" s="404" t="n"/>
      <c r="D58" s="405" t="n"/>
      <c r="E58" s="405" t="n"/>
      <c r="F58" s="406" t="n"/>
      <c r="G58" s="406" t="n"/>
      <c r="H58" s="368">
        <f>IF(F58="","",F58-IF(G58="",0,G58))</f>
        <v/>
      </c>
      <c r="I58" s="405" t="n"/>
    </row>
    <row r="59">
      <c r="A59" s="407" t="n"/>
      <c r="B59" s="408" t="n"/>
      <c r="C59" s="408" t="n"/>
      <c r="D59" s="409" t="n"/>
      <c r="E59" s="409" t="n"/>
      <c r="F59" s="410" t="n"/>
      <c r="G59" s="410" t="n"/>
      <c r="H59" s="373">
        <f>IF(F59="","",F59-IF(G59="",0,G59))</f>
        <v/>
      </c>
      <c r="I59" s="409" t="n"/>
    </row>
    <row r="60">
      <c r="A60" s="403" t="n"/>
      <c r="B60" s="404" t="n"/>
      <c r="C60" s="404" t="n"/>
      <c r="D60" s="405" t="n"/>
      <c r="E60" s="405" t="n"/>
      <c r="F60" s="406" t="n"/>
      <c r="G60" s="406" t="n"/>
      <c r="H60" s="368">
        <f>IF(F60="","",F60-IF(G60="",0,G60))</f>
        <v/>
      </c>
      <c r="I60" s="405" t="n"/>
    </row>
    <row r="61">
      <c r="A61" s="407" t="n"/>
      <c r="B61" s="408" t="n"/>
      <c r="C61" s="408" t="n"/>
      <c r="D61" s="409" t="n"/>
      <c r="E61" s="409" t="n"/>
      <c r="F61" s="410" t="n"/>
      <c r="G61" s="410" t="n"/>
      <c r="H61" s="373">
        <f>IF(F61="","",F61-IF(G61="",0,G61))</f>
        <v/>
      </c>
      <c r="I61" s="409" t="n"/>
    </row>
    <row r="62">
      <c r="A62" s="403" t="n"/>
      <c r="B62" s="404" t="n"/>
      <c r="C62" s="404" t="n"/>
      <c r="D62" s="405" t="n"/>
      <c r="E62" s="405" t="n"/>
      <c r="F62" s="406" t="n"/>
      <c r="G62" s="406" t="n"/>
      <c r="H62" s="368">
        <f>IF(F62="","",F62-IF(G62="",0,G62))</f>
        <v/>
      </c>
      <c r="I62" s="405" t="n"/>
    </row>
    <row r="63">
      <c r="A63" s="407" t="n"/>
      <c r="B63" s="408" t="n"/>
      <c r="C63" s="408" t="n"/>
      <c r="D63" s="409" t="n"/>
      <c r="E63" s="409" t="n"/>
      <c r="F63" s="410" t="n"/>
      <c r="G63" s="410" t="n"/>
      <c r="H63" s="373">
        <f>IF(F63="","",F63-IF(G63="",0,G63))</f>
        <v/>
      </c>
      <c r="I63" s="409" t="n"/>
    </row>
    <row r="64">
      <c r="A64" s="403" t="n"/>
      <c r="B64" s="404" t="n"/>
      <c r="C64" s="404" t="n"/>
      <c r="D64" s="405" t="n"/>
      <c r="E64" s="405" t="n"/>
      <c r="F64" s="406" t="n"/>
      <c r="G64" s="406" t="n"/>
      <c r="H64" s="368">
        <f>IF(F64="","",F64-IF(G64="",0,G64))</f>
        <v/>
      </c>
      <c r="I64" s="405" t="n"/>
    </row>
    <row r="65">
      <c r="A65" s="407" t="n"/>
      <c r="B65" s="408" t="n"/>
      <c r="C65" s="408" t="n"/>
      <c r="D65" s="409" t="n"/>
      <c r="E65" s="409" t="n"/>
      <c r="F65" s="410" t="n"/>
      <c r="G65" s="410" t="n"/>
      <c r="H65" s="373">
        <f>IF(F65="","",F65-IF(G65="",0,G65))</f>
        <v/>
      </c>
      <c r="I65" s="409" t="n"/>
    </row>
    <row r="66">
      <c r="A66" s="403" t="n"/>
      <c r="B66" s="404" t="n"/>
      <c r="C66" s="404" t="n"/>
      <c r="D66" s="405" t="n"/>
      <c r="E66" s="405" t="n"/>
      <c r="F66" s="406" t="n"/>
      <c r="G66" s="406" t="n"/>
      <c r="H66" s="368">
        <f>IF(F66="","",F66-IF(G66="",0,G66))</f>
        <v/>
      </c>
      <c r="I66" s="405" t="n"/>
    </row>
    <row r="67">
      <c r="A67" s="407" t="n"/>
      <c r="B67" s="408" t="n"/>
      <c r="C67" s="408" t="n"/>
      <c r="D67" s="409" t="n"/>
      <c r="E67" s="409" t="n"/>
      <c r="F67" s="410" t="n"/>
      <c r="G67" s="410" t="n"/>
      <c r="H67" s="373">
        <f>IF(F67="","",F67-IF(G67="",0,G67))</f>
        <v/>
      </c>
      <c r="I67" s="409" t="n"/>
    </row>
    <row r="68">
      <c r="A68" s="403" t="n"/>
      <c r="B68" s="404" t="n"/>
      <c r="C68" s="404" t="n"/>
      <c r="D68" s="405" t="n"/>
      <c r="E68" s="405" t="n"/>
      <c r="F68" s="406" t="n"/>
      <c r="G68" s="406" t="n"/>
      <c r="H68" s="368">
        <f>IF(F68="","",F68-IF(G68="",0,G68))</f>
        <v/>
      </c>
      <c r="I68" s="405" t="n"/>
    </row>
    <row r="69">
      <c r="A69" s="407" t="n"/>
      <c r="B69" s="408" t="n"/>
      <c r="C69" s="408" t="n"/>
      <c r="D69" s="409" t="n"/>
      <c r="E69" s="409" t="n"/>
      <c r="F69" s="410" t="n"/>
      <c r="G69" s="410" t="n"/>
      <c r="H69" s="373">
        <f>IF(F69="","",F69-IF(G69="",0,G69))</f>
        <v/>
      </c>
      <c r="I69" s="409" t="n"/>
    </row>
    <row r="70">
      <c r="A70" s="403" t="n"/>
      <c r="B70" s="404" t="n"/>
      <c r="C70" s="404" t="n"/>
      <c r="D70" s="405" t="n"/>
      <c r="E70" s="405" t="n"/>
      <c r="F70" s="406" t="n"/>
      <c r="G70" s="406" t="n"/>
      <c r="H70" s="368">
        <f>IF(F70="","",F70-IF(G70="",0,G70))</f>
        <v/>
      </c>
      <c r="I70" s="405" t="n"/>
    </row>
    <row r="71">
      <c r="A71" s="407" t="n"/>
      <c r="B71" s="408" t="n"/>
      <c r="C71" s="408" t="n"/>
      <c r="D71" s="409" t="n"/>
      <c r="E71" s="409" t="n"/>
      <c r="F71" s="410" t="n"/>
      <c r="G71" s="410" t="n"/>
      <c r="H71" s="373">
        <f>IF(F71="","",F71-IF(G71="",0,G71))</f>
        <v/>
      </c>
      <c r="I71" s="409" t="n"/>
    </row>
    <row r="72">
      <c r="A72" s="403" t="n"/>
      <c r="B72" s="404" t="n"/>
      <c r="C72" s="404" t="n"/>
      <c r="D72" s="405" t="n"/>
      <c r="E72" s="405" t="n"/>
      <c r="F72" s="406" t="n"/>
      <c r="G72" s="406" t="n"/>
      <c r="H72" s="368">
        <f>IF(F72="","",F72-IF(G72="",0,G72))</f>
        <v/>
      </c>
      <c r="I72" s="405" t="n"/>
    </row>
    <row r="73">
      <c r="A73" s="407" t="n"/>
      <c r="B73" s="408" t="n"/>
      <c r="C73" s="408" t="n"/>
      <c r="D73" s="409" t="n"/>
      <c r="E73" s="409" t="n"/>
      <c r="F73" s="410" t="n"/>
      <c r="G73" s="410" t="n"/>
      <c r="H73" s="373">
        <f>IF(F73="","",F73-IF(G73="",0,G73))</f>
        <v/>
      </c>
      <c r="I73" s="409" t="n"/>
    </row>
    <row r="74">
      <c r="A74" s="403" t="n"/>
      <c r="B74" s="404" t="n"/>
      <c r="C74" s="404" t="n"/>
      <c r="D74" s="405" t="n"/>
      <c r="E74" s="405" t="n"/>
      <c r="F74" s="406" t="n"/>
      <c r="G74" s="406" t="n"/>
      <c r="H74" s="368">
        <f>IF(F74="","",F74-IF(G74="",0,G74))</f>
        <v/>
      </c>
      <c r="I74" s="405" t="n"/>
    </row>
    <row r="75">
      <c r="A75" s="407" t="n"/>
      <c r="B75" s="408" t="n"/>
      <c r="C75" s="408" t="n"/>
      <c r="D75" s="409" t="n"/>
      <c r="E75" s="409" t="n"/>
      <c r="F75" s="410" t="n"/>
      <c r="G75" s="410" t="n"/>
      <c r="H75" s="373">
        <f>IF(F75="","",F75-IF(G75="",0,G75))</f>
        <v/>
      </c>
      <c r="I75" s="409" t="n"/>
    </row>
    <row r="76">
      <c r="A76" s="403" t="n"/>
      <c r="B76" s="404" t="n"/>
      <c r="C76" s="404" t="n"/>
      <c r="D76" s="405" t="n"/>
      <c r="E76" s="405" t="n"/>
      <c r="F76" s="406" t="n"/>
      <c r="G76" s="406" t="n"/>
      <c r="H76" s="368">
        <f>IF(F76="","",F76-IF(G76="",0,G76))</f>
        <v/>
      </c>
      <c r="I76" s="405" t="n"/>
    </row>
    <row r="77">
      <c r="A77" s="407" t="n"/>
      <c r="B77" s="408" t="n"/>
      <c r="C77" s="408" t="n"/>
      <c r="D77" s="409" t="n"/>
      <c r="E77" s="409" t="n"/>
      <c r="F77" s="410" t="n"/>
      <c r="G77" s="410" t="n"/>
      <c r="H77" s="373">
        <f>IF(F77="","",F77-IF(G77="",0,G77))</f>
        <v/>
      </c>
      <c r="I77" s="409" t="n"/>
    </row>
    <row r="78">
      <c r="A78" s="403" t="n"/>
      <c r="B78" s="404" t="n"/>
      <c r="C78" s="404" t="n"/>
      <c r="D78" s="405" t="n"/>
      <c r="E78" s="405" t="n"/>
      <c r="F78" s="406" t="n"/>
      <c r="G78" s="406" t="n"/>
      <c r="H78" s="368">
        <f>IF(F78="","",F78-IF(G78="",0,G78))</f>
        <v/>
      </c>
      <c r="I78" s="405" t="n"/>
    </row>
    <row r="79">
      <c r="A79" s="407" t="n"/>
      <c r="B79" s="408" t="n"/>
      <c r="C79" s="408" t="n"/>
      <c r="D79" s="409" t="n"/>
      <c r="E79" s="409" t="n"/>
      <c r="F79" s="410" t="n"/>
      <c r="G79" s="410" t="n"/>
      <c r="H79" s="373">
        <f>IF(F79="","",F79-IF(G79="",0,G79))</f>
        <v/>
      </c>
      <c r="I79" s="409" t="n"/>
    </row>
    <row r="80">
      <c r="A80" s="403" t="n"/>
      <c r="B80" s="404" t="n"/>
      <c r="C80" s="404" t="n"/>
      <c r="D80" s="405" t="n"/>
      <c r="E80" s="405" t="n"/>
      <c r="F80" s="406" t="n"/>
      <c r="G80" s="406" t="n"/>
      <c r="H80" s="368">
        <f>IF(F80="","",F80-IF(G80="",0,G80))</f>
        <v/>
      </c>
      <c r="I80" s="405" t="n"/>
    </row>
    <row r="81">
      <c r="A81" s="407" t="n"/>
      <c r="B81" s="408" t="n"/>
      <c r="C81" s="408" t="n"/>
      <c r="D81" s="409" t="n"/>
      <c r="E81" s="409" t="n"/>
      <c r="F81" s="410" t="n"/>
      <c r="G81" s="410" t="n"/>
      <c r="H81" s="373">
        <f>IF(F81="","",F81-IF(G81="",0,G81))</f>
        <v/>
      </c>
      <c r="I81" s="409" t="n"/>
    </row>
    <row r="82">
      <c r="A82" s="403" t="n"/>
      <c r="B82" s="404" t="n"/>
      <c r="C82" s="404" t="n"/>
      <c r="D82" s="405" t="n"/>
      <c r="E82" s="405" t="n"/>
      <c r="F82" s="406" t="n"/>
      <c r="G82" s="406" t="n"/>
      <c r="H82" s="368">
        <f>IF(F82="","",F82-IF(G82="",0,G82))</f>
        <v/>
      </c>
      <c r="I82" s="405" t="n"/>
    </row>
    <row r="83">
      <c r="A83" s="407" t="n"/>
      <c r="B83" s="408" t="n"/>
      <c r="C83" s="408" t="n"/>
      <c r="D83" s="409" t="n"/>
      <c r="E83" s="409" t="n"/>
      <c r="F83" s="410" t="n"/>
      <c r="G83" s="410" t="n"/>
      <c r="H83" s="373">
        <f>IF(F83="","",F83-IF(G83="",0,G83))</f>
        <v/>
      </c>
      <c r="I83" s="409" t="n"/>
    </row>
    <row r="84">
      <c r="A84" s="403" t="n"/>
      <c r="B84" s="404" t="n"/>
      <c r="C84" s="404" t="n"/>
      <c r="D84" s="405" t="n"/>
      <c r="E84" s="405" t="n"/>
      <c r="F84" s="406" t="n"/>
      <c r="G84" s="406" t="n"/>
      <c r="H84" s="368">
        <f>IF(F84="","",F84-IF(G84="",0,G84))</f>
        <v/>
      </c>
      <c r="I84" s="405" t="n"/>
    </row>
    <row r="85">
      <c r="A85" s="407" t="n"/>
      <c r="B85" s="408" t="n"/>
      <c r="C85" s="408" t="n"/>
      <c r="D85" s="409" t="n"/>
      <c r="E85" s="409" t="n"/>
      <c r="F85" s="410" t="n"/>
      <c r="G85" s="410" t="n"/>
      <c r="H85" s="373">
        <f>IF(F85="","",F85-IF(G85="",0,G85))</f>
        <v/>
      </c>
      <c r="I85" s="409" t="n"/>
    </row>
    <row r="86">
      <c r="A86" s="403" t="n"/>
      <c r="B86" s="404" t="n"/>
      <c r="C86" s="404" t="n"/>
      <c r="D86" s="405" t="n"/>
      <c r="E86" s="405" t="n"/>
      <c r="F86" s="406" t="n"/>
      <c r="G86" s="406" t="n"/>
      <c r="H86" s="368">
        <f>IF(F86="","",F86-IF(G86="",0,G86))</f>
        <v/>
      </c>
      <c r="I86" s="405" t="n"/>
    </row>
    <row r="87">
      <c r="A87" s="407" t="n"/>
      <c r="B87" s="408" t="n"/>
      <c r="C87" s="408" t="n"/>
      <c r="D87" s="409" t="n"/>
      <c r="E87" s="409" t="n"/>
      <c r="F87" s="410" t="n"/>
      <c r="G87" s="410" t="n"/>
      <c r="H87" s="373">
        <f>IF(F87="","",F87-IF(G87="",0,G87))</f>
        <v/>
      </c>
      <c r="I87" s="409" t="n"/>
    </row>
    <row r="88">
      <c r="A88" s="403" t="n"/>
      <c r="B88" s="404" t="n"/>
      <c r="C88" s="404" t="n"/>
      <c r="D88" s="405" t="n"/>
      <c r="E88" s="405" t="n"/>
      <c r="F88" s="406" t="n"/>
      <c r="G88" s="406" t="n"/>
      <c r="H88" s="368">
        <f>IF(F88="","",F88-IF(G88="",0,G88))</f>
        <v/>
      </c>
      <c r="I88" s="405" t="n"/>
    </row>
    <row r="89">
      <c r="A89" s="407" t="n"/>
      <c r="B89" s="408" t="n"/>
      <c r="C89" s="408" t="n"/>
      <c r="D89" s="409" t="n"/>
      <c r="E89" s="409" t="n"/>
      <c r="F89" s="410" t="n"/>
      <c r="G89" s="410" t="n"/>
      <c r="H89" s="373">
        <f>IF(F89="","",F89-IF(G89="",0,G89))</f>
        <v/>
      </c>
      <c r="I89" s="409" t="n"/>
    </row>
    <row r="90">
      <c r="A90" s="403" t="n"/>
      <c r="B90" s="404" t="n"/>
      <c r="C90" s="404" t="n"/>
      <c r="D90" s="405" t="n"/>
      <c r="E90" s="405" t="n"/>
      <c r="F90" s="406" t="n"/>
      <c r="G90" s="406" t="n"/>
      <c r="H90" s="368">
        <f>IF(F90="","",F90-IF(G90="",0,G90))</f>
        <v/>
      </c>
      <c r="I90" s="405" t="n"/>
    </row>
    <row r="91">
      <c r="A91" s="407" t="n"/>
      <c r="B91" s="408" t="n"/>
      <c r="C91" s="408" t="n"/>
      <c r="D91" s="409" t="n"/>
      <c r="E91" s="409" t="n"/>
      <c r="F91" s="410" t="n"/>
      <c r="G91" s="410" t="n"/>
      <c r="H91" s="373">
        <f>IF(F91="","",F91-IF(G91="",0,G91))</f>
        <v/>
      </c>
      <c r="I91" s="409" t="n"/>
    </row>
    <row r="92">
      <c r="A92" s="403" t="n"/>
      <c r="B92" s="404" t="n"/>
      <c r="C92" s="404" t="n"/>
      <c r="D92" s="405" t="n"/>
      <c r="E92" s="405" t="n"/>
      <c r="F92" s="406" t="n"/>
      <c r="G92" s="406" t="n"/>
      <c r="H92" s="368">
        <f>IF(F92="","",F92-IF(G92="",0,G92))</f>
        <v/>
      </c>
      <c r="I92" s="405" t="n"/>
    </row>
    <row r="93">
      <c r="A93" s="407" t="n"/>
      <c r="B93" s="408" t="n"/>
      <c r="C93" s="408" t="n"/>
      <c r="D93" s="409" t="n"/>
      <c r="E93" s="409" t="n"/>
      <c r="F93" s="410" t="n"/>
      <c r="G93" s="410" t="n"/>
      <c r="H93" s="373">
        <f>IF(F93="","",F93-IF(G93="",0,G93))</f>
        <v/>
      </c>
      <c r="I93" s="409" t="n"/>
    </row>
    <row r="94">
      <c r="A94" s="403" t="n"/>
      <c r="B94" s="404" t="n"/>
      <c r="C94" s="404" t="n"/>
      <c r="D94" s="405" t="n"/>
      <c r="E94" s="405" t="n"/>
      <c r="F94" s="406" t="n"/>
      <c r="G94" s="406" t="n"/>
      <c r="H94" s="368">
        <f>IF(F94="","",F94-IF(G94="",0,G94))</f>
        <v/>
      </c>
      <c r="I94" s="405" t="n"/>
    </row>
    <row r="95">
      <c r="A95" s="407" t="n"/>
      <c r="B95" s="408" t="n"/>
      <c r="C95" s="408" t="n"/>
      <c r="D95" s="409" t="n"/>
      <c r="E95" s="409" t="n"/>
      <c r="F95" s="410" t="n"/>
      <c r="G95" s="410" t="n"/>
      <c r="H95" s="373">
        <f>IF(F95="","",F95-IF(G95="",0,G95))</f>
        <v/>
      </c>
      <c r="I95" s="409" t="n"/>
    </row>
    <row r="96">
      <c r="A96" s="403" t="n"/>
      <c r="B96" s="404" t="n"/>
      <c r="C96" s="404" t="n"/>
      <c r="D96" s="405" t="n"/>
      <c r="E96" s="405" t="n"/>
      <c r="F96" s="406" t="n"/>
      <c r="G96" s="406" t="n"/>
      <c r="H96" s="368">
        <f>IF(F96="","",F96-IF(G96="",0,G96))</f>
        <v/>
      </c>
      <c r="I96" s="405" t="n"/>
    </row>
    <row r="97">
      <c r="A97" s="407" t="n"/>
      <c r="B97" s="408" t="n"/>
      <c r="C97" s="408" t="n"/>
      <c r="D97" s="409" t="n"/>
      <c r="E97" s="409" t="n"/>
      <c r="F97" s="410" t="n"/>
      <c r="G97" s="410" t="n"/>
      <c r="H97" s="373">
        <f>IF(F97="","",F97-IF(G97="",0,G97))</f>
        <v/>
      </c>
      <c r="I97" s="409" t="n"/>
    </row>
    <row r="98">
      <c r="A98" s="403" t="n"/>
      <c r="B98" s="404" t="n"/>
      <c r="C98" s="404" t="n"/>
      <c r="D98" s="405" t="n"/>
      <c r="E98" s="405" t="n"/>
      <c r="F98" s="406" t="n"/>
      <c r="G98" s="406" t="n"/>
      <c r="H98" s="368">
        <f>IF(F98="","",F98-IF(G98="",0,G98))</f>
        <v/>
      </c>
      <c r="I98" s="405" t="n"/>
    </row>
    <row r="99">
      <c r="A99" s="407" t="n"/>
      <c r="B99" s="408" t="n"/>
      <c r="C99" s="408" t="n"/>
      <c r="D99" s="409" t="n"/>
      <c r="E99" s="409" t="n"/>
      <c r="F99" s="410" t="n"/>
      <c r="G99" s="410" t="n"/>
      <c r="H99" s="373">
        <f>IF(F99="","",F99-IF(G99="",0,G99))</f>
        <v/>
      </c>
      <c r="I99" s="409" t="n"/>
    </row>
    <row r="100">
      <c r="A100" s="403" t="n"/>
      <c r="B100" s="404" t="n"/>
      <c r="C100" s="404" t="n"/>
      <c r="D100" s="405" t="n"/>
      <c r="E100" s="405" t="n"/>
      <c r="F100" s="406" t="n"/>
      <c r="G100" s="406" t="n"/>
      <c r="H100" s="368">
        <f>IF(F100="","",F100-IF(G100="",0,G100))</f>
        <v/>
      </c>
      <c r="I100" s="405" t="n"/>
    </row>
    <row r="101">
      <c r="A101" s="407" t="n"/>
      <c r="B101" s="408" t="n"/>
      <c r="C101" s="408" t="n"/>
      <c r="D101" s="409" t="n"/>
      <c r="E101" s="409" t="n"/>
      <c r="F101" s="410" t="n"/>
      <c r="G101" s="410" t="n"/>
      <c r="H101" s="373">
        <f>IF(F101="","",F101-IF(G101="",0,G101))</f>
        <v/>
      </c>
      <c r="I101" s="409" t="n"/>
    </row>
    <row r="102">
      <c r="A102" s="403" t="n"/>
      <c r="B102" s="404" t="n"/>
      <c r="C102" s="404" t="n"/>
      <c r="D102" s="405" t="n"/>
      <c r="E102" s="405" t="n"/>
      <c r="F102" s="406" t="n"/>
      <c r="G102" s="406" t="n"/>
      <c r="H102" s="368">
        <f>IF(F102="","",F102-IF(G102="",0,G102))</f>
        <v/>
      </c>
      <c r="I102" s="405" t="n"/>
    </row>
    <row r="103">
      <c r="A103" s="407" t="n"/>
      <c r="B103" s="408" t="n"/>
      <c r="C103" s="408" t="n"/>
      <c r="D103" s="409" t="n"/>
      <c r="E103" s="409" t="n"/>
      <c r="F103" s="410" t="n"/>
      <c r="G103" s="410" t="n"/>
      <c r="H103" s="373">
        <f>IF(F103="","",F103-IF(G103="",0,G103))</f>
        <v/>
      </c>
      <c r="I103" s="409" t="n"/>
    </row>
    <row r="104">
      <c r="A104" s="403" t="n"/>
      <c r="B104" s="404" t="n"/>
      <c r="C104" s="404" t="n"/>
      <c r="D104" s="405" t="n"/>
      <c r="E104" s="405" t="n"/>
      <c r="F104" s="406" t="n"/>
      <c r="G104" s="406" t="n"/>
      <c r="H104" s="368">
        <f>IF(F104="","",F104-IF(G104="",0,G104))</f>
        <v/>
      </c>
      <c r="I104" s="405" t="n"/>
    </row>
    <row r="105">
      <c r="A105" s="407" t="n"/>
      <c r="B105" s="408" t="n"/>
      <c r="C105" s="408" t="n"/>
      <c r="D105" s="409" t="n"/>
      <c r="E105" s="409" t="n"/>
      <c r="F105" s="410" t="n"/>
      <c r="G105" s="410" t="n"/>
      <c r="H105" s="373">
        <f>IF(F105="","",F105-IF(G105="",0,G105))</f>
        <v/>
      </c>
      <c r="I105" s="409" t="n"/>
    </row>
    <row r="106">
      <c r="A106" s="403" t="n"/>
      <c r="B106" s="404" t="n"/>
      <c r="C106" s="404" t="n"/>
      <c r="D106" s="405" t="n"/>
      <c r="E106" s="405" t="n"/>
      <c r="F106" s="406" t="n"/>
      <c r="G106" s="406" t="n"/>
      <c r="H106" s="368">
        <f>IF(F106="","",F106-IF(G106="",0,G106))</f>
        <v/>
      </c>
      <c r="I106" s="405" t="n"/>
    </row>
    <row r="107">
      <c r="A107" s="407" t="n"/>
      <c r="B107" s="408" t="n"/>
      <c r="C107" s="408" t="n"/>
      <c r="D107" s="409" t="n"/>
      <c r="E107" s="409" t="n"/>
      <c r="F107" s="410" t="n"/>
      <c r="G107" s="410" t="n"/>
      <c r="H107" s="373">
        <f>IF(F107="","",F107-IF(G107="",0,G107))</f>
        <v/>
      </c>
      <c r="I107" s="409" t="n"/>
    </row>
    <row r="108">
      <c r="A108" s="403" t="n"/>
      <c r="B108" s="404" t="n"/>
      <c r="C108" s="404" t="n"/>
      <c r="D108" s="405" t="n"/>
      <c r="E108" s="405" t="n"/>
      <c r="F108" s="406" t="n"/>
      <c r="G108" s="406" t="n"/>
      <c r="H108" s="368">
        <f>IF(F108="","",F108-IF(G108="",0,G108))</f>
        <v/>
      </c>
      <c r="I108" s="405" t="n"/>
    </row>
    <row r="109">
      <c r="A109" s="407" t="n"/>
      <c r="B109" s="408" t="n"/>
      <c r="C109" s="408" t="n"/>
      <c r="D109" s="409" t="n"/>
      <c r="E109" s="409" t="n"/>
      <c r="F109" s="410" t="n"/>
      <c r="G109" s="410" t="n"/>
      <c r="H109" s="373">
        <f>IF(F109="","",F109-IF(G109="",0,G109))</f>
        <v/>
      </c>
      <c r="I109" s="409" t="n"/>
    </row>
    <row r="110">
      <c r="A110" s="403" t="n"/>
      <c r="B110" s="404" t="n"/>
      <c r="C110" s="404" t="n"/>
      <c r="D110" s="405" t="n"/>
      <c r="E110" s="405" t="n"/>
      <c r="F110" s="406" t="n"/>
      <c r="G110" s="406" t="n"/>
      <c r="H110" s="368">
        <f>IF(F110="","",F110-IF(G110="",0,G110))</f>
        <v/>
      </c>
      <c r="I110" s="405" t="n"/>
    </row>
    <row r="111">
      <c r="A111" s="407" t="n"/>
      <c r="B111" s="408" t="n"/>
      <c r="C111" s="408" t="n"/>
      <c r="D111" s="409" t="n"/>
      <c r="E111" s="409" t="n"/>
      <c r="F111" s="410" t="n"/>
      <c r="G111" s="410" t="n"/>
      <c r="H111" s="373">
        <f>IF(F111="","",F111-IF(G111="",0,G111))</f>
        <v/>
      </c>
      <c r="I111" s="409" t="n"/>
    </row>
    <row r="112">
      <c r="A112" s="403" t="n"/>
      <c r="B112" s="404" t="n"/>
      <c r="C112" s="404" t="n"/>
      <c r="D112" s="405" t="n"/>
      <c r="E112" s="405" t="n"/>
      <c r="F112" s="406" t="n"/>
      <c r="G112" s="406" t="n"/>
      <c r="H112" s="368">
        <f>IF(F112="","",F112-IF(G112="",0,G112))</f>
        <v/>
      </c>
      <c r="I112" s="405" t="n"/>
    </row>
    <row r="113">
      <c r="A113" s="407" t="n"/>
      <c r="B113" s="408" t="n"/>
      <c r="C113" s="408" t="n"/>
      <c r="D113" s="409" t="n"/>
      <c r="E113" s="409" t="n"/>
      <c r="F113" s="410" t="n"/>
      <c r="G113" s="410" t="n"/>
      <c r="H113" s="373">
        <f>IF(F113="","",F113-IF(G113="",0,G113))</f>
        <v/>
      </c>
      <c r="I113" s="409" t="n"/>
    </row>
    <row r="114">
      <c r="A114" s="403" t="n"/>
      <c r="B114" s="404" t="n"/>
      <c r="C114" s="404" t="n"/>
      <c r="D114" s="405" t="n"/>
      <c r="E114" s="405" t="n"/>
      <c r="F114" s="406" t="n"/>
      <c r="G114" s="406" t="n"/>
      <c r="H114" s="368">
        <f>IF(F114="","",F114-IF(G114="",0,G114))</f>
        <v/>
      </c>
      <c r="I114" s="405" t="n"/>
    </row>
    <row r="115">
      <c r="A115" s="407" t="n"/>
      <c r="B115" s="408" t="n"/>
      <c r="C115" s="408" t="n"/>
      <c r="D115" s="409" t="n"/>
      <c r="E115" s="409" t="n"/>
      <c r="F115" s="410" t="n"/>
      <c r="G115" s="410" t="n"/>
      <c r="H115" s="373">
        <f>IF(F115="","",F115-IF(G115="",0,G115))</f>
        <v/>
      </c>
      <c r="I115" s="409" t="n"/>
    </row>
    <row r="116">
      <c r="A116" s="403" t="n"/>
      <c r="B116" s="404" t="n"/>
      <c r="C116" s="404" t="n"/>
      <c r="D116" s="405" t="n"/>
      <c r="E116" s="405" t="n"/>
      <c r="F116" s="406" t="n"/>
      <c r="G116" s="406" t="n"/>
      <c r="H116" s="368">
        <f>IF(F116="","",F116-IF(G116="",0,G116))</f>
        <v/>
      </c>
      <c r="I116" s="405" t="n"/>
    </row>
    <row r="117">
      <c r="A117" s="407" t="n"/>
      <c r="B117" s="408" t="n"/>
      <c r="C117" s="408" t="n"/>
      <c r="D117" s="409" t="n"/>
      <c r="E117" s="409" t="n"/>
      <c r="F117" s="410" t="n"/>
      <c r="G117" s="410" t="n"/>
      <c r="H117" s="373">
        <f>IF(F117="","",F117-IF(G117="",0,G117))</f>
        <v/>
      </c>
      <c r="I117" s="409" t="n"/>
    </row>
    <row r="118">
      <c r="A118" s="403" t="n"/>
      <c r="B118" s="404" t="n"/>
      <c r="C118" s="404" t="n"/>
      <c r="D118" s="405" t="n"/>
      <c r="E118" s="405" t="n"/>
      <c r="F118" s="406" t="n"/>
      <c r="G118" s="406" t="n"/>
      <c r="H118" s="368">
        <f>IF(F118="","",F118-IF(G118="",0,G118))</f>
        <v/>
      </c>
      <c r="I118" s="405" t="n"/>
    </row>
    <row r="119">
      <c r="A119" s="407" t="n"/>
      <c r="B119" s="408" t="n"/>
      <c r="C119" s="408" t="n"/>
      <c r="D119" s="409" t="n"/>
      <c r="E119" s="409" t="n"/>
      <c r="F119" s="410" t="n"/>
      <c r="G119" s="410" t="n"/>
      <c r="H119" s="373">
        <f>IF(F119="","",F119-IF(G119="",0,G119))</f>
        <v/>
      </c>
      <c r="I119" s="409" t="n"/>
    </row>
    <row r="120">
      <c r="A120" s="403" t="n"/>
      <c r="B120" s="404" t="n"/>
      <c r="C120" s="404" t="n"/>
      <c r="D120" s="405" t="n"/>
      <c r="E120" s="405" t="n"/>
      <c r="F120" s="406" t="n"/>
      <c r="G120" s="406" t="n"/>
      <c r="H120" s="368">
        <f>IF(F120="","",F120-IF(G120="",0,G120))</f>
        <v/>
      </c>
      <c r="I120" s="405" t="n"/>
    </row>
    <row r="121">
      <c r="A121" s="407" t="n"/>
      <c r="B121" s="408" t="n"/>
      <c r="C121" s="408" t="n"/>
      <c r="D121" s="409" t="n"/>
      <c r="E121" s="409" t="n"/>
      <c r="F121" s="410" t="n"/>
      <c r="G121" s="410" t="n"/>
      <c r="H121" s="373">
        <f>IF(F121="","",F121-IF(G121="",0,G121))</f>
        <v/>
      </c>
      <c r="I121" s="409" t="n"/>
    </row>
    <row r="122">
      <c r="A122" s="403" t="n"/>
      <c r="B122" s="404" t="n"/>
      <c r="C122" s="404" t="n"/>
      <c r="D122" s="405" t="n"/>
      <c r="E122" s="405" t="n"/>
      <c r="F122" s="406" t="n"/>
      <c r="G122" s="406" t="n"/>
      <c r="H122" s="368">
        <f>IF(F122="","",F122-IF(G122="",0,G122))</f>
        <v/>
      </c>
      <c r="I122" s="405" t="n"/>
    </row>
    <row r="123">
      <c r="A123" s="407" t="n"/>
      <c r="B123" s="408" t="n"/>
      <c r="C123" s="408" t="n"/>
      <c r="D123" s="409" t="n"/>
      <c r="E123" s="409" t="n"/>
      <c r="F123" s="410" t="n"/>
      <c r="G123" s="410" t="n"/>
      <c r="H123" s="373">
        <f>IF(F123="","",F123-IF(G123="",0,G123))</f>
        <v/>
      </c>
      <c r="I123" s="409" t="n"/>
    </row>
    <row r="124">
      <c r="A124" s="403" t="n"/>
      <c r="B124" s="404" t="n"/>
      <c r="C124" s="404" t="n"/>
      <c r="D124" s="405" t="n"/>
      <c r="E124" s="405" t="n"/>
      <c r="F124" s="406" t="n"/>
      <c r="G124" s="406" t="n"/>
      <c r="H124" s="368">
        <f>IF(F124="","",F124-IF(G124="",0,G124))</f>
        <v/>
      </c>
      <c r="I124" s="405" t="n"/>
    </row>
    <row r="125">
      <c r="A125" s="407" t="n"/>
      <c r="B125" s="408" t="n"/>
      <c r="C125" s="408" t="n"/>
      <c r="D125" s="409" t="n"/>
      <c r="E125" s="409" t="n"/>
      <c r="F125" s="410" t="n"/>
      <c r="G125" s="410" t="n"/>
      <c r="H125" s="373">
        <f>IF(F125="","",F125-IF(G125="",0,G125))</f>
        <v/>
      </c>
      <c r="I125" s="409" t="n"/>
    </row>
    <row r="126">
      <c r="A126" s="403" t="n"/>
      <c r="B126" s="404" t="n"/>
      <c r="C126" s="404" t="n"/>
      <c r="D126" s="405" t="n"/>
      <c r="E126" s="405" t="n"/>
      <c r="F126" s="406" t="n"/>
      <c r="G126" s="406" t="n"/>
      <c r="H126" s="368">
        <f>IF(F126="","",F126-IF(G126="",0,G126))</f>
        <v/>
      </c>
      <c r="I126" s="405" t="n"/>
    </row>
    <row r="127">
      <c r="A127" s="407" t="n"/>
      <c r="B127" s="408" t="n"/>
      <c r="C127" s="408" t="n"/>
      <c r="D127" s="409" t="n"/>
      <c r="E127" s="409" t="n"/>
      <c r="F127" s="410" t="n"/>
      <c r="G127" s="410" t="n"/>
      <c r="H127" s="373">
        <f>IF(F127="","",F127-IF(G127="",0,G127))</f>
        <v/>
      </c>
      <c r="I127" s="409" t="n"/>
    </row>
    <row r="128">
      <c r="A128" s="403" t="n"/>
      <c r="B128" s="404" t="n"/>
      <c r="C128" s="404" t="n"/>
      <c r="D128" s="405" t="n"/>
      <c r="E128" s="405" t="n"/>
      <c r="F128" s="406" t="n"/>
      <c r="G128" s="406" t="n"/>
      <c r="H128" s="368">
        <f>IF(F128="","",F128-IF(G128="",0,G128))</f>
        <v/>
      </c>
      <c r="I128" s="405" t="n"/>
    </row>
    <row r="129">
      <c r="A129" s="407" t="n"/>
      <c r="B129" s="408" t="n"/>
      <c r="C129" s="408" t="n"/>
      <c r="D129" s="409" t="n"/>
      <c r="E129" s="409" t="n"/>
      <c r="F129" s="410" t="n"/>
      <c r="G129" s="410" t="n"/>
      <c r="H129" s="373">
        <f>IF(F129="","",F129-IF(G129="",0,G129))</f>
        <v/>
      </c>
      <c r="I129" s="409" t="n"/>
    </row>
    <row r="130">
      <c r="A130" s="403" t="n"/>
      <c r="B130" s="404" t="n"/>
      <c r="C130" s="404" t="n"/>
      <c r="D130" s="405" t="n"/>
      <c r="E130" s="405" t="n"/>
      <c r="F130" s="406" t="n"/>
      <c r="G130" s="406" t="n"/>
      <c r="H130" s="368">
        <f>IF(F130="","",F130-IF(G130="",0,G130))</f>
        <v/>
      </c>
      <c r="I130" s="405" t="n"/>
    </row>
    <row r="131">
      <c r="A131" s="407" t="n"/>
      <c r="B131" s="408" t="n"/>
      <c r="C131" s="408" t="n"/>
      <c r="D131" s="409" t="n"/>
      <c r="E131" s="409" t="n"/>
      <c r="F131" s="410" t="n"/>
      <c r="G131" s="410" t="n"/>
      <c r="H131" s="373">
        <f>IF(F131="","",F131-IF(G131="",0,G131))</f>
        <v/>
      </c>
      <c r="I131" s="409" t="n"/>
    </row>
    <row r="132">
      <c r="A132" s="403" t="n"/>
      <c r="B132" s="404" t="n"/>
      <c r="C132" s="404" t="n"/>
      <c r="D132" s="405" t="n"/>
      <c r="E132" s="405" t="n"/>
      <c r="F132" s="406" t="n"/>
      <c r="G132" s="406" t="n"/>
      <c r="H132" s="368">
        <f>IF(F132="","",F132-IF(G132="",0,G132))</f>
        <v/>
      </c>
      <c r="I132" s="405" t="n"/>
    </row>
    <row r="133">
      <c r="A133" s="407" t="n"/>
      <c r="B133" s="408" t="n"/>
      <c r="C133" s="408" t="n"/>
      <c r="D133" s="409" t="n"/>
      <c r="E133" s="409" t="n"/>
      <c r="F133" s="410" t="n"/>
      <c r="G133" s="410" t="n"/>
      <c r="H133" s="373">
        <f>IF(F133="","",F133-IF(G133="",0,G133))</f>
        <v/>
      </c>
      <c r="I133" s="409" t="n"/>
    </row>
    <row r="134">
      <c r="A134" s="403" t="n"/>
      <c r="B134" s="404" t="n"/>
      <c r="C134" s="404" t="n"/>
      <c r="D134" s="405" t="n"/>
      <c r="E134" s="405" t="n"/>
      <c r="F134" s="406" t="n"/>
      <c r="G134" s="406" t="n"/>
      <c r="H134" s="368">
        <f>IF(F134="","",F134-IF(G134="",0,G134))</f>
        <v/>
      </c>
      <c r="I134" s="405" t="n"/>
    </row>
    <row r="135">
      <c r="A135" s="407" t="n"/>
      <c r="B135" s="408" t="n"/>
      <c r="C135" s="408" t="n"/>
      <c r="D135" s="409" t="n"/>
      <c r="E135" s="409" t="n"/>
      <c r="F135" s="410" t="n"/>
      <c r="G135" s="410" t="n"/>
      <c r="H135" s="373">
        <f>IF(F135="","",F135-IF(G135="",0,G135))</f>
        <v/>
      </c>
      <c r="I135" s="409" t="n"/>
    </row>
    <row r="136">
      <c r="A136" s="403" t="n"/>
      <c r="B136" s="404" t="n"/>
      <c r="C136" s="404" t="n"/>
      <c r="D136" s="405" t="n"/>
      <c r="E136" s="405" t="n"/>
      <c r="F136" s="406" t="n"/>
      <c r="G136" s="406" t="n"/>
      <c r="H136" s="368">
        <f>IF(F136="","",F136-IF(G136="",0,G136))</f>
        <v/>
      </c>
      <c r="I136" s="405" t="n"/>
    </row>
    <row r="137">
      <c r="A137" s="407" t="n"/>
      <c r="B137" s="408" t="n"/>
      <c r="C137" s="408" t="n"/>
      <c r="D137" s="409" t="n"/>
      <c r="E137" s="409" t="n"/>
      <c r="F137" s="410" t="n"/>
      <c r="G137" s="410" t="n"/>
      <c r="H137" s="373">
        <f>IF(F137="","",F137-IF(G137="",0,G137))</f>
        <v/>
      </c>
      <c r="I137" s="409" t="n"/>
    </row>
    <row r="138">
      <c r="A138" s="403" t="n"/>
      <c r="B138" s="404" t="n"/>
      <c r="C138" s="404" t="n"/>
      <c r="D138" s="405" t="n"/>
      <c r="E138" s="405" t="n"/>
      <c r="F138" s="406" t="n"/>
      <c r="G138" s="406" t="n"/>
      <c r="H138" s="368">
        <f>IF(F138="","",F138-IF(G138="",0,G138))</f>
        <v/>
      </c>
      <c r="I138" s="405" t="n"/>
    </row>
    <row r="139">
      <c r="A139" s="407" t="n"/>
      <c r="B139" s="408" t="n"/>
      <c r="C139" s="408" t="n"/>
      <c r="D139" s="409" t="n"/>
      <c r="E139" s="409" t="n"/>
      <c r="F139" s="410" t="n"/>
      <c r="G139" s="410" t="n"/>
      <c r="H139" s="373">
        <f>IF(F139="","",F139-IF(G139="",0,G139))</f>
        <v/>
      </c>
      <c r="I139" s="409" t="n"/>
    </row>
    <row r="140">
      <c r="A140" s="403" t="n"/>
      <c r="B140" s="404" t="n"/>
      <c r="C140" s="404" t="n"/>
      <c r="D140" s="405" t="n"/>
      <c r="E140" s="405" t="n"/>
      <c r="F140" s="406" t="n"/>
      <c r="G140" s="406" t="n"/>
      <c r="H140" s="368">
        <f>IF(F140="","",F140-IF(G140="",0,G140))</f>
        <v/>
      </c>
      <c r="I140" s="405" t="n"/>
    </row>
    <row r="141">
      <c r="A141" s="407" t="n"/>
      <c r="B141" s="408" t="n"/>
      <c r="C141" s="408" t="n"/>
      <c r="D141" s="409" t="n"/>
      <c r="E141" s="409" t="n"/>
      <c r="F141" s="410" t="n"/>
      <c r="G141" s="410" t="n"/>
      <c r="H141" s="373">
        <f>IF(F141="","",F141-IF(G141="",0,G141))</f>
        <v/>
      </c>
      <c r="I141" s="409" t="n"/>
    </row>
    <row r="142">
      <c r="A142" s="403" t="n"/>
      <c r="B142" s="404" t="n"/>
      <c r="C142" s="404" t="n"/>
      <c r="D142" s="405" t="n"/>
      <c r="E142" s="405" t="n"/>
      <c r="F142" s="406" t="n"/>
      <c r="G142" s="406" t="n"/>
      <c r="H142" s="368">
        <f>IF(F142="","",F142-IF(G142="",0,G142))</f>
        <v/>
      </c>
      <c r="I142" s="405" t="n"/>
    </row>
    <row r="143">
      <c r="A143" s="407" t="n"/>
      <c r="B143" s="408" t="n"/>
      <c r="C143" s="408" t="n"/>
      <c r="D143" s="409" t="n"/>
      <c r="E143" s="409" t="n"/>
      <c r="F143" s="410" t="n"/>
      <c r="G143" s="410" t="n"/>
      <c r="H143" s="373">
        <f>IF(F143="","",F143-IF(G143="",0,G143))</f>
        <v/>
      </c>
      <c r="I143" s="409" t="n"/>
    </row>
    <row r="144">
      <c r="A144" s="403" t="n"/>
      <c r="B144" s="404" t="n"/>
      <c r="C144" s="404" t="n"/>
      <c r="D144" s="405" t="n"/>
      <c r="E144" s="405" t="n"/>
      <c r="F144" s="406" t="n"/>
      <c r="G144" s="406" t="n"/>
      <c r="H144" s="368">
        <f>IF(F144="","",F144-IF(G144="",0,G144))</f>
        <v/>
      </c>
      <c r="I144" s="405" t="n"/>
    </row>
    <row r="145">
      <c r="A145" s="407" t="n"/>
      <c r="B145" s="408" t="n"/>
      <c r="C145" s="408" t="n"/>
      <c r="D145" s="409" t="n"/>
      <c r="E145" s="409" t="n"/>
      <c r="F145" s="410" t="n"/>
      <c r="G145" s="410" t="n"/>
      <c r="H145" s="373">
        <f>IF(F145="","",F145-IF(G145="",0,G145))</f>
        <v/>
      </c>
      <c r="I145" s="409" t="n"/>
    </row>
    <row r="146">
      <c r="A146" s="403" t="n"/>
      <c r="B146" s="404" t="n"/>
      <c r="C146" s="404" t="n"/>
      <c r="D146" s="405" t="n"/>
      <c r="E146" s="405" t="n"/>
      <c r="F146" s="406" t="n"/>
      <c r="G146" s="406" t="n"/>
      <c r="H146" s="368">
        <f>IF(F146="","",F146-IF(G146="",0,G146))</f>
        <v/>
      </c>
      <c r="I146" s="405" t="n"/>
    </row>
    <row r="147">
      <c r="A147" s="407" t="n"/>
      <c r="B147" s="408" t="n"/>
      <c r="C147" s="408" t="n"/>
      <c r="D147" s="409" t="n"/>
      <c r="E147" s="409" t="n"/>
      <c r="F147" s="410" t="n"/>
      <c r="G147" s="410" t="n"/>
      <c r="H147" s="373">
        <f>IF(F147="","",F147-IF(G147="",0,G147))</f>
        <v/>
      </c>
      <c r="I147" s="409" t="n"/>
    </row>
    <row r="148">
      <c r="A148" s="403" t="n"/>
      <c r="B148" s="404" t="n"/>
      <c r="C148" s="404" t="n"/>
      <c r="D148" s="405" t="n"/>
      <c r="E148" s="405" t="n"/>
      <c r="F148" s="406" t="n"/>
      <c r="G148" s="406" t="n"/>
      <c r="H148" s="368">
        <f>IF(F148="","",F148-IF(G148="",0,G148))</f>
        <v/>
      </c>
      <c r="I148" s="405" t="n"/>
    </row>
    <row r="149">
      <c r="A149" s="407" t="n"/>
      <c r="B149" s="408" t="n"/>
      <c r="C149" s="408" t="n"/>
      <c r="D149" s="409" t="n"/>
      <c r="E149" s="409" t="n"/>
      <c r="F149" s="410" t="n"/>
      <c r="G149" s="410" t="n"/>
      <c r="H149" s="373">
        <f>IF(F149="","",F149-IF(G149="",0,G149))</f>
        <v/>
      </c>
      <c r="I149" s="409" t="n"/>
    </row>
    <row r="150">
      <c r="A150" s="403" t="n"/>
      <c r="B150" s="404" t="n"/>
      <c r="C150" s="404" t="n"/>
      <c r="D150" s="405" t="n"/>
      <c r="E150" s="405" t="n"/>
      <c r="F150" s="406" t="n"/>
      <c r="G150" s="406" t="n"/>
      <c r="H150" s="368">
        <f>IF(F150="","",F150-IF(G150="",0,G150))</f>
        <v/>
      </c>
      <c r="I150" s="405" t="n"/>
    </row>
    <row r="151">
      <c r="A151" s="407" t="n"/>
      <c r="B151" s="408" t="n"/>
      <c r="C151" s="408" t="n"/>
      <c r="D151" s="409" t="n"/>
      <c r="E151" s="409" t="n"/>
      <c r="F151" s="410" t="n"/>
      <c r="G151" s="410" t="n"/>
      <c r="H151" s="373">
        <f>IF(F151="","",F151-IF(G151="",0,G151))</f>
        <v/>
      </c>
      <c r="I151" s="409" t="n"/>
    </row>
    <row r="152">
      <c r="A152" s="403" t="n"/>
      <c r="B152" s="404" t="n"/>
      <c r="C152" s="404" t="n"/>
      <c r="D152" s="405" t="n"/>
      <c r="E152" s="405" t="n"/>
      <c r="F152" s="406" t="n"/>
      <c r="G152" s="406" t="n"/>
      <c r="H152" s="368">
        <f>IF(F152="","",F152-IF(G152="",0,G152))</f>
        <v/>
      </c>
      <c r="I152" s="405" t="n"/>
    </row>
    <row r="153">
      <c r="A153" s="407" t="n"/>
      <c r="B153" s="408" t="n"/>
      <c r="C153" s="408" t="n"/>
      <c r="D153" s="409" t="n"/>
      <c r="E153" s="409" t="n"/>
      <c r="F153" s="410" t="n"/>
      <c r="G153" s="410" t="n"/>
      <c r="H153" s="373">
        <f>IF(F153="","",F153-IF(G153="",0,G153))</f>
        <v/>
      </c>
      <c r="I153" s="409" t="n"/>
    </row>
    <row r="154">
      <c r="A154" s="403" t="n"/>
      <c r="B154" s="404" t="n"/>
      <c r="C154" s="404" t="n"/>
      <c r="D154" s="405" t="n"/>
      <c r="E154" s="405" t="n"/>
      <c r="F154" s="406" t="n"/>
      <c r="G154" s="406" t="n"/>
      <c r="H154" s="368">
        <f>IF(F154="","",F154-IF(G154="",0,G154))</f>
        <v/>
      </c>
      <c r="I154" s="405" t="n"/>
    </row>
    <row r="155">
      <c r="A155" s="407" t="n"/>
      <c r="B155" s="408" t="n"/>
      <c r="C155" s="408" t="n"/>
      <c r="D155" s="409" t="n"/>
      <c r="E155" s="409" t="n"/>
      <c r="F155" s="410" t="n"/>
      <c r="G155" s="410" t="n"/>
      <c r="H155" s="373">
        <f>IF(F155="","",F155-IF(G155="",0,G155))</f>
        <v/>
      </c>
      <c r="I155" s="409" t="n"/>
    </row>
    <row r="156">
      <c r="A156" s="403" t="n"/>
      <c r="B156" s="404" t="n"/>
      <c r="C156" s="404" t="n"/>
      <c r="D156" s="405" t="n"/>
      <c r="E156" s="405" t="n"/>
      <c r="F156" s="406" t="n"/>
      <c r="G156" s="406" t="n"/>
      <c r="H156" s="368">
        <f>IF(F156="","",F156-IF(G156="",0,G156))</f>
        <v/>
      </c>
      <c r="I156" s="405" t="n"/>
    </row>
    <row r="157">
      <c r="A157" s="407" t="n"/>
      <c r="B157" s="408" t="n"/>
      <c r="C157" s="408" t="n"/>
      <c r="D157" s="409" t="n"/>
      <c r="E157" s="409" t="n"/>
      <c r="F157" s="410" t="n"/>
      <c r="G157" s="410" t="n"/>
      <c r="H157" s="373">
        <f>IF(F157="","",F157-IF(G157="",0,G157))</f>
        <v/>
      </c>
      <c r="I157" s="409" t="n"/>
    </row>
    <row r="158">
      <c r="A158" s="403" t="n"/>
      <c r="B158" s="404" t="n"/>
      <c r="C158" s="404" t="n"/>
      <c r="D158" s="405" t="n"/>
      <c r="E158" s="405" t="n"/>
      <c r="F158" s="406" t="n"/>
      <c r="G158" s="406" t="n"/>
      <c r="H158" s="368">
        <f>IF(F158="","",F158-IF(G158="",0,G158))</f>
        <v/>
      </c>
      <c r="I158" s="405" t="n"/>
    </row>
    <row r="159">
      <c r="A159" s="407" t="n"/>
      <c r="B159" s="408" t="n"/>
      <c r="C159" s="408" t="n"/>
      <c r="D159" s="409" t="n"/>
      <c r="E159" s="409" t="n"/>
      <c r="F159" s="410" t="n"/>
      <c r="G159" s="410" t="n"/>
      <c r="H159" s="373">
        <f>IF(F159="","",F159-IF(G159="",0,G159))</f>
        <v/>
      </c>
      <c r="I159" s="409" t="n"/>
    </row>
    <row r="160">
      <c r="A160" s="403" t="n"/>
      <c r="B160" s="404" t="n"/>
      <c r="C160" s="404" t="n"/>
      <c r="D160" s="405" t="n"/>
      <c r="E160" s="405" t="n"/>
      <c r="F160" s="406" t="n"/>
      <c r="G160" s="406" t="n"/>
      <c r="H160" s="368">
        <f>IF(F160="","",F160-IF(G160="",0,G160))</f>
        <v/>
      </c>
      <c r="I160" s="405" t="n"/>
    </row>
    <row r="161">
      <c r="A161" s="407" t="n"/>
      <c r="B161" s="408" t="n"/>
      <c r="C161" s="408" t="n"/>
      <c r="D161" s="409" t="n"/>
      <c r="E161" s="409" t="n"/>
      <c r="F161" s="410" t="n"/>
      <c r="G161" s="410" t="n"/>
      <c r="H161" s="373">
        <f>IF(F161="","",F161-IF(G161="",0,G161))</f>
        <v/>
      </c>
      <c r="I161" s="409" t="n"/>
    </row>
    <row r="162">
      <c r="A162" s="403" t="n"/>
      <c r="B162" s="404" t="n"/>
      <c r="C162" s="404" t="n"/>
      <c r="D162" s="405" t="n"/>
      <c r="E162" s="405" t="n"/>
      <c r="F162" s="406" t="n"/>
      <c r="G162" s="406" t="n"/>
      <c r="H162" s="368">
        <f>IF(F162="","",F162-IF(G162="",0,G162))</f>
        <v/>
      </c>
      <c r="I162" s="405" t="n"/>
    </row>
    <row r="163">
      <c r="A163" s="407" t="n"/>
      <c r="B163" s="408" t="n"/>
      <c r="C163" s="408" t="n"/>
      <c r="D163" s="409" t="n"/>
      <c r="E163" s="409" t="n"/>
      <c r="F163" s="410" t="n"/>
      <c r="G163" s="410" t="n"/>
      <c r="H163" s="373">
        <f>IF(F163="","",F163-IF(G163="",0,G163))</f>
        <v/>
      </c>
      <c r="I163" s="409" t="n"/>
    </row>
    <row r="164">
      <c r="A164" s="403" t="n"/>
      <c r="B164" s="404" t="n"/>
      <c r="C164" s="404" t="n"/>
      <c r="D164" s="405" t="n"/>
      <c r="E164" s="405" t="n"/>
      <c r="F164" s="406" t="n"/>
      <c r="G164" s="406" t="n"/>
      <c r="H164" s="368">
        <f>IF(F164="","",F164-IF(G164="",0,G164))</f>
        <v/>
      </c>
      <c r="I164" s="405" t="n"/>
    </row>
    <row r="165">
      <c r="A165" s="407" t="n"/>
      <c r="B165" s="408" t="n"/>
      <c r="C165" s="408" t="n"/>
      <c r="D165" s="409" t="n"/>
      <c r="E165" s="409" t="n"/>
      <c r="F165" s="410" t="n"/>
      <c r="G165" s="410" t="n"/>
      <c r="H165" s="373">
        <f>IF(F165="","",F165-IF(G165="",0,G165))</f>
        <v/>
      </c>
      <c r="I165" s="409" t="n"/>
    </row>
    <row r="166">
      <c r="A166" s="403" t="n"/>
      <c r="B166" s="404" t="n"/>
      <c r="C166" s="404" t="n"/>
      <c r="D166" s="405" t="n"/>
      <c r="E166" s="405" t="n"/>
      <c r="F166" s="406" t="n"/>
      <c r="G166" s="406" t="n"/>
      <c r="H166" s="368">
        <f>IF(F166="","",F166-IF(G166="",0,G166))</f>
        <v/>
      </c>
      <c r="I166" s="405" t="n"/>
    </row>
    <row r="167">
      <c r="A167" s="407" t="n"/>
      <c r="B167" s="408" t="n"/>
      <c r="C167" s="408" t="n"/>
      <c r="D167" s="409" t="n"/>
      <c r="E167" s="409" t="n"/>
      <c r="F167" s="410" t="n"/>
      <c r="G167" s="410" t="n"/>
      <c r="H167" s="373">
        <f>IF(F167="","",F167-IF(G167="",0,G167))</f>
        <v/>
      </c>
      <c r="I167" s="409" t="n"/>
    </row>
    <row r="168">
      <c r="A168" s="403" t="n"/>
      <c r="B168" s="404" t="n"/>
      <c r="C168" s="404" t="n"/>
      <c r="D168" s="405" t="n"/>
      <c r="E168" s="405" t="n"/>
      <c r="F168" s="406" t="n"/>
      <c r="G168" s="406" t="n"/>
      <c r="H168" s="368">
        <f>IF(F168="","",F168-IF(G168="",0,G168))</f>
        <v/>
      </c>
      <c r="I168" s="405" t="n"/>
    </row>
    <row r="169">
      <c r="A169" s="407" t="n"/>
      <c r="B169" s="408" t="n"/>
      <c r="C169" s="408" t="n"/>
      <c r="D169" s="409" t="n"/>
      <c r="E169" s="409" t="n"/>
      <c r="F169" s="410" t="n"/>
      <c r="G169" s="410" t="n"/>
      <c r="H169" s="373">
        <f>IF(F169="","",F169-IF(G169="",0,G169))</f>
        <v/>
      </c>
      <c r="I169" s="409" t="n"/>
    </row>
    <row r="170">
      <c r="A170" s="403" t="n"/>
      <c r="B170" s="404" t="n"/>
      <c r="C170" s="404" t="n"/>
      <c r="D170" s="405" t="n"/>
      <c r="E170" s="405" t="n"/>
      <c r="F170" s="406" t="n"/>
      <c r="G170" s="406" t="n"/>
      <c r="H170" s="368">
        <f>IF(F170="","",F170-IF(G170="",0,G170))</f>
        <v/>
      </c>
      <c r="I170" s="405" t="n"/>
    </row>
    <row r="171">
      <c r="A171" s="407" t="n"/>
      <c r="B171" s="408" t="n"/>
      <c r="C171" s="408" t="n"/>
      <c r="D171" s="409" t="n"/>
      <c r="E171" s="409" t="n"/>
      <c r="F171" s="410" t="n"/>
      <c r="G171" s="410" t="n"/>
      <c r="H171" s="373">
        <f>IF(F171="","",F171-IF(G171="",0,G171))</f>
        <v/>
      </c>
      <c r="I171" s="409" t="n"/>
    </row>
    <row r="172">
      <c r="A172" s="403" t="n"/>
      <c r="B172" s="404" t="n"/>
      <c r="C172" s="404" t="n"/>
      <c r="D172" s="405" t="n"/>
      <c r="E172" s="405" t="n"/>
      <c r="F172" s="406" t="n"/>
      <c r="G172" s="406" t="n"/>
      <c r="H172" s="368">
        <f>IF(F172="","",F172-IF(G172="",0,G172))</f>
        <v/>
      </c>
      <c r="I172" s="405" t="n"/>
    </row>
    <row r="173">
      <c r="A173" s="407" t="n"/>
      <c r="B173" s="408" t="n"/>
      <c r="C173" s="408" t="n"/>
      <c r="D173" s="409" t="n"/>
      <c r="E173" s="409" t="n"/>
      <c r="F173" s="410" t="n"/>
      <c r="G173" s="410" t="n"/>
      <c r="H173" s="373">
        <f>IF(F173="","",F173-IF(G173="",0,G173))</f>
        <v/>
      </c>
      <c r="I173" s="409" t="n"/>
    </row>
    <row r="174">
      <c r="A174" s="403" t="n"/>
      <c r="B174" s="404" t="n"/>
      <c r="C174" s="404" t="n"/>
      <c r="D174" s="405" t="n"/>
      <c r="E174" s="405" t="n"/>
      <c r="F174" s="406" t="n"/>
      <c r="G174" s="406" t="n"/>
      <c r="H174" s="368">
        <f>IF(F174="","",F174-IF(G174="",0,G174))</f>
        <v/>
      </c>
      <c r="I174" s="405" t="n"/>
    </row>
    <row r="175">
      <c r="A175" s="407" t="n"/>
      <c r="B175" s="408" t="n"/>
      <c r="C175" s="408" t="n"/>
      <c r="D175" s="409" t="n"/>
      <c r="E175" s="409" t="n"/>
      <c r="F175" s="410" t="n"/>
      <c r="G175" s="410" t="n"/>
      <c r="H175" s="373">
        <f>IF(F175="","",F175-IF(G175="",0,G175))</f>
        <v/>
      </c>
      <c r="I175" s="409" t="n"/>
    </row>
    <row r="176">
      <c r="A176" s="403" t="n"/>
      <c r="B176" s="404" t="n"/>
      <c r="C176" s="404" t="n"/>
      <c r="D176" s="405" t="n"/>
      <c r="E176" s="405" t="n"/>
      <c r="F176" s="406" t="n"/>
      <c r="G176" s="406" t="n"/>
      <c r="H176" s="368">
        <f>IF(F176="","",F176-IF(G176="",0,G176))</f>
        <v/>
      </c>
      <c r="I176" s="405" t="n"/>
    </row>
    <row r="177">
      <c r="A177" s="407" t="n"/>
      <c r="B177" s="408" t="n"/>
      <c r="C177" s="408" t="n"/>
      <c r="D177" s="409" t="n"/>
      <c r="E177" s="409" t="n"/>
      <c r="F177" s="410" t="n"/>
      <c r="G177" s="410" t="n"/>
      <c r="H177" s="373">
        <f>IF(F177="","",F177-IF(G177="",0,G177))</f>
        <v/>
      </c>
      <c r="I177" s="409" t="n"/>
    </row>
    <row r="178">
      <c r="A178" s="403" t="n"/>
      <c r="B178" s="404" t="n"/>
      <c r="C178" s="404" t="n"/>
      <c r="D178" s="405" t="n"/>
      <c r="E178" s="405" t="n"/>
      <c r="F178" s="406" t="n"/>
      <c r="G178" s="406" t="n"/>
      <c r="H178" s="368">
        <f>IF(F178="","",F178-IF(G178="",0,G178))</f>
        <v/>
      </c>
      <c r="I178" s="405" t="n"/>
    </row>
    <row r="179">
      <c r="A179" s="407" t="n"/>
      <c r="B179" s="408" t="n"/>
      <c r="C179" s="408" t="n"/>
      <c r="D179" s="409" t="n"/>
      <c r="E179" s="409" t="n"/>
      <c r="F179" s="410" t="n"/>
      <c r="G179" s="410" t="n"/>
      <c r="H179" s="373">
        <f>IF(F179="","",F179-IF(G179="",0,G179))</f>
        <v/>
      </c>
      <c r="I179" s="409" t="n"/>
    </row>
    <row r="180">
      <c r="A180" s="403" t="n"/>
      <c r="B180" s="404" t="n"/>
      <c r="C180" s="404" t="n"/>
      <c r="D180" s="405" t="n"/>
      <c r="E180" s="405" t="n"/>
      <c r="F180" s="406" t="n"/>
      <c r="G180" s="406" t="n"/>
      <c r="H180" s="368">
        <f>IF(F180="","",F180-IF(G180="",0,G180))</f>
        <v/>
      </c>
      <c r="I180" s="405" t="n"/>
    </row>
    <row r="181">
      <c r="A181" s="407" t="n"/>
      <c r="B181" s="408" t="n"/>
      <c r="C181" s="408" t="n"/>
      <c r="D181" s="409" t="n"/>
      <c r="E181" s="409" t="n"/>
      <c r="F181" s="410" t="n"/>
      <c r="G181" s="410" t="n"/>
      <c r="H181" s="373">
        <f>IF(F181="","",F181-IF(G181="",0,G181))</f>
        <v/>
      </c>
      <c r="I181" s="409" t="n"/>
    </row>
    <row r="182">
      <c r="A182" s="403" t="n"/>
      <c r="B182" s="404" t="n"/>
      <c r="C182" s="404" t="n"/>
      <c r="D182" s="405" t="n"/>
      <c r="E182" s="405" t="n"/>
      <c r="F182" s="406" t="n"/>
      <c r="G182" s="406" t="n"/>
      <c r="H182" s="368">
        <f>IF(F182="","",F182-IF(G182="",0,G182))</f>
        <v/>
      </c>
      <c r="I182" s="405" t="n"/>
    </row>
    <row r="183">
      <c r="A183" s="407" t="n"/>
      <c r="B183" s="408" t="n"/>
      <c r="C183" s="408" t="n"/>
      <c r="D183" s="409" t="n"/>
      <c r="E183" s="409" t="n"/>
      <c r="F183" s="410" t="n"/>
      <c r="G183" s="410" t="n"/>
      <c r="H183" s="373">
        <f>IF(F183="","",F183-IF(G183="",0,G183))</f>
        <v/>
      </c>
      <c r="I183" s="409" t="n"/>
    </row>
    <row r="184">
      <c r="A184" s="403" t="n"/>
      <c r="B184" s="404" t="n"/>
      <c r="C184" s="404" t="n"/>
      <c r="D184" s="405" t="n"/>
      <c r="E184" s="405" t="n"/>
      <c r="F184" s="406" t="n"/>
      <c r="G184" s="406" t="n"/>
      <c r="H184" s="368">
        <f>IF(F184="","",F184-IF(G184="",0,G184))</f>
        <v/>
      </c>
      <c r="I184" s="405" t="n"/>
    </row>
    <row r="185">
      <c r="A185" s="407" t="n"/>
      <c r="B185" s="408" t="n"/>
      <c r="C185" s="408" t="n"/>
      <c r="D185" s="409" t="n"/>
      <c r="E185" s="409" t="n"/>
      <c r="F185" s="410" t="n"/>
      <c r="G185" s="410" t="n"/>
      <c r="H185" s="373">
        <f>IF(F185="","",F185-IF(G185="",0,G185))</f>
        <v/>
      </c>
      <c r="I185" s="409" t="n"/>
    </row>
    <row r="186">
      <c r="A186" s="403" t="n"/>
      <c r="B186" s="404" t="n"/>
      <c r="C186" s="404" t="n"/>
      <c r="D186" s="405" t="n"/>
      <c r="E186" s="405" t="n"/>
      <c r="F186" s="406" t="n"/>
      <c r="G186" s="406" t="n"/>
      <c r="H186" s="368">
        <f>IF(F186="","",F186-IF(G186="",0,G186))</f>
        <v/>
      </c>
      <c r="I186" s="405" t="n"/>
    </row>
    <row r="187">
      <c r="A187" s="407" t="n"/>
      <c r="B187" s="408" t="n"/>
      <c r="C187" s="408" t="n"/>
      <c r="D187" s="409" t="n"/>
      <c r="E187" s="409" t="n"/>
      <c r="F187" s="410" t="n"/>
      <c r="G187" s="410" t="n"/>
      <c r="H187" s="373">
        <f>IF(F187="","",F187-IF(G187="",0,G187))</f>
        <v/>
      </c>
      <c r="I187" s="409" t="n"/>
    </row>
    <row r="188">
      <c r="A188" s="403" t="n"/>
      <c r="B188" s="404" t="n"/>
      <c r="C188" s="404" t="n"/>
      <c r="D188" s="405" t="n"/>
      <c r="E188" s="405" t="n"/>
      <c r="F188" s="406" t="n"/>
      <c r="G188" s="406" t="n"/>
      <c r="H188" s="368">
        <f>IF(F188="","",F188-IF(G188="",0,G188))</f>
        <v/>
      </c>
      <c r="I188" s="405" t="n"/>
    </row>
    <row r="189">
      <c r="A189" s="407" t="n"/>
      <c r="B189" s="408" t="n"/>
      <c r="C189" s="408" t="n"/>
      <c r="D189" s="409" t="n"/>
      <c r="E189" s="409" t="n"/>
      <c r="F189" s="410" t="n"/>
      <c r="G189" s="410" t="n"/>
      <c r="H189" s="373">
        <f>IF(F189="","",F189-IF(G189="",0,G189))</f>
        <v/>
      </c>
      <c r="I189" s="409" t="n"/>
    </row>
    <row r="190">
      <c r="A190" s="403" t="n"/>
      <c r="B190" s="404" t="n"/>
      <c r="C190" s="404" t="n"/>
      <c r="D190" s="405" t="n"/>
      <c r="E190" s="405" t="n"/>
      <c r="F190" s="406" t="n"/>
      <c r="G190" s="406" t="n"/>
      <c r="H190" s="368">
        <f>IF(F190="","",F190-IF(G190="",0,G190))</f>
        <v/>
      </c>
      <c r="I190" s="405" t="n"/>
    </row>
    <row r="191">
      <c r="A191" s="407" t="n"/>
      <c r="B191" s="408" t="n"/>
      <c r="C191" s="408" t="n"/>
      <c r="D191" s="409" t="n"/>
      <c r="E191" s="409" t="n"/>
      <c r="F191" s="410" t="n"/>
      <c r="G191" s="410" t="n"/>
      <c r="H191" s="373">
        <f>IF(F191="","",F191-IF(G191="",0,G191))</f>
        <v/>
      </c>
      <c r="I191" s="409" t="n"/>
    </row>
    <row r="192">
      <c r="A192" s="403" t="n"/>
      <c r="B192" s="404" t="n"/>
      <c r="C192" s="404" t="n"/>
      <c r="D192" s="405" t="n"/>
      <c r="E192" s="405" t="n"/>
      <c r="F192" s="406" t="n"/>
      <c r="G192" s="406" t="n"/>
      <c r="H192" s="368">
        <f>IF(F192="","",F192-IF(G192="",0,G192))</f>
        <v/>
      </c>
      <c r="I192" s="405" t="n"/>
    </row>
    <row r="193">
      <c r="A193" s="407" t="n"/>
      <c r="B193" s="408" t="n"/>
      <c r="C193" s="408" t="n"/>
      <c r="D193" s="409" t="n"/>
      <c r="E193" s="409" t="n"/>
      <c r="F193" s="410" t="n"/>
      <c r="G193" s="410" t="n"/>
      <c r="H193" s="373">
        <f>IF(F193="","",F193-IF(G193="",0,G193))</f>
        <v/>
      </c>
      <c r="I193" s="409" t="n"/>
    </row>
    <row r="194">
      <c r="A194" s="403" t="n"/>
      <c r="B194" s="404" t="n"/>
      <c r="C194" s="404" t="n"/>
      <c r="D194" s="405" t="n"/>
      <c r="E194" s="405" t="n"/>
      <c r="F194" s="406" t="n"/>
      <c r="G194" s="406" t="n"/>
      <c r="H194" s="368">
        <f>IF(F194="","",F194-IF(G194="",0,G194))</f>
        <v/>
      </c>
      <c r="I194" s="405" t="n"/>
    </row>
    <row r="195">
      <c r="A195" s="407" t="n"/>
      <c r="B195" s="408" t="n"/>
      <c r="C195" s="408" t="n"/>
      <c r="D195" s="409" t="n"/>
      <c r="E195" s="409" t="n"/>
      <c r="F195" s="410" t="n"/>
      <c r="G195" s="410" t="n"/>
      <c r="H195" s="373">
        <f>IF(F195="","",F195-IF(G195="",0,G195))</f>
        <v/>
      </c>
      <c r="I195" s="409" t="n"/>
    </row>
    <row r="196">
      <c r="A196" s="403" t="n"/>
      <c r="B196" s="404" t="n"/>
      <c r="C196" s="404" t="n"/>
      <c r="D196" s="405" t="n"/>
      <c r="E196" s="405" t="n"/>
      <c r="F196" s="406" t="n"/>
      <c r="G196" s="406" t="n"/>
      <c r="H196" s="368">
        <f>IF(F196="","",F196-IF(G196="",0,G196))</f>
        <v/>
      </c>
      <c r="I196" s="405" t="n"/>
    </row>
    <row r="197">
      <c r="A197" s="407" t="n"/>
      <c r="B197" s="408" t="n"/>
      <c r="C197" s="408" t="n"/>
      <c r="D197" s="409" t="n"/>
      <c r="E197" s="409" t="n"/>
      <c r="F197" s="410" t="n"/>
      <c r="G197" s="410" t="n"/>
      <c r="H197" s="373">
        <f>IF(F197="","",F197-IF(G197="",0,G197))</f>
        <v/>
      </c>
      <c r="I197" s="409" t="n"/>
    </row>
    <row r="198">
      <c r="A198" s="403" t="n"/>
      <c r="B198" s="404" t="n"/>
      <c r="C198" s="404" t="n"/>
      <c r="D198" s="405" t="n"/>
      <c r="E198" s="405" t="n"/>
      <c r="F198" s="406" t="n"/>
      <c r="G198" s="406" t="n"/>
      <c r="H198" s="368">
        <f>IF(F198="","",F198-IF(G198="",0,G198))</f>
        <v/>
      </c>
      <c r="I198" s="405" t="n"/>
    </row>
    <row r="199">
      <c r="A199" s="407" t="n"/>
      <c r="B199" s="408" t="n"/>
      <c r="C199" s="408" t="n"/>
      <c r="D199" s="409" t="n"/>
      <c r="E199" s="409" t="n"/>
      <c r="F199" s="410" t="n"/>
      <c r="G199" s="410" t="n"/>
      <c r="H199" s="373">
        <f>IF(F199="","",F199-IF(G199="",0,G199))</f>
        <v/>
      </c>
      <c r="I199" s="409" t="n"/>
    </row>
    <row r="200">
      <c r="A200" s="403" t="n"/>
      <c r="B200" s="404" t="n"/>
      <c r="C200" s="404" t="n"/>
      <c r="D200" s="405" t="n"/>
      <c r="E200" s="405" t="n"/>
      <c r="F200" s="406" t="n"/>
      <c r="G200" s="406" t="n"/>
      <c r="H200" s="368">
        <f>IF(F200="","",F200-IF(G200="",0,G200))</f>
        <v/>
      </c>
      <c r="I200" s="405" t="n"/>
    </row>
    <row r="201">
      <c r="A201" s="407" t="n"/>
      <c r="B201" s="408" t="n"/>
      <c r="C201" s="408" t="n"/>
      <c r="D201" s="409" t="n"/>
      <c r="E201" s="409" t="n"/>
      <c r="F201" s="410" t="n"/>
      <c r="G201" s="410" t="n"/>
      <c r="H201" s="373">
        <f>IF(F201="","",F201-IF(G201="",0,G201))</f>
        <v/>
      </c>
      <c r="I201" s="409" t="n"/>
    </row>
    <row r="202">
      <c r="A202" s="403" t="n"/>
      <c r="B202" s="404" t="n"/>
      <c r="C202" s="404" t="n"/>
      <c r="D202" s="405" t="n"/>
      <c r="E202" s="405" t="n"/>
      <c r="F202" s="406" t="n"/>
      <c r="G202" s="406" t="n"/>
      <c r="H202" s="368">
        <f>IF(F202="","",F202-IF(G202="",0,G202))</f>
        <v/>
      </c>
      <c r="I202" s="405" t="n"/>
    </row>
    <row r="203">
      <c r="A203" s="407" t="n"/>
      <c r="B203" s="408" t="n"/>
      <c r="C203" s="408" t="n"/>
      <c r="D203" s="409" t="n"/>
      <c r="E203" s="409" t="n"/>
      <c r="F203" s="410" t="n"/>
      <c r="G203" s="410" t="n"/>
      <c r="H203" s="373">
        <f>IF(F203="","",F203-IF(G203="",0,G203))</f>
        <v/>
      </c>
      <c r="I203" s="409" t="n"/>
    </row>
    <row r="204">
      <c r="A204" s="403" t="n"/>
      <c r="B204" s="404" t="n"/>
      <c r="C204" s="404" t="n"/>
      <c r="D204" s="405" t="n"/>
      <c r="E204" s="405" t="n"/>
      <c r="F204" s="406" t="n"/>
      <c r="G204" s="406" t="n"/>
      <c r="H204" s="368">
        <f>IF(F204="","",F204-IF(G204="",0,G204))</f>
        <v/>
      </c>
      <c r="I204" s="405" t="n"/>
    </row>
    <row r="205">
      <c r="A205" s="407" t="n"/>
      <c r="B205" s="408" t="n"/>
      <c r="C205" s="408" t="n"/>
      <c r="D205" s="409" t="n"/>
      <c r="E205" s="409" t="n"/>
      <c r="F205" s="410" t="n"/>
      <c r="G205" s="410" t="n"/>
      <c r="H205" s="373">
        <f>IF(F205="","",F205-IF(G205="",0,G205))</f>
        <v/>
      </c>
      <c r="I205" s="409" t="n"/>
    </row>
    <row r="206">
      <c r="A206" s="407" t="n"/>
      <c r="B206" s="408" t="n"/>
      <c r="C206" s="408" t="n"/>
      <c r="D206" s="409" t="n"/>
      <c r="E206" s="409" t="n"/>
      <c r="F206" s="410" t="n"/>
      <c r="G206" s="410" t="n"/>
      <c r="H206" s="373">
        <f>IF(F206="","",F206-IF(G206="",0,G206))</f>
        <v/>
      </c>
      <c r="I206" s="409" t="n"/>
    </row>
    <row r="207">
      <c r="A207" s="407" t="n"/>
      <c r="B207" s="408" t="n"/>
      <c r="C207" s="408" t="n"/>
      <c r="D207" s="409" t="n"/>
      <c r="E207" s="409" t="n"/>
      <c r="F207" s="410" t="n"/>
      <c r="G207" s="410" t="n"/>
      <c r="H207" s="373">
        <f>IF(F207="","",F207-IF(G207="",0,G207))</f>
        <v/>
      </c>
      <c r="I207" s="409" t="n"/>
    </row>
    <row r="208">
      <c r="A208" s="407" t="n"/>
      <c r="B208" s="408" t="n"/>
      <c r="C208" s="408" t="n"/>
      <c r="D208" s="409" t="n"/>
      <c r="E208" s="409" t="n"/>
      <c r="F208" s="410" t="n"/>
      <c r="G208" s="410" t="n"/>
      <c r="H208" s="373">
        <f>IF(F208="","",F208-IF(G208="",0,G208))</f>
        <v/>
      </c>
      <c r="I208" s="409" t="n"/>
    </row>
    <row r="209">
      <c r="A209" s="407" t="n"/>
      <c r="B209" s="408" t="n"/>
      <c r="C209" s="408" t="n"/>
      <c r="D209" s="409" t="n"/>
      <c r="E209" s="409" t="n"/>
      <c r="F209" s="410" t="n"/>
      <c r="G209" s="410" t="n"/>
      <c r="H209" s="373">
        <f>IF(F209="","",F209-IF(G209="",0,G209))</f>
        <v/>
      </c>
      <c r="I209" s="409" t="n"/>
    </row>
    <row r="210">
      <c r="A210" s="407" t="n"/>
      <c r="B210" s="408" t="n"/>
      <c r="C210" s="408" t="n"/>
      <c r="D210" s="409" t="n"/>
      <c r="E210" s="409" t="n"/>
      <c r="F210" s="410" t="n"/>
      <c r="G210" s="410" t="n"/>
      <c r="H210" s="373">
        <f>IF(F210="","",F210-IF(G210="",0,G210))</f>
        <v/>
      </c>
      <c r="I210" s="409" t="n"/>
    </row>
    <row r="211">
      <c r="A211" s="407" t="n"/>
      <c r="B211" s="408" t="n"/>
      <c r="C211" s="408" t="n"/>
      <c r="D211" s="409" t="n"/>
      <c r="E211" s="409" t="n"/>
      <c r="F211" s="410" t="n"/>
      <c r="G211" s="410" t="n"/>
      <c r="H211" s="373">
        <f>IF(F211="","",F211-IF(G211="",0,G211))</f>
        <v/>
      </c>
      <c r="I211" s="409" t="n"/>
    </row>
    <row r="212">
      <c r="A212" s="407" t="n"/>
      <c r="B212" s="408" t="n"/>
      <c r="C212" s="408" t="n"/>
      <c r="D212" s="409" t="n"/>
      <c r="E212" s="409" t="n"/>
      <c r="F212" s="410" t="n"/>
      <c r="G212" s="410" t="n"/>
      <c r="H212" s="373">
        <f>IF(F212="","",F212-IF(G212="",0,G212))</f>
        <v/>
      </c>
      <c r="I212" s="409" t="n"/>
    </row>
    <row r="213">
      <c r="A213" s="407" t="n"/>
      <c r="B213" s="408" t="n"/>
      <c r="C213" s="408" t="n"/>
      <c r="D213" s="409" t="n"/>
      <c r="E213" s="409" t="n"/>
      <c r="F213" s="410" t="n"/>
      <c r="G213" s="410" t="n"/>
      <c r="H213" s="373">
        <f>IF(F213="","",F213-IF(G213="",0,G213))</f>
        <v/>
      </c>
      <c r="I213" s="409" t="n"/>
    </row>
    <row r="214">
      <c r="A214" s="407" t="n"/>
      <c r="B214" s="408" t="n"/>
      <c r="C214" s="408" t="n"/>
      <c r="D214" s="409" t="n"/>
      <c r="E214" s="409" t="n"/>
      <c r="F214" s="410" t="n"/>
      <c r="G214" s="410" t="n"/>
      <c r="H214" s="373">
        <f>IF(F214="","",F214-IF(G214="",0,G214))</f>
        <v/>
      </c>
      <c r="I214" s="409" t="n"/>
    </row>
    <row r="215">
      <c r="A215" s="407" t="n"/>
      <c r="B215" s="408" t="n"/>
      <c r="C215" s="408" t="n"/>
      <c r="D215" s="409" t="n"/>
      <c r="E215" s="409" t="n"/>
      <c r="F215" s="410" t="n"/>
      <c r="G215" s="410" t="n"/>
      <c r="H215" s="373">
        <f>IF(F215="","",F215-IF(G215="",0,G215))</f>
        <v/>
      </c>
      <c r="I215" s="409" t="n"/>
    </row>
    <row r="216">
      <c r="A216" s="407" t="n"/>
      <c r="B216" s="408" t="n"/>
      <c r="C216" s="408" t="n"/>
      <c r="D216" s="409" t="n"/>
      <c r="E216" s="409" t="n"/>
      <c r="F216" s="410" t="n"/>
      <c r="G216" s="410" t="n"/>
      <c r="H216" s="373">
        <f>IF(F216="","",F216-IF(G216="",0,G216))</f>
        <v/>
      </c>
      <c r="I216" s="409" t="n"/>
    </row>
    <row r="217">
      <c r="A217" s="407" t="n"/>
      <c r="B217" s="408" t="n"/>
      <c r="C217" s="408" t="n"/>
      <c r="D217" s="409" t="n"/>
      <c r="E217" s="409" t="n"/>
      <c r="F217" s="410" t="n"/>
      <c r="G217" s="410" t="n"/>
      <c r="H217" s="373">
        <f>IF(F217="","",F217-IF(G217="",0,G217))</f>
        <v/>
      </c>
      <c r="I217" s="409" t="n"/>
    </row>
    <row r="218">
      <c r="A218" s="407" t="n"/>
      <c r="B218" s="408" t="n"/>
      <c r="C218" s="408" t="n"/>
      <c r="D218" s="409" t="n"/>
      <c r="E218" s="409" t="n"/>
      <c r="F218" s="410" t="n"/>
      <c r="G218" s="410" t="n"/>
      <c r="H218" s="373">
        <f>IF(F218="","",F218-IF(G218="",0,G218))</f>
        <v/>
      </c>
      <c r="I218" s="409" t="n"/>
    </row>
    <row r="219">
      <c r="A219" s="407" t="n"/>
      <c r="B219" s="408" t="n"/>
      <c r="C219" s="408" t="n"/>
      <c r="D219" s="409" t="n"/>
      <c r="E219" s="409" t="n"/>
      <c r="F219" s="410" t="n"/>
      <c r="G219" s="410" t="n"/>
      <c r="H219" s="373">
        <f>IF(F219="","",F219-IF(G219="",0,G219))</f>
        <v/>
      </c>
      <c r="I219" s="409" t="n"/>
    </row>
    <row r="220">
      <c r="A220" s="407" t="n"/>
      <c r="B220" s="408" t="n"/>
      <c r="C220" s="408" t="n"/>
      <c r="D220" s="409" t="n"/>
      <c r="E220" s="409" t="n"/>
      <c r="F220" s="410" t="n"/>
      <c r="G220" s="410" t="n"/>
      <c r="H220" s="373">
        <f>IF(F220="","",F220-IF(G220="",0,G220))</f>
        <v/>
      </c>
      <c r="I220" s="409" t="n"/>
    </row>
    <row r="221">
      <c r="A221" s="407" t="n"/>
      <c r="B221" s="408" t="n"/>
      <c r="C221" s="408" t="n"/>
      <c r="D221" s="409" t="n"/>
      <c r="E221" s="409" t="n"/>
      <c r="F221" s="410" t="n"/>
      <c r="G221" s="410" t="n"/>
      <c r="H221" s="373">
        <f>IF(F221="","",F221-IF(G221="",0,G221))</f>
        <v/>
      </c>
      <c r="I221" s="409" t="n"/>
    </row>
    <row r="222">
      <c r="A222" s="407" t="n"/>
      <c r="B222" s="408" t="n"/>
      <c r="C222" s="408" t="n"/>
      <c r="D222" s="409" t="n"/>
      <c r="E222" s="409" t="n"/>
      <c r="F222" s="410" t="n"/>
      <c r="G222" s="410" t="n"/>
      <c r="H222" s="373">
        <f>IF(F222="","",F222-IF(G222="",0,G222))</f>
        <v/>
      </c>
      <c r="I222" s="409" t="n"/>
    </row>
    <row r="223">
      <c r="A223" s="407" t="n"/>
      <c r="B223" s="408" t="n"/>
      <c r="C223" s="408" t="n"/>
      <c r="D223" s="409" t="n"/>
      <c r="E223" s="409" t="n"/>
      <c r="F223" s="410" t="n"/>
      <c r="G223" s="410" t="n"/>
      <c r="H223" s="373">
        <f>IF(F223="","",F223-IF(G223="",0,G223))</f>
        <v/>
      </c>
      <c r="I223" s="409" t="n"/>
    </row>
    <row r="224">
      <c r="A224" s="407" t="n"/>
      <c r="B224" s="408" t="n"/>
      <c r="C224" s="408" t="n"/>
      <c r="D224" s="409" t="n"/>
      <c r="E224" s="409" t="n"/>
      <c r="F224" s="410" t="n"/>
      <c r="G224" s="410" t="n"/>
      <c r="H224" s="373">
        <f>IF(F224="","",F224-IF(G224="",0,G224))</f>
        <v/>
      </c>
      <c r="I224" s="409" t="n"/>
    </row>
    <row r="225">
      <c r="A225" s="407" t="n"/>
      <c r="B225" s="408" t="n"/>
      <c r="C225" s="408" t="n"/>
      <c r="D225" s="409" t="n"/>
      <c r="E225" s="409" t="n"/>
      <c r="F225" s="410" t="n"/>
      <c r="G225" s="410" t="n"/>
      <c r="H225" s="373">
        <f>IF(F225="","",F225-IF(G225="",0,G225))</f>
        <v/>
      </c>
      <c r="I225" s="409" t="n"/>
    </row>
    <row r="226">
      <c r="A226" s="407" t="n"/>
      <c r="B226" s="408" t="n"/>
      <c r="C226" s="408" t="n"/>
      <c r="D226" s="409" t="n"/>
      <c r="E226" s="409" t="n"/>
      <c r="F226" s="410" t="n"/>
      <c r="G226" s="410" t="n"/>
      <c r="H226" s="373">
        <f>IF(F226="","",F226-IF(G226="",0,G226))</f>
        <v/>
      </c>
      <c r="I226" s="409" t="n"/>
    </row>
    <row r="227">
      <c r="A227" s="407" t="n"/>
      <c r="B227" s="408" t="n"/>
      <c r="C227" s="408" t="n"/>
      <c r="D227" s="409" t="n"/>
      <c r="E227" s="409" t="n"/>
      <c r="F227" s="410" t="n"/>
      <c r="G227" s="410" t="n"/>
      <c r="H227" s="373">
        <f>IF(F227="","",F227-IF(G227="",0,G227))</f>
        <v/>
      </c>
      <c r="I227" s="409" t="n"/>
    </row>
    <row r="228">
      <c r="A228" s="407" t="n"/>
      <c r="B228" s="408" t="n"/>
      <c r="C228" s="408" t="n"/>
      <c r="D228" s="409" t="n"/>
      <c r="E228" s="409" t="n"/>
      <c r="F228" s="410" t="n"/>
      <c r="G228" s="410" t="n"/>
      <c r="H228" s="373">
        <f>IF(F228="","",F228-IF(G228="",0,G228))</f>
        <v/>
      </c>
      <c r="I228" s="409" t="n"/>
    </row>
    <row r="229">
      <c r="A229" s="407" t="n"/>
      <c r="B229" s="408" t="n"/>
      <c r="C229" s="408" t="n"/>
      <c r="D229" s="409" t="n"/>
      <c r="E229" s="409" t="n"/>
      <c r="F229" s="410" t="n"/>
      <c r="G229" s="410" t="n"/>
      <c r="H229" s="373">
        <f>IF(F229="","",F229-IF(G229="",0,G229))</f>
        <v/>
      </c>
      <c r="I229" s="409" t="n"/>
    </row>
    <row r="230">
      <c r="A230" s="407" t="n"/>
      <c r="B230" s="408" t="n"/>
      <c r="C230" s="408" t="n"/>
      <c r="D230" s="409" t="n"/>
      <c r="E230" s="409" t="n"/>
      <c r="F230" s="410" t="n"/>
      <c r="G230" s="410" t="n"/>
      <c r="H230" s="373">
        <f>IF(F230="","",F230-IF(G230="",0,G230))</f>
        <v/>
      </c>
      <c r="I230" s="409" t="n"/>
    </row>
    <row r="231">
      <c r="A231" s="407" t="n"/>
      <c r="B231" s="408" t="n"/>
      <c r="C231" s="408" t="n"/>
      <c r="D231" s="409" t="n"/>
      <c r="E231" s="409" t="n"/>
      <c r="F231" s="410" t="n"/>
      <c r="G231" s="410" t="n"/>
      <c r="H231" s="373">
        <f>IF(F231="","",F231-IF(G231="",0,G231))</f>
        <v/>
      </c>
      <c r="I231" s="409" t="n"/>
    </row>
    <row r="232">
      <c r="A232" s="407" t="n"/>
      <c r="B232" s="408" t="n"/>
      <c r="C232" s="408" t="n"/>
      <c r="D232" s="409" t="n"/>
      <c r="E232" s="409" t="n"/>
      <c r="F232" s="410" t="n"/>
      <c r="G232" s="410" t="n"/>
      <c r="H232" s="373">
        <f>IF(F232="","",F232-IF(G232="",0,G232))</f>
        <v/>
      </c>
      <c r="I232" s="409" t="n"/>
    </row>
    <row r="233">
      <c r="A233" s="407" t="n"/>
      <c r="B233" s="408" t="n"/>
      <c r="C233" s="408" t="n"/>
      <c r="D233" s="409" t="n"/>
      <c r="E233" s="409" t="n"/>
      <c r="F233" s="410" t="n"/>
      <c r="G233" s="410" t="n"/>
      <c r="H233" s="373">
        <f>IF(F233="","",F233-IF(G233="",0,G233))</f>
        <v/>
      </c>
      <c r="I233" s="409" t="n"/>
    </row>
    <row r="234">
      <c r="A234" s="407" t="n"/>
      <c r="B234" s="408" t="n"/>
      <c r="C234" s="408" t="n"/>
      <c r="D234" s="409" t="n"/>
      <c r="E234" s="409" t="n"/>
      <c r="F234" s="410" t="n"/>
      <c r="G234" s="410" t="n"/>
      <c r="H234" s="373">
        <f>IF(F234="","",F234-IF(G234="",0,G234))</f>
        <v/>
      </c>
      <c r="I234" s="409" t="n"/>
    </row>
    <row r="235">
      <c r="A235" s="407" t="n"/>
      <c r="B235" s="408" t="n"/>
      <c r="C235" s="408" t="n"/>
      <c r="D235" s="409" t="n"/>
      <c r="E235" s="409" t="n"/>
      <c r="F235" s="410" t="n"/>
      <c r="G235" s="410" t="n"/>
      <c r="H235" s="373">
        <f>IF(F235="","",F235-IF(G235="",0,G235))</f>
        <v/>
      </c>
      <c r="I235" s="409" t="n"/>
    </row>
    <row r="236">
      <c r="A236" s="407" t="n"/>
      <c r="B236" s="408" t="n"/>
      <c r="C236" s="408" t="n"/>
      <c r="D236" s="409" t="n"/>
      <c r="E236" s="409" t="n"/>
      <c r="F236" s="410" t="n"/>
      <c r="G236" s="410" t="n"/>
      <c r="H236" s="373">
        <f>IF(F236="","",F236-IF(G236="",0,G236))</f>
        <v/>
      </c>
      <c r="I236" s="409" t="n"/>
    </row>
    <row r="237">
      <c r="A237" s="407" t="n"/>
      <c r="B237" s="408" t="n"/>
      <c r="C237" s="408" t="n"/>
      <c r="D237" s="409" t="n"/>
      <c r="E237" s="409" t="n"/>
      <c r="F237" s="410" t="n"/>
      <c r="G237" s="410" t="n"/>
      <c r="H237" s="373">
        <f>IF(F237="","",F237-IF(G237="",0,G237))</f>
        <v/>
      </c>
      <c r="I237" s="409" t="n"/>
    </row>
    <row r="238">
      <c r="A238" s="407" t="n"/>
      <c r="B238" s="408" t="n"/>
      <c r="C238" s="408" t="n"/>
      <c r="D238" s="409" t="n"/>
      <c r="E238" s="409" t="n"/>
      <c r="F238" s="410" t="n"/>
      <c r="G238" s="410" t="n"/>
      <c r="H238" s="373">
        <f>IF(F238="","",F238-IF(G238="",0,G238))</f>
        <v/>
      </c>
      <c r="I238" s="409" t="n"/>
    </row>
    <row r="239">
      <c r="A239" s="407" t="n"/>
      <c r="B239" s="408" t="n"/>
      <c r="C239" s="408" t="n"/>
      <c r="D239" s="409" t="n"/>
      <c r="E239" s="409" t="n"/>
      <c r="F239" s="410" t="n"/>
      <c r="G239" s="410" t="n"/>
      <c r="H239" s="373">
        <f>IF(F239="","",F239-IF(G239="",0,G239))</f>
        <v/>
      </c>
      <c r="I239" s="409" t="n"/>
    </row>
    <row r="240">
      <c r="A240" s="407" t="n"/>
      <c r="B240" s="408" t="n"/>
      <c r="C240" s="408" t="n"/>
      <c r="D240" s="409" t="n"/>
      <c r="E240" s="409" t="n"/>
      <c r="F240" s="410" t="n"/>
      <c r="G240" s="410" t="n"/>
      <c r="H240" s="373">
        <f>IF(F240="","",F240-IF(G240="",0,G240))</f>
        <v/>
      </c>
      <c r="I240" s="409" t="n"/>
    </row>
    <row r="241">
      <c r="A241" s="407" t="n"/>
      <c r="B241" s="408" t="n"/>
      <c r="C241" s="408" t="n"/>
      <c r="D241" s="409" t="n"/>
      <c r="E241" s="409" t="n"/>
      <c r="F241" s="410" t="n"/>
      <c r="G241" s="410" t="n"/>
      <c r="H241" s="373">
        <f>IF(F241="","",F241-IF(G241="",0,G241))</f>
        <v/>
      </c>
      <c r="I241" s="409" t="n"/>
    </row>
    <row r="242">
      <c r="A242" s="407" t="n"/>
      <c r="B242" s="408" t="n"/>
      <c r="C242" s="408" t="n"/>
      <c r="D242" s="409" t="n"/>
      <c r="E242" s="409" t="n"/>
      <c r="F242" s="410" t="n"/>
      <c r="G242" s="410" t="n"/>
      <c r="H242" s="373">
        <f>IF(F242="","",F242-IF(G242="",0,G242))</f>
        <v/>
      </c>
      <c r="I242" s="409" t="n"/>
    </row>
    <row r="243">
      <c r="A243" s="407" t="n"/>
      <c r="B243" s="408" t="n"/>
      <c r="C243" s="408" t="n"/>
      <c r="D243" s="409" t="n"/>
      <c r="E243" s="409" t="n"/>
      <c r="F243" s="410" t="n"/>
      <c r="G243" s="410" t="n"/>
      <c r="H243" s="373">
        <f>IF(F243="","",F243-IF(G243="",0,G243))</f>
        <v/>
      </c>
      <c r="I243" s="409" t="n"/>
    </row>
    <row r="244">
      <c r="A244" s="407" t="n"/>
      <c r="B244" s="408" t="n"/>
      <c r="C244" s="408" t="n"/>
      <c r="D244" s="409" t="n"/>
      <c r="E244" s="409" t="n"/>
      <c r="F244" s="410" t="n"/>
      <c r="G244" s="410" t="n"/>
      <c r="H244" s="373">
        <f>IF(F244="","",F244-IF(G244="",0,G244))</f>
        <v/>
      </c>
      <c r="I244" s="409" t="n"/>
    </row>
    <row r="245">
      <c r="A245" s="407" t="n"/>
      <c r="B245" s="408" t="n"/>
      <c r="C245" s="408" t="n"/>
      <c r="D245" s="409" t="n"/>
      <c r="E245" s="409" t="n"/>
      <c r="F245" s="410" t="n"/>
      <c r="G245" s="410" t="n"/>
      <c r="H245" s="373">
        <f>IF(F245="","",F245-IF(G245="",0,G245))</f>
        <v/>
      </c>
      <c r="I245" s="409" t="n"/>
    </row>
    <row r="246">
      <c r="A246" s="407" t="n"/>
      <c r="B246" s="408" t="n"/>
      <c r="C246" s="408" t="n"/>
      <c r="D246" s="409" t="n"/>
      <c r="E246" s="409" t="n"/>
      <c r="F246" s="410" t="n"/>
      <c r="G246" s="410" t="n"/>
      <c r="H246" s="373">
        <f>IF(F246="","",F246-IF(G246="",0,G246))</f>
        <v/>
      </c>
      <c r="I246" s="409" t="n"/>
    </row>
    <row r="247">
      <c r="A247" s="407" t="n"/>
      <c r="B247" s="408" t="n"/>
      <c r="C247" s="408" t="n"/>
      <c r="D247" s="409" t="n"/>
      <c r="E247" s="409" t="n"/>
      <c r="F247" s="410" t="n"/>
      <c r="G247" s="410" t="n"/>
      <c r="H247" s="373">
        <f>IF(F247="","",F247-IF(G247="",0,G247))</f>
        <v/>
      </c>
      <c r="I247" s="409" t="n"/>
    </row>
    <row r="248">
      <c r="A248" s="407" t="n"/>
      <c r="B248" s="408" t="n"/>
      <c r="C248" s="408" t="n"/>
      <c r="D248" s="409" t="n"/>
      <c r="E248" s="409" t="n"/>
      <c r="F248" s="410" t="n"/>
      <c r="G248" s="410" t="n"/>
      <c r="H248" s="373">
        <f>IF(F248="","",F248-IF(G248="",0,G248))</f>
        <v/>
      </c>
      <c r="I248" s="409" t="n"/>
    </row>
    <row r="249">
      <c r="A249" s="407" t="n"/>
      <c r="B249" s="408" t="n"/>
      <c r="C249" s="408" t="n"/>
      <c r="D249" s="409" t="n"/>
      <c r="E249" s="409" t="n"/>
      <c r="F249" s="410" t="n"/>
      <c r="G249" s="410" t="n"/>
      <c r="H249" s="373">
        <f>IF(F249="","",F249-IF(G249="",0,G249))</f>
        <v/>
      </c>
      <c r="I249" s="409" t="n"/>
    </row>
    <row r="250">
      <c r="A250" s="407" t="n"/>
      <c r="B250" s="408" t="n"/>
      <c r="C250" s="408" t="n"/>
      <c r="D250" s="409" t="n"/>
      <c r="E250" s="409" t="n"/>
      <c r="F250" s="410" t="n"/>
      <c r="G250" s="410" t="n"/>
      <c r="H250" s="373">
        <f>IF(F250="","",F250-IF(G250="",0,G250))</f>
        <v/>
      </c>
      <c r="I250" s="409" t="n"/>
    </row>
    <row r="251">
      <c r="A251" s="407" t="n"/>
      <c r="B251" s="408" t="n"/>
      <c r="C251" s="408" t="n"/>
      <c r="D251" s="409" t="n"/>
      <c r="E251" s="409" t="n"/>
      <c r="F251" s="410" t="n"/>
      <c r="G251" s="410" t="n"/>
      <c r="H251" s="373">
        <f>IF(F251="","",F251-IF(G251="",0,G251))</f>
        <v/>
      </c>
      <c r="I251" s="409" t="n"/>
    </row>
    <row r="252">
      <c r="A252" s="407" t="n"/>
      <c r="B252" s="408" t="n"/>
      <c r="C252" s="408" t="n"/>
      <c r="D252" s="409" t="n"/>
      <c r="E252" s="409" t="n"/>
      <c r="F252" s="410" t="n"/>
      <c r="G252" s="410" t="n"/>
      <c r="H252" s="373">
        <f>IF(F252="","",F252-IF(G252="",0,G252))</f>
        <v/>
      </c>
      <c r="I252" s="409" t="n"/>
    </row>
    <row r="253">
      <c r="A253" s="407" t="n"/>
      <c r="B253" s="408" t="n"/>
      <c r="C253" s="408" t="n"/>
      <c r="D253" s="409" t="n"/>
      <c r="E253" s="409" t="n"/>
      <c r="F253" s="410" t="n"/>
      <c r="G253" s="410" t="n"/>
      <c r="H253" s="373">
        <f>IF(F253="","",F253-IF(G253="",0,G253))</f>
        <v/>
      </c>
      <c r="I253" s="409" t="n"/>
    </row>
    <row r="254">
      <c r="A254" s="407" t="n"/>
      <c r="B254" s="408" t="n"/>
      <c r="C254" s="408" t="n"/>
      <c r="D254" s="409" t="n"/>
      <c r="E254" s="409" t="n"/>
      <c r="F254" s="410" t="n"/>
      <c r="G254" s="410" t="n"/>
      <c r="H254" s="373">
        <f>IF(F254="","",F254-IF(G254="",0,G254))</f>
        <v/>
      </c>
      <c r="I254" s="409" t="n"/>
    </row>
    <row r="255">
      <c r="A255" s="407" t="n"/>
      <c r="B255" s="408" t="n"/>
      <c r="C255" s="408" t="n"/>
      <c r="D255" s="409" t="n"/>
      <c r="E255" s="409" t="n"/>
      <c r="F255" s="410" t="n"/>
      <c r="G255" s="410" t="n"/>
      <c r="H255" s="373">
        <f>IF(F255="","",F255-IF(G255="",0,G255))</f>
        <v/>
      </c>
      <c r="I255" s="409" t="n"/>
    </row>
    <row r="256">
      <c r="A256" s="407" t="n"/>
      <c r="B256" s="408" t="n"/>
      <c r="C256" s="408" t="n"/>
      <c r="D256" s="409" t="n"/>
      <c r="E256" s="409" t="n"/>
      <c r="F256" s="410" t="n"/>
      <c r="G256" s="410" t="n"/>
      <c r="H256" s="373">
        <f>IF(F256="","",F256-IF(G256="",0,G256))</f>
        <v/>
      </c>
      <c r="I256" s="409" t="n"/>
    </row>
    <row r="257">
      <c r="A257" s="407" t="n"/>
      <c r="B257" s="408" t="n"/>
      <c r="C257" s="408" t="n"/>
      <c r="D257" s="409" t="n"/>
      <c r="E257" s="409" t="n"/>
      <c r="F257" s="410" t="n"/>
      <c r="G257" s="410" t="n"/>
      <c r="H257" s="373">
        <f>IF(F257="","",F257-IF(G257="",0,G257))</f>
        <v/>
      </c>
      <c r="I257" s="409" t="n"/>
    </row>
    <row r="258">
      <c r="A258" s="407" t="n"/>
      <c r="B258" s="408" t="n"/>
      <c r="C258" s="408" t="n"/>
      <c r="D258" s="409" t="n"/>
      <c r="E258" s="409" t="n"/>
      <c r="F258" s="410" t="n"/>
      <c r="G258" s="410" t="n"/>
      <c r="H258" s="373">
        <f>IF(F258="","",F258-IF(G258="",0,G258))</f>
        <v/>
      </c>
      <c r="I258" s="409" t="n"/>
    </row>
    <row r="259">
      <c r="A259" s="407" t="n"/>
      <c r="B259" s="408" t="n"/>
      <c r="C259" s="408" t="n"/>
      <c r="D259" s="409" t="n"/>
      <c r="E259" s="409" t="n"/>
      <c r="F259" s="410" t="n"/>
      <c r="G259" s="410" t="n"/>
      <c r="H259" s="373">
        <f>IF(F259="","",F259-IF(G259="",0,G259))</f>
        <v/>
      </c>
      <c r="I259" s="409" t="n"/>
    </row>
    <row r="260">
      <c r="A260" s="407" t="n"/>
      <c r="B260" s="408" t="n"/>
      <c r="C260" s="408" t="n"/>
      <c r="D260" s="409" t="n"/>
      <c r="E260" s="409" t="n"/>
      <c r="F260" s="410" t="n"/>
      <c r="G260" s="410" t="n"/>
      <c r="H260" s="373">
        <f>IF(F260="","",F260-IF(G260="",0,G260))</f>
        <v/>
      </c>
      <c r="I260" s="409" t="n"/>
    </row>
    <row r="261">
      <c r="A261" s="407" t="n"/>
      <c r="B261" s="408" t="n"/>
      <c r="C261" s="408" t="n"/>
      <c r="D261" s="409" t="n"/>
      <c r="E261" s="409" t="n"/>
      <c r="F261" s="410" t="n"/>
      <c r="G261" s="410" t="n"/>
      <c r="H261" s="373">
        <f>IF(F261="","",F261-IF(G261="",0,G261))</f>
        <v/>
      </c>
      <c r="I261" s="409" t="n"/>
    </row>
    <row r="262">
      <c r="A262" s="407" t="n"/>
      <c r="B262" s="408" t="n"/>
      <c r="C262" s="408" t="n"/>
      <c r="D262" s="409" t="n"/>
      <c r="E262" s="409" t="n"/>
      <c r="F262" s="410" t="n"/>
      <c r="G262" s="410" t="n"/>
      <c r="H262" s="373">
        <f>IF(F262="","",F262-IF(G262="",0,G262))</f>
        <v/>
      </c>
      <c r="I262" s="409" t="n"/>
    </row>
    <row r="263">
      <c r="A263" s="407" t="n"/>
      <c r="B263" s="408" t="n"/>
      <c r="C263" s="408" t="n"/>
      <c r="D263" s="409" t="n"/>
      <c r="E263" s="409" t="n"/>
      <c r="F263" s="410" t="n"/>
      <c r="G263" s="410" t="n"/>
      <c r="H263" s="373">
        <f>IF(F263="","",F263-IF(G263="",0,G263))</f>
        <v/>
      </c>
      <c r="I263" s="409" t="n"/>
    </row>
    <row r="264">
      <c r="A264" s="407" t="n"/>
      <c r="B264" s="408" t="n"/>
      <c r="C264" s="408" t="n"/>
      <c r="D264" s="409" t="n"/>
      <c r="E264" s="409" t="n"/>
      <c r="F264" s="410" t="n"/>
      <c r="G264" s="410" t="n"/>
      <c r="H264" s="373">
        <f>IF(F264="","",F264-IF(G264="",0,G264))</f>
        <v/>
      </c>
      <c r="I264" s="409" t="n"/>
    </row>
    <row r="265">
      <c r="A265" s="407" t="n"/>
      <c r="B265" s="408" t="n"/>
      <c r="C265" s="408" t="n"/>
      <c r="D265" s="409" t="n"/>
      <c r="E265" s="409" t="n"/>
      <c r="F265" s="410" t="n"/>
      <c r="G265" s="410" t="n"/>
      <c r="H265" s="373">
        <f>IF(F265="","",F265-IF(G265="",0,G265))</f>
        <v/>
      </c>
      <c r="I265" s="409" t="n"/>
    </row>
    <row r="266">
      <c r="A266" s="407" t="n"/>
      <c r="B266" s="408" t="n"/>
      <c r="C266" s="408" t="n"/>
      <c r="D266" s="409" t="n"/>
      <c r="E266" s="409" t="n"/>
      <c r="F266" s="410" t="n"/>
      <c r="G266" s="410" t="n"/>
      <c r="H266" s="373">
        <f>IF(F266="","",F266-IF(G266="",0,G266))</f>
        <v/>
      </c>
      <c r="I266" s="409" t="n"/>
    </row>
    <row r="267">
      <c r="A267" s="407" t="n"/>
      <c r="B267" s="408" t="n"/>
      <c r="C267" s="408" t="n"/>
      <c r="D267" s="409" t="n"/>
      <c r="E267" s="409" t="n"/>
      <c r="F267" s="410" t="n"/>
      <c r="G267" s="410" t="n"/>
      <c r="H267" s="373">
        <f>IF(F267="","",F267-IF(G267="",0,G267))</f>
        <v/>
      </c>
      <c r="I267" s="409" t="n"/>
    </row>
    <row r="268">
      <c r="A268" s="407" t="n"/>
      <c r="B268" s="408" t="n"/>
      <c r="C268" s="408" t="n"/>
      <c r="D268" s="409" t="n"/>
      <c r="E268" s="409" t="n"/>
      <c r="F268" s="410" t="n"/>
      <c r="G268" s="410" t="n"/>
      <c r="H268" s="373">
        <f>IF(F268="","",F268-IF(G268="",0,G268))</f>
        <v/>
      </c>
      <c r="I268" s="409" t="n"/>
    </row>
    <row r="269">
      <c r="A269" s="407" t="n"/>
      <c r="B269" s="408" t="n"/>
      <c r="C269" s="408" t="n"/>
      <c r="D269" s="409" t="n"/>
      <c r="E269" s="409" t="n"/>
      <c r="F269" s="410" t="n"/>
      <c r="G269" s="410" t="n"/>
      <c r="H269" s="373">
        <f>IF(F269="","",F269-IF(G269="",0,G269))</f>
        <v/>
      </c>
      <c r="I269" s="409" t="n"/>
    </row>
    <row r="270">
      <c r="A270" s="407" t="n"/>
      <c r="B270" s="408" t="n"/>
      <c r="C270" s="408" t="n"/>
      <c r="D270" s="409" t="n"/>
      <c r="E270" s="409" t="n"/>
      <c r="F270" s="410" t="n"/>
      <c r="G270" s="410" t="n"/>
      <c r="H270" s="373">
        <f>IF(F270="","",F270-IF(G270="",0,G270))</f>
        <v/>
      </c>
      <c r="I270" s="409" t="n"/>
    </row>
    <row r="271">
      <c r="A271" s="407" t="n"/>
      <c r="B271" s="408" t="n"/>
      <c r="C271" s="408" t="n"/>
      <c r="D271" s="409" t="n"/>
      <c r="E271" s="409" t="n"/>
      <c r="F271" s="410" t="n"/>
      <c r="G271" s="410" t="n"/>
      <c r="H271" s="373">
        <f>IF(F271="","",F271-IF(G271="",0,G271))</f>
        <v/>
      </c>
      <c r="I271" s="409" t="n"/>
    </row>
    <row r="272">
      <c r="A272" s="407" t="n"/>
      <c r="B272" s="408" t="n"/>
      <c r="C272" s="408" t="n"/>
      <c r="D272" s="409" t="n"/>
      <c r="E272" s="409" t="n"/>
      <c r="F272" s="410" t="n"/>
      <c r="G272" s="410" t="n"/>
      <c r="H272" s="373">
        <f>IF(F272="","",F272-IF(G272="",0,G272))</f>
        <v/>
      </c>
      <c r="I272" s="409" t="n"/>
    </row>
    <row r="273">
      <c r="A273" s="407" t="n"/>
      <c r="B273" s="408" t="n"/>
      <c r="C273" s="408" t="n"/>
      <c r="D273" s="409" t="n"/>
      <c r="E273" s="409" t="n"/>
      <c r="F273" s="410" t="n"/>
      <c r="G273" s="410" t="n"/>
      <c r="H273" s="373">
        <f>IF(F273="","",F273-IF(G273="",0,G273))</f>
        <v/>
      </c>
      <c r="I273" s="409" t="n"/>
    </row>
    <row r="274">
      <c r="A274" s="407" t="n"/>
      <c r="B274" s="408" t="n"/>
      <c r="C274" s="408" t="n"/>
      <c r="D274" s="409" t="n"/>
      <c r="E274" s="409" t="n"/>
      <c r="F274" s="410" t="n"/>
      <c r="G274" s="410" t="n"/>
      <c r="H274" s="373">
        <f>IF(F274="","",F274-IF(G274="",0,G274))</f>
        <v/>
      </c>
      <c r="I274" s="409" t="n"/>
    </row>
    <row r="275">
      <c r="A275" s="407" t="n"/>
      <c r="B275" s="408" t="n"/>
      <c r="C275" s="408" t="n"/>
      <c r="D275" s="409" t="n"/>
      <c r="E275" s="409" t="n"/>
      <c r="F275" s="410" t="n"/>
      <c r="G275" s="410" t="n"/>
      <c r="H275" s="373">
        <f>IF(F275="","",F275-IF(G275="",0,G275))</f>
        <v/>
      </c>
      <c r="I275" s="409" t="n"/>
    </row>
    <row r="276">
      <c r="A276" s="407" t="n"/>
      <c r="B276" s="408" t="n"/>
      <c r="C276" s="408" t="n"/>
      <c r="D276" s="409" t="n"/>
      <c r="E276" s="409" t="n"/>
      <c r="F276" s="410" t="n"/>
      <c r="G276" s="410" t="n"/>
      <c r="H276" s="373">
        <f>IF(F276="","",F276-IF(G276="",0,G276))</f>
        <v/>
      </c>
      <c r="I276" s="409" t="n"/>
    </row>
    <row r="277">
      <c r="A277" s="407" t="n"/>
      <c r="B277" s="408" t="n"/>
      <c r="C277" s="408" t="n"/>
      <c r="D277" s="409" t="n"/>
      <c r="E277" s="409" t="n"/>
      <c r="F277" s="410" t="n"/>
      <c r="G277" s="410" t="n"/>
      <c r="H277" s="373">
        <f>IF(F277="","",F277-IF(G277="",0,G277))</f>
        <v/>
      </c>
      <c r="I277" s="409" t="n"/>
    </row>
    <row r="278">
      <c r="A278" s="407" t="n"/>
      <c r="B278" s="408" t="n"/>
      <c r="C278" s="408" t="n"/>
      <c r="D278" s="409" t="n"/>
      <c r="E278" s="409" t="n"/>
      <c r="F278" s="410" t="n"/>
      <c r="G278" s="410" t="n"/>
      <c r="H278" s="373">
        <f>IF(F278="","",F278-IF(G278="",0,G278))</f>
        <v/>
      </c>
      <c r="I278" s="409" t="n"/>
    </row>
    <row r="279">
      <c r="A279" s="407" t="n"/>
      <c r="B279" s="408" t="n"/>
      <c r="C279" s="408" t="n"/>
      <c r="D279" s="409" t="n"/>
      <c r="E279" s="409" t="n"/>
      <c r="F279" s="410" t="n"/>
      <c r="G279" s="410" t="n"/>
      <c r="H279" s="373">
        <f>IF(F279="","",F279-IF(G279="",0,G279))</f>
        <v/>
      </c>
      <c r="I279" s="409" t="n"/>
    </row>
    <row r="280">
      <c r="A280" s="407" t="n"/>
      <c r="B280" s="408" t="n"/>
      <c r="C280" s="408" t="n"/>
      <c r="D280" s="409" t="n"/>
      <c r="E280" s="409" t="n"/>
      <c r="F280" s="410" t="n"/>
      <c r="G280" s="410" t="n"/>
      <c r="H280" s="373">
        <f>IF(F280="","",F280-IF(G280="",0,G280))</f>
        <v/>
      </c>
      <c r="I280" s="409" t="n"/>
    </row>
    <row r="281">
      <c r="A281" s="407" t="n"/>
      <c r="B281" s="408" t="n"/>
      <c r="C281" s="408" t="n"/>
      <c r="D281" s="409" t="n"/>
      <c r="E281" s="409" t="n"/>
      <c r="F281" s="410" t="n"/>
      <c r="G281" s="410" t="n"/>
      <c r="H281" s="373">
        <f>IF(F281="","",F281-IF(G281="",0,G281))</f>
        <v/>
      </c>
      <c r="I281" s="409" t="n"/>
    </row>
    <row r="282">
      <c r="A282" s="407" t="n"/>
      <c r="B282" s="408" t="n"/>
      <c r="C282" s="408" t="n"/>
      <c r="D282" s="409" t="n"/>
      <c r="E282" s="409" t="n"/>
      <c r="F282" s="410" t="n"/>
      <c r="G282" s="410" t="n"/>
      <c r="H282" s="373">
        <f>IF(F282="","",F282-IF(G282="",0,G282))</f>
        <v/>
      </c>
      <c r="I282" s="409" t="n"/>
    </row>
    <row r="283">
      <c r="A283" s="407" t="n"/>
      <c r="B283" s="408" t="n"/>
      <c r="C283" s="408" t="n"/>
      <c r="D283" s="409" t="n"/>
      <c r="E283" s="409" t="n"/>
      <c r="F283" s="410" t="n"/>
      <c r="G283" s="410" t="n"/>
      <c r="H283" s="373">
        <f>IF(F283="","",F283-IF(G283="",0,G283))</f>
        <v/>
      </c>
      <c r="I283" s="409" t="n"/>
    </row>
    <row r="284">
      <c r="A284" s="407" t="n"/>
      <c r="B284" s="408" t="n"/>
      <c r="C284" s="408" t="n"/>
      <c r="D284" s="409" t="n"/>
      <c r="E284" s="409" t="n"/>
      <c r="F284" s="410" t="n"/>
      <c r="G284" s="410" t="n"/>
      <c r="H284" s="373">
        <f>IF(F284="","",F284-IF(G284="",0,G284))</f>
        <v/>
      </c>
      <c r="I284" s="409" t="n"/>
    </row>
    <row r="285">
      <c r="A285" s="407" t="n"/>
      <c r="B285" s="408" t="n"/>
      <c r="C285" s="408" t="n"/>
      <c r="D285" s="409" t="n"/>
      <c r="E285" s="409" t="n"/>
      <c r="F285" s="410" t="n"/>
      <c r="G285" s="410" t="n"/>
      <c r="H285" s="373">
        <f>IF(F285="","",F285-IF(G285="",0,G285))</f>
        <v/>
      </c>
      <c r="I285" s="409" t="n"/>
    </row>
    <row r="286">
      <c r="A286" s="407" t="n"/>
      <c r="B286" s="408" t="n"/>
      <c r="C286" s="408" t="n"/>
      <c r="D286" s="409" t="n"/>
      <c r="E286" s="409" t="n"/>
      <c r="F286" s="410" t="n"/>
      <c r="G286" s="410" t="n"/>
      <c r="H286" s="373">
        <f>IF(F286="","",F286-IF(G286="",0,G286))</f>
        <v/>
      </c>
      <c r="I286" s="409" t="n"/>
    </row>
    <row r="287">
      <c r="A287" s="407" t="n"/>
      <c r="B287" s="408" t="n"/>
      <c r="C287" s="408" t="n"/>
      <c r="D287" s="409" t="n"/>
      <c r="E287" s="409" t="n"/>
      <c r="F287" s="410" t="n"/>
      <c r="G287" s="410" t="n"/>
      <c r="H287" s="373">
        <f>IF(F287="","",F287-IF(G287="",0,G287))</f>
        <v/>
      </c>
      <c r="I287" s="409" t="n"/>
    </row>
    <row r="288">
      <c r="A288" s="407" t="n"/>
      <c r="B288" s="408" t="n"/>
      <c r="C288" s="408" t="n"/>
      <c r="D288" s="409" t="n"/>
      <c r="E288" s="409" t="n"/>
      <c r="F288" s="410" t="n"/>
      <c r="G288" s="410" t="n"/>
      <c r="H288" s="373">
        <f>IF(F288="","",F288-IF(G288="",0,G288))</f>
        <v/>
      </c>
      <c r="I288" s="409" t="n"/>
    </row>
    <row r="289">
      <c r="A289" s="407" t="n"/>
      <c r="B289" s="408" t="n"/>
      <c r="C289" s="408" t="n"/>
      <c r="D289" s="409" t="n"/>
      <c r="E289" s="409" t="n"/>
      <c r="F289" s="410" t="n"/>
      <c r="G289" s="410" t="n"/>
      <c r="H289" s="373">
        <f>IF(F289="","",F289-IF(G289="",0,G289))</f>
        <v/>
      </c>
      <c r="I289" s="409" t="n"/>
    </row>
    <row r="290">
      <c r="A290" s="407" t="n"/>
      <c r="B290" s="408" t="n"/>
      <c r="C290" s="408" t="n"/>
      <c r="D290" s="409" t="n"/>
      <c r="E290" s="409" t="n"/>
      <c r="F290" s="410" t="n"/>
      <c r="G290" s="410" t="n"/>
      <c r="H290" s="373">
        <f>IF(F290="","",F290-IF(G290="",0,G290))</f>
        <v/>
      </c>
      <c r="I290" s="409" t="n"/>
    </row>
    <row r="291">
      <c r="A291" s="407" t="n"/>
      <c r="B291" s="408" t="n"/>
      <c r="C291" s="408" t="n"/>
      <c r="D291" s="409" t="n"/>
      <c r="E291" s="409" t="n"/>
      <c r="F291" s="410" t="n"/>
      <c r="G291" s="410" t="n"/>
      <c r="H291" s="373">
        <f>IF(F291="","",F291-IF(G291="",0,G291))</f>
        <v/>
      </c>
      <c r="I291" s="409" t="n"/>
    </row>
    <row r="292">
      <c r="A292" s="407" t="n"/>
      <c r="B292" s="408" t="n"/>
      <c r="C292" s="408" t="n"/>
      <c r="D292" s="409" t="n"/>
      <c r="E292" s="409" t="n"/>
      <c r="F292" s="410" t="n"/>
      <c r="G292" s="410" t="n"/>
      <c r="H292" s="373">
        <f>IF(F292="","",F292-IF(G292="",0,G292))</f>
        <v/>
      </c>
      <c r="I292" s="409" t="n"/>
    </row>
    <row r="293">
      <c r="A293" s="407" t="n"/>
      <c r="B293" s="408" t="n"/>
      <c r="C293" s="408" t="n"/>
      <c r="D293" s="409" t="n"/>
      <c r="E293" s="409" t="n"/>
      <c r="F293" s="410" t="n"/>
      <c r="G293" s="410" t="n"/>
      <c r="H293" s="373">
        <f>IF(F293="","",F293-IF(G293="",0,G293))</f>
        <v/>
      </c>
      <c r="I293" s="409" t="n"/>
    </row>
    <row r="294">
      <c r="A294" s="407" t="n"/>
      <c r="B294" s="408" t="n"/>
      <c r="C294" s="408" t="n"/>
      <c r="D294" s="409" t="n"/>
      <c r="E294" s="409" t="n"/>
      <c r="F294" s="410" t="n"/>
      <c r="G294" s="410" t="n"/>
      <c r="H294" s="373">
        <f>IF(F294="","",F294-IF(G294="",0,G294))</f>
        <v/>
      </c>
      <c r="I294" s="409" t="n"/>
    </row>
    <row r="295">
      <c r="A295" s="407" t="n"/>
      <c r="B295" s="408" t="n"/>
      <c r="C295" s="408" t="n"/>
      <c r="D295" s="409" t="n"/>
      <c r="E295" s="409" t="n"/>
      <c r="F295" s="410" t="n"/>
      <c r="G295" s="410" t="n"/>
      <c r="H295" s="373">
        <f>IF(F295="","",F295-IF(G295="",0,G295))</f>
        <v/>
      </c>
      <c r="I295" s="409" t="n"/>
    </row>
    <row r="296">
      <c r="A296" s="407" t="n"/>
      <c r="B296" s="408" t="n"/>
      <c r="C296" s="408" t="n"/>
      <c r="D296" s="409" t="n"/>
      <c r="E296" s="409" t="n"/>
      <c r="F296" s="410" t="n"/>
      <c r="G296" s="410" t="n"/>
      <c r="H296" s="373">
        <f>IF(F296="","",F296-IF(G296="",0,G296))</f>
        <v/>
      </c>
      <c r="I296" s="409" t="n"/>
    </row>
    <row r="297">
      <c r="A297" s="407" t="n"/>
      <c r="B297" s="408" t="n"/>
      <c r="C297" s="408" t="n"/>
      <c r="D297" s="409" t="n"/>
      <c r="E297" s="409" t="n"/>
      <c r="F297" s="410" t="n"/>
      <c r="G297" s="410" t="n"/>
      <c r="H297" s="373">
        <f>IF(F297="","",F297-IF(G297="",0,G297))</f>
        <v/>
      </c>
      <c r="I297" s="409" t="n"/>
    </row>
    <row r="298">
      <c r="A298" s="407" t="n"/>
      <c r="B298" s="408" t="n"/>
      <c r="C298" s="408" t="n"/>
      <c r="D298" s="409" t="n"/>
      <c r="E298" s="409" t="n"/>
      <c r="F298" s="410" t="n"/>
      <c r="G298" s="410" t="n"/>
      <c r="H298" s="373">
        <f>IF(F298="","",F298-IF(G298="",0,G298))</f>
        <v/>
      </c>
      <c r="I298" s="409" t="n"/>
    </row>
    <row r="299">
      <c r="A299" s="407" t="n"/>
      <c r="B299" s="408" t="n"/>
      <c r="C299" s="408" t="n"/>
      <c r="D299" s="409" t="n"/>
      <c r="E299" s="409" t="n"/>
      <c r="F299" s="410" t="n"/>
      <c r="G299" s="410" t="n"/>
      <c r="H299" s="373">
        <f>IF(F299="","",F299-IF(G299="",0,G299))</f>
        <v/>
      </c>
      <c r="I299" s="409" t="n"/>
    </row>
    <row r="300">
      <c r="A300" s="407" t="n"/>
      <c r="B300" s="408" t="n"/>
      <c r="C300" s="408" t="n"/>
      <c r="D300" s="409" t="n"/>
      <c r="E300" s="409" t="n"/>
      <c r="F300" s="410" t="n"/>
      <c r="G300" s="410" t="n"/>
      <c r="H300" s="373">
        <f>IF(F300="","",F300-IF(G300="",0,G300))</f>
        <v/>
      </c>
      <c r="I300" s="409" t="n"/>
    </row>
    <row r="301">
      <c r="A301" s="407" t="n"/>
      <c r="B301" s="408" t="n"/>
      <c r="C301" s="408" t="n"/>
      <c r="D301" s="409" t="n"/>
      <c r="E301" s="409" t="n"/>
      <c r="F301" s="410" t="n"/>
      <c r="G301" s="410" t="n"/>
      <c r="H301" s="373">
        <f>IF(F301="","",F301-IF(G301="",0,G301))</f>
        <v/>
      </c>
      <c r="I301" s="409" t="n"/>
    </row>
    <row r="302">
      <c r="A302" s="407" t="n"/>
      <c r="B302" s="408" t="n"/>
      <c r="C302" s="408" t="n"/>
      <c r="D302" s="409" t="n"/>
      <c r="E302" s="409" t="n"/>
      <c r="F302" s="410" t="n"/>
      <c r="G302" s="410" t="n"/>
      <c r="H302" s="373">
        <f>IF(F302="","",F302-IF(G302="",0,G302))</f>
        <v/>
      </c>
      <c r="I302" s="409" t="n"/>
    </row>
    <row r="303">
      <c r="A303" s="407" t="n"/>
      <c r="B303" s="408" t="n"/>
      <c r="C303" s="408" t="n"/>
      <c r="D303" s="409" t="n"/>
      <c r="E303" s="409" t="n"/>
      <c r="F303" s="410" t="n"/>
      <c r="G303" s="410" t="n"/>
      <c r="H303" s="373">
        <f>IF(F303="","",F303-IF(G303="",0,G303))</f>
        <v/>
      </c>
      <c r="I303" s="409" t="n"/>
    </row>
    <row r="304">
      <c r="A304" s="407" t="n"/>
      <c r="B304" s="408" t="n"/>
      <c r="C304" s="408" t="n"/>
      <c r="D304" s="409" t="n"/>
      <c r="E304" s="409" t="n"/>
      <c r="F304" s="410" t="n"/>
      <c r="G304" s="410" t="n"/>
      <c r="H304" s="373">
        <f>IF(F304="","",F304-IF(G304="",0,G304))</f>
        <v/>
      </c>
      <c r="I304" s="409" t="n"/>
    </row>
    <row r="305">
      <c r="A305" s="407" t="n"/>
      <c r="B305" s="408" t="n"/>
      <c r="C305" s="408" t="n"/>
      <c r="D305" s="409" t="n"/>
      <c r="E305" s="409" t="n"/>
      <c r="F305" s="410" t="n"/>
      <c r="G305" s="410" t="n"/>
      <c r="H305" s="373">
        <f>IF(F305="","",F305-IF(G305="",0,G305))</f>
        <v/>
      </c>
      <c r="I305" s="409" t="n"/>
    </row>
  </sheetData>
  <mergeCells count="13">
    <mergeCell ref="K7:L7"/>
    <mergeCell ref="K2:M2"/>
    <mergeCell ref="O1:Q2"/>
    <mergeCell ref="K8:L8"/>
    <mergeCell ref="K9:M9"/>
    <mergeCell ref="K12:M12"/>
    <mergeCell ref="K6:L6"/>
    <mergeCell ref="A1:I2"/>
    <mergeCell ref="K5:L5"/>
    <mergeCell ref="A3:I3"/>
    <mergeCell ref="K4:L4"/>
    <mergeCell ref="K11:M11"/>
    <mergeCell ref="K3:L3"/>
  </mergeCells>
  <conditionalFormatting sqref="H6:H205">
    <cfRule type="cellIs" priority="1" operator="greaterThan" dxfId="1">
      <formula>0</formula>
    </cfRule>
  </conditionalFormatting>
  <dataValidations count="1">
    <dataValidation sqref="C6:C305" showDropDown="0" showInputMessage="0" showErrorMessage="0" allowBlank="1" errorTitle="Ungültige Rechnungsart" error="Bitte eine Rechnungsart aus der Liste auswählen." promptTitle="Rechnungsart" prompt="Rechnungsart auswählen." type="list">
      <formula1>"Abschlagsrechnung,Teilschlussrechnung,Schlussrechnung"</formula1>
    </dataValidation>
  </dataValidations>
  <hyperlinks>
    <hyperlink xmlns:r="http://schemas.openxmlformats.org/officeDocument/2006/relationships" ref="O1" r:id="rId1"/>
    <hyperlink xmlns:r="http://schemas.openxmlformats.org/officeDocument/2006/relationships" ref="K12" r:id="rId2"/>
  </hyperlinks>
  <pageMargins left="0.2" right="0.2" top="0.35" bottom="0.35" header="0.5" footer="0.5"/>
  <pageSetup fitToHeight="0" fitToWidth="1"/>
  <headerFooter>
    <oddHeader/>
    <oddFooter>&amp;CSeite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W3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17" customWidth="1" min="17" max="17"/>
    <col width="16" customWidth="1" min="18" max="18"/>
    <col width="16" customWidth="1" min="19" max="19"/>
    <col width="17" customWidth="1" min="20" max="20"/>
    <col width="28" customWidth="1" min="21" max="21"/>
    <col width="17" customWidth="1" min="22" max="22"/>
    <col width="28" customWidth="1" min="23" max="23"/>
  </cols>
  <sheetData>
    <row r="1">
      <c r="A1" s="376" t="inlineStr">
        <is>
          <t>RECHNUNGSPRÜFUNG · VOB/B-ORIENTIERTE ABSTIMMUNG</t>
        </is>
      </c>
    </row>
    <row r="2"/>
    <row r="3">
      <c r="A3" s="3" t="inlineStr">
        <is>
          <t>Fortlaufender Soll-/Ist-Abgleich zwischen eigener Rechnungsstellung und den Prüfblättern des Auftraggebers</t>
        </is>
      </c>
      <c r="U3" s="377" t="inlineStr">
        <is>
          <t>←  ZUM COCKPIT</t>
        </is>
      </c>
    </row>
    <row r="5">
      <c r="A5" s="378" t="inlineStr">
        <is>
          <t>VERTRAGLICHE PRÜFPARAMETER</t>
        </is>
      </c>
      <c r="G5" s="379" t="inlineStr">
        <is>
          <t>KUMULIERTER ABRECHNUNGSSTAND</t>
        </is>
      </c>
    </row>
    <row r="6">
      <c r="A6" s="380" t="inlineStr">
        <is>
          <t>Auftragssumme netto</t>
        </is>
      </c>
      <c r="B6" s="381">
        <f>'Projektübersicht'!$B$28</f>
        <v/>
      </c>
      <c r="G6" s="382" t="inlineStr">
        <is>
          <t>AN Rechnungen netto</t>
        </is>
      </c>
      <c r="J6" s="383">
        <f>SUM($D$12:$D$311)</f>
        <v/>
      </c>
      <c r="L6" s="382" t="inlineStr">
        <is>
          <t>Vertragliche Einbehalte Soll</t>
        </is>
      </c>
      <c r="O6" s="383">
        <f>SUM($J$12:$J$311)</f>
        <v/>
      </c>
      <c r="Q6" s="382" t="inlineStr">
        <is>
          <t>Erwartet zahlbar</t>
        </is>
      </c>
      <c r="T6" s="383">
        <f>SUM($K$12:$K$311)</f>
        <v/>
      </c>
    </row>
    <row r="7">
      <c r="A7" s="380" t="inlineStr">
        <is>
          <t>Baustrom</t>
        </is>
      </c>
      <c r="B7" s="384" t="n">
        <v>0</v>
      </c>
      <c r="D7" s="380" t="inlineStr">
        <is>
          <t>Vertragserfüllung · Einbehalt je Abschlag</t>
        </is>
      </c>
      <c r="E7" s="384" t="n">
        <v>0.1</v>
      </c>
      <c r="G7" s="382" t="inlineStr">
        <is>
          <t>AG anerkannt netto</t>
        </is>
      </c>
      <c r="J7" s="383">
        <f>SUM($N$12:$N$311)</f>
        <v/>
      </c>
      <c r="L7" s="382" t="inlineStr">
        <is>
          <t>AG Einbehalte / Kürzungen</t>
        </is>
      </c>
      <c r="O7" s="383">
        <f>SUM($S$12:$S$311)</f>
        <v/>
      </c>
      <c r="Q7" s="382" t="inlineStr">
        <is>
          <t>AG geprüft zahlbar</t>
        </is>
      </c>
      <c r="T7" s="383">
        <f>SUM($T$12:$T$311)</f>
        <v/>
      </c>
    </row>
    <row r="8">
      <c r="A8" s="380" t="inlineStr">
        <is>
          <t>Versicherung</t>
        </is>
      </c>
      <c r="B8" s="384" t="n">
        <v>0</v>
      </c>
      <c r="D8" s="380" t="inlineStr">
        <is>
          <t>Vertragserfüllung · Sicherungsziel</t>
        </is>
      </c>
      <c r="E8" s="384" t="n">
        <v>0</v>
      </c>
      <c r="G8" s="382" t="inlineStr">
        <is>
          <t>Differenz Leistungsstand</t>
        </is>
      </c>
      <c r="J8" s="383">
        <f>J6-J7</f>
        <v/>
      </c>
      <c r="L8" s="382" t="inlineStr">
        <is>
          <t>Differenz Einbehalte</t>
        </is>
      </c>
      <c r="O8" s="383">
        <f>O7-O6</f>
        <v/>
      </c>
      <c r="Q8" s="382" t="inlineStr">
        <is>
          <t>Differenz zahlbar</t>
        </is>
      </c>
      <c r="T8" s="383">
        <f>T7-T6</f>
        <v/>
      </c>
    </row>
    <row r="9">
      <c r="A9" s="380" t="inlineStr">
        <is>
          <t>Infrastruktur</t>
        </is>
      </c>
      <c r="B9" s="384" t="n">
        <v>0</v>
      </c>
      <c r="D9" s="380" t="inlineStr">
        <is>
          <t>Mängelanspruchssicherheit (optional)</t>
        </is>
      </c>
      <c r="E9" s="384" t="n">
        <v>0</v>
      </c>
      <c r="L9" s="398" t="inlineStr">
        <is>
          <t>Blau = Werte aus dem Prüfblatt des Auftraggebers manuell übernehmen</t>
        </is>
      </c>
    </row>
    <row r="10">
      <c r="A10" s="378" t="inlineStr">
        <is>
          <t>EIGENE RECHNUNG / ERWARTETE PRÜFUNG</t>
        </is>
      </c>
      <c r="L10" s="379" t="inlineStr">
        <is>
          <t>PRÜFBLATT AUFTRAGGEBER · MANUELLE ÜBERNAHME</t>
        </is>
      </c>
      <c r="U10" s="385" t="inlineStr">
        <is>
          <t>ABWEICHUNG / KLÄRUNG</t>
        </is>
      </c>
    </row>
    <row r="11" ht="38" customHeight="1">
      <c r="A11" s="386" t="inlineStr">
        <is>
          <t>Rechnungsdatum</t>
        </is>
      </c>
      <c r="B11" s="386" t="inlineStr">
        <is>
          <t>Rechnungsnummer</t>
        </is>
      </c>
      <c r="C11" s="386" t="inlineStr">
        <is>
          <t>Rechnungsart</t>
        </is>
      </c>
      <c r="D11" s="386" t="inlineStr">
        <is>
          <t>AN Rechnung netto</t>
        </is>
      </c>
      <c r="E11" s="386" t="inlineStr">
        <is>
          <t>Kumuliert AN netto</t>
        </is>
      </c>
      <c r="F11" s="386" t="inlineStr">
        <is>
          <t>Baustrom Soll</t>
        </is>
      </c>
      <c r="G11" s="386" t="inlineStr">
        <is>
          <t>Versicherung Soll</t>
        </is>
      </c>
      <c r="H11" s="386" t="inlineStr">
        <is>
          <t>Infrastruktur Soll</t>
        </is>
      </c>
      <c r="I11" s="386" t="inlineStr">
        <is>
          <t>VE-Sicherheit Soll</t>
        </is>
      </c>
      <c r="J11" s="386" t="inlineStr">
        <is>
          <t>Einbehalte Soll gesamt</t>
        </is>
      </c>
      <c r="K11" s="386" t="inlineStr">
        <is>
          <t>Erwartet zahlbar</t>
        </is>
      </c>
      <c r="L11" s="387" t="inlineStr">
        <is>
          <t>AG Prüfblatt-Nr.</t>
        </is>
      </c>
      <c r="M11" s="387" t="inlineStr">
        <is>
          <t>AG Prüfdatum</t>
        </is>
      </c>
      <c r="N11" s="387" t="inlineStr">
        <is>
          <t>AG anerkannt netto</t>
        </is>
      </c>
      <c r="O11" s="387" t="inlineStr">
        <is>
          <t>AG Baustrom</t>
        </is>
      </c>
      <c r="P11" s="387" t="inlineStr">
        <is>
          <t>AG Versicherung</t>
        </is>
      </c>
      <c r="Q11" s="387" t="inlineStr">
        <is>
          <t>AG Infrastruktur</t>
        </is>
      </c>
      <c r="R11" s="387" t="inlineStr">
        <is>
          <t>AG VE-Sicherheit</t>
        </is>
      </c>
      <c r="S11" s="387" t="inlineStr">
        <is>
          <t>AG Einbehalte gesamt</t>
        </is>
      </c>
      <c r="T11" s="387" t="inlineStr">
        <is>
          <t>AG geprüft zahlbar</t>
        </is>
      </c>
      <c r="U11" s="388" t="inlineStr">
        <is>
          <t>Diff. Leistung</t>
        </is>
      </c>
      <c r="V11" s="388" t="inlineStr">
        <is>
          <t>Diff. zahlbar</t>
        </is>
      </c>
      <c r="W11" s="388" t="inlineStr">
        <is>
          <t>Bemerkung / Klärung</t>
        </is>
      </c>
    </row>
    <row r="12">
      <c r="A12" s="389">
        <f>IF(Rechnungsstand!B6="","",Rechnungsstand!A6)</f>
        <v/>
      </c>
      <c r="B12" s="390">
        <f>IF(Rechnungsstand!B6="","",Rechnungsstand!B6)</f>
        <v/>
      </c>
      <c r="C12" s="391">
        <f>IF(Rechnungsstand!B6="","",Rechnungsstand!C6)</f>
        <v/>
      </c>
      <c r="D12" s="392">
        <f>IF(Rechnungsstand!B6="","",Rechnungsstand!F6)</f>
        <v/>
      </c>
      <c r="E12" s="393">
        <f>IF(D12="","",SUM($D$12:D12))</f>
        <v/>
      </c>
      <c r="F12" s="393">
        <f>IF(D12="","",D12*$B$7)</f>
        <v/>
      </c>
      <c r="G12" s="393">
        <f>IF(D12="","",D12*$B$8)</f>
        <v/>
      </c>
      <c r="H12" s="393">
        <f>IF(D12="","",D12*$B$9)</f>
        <v/>
      </c>
      <c r="I12" s="393">
        <f>IF(D12="","",IF(C12="Abschlagsrechnung",MAX(0,MIN(D12*$E$7,IF($E$8&gt;0,$B$6*$E$8-0,D12*$E$7))),0))</f>
        <v/>
      </c>
      <c r="J12" s="393">
        <f>IF(D12="","",SUM(F12:I12))</f>
        <v/>
      </c>
      <c r="K12" s="393">
        <f>IF(D12="","",D12-J12)</f>
        <v/>
      </c>
      <c r="L12" s="399" t="n"/>
      <c r="M12" s="400" t="n"/>
      <c r="N12" s="401" t="n"/>
      <c r="O12" s="401" t="n"/>
      <c r="P12" s="401" t="n"/>
      <c r="Q12" s="401" t="n"/>
      <c r="R12" s="401" t="n"/>
      <c r="S12" s="393">
        <f>IF(COUNTA(O12:R12)=0,"",SUM(O12:R12))</f>
        <v/>
      </c>
      <c r="T12" s="393">
        <f>IF(N12="","",N12-IF(S12="",0,S12))</f>
        <v/>
      </c>
      <c r="U12" s="402">
        <f>IF(OR(D12="",N12=""),"",N12-D12)</f>
        <v/>
      </c>
      <c r="V12" s="393">
        <f>IF(OR(K12="",T12=""),"",T12-K12)</f>
        <v/>
      </c>
      <c r="W12" s="395" t="n"/>
    </row>
    <row r="13">
      <c r="A13" s="389">
        <f>IF(Rechnungsstand!B7="","",Rechnungsstand!A7)</f>
        <v/>
      </c>
      <c r="B13" s="390">
        <f>IF(Rechnungsstand!B7="","",Rechnungsstand!B7)</f>
        <v/>
      </c>
      <c r="C13" s="391">
        <f>IF(Rechnungsstand!B7="","",Rechnungsstand!C7)</f>
        <v/>
      </c>
      <c r="D13" s="392">
        <f>IF(Rechnungsstand!B7="","",Rechnungsstand!F7)</f>
        <v/>
      </c>
      <c r="E13" s="393">
        <f>IF(D13="","",SUM($D$12:D13))</f>
        <v/>
      </c>
      <c r="F13" s="393">
        <f>IF(D13="","",D13*$B$7)</f>
        <v/>
      </c>
      <c r="G13" s="393">
        <f>IF(D13="","",D13*$B$8)</f>
        <v/>
      </c>
      <c r="H13" s="393">
        <f>IF(D13="","",D13*$B$9)</f>
        <v/>
      </c>
      <c r="I13" s="393">
        <f>IF(D13="","",IF(C13="Abschlagsrechnung",MAX(0,MIN(D13*$E$7,IF($E$8&gt;0,$B$6*$E$8-SUM($I$12:I12),D13*$E$7))),0))</f>
        <v/>
      </c>
      <c r="J13" s="393">
        <f>IF(D13="","",SUM(F13:I13))</f>
        <v/>
      </c>
      <c r="K13" s="393">
        <f>IF(D13="","",D13-J13)</f>
        <v/>
      </c>
      <c r="L13" s="399" t="n"/>
      <c r="M13" s="400" t="n"/>
      <c r="N13" s="401" t="n"/>
      <c r="O13" s="401" t="n"/>
      <c r="P13" s="401" t="n"/>
      <c r="Q13" s="401" t="n"/>
      <c r="R13" s="401" t="n"/>
      <c r="S13" s="393">
        <f>IF(COUNTA(O13:R13)=0,"",SUM(O13:R13))</f>
        <v/>
      </c>
      <c r="T13" s="393">
        <f>IF(N13="","",N13-IF(S13="",0,S13))</f>
        <v/>
      </c>
      <c r="U13" s="402">
        <f>IF(OR(D13="",N13=""),"",N13-D13)</f>
        <v/>
      </c>
      <c r="V13" s="393">
        <f>IF(OR(K13="",T13=""),"",T13-K13)</f>
        <v/>
      </c>
      <c r="W13" s="395" t="n"/>
    </row>
    <row r="14">
      <c r="A14" s="389">
        <f>IF(Rechnungsstand!B8="","",Rechnungsstand!A8)</f>
        <v/>
      </c>
      <c r="B14" s="390">
        <f>IF(Rechnungsstand!B8="","",Rechnungsstand!B8)</f>
        <v/>
      </c>
      <c r="C14" s="391">
        <f>IF(Rechnungsstand!B8="","",Rechnungsstand!C8)</f>
        <v/>
      </c>
      <c r="D14" s="392">
        <f>IF(Rechnungsstand!B8="","",Rechnungsstand!F8)</f>
        <v/>
      </c>
      <c r="E14" s="393">
        <f>IF(D14="","",SUM($D$12:D14))</f>
        <v/>
      </c>
      <c r="F14" s="393">
        <f>IF(D14="","",D14*$B$7)</f>
        <v/>
      </c>
      <c r="G14" s="393">
        <f>IF(D14="","",D14*$B$8)</f>
        <v/>
      </c>
      <c r="H14" s="393">
        <f>IF(D14="","",D14*$B$9)</f>
        <v/>
      </c>
      <c r="I14" s="393">
        <f>IF(D14="","",IF(C14="Abschlagsrechnung",MAX(0,MIN(D14*$E$7,IF($E$8&gt;0,$B$6*$E$8-SUM($I$12:I13),D14*$E$7))),0))</f>
        <v/>
      </c>
      <c r="J14" s="393">
        <f>IF(D14="","",SUM(F14:I14))</f>
        <v/>
      </c>
      <c r="K14" s="393">
        <f>IF(D14="","",D14-J14)</f>
        <v/>
      </c>
      <c r="L14" s="399" t="n"/>
      <c r="M14" s="400" t="n"/>
      <c r="N14" s="401" t="n"/>
      <c r="O14" s="401" t="n"/>
      <c r="P14" s="401" t="n"/>
      <c r="Q14" s="401" t="n"/>
      <c r="R14" s="401" t="n"/>
      <c r="S14" s="393">
        <f>IF(COUNTA(O14:R14)=0,"",SUM(O14:R14))</f>
        <v/>
      </c>
      <c r="T14" s="393">
        <f>IF(N14="","",N14-IF(S14="",0,S14))</f>
        <v/>
      </c>
      <c r="U14" s="402">
        <f>IF(OR(D14="",N14=""),"",N14-D14)</f>
        <v/>
      </c>
      <c r="V14" s="393">
        <f>IF(OR(K14="",T14=""),"",T14-K14)</f>
        <v/>
      </c>
      <c r="W14" s="395" t="n"/>
    </row>
    <row r="15">
      <c r="A15" s="389">
        <f>IF(Rechnungsstand!B9="","",Rechnungsstand!A9)</f>
        <v/>
      </c>
      <c r="B15" s="390">
        <f>IF(Rechnungsstand!B9="","",Rechnungsstand!B9)</f>
        <v/>
      </c>
      <c r="C15" s="391">
        <f>IF(Rechnungsstand!B9="","",Rechnungsstand!C9)</f>
        <v/>
      </c>
      <c r="D15" s="392">
        <f>IF(Rechnungsstand!B9="","",Rechnungsstand!F9)</f>
        <v/>
      </c>
      <c r="E15" s="393">
        <f>IF(D15="","",SUM($D$12:D15))</f>
        <v/>
      </c>
      <c r="F15" s="393">
        <f>IF(D15="","",D15*$B$7)</f>
        <v/>
      </c>
      <c r="G15" s="393">
        <f>IF(D15="","",D15*$B$8)</f>
        <v/>
      </c>
      <c r="H15" s="393">
        <f>IF(D15="","",D15*$B$9)</f>
        <v/>
      </c>
      <c r="I15" s="393">
        <f>IF(D15="","",IF(C15="Abschlagsrechnung",MAX(0,MIN(D15*$E$7,IF($E$8&gt;0,$B$6*$E$8-SUM($I$12:I14),D15*$E$7))),0))</f>
        <v/>
      </c>
      <c r="J15" s="393">
        <f>IF(D15="","",SUM(F15:I15))</f>
        <v/>
      </c>
      <c r="K15" s="393">
        <f>IF(D15="","",D15-J15)</f>
        <v/>
      </c>
      <c r="L15" s="399" t="n"/>
      <c r="M15" s="400" t="n"/>
      <c r="N15" s="401" t="n"/>
      <c r="O15" s="401" t="n"/>
      <c r="P15" s="401" t="n"/>
      <c r="Q15" s="401" t="n"/>
      <c r="R15" s="401" t="n"/>
      <c r="S15" s="393">
        <f>IF(COUNTA(O15:R15)=0,"",SUM(O15:R15))</f>
        <v/>
      </c>
      <c r="T15" s="393">
        <f>IF(N15="","",N15-IF(S15="",0,S15))</f>
        <v/>
      </c>
      <c r="U15" s="402">
        <f>IF(OR(D15="",N15=""),"",N15-D15)</f>
        <v/>
      </c>
      <c r="V15" s="393">
        <f>IF(OR(K15="",T15=""),"",T15-K15)</f>
        <v/>
      </c>
      <c r="W15" s="395" t="n"/>
    </row>
    <row r="16">
      <c r="A16" s="389">
        <f>IF(Rechnungsstand!B10="","",Rechnungsstand!A10)</f>
        <v/>
      </c>
      <c r="B16" s="390">
        <f>IF(Rechnungsstand!B10="","",Rechnungsstand!B10)</f>
        <v/>
      </c>
      <c r="C16" s="391">
        <f>IF(Rechnungsstand!B10="","",Rechnungsstand!C10)</f>
        <v/>
      </c>
      <c r="D16" s="392">
        <f>IF(Rechnungsstand!B10="","",Rechnungsstand!F10)</f>
        <v/>
      </c>
      <c r="E16" s="393">
        <f>IF(D16="","",SUM($D$12:D16))</f>
        <v/>
      </c>
      <c r="F16" s="393">
        <f>IF(D16="","",D16*$B$7)</f>
        <v/>
      </c>
      <c r="G16" s="393">
        <f>IF(D16="","",D16*$B$8)</f>
        <v/>
      </c>
      <c r="H16" s="393">
        <f>IF(D16="","",D16*$B$9)</f>
        <v/>
      </c>
      <c r="I16" s="393">
        <f>IF(D16="","",IF(C16="Abschlagsrechnung",MAX(0,MIN(D16*$E$7,IF($E$8&gt;0,$B$6*$E$8-SUM($I$12:I15),D16*$E$7))),0))</f>
        <v/>
      </c>
      <c r="J16" s="393">
        <f>IF(D16="","",SUM(F16:I16))</f>
        <v/>
      </c>
      <c r="K16" s="393">
        <f>IF(D16="","",D16-J16)</f>
        <v/>
      </c>
      <c r="L16" s="399" t="n"/>
      <c r="M16" s="400" t="n"/>
      <c r="N16" s="401" t="n"/>
      <c r="O16" s="401" t="n"/>
      <c r="P16" s="401" t="n"/>
      <c r="Q16" s="401" t="n"/>
      <c r="R16" s="401" t="n"/>
      <c r="S16" s="393">
        <f>IF(COUNTA(O16:R16)=0,"",SUM(O16:R16))</f>
        <v/>
      </c>
      <c r="T16" s="393">
        <f>IF(N16="","",N16-IF(S16="",0,S16))</f>
        <v/>
      </c>
      <c r="U16" s="402">
        <f>IF(OR(D16="",N16=""),"",N16-D16)</f>
        <v/>
      </c>
      <c r="V16" s="393">
        <f>IF(OR(K16="",T16=""),"",T16-K16)</f>
        <v/>
      </c>
      <c r="W16" s="395" t="n"/>
    </row>
    <row r="17">
      <c r="A17" s="389">
        <f>IF(Rechnungsstand!B11="","",Rechnungsstand!A11)</f>
        <v/>
      </c>
      <c r="B17" s="390">
        <f>IF(Rechnungsstand!B11="","",Rechnungsstand!B11)</f>
        <v/>
      </c>
      <c r="C17" s="391">
        <f>IF(Rechnungsstand!B11="","",Rechnungsstand!C11)</f>
        <v/>
      </c>
      <c r="D17" s="392">
        <f>IF(Rechnungsstand!B11="","",Rechnungsstand!F11)</f>
        <v/>
      </c>
      <c r="E17" s="393">
        <f>IF(D17="","",SUM($D$12:D17))</f>
        <v/>
      </c>
      <c r="F17" s="393">
        <f>IF(D17="","",D17*$B$7)</f>
        <v/>
      </c>
      <c r="G17" s="393">
        <f>IF(D17="","",D17*$B$8)</f>
        <v/>
      </c>
      <c r="H17" s="393">
        <f>IF(D17="","",D17*$B$9)</f>
        <v/>
      </c>
      <c r="I17" s="393">
        <f>IF(D17="","",IF(C17="Abschlagsrechnung",MAX(0,MIN(D17*$E$7,IF($E$8&gt;0,$B$6*$E$8-SUM($I$12:I16),D17*$E$7))),0))</f>
        <v/>
      </c>
      <c r="J17" s="393">
        <f>IF(D17="","",SUM(F17:I17))</f>
        <v/>
      </c>
      <c r="K17" s="393">
        <f>IF(D17="","",D17-J17)</f>
        <v/>
      </c>
      <c r="L17" s="399" t="n"/>
      <c r="M17" s="400" t="n"/>
      <c r="N17" s="401" t="n"/>
      <c r="O17" s="401" t="n"/>
      <c r="P17" s="401" t="n"/>
      <c r="Q17" s="401" t="n"/>
      <c r="R17" s="401" t="n"/>
      <c r="S17" s="393">
        <f>IF(COUNTA(O17:R17)=0,"",SUM(O17:R17))</f>
        <v/>
      </c>
      <c r="T17" s="393">
        <f>IF(N17="","",N17-IF(S17="",0,S17))</f>
        <v/>
      </c>
      <c r="U17" s="402">
        <f>IF(OR(D17="",N17=""),"",N17-D17)</f>
        <v/>
      </c>
      <c r="V17" s="393">
        <f>IF(OR(K17="",T17=""),"",T17-K17)</f>
        <v/>
      </c>
      <c r="W17" s="395" t="n"/>
    </row>
    <row r="18">
      <c r="A18" s="389">
        <f>IF(Rechnungsstand!B12="","",Rechnungsstand!A12)</f>
        <v/>
      </c>
      <c r="B18" s="390">
        <f>IF(Rechnungsstand!B12="","",Rechnungsstand!B12)</f>
        <v/>
      </c>
      <c r="C18" s="391">
        <f>IF(Rechnungsstand!B12="","",Rechnungsstand!C12)</f>
        <v/>
      </c>
      <c r="D18" s="392">
        <f>IF(Rechnungsstand!B12="","",Rechnungsstand!F12)</f>
        <v/>
      </c>
      <c r="E18" s="393">
        <f>IF(D18="","",SUM($D$12:D18))</f>
        <v/>
      </c>
      <c r="F18" s="393">
        <f>IF(D18="","",D18*$B$7)</f>
        <v/>
      </c>
      <c r="G18" s="393">
        <f>IF(D18="","",D18*$B$8)</f>
        <v/>
      </c>
      <c r="H18" s="393">
        <f>IF(D18="","",D18*$B$9)</f>
        <v/>
      </c>
      <c r="I18" s="393">
        <f>IF(D18="","",IF(C18="Abschlagsrechnung",MAX(0,MIN(D18*$E$7,IF($E$8&gt;0,$B$6*$E$8-SUM($I$12:I17),D18*$E$7))),0))</f>
        <v/>
      </c>
      <c r="J18" s="393">
        <f>IF(D18="","",SUM(F18:I18))</f>
        <v/>
      </c>
      <c r="K18" s="393">
        <f>IF(D18="","",D18-J18)</f>
        <v/>
      </c>
      <c r="L18" s="399" t="n"/>
      <c r="M18" s="400" t="n"/>
      <c r="N18" s="401" t="n"/>
      <c r="O18" s="401" t="n"/>
      <c r="P18" s="401" t="n"/>
      <c r="Q18" s="401" t="n"/>
      <c r="R18" s="401" t="n"/>
      <c r="S18" s="393">
        <f>IF(COUNTA(O18:R18)=0,"",SUM(O18:R18))</f>
        <v/>
      </c>
      <c r="T18" s="393">
        <f>IF(N18="","",N18-IF(S18="",0,S18))</f>
        <v/>
      </c>
      <c r="U18" s="402">
        <f>IF(OR(D18="",N18=""),"",N18-D18)</f>
        <v/>
      </c>
      <c r="V18" s="393">
        <f>IF(OR(K18="",T18=""),"",T18-K18)</f>
        <v/>
      </c>
      <c r="W18" s="395" t="n"/>
    </row>
    <row r="19">
      <c r="A19" s="389">
        <f>IF(Rechnungsstand!B13="","",Rechnungsstand!A13)</f>
        <v/>
      </c>
      <c r="B19" s="390">
        <f>IF(Rechnungsstand!B13="","",Rechnungsstand!B13)</f>
        <v/>
      </c>
      <c r="C19" s="391">
        <f>IF(Rechnungsstand!B13="","",Rechnungsstand!C13)</f>
        <v/>
      </c>
      <c r="D19" s="392">
        <f>IF(Rechnungsstand!B13="","",Rechnungsstand!F13)</f>
        <v/>
      </c>
      <c r="E19" s="393">
        <f>IF(D19="","",SUM($D$12:D19))</f>
        <v/>
      </c>
      <c r="F19" s="393">
        <f>IF(D19="","",D19*$B$7)</f>
        <v/>
      </c>
      <c r="G19" s="393">
        <f>IF(D19="","",D19*$B$8)</f>
        <v/>
      </c>
      <c r="H19" s="393">
        <f>IF(D19="","",D19*$B$9)</f>
        <v/>
      </c>
      <c r="I19" s="393">
        <f>IF(D19="","",IF(C19="Abschlagsrechnung",MAX(0,MIN(D19*$E$7,IF($E$8&gt;0,$B$6*$E$8-SUM($I$12:I18),D19*$E$7))),0))</f>
        <v/>
      </c>
      <c r="J19" s="393">
        <f>IF(D19="","",SUM(F19:I19))</f>
        <v/>
      </c>
      <c r="K19" s="393">
        <f>IF(D19="","",D19-J19)</f>
        <v/>
      </c>
      <c r="L19" s="399" t="n"/>
      <c r="M19" s="400" t="n"/>
      <c r="N19" s="401" t="n"/>
      <c r="O19" s="401" t="n"/>
      <c r="P19" s="401" t="n"/>
      <c r="Q19" s="401" t="n"/>
      <c r="R19" s="401" t="n"/>
      <c r="S19" s="393">
        <f>IF(COUNTA(O19:R19)=0,"",SUM(O19:R19))</f>
        <v/>
      </c>
      <c r="T19" s="393">
        <f>IF(N19="","",N19-IF(S19="",0,S19))</f>
        <v/>
      </c>
      <c r="U19" s="402">
        <f>IF(OR(D19="",N19=""),"",N19-D19)</f>
        <v/>
      </c>
      <c r="V19" s="393">
        <f>IF(OR(K19="",T19=""),"",T19-K19)</f>
        <v/>
      </c>
      <c r="W19" s="395" t="n"/>
    </row>
    <row r="20">
      <c r="A20" s="389">
        <f>IF(Rechnungsstand!B14="","",Rechnungsstand!A14)</f>
        <v/>
      </c>
      <c r="B20" s="390">
        <f>IF(Rechnungsstand!B14="","",Rechnungsstand!B14)</f>
        <v/>
      </c>
      <c r="C20" s="391">
        <f>IF(Rechnungsstand!B14="","",Rechnungsstand!C14)</f>
        <v/>
      </c>
      <c r="D20" s="392">
        <f>IF(Rechnungsstand!B14="","",Rechnungsstand!F14)</f>
        <v/>
      </c>
      <c r="E20" s="393">
        <f>IF(D20="","",SUM($D$12:D20))</f>
        <v/>
      </c>
      <c r="F20" s="393">
        <f>IF(D20="","",D20*$B$7)</f>
        <v/>
      </c>
      <c r="G20" s="393">
        <f>IF(D20="","",D20*$B$8)</f>
        <v/>
      </c>
      <c r="H20" s="393">
        <f>IF(D20="","",D20*$B$9)</f>
        <v/>
      </c>
      <c r="I20" s="393">
        <f>IF(D20="","",IF(C20="Abschlagsrechnung",MAX(0,MIN(D20*$E$7,IF($E$8&gt;0,$B$6*$E$8-SUM($I$12:I19),D20*$E$7))),0))</f>
        <v/>
      </c>
      <c r="J20" s="393">
        <f>IF(D20="","",SUM(F20:I20))</f>
        <v/>
      </c>
      <c r="K20" s="393">
        <f>IF(D20="","",D20-J20)</f>
        <v/>
      </c>
      <c r="L20" s="399" t="n"/>
      <c r="M20" s="400" t="n"/>
      <c r="N20" s="401" t="n"/>
      <c r="O20" s="401" t="n"/>
      <c r="P20" s="401" t="n"/>
      <c r="Q20" s="401" t="n"/>
      <c r="R20" s="401" t="n"/>
      <c r="S20" s="393">
        <f>IF(COUNTA(O20:R20)=0,"",SUM(O20:R20))</f>
        <v/>
      </c>
      <c r="T20" s="393">
        <f>IF(N20="","",N20-IF(S20="",0,S20))</f>
        <v/>
      </c>
      <c r="U20" s="402">
        <f>IF(OR(D20="",N20=""),"",N20-D20)</f>
        <v/>
      </c>
      <c r="V20" s="393">
        <f>IF(OR(K20="",T20=""),"",T20-K20)</f>
        <v/>
      </c>
      <c r="W20" s="395" t="n"/>
    </row>
    <row r="21">
      <c r="A21" s="389">
        <f>IF(Rechnungsstand!B15="","",Rechnungsstand!A15)</f>
        <v/>
      </c>
      <c r="B21" s="390">
        <f>IF(Rechnungsstand!B15="","",Rechnungsstand!B15)</f>
        <v/>
      </c>
      <c r="C21" s="391">
        <f>IF(Rechnungsstand!B15="","",Rechnungsstand!C15)</f>
        <v/>
      </c>
      <c r="D21" s="392">
        <f>IF(Rechnungsstand!B15="","",Rechnungsstand!F15)</f>
        <v/>
      </c>
      <c r="E21" s="393">
        <f>IF(D21="","",SUM($D$12:D21))</f>
        <v/>
      </c>
      <c r="F21" s="393">
        <f>IF(D21="","",D21*$B$7)</f>
        <v/>
      </c>
      <c r="G21" s="393">
        <f>IF(D21="","",D21*$B$8)</f>
        <v/>
      </c>
      <c r="H21" s="393">
        <f>IF(D21="","",D21*$B$9)</f>
        <v/>
      </c>
      <c r="I21" s="393">
        <f>IF(D21="","",IF(C21="Abschlagsrechnung",MAX(0,MIN(D21*$E$7,IF($E$8&gt;0,$B$6*$E$8-SUM($I$12:I20),D21*$E$7))),0))</f>
        <v/>
      </c>
      <c r="J21" s="393">
        <f>IF(D21="","",SUM(F21:I21))</f>
        <v/>
      </c>
      <c r="K21" s="393">
        <f>IF(D21="","",D21-J21)</f>
        <v/>
      </c>
      <c r="L21" s="399" t="n"/>
      <c r="M21" s="400" t="n"/>
      <c r="N21" s="401" t="n"/>
      <c r="O21" s="401" t="n"/>
      <c r="P21" s="401" t="n"/>
      <c r="Q21" s="401" t="n"/>
      <c r="R21" s="401" t="n"/>
      <c r="S21" s="393">
        <f>IF(COUNTA(O21:R21)=0,"",SUM(O21:R21))</f>
        <v/>
      </c>
      <c r="T21" s="393">
        <f>IF(N21="","",N21-IF(S21="",0,S21))</f>
        <v/>
      </c>
      <c r="U21" s="402">
        <f>IF(OR(D21="",N21=""),"",N21-D21)</f>
        <v/>
      </c>
      <c r="V21" s="393">
        <f>IF(OR(K21="",T21=""),"",T21-K21)</f>
        <v/>
      </c>
      <c r="W21" s="395" t="n"/>
    </row>
    <row r="22">
      <c r="A22" s="389">
        <f>IF(Rechnungsstand!B16="","",Rechnungsstand!A16)</f>
        <v/>
      </c>
      <c r="B22" s="390">
        <f>IF(Rechnungsstand!B16="","",Rechnungsstand!B16)</f>
        <v/>
      </c>
      <c r="C22" s="391">
        <f>IF(Rechnungsstand!B16="","",Rechnungsstand!C16)</f>
        <v/>
      </c>
      <c r="D22" s="392">
        <f>IF(Rechnungsstand!B16="","",Rechnungsstand!F16)</f>
        <v/>
      </c>
      <c r="E22" s="393">
        <f>IF(D22="","",SUM($D$12:D22))</f>
        <v/>
      </c>
      <c r="F22" s="393">
        <f>IF(D22="","",D22*$B$7)</f>
        <v/>
      </c>
      <c r="G22" s="393">
        <f>IF(D22="","",D22*$B$8)</f>
        <v/>
      </c>
      <c r="H22" s="393">
        <f>IF(D22="","",D22*$B$9)</f>
        <v/>
      </c>
      <c r="I22" s="393">
        <f>IF(D22="","",IF(C22="Abschlagsrechnung",MAX(0,MIN(D22*$E$7,IF($E$8&gt;0,$B$6*$E$8-SUM($I$12:I21),D22*$E$7))),0))</f>
        <v/>
      </c>
      <c r="J22" s="393">
        <f>IF(D22="","",SUM(F22:I22))</f>
        <v/>
      </c>
      <c r="K22" s="393">
        <f>IF(D22="","",D22-J22)</f>
        <v/>
      </c>
      <c r="L22" s="399" t="n"/>
      <c r="M22" s="400" t="n"/>
      <c r="N22" s="401" t="n"/>
      <c r="O22" s="401" t="n"/>
      <c r="P22" s="401" t="n"/>
      <c r="Q22" s="401" t="n"/>
      <c r="R22" s="401" t="n"/>
      <c r="S22" s="393">
        <f>IF(COUNTA(O22:R22)=0,"",SUM(O22:R22))</f>
        <v/>
      </c>
      <c r="T22" s="393">
        <f>IF(N22="","",N22-IF(S22="",0,S22))</f>
        <v/>
      </c>
      <c r="U22" s="402">
        <f>IF(OR(D22="",N22=""),"",N22-D22)</f>
        <v/>
      </c>
      <c r="V22" s="393">
        <f>IF(OR(K22="",T22=""),"",T22-K22)</f>
        <v/>
      </c>
      <c r="W22" s="395" t="n"/>
    </row>
    <row r="23">
      <c r="A23" s="389">
        <f>IF(Rechnungsstand!B17="","",Rechnungsstand!A17)</f>
        <v/>
      </c>
      <c r="B23" s="390">
        <f>IF(Rechnungsstand!B17="","",Rechnungsstand!B17)</f>
        <v/>
      </c>
      <c r="C23" s="391">
        <f>IF(Rechnungsstand!B17="","",Rechnungsstand!C17)</f>
        <v/>
      </c>
      <c r="D23" s="392">
        <f>IF(Rechnungsstand!B17="","",Rechnungsstand!F17)</f>
        <v/>
      </c>
      <c r="E23" s="393">
        <f>IF(D23="","",SUM($D$12:D23))</f>
        <v/>
      </c>
      <c r="F23" s="393">
        <f>IF(D23="","",D23*$B$7)</f>
        <v/>
      </c>
      <c r="G23" s="393">
        <f>IF(D23="","",D23*$B$8)</f>
        <v/>
      </c>
      <c r="H23" s="393">
        <f>IF(D23="","",D23*$B$9)</f>
        <v/>
      </c>
      <c r="I23" s="393">
        <f>IF(D23="","",IF(C23="Abschlagsrechnung",MAX(0,MIN(D23*$E$7,IF($E$8&gt;0,$B$6*$E$8-SUM($I$12:I22),D23*$E$7))),0))</f>
        <v/>
      </c>
      <c r="J23" s="393">
        <f>IF(D23="","",SUM(F23:I23))</f>
        <v/>
      </c>
      <c r="K23" s="393">
        <f>IF(D23="","",D23-J23)</f>
        <v/>
      </c>
      <c r="L23" s="399" t="n"/>
      <c r="M23" s="400" t="n"/>
      <c r="N23" s="401" t="n"/>
      <c r="O23" s="401" t="n"/>
      <c r="P23" s="401" t="n"/>
      <c r="Q23" s="401" t="n"/>
      <c r="R23" s="401" t="n"/>
      <c r="S23" s="393">
        <f>IF(COUNTA(O23:R23)=0,"",SUM(O23:R23))</f>
        <v/>
      </c>
      <c r="T23" s="393">
        <f>IF(N23="","",N23-IF(S23="",0,S23))</f>
        <v/>
      </c>
      <c r="U23" s="402">
        <f>IF(OR(D23="",N23=""),"",N23-D23)</f>
        <v/>
      </c>
      <c r="V23" s="393">
        <f>IF(OR(K23="",T23=""),"",T23-K23)</f>
        <v/>
      </c>
      <c r="W23" s="395" t="n"/>
    </row>
    <row r="24">
      <c r="A24" s="389">
        <f>IF(Rechnungsstand!B18="","",Rechnungsstand!A18)</f>
        <v/>
      </c>
      <c r="B24" s="390">
        <f>IF(Rechnungsstand!B18="","",Rechnungsstand!B18)</f>
        <v/>
      </c>
      <c r="C24" s="391">
        <f>IF(Rechnungsstand!B18="","",Rechnungsstand!C18)</f>
        <v/>
      </c>
      <c r="D24" s="392">
        <f>IF(Rechnungsstand!B18="","",Rechnungsstand!F18)</f>
        <v/>
      </c>
      <c r="E24" s="393">
        <f>IF(D24="","",SUM($D$12:D24))</f>
        <v/>
      </c>
      <c r="F24" s="393">
        <f>IF(D24="","",D24*$B$7)</f>
        <v/>
      </c>
      <c r="G24" s="393">
        <f>IF(D24="","",D24*$B$8)</f>
        <v/>
      </c>
      <c r="H24" s="393">
        <f>IF(D24="","",D24*$B$9)</f>
        <v/>
      </c>
      <c r="I24" s="393">
        <f>IF(D24="","",IF(C24="Abschlagsrechnung",MAX(0,MIN(D24*$E$7,IF($E$8&gt;0,$B$6*$E$8-SUM($I$12:I23),D24*$E$7))),0))</f>
        <v/>
      </c>
      <c r="J24" s="393">
        <f>IF(D24="","",SUM(F24:I24))</f>
        <v/>
      </c>
      <c r="K24" s="393">
        <f>IF(D24="","",D24-J24)</f>
        <v/>
      </c>
      <c r="L24" s="399" t="n"/>
      <c r="M24" s="400" t="n"/>
      <c r="N24" s="401" t="n"/>
      <c r="O24" s="401" t="n"/>
      <c r="P24" s="401" t="n"/>
      <c r="Q24" s="401" t="n"/>
      <c r="R24" s="401" t="n"/>
      <c r="S24" s="393">
        <f>IF(COUNTA(O24:R24)=0,"",SUM(O24:R24))</f>
        <v/>
      </c>
      <c r="T24" s="393">
        <f>IF(N24="","",N24-IF(S24="",0,S24))</f>
        <v/>
      </c>
      <c r="U24" s="402">
        <f>IF(OR(D24="",N24=""),"",N24-D24)</f>
        <v/>
      </c>
      <c r="V24" s="393">
        <f>IF(OR(K24="",T24=""),"",T24-K24)</f>
        <v/>
      </c>
      <c r="W24" s="395" t="n"/>
    </row>
    <row r="25">
      <c r="A25" s="389">
        <f>IF(Rechnungsstand!B19="","",Rechnungsstand!A19)</f>
        <v/>
      </c>
      <c r="B25" s="390">
        <f>IF(Rechnungsstand!B19="","",Rechnungsstand!B19)</f>
        <v/>
      </c>
      <c r="C25" s="391">
        <f>IF(Rechnungsstand!B19="","",Rechnungsstand!C19)</f>
        <v/>
      </c>
      <c r="D25" s="392">
        <f>IF(Rechnungsstand!B19="","",Rechnungsstand!F19)</f>
        <v/>
      </c>
      <c r="E25" s="393">
        <f>IF(D25="","",SUM($D$12:D25))</f>
        <v/>
      </c>
      <c r="F25" s="393">
        <f>IF(D25="","",D25*$B$7)</f>
        <v/>
      </c>
      <c r="G25" s="393">
        <f>IF(D25="","",D25*$B$8)</f>
        <v/>
      </c>
      <c r="H25" s="393">
        <f>IF(D25="","",D25*$B$9)</f>
        <v/>
      </c>
      <c r="I25" s="393">
        <f>IF(D25="","",IF(C25="Abschlagsrechnung",MAX(0,MIN(D25*$E$7,IF($E$8&gt;0,$B$6*$E$8-SUM($I$12:I24),D25*$E$7))),0))</f>
        <v/>
      </c>
      <c r="J25" s="393">
        <f>IF(D25="","",SUM(F25:I25))</f>
        <v/>
      </c>
      <c r="K25" s="393">
        <f>IF(D25="","",D25-J25)</f>
        <v/>
      </c>
      <c r="L25" s="399" t="n"/>
      <c r="M25" s="400" t="n"/>
      <c r="N25" s="401" t="n"/>
      <c r="O25" s="401" t="n"/>
      <c r="P25" s="401" t="n"/>
      <c r="Q25" s="401" t="n"/>
      <c r="R25" s="401" t="n"/>
      <c r="S25" s="393">
        <f>IF(COUNTA(O25:R25)=0,"",SUM(O25:R25))</f>
        <v/>
      </c>
      <c r="T25" s="393">
        <f>IF(N25="","",N25-IF(S25="",0,S25))</f>
        <v/>
      </c>
      <c r="U25" s="402">
        <f>IF(OR(D25="",N25=""),"",N25-D25)</f>
        <v/>
      </c>
      <c r="V25" s="393">
        <f>IF(OR(K25="",T25=""),"",T25-K25)</f>
        <v/>
      </c>
      <c r="W25" s="395" t="n"/>
    </row>
    <row r="26">
      <c r="A26" s="389">
        <f>IF(Rechnungsstand!B20="","",Rechnungsstand!A20)</f>
        <v/>
      </c>
      <c r="B26" s="390">
        <f>IF(Rechnungsstand!B20="","",Rechnungsstand!B20)</f>
        <v/>
      </c>
      <c r="C26" s="391">
        <f>IF(Rechnungsstand!B20="","",Rechnungsstand!C20)</f>
        <v/>
      </c>
      <c r="D26" s="392">
        <f>IF(Rechnungsstand!B20="","",Rechnungsstand!F20)</f>
        <v/>
      </c>
      <c r="E26" s="393">
        <f>IF(D26="","",SUM($D$12:D26))</f>
        <v/>
      </c>
      <c r="F26" s="393">
        <f>IF(D26="","",D26*$B$7)</f>
        <v/>
      </c>
      <c r="G26" s="393">
        <f>IF(D26="","",D26*$B$8)</f>
        <v/>
      </c>
      <c r="H26" s="393">
        <f>IF(D26="","",D26*$B$9)</f>
        <v/>
      </c>
      <c r="I26" s="393">
        <f>IF(D26="","",IF(C26="Abschlagsrechnung",MAX(0,MIN(D26*$E$7,IF($E$8&gt;0,$B$6*$E$8-SUM($I$12:I25),D26*$E$7))),0))</f>
        <v/>
      </c>
      <c r="J26" s="393">
        <f>IF(D26="","",SUM(F26:I26))</f>
        <v/>
      </c>
      <c r="K26" s="393">
        <f>IF(D26="","",D26-J26)</f>
        <v/>
      </c>
      <c r="L26" s="399" t="n"/>
      <c r="M26" s="400" t="n"/>
      <c r="N26" s="401" t="n"/>
      <c r="O26" s="401" t="n"/>
      <c r="P26" s="401" t="n"/>
      <c r="Q26" s="401" t="n"/>
      <c r="R26" s="401" t="n"/>
      <c r="S26" s="393">
        <f>IF(COUNTA(O26:R26)=0,"",SUM(O26:R26))</f>
        <v/>
      </c>
      <c r="T26" s="393">
        <f>IF(N26="","",N26-IF(S26="",0,S26))</f>
        <v/>
      </c>
      <c r="U26" s="402">
        <f>IF(OR(D26="",N26=""),"",N26-D26)</f>
        <v/>
      </c>
      <c r="V26" s="393">
        <f>IF(OR(K26="",T26=""),"",T26-K26)</f>
        <v/>
      </c>
      <c r="W26" s="395" t="n"/>
    </row>
    <row r="27">
      <c r="A27" s="389">
        <f>IF(Rechnungsstand!B21="","",Rechnungsstand!A21)</f>
        <v/>
      </c>
      <c r="B27" s="390">
        <f>IF(Rechnungsstand!B21="","",Rechnungsstand!B21)</f>
        <v/>
      </c>
      <c r="C27" s="391">
        <f>IF(Rechnungsstand!B21="","",Rechnungsstand!C21)</f>
        <v/>
      </c>
      <c r="D27" s="392">
        <f>IF(Rechnungsstand!B21="","",Rechnungsstand!F21)</f>
        <v/>
      </c>
      <c r="E27" s="393">
        <f>IF(D27="","",SUM($D$12:D27))</f>
        <v/>
      </c>
      <c r="F27" s="393">
        <f>IF(D27="","",D27*$B$7)</f>
        <v/>
      </c>
      <c r="G27" s="393">
        <f>IF(D27="","",D27*$B$8)</f>
        <v/>
      </c>
      <c r="H27" s="393">
        <f>IF(D27="","",D27*$B$9)</f>
        <v/>
      </c>
      <c r="I27" s="393">
        <f>IF(D27="","",IF(C27="Abschlagsrechnung",MAX(0,MIN(D27*$E$7,IF($E$8&gt;0,$B$6*$E$8-SUM($I$12:I26),D27*$E$7))),0))</f>
        <v/>
      </c>
      <c r="J27" s="393">
        <f>IF(D27="","",SUM(F27:I27))</f>
        <v/>
      </c>
      <c r="K27" s="393">
        <f>IF(D27="","",D27-J27)</f>
        <v/>
      </c>
      <c r="L27" s="399" t="n"/>
      <c r="M27" s="400" t="n"/>
      <c r="N27" s="401" t="n"/>
      <c r="O27" s="401" t="n"/>
      <c r="P27" s="401" t="n"/>
      <c r="Q27" s="401" t="n"/>
      <c r="R27" s="401" t="n"/>
      <c r="S27" s="393">
        <f>IF(COUNTA(O27:R27)=0,"",SUM(O27:R27))</f>
        <v/>
      </c>
      <c r="T27" s="393">
        <f>IF(N27="","",N27-IF(S27="",0,S27))</f>
        <v/>
      </c>
      <c r="U27" s="402">
        <f>IF(OR(D27="",N27=""),"",N27-D27)</f>
        <v/>
      </c>
      <c r="V27" s="393">
        <f>IF(OR(K27="",T27=""),"",T27-K27)</f>
        <v/>
      </c>
      <c r="W27" s="395" t="n"/>
    </row>
    <row r="28">
      <c r="A28" s="389">
        <f>IF(Rechnungsstand!B22="","",Rechnungsstand!A22)</f>
        <v/>
      </c>
      <c r="B28" s="390">
        <f>IF(Rechnungsstand!B22="","",Rechnungsstand!B22)</f>
        <v/>
      </c>
      <c r="C28" s="391">
        <f>IF(Rechnungsstand!B22="","",Rechnungsstand!C22)</f>
        <v/>
      </c>
      <c r="D28" s="392">
        <f>IF(Rechnungsstand!B22="","",Rechnungsstand!F22)</f>
        <v/>
      </c>
      <c r="E28" s="393">
        <f>IF(D28="","",SUM($D$12:D28))</f>
        <v/>
      </c>
      <c r="F28" s="393">
        <f>IF(D28="","",D28*$B$7)</f>
        <v/>
      </c>
      <c r="G28" s="393">
        <f>IF(D28="","",D28*$B$8)</f>
        <v/>
      </c>
      <c r="H28" s="393">
        <f>IF(D28="","",D28*$B$9)</f>
        <v/>
      </c>
      <c r="I28" s="393">
        <f>IF(D28="","",IF(C28="Abschlagsrechnung",MAX(0,MIN(D28*$E$7,IF($E$8&gt;0,$B$6*$E$8-SUM($I$12:I27),D28*$E$7))),0))</f>
        <v/>
      </c>
      <c r="J28" s="393">
        <f>IF(D28="","",SUM(F28:I28))</f>
        <v/>
      </c>
      <c r="K28" s="393">
        <f>IF(D28="","",D28-J28)</f>
        <v/>
      </c>
      <c r="L28" s="399" t="n"/>
      <c r="M28" s="400" t="n"/>
      <c r="N28" s="401" t="n"/>
      <c r="O28" s="401" t="n"/>
      <c r="P28" s="401" t="n"/>
      <c r="Q28" s="401" t="n"/>
      <c r="R28" s="401" t="n"/>
      <c r="S28" s="393">
        <f>IF(COUNTA(O28:R28)=0,"",SUM(O28:R28))</f>
        <v/>
      </c>
      <c r="T28" s="393">
        <f>IF(N28="","",N28-IF(S28="",0,S28))</f>
        <v/>
      </c>
      <c r="U28" s="402">
        <f>IF(OR(D28="",N28=""),"",N28-D28)</f>
        <v/>
      </c>
      <c r="V28" s="393">
        <f>IF(OR(K28="",T28=""),"",T28-K28)</f>
        <v/>
      </c>
      <c r="W28" s="395" t="n"/>
    </row>
    <row r="29">
      <c r="A29" s="389">
        <f>IF(Rechnungsstand!B23="","",Rechnungsstand!A23)</f>
        <v/>
      </c>
      <c r="B29" s="390">
        <f>IF(Rechnungsstand!B23="","",Rechnungsstand!B23)</f>
        <v/>
      </c>
      <c r="C29" s="391">
        <f>IF(Rechnungsstand!B23="","",Rechnungsstand!C23)</f>
        <v/>
      </c>
      <c r="D29" s="392">
        <f>IF(Rechnungsstand!B23="","",Rechnungsstand!F23)</f>
        <v/>
      </c>
      <c r="E29" s="393">
        <f>IF(D29="","",SUM($D$12:D29))</f>
        <v/>
      </c>
      <c r="F29" s="393">
        <f>IF(D29="","",D29*$B$7)</f>
        <v/>
      </c>
      <c r="G29" s="393">
        <f>IF(D29="","",D29*$B$8)</f>
        <v/>
      </c>
      <c r="H29" s="393">
        <f>IF(D29="","",D29*$B$9)</f>
        <v/>
      </c>
      <c r="I29" s="393">
        <f>IF(D29="","",IF(C29="Abschlagsrechnung",MAX(0,MIN(D29*$E$7,IF($E$8&gt;0,$B$6*$E$8-SUM($I$12:I28),D29*$E$7))),0))</f>
        <v/>
      </c>
      <c r="J29" s="393">
        <f>IF(D29="","",SUM(F29:I29))</f>
        <v/>
      </c>
      <c r="K29" s="393">
        <f>IF(D29="","",D29-J29)</f>
        <v/>
      </c>
      <c r="L29" s="399" t="n"/>
      <c r="M29" s="400" t="n"/>
      <c r="N29" s="401" t="n"/>
      <c r="O29" s="401" t="n"/>
      <c r="P29" s="401" t="n"/>
      <c r="Q29" s="401" t="n"/>
      <c r="R29" s="401" t="n"/>
      <c r="S29" s="393">
        <f>IF(COUNTA(O29:R29)=0,"",SUM(O29:R29))</f>
        <v/>
      </c>
      <c r="T29" s="393">
        <f>IF(N29="","",N29-IF(S29="",0,S29))</f>
        <v/>
      </c>
      <c r="U29" s="402">
        <f>IF(OR(D29="",N29=""),"",N29-D29)</f>
        <v/>
      </c>
      <c r="V29" s="393">
        <f>IF(OR(K29="",T29=""),"",T29-K29)</f>
        <v/>
      </c>
      <c r="W29" s="395" t="n"/>
    </row>
    <row r="30">
      <c r="A30" s="389">
        <f>IF(Rechnungsstand!B24="","",Rechnungsstand!A24)</f>
        <v/>
      </c>
      <c r="B30" s="390">
        <f>IF(Rechnungsstand!B24="","",Rechnungsstand!B24)</f>
        <v/>
      </c>
      <c r="C30" s="391">
        <f>IF(Rechnungsstand!B24="","",Rechnungsstand!C24)</f>
        <v/>
      </c>
      <c r="D30" s="392">
        <f>IF(Rechnungsstand!B24="","",Rechnungsstand!F24)</f>
        <v/>
      </c>
      <c r="E30" s="393">
        <f>IF(D30="","",SUM($D$12:D30))</f>
        <v/>
      </c>
      <c r="F30" s="393">
        <f>IF(D30="","",D30*$B$7)</f>
        <v/>
      </c>
      <c r="G30" s="393">
        <f>IF(D30="","",D30*$B$8)</f>
        <v/>
      </c>
      <c r="H30" s="393">
        <f>IF(D30="","",D30*$B$9)</f>
        <v/>
      </c>
      <c r="I30" s="393">
        <f>IF(D30="","",IF(C30="Abschlagsrechnung",MAX(0,MIN(D30*$E$7,IF($E$8&gt;0,$B$6*$E$8-SUM($I$12:I29),D30*$E$7))),0))</f>
        <v/>
      </c>
      <c r="J30" s="393">
        <f>IF(D30="","",SUM(F30:I30))</f>
        <v/>
      </c>
      <c r="K30" s="393">
        <f>IF(D30="","",D30-J30)</f>
        <v/>
      </c>
      <c r="L30" s="399" t="n"/>
      <c r="M30" s="400" t="n"/>
      <c r="N30" s="401" t="n"/>
      <c r="O30" s="401" t="n"/>
      <c r="P30" s="401" t="n"/>
      <c r="Q30" s="401" t="n"/>
      <c r="R30" s="401" t="n"/>
      <c r="S30" s="393">
        <f>IF(COUNTA(O30:R30)=0,"",SUM(O30:R30))</f>
        <v/>
      </c>
      <c r="T30" s="393">
        <f>IF(N30="","",N30-IF(S30="",0,S30))</f>
        <v/>
      </c>
      <c r="U30" s="402">
        <f>IF(OR(D30="",N30=""),"",N30-D30)</f>
        <v/>
      </c>
      <c r="V30" s="393">
        <f>IF(OR(K30="",T30=""),"",T30-K30)</f>
        <v/>
      </c>
      <c r="W30" s="395" t="n"/>
    </row>
    <row r="31">
      <c r="A31" s="389">
        <f>IF(Rechnungsstand!B25="","",Rechnungsstand!A25)</f>
        <v/>
      </c>
      <c r="B31" s="390">
        <f>IF(Rechnungsstand!B25="","",Rechnungsstand!B25)</f>
        <v/>
      </c>
      <c r="C31" s="391">
        <f>IF(Rechnungsstand!B25="","",Rechnungsstand!C25)</f>
        <v/>
      </c>
      <c r="D31" s="392">
        <f>IF(Rechnungsstand!B25="","",Rechnungsstand!F25)</f>
        <v/>
      </c>
      <c r="E31" s="393">
        <f>IF(D31="","",SUM($D$12:D31))</f>
        <v/>
      </c>
      <c r="F31" s="393">
        <f>IF(D31="","",D31*$B$7)</f>
        <v/>
      </c>
      <c r="G31" s="393">
        <f>IF(D31="","",D31*$B$8)</f>
        <v/>
      </c>
      <c r="H31" s="393">
        <f>IF(D31="","",D31*$B$9)</f>
        <v/>
      </c>
      <c r="I31" s="393">
        <f>IF(D31="","",IF(C31="Abschlagsrechnung",MAX(0,MIN(D31*$E$7,IF($E$8&gt;0,$B$6*$E$8-SUM($I$12:I30),D31*$E$7))),0))</f>
        <v/>
      </c>
      <c r="J31" s="393">
        <f>IF(D31="","",SUM(F31:I31))</f>
        <v/>
      </c>
      <c r="K31" s="393">
        <f>IF(D31="","",D31-J31)</f>
        <v/>
      </c>
      <c r="L31" s="399" t="n"/>
      <c r="M31" s="400" t="n"/>
      <c r="N31" s="401" t="n"/>
      <c r="O31" s="401" t="n"/>
      <c r="P31" s="401" t="n"/>
      <c r="Q31" s="401" t="n"/>
      <c r="R31" s="401" t="n"/>
      <c r="S31" s="393">
        <f>IF(COUNTA(O31:R31)=0,"",SUM(O31:R31))</f>
        <v/>
      </c>
      <c r="T31" s="393">
        <f>IF(N31="","",N31-IF(S31="",0,S31))</f>
        <v/>
      </c>
      <c r="U31" s="402">
        <f>IF(OR(D31="",N31=""),"",N31-D31)</f>
        <v/>
      </c>
      <c r="V31" s="393">
        <f>IF(OR(K31="",T31=""),"",T31-K31)</f>
        <v/>
      </c>
      <c r="W31" s="395" t="n"/>
    </row>
    <row r="32">
      <c r="A32" s="389">
        <f>IF(Rechnungsstand!B26="","",Rechnungsstand!A26)</f>
        <v/>
      </c>
      <c r="B32" s="390">
        <f>IF(Rechnungsstand!B26="","",Rechnungsstand!B26)</f>
        <v/>
      </c>
      <c r="C32" s="391">
        <f>IF(Rechnungsstand!B26="","",Rechnungsstand!C26)</f>
        <v/>
      </c>
      <c r="D32" s="392">
        <f>IF(Rechnungsstand!B26="","",Rechnungsstand!F26)</f>
        <v/>
      </c>
      <c r="E32" s="393">
        <f>IF(D32="","",SUM($D$12:D32))</f>
        <v/>
      </c>
      <c r="F32" s="393">
        <f>IF(D32="","",D32*$B$7)</f>
        <v/>
      </c>
      <c r="G32" s="393">
        <f>IF(D32="","",D32*$B$8)</f>
        <v/>
      </c>
      <c r="H32" s="393">
        <f>IF(D32="","",D32*$B$9)</f>
        <v/>
      </c>
      <c r="I32" s="393">
        <f>IF(D32="","",IF(C32="Abschlagsrechnung",MAX(0,MIN(D32*$E$7,IF($E$8&gt;0,$B$6*$E$8-SUM($I$12:I31),D32*$E$7))),0))</f>
        <v/>
      </c>
      <c r="J32" s="393">
        <f>IF(D32="","",SUM(F32:I32))</f>
        <v/>
      </c>
      <c r="K32" s="393">
        <f>IF(D32="","",D32-J32)</f>
        <v/>
      </c>
      <c r="L32" s="399" t="n"/>
      <c r="M32" s="400" t="n"/>
      <c r="N32" s="401" t="n"/>
      <c r="O32" s="401" t="n"/>
      <c r="P32" s="401" t="n"/>
      <c r="Q32" s="401" t="n"/>
      <c r="R32" s="401" t="n"/>
      <c r="S32" s="393">
        <f>IF(COUNTA(O32:R32)=0,"",SUM(O32:R32))</f>
        <v/>
      </c>
      <c r="T32" s="393">
        <f>IF(N32="","",N32-IF(S32="",0,S32))</f>
        <v/>
      </c>
      <c r="U32" s="402">
        <f>IF(OR(D32="",N32=""),"",N32-D32)</f>
        <v/>
      </c>
      <c r="V32" s="393">
        <f>IF(OR(K32="",T32=""),"",T32-K32)</f>
        <v/>
      </c>
      <c r="W32" s="395" t="n"/>
    </row>
    <row r="33">
      <c r="A33" s="389">
        <f>IF(Rechnungsstand!B27="","",Rechnungsstand!A27)</f>
        <v/>
      </c>
      <c r="B33" s="390">
        <f>IF(Rechnungsstand!B27="","",Rechnungsstand!B27)</f>
        <v/>
      </c>
      <c r="C33" s="391">
        <f>IF(Rechnungsstand!B27="","",Rechnungsstand!C27)</f>
        <v/>
      </c>
      <c r="D33" s="392">
        <f>IF(Rechnungsstand!B27="","",Rechnungsstand!F27)</f>
        <v/>
      </c>
      <c r="E33" s="393">
        <f>IF(D33="","",SUM($D$12:D33))</f>
        <v/>
      </c>
      <c r="F33" s="393">
        <f>IF(D33="","",D33*$B$7)</f>
        <v/>
      </c>
      <c r="G33" s="393">
        <f>IF(D33="","",D33*$B$8)</f>
        <v/>
      </c>
      <c r="H33" s="393">
        <f>IF(D33="","",D33*$B$9)</f>
        <v/>
      </c>
      <c r="I33" s="393">
        <f>IF(D33="","",IF(C33="Abschlagsrechnung",MAX(0,MIN(D33*$E$7,IF($E$8&gt;0,$B$6*$E$8-SUM($I$12:I32),D33*$E$7))),0))</f>
        <v/>
      </c>
      <c r="J33" s="393">
        <f>IF(D33="","",SUM(F33:I33))</f>
        <v/>
      </c>
      <c r="K33" s="393">
        <f>IF(D33="","",D33-J33)</f>
        <v/>
      </c>
      <c r="L33" s="399" t="n"/>
      <c r="M33" s="400" t="n"/>
      <c r="N33" s="401" t="n"/>
      <c r="O33" s="401" t="n"/>
      <c r="P33" s="401" t="n"/>
      <c r="Q33" s="401" t="n"/>
      <c r="R33" s="401" t="n"/>
      <c r="S33" s="393">
        <f>IF(COUNTA(O33:R33)=0,"",SUM(O33:R33))</f>
        <v/>
      </c>
      <c r="T33" s="393">
        <f>IF(N33="","",N33-IF(S33="",0,S33))</f>
        <v/>
      </c>
      <c r="U33" s="402">
        <f>IF(OR(D33="",N33=""),"",N33-D33)</f>
        <v/>
      </c>
      <c r="V33" s="393">
        <f>IF(OR(K33="",T33=""),"",T33-K33)</f>
        <v/>
      </c>
      <c r="W33" s="395" t="n"/>
    </row>
    <row r="34">
      <c r="A34" s="389">
        <f>IF(Rechnungsstand!B28="","",Rechnungsstand!A28)</f>
        <v/>
      </c>
      <c r="B34" s="390">
        <f>IF(Rechnungsstand!B28="","",Rechnungsstand!B28)</f>
        <v/>
      </c>
      <c r="C34" s="391">
        <f>IF(Rechnungsstand!B28="","",Rechnungsstand!C28)</f>
        <v/>
      </c>
      <c r="D34" s="392">
        <f>IF(Rechnungsstand!B28="","",Rechnungsstand!F28)</f>
        <v/>
      </c>
      <c r="E34" s="393">
        <f>IF(D34="","",SUM($D$12:D34))</f>
        <v/>
      </c>
      <c r="F34" s="393">
        <f>IF(D34="","",D34*$B$7)</f>
        <v/>
      </c>
      <c r="G34" s="393">
        <f>IF(D34="","",D34*$B$8)</f>
        <v/>
      </c>
      <c r="H34" s="393">
        <f>IF(D34="","",D34*$B$9)</f>
        <v/>
      </c>
      <c r="I34" s="393">
        <f>IF(D34="","",IF(C34="Abschlagsrechnung",MAX(0,MIN(D34*$E$7,IF($E$8&gt;0,$B$6*$E$8-SUM($I$12:I33),D34*$E$7))),0))</f>
        <v/>
      </c>
      <c r="J34" s="393">
        <f>IF(D34="","",SUM(F34:I34))</f>
        <v/>
      </c>
      <c r="K34" s="393">
        <f>IF(D34="","",D34-J34)</f>
        <v/>
      </c>
      <c r="L34" s="399" t="n"/>
      <c r="M34" s="400" t="n"/>
      <c r="N34" s="401" t="n"/>
      <c r="O34" s="401" t="n"/>
      <c r="P34" s="401" t="n"/>
      <c r="Q34" s="401" t="n"/>
      <c r="R34" s="401" t="n"/>
      <c r="S34" s="393">
        <f>IF(COUNTA(O34:R34)=0,"",SUM(O34:R34))</f>
        <v/>
      </c>
      <c r="T34" s="393">
        <f>IF(N34="","",N34-IF(S34="",0,S34))</f>
        <v/>
      </c>
      <c r="U34" s="402">
        <f>IF(OR(D34="",N34=""),"",N34-D34)</f>
        <v/>
      </c>
      <c r="V34" s="393">
        <f>IF(OR(K34="",T34=""),"",T34-K34)</f>
        <v/>
      </c>
      <c r="W34" s="395" t="n"/>
    </row>
    <row r="35">
      <c r="A35" s="389">
        <f>IF(Rechnungsstand!B29="","",Rechnungsstand!A29)</f>
        <v/>
      </c>
      <c r="B35" s="390">
        <f>IF(Rechnungsstand!B29="","",Rechnungsstand!B29)</f>
        <v/>
      </c>
      <c r="C35" s="391">
        <f>IF(Rechnungsstand!B29="","",Rechnungsstand!C29)</f>
        <v/>
      </c>
      <c r="D35" s="392">
        <f>IF(Rechnungsstand!B29="","",Rechnungsstand!F29)</f>
        <v/>
      </c>
      <c r="E35" s="393">
        <f>IF(D35="","",SUM($D$12:D35))</f>
        <v/>
      </c>
      <c r="F35" s="393">
        <f>IF(D35="","",D35*$B$7)</f>
        <v/>
      </c>
      <c r="G35" s="393">
        <f>IF(D35="","",D35*$B$8)</f>
        <v/>
      </c>
      <c r="H35" s="393">
        <f>IF(D35="","",D35*$B$9)</f>
        <v/>
      </c>
      <c r="I35" s="393">
        <f>IF(D35="","",IF(C35="Abschlagsrechnung",MAX(0,MIN(D35*$E$7,IF($E$8&gt;0,$B$6*$E$8-SUM($I$12:I34),D35*$E$7))),0))</f>
        <v/>
      </c>
      <c r="J35" s="393">
        <f>IF(D35="","",SUM(F35:I35))</f>
        <v/>
      </c>
      <c r="K35" s="393">
        <f>IF(D35="","",D35-J35)</f>
        <v/>
      </c>
      <c r="L35" s="399" t="n"/>
      <c r="M35" s="400" t="n"/>
      <c r="N35" s="401" t="n"/>
      <c r="O35" s="401" t="n"/>
      <c r="P35" s="401" t="n"/>
      <c r="Q35" s="401" t="n"/>
      <c r="R35" s="401" t="n"/>
      <c r="S35" s="393">
        <f>IF(COUNTA(O35:R35)=0,"",SUM(O35:R35))</f>
        <v/>
      </c>
      <c r="T35" s="393">
        <f>IF(N35="","",N35-IF(S35="",0,S35))</f>
        <v/>
      </c>
      <c r="U35" s="402">
        <f>IF(OR(D35="",N35=""),"",N35-D35)</f>
        <v/>
      </c>
      <c r="V35" s="393">
        <f>IF(OR(K35="",T35=""),"",T35-K35)</f>
        <v/>
      </c>
      <c r="W35" s="395" t="n"/>
    </row>
    <row r="36">
      <c r="A36" s="389">
        <f>IF(Rechnungsstand!B30="","",Rechnungsstand!A30)</f>
        <v/>
      </c>
      <c r="B36" s="390">
        <f>IF(Rechnungsstand!B30="","",Rechnungsstand!B30)</f>
        <v/>
      </c>
      <c r="C36" s="391">
        <f>IF(Rechnungsstand!B30="","",Rechnungsstand!C30)</f>
        <v/>
      </c>
      <c r="D36" s="392">
        <f>IF(Rechnungsstand!B30="","",Rechnungsstand!F30)</f>
        <v/>
      </c>
      <c r="E36" s="393">
        <f>IF(D36="","",SUM($D$12:D36))</f>
        <v/>
      </c>
      <c r="F36" s="393">
        <f>IF(D36="","",D36*$B$7)</f>
        <v/>
      </c>
      <c r="G36" s="393">
        <f>IF(D36="","",D36*$B$8)</f>
        <v/>
      </c>
      <c r="H36" s="393">
        <f>IF(D36="","",D36*$B$9)</f>
        <v/>
      </c>
      <c r="I36" s="393">
        <f>IF(D36="","",IF(C36="Abschlagsrechnung",MAX(0,MIN(D36*$E$7,IF($E$8&gt;0,$B$6*$E$8-SUM($I$12:I35),D36*$E$7))),0))</f>
        <v/>
      </c>
      <c r="J36" s="393">
        <f>IF(D36="","",SUM(F36:I36))</f>
        <v/>
      </c>
      <c r="K36" s="393">
        <f>IF(D36="","",D36-J36)</f>
        <v/>
      </c>
      <c r="L36" s="399" t="n"/>
      <c r="M36" s="400" t="n"/>
      <c r="N36" s="401" t="n"/>
      <c r="O36" s="401" t="n"/>
      <c r="P36" s="401" t="n"/>
      <c r="Q36" s="401" t="n"/>
      <c r="R36" s="401" t="n"/>
      <c r="S36" s="393">
        <f>IF(COUNTA(O36:R36)=0,"",SUM(O36:R36))</f>
        <v/>
      </c>
      <c r="T36" s="393">
        <f>IF(N36="","",N36-IF(S36="",0,S36))</f>
        <v/>
      </c>
      <c r="U36" s="402">
        <f>IF(OR(D36="",N36=""),"",N36-D36)</f>
        <v/>
      </c>
      <c r="V36" s="393">
        <f>IF(OR(K36="",T36=""),"",T36-K36)</f>
        <v/>
      </c>
      <c r="W36" s="395" t="n"/>
    </row>
    <row r="37">
      <c r="A37" s="389">
        <f>IF(Rechnungsstand!B31="","",Rechnungsstand!A31)</f>
        <v/>
      </c>
      <c r="B37" s="390">
        <f>IF(Rechnungsstand!B31="","",Rechnungsstand!B31)</f>
        <v/>
      </c>
      <c r="C37" s="391">
        <f>IF(Rechnungsstand!B31="","",Rechnungsstand!C31)</f>
        <v/>
      </c>
      <c r="D37" s="392">
        <f>IF(Rechnungsstand!B31="","",Rechnungsstand!F31)</f>
        <v/>
      </c>
      <c r="E37" s="393">
        <f>IF(D37="","",SUM($D$12:D37))</f>
        <v/>
      </c>
      <c r="F37" s="393">
        <f>IF(D37="","",D37*$B$7)</f>
        <v/>
      </c>
      <c r="G37" s="393">
        <f>IF(D37="","",D37*$B$8)</f>
        <v/>
      </c>
      <c r="H37" s="393">
        <f>IF(D37="","",D37*$B$9)</f>
        <v/>
      </c>
      <c r="I37" s="393">
        <f>IF(D37="","",IF(C37="Abschlagsrechnung",MAX(0,MIN(D37*$E$7,IF($E$8&gt;0,$B$6*$E$8-SUM($I$12:I36),D37*$E$7))),0))</f>
        <v/>
      </c>
      <c r="J37" s="393">
        <f>IF(D37="","",SUM(F37:I37))</f>
        <v/>
      </c>
      <c r="K37" s="393">
        <f>IF(D37="","",D37-J37)</f>
        <v/>
      </c>
      <c r="L37" s="399" t="n"/>
      <c r="M37" s="400" t="n"/>
      <c r="N37" s="401" t="n"/>
      <c r="O37" s="401" t="n"/>
      <c r="P37" s="401" t="n"/>
      <c r="Q37" s="401" t="n"/>
      <c r="R37" s="401" t="n"/>
      <c r="S37" s="393">
        <f>IF(COUNTA(O37:R37)=0,"",SUM(O37:R37))</f>
        <v/>
      </c>
      <c r="T37" s="393">
        <f>IF(N37="","",N37-IF(S37="",0,S37))</f>
        <v/>
      </c>
      <c r="U37" s="402">
        <f>IF(OR(D37="",N37=""),"",N37-D37)</f>
        <v/>
      </c>
      <c r="V37" s="393">
        <f>IF(OR(K37="",T37=""),"",T37-K37)</f>
        <v/>
      </c>
      <c r="W37" s="395" t="n"/>
    </row>
    <row r="38">
      <c r="A38" s="389">
        <f>IF(Rechnungsstand!B32="","",Rechnungsstand!A32)</f>
        <v/>
      </c>
      <c r="B38" s="390">
        <f>IF(Rechnungsstand!B32="","",Rechnungsstand!B32)</f>
        <v/>
      </c>
      <c r="C38" s="391">
        <f>IF(Rechnungsstand!B32="","",Rechnungsstand!C32)</f>
        <v/>
      </c>
      <c r="D38" s="392">
        <f>IF(Rechnungsstand!B32="","",Rechnungsstand!F32)</f>
        <v/>
      </c>
      <c r="E38" s="393">
        <f>IF(D38="","",SUM($D$12:D38))</f>
        <v/>
      </c>
      <c r="F38" s="393">
        <f>IF(D38="","",D38*$B$7)</f>
        <v/>
      </c>
      <c r="G38" s="393">
        <f>IF(D38="","",D38*$B$8)</f>
        <v/>
      </c>
      <c r="H38" s="393">
        <f>IF(D38="","",D38*$B$9)</f>
        <v/>
      </c>
      <c r="I38" s="393">
        <f>IF(D38="","",IF(C38="Abschlagsrechnung",MAX(0,MIN(D38*$E$7,IF($E$8&gt;0,$B$6*$E$8-SUM($I$12:I37),D38*$E$7))),0))</f>
        <v/>
      </c>
      <c r="J38" s="393">
        <f>IF(D38="","",SUM(F38:I38))</f>
        <v/>
      </c>
      <c r="K38" s="393">
        <f>IF(D38="","",D38-J38)</f>
        <v/>
      </c>
      <c r="L38" s="399" t="n"/>
      <c r="M38" s="400" t="n"/>
      <c r="N38" s="401" t="n"/>
      <c r="O38" s="401" t="n"/>
      <c r="P38" s="401" t="n"/>
      <c r="Q38" s="401" t="n"/>
      <c r="R38" s="401" t="n"/>
      <c r="S38" s="393">
        <f>IF(COUNTA(O38:R38)=0,"",SUM(O38:R38))</f>
        <v/>
      </c>
      <c r="T38" s="393">
        <f>IF(N38="","",N38-IF(S38="",0,S38))</f>
        <v/>
      </c>
      <c r="U38" s="402">
        <f>IF(OR(D38="",N38=""),"",N38-D38)</f>
        <v/>
      </c>
      <c r="V38" s="393">
        <f>IF(OR(K38="",T38=""),"",T38-K38)</f>
        <v/>
      </c>
      <c r="W38" s="395" t="n"/>
    </row>
    <row r="39">
      <c r="A39" s="389">
        <f>IF(Rechnungsstand!B33="","",Rechnungsstand!A33)</f>
        <v/>
      </c>
      <c r="B39" s="390">
        <f>IF(Rechnungsstand!B33="","",Rechnungsstand!B33)</f>
        <v/>
      </c>
      <c r="C39" s="391">
        <f>IF(Rechnungsstand!B33="","",Rechnungsstand!C33)</f>
        <v/>
      </c>
      <c r="D39" s="392">
        <f>IF(Rechnungsstand!B33="","",Rechnungsstand!F33)</f>
        <v/>
      </c>
      <c r="E39" s="393">
        <f>IF(D39="","",SUM($D$12:D39))</f>
        <v/>
      </c>
      <c r="F39" s="393">
        <f>IF(D39="","",D39*$B$7)</f>
        <v/>
      </c>
      <c r="G39" s="393">
        <f>IF(D39="","",D39*$B$8)</f>
        <v/>
      </c>
      <c r="H39" s="393">
        <f>IF(D39="","",D39*$B$9)</f>
        <v/>
      </c>
      <c r="I39" s="393">
        <f>IF(D39="","",IF(C39="Abschlagsrechnung",MAX(0,MIN(D39*$E$7,IF($E$8&gt;0,$B$6*$E$8-SUM($I$12:I38),D39*$E$7))),0))</f>
        <v/>
      </c>
      <c r="J39" s="393">
        <f>IF(D39="","",SUM(F39:I39))</f>
        <v/>
      </c>
      <c r="K39" s="393">
        <f>IF(D39="","",D39-J39)</f>
        <v/>
      </c>
      <c r="L39" s="399" t="n"/>
      <c r="M39" s="400" t="n"/>
      <c r="N39" s="401" t="n"/>
      <c r="O39" s="401" t="n"/>
      <c r="P39" s="401" t="n"/>
      <c r="Q39" s="401" t="n"/>
      <c r="R39" s="401" t="n"/>
      <c r="S39" s="393">
        <f>IF(COUNTA(O39:R39)=0,"",SUM(O39:R39))</f>
        <v/>
      </c>
      <c r="T39" s="393">
        <f>IF(N39="","",N39-IF(S39="",0,S39))</f>
        <v/>
      </c>
      <c r="U39" s="402">
        <f>IF(OR(D39="",N39=""),"",N39-D39)</f>
        <v/>
      </c>
      <c r="V39" s="393">
        <f>IF(OR(K39="",T39=""),"",T39-K39)</f>
        <v/>
      </c>
      <c r="W39" s="395" t="n"/>
    </row>
    <row r="40">
      <c r="A40" s="389">
        <f>IF(Rechnungsstand!B34="","",Rechnungsstand!A34)</f>
        <v/>
      </c>
      <c r="B40" s="390">
        <f>IF(Rechnungsstand!B34="","",Rechnungsstand!B34)</f>
        <v/>
      </c>
      <c r="C40" s="391">
        <f>IF(Rechnungsstand!B34="","",Rechnungsstand!C34)</f>
        <v/>
      </c>
      <c r="D40" s="392">
        <f>IF(Rechnungsstand!B34="","",Rechnungsstand!F34)</f>
        <v/>
      </c>
      <c r="E40" s="393">
        <f>IF(D40="","",SUM($D$12:D40))</f>
        <v/>
      </c>
      <c r="F40" s="393">
        <f>IF(D40="","",D40*$B$7)</f>
        <v/>
      </c>
      <c r="G40" s="393">
        <f>IF(D40="","",D40*$B$8)</f>
        <v/>
      </c>
      <c r="H40" s="393">
        <f>IF(D40="","",D40*$B$9)</f>
        <v/>
      </c>
      <c r="I40" s="393">
        <f>IF(D40="","",IF(C40="Abschlagsrechnung",MAX(0,MIN(D40*$E$7,IF($E$8&gt;0,$B$6*$E$8-SUM($I$12:I39),D40*$E$7))),0))</f>
        <v/>
      </c>
      <c r="J40" s="393">
        <f>IF(D40="","",SUM(F40:I40))</f>
        <v/>
      </c>
      <c r="K40" s="393">
        <f>IF(D40="","",D40-J40)</f>
        <v/>
      </c>
      <c r="L40" s="399" t="n"/>
      <c r="M40" s="400" t="n"/>
      <c r="N40" s="401" t="n"/>
      <c r="O40" s="401" t="n"/>
      <c r="P40" s="401" t="n"/>
      <c r="Q40" s="401" t="n"/>
      <c r="R40" s="401" t="n"/>
      <c r="S40" s="393">
        <f>IF(COUNTA(O40:R40)=0,"",SUM(O40:R40))</f>
        <v/>
      </c>
      <c r="T40" s="393">
        <f>IF(N40="","",N40-IF(S40="",0,S40))</f>
        <v/>
      </c>
      <c r="U40" s="402">
        <f>IF(OR(D40="",N40=""),"",N40-D40)</f>
        <v/>
      </c>
      <c r="V40" s="393">
        <f>IF(OR(K40="",T40=""),"",T40-K40)</f>
        <v/>
      </c>
      <c r="W40" s="395" t="n"/>
    </row>
    <row r="41">
      <c r="A41" s="389">
        <f>IF(Rechnungsstand!B35="","",Rechnungsstand!A35)</f>
        <v/>
      </c>
      <c r="B41" s="390">
        <f>IF(Rechnungsstand!B35="","",Rechnungsstand!B35)</f>
        <v/>
      </c>
      <c r="C41" s="391">
        <f>IF(Rechnungsstand!B35="","",Rechnungsstand!C35)</f>
        <v/>
      </c>
      <c r="D41" s="392">
        <f>IF(Rechnungsstand!B35="","",Rechnungsstand!F35)</f>
        <v/>
      </c>
      <c r="E41" s="393">
        <f>IF(D41="","",SUM($D$12:D41))</f>
        <v/>
      </c>
      <c r="F41" s="393">
        <f>IF(D41="","",D41*$B$7)</f>
        <v/>
      </c>
      <c r="G41" s="393">
        <f>IF(D41="","",D41*$B$8)</f>
        <v/>
      </c>
      <c r="H41" s="393">
        <f>IF(D41="","",D41*$B$9)</f>
        <v/>
      </c>
      <c r="I41" s="393">
        <f>IF(D41="","",IF(C41="Abschlagsrechnung",MAX(0,MIN(D41*$E$7,IF($E$8&gt;0,$B$6*$E$8-SUM($I$12:I40),D41*$E$7))),0))</f>
        <v/>
      </c>
      <c r="J41" s="393">
        <f>IF(D41="","",SUM(F41:I41))</f>
        <v/>
      </c>
      <c r="K41" s="393">
        <f>IF(D41="","",D41-J41)</f>
        <v/>
      </c>
      <c r="L41" s="399" t="n"/>
      <c r="M41" s="400" t="n"/>
      <c r="N41" s="401" t="n"/>
      <c r="O41" s="401" t="n"/>
      <c r="P41" s="401" t="n"/>
      <c r="Q41" s="401" t="n"/>
      <c r="R41" s="401" t="n"/>
      <c r="S41" s="393">
        <f>IF(COUNTA(O41:R41)=0,"",SUM(O41:R41))</f>
        <v/>
      </c>
      <c r="T41" s="393">
        <f>IF(N41="","",N41-IF(S41="",0,S41))</f>
        <v/>
      </c>
      <c r="U41" s="402">
        <f>IF(OR(D41="",N41=""),"",N41-D41)</f>
        <v/>
      </c>
      <c r="V41" s="393">
        <f>IF(OR(K41="",T41=""),"",T41-K41)</f>
        <v/>
      </c>
      <c r="W41" s="395" t="n"/>
    </row>
    <row r="42">
      <c r="A42" s="389">
        <f>IF(Rechnungsstand!B36="","",Rechnungsstand!A36)</f>
        <v/>
      </c>
      <c r="B42" s="390">
        <f>IF(Rechnungsstand!B36="","",Rechnungsstand!B36)</f>
        <v/>
      </c>
      <c r="C42" s="391">
        <f>IF(Rechnungsstand!B36="","",Rechnungsstand!C36)</f>
        <v/>
      </c>
      <c r="D42" s="392">
        <f>IF(Rechnungsstand!B36="","",Rechnungsstand!F36)</f>
        <v/>
      </c>
      <c r="E42" s="393">
        <f>IF(D42="","",SUM($D$12:D42))</f>
        <v/>
      </c>
      <c r="F42" s="393">
        <f>IF(D42="","",D42*$B$7)</f>
        <v/>
      </c>
      <c r="G42" s="393">
        <f>IF(D42="","",D42*$B$8)</f>
        <v/>
      </c>
      <c r="H42" s="393">
        <f>IF(D42="","",D42*$B$9)</f>
        <v/>
      </c>
      <c r="I42" s="393">
        <f>IF(D42="","",IF(C42="Abschlagsrechnung",MAX(0,MIN(D42*$E$7,IF($E$8&gt;0,$B$6*$E$8-SUM($I$12:I41),D42*$E$7))),0))</f>
        <v/>
      </c>
      <c r="J42" s="393">
        <f>IF(D42="","",SUM(F42:I42))</f>
        <v/>
      </c>
      <c r="K42" s="393">
        <f>IF(D42="","",D42-J42)</f>
        <v/>
      </c>
      <c r="L42" s="399" t="n"/>
      <c r="M42" s="400" t="n"/>
      <c r="N42" s="401" t="n"/>
      <c r="O42" s="401" t="n"/>
      <c r="P42" s="401" t="n"/>
      <c r="Q42" s="401" t="n"/>
      <c r="R42" s="401" t="n"/>
      <c r="S42" s="393">
        <f>IF(COUNTA(O42:R42)=0,"",SUM(O42:R42))</f>
        <v/>
      </c>
      <c r="T42" s="393">
        <f>IF(N42="","",N42-IF(S42="",0,S42))</f>
        <v/>
      </c>
      <c r="U42" s="402">
        <f>IF(OR(D42="",N42=""),"",N42-D42)</f>
        <v/>
      </c>
      <c r="V42" s="393">
        <f>IF(OR(K42="",T42=""),"",T42-K42)</f>
        <v/>
      </c>
      <c r="W42" s="395" t="n"/>
    </row>
    <row r="43">
      <c r="A43" s="389">
        <f>IF(Rechnungsstand!B37="","",Rechnungsstand!A37)</f>
        <v/>
      </c>
      <c r="B43" s="390">
        <f>IF(Rechnungsstand!B37="","",Rechnungsstand!B37)</f>
        <v/>
      </c>
      <c r="C43" s="391">
        <f>IF(Rechnungsstand!B37="","",Rechnungsstand!C37)</f>
        <v/>
      </c>
      <c r="D43" s="392">
        <f>IF(Rechnungsstand!B37="","",Rechnungsstand!F37)</f>
        <v/>
      </c>
      <c r="E43" s="393">
        <f>IF(D43="","",SUM($D$12:D43))</f>
        <v/>
      </c>
      <c r="F43" s="393">
        <f>IF(D43="","",D43*$B$7)</f>
        <v/>
      </c>
      <c r="G43" s="393">
        <f>IF(D43="","",D43*$B$8)</f>
        <v/>
      </c>
      <c r="H43" s="393">
        <f>IF(D43="","",D43*$B$9)</f>
        <v/>
      </c>
      <c r="I43" s="393">
        <f>IF(D43="","",IF(C43="Abschlagsrechnung",MAX(0,MIN(D43*$E$7,IF($E$8&gt;0,$B$6*$E$8-SUM($I$12:I42),D43*$E$7))),0))</f>
        <v/>
      </c>
      <c r="J43" s="393">
        <f>IF(D43="","",SUM(F43:I43))</f>
        <v/>
      </c>
      <c r="K43" s="393">
        <f>IF(D43="","",D43-J43)</f>
        <v/>
      </c>
      <c r="L43" s="399" t="n"/>
      <c r="M43" s="400" t="n"/>
      <c r="N43" s="401" t="n"/>
      <c r="O43" s="401" t="n"/>
      <c r="P43" s="401" t="n"/>
      <c r="Q43" s="401" t="n"/>
      <c r="R43" s="401" t="n"/>
      <c r="S43" s="393">
        <f>IF(COUNTA(O43:R43)=0,"",SUM(O43:R43))</f>
        <v/>
      </c>
      <c r="T43" s="393">
        <f>IF(N43="","",N43-IF(S43="",0,S43))</f>
        <v/>
      </c>
      <c r="U43" s="402">
        <f>IF(OR(D43="",N43=""),"",N43-D43)</f>
        <v/>
      </c>
      <c r="V43" s="393">
        <f>IF(OR(K43="",T43=""),"",T43-K43)</f>
        <v/>
      </c>
      <c r="W43" s="395" t="n"/>
    </row>
    <row r="44">
      <c r="A44" s="389">
        <f>IF(Rechnungsstand!B38="","",Rechnungsstand!A38)</f>
        <v/>
      </c>
      <c r="B44" s="390">
        <f>IF(Rechnungsstand!B38="","",Rechnungsstand!B38)</f>
        <v/>
      </c>
      <c r="C44" s="391">
        <f>IF(Rechnungsstand!B38="","",Rechnungsstand!C38)</f>
        <v/>
      </c>
      <c r="D44" s="392">
        <f>IF(Rechnungsstand!B38="","",Rechnungsstand!F38)</f>
        <v/>
      </c>
      <c r="E44" s="393">
        <f>IF(D44="","",SUM($D$12:D44))</f>
        <v/>
      </c>
      <c r="F44" s="393">
        <f>IF(D44="","",D44*$B$7)</f>
        <v/>
      </c>
      <c r="G44" s="393">
        <f>IF(D44="","",D44*$B$8)</f>
        <v/>
      </c>
      <c r="H44" s="393">
        <f>IF(D44="","",D44*$B$9)</f>
        <v/>
      </c>
      <c r="I44" s="393">
        <f>IF(D44="","",IF(C44="Abschlagsrechnung",MAX(0,MIN(D44*$E$7,IF($E$8&gt;0,$B$6*$E$8-SUM($I$12:I43),D44*$E$7))),0))</f>
        <v/>
      </c>
      <c r="J44" s="393">
        <f>IF(D44="","",SUM(F44:I44))</f>
        <v/>
      </c>
      <c r="K44" s="393">
        <f>IF(D44="","",D44-J44)</f>
        <v/>
      </c>
      <c r="L44" s="399" t="n"/>
      <c r="M44" s="400" t="n"/>
      <c r="N44" s="401" t="n"/>
      <c r="O44" s="401" t="n"/>
      <c r="P44" s="401" t="n"/>
      <c r="Q44" s="401" t="n"/>
      <c r="R44" s="401" t="n"/>
      <c r="S44" s="393">
        <f>IF(COUNTA(O44:R44)=0,"",SUM(O44:R44))</f>
        <v/>
      </c>
      <c r="T44" s="393">
        <f>IF(N44="","",N44-IF(S44="",0,S44))</f>
        <v/>
      </c>
      <c r="U44" s="402">
        <f>IF(OR(D44="",N44=""),"",N44-D44)</f>
        <v/>
      </c>
      <c r="V44" s="393">
        <f>IF(OR(K44="",T44=""),"",T44-K44)</f>
        <v/>
      </c>
      <c r="W44" s="395" t="n"/>
    </row>
    <row r="45">
      <c r="A45" s="389">
        <f>IF(Rechnungsstand!B39="","",Rechnungsstand!A39)</f>
        <v/>
      </c>
      <c r="B45" s="390">
        <f>IF(Rechnungsstand!B39="","",Rechnungsstand!B39)</f>
        <v/>
      </c>
      <c r="C45" s="391">
        <f>IF(Rechnungsstand!B39="","",Rechnungsstand!C39)</f>
        <v/>
      </c>
      <c r="D45" s="392">
        <f>IF(Rechnungsstand!B39="","",Rechnungsstand!F39)</f>
        <v/>
      </c>
      <c r="E45" s="393">
        <f>IF(D45="","",SUM($D$12:D45))</f>
        <v/>
      </c>
      <c r="F45" s="393">
        <f>IF(D45="","",D45*$B$7)</f>
        <v/>
      </c>
      <c r="G45" s="393">
        <f>IF(D45="","",D45*$B$8)</f>
        <v/>
      </c>
      <c r="H45" s="393">
        <f>IF(D45="","",D45*$B$9)</f>
        <v/>
      </c>
      <c r="I45" s="393">
        <f>IF(D45="","",IF(C45="Abschlagsrechnung",MAX(0,MIN(D45*$E$7,IF($E$8&gt;0,$B$6*$E$8-SUM($I$12:I44),D45*$E$7))),0))</f>
        <v/>
      </c>
      <c r="J45" s="393">
        <f>IF(D45="","",SUM(F45:I45))</f>
        <v/>
      </c>
      <c r="K45" s="393">
        <f>IF(D45="","",D45-J45)</f>
        <v/>
      </c>
      <c r="L45" s="399" t="n"/>
      <c r="M45" s="400" t="n"/>
      <c r="N45" s="401" t="n"/>
      <c r="O45" s="401" t="n"/>
      <c r="P45" s="401" t="n"/>
      <c r="Q45" s="401" t="n"/>
      <c r="R45" s="401" t="n"/>
      <c r="S45" s="393">
        <f>IF(COUNTA(O45:R45)=0,"",SUM(O45:R45))</f>
        <v/>
      </c>
      <c r="T45" s="393">
        <f>IF(N45="","",N45-IF(S45="",0,S45))</f>
        <v/>
      </c>
      <c r="U45" s="402">
        <f>IF(OR(D45="",N45=""),"",N45-D45)</f>
        <v/>
      </c>
      <c r="V45" s="393">
        <f>IF(OR(K45="",T45=""),"",T45-K45)</f>
        <v/>
      </c>
      <c r="W45" s="395" t="n"/>
    </row>
    <row r="46">
      <c r="A46" s="389">
        <f>IF(Rechnungsstand!B40="","",Rechnungsstand!A40)</f>
        <v/>
      </c>
      <c r="B46" s="390">
        <f>IF(Rechnungsstand!B40="","",Rechnungsstand!B40)</f>
        <v/>
      </c>
      <c r="C46" s="391">
        <f>IF(Rechnungsstand!B40="","",Rechnungsstand!C40)</f>
        <v/>
      </c>
      <c r="D46" s="392">
        <f>IF(Rechnungsstand!B40="","",Rechnungsstand!F40)</f>
        <v/>
      </c>
      <c r="E46" s="393">
        <f>IF(D46="","",SUM($D$12:D46))</f>
        <v/>
      </c>
      <c r="F46" s="393">
        <f>IF(D46="","",D46*$B$7)</f>
        <v/>
      </c>
      <c r="G46" s="393">
        <f>IF(D46="","",D46*$B$8)</f>
        <v/>
      </c>
      <c r="H46" s="393">
        <f>IF(D46="","",D46*$B$9)</f>
        <v/>
      </c>
      <c r="I46" s="393">
        <f>IF(D46="","",IF(C46="Abschlagsrechnung",MAX(0,MIN(D46*$E$7,IF($E$8&gt;0,$B$6*$E$8-SUM($I$12:I45),D46*$E$7))),0))</f>
        <v/>
      </c>
      <c r="J46" s="393">
        <f>IF(D46="","",SUM(F46:I46))</f>
        <v/>
      </c>
      <c r="K46" s="393">
        <f>IF(D46="","",D46-J46)</f>
        <v/>
      </c>
      <c r="L46" s="399" t="n"/>
      <c r="M46" s="400" t="n"/>
      <c r="N46" s="401" t="n"/>
      <c r="O46" s="401" t="n"/>
      <c r="P46" s="401" t="n"/>
      <c r="Q46" s="401" t="n"/>
      <c r="R46" s="401" t="n"/>
      <c r="S46" s="393">
        <f>IF(COUNTA(O46:R46)=0,"",SUM(O46:R46))</f>
        <v/>
      </c>
      <c r="T46" s="393">
        <f>IF(N46="","",N46-IF(S46="",0,S46))</f>
        <v/>
      </c>
      <c r="U46" s="402">
        <f>IF(OR(D46="",N46=""),"",N46-D46)</f>
        <v/>
      </c>
      <c r="V46" s="393">
        <f>IF(OR(K46="",T46=""),"",T46-K46)</f>
        <v/>
      </c>
      <c r="W46" s="395" t="n"/>
    </row>
    <row r="47">
      <c r="A47" s="389">
        <f>IF(Rechnungsstand!B41="","",Rechnungsstand!A41)</f>
        <v/>
      </c>
      <c r="B47" s="390">
        <f>IF(Rechnungsstand!B41="","",Rechnungsstand!B41)</f>
        <v/>
      </c>
      <c r="C47" s="391">
        <f>IF(Rechnungsstand!B41="","",Rechnungsstand!C41)</f>
        <v/>
      </c>
      <c r="D47" s="392">
        <f>IF(Rechnungsstand!B41="","",Rechnungsstand!F41)</f>
        <v/>
      </c>
      <c r="E47" s="393">
        <f>IF(D47="","",SUM($D$12:D47))</f>
        <v/>
      </c>
      <c r="F47" s="393">
        <f>IF(D47="","",D47*$B$7)</f>
        <v/>
      </c>
      <c r="G47" s="393">
        <f>IF(D47="","",D47*$B$8)</f>
        <v/>
      </c>
      <c r="H47" s="393">
        <f>IF(D47="","",D47*$B$9)</f>
        <v/>
      </c>
      <c r="I47" s="393">
        <f>IF(D47="","",IF(C47="Abschlagsrechnung",MAX(0,MIN(D47*$E$7,IF($E$8&gt;0,$B$6*$E$8-SUM($I$12:I46),D47*$E$7))),0))</f>
        <v/>
      </c>
      <c r="J47" s="393">
        <f>IF(D47="","",SUM(F47:I47))</f>
        <v/>
      </c>
      <c r="K47" s="393">
        <f>IF(D47="","",D47-J47)</f>
        <v/>
      </c>
      <c r="L47" s="399" t="n"/>
      <c r="M47" s="400" t="n"/>
      <c r="N47" s="401" t="n"/>
      <c r="O47" s="401" t="n"/>
      <c r="P47" s="401" t="n"/>
      <c r="Q47" s="401" t="n"/>
      <c r="R47" s="401" t="n"/>
      <c r="S47" s="393">
        <f>IF(COUNTA(O47:R47)=0,"",SUM(O47:R47))</f>
        <v/>
      </c>
      <c r="T47" s="393">
        <f>IF(N47="","",N47-IF(S47="",0,S47))</f>
        <v/>
      </c>
      <c r="U47" s="402">
        <f>IF(OR(D47="",N47=""),"",N47-D47)</f>
        <v/>
      </c>
      <c r="V47" s="393">
        <f>IF(OR(K47="",T47=""),"",T47-K47)</f>
        <v/>
      </c>
      <c r="W47" s="395" t="n"/>
    </row>
    <row r="48">
      <c r="A48" s="389">
        <f>IF(Rechnungsstand!B42="","",Rechnungsstand!A42)</f>
        <v/>
      </c>
      <c r="B48" s="390">
        <f>IF(Rechnungsstand!B42="","",Rechnungsstand!B42)</f>
        <v/>
      </c>
      <c r="C48" s="391">
        <f>IF(Rechnungsstand!B42="","",Rechnungsstand!C42)</f>
        <v/>
      </c>
      <c r="D48" s="392">
        <f>IF(Rechnungsstand!B42="","",Rechnungsstand!F42)</f>
        <v/>
      </c>
      <c r="E48" s="393">
        <f>IF(D48="","",SUM($D$12:D48))</f>
        <v/>
      </c>
      <c r="F48" s="393">
        <f>IF(D48="","",D48*$B$7)</f>
        <v/>
      </c>
      <c r="G48" s="393">
        <f>IF(D48="","",D48*$B$8)</f>
        <v/>
      </c>
      <c r="H48" s="393">
        <f>IF(D48="","",D48*$B$9)</f>
        <v/>
      </c>
      <c r="I48" s="393">
        <f>IF(D48="","",IF(C48="Abschlagsrechnung",MAX(0,MIN(D48*$E$7,IF($E$8&gt;0,$B$6*$E$8-SUM($I$12:I47),D48*$E$7))),0))</f>
        <v/>
      </c>
      <c r="J48" s="393">
        <f>IF(D48="","",SUM(F48:I48))</f>
        <v/>
      </c>
      <c r="K48" s="393">
        <f>IF(D48="","",D48-J48)</f>
        <v/>
      </c>
      <c r="L48" s="399" t="n"/>
      <c r="M48" s="400" t="n"/>
      <c r="N48" s="401" t="n"/>
      <c r="O48" s="401" t="n"/>
      <c r="P48" s="401" t="n"/>
      <c r="Q48" s="401" t="n"/>
      <c r="R48" s="401" t="n"/>
      <c r="S48" s="393">
        <f>IF(COUNTA(O48:R48)=0,"",SUM(O48:R48))</f>
        <v/>
      </c>
      <c r="T48" s="393">
        <f>IF(N48="","",N48-IF(S48="",0,S48))</f>
        <v/>
      </c>
      <c r="U48" s="402">
        <f>IF(OR(D48="",N48=""),"",N48-D48)</f>
        <v/>
      </c>
      <c r="V48" s="393">
        <f>IF(OR(K48="",T48=""),"",T48-K48)</f>
        <v/>
      </c>
      <c r="W48" s="395" t="n"/>
    </row>
    <row r="49">
      <c r="A49" s="389">
        <f>IF(Rechnungsstand!B43="","",Rechnungsstand!A43)</f>
        <v/>
      </c>
      <c r="B49" s="390">
        <f>IF(Rechnungsstand!B43="","",Rechnungsstand!B43)</f>
        <v/>
      </c>
      <c r="C49" s="391">
        <f>IF(Rechnungsstand!B43="","",Rechnungsstand!C43)</f>
        <v/>
      </c>
      <c r="D49" s="392">
        <f>IF(Rechnungsstand!B43="","",Rechnungsstand!F43)</f>
        <v/>
      </c>
      <c r="E49" s="393">
        <f>IF(D49="","",SUM($D$12:D49))</f>
        <v/>
      </c>
      <c r="F49" s="393">
        <f>IF(D49="","",D49*$B$7)</f>
        <v/>
      </c>
      <c r="G49" s="393">
        <f>IF(D49="","",D49*$B$8)</f>
        <v/>
      </c>
      <c r="H49" s="393">
        <f>IF(D49="","",D49*$B$9)</f>
        <v/>
      </c>
      <c r="I49" s="393">
        <f>IF(D49="","",IF(C49="Abschlagsrechnung",MAX(0,MIN(D49*$E$7,IF($E$8&gt;0,$B$6*$E$8-SUM($I$12:I48),D49*$E$7))),0))</f>
        <v/>
      </c>
      <c r="J49" s="393">
        <f>IF(D49="","",SUM(F49:I49))</f>
        <v/>
      </c>
      <c r="K49" s="393">
        <f>IF(D49="","",D49-J49)</f>
        <v/>
      </c>
      <c r="L49" s="399" t="n"/>
      <c r="M49" s="400" t="n"/>
      <c r="N49" s="401" t="n"/>
      <c r="O49" s="401" t="n"/>
      <c r="P49" s="401" t="n"/>
      <c r="Q49" s="401" t="n"/>
      <c r="R49" s="401" t="n"/>
      <c r="S49" s="393">
        <f>IF(COUNTA(O49:R49)=0,"",SUM(O49:R49))</f>
        <v/>
      </c>
      <c r="T49" s="393">
        <f>IF(N49="","",N49-IF(S49="",0,S49))</f>
        <v/>
      </c>
      <c r="U49" s="402">
        <f>IF(OR(D49="",N49=""),"",N49-D49)</f>
        <v/>
      </c>
      <c r="V49" s="393">
        <f>IF(OR(K49="",T49=""),"",T49-K49)</f>
        <v/>
      </c>
      <c r="W49" s="395" t="n"/>
    </row>
    <row r="50">
      <c r="A50" s="389">
        <f>IF(Rechnungsstand!B44="","",Rechnungsstand!A44)</f>
        <v/>
      </c>
      <c r="B50" s="390">
        <f>IF(Rechnungsstand!B44="","",Rechnungsstand!B44)</f>
        <v/>
      </c>
      <c r="C50" s="391">
        <f>IF(Rechnungsstand!B44="","",Rechnungsstand!C44)</f>
        <v/>
      </c>
      <c r="D50" s="392">
        <f>IF(Rechnungsstand!B44="","",Rechnungsstand!F44)</f>
        <v/>
      </c>
      <c r="E50" s="393">
        <f>IF(D50="","",SUM($D$12:D50))</f>
        <v/>
      </c>
      <c r="F50" s="393">
        <f>IF(D50="","",D50*$B$7)</f>
        <v/>
      </c>
      <c r="G50" s="393">
        <f>IF(D50="","",D50*$B$8)</f>
        <v/>
      </c>
      <c r="H50" s="393">
        <f>IF(D50="","",D50*$B$9)</f>
        <v/>
      </c>
      <c r="I50" s="393">
        <f>IF(D50="","",IF(C50="Abschlagsrechnung",MAX(0,MIN(D50*$E$7,IF($E$8&gt;0,$B$6*$E$8-SUM($I$12:I49),D50*$E$7))),0))</f>
        <v/>
      </c>
      <c r="J50" s="393">
        <f>IF(D50="","",SUM(F50:I50))</f>
        <v/>
      </c>
      <c r="K50" s="393">
        <f>IF(D50="","",D50-J50)</f>
        <v/>
      </c>
      <c r="L50" s="399" t="n"/>
      <c r="M50" s="400" t="n"/>
      <c r="N50" s="401" t="n"/>
      <c r="O50" s="401" t="n"/>
      <c r="P50" s="401" t="n"/>
      <c r="Q50" s="401" t="n"/>
      <c r="R50" s="401" t="n"/>
      <c r="S50" s="393">
        <f>IF(COUNTA(O50:R50)=0,"",SUM(O50:R50))</f>
        <v/>
      </c>
      <c r="T50" s="393">
        <f>IF(N50="","",N50-IF(S50="",0,S50))</f>
        <v/>
      </c>
      <c r="U50" s="402">
        <f>IF(OR(D50="",N50=""),"",N50-D50)</f>
        <v/>
      </c>
      <c r="V50" s="393">
        <f>IF(OR(K50="",T50=""),"",T50-K50)</f>
        <v/>
      </c>
      <c r="W50" s="395" t="n"/>
    </row>
    <row r="51">
      <c r="A51" s="389">
        <f>IF(Rechnungsstand!B45="","",Rechnungsstand!A45)</f>
        <v/>
      </c>
      <c r="B51" s="390">
        <f>IF(Rechnungsstand!B45="","",Rechnungsstand!B45)</f>
        <v/>
      </c>
      <c r="C51" s="391">
        <f>IF(Rechnungsstand!B45="","",Rechnungsstand!C45)</f>
        <v/>
      </c>
      <c r="D51" s="392">
        <f>IF(Rechnungsstand!B45="","",Rechnungsstand!F45)</f>
        <v/>
      </c>
      <c r="E51" s="393">
        <f>IF(D51="","",SUM($D$12:D51))</f>
        <v/>
      </c>
      <c r="F51" s="393">
        <f>IF(D51="","",D51*$B$7)</f>
        <v/>
      </c>
      <c r="G51" s="393">
        <f>IF(D51="","",D51*$B$8)</f>
        <v/>
      </c>
      <c r="H51" s="393">
        <f>IF(D51="","",D51*$B$9)</f>
        <v/>
      </c>
      <c r="I51" s="393">
        <f>IF(D51="","",IF(C51="Abschlagsrechnung",MAX(0,MIN(D51*$E$7,IF($E$8&gt;0,$B$6*$E$8-SUM($I$12:I50),D51*$E$7))),0))</f>
        <v/>
      </c>
      <c r="J51" s="393">
        <f>IF(D51="","",SUM(F51:I51))</f>
        <v/>
      </c>
      <c r="K51" s="393">
        <f>IF(D51="","",D51-J51)</f>
        <v/>
      </c>
      <c r="L51" s="399" t="n"/>
      <c r="M51" s="400" t="n"/>
      <c r="N51" s="401" t="n"/>
      <c r="O51" s="401" t="n"/>
      <c r="P51" s="401" t="n"/>
      <c r="Q51" s="401" t="n"/>
      <c r="R51" s="401" t="n"/>
      <c r="S51" s="393">
        <f>IF(COUNTA(O51:R51)=0,"",SUM(O51:R51))</f>
        <v/>
      </c>
      <c r="T51" s="393">
        <f>IF(N51="","",N51-IF(S51="",0,S51))</f>
        <v/>
      </c>
      <c r="U51" s="402">
        <f>IF(OR(D51="",N51=""),"",N51-D51)</f>
        <v/>
      </c>
      <c r="V51" s="393">
        <f>IF(OR(K51="",T51=""),"",T51-K51)</f>
        <v/>
      </c>
      <c r="W51" s="395" t="n"/>
    </row>
    <row r="52">
      <c r="A52" s="389">
        <f>IF(Rechnungsstand!B46="","",Rechnungsstand!A46)</f>
        <v/>
      </c>
      <c r="B52" s="390">
        <f>IF(Rechnungsstand!B46="","",Rechnungsstand!B46)</f>
        <v/>
      </c>
      <c r="C52" s="391">
        <f>IF(Rechnungsstand!B46="","",Rechnungsstand!C46)</f>
        <v/>
      </c>
      <c r="D52" s="392">
        <f>IF(Rechnungsstand!B46="","",Rechnungsstand!F46)</f>
        <v/>
      </c>
      <c r="E52" s="393">
        <f>IF(D52="","",SUM($D$12:D52))</f>
        <v/>
      </c>
      <c r="F52" s="393">
        <f>IF(D52="","",D52*$B$7)</f>
        <v/>
      </c>
      <c r="G52" s="393">
        <f>IF(D52="","",D52*$B$8)</f>
        <v/>
      </c>
      <c r="H52" s="393">
        <f>IF(D52="","",D52*$B$9)</f>
        <v/>
      </c>
      <c r="I52" s="393">
        <f>IF(D52="","",IF(C52="Abschlagsrechnung",MAX(0,MIN(D52*$E$7,IF($E$8&gt;0,$B$6*$E$8-SUM($I$12:I51),D52*$E$7))),0))</f>
        <v/>
      </c>
      <c r="J52" s="393">
        <f>IF(D52="","",SUM(F52:I52))</f>
        <v/>
      </c>
      <c r="K52" s="393">
        <f>IF(D52="","",D52-J52)</f>
        <v/>
      </c>
      <c r="L52" s="399" t="n"/>
      <c r="M52" s="400" t="n"/>
      <c r="N52" s="401" t="n"/>
      <c r="O52" s="401" t="n"/>
      <c r="P52" s="401" t="n"/>
      <c r="Q52" s="401" t="n"/>
      <c r="R52" s="401" t="n"/>
      <c r="S52" s="393">
        <f>IF(COUNTA(O52:R52)=0,"",SUM(O52:R52))</f>
        <v/>
      </c>
      <c r="T52" s="393">
        <f>IF(N52="","",N52-IF(S52="",0,S52))</f>
        <v/>
      </c>
      <c r="U52" s="402">
        <f>IF(OR(D52="",N52=""),"",N52-D52)</f>
        <v/>
      </c>
      <c r="V52" s="393">
        <f>IF(OR(K52="",T52=""),"",T52-K52)</f>
        <v/>
      </c>
      <c r="W52" s="395" t="n"/>
    </row>
    <row r="53">
      <c r="A53" s="389">
        <f>IF(Rechnungsstand!B47="","",Rechnungsstand!A47)</f>
        <v/>
      </c>
      <c r="B53" s="390">
        <f>IF(Rechnungsstand!B47="","",Rechnungsstand!B47)</f>
        <v/>
      </c>
      <c r="C53" s="391">
        <f>IF(Rechnungsstand!B47="","",Rechnungsstand!C47)</f>
        <v/>
      </c>
      <c r="D53" s="392">
        <f>IF(Rechnungsstand!B47="","",Rechnungsstand!F47)</f>
        <v/>
      </c>
      <c r="E53" s="393">
        <f>IF(D53="","",SUM($D$12:D53))</f>
        <v/>
      </c>
      <c r="F53" s="393">
        <f>IF(D53="","",D53*$B$7)</f>
        <v/>
      </c>
      <c r="G53" s="393">
        <f>IF(D53="","",D53*$B$8)</f>
        <v/>
      </c>
      <c r="H53" s="393">
        <f>IF(D53="","",D53*$B$9)</f>
        <v/>
      </c>
      <c r="I53" s="393">
        <f>IF(D53="","",IF(C53="Abschlagsrechnung",MAX(0,MIN(D53*$E$7,IF($E$8&gt;0,$B$6*$E$8-SUM($I$12:I52),D53*$E$7))),0))</f>
        <v/>
      </c>
      <c r="J53" s="393">
        <f>IF(D53="","",SUM(F53:I53))</f>
        <v/>
      </c>
      <c r="K53" s="393">
        <f>IF(D53="","",D53-J53)</f>
        <v/>
      </c>
      <c r="L53" s="399" t="n"/>
      <c r="M53" s="400" t="n"/>
      <c r="N53" s="401" t="n"/>
      <c r="O53" s="401" t="n"/>
      <c r="P53" s="401" t="n"/>
      <c r="Q53" s="401" t="n"/>
      <c r="R53" s="401" t="n"/>
      <c r="S53" s="393">
        <f>IF(COUNTA(O53:R53)=0,"",SUM(O53:R53))</f>
        <v/>
      </c>
      <c r="T53" s="393">
        <f>IF(N53="","",N53-IF(S53="",0,S53))</f>
        <v/>
      </c>
      <c r="U53" s="402">
        <f>IF(OR(D53="",N53=""),"",N53-D53)</f>
        <v/>
      </c>
      <c r="V53" s="393">
        <f>IF(OR(K53="",T53=""),"",T53-K53)</f>
        <v/>
      </c>
      <c r="W53" s="395" t="n"/>
    </row>
    <row r="54">
      <c r="A54" s="389">
        <f>IF(Rechnungsstand!B48="","",Rechnungsstand!A48)</f>
        <v/>
      </c>
      <c r="B54" s="390">
        <f>IF(Rechnungsstand!B48="","",Rechnungsstand!B48)</f>
        <v/>
      </c>
      <c r="C54" s="391">
        <f>IF(Rechnungsstand!B48="","",Rechnungsstand!C48)</f>
        <v/>
      </c>
      <c r="D54" s="392">
        <f>IF(Rechnungsstand!B48="","",Rechnungsstand!F48)</f>
        <v/>
      </c>
      <c r="E54" s="393">
        <f>IF(D54="","",SUM($D$12:D54))</f>
        <v/>
      </c>
      <c r="F54" s="393">
        <f>IF(D54="","",D54*$B$7)</f>
        <v/>
      </c>
      <c r="G54" s="393">
        <f>IF(D54="","",D54*$B$8)</f>
        <v/>
      </c>
      <c r="H54" s="393">
        <f>IF(D54="","",D54*$B$9)</f>
        <v/>
      </c>
      <c r="I54" s="393">
        <f>IF(D54="","",IF(C54="Abschlagsrechnung",MAX(0,MIN(D54*$E$7,IF($E$8&gt;0,$B$6*$E$8-SUM($I$12:I53),D54*$E$7))),0))</f>
        <v/>
      </c>
      <c r="J54" s="393">
        <f>IF(D54="","",SUM(F54:I54))</f>
        <v/>
      </c>
      <c r="K54" s="393">
        <f>IF(D54="","",D54-J54)</f>
        <v/>
      </c>
      <c r="L54" s="399" t="n"/>
      <c r="M54" s="400" t="n"/>
      <c r="N54" s="401" t="n"/>
      <c r="O54" s="401" t="n"/>
      <c r="P54" s="401" t="n"/>
      <c r="Q54" s="401" t="n"/>
      <c r="R54" s="401" t="n"/>
      <c r="S54" s="393">
        <f>IF(COUNTA(O54:R54)=0,"",SUM(O54:R54))</f>
        <v/>
      </c>
      <c r="T54" s="393">
        <f>IF(N54="","",N54-IF(S54="",0,S54))</f>
        <v/>
      </c>
      <c r="U54" s="402">
        <f>IF(OR(D54="",N54=""),"",N54-D54)</f>
        <v/>
      </c>
      <c r="V54" s="393">
        <f>IF(OR(K54="",T54=""),"",T54-K54)</f>
        <v/>
      </c>
      <c r="W54" s="395" t="n"/>
    </row>
    <row r="55">
      <c r="A55" s="389">
        <f>IF(Rechnungsstand!B49="","",Rechnungsstand!A49)</f>
        <v/>
      </c>
      <c r="B55" s="390">
        <f>IF(Rechnungsstand!B49="","",Rechnungsstand!B49)</f>
        <v/>
      </c>
      <c r="C55" s="391">
        <f>IF(Rechnungsstand!B49="","",Rechnungsstand!C49)</f>
        <v/>
      </c>
      <c r="D55" s="392">
        <f>IF(Rechnungsstand!B49="","",Rechnungsstand!F49)</f>
        <v/>
      </c>
      <c r="E55" s="393">
        <f>IF(D55="","",SUM($D$12:D55))</f>
        <v/>
      </c>
      <c r="F55" s="393">
        <f>IF(D55="","",D55*$B$7)</f>
        <v/>
      </c>
      <c r="G55" s="393">
        <f>IF(D55="","",D55*$B$8)</f>
        <v/>
      </c>
      <c r="H55" s="393">
        <f>IF(D55="","",D55*$B$9)</f>
        <v/>
      </c>
      <c r="I55" s="393">
        <f>IF(D55="","",IF(C55="Abschlagsrechnung",MAX(0,MIN(D55*$E$7,IF($E$8&gt;0,$B$6*$E$8-SUM($I$12:I54),D55*$E$7))),0))</f>
        <v/>
      </c>
      <c r="J55" s="393">
        <f>IF(D55="","",SUM(F55:I55))</f>
        <v/>
      </c>
      <c r="K55" s="393">
        <f>IF(D55="","",D55-J55)</f>
        <v/>
      </c>
      <c r="L55" s="399" t="n"/>
      <c r="M55" s="400" t="n"/>
      <c r="N55" s="401" t="n"/>
      <c r="O55" s="401" t="n"/>
      <c r="P55" s="401" t="n"/>
      <c r="Q55" s="401" t="n"/>
      <c r="R55" s="401" t="n"/>
      <c r="S55" s="393">
        <f>IF(COUNTA(O55:R55)=0,"",SUM(O55:R55))</f>
        <v/>
      </c>
      <c r="T55" s="393">
        <f>IF(N55="","",N55-IF(S55="",0,S55))</f>
        <v/>
      </c>
      <c r="U55" s="402">
        <f>IF(OR(D55="",N55=""),"",N55-D55)</f>
        <v/>
      </c>
      <c r="V55" s="393">
        <f>IF(OR(K55="",T55=""),"",T55-K55)</f>
        <v/>
      </c>
      <c r="W55" s="395" t="n"/>
    </row>
    <row r="56">
      <c r="A56" s="389">
        <f>IF(Rechnungsstand!B50="","",Rechnungsstand!A50)</f>
        <v/>
      </c>
      <c r="B56" s="390">
        <f>IF(Rechnungsstand!B50="","",Rechnungsstand!B50)</f>
        <v/>
      </c>
      <c r="C56" s="391">
        <f>IF(Rechnungsstand!B50="","",Rechnungsstand!C50)</f>
        <v/>
      </c>
      <c r="D56" s="392">
        <f>IF(Rechnungsstand!B50="","",Rechnungsstand!F50)</f>
        <v/>
      </c>
      <c r="E56" s="393">
        <f>IF(D56="","",SUM($D$12:D56))</f>
        <v/>
      </c>
      <c r="F56" s="393">
        <f>IF(D56="","",D56*$B$7)</f>
        <v/>
      </c>
      <c r="G56" s="393">
        <f>IF(D56="","",D56*$B$8)</f>
        <v/>
      </c>
      <c r="H56" s="393">
        <f>IF(D56="","",D56*$B$9)</f>
        <v/>
      </c>
      <c r="I56" s="393">
        <f>IF(D56="","",IF(C56="Abschlagsrechnung",MAX(0,MIN(D56*$E$7,IF($E$8&gt;0,$B$6*$E$8-SUM($I$12:I55),D56*$E$7))),0))</f>
        <v/>
      </c>
      <c r="J56" s="393">
        <f>IF(D56="","",SUM(F56:I56))</f>
        <v/>
      </c>
      <c r="K56" s="393">
        <f>IF(D56="","",D56-J56)</f>
        <v/>
      </c>
      <c r="L56" s="399" t="n"/>
      <c r="M56" s="400" t="n"/>
      <c r="N56" s="401" t="n"/>
      <c r="O56" s="401" t="n"/>
      <c r="P56" s="401" t="n"/>
      <c r="Q56" s="401" t="n"/>
      <c r="R56" s="401" t="n"/>
      <c r="S56" s="393">
        <f>IF(COUNTA(O56:R56)=0,"",SUM(O56:R56))</f>
        <v/>
      </c>
      <c r="T56" s="393">
        <f>IF(N56="","",N56-IF(S56="",0,S56))</f>
        <v/>
      </c>
      <c r="U56" s="402">
        <f>IF(OR(D56="",N56=""),"",N56-D56)</f>
        <v/>
      </c>
      <c r="V56" s="393">
        <f>IF(OR(K56="",T56=""),"",T56-K56)</f>
        <v/>
      </c>
      <c r="W56" s="395" t="n"/>
    </row>
    <row r="57">
      <c r="A57" s="389">
        <f>IF(Rechnungsstand!B51="","",Rechnungsstand!A51)</f>
        <v/>
      </c>
      <c r="B57" s="390">
        <f>IF(Rechnungsstand!B51="","",Rechnungsstand!B51)</f>
        <v/>
      </c>
      <c r="C57" s="391">
        <f>IF(Rechnungsstand!B51="","",Rechnungsstand!C51)</f>
        <v/>
      </c>
      <c r="D57" s="392">
        <f>IF(Rechnungsstand!B51="","",Rechnungsstand!F51)</f>
        <v/>
      </c>
      <c r="E57" s="393">
        <f>IF(D57="","",SUM($D$12:D57))</f>
        <v/>
      </c>
      <c r="F57" s="393">
        <f>IF(D57="","",D57*$B$7)</f>
        <v/>
      </c>
      <c r="G57" s="393">
        <f>IF(D57="","",D57*$B$8)</f>
        <v/>
      </c>
      <c r="H57" s="393">
        <f>IF(D57="","",D57*$B$9)</f>
        <v/>
      </c>
      <c r="I57" s="393">
        <f>IF(D57="","",IF(C57="Abschlagsrechnung",MAX(0,MIN(D57*$E$7,IF($E$8&gt;0,$B$6*$E$8-SUM($I$12:I56),D57*$E$7))),0))</f>
        <v/>
      </c>
      <c r="J57" s="393">
        <f>IF(D57="","",SUM(F57:I57))</f>
        <v/>
      </c>
      <c r="K57" s="393">
        <f>IF(D57="","",D57-J57)</f>
        <v/>
      </c>
      <c r="L57" s="399" t="n"/>
      <c r="M57" s="400" t="n"/>
      <c r="N57" s="401" t="n"/>
      <c r="O57" s="401" t="n"/>
      <c r="P57" s="401" t="n"/>
      <c r="Q57" s="401" t="n"/>
      <c r="R57" s="401" t="n"/>
      <c r="S57" s="393">
        <f>IF(COUNTA(O57:R57)=0,"",SUM(O57:R57))</f>
        <v/>
      </c>
      <c r="T57" s="393">
        <f>IF(N57="","",N57-IF(S57="",0,S57))</f>
        <v/>
      </c>
      <c r="U57" s="402">
        <f>IF(OR(D57="",N57=""),"",N57-D57)</f>
        <v/>
      </c>
      <c r="V57" s="393">
        <f>IF(OR(K57="",T57=""),"",T57-K57)</f>
        <v/>
      </c>
      <c r="W57" s="395" t="n"/>
    </row>
    <row r="58">
      <c r="A58" s="389">
        <f>IF(Rechnungsstand!B52="","",Rechnungsstand!A52)</f>
        <v/>
      </c>
      <c r="B58" s="390">
        <f>IF(Rechnungsstand!B52="","",Rechnungsstand!B52)</f>
        <v/>
      </c>
      <c r="C58" s="391">
        <f>IF(Rechnungsstand!B52="","",Rechnungsstand!C52)</f>
        <v/>
      </c>
      <c r="D58" s="392">
        <f>IF(Rechnungsstand!B52="","",Rechnungsstand!F52)</f>
        <v/>
      </c>
      <c r="E58" s="393">
        <f>IF(D58="","",SUM($D$12:D58))</f>
        <v/>
      </c>
      <c r="F58" s="393">
        <f>IF(D58="","",D58*$B$7)</f>
        <v/>
      </c>
      <c r="G58" s="393">
        <f>IF(D58="","",D58*$B$8)</f>
        <v/>
      </c>
      <c r="H58" s="393">
        <f>IF(D58="","",D58*$B$9)</f>
        <v/>
      </c>
      <c r="I58" s="393">
        <f>IF(D58="","",IF(C58="Abschlagsrechnung",MAX(0,MIN(D58*$E$7,IF($E$8&gt;0,$B$6*$E$8-SUM($I$12:I57),D58*$E$7))),0))</f>
        <v/>
      </c>
      <c r="J58" s="393">
        <f>IF(D58="","",SUM(F58:I58))</f>
        <v/>
      </c>
      <c r="K58" s="393">
        <f>IF(D58="","",D58-J58)</f>
        <v/>
      </c>
      <c r="L58" s="399" t="n"/>
      <c r="M58" s="400" t="n"/>
      <c r="N58" s="401" t="n"/>
      <c r="O58" s="401" t="n"/>
      <c r="P58" s="401" t="n"/>
      <c r="Q58" s="401" t="n"/>
      <c r="R58" s="401" t="n"/>
      <c r="S58" s="393">
        <f>IF(COUNTA(O58:R58)=0,"",SUM(O58:R58))</f>
        <v/>
      </c>
      <c r="T58" s="393">
        <f>IF(N58="","",N58-IF(S58="",0,S58))</f>
        <v/>
      </c>
      <c r="U58" s="402">
        <f>IF(OR(D58="",N58=""),"",N58-D58)</f>
        <v/>
      </c>
      <c r="V58" s="393">
        <f>IF(OR(K58="",T58=""),"",T58-K58)</f>
        <v/>
      </c>
      <c r="W58" s="395" t="n"/>
    </row>
    <row r="59">
      <c r="A59" s="389">
        <f>IF(Rechnungsstand!B53="","",Rechnungsstand!A53)</f>
        <v/>
      </c>
      <c r="B59" s="390">
        <f>IF(Rechnungsstand!B53="","",Rechnungsstand!B53)</f>
        <v/>
      </c>
      <c r="C59" s="391">
        <f>IF(Rechnungsstand!B53="","",Rechnungsstand!C53)</f>
        <v/>
      </c>
      <c r="D59" s="392">
        <f>IF(Rechnungsstand!B53="","",Rechnungsstand!F53)</f>
        <v/>
      </c>
      <c r="E59" s="393">
        <f>IF(D59="","",SUM($D$12:D59))</f>
        <v/>
      </c>
      <c r="F59" s="393">
        <f>IF(D59="","",D59*$B$7)</f>
        <v/>
      </c>
      <c r="G59" s="393">
        <f>IF(D59="","",D59*$B$8)</f>
        <v/>
      </c>
      <c r="H59" s="393">
        <f>IF(D59="","",D59*$B$9)</f>
        <v/>
      </c>
      <c r="I59" s="393">
        <f>IF(D59="","",IF(C59="Abschlagsrechnung",MAX(0,MIN(D59*$E$7,IF($E$8&gt;0,$B$6*$E$8-SUM($I$12:I58),D59*$E$7))),0))</f>
        <v/>
      </c>
      <c r="J59" s="393">
        <f>IF(D59="","",SUM(F59:I59))</f>
        <v/>
      </c>
      <c r="K59" s="393">
        <f>IF(D59="","",D59-J59)</f>
        <v/>
      </c>
      <c r="L59" s="399" t="n"/>
      <c r="M59" s="400" t="n"/>
      <c r="N59" s="401" t="n"/>
      <c r="O59" s="401" t="n"/>
      <c r="P59" s="401" t="n"/>
      <c r="Q59" s="401" t="n"/>
      <c r="R59" s="401" t="n"/>
      <c r="S59" s="393">
        <f>IF(COUNTA(O59:R59)=0,"",SUM(O59:R59))</f>
        <v/>
      </c>
      <c r="T59" s="393">
        <f>IF(N59="","",N59-IF(S59="",0,S59))</f>
        <v/>
      </c>
      <c r="U59" s="402">
        <f>IF(OR(D59="",N59=""),"",N59-D59)</f>
        <v/>
      </c>
      <c r="V59" s="393">
        <f>IF(OR(K59="",T59=""),"",T59-K59)</f>
        <v/>
      </c>
      <c r="W59" s="395" t="n"/>
    </row>
    <row r="60">
      <c r="A60" s="389">
        <f>IF(Rechnungsstand!B54="","",Rechnungsstand!A54)</f>
        <v/>
      </c>
      <c r="B60" s="390">
        <f>IF(Rechnungsstand!B54="","",Rechnungsstand!B54)</f>
        <v/>
      </c>
      <c r="C60" s="391">
        <f>IF(Rechnungsstand!B54="","",Rechnungsstand!C54)</f>
        <v/>
      </c>
      <c r="D60" s="392">
        <f>IF(Rechnungsstand!B54="","",Rechnungsstand!F54)</f>
        <v/>
      </c>
      <c r="E60" s="393">
        <f>IF(D60="","",SUM($D$12:D60))</f>
        <v/>
      </c>
      <c r="F60" s="393">
        <f>IF(D60="","",D60*$B$7)</f>
        <v/>
      </c>
      <c r="G60" s="393">
        <f>IF(D60="","",D60*$B$8)</f>
        <v/>
      </c>
      <c r="H60" s="393">
        <f>IF(D60="","",D60*$B$9)</f>
        <v/>
      </c>
      <c r="I60" s="393">
        <f>IF(D60="","",IF(C60="Abschlagsrechnung",MAX(0,MIN(D60*$E$7,IF($E$8&gt;0,$B$6*$E$8-SUM($I$12:I59),D60*$E$7))),0))</f>
        <v/>
      </c>
      <c r="J60" s="393">
        <f>IF(D60="","",SUM(F60:I60))</f>
        <v/>
      </c>
      <c r="K60" s="393">
        <f>IF(D60="","",D60-J60)</f>
        <v/>
      </c>
      <c r="L60" s="399" t="n"/>
      <c r="M60" s="400" t="n"/>
      <c r="N60" s="401" t="n"/>
      <c r="O60" s="401" t="n"/>
      <c r="P60" s="401" t="n"/>
      <c r="Q60" s="401" t="n"/>
      <c r="R60" s="401" t="n"/>
      <c r="S60" s="393">
        <f>IF(COUNTA(O60:R60)=0,"",SUM(O60:R60))</f>
        <v/>
      </c>
      <c r="T60" s="393">
        <f>IF(N60="","",N60-IF(S60="",0,S60))</f>
        <v/>
      </c>
      <c r="U60" s="402">
        <f>IF(OR(D60="",N60=""),"",N60-D60)</f>
        <v/>
      </c>
      <c r="V60" s="393">
        <f>IF(OR(K60="",T60=""),"",T60-K60)</f>
        <v/>
      </c>
      <c r="W60" s="395" t="n"/>
    </row>
    <row r="61">
      <c r="A61" s="389">
        <f>IF(Rechnungsstand!B55="","",Rechnungsstand!A55)</f>
        <v/>
      </c>
      <c r="B61" s="390">
        <f>IF(Rechnungsstand!B55="","",Rechnungsstand!B55)</f>
        <v/>
      </c>
      <c r="C61" s="391">
        <f>IF(Rechnungsstand!B55="","",Rechnungsstand!C55)</f>
        <v/>
      </c>
      <c r="D61" s="392">
        <f>IF(Rechnungsstand!B55="","",Rechnungsstand!F55)</f>
        <v/>
      </c>
      <c r="E61" s="393">
        <f>IF(D61="","",SUM($D$12:D61))</f>
        <v/>
      </c>
      <c r="F61" s="393">
        <f>IF(D61="","",D61*$B$7)</f>
        <v/>
      </c>
      <c r="G61" s="393">
        <f>IF(D61="","",D61*$B$8)</f>
        <v/>
      </c>
      <c r="H61" s="393">
        <f>IF(D61="","",D61*$B$9)</f>
        <v/>
      </c>
      <c r="I61" s="393">
        <f>IF(D61="","",IF(C61="Abschlagsrechnung",MAX(0,MIN(D61*$E$7,IF($E$8&gt;0,$B$6*$E$8-SUM($I$12:I60),D61*$E$7))),0))</f>
        <v/>
      </c>
      <c r="J61" s="393">
        <f>IF(D61="","",SUM(F61:I61))</f>
        <v/>
      </c>
      <c r="K61" s="393">
        <f>IF(D61="","",D61-J61)</f>
        <v/>
      </c>
      <c r="L61" s="399" t="n"/>
      <c r="M61" s="400" t="n"/>
      <c r="N61" s="401" t="n"/>
      <c r="O61" s="401" t="n"/>
      <c r="P61" s="401" t="n"/>
      <c r="Q61" s="401" t="n"/>
      <c r="R61" s="401" t="n"/>
      <c r="S61" s="393">
        <f>IF(COUNTA(O61:R61)=0,"",SUM(O61:R61))</f>
        <v/>
      </c>
      <c r="T61" s="393">
        <f>IF(N61="","",N61-IF(S61="",0,S61))</f>
        <v/>
      </c>
      <c r="U61" s="402">
        <f>IF(OR(D61="",N61=""),"",N61-D61)</f>
        <v/>
      </c>
      <c r="V61" s="393">
        <f>IF(OR(K61="",T61=""),"",T61-K61)</f>
        <v/>
      </c>
      <c r="W61" s="395" t="n"/>
    </row>
    <row r="62">
      <c r="A62" s="389">
        <f>IF(Rechnungsstand!B56="","",Rechnungsstand!A56)</f>
        <v/>
      </c>
      <c r="B62" s="390">
        <f>IF(Rechnungsstand!B56="","",Rechnungsstand!B56)</f>
        <v/>
      </c>
      <c r="C62" s="391">
        <f>IF(Rechnungsstand!B56="","",Rechnungsstand!C56)</f>
        <v/>
      </c>
      <c r="D62" s="392">
        <f>IF(Rechnungsstand!B56="","",Rechnungsstand!F56)</f>
        <v/>
      </c>
      <c r="E62" s="393">
        <f>IF(D62="","",SUM($D$12:D62))</f>
        <v/>
      </c>
      <c r="F62" s="393">
        <f>IF(D62="","",D62*$B$7)</f>
        <v/>
      </c>
      <c r="G62" s="393">
        <f>IF(D62="","",D62*$B$8)</f>
        <v/>
      </c>
      <c r="H62" s="393">
        <f>IF(D62="","",D62*$B$9)</f>
        <v/>
      </c>
      <c r="I62" s="393">
        <f>IF(D62="","",IF(C62="Abschlagsrechnung",MAX(0,MIN(D62*$E$7,IF($E$8&gt;0,$B$6*$E$8-SUM($I$12:I61),D62*$E$7))),0))</f>
        <v/>
      </c>
      <c r="J62" s="393">
        <f>IF(D62="","",SUM(F62:I62))</f>
        <v/>
      </c>
      <c r="K62" s="393">
        <f>IF(D62="","",D62-J62)</f>
        <v/>
      </c>
      <c r="L62" s="399" t="n"/>
      <c r="M62" s="400" t="n"/>
      <c r="N62" s="401" t="n"/>
      <c r="O62" s="401" t="n"/>
      <c r="P62" s="401" t="n"/>
      <c r="Q62" s="401" t="n"/>
      <c r="R62" s="401" t="n"/>
      <c r="S62" s="393">
        <f>IF(COUNTA(O62:R62)=0,"",SUM(O62:R62))</f>
        <v/>
      </c>
      <c r="T62" s="393">
        <f>IF(N62="","",N62-IF(S62="",0,S62))</f>
        <v/>
      </c>
      <c r="U62" s="402">
        <f>IF(OR(D62="",N62=""),"",N62-D62)</f>
        <v/>
      </c>
      <c r="V62" s="393">
        <f>IF(OR(K62="",T62=""),"",T62-K62)</f>
        <v/>
      </c>
      <c r="W62" s="395" t="n"/>
    </row>
    <row r="63">
      <c r="A63" s="389">
        <f>IF(Rechnungsstand!B57="","",Rechnungsstand!A57)</f>
        <v/>
      </c>
      <c r="B63" s="390">
        <f>IF(Rechnungsstand!B57="","",Rechnungsstand!B57)</f>
        <v/>
      </c>
      <c r="C63" s="391">
        <f>IF(Rechnungsstand!B57="","",Rechnungsstand!C57)</f>
        <v/>
      </c>
      <c r="D63" s="392">
        <f>IF(Rechnungsstand!B57="","",Rechnungsstand!F57)</f>
        <v/>
      </c>
      <c r="E63" s="393">
        <f>IF(D63="","",SUM($D$12:D63))</f>
        <v/>
      </c>
      <c r="F63" s="393">
        <f>IF(D63="","",D63*$B$7)</f>
        <v/>
      </c>
      <c r="G63" s="393">
        <f>IF(D63="","",D63*$B$8)</f>
        <v/>
      </c>
      <c r="H63" s="393">
        <f>IF(D63="","",D63*$B$9)</f>
        <v/>
      </c>
      <c r="I63" s="393">
        <f>IF(D63="","",IF(C63="Abschlagsrechnung",MAX(0,MIN(D63*$E$7,IF($E$8&gt;0,$B$6*$E$8-SUM($I$12:I62),D63*$E$7))),0))</f>
        <v/>
      </c>
      <c r="J63" s="393">
        <f>IF(D63="","",SUM(F63:I63))</f>
        <v/>
      </c>
      <c r="K63" s="393">
        <f>IF(D63="","",D63-J63)</f>
        <v/>
      </c>
      <c r="L63" s="399" t="n"/>
      <c r="M63" s="400" t="n"/>
      <c r="N63" s="401" t="n"/>
      <c r="O63" s="401" t="n"/>
      <c r="P63" s="401" t="n"/>
      <c r="Q63" s="401" t="n"/>
      <c r="R63" s="401" t="n"/>
      <c r="S63" s="393">
        <f>IF(COUNTA(O63:R63)=0,"",SUM(O63:R63))</f>
        <v/>
      </c>
      <c r="T63" s="393">
        <f>IF(N63="","",N63-IF(S63="",0,S63))</f>
        <v/>
      </c>
      <c r="U63" s="402">
        <f>IF(OR(D63="",N63=""),"",N63-D63)</f>
        <v/>
      </c>
      <c r="V63" s="393">
        <f>IF(OR(K63="",T63=""),"",T63-K63)</f>
        <v/>
      </c>
      <c r="W63" s="395" t="n"/>
    </row>
    <row r="64">
      <c r="A64" s="389">
        <f>IF(Rechnungsstand!B58="","",Rechnungsstand!A58)</f>
        <v/>
      </c>
      <c r="B64" s="390">
        <f>IF(Rechnungsstand!B58="","",Rechnungsstand!B58)</f>
        <v/>
      </c>
      <c r="C64" s="391">
        <f>IF(Rechnungsstand!B58="","",Rechnungsstand!C58)</f>
        <v/>
      </c>
      <c r="D64" s="392">
        <f>IF(Rechnungsstand!B58="","",Rechnungsstand!F58)</f>
        <v/>
      </c>
      <c r="E64" s="393">
        <f>IF(D64="","",SUM($D$12:D64))</f>
        <v/>
      </c>
      <c r="F64" s="393">
        <f>IF(D64="","",D64*$B$7)</f>
        <v/>
      </c>
      <c r="G64" s="393">
        <f>IF(D64="","",D64*$B$8)</f>
        <v/>
      </c>
      <c r="H64" s="393">
        <f>IF(D64="","",D64*$B$9)</f>
        <v/>
      </c>
      <c r="I64" s="393">
        <f>IF(D64="","",IF(C64="Abschlagsrechnung",MAX(0,MIN(D64*$E$7,IF($E$8&gt;0,$B$6*$E$8-SUM($I$12:I63),D64*$E$7))),0))</f>
        <v/>
      </c>
      <c r="J64" s="393">
        <f>IF(D64="","",SUM(F64:I64))</f>
        <v/>
      </c>
      <c r="K64" s="393">
        <f>IF(D64="","",D64-J64)</f>
        <v/>
      </c>
      <c r="L64" s="399" t="n"/>
      <c r="M64" s="400" t="n"/>
      <c r="N64" s="401" t="n"/>
      <c r="O64" s="401" t="n"/>
      <c r="P64" s="401" t="n"/>
      <c r="Q64" s="401" t="n"/>
      <c r="R64" s="401" t="n"/>
      <c r="S64" s="393">
        <f>IF(COUNTA(O64:R64)=0,"",SUM(O64:R64))</f>
        <v/>
      </c>
      <c r="T64" s="393">
        <f>IF(N64="","",N64-IF(S64="",0,S64))</f>
        <v/>
      </c>
      <c r="U64" s="402">
        <f>IF(OR(D64="",N64=""),"",N64-D64)</f>
        <v/>
      </c>
      <c r="V64" s="393">
        <f>IF(OR(K64="",T64=""),"",T64-K64)</f>
        <v/>
      </c>
      <c r="W64" s="395" t="n"/>
    </row>
    <row r="65">
      <c r="A65" s="389">
        <f>IF(Rechnungsstand!B59="","",Rechnungsstand!A59)</f>
        <v/>
      </c>
      <c r="B65" s="390">
        <f>IF(Rechnungsstand!B59="","",Rechnungsstand!B59)</f>
        <v/>
      </c>
      <c r="C65" s="391">
        <f>IF(Rechnungsstand!B59="","",Rechnungsstand!C59)</f>
        <v/>
      </c>
      <c r="D65" s="392">
        <f>IF(Rechnungsstand!B59="","",Rechnungsstand!F59)</f>
        <v/>
      </c>
      <c r="E65" s="393">
        <f>IF(D65="","",SUM($D$12:D65))</f>
        <v/>
      </c>
      <c r="F65" s="393">
        <f>IF(D65="","",D65*$B$7)</f>
        <v/>
      </c>
      <c r="G65" s="393">
        <f>IF(D65="","",D65*$B$8)</f>
        <v/>
      </c>
      <c r="H65" s="393">
        <f>IF(D65="","",D65*$B$9)</f>
        <v/>
      </c>
      <c r="I65" s="393">
        <f>IF(D65="","",IF(C65="Abschlagsrechnung",MAX(0,MIN(D65*$E$7,IF($E$8&gt;0,$B$6*$E$8-SUM($I$12:I64),D65*$E$7))),0))</f>
        <v/>
      </c>
      <c r="J65" s="393">
        <f>IF(D65="","",SUM(F65:I65))</f>
        <v/>
      </c>
      <c r="K65" s="393">
        <f>IF(D65="","",D65-J65)</f>
        <v/>
      </c>
      <c r="L65" s="399" t="n"/>
      <c r="M65" s="400" t="n"/>
      <c r="N65" s="401" t="n"/>
      <c r="O65" s="401" t="n"/>
      <c r="P65" s="401" t="n"/>
      <c r="Q65" s="401" t="n"/>
      <c r="R65" s="401" t="n"/>
      <c r="S65" s="393">
        <f>IF(COUNTA(O65:R65)=0,"",SUM(O65:R65))</f>
        <v/>
      </c>
      <c r="T65" s="393">
        <f>IF(N65="","",N65-IF(S65="",0,S65))</f>
        <v/>
      </c>
      <c r="U65" s="402">
        <f>IF(OR(D65="",N65=""),"",N65-D65)</f>
        <v/>
      </c>
      <c r="V65" s="393">
        <f>IF(OR(K65="",T65=""),"",T65-K65)</f>
        <v/>
      </c>
      <c r="W65" s="395" t="n"/>
    </row>
    <row r="66">
      <c r="A66" s="389">
        <f>IF(Rechnungsstand!B60="","",Rechnungsstand!A60)</f>
        <v/>
      </c>
      <c r="B66" s="390">
        <f>IF(Rechnungsstand!B60="","",Rechnungsstand!B60)</f>
        <v/>
      </c>
      <c r="C66" s="391">
        <f>IF(Rechnungsstand!B60="","",Rechnungsstand!C60)</f>
        <v/>
      </c>
      <c r="D66" s="392">
        <f>IF(Rechnungsstand!B60="","",Rechnungsstand!F60)</f>
        <v/>
      </c>
      <c r="E66" s="393">
        <f>IF(D66="","",SUM($D$12:D66))</f>
        <v/>
      </c>
      <c r="F66" s="393">
        <f>IF(D66="","",D66*$B$7)</f>
        <v/>
      </c>
      <c r="G66" s="393">
        <f>IF(D66="","",D66*$B$8)</f>
        <v/>
      </c>
      <c r="H66" s="393">
        <f>IF(D66="","",D66*$B$9)</f>
        <v/>
      </c>
      <c r="I66" s="393">
        <f>IF(D66="","",IF(C66="Abschlagsrechnung",MAX(0,MIN(D66*$E$7,IF($E$8&gt;0,$B$6*$E$8-SUM($I$12:I65),D66*$E$7))),0))</f>
        <v/>
      </c>
      <c r="J66" s="393">
        <f>IF(D66="","",SUM(F66:I66))</f>
        <v/>
      </c>
      <c r="K66" s="393">
        <f>IF(D66="","",D66-J66)</f>
        <v/>
      </c>
      <c r="L66" s="399" t="n"/>
      <c r="M66" s="400" t="n"/>
      <c r="N66" s="401" t="n"/>
      <c r="O66" s="401" t="n"/>
      <c r="P66" s="401" t="n"/>
      <c r="Q66" s="401" t="n"/>
      <c r="R66" s="401" t="n"/>
      <c r="S66" s="393">
        <f>IF(COUNTA(O66:R66)=0,"",SUM(O66:R66))</f>
        <v/>
      </c>
      <c r="T66" s="393">
        <f>IF(N66="","",N66-IF(S66="",0,S66))</f>
        <v/>
      </c>
      <c r="U66" s="402">
        <f>IF(OR(D66="",N66=""),"",N66-D66)</f>
        <v/>
      </c>
      <c r="V66" s="393">
        <f>IF(OR(K66="",T66=""),"",T66-K66)</f>
        <v/>
      </c>
      <c r="W66" s="395" t="n"/>
    </row>
    <row r="67">
      <c r="A67" s="389">
        <f>IF(Rechnungsstand!B61="","",Rechnungsstand!A61)</f>
        <v/>
      </c>
      <c r="B67" s="390">
        <f>IF(Rechnungsstand!B61="","",Rechnungsstand!B61)</f>
        <v/>
      </c>
      <c r="C67" s="391">
        <f>IF(Rechnungsstand!B61="","",Rechnungsstand!C61)</f>
        <v/>
      </c>
      <c r="D67" s="392">
        <f>IF(Rechnungsstand!B61="","",Rechnungsstand!F61)</f>
        <v/>
      </c>
      <c r="E67" s="393">
        <f>IF(D67="","",SUM($D$12:D67))</f>
        <v/>
      </c>
      <c r="F67" s="393">
        <f>IF(D67="","",D67*$B$7)</f>
        <v/>
      </c>
      <c r="G67" s="393">
        <f>IF(D67="","",D67*$B$8)</f>
        <v/>
      </c>
      <c r="H67" s="393">
        <f>IF(D67="","",D67*$B$9)</f>
        <v/>
      </c>
      <c r="I67" s="393">
        <f>IF(D67="","",IF(C67="Abschlagsrechnung",MAX(0,MIN(D67*$E$7,IF($E$8&gt;0,$B$6*$E$8-SUM($I$12:I66),D67*$E$7))),0))</f>
        <v/>
      </c>
      <c r="J67" s="393">
        <f>IF(D67="","",SUM(F67:I67))</f>
        <v/>
      </c>
      <c r="K67" s="393">
        <f>IF(D67="","",D67-J67)</f>
        <v/>
      </c>
      <c r="L67" s="399" t="n"/>
      <c r="M67" s="400" t="n"/>
      <c r="N67" s="401" t="n"/>
      <c r="O67" s="401" t="n"/>
      <c r="P67" s="401" t="n"/>
      <c r="Q67" s="401" t="n"/>
      <c r="R67" s="401" t="n"/>
      <c r="S67" s="393">
        <f>IF(COUNTA(O67:R67)=0,"",SUM(O67:R67))</f>
        <v/>
      </c>
      <c r="T67" s="393">
        <f>IF(N67="","",N67-IF(S67="",0,S67))</f>
        <v/>
      </c>
      <c r="U67" s="402">
        <f>IF(OR(D67="",N67=""),"",N67-D67)</f>
        <v/>
      </c>
      <c r="V67" s="393">
        <f>IF(OR(K67="",T67=""),"",T67-K67)</f>
        <v/>
      </c>
      <c r="W67" s="395" t="n"/>
    </row>
    <row r="68">
      <c r="A68" s="389">
        <f>IF(Rechnungsstand!B62="","",Rechnungsstand!A62)</f>
        <v/>
      </c>
      <c r="B68" s="390">
        <f>IF(Rechnungsstand!B62="","",Rechnungsstand!B62)</f>
        <v/>
      </c>
      <c r="C68" s="391">
        <f>IF(Rechnungsstand!B62="","",Rechnungsstand!C62)</f>
        <v/>
      </c>
      <c r="D68" s="392">
        <f>IF(Rechnungsstand!B62="","",Rechnungsstand!F62)</f>
        <v/>
      </c>
      <c r="E68" s="393">
        <f>IF(D68="","",SUM($D$12:D68))</f>
        <v/>
      </c>
      <c r="F68" s="393">
        <f>IF(D68="","",D68*$B$7)</f>
        <v/>
      </c>
      <c r="G68" s="393">
        <f>IF(D68="","",D68*$B$8)</f>
        <v/>
      </c>
      <c r="H68" s="393">
        <f>IF(D68="","",D68*$B$9)</f>
        <v/>
      </c>
      <c r="I68" s="393">
        <f>IF(D68="","",IF(C68="Abschlagsrechnung",MAX(0,MIN(D68*$E$7,IF($E$8&gt;0,$B$6*$E$8-SUM($I$12:I67),D68*$E$7))),0))</f>
        <v/>
      </c>
      <c r="J68" s="393">
        <f>IF(D68="","",SUM(F68:I68))</f>
        <v/>
      </c>
      <c r="K68" s="393">
        <f>IF(D68="","",D68-J68)</f>
        <v/>
      </c>
      <c r="L68" s="399" t="n"/>
      <c r="M68" s="400" t="n"/>
      <c r="N68" s="401" t="n"/>
      <c r="O68" s="401" t="n"/>
      <c r="P68" s="401" t="n"/>
      <c r="Q68" s="401" t="n"/>
      <c r="R68" s="401" t="n"/>
      <c r="S68" s="393">
        <f>IF(COUNTA(O68:R68)=0,"",SUM(O68:R68))</f>
        <v/>
      </c>
      <c r="T68" s="393">
        <f>IF(N68="","",N68-IF(S68="",0,S68))</f>
        <v/>
      </c>
      <c r="U68" s="402">
        <f>IF(OR(D68="",N68=""),"",N68-D68)</f>
        <v/>
      </c>
      <c r="V68" s="393">
        <f>IF(OR(K68="",T68=""),"",T68-K68)</f>
        <v/>
      </c>
      <c r="W68" s="395" t="n"/>
    </row>
    <row r="69">
      <c r="A69" s="389">
        <f>IF(Rechnungsstand!B63="","",Rechnungsstand!A63)</f>
        <v/>
      </c>
      <c r="B69" s="390">
        <f>IF(Rechnungsstand!B63="","",Rechnungsstand!B63)</f>
        <v/>
      </c>
      <c r="C69" s="391">
        <f>IF(Rechnungsstand!B63="","",Rechnungsstand!C63)</f>
        <v/>
      </c>
      <c r="D69" s="392">
        <f>IF(Rechnungsstand!B63="","",Rechnungsstand!F63)</f>
        <v/>
      </c>
      <c r="E69" s="393">
        <f>IF(D69="","",SUM($D$12:D69))</f>
        <v/>
      </c>
      <c r="F69" s="393">
        <f>IF(D69="","",D69*$B$7)</f>
        <v/>
      </c>
      <c r="G69" s="393">
        <f>IF(D69="","",D69*$B$8)</f>
        <v/>
      </c>
      <c r="H69" s="393">
        <f>IF(D69="","",D69*$B$9)</f>
        <v/>
      </c>
      <c r="I69" s="393">
        <f>IF(D69="","",IF(C69="Abschlagsrechnung",MAX(0,MIN(D69*$E$7,IF($E$8&gt;0,$B$6*$E$8-SUM($I$12:I68),D69*$E$7))),0))</f>
        <v/>
      </c>
      <c r="J69" s="393">
        <f>IF(D69="","",SUM(F69:I69))</f>
        <v/>
      </c>
      <c r="K69" s="393">
        <f>IF(D69="","",D69-J69)</f>
        <v/>
      </c>
      <c r="L69" s="399" t="n"/>
      <c r="M69" s="400" t="n"/>
      <c r="N69" s="401" t="n"/>
      <c r="O69" s="401" t="n"/>
      <c r="P69" s="401" t="n"/>
      <c r="Q69" s="401" t="n"/>
      <c r="R69" s="401" t="n"/>
      <c r="S69" s="393">
        <f>IF(COUNTA(O69:R69)=0,"",SUM(O69:R69))</f>
        <v/>
      </c>
      <c r="T69" s="393">
        <f>IF(N69="","",N69-IF(S69="",0,S69))</f>
        <v/>
      </c>
      <c r="U69" s="402">
        <f>IF(OR(D69="",N69=""),"",N69-D69)</f>
        <v/>
      </c>
      <c r="V69" s="393">
        <f>IF(OR(K69="",T69=""),"",T69-K69)</f>
        <v/>
      </c>
      <c r="W69" s="395" t="n"/>
    </row>
    <row r="70">
      <c r="A70" s="389">
        <f>IF(Rechnungsstand!B64="","",Rechnungsstand!A64)</f>
        <v/>
      </c>
      <c r="B70" s="390">
        <f>IF(Rechnungsstand!B64="","",Rechnungsstand!B64)</f>
        <v/>
      </c>
      <c r="C70" s="391">
        <f>IF(Rechnungsstand!B64="","",Rechnungsstand!C64)</f>
        <v/>
      </c>
      <c r="D70" s="392">
        <f>IF(Rechnungsstand!B64="","",Rechnungsstand!F64)</f>
        <v/>
      </c>
      <c r="E70" s="393">
        <f>IF(D70="","",SUM($D$12:D70))</f>
        <v/>
      </c>
      <c r="F70" s="393">
        <f>IF(D70="","",D70*$B$7)</f>
        <v/>
      </c>
      <c r="G70" s="393">
        <f>IF(D70="","",D70*$B$8)</f>
        <v/>
      </c>
      <c r="H70" s="393">
        <f>IF(D70="","",D70*$B$9)</f>
        <v/>
      </c>
      <c r="I70" s="393">
        <f>IF(D70="","",IF(C70="Abschlagsrechnung",MAX(0,MIN(D70*$E$7,IF($E$8&gt;0,$B$6*$E$8-SUM($I$12:I69),D70*$E$7))),0))</f>
        <v/>
      </c>
      <c r="J70" s="393">
        <f>IF(D70="","",SUM(F70:I70))</f>
        <v/>
      </c>
      <c r="K70" s="393">
        <f>IF(D70="","",D70-J70)</f>
        <v/>
      </c>
      <c r="L70" s="399" t="n"/>
      <c r="M70" s="400" t="n"/>
      <c r="N70" s="401" t="n"/>
      <c r="O70" s="401" t="n"/>
      <c r="P70" s="401" t="n"/>
      <c r="Q70" s="401" t="n"/>
      <c r="R70" s="401" t="n"/>
      <c r="S70" s="393">
        <f>IF(COUNTA(O70:R70)=0,"",SUM(O70:R70))</f>
        <v/>
      </c>
      <c r="T70" s="393">
        <f>IF(N70="","",N70-IF(S70="",0,S70))</f>
        <v/>
      </c>
      <c r="U70" s="402">
        <f>IF(OR(D70="",N70=""),"",N70-D70)</f>
        <v/>
      </c>
      <c r="V70" s="393">
        <f>IF(OR(K70="",T70=""),"",T70-K70)</f>
        <v/>
      </c>
      <c r="W70" s="395" t="n"/>
    </row>
    <row r="71">
      <c r="A71" s="389">
        <f>IF(Rechnungsstand!B65="","",Rechnungsstand!A65)</f>
        <v/>
      </c>
      <c r="B71" s="390">
        <f>IF(Rechnungsstand!B65="","",Rechnungsstand!B65)</f>
        <v/>
      </c>
      <c r="C71" s="391">
        <f>IF(Rechnungsstand!B65="","",Rechnungsstand!C65)</f>
        <v/>
      </c>
      <c r="D71" s="392">
        <f>IF(Rechnungsstand!B65="","",Rechnungsstand!F65)</f>
        <v/>
      </c>
      <c r="E71" s="393">
        <f>IF(D71="","",SUM($D$12:D71))</f>
        <v/>
      </c>
      <c r="F71" s="393">
        <f>IF(D71="","",D71*$B$7)</f>
        <v/>
      </c>
      <c r="G71" s="393">
        <f>IF(D71="","",D71*$B$8)</f>
        <v/>
      </c>
      <c r="H71" s="393">
        <f>IF(D71="","",D71*$B$9)</f>
        <v/>
      </c>
      <c r="I71" s="393">
        <f>IF(D71="","",IF(C71="Abschlagsrechnung",MAX(0,MIN(D71*$E$7,IF($E$8&gt;0,$B$6*$E$8-SUM($I$12:I70),D71*$E$7))),0))</f>
        <v/>
      </c>
      <c r="J71" s="393">
        <f>IF(D71="","",SUM(F71:I71))</f>
        <v/>
      </c>
      <c r="K71" s="393">
        <f>IF(D71="","",D71-J71)</f>
        <v/>
      </c>
      <c r="L71" s="399" t="n"/>
      <c r="M71" s="400" t="n"/>
      <c r="N71" s="401" t="n"/>
      <c r="O71" s="401" t="n"/>
      <c r="P71" s="401" t="n"/>
      <c r="Q71" s="401" t="n"/>
      <c r="R71" s="401" t="n"/>
      <c r="S71" s="393">
        <f>IF(COUNTA(O71:R71)=0,"",SUM(O71:R71))</f>
        <v/>
      </c>
      <c r="T71" s="393">
        <f>IF(N71="","",N71-IF(S71="",0,S71))</f>
        <v/>
      </c>
      <c r="U71" s="402">
        <f>IF(OR(D71="",N71=""),"",N71-D71)</f>
        <v/>
      </c>
      <c r="V71" s="393">
        <f>IF(OR(K71="",T71=""),"",T71-K71)</f>
        <v/>
      </c>
      <c r="W71" s="395" t="n"/>
    </row>
    <row r="72">
      <c r="A72" s="389">
        <f>IF(Rechnungsstand!B66="","",Rechnungsstand!A66)</f>
        <v/>
      </c>
      <c r="B72" s="390">
        <f>IF(Rechnungsstand!B66="","",Rechnungsstand!B66)</f>
        <v/>
      </c>
      <c r="C72" s="391">
        <f>IF(Rechnungsstand!B66="","",Rechnungsstand!C66)</f>
        <v/>
      </c>
      <c r="D72" s="392">
        <f>IF(Rechnungsstand!B66="","",Rechnungsstand!F66)</f>
        <v/>
      </c>
      <c r="E72" s="393">
        <f>IF(D72="","",SUM($D$12:D72))</f>
        <v/>
      </c>
      <c r="F72" s="393">
        <f>IF(D72="","",D72*$B$7)</f>
        <v/>
      </c>
      <c r="G72" s="393">
        <f>IF(D72="","",D72*$B$8)</f>
        <v/>
      </c>
      <c r="H72" s="393">
        <f>IF(D72="","",D72*$B$9)</f>
        <v/>
      </c>
      <c r="I72" s="393">
        <f>IF(D72="","",IF(C72="Abschlagsrechnung",MAX(0,MIN(D72*$E$7,IF($E$8&gt;0,$B$6*$E$8-SUM($I$12:I71),D72*$E$7))),0))</f>
        <v/>
      </c>
      <c r="J72" s="393">
        <f>IF(D72="","",SUM(F72:I72))</f>
        <v/>
      </c>
      <c r="K72" s="393">
        <f>IF(D72="","",D72-J72)</f>
        <v/>
      </c>
      <c r="L72" s="399" t="n"/>
      <c r="M72" s="400" t="n"/>
      <c r="N72" s="401" t="n"/>
      <c r="O72" s="401" t="n"/>
      <c r="P72" s="401" t="n"/>
      <c r="Q72" s="401" t="n"/>
      <c r="R72" s="401" t="n"/>
      <c r="S72" s="393">
        <f>IF(COUNTA(O72:R72)=0,"",SUM(O72:R72))</f>
        <v/>
      </c>
      <c r="T72" s="393">
        <f>IF(N72="","",N72-IF(S72="",0,S72))</f>
        <v/>
      </c>
      <c r="U72" s="402">
        <f>IF(OR(D72="",N72=""),"",N72-D72)</f>
        <v/>
      </c>
      <c r="V72" s="393">
        <f>IF(OR(K72="",T72=""),"",T72-K72)</f>
        <v/>
      </c>
      <c r="W72" s="395" t="n"/>
    </row>
    <row r="73">
      <c r="A73" s="389">
        <f>IF(Rechnungsstand!B67="","",Rechnungsstand!A67)</f>
        <v/>
      </c>
      <c r="B73" s="390">
        <f>IF(Rechnungsstand!B67="","",Rechnungsstand!B67)</f>
        <v/>
      </c>
      <c r="C73" s="391">
        <f>IF(Rechnungsstand!B67="","",Rechnungsstand!C67)</f>
        <v/>
      </c>
      <c r="D73" s="392">
        <f>IF(Rechnungsstand!B67="","",Rechnungsstand!F67)</f>
        <v/>
      </c>
      <c r="E73" s="393">
        <f>IF(D73="","",SUM($D$12:D73))</f>
        <v/>
      </c>
      <c r="F73" s="393">
        <f>IF(D73="","",D73*$B$7)</f>
        <v/>
      </c>
      <c r="G73" s="393">
        <f>IF(D73="","",D73*$B$8)</f>
        <v/>
      </c>
      <c r="H73" s="393">
        <f>IF(D73="","",D73*$B$9)</f>
        <v/>
      </c>
      <c r="I73" s="393">
        <f>IF(D73="","",IF(C73="Abschlagsrechnung",MAX(0,MIN(D73*$E$7,IF($E$8&gt;0,$B$6*$E$8-SUM($I$12:I72),D73*$E$7))),0))</f>
        <v/>
      </c>
      <c r="J73" s="393">
        <f>IF(D73="","",SUM(F73:I73))</f>
        <v/>
      </c>
      <c r="K73" s="393">
        <f>IF(D73="","",D73-J73)</f>
        <v/>
      </c>
      <c r="L73" s="399" t="n"/>
      <c r="M73" s="400" t="n"/>
      <c r="N73" s="401" t="n"/>
      <c r="O73" s="401" t="n"/>
      <c r="P73" s="401" t="n"/>
      <c r="Q73" s="401" t="n"/>
      <c r="R73" s="401" t="n"/>
      <c r="S73" s="393">
        <f>IF(COUNTA(O73:R73)=0,"",SUM(O73:R73))</f>
        <v/>
      </c>
      <c r="T73" s="393">
        <f>IF(N73="","",N73-IF(S73="",0,S73))</f>
        <v/>
      </c>
      <c r="U73" s="402">
        <f>IF(OR(D73="",N73=""),"",N73-D73)</f>
        <v/>
      </c>
      <c r="V73" s="393">
        <f>IF(OR(K73="",T73=""),"",T73-K73)</f>
        <v/>
      </c>
      <c r="W73" s="395" t="n"/>
    </row>
    <row r="74">
      <c r="A74" s="389">
        <f>IF(Rechnungsstand!B68="","",Rechnungsstand!A68)</f>
        <v/>
      </c>
      <c r="B74" s="390">
        <f>IF(Rechnungsstand!B68="","",Rechnungsstand!B68)</f>
        <v/>
      </c>
      <c r="C74" s="391">
        <f>IF(Rechnungsstand!B68="","",Rechnungsstand!C68)</f>
        <v/>
      </c>
      <c r="D74" s="392">
        <f>IF(Rechnungsstand!B68="","",Rechnungsstand!F68)</f>
        <v/>
      </c>
      <c r="E74" s="393">
        <f>IF(D74="","",SUM($D$12:D74))</f>
        <v/>
      </c>
      <c r="F74" s="393">
        <f>IF(D74="","",D74*$B$7)</f>
        <v/>
      </c>
      <c r="G74" s="393">
        <f>IF(D74="","",D74*$B$8)</f>
        <v/>
      </c>
      <c r="H74" s="393">
        <f>IF(D74="","",D74*$B$9)</f>
        <v/>
      </c>
      <c r="I74" s="393">
        <f>IF(D74="","",IF(C74="Abschlagsrechnung",MAX(0,MIN(D74*$E$7,IF($E$8&gt;0,$B$6*$E$8-SUM($I$12:I73),D74*$E$7))),0))</f>
        <v/>
      </c>
      <c r="J74" s="393">
        <f>IF(D74="","",SUM(F74:I74))</f>
        <v/>
      </c>
      <c r="K74" s="393">
        <f>IF(D74="","",D74-J74)</f>
        <v/>
      </c>
      <c r="L74" s="399" t="n"/>
      <c r="M74" s="400" t="n"/>
      <c r="N74" s="401" t="n"/>
      <c r="O74" s="401" t="n"/>
      <c r="P74" s="401" t="n"/>
      <c r="Q74" s="401" t="n"/>
      <c r="R74" s="401" t="n"/>
      <c r="S74" s="393">
        <f>IF(COUNTA(O74:R74)=0,"",SUM(O74:R74))</f>
        <v/>
      </c>
      <c r="T74" s="393">
        <f>IF(N74="","",N74-IF(S74="",0,S74))</f>
        <v/>
      </c>
      <c r="U74" s="402">
        <f>IF(OR(D74="",N74=""),"",N74-D74)</f>
        <v/>
      </c>
      <c r="V74" s="393">
        <f>IF(OR(K74="",T74=""),"",T74-K74)</f>
        <v/>
      </c>
      <c r="W74" s="395" t="n"/>
    </row>
    <row r="75">
      <c r="A75" s="389">
        <f>IF(Rechnungsstand!B69="","",Rechnungsstand!A69)</f>
        <v/>
      </c>
      <c r="B75" s="390">
        <f>IF(Rechnungsstand!B69="","",Rechnungsstand!B69)</f>
        <v/>
      </c>
      <c r="C75" s="391">
        <f>IF(Rechnungsstand!B69="","",Rechnungsstand!C69)</f>
        <v/>
      </c>
      <c r="D75" s="392">
        <f>IF(Rechnungsstand!B69="","",Rechnungsstand!F69)</f>
        <v/>
      </c>
      <c r="E75" s="393">
        <f>IF(D75="","",SUM($D$12:D75))</f>
        <v/>
      </c>
      <c r="F75" s="393">
        <f>IF(D75="","",D75*$B$7)</f>
        <v/>
      </c>
      <c r="G75" s="393">
        <f>IF(D75="","",D75*$B$8)</f>
        <v/>
      </c>
      <c r="H75" s="393">
        <f>IF(D75="","",D75*$B$9)</f>
        <v/>
      </c>
      <c r="I75" s="393">
        <f>IF(D75="","",IF(C75="Abschlagsrechnung",MAX(0,MIN(D75*$E$7,IF($E$8&gt;0,$B$6*$E$8-SUM($I$12:I74),D75*$E$7))),0))</f>
        <v/>
      </c>
      <c r="J75" s="393">
        <f>IF(D75="","",SUM(F75:I75))</f>
        <v/>
      </c>
      <c r="K75" s="393">
        <f>IF(D75="","",D75-J75)</f>
        <v/>
      </c>
      <c r="L75" s="399" t="n"/>
      <c r="M75" s="400" t="n"/>
      <c r="N75" s="401" t="n"/>
      <c r="O75" s="401" t="n"/>
      <c r="P75" s="401" t="n"/>
      <c r="Q75" s="401" t="n"/>
      <c r="R75" s="401" t="n"/>
      <c r="S75" s="393">
        <f>IF(COUNTA(O75:R75)=0,"",SUM(O75:R75))</f>
        <v/>
      </c>
      <c r="T75" s="393">
        <f>IF(N75="","",N75-IF(S75="",0,S75))</f>
        <v/>
      </c>
      <c r="U75" s="402">
        <f>IF(OR(D75="",N75=""),"",N75-D75)</f>
        <v/>
      </c>
      <c r="V75" s="393">
        <f>IF(OR(K75="",T75=""),"",T75-K75)</f>
        <v/>
      </c>
      <c r="W75" s="395" t="n"/>
    </row>
    <row r="76">
      <c r="A76" s="389">
        <f>IF(Rechnungsstand!B70="","",Rechnungsstand!A70)</f>
        <v/>
      </c>
      <c r="B76" s="390">
        <f>IF(Rechnungsstand!B70="","",Rechnungsstand!B70)</f>
        <v/>
      </c>
      <c r="C76" s="391">
        <f>IF(Rechnungsstand!B70="","",Rechnungsstand!C70)</f>
        <v/>
      </c>
      <c r="D76" s="392">
        <f>IF(Rechnungsstand!B70="","",Rechnungsstand!F70)</f>
        <v/>
      </c>
      <c r="E76" s="393">
        <f>IF(D76="","",SUM($D$12:D76))</f>
        <v/>
      </c>
      <c r="F76" s="393">
        <f>IF(D76="","",D76*$B$7)</f>
        <v/>
      </c>
      <c r="G76" s="393">
        <f>IF(D76="","",D76*$B$8)</f>
        <v/>
      </c>
      <c r="H76" s="393">
        <f>IF(D76="","",D76*$B$9)</f>
        <v/>
      </c>
      <c r="I76" s="393">
        <f>IF(D76="","",IF(C76="Abschlagsrechnung",MAX(0,MIN(D76*$E$7,IF($E$8&gt;0,$B$6*$E$8-SUM($I$12:I75),D76*$E$7))),0))</f>
        <v/>
      </c>
      <c r="J76" s="393">
        <f>IF(D76="","",SUM(F76:I76))</f>
        <v/>
      </c>
      <c r="K76" s="393">
        <f>IF(D76="","",D76-J76)</f>
        <v/>
      </c>
      <c r="L76" s="399" t="n"/>
      <c r="M76" s="400" t="n"/>
      <c r="N76" s="401" t="n"/>
      <c r="O76" s="401" t="n"/>
      <c r="P76" s="401" t="n"/>
      <c r="Q76" s="401" t="n"/>
      <c r="R76" s="401" t="n"/>
      <c r="S76" s="393">
        <f>IF(COUNTA(O76:R76)=0,"",SUM(O76:R76))</f>
        <v/>
      </c>
      <c r="T76" s="393">
        <f>IF(N76="","",N76-IF(S76="",0,S76))</f>
        <v/>
      </c>
      <c r="U76" s="402">
        <f>IF(OR(D76="",N76=""),"",N76-D76)</f>
        <v/>
      </c>
      <c r="V76" s="393">
        <f>IF(OR(K76="",T76=""),"",T76-K76)</f>
        <v/>
      </c>
      <c r="W76" s="395" t="n"/>
    </row>
    <row r="77">
      <c r="A77" s="389">
        <f>IF(Rechnungsstand!B71="","",Rechnungsstand!A71)</f>
        <v/>
      </c>
      <c r="B77" s="390">
        <f>IF(Rechnungsstand!B71="","",Rechnungsstand!B71)</f>
        <v/>
      </c>
      <c r="C77" s="391">
        <f>IF(Rechnungsstand!B71="","",Rechnungsstand!C71)</f>
        <v/>
      </c>
      <c r="D77" s="392">
        <f>IF(Rechnungsstand!B71="","",Rechnungsstand!F71)</f>
        <v/>
      </c>
      <c r="E77" s="393">
        <f>IF(D77="","",SUM($D$12:D77))</f>
        <v/>
      </c>
      <c r="F77" s="393">
        <f>IF(D77="","",D77*$B$7)</f>
        <v/>
      </c>
      <c r="G77" s="393">
        <f>IF(D77="","",D77*$B$8)</f>
        <v/>
      </c>
      <c r="H77" s="393">
        <f>IF(D77="","",D77*$B$9)</f>
        <v/>
      </c>
      <c r="I77" s="393">
        <f>IF(D77="","",IF(C77="Abschlagsrechnung",MAX(0,MIN(D77*$E$7,IF($E$8&gt;0,$B$6*$E$8-SUM($I$12:I76),D77*$E$7))),0))</f>
        <v/>
      </c>
      <c r="J77" s="393">
        <f>IF(D77="","",SUM(F77:I77))</f>
        <v/>
      </c>
      <c r="K77" s="393">
        <f>IF(D77="","",D77-J77)</f>
        <v/>
      </c>
      <c r="L77" s="399" t="n"/>
      <c r="M77" s="400" t="n"/>
      <c r="N77" s="401" t="n"/>
      <c r="O77" s="401" t="n"/>
      <c r="P77" s="401" t="n"/>
      <c r="Q77" s="401" t="n"/>
      <c r="R77" s="401" t="n"/>
      <c r="S77" s="393">
        <f>IF(COUNTA(O77:R77)=0,"",SUM(O77:R77))</f>
        <v/>
      </c>
      <c r="T77" s="393">
        <f>IF(N77="","",N77-IF(S77="",0,S77))</f>
        <v/>
      </c>
      <c r="U77" s="402">
        <f>IF(OR(D77="",N77=""),"",N77-D77)</f>
        <v/>
      </c>
      <c r="V77" s="393">
        <f>IF(OR(K77="",T77=""),"",T77-K77)</f>
        <v/>
      </c>
      <c r="W77" s="395" t="n"/>
    </row>
    <row r="78">
      <c r="A78" s="389">
        <f>IF(Rechnungsstand!B72="","",Rechnungsstand!A72)</f>
        <v/>
      </c>
      <c r="B78" s="390">
        <f>IF(Rechnungsstand!B72="","",Rechnungsstand!B72)</f>
        <v/>
      </c>
      <c r="C78" s="391">
        <f>IF(Rechnungsstand!B72="","",Rechnungsstand!C72)</f>
        <v/>
      </c>
      <c r="D78" s="392">
        <f>IF(Rechnungsstand!B72="","",Rechnungsstand!F72)</f>
        <v/>
      </c>
      <c r="E78" s="393">
        <f>IF(D78="","",SUM($D$12:D78))</f>
        <v/>
      </c>
      <c r="F78" s="393">
        <f>IF(D78="","",D78*$B$7)</f>
        <v/>
      </c>
      <c r="G78" s="393">
        <f>IF(D78="","",D78*$B$8)</f>
        <v/>
      </c>
      <c r="H78" s="393">
        <f>IF(D78="","",D78*$B$9)</f>
        <v/>
      </c>
      <c r="I78" s="393">
        <f>IF(D78="","",IF(C78="Abschlagsrechnung",MAX(0,MIN(D78*$E$7,IF($E$8&gt;0,$B$6*$E$8-SUM($I$12:I77),D78*$E$7))),0))</f>
        <v/>
      </c>
      <c r="J78" s="393">
        <f>IF(D78="","",SUM(F78:I78))</f>
        <v/>
      </c>
      <c r="K78" s="393">
        <f>IF(D78="","",D78-J78)</f>
        <v/>
      </c>
      <c r="L78" s="399" t="n"/>
      <c r="M78" s="400" t="n"/>
      <c r="N78" s="401" t="n"/>
      <c r="O78" s="401" t="n"/>
      <c r="P78" s="401" t="n"/>
      <c r="Q78" s="401" t="n"/>
      <c r="R78" s="401" t="n"/>
      <c r="S78" s="393">
        <f>IF(COUNTA(O78:R78)=0,"",SUM(O78:R78))</f>
        <v/>
      </c>
      <c r="T78" s="393">
        <f>IF(N78="","",N78-IF(S78="",0,S78))</f>
        <v/>
      </c>
      <c r="U78" s="402">
        <f>IF(OR(D78="",N78=""),"",N78-D78)</f>
        <v/>
      </c>
      <c r="V78" s="393">
        <f>IF(OR(K78="",T78=""),"",T78-K78)</f>
        <v/>
      </c>
      <c r="W78" s="395" t="n"/>
    </row>
    <row r="79">
      <c r="A79" s="389">
        <f>IF(Rechnungsstand!B73="","",Rechnungsstand!A73)</f>
        <v/>
      </c>
      <c r="B79" s="390">
        <f>IF(Rechnungsstand!B73="","",Rechnungsstand!B73)</f>
        <v/>
      </c>
      <c r="C79" s="391">
        <f>IF(Rechnungsstand!B73="","",Rechnungsstand!C73)</f>
        <v/>
      </c>
      <c r="D79" s="392">
        <f>IF(Rechnungsstand!B73="","",Rechnungsstand!F73)</f>
        <v/>
      </c>
      <c r="E79" s="393">
        <f>IF(D79="","",SUM($D$12:D79))</f>
        <v/>
      </c>
      <c r="F79" s="393">
        <f>IF(D79="","",D79*$B$7)</f>
        <v/>
      </c>
      <c r="G79" s="393">
        <f>IF(D79="","",D79*$B$8)</f>
        <v/>
      </c>
      <c r="H79" s="393">
        <f>IF(D79="","",D79*$B$9)</f>
        <v/>
      </c>
      <c r="I79" s="393">
        <f>IF(D79="","",IF(C79="Abschlagsrechnung",MAX(0,MIN(D79*$E$7,IF($E$8&gt;0,$B$6*$E$8-SUM($I$12:I78),D79*$E$7))),0))</f>
        <v/>
      </c>
      <c r="J79" s="393">
        <f>IF(D79="","",SUM(F79:I79))</f>
        <v/>
      </c>
      <c r="K79" s="393">
        <f>IF(D79="","",D79-J79)</f>
        <v/>
      </c>
      <c r="L79" s="399" t="n"/>
      <c r="M79" s="400" t="n"/>
      <c r="N79" s="401" t="n"/>
      <c r="O79" s="401" t="n"/>
      <c r="P79" s="401" t="n"/>
      <c r="Q79" s="401" t="n"/>
      <c r="R79" s="401" t="n"/>
      <c r="S79" s="393">
        <f>IF(COUNTA(O79:R79)=0,"",SUM(O79:R79))</f>
        <v/>
      </c>
      <c r="T79" s="393">
        <f>IF(N79="","",N79-IF(S79="",0,S79))</f>
        <v/>
      </c>
      <c r="U79" s="402">
        <f>IF(OR(D79="",N79=""),"",N79-D79)</f>
        <v/>
      </c>
      <c r="V79" s="393">
        <f>IF(OR(K79="",T79=""),"",T79-K79)</f>
        <v/>
      </c>
      <c r="W79" s="395" t="n"/>
    </row>
    <row r="80">
      <c r="A80" s="389">
        <f>IF(Rechnungsstand!B74="","",Rechnungsstand!A74)</f>
        <v/>
      </c>
      <c r="B80" s="390">
        <f>IF(Rechnungsstand!B74="","",Rechnungsstand!B74)</f>
        <v/>
      </c>
      <c r="C80" s="391">
        <f>IF(Rechnungsstand!B74="","",Rechnungsstand!C74)</f>
        <v/>
      </c>
      <c r="D80" s="392">
        <f>IF(Rechnungsstand!B74="","",Rechnungsstand!F74)</f>
        <v/>
      </c>
      <c r="E80" s="393">
        <f>IF(D80="","",SUM($D$12:D80))</f>
        <v/>
      </c>
      <c r="F80" s="393">
        <f>IF(D80="","",D80*$B$7)</f>
        <v/>
      </c>
      <c r="G80" s="393">
        <f>IF(D80="","",D80*$B$8)</f>
        <v/>
      </c>
      <c r="H80" s="393">
        <f>IF(D80="","",D80*$B$9)</f>
        <v/>
      </c>
      <c r="I80" s="393">
        <f>IF(D80="","",IF(C80="Abschlagsrechnung",MAX(0,MIN(D80*$E$7,IF($E$8&gt;0,$B$6*$E$8-SUM($I$12:I79),D80*$E$7))),0))</f>
        <v/>
      </c>
      <c r="J80" s="393">
        <f>IF(D80="","",SUM(F80:I80))</f>
        <v/>
      </c>
      <c r="K80" s="393">
        <f>IF(D80="","",D80-J80)</f>
        <v/>
      </c>
      <c r="L80" s="399" t="n"/>
      <c r="M80" s="400" t="n"/>
      <c r="N80" s="401" t="n"/>
      <c r="O80" s="401" t="n"/>
      <c r="P80" s="401" t="n"/>
      <c r="Q80" s="401" t="n"/>
      <c r="R80" s="401" t="n"/>
      <c r="S80" s="393">
        <f>IF(COUNTA(O80:R80)=0,"",SUM(O80:R80))</f>
        <v/>
      </c>
      <c r="T80" s="393">
        <f>IF(N80="","",N80-IF(S80="",0,S80))</f>
        <v/>
      </c>
      <c r="U80" s="402">
        <f>IF(OR(D80="",N80=""),"",N80-D80)</f>
        <v/>
      </c>
      <c r="V80" s="393">
        <f>IF(OR(K80="",T80=""),"",T80-K80)</f>
        <v/>
      </c>
      <c r="W80" s="395" t="n"/>
    </row>
    <row r="81">
      <c r="A81" s="389">
        <f>IF(Rechnungsstand!B75="","",Rechnungsstand!A75)</f>
        <v/>
      </c>
      <c r="B81" s="390">
        <f>IF(Rechnungsstand!B75="","",Rechnungsstand!B75)</f>
        <v/>
      </c>
      <c r="C81" s="391">
        <f>IF(Rechnungsstand!B75="","",Rechnungsstand!C75)</f>
        <v/>
      </c>
      <c r="D81" s="392">
        <f>IF(Rechnungsstand!B75="","",Rechnungsstand!F75)</f>
        <v/>
      </c>
      <c r="E81" s="393">
        <f>IF(D81="","",SUM($D$12:D81))</f>
        <v/>
      </c>
      <c r="F81" s="393">
        <f>IF(D81="","",D81*$B$7)</f>
        <v/>
      </c>
      <c r="G81" s="393">
        <f>IF(D81="","",D81*$B$8)</f>
        <v/>
      </c>
      <c r="H81" s="393">
        <f>IF(D81="","",D81*$B$9)</f>
        <v/>
      </c>
      <c r="I81" s="393">
        <f>IF(D81="","",IF(C81="Abschlagsrechnung",MAX(0,MIN(D81*$E$7,IF($E$8&gt;0,$B$6*$E$8-SUM($I$12:I80),D81*$E$7))),0))</f>
        <v/>
      </c>
      <c r="J81" s="393">
        <f>IF(D81="","",SUM(F81:I81))</f>
        <v/>
      </c>
      <c r="K81" s="393">
        <f>IF(D81="","",D81-J81)</f>
        <v/>
      </c>
      <c r="L81" s="399" t="n"/>
      <c r="M81" s="400" t="n"/>
      <c r="N81" s="401" t="n"/>
      <c r="O81" s="401" t="n"/>
      <c r="P81" s="401" t="n"/>
      <c r="Q81" s="401" t="n"/>
      <c r="R81" s="401" t="n"/>
      <c r="S81" s="393">
        <f>IF(COUNTA(O81:R81)=0,"",SUM(O81:R81))</f>
        <v/>
      </c>
      <c r="T81" s="393">
        <f>IF(N81="","",N81-IF(S81="",0,S81))</f>
        <v/>
      </c>
      <c r="U81" s="402">
        <f>IF(OR(D81="",N81=""),"",N81-D81)</f>
        <v/>
      </c>
      <c r="V81" s="393">
        <f>IF(OR(K81="",T81=""),"",T81-K81)</f>
        <v/>
      </c>
      <c r="W81" s="395" t="n"/>
    </row>
    <row r="82">
      <c r="A82" s="389">
        <f>IF(Rechnungsstand!B76="","",Rechnungsstand!A76)</f>
        <v/>
      </c>
      <c r="B82" s="390">
        <f>IF(Rechnungsstand!B76="","",Rechnungsstand!B76)</f>
        <v/>
      </c>
      <c r="C82" s="391">
        <f>IF(Rechnungsstand!B76="","",Rechnungsstand!C76)</f>
        <v/>
      </c>
      <c r="D82" s="392">
        <f>IF(Rechnungsstand!B76="","",Rechnungsstand!F76)</f>
        <v/>
      </c>
      <c r="E82" s="393">
        <f>IF(D82="","",SUM($D$12:D82))</f>
        <v/>
      </c>
      <c r="F82" s="393">
        <f>IF(D82="","",D82*$B$7)</f>
        <v/>
      </c>
      <c r="G82" s="393">
        <f>IF(D82="","",D82*$B$8)</f>
        <v/>
      </c>
      <c r="H82" s="393">
        <f>IF(D82="","",D82*$B$9)</f>
        <v/>
      </c>
      <c r="I82" s="393">
        <f>IF(D82="","",IF(C82="Abschlagsrechnung",MAX(0,MIN(D82*$E$7,IF($E$8&gt;0,$B$6*$E$8-SUM($I$12:I81),D82*$E$7))),0))</f>
        <v/>
      </c>
      <c r="J82" s="393">
        <f>IF(D82="","",SUM(F82:I82))</f>
        <v/>
      </c>
      <c r="K82" s="393">
        <f>IF(D82="","",D82-J82)</f>
        <v/>
      </c>
      <c r="L82" s="399" t="n"/>
      <c r="M82" s="400" t="n"/>
      <c r="N82" s="401" t="n"/>
      <c r="O82" s="401" t="n"/>
      <c r="P82" s="401" t="n"/>
      <c r="Q82" s="401" t="n"/>
      <c r="R82" s="401" t="n"/>
      <c r="S82" s="393">
        <f>IF(COUNTA(O82:R82)=0,"",SUM(O82:R82))</f>
        <v/>
      </c>
      <c r="T82" s="393">
        <f>IF(N82="","",N82-IF(S82="",0,S82))</f>
        <v/>
      </c>
      <c r="U82" s="402">
        <f>IF(OR(D82="",N82=""),"",N82-D82)</f>
        <v/>
      </c>
      <c r="V82" s="393">
        <f>IF(OR(K82="",T82=""),"",T82-K82)</f>
        <v/>
      </c>
      <c r="W82" s="395" t="n"/>
    </row>
    <row r="83">
      <c r="A83" s="389">
        <f>IF(Rechnungsstand!B77="","",Rechnungsstand!A77)</f>
        <v/>
      </c>
      <c r="B83" s="390">
        <f>IF(Rechnungsstand!B77="","",Rechnungsstand!B77)</f>
        <v/>
      </c>
      <c r="C83" s="391">
        <f>IF(Rechnungsstand!B77="","",Rechnungsstand!C77)</f>
        <v/>
      </c>
      <c r="D83" s="392">
        <f>IF(Rechnungsstand!B77="","",Rechnungsstand!F77)</f>
        <v/>
      </c>
      <c r="E83" s="393">
        <f>IF(D83="","",SUM($D$12:D83))</f>
        <v/>
      </c>
      <c r="F83" s="393">
        <f>IF(D83="","",D83*$B$7)</f>
        <v/>
      </c>
      <c r="G83" s="393">
        <f>IF(D83="","",D83*$B$8)</f>
        <v/>
      </c>
      <c r="H83" s="393">
        <f>IF(D83="","",D83*$B$9)</f>
        <v/>
      </c>
      <c r="I83" s="393">
        <f>IF(D83="","",IF(C83="Abschlagsrechnung",MAX(0,MIN(D83*$E$7,IF($E$8&gt;0,$B$6*$E$8-SUM($I$12:I82),D83*$E$7))),0))</f>
        <v/>
      </c>
      <c r="J83" s="393">
        <f>IF(D83="","",SUM(F83:I83))</f>
        <v/>
      </c>
      <c r="K83" s="393">
        <f>IF(D83="","",D83-J83)</f>
        <v/>
      </c>
      <c r="L83" s="399" t="n"/>
      <c r="M83" s="400" t="n"/>
      <c r="N83" s="401" t="n"/>
      <c r="O83" s="401" t="n"/>
      <c r="P83" s="401" t="n"/>
      <c r="Q83" s="401" t="n"/>
      <c r="R83" s="401" t="n"/>
      <c r="S83" s="393">
        <f>IF(COUNTA(O83:R83)=0,"",SUM(O83:R83))</f>
        <v/>
      </c>
      <c r="T83" s="393">
        <f>IF(N83="","",N83-IF(S83="",0,S83))</f>
        <v/>
      </c>
      <c r="U83" s="402">
        <f>IF(OR(D83="",N83=""),"",N83-D83)</f>
        <v/>
      </c>
      <c r="V83" s="393">
        <f>IF(OR(K83="",T83=""),"",T83-K83)</f>
        <v/>
      </c>
      <c r="W83" s="395" t="n"/>
    </row>
    <row r="84">
      <c r="A84" s="389">
        <f>IF(Rechnungsstand!B78="","",Rechnungsstand!A78)</f>
        <v/>
      </c>
      <c r="B84" s="390">
        <f>IF(Rechnungsstand!B78="","",Rechnungsstand!B78)</f>
        <v/>
      </c>
      <c r="C84" s="391">
        <f>IF(Rechnungsstand!B78="","",Rechnungsstand!C78)</f>
        <v/>
      </c>
      <c r="D84" s="392">
        <f>IF(Rechnungsstand!B78="","",Rechnungsstand!F78)</f>
        <v/>
      </c>
      <c r="E84" s="393">
        <f>IF(D84="","",SUM($D$12:D84))</f>
        <v/>
      </c>
      <c r="F84" s="393">
        <f>IF(D84="","",D84*$B$7)</f>
        <v/>
      </c>
      <c r="G84" s="393">
        <f>IF(D84="","",D84*$B$8)</f>
        <v/>
      </c>
      <c r="H84" s="393">
        <f>IF(D84="","",D84*$B$9)</f>
        <v/>
      </c>
      <c r="I84" s="393">
        <f>IF(D84="","",IF(C84="Abschlagsrechnung",MAX(0,MIN(D84*$E$7,IF($E$8&gt;0,$B$6*$E$8-SUM($I$12:I83),D84*$E$7))),0))</f>
        <v/>
      </c>
      <c r="J84" s="393">
        <f>IF(D84="","",SUM(F84:I84))</f>
        <v/>
      </c>
      <c r="K84" s="393">
        <f>IF(D84="","",D84-J84)</f>
        <v/>
      </c>
      <c r="L84" s="399" t="n"/>
      <c r="M84" s="400" t="n"/>
      <c r="N84" s="401" t="n"/>
      <c r="O84" s="401" t="n"/>
      <c r="P84" s="401" t="n"/>
      <c r="Q84" s="401" t="n"/>
      <c r="R84" s="401" t="n"/>
      <c r="S84" s="393">
        <f>IF(COUNTA(O84:R84)=0,"",SUM(O84:R84))</f>
        <v/>
      </c>
      <c r="T84" s="393">
        <f>IF(N84="","",N84-IF(S84="",0,S84))</f>
        <v/>
      </c>
      <c r="U84" s="402">
        <f>IF(OR(D84="",N84=""),"",N84-D84)</f>
        <v/>
      </c>
      <c r="V84" s="393">
        <f>IF(OR(K84="",T84=""),"",T84-K84)</f>
        <v/>
      </c>
      <c r="W84" s="395" t="n"/>
    </row>
    <row r="85">
      <c r="A85" s="389">
        <f>IF(Rechnungsstand!B79="","",Rechnungsstand!A79)</f>
        <v/>
      </c>
      <c r="B85" s="390">
        <f>IF(Rechnungsstand!B79="","",Rechnungsstand!B79)</f>
        <v/>
      </c>
      <c r="C85" s="391">
        <f>IF(Rechnungsstand!B79="","",Rechnungsstand!C79)</f>
        <v/>
      </c>
      <c r="D85" s="392">
        <f>IF(Rechnungsstand!B79="","",Rechnungsstand!F79)</f>
        <v/>
      </c>
      <c r="E85" s="393">
        <f>IF(D85="","",SUM($D$12:D85))</f>
        <v/>
      </c>
      <c r="F85" s="393">
        <f>IF(D85="","",D85*$B$7)</f>
        <v/>
      </c>
      <c r="G85" s="393">
        <f>IF(D85="","",D85*$B$8)</f>
        <v/>
      </c>
      <c r="H85" s="393">
        <f>IF(D85="","",D85*$B$9)</f>
        <v/>
      </c>
      <c r="I85" s="393">
        <f>IF(D85="","",IF(C85="Abschlagsrechnung",MAX(0,MIN(D85*$E$7,IF($E$8&gt;0,$B$6*$E$8-SUM($I$12:I84),D85*$E$7))),0))</f>
        <v/>
      </c>
      <c r="J85" s="393">
        <f>IF(D85="","",SUM(F85:I85))</f>
        <v/>
      </c>
      <c r="K85" s="393">
        <f>IF(D85="","",D85-J85)</f>
        <v/>
      </c>
      <c r="L85" s="399" t="n"/>
      <c r="M85" s="400" t="n"/>
      <c r="N85" s="401" t="n"/>
      <c r="O85" s="401" t="n"/>
      <c r="P85" s="401" t="n"/>
      <c r="Q85" s="401" t="n"/>
      <c r="R85" s="401" t="n"/>
      <c r="S85" s="393">
        <f>IF(COUNTA(O85:R85)=0,"",SUM(O85:R85))</f>
        <v/>
      </c>
      <c r="T85" s="393">
        <f>IF(N85="","",N85-IF(S85="",0,S85))</f>
        <v/>
      </c>
      <c r="U85" s="402">
        <f>IF(OR(D85="",N85=""),"",N85-D85)</f>
        <v/>
      </c>
      <c r="V85" s="393">
        <f>IF(OR(K85="",T85=""),"",T85-K85)</f>
        <v/>
      </c>
      <c r="W85" s="395" t="n"/>
    </row>
    <row r="86">
      <c r="A86" s="389">
        <f>IF(Rechnungsstand!B80="","",Rechnungsstand!A80)</f>
        <v/>
      </c>
      <c r="B86" s="390">
        <f>IF(Rechnungsstand!B80="","",Rechnungsstand!B80)</f>
        <v/>
      </c>
      <c r="C86" s="391">
        <f>IF(Rechnungsstand!B80="","",Rechnungsstand!C80)</f>
        <v/>
      </c>
      <c r="D86" s="392">
        <f>IF(Rechnungsstand!B80="","",Rechnungsstand!F80)</f>
        <v/>
      </c>
      <c r="E86" s="393">
        <f>IF(D86="","",SUM($D$12:D86))</f>
        <v/>
      </c>
      <c r="F86" s="393">
        <f>IF(D86="","",D86*$B$7)</f>
        <v/>
      </c>
      <c r="G86" s="393">
        <f>IF(D86="","",D86*$B$8)</f>
        <v/>
      </c>
      <c r="H86" s="393">
        <f>IF(D86="","",D86*$B$9)</f>
        <v/>
      </c>
      <c r="I86" s="393">
        <f>IF(D86="","",IF(C86="Abschlagsrechnung",MAX(0,MIN(D86*$E$7,IF($E$8&gt;0,$B$6*$E$8-SUM($I$12:I85),D86*$E$7))),0))</f>
        <v/>
      </c>
      <c r="J86" s="393">
        <f>IF(D86="","",SUM(F86:I86))</f>
        <v/>
      </c>
      <c r="K86" s="393">
        <f>IF(D86="","",D86-J86)</f>
        <v/>
      </c>
      <c r="L86" s="399" t="n"/>
      <c r="M86" s="400" t="n"/>
      <c r="N86" s="401" t="n"/>
      <c r="O86" s="401" t="n"/>
      <c r="P86" s="401" t="n"/>
      <c r="Q86" s="401" t="n"/>
      <c r="R86" s="401" t="n"/>
      <c r="S86" s="393">
        <f>IF(COUNTA(O86:R86)=0,"",SUM(O86:R86))</f>
        <v/>
      </c>
      <c r="T86" s="393">
        <f>IF(N86="","",N86-IF(S86="",0,S86))</f>
        <v/>
      </c>
      <c r="U86" s="402">
        <f>IF(OR(D86="",N86=""),"",N86-D86)</f>
        <v/>
      </c>
      <c r="V86" s="393">
        <f>IF(OR(K86="",T86=""),"",T86-K86)</f>
        <v/>
      </c>
      <c r="W86" s="395" t="n"/>
    </row>
    <row r="87">
      <c r="A87" s="389">
        <f>IF(Rechnungsstand!B81="","",Rechnungsstand!A81)</f>
        <v/>
      </c>
      <c r="B87" s="390">
        <f>IF(Rechnungsstand!B81="","",Rechnungsstand!B81)</f>
        <v/>
      </c>
      <c r="C87" s="391">
        <f>IF(Rechnungsstand!B81="","",Rechnungsstand!C81)</f>
        <v/>
      </c>
      <c r="D87" s="392">
        <f>IF(Rechnungsstand!B81="","",Rechnungsstand!F81)</f>
        <v/>
      </c>
      <c r="E87" s="393">
        <f>IF(D87="","",SUM($D$12:D87))</f>
        <v/>
      </c>
      <c r="F87" s="393">
        <f>IF(D87="","",D87*$B$7)</f>
        <v/>
      </c>
      <c r="G87" s="393">
        <f>IF(D87="","",D87*$B$8)</f>
        <v/>
      </c>
      <c r="H87" s="393">
        <f>IF(D87="","",D87*$B$9)</f>
        <v/>
      </c>
      <c r="I87" s="393">
        <f>IF(D87="","",IF(C87="Abschlagsrechnung",MAX(0,MIN(D87*$E$7,IF($E$8&gt;0,$B$6*$E$8-SUM($I$12:I86),D87*$E$7))),0))</f>
        <v/>
      </c>
      <c r="J87" s="393">
        <f>IF(D87="","",SUM(F87:I87))</f>
        <v/>
      </c>
      <c r="K87" s="393">
        <f>IF(D87="","",D87-J87)</f>
        <v/>
      </c>
      <c r="L87" s="399" t="n"/>
      <c r="M87" s="400" t="n"/>
      <c r="N87" s="401" t="n"/>
      <c r="O87" s="401" t="n"/>
      <c r="P87" s="401" t="n"/>
      <c r="Q87" s="401" t="n"/>
      <c r="R87" s="401" t="n"/>
      <c r="S87" s="393">
        <f>IF(COUNTA(O87:R87)=0,"",SUM(O87:R87))</f>
        <v/>
      </c>
      <c r="T87" s="393">
        <f>IF(N87="","",N87-IF(S87="",0,S87))</f>
        <v/>
      </c>
      <c r="U87" s="402">
        <f>IF(OR(D87="",N87=""),"",N87-D87)</f>
        <v/>
      </c>
      <c r="V87" s="393">
        <f>IF(OR(K87="",T87=""),"",T87-K87)</f>
        <v/>
      </c>
      <c r="W87" s="395" t="n"/>
    </row>
    <row r="88">
      <c r="A88" s="389">
        <f>IF(Rechnungsstand!B82="","",Rechnungsstand!A82)</f>
        <v/>
      </c>
      <c r="B88" s="390">
        <f>IF(Rechnungsstand!B82="","",Rechnungsstand!B82)</f>
        <v/>
      </c>
      <c r="C88" s="391">
        <f>IF(Rechnungsstand!B82="","",Rechnungsstand!C82)</f>
        <v/>
      </c>
      <c r="D88" s="392">
        <f>IF(Rechnungsstand!B82="","",Rechnungsstand!F82)</f>
        <v/>
      </c>
      <c r="E88" s="393">
        <f>IF(D88="","",SUM($D$12:D88))</f>
        <v/>
      </c>
      <c r="F88" s="393">
        <f>IF(D88="","",D88*$B$7)</f>
        <v/>
      </c>
      <c r="G88" s="393">
        <f>IF(D88="","",D88*$B$8)</f>
        <v/>
      </c>
      <c r="H88" s="393">
        <f>IF(D88="","",D88*$B$9)</f>
        <v/>
      </c>
      <c r="I88" s="393">
        <f>IF(D88="","",IF(C88="Abschlagsrechnung",MAX(0,MIN(D88*$E$7,IF($E$8&gt;0,$B$6*$E$8-SUM($I$12:I87),D88*$E$7))),0))</f>
        <v/>
      </c>
      <c r="J88" s="393">
        <f>IF(D88="","",SUM(F88:I88))</f>
        <v/>
      </c>
      <c r="K88" s="393">
        <f>IF(D88="","",D88-J88)</f>
        <v/>
      </c>
      <c r="L88" s="399" t="n"/>
      <c r="M88" s="400" t="n"/>
      <c r="N88" s="401" t="n"/>
      <c r="O88" s="401" t="n"/>
      <c r="P88" s="401" t="n"/>
      <c r="Q88" s="401" t="n"/>
      <c r="R88" s="401" t="n"/>
      <c r="S88" s="393">
        <f>IF(COUNTA(O88:R88)=0,"",SUM(O88:R88))</f>
        <v/>
      </c>
      <c r="T88" s="393">
        <f>IF(N88="","",N88-IF(S88="",0,S88))</f>
        <v/>
      </c>
      <c r="U88" s="402">
        <f>IF(OR(D88="",N88=""),"",N88-D88)</f>
        <v/>
      </c>
      <c r="V88" s="393">
        <f>IF(OR(K88="",T88=""),"",T88-K88)</f>
        <v/>
      </c>
      <c r="W88" s="395" t="n"/>
    </row>
    <row r="89">
      <c r="A89" s="389">
        <f>IF(Rechnungsstand!B83="","",Rechnungsstand!A83)</f>
        <v/>
      </c>
      <c r="B89" s="390">
        <f>IF(Rechnungsstand!B83="","",Rechnungsstand!B83)</f>
        <v/>
      </c>
      <c r="C89" s="391">
        <f>IF(Rechnungsstand!B83="","",Rechnungsstand!C83)</f>
        <v/>
      </c>
      <c r="D89" s="392">
        <f>IF(Rechnungsstand!B83="","",Rechnungsstand!F83)</f>
        <v/>
      </c>
      <c r="E89" s="393">
        <f>IF(D89="","",SUM($D$12:D89))</f>
        <v/>
      </c>
      <c r="F89" s="393">
        <f>IF(D89="","",D89*$B$7)</f>
        <v/>
      </c>
      <c r="G89" s="393">
        <f>IF(D89="","",D89*$B$8)</f>
        <v/>
      </c>
      <c r="H89" s="393">
        <f>IF(D89="","",D89*$B$9)</f>
        <v/>
      </c>
      <c r="I89" s="393">
        <f>IF(D89="","",IF(C89="Abschlagsrechnung",MAX(0,MIN(D89*$E$7,IF($E$8&gt;0,$B$6*$E$8-SUM($I$12:I88),D89*$E$7))),0))</f>
        <v/>
      </c>
      <c r="J89" s="393">
        <f>IF(D89="","",SUM(F89:I89))</f>
        <v/>
      </c>
      <c r="K89" s="393">
        <f>IF(D89="","",D89-J89)</f>
        <v/>
      </c>
      <c r="L89" s="399" t="n"/>
      <c r="M89" s="400" t="n"/>
      <c r="N89" s="401" t="n"/>
      <c r="O89" s="401" t="n"/>
      <c r="P89" s="401" t="n"/>
      <c r="Q89" s="401" t="n"/>
      <c r="R89" s="401" t="n"/>
      <c r="S89" s="393">
        <f>IF(COUNTA(O89:R89)=0,"",SUM(O89:R89))</f>
        <v/>
      </c>
      <c r="T89" s="393">
        <f>IF(N89="","",N89-IF(S89="",0,S89))</f>
        <v/>
      </c>
      <c r="U89" s="402">
        <f>IF(OR(D89="",N89=""),"",N89-D89)</f>
        <v/>
      </c>
      <c r="V89" s="393">
        <f>IF(OR(K89="",T89=""),"",T89-K89)</f>
        <v/>
      </c>
      <c r="W89" s="395" t="n"/>
    </row>
    <row r="90">
      <c r="A90" s="389">
        <f>IF(Rechnungsstand!B84="","",Rechnungsstand!A84)</f>
        <v/>
      </c>
      <c r="B90" s="390">
        <f>IF(Rechnungsstand!B84="","",Rechnungsstand!B84)</f>
        <v/>
      </c>
      <c r="C90" s="391">
        <f>IF(Rechnungsstand!B84="","",Rechnungsstand!C84)</f>
        <v/>
      </c>
      <c r="D90" s="392">
        <f>IF(Rechnungsstand!B84="","",Rechnungsstand!F84)</f>
        <v/>
      </c>
      <c r="E90" s="393">
        <f>IF(D90="","",SUM($D$12:D90))</f>
        <v/>
      </c>
      <c r="F90" s="393">
        <f>IF(D90="","",D90*$B$7)</f>
        <v/>
      </c>
      <c r="G90" s="393">
        <f>IF(D90="","",D90*$B$8)</f>
        <v/>
      </c>
      <c r="H90" s="393">
        <f>IF(D90="","",D90*$B$9)</f>
        <v/>
      </c>
      <c r="I90" s="393">
        <f>IF(D90="","",IF(C90="Abschlagsrechnung",MAX(0,MIN(D90*$E$7,IF($E$8&gt;0,$B$6*$E$8-SUM($I$12:I89),D90*$E$7))),0))</f>
        <v/>
      </c>
      <c r="J90" s="393">
        <f>IF(D90="","",SUM(F90:I90))</f>
        <v/>
      </c>
      <c r="K90" s="393">
        <f>IF(D90="","",D90-J90)</f>
        <v/>
      </c>
      <c r="L90" s="399" t="n"/>
      <c r="M90" s="400" t="n"/>
      <c r="N90" s="401" t="n"/>
      <c r="O90" s="401" t="n"/>
      <c r="P90" s="401" t="n"/>
      <c r="Q90" s="401" t="n"/>
      <c r="R90" s="401" t="n"/>
      <c r="S90" s="393">
        <f>IF(COUNTA(O90:R90)=0,"",SUM(O90:R90))</f>
        <v/>
      </c>
      <c r="T90" s="393">
        <f>IF(N90="","",N90-IF(S90="",0,S90))</f>
        <v/>
      </c>
      <c r="U90" s="402">
        <f>IF(OR(D90="",N90=""),"",N90-D90)</f>
        <v/>
      </c>
      <c r="V90" s="393">
        <f>IF(OR(K90="",T90=""),"",T90-K90)</f>
        <v/>
      </c>
      <c r="W90" s="395" t="n"/>
    </row>
    <row r="91">
      <c r="A91" s="389">
        <f>IF(Rechnungsstand!B85="","",Rechnungsstand!A85)</f>
        <v/>
      </c>
      <c r="B91" s="390">
        <f>IF(Rechnungsstand!B85="","",Rechnungsstand!B85)</f>
        <v/>
      </c>
      <c r="C91" s="391">
        <f>IF(Rechnungsstand!B85="","",Rechnungsstand!C85)</f>
        <v/>
      </c>
      <c r="D91" s="392">
        <f>IF(Rechnungsstand!B85="","",Rechnungsstand!F85)</f>
        <v/>
      </c>
      <c r="E91" s="393">
        <f>IF(D91="","",SUM($D$12:D91))</f>
        <v/>
      </c>
      <c r="F91" s="393">
        <f>IF(D91="","",D91*$B$7)</f>
        <v/>
      </c>
      <c r="G91" s="393">
        <f>IF(D91="","",D91*$B$8)</f>
        <v/>
      </c>
      <c r="H91" s="393">
        <f>IF(D91="","",D91*$B$9)</f>
        <v/>
      </c>
      <c r="I91" s="393">
        <f>IF(D91="","",IF(C91="Abschlagsrechnung",MAX(0,MIN(D91*$E$7,IF($E$8&gt;0,$B$6*$E$8-SUM($I$12:I90),D91*$E$7))),0))</f>
        <v/>
      </c>
      <c r="J91" s="393">
        <f>IF(D91="","",SUM(F91:I91))</f>
        <v/>
      </c>
      <c r="K91" s="393">
        <f>IF(D91="","",D91-J91)</f>
        <v/>
      </c>
      <c r="L91" s="399" t="n"/>
      <c r="M91" s="400" t="n"/>
      <c r="N91" s="401" t="n"/>
      <c r="O91" s="401" t="n"/>
      <c r="P91" s="401" t="n"/>
      <c r="Q91" s="401" t="n"/>
      <c r="R91" s="401" t="n"/>
      <c r="S91" s="393">
        <f>IF(COUNTA(O91:R91)=0,"",SUM(O91:R91))</f>
        <v/>
      </c>
      <c r="T91" s="393">
        <f>IF(N91="","",N91-IF(S91="",0,S91))</f>
        <v/>
      </c>
      <c r="U91" s="402">
        <f>IF(OR(D91="",N91=""),"",N91-D91)</f>
        <v/>
      </c>
      <c r="V91" s="393">
        <f>IF(OR(K91="",T91=""),"",T91-K91)</f>
        <v/>
      </c>
      <c r="W91" s="395" t="n"/>
    </row>
    <row r="92">
      <c r="A92" s="389">
        <f>IF(Rechnungsstand!B86="","",Rechnungsstand!A86)</f>
        <v/>
      </c>
      <c r="B92" s="390">
        <f>IF(Rechnungsstand!B86="","",Rechnungsstand!B86)</f>
        <v/>
      </c>
      <c r="C92" s="391">
        <f>IF(Rechnungsstand!B86="","",Rechnungsstand!C86)</f>
        <v/>
      </c>
      <c r="D92" s="392">
        <f>IF(Rechnungsstand!B86="","",Rechnungsstand!F86)</f>
        <v/>
      </c>
      <c r="E92" s="393">
        <f>IF(D92="","",SUM($D$12:D92))</f>
        <v/>
      </c>
      <c r="F92" s="393">
        <f>IF(D92="","",D92*$B$7)</f>
        <v/>
      </c>
      <c r="G92" s="393">
        <f>IF(D92="","",D92*$B$8)</f>
        <v/>
      </c>
      <c r="H92" s="393">
        <f>IF(D92="","",D92*$B$9)</f>
        <v/>
      </c>
      <c r="I92" s="393">
        <f>IF(D92="","",IF(C92="Abschlagsrechnung",MAX(0,MIN(D92*$E$7,IF($E$8&gt;0,$B$6*$E$8-SUM($I$12:I91),D92*$E$7))),0))</f>
        <v/>
      </c>
      <c r="J92" s="393">
        <f>IF(D92="","",SUM(F92:I92))</f>
        <v/>
      </c>
      <c r="K92" s="393">
        <f>IF(D92="","",D92-J92)</f>
        <v/>
      </c>
      <c r="L92" s="399" t="n"/>
      <c r="M92" s="400" t="n"/>
      <c r="N92" s="401" t="n"/>
      <c r="O92" s="401" t="n"/>
      <c r="P92" s="401" t="n"/>
      <c r="Q92" s="401" t="n"/>
      <c r="R92" s="401" t="n"/>
      <c r="S92" s="393">
        <f>IF(COUNTA(O92:R92)=0,"",SUM(O92:R92))</f>
        <v/>
      </c>
      <c r="T92" s="393">
        <f>IF(N92="","",N92-IF(S92="",0,S92))</f>
        <v/>
      </c>
      <c r="U92" s="402">
        <f>IF(OR(D92="",N92=""),"",N92-D92)</f>
        <v/>
      </c>
      <c r="V92" s="393">
        <f>IF(OR(K92="",T92=""),"",T92-K92)</f>
        <v/>
      </c>
      <c r="W92" s="395" t="n"/>
    </row>
    <row r="93">
      <c r="A93" s="389">
        <f>IF(Rechnungsstand!B87="","",Rechnungsstand!A87)</f>
        <v/>
      </c>
      <c r="B93" s="390">
        <f>IF(Rechnungsstand!B87="","",Rechnungsstand!B87)</f>
        <v/>
      </c>
      <c r="C93" s="391">
        <f>IF(Rechnungsstand!B87="","",Rechnungsstand!C87)</f>
        <v/>
      </c>
      <c r="D93" s="392">
        <f>IF(Rechnungsstand!B87="","",Rechnungsstand!F87)</f>
        <v/>
      </c>
      <c r="E93" s="393">
        <f>IF(D93="","",SUM($D$12:D93))</f>
        <v/>
      </c>
      <c r="F93" s="393">
        <f>IF(D93="","",D93*$B$7)</f>
        <v/>
      </c>
      <c r="G93" s="393">
        <f>IF(D93="","",D93*$B$8)</f>
        <v/>
      </c>
      <c r="H93" s="393">
        <f>IF(D93="","",D93*$B$9)</f>
        <v/>
      </c>
      <c r="I93" s="393">
        <f>IF(D93="","",IF(C93="Abschlagsrechnung",MAX(0,MIN(D93*$E$7,IF($E$8&gt;0,$B$6*$E$8-SUM($I$12:I92),D93*$E$7))),0))</f>
        <v/>
      </c>
      <c r="J93" s="393">
        <f>IF(D93="","",SUM(F93:I93))</f>
        <v/>
      </c>
      <c r="K93" s="393">
        <f>IF(D93="","",D93-J93)</f>
        <v/>
      </c>
      <c r="L93" s="399" t="n"/>
      <c r="M93" s="400" t="n"/>
      <c r="N93" s="401" t="n"/>
      <c r="O93" s="401" t="n"/>
      <c r="P93" s="401" t="n"/>
      <c r="Q93" s="401" t="n"/>
      <c r="R93" s="401" t="n"/>
      <c r="S93" s="393">
        <f>IF(COUNTA(O93:R93)=0,"",SUM(O93:R93))</f>
        <v/>
      </c>
      <c r="T93" s="393">
        <f>IF(N93="","",N93-IF(S93="",0,S93))</f>
        <v/>
      </c>
      <c r="U93" s="402">
        <f>IF(OR(D93="",N93=""),"",N93-D93)</f>
        <v/>
      </c>
      <c r="V93" s="393">
        <f>IF(OR(K93="",T93=""),"",T93-K93)</f>
        <v/>
      </c>
      <c r="W93" s="395" t="n"/>
    </row>
    <row r="94">
      <c r="A94" s="389">
        <f>IF(Rechnungsstand!B88="","",Rechnungsstand!A88)</f>
        <v/>
      </c>
      <c r="B94" s="390">
        <f>IF(Rechnungsstand!B88="","",Rechnungsstand!B88)</f>
        <v/>
      </c>
      <c r="C94" s="391">
        <f>IF(Rechnungsstand!B88="","",Rechnungsstand!C88)</f>
        <v/>
      </c>
      <c r="D94" s="392">
        <f>IF(Rechnungsstand!B88="","",Rechnungsstand!F88)</f>
        <v/>
      </c>
      <c r="E94" s="393">
        <f>IF(D94="","",SUM($D$12:D94))</f>
        <v/>
      </c>
      <c r="F94" s="393">
        <f>IF(D94="","",D94*$B$7)</f>
        <v/>
      </c>
      <c r="G94" s="393">
        <f>IF(D94="","",D94*$B$8)</f>
        <v/>
      </c>
      <c r="H94" s="393">
        <f>IF(D94="","",D94*$B$9)</f>
        <v/>
      </c>
      <c r="I94" s="393">
        <f>IF(D94="","",IF(C94="Abschlagsrechnung",MAX(0,MIN(D94*$E$7,IF($E$8&gt;0,$B$6*$E$8-SUM($I$12:I93),D94*$E$7))),0))</f>
        <v/>
      </c>
      <c r="J94" s="393">
        <f>IF(D94="","",SUM(F94:I94))</f>
        <v/>
      </c>
      <c r="K94" s="393">
        <f>IF(D94="","",D94-J94)</f>
        <v/>
      </c>
      <c r="L94" s="399" t="n"/>
      <c r="M94" s="400" t="n"/>
      <c r="N94" s="401" t="n"/>
      <c r="O94" s="401" t="n"/>
      <c r="P94" s="401" t="n"/>
      <c r="Q94" s="401" t="n"/>
      <c r="R94" s="401" t="n"/>
      <c r="S94" s="393">
        <f>IF(COUNTA(O94:R94)=0,"",SUM(O94:R94))</f>
        <v/>
      </c>
      <c r="T94" s="393">
        <f>IF(N94="","",N94-IF(S94="",0,S94))</f>
        <v/>
      </c>
      <c r="U94" s="402">
        <f>IF(OR(D94="",N94=""),"",N94-D94)</f>
        <v/>
      </c>
      <c r="V94" s="393">
        <f>IF(OR(K94="",T94=""),"",T94-K94)</f>
        <v/>
      </c>
      <c r="W94" s="395" t="n"/>
    </row>
    <row r="95">
      <c r="A95" s="389">
        <f>IF(Rechnungsstand!B89="","",Rechnungsstand!A89)</f>
        <v/>
      </c>
      <c r="B95" s="390">
        <f>IF(Rechnungsstand!B89="","",Rechnungsstand!B89)</f>
        <v/>
      </c>
      <c r="C95" s="391">
        <f>IF(Rechnungsstand!B89="","",Rechnungsstand!C89)</f>
        <v/>
      </c>
      <c r="D95" s="392">
        <f>IF(Rechnungsstand!B89="","",Rechnungsstand!F89)</f>
        <v/>
      </c>
      <c r="E95" s="393">
        <f>IF(D95="","",SUM($D$12:D95))</f>
        <v/>
      </c>
      <c r="F95" s="393">
        <f>IF(D95="","",D95*$B$7)</f>
        <v/>
      </c>
      <c r="G95" s="393">
        <f>IF(D95="","",D95*$B$8)</f>
        <v/>
      </c>
      <c r="H95" s="393">
        <f>IF(D95="","",D95*$B$9)</f>
        <v/>
      </c>
      <c r="I95" s="393">
        <f>IF(D95="","",IF(C95="Abschlagsrechnung",MAX(0,MIN(D95*$E$7,IF($E$8&gt;0,$B$6*$E$8-SUM($I$12:I94),D95*$E$7))),0))</f>
        <v/>
      </c>
      <c r="J95" s="393">
        <f>IF(D95="","",SUM(F95:I95))</f>
        <v/>
      </c>
      <c r="K95" s="393">
        <f>IF(D95="","",D95-J95)</f>
        <v/>
      </c>
      <c r="L95" s="399" t="n"/>
      <c r="M95" s="400" t="n"/>
      <c r="N95" s="401" t="n"/>
      <c r="O95" s="401" t="n"/>
      <c r="P95" s="401" t="n"/>
      <c r="Q95" s="401" t="n"/>
      <c r="R95" s="401" t="n"/>
      <c r="S95" s="393">
        <f>IF(COUNTA(O95:R95)=0,"",SUM(O95:R95))</f>
        <v/>
      </c>
      <c r="T95" s="393">
        <f>IF(N95="","",N95-IF(S95="",0,S95))</f>
        <v/>
      </c>
      <c r="U95" s="402">
        <f>IF(OR(D95="",N95=""),"",N95-D95)</f>
        <v/>
      </c>
      <c r="V95" s="393">
        <f>IF(OR(K95="",T95=""),"",T95-K95)</f>
        <v/>
      </c>
      <c r="W95" s="395" t="n"/>
    </row>
    <row r="96">
      <c r="A96" s="389">
        <f>IF(Rechnungsstand!B90="","",Rechnungsstand!A90)</f>
        <v/>
      </c>
      <c r="B96" s="390">
        <f>IF(Rechnungsstand!B90="","",Rechnungsstand!B90)</f>
        <v/>
      </c>
      <c r="C96" s="391">
        <f>IF(Rechnungsstand!B90="","",Rechnungsstand!C90)</f>
        <v/>
      </c>
      <c r="D96" s="392">
        <f>IF(Rechnungsstand!B90="","",Rechnungsstand!F90)</f>
        <v/>
      </c>
      <c r="E96" s="393">
        <f>IF(D96="","",SUM($D$12:D96))</f>
        <v/>
      </c>
      <c r="F96" s="393">
        <f>IF(D96="","",D96*$B$7)</f>
        <v/>
      </c>
      <c r="G96" s="393">
        <f>IF(D96="","",D96*$B$8)</f>
        <v/>
      </c>
      <c r="H96" s="393">
        <f>IF(D96="","",D96*$B$9)</f>
        <v/>
      </c>
      <c r="I96" s="393">
        <f>IF(D96="","",IF(C96="Abschlagsrechnung",MAX(0,MIN(D96*$E$7,IF($E$8&gt;0,$B$6*$E$8-SUM($I$12:I95),D96*$E$7))),0))</f>
        <v/>
      </c>
      <c r="J96" s="393">
        <f>IF(D96="","",SUM(F96:I96))</f>
        <v/>
      </c>
      <c r="K96" s="393">
        <f>IF(D96="","",D96-J96)</f>
        <v/>
      </c>
      <c r="L96" s="399" t="n"/>
      <c r="M96" s="400" t="n"/>
      <c r="N96" s="401" t="n"/>
      <c r="O96" s="401" t="n"/>
      <c r="P96" s="401" t="n"/>
      <c r="Q96" s="401" t="n"/>
      <c r="R96" s="401" t="n"/>
      <c r="S96" s="393">
        <f>IF(COUNTA(O96:R96)=0,"",SUM(O96:R96))</f>
        <v/>
      </c>
      <c r="T96" s="393">
        <f>IF(N96="","",N96-IF(S96="",0,S96))</f>
        <v/>
      </c>
      <c r="U96" s="402">
        <f>IF(OR(D96="",N96=""),"",N96-D96)</f>
        <v/>
      </c>
      <c r="V96" s="393">
        <f>IF(OR(K96="",T96=""),"",T96-K96)</f>
        <v/>
      </c>
      <c r="W96" s="395" t="n"/>
    </row>
    <row r="97">
      <c r="A97" s="389">
        <f>IF(Rechnungsstand!B91="","",Rechnungsstand!A91)</f>
        <v/>
      </c>
      <c r="B97" s="390">
        <f>IF(Rechnungsstand!B91="","",Rechnungsstand!B91)</f>
        <v/>
      </c>
      <c r="C97" s="391">
        <f>IF(Rechnungsstand!B91="","",Rechnungsstand!C91)</f>
        <v/>
      </c>
      <c r="D97" s="392">
        <f>IF(Rechnungsstand!B91="","",Rechnungsstand!F91)</f>
        <v/>
      </c>
      <c r="E97" s="393">
        <f>IF(D97="","",SUM($D$12:D97))</f>
        <v/>
      </c>
      <c r="F97" s="393">
        <f>IF(D97="","",D97*$B$7)</f>
        <v/>
      </c>
      <c r="G97" s="393">
        <f>IF(D97="","",D97*$B$8)</f>
        <v/>
      </c>
      <c r="H97" s="393">
        <f>IF(D97="","",D97*$B$9)</f>
        <v/>
      </c>
      <c r="I97" s="393">
        <f>IF(D97="","",IF(C97="Abschlagsrechnung",MAX(0,MIN(D97*$E$7,IF($E$8&gt;0,$B$6*$E$8-SUM($I$12:I96),D97*$E$7))),0))</f>
        <v/>
      </c>
      <c r="J97" s="393">
        <f>IF(D97="","",SUM(F97:I97))</f>
        <v/>
      </c>
      <c r="K97" s="393">
        <f>IF(D97="","",D97-J97)</f>
        <v/>
      </c>
      <c r="L97" s="399" t="n"/>
      <c r="M97" s="400" t="n"/>
      <c r="N97" s="401" t="n"/>
      <c r="O97" s="401" t="n"/>
      <c r="P97" s="401" t="n"/>
      <c r="Q97" s="401" t="n"/>
      <c r="R97" s="401" t="n"/>
      <c r="S97" s="393">
        <f>IF(COUNTA(O97:R97)=0,"",SUM(O97:R97))</f>
        <v/>
      </c>
      <c r="T97" s="393">
        <f>IF(N97="","",N97-IF(S97="",0,S97))</f>
        <v/>
      </c>
      <c r="U97" s="402">
        <f>IF(OR(D97="",N97=""),"",N97-D97)</f>
        <v/>
      </c>
      <c r="V97" s="393">
        <f>IF(OR(K97="",T97=""),"",T97-K97)</f>
        <v/>
      </c>
      <c r="W97" s="395" t="n"/>
    </row>
    <row r="98">
      <c r="A98" s="389">
        <f>IF(Rechnungsstand!B92="","",Rechnungsstand!A92)</f>
        <v/>
      </c>
      <c r="B98" s="390">
        <f>IF(Rechnungsstand!B92="","",Rechnungsstand!B92)</f>
        <v/>
      </c>
      <c r="C98" s="391">
        <f>IF(Rechnungsstand!B92="","",Rechnungsstand!C92)</f>
        <v/>
      </c>
      <c r="D98" s="392">
        <f>IF(Rechnungsstand!B92="","",Rechnungsstand!F92)</f>
        <v/>
      </c>
      <c r="E98" s="393">
        <f>IF(D98="","",SUM($D$12:D98))</f>
        <v/>
      </c>
      <c r="F98" s="393">
        <f>IF(D98="","",D98*$B$7)</f>
        <v/>
      </c>
      <c r="G98" s="393">
        <f>IF(D98="","",D98*$B$8)</f>
        <v/>
      </c>
      <c r="H98" s="393">
        <f>IF(D98="","",D98*$B$9)</f>
        <v/>
      </c>
      <c r="I98" s="393">
        <f>IF(D98="","",IF(C98="Abschlagsrechnung",MAX(0,MIN(D98*$E$7,IF($E$8&gt;0,$B$6*$E$8-SUM($I$12:I97),D98*$E$7))),0))</f>
        <v/>
      </c>
      <c r="J98" s="393">
        <f>IF(D98="","",SUM(F98:I98))</f>
        <v/>
      </c>
      <c r="K98" s="393">
        <f>IF(D98="","",D98-J98)</f>
        <v/>
      </c>
      <c r="L98" s="399" t="n"/>
      <c r="M98" s="400" t="n"/>
      <c r="N98" s="401" t="n"/>
      <c r="O98" s="401" t="n"/>
      <c r="P98" s="401" t="n"/>
      <c r="Q98" s="401" t="n"/>
      <c r="R98" s="401" t="n"/>
      <c r="S98" s="393">
        <f>IF(COUNTA(O98:R98)=0,"",SUM(O98:R98))</f>
        <v/>
      </c>
      <c r="T98" s="393">
        <f>IF(N98="","",N98-IF(S98="",0,S98))</f>
        <v/>
      </c>
      <c r="U98" s="402">
        <f>IF(OR(D98="",N98=""),"",N98-D98)</f>
        <v/>
      </c>
      <c r="V98" s="393">
        <f>IF(OR(K98="",T98=""),"",T98-K98)</f>
        <v/>
      </c>
      <c r="W98" s="395" t="n"/>
    </row>
    <row r="99">
      <c r="A99" s="389">
        <f>IF(Rechnungsstand!B93="","",Rechnungsstand!A93)</f>
        <v/>
      </c>
      <c r="B99" s="390">
        <f>IF(Rechnungsstand!B93="","",Rechnungsstand!B93)</f>
        <v/>
      </c>
      <c r="C99" s="391">
        <f>IF(Rechnungsstand!B93="","",Rechnungsstand!C93)</f>
        <v/>
      </c>
      <c r="D99" s="392">
        <f>IF(Rechnungsstand!B93="","",Rechnungsstand!F93)</f>
        <v/>
      </c>
      <c r="E99" s="393">
        <f>IF(D99="","",SUM($D$12:D99))</f>
        <v/>
      </c>
      <c r="F99" s="393">
        <f>IF(D99="","",D99*$B$7)</f>
        <v/>
      </c>
      <c r="G99" s="393">
        <f>IF(D99="","",D99*$B$8)</f>
        <v/>
      </c>
      <c r="H99" s="393">
        <f>IF(D99="","",D99*$B$9)</f>
        <v/>
      </c>
      <c r="I99" s="393">
        <f>IF(D99="","",IF(C99="Abschlagsrechnung",MAX(0,MIN(D99*$E$7,IF($E$8&gt;0,$B$6*$E$8-SUM($I$12:I98),D99*$E$7))),0))</f>
        <v/>
      </c>
      <c r="J99" s="393">
        <f>IF(D99="","",SUM(F99:I99))</f>
        <v/>
      </c>
      <c r="K99" s="393">
        <f>IF(D99="","",D99-J99)</f>
        <v/>
      </c>
      <c r="L99" s="399" t="n"/>
      <c r="M99" s="400" t="n"/>
      <c r="N99" s="401" t="n"/>
      <c r="O99" s="401" t="n"/>
      <c r="P99" s="401" t="n"/>
      <c r="Q99" s="401" t="n"/>
      <c r="R99" s="401" t="n"/>
      <c r="S99" s="393">
        <f>IF(COUNTA(O99:R99)=0,"",SUM(O99:R99))</f>
        <v/>
      </c>
      <c r="T99" s="393">
        <f>IF(N99="","",N99-IF(S99="",0,S99))</f>
        <v/>
      </c>
      <c r="U99" s="402">
        <f>IF(OR(D99="",N99=""),"",N99-D99)</f>
        <v/>
      </c>
      <c r="V99" s="393">
        <f>IF(OR(K99="",T99=""),"",T99-K99)</f>
        <v/>
      </c>
      <c r="W99" s="395" t="n"/>
    </row>
    <row r="100">
      <c r="A100" s="389">
        <f>IF(Rechnungsstand!B94="","",Rechnungsstand!A94)</f>
        <v/>
      </c>
      <c r="B100" s="390">
        <f>IF(Rechnungsstand!B94="","",Rechnungsstand!B94)</f>
        <v/>
      </c>
      <c r="C100" s="391">
        <f>IF(Rechnungsstand!B94="","",Rechnungsstand!C94)</f>
        <v/>
      </c>
      <c r="D100" s="392">
        <f>IF(Rechnungsstand!B94="","",Rechnungsstand!F94)</f>
        <v/>
      </c>
      <c r="E100" s="393">
        <f>IF(D100="","",SUM($D$12:D100))</f>
        <v/>
      </c>
      <c r="F100" s="393">
        <f>IF(D100="","",D100*$B$7)</f>
        <v/>
      </c>
      <c r="G100" s="393">
        <f>IF(D100="","",D100*$B$8)</f>
        <v/>
      </c>
      <c r="H100" s="393">
        <f>IF(D100="","",D100*$B$9)</f>
        <v/>
      </c>
      <c r="I100" s="393">
        <f>IF(D100="","",IF(C100="Abschlagsrechnung",MAX(0,MIN(D100*$E$7,IF($E$8&gt;0,$B$6*$E$8-SUM($I$12:I99),D100*$E$7))),0))</f>
        <v/>
      </c>
      <c r="J100" s="393">
        <f>IF(D100="","",SUM(F100:I100))</f>
        <v/>
      </c>
      <c r="K100" s="393">
        <f>IF(D100="","",D100-J100)</f>
        <v/>
      </c>
      <c r="L100" s="399" t="n"/>
      <c r="M100" s="400" t="n"/>
      <c r="N100" s="401" t="n"/>
      <c r="O100" s="401" t="n"/>
      <c r="P100" s="401" t="n"/>
      <c r="Q100" s="401" t="n"/>
      <c r="R100" s="401" t="n"/>
      <c r="S100" s="393">
        <f>IF(COUNTA(O100:R100)=0,"",SUM(O100:R100))</f>
        <v/>
      </c>
      <c r="T100" s="393">
        <f>IF(N100="","",N100-IF(S100="",0,S100))</f>
        <v/>
      </c>
      <c r="U100" s="402">
        <f>IF(OR(D100="",N100=""),"",N100-D100)</f>
        <v/>
      </c>
      <c r="V100" s="393">
        <f>IF(OR(K100="",T100=""),"",T100-K100)</f>
        <v/>
      </c>
      <c r="W100" s="395" t="n"/>
    </row>
    <row r="101">
      <c r="A101" s="389">
        <f>IF(Rechnungsstand!B95="","",Rechnungsstand!A95)</f>
        <v/>
      </c>
      <c r="B101" s="390">
        <f>IF(Rechnungsstand!B95="","",Rechnungsstand!B95)</f>
        <v/>
      </c>
      <c r="C101" s="391">
        <f>IF(Rechnungsstand!B95="","",Rechnungsstand!C95)</f>
        <v/>
      </c>
      <c r="D101" s="392">
        <f>IF(Rechnungsstand!B95="","",Rechnungsstand!F95)</f>
        <v/>
      </c>
      <c r="E101" s="393">
        <f>IF(D101="","",SUM($D$12:D101))</f>
        <v/>
      </c>
      <c r="F101" s="393">
        <f>IF(D101="","",D101*$B$7)</f>
        <v/>
      </c>
      <c r="G101" s="393">
        <f>IF(D101="","",D101*$B$8)</f>
        <v/>
      </c>
      <c r="H101" s="393">
        <f>IF(D101="","",D101*$B$9)</f>
        <v/>
      </c>
      <c r="I101" s="393">
        <f>IF(D101="","",IF(C101="Abschlagsrechnung",MAX(0,MIN(D101*$E$7,IF($E$8&gt;0,$B$6*$E$8-SUM($I$12:I100),D101*$E$7))),0))</f>
        <v/>
      </c>
      <c r="J101" s="393">
        <f>IF(D101="","",SUM(F101:I101))</f>
        <v/>
      </c>
      <c r="K101" s="393">
        <f>IF(D101="","",D101-J101)</f>
        <v/>
      </c>
      <c r="L101" s="399" t="n"/>
      <c r="M101" s="400" t="n"/>
      <c r="N101" s="401" t="n"/>
      <c r="O101" s="401" t="n"/>
      <c r="P101" s="401" t="n"/>
      <c r="Q101" s="401" t="n"/>
      <c r="R101" s="401" t="n"/>
      <c r="S101" s="393">
        <f>IF(COUNTA(O101:R101)=0,"",SUM(O101:R101))</f>
        <v/>
      </c>
      <c r="T101" s="393">
        <f>IF(N101="","",N101-IF(S101="",0,S101))</f>
        <v/>
      </c>
      <c r="U101" s="402">
        <f>IF(OR(D101="",N101=""),"",N101-D101)</f>
        <v/>
      </c>
      <c r="V101" s="393">
        <f>IF(OR(K101="",T101=""),"",T101-K101)</f>
        <v/>
      </c>
      <c r="W101" s="395" t="n"/>
    </row>
    <row r="102">
      <c r="A102" s="389">
        <f>IF(Rechnungsstand!B96="","",Rechnungsstand!A96)</f>
        <v/>
      </c>
      <c r="B102" s="390">
        <f>IF(Rechnungsstand!B96="","",Rechnungsstand!B96)</f>
        <v/>
      </c>
      <c r="C102" s="391">
        <f>IF(Rechnungsstand!B96="","",Rechnungsstand!C96)</f>
        <v/>
      </c>
      <c r="D102" s="392">
        <f>IF(Rechnungsstand!B96="","",Rechnungsstand!F96)</f>
        <v/>
      </c>
      <c r="E102" s="393">
        <f>IF(D102="","",SUM($D$12:D102))</f>
        <v/>
      </c>
      <c r="F102" s="393">
        <f>IF(D102="","",D102*$B$7)</f>
        <v/>
      </c>
      <c r="G102" s="393">
        <f>IF(D102="","",D102*$B$8)</f>
        <v/>
      </c>
      <c r="H102" s="393">
        <f>IF(D102="","",D102*$B$9)</f>
        <v/>
      </c>
      <c r="I102" s="393">
        <f>IF(D102="","",IF(C102="Abschlagsrechnung",MAX(0,MIN(D102*$E$7,IF($E$8&gt;0,$B$6*$E$8-SUM($I$12:I101),D102*$E$7))),0))</f>
        <v/>
      </c>
      <c r="J102" s="393">
        <f>IF(D102="","",SUM(F102:I102))</f>
        <v/>
      </c>
      <c r="K102" s="393">
        <f>IF(D102="","",D102-J102)</f>
        <v/>
      </c>
      <c r="L102" s="399" t="n"/>
      <c r="M102" s="400" t="n"/>
      <c r="N102" s="401" t="n"/>
      <c r="O102" s="401" t="n"/>
      <c r="P102" s="401" t="n"/>
      <c r="Q102" s="401" t="n"/>
      <c r="R102" s="401" t="n"/>
      <c r="S102" s="393">
        <f>IF(COUNTA(O102:R102)=0,"",SUM(O102:R102))</f>
        <v/>
      </c>
      <c r="T102" s="393">
        <f>IF(N102="","",N102-IF(S102="",0,S102))</f>
        <v/>
      </c>
      <c r="U102" s="402">
        <f>IF(OR(D102="",N102=""),"",N102-D102)</f>
        <v/>
      </c>
      <c r="V102" s="393">
        <f>IF(OR(K102="",T102=""),"",T102-K102)</f>
        <v/>
      </c>
      <c r="W102" s="395" t="n"/>
    </row>
    <row r="103">
      <c r="A103" s="389">
        <f>IF(Rechnungsstand!B97="","",Rechnungsstand!A97)</f>
        <v/>
      </c>
      <c r="B103" s="390">
        <f>IF(Rechnungsstand!B97="","",Rechnungsstand!B97)</f>
        <v/>
      </c>
      <c r="C103" s="391">
        <f>IF(Rechnungsstand!B97="","",Rechnungsstand!C97)</f>
        <v/>
      </c>
      <c r="D103" s="392">
        <f>IF(Rechnungsstand!B97="","",Rechnungsstand!F97)</f>
        <v/>
      </c>
      <c r="E103" s="393">
        <f>IF(D103="","",SUM($D$12:D103))</f>
        <v/>
      </c>
      <c r="F103" s="393">
        <f>IF(D103="","",D103*$B$7)</f>
        <v/>
      </c>
      <c r="G103" s="393">
        <f>IF(D103="","",D103*$B$8)</f>
        <v/>
      </c>
      <c r="H103" s="393">
        <f>IF(D103="","",D103*$B$9)</f>
        <v/>
      </c>
      <c r="I103" s="393">
        <f>IF(D103="","",IF(C103="Abschlagsrechnung",MAX(0,MIN(D103*$E$7,IF($E$8&gt;0,$B$6*$E$8-SUM($I$12:I102),D103*$E$7))),0))</f>
        <v/>
      </c>
      <c r="J103" s="393">
        <f>IF(D103="","",SUM(F103:I103))</f>
        <v/>
      </c>
      <c r="K103" s="393">
        <f>IF(D103="","",D103-J103)</f>
        <v/>
      </c>
      <c r="L103" s="399" t="n"/>
      <c r="M103" s="400" t="n"/>
      <c r="N103" s="401" t="n"/>
      <c r="O103" s="401" t="n"/>
      <c r="P103" s="401" t="n"/>
      <c r="Q103" s="401" t="n"/>
      <c r="R103" s="401" t="n"/>
      <c r="S103" s="393">
        <f>IF(COUNTA(O103:R103)=0,"",SUM(O103:R103))</f>
        <v/>
      </c>
      <c r="T103" s="393">
        <f>IF(N103="","",N103-IF(S103="",0,S103))</f>
        <v/>
      </c>
      <c r="U103" s="402">
        <f>IF(OR(D103="",N103=""),"",N103-D103)</f>
        <v/>
      </c>
      <c r="V103" s="393">
        <f>IF(OR(K103="",T103=""),"",T103-K103)</f>
        <v/>
      </c>
      <c r="W103" s="395" t="n"/>
    </row>
    <row r="104">
      <c r="A104" s="389">
        <f>IF(Rechnungsstand!B98="","",Rechnungsstand!A98)</f>
        <v/>
      </c>
      <c r="B104" s="390">
        <f>IF(Rechnungsstand!B98="","",Rechnungsstand!B98)</f>
        <v/>
      </c>
      <c r="C104" s="391">
        <f>IF(Rechnungsstand!B98="","",Rechnungsstand!C98)</f>
        <v/>
      </c>
      <c r="D104" s="392">
        <f>IF(Rechnungsstand!B98="","",Rechnungsstand!F98)</f>
        <v/>
      </c>
      <c r="E104" s="393">
        <f>IF(D104="","",SUM($D$12:D104))</f>
        <v/>
      </c>
      <c r="F104" s="393">
        <f>IF(D104="","",D104*$B$7)</f>
        <v/>
      </c>
      <c r="G104" s="393">
        <f>IF(D104="","",D104*$B$8)</f>
        <v/>
      </c>
      <c r="H104" s="393">
        <f>IF(D104="","",D104*$B$9)</f>
        <v/>
      </c>
      <c r="I104" s="393">
        <f>IF(D104="","",IF(C104="Abschlagsrechnung",MAX(0,MIN(D104*$E$7,IF($E$8&gt;0,$B$6*$E$8-SUM($I$12:I103),D104*$E$7))),0))</f>
        <v/>
      </c>
      <c r="J104" s="393">
        <f>IF(D104="","",SUM(F104:I104))</f>
        <v/>
      </c>
      <c r="K104" s="393">
        <f>IF(D104="","",D104-J104)</f>
        <v/>
      </c>
      <c r="L104" s="399" t="n"/>
      <c r="M104" s="400" t="n"/>
      <c r="N104" s="401" t="n"/>
      <c r="O104" s="401" t="n"/>
      <c r="P104" s="401" t="n"/>
      <c r="Q104" s="401" t="n"/>
      <c r="R104" s="401" t="n"/>
      <c r="S104" s="393">
        <f>IF(COUNTA(O104:R104)=0,"",SUM(O104:R104))</f>
        <v/>
      </c>
      <c r="T104" s="393">
        <f>IF(N104="","",N104-IF(S104="",0,S104))</f>
        <v/>
      </c>
      <c r="U104" s="402">
        <f>IF(OR(D104="",N104=""),"",N104-D104)</f>
        <v/>
      </c>
      <c r="V104" s="393">
        <f>IF(OR(K104="",T104=""),"",T104-K104)</f>
        <v/>
      </c>
      <c r="W104" s="395" t="n"/>
    </row>
    <row r="105">
      <c r="A105" s="389">
        <f>IF(Rechnungsstand!B99="","",Rechnungsstand!A99)</f>
        <v/>
      </c>
      <c r="B105" s="390">
        <f>IF(Rechnungsstand!B99="","",Rechnungsstand!B99)</f>
        <v/>
      </c>
      <c r="C105" s="391">
        <f>IF(Rechnungsstand!B99="","",Rechnungsstand!C99)</f>
        <v/>
      </c>
      <c r="D105" s="392">
        <f>IF(Rechnungsstand!B99="","",Rechnungsstand!F99)</f>
        <v/>
      </c>
      <c r="E105" s="393">
        <f>IF(D105="","",SUM($D$12:D105))</f>
        <v/>
      </c>
      <c r="F105" s="393">
        <f>IF(D105="","",D105*$B$7)</f>
        <v/>
      </c>
      <c r="G105" s="393">
        <f>IF(D105="","",D105*$B$8)</f>
        <v/>
      </c>
      <c r="H105" s="393">
        <f>IF(D105="","",D105*$B$9)</f>
        <v/>
      </c>
      <c r="I105" s="393">
        <f>IF(D105="","",IF(C105="Abschlagsrechnung",MAX(0,MIN(D105*$E$7,IF($E$8&gt;0,$B$6*$E$8-SUM($I$12:I104),D105*$E$7))),0))</f>
        <v/>
      </c>
      <c r="J105" s="393">
        <f>IF(D105="","",SUM(F105:I105))</f>
        <v/>
      </c>
      <c r="K105" s="393">
        <f>IF(D105="","",D105-J105)</f>
        <v/>
      </c>
      <c r="L105" s="399" t="n"/>
      <c r="M105" s="400" t="n"/>
      <c r="N105" s="401" t="n"/>
      <c r="O105" s="401" t="n"/>
      <c r="P105" s="401" t="n"/>
      <c r="Q105" s="401" t="n"/>
      <c r="R105" s="401" t="n"/>
      <c r="S105" s="393">
        <f>IF(COUNTA(O105:R105)=0,"",SUM(O105:R105))</f>
        <v/>
      </c>
      <c r="T105" s="393">
        <f>IF(N105="","",N105-IF(S105="",0,S105))</f>
        <v/>
      </c>
      <c r="U105" s="402">
        <f>IF(OR(D105="",N105=""),"",N105-D105)</f>
        <v/>
      </c>
      <c r="V105" s="393">
        <f>IF(OR(K105="",T105=""),"",T105-K105)</f>
        <v/>
      </c>
      <c r="W105" s="395" t="n"/>
    </row>
    <row r="106">
      <c r="A106" s="389">
        <f>IF(Rechnungsstand!B100="","",Rechnungsstand!A100)</f>
        <v/>
      </c>
      <c r="B106" s="390">
        <f>IF(Rechnungsstand!B100="","",Rechnungsstand!B100)</f>
        <v/>
      </c>
      <c r="C106" s="391">
        <f>IF(Rechnungsstand!B100="","",Rechnungsstand!C100)</f>
        <v/>
      </c>
      <c r="D106" s="392">
        <f>IF(Rechnungsstand!B100="","",Rechnungsstand!F100)</f>
        <v/>
      </c>
      <c r="E106" s="393">
        <f>IF(D106="","",SUM($D$12:D106))</f>
        <v/>
      </c>
      <c r="F106" s="393">
        <f>IF(D106="","",D106*$B$7)</f>
        <v/>
      </c>
      <c r="G106" s="393">
        <f>IF(D106="","",D106*$B$8)</f>
        <v/>
      </c>
      <c r="H106" s="393">
        <f>IF(D106="","",D106*$B$9)</f>
        <v/>
      </c>
      <c r="I106" s="393">
        <f>IF(D106="","",IF(C106="Abschlagsrechnung",MAX(0,MIN(D106*$E$7,IF($E$8&gt;0,$B$6*$E$8-SUM($I$12:I105),D106*$E$7))),0))</f>
        <v/>
      </c>
      <c r="J106" s="393">
        <f>IF(D106="","",SUM(F106:I106))</f>
        <v/>
      </c>
      <c r="K106" s="393">
        <f>IF(D106="","",D106-J106)</f>
        <v/>
      </c>
      <c r="L106" s="399" t="n"/>
      <c r="M106" s="400" t="n"/>
      <c r="N106" s="401" t="n"/>
      <c r="O106" s="401" t="n"/>
      <c r="P106" s="401" t="n"/>
      <c r="Q106" s="401" t="n"/>
      <c r="R106" s="401" t="n"/>
      <c r="S106" s="393">
        <f>IF(COUNTA(O106:R106)=0,"",SUM(O106:R106))</f>
        <v/>
      </c>
      <c r="T106" s="393">
        <f>IF(N106="","",N106-IF(S106="",0,S106))</f>
        <v/>
      </c>
      <c r="U106" s="402">
        <f>IF(OR(D106="",N106=""),"",N106-D106)</f>
        <v/>
      </c>
      <c r="V106" s="393">
        <f>IF(OR(K106="",T106=""),"",T106-K106)</f>
        <v/>
      </c>
      <c r="W106" s="395" t="n"/>
    </row>
    <row r="107">
      <c r="A107" s="389">
        <f>IF(Rechnungsstand!B101="","",Rechnungsstand!A101)</f>
        <v/>
      </c>
      <c r="B107" s="390">
        <f>IF(Rechnungsstand!B101="","",Rechnungsstand!B101)</f>
        <v/>
      </c>
      <c r="C107" s="391">
        <f>IF(Rechnungsstand!B101="","",Rechnungsstand!C101)</f>
        <v/>
      </c>
      <c r="D107" s="392">
        <f>IF(Rechnungsstand!B101="","",Rechnungsstand!F101)</f>
        <v/>
      </c>
      <c r="E107" s="393">
        <f>IF(D107="","",SUM($D$12:D107))</f>
        <v/>
      </c>
      <c r="F107" s="393">
        <f>IF(D107="","",D107*$B$7)</f>
        <v/>
      </c>
      <c r="G107" s="393">
        <f>IF(D107="","",D107*$B$8)</f>
        <v/>
      </c>
      <c r="H107" s="393">
        <f>IF(D107="","",D107*$B$9)</f>
        <v/>
      </c>
      <c r="I107" s="393">
        <f>IF(D107="","",IF(C107="Abschlagsrechnung",MAX(0,MIN(D107*$E$7,IF($E$8&gt;0,$B$6*$E$8-SUM($I$12:I106),D107*$E$7))),0))</f>
        <v/>
      </c>
      <c r="J107" s="393">
        <f>IF(D107="","",SUM(F107:I107))</f>
        <v/>
      </c>
      <c r="K107" s="393">
        <f>IF(D107="","",D107-J107)</f>
        <v/>
      </c>
      <c r="L107" s="399" t="n"/>
      <c r="M107" s="400" t="n"/>
      <c r="N107" s="401" t="n"/>
      <c r="O107" s="401" t="n"/>
      <c r="P107" s="401" t="n"/>
      <c r="Q107" s="401" t="n"/>
      <c r="R107" s="401" t="n"/>
      <c r="S107" s="393">
        <f>IF(COUNTA(O107:R107)=0,"",SUM(O107:R107))</f>
        <v/>
      </c>
      <c r="T107" s="393">
        <f>IF(N107="","",N107-IF(S107="",0,S107))</f>
        <v/>
      </c>
      <c r="U107" s="402">
        <f>IF(OR(D107="",N107=""),"",N107-D107)</f>
        <v/>
      </c>
      <c r="V107" s="393">
        <f>IF(OR(K107="",T107=""),"",T107-K107)</f>
        <v/>
      </c>
      <c r="W107" s="395" t="n"/>
    </row>
    <row r="108">
      <c r="A108" s="389">
        <f>IF(Rechnungsstand!B102="","",Rechnungsstand!A102)</f>
        <v/>
      </c>
      <c r="B108" s="390">
        <f>IF(Rechnungsstand!B102="","",Rechnungsstand!B102)</f>
        <v/>
      </c>
      <c r="C108" s="391">
        <f>IF(Rechnungsstand!B102="","",Rechnungsstand!C102)</f>
        <v/>
      </c>
      <c r="D108" s="392">
        <f>IF(Rechnungsstand!B102="","",Rechnungsstand!F102)</f>
        <v/>
      </c>
      <c r="E108" s="393">
        <f>IF(D108="","",SUM($D$12:D108))</f>
        <v/>
      </c>
      <c r="F108" s="393">
        <f>IF(D108="","",D108*$B$7)</f>
        <v/>
      </c>
      <c r="G108" s="393">
        <f>IF(D108="","",D108*$B$8)</f>
        <v/>
      </c>
      <c r="H108" s="393">
        <f>IF(D108="","",D108*$B$9)</f>
        <v/>
      </c>
      <c r="I108" s="393">
        <f>IF(D108="","",IF(C108="Abschlagsrechnung",MAX(0,MIN(D108*$E$7,IF($E$8&gt;0,$B$6*$E$8-SUM($I$12:I107),D108*$E$7))),0))</f>
        <v/>
      </c>
      <c r="J108" s="393">
        <f>IF(D108="","",SUM(F108:I108))</f>
        <v/>
      </c>
      <c r="K108" s="393">
        <f>IF(D108="","",D108-J108)</f>
        <v/>
      </c>
      <c r="L108" s="399" t="n"/>
      <c r="M108" s="400" t="n"/>
      <c r="N108" s="401" t="n"/>
      <c r="O108" s="401" t="n"/>
      <c r="P108" s="401" t="n"/>
      <c r="Q108" s="401" t="n"/>
      <c r="R108" s="401" t="n"/>
      <c r="S108" s="393">
        <f>IF(COUNTA(O108:R108)=0,"",SUM(O108:R108))</f>
        <v/>
      </c>
      <c r="T108" s="393">
        <f>IF(N108="","",N108-IF(S108="",0,S108))</f>
        <v/>
      </c>
      <c r="U108" s="402">
        <f>IF(OR(D108="",N108=""),"",N108-D108)</f>
        <v/>
      </c>
      <c r="V108" s="393">
        <f>IF(OR(K108="",T108=""),"",T108-K108)</f>
        <v/>
      </c>
      <c r="W108" s="395" t="n"/>
    </row>
    <row r="109">
      <c r="A109" s="389">
        <f>IF(Rechnungsstand!B103="","",Rechnungsstand!A103)</f>
        <v/>
      </c>
      <c r="B109" s="390">
        <f>IF(Rechnungsstand!B103="","",Rechnungsstand!B103)</f>
        <v/>
      </c>
      <c r="C109" s="391">
        <f>IF(Rechnungsstand!B103="","",Rechnungsstand!C103)</f>
        <v/>
      </c>
      <c r="D109" s="392">
        <f>IF(Rechnungsstand!B103="","",Rechnungsstand!F103)</f>
        <v/>
      </c>
      <c r="E109" s="393">
        <f>IF(D109="","",SUM($D$12:D109))</f>
        <v/>
      </c>
      <c r="F109" s="393">
        <f>IF(D109="","",D109*$B$7)</f>
        <v/>
      </c>
      <c r="G109" s="393">
        <f>IF(D109="","",D109*$B$8)</f>
        <v/>
      </c>
      <c r="H109" s="393">
        <f>IF(D109="","",D109*$B$9)</f>
        <v/>
      </c>
      <c r="I109" s="393">
        <f>IF(D109="","",IF(C109="Abschlagsrechnung",MAX(0,MIN(D109*$E$7,IF($E$8&gt;0,$B$6*$E$8-SUM($I$12:I108),D109*$E$7))),0))</f>
        <v/>
      </c>
      <c r="J109" s="393">
        <f>IF(D109="","",SUM(F109:I109))</f>
        <v/>
      </c>
      <c r="K109" s="393">
        <f>IF(D109="","",D109-J109)</f>
        <v/>
      </c>
      <c r="L109" s="399" t="n"/>
      <c r="M109" s="400" t="n"/>
      <c r="N109" s="401" t="n"/>
      <c r="O109" s="401" t="n"/>
      <c r="P109" s="401" t="n"/>
      <c r="Q109" s="401" t="n"/>
      <c r="R109" s="401" t="n"/>
      <c r="S109" s="393">
        <f>IF(COUNTA(O109:R109)=0,"",SUM(O109:R109))</f>
        <v/>
      </c>
      <c r="T109" s="393">
        <f>IF(N109="","",N109-IF(S109="",0,S109))</f>
        <v/>
      </c>
      <c r="U109" s="402">
        <f>IF(OR(D109="",N109=""),"",N109-D109)</f>
        <v/>
      </c>
      <c r="V109" s="393">
        <f>IF(OR(K109="",T109=""),"",T109-K109)</f>
        <v/>
      </c>
      <c r="W109" s="395" t="n"/>
    </row>
    <row r="110">
      <c r="A110" s="389">
        <f>IF(Rechnungsstand!B104="","",Rechnungsstand!A104)</f>
        <v/>
      </c>
      <c r="B110" s="390">
        <f>IF(Rechnungsstand!B104="","",Rechnungsstand!B104)</f>
        <v/>
      </c>
      <c r="C110" s="391">
        <f>IF(Rechnungsstand!B104="","",Rechnungsstand!C104)</f>
        <v/>
      </c>
      <c r="D110" s="392">
        <f>IF(Rechnungsstand!B104="","",Rechnungsstand!F104)</f>
        <v/>
      </c>
      <c r="E110" s="393">
        <f>IF(D110="","",SUM($D$12:D110))</f>
        <v/>
      </c>
      <c r="F110" s="393">
        <f>IF(D110="","",D110*$B$7)</f>
        <v/>
      </c>
      <c r="G110" s="393">
        <f>IF(D110="","",D110*$B$8)</f>
        <v/>
      </c>
      <c r="H110" s="393">
        <f>IF(D110="","",D110*$B$9)</f>
        <v/>
      </c>
      <c r="I110" s="393">
        <f>IF(D110="","",IF(C110="Abschlagsrechnung",MAX(0,MIN(D110*$E$7,IF($E$8&gt;0,$B$6*$E$8-SUM($I$12:I109),D110*$E$7))),0))</f>
        <v/>
      </c>
      <c r="J110" s="393">
        <f>IF(D110="","",SUM(F110:I110))</f>
        <v/>
      </c>
      <c r="K110" s="393">
        <f>IF(D110="","",D110-J110)</f>
        <v/>
      </c>
      <c r="L110" s="399" t="n"/>
      <c r="M110" s="400" t="n"/>
      <c r="N110" s="401" t="n"/>
      <c r="O110" s="401" t="n"/>
      <c r="P110" s="401" t="n"/>
      <c r="Q110" s="401" t="n"/>
      <c r="R110" s="401" t="n"/>
      <c r="S110" s="393">
        <f>IF(COUNTA(O110:R110)=0,"",SUM(O110:R110))</f>
        <v/>
      </c>
      <c r="T110" s="393">
        <f>IF(N110="","",N110-IF(S110="",0,S110))</f>
        <v/>
      </c>
      <c r="U110" s="402">
        <f>IF(OR(D110="",N110=""),"",N110-D110)</f>
        <v/>
      </c>
      <c r="V110" s="393">
        <f>IF(OR(K110="",T110=""),"",T110-K110)</f>
        <v/>
      </c>
      <c r="W110" s="395" t="n"/>
    </row>
    <row r="111">
      <c r="A111" s="389">
        <f>IF(Rechnungsstand!B105="","",Rechnungsstand!A105)</f>
        <v/>
      </c>
      <c r="B111" s="390">
        <f>IF(Rechnungsstand!B105="","",Rechnungsstand!B105)</f>
        <v/>
      </c>
      <c r="C111" s="391">
        <f>IF(Rechnungsstand!B105="","",Rechnungsstand!C105)</f>
        <v/>
      </c>
      <c r="D111" s="392">
        <f>IF(Rechnungsstand!B105="","",Rechnungsstand!F105)</f>
        <v/>
      </c>
      <c r="E111" s="393">
        <f>IF(D111="","",SUM($D$12:D111))</f>
        <v/>
      </c>
      <c r="F111" s="393">
        <f>IF(D111="","",D111*$B$7)</f>
        <v/>
      </c>
      <c r="G111" s="393">
        <f>IF(D111="","",D111*$B$8)</f>
        <v/>
      </c>
      <c r="H111" s="393">
        <f>IF(D111="","",D111*$B$9)</f>
        <v/>
      </c>
      <c r="I111" s="393">
        <f>IF(D111="","",IF(C111="Abschlagsrechnung",MAX(0,MIN(D111*$E$7,IF($E$8&gt;0,$B$6*$E$8-SUM($I$12:I110),D111*$E$7))),0))</f>
        <v/>
      </c>
      <c r="J111" s="393">
        <f>IF(D111="","",SUM(F111:I111))</f>
        <v/>
      </c>
      <c r="K111" s="393">
        <f>IF(D111="","",D111-J111)</f>
        <v/>
      </c>
      <c r="L111" s="399" t="n"/>
      <c r="M111" s="400" t="n"/>
      <c r="N111" s="401" t="n"/>
      <c r="O111" s="401" t="n"/>
      <c r="P111" s="401" t="n"/>
      <c r="Q111" s="401" t="n"/>
      <c r="R111" s="401" t="n"/>
      <c r="S111" s="393">
        <f>IF(COUNTA(O111:R111)=0,"",SUM(O111:R111))</f>
        <v/>
      </c>
      <c r="T111" s="393">
        <f>IF(N111="","",N111-IF(S111="",0,S111))</f>
        <v/>
      </c>
      <c r="U111" s="402">
        <f>IF(OR(D111="",N111=""),"",N111-D111)</f>
        <v/>
      </c>
      <c r="V111" s="393">
        <f>IF(OR(K111="",T111=""),"",T111-K111)</f>
        <v/>
      </c>
      <c r="W111" s="395" t="n"/>
    </row>
    <row r="112">
      <c r="A112" s="389">
        <f>IF(Rechnungsstand!B106="","",Rechnungsstand!A106)</f>
        <v/>
      </c>
      <c r="B112" s="390">
        <f>IF(Rechnungsstand!B106="","",Rechnungsstand!B106)</f>
        <v/>
      </c>
      <c r="C112" s="391">
        <f>IF(Rechnungsstand!B106="","",Rechnungsstand!C106)</f>
        <v/>
      </c>
      <c r="D112" s="392">
        <f>IF(Rechnungsstand!B106="","",Rechnungsstand!F106)</f>
        <v/>
      </c>
      <c r="E112" s="393">
        <f>IF(D112="","",SUM($D$12:D112))</f>
        <v/>
      </c>
      <c r="F112" s="393">
        <f>IF(D112="","",D112*$B$7)</f>
        <v/>
      </c>
      <c r="G112" s="393">
        <f>IF(D112="","",D112*$B$8)</f>
        <v/>
      </c>
      <c r="H112" s="393">
        <f>IF(D112="","",D112*$B$9)</f>
        <v/>
      </c>
      <c r="I112" s="393">
        <f>IF(D112="","",IF(C112="Abschlagsrechnung",MAX(0,MIN(D112*$E$7,IF($E$8&gt;0,$B$6*$E$8-SUM($I$12:I111),D112*$E$7))),0))</f>
        <v/>
      </c>
      <c r="J112" s="393">
        <f>IF(D112="","",SUM(F112:I112))</f>
        <v/>
      </c>
      <c r="K112" s="393">
        <f>IF(D112="","",D112-J112)</f>
        <v/>
      </c>
      <c r="L112" s="399" t="n"/>
      <c r="M112" s="400" t="n"/>
      <c r="N112" s="401" t="n"/>
      <c r="O112" s="401" t="n"/>
      <c r="P112" s="401" t="n"/>
      <c r="Q112" s="401" t="n"/>
      <c r="R112" s="401" t="n"/>
      <c r="S112" s="393">
        <f>IF(COUNTA(O112:R112)=0,"",SUM(O112:R112))</f>
        <v/>
      </c>
      <c r="T112" s="393">
        <f>IF(N112="","",N112-IF(S112="",0,S112))</f>
        <v/>
      </c>
      <c r="U112" s="402">
        <f>IF(OR(D112="",N112=""),"",N112-D112)</f>
        <v/>
      </c>
      <c r="V112" s="393">
        <f>IF(OR(K112="",T112=""),"",T112-K112)</f>
        <v/>
      </c>
      <c r="W112" s="395" t="n"/>
    </row>
    <row r="113">
      <c r="A113" s="389">
        <f>IF(Rechnungsstand!B107="","",Rechnungsstand!A107)</f>
        <v/>
      </c>
      <c r="B113" s="390">
        <f>IF(Rechnungsstand!B107="","",Rechnungsstand!B107)</f>
        <v/>
      </c>
      <c r="C113" s="391">
        <f>IF(Rechnungsstand!B107="","",Rechnungsstand!C107)</f>
        <v/>
      </c>
      <c r="D113" s="392">
        <f>IF(Rechnungsstand!B107="","",Rechnungsstand!F107)</f>
        <v/>
      </c>
      <c r="E113" s="393">
        <f>IF(D113="","",SUM($D$12:D113))</f>
        <v/>
      </c>
      <c r="F113" s="393">
        <f>IF(D113="","",D113*$B$7)</f>
        <v/>
      </c>
      <c r="G113" s="393">
        <f>IF(D113="","",D113*$B$8)</f>
        <v/>
      </c>
      <c r="H113" s="393">
        <f>IF(D113="","",D113*$B$9)</f>
        <v/>
      </c>
      <c r="I113" s="393">
        <f>IF(D113="","",IF(C113="Abschlagsrechnung",MAX(0,MIN(D113*$E$7,IF($E$8&gt;0,$B$6*$E$8-SUM($I$12:I112),D113*$E$7))),0))</f>
        <v/>
      </c>
      <c r="J113" s="393">
        <f>IF(D113="","",SUM(F113:I113))</f>
        <v/>
      </c>
      <c r="K113" s="393">
        <f>IF(D113="","",D113-J113)</f>
        <v/>
      </c>
      <c r="L113" s="399" t="n"/>
      <c r="M113" s="400" t="n"/>
      <c r="N113" s="401" t="n"/>
      <c r="O113" s="401" t="n"/>
      <c r="P113" s="401" t="n"/>
      <c r="Q113" s="401" t="n"/>
      <c r="R113" s="401" t="n"/>
      <c r="S113" s="393">
        <f>IF(COUNTA(O113:R113)=0,"",SUM(O113:R113))</f>
        <v/>
      </c>
      <c r="T113" s="393">
        <f>IF(N113="","",N113-IF(S113="",0,S113))</f>
        <v/>
      </c>
      <c r="U113" s="402">
        <f>IF(OR(D113="",N113=""),"",N113-D113)</f>
        <v/>
      </c>
      <c r="V113" s="393">
        <f>IF(OR(K113="",T113=""),"",T113-K113)</f>
        <v/>
      </c>
      <c r="W113" s="395" t="n"/>
    </row>
    <row r="114">
      <c r="A114" s="389">
        <f>IF(Rechnungsstand!B108="","",Rechnungsstand!A108)</f>
        <v/>
      </c>
      <c r="B114" s="390">
        <f>IF(Rechnungsstand!B108="","",Rechnungsstand!B108)</f>
        <v/>
      </c>
      <c r="C114" s="391">
        <f>IF(Rechnungsstand!B108="","",Rechnungsstand!C108)</f>
        <v/>
      </c>
      <c r="D114" s="392">
        <f>IF(Rechnungsstand!B108="","",Rechnungsstand!F108)</f>
        <v/>
      </c>
      <c r="E114" s="393">
        <f>IF(D114="","",SUM($D$12:D114))</f>
        <v/>
      </c>
      <c r="F114" s="393">
        <f>IF(D114="","",D114*$B$7)</f>
        <v/>
      </c>
      <c r="G114" s="393">
        <f>IF(D114="","",D114*$B$8)</f>
        <v/>
      </c>
      <c r="H114" s="393">
        <f>IF(D114="","",D114*$B$9)</f>
        <v/>
      </c>
      <c r="I114" s="393">
        <f>IF(D114="","",IF(C114="Abschlagsrechnung",MAX(0,MIN(D114*$E$7,IF($E$8&gt;0,$B$6*$E$8-SUM($I$12:I113),D114*$E$7))),0))</f>
        <v/>
      </c>
      <c r="J114" s="393">
        <f>IF(D114="","",SUM(F114:I114))</f>
        <v/>
      </c>
      <c r="K114" s="393">
        <f>IF(D114="","",D114-J114)</f>
        <v/>
      </c>
      <c r="L114" s="399" t="n"/>
      <c r="M114" s="400" t="n"/>
      <c r="N114" s="401" t="n"/>
      <c r="O114" s="401" t="n"/>
      <c r="P114" s="401" t="n"/>
      <c r="Q114" s="401" t="n"/>
      <c r="R114" s="401" t="n"/>
      <c r="S114" s="393">
        <f>IF(COUNTA(O114:R114)=0,"",SUM(O114:R114))</f>
        <v/>
      </c>
      <c r="T114" s="393">
        <f>IF(N114="","",N114-IF(S114="",0,S114))</f>
        <v/>
      </c>
      <c r="U114" s="402">
        <f>IF(OR(D114="",N114=""),"",N114-D114)</f>
        <v/>
      </c>
      <c r="V114" s="393">
        <f>IF(OR(K114="",T114=""),"",T114-K114)</f>
        <v/>
      </c>
      <c r="W114" s="395" t="n"/>
    </row>
    <row r="115">
      <c r="A115" s="389">
        <f>IF(Rechnungsstand!B109="","",Rechnungsstand!A109)</f>
        <v/>
      </c>
      <c r="B115" s="390">
        <f>IF(Rechnungsstand!B109="","",Rechnungsstand!B109)</f>
        <v/>
      </c>
      <c r="C115" s="391">
        <f>IF(Rechnungsstand!B109="","",Rechnungsstand!C109)</f>
        <v/>
      </c>
      <c r="D115" s="392">
        <f>IF(Rechnungsstand!B109="","",Rechnungsstand!F109)</f>
        <v/>
      </c>
      <c r="E115" s="393">
        <f>IF(D115="","",SUM($D$12:D115))</f>
        <v/>
      </c>
      <c r="F115" s="393">
        <f>IF(D115="","",D115*$B$7)</f>
        <v/>
      </c>
      <c r="G115" s="393">
        <f>IF(D115="","",D115*$B$8)</f>
        <v/>
      </c>
      <c r="H115" s="393">
        <f>IF(D115="","",D115*$B$9)</f>
        <v/>
      </c>
      <c r="I115" s="393">
        <f>IF(D115="","",IF(C115="Abschlagsrechnung",MAX(0,MIN(D115*$E$7,IF($E$8&gt;0,$B$6*$E$8-SUM($I$12:I114),D115*$E$7))),0))</f>
        <v/>
      </c>
      <c r="J115" s="393">
        <f>IF(D115="","",SUM(F115:I115))</f>
        <v/>
      </c>
      <c r="K115" s="393">
        <f>IF(D115="","",D115-J115)</f>
        <v/>
      </c>
      <c r="L115" s="399" t="n"/>
      <c r="M115" s="400" t="n"/>
      <c r="N115" s="401" t="n"/>
      <c r="O115" s="401" t="n"/>
      <c r="P115" s="401" t="n"/>
      <c r="Q115" s="401" t="n"/>
      <c r="R115" s="401" t="n"/>
      <c r="S115" s="393">
        <f>IF(COUNTA(O115:R115)=0,"",SUM(O115:R115))</f>
        <v/>
      </c>
      <c r="T115" s="393">
        <f>IF(N115="","",N115-IF(S115="",0,S115))</f>
        <v/>
      </c>
      <c r="U115" s="402">
        <f>IF(OR(D115="",N115=""),"",N115-D115)</f>
        <v/>
      </c>
      <c r="V115" s="393">
        <f>IF(OR(K115="",T115=""),"",T115-K115)</f>
        <v/>
      </c>
      <c r="W115" s="395" t="n"/>
    </row>
    <row r="116">
      <c r="A116" s="389">
        <f>IF(Rechnungsstand!B110="","",Rechnungsstand!A110)</f>
        <v/>
      </c>
      <c r="B116" s="390">
        <f>IF(Rechnungsstand!B110="","",Rechnungsstand!B110)</f>
        <v/>
      </c>
      <c r="C116" s="391">
        <f>IF(Rechnungsstand!B110="","",Rechnungsstand!C110)</f>
        <v/>
      </c>
      <c r="D116" s="392">
        <f>IF(Rechnungsstand!B110="","",Rechnungsstand!F110)</f>
        <v/>
      </c>
      <c r="E116" s="393">
        <f>IF(D116="","",SUM($D$12:D116))</f>
        <v/>
      </c>
      <c r="F116" s="393">
        <f>IF(D116="","",D116*$B$7)</f>
        <v/>
      </c>
      <c r="G116" s="393">
        <f>IF(D116="","",D116*$B$8)</f>
        <v/>
      </c>
      <c r="H116" s="393">
        <f>IF(D116="","",D116*$B$9)</f>
        <v/>
      </c>
      <c r="I116" s="393">
        <f>IF(D116="","",IF(C116="Abschlagsrechnung",MAX(0,MIN(D116*$E$7,IF($E$8&gt;0,$B$6*$E$8-SUM($I$12:I115),D116*$E$7))),0))</f>
        <v/>
      </c>
      <c r="J116" s="393">
        <f>IF(D116="","",SUM(F116:I116))</f>
        <v/>
      </c>
      <c r="K116" s="393">
        <f>IF(D116="","",D116-J116)</f>
        <v/>
      </c>
      <c r="L116" s="399" t="n"/>
      <c r="M116" s="400" t="n"/>
      <c r="N116" s="401" t="n"/>
      <c r="O116" s="401" t="n"/>
      <c r="P116" s="401" t="n"/>
      <c r="Q116" s="401" t="n"/>
      <c r="R116" s="401" t="n"/>
      <c r="S116" s="393">
        <f>IF(COUNTA(O116:R116)=0,"",SUM(O116:R116))</f>
        <v/>
      </c>
      <c r="T116" s="393">
        <f>IF(N116="","",N116-IF(S116="",0,S116))</f>
        <v/>
      </c>
      <c r="U116" s="402">
        <f>IF(OR(D116="",N116=""),"",N116-D116)</f>
        <v/>
      </c>
      <c r="V116" s="393">
        <f>IF(OR(K116="",T116=""),"",T116-K116)</f>
        <v/>
      </c>
      <c r="W116" s="395" t="n"/>
    </row>
    <row r="117">
      <c r="A117" s="389">
        <f>IF(Rechnungsstand!B111="","",Rechnungsstand!A111)</f>
        <v/>
      </c>
      <c r="B117" s="390">
        <f>IF(Rechnungsstand!B111="","",Rechnungsstand!B111)</f>
        <v/>
      </c>
      <c r="C117" s="391">
        <f>IF(Rechnungsstand!B111="","",Rechnungsstand!C111)</f>
        <v/>
      </c>
      <c r="D117" s="392">
        <f>IF(Rechnungsstand!B111="","",Rechnungsstand!F111)</f>
        <v/>
      </c>
      <c r="E117" s="393">
        <f>IF(D117="","",SUM($D$12:D117))</f>
        <v/>
      </c>
      <c r="F117" s="393">
        <f>IF(D117="","",D117*$B$7)</f>
        <v/>
      </c>
      <c r="G117" s="393">
        <f>IF(D117="","",D117*$B$8)</f>
        <v/>
      </c>
      <c r="H117" s="393">
        <f>IF(D117="","",D117*$B$9)</f>
        <v/>
      </c>
      <c r="I117" s="393">
        <f>IF(D117="","",IF(C117="Abschlagsrechnung",MAX(0,MIN(D117*$E$7,IF($E$8&gt;0,$B$6*$E$8-SUM($I$12:I116),D117*$E$7))),0))</f>
        <v/>
      </c>
      <c r="J117" s="393">
        <f>IF(D117="","",SUM(F117:I117))</f>
        <v/>
      </c>
      <c r="K117" s="393">
        <f>IF(D117="","",D117-J117)</f>
        <v/>
      </c>
      <c r="L117" s="399" t="n"/>
      <c r="M117" s="400" t="n"/>
      <c r="N117" s="401" t="n"/>
      <c r="O117" s="401" t="n"/>
      <c r="P117" s="401" t="n"/>
      <c r="Q117" s="401" t="n"/>
      <c r="R117" s="401" t="n"/>
      <c r="S117" s="393">
        <f>IF(COUNTA(O117:R117)=0,"",SUM(O117:R117))</f>
        <v/>
      </c>
      <c r="T117" s="393">
        <f>IF(N117="","",N117-IF(S117="",0,S117))</f>
        <v/>
      </c>
      <c r="U117" s="402">
        <f>IF(OR(D117="",N117=""),"",N117-D117)</f>
        <v/>
      </c>
      <c r="V117" s="393">
        <f>IF(OR(K117="",T117=""),"",T117-K117)</f>
        <v/>
      </c>
      <c r="W117" s="395" t="n"/>
    </row>
    <row r="118">
      <c r="A118" s="389">
        <f>IF(Rechnungsstand!B112="","",Rechnungsstand!A112)</f>
        <v/>
      </c>
      <c r="B118" s="390">
        <f>IF(Rechnungsstand!B112="","",Rechnungsstand!B112)</f>
        <v/>
      </c>
      <c r="C118" s="391">
        <f>IF(Rechnungsstand!B112="","",Rechnungsstand!C112)</f>
        <v/>
      </c>
      <c r="D118" s="392">
        <f>IF(Rechnungsstand!B112="","",Rechnungsstand!F112)</f>
        <v/>
      </c>
      <c r="E118" s="393">
        <f>IF(D118="","",SUM($D$12:D118))</f>
        <v/>
      </c>
      <c r="F118" s="393">
        <f>IF(D118="","",D118*$B$7)</f>
        <v/>
      </c>
      <c r="G118" s="393">
        <f>IF(D118="","",D118*$B$8)</f>
        <v/>
      </c>
      <c r="H118" s="393">
        <f>IF(D118="","",D118*$B$9)</f>
        <v/>
      </c>
      <c r="I118" s="393">
        <f>IF(D118="","",IF(C118="Abschlagsrechnung",MAX(0,MIN(D118*$E$7,IF($E$8&gt;0,$B$6*$E$8-SUM($I$12:I117),D118*$E$7))),0))</f>
        <v/>
      </c>
      <c r="J118" s="393">
        <f>IF(D118="","",SUM(F118:I118))</f>
        <v/>
      </c>
      <c r="K118" s="393">
        <f>IF(D118="","",D118-J118)</f>
        <v/>
      </c>
      <c r="L118" s="399" t="n"/>
      <c r="M118" s="400" t="n"/>
      <c r="N118" s="401" t="n"/>
      <c r="O118" s="401" t="n"/>
      <c r="P118" s="401" t="n"/>
      <c r="Q118" s="401" t="n"/>
      <c r="R118" s="401" t="n"/>
      <c r="S118" s="393">
        <f>IF(COUNTA(O118:R118)=0,"",SUM(O118:R118))</f>
        <v/>
      </c>
      <c r="T118" s="393">
        <f>IF(N118="","",N118-IF(S118="",0,S118))</f>
        <v/>
      </c>
      <c r="U118" s="402">
        <f>IF(OR(D118="",N118=""),"",N118-D118)</f>
        <v/>
      </c>
      <c r="V118" s="393">
        <f>IF(OR(K118="",T118=""),"",T118-K118)</f>
        <v/>
      </c>
      <c r="W118" s="395" t="n"/>
    </row>
    <row r="119">
      <c r="A119" s="389">
        <f>IF(Rechnungsstand!B113="","",Rechnungsstand!A113)</f>
        <v/>
      </c>
      <c r="B119" s="390">
        <f>IF(Rechnungsstand!B113="","",Rechnungsstand!B113)</f>
        <v/>
      </c>
      <c r="C119" s="391">
        <f>IF(Rechnungsstand!B113="","",Rechnungsstand!C113)</f>
        <v/>
      </c>
      <c r="D119" s="392">
        <f>IF(Rechnungsstand!B113="","",Rechnungsstand!F113)</f>
        <v/>
      </c>
      <c r="E119" s="393">
        <f>IF(D119="","",SUM($D$12:D119))</f>
        <v/>
      </c>
      <c r="F119" s="393">
        <f>IF(D119="","",D119*$B$7)</f>
        <v/>
      </c>
      <c r="G119" s="393">
        <f>IF(D119="","",D119*$B$8)</f>
        <v/>
      </c>
      <c r="H119" s="393">
        <f>IF(D119="","",D119*$B$9)</f>
        <v/>
      </c>
      <c r="I119" s="393">
        <f>IF(D119="","",IF(C119="Abschlagsrechnung",MAX(0,MIN(D119*$E$7,IF($E$8&gt;0,$B$6*$E$8-SUM($I$12:I118),D119*$E$7))),0))</f>
        <v/>
      </c>
      <c r="J119" s="393">
        <f>IF(D119="","",SUM(F119:I119))</f>
        <v/>
      </c>
      <c r="K119" s="393">
        <f>IF(D119="","",D119-J119)</f>
        <v/>
      </c>
      <c r="L119" s="399" t="n"/>
      <c r="M119" s="400" t="n"/>
      <c r="N119" s="401" t="n"/>
      <c r="O119" s="401" t="n"/>
      <c r="P119" s="401" t="n"/>
      <c r="Q119" s="401" t="n"/>
      <c r="R119" s="401" t="n"/>
      <c r="S119" s="393">
        <f>IF(COUNTA(O119:R119)=0,"",SUM(O119:R119))</f>
        <v/>
      </c>
      <c r="T119" s="393">
        <f>IF(N119="","",N119-IF(S119="",0,S119))</f>
        <v/>
      </c>
      <c r="U119" s="402">
        <f>IF(OR(D119="",N119=""),"",N119-D119)</f>
        <v/>
      </c>
      <c r="V119" s="393">
        <f>IF(OR(K119="",T119=""),"",T119-K119)</f>
        <v/>
      </c>
      <c r="W119" s="395" t="n"/>
    </row>
    <row r="120">
      <c r="A120" s="389">
        <f>IF(Rechnungsstand!B114="","",Rechnungsstand!A114)</f>
        <v/>
      </c>
      <c r="B120" s="390">
        <f>IF(Rechnungsstand!B114="","",Rechnungsstand!B114)</f>
        <v/>
      </c>
      <c r="C120" s="391">
        <f>IF(Rechnungsstand!B114="","",Rechnungsstand!C114)</f>
        <v/>
      </c>
      <c r="D120" s="392">
        <f>IF(Rechnungsstand!B114="","",Rechnungsstand!F114)</f>
        <v/>
      </c>
      <c r="E120" s="393">
        <f>IF(D120="","",SUM($D$12:D120))</f>
        <v/>
      </c>
      <c r="F120" s="393">
        <f>IF(D120="","",D120*$B$7)</f>
        <v/>
      </c>
      <c r="G120" s="393">
        <f>IF(D120="","",D120*$B$8)</f>
        <v/>
      </c>
      <c r="H120" s="393">
        <f>IF(D120="","",D120*$B$9)</f>
        <v/>
      </c>
      <c r="I120" s="393">
        <f>IF(D120="","",IF(C120="Abschlagsrechnung",MAX(0,MIN(D120*$E$7,IF($E$8&gt;0,$B$6*$E$8-SUM($I$12:I119),D120*$E$7))),0))</f>
        <v/>
      </c>
      <c r="J120" s="393">
        <f>IF(D120="","",SUM(F120:I120))</f>
        <v/>
      </c>
      <c r="K120" s="393">
        <f>IF(D120="","",D120-J120)</f>
        <v/>
      </c>
      <c r="L120" s="399" t="n"/>
      <c r="M120" s="400" t="n"/>
      <c r="N120" s="401" t="n"/>
      <c r="O120" s="401" t="n"/>
      <c r="P120" s="401" t="n"/>
      <c r="Q120" s="401" t="n"/>
      <c r="R120" s="401" t="n"/>
      <c r="S120" s="393">
        <f>IF(COUNTA(O120:R120)=0,"",SUM(O120:R120))</f>
        <v/>
      </c>
      <c r="T120" s="393">
        <f>IF(N120="","",N120-IF(S120="",0,S120))</f>
        <v/>
      </c>
      <c r="U120" s="402">
        <f>IF(OR(D120="",N120=""),"",N120-D120)</f>
        <v/>
      </c>
      <c r="V120" s="393">
        <f>IF(OR(K120="",T120=""),"",T120-K120)</f>
        <v/>
      </c>
      <c r="W120" s="395" t="n"/>
    </row>
    <row r="121">
      <c r="A121" s="389">
        <f>IF(Rechnungsstand!B115="","",Rechnungsstand!A115)</f>
        <v/>
      </c>
      <c r="B121" s="390">
        <f>IF(Rechnungsstand!B115="","",Rechnungsstand!B115)</f>
        <v/>
      </c>
      <c r="C121" s="391">
        <f>IF(Rechnungsstand!B115="","",Rechnungsstand!C115)</f>
        <v/>
      </c>
      <c r="D121" s="392">
        <f>IF(Rechnungsstand!B115="","",Rechnungsstand!F115)</f>
        <v/>
      </c>
      <c r="E121" s="393">
        <f>IF(D121="","",SUM($D$12:D121))</f>
        <v/>
      </c>
      <c r="F121" s="393">
        <f>IF(D121="","",D121*$B$7)</f>
        <v/>
      </c>
      <c r="G121" s="393">
        <f>IF(D121="","",D121*$B$8)</f>
        <v/>
      </c>
      <c r="H121" s="393">
        <f>IF(D121="","",D121*$B$9)</f>
        <v/>
      </c>
      <c r="I121" s="393">
        <f>IF(D121="","",IF(C121="Abschlagsrechnung",MAX(0,MIN(D121*$E$7,IF($E$8&gt;0,$B$6*$E$8-SUM($I$12:I120),D121*$E$7))),0))</f>
        <v/>
      </c>
      <c r="J121" s="393">
        <f>IF(D121="","",SUM(F121:I121))</f>
        <v/>
      </c>
      <c r="K121" s="393">
        <f>IF(D121="","",D121-J121)</f>
        <v/>
      </c>
      <c r="L121" s="399" t="n"/>
      <c r="M121" s="400" t="n"/>
      <c r="N121" s="401" t="n"/>
      <c r="O121" s="401" t="n"/>
      <c r="P121" s="401" t="n"/>
      <c r="Q121" s="401" t="n"/>
      <c r="R121" s="401" t="n"/>
      <c r="S121" s="393">
        <f>IF(COUNTA(O121:R121)=0,"",SUM(O121:R121))</f>
        <v/>
      </c>
      <c r="T121" s="393">
        <f>IF(N121="","",N121-IF(S121="",0,S121))</f>
        <v/>
      </c>
      <c r="U121" s="402">
        <f>IF(OR(D121="",N121=""),"",N121-D121)</f>
        <v/>
      </c>
      <c r="V121" s="393">
        <f>IF(OR(K121="",T121=""),"",T121-K121)</f>
        <v/>
      </c>
      <c r="W121" s="395" t="n"/>
    </row>
    <row r="122">
      <c r="A122" s="389">
        <f>IF(Rechnungsstand!B116="","",Rechnungsstand!A116)</f>
        <v/>
      </c>
      <c r="B122" s="390">
        <f>IF(Rechnungsstand!B116="","",Rechnungsstand!B116)</f>
        <v/>
      </c>
      <c r="C122" s="391">
        <f>IF(Rechnungsstand!B116="","",Rechnungsstand!C116)</f>
        <v/>
      </c>
      <c r="D122" s="392">
        <f>IF(Rechnungsstand!B116="","",Rechnungsstand!F116)</f>
        <v/>
      </c>
      <c r="E122" s="393">
        <f>IF(D122="","",SUM($D$12:D122))</f>
        <v/>
      </c>
      <c r="F122" s="393">
        <f>IF(D122="","",D122*$B$7)</f>
        <v/>
      </c>
      <c r="G122" s="393">
        <f>IF(D122="","",D122*$B$8)</f>
        <v/>
      </c>
      <c r="H122" s="393">
        <f>IF(D122="","",D122*$B$9)</f>
        <v/>
      </c>
      <c r="I122" s="393">
        <f>IF(D122="","",IF(C122="Abschlagsrechnung",MAX(0,MIN(D122*$E$7,IF($E$8&gt;0,$B$6*$E$8-SUM($I$12:I121),D122*$E$7))),0))</f>
        <v/>
      </c>
      <c r="J122" s="393">
        <f>IF(D122="","",SUM(F122:I122))</f>
        <v/>
      </c>
      <c r="K122" s="393">
        <f>IF(D122="","",D122-J122)</f>
        <v/>
      </c>
      <c r="L122" s="399" t="n"/>
      <c r="M122" s="400" t="n"/>
      <c r="N122" s="401" t="n"/>
      <c r="O122" s="401" t="n"/>
      <c r="P122" s="401" t="n"/>
      <c r="Q122" s="401" t="n"/>
      <c r="R122" s="401" t="n"/>
      <c r="S122" s="393">
        <f>IF(COUNTA(O122:R122)=0,"",SUM(O122:R122))</f>
        <v/>
      </c>
      <c r="T122" s="393">
        <f>IF(N122="","",N122-IF(S122="",0,S122))</f>
        <v/>
      </c>
      <c r="U122" s="402">
        <f>IF(OR(D122="",N122=""),"",N122-D122)</f>
        <v/>
      </c>
      <c r="V122" s="393">
        <f>IF(OR(K122="",T122=""),"",T122-K122)</f>
        <v/>
      </c>
      <c r="W122" s="395" t="n"/>
    </row>
    <row r="123">
      <c r="A123" s="389">
        <f>IF(Rechnungsstand!B117="","",Rechnungsstand!A117)</f>
        <v/>
      </c>
      <c r="B123" s="390">
        <f>IF(Rechnungsstand!B117="","",Rechnungsstand!B117)</f>
        <v/>
      </c>
      <c r="C123" s="391">
        <f>IF(Rechnungsstand!B117="","",Rechnungsstand!C117)</f>
        <v/>
      </c>
      <c r="D123" s="392">
        <f>IF(Rechnungsstand!B117="","",Rechnungsstand!F117)</f>
        <v/>
      </c>
      <c r="E123" s="393">
        <f>IF(D123="","",SUM($D$12:D123))</f>
        <v/>
      </c>
      <c r="F123" s="393">
        <f>IF(D123="","",D123*$B$7)</f>
        <v/>
      </c>
      <c r="G123" s="393">
        <f>IF(D123="","",D123*$B$8)</f>
        <v/>
      </c>
      <c r="H123" s="393">
        <f>IF(D123="","",D123*$B$9)</f>
        <v/>
      </c>
      <c r="I123" s="393">
        <f>IF(D123="","",IF(C123="Abschlagsrechnung",MAX(0,MIN(D123*$E$7,IF($E$8&gt;0,$B$6*$E$8-SUM($I$12:I122),D123*$E$7))),0))</f>
        <v/>
      </c>
      <c r="J123" s="393">
        <f>IF(D123="","",SUM(F123:I123))</f>
        <v/>
      </c>
      <c r="K123" s="393">
        <f>IF(D123="","",D123-J123)</f>
        <v/>
      </c>
      <c r="L123" s="399" t="n"/>
      <c r="M123" s="400" t="n"/>
      <c r="N123" s="401" t="n"/>
      <c r="O123" s="401" t="n"/>
      <c r="P123" s="401" t="n"/>
      <c r="Q123" s="401" t="n"/>
      <c r="R123" s="401" t="n"/>
      <c r="S123" s="393">
        <f>IF(COUNTA(O123:R123)=0,"",SUM(O123:R123))</f>
        <v/>
      </c>
      <c r="T123" s="393">
        <f>IF(N123="","",N123-IF(S123="",0,S123))</f>
        <v/>
      </c>
      <c r="U123" s="402">
        <f>IF(OR(D123="",N123=""),"",N123-D123)</f>
        <v/>
      </c>
      <c r="V123" s="393">
        <f>IF(OR(K123="",T123=""),"",T123-K123)</f>
        <v/>
      </c>
      <c r="W123" s="395" t="n"/>
    </row>
    <row r="124">
      <c r="A124" s="389">
        <f>IF(Rechnungsstand!B118="","",Rechnungsstand!A118)</f>
        <v/>
      </c>
      <c r="B124" s="390">
        <f>IF(Rechnungsstand!B118="","",Rechnungsstand!B118)</f>
        <v/>
      </c>
      <c r="C124" s="391">
        <f>IF(Rechnungsstand!B118="","",Rechnungsstand!C118)</f>
        <v/>
      </c>
      <c r="D124" s="392">
        <f>IF(Rechnungsstand!B118="","",Rechnungsstand!F118)</f>
        <v/>
      </c>
      <c r="E124" s="393">
        <f>IF(D124="","",SUM($D$12:D124))</f>
        <v/>
      </c>
      <c r="F124" s="393">
        <f>IF(D124="","",D124*$B$7)</f>
        <v/>
      </c>
      <c r="G124" s="393">
        <f>IF(D124="","",D124*$B$8)</f>
        <v/>
      </c>
      <c r="H124" s="393">
        <f>IF(D124="","",D124*$B$9)</f>
        <v/>
      </c>
      <c r="I124" s="393">
        <f>IF(D124="","",IF(C124="Abschlagsrechnung",MAX(0,MIN(D124*$E$7,IF($E$8&gt;0,$B$6*$E$8-SUM($I$12:I123),D124*$E$7))),0))</f>
        <v/>
      </c>
      <c r="J124" s="393">
        <f>IF(D124="","",SUM(F124:I124))</f>
        <v/>
      </c>
      <c r="K124" s="393">
        <f>IF(D124="","",D124-J124)</f>
        <v/>
      </c>
      <c r="L124" s="399" t="n"/>
      <c r="M124" s="400" t="n"/>
      <c r="N124" s="401" t="n"/>
      <c r="O124" s="401" t="n"/>
      <c r="P124" s="401" t="n"/>
      <c r="Q124" s="401" t="n"/>
      <c r="R124" s="401" t="n"/>
      <c r="S124" s="393">
        <f>IF(COUNTA(O124:R124)=0,"",SUM(O124:R124))</f>
        <v/>
      </c>
      <c r="T124" s="393">
        <f>IF(N124="","",N124-IF(S124="",0,S124))</f>
        <v/>
      </c>
      <c r="U124" s="402">
        <f>IF(OR(D124="",N124=""),"",N124-D124)</f>
        <v/>
      </c>
      <c r="V124" s="393">
        <f>IF(OR(K124="",T124=""),"",T124-K124)</f>
        <v/>
      </c>
      <c r="W124" s="395" t="n"/>
    </row>
    <row r="125">
      <c r="A125" s="389">
        <f>IF(Rechnungsstand!B119="","",Rechnungsstand!A119)</f>
        <v/>
      </c>
      <c r="B125" s="390">
        <f>IF(Rechnungsstand!B119="","",Rechnungsstand!B119)</f>
        <v/>
      </c>
      <c r="C125" s="391">
        <f>IF(Rechnungsstand!B119="","",Rechnungsstand!C119)</f>
        <v/>
      </c>
      <c r="D125" s="392">
        <f>IF(Rechnungsstand!B119="","",Rechnungsstand!F119)</f>
        <v/>
      </c>
      <c r="E125" s="393">
        <f>IF(D125="","",SUM($D$12:D125))</f>
        <v/>
      </c>
      <c r="F125" s="393">
        <f>IF(D125="","",D125*$B$7)</f>
        <v/>
      </c>
      <c r="G125" s="393">
        <f>IF(D125="","",D125*$B$8)</f>
        <v/>
      </c>
      <c r="H125" s="393">
        <f>IF(D125="","",D125*$B$9)</f>
        <v/>
      </c>
      <c r="I125" s="393">
        <f>IF(D125="","",IF(C125="Abschlagsrechnung",MAX(0,MIN(D125*$E$7,IF($E$8&gt;0,$B$6*$E$8-SUM($I$12:I124),D125*$E$7))),0))</f>
        <v/>
      </c>
      <c r="J125" s="393">
        <f>IF(D125="","",SUM(F125:I125))</f>
        <v/>
      </c>
      <c r="K125" s="393">
        <f>IF(D125="","",D125-J125)</f>
        <v/>
      </c>
      <c r="L125" s="399" t="n"/>
      <c r="M125" s="400" t="n"/>
      <c r="N125" s="401" t="n"/>
      <c r="O125" s="401" t="n"/>
      <c r="P125" s="401" t="n"/>
      <c r="Q125" s="401" t="n"/>
      <c r="R125" s="401" t="n"/>
      <c r="S125" s="393">
        <f>IF(COUNTA(O125:R125)=0,"",SUM(O125:R125))</f>
        <v/>
      </c>
      <c r="T125" s="393">
        <f>IF(N125="","",N125-IF(S125="",0,S125))</f>
        <v/>
      </c>
      <c r="U125" s="402">
        <f>IF(OR(D125="",N125=""),"",N125-D125)</f>
        <v/>
      </c>
      <c r="V125" s="393">
        <f>IF(OR(K125="",T125=""),"",T125-K125)</f>
        <v/>
      </c>
      <c r="W125" s="395" t="n"/>
    </row>
    <row r="126">
      <c r="A126" s="389">
        <f>IF(Rechnungsstand!B120="","",Rechnungsstand!A120)</f>
        <v/>
      </c>
      <c r="B126" s="390">
        <f>IF(Rechnungsstand!B120="","",Rechnungsstand!B120)</f>
        <v/>
      </c>
      <c r="C126" s="391">
        <f>IF(Rechnungsstand!B120="","",Rechnungsstand!C120)</f>
        <v/>
      </c>
      <c r="D126" s="392">
        <f>IF(Rechnungsstand!B120="","",Rechnungsstand!F120)</f>
        <v/>
      </c>
      <c r="E126" s="393">
        <f>IF(D126="","",SUM($D$12:D126))</f>
        <v/>
      </c>
      <c r="F126" s="393">
        <f>IF(D126="","",D126*$B$7)</f>
        <v/>
      </c>
      <c r="G126" s="393">
        <f>IF(D126="","",D126*$B$8)</f>
        <v/>
      </c>
      <c r="H126" s="393">
        <f>IF(D126="","",D126*$B$9)</f>
        <v/>
      </c>
      <c r="I126" s="393">
        <f>IF(D126="","",IF(C126="Abschlagsrechnung",MAX(0,MIN(D126*$E$7,IF($E$8&gt;0,$B$6*$E$8-SUM($I$12:I125),D126*$E$7))),0))</f>
        <v/>
      </c>
      <c r="J126" s="393">
        <f>IF(D126="","",SUM(F126:I126))</f>
        <v/>
      </c>
      <c r="K126" s="393">
        <f>IF(D126="","",D126-J126)</f>
        <v/>
      </c>
      <c r="L126" s="399" t="n"/>
      <c r="M126" s="400" t="n"/>
      <c r="N126" s="401" t="n"/>
      <c r="O126" s="401" t="n"/>
      <c r="P126" s="401" t="n"/>
      <c r="Q126" s="401" t="n"/>
      <c r="R126" s="401" t="n"/>
      <c r="S126" s="393">
        <f>IF(COUNTA(O126:R126)=0,"",SUM(O126:R126))</f>
        <v/>
      </c>
      <c r="T126" s="393">
        <f>IF(N126="","",N126-IF(S126="",0,S126))</f>
        <v/>
      </c>
      <c r="U126" s="402">
        <f>IF(OR(D126="",N126=""),"",N126-D126)</f>
        <v/>
      </c>
      <c r="V126" s="393">
        <f>IF(OR(K126="",T126=""),"",T126-K126)</f>
        <v/>
      </c>
      <c r="W126" s="395" t="n"/>
    </row>
    <row r="127">
      <c r="A127" s="389">
        <f>IF(Rechnungsstand!B121="","",Rechnungsstand!A121)</f>
        <v/>
      </c>
      <c r="B127" s="390">
        <f>IF(Rechnungsstand!B121="","",Rechnungsstand!B121)</f>
        <v/>
      </c>
      <c r="C127" s="391">
        <f>IF(Rechnungsstand!B121="","",Rechnungsstand!C121)</f>
        <v/>
      </c>
      <c r="D127" s="392">
        <f>IF(Rechnungsstand!B121="","",Rechnungsstand!F121)</f>
        <v/>
      </c>
      <c r="E127" s="393">
        <f>IF(D127="","",SUM($D$12:D127))</f>
        <v/>
      </c>
      <c r="F127" s="393">
        <f>IF(D127="","",D127*$B$7)</f>
        <v/>
      </c>
      <c r="G127" s="393">
        <f>IF(D127="","",D127*$B$8)</f>
        <v/>
      </c>
      <c r="H127" s="393">
        <f>IF(D127="","",D127*$B$9)</f>
        <v/>
      </c>
      <c r="I127" s="393">
        <f>IF(D127="","",IF(C127="Abschlagsrechnung",MAX(0,MIN(D127*$E$7,IF($E$8&gt;0,$B$6*$E$8-SUM($I$12:I126),D127*$E$7))),0))</f>
        <v/>
      </c>
      <c r="J127" s="393">
        <f>IF(D127="","",SUM(F127:I127))</f>
        <v/>
      </c>
      <c r="K127" s="393">
        <f>IF(D127="","",D127-J127)</f>
        <v/>
      </c>
      <c r="L127" s="399" t="n"/>
      <c r="M127" s="400" t="n"/>
      <c r="N127" s="401" t="n"/>
      <c r="O127" s="401" t="n"/>
      <c r="P127" s="401" t="n"/>
      <c r="Q127" s="401" t="n"/>
      <c r="R127" s="401" t="n"/>
      <c r="S127" s="393">
        <f>IF(COUNTA(O127:R127)=0,"",SUM(O127:R127))</f>
        <v/>
      </c>
      <c r="T127" s="393">
        <f>IF(N127="","",N127-IF(S127="",0,S127))</f>
        <v/>
      </c>
      <c r="U127" s="402">
        <f>IF(OR(D127="",N127=""),"",N127-D127)</f>
        <v/>
      </c>
      <c r="V127" s="393">
        <f>IF(OR(K127="",T127=""),"",T127-K127)</f>
        <v/>
      </c>
      <c r="W127" s="395" t="n"/>
    </row>
    <row r="128">
      <c r="A128" s="389">
        <f>IF(Rechnungsstand!B122="","",Rechnungsstand!A122)</f>
        <v/>
      </c>
      <c r="B128" s="390">
        <f>IF(Rechnungsstand!B122="","",Rechnungsstand!B122)</f>
        <v/>
      </c>
      <c r="C128" s="391">
        <f>IF(Rechnungsstand!B122="","",Rechnungsstand!C122)</f>
        <v/>
      </c>
      <c r="D128" s="392">
        <f>IF(Rechnungsstand!B122="","",Rechnungsstand!F122)</f>
        <v/>
      </c>
      <c r="E128" s="393">
        <f>IF(D128="","",SUM($D$12:D128))</f>
        <v/>
      </c>
      <c r="F128" s="393">
        <f>IF(D128="","",D128*$B$7)</f>
        <v/>
      </c>
      <c r="G128" s="393">
        <f>IF(D128="","",D128*$B$8)</f>
        <v/>
      </c>
      <c r="H128" s="393">
        <f>IF(D128="","",D128*$B$9)</f>
        <v/>
      </c>
      <c r="I128" s="393">
        <f>IF(D128="","",IF(C128="Abschlagsrechnung",MAX(0,MIN(D128*$E$7,IF($E$8&gt;0,$B$6*$E$8-SUM($I$12:I127),D128*$E$7))),0))</f>
        <v/>
      </c>
      <c r="J128" s="393">
        <f>IF(D128="","",SUM(F128:I128))</f>
        <v/>
      </c>
      <c r="K128" s="393">
        <f>IF(D128="","",D128-J128)</f>
        <v/>
      </c>
      <c r="L128" s="399" t="n"/>
      <c r="M128" s="400" t="n"/>
      <c r="N128" s="401" t="n"/>
      <c r="O128" s="401" t="n"/>
      <c r="P128" s="401" t="n"/>
      <c r="Q128" s="401" t="n"/>
      <c r="R128" s="401" t="n"/>
      <c r="S128" s="393">
        <f>IF(COUNTA(O128:R128)=0,"",SUM(O128:R128))</f>
        <v/>
      </c>
      <c r="T128" s="393">
        <f>IF(N128="","",N128-IF(S128="",0,S128))</f>
        <v/>
      </c>
      <c r="U128" s="402">
        <f>IF(OR(D128="",N128=""),"",N128-D128)</f>
        <v/>
      </c>
      <c r="V128" s="393">
        <f>IF(OR(K128="",T128=""),"",T128-K128)</f>
        <v/>
      </c>
      <c r="W128" s="395" t="n"/>
    </row>
    <row r="129">
      <c r="A129" s="389">
        <f>IF(Rechnungsstand!B123="","",Rechnungsstand!A123)</f>
        <v/>
      </c>
      <c r="B129" s="390">
        <f>IF(Rechnungsstand!B123="","",Rechnungsstand!B123)</f>
        <v/>
      </c>
      <c r="C129" s="391">
        <f>IF(Rechnungsstand!B123="","",Rechnungsstand!C123)</f>
        <v/>
      </c>
      <c r="D129" s="392">
        <f>IF(Rechnungsstand!B123="","",Rechnungsstand!F123)</f>
        <v/>
      </c>
      <c r="E129" s="393">
        <f>IF(D129="","",SUM($D$12:D129))</f>
        <v/>
      </c>
      <c r="F129" s="393">
        <f>IF(D129="","",D129*$B$7)</f>
        <v/>
      </c>
      <c r="G129" s="393">
        <f>IF(D129="","",D129*$B$8)</f>
        <v/>
      </c>
      <c r="H129" s="393">
        <f>IF(D129="","",D129*$B$9)</f>
        <v/>
      </c>
      <c r="I129" s="393">
        <f>IF(D129="","",IF(C129="Abschlagsrechnung",MAX(0,MIN(D129*$E$7,IF($E$8&gt;0,$B$6*$E$8-SUM($I$12:I128),D129*$E$7))),0))</f>
        <v/>
      </c>
      <c r="J129" s="393">
        <f>IF(D129="","",SUM(F129:I129))</f>
        <v/>
      </c>
      <c r="K129" s="393">
        <f>IF(D129="","",D129-J129)</f>
        <v/>
      </c>
      <c r="L129" s="399" t="n"/>
      <c r="M129" s="400" t="n"/>
      <c r="N129" s="401" t="n"/>
      <c r="O129" s="401" t="n"/>
      <c r="P129" s="401" t="n"/>
      <c r="Q129" s="401" t="n"/>
      <c r="R129" s="401" t="n"/>
      <c r="S129" s="393">
        <f>IF(COUNTA(O129:R129)=0,"",SUM(O129:R129))</f>
        <v/>
      </c>
      <c r="T129" s="393">
        <f>IF(N129="","",N129-IF(S129="",0,S129))</f>
        <v/>
      </c>
      <c r="U129" s="402">
        <f>IF(OR(D129="",N129=""),"",N129-D129)</f>
        <v/>
      </c>
      <c r="V129" s="393">
        <f>IF(OR(K129="",T129=""),"",T129-K129)</f>
        <v/>
      </c>
      <c r="W129" s="395" t="n"/>
    </row>
    <row r="130">
      <c r="A130" s="389">
        <f>IF(Rechnungsstand!B124="","",Rechnungsstand!A124)</f>
        <v/>
      </c>
      <c r="B130" s="390">
        <f>IF(Rechnungsstand!B124="","",Rechnungsstand!B124)</f>
        <v/>
      </c>
      <c r="C130" s="391">
        <f>IF(Rechnungsstand!B124="","",Rechnungsstand!C124)</f>
        <v/>
      </c>
      <c r="D130" s="392">
        <f>IF(Rechnungsstand!B124="","",Rechnungsstand!F124)</f>
        <v/>
      </c>
      <c r="E130" s="393">
        <f>IF(D130="","",SUM($D$12:D130))</f>
        <v/>
      </c>
      <c r="F130" s="393">
        <f>IF(D130="","",D130*$B$7)</f>
        <v/>
      </c>
      <c r="G130" s="393">
        <f>IF(D130="","",D130*$B$8)</f>
        <v/>
      </c>
      <c r="H130" s="393">
        <f>IF(D130="","",D130*$B$9)</f>
        <v/>
      </c>
      <c r="I130" s="393">
        <f>IF(D130="","",IF(C130="Abschlagsrechnung",MAX(0,MIN(D130*$E$7,IF($E$8&gt;0,$B$6*$E$8-SUM($I$12:I129),D130*$E$7))),0))</f>
        <v/>
      </c>
      <c r="J130" s="393">
        <f>IF(D130="","",SUM(F130:I130))</f>
        <v/>
      </c>
      <c r="K130" s="393">
        <f>IF(D130="","",D130-J130)</f>
        <v/>
      </c>
      <c r="L130" s="399" t="n"/>
      <c r="M130" s="400" t="n"/>
      <c r="N130" s="401" t="n"/>
      <c r="O130" s="401" t="n"/>
      <c r="P130" s="401" t="n"/>
      <c r="Q130" s="401" t="n"/>
      <c r="R130" s="401" t="n"/>
      <c r="S130" s="393">
        <f>IF(COUNTA(O130:R130)=0,"",SUM(O130:R130))</f>
        <v/>
      </c>
      <c r="T130" s="393">
        <f>IF(N130="","",N130-IF(S130="",0,S130))</f>
        <v/>
      </c>
      <c r="U130" s="402">
        <f>IF(OR(D130="",N130=""),"",N130-D130)</f>
        <v/>
      </c>
      <c r="V130" s="393">
        <f>IF(OR(K130="",T130=""),"",T130-K130)</f>
        <v/>
      </c>
      <c r="W130" s="395" t="n"/>
    </row>
    <row r="131">
      <c r="A131" s="389">
        <f>IF(Rechnungsstand!B125="","",Rechnungsstand!A125)</f>
        <v/>
      </c>
      <c r="B131" s="390">
        <f>IF(Rechnungsstand!B125="","",Rechnungsstand!B125)</f>
        <v/>
      </c>
      <c r="C131" s="391">
        <f>IF(Rechnungsstand!B125="","",Rechnungsstand!C125)</f>
        <v/>
      </c>
      <c r="D131" s="392">
        <f>IF(Rechnungsstand!B125="","",Rechnungsstand!F125)</f>
        <v/>
      </c>
      <c r="E131" s="393">
        <f>IF(D131="","",SUM($D$12:D131))</f>
        <v/>
      </c>
      <c r="F131" s="393">
        <f>IF(D131="","",D131*$B$7)</f>
        <v/>
      </c>
      <c r="G131" s="393">
        <f>IF(D131="","",D131*$B$8)</f>
        <v/>
      </c>
      <c r="H131" s="393">
        <f>IF(D131="","",D131*$B$9)</f>
        <v/>
      </c>
      <c r="I131" s="393">
        <f>IF(D131="","",IF(C131="Abschlagsrechnung",MAX(0,MIN(D131*$E$7,IF($E$8&gt;0,$B$6*$E$8-SUM($I$12:I130),D131*$E$7))),0))</f>
        <v/>
      </c>
      <c r="J131" s="393">
        <f>IF(D131="","",SUM(F131:I131))</f>
        <v/>
      </c>
      <c r="K131" s="393">
        <f>IF(D131="","",D131-J131)</f>
        <v/>
      </c>
      <c r="L131" s="399" t="n"/>
      <c r="M131" s="400" t="n"/>
      <c r="N131" s="401" t="n"/>
      <c r="O131" s="401" t="n"/>
      <c r="P131" s="401" t="n"/>
      <c r="Q131" s="401" t="n"/>
      <c r="R131" s="401" t="n"/>
      <c r="S131" s="393">
        <f>IF(COUNTA(O131:R131)=0,"",SUM(O131:R131))</f>
        <v/>
      </c>
      <c r="T131" s="393">
        <f>IF(N131="","",N131-IF(S131="",0,S131))</f>
        <v/>
      </c>
      <c r="U131" s="402">
        <f>IF(OR(D131="",N131=""),"",N131-D131)</f>
        <v/>
      </c>
      <c r="V131" s="393">
        <f>IF(OR(K131="",T131=""),"",T131-K131)</f>
        <v/>
      </c>
      <c r="W131" s="395" t="n"/>
    </row>
    <row r="132">
      <c r="A132" s="389">
        <f>IF(Rechnungsstand!B126="","",Rechnungsstand!A126)</f>
        <v/>
      </c>
      <c r="B132" s="390">
        <f>IF(Rechnungsstand!B126="","",Rechnungsstand!B126)</f>
        <v/>
      </c>
      <c r="C132" s="391">
        <f>IF(Rechnungsstand!B126="","",Rechnungsstand!C126)</f>
        <v/>
      </c>
      <c r="D132" s="392">
        <f>IF(Rechnungsstand!B126="","",Rechnungsstand!F126)</f>
        <v/>
      </c>
      <c r="E132" s="393">
        <f>IF(D132="","",SUM($D$12:D132))</f>
        <v/>
      </c>
      <c r="F132" s="393">
        <f>IF(D132="","",D132*$B$7)</f>
        <v/>
      </c>
      <c r="G132" s="393">
        <f>IF(D132="","",D132*$B$8)</f>
        <v/>
      </c>
      <c r="H132" s="393">
        <f>IF(D132="","",D132*$B$9)</f>
        <v/>
      </c>
      <c r="I132" s="393">
        <f>IF(D132="","",IF(C132="Abschlagsrechnung",MAX(0,MIN(D132*$E$7,IF($E$8&gt;0,$B$6*$E$8-SUM($I$12:I131),D132*$E$7))),0))</f>
        <v/>
      </c>
      <c r="J132" s="393">
        <f>IF(D132="","",SUM(F132:I132))</f>
        <v/>
      </c>
      <c r="K132" s="393">
        <f>IF(D132="","",D132-J132)</f>
        <v/>
      </c>
      <c r="L132" s="399" t="n"/>
      <c r="M132" s="400" t="n"/>
      <c r="N132" s="401" t="n"/>
      <c r="O132" s="401" t="n"/>
      <c r="P132" s="401" t="n"/>
      <c r="Q132" s="401" t="n"/>
      <c r="R132" s="401" t="n"/>
      <c r="S132" s="393">
        <f>IF(COUNTA(O132:R132)=0,"",SUM(O132:R132))</f>
        <v/>
      </c>
      <c r="T132" s="393">
        <f>IF(N132="","",N132-IF(S132="",0,S132))</f>
        <v/>
      </c>
      <c r="U132" s="402">
        <f>IF(OR(D132="",N132=""),"",N132-D132)</f>
        <v/>
      </c>
      <c r="V132" s="393">
        <f>IF(OR(K132="",T132=""),"",T132-K132)</f>
        <v/>
      </c>
      <c r="W132" s="395" t="n"/>
    </row>
    <row r="133">
      <c r="A133" s="389">
        <f>IF(Rechnungsstand!B127="","",Rechnungsstand!A127)</f>
        <v/>
      </c>
      <c r="B133" s="390">
        <f>IF(Rechnungsstand!B127="","",Rechnungsstand!B127)</f>
        <v/>
      </c>
      <c r="C133" s="391">
        <f>IF(Rechnungsstand!B127="","",Rechnungsstand!C127)</f>
        <v/>
      </c>
      <c r="D133" s="392">
        <f>IF(Rechnungsstand!B127="","",Rechnungsstand!F127)</f>
        <v/>
      </c>
      <c r="E133" s="393">
        <f>IF(D133="","",SUM($D$12:D133))</f>
        <v/>
      </c>
      <c r="F133" s="393">
        <f>IF(D133="","",D133*$B$7)</f>
        <v/>
      </c>
      <c r="G133" s="393">
        <f>IF(D133="","",D133*$B$8)</f>
        <v/>
      </c>
      <c r="H133" s="393">
        <f>IF(D133="","",D133*$B$9)</f>
        <v/>
      </c>
      <c r="I133" s="393">
        <f>IF(D133="","",IF(C133="Abschlagsrechnung",MAX(0,MIN(D133*$E$7,IF($E$8&gt;0,$B$6*$E$8-SUM($I$12:I132),D133*$E$7))),0))</f>
        <v/>
      </c>
      <c r="J133" s="393">
        <f>IF(D133="","",SUM(F133:I133))</f>
        <v/>
      </c>
      <c r="K133" s="393">
        <f>IF(D133="","",D133-J133)</f>
        <v/>
      </c>
      <c r="L133" s="399" t="n"/>
      <c r="M133" s="400" t="n"/>
      <c r="N133" s="401" t="n"/>
      <c r="O133" s="401" t="n"/>
      <c r="P133" s="401" t="n"/>
      <c r="Q133" s="401" t="n"/>
      <c r="R133" s="401" t="n"/>
      <c r="S133" s="393">
        <f>IF(COUNTA(O133:R133)=0,"",SUM(O133:R133))</f>
        <v/>
      </c>
      <c r="T133" s="393">
        <f>IF(N133="","",N133-IF(S133="",0,S133))</f>
        <v/>
      </c>
      <c r="U133" s="402">
        <f>IF(OR(D133="",N133=""),"",N133-D133)</f>
        <v/>
      </c>
      <c r="V133" s="393">
        <f>IF(OR(K133="",T133=""),"",T133-K133)</f>
        <v/>
      </c>
      <c r="W133" s="395" t="n"/>
    </row>
    <row r="134">
      <c r="A134" s="389">
        <f>IF(Rechnungsstand!B128="","",Rechnungsstand!A128)</f>
        <v/>
      </c>
      <c r="B134" s="390">
        <f>IF(Rechnungsstand!B128="","",Rechnungsstand!B128)</f>
        <v/>
      </c>
      <c r="C134" s="391">
        <f>IF(Rechnungsstand!B128="","",Rechnungsstand!C128)</f>
        <v/>
      </c>
      <c r="D134" s="392">
        <f>IF(Rechnungsstand!B128="","",Rechnungsstand!F128)</f>
        <v/>
      </c>
      <c r="E134" s="393">
        <f>IF(D134="","",SUM($D$12:D134))</f>
        <v/>
      </c>
      <c r="F134" s="393">
        <f>IF(D134="","",D134*$B$7)</f>
        <v/>
      </c>
      <c r="G134" s="393">
        <f>IF(D134="","",D134*$B$8)</f>
        <v/>
      </c>
      <c r="H134" s="393">
        <f>IF(D134="","",D134*$B$9)</f>
        <v/>
      </c>
      <c r="I134" s="393">
        <f>IF(D134="","",IF(C134="Abschlagsrechnung",MAX(0,MIN(D134*$E$7,IF($E$8&gt;0,$B$6*$E$8-SUM($I$12:I133),D134*$E$7))),0))</f>
        <v/>
      </c>
      <c r="J134" s="393">
        <f>IF(D134="","",SUM(F134:I134))</f>
        <v/>
      </c>
      <c r="K134" s="393">
        <f>IF(D134="","",D134-J134)</f>
        <v/>
      </c>
      <c r="L134" s="399" t="n"/>
      <c r="M134" s="400" t="n"/>
      <c r="N134" s="401" t="n"/>
      <c r="O134" s="401" t="n"/>
      <c r="P134" s="401" t="n"/>
      <c r="Q134" s="401" t="n"/>
      <c r="R134" s="401" t="n"/>
      <c r="S134" s="393">
        <f>IF(COUNTA(O134:R134)=0,"",SUM(O134:R134))</f>
        <v/>
      </c>
      <c r="T134" s="393">
        <f>IF(N134="","",N134-IF(S134="",0,S134))</f>
        <v/>
      </c>
      <c r="U134" s="402">
        <f>IF(OR(D134="",N134=""),"",N134-D134)</f>
        <v/>
      </c>
      <c r="V134" s="393">
        <f>IF(OR(K134="",T134=""),"",T134-K134)</f>
        <v/>
      </c>
      <c r="W134" s="395" t="n"/>
    </row>
    <row r="135">
      <c r="A135" s="389">
        <f>IF(Rechnungsstand!B129="","",Rechnungsstand!A129)</f>
        <v/>
      </c>
      <c r="B135" s="390">
        <f>IF(Rechnungsstand!B129="","",Rechnungsstand!B129)</f>
        <v/>
      </c>
      <c r="C135" s="391">
        <f>IF(Rechnungsstand!B129="","",Rechnungsstand!C129)</f>
        <v/>
      </c>
      <c r="D135" s="392">
        <f>IF(Rechnungsstand!B129="","",Rechnungsstand!F129)</f>
        <v/>
      </c>
      <c r="E135" s="393">
        <f>IF(D135="","",SUM($D$12:D135))</f>
        <v/>
      </c>
      <c r="F135" s="393">
        <f>IF(D135="","",D135*$B$7)</f>
        <v/>
      </c>
      <c r="G135" s="393">
        <f>IF(D135="","",D135*$B$8)</f>
        <v/>
      </c>
      <c r="H135" s="393">
        <f>IF(D135="","",D135*$B$9)</f>
        <v/>
      </c>
      <c r="I135" s="393">
        <f>IF(D135="","",IF(C135="Abschlagsrechnung",MAX(0,MIN(D135*$E$7,IF($E$8&gt;0,$B$6*$E$8-SUM($I$12:I134),D135*$E$7))),0))</f>
        <v/>
      </c>
      <c r="J135" s="393">
        <f>IF(D135="","",SUM(F135:I135))</f>
        <v/>
      </c>
      <c r="K135" s="393">
        <f>IF(D135="","",D135-J135)</f>
        <v/>
      </c>
      <c r="L135" s="399" t="n"/>
      <c r="M135" s="400" t="n"/>
      <c r="N135" s="401" t="n"/>
      <c r="O135" s="401" t="n"/>
      <c r="P135" s="401" t="n"/>
      <c r="Q135" s="401" t="n"/>
      <c r="R135" s="401" t="n"/>
      <c r="S135" s="393">
        <f>IF(COUNTA(O135:R135)=0,"",SUM(O135:R135))</f>
        <v/>
      </c>
      <c r="T135" s="393">
        <f>IF(N135="","",N135-IF(S135="",0,S135))</f>
        <v/>
      </c>
      <c r="U135" s="402">
        <f>IF(OR(D135="",N135=""),"",N135-D135)</f>
        <v/>
      </c>
      <c r="V135" s="393">
        <f>IF(OR(K135="",T135=""),"",T135-K135)</f>
        <v/>
      </c>
      <c r="W135" s="395" t="n"/>
    </row>
    <row r="136">
      <c r="A136" s="389">
        <f>IF(Rechnungsstand!B130="","",Rechnungsstand!A130)</f>
        <v/>
      </c>
      <c r="B136" s="390">
        <f>IF(Rechnungsstand!B130="","",Rechnungsstand!B130)</f>
        <v/>
      </c>
      <c r="C136" s="391">
        <f>IF(Rechnungsstand!B130="","",Rechnungsstand!C130)</f>
        <v/>
      </c>
      <c r="D136" s="392">
        <f>IF(Rechnungsstand!B130="","",Rechnungsstand!F130)</f>
        <v/>
      </c>
      <c r="E136" s="393">
        <f>IF(D136="","",SUM($D$12:D136))</f>
        <v/>
      </c>
      <c r="F136" s="393">
        <f>IF(D136="","",D136*$B$7)</f>
        <v/>
      </c>
      <c r="G136" s="393">
        <f>IF(D136="","",D136*$B$8)</f>
        <v/>
      </c>
      <c r="H136" s="393">
        <f>IF(D136="","",D136*$B$9)</f>
        <v/>
      </c>
      <c r="I136" s="393">
        <f>IF(D136="","",IF(C136="Abschlagsrechnung",MAX(0,MIN(D136*$E$7,IF($E$8&gt;0,$B$6*$E$8-SUM($I$12:I135),D136*$E$7))),0))</f>
        <v/>
      </c>
      <c r="J136" s="393">
        <f>IF(D136="","",SUM(F136:I136))</f>
        <v/>
      </c>
      <c r="K136" s="393">
        <f>IF(D136="","",D136-J136)</f>
        <v/>
      </c>
      <c r="L136" s="399" t="n"/>
      <c r="M136" s="400" t="n"/>
      <c r="N136" s="401" t="n"/>
      <c r="O136" s="401" t="n"/>
      <c r="P136" s="401" t="n"/>
      <c r="Q136" s="401" t="n"/>
      <c r="R136" s="401" t="n"/>
      <c r="S136" s="393">
        <f>IF(COUNTA(O136:R136)=0,"",SUM(O136:R136))</f>
        <v/>
      </c>
      <c r="T136" s="393">
        <f>IF(N136="","",N136-IF(S136="",0,S136))</f>
        <v/>
      </c>
      <c r="U136" s="402">
        <f>IF(OR(D136="",N136=""),"",N136-D136)</f>
        <v/>
      </c>
      <c r="V136" s="393">
        <f>IF(OR(K136="",T136=""),"",T136-K136)</f>
        <v/>
      </c>
      <c r="W136" s="395" t="n"/>
    </row>
    <row r="137">
      <c r="A137" s="389">
        <f>IF(Rechnungsstand!B131="","",Rechnungsstand!A131)</f>
        <v/>
      </c>
      <c r="B137" s="390">
        <f>IF(Rechnungsstand!B131="","",Rechnungsstand!B131)</f>
        <v/>
      </c>
      <c r="C137" s="391">
        <f>IF(Rechnungsstand!B131="","",Rechnungsstand!C131)</f>
        <v/>
      </c>
      <c r="D137" s="392">
        <f>IF(Rechnungsstand!B131="","",Rechnungsstand!F131)</f>
        <v/>
      </c>
      <c r="E137" s="393">
        <f>IF(D137="","",SUM($D$12:D137))</f>
        <v/>
      </c>
      <c r="F137" s="393">
        <f>IF(D137="","",D137*$B$7)</f>
        <v/>
      </c>
      <c r="G137" s="393">
        <f>IF(D137="","",D137*$B$8)</f>
        <v/>
      </c>
      <c r="H137" s="393">
        <f>IF(D137="","",D137*$B$9)</f>
        <v/>
      </c>
      <c r="I137" s="393">
        <f>IF(D137="","",IF(C137="Abschlagsrechnung",MAX(0,MIN(D137*$E$7,IF($E$8&gt;0,$B$6*$E$8-SUM($I$12:I136),D137*$E$7))),0))</f>
        <v/>
      </c>
      <c r="J137" s="393">
        <f>IF(D137="","",SUM(F137:I137))</f>
        <v/>
      </c>
      <c r="K137" s="393">
        <f>IF(D137="","",D137-J137)</f>
        <v/>
      </c>
      <c r="L137" s="399" t="n"/>
      <c r="M137" s="400" t="n"/>
      <c r="N137" s="401" t="n"/>
      <c r="O137" s="401" t="n"/>
      <c r="P137" s="401" t="n"/>
      <c r="Q137" s="401" t="n"/>
      <c r="R137" s="401" t="n"/>
      <c r="S137" s="393">
        <f>IF(COUNTA(O137:R137)=0,"",SUM(O137:R137))</f>
        <v/>
      </c>
      <c r="T137" s="393">
        <f>IF(N137="","",N137-IF(S137="",0,S137))</f>
        <v/>
      </c>
      <c r="U137" s="402">
        <f>IF(OR(D137="",N137=""),"",N137-D137)</f>
        <v/>
      </c>
      <c r="V137" s="393">
        <f>IF(OR(K137="",T137=""),"",T137-K137)</f>
        <v/>
      </c>
      <c r="W137" s="395" t="n"/>
    </row>
    <row r="138">
      <c r="A138" s="389">
        <f>IF(Rechnungsstand!B132="","",Rechnungsstand!A132)</f>
        <v/>
      </c>
      <c r="B138" s="390">
        <f>IF(Rechnungsstand!B132="","",Rechnungsstand!B132)</f>
        <v/>
      </c>
      <c r="C138" s="391">
        <f>IF(Rechnungsstand!B132="","",Rechnungsstand!C132)</f>
        <v/>
      </c>
      <c r="D138" s="392">
        <f>IF(Rechnungsstand!B132="","",Rechnungsstand!F132)</f>
        <v/>
      </c>
      <c r="E138" s="393">
        <f>IF(D138="","",SUM($D$12:D138))</f>
        <v/>
      </c>
      <c r="F138" s="393">
        <f>IF(D138="","",D138*$B$7)</f>
        <v/>
      </c>
      <c r="G138" s="393">
        <f>IF(D138="","",D138*$B$8)</f>
        <v/>
      </c>
      <c r="H138" s="393">
        <f>IF(D138="","",D138*$B$9)</f>
        <v/>
      </c>
      <c r="I138" s="393">
        <f>IF(D138="","",IF(C138="Abschlagsrechnung",MAX(0,MIN(D138*$E$7,IF($E$8&gt;0,$B$6*$E$8-SUM($I$12:I137),D138*$E$7))),0))</f>
        <v/>
      </c>
      <c r="J138" s="393">
        <f>IF(D138="","",SUM(F138:I138))</f>
        <v/>
      </c>
      <c r="K138" s="393">
        <f>IF(D138="","",D138-J138)</f>
        <v/>
      </c>
      <c r="L138" s="399" t="n"/>
      <c r="M138" s="400" t="n"/>
      <c r="N138" s="401" t="n"/>
      <c r="O138" s="401" t="n"/>
      <c r="P138" s="401" t="n"/>
      <c r="Q138" s="401" t="n"/>
      <c r="R138" s="401" t="n"/>
      <c r="S138" s="393">
        <f>IF(COUNTA(O138:R138)=0,"",SUM(O138:R138))</f>
        <v/>
      </c>
      <c r="T138" s="393">
        <f>IF(N138="","",N138-IF(S138="",0,S138))</f>
        <v/>
      </c>
      <c r="U138" s="402">
        <f>IF(OR(D138="",N138=""),"",N138-D138)</f>
        <v/>
      </c>
      <c r="V138" s="393">
        <f>IF(OR(K138="",T138=""),"",T138-K138)</f>
        <v/>
      </c>
      <c r="W138" s="395" t="n"/>
    </row>
    <row r="139">
      <c r="A139" s="389">
        <f>IF(Rechnungsstand!B133="","",Rechnungsstand!A133)</f>
        <v/>
      </c>
      <c r="B139" s="390">
        <f>IF(Rechnungsstand!B133="","",Rechnungsstand!B133)</f>
        <v/>
      </c>
      <c r="C139" s="391">
        <f>IF(Rechnungsstand!B133="","",Rechnungsstand!C133)</f>
        <v/>
      </c>
      <c r="D139" s="392">
        <f>IF(Rechnungsstand!B133="","",Rechnungsstand!F133)</f>
        <v/>
      </c>
      <c r="E139" s="393">
        <f>IF(D139="","",SUM($D$12:D139))</f>
        <v/>
      </c>
      <c r="F139" s="393">
        <f>IF(D139="","",D139*$B$7)</f>
        <v/>
      </c>
      <c r="G139" s="393">
        <f>IF(D139="","",D139*$B$8)</f>
        <v/>
      </c>
      <c r="H139" s="393">
        <f>IF(D139="","",D139*$B$9)</f>
        <v/>
      </c>
      <c r="I139" s="393">
        <f>IF(D139="","",IF(C139="Abschlagsrechnung",MAX(0,MIN(D139*$E$7,IF($E$8&gt;0,$B$6*$E$8-SUM($I$12:I138),D139*$E$7))),0))</f>
        <v/>
      </c>
      <c r="J139" s="393">
        <f>IF(D139="","",SUM(F139:I139))</f>
        <v/>
      </c>
      <c r="K139" s="393">
        <f>IF(D139="","",D139-J139)</f>
        <v/>
      </c>
      <c r="L139" s="399" t="n"/>
      <c r="M139" s="400" t="n"/>
      <c r="N139" s="401" t="n"/>
      <c r="O139" s="401" t="n"/>
      <c r="P139" s="401" t="n"/>
      <c r="Q139" s="401" t="n"/>
      <c r="R139" s="401" t="n"/>
      <c r="S139" s="393">
        <f>IF(COUNTA(O139:R139)=0,"",SUM(O139:R139))</f>
        <v/>
      </c>
      <c r="T139" s="393">
        <f>IF(N139="","",N139-IF(S139="",0,S139))</f>
        <v/>
      </c>
      <c r="U139" s="402">
        <f>IF(OR(D139="",N139=""),"",N139-D139)</f>
        <v/>
      </c>
      <c r="V139" s="393">
        <f>IF(OR(K139="",T139=""),"",T139-K139)</f>
        <v/>
      </c>
      <c r="W139" s="395" t="n"/>
    </row>
    <row r="140">
      <c r="A140" s="389">
        <f>IF(Rechnungsstand!B134="","",Rechnungsstand!A134)</f>
        <v/>
      </c>
      <c r="B140" s="390">
        <f>IF(Rechnungsstand!B134="","",Rechnungsstand!B134)</f>
        <v/>
      </c>
      <c r="C140" s="391">
        <f>IF(Rechnungsstand!B134="","",Rechnungsstand!C134)</f>
        <v/>
      </c>
      <c r="D140" s="392">
        <f>IF(Rechnungsstand!B134="","",Rechnungsstand!F134)</f>
        <v/>
      </c>
      <c r="E140" s="393">
        <f>IF(D140="","",SUM($D$12:D140))</f>
        <v/>
      </c>
      <c r="F140" s="393">
        <f>IF(D140="","",D140*$B$7)</f>
        <v/>
      </c>
      <c r="G140" s="393">
        <f>IF(D140="","",D140*$B$8)</f>
        <v/>
      </c>
      <c r="H140" s="393">
        <f>IF(D140="","",D140*$B$9)</f>
        <v/>
      </c>
      <c r="I140" s="393">
        <f>IF(D140="","",IF(C140="Abschlagsrechnung",MAX(0,MIN(D140*$E$7,IF($E$8&gt;0,$B$6*$E$8-SUM($I$12:I139),D140*$E$7))),0))</f>
        <v/>
      </c>
      <c r="J140" s="393">
        <f>IF(D140="","",SUM(F140:I140))</f>
        <v/>
      </c>
      <c r="K140" s="393">
        <f>IF(D140="","",D140-J140)</f>
        <v/>
      </c>
      <c r="L140" s="399" t="n"/>
      <c r="M140" s="400" t="n"/>
      <c r="N140" s="401" t="n"/>
      <c r="O140" s="401" t="n"/>
      <c r="P140" s="401" t="n"/>
      <c r="Q140" s="401" t="n"/>
      <c r="R140" s="401" t="n"/>
      <c r="S140" s="393">
        <f>IF(COUNTA(O140:R140)=0,"",SUM(O140:R140))</f>
        <v/>
      </c>
      <c r="T140" s="393">
        <f>IF(N140="","",N140-IF(S140="",0,S140))</f>
        <v/>
      </c>
      <c r="U140" s="402">
        <f>IF(OR(D140="",N140=""),"",N140-D140)</f>
        <v/>
      </c>
      <c r="V140" s="393">
        <f>IF(OR(K140="",T140=""),"",T140-K140)</f>
        <v/>
      </c>
      <c r="W140" s="395" t="n"/>
    </row>
    <row r="141">
      <c r="A141" s="389">
        <f>IF(Rechnungsstand!B135="","",Rechnungsstand!A135)</f>
        <v/>
      </c>
      <c r="B141" s="390">
        <f>IF(Rechnungsstand!B135="","",Rechnungsstand!B135)</f>
        <v/>
      </c>
      <c r="C141" s="391">
        <f>IF(Rechnungsstand!B135="","",Rechnungsstand!C135)</f>
        <v/>
      </c>
      <c r="D141" s="392">
        <f>IF(Rechnungsstand!B135="","",Rechnungsstand!F135)</f>
        <v/>
      </c>
      <c r="E141" s="393">
        <f>IF(D141="","",SUM($D$12:D141))</f>
        <v/>
      </c>
      <c r="F141" s="393">
        <f>IF(D141="","",D141*$B$7)</f>
        <v/>
      </c>
      <c r="G141" s="393">
        <f>IF(D141="","",D141*$B$8)</f>
        <v/>
      </c>
      <c r="H141" s="393">
        <f>IF(D141="","",D141*$B$9)</f>
        <v/>
      </c>
      <c r="I141" s="393">
        <f>IF(D141="","",IF(C141="Abschlagsrechnung",MAX(0,MIN(D141*$E$7,IF($E$8&gt;0,$B$6*$E$8-SUM($I$12:I140),D141*$E$7))),0))</f>
        <v/>
      </c>
      <c r="J141" s="393">
        <f>IF(D141="","",SUM(F141:I141))</f>
        <v/>
      </c>
      <c r="K141" s="393">
        <f>IF(D141="","",D141-J141)</f>
        <v/>
      </c>
      <c r="L141" s="399" t="n"/>
      <c r="M141" s="400" t="n"/>
      <c r="N141" s="401" t="n"/>
      <c r="O141" s="401" t="n"/>
      <c r="P141" s="401" t="n"/>
      <c r="Q141" s="401" t="n"/>
      <c r="R141" s="401" t="n"/>
      <c r="S141" s="393">
        <f>IF(COUNTA(O141:R141)=0,"",SUM(O141:R141))</f>
        <v/>
      </c>
      <c r="T141" s="393">
        <f>IF(N141="","",N141-IF(S141="",0,S141))</f>
        <v/>
      </c>
      <c r="U141" s="402">
        <f>IF(OR(D141="",N141=""),"",N141-D141)</f>
        <v/>
      </c>
      <c r="V141" s="393">
        <f>IF(OR(K141="",T141=""),"",T141-K141)</f>
        <v/>
      </c>
      <c r="W141" s="395" t="n"/>
    </row>
    <row r="142">
      <c r="A142" s="389">
        <f>IF(Rechnungsstand!B136="","",Rechnungsstand!A136)</f>
        <v/>
      </c>
      <c r="B142" s="390">
        <f>IF(Rechnungsstand!B136="","",Rechnungsstand!B136)</f>
        <v/>
      </c>
      <c r="C142" s="391">
        <f>IF(Rechnungsstand!B136="","",Rechnungsstand!C136)</f>
        <v/>
      </c>
      <c r="D142" s="392">
        <f>IF(Rechnungsstand!B136="","",Rechnungsstand!F136)</f>
        <v/>
      </c>
      <c r="E142" s="393">
        <f>IF(D142="","",SUM($D$12:D142))</f>
        <v/>
      </c>
      <c r="F142" s="393">
        <f>IF(D142="","",D142*$B$7)</f>
        <v/>
      </c>
      <c r="G142" s="393">
        <f>IF(D142="","",D142*$B$8)</f>
        <v/>
      </c>
      <c r="H142" s="393">
        <f>IF(D142="","",D142*$B$9)</f>
        <v/>
      </c>
      <c r="I142" s="393">
        <f>IF(D142="","",IF(C142="Abschlagsrechnung",MAX(0,MIN(D142*$E$7,IF($E$8&gt;0,$B$6*$E$8-SUM($I$12:I141),D142*$E$7))),0))</f>
        <v/>
      </c>
      <c r="J142" s="393">
        <f>IF(D142="","",SUM(F142:I142))</f>
        <v/>
      </c>
      <c r="K142" s="393">
        <f>IF(D142="","",D142-J142)</f>
        <v/>
      </c>
      <c r="L142" s="399" t="n"/>
      <c r="M142" s="400" t="n"/>
      <c r="N142" s="401" t="n"/>
      <c r="O142" s="401" t="n"/>
      <c r="P142" s="401" t="n"/>
      <c r="Q142" s="401" t="n"/>
      <c r="R142" s="401" t="n"/>
      <c r="S142" s="393">
        <f>IF(COUNTA(O142:R142)=0,"",SUM(O142:R142))</f>
        <v/>
      </c>
      <c r="T142" s="393">
        <f>IF(N142="","",N142-IF(S142="",0,S142))</f>
        <v/>
      </c>
      <c r="U142" s="402">
        <f>IF(OR(D142="",N142=""),"",N142-D142)</f>
        <v/>
      </c>
      <c r="V142" s="393">
        <f>IF(OR(K142="",T142=""),"",T142-K142)</f>
        <v/>
      </c>
      <c r="W142" s="395" t="n"/>
    </row>
    <row r="143">
      <c r="A143" s="389">
        <f>IF(Rechnungsstand!B137="","",Rechnungsstand!A137)</f>
        <v/>
      </c>
      <c r="B143" s="390">
        <f>IF(Rechnungsstand!B137="","",Rechnungsstand!B137)</f>
        <v/>
      </c>
      <c r="C143" s="391">
        <f>IF(Rechnungsstand!B137="","",Rechnungsstand!C137)</f>
        <v/>
      </c>
      <c r="D143" s="392">
        <f>IF(Rechnungsstand!B137="","",Rechnungsstand!F137)</f>
        <v/>
      </c>
      <c r="E143" s="393">
        <f>IF(D143="","",SUM($D$12:D143))</f>
        <v/>
      </c>
      <c r="F143" s="393">
        <f>IF(D143="","",D143*$B$7)</f>
        <v/>
      </c>
      <c r="G143" s="393">
        <f>IF(D143="","",D143*$B$8)</f>
        <v/>
      </c>
      <c r="H143" s="393">
        <f>IF(D143="","",D143*$B$9)</f>
        <v/>
      </c>
      <c r="I143" s="393">
        <f>IF(D143="","",IF(C143="Abschlagsrechnung",MAX(0,MIN(D143*$E$7,IF($E$8&gt;0,$B$6*$E$8-SUM($I$12:I142),D143*$E$7))),0))</f>
        <v/>
      </c>
      <c r="J143" s="393">
        <f>IF(D143="","",SUM(F143:I143))</f>
        <v/>
      </c>
      <c r="K143" s="393">
        <f>IF(D143="","",D143-J143)</f>
        <v/>
      </c>
      <c r="L143" s="399" t="n"/>
      <c r="M143" s="400" t="n"/>
      <c r="N143" s="401" t="n"/>
      <c r="O143" s="401" t="n"/>
      <c r="P143" s="401" t="n"/>
      <c r="Q143" s="401" t="n"/>
      <c r="R143" s="401" t="n"/>
      <c r="S143" s="393">
        <f>IF(COUNTA(O143:R143)=0,"",SUM(O143:R143))</f>
        <v/>
      </c>
      <c r="T143" s="393">
        <f>IF(N143="","",N143-IF(S143="",0,S143))</f>
        <v/>
      </c>
      <c r="U143" s="402">
        <f>IF(OR(D143="",N143=""),"",N143-D143)</f>
        <v/>
      </c>
      <c r="V143" s="393">
        <f>IF(OR(K143="",T143=""),"",T143-K143)</f>
        <v/>
      </c>
      <c r="W143" s="395" t="n"/>
    </row>
    <row r="144">
      <c r="A144" s="389">
        <f>IF(Rechnungsstand!B138="","",Rechnungsstand!A138)</f>
        <v/>
      </c>
      <c r="B144" s="390">
        <f>IF(Rechnungsstand!B138="","",Rechnungsstand!B138)</f>
        <v/>
      </c>
      <c r="C144" s="391">
        <f>IF(Rechnungsstand!B138="","",Rechnungsstand!C138)</f>
        <v/>
      </c>
      <c r="D144" s="392">
        <f>IF(Rechnungsstand!B138="","",Rechnungsstand!F138)</f>
        <v/>
      </c>
      <c r="E144" s="393">
        <f>IF(D144="","",SUM($D$12:D144))</f>
        <v/>
      </c>
      <c r="F144" s="393">
        <f>IF(D144="","",D144*$B$7)</f>
        <v/>
      </c>
      <c r="G144" s="393">
        <f>IF(D144="","",D144*$B$8)</f>
        <v/>
      </c>
      <c r="H144" s="393">
        <f>IF(D144="","",D144*$B$9)</f>
        <v/>
      </c>
      <c r="I144" s="393">
        <f>IF(D144="","",IF(C144="Abschlagsrechnung",MAX(0,MIN(D144*$E$7,IF($E$8&gt;0,$B$6*$E$8-SUM($I$12:I143),D144*$E$7))),0))</f>
        <v/>
      </c>
      <c r="J144" s="393">
        <f>IF(D144="","",SUM(F144:I144))</f>
        <v/>
      </c>
      <c r="K144" s="393">
        <f>IF(D144="","",D144-J144)</f>
        <v/>
      </c>
      <c r="L144" s="399" t="n"/>
      <c r="M144" s="400" t="n"/>
      <c r="N144" s="401" t="n"/>
      <c r="O144" s="401" t="n"/>
      <c r="P144" s="401" t="n"/>
      <c r="Q144" s="401" t="n"/>
      <c r="R144" s="401" t="n"/>
      <c r="S144" s="393">
        <f>IF(COUNTA(O144:R144)=0,"",SUM(O144:R144))</f>
        <v/>
      </c>
      <c r="T144" s="393">
        <f>IF(N144="","",N144-IF(S144="",0,S144))</f>
        <v/>
      </c>
      <c r="U144" s="402">
        <f>IF(OR(D144="",N144=""),"",N144-D144)</f>
        <v/>
      </c>
      <c r="V144" s="393">
        <f>IF(OR(K144="",T144=""),"",T144-K144)</f>
        <v/>
      </c>
      <c r="W144" s="395" t="n"/>
    </row>
    <row r="145">
      <c r="A145" s="389">
        <f>IF(Rechnungsstand!B139="","",Rechnungsstand!A139)</f>
        <v/>
      </c>
      <c r="B145" s="390">
        <f>IF(Rechnungsstand!B139="","",Rechnungsstand!B139)</f>
        <v/>
      </c>
      <c r="C145" s="391">
        <f>IF(Rechnungsstand!B139="","",Rechnungsstand!C139)</f>
        <v/>
      </c>
      <c r="D145" s="392">
        <f>IF(Rechnungsstand!B139="","",Rechnungsstand!F139)</f>
        <v/>
      </c>
      <c r="E145" s="393">
        <f>IF(D145="","",SUM($D$12:D145))</f>
        <v/>
      </c>
      <c r="F145" s="393">
        <f>IF(D145="","",D145*$B$7)</f>
        <v/>
      </c>
      <c r="G145" s="393">
        <f>IF(D145="","",D145*$B$8)</f>
        <v/>
      </c>
      <c r="H145" s="393">
        <f>IF(D145="","",D145*$B$9)</f>
        <v/>
      </c>
      <c r="I145" s="393">
        <f>IF(D145="","",IF(C145="Abschlagsrechnung",MAX(0,MIN(D145*$E$7,IF($E$8&gt;0,$B$6*$E$8-SUM($I$12:I144),D145*$E$7))),0))</f>
        <v/>
      </c>
      <c r="J145" s="393">
        <f>IF(D145="","",SUM(F145:I145))</f>
        <v/>
      </c>
      <c r="K145" s="393">
        <f>IF(D145="","",D145-J145)</f>
        <v/>
      </c>
      <c r="L145" s="399" t="n"/>
      <c r="M145" s="400" t="n"/>
      <c r="N145" s="401" t="n"/>
      <c r="O145" s="401" t="n"/>
      <c r="P145" s="401" t="n"/>
      <c r="Q145" s="401" t="n"/>
      <c r="R145" s="401" t="n"/>
      <c r="S145" s="393">
        <f>IF(COUNTA(O145:R145)=0,"",SUM(O145:R145))</f>
        <v/>
      </c>
      <c r="T145" s="393">
        <f>IF(N145="","",N145-IF(S145="",0,S145))</f>
        <v/>
      </c>
      <c r="U145" s="402">
        <f>IF(OR(D145="",N145=""),"",N145-D145)</f>
        <v/>
      </c>
      <c r="V145" s="393">
        <f>IF(OR(K145="",T145=""),"",T145-K145)</f>
        <v/>
      </c>
      <c r="W145" s="395" t="n"/>
    </row>
    <row r="146">
      <c r="A146" s="389">
        <f>IF(Rechnungsstand!B140="","",Rechnungsstand!A140)</f>
        <v/>
      </c>
      <c r="B146" s="390">
        <f>IF(Rechnungsstand!B140="","",Rechnungsstand!B140)</f>
        <v/>
      </c>
      <c r="C146" s="391">
        <f>IF(Rechnungsstand!B140="","",Rechnungsstand!C140)</f>
        <v/>
      </c>
      <c r="D146" s="392">
        <f>IF(Rechnungsstand!B140="","",Rechnungsstand!F140)</f>
        <v/>
      </c>
      <c r="E146" s="393">
        <f>IF(D146="","",SUM($D$12:D146))</f>
        <v/>
      </c>
      <c r="F146" s="393">
        <f>IF(D146="","",D146*$B$7)</f>
        <v/>
      </c>
      <c r="G146" s="393">
        <f>IF(D146="","",D146*$B$8)</f>
        <v/>
      </c>
      <c r="H146" s="393">
        <f>IF(D146="","",D146*$B$9)</f>
        <v/>
      </c>
      <c r="I146" s="393">
        <f>IF(D146="","",IF(C146="Abschlagsrechnung",MAX(0,MIN(D146*$E$7,IF($E$8&gt;0,$B$6*$E$8-SUM($I$12:I145),D146*$E$7))),0))</f>
        <v/>
      </c>
      <c r="J146" s="393">
        <f>IF(D146="","",SUM(F146:I146))</f>
        <v/>
      </c>
      <c r="K146" s="393">
        <f>IF(D146="","",D146-J146)</f>
        <v/>
      </c>
      <c r="L146" s="399" t="n"/>
      <c r="M146" s="400" t="n"/>
      <c r="N146" s="401" t="n"/>
      <c r="O146" s="401" t="n"/>
      <c r="P146" s="401" t="n"/>
      <c r="Q146" s="401" t="n"/>
      <c r="R146" s="401" t="n"/>
      <c r="S146" s="393">
        <f>IF(COUNTA(O146:R146)=0,"",SUM(O146:R146))</f>
        <v/>
      </c>
      <c r="T146" s="393">
        <f>IF(N146="","",N146-IF(S146="",0,S146))</f>
        <v/>
      </c>
      <c r="U146" s="402">
        <f>IF(OR(D146="",N146=""),"",N146-D146)</f>
        <v/>
      </c>
      <c r="V146" s="393">
        <f>IF(OR(K146="",T146=""),"",T146-K146)</f>
        <v/>
      </c>
      <c r="W146" s="395" t="n"/>
    </row>
    <row r="147">
      <c r="A147" s="389">
        <f>IF(Rechnungsstand!B141="","",Rechnungsstand!A141)</f>
        <v/>
      </c>
      <c r="B147" s="390">
        <f>IF(Rechnungsstand!B141="","",Rechnungsstand!B141)</f>
        <v/>
      </c>
      <c r="C147" s="391">
        <f>IF(Rechnungsstand!B141="","",Rechnungsstand!C141)</f>
        <v/>
      </c>
      <c r="D147" s="392">
        <f>IF(Rechnungsstand!B141="","",Rechnungsstand!F141)</f>
        <v/>
      </c>
      <c r="E147" s="393">
        <f>IF(D147="","",SUM($D$12:D147))</f>
        <v/>
      </c>
      <c r="F147" s="393">
        <f>IF(D147="","",D147*$B$7)</f>
        <v/>
      </c>
      <c r="G147" s="393">
        <f>IF(D147="","",D147*$B$8)</f>
        <v/>
      </c>
      <c r="H147" s="393">
        <f>IF(D147="","",D147*$B$9)</f>
        <v/>
      </c>
      <c r="I147" s="393">
        <f>IF(D147="","",IF(C147="Abschlagsrechnung",MAX(0,MIN(D147*$E$7,IF($E$8&gt;0,$B$6*$E$8-SUM($I$12:I146),D147*$E$7))),0))</f>
        <v/>
      </c>
      <c r="J147" s="393">
        <f>IF(D147="","",SUM(F147:I147))</f>
        <v/>
      </c>
      <c r="K147" s="393">
        <f>IF(D147="","",D147-J147)</f>
        <v/>
      </c>
      <c r="L147" s="399" t="n"/>
      <c r="M147" s="400" t="n"/>
      <c r="N147" s="401" t="n"/>
      <c r="O147" s="401" t="n"/>
      <c r="P147" s="401" t="n"/>
      <c r="Q147" s="401" t="n"/>
      <c r="R147" s="401" t="n"/>
      <c r="S147" s="393">
        <f>IF(COUNTA(O147:R147)=0,"",SUM(O147:R147))</f>
        <v/>
      </c>
      <c r="T147" s="393">
        <f>IF(N147="","",N147-IF(S147="",0,S147))</f>
        <v/>
      </c>
      <c r="U147" s="402">
        <f>IF(OR(D147="",N147=""),"",N147-D147)</f>
        <v/>
      </c>
      <c r="V147" s="393">
        <f>IF(OR(K147="",T147=""),"",T147-K147)</f>
        <v/>
      </c>
      <c r="W147" s="395" t="n"/>
    </row>
    <row r="148">
      <c r="A148" s="389">
        <f>IF(Rechnungsstand!B142="","",Rechnungsstand!A142)</f>
        <v/>
      </c>
      <c r="B148" s="390">
        <f>IF(Rechnungsstand!B142="","",Rechnungsstand!B142)</f>
        <v/>
      </c>
      <c r="C148" s="391">
        <f>IF(Rechnungsstand!B142="","",Rechnungsstand!C142)</f>
        <v/>
      </c>
      <c r="D148" s="392">
        <f>IF(Rechnungsstand!B142="","",Rechnungsstand!F142)</f>
        <v/>
      </c>
      <c r="E148" s="393">
        <f>IF(D148="","",SUM($D$12:D148))</f>
        <v/>
      </c>
      <c r="F148" s="393">
        <f>IF(D148="","",D148*$B$7)</f>
        <v/>
      </c>
      <c r="G148" s="393">
        <f>IF(D148="","",D148*$B$8)</f>
        <v/>
      </c>
      <c r="H148" s="393">
        <f>IF(D148="","",D148*$B$9)</f>
        <v/>
      </c>
      <c r="I148" s="393">
        <f>IF(D148="","",IF(C148="Abschlagsrechnung",MAX(0,MIN(D148*$E$7,IF($E$8&gt;0,$B$6*$E$8-SUM($I$12:I147),D148*$E$7))),0))</f>
        <v/>
      </c>
      <c r="J148" s="393">
        <f>IF(D148="","",SUM(F148:I148))</f>
        <v/>
      </c>
      <c r="K148" s="393">
        <f>IF(D148="","",D148-J148)</f>
        <v/>
      </c>
      <c r="L148" s="399" t="n"/>
      <c r="M148" s="400" t="n"/>
      <c r="N148" s="401" t="n"/>
      <c r="O148" s="401" t="n"/>
      <c r="P148" s="401" t="n"/>
      <c r="Q148" s="401" t="n"/>
      <c r="R148" s="401" t="n"/>
      <c r="S148" s="393">
        <f>IF(COUNTA(O148:R148)=0,"",SUM(O148:R148))</f>
        <v/>
      </c>
      <c r="T148" s="393">
        <f>IF(N148="","",N148-IF(S148="",0,S148))</f>
        <v/>
      </c>
      <c r="U148" s="402">
        <f>IF(OR(D148="",N148=""),"",N148-D148)</f>
        <v/>
      </c>
      <c r="V148" s="393">
        <f>IF(OR(K148="",T148=""),"",T148-K148)</f>
        <v/>
      </c>
      <c r="W148" s="395" t="n"/>
    </row>
    <row r="149">
      <c r="A149" s="389">
        <f>IF(Rechnungsstand!B143="","",Rechnungsstand!A143)</f>
        <v/>
      </c>
      <c r="B149" s="390">
        <f>IF(Rechnungsstand!B143="","",Rechnungsstand!B143)</f>
        <v/>
      </c>
      <c r="C149" s="391">
        <f>IF(Rechnungsstand!B143="","",Rechnungsstand!C143)</f>
        <v/>
      </c>
      <c r="D149" s="392">
        <f>IF(Rechnungsstand!B143="","",Rechnungsstand!F143)</f>
        <v/>
      </c>
      <c r="E149" s="393">
        <f>IF(D149="","",SUM($D$12:D149))</f>
        <v/>
      </c>
      <c r="F149" s="393">
        <f>IF(D149="","",D149*$B$7)</f>
        <v/>
      </c>
      <c r="G149" s="393">
        <f>IF(D149="","",D149*$B$8)</f>
        <v/>
      </c>
      <c r="H149" s="393">
        <f>IF(D149="","",D149*$B$9)</f>
        <v/>
      </c>
      <c r="I149" s="393">
        <f>IF(D149="","",IF(C149="Abschlagsrechnung",MAX(0,MIN(D149*$E$7,IF($E$8&gt;0,$B$6*$E$8-SUM($I$12:I148),D149*$E$7))),0))</f>
        <v/>
      </c>
      <c r="J149" s="393">
        <f>IF(D149="","",SUM(F149:I149))</f>
        <v/>
      </c>
      <c r="K149" s="393">
        <f>IF(D149="","",D149-J149)</f>
        <v/>
      </c>
      <c r="L149" s="399" t="n"/>
      <c r="M149" s="400" t="n"/>
      <c r="N149" s="401" t="n"/>
      <c r="O149" s="401" t="n"/>
      <c r="P149" s="401" t="n"/>
      <c r="Q149" s="401" t="n"/>
      <c r="R149" s="401" t="n"/>
      <c r="S149" s="393">
        <f>IF(COUNTA(O149:R149)=0,"",SUM(O149:R149))</f>
        <v/>
      </c>
      <c r="T149" s="393">
        <f>IF(N149="","",N149-IF(S149="",0,S149))</f>
        <v/>
      </c>
      <c r="U149" s="402">
        <f>IF(OR(D149="",N149=""),"",N149-D149)</f>
        <v/>
      </c>
      <c r="V149" s="393">
        <f>IF(OR(K149="",T149=""),"",T149-K149)</f>
        <v/>
      </c>
      <c r="W149" s="395" t="n"/>
    </row>
    <row r="150">
      <c r="A150" s="389">
        <f>IF(Rechnungsstand!B144="","",Rechnungsstand!A144)</f>
        <v/>
      </c>
      <c r="B150" s="390">
        <f>IF(Rechnungsstand!B144="","",Rechnungsstand!B144)</f>
        <v/>
      </c>
      <c r="C150" s="391">
        <f>IF(Rechnungsstand!B144="","",Rechnungsstand!C144)</f>
        <v/>
      </c>
      <c r="D150" s="392">
        <f>IF(Rechnungsstand!B144="","",Rechnungsstand!F144)</f>
        <v/>
      </c>
      <c r="E150" s="393">
        <f>IF(D150="","",SUM($D$12:D150))</f>
        <v/>
      </c>
      <c r="F150" s="393">
        <f>IF(D150="","",D150*$B$7)</f>
        <v/>
      </c>
      <c r="G150" s="393">
        <f>IF(D150="","",D150*$B$8)</f>
        <v/>
      </c>
      <c r="H150" s="393">
        <f>IF(D150="","",D150*$B$9)</f>
        <v/>
      </c>
      <c r="I150" s="393">
        <f>IF(D150="","",IF(C150="Abschlagsrechnung",MAX(0,MIN(D150*$E$7,IF($E$8&gt;0,$B$6*$E$8-SUM($I$12:I149),D150*$E$7))),0))</f>
        <v/>
      </c>
      <c r="J150" s="393">
        <f>IF(D150="","",SUM(F150:I150))</f>
        <v/>
      </c>
      <c r="K150" s="393">
        <f>IF(D150="","",D150-J150)</f>
        <v/>
      </c>
      <c r="L150" s="399" t="n"/>
      <c r="M150" s="400" t="n"/>
      <c r="N150" s="401" t="n"/>
      <c r="O150" s="401" t="n"/>
      <c r="P150" s="401" t="n"/>
      <c r="Q150" s="401" t="n"/>
      <c r="R150" s="401" t="n"/>
      <c r="S150" s="393">
        <f>IF(COUNTA(O150:R150)=0,"",SUM(O150:R150))</f>
        <v/>
      </c>
      <c r="T150" s="393">
        <f>IF(N150="","",N150-IF(S150="",0,S150))</f>
        <v/>
      </c>
      <c r="U150" s="402">
        <f>IF(OR(D150="",N150=""),"",N150-D150)</f>
        <v/>
      </c>
      <c r="V150" s="393">
        <f>IF(OR(K150="",T150=""),"",T150-K150)</f>
        <v/>
      </c>
      <c r="W150" s="395" t="n"/>
    </row>
    <row r="151">
      <c r="A151" s="389">
        <f>IF(Rechnungsstand!B145="","",Rechnungsstand!A145)</f>
        <v/>
      </c>
      <c r="B151" s="390">
        <f>IF(Rechnungsstand!B145="","",Rechnungsstand!B145)</f>
        <v/>
      </c>
      <c r="C151" s="391">
        <f>IF(Rechnungsstand!B145="","",Rechnungsstand!C145)</f>
        <v/>
      </c>
      <c r="D151" s="392">
        <f>IF(Rechnungsstand!B145="","",Rechnungsstand!F145)</f>
        <v/>
      </c>
      <c r="E151" s="393">
        <f>IF(D151="","",SUM($D$12:D151))</f>
        <v/>
      </c>
      <c r="F151" s="393">
        <f>IF(D151="","",D151*$B$7)</f>
        <v/>
      </c>
      <c r="G151" s="393">
        <f>IF(D151="","",D151*$B$8)</f>
        <v/>
      </c>
      <c r="H151" s="393">
        <f>IF(D151="","",D151*$B$9)</f>
        <v/>
      </c>
      <c r="I151" s="393">
        <f>IF(D151="","",IF(C151="Abschlagsrechnung",MAX(0,MIN(D151*$E$7,IF($E$8&gt;0,$B$6*$E$8-SUM($I$12:I150),D151*$E$7))),0))</f>
        <v/>
      </c>
      <c r="J151" s="393">
        <f>IF(D151="","",SUM(F151:I151))</f>
        <v/>
      </c>
      <c r="K151" s="393">
        <f>IF(D151="","",D151-J151)</f>
        <v/>
      </c>
      <c r="L151" s="399" t="n"/>
      <c r="M151" s="400" t="n"/>
      <c r="N151" s="401" t="n"/>
      <c r="O151" s="401" t="n"/>
      <c r="P151" s="401" t="n"/>
      <c r="Q151" s="401" t="n"/>
      <c r="R151" s="401" t="n"/>
      <c r="S151" s="393">
        <f>IF(COUNTA(O151:R151)=0,"",SUM(O151:R151))</f>
        <v/>
      </c>
      <c r="T151" s="393">
        <f>IF(N151="","",N151-IF(S151="",0,S151))</f>
        <v/>
      </c>
      <c r="U151" s="402">
        <f>IF(OR(D151="",N151=""),"",N151-D151)</f>
        <v/>
      </c>
      <c r="V151" s="393">
        <f>IF(OR(K151="",T151=""),"",T151-K151)</f>
        <v/>
      </c>
      <c r="W151" s="395" t="n"/>
    </row>
    <row r="152">
      <c r="A152" s="389">
        <f>IF(Rechnungsstand!B146="","",Rechnungsstand!A146)</f>
        <v/>
      </c>
      <c r="B152" s="390">
        <f>IF(Rechnungsstand!B146="","",Rechnungsstand!B146)</f>
        <v/>
      </c>
      <c r="C152" s="391">
        <f>IF(Rechnungsstand!B146="","",Rechnungsstand!C146)</f>
        <v/>
      </c>
      <c r="D152" s="392">
        <f>IF(Rechnungsstand!B146="","",Rechnungsstand!F146)</f>
        <v/>
      </c>
      <c r="E152" s="393">
        <f>IF(D152="","",SUM($D$12:D152))</f>
        <v/>
      </c>
      <c r="F152" s="393">
        <f>IF(D152="","",D152*$B$7)</f>
        <v/>
      </c>
      <c r="G152" s="393">
        <f>IF(D152="","",D152*$B$8)</f>
        <v/>
      </c>
      <c r="H152" s="393">
        <f>IF(D152="","",D152*$B$9)</f>
        <v/>
      </c>
      <c r="I152" s="393">
        <f>IF(D152="","",IF(C152="Abschlagsrechnung",MAX(0,MIN(D152*$E$7,IF($E$8&gt;0,$B$6*$E$8-SUM($I$12:I151),D152*$E$7))),0))</f>
        <v/>
      </c>
      <c r="J152" s="393">
        <f>IF(D152="","",SUM(F152:I152))</f>
        <v/>
      </c>
      <c r="K152" s="393">
        <f>IF(D152="","",D152-J152)</f>
        <v/>
      </c>
      <c r="L152" s="399" t="n"/>
      <c r="M152" s="400" t="n"/>
      <c r="N152" s="401" t="n"/>
      <c r="O152" s="401" t="n"/>
      <c r="P152" s="401" t="n"/>
      <c r="Q152" s="401" t="n"/>
      <c r="R152" s="401" t="n"/>
      <c r="S152" s="393">
        <f>IF(COUNTA(O152:R152)=0,"",SUM(O152:R152))</f>
        <v/>
      </c>
      <c r="T152" s="393">
        <f>IF(N152="","",N152-IF(S152="",0,S152))</f>
        <v/>
      </c>
      <c r="U152" s="402">
        <f>IF(OR(D152="",N152=""),"",N152-D152)</f>
        <v/>
      </c>
      <c r="V152" s="393">
        <f>IF(OR(K152="",T152=""),"",T152-K152)</f>
        <v/>
      </c>
      <c r="W152" s="395" t="n"/>
    </row>
    <row r="153">
      <c r="A153" s="389">
        <f>IF(Rechnungsstand!B147="","",Rechnungsstand!A147)</f>
        <v/>
      </c>
      <c r="B153" s="390">
        <f>IF(Rechnungsstand!B147="","",Rechnungsstand!B147)</f>
        <v/>
      </c>
      <c r="C153" s="391">
        <f>IF(Rechnungsstand!B147="","",Rechnungsstand!C147)</f>
        <v/>
      </c>
      <c r="D153" s="392">
        <f>IF(Rechnungsstand!B147="","",Rechnungsstand!F147)</f>
        <v/>
      </c>
      <c r="E153" s="393">
        <f>IF(D153="","",SUM($D$12:D153))</f>
        <v/>
      </c>
      <c r="F153" s="393">
        <f>IF(D153="","",D153*$B$7)</f>
        <v/>
      </c>
      <c r="G153" s="393">
        <f>IF(D153="","",D153*$B$8)</f>
        <v/>
      </c>
      <c r="H153" s="393">
        <f>IF(D153="","",D153*$B$9)</f>
        <v/>
      </c>
      <c r="I153" s="393">
        <f>IF(D153="","",IF(C153="Abschlagsrechnung",MAX(0,MIN(D153*$E$7,IF($E$8&gt;0,$B$6*$E$8-SUM($I$12:I152),D153*$E$7))),0))</f>
        <v/>
      </c>
      <c r="J153" s="393">
        <f>IF(D153="","",SUM(F153:I153))</f>
        <v/>
      </c>
      <c r="K153" s="393">
        <f>IF(D153="","",D153-J153)</f>
        <v/>
      </c>
      <c r="L153" s="399" t="n"/>
      <c r="M153" s="400" t="n"/>
      <c r="N153" s="401" t="n"/>
      <c r="O153" s="401" t="n"/>
      <c r="P153" s="401" t="n"/>
      <c r="Q153" s="401" t="n"/>
      <c r="R153" s="401" t="n"/>
      <c r="S153" s="393">
        <f>IF(COUNTA(O153:R153)=0,"",SUM(O153:R153))</f>
        <v/>
      </c>
      <c r="T153" s="393">
        <f>IF(N153="","",N153-IF(S153="",0,S153))</f>
        <v/>
      </c>
      <c r="U153" s="402">
        <f>IF(OR(D153="",N153=""),"",N153-D153)</f>
        <v/>
      </c>
      <c r="V153" s="393">
        <f>IF(OR(K153="",T153=""),"",T153-K153)</f>
        <v/>
      </c>
      <c r="W153" s="395" t="n"/>
    </row>
    <row r="154">
      <c r="A154" s="389">
        <f>IF(Rechnungsstand!B148="","",Rechnungsstand!A148)</f>
        <v/>
      </c>
      <c r="B154" s="390">
        <f>IF(Rechnungsstand!B148="","",Rechnungsstand!B148)</f>
        <v/>
      </c>
      <c r="C154" s="391">
        <f>IF(Rechnungsstand!B148="","",Rechnungsstand!C148)</f>
        <v/>
      </c>
      <c r="D154" s="392">
        <f>IF(Rechnungsstand!B148="","",Rechnungsstand!F148)</f>
        <v/>
      </c>
      <c r="E154" s="393">
        <f>IF(D154="","",SUM($D$12:D154))</f>
        <v/>
      </c>
      <c r="F154" s="393">
        <f>IF(D154="","",D154*$B$7)</f>
        <v/>
      </c>
      <c r="G154" s="393">
        <f>IF(D154="","",D154*$B$8)</f>
        <v/>
      </c>
      <c r="H154" s="393">
        <f>IF(D154="","",D154*$B$9)</f>
        <v/>
      </c>
      <c r="I154" s="393">
        <f>IF(D154="","",IF(C154="Abschlagsrechnung",MAX(0,MIN(D154*$E$7,IF($E$8&gt;0,$B$6*$E$8-SUM($I$12:I153),D154*$E$7))),0))</f>
        <v/>
      </c>
      <c r="J154" s="393">
        <f>IF(D154="","",SUM(F154:I154))</f>
        <v/>
      </c>
      <c r="K154" s="393">
        <f>IF(D154="","",D154-J154)</f>
        <v/>
      </c>
      <c r="L154" s="399" t="n"/>
      <c r="M154" s="400" t="n"/>
      <c r="N154" s="401" t="n"/>
      <c r="O154" s="401" t="n"/>
      <c r="P154" s="401" t="n"/>
      <c r="Q154" s="401" t="n"/>
      <c r="R154" s="401" t="n"/>
      <c r="S154" s="393">
        <f>IF(COUNTA(O154:R154)=0,"",SUM(O154:R154))</f>
        <v/>
      </c>
      <c r="T154" s="393">
        <f>IF(N154="","",N154-IF(S154="",0,S154))</f>
        <v/>
      </c>
      <c r="U154" s="402">
        <f>IF(OR(D154="",N154=""),"",N154-D154)</f>
        <v/>
      </c>
      <c r="V154" s="393">
        <f>IF(OR(K154="",T154=""),"",T154-K154)</f>
        <v/>
      </c>
      <c r="W154" s="395" t="n"/>
    </row>
    <row r="155">
      <c r="A155" s="389">
        <f>IF(Rechnungsstand!B149="","",Rechnungsstand!A149)</f>
        <v/>
      </c>
      <c r="B155" s="390">
        <f>IF(Rechnungsstand!B149="","",Rechnungsstand!B149)</f>
        <v/>
      </c>
      <c r="C155" s="391">
        <f>IF(Rechnungsstand!B149="","",Rechnungsstand!C149)</f>
        <v/>
      </c>
      <c r="D155" s="392">
        <f>IF(Rechnungsstand!B149="","",Rechnungsstand!F149)</f>
        <v/>
      </c>
      <c r="E155" s="393">
        <f>IF(D155="","",SUM($D$12:D155))</f>
        <v/>
      </c>
      <c r="F155" s="393">
        <f>IF(D155="","",D155*$B$7)</f>
        <v/>
      </c>
      <c r="G155" s="393">
        <f>IF(D155="","",D155*$B$8)</f>
        <v/>
      </c>
      <c r="H155" s="393">
        <f>IF(D155="","",D155*$B$9)</f>
        <v/>
      </c>
      <c r="I155" s="393">
        <f>IF(D155="","",IF(C155="Abschlagsrechnung",MAX(0,MIN(D155*$E$7,IF($E$8&gt;0,$B$6*$E$8-SUM($I$12:I154),D155*$E$7))),0))</f>
        <v/>
      </c>
      <c r="J155" s="393">
        <f>IF(D155="","",SUM(F155:I155))</f>
        <v/>
      </c>
      <c r="K155" s="393">
        <f>IF(D155="","",D155-J155)</f>
        <v/>
      </c>
      <c r="L155" s="399" t="n"/>
      <c r="M155" s="400" t="n"/>
      <c r="N155" s="401" t="n"/>
      <c r="O155" s="401" t="n"/>
      <c r="P155" s="401" t="n"/>
      <c r="Q155" s="401" t="n"/>
      <c r="R155" s="401" t="n"/>
      <c r="S155" s="393">
        <f>IF(COUNTA(O155:R155)=0,"",SUM(O155:R155))</f>
        <v/>
      </c>
      <c r="T155" s="393">
        <f>IF(N155="","",N155-IF(S155="",0,S155))</f>
        <v/>
      </c>
      <c r="U155" s="402">
        <f>IF(OR(D155="",N155=""),"",N155-D155)</f>
        <v/>
      </c>
      <c r="V155" s="393">
        <f>IF(OR(K155="",T155=""),"",T155-K155)</f>
        <v/>
      </c>
      <c r="W155" s="395" t="n"/>
    </row>
    <row r="156">
      <c r="A156" s="389">
        <f>IF(Rechnungsstand!B150="","",Rechnungsstand!A150)</f>
        <v/>
      </c>
      <c r="B156" s="390">
        <f>IF(Rechnungsstand!B150="","",Rechnungsstand!B150)</f>
        <v/>
      </c>
      <c r="C156" s="391">
        <f>IF(Rechnungsstand!B150="","",Rechnungsstand!C150)</f>
        <v/>
      </c>
      <c r="D156" s="392">
        <f>IF(Rechnungsstand!B150="","",Rechnungsstand!F150)</f>
        <v/>
      </c>
      <c r="E156" s="393">
        <f>IF(D156="","",SUM($D$12:D156))</f>
        <v/>
      </c>
      <c r="F156" s="393">
        <f>IF(D156="","",D156*$B$7)</f>
        <v/>
      </c>
      <c r="G156" s="393">
        <f>IF(D156="","",D156*$B$8)</f>
        <v/>
      </c>
      <c r="H156" s="393">
        <f>IF(D156="","",D156*$B$9)</f>
        <v/>
      </c>
      <c r="I156" s="393">
        <f>IF(D156="","",IF(C156="Abschlagsrechnung",MAX(0,MIN(D156*$E$7,IF($E$8&gt;0,$B$6*$E$8-SUM($I$12:I155),D156*$E$7))),0))</f>
        <v/>
      </c>
      <c r="J156" s="393">
        <f>IF(D156="","",SUM(F156:I156))</f>
        <v/>
      </c>
      <c r="K156" s="393">
        <f>IF(D156="","",D156-J156)</f>
        <v/>
      </c>
      <c r="L156" s="399" t="n"/>
      <c r="M156" s="400" t="n"/>
      <c r="N156" s="401" t="n"/>
      <c r="O156" s="401" t="n"/>
      <c r="P156" s="401" t="n"/>
      <c r="Q156" s="401" t="n"/>
      <c r="R156" s="401" t="n"/>
      <c r="S156" s="393">
        <f>IF(COUNTA(O156:R156)=0,"",SUM(O156:R156))</f>
        <v/>
      </c>
      <c r="T156" s="393">
        <f>IF(N156="","",N156-IF(S156="",0,S156))</f>
        <v/>
      </c>
      <c r="U156" s="402">
        <f>IF(OR(D156="",N156=""),"",N156-D156)</f>
        <v/>
      </c>
      <c r="V156" s="393">
        <f>IF(OR(K156="",T156=""),"",T156-K156)</f>
        <v/>
      </c>
      <c r="W156" s="395" t="n"/>
    </row>
    <row r="157">
      <c r="A157" s="389">
        <f>IF(Rechnungsstand!B151="","",Rechnungsstand!A151)</f>
        <v/>
      </c>
      <c r="B157" s="390">
        <f>IF(Rechnungsstand!B151="","",Rechnungsstand!B151)</f>
        <v/>
      </c>
      <c r="C157" s="391">
        <f>IF(Rechnungsstand!B151="","",Rechnungsstand!C151)</f>
        <v/>
      </c>
      <c r="D157" s="392">
        <f>IF(Rechnungsstand!B151="","",Rechnungsstand!F151)</f>
        <v/>
      </c>
      <c r="E157" s="393">
        <f>IF(D157="","",SUM($D$12:D157))</f>
        <v/>
      </c>
      <c r="F157" s="393">
        <f>IF(D157="","",D157*$B$7)</f>
        <v/>
      </c>
      <c r="G157" s="393">
        <f>IF(D157="","",D157*$B$8)</f>
        <v/>
      </c>
      <c r="H157" s="393">
        <f>IF(D157="","",D157*$B$9)</f>
        <v/>
      </c>
      <c r="I157" s="393">
        <f>IF(D157="","",IF(C157="Abschlagsrechnung",MAX(0,MIN(D157*$E$7,IF($E$8&gt;0,$B$6*$E$8-SUM($I$12:I156),D157*$E$7))),0))</f>
        <v/>
      </c>
      <c r="J157" s="393">
        <f>IF(D157="","",SUM(F157:I157))</f>
        <v/>
      </c>
      <c r="K157" s="393">
        <f>IF(D157="","",D157-J157)</f>
        <v/>
      </c>
      <c r="L157" s="399" t="n"/>
      <c r="M157" s="400" t="n"/>
      <c r="N157" s="401" t="n"/>
      <c r="O157" s="401" t="n"/>
      <c r="P157" s="401" t="n"/>
      <c r="Q157" s="401" t="n"/>
      <c r="R157" s="401" t="n"/>
      <c r="S157" s="393">
        <f>IF(COUNTA(O157:R157)=0,"",SUM(O157:R157))</f>
        <v/>
      </c>
      <c r="T157" s="393">
        <f>IF(N157="","",N157-IF(S157="",0,S157))</f>
        <v/>
      </c>
      <c r="U157" s="402">
        <f>IF(OR(D157="",N157=""),"",N157-D157)</f>
        <v/>
      </c>
      <c r="V157" s="393">
        <f>IF(OR(K157="",T157=""),"",T157-K157)</f>
        <v/>
      </c>
      <c r="W157" s="395" t="n"/>
    </row>
    <row r="158">
      <c r="A158" s="389">
        <f>IF(Rechnungsstand!B152="","",Rechnungsstand!A152)</f>
        <v/>
      </c>
      <c r="B158" s="390">
        <f>IF(Rechnungsstand!B152="","",Rechnungsstand!B152)</f>
        <v/>
      </c>
      <c r="C158" s="391">
        <f>IF(Rechnungsstand!B152="","",Rechnungsstand!C152)</f>
        <v/>
      </c>
      <c r="D158" s="392">
        <f>IF(Rechnungsstand!B152="","",Rechnungsstand!F152)</f>
        <v/>
      </c>
      <c r="E158" s="393">
        <f>IF(D158="","",SUM($D$12:D158))</f>
        <v/>
      </c>
      <c r="F158" s="393">
        <f>IF(D158="","",D158*$B$7)</f>
        <v/>
      </c>
      <c r="G158" s="393">
        <f>IF(D158="","",D158*$B$8)</f>
        <v/>
      </c>
      <c r="H158" s="393">
        <f>IF(D158="","",D158*$B$9)</f>
        <v/>
      </c>
      <c r="I158" s="393">
        <f>IF(D158="","",IF(C158="Abschlagsrechnung",MAX(0,MIN(D158*$E$7,IF($E$8&gt;0,$B$6*$E$8-SUM($I$12:I157),D158*$E$7))),0))</f>
        <v/>
      </c>
      <c r="J158" s="393">
        <f>IF(D158="","",SUM(F158:I158))</f>
        <v/>
      </c>
      <c r="K158" s="393">
        <f>IF(D158="","",D158-J158)</f>
        <v/>
      </c>
      <c r="L158" s="399" t="n"/>
      <c r="M158" s="400" t="n"/>
      <c r="N158" s="401" t="n"/>
      <c r="O158" s="401" t="n"/>
      <c r="P158" s="401" t="n"/>
      <c r="Q158" s="401" t="n"/>
      <c r="R158" s="401" t="n"/>
      <c r="S158" s="393">
        <f>IF(COUNTA(O158:R158)=0,"",SUM(O158:R158))</f>
        <v/>
      </c>
      <c r="T158" s="393">
        <f>IF(N158="","",N158-IF(S158="",0,S158))</f>
        <v/>
      </c>
      <c r="U158" s="402">
        <f>IF(OR(D158="",N158=""),"",N158-D158)</f>
        <v/>
      </c>
      <c r="V158" s="393">
        <f>IF(OR(K158="",T158=""),"",T158-K158)</f>
        <v/>
      </c>
      <c r="W158" s="395" t="n"/>
    </row>
    <row r="159">
      <c r="A159" s="389">
        <f>IF(Rechnungsstand!B153="","",Rechnungsstand!A153)</f>
        <v/>
      </c>
      <c r="B159" s="390">
        <f>IF(Rechnungsstand!B153="","",Rechnungsstand!B153)</f>
        <v/>
      </c>
      <c r="C159" s="391">
        <f>IF(Rechnungsstand!B153="","",Rechnungsstand!C153)</f>
        <v/>
      </c>
      <c r="D159" s="392">
        <f>IF(Rechnungsstand!B153="","",Rechnungsstand!F153)</f>
        <v/>
      </c>
      <c r="E159" s="393">
        <f>IF(D159="","",SUM($D$12:D159))</f>
        <v/>
      </c>
      <c r="F159" s="393">
        <f>IF(D159="","",D159*$B$7)</f>
        <v/>
      </c>
      <c r="G159" s="393">
        <f>IF(D159="","",D159*$B$8)</f>
        <v/>
      </c>
      <c r="H159" s="393">
        <f>IF(D159="","",D159*$B$9)</f>
        <v/>
      </c>
      <c r="I159" s="393">
        <f>IF(D159="","",IF(C159="Abschlagsrechnung",MAX(0,MIN(D159*$E$7,IF($E$8&gt;0,$B$6*$E$8-SUM($I$12:I158),D159*$E$7))),0))</f>
        <v/>
      </c>
      <c r="J159" s="393">
        <f>IF(D159="","",SUM(F159:I159))</f>
        <v/>
      </c>
      <c r="K159" s="393">
        <f>IF(D159="","",D159-J159)</f>
        <v/>
      </c>
      <c r="L159" s="399" t="n"/>
      <c r="M159" s="400" t="n"/>
      <c r="N159" s="401" t="n"/>
      <c r="O159" s="401" t="n"/>
      <c r="P159" s="401" t="n"/>
      <c r="Q159" s="401" t="n"/>
      <c r="R159" s="401" t="n"/>
      <c r="S159" s="393">
        <f>IF(COUNTA(O159:R159)=0,"",SUM(O159:R159))</f>
        <v/>
      </c>
      <c r="T159" s="393">
        <f>IF(N159="","",N159-IF(S159="",0,S159))</f>
        <v/>
      </c>
      <c r="U159" s="402">
        <f>IF(OR(D159="",N159=""),"",N159-D159)</f>
        <v/>
      </c>
      <c r="V159" s="393">
        <f>IF(OR(K159="",T159=""),"",T159-K159)</f>
        <v/>
      </c>
      <c r="W159" s="395" t="n"/>
    </row>
    <row r="160">
      <c r="A160" s="389">
        <f>IF(Rechnungsstand!B154="","",Rechnungsstand!A154)</f>
        <v/>
      </c>
      <c r="B160" s="390">
        <f>IF(Rechnungsstand!B154="","",Rechnungsstand!B154)</f>
        <v/>
      </c>
      <c r="C160" s="391">
        <f>IF(Rechnungsstand!B154="","",Rechnungsstand!C154)</f>
        <v/>
      </c>
      <c r="D160" s="392">
        <f>IF(Rechnungsstand!B154="","",Rechnungsstand!F154)</f>
        <v/>
      </c>
      <c r="E160" s="393">
        <f>IF(D160="","",SUM($D$12:D160))</f>
        <v/>
      </c>
      <c r="F160" s="393">
        <f>IF(D160="","",D160*$B$7)</f>
        <v/>
      </c>
      <c r="G160" s="393">
        <f>IF(D160="","",D160*$B$8)</f>
        <v/>
      </c>
      <c r="H160" s="393">
        <f>IF(D160="","",D160*$B$9)</f>
        <v/>
      </c>
      <c r="I160" s="393">
        <f>IF(D160="","",IF(C160="Abschlagsrechnung",MAX(0,MIN(D160*$E$7,IF($E$8&gt;0,$B$6*$E$8-SUM($I$12:I159),D160*$E$7))),0))</f>
        <v/>
      </c>
      <c r="J160" s="393">
        <f>IF(D160="","",SUM(F160:I160))</f>
        <v/>
      </c>
      <c r="K160" s="393">
        <f>IF(D160="","",D160-J160)</f>
        <v/>
      </c>
      <c r="L160" s="399" t="n"/>
      <c r="M160" s="400" t="n"/>
      <c r="N160" s="401" t="n"/>
      <c r="O160" s="401" t="n"/>
      <c r="P160" s="401" t="n"/>
      <c r="Q160" s="401" t="n"/>
      <c r="R160" s="401" t="n"/>
      <c r="S160" s="393">
        <f>IF(COUNTA(O160:R160)=0,"",SUM(O160:R160))</f>
        <v/>
      </c>
      <c r="T160" s="393">
        <f>IF(N160="","",N160-IF(S160="",0,S160))</f>
        <v/>
      </c>
      <c r="U160" s="402">
        <f>IF(OR(D160="",N160=""),"",N160-D160)</f>
        <v/>
      </c>
      <c r="V160" s="393">
        <f>IF(OR(K160="",T160=""),"",T160-K160)</f>
        <v/>
      </c>
      <c r="W160" s="395" t="n"/>
    </row>
    <row r="161">
      <c r="A161" s="389">
        <f>IF(Rechnungsstand!B155="","",Rechnungsstand!A155)</f>
        <v/>
      </c>
      <c r="B161" s="390">
        <f>IF(Rechnungsstand!B155="","",Rechnungsstand!B155)</f>
        <v/>
      </c>
      <c r="C161" s="391">
        <f>IF(Rechnungsstand!B155="","",Rechnungsstand!C155)</f>
        <v/>
      </c>
      <c r="D161" s="392">
        <f>IF(Rechnungsstand!B155="","",Rechnungsstand!F155)</f>
        <v/>
      </c>
      <c r="E161" s="393">
        <f>IF(D161="","",SUM($D$12:D161))</f>
        <v/>
      </c>
      <c r="F161" s="393">
        <f>IF(D161="","",D161*$B$7)</f>
        <v/>
      </c>
      <c r="G161" s="393">
        <f>IF(D161="","",D161*$B$8)</f>
        <v/>
      </c>
      <c r="H161" s="393">
        <f>IF(D161="","",D161*$B$9)</f>
        <v/>
      </c>
      <c r="I161" s="393">
        <f>IF(D161="","",IF(C161="Abschlagsrechnung",MAX(0,MIN(D161*$E$7,IF($E$8&gt;0,$B$6*$E$8-SUM($I$12:I160),D161*$E$7))),0))</f>
        <v/>
      </c>
      <c r="J161" s="393">
        <f>IF(D161="","",SUM(F161:I161))</f>
        <v/>
      </c>
      <c r="K161" s="393">
        <f>IF(D161="","",D161-J161)</f>
        <v/>
      </c>
      <c r="L161" s="399" t="n"/>
      <c r="M161" s="400" t="n"/>
      <c r="N161" s="401" t="n"/>
      <c r="O161" s="401" t="n"/>
      <c r="P161" s="401" t="n"/>
      <c r="Q161" s="401" t="n"/>
      <c r="R161" s="401" t="n"/>
      <c r="S161" s="393">
        <f>IF(COUNTA(O161:R161)=0,"",SUM(O161:R161))</f>
        <v/>
      </c>
      <c r="T161" s="393">
        <f>IF(N161="","",N161-IF(S161="",0,S161))</f>
        <v/>
      </c>
      <c r="U161" s="402">
        <f>IF(OR(D161="",N161=""),"",N161-D161)</f>
        <v/>
      </c>
      <c r="V161" s="393">
        <f>IF(OR(K161="",T161=""),"",T161-K161)</f>
        <v/>
      </c>
      <c r="W161" s="395" t="n"/>
    </row>
    <row r="162">
      <c r="A162" s="389">
        <f>IF(Rechnungsstand!B156="","",Rechnungsstand!A156)</f>
        <v/>
      </c>
      <c r="B162" s="390">
        <f>IF(Rechnungsstand!B156="","",Rechnungsstand!B156)</f>
        <v/>
      </c>
      <c r="C162" s="391">
        <f>IF(Rechnungsstand!B156="","",Rechnungsstand!C156)</f>
        <v/>
      </c>
      <c r="D162" s="392">
        <f>IF(Rechnungsstand!B156="","",Rechnungsstand!F156)</f>
        <v/>
      </c>
      <c r="E162" s="393">
        <f>IF(D162="","",SUM($D$12:D162))</f>
        <v/>
      </c>
      <c r="F162" s="393">
        <f>IF(D162="","",D162*$B$7)</f>
        <v/>
      </c>
      <c r="G162" s="393">
        <f>IF(D162="","",D162*$B$8)</f>
        <v/>
      </c>
      <c r="H162" s="393">
        <f>IF(D162="","",D162*$B$9)</f>
        <v/>
      </c>
      <c r="I162" s="393">
        <f>IF(D162="","",IF(C162="Abschlagsrechnung",MAX(0,MIN(D162*$E$7,IF($E$8&gt;0,$B$6*$E$8-SUM($I$12:I161),D162*$E$7))),0))</f>
        <v/>
      </c>
      <c r="J162" s="393">
        <f>IF(D162="","",SUM(F162:I162))</f>
        <v/>
      </c>
      <c r="K162" s="393">
        <f>IF(D162="","",D162-J162)</f>
        <v/>
      </c>
      <c r="L162" s="399" t="n"/>
      <c r="M162" s="400" t="n"/>
      <c r="N162" s="401" t="n"/>
      <c r="O162" s="401" t="n"/>
      <c r="P162" s="401" t="n"/>
      <c r="Q162" s="401" t="n"/>
      <c r="R162" s="401" t="n"/>
      <c r="S162" s="393">
        <f>IF(COUNTA(O162:R162)=0,"",SUM(O162:R162))</f>
        <v/>
      </c>
      <c r="T162" s="393">
        <f>IF(N162="","",N162-IF(S162="",0,S162))</f>
        <v/>
      </c>
      <c r="U162" s="402">
        <f>IF(OR(D162="",N162=""),"",N162-D162)</f>
        <v/>
      </c>
      <c r="V162" s="393">
        <f>IF(OR(K162="",T162=""),"",T162-K162)</f>
        <v/>
      </c>
      <c r="W162" s="395" t="n"/>
    </row>
    <row r="163">
      <c r="A163" s="389">
        <f>IF(Rechnungsstand!B157="","",Rechnungsstand!A157)</f>
        <v/>
      </c>
      <c r="B163" s="390">
        <f>IF(Rechnungsstand!B157="","",Rechnungsstand!B157)</f>
        <v/>
      </c>
      <c r="C163" s="391">
        <f>IF(Rechnungsstand!B157="","",Rechnungsstand!C157)</f>
        <v/>
      </c>
      <c r="D163" s="392">
        <f>IF(Rechnungsstand!B157="","",Rechnungsstand!F157)</f>
        <v/>
      </c>
      <c r="E163" s="393">
        <f>IF(D163="","",SUM($D$12:D163))</f>
        <v/>
      </c>
      <c r="F163" s="393">
        <f>IF(D163="","",D163*$B$7)</f>
        <v/>
      </c>
      <c r="G163" s="393">
        <f>IF(D163="","",D163*$B$8)</f>
        <v/>
      </c>
      <c r="H163" s="393">
        <f>IF(D163="","",D163*$B$9)</f>
        <v/>
      </c>
      <c r="I163" s="393">
        <f>IF(D163="","",IF(C163="Abschlagsrechnung",MAX(0,MIN(D163*$E$7,IF($E$8&gt;0,$B$6*$E$8-SUM($I$12:I162),D163*$E$7))),0))</f>
        <v/>
      </c>
      <c r="J163" s="393">
        <f>IF(D163="","",SUM(F163:I163))</f>
        <v/>
      </c>
      <c r="K163" s="393">
        <f>IF(D163="","",D163-J163)</f>
        <v/>
      </c>
      <c r="L163" s="399" t="n"/>
      <c r="M163" s="400" t="n"/>
      <c r="N163" s="401" t="n"/>
      <c r="O163" s="401" t="n"/>
      <c r="P163" s="401" t="n"/>
      <c r="Q163" s="401" t="n"/>
      <c r="R163" s="401" t="n"/>
      <c r="S163" s="393">
        <f>IF(COUNTA(O163:R163)=0,"",SUM(O163:R163))</f>
        <v/>
      </c>
      <c r="T163" s="393">
        <f>IF(N163="","",N163-IF(S163="",0,S163))</f>
        <v/>
      </c>
      <c r="U163" s="402">
        <f>IF(OR(D163="",N163=""),"",N163-D163)</f>
        <v/>
      </c>
      <c r="V163" s="393">
        <f>IF(OR(K163="",T163=""),"",T163-K163)</f>
        <v/>
      </c>
      <c r="W163" s="395" t="n"/>
    </row>
    <row r="164">
      <c r="A164" s="389">
        <f>IF(Rechnungsstand!B158="","",Rechnungsstand!A158)</f>
        <v/>
      </c>
      <c r="B164" s="390">
        <f>IF(Rechnungsstand!B158="","",Rechnungsstand!B158)</f>
        <v/>
      </c>
      <c r="C164" s="391">
        <f>IF(Rechnungsstand!B158="","",Rechnungsstand!C158)</f>
        <v/>
      </c>
      <c r="D164" s="392">
        <f>IF(Rechnungsstand!B158="","",Rechnungsstand!F158)</f>
        <v/>
      </c>
      <c r="E164" s="393">
        <f>IF(D164="","",SUM($D$12:D164))</f>
        <v/>
      </c>
      <c r="F164" s="393">
        <f>IF(D164="","",D164*$B$7)</f>
        <v/>
      </c>
      <c r="G164" s="393">
        <f>IF(D164="","",D164*$B$8)</f>
        <v/>
      </c>
      <c r="H164" s="393">
        <f>IF(D164="","",D164*$B$9)</f>
        <v/>
      </c>
      <c r="I164" s="393">
        <f>IF(D164="","",IF(C164="Abschlagsrechnung",MAX(0,MIN(D164*$E$7,IF($E$8&gt;0,$B$6*$E$8-SUM($I$12:I163),D164*$E$7))),0))</f>
        <v/>
      </c>
      <c r="J164" s="393">
        <f>IF(D164="","",SUM(F164:I164))</f>
        <v/>
      </c>
      <c r="K164" s="393">
        <f>IF(D164="","",D164-J164)</f>
        <v/>
      </c>
      <c r="L164" s="399" t="n"/>
      <c r="M164" s="400" t="n"/>
      <c r="N164" s="401" t="n"/>
      <c r="O164" s="401" t="n"/>
      <c r="P164" s="401" t="n"/>
      <c r="Q164" s="401" t="n"/>
      <c r="R164" s="401" t="n"/>
      <c r="S164" s="393">
        <f>IF(COUNTA(O164:R164)=0,"",SUM(O164:R164))</f>
        <v/>
      </c>
      <c r="T164" s="393">
        <f>IF(N164="","",N164-IF(S164="",0,S164))</f>
        <v/>
      </c>
      <c r="U164" s="402">
        <f>IF(OR(D164="",N164=""),"",N164-D164)</f>
        <v/>
      </c>
      <c r="V164" s="393">
        <f>IF(OR(K164="",T164=""),"",T164-K164)</f>
        <v/>
      </c>
      <c r="W164" s="395" t="n"/>
    </row>
    <row r="165">
      <c r="A165" s="389">
        <f>IF(Rechnungsstand!B159="","",Rechnungsstand!A159)</f>
        <v/>
      </c>
      <c r="B165" s="390">
        <f>IF(Rechnungsstand!B159="","",Rechnungsstand!B159)</f>
        <v/>
      </c>
      <c r="C165" s="391">
        <f>IF(Rechnungsstand!B159="","",Rechnungsstand!C159)</f>
        <v/>
      </c>
      <c r="D165" s="392">
        <f>IF(Rechnungsstand!B159="","",Rechnungsstand!F159)</f>
        <v/>
      </c>
      <c r="E165" s="393">
        <f>IF(D165="","",SUM($D$12:D165))</f>
        <v/>
      </c>
      <c r="F165" s="393">
        <f>IF(D165="","",D165*$B$7)</f>
        <v/>
      </c>
      <c r="G165" s="393">
        <f>IF(D165="","",D165*$B$8)</f>
        <v/>
      </c>
      <c r="H165" s="393">
        <f>IF(D165="","",D165*$B$9)</f>
        <v/>
      </c>
      <c r="I165" s="393">
        <f>IF(D165="","",IF(C165="Abschlagsrechnung",MAX(0,MIN(D165*$E$7,IF($E$8&gt;0,$B$6*$E$8-SUM($I$12:I164),D165*$E$7))),0))</f>
        <v/>
      </c>
      <c r="J165" s="393">
        <f>IF(D165="","",SUM(F165:I165))</f>
        <v/>
      </c>
      <c r="K165" s="393">
        <f>IF(D165="","",D165-J165)</f>
        <v/>
      </c>
      <c r="L165" s="399" t="n"/>
      <c r="M165" s="400" t="n"/>
      <c r="N165" s="401" t="n"/>
      <c r="O165" s="401" t="n"/>
      <c r="P165" s="401" t="n"/>
      <c r="Q165" s="401" t="n"/>
      <c r="R165" s="401" t="n"/>
      <c r="S165" s="393">
        <f>IF(COUNTA(O165:R165)=0,"",SUM(O165:R165))</f>
        <v/>
      </c>
      <c r="T165" s="393">
        <f>IF(N165="","",N165-IF(S165="",0,S165))</f>
        <v/>
      </c>
      <c r="U165" s="402">
        <f>IF(OR(D165="",N165=""),"",N165-D165)</f>
        <v/>
      </c>
      <c r="V165" s="393">
        <f>IF(OR(K165="",T165=""),"",T165-K165)</f>
        <v/>
      </c>
      <c r="W165" s="395" t="n"/>
    </row>
    <row r="166">
      <c r="A166" s="389">
        <f>IF(Rechnungsstand!B160="","",Rechnungsstand!A160)</f>
        <v/>
      </c>
      <c r="B166" s="390">
        <f>IF(Rechnungsstand!B160="","",Rechnungsstand!B160)</f>
        <v/>
      </c>
      <c r="C166" s="391">
        <f>IF(Rechnungsstand!B160="","",Rechnungsstand!C160)</f>
        <v/>
      </c>
      <c r="D166" s="392">
        <f>IF(Rechnungsstand!B160="","",Rechnungsstand!F160)</f>
        <v/>
      </c>
      <c r="E166" s="393">
        <f>IF(D166="","",SUM($D$12:D166))</f>
        <v/>
      </c>
      <c r="F166" s="393">
        <f>IF(D166="","",D166*$B$7)</f>
        <v/>
      </c>
      <c r="G166" s="393">
        <f>IF(D166="","",D166*$B$8)</f>
        <v/>
      </c>
      <c r="H166" s="393">
        <f>IF(D166="","",D166*$B$9)</f>
        <v/>
      </c>
      <c r="I166" s="393">
        <f>IF(D166="","",IF(C166="Abschlagsrechnung",MAX(0,MIN(D166*$E$7,IF($E$8&gt;0,$B$6*$E$8-SUM($I$12:I165),D166*$E$7))),0))</f>
        <v/>
      </c>
      <c r="J166" s="393">
        <f>IF(D166="","",SUM(F166:I166))</f>
        <v/>
      </c>
      <c r="K166" s="393">
        <f>IF(D166="","",D166-J166)</f>
        <v/>
      </c>
      <c r="L166" s="399" t="n"/>
      <c r="M166" s="400" t="n"/>
      <c r="N166" s="401" t="n"/>
      <c r="O166" s="401" t="n"/>
      <c r="P166" s="401" t="n"/>
      <c r="Q166" s="401" t="n"/>
      <c r="R166" s="401" t="n"/>
      <c r="S166" s="393">
        <f>IF(COUNTA(O166:R166)=0,"",SUM(O166:R166))</f>
        <v/>
      </c>
      <c r="T166" s="393">
        <f>IF(N166="","",N166-IF(S166="",0,S166))</f>
        <v/>
      </c>
      <c r="U166" s="402">
        <f>IF(OR(D166="",N166=""),"",N166-D166)</f>
        <v/>
      </c>
      <c r="V166" s="393">
        <f>IF(OR(K166="",T166=""),"",T166-K166)</f>
        <v/>
      </c>
      <c r="W166" s="395" t="n"/>
    </row>
    <row r="167">
      <c r="A167" s="389">
        <f>IF(Rechnungsstand!B161="","",Rechnungsstand!A161)</f>
        <v/>
      </c>
      <c r="B167" s="390">
        <f>IF(Rechnungsstand!B161="","",Rechnungsstand!B161)</f>
        <v/>
      </c>
      <c r="C167" s="391">
        <f>IF(Rechnungsstand!B161="","",Rechnungsstand!C161)</f>
        <v/>
      </c>
      <c r="D167" s="392">
        <f>IF(Rechnungsstand!B161="","",Rechnungsstand!F161)</f>
        <v/>
      </c>
      <c r="E167" s="393">
        <f>IF(D167="","",SUM($D$12:D167))</f>
        <v/>
      </c>
      <c r="F167" s="393">
        <f>IF(D167="","",D167*$B$7)</f>
        <v/>
      </c>
      <c r="G167" s="393">
        <f>IF(D167="","",D167*$B$8)</f>
        <v/>
      </c>
      <c r="H167" s="393">
        <f>IF(D167="","",D167*$B$9)</f>
        <v/>
      </c>
      <c r="I167" s="393">
        <f>IF(D167="","",IF(C167="Abschlagsrechnung",MAX(0,MIN(D167*$E$7,IF($E$8&gt;0,$B$6*$E$8-SUM($I$12:I166),D167*$E$7))),0))</f>
        <v/>
      </c>
      <c r="J167" s="393">
        <f>IF(D167="","",SUM(F167:I167))</f>
        <v/>
      </c>
      <c r="K167" s="393">
        <f>IF(D167="","",D167-J167)</f>
        <v/>
      </c>
      <c r="L167" s="399" t="n"/>
      <c r="M167" s="400" t="n"/>
      <c r="N167" s="401" t="n"/>
      <c r="O167" s="401" t="n"/>
      <c r="P167" s="401" t="n"/>
      <c r="Q167" s="401" t="n"/>
      <c r="R167" s="401" t="n"/>
      <c r="S167" s="393">
        <f>IF(COUNTA(O167:R167)=0,"",SUM(O167:R167))</f>
        <v/>
      </c>
      <c r="T167" s="393">
        <f>IF(N167="","",N167-IF(S167="",0,S167))</f>
        <v/>
      </c>
      <c r="U167" s="402">
        <f>IF(OR(D167="",N167=""),"",N167-D167)</f>
        <v/>
      </c>
      <c r="V167" s="393">
        <f>IF(OR(K167="",T167=""),"",T167-K167)</f>
        <v/>
      </c>
      <c r="W167" s="395" t="n"/>
    </row>
    <row r="168">
      <c r="A168" s="389">
        <f>IF(Rechnungsstand!B162="","",Rechnungsstand!A162)</f>
        <v/>
      </c>
      <c r="B168" s="390">
        <f>IF(Rechnungsstand!B162="","",Rechnungsstand!B162)</f>
        <v/>
      </c>
      <c r="C168" s="391">
        <f>IF(Rechnungsstand!B162="","",Rechnungsstand!C162)</f>
        <v/>
      </c>
      <c r="D168" s="392">
        <f>IF(Rechnungsstand!B162="","",Rechnungsstand!F162)</f>
        <v/>
      </c>
      <c r="E168" s="393">
        <f>IF(D168="","",SUM($D$12:D168))</f>
        <v/>
      </c>
      <c r="F168" s="393">
        <f>IF(D168="","",D168*$B$7)</f>
        <v/>
      </c>
      <c r="G168" s="393">
        <f>IF(D168="","",D168*$B$8)</f>
        <v/>
      </c>
      <c r="H168" s="393">
        <f>IF(D168="","",D168*$B$9)</f>
        <v/>
      </c>
      <c r="I168" s="393">
        <f>IF(D168="","",IF(C168="Abschlagsrechnung",MAX(0,MIN(D168*$E$7,IF($E$8&gt;0,$B$6*$E$8-SUM($I$12:I167),D168*$E$7))),0))</f>
        <v/>
      </c>
      <c r="J168" s="393">
        <f>IF(D168="","",SUM(F168:I168))</f>
        <v/>
      </c>
      <c r="K168" s="393">
        <f>IF(D168="","",D168-J168)</f>
        <v/>
      </c>
      <c r="L168" s="399" t="n"/>
      <c r="M168" s="400" t="n"/>
      <c r="N168" s="401" t="n"/>
      <c r="O168" s="401" t="n"/>
      <c r="P168" s="401" t="n"/>
      <c r="Q168" s="401" t="n"/>
      <c r="R168" s="401" t="n"/>
      <c r="S168" s="393">
        <f>IF(COUNTA(O168:R168)=0,"",SUM(O168:R168))</f>
        <v/>
      </c>
      <c r="T168" s="393">
        <f>IF(N168="","",N168-IF(S168="",0,S168))</f>
        <v/>
      </c>
      <c r="U168" s="402">
        <f>IF(OR(D168="",N168=""),"",N168-D168)</f>
        <v/>
      </c>
      <c r="V168" s="393">
        <f>IF(OR(K168="",T168=""),"",T168-K168)</f>
        <v/>
      </c>
      <c r="W168" s="395" t="n"/>
    </row>
    <row r="169">
      <c r="A169" s="389">
        <f>IF(Rechnungsstand!B163="","",Rechnungsstand!A163)</f>
        <v/>
      </c>
      <c r="B169" s="390">
        <f>IF(Rechnungsstand!B163="","",Rechnungsstand!B163)</f>
        <v/>
      </c>
      <c r="C169" s="391">
        <f>IF(Rechnungsstand!B163="","",Rechnungsstand!C163)</f>
        <v/>
      </c>
      <c r="D169" s="392">
        <f>IF(Rechnungsstand!B163="","",Rechnungsstand!F163)</f>
        <v/>
      </c>
      <c r="E169" s="393">
        <f>IF(D169="","",SUM($D$12:D169))</f>
        <v/>
      </c>
      <c r="F169" s="393">
        <f>IF(D169="","",D169*$B$7)</f>
        <v/>
      </c>
      <c r="G169" s="393">
        <f>IF(D169="","",D169*$B$8)</f>
        <v/>
      </c>
      <c r="H169" s="393">
        <f>IF(D169="","",D169*$B$9)</f>
        <v/>
      </c>
      <c r="I169" s="393">
        <f>IF(D169="","",IF(C169="Abschlagsrechnung",MAX(0,MIN(D169*$E$7,IF($E$8&gt;0,$B$6*$E$8-SUM($I$12:I168),D169*$E$7))),0))</f>
        <v/>
      </c>
      <c r="J169" s="393">
        <f>IF(D169="","",SUM(F169:I169))</f>
        <v/>
      </c>
      <c r="K169" s="393">
        <f>IF(D169="","",D169-J169)</f>
        <v/>
      </c>
      <c r="L169" s="399" t="n"/>
      <c r="M169" s="400" t="n"/>
      <c r="N169" s="401" t="n"/>
      <c r="O169" s="401" t="n"/>
      <c r="P169" s="401" t="n"/>
      <c r="Q169" s="401" t="n"/>
      <c r="R169" s="401" t="n"/>
      <c r="S169" s="393">
        <f>IF(COUNTA(O169:R169)=0,"",SUM(O169:R169))</f>
        <v/>
      </c>
      <c r="T169" s="393">
        <f>IF(N169="","",N169-IF(S169="",0,S169))</f>
        <v/>
      </c>
      <c r="U169" s="402">
        <f>IF(OR(D169="",N169=""),"",N169-D169)</f>
        <v/>
      </c>
      <c r="V169" s="393">
        <f>IF(OR(K169="",T169=""),"",T169-K169)</f>
        <v/>
      </c>
      <c r="W169" s="395" t="n"/>
    </row>
    <row r="170">
      <c r="A170" s="389">
        <f>IF(Rechnungsstand!B164="","",Rechnungsstand!A164)</f>
        <v/>
      </c>
      <c r="B170" s="390">
        <f>IF(Rechnungsstand!B164="","",Rechnungsstand!B164)</f>
        <v/>
      </c>
      <c r="C170" s="391">
        <f>IF(Rechnungsstand!B164="","",Rechnungsstand!C164)</f>
        <v/>
      </c>
      <c r="D170" s="392">
        <f>IF(Rechnungsstand!B164="","",Rechnungsstand!F164)</f>
        <v/>
      </c>
      <c r="E170" s="393">
        <f>IF(D170="","",SUM($D$12:D170))</f>
        <v/>
      </c>
      <c r="F170" s="393">
        <f>IF(D170="","",D170*$B$7)</f>
        <v/>
      </c>
      <c r="G170" s="393">
        <f>IF(D170="","",D170*$B$8)</f>
        <v/>
      </c>
      <c r="H170" s="393">
        <f>IF(D170="","",D170*$B$9)</f>
        <v/>
      </c>
      <c r="I170" s="393">
        <f>IF(D170="","",IF(C170="Abschlagsrechnung",MAX(0,MIN(D170*$E$7,IF($E$8&gt;0,$B$6*$E$8-SUM($I$12:I169),D170*$E$7))),0))</f>
        <v/>
      </c>
      <c r="J170" s="393">
        <f>IF(D170="","",SUM(F170:I170))</f>
        <v/>
      </c>
      <c r="K170" s="393">
        <f>IF(D170="","",D170-J170)</f>
        <v/>
      </c>
      <c r="L170" s="399" t="n"/>
      <c r="M170" s="400" t="n"/>
      <c r="N170" s="401" t="n"/>
      <c r="O170" s="401" t="n"/>
      <c r="P170" s="401" t="n"/>
      <c r="Q170" s="401" t="n"/>
      <c r="R170" s="401" t="n"/>
      <c r="S170" s="393">
        <f>IF(COUNTA(O170:R170)=0,"",SUM(O170:R170))</f>
        <v/>
      </c>
      <c r="T170" s="393">
        <f>IF(N170="","",N170-IF(S170="",0,S170))</f>
        <v/>
      </c>
      <c r="U170" s="402">
        <f>IF(OR(D170="",N170=""),"",N170-D170)</f>
        <v/>
      </c>
      <c r="V170" s="393">
        <f>IF(OR(K170="",T170=""),"",T170-K170)</f>
        <v/>
      </c>
      <c r="W170" s="395" t="n"/>
    </row>
    <row r="171">
      <c r="A171" s="389">
        <f>IF(Rechnungsstand!B165="","",Rechnungsstand!A165)</f>
        <v/>
      </c>
      <c r="B171" s="390">
        <f>IF(Rechnungsstand!B165="","",Rechnungsstand!B165)</f>
        <v/>
      </c>
      <c r="C171" s="391">
        <f>IF(Rechnungsstand!B165="","",Rechnungsstand!C165)</f>
        <v/>
      </c>
      <c r="D171" s="392">
        <f>IF(Rechnungsstand!B165="","",Rechnungsstand!F165)</f>
        <v/>
      </c>
      <c r="E171" s="393">
        <f>IF(D171="","",SUM($D$12:D171))</f>
        <v/>
      </c>
      <c r="F171" s="393">
        <f>IF(D171="","",D171*$B$7)</f>
        <v/>
      </c>
      <c r="G171" s="393">
        <f>IF(D171="","",D171*$B$8)</f>
        <v/>
      </c>
      <c r="H171" s="393">
        <f>IF(D171="","",D171*$B$9)</f>
        <v/>
      </c>
      <c r="I171" s="393">
        <f>IF(D171="","",IF(C171="Abschlagsrechnung",MAX(0,MIN(D171*$E$7,IF($E$8&gt;0,$B$6*$E$8-SUM($I$12:I170),D171*$E$7))),0))</f>
        <v/>
      </c>
      <c r="J171" s="393">
        <f>IF(D171="","",SUM(F171:I171))</f>
        <v/>
      </c>
      <c r="K171" s="393">
        <f>IF(D171="","",D171-J171)</f>
        <v/>
      </c>
      <c r="L171" s="399" t="n"/>
      <c r="M171" s="400" t="n"/>
      <c r="N171" s="401" t="n"/>
      <c r="O171" s="401" t="n"/>
      <c r="P171" s="401" t="n"/>
      <c r="Q171" s="401" t="n"/>
      <c r="R171" s="401" t="n"/>
      <c r="S171" s="393">
        <f>IF(COUNTA(O171:R171)=0,"",SUM(O171:R171))</f>
        <v/>
      </c>
      <c r="T171" s="393">
        <f>IF(N171="","",N171-IF(S171="",0,S171))</f>
        <v/>
      </c>
      <c r="U171" s="402">
        <f>IF(OR(D171="",N171=""),"",N171-D171)</f>
        <v/>
      </c>
      <c r="V171" s="393">
        <f>IF(OR(K171="",T171=""),"",T171-K171)</f>
        <v/>
      </c>
      <c r="W171" s="395" t="n"/>
    </row>
    <row r="172">
      <c r="A172" s="389">
        <f>IF(Rechnungsstand!B166="","",Rechnungsstand!A166)</f>
        <v/>
      </c>
      <c r="B172" s="390">
        <f>IF(Rechnungsstand!B166="","",Rechnungsstand!B166)</f>
        <v/>
      </c>
      <c r="C172" s="391">
        <f>IF(Rechnungsstand!B166="","",Rechnungsstand!C166)</f>
        <v/>
      </c>
      <c r="D172" s="392">
        <f>IF(Rechnungsstand!B166="","",Rechnungsstand!F166)</f>
        <v/>
      </c>
      <c r="E172" s="393">
        <f>IF(D172="","",SUM($D$12:D172))</f>
        <v/>
      </c>
      <c r="F172" s="393">
        <f>IF(D172="","",D172*$B$7)</f>
        <v/>
      </c>
      <c r="G172" s="393">
        <f>IF(D172="","",D172*$B$8)</f>
        <v/>
      </c>
      <c r="H172" s="393">
        <f>IF(D172="","",D172*$B$9)</f>
        <v/>
      </c>
      <c r="I172" s="393">
        <f>IF(D172="","",IF(C172="Abschlagsrechnung",MAX(0,MIN(D172*$E$7,IF($E$8&gt;0,$B$6*$E$8-SUM($I$12:I171),D172*$E$7))),0))</f>
        <v/>
      </c>
      <c r="J172" s="393">
        <f>IF(D172="","",SUM(F172:I172))</f>
        <v/>
      </c>
      <c r="K172" s="393">
        <f>IF(D172="","",D172-J172)</f>
        <v/>
      </c>
      <c r="L172" s="399" t="n"/>
      <c r="M172" s="400" t="n"/>
      <c r="N172" s="401" t="n"/>
      <c r="O172" s="401" t="n"/>
      <c r="P172" s="401" t="n"/>
      <c r="Q172" s="401" t="n"/>
      <c r="R172" s="401" t="n"/>
      <c r="S172" s="393">
        <f>IF(COUNTA(O172:R172)=0,"",SUM(O172:R172))</f>
        <v/>
      </c>
      <c r="T172" s="393">
        <f>IF(N172="","",N172-IF(S172="",0,S172))</f>
        <v/>
      </c>
      <c r="U172" s="402">
        <f>IF(OR(D172="",N172=""),"",N172-D172)</f>
        <v/>
      </c>
      <c r="V172" s="393">
        <f>IF(OR(K172="",T172=""),"",T172-K172)</f>
        <v/>
      </c>
      <c r="W172" s="395" t="n"/>
    </row>
    <row r="173">
      <c r="A173" s="389">
        <f>IF(Rechnungsstand!B167="","",Rechnungsstand!A167)</f>
        <v/>
      </c>
      <c r="B173" s="390">
        <f>IF(Rechnungsstand!B167="","",Rechnungsstand!B167)</f>
        <v/>
      </c>
      <c r="C173" s="391">
        <f>IF(Rechnungsstand!B167="","",Rechnungsstand!C167)</f>
        <v/>
      </c>
      <c r="D173" s="392">
        <f>IF(Rechnungsstand!B167="","",Rechnungsstand!F167)</f>
        <v/>
      </c>
      <c r="E173" s="393">
        <f>IF(D173="","",SUM($D$12:D173))</f>
        <v/>
      </c>
      <c r="F173" s="393">
        <f>IF(D173="","",D173*$B$7)</f>
        <v/>
      </c>
      <c r="G173" s="393">
        <f>IF(D173="","",D173*$B$8)</f>
        <v/>
      </c>
      <c r="H173" s="393">
        <f>IF(D173="","",D173*$B$9)</f>
        <v/>
      </c>
      <c r="I173" s="393">
        <f>IF(D173="","",IF(C173="Abschlagsrechnung",MAX(0,MIN(D173*$E$7,IF($E$8&gt;0,$B$6*$E$8-SUM($I$12:I172),D173*$E$7))),0))</f>
        <v/>
      </c>
      <c r="J173" s="393">
        <f>IF(D173="","",SUM(F173:I173))</f>
        <v/>
      </c>
      <c r="K173" s="393">
        <f>IF(D173="","",D173-J173)</f>
        <v/>
      </c>
      <c r="L173" s="399" t="n"/>
      <c r="M173" s="400" t="n"/>
      <c r="N173" s="401" t="n"/>
      <c r="O173" s="401" t="n"/>
      <c r="P173" s="401" t="n"/>
      <c r="Q173" s="401" t="n"/>
      <c r="R173" s="401" t="n"/>
      <c r="S173" s="393">
        <f>IF(COUNTA(O173:R173)=0,"",SUM(O173:R173))</f>
        <v/>
      </c>
      <c r="T173" s="393">
        <f>IF(N173="","",N173-IF(S173="",0,S173))</f>
        <v/>
      </c>
      <c r="U173" s="402">
        <f>IF(OR(D173="",N173=""),"",N173-D173)</f>
        <v/>
      </c>
      <c r="V173" s="393">
        <f>IF(OR(K173="",T173=""),"",T173-K173)</f>
        <v/>
      </c>
      <c r="W173" s="395" t="n"/>
    </row>
    <row r="174">
      <c r="A174" s="389">
        <f>IF(Rechnungsstand!B168="","",Rechnungsstand!A168)</f>
        <v/>
      </c>
      <c r="B174" s="390">
        <f>IF(Rechnungsstand!B168="","",Rechnungsstand!B168)</f>
        <v/>
      </c>
      <c r="C174" s="391">
        <f>IF(Rechnungsstand!B168="","",Rechnungsstand!C168)</f>
        <v/>
      </c>
      <c r="D174" s="392">
        <f>IF(Rechnungsstand!B168="","",Rechnungsstand!F168)</f>
        <v/>
      </c>
      <c r="E174" s="393">
        <f>IF(D174="","",SUM($D$12:D174))</f>
        <v/>
      </c>
      <c r="F174" s="393">
        <f>IF(D174="","",D174*$B$7)</f>
        <v/>
      </c>
      <c r="G174" s="393">
        <f>IF(D174="","",D174*$B$8)</f>
        <v/>
      </c>
      <c r="H174" s="393">
        <f>IF(D174="","",D174*$B$9)</f>
        <v/>
      </c>
      <c r="I174" s="393">
        <f>IF(D174="","",IF(C174="Abschlagsrechnung",MAX(0,MIN(D174*$E$7,IF($E$8&gt;0,$B$6*$E$8-SUM($I$12:I173),D174*$E$7))),0))</f>
        <v/>
      </c>
      <c r="J174" s="393">
        <f>IF(D174="","",SUM(F174:I174))</f>
        <v/>
      </c>
      <c r="K174" s="393">
        <f>IF(D174="","",D174-J174)</f>
        <v/>
      </c>
      <c r="L174" s="399" t="n"/>
      <c r="M174" s="400" t="n"/>
      <c r="N174" s="401" t="n"/>
      <c r="O174" s="401" t="n"/>
      <c r="P174" s="401" t="n"/>
      <c r="Q174" s="401" t="n"/>
      <c r="R174" s="401" t="n"/>
      <c r="S174" s="393">
        <f>IF(COUNTA(O174:R174)=0,"",SUM(O174:R174))</f>
        <v/>
      </c>
      <c r="T174" s="393">
        <f>IF(N174="","",N174-IF(S174="",0,S174))</f>
        <v/>
      </c>
      <c r="U174" s="402">
        <f>IF(OR(D174="",N174=""),"",N174-D174)</f>
        <v/>
      </c>
      <c r="V174" s="393">
        <f>IF(OR(K174="",T174=""),"",T174-K174)</f>
        <v/>
      </c>
      <c r="W174" s="395" t="n"/>
    </row>
    <row r="175">
      <c r="A175" s="389">
        <f>IF(Rechnungsstand!B169="","",Rechnungsstand!A169)</f>
        <v/>
      </c>
      <c r="B175" s="390">
        <f>IF(Rechnungsstand!B169="","",Rechnungsstand!B169)</f>
        <v/>
      </c>
      <c r="C175" s="391">
        <f>IF(Rechnungsstand!B169="","",Rechnungsstand!C169)</f>
        <v/>
      </c>
      <c r="D175" s="392">
        <f>IF(Rechnungsstand!B169="","",Rechnungsstand!F169)</f>
        <v/>
      </c>
      <c r="E175" s="393">
        <f>IF(D175="","",SUM($D$12:D175))</f>
        <v/>
      </c>
      <c r="F175" s="393">
        <f>IF(D175="","",D175*$B$7)</f>
        <v/>
      </c>
      <c r="G175" s="393">
        <f>IF(D175="","",D175*$B$8)</f>
        <v/>
      </c>
      <c r="H175" s="393">
        <f>IF(D175="","",D175*$B$9)</f>
        <v/>
      </c>
      <c r="I175" s="393">
        <f>IF(D175="","",IF(C175="Abschlagsrechnung",MAX(0,MIN(D175*$E$7,IF($E$8&gt;0,$B$6*$E$8-SUM($I$12:I174),D175*$E$7))),0))</f>
        <v/>
      </c>
      <c r="J175" s="393">
        <f>IF(D175="","",SUM(F175:I175))</f>
        <v/>
      </c>
      <c r="K175" s="393">
        <f>IF(D175="","",D175-J175)</f>
        <v/>
      </c>
      <c r="L175" s="399" t="n"/>
      <c r="M175" s="400" t="n"/>
      <c r="N175" s="401" t="n"/>
      <c r="O175" s="401" t="n"/>
      <c r="P175" s="401" t="n"/>
      <c r="Q175" s="401" t="n"/>
      <c r="R175" s="401" t="n"/>
      <c r="S175" s="393">
        <f>IF(COUNTA(O175:R175)=0,"",SUM(O175:R175))</f>
        <v/>
      </c>
      <c r="T175" s="393">
        <f>IF(N175="","",N175-IF(S175="",0,S175))</f>
        <v/>
      </c>
      <c r="U175" s="402">
        <f>IF(OR(D175="",N175=""),"",N175-D175)</f>
        <v/>
      </c>
      <c r="V175" s="393">
        <f>IF(OR(K175="",T175=""),"",T175-K175)</f>
        <v/>
      </c>
      <c r="W175" s="395" t="n"/>
    </row>
    <row r="176">
      <c r="A176" s="389">
        <f>IF(Rechnungsstand!B170="","",Rechnungsstand!A170)</f>
        <v/>
      </c>
      <c r="B176" s="390">
        <f>IF(Rechnungsstand!B170="","",Rechnungsstand!B170)</f>
        <v/>
      </c>
      <c r="C176" s="391">
        <f>IF(Rechnungsstand!B170="","",Rechnungsstand!C170)</f>
        <v/>
      </c>
      <c r="D176" s="392">
        <f>IF(Rechnungsstand!B170="","",Rechnungsstand!F170)</f>
        <v/>
      </c>
      <c r="E176" s="393">
        <f>IF(D176="","",SUM($D$12:D176))</f>
        <v/>
      </c>
      <c r="F176" s="393">
        <f>IF(D176="","",D176*$B$7)</f>
        <v/>
      </c>
      <c r="G176" s="393">
        <f>IF(D176="","",D176*$B$8)</f>
        <v/>
      </c>
      <c r="H176" s="393">
        <f>IF(D176="","",D176*$B$9)</f>
        <v/>
      </c>
      <c r="I176" s="393">
        <f>IF(D176="","",IF(C176="Abschlagsrechnung",MAX(0,MIN(D176*$E$7,IF($E$8&gt;0,$B$6*$E$8-SUM($I$12:I175),D176*$E$7))),0))</f>
        <v/>
      </c>
      <c r="J176" s="393">
        <f>IF(D176="","",SUM(F176:I176))</f>
        <v/>
      </c>
      <c r="K176" s="393">
        <f>IF(D176="","",D176-J176)</f>
        <v/>
      </c>
      <c r="L176" s="399" t="n"/>
      <c r="M176" s="400" t="n"/>
      <c r="N176" s="401" t="n"/>
      <c r="O176" s="401" t="n"/>
      <c r="P176" s="401" t="n"/>
      <c r="Q176" s="401" t="n"/>
      <c r="R176" s="401" t="n"/>
      <c r="S176" s="393">
        <f>IF(COUNTA(O176:R176)=0,"",SUM(O176:R176))</f>
        <v/>
      </c>
      <c r="T176" s="393">
        <f>IF(N176="","",N176-IF(S176="",0,S176))</f>
        <v/>
      </c>
      <c r="U176" s="402">
        <f>IF(OR(D176="",N176=""),"",N176-D176)</f>
        <v/>
      </c>
      <c r="V176" s="393">
        <f>IF(OR(K176="",T176=""),"",T176-K176)</f>
        <v/>
      </c>
      <c r="W176" s="395" t="n"/>
    </row>
    <row r="177">
      <c r="A177" s="389">
        <f>IF(Rechnungsstand!B171="","",Rechnungsstand!A171)</f>
        <v/>
      </c>
      <c r="B177" s="390">
        <f>IF(Rechnungsstand!B171="","",Rechnungsstand!B171)</f>
        <v/>
      </c>
      <c r="C177" s="391">
        <f>IF(Rechnungsstand!B171="","",Rechnungsstand!C171)</f>
        <v/>
      </c>
      <c r="D177" s="392">
        <f>IF(Rechnungsstand!B171="","",Rechnungsstand!F171)</f>
        <v/>
      </c>
      <c r="E177" s="393">
        <f>IF(D177="","",SUM($D$12:D177))</f>
        <v/>
      </c>
      <c r="F177" s="393">
        <f>IF(D177="","",D177*$B$7)</f>
        <v/>
      </c>
      <c r="G177" s="393">
        <f>IF(D177="","",D177*$B$8)</f>
        <v/>
      </c>
      <c r="H177" s="393">
        <f>IF(D177="","",D177*$B$9)</f>
        <v/>
      </c>
      <c r="I177" s="393">
        <f>IF(D177="","",IF(C177="Abschlagsrechnung",MAX(0,MIN(D177*$E$7,IF($E$8&gt;0,$B$6*$E$8-SUM($I$12:I176),D177*$E$7))),0))</f>
        <v/>
      </c>
      <c r="J177" s="393">
        <f>IF(D177="","",SUM(F177:I177))</f>
        <v/>
      </c>
      <c r="K177" s="393">
        <f>IF(D177="","",D177-J177)</f>
        <v/>
      </c>
      <c r="L177" s="399" t="n"/>
      <c r="M177" s="400" t="n"/>
      <c r="N177" s="401" t="n"/>
      <c r="O177" s="401" t="n"/>
      <c r="P177" s="401" t="n"/>
      <c r="Q177" s="401" t="n"/>
      <c r="R177" s="401" t="n"/>
      <c r="S177" s="393">
        <f>IF(COUNTA(O177:R177)=0,"",SUM(O177:R177))</f>
        <v/>
      </c>
      <c r="T177" s="393">
        <f>IF(N177="","",N177-IF(S177="",0,S177))</f>
        <v/>
      </c>
      <c r="U177" s="402">
        <f>IF(OR(D177="",N177=""),"",N177-D177)</f>
        <v/>
      </c>
      <c r="V177" s="393">
        <f>IF(OR(K177="",T177=""),"",T177-K177)</f>
        <v/>
      </c>
      <c r="W177" s="395" t="n"/>
    </row>
    <row r="178">
      <c r="A178" s="389">
        <f>IF(Rechnungsstand!B172="","",Rechnungsstand!A172)</f>
        <v/>
      </c>
      <c r="B178" s="390">
        <f>IF(Rechnungsstand!B172="","",Rechnungsstand!B172)</f>
        <v/>
      </c>
      <c r="C178" s="391">
        <f>IF(Rechnungsstand!B172="","",Rechnungsstand!C172)</f>
        <v/>
      </c>
      <c r="D178" s="392">
        <f>IF(Rechnungsstand!B172="","",Rechnungsstand!F172)</f>
        <v/>
      </c>
      <c r="E178" s="393">
        <f>IF(D178="","",SUM($D$12:D178))</f>
        <v/>
      </c>
      <c r="F178" s="393">
        <f>IF(D178="","",D178*$B$7)</f>
        <v/>
      </c>
      <c r="G178" s="393">
        <f>IF(D178="","",D178*$B$8)</f>
        <v/>
      </c>
      <c r="H178" s="393">
        <f>IF(D178="","",D178*$B$9)</f>
        <v/>
      </c>
      <c r="I178" s="393">
        <f>IF(D178="","",IF(C178="Abschlagsrechnung",MAX(0,MIN(D178*$E$7,IF($E$8&gt;0,$B$6*$E$8-SUM($I$12:I177),D178*$E$7))),0))</f>
        <v/>
      </c>
      <c r="J178" s="393">
        <f>IF(D178="","",SUM(F178:I178))</f>
        <v/>
      </c>
      <c r="K178" s="393">
        <f>IF(D178="","",D178-J178)</f>
        <v/>
      </c>
      <c r="L178" s="399" t="n"/>
      <c r="M178" s="400" t="n"/>
      <c r="N178" s="401" t="n"/>
      <c r="O178" s="401" t="n"/>
      <c r="P178" s="401" t="n"/>
      <c r="Q178" s="401" t="n"/>
      <c r="R178" s="401" t="n"/>
      <c r="S178" s="393">
        <f>IF(COUNTA(O178:R178)=0,"",SUM(O178:R178))</f>
        <v/>
      </c>
      <c r="T178" s="393">
        <f>IF(N178="","",N178-IF(S178="",0,S178))</f>
        <v/>
      </c>
      <c r="U178" s="402">
        <f>IF(OR(D178="",N178=""),"",N178-D178)</f>
        <v/>
      </c>
      <c r="V178" s="393">
        <f>IF(OR(K178="",T178=""),"",T178-K178)</f>
        <v/>
      </c>
      <c r="W178" s="395" t="n"/>
    </row>
    <row r="179">
      <c r="A179" s="389">
        <f>IF(Rechnungsstand!B173="","",Rechnungsstand!A173)</f>
        <v/>
      </c>
      <c r="B179" s="390">
        <f>IF(Rechnungsstand!B173="","",Rechnungsstand!B173)</f>
        <v/>
      </c>
      <c r="C179" s="391">
        <f>IF(Rechnungsstand!B173="","",Rechnungsstand!C173)</f>
        <v/>
      </c>
      <c r="D179" s="392">
        <f>IF(Rechnungsstand!B173="","",Rechnungsstand!F173)</f>
        <v/>
      </c>
      <c r="E179" s="393">
        <f>IF(D179="","",SUM($D$12:D179))</f>
        <v/>
      </c>
      <c r="F179" s="393">
        <f>IF(D179="","",D179*$B$7)</f>
        <v/>
      </c>
      <c r="G179" s="393">
        <f>IF(D179="","",D179*$B$8)</f>
        <v/>
      </c>
      <c r="H179" s="393">
        <f>IF(D179="","",D179*$B$9)</f>
        <v/>
      </c>
      <c r="I179" s="393">
        <f>IF(D179="","",IF(C179="Abschlagsrechnung",MAX(0,MIN(D179*$E$7,IF($E$8&gt;0,$B$6*$E$8-SUM($I$12:I178),D179*$E$7))),0))</f>
        <v/>
      </c>
      <c r="J179" s="393">
        <f>IF(D179="","",SUM(F179:I179))</f>
        <v/>
      </c>
      <c r="K179" s="393">
        <f>IF(D179="","",D179-J179)</f>
        <v/>
      </c>
      <c r="L179" s="399" t="n"/>
      <c r="M179" s="400" t="n"/>
      <c r="N179" s="401" t="n"/>
      <c r="O179" s="401" t="n"/>
      <c r="P179" s="401" t="n"/>
      <c r="Q179" s="401" t="n"/>
      <c r="R179" s="401" t="n"/>
      <c r="S179" s="393">
        <f>IF(COUNTA(O179:R179)=0,"",SUM(O179:R179))</f>
        <v/>
      </c>
      <c r="T179" s="393">
        <f>IF(N179="","",N179-IF(S179="",0,S179))</f>
        <v/>
      </c>
      <c r="U179" s="402">
        <f>IF(OR(D179="",N179=""),"",N179-D179)</f>
        <v/>
      </c>
      <c r="V179" s="393">
        <f>IF(OR(K179="",T179=""),"",T179-K179)</f>
        <v/>
      </c>
      <c r="W179" s="395" t="n"/>
    </row>
    <row r="180">
      <c r="A180" s="389">
        <f>IF(Rechnungsstand!B174="","",Rechnungsstand!A174)</f>
        <v/>
      </c>
      <c r="B180" s="390">
        <f>IF(Rechnungsstand!B174="","",Rechnungsstand!B174)</f>
        <v/>
      </c>
      <c r="C180" s="391">
        <f>IF(Rechnungsstand!B174="","",Rechnungsstand!C174)</f>
        <v/>
      </c>
      <c r="D180" s="392">
        <f>IF(Rechnungsstand!B174="","",Rechnungsstand!F174)</f>
        <v/>
      </c>
      <c r="E180" s="393">
        <f>IF(D180="","",SUM($D$12:D180))</f>
        <v/>
      </c>
      <c r="F180" s="393">
        <f>IF(D180="","",D180*$B$7)</f>
        <v/>
      </c>
      <c r="G180" s="393">
        <f>IF(D180="","",D180*$B$8)</f>
        <v/>
      </c>
      <c r="H180" s="393">
        <f>IF(D180="","",D180*$B$9)</f>
        <v/>
      </c>
      <c r="I180" s="393">
        <f>IF(D180="","",IF(C180="Abschlagsrechnung",MAX(0,MIN(D180*$E$7,IF($E$8&gt;0,$B$6*$E$8-SUM($I$12:I179),D180*$E$7))),0))</f>
        <v/>
      </c>
      <c r="J180" s="393">
        <f>IF(D180="","",SUM(F180:I180))</f>
        <v/>
      </c>
      <c r="K180" s="393">
        <f>IF(D180="","",D180-J180)</f>
        <v/>
      </c>
      <c r="L180" s="399" t="n"/>
      <c r="M180" s="400" t="n"/>
      <c r="N180" s="401" t="n"/>
      <c r="O180" s="401" t="n"/>
      <c r="P180" s="401" t="n"/>
      <c r="Q180" s="401" t="n"/>
      <c r="R180" s="401" t="n"/>
      <c r="S180" s="393">
        <f>IF(COUNTA(O180:R180)=0,"",SUM(O180:R180))</f>
        <v/>
      </c>
      <c r="T180" s="393">
        <f>IF(N180="","",N180-IF(S180="",0,S180))</f>
        <v/>
      </c>
      <c r="U180" s="402">
        <f>IF(OR(D180="",N180=""),"",N180-D180)</f>
        <v/>
      </c>
      <c r="V180" s="393">
        <f>IF(OR(K180="",T180=""),"",T180-K180)</f>
        <v/>
      </c>
      <c r="W180" s="395" t="n"/>
    </row>
    <row r="181">
      <c r="A181" s="389">
        <f>IF(Rechnungsstand!B175="","",Rechnungsstand!A175)</f>
        <v/>
      </c>
      <c r="B181" s="390">
        <f>IF(Rechnungsstand!B175="","",Rechnungsstand!B175)</f>
        <v/>
      </c>
      <c r="C181" s="391">
        <f>IF(Rechnungsstand!B175="","",Rechnungsstand!C175)</f>
        <v/>
      </c>
      <c r="D181" s="392">
        <f>IF(Rechnungsstand!B175="","",Rechnungsstand!F175)</f>
        <v/>
      </c>
      <c r="E181" s="393">
        <f>IF(D181="","",SUM($D$12:D181))</f>
        <v/>
      </c>
      <c r="F181" s="393">
        <f>IF(D181="","",D181*$B$7)</f>
        <v/>
      </c>
      <c r="G181" s="393">
        <f>IF(D181="","",D181*$B$8)</f>
        <v/>
      </c>
      <c r="H181" s="393">
        <f>IF(D181="","",D181*$B$9)</f>
        <v/>
      </c>
      <c r="I181" s="393">
        <f>IF(D181="","",IF(C181="Abschlagsrechnung",MAX(0,MIN(D181*$E$7,IF($E$8&gt;0,$B$6*$E$8-SUM($I$12:I180),D181*$E$7))),0))</f>
        <v/>
      </c>
      <c r="J181" s="393">
        <f>IF(D181="","",SUM(F181:I181))</f>
        <v/>
      </c>
      <c r="K181" s="393">
        <f>IF(D181="","",D181-J181)</f>
        <v/>
      </c>
      <c r="L181" s="399" t="n"/>
      <c r="M181" s="400" t="n"/>
      <c r="N181" s="401" t="n"/>
      <c r="O181" s="401" t="n"/>
      <c r="P181" s="401" t="n"/>
      <c r="Q181" s="401" t="n"/>
      <c r="R181" s="401" t="n"/>
      <c r="S181" s="393">
        <f>IF(COUNTA(O181:R181)=0,"",SUM(O181:R181))</f>
        <v/>
      </c>
      <c r="T181" s="393">
        <f>IF(N181="","",N181-IF(S181="",0,S181))</f>
        <v/>
      </c>
      <c r="U181" s="402">
        <f>IF(OR(D181="",N181=""),"",N181-D181)</f>
        <v/>
      </c>
      <c r="V181" s="393">
        <f>IF(OR(K181="",T181=""),"",T181-K181)</f>
        <v/>
      </c>
      <c r="W181" s="395" t="n"/>
    </row>
    <row r="182">
      <c r="A182" s="389">
        <f>IF(Rechnungsstand!B176="","",Rechnungsstand!A176)</f>
        <v/>
      </c>
      <c r="B182" s="390">
        <f>IF(Rechnungsstand!B176="","",Rechnungsstand!B176)</f>
        <v/>
      </c>
      <c r="C182" s="391">
        <f>IF(Rechnungsstand!B176="","",Rechnungsstand!C176)</f>
        <v/>
      </c>
      <c r="D182" s="392">
        <f>IF(Rechnungsstand!B176="","",Rechnungsstand!F176)</f>
        <v/>
      </c>
      <c r="E182" s="393">
        <f>IF(D182="","",SUM($D$12:D182))</f>
        <v/>
      </c>
      <c r="F182" s="393">
        <f>IF(D182="","",D182*$B$7)</f>
        <v/>
      </c>
      <c r="G182" s="393">
        <f>IF(D182="","",D182*$B$8)</f>
        <v/>
      </c>
      <c r="H182" s="393">
        <f>IF(D182="","",D182*$B$9)</f>
        <v/>
      </c>
      <c r="I182" s="393">
        <f>IF(D182="","",IF(C182="Abschlagsrechnung",MAX(0,MIN(D182*$E$7,IF($E$8&gt;0,$B$6*$E$8-SUM($I$12:I181),D182*$E$7))),0))</f>
        <v/>
      </c>
      <c r="J182" s="393">
        <f>IF(D182="","",SUM(F182:I182))</f>
        <v/>
      </c>
      <c r="K182" s="393">
        <f>IF(D182="","",D182-J182)</f>
        <v/>
      </c>
      <c r="L182" s="399" t="n"/>
      <c r="M182" s="400" t="n"/>
      <c r="N182" s="401" t="n"/>
      <c r="O182" s="401" t="n"/>
      <c r="P182" s="401" t="n"/>
      <c r="Q182" s="401" t="n"/>
      <c r="R182" s="401" t="n"/>
      <c r="S182" s="393">
        <f>IF(COUNTA(O182:R182)=0,"",SUM(O182:R182))</f>
        <v/>
      </c>
      <c r="T182" s="393">
        <f>IF(N182="","",N182-IF(S182="",0,S182))</f>
        <v/>
      </c>
      <c r="U182" s="402">
        <f>IF(OR(D182="",N182=""),"",N182-D182)</f>
        <v/>
      </c>
      <c r="V182" s="393">
        <f>IF(OR(K182="",T182=""),"",T182-K182)</f>
        <v/>
      </c>
      <c r="W182" s="395" t="n"/>
    </row>
    <row r="183">
      <c r="A183" s="389">
        <f>IF(Rechnungsstand!B177="","",Rechnungsstand!A177)</f>
        <v/>
      </c>
      <c r="B183" s="390">
        <f>IF(Rechnungsstand!B177="","",Rechnungsstand!B177)</f>
        <v/>
      </c>
      <c r="C183" s="391">
        <f>IF(Rechnungsstand!B177="","",Rechnungsstand!C177)</f>
        <v/>
      </c>
      <c r="D183" s="392">
        <f>IF(Rechnungsstand!B177="","",Rechnungsstand!F177)</f>
        <v/>
      </c>
      <c r="E183" s="393">
        <f>IF(D183="","",SUM($D$12:D183))</f>
        <v/>
      </c>
      <c r="F183" s="393">
        <f>IF(D183="","",D183*$B$7)</f>
        <v/>
      </c>
      <c r="G183" s="393">
        <f>IF(D183="","",D183*$B$8)</f>
        <v/>
      </c>
      <c r="H183" s="393">
        <f>IF(D183="","",D183*$B$9)</f>
        <v/>
      </c>
      <c r="I183" s="393">
        <f>IF(D183="","",IF(C183="Abschlagsrechnung",MAX(0,MIN(D183*$E$7,IF($E$8&gt;0,$B$6*$E$8-SUM($I$12:I182),D183*$E$7))),0))</f>
        <v/>
      </c>
      <c r="J183" s="393">
        <f>IF(D183="","",SUM(F183:I183))</f>
        <v/>
      </c>
      <c r="K183" s="393">
        <f>IF(D183="","",D183-J183)</f>
        <v/>
      </c>
      <c r="L183" s="399" t="n"/>
      <c r="M183" s="400" t="n"/>
      <c r="N183" s="401" t="n"/>
      <c r="O183" s="401" t="n"/>
      <c r="P183" s="401" t="n"/>
      <c r="Q183" s="401" t="n"/>
      <c r="R183" s="401" t="n"/>
      <c r="S183" s="393">
        <f>IF(COUNTA(O183:R183)=0,"",SUM(O183:R183))</f>
        <v/>
      </c>
      <c r="T183" s="393">
        <f>IF(N183="","",N183-IF(S183="",0,S183))</f>
        <v/>
      </c>
      <c r="U183" s="402">
        <f>IF(OR(D183="",N183=""),"",N183-D183)</f>
        <v/>
      </c>
      <c r="V183" s="393">
        <f>IF(OR(K183="",T183=""),"",T183-K183)</f>
        <v/>
      </c>
      <c r="W183" s="395" t="n"/>
    </row>
    <row r="184">
      <c r="A184" s="389">
        <f>IF(Rechnungsstand!B178="","",Rechnungsstand!A178)</f>
        <v/>
      </c>
      <c r="B184" s="390">
        <f>IF(Rechnungsstand!B178="","",Rechnungsstand!B178)</f>
        <v/>
      </c>
      <c r="C184" s="391">
        <f>IF(Rechnungsstand!B178="","",Rechnungsstand!C178)</f>
        <v/>
      </c>
      <c r="D184" s="392">
        <f>IF(Rechnungsstand!B178="","",Rechnungsstand!F178)</f>
        <v/>
      </c>
      <c r="E184" s="393">
        <f>IF(D184="","",SUM($D$12:D184))</f>
        <v/>
      </c>
      <c r="F184" s="393">
        <f>IF(D184="","",D184*$B$7)</f>
        <v/>
      </c>
      <c r="G184" s="393">
        <f>IF(D184="","",D184*$B$8)</f>
        <v/>
      </c>
      <c r="H184" s="393">
        <f>IF(D184="","",D184*$B$9)</f>
        <v/>
      </c>
      <c r="I184" s="393">
        <f>IF(D184="","",IF(C184="Abschlagsrechnung",MAX(0,MIN(D184*$E$7,IF($E$8&gt;0,$B$6*$E$8-SUM($I$12:I183),D184*$E$7))),0))</f>
        <v/>
      </c>
      <c r="J184" s="393">
        <f>IF(D184="","",SUM(F184:I184))</f>
        <v/>
      </c>
      <c r="K184" s="393">
        <f>IF(D184="","",D184-J184)</f>
        <v/>
      </c>
      <c r="L184" s="399" t="n"/>
      <c r="M184" s="400" t="n"/>
      <c r="N184" s="401" t="n"/>
      <c r="O184" s="401" t="n"/>
      <c r="P184" s="401" t="n"/>
      <c r="Q184" s="401" t="n"/>
      <c r="R184" s="401" t="n"/>
      <c r="S184" s="393">
        <f>IF(COUNTA(O184:R184)=0,"",SUM(O184:R184))</f>
        <v/>
      </c>
      <c r="T184" s="393">
        <f>IF(N184="","",N184-IF(S184="",0,S184))</f>
        <v/>
      </c>
      <c r="U184" s="402">
        <f>IF(OR(D184="",N184=""),"",N184-D184)</f>
        <v/>
      </c>
      <c r="V184" s="393">
        <f>IF(OR(K184="",T184=""),"",T184-K184)</f>
        <v/>
      </c>
      <c r="W184" s="395" t="n"/>
    </row>
    <row r="185">
      <c r="A185" s="389">
        <f>IF(Rechnungsstand!B179="","",Rechnungsstand!A179)</f>
        <v/>
      </c>
      <c r="B185" s="390">
        <f>IF(Rechnungsstand!B179="","",Rechnungsstand!B179)</f>
        <v/>
      </c>
      <c r="C185" s="391">
        <f>IF(Rechnungsstand!B179="","",Rechnungsstand!C179)</f>
        <v/>
      </c>
      <c r="D185" s="392">
        <f>IF(Rechnungsstand!B179="","",Rechnungsstand!F179)</f>
        <v/>
      </c>
      <c r="E185" s="393">
        <f>IF(D185="","",SUM($D$12:D185))</f>
        <v/>
      </c>
      <c r="F185" s="393">
        <f>IF(D185="","",D185*$B$7)</f>
        <v/>
      </c>
      <c r="G185" s="393">
        <f>IF(D185="","",D185*$B$8)</f>
        <v/>
      </c>
      <c r="H185" s="393">
        <f>IF(D185="","",D185*$B$9)</f>
        <v/>
      </c>
      <c r="I185" s="393">
        <f>IF(D185="","",IF(C185="Abschlagsrechnung",MAX(0,MIN(D185*$E$7,IF($E$8&gt;0,$B$6*$E$8-SUM($I$12:I184),D185*$E$7))),0))</f>
        <v/>
      </c>
      <c r="J185" s="393">
        <f>IF(D185="","",SUM(F185:I185))</f>
        <v/>
      </c>
      <c r="K185" s="393">
        <f>IF(D185="","",D185-J185)</f>
        <v/>
      </c>
      <c r="L185" s="399" t="n"/>
      <c r="M185" s="400" t="n"/>
      <c r="N185" s="401" t="n"/>
      <c r="O185" s="401" t="n"/>
      <c r="P185" s="401" t="n"/>
      <c r="Q185" s="401" t="n"/>
      <c r="R185" s="401" t="n"/>
      <c r="S185" s="393">
        <f>IF(COUNTA(O185:R185)=0,"",SUM(O185:R185))</f>
        <v/>
      </c>
      <c r="T185" s="393">
        <f>IF(N185="","",N185-IF(S185="",0,S185))</f>
        <v/>
      </c>
      <c r="U185" s="402">
        <f>IF(OR(D185="",N185=""),"",N185-D185)</f>
        <v/>
      </c>
      <c r="V185" s="393">
        <f>IF(OR(K185="",T185=""),"",T185-K185)</f>
        <v/>
      </c>
      <c r="W185" s="395" t="n"/>
    </row>
    <row r="186">
      <c r="A186" s="389">
        <f>IF(Rechnungsstand!B180="","",Rechnungsstand!A180)</f>
        <v/>
      </c>
      <c r="B186" s="390">
        <f>IF(Rechnungsstand!B180="","",Rechnungsstand!B180)</f>
        <v/>
      </c>
      <c r="C186" s="391">
        <f>IF(Rechnungsstand!B180="","",Rechnungsstand!C180)</f>
        <v/>
      </c>
      <c r="D186" s="392">
        <f>IF(Rechnungsstand!B180="","",Rechnungsstand!F180)</f>
        <v/>
      </c>
      <c r="E186" s="393">
        <f>IF(D186="","",SUM($D$12:D186))</f>
        <v/>
      </c>
      <c r="F186" s="393">
        <f>IF(D186="","",D186*$B$7)</f>
        <v/>
      </c>
      <c r="G186" s="393">
        <f>IF(D186="","",D186*$B$8)</f>
        <v/>
      </c>
      <c r="H186" s="393">
        <f>IF(D186="","",D186*$B$9)</f>
        <v/>
      </c>
      <c r="I186" s="393">
        <f>IF(D186="","",IF(C186="Abschlagsrechnung",MAX(0,MIN(D186*$E$7,IF($E$8&gt;0,$B$6*$E$8-SUM($I$12:I185),D186*$E$7))),0))</f>
        <v/>
      </c>
      <c r="J186" s="393">
        <f>IF(D186="","",SUM(F186:I186))</f>
        <v/>
      </c>
      <c r="K186" s="393">
        <f>IF(D186="","",D186-J186)</f>
        <v/>
      </c>
      <c r="L186" s="399" t="n"/>
      <c r="M186" s="400" t="n"/>
      <c r="N186" s="401" t="n"/>
      <c r="O186" s="401" t="n"/>
      <c r="P186" s="401" t="n"/>
      <c r="Q186" s="401" t="n"/>
      <c r="R186" s="401" t="n"/>
      <c r="S186" s="393">
        <f>IF(COUNTA(O186:R186)=0,"",SUM(O186:R186))</f>
        <v/>
      </c>
      <c r="T186" s="393">
        <f>IF(N186="","",N186-IF(S186="",0,S186))</f>
        <v/>
      </c>
      <c r="U186" s="402">
        <f>IF(OR(D186="",N186=""),"",N186-D186)</f>
        <v/>
      </c>
      <c r="V186" s="393">
        <f>IF(OR(K186="",T186=""),"",T186-K186)</f>
        <v/>
      </c>
      <c r="W186" s="395" t="n"/>
    </row>
    <row r="187">
      <c r="A187" s="389">
        <f>IF(Rechnungsstand!B181="","",Rechnungsstand!A181)</f>
        <v/>
      </c>
      <c r="B187" s="390">
        <f>IF(Rechnungsstand!B181="","",Rechnungsstand!B181)</f>
        <v/>
      </c>
      <c r="C187" s="391">
        <f>IF(Rechnungsstand!B181="","",Rechnungsstand!C181)</f>
        <v/>
      </c>
      <c r="D187" s="392">
        <f>IF(Rechnungsstand!B181="","",Rechnungsstand!F181)</f>
        <v/>
      </c>
      <c r="E187" s="393">
        <f>IF(D187="","",SUM($D$12:D187))</f>
        <v/>
      </c>
      <c r="F187" s="393">
        <f>IF(D187="","",D187*$B$7)</f>
        <v/>
      </c>
      <c r="G187" s="393">
        <f>IF(D187="","",D187*$B$8)</f>
        <v/>
      </c>
      <c r="H187" s="393">
        <f>IF(D187="","",D187*$B$9)</f>
        <v/>
      </c>
      <c r="I187" s="393">
        <f>IF(D187="","",IF(C187="Abschlagsrechnung",MAX(0,MIN(D187*$E$7,IF($E$8&gt;0,$B$6*$E$8-SUM($I$12:I186),D187*$E$7))),0))</f>
        <v/>
      </c>
      <c r="J187" s="393">
        <f>IF(D187="","",SUM(F187:I187))</f>
        <v/>
      </c>
      <c r="K187" s="393">
        <f>IF(D187="","",D187-J187)</f>
        <v/>
      </c>
      <c r="L187" s="399" t="n"/>
      <c r="M187" s="400" t="n"/>
      <c r="N187" s="401" t="n"/>
      <c r="O187" s="401" t="n"/>
      <c r="P187" s="401" t="n"/>
      <c r="Q187" s="401" t="n"/>
      <c r="R187" s="401" t="n"/>
      <c r="S187" s="393">
        <f>IF(COUNTA(O187:R187)=0,"",SUM(O187:R187))</f>
        <v/>
      </c>
      <c r="T187" s="393">
        <f>IF(N187="","",N187-IF(S187="",0,S187))</f>
        <v/>
      </c>
      <c r="U187" s="402">
        <f>IF(OR(D187="",N187=""),"",N187-D187)</f>
        <v/>
      </c>
      <c r="V187" s="393">
        <f>IF(OR(K187="",T187=""),"",T187-K187)</f>
        <v/>
      </c>
      <c r="W187" s="395" t="n"/>
    </row>
    <row r="188">
      <c r="A188" s="389">
        <f>IF(Rechnungsstand!B182="","",Rechnungsstand!A182)</f>
        <v/>
      </c>
      <c r="B188" s="390">
        <f>IF(Rechnungsstand!B182="","",Rechnungsstand!B182)</f>
        <v/>
      </c>
      <c r="C188" s="391">
        <f>IF(Rechnungsstand!B182="","",Rechnungsstand!C182)</f>
        <v/>
      </c>
      <c r="D188" s="392">
        <f>IF(Rechnungsstand!B182="","",Rechnungsstand!F182)</f>
        <v/>
      </c>
      <c r="E188" s="393">
        <f>IF(D188="","",SUM($D$12:D188))</f>
        <v/>
      </c>
      <c r="F188" s="393">
        <f>IF(D188="","",D188*$B$7)</f>
        <v/>
      </c>
      <c r="G188" s="393">
        <f>IF(D188="","",D188*$B$8)</f>
        <v/>
      </c>
      <c r="H188" s="393">
        <f>IF(D188="","",D188*$B$9)</f>
        <v/>
      </c>
      <c r="I188" s="393">
        <f>IF(D188="","",IF(C188="Abschlagsrechnung",MAX(0,MIN(D188*$E$7,IF($E$8&gt;0,$B$6*$E$8-SUM($I$12:I187),D188*$E$7))),0))</f>
        <v/>
      </c>
      <c r="J188" s="393">
        <f>IF(D188="","",SUM(F188:I188))</f>
        <v/>
      </c>
      <c r="K188" s="393">
        <f>IF(D188="","",D188-J188)</f>
        <v/>
      </c>
      <c r="L188" s="399" t="n"/>
      <c r="M188" s="400" t="n"/>
      <c r="N188" s="401" t="n"/>
      <c r="O188" s="401" t="n"/>
      <c r="P188" s="401" t="n"/>
      <c r="Q188" s="401" t="n"/>
      <c r="R188" s="401" t="n"/>
      <c r="S188" s="393">
        <f>IF(COUNTA(O188:R188)=0,"",SUM(O188:R188))</f>
        <v/>
      </c>
      <c r="T188" s="393">
        <f>IF(N188="","",N188-IF(S188="",0,S188))</f>
        <v/>
      </c>
      <c r="U188" s="402">
        <f>IF(OR(D188="",N188=""),"",N188-D188)</f>
        <v/>
      </c>
      <c r="V188" s="393">
        <f>IF(OR(K188="",T188=""),"",T188-K188)</f>
        <v/>
      </c>
      <c r="W188" s="395" t="n"/>
    </row>
    <row r="189">
      <c r="A189" s="389">
        <f>IF(Rechnungsstand!B183="","",Rechnungsstand!A183)</f>
        <v/>
      </c>
      <c r="B189" s="390">
        <f>IF(Rechnungsstand!B183="","",Rechnungsstand!B183)</f>
        <v/>
      </c>
      <c r="C189" s="391">
        <f>IF(Rechnungsstand!B183="","",Rechnungsstand!C183)</f>
        <v/>
      </c>
      <c r="D189" s="392">
        <f>IF(Rechnungsstand!B183="","",Rechnungsstand!F183)</f>
        <v/>
      </c>
      <c r="E189" s="393">
        <f>IF(D189="","",SUM($D$12:D189))</f>
        <v/>
      </c>
      <c r="F189" s="393">
        <f>IF(D189="","",D189*$B$7)</f>
        <v/>
      </c>
      <c r="G189" s="393">
        <f>IF(D189="","",D189*$B$8)</f>
        <v/>
      </c>
      <c r="H189" s="393">
        <f>IF(D189="","",D189*$B$9)</f>
        <v/>
      </c>
      <c r="I189" s="393">
        <f>IF(D189="","",IF(C189="Abschlagsrechnung",MAX(0,MIN(D189*$E$7,IF($E$8&gt;0,$B$6*$E$8-SUM($I$12:I188),D189*$E$7))),0))</f>
        <v/>
      </c>
      <c r="J189" s="393">
        <f>IF(D189="","",SUM(F189:I189))</f>
        <v/>
      </c>
      <c r="K189" s="393">
        <f>IF(D189="","",D189-J189)</f>
        <v/>
      </c>
      <c r="L189" s="399" t="n"/>
      <c r="M189" s="400" t="n"/>
      <c r="N189" s="401" t="n"/>
      <c r="O189" s="401" t="n"/>
      <c r="P189" s="401" t="n"/>
      <c r="Q189" s="401" t="n"/>
      <c r="R189" s="401" t="n"/>
      <c r="S189" s="393">
        <f>IF(COUNTA(O189:R189)=0,"",SUM(O189:R189))</f>
        <v/>
      </c>
      <c r="T189" s="393">
        <f>IF(N189="","",N189-IF(S189="",0,S189))</f>
        <v/>
      </c>
      <c r="U189" s="402">
        <f>IF(OR(D189="",N189=""),"",N189-D189)</f>
        <v/>
      </c>
      <c r="V189" s="393">
        <f>IF(OR(K189="",T189=""),"",T189-K189)</f>
        <v/>
      </c>
      <c r="W189" s="395" t="n"/>
    </row>
    <row r="190">
      <c r="A190" s="389">
        <f>IF(Rechnungsstand!B184="","",Rechnungsstand!A184)</f>
        <v/>
      </c>
      <c r="B190" s="390">
        <f>IF(Rechnungsstand!B184="","",Rechnungsstand!B184)</f>
        <v/>
      </c>
      <c r="C190" s="391">
        <f>IF(Rechnungsstand!B184="","",Rechnungsstand!C184)</f>
        <v/>
      </c>
      <c r="D190" s="392">
        <f>IF(Rechnungsstand!B184="","",Rechnungsstand!F184)</f>
        <v/>
      </c>
      <c r="E190" s="393">
        <f>IF(D190="","",SUM($D$12:D190))</f>
        <v/>
      </c>
      <c r="F190" s="393">
        <f>IF(D190="","",D190*$B$7)</f>
        <v/>
      </c>
      <c r="G190" s="393">
        <f>IF(D190="","",D190*$B$8)</f>
        <v/>
      </c>
      <c r="H190" s="393">
        <f>IF(D190="","",D190*$B$9)</f>
        <v/>
      </c>
      <c r="I190" s="393">
        <f>IF(D190="","",IF(C190="Abschlagsrechnung",MAX(0,MIN(D190*$E$7,IF($E$8&gt;0,$B$6*$E$8-SUM($I$12:I189),D190*$E$7))),0))</f>
        <v/>
      </c>
      <c r="J190" s="393">
        <f>IF(D190="","",SUM(F190:I190))</f>
        <v/>
      </c>
      <c r="K190" s="393">
        <f>IF(D190="","",D190-J190)</f>
        <v/>
      </c>
      <c r="L190" s="399" t="n"/>
      <c r="M190" s="400" t="n"/>
      <c r="N190" s="401" t="n"/>
      <c r="O190" s="401" t="n"/>
      <c r="P190" s="401" t="n"/>
      <c r="Q190" s="401" t="n"/>
      <c r="R190" s="401" t="n"/>
      <c r="S190" s="393">
        <f>IF(COUNTA(O190:R190)=0,"",SUM(O190:R190))</f>
        <v/>
      </c>
      <c r="T190" s="393">
        <f>IF(N190="","",N190-IF(S190="",0,S190))</f>
        <v/>
      </c>
      <c r="U190" s="402">
        <f>IF(OR(D190="",N190=""),"",N190-D190)</f>
        <v/>
      </c>
      <c r="V190" s="393">
        <f>IF(OR(K190="",T190=""),"",T190-K190)</f>
        <v/>
      </c>
      <c r="W190" s="395" t="n"/>
    </row>
    <row r="191">
      <c r="A191" s="389">
        <f>IF(Rechnungsstand!B185="","",Rechnungsstand!A185)</f>
        <v/>
      </c>
      <c r="B191" s="390">
        <f>IF(Rechnungsstand!B185="","",Rechnungsstand!B185)</f>
        <v/>
      </c>
      <c r="C191" s="391">
        <f>IF(Rechnungsstand!B185="","",Rechnungsstand!C185)</f>
        <v/>
      </c>
      <c r="D191" s="392">
        <f>IF(Rechnungsstand!B185="","",Rechnungsstand!F185)</f>
        <v/>
      </c>
      <c r="E191" s="393">
        <f>IF(D191="","",SUM($D$12:D191))</f>
        <v/>
      </c>
      <c r="F191" s="393">
        <f>IF(D191="","",D191*$B$7)</f>
        <v/>
      </c>
      <c r="G191" s="393">
        <f>IF(D191="","",D191*$B$8)</f>
        <v/>
      </c>
      <c r="H191" s="393">
        <f>IF(D191="","",D191*$B$9)</f>
        <v/>
      </c>
      <c r="I191" s="393">
        <f>IF(D191="","",IF(C191="Abschlagsrechnung",MAX(0,MIN(D191*$E$7,IF($E$8&gt;0,$B$6*$E$8-SUM($I$12:I190),D191*$E$7))),0))</f>
        <v/>
      </c>
      <c r="J191" s="393">
        <f>IF(D191="","",SUM(F191:I191))</f>
        <v/>
      </c>
      <c r="K191" s="393">
        <f>IF(D191="","",D191-J191)</f>
        <v/>
      </c>
      <c r="L191" s="399" t="n"/>
      <c r="M191" s="400" t="n"/>
      <c r="N191" s="401" t="n"/>
      <c r="O191" s="401" t="n"/>
      <c r="P191" s="401" t="n"/>
      <c r="Q191" s="401" t="n"/>
      <c r="R191" s="401" t="n"/>
      <c r="S191" s="393">
        <f>IF(COUNTA(O191:R191)=0,"",SUM(O191:R191))</f>
        <v/>
      </c>
      <c r="T191" s="393">
        <f>IF(N191="","",N191-IF(S191="",0,S191))</f>
        <v/>
      </c>
      <c r="U191" s="402">
        <f>IF(OR(D191="",N191=""),"",N191-D191)</f>
        <v/>
      </c>
      <c r="V191" s="393">
        <f>IF(OR(K191="",T191=""),"",T191-K191)</f>
        <v/>
      </c>
      <c r="W191" s="395" t="n"/>
    </row>
    <row r="192">
      <c r="A192" s="389">
        <f>IF(Rechnungsstand!B186="","",Rechnungsstand!A186)</f>
        <v/>
      </c>
      <c r="B192" s="390">
        <f>IF(Rechnungsstand!B186="","",Rechnungsstand!B186)</f>
        <v/>
      </c>
      <c r="C192" s="391">
        <f>IF(Rechnungsstand!B186="","",Rechnungsstand!C186)</f>
        <v/>
      </c>
      <c r="D192" s="392">
        <f>IF(Rechnungsstand!B186="","",Rechnungsstand!F186)</f>
        <v/>
      </c>
      <c r="E192" s="393">
        <f>IF(D192="","",SUM($D$12:D192))</f>
        <v/>
      </c>
      <c r="F192" s="393">
        <f>IF(D192="","",D192*$B$7)</f>
        <v/>
      </c>
      <c r="G192" s="393">
        <f>IF(D192="","",D192*$B$8)</f>
        <v/>
      </c>
      <c r="H192" s="393">
        <f>IF(D192="","",D192*$B$9)</f>
        <v/>
      </c>
      <c r="I192" s="393">
        <f>IF(D192="","",IF(C192="Abschlagsrechnung",MAX(0,MIN(D192*$E$7,IF($E$8&gt;0,$B$6*$E$8-SUM($I$12:I191),D192*$E$7))),0))</f>
        <v/>
      </c>
      <c r="J192" s="393">
        <f>IF(D192="","",SUM(F192:I192))</f>
        <v/>
      </c>
      <c r="K192" s="393">
        <f>IF(D192="","",D192-J192)</f>
        <v/>
      </c>
      <c r="L192" s="399" t="n"/>
      <c r="M192" s="400" t="n"/>
      <c r="N192" s="401" t="n"/>
      <c r="O192" s="401" t="n"/>
      <c r="P192" s="401" t="n"/>
      <c r="Q192" s="401" t="n"/>
      <c r="R192" s="401" t="n"/>
      <c r="S192" s="393">
        <f>IF(COUNTA(O192:R192)=0,"",SUM(O192:R192))</f>
        <v/>
      </c>
      <c r="T192" s="393">
        <f>IF(N192="","",N192-IF(S192="",0,S192))</f>
        <v/>
      </c>
      <c r="U192" s="402">
        <f>IF(OR(D192="",N192=""),"",N192-D192)</f>
        <v/>
      </c>
      <c r="V192" s="393">
        <f>IF(OR(K192="",T192=""),"",T192-K192)</f>
        <v/>
      </c>
      <c r="W192" s="395" t="n"/>
    </row>
    <row r="193">
      <c r="A193" s="389">
        <f>IF(Rechnungsstand!B187="","",Rechnungsstand!A187)</f>
        <v/>
      </c>
      <c r="B193" s="390">
        <f>IF(Rechnungsstand!B187="","",Rechnungsstand!B187)</f>
        <v/>
      </c>
      <c r="C193" s="391">
        <f>IF(Rechnungsstand!B187="","",Rechnungsstand!C187)</f>
        <v/>
      </c>
      <c r="D193" s="392">
        <f>IF(Rechnungsstand!B187="","",Rechnungsstand!F187)</f>
        <v/>
      </c>
      <c r="E193" s="393">
        <f>IF(D193="","",SUM($D$12:D193))</f>
        <v/>
      </c>
      <c r="F193" s="393">
        <f>IF(D193="","",D193*$B$7)</f>
        <v/>
      </c>
      <c r="G193" s="393">
        <f>IF(D193="","",D193*$B$8)</f>
        <v/>
      </c>
      <c r="H193" s="393">
        <f>IF(D193="","",D193*$B$9)</f>
        <v/>
      </c>
      <c r="I193" s="393">
        <f>IF(D193="","",IF(C193="Abschlagsrechnung",MAX(0,MIN(D193*$E$7,IF($E$8&gt;0,$B$6*$E$8-SUM($I$12:I192),D193*$E$7))),0))</f>
        <v/>
      </c>
      <c r="J193" s="393">
        <f>IF(D193="","",SUM(F193:I193))</f>
        <v/>
      </c>
      <c r="K193" s="393">
        <f>IF(D193="","",D193-J193)</f>
        <v/>
      </c>
      <c r="L193" s="399" t="n"/>
      <c r="M193" s="400" t="n"/>
      <c r="N193" s="401" t="n"/>
      <c r="O193" s="401" t="n"/>
      <c r="P193" s="401" t="n"/>
      <c r="Q193" s="401" t="n"/>
      <c r="R193" s="401" t="n"/>
      <c r="S193" s="393">
        <f>IF(COUNTA(O193:R193)=0,"",SUM(O193:R193))</f>
        <v/>
      </c>
      <c r="T193" s="393">
        <f>IF(N193="","",N193-IF(S193="",0,S193))</f>
        <v/>
      </c>
      <c r="U193" s="402">
        <f>IF(OR(D193="",N193=""),"",N193-D193)</f>
        <v/>
      </c>
      <c r="V193" s="393">
        <f>IF(OR(K193="",T193=""),"",T193-K193)</f>
        <v/>
      </c>
      <c r="W193" s="395" t="n"/>
    </row>
    <row r="194">
      <c r="A194" s="389">
        <f>IF(Rechnungsstand!B188="","",Rechnungsstand!A188)</f>
        <v/>
      </c>
      <c r="B194" s="390">
        <f>IF(Rechnungsstand!B188="","",Rechnungsstand!B188)</f>
        <v/>
      </c>
      <c r="C194" s="391">
        <f>IF(Rechnungsstand!B188="","",Rechnungsstand!C188)</f>
        <v/>
      </c>
      <c r="D194" s="392">
        <f>IF(Rechnungsstand!B188="","",Rechnungsstand!F188)</f>
        <v/>
      </c>
      <c r="E194" s="393">
        <f>IF(D194="","",SUM($D$12:D194))</f>
        <v/>
      </c>
      <c r="F194" s="393">
        <f>IF(D194="","",D194*$B$7)</f>
        <v/>
      </c>
      <c r="G194" s="393">
        <f>IF(D194="","",D194*$B$8)</f>
        <v/>
      </c>
      <c r="H194" s="393">
        <f>IF(D194="","",D194*$B$9)</f>
        <v/>
      </c>
      <c r="I194" s="393">
        <f>IF(D194="","",IF(C194="Abschlagsrechnung",MAX(0,MIN(D194*$E$7,IF($E$8&gt;0,$B$6*$E$8-SUM($I$12:I193),D194*$E$7))),0))</f>
        <v/>
      </c>
      <c r="J194" s="393">
        <f>IF(D194="","",SUM(F194:I194))</f>
        <v/>
      </c>
      <c r="K194" s="393">
        <f>IF(D194="","",D194-J194)</f>
        <v/>
      </c>
      <c r="L194" s="399" t="n"/>
      <c r="M194" s="400" t="n"/>
      <c r="N194" s="401" t="n"/>
      <c r="O194" s="401" t="n"/>
      <c r="P194" s="401" t="n"/>
      <c r="Q194" s="401" t="n"/>
      <c r="R194" s="401" t="n"/>
      <c r="S194" s="393">
        <f>IF(COUNTA(O194:R194)=0,"",SUM(O194:R194))</f>
        <v/>
      </c>
      <c r="T194" s="393">
        <f>IF(N194="","",N194-IF(S194="",0,S194))</f>
        <v/>
      </c>
      <c r="U194" s="402">
        <f>IF(OR(D194="",N194=""),"",N194-D194)</f>
        <v/>
      </c>
      <c r="V194" s="393">
        <f>IF(OR(K194="",T194=""),"",T194-K194)</f>
        <v/>
      </c>
      <c r="W194" s="395" t="n"/>
    </row>
    <row r="195">
      <c r="A195" s="389">
        <f>IF(Rechnungsstand!B189="","",Rechnungsstand!A189)</f>
        <v/>
      </c>
      <c r="B195" s="390">
        <f>IF(Rechnungsstand!B189="","",Rechnungsstand!B189)</f>
        <v/>
      </c>
      <c r="C195" s="391">
        <f>IF(Rechnungsstand!B189="","",Rechnungsstand!C189)</f>
        <v/>
      </c>
      <c r="D195" s="392">
        <f>IF(Rechnungsstand!B189="","",Rechnungsstand!F189)</f>
        <v/>
      </c>
      <c r="E195" s="393">
        <f>IF(D195="","",SUM($D$12:D195))</f>
        <v/>
      </c>
      <c r="F195" s="393">
        <f>IF(D195="","",D195*$B$7)</f>
        <v/>
      </c>
      <c r="G195" s="393">
        <f>IF(D195="","",D195*$B$8)</f>
        <v/>
      </c>
      <c r="H195" s="393">
        <f>IF(D195="","",D195*$B$9)</f>
        <v/>
      </c>
      <c r="I195" s="393">
        <f>IF(D195="","",IF(C195="Abschlagsrechnung",MAX(0,MIN(D195*$E$7,IF($E$8&gt;0,$B$6*$E$8-SUM($I$12:I194),D195*$E$7))),0))</f>
        <v/>
      </c>
      <c r="J195" s="393">
        <f>IF(D195="","",SUM(F195:I195))</f>
        <v/>
      </c>
      <c r="K195" s="393">
        <f>IF(D195="","",D195-J195)</f>
        <v/>
      </c>
      <c r="L195" s="399" t="n"/>
      <c r="M195" s="400" t="n"/>
      <c r="N195" s="401" t="n"/>
      <c r="O195" s="401" t="n"/>
      <c r="P195" s="401" t="n"/>
      <c r="Q195" s="401" t="n"/>
      <c r="R195" s="401" t="n"/>
      <c r="S195" s="393">
        <f>IF(COUNTA(O195:R195)=0,"",SUM(O195:R195))</f>
        <v/>
      </c>
      <c r="T195" s="393">
        <f>IF(N195="","",N195-IF(S195="",0,S195))</f>
        <v/>
      </c>
      <c r="U195" s="402">
        <f>IF(OR(D195="",N195=""),"",N195-D195)</f>
        <v/>
      </c>
      <c r="V195" s="393">
        <f>IF(OR(K195="",T195=""),"",T195-K195)</f>
        <v/>
      </c>
      <c r="W195" s="395" t="n"/>
    </row>
    <row r="196">
      <c r="A196" s="389">
        <f>IF(Rechnungsstand!B190="","",Rechnungsstand!A190)</f>
        <v/>
      </c>
      <c r="B196" s="390">
        <f>IF(Rechnungsstand!B190="","",Rechnungsstand!B190)</f>
        <v/>
      </c>
      <c r="C196" s="391">
        <f>IF(Rechnungsstand!B190="","",Rechnungsstand!C190)</f>
        <v/>
      </c>
      <c r="D196" s="392">
        <f>IF(Rechnungsstand!B190="","",Rechnungsstand!F190)</f>
        <v/>
      </c>
      <c r="E196" s="393">
        <f>IF(D196="","",SUM($D$12:D196))</f>
        <v/>
      </c>
      <c r="F196" s="393">
        <f>IF(D196="","",D196*$B$7)</f>
        <v/>
      </c>
      <c r="G196" s="393">
        <f>IF(D196="","",D196*$B$8)</f>
        <v/>
      </c>
      <c r="H196" s="393">
        <f>IF(D196="","",D196*$B$9)</f>
        <v/>
      </c>
      <c r="I196" s="393">
        <f>IF(D196="","",IF(C196="Abschlagsrechnung",MAX(0,MIN(D196*$E$7,IF($E$8&gt;0,$B$6*$E$8-SUM($I$12:I195),D196*$E$7))),0))</f>
        <v/>
      </c>
      <c r="J196" s="393">
        <f>IF(D196="","",SUM(F196:I196))</f>
        <v/>
      </c>
      <c r="K196" s="393">
        <f>IF(D196="","",D196-J196)</f>
        <v/>
      </c>
      <c r="L196" s="399" t="n"/>
      <c r="M196" s="400" t="n"/>
      <c r="N196" s="401" t="n"/>
      <c r="O196" s="401" t="n"/>
      <c r="P196" s="401" t="n"/>
      <c r="Q196" s="401" t="n"/>
      <c r="R196" s="401" t="n"/>
      <c r="S196" s="393">
        <f>IF(COUNTA(O196:R196)=0,"",SUM(O196:R196))</f>
        <v/>
      </c>
      <c r="T196" s="393">
        <f>IF(N196="","",N196-IF(S196="",0,S196))</f>
        <v/>
      </c>
      <c r="U196" s="402">
        <f>IF(OR(D196="",N196=""),"",N196-D196)</f>
        <v/>
      </c>
      <c r="V196" s="393">
        <f>IF(OR(K196="",T196=""),"",T196-K196)</f>
        <v/>
      </c>
      <c r="W196" s="395" t="n"/>
    </row>
    <row r="197">
      <c r="A197" s="389">
        <f>IF(Rechnungsstand!B191="","",Rechnungsstand!A191)</f>
        <v/>
      </c>
      <c r="B197" s="390">
        <f>IF(Rechnungsstand!B191="","",Rechnungsstand!B191)</f>
        <v/>
      </c>
      <c r="C197" s="391">
        <f>IF(Rechnungsstand!B191="","",Rechnungsstand!C191)</f>
        <v/>
      </c>
      <c r="D197" s="392">
        <f>IF(Rechnungsstand!B191="","",Rechnungsstand!F191)</f>
        <v/>
      </c>
      <c r="E197" s="393">
        <f>IF(D197="","",SUM($D$12:D197))</f>
        <v/>
      </c>
      <c r="F197" s="393">
        <f>IF(D197="","",D197*$B$7)</f>
        <v/>
      </c>
      <c r="G197" s="393">
        <f>IF(D197="","",D197*$B$8)</f>
        <v/>
      </c>
      <c r="H197" s="393">
        <f>IF(D197="","",D197*$B$9)</f>
        <v/>
      </c>
      <c r="I197" s="393">
        <f>IF(D197="","",IF(C197="Abschlagsrechnung",MAX(0,MIN(D197*$E$7,IF($E$8&gt;0,$B$6*$E$8-SUM($I$12:I196),D197*$E$7))),0))</f>
        <v/>
      </c>
      <c r="J197" s="393">
        <f>IF(D197="","",SUM(F197:I197))</f>
        <v/>
      </c>
      <c r="K197" s="393">
        <f>IF(D197="","",D197-J197)</f>
        <v/>
      </c>
      <c r="L197" s="399" t="n"/>
      <c r="M197" s="400" t="n"/>
      <c r="N197" s="401" t="n"/>
      <c r="O197" s="401" t="n"/>
      <c r="P197" s="401" t="n"/>
      <c r="Q197" s="401" t="n"/>
      <c r="R197" s="401" t="n"/>
      <c r="S197" s="393">
        <f>IF(COUNTA(O197:R197)=0,"",SUM(O197:R197))</f>
        <v/>
      </c>
      <c r="T197" s="393">
        <f>IF(N197="","",N197-IF(S197="",0,S197))</f>
        <v/>
      </c>
      <c r="U197" s="402">
        <f>IF(OR(D197="",N197=""),"",N197-D197)</f>
        <v/>
      </c>
      <c r="V197" s="393">
        <f>IF(OR(K197="",T197=""),"",T197-K197)</f>
        <v/>
      </c>
      <c r="W197" s="395" t="n"/>
    </row>
    <row r="198">
      <c r="A198" s="389">
        <f>IF(Rechnungsstand!B192="","",Rechnungsstand!A192)</f>
        <v/>
      </c>
      <c r="B198" s="390">
        <f>IF(Rechnungsstand!B192="","",Rechnungsstand!B192)</f>
        <v/>
      </c>
      <c r="C198" s="391">
        <f>IF(Rechnungsstand!B192="","",Rechnungsstand!C192)</f>
        <v/>
      </c>
      <c r="D198" s="392">
        <f>IF(Rechnungsstand!B192="","",Rechnungsstand!F192)</f>
        <v/>
      </c>
      <c r="E198" s="393">
        <f>IF(D198="","",SUM($D$12:D198))</f>
        <v/>
      </c>
      <c r="F198" s="393">
        <f>IF(D198="","",D198*$B$7)</f>
        <v/>
      </c>
      <c r="G198" s="393">
        <f>IF(D198="","",D198*$B$8)</f>
        <v/>
      </c>
      <c r="H198" s="393">
        <f>IF(D198="","",D198*$B$9)</f>
        <v/>
      </c>
      <c r="I198" s="393">
        <f>IF(D198="","",IF(C198="Abschlagsrechnung",MAX(0,MIN(D198*$E$7,IF($E$8&gt;0,$B$6*$E$8-SUM($I$12:I197),D198*$E$7))),0))</f>
        <v/>
      </c>
      <c r="J198" s="393">
        <f>IF(D198="","",SUM(F198:I198))</f>
        <v/>
      </c>
      <c r="K198" s="393">
        <f>IF(D198="","",D198-J198)</f>
        <v/>
      </c>
      <c r="L198" s="399" t="n"/>
      <c r="M198" s="400" t="n"/>
      <c r="N198" s="401" t="n"/>
      <c r="O198" s="401" t="n"/>
      <c r="P198" s="401" t="n"/>
      <c r="Q198" s="401" t="n"/>
      <c r="R198" s="401" t="n"/>
      <c r="S198" s="393">
        <f>IF(COUNTA(O198:R198)=0,"",SUM(O198:R198))</f>
        <v/>
      </c>
      <c r="T198" s="393">
        <f>IF(N198="","",N198-IF(S198="",0,S198))</f>
        <v/>
      </c>
      <c r="U198" s="402">
        <f>IF(OR(D198="",N198=""),"",N198-D198)</f>
        <v/>
      </c>
      <c r="V198" s="393">
        <f>IF(OR(K198="",T198=""),"",T198-K198)</f>
        <v/>
      </c>
      <c r="W198" s="395" t="n"/>
    </row>
    <row r="199">
      <c r="A199" s="389">
        <f>IF(Rechnungsstand!B193="","",Rechnungsstand!A193)</f>
        <v/>
      </c>
      <c r="B199" s="390">
        <f>IF(Rechnungsstand!B193="","",Rechnungsstand!B193)</f>
        <v/>
      </c>
      <c r="C199" s="391">
        <f>IF(Rechnungsstand!B193="","",Rechnungsstand!C193)</f>
        <v/>
      </c>
      <c r="D199" s="392">
        <f>IF(Rechnungsstand!B193="","",Rechnungsstand!F193)</f>
        <v/>
      </c>
      <c r="E199" s="393">
        <f>IF(D199="","",SUM($D$12:D199))</f>
        <v/>
      </c>
      <c r="F199" s="393">
        <f>IF(D199="","",D199*$B$7)</f>
        <v/>
      </c>
      <c r="G199" s="393">
        <f>IF(D199="","",D199*$B$8)</f>
        <v/>
      </c>
      <c r="H199" s="393">
        <f>IF(D199="","",D199*$B$9)</f>
        <v/>
      </c>
      <c r="I199" s="393">
        <f>IF(D199="","",IF(C199="Abschlagsrechnung",MAX(0,MIN(D199*$E$7,IF($E$8&gt;0,$B$6*$E$8-SUM($I$12:I198),D199*$E$7))),0))</f>
        <v/>
      </c>
      <c r="J199" s="393">
        <f>IF(D199="","",SUM(F199:I199))</f>
        <v/>
      </c>
      <c r="K199" s="393">
        <f>IF(D199="","",D199-J199)</f>
        <v/>
      </c>
      <c r="L199" s="399" t="n"/>
      <c r="M199" s="400" t="n"/>
      <c r="N199" s="401" t="n"/>
      <c r="O199" s="401" t="n"/>
      <c r="P199" s="401" t="n"/>
      <c r="Q199" s="401" t="n"/>
      <c r="R199" s="401" t="n"/>
      <c r="S199" s="393">
        <f>IF(COUNTA(O199:R199)=0,"",SUM(O199:R199))</f>
        <v/>
      </c>
      <c r="T199" s="393">
        <f>IF(N199="","",N199-IF(S199="",0,S199))</f>
        <v/>
      </c>
      <c r="U199" s="402">
        <f>IF(OR(D199="",N199=""),"",N199-D199)</f>
        <v/>
      </c>
      <c r="V199" s="393">
        <f>IF(OR(K199="",T199=""),"",T199-K199)</f>
        <v/>
      </c>
      <c r="W199" s="395" t="n"/>
    </row>
    <row r="200">
      <c r="A200" s="389">
        <f>IF(Rechnungsstand!B194="","",Rechnungsstand!A194)</f>
        <v/>
      </c>
      <c r="B200" s="390">
        <f>IF(Rechnungsstand!B194="","",Rechnungsstand!B194)</f>
        <v/>
      </c>
      <c r="C200" s="391">
        <f>IF(Rechnungsstand!B194="","",Rechnungsstand!C194)</f>
        <v/>
      </c>
      <c r="D200" s="392">
        <f>IF(Rechnungsstand!B194="","",Rechnungsstand!F194)</f>
        <v/>
      </c>
      <c r="E200" s="393">
        <f>IF(D200="","",SUM($D$12:D200))</f>
        <v/>
      </c>
      <c r="F200" s="393">
        <f>IF(D200="","",D200*$B$7)</f>
        <v/>
      </c>
      <c r="G200" s="393">
        <f>IF(D200="","",D200*$B$8)</f>
        <v/>
      </c>
      <c r="H200" s="393">
        <f>IF(D200="","",D200*$B$9)</f>
        <v/>
      </c>
      <c r="I200" s="393">
        <f>IF(D200="","",IF(C200="Abschlagsrechnung",MAX(0,MIN(D200*$E$7,IF($E$8&gt;0,$B$6*$E$8-SUM($I$12:I199),D200*$E$7))),0))</f>
        <v/>
      </c>
      <c r="J200" s="393">
        <f>IF(D200="","",SUM(F200:I200))</f>
        <v/>
      </c>
      <c r="K200" s="393">
        <f>IF(D200="","",D200-J200)</f>
        <v/>
      </c>
      <c r="L200" s="399" t="n"/>
      <c r="M200" s="400" t="n"/>
      <c r="N200" s="401" t="n"/>
      <c r="O200" s="401" t="n"/>
      <c r="P200" s="401" t="n"/>
      <c r="Q200" s="401" t="n"/>
      <c r="R200" s="401" t="n"/>
      <c r="S200" s="393">
        <f>IF(COUNTA(O200:R200)=0,"",SUM(O200:R200))</f>
        <v/>
      </c>
      <c r="T200" s="393">
        <f>IF(N200="","",N200-IF(S200="",0,S200))</f>
        <v/>
      </c>
      <c r="U200" s="402">
        <f>IF(OR(D200="",N200=""),"",N200-D200)</f>
        <v/>
      </c>
      <c r="V200" s="393">
        <f>IF(OR(K200="",T200=""),"",T200-K200)</f>
        <v/>
      </c>
      <c r="W200" s="395" t="n"/>
    </row>
    <row r="201">
      <c r="A201" s="389">
        <f>IF(Rechnungsstand!B195="","",Rechnungsstand!A195)</f>
        <v/>
      </c>
      <c r="B201" s="390">
        <f>IF(Rechnungsstand!B195="","",Rechnungsstand!B195)</f>
        <v/>
      </c>
      <c r="C201" s="391">
        <f>IF(Rechnungsstand!B195="","",Rechnungsstand!C195)</f>
        <v/>
      </c>
      <c r="D201" s="392">
        <f>IF(Rechnungsstand!B195="","",Rechnungsstand!F195)</f>
        <v/>
      </c>
      <c r="E201" s="393">
        <f>IF(D201="","",SUM($D$12:D201))</f>
        <v/>
      </c>
      <c r="F201" s="393">
        <f>IF(D201="","",D201*$B$7)</f>
        <v/>
      </c>
      <c r="G201" s="393">
        <f>IF(D201="","",D201*$B$8)</f>
        <v/>
      </c>
      <c r="H201" s="393">
        <f>IF(D201="","",D201*$B$9)</f>
        <v/>
      </c>
      <c r="I201" s="393">
        <f>IF(D201="","",IF(C201="Abschlagsrechnung",MAX(0,MIN(D201*$E$7,IF($E$8&gt;0,$B$6*$E$8-SUM($I$12:I200),D201*$E$7))),0))</f>
        <v/>
      </c>
      <c r="J201" s="393">
        <f>IF(D201="","",SUM(F201:I201))</f>
        <v/>
      </c>
      <c r="K201" s="393">
        <f>IF(D201="","",D201-J201)</f>
        <v/>
      </c>
      <c r="L201" s="399" t="n"/>
      <c r="M201" s="400" t="n"/>
      <c r="N201" s="401" t="n"/>
      <c r="O201" s="401" t="n"/>
      <c r="P201" s="401" t="n"/>
      <c r="Q201" s="401" t="n"/>
      <c r="R201" s="401" t="n"/>
      <c r="S201" s="393">
        <f>IF(COUNTA(O201:R201)=0,"",SUM(O201:R201))</f>
        <v/>
      </c>
      <c r="T201" s="393">
        <f>IF(N201="","",N201-IF(S201="",0,S201))</f>
        <v/>
      </c>
      <c r="U201" s="402">
        <f>IF(OR(D201="",N201=""),"",N201-D201)</f>
        <v/>
      </c>
      <c r="V201" s="393">
        <f>IF(OR(K201="",T201=""),"",T201-K201)</f>
        <v/>
      </c>
      <c r="W201" s="395" t="n"/>
    </row>
    <row r="202">
      <c r="A202" s="389">
        <f>IF(Rechnungsstand!B196="","",Rechnungsstand!A196)</f>
        <v/>
      </c>
      <c r="B202" s="390">
        <f>IF(Rechnungsstand!B196="","",Rechnungsstand!B196)</f>
        <v/>
      </c>
      <c r="C202" s="391">
        <f>IF(Rechnungsstand!B196="","",Rechnungsstand!C196)</f>
        <v/>
      </c>
      <c r="D202" s="392">
        <f>IF(Rechnungsstand!B196="","",Rechnungsstand!F196)</f>
        <v/>
      </c>
      <c r="E202" s="393">
        <f>IF(D202="","",SUM($D$12:D202))</f>
        <v/>
      </c>
      <c r="F202" s="393">
        <f>IF(D202="","",D202*$B$7)</f>
        <v/>
      </c>
      <c r="G202" s="393">
        <f>IF(D202="","",D202*$B$8)</f>
        <v/>
      </c>
      <c r="H202" s="393">
        <f>IF(D202="","",D202*$B$9)</f>
        <v/>
      </c>
      <c r="I202" s="393">
        <f>IF(D202="","",IF(C202="Abschlagsrechnung",MAX(0,MIN(D202*$E$7,IF($E$8&gt;0,$B$6*$E$8-SUM($I$12:I201),D202*$E$7))),0))</f>
        <v/>
      </c>
      <c r="J202" s="393">
        <f>IF(D202="","",SUM(F202:I202))</f>
        <v/>
      </c>
      <c r="K202" s="393">
        <f>IF(D202="","",D202-J202)</f>
        <v/>
      </c>
      <c r="L202" s="399" t="n"/>
      <c r="M202" s="400" t="n"/>
      <c r="N202" s="401" t="n"/>
      <c r="O202" s="401" t="n"/>
      <c r="P202" s="401" t="n"/>
      <c r="Q202" s="401" t="n"/>
      <c r="R202" s="401" t="n"/>
      <c r="S202" s="393">
        <f>IF(COUNTA(O202:R202)=0,"",SUM(O202:R202))</f>
        <v/>
      </c>
      <c r="T202" s="393">
        <f>IF(N202="","",N202-IF(S202="",0,S202))</f>
        <v/>
      </c>
      <c r="U202" s="402">
        <f>IF(OR(D202="",N202=""),"",N202-D202)</f>
        <v/>
      </c>
      <c r="V202" s="393">
        <f>IF(OR(K202="",T202=""),"",T202-K202)</f>
        <v/>
      </c>
      <c r="W202" s="395" t="n"/>
    </row>
    <row r="203">
      <c r="A203" s="389">
        <f>IF(Rechnungsstand!B197="","",Rechnungsstand!A197)</f>
        <v/>
      </c>
      <c r="B203" s="390">
        <f>IF(Rechnungsstand!B197="","",Rechnungsstand!B197)</f>
        <v/>
      </c>
      <c r="C203" s="391">
        <f>IF(Rechnungsstand!B197="","",Rechnungsstand!C197)</f>
        <v/>
      </c>
      <c r="D203" s="392">
        <f>IF(Rechnungsstand!B197="","",Rechnungsstand!F197)</f>
        <v/>
      </c>
      <c r="E203" s="393">
        <f>IF(D203="","",SUM($D$12:D203))</f>
        <v/>
      </c>
      <c r="F203" s="393">
        <f>IF(D203="","",D203*$B$7)</f>
        <v/>
      </c>
      <c r="G203" s="393">
        <f>IF(D203="","",D203*$B$8)</f>
        <v/>
      </c>
      <c r="H203" s="393">
        <f>IF(D203="","",D203*$B$9)</f>
        <v/>
      </c>
      <c r="I203" s="393">
        <f>IF(D203="","",IF(C203="Abschlagsrechnung",MAX(0,MIN(D203*$E$7,IF($E$8&gt;0,$B$6*$E$8-SUM($I$12:I202),D203*$E$7))),0))</f>
        <v/>
      </c>
      <c r="J203" s="393">
        <f>IF(D203="","",SUM(F203:I203))</f>
        <v/>
      </c>
      <c r="K203" s="393">
        <f>IF(D203="","",D203-J203)</f>
        <v/>
      </c>
      <c r="L203" s="399" t="n"/>
      <c r="M203" s="400" t="n"/>
      <c r="N203" s="401" t="n"/>
      <c r="O203" s="401" t="n"/>
      <c r="P203" s="401" t="n"/>
      <c r="Q203" s="401" t="n"/>
      <c r="R203" s="401" t="n"/>
      <c r="S203" s="393">
        <f>IF(COUNTA(O203:R203)=0,"",SUM(O203:R203))</f>
        <v/>
      </c>
      <c r="T203" s="393">
        <f>IF(N203="","",N203-IF(S203="",0,S203))</f>
        <v/>
      </c>
      <c r="U203" s="402">
        <f>IF(OR(D203="",N203=""),"",N203-D203)</f>
        <v/>
      </c>
      <c r="V203" s="393">
        <f>IF(OR(K203="",T203=""),"",T203-K203)</f>
        <v/>
      </c>
      <c r="W203" s="395" t="n"/>
    </row>
    <row r="204">
      <c r="A204" s="389">
        <f>IF(Rechnungsstand!B198="","",Rechnungsstand!A198)</f>
        <v/>
      </c>
      <c r="B204" s="390">
        <f>IF(Rechnungsstand!B198="","",Rechnungsstand!B198)</f>
        <v/>
      </c>
      <c r="C204" s="391">
        <f>IF(Rechnungsstand!B198="","",Rechnungsstand!C198)</f>
        <v/>
      </c>
      <c r="D204" s="392">
        <f>IF(Rechnungsstand!B198="","",Rechnungsstand!F198)</f>
        <v/>
      </c>
      <c r="E204" s="393">
        <f>IF(D204="","",SUM($D$12:D204))</f>
        <v/>
      </c>
      <c r="F204" s="393">
        <f>IF(D204="","",D204*$B$7)</f>
        <v/>
      </c>
      <c r="G204" s="393">
        <f>IF(D204="","",D204*$B$8)</f>
        <v/>
      </c>
      <c r="H204" s="393">
        <f>IF(D204="","",D204*$B$9)</f>
        <v/>
      </c>
      <c r="I204" s="393">
        <f>IF(D204="","",IF(C204="Abschlagsrechnung",MAX(0,MIN(D204*$E$7,IF($E$8&gt;0,$B$6*$E$8-SUM($I$12:I203),D204*$E$7))),0))</f>
        <v/>
      </c>
      <c r="J204" s="393">
        <f>IF(D204="","",SUM(F204:I204))</f>
        <v/>
      </c>
      <c r="K204" s="393">
        <f>IF(D204="","",D204-J204)</f>
        <v/>
      </c>
      <c r="L204" s="399" t="n"/>
      <c r="M204" s="400" t="n"/>
      <c r="N204" s="401" t="n"/>
      <c r="O204" s="401" t="n"/>
      <c r="P204" s="401" t="n"/>
      <c r="Q204" s="401" t="n"/>
      <c r="R204" s="401" t="n"/>
      <c r="S204" s="393">
        <f>IF(COUNTA(O204:R204)=0,"",SUM(O204:R204))</f>
        <v/>
      </c>
      <c r="T204" s="393">
        <f>IF(N204="","",N204-IF(S204="",0,S204))</f>
        <v/>
      </c>
      <c r="U204" s="402">
        <f>IF(OR(D204="",N204=""),"",N204-D204)</f>
        <v/>
      </c>
      <c r="V204" s="393">
        <f>IF(OR(K204="",T204=""),"",T204-K204)</f>
        <v/>
      </c>
      <c r="W204" s="395" t="n"/>
    </row>
    <row r="205">
      <c r="A205" s="389">
        <f>IF(Rechnungsstand!B199="","",Rechnungsstand!A199)</f>
        <v/>
      </c>
      <c r="B205" s="390">
        <f>IF(Rechnungsstand!B199="","",Rechnungsstand!B199)</f>
        <v/>
      </c>
      <c r="C205" s="391">
        <f>IF(Rechnungsstand!B199="","",Rechnungsstand!C199)</f>
        <v/>
      </c>
      <c r="D205" s="392">
        <f>IF(Rechnungsstand!B199="","",Rechnungsstand!F199)</f>
        <v/>
      </c>
      <c r="E205" s="393">
        <f>IF(D205="","",SUM($D$12:D205))</f>
        <v/>
      </c>
      <c r="F205" s="393">
        <f>IF(D205="","",D205*$B$7)</f>
        <v/>
      </c>
      <c r="G205" s="393">
        <f>IF(D205="","",D205*$B$8)</f>
        <v/>
      </c>
      <c r="H205" s="393">
        <f>IF(D205="","",D205*$B$9)</f>
        <v/>
      </c>
      <c r="I205" s="393">
        <f>IF(D205="","",IF(C205="Abschlagsrechnung",MAX(0,MIN(D205*$E$7,IF($E$8&gt;0,$B$6*$E$8-SUM($I$12:I204),D205*$E$7))),0))</f>
        <v/>
      </c>
      <c r="J205" s="393">
        <f>IF(D205="","",SUM(F205:I205))</f>
        <v/>
      </c>
      <c r="K205" s="393">
        <f>IF(D205="","",D205-J205)</f>
        <v/>
      </c>
      <c r="L205" s="399" t="n"/>
      <c r="M205" s="400" t="n"/>
      <c r="N205" s="401" t="n"/>
      <c r="O205" s="401" t="n"/>
      <c r="P205" s="401" t="n"/>
      <c r="Q205" s="401" t="n"/>
      <c r="R205" s="401" t="n"/>
      <c r="S205" s="393">
        <f>IF(COUNTA(O205:R205)=0,"",SUM(O205:R205))</f>
        <v/>
      </c>
      <c r="T205" s="393">
        <f>IF(N205="","",N205-IF(S205="",0,S205))</f>
        <v/>
      </c>
      <c r="U205" s="402">
        <f>IF(OR(D205="",N205=""),"",N205-D205)</f>
        <v/>
      </c>
      <c r="V205" s="393">
        <f>IF(OR(K205="",T205=""),"",T205-K205)</f>
        <v/>
      </c>
      <c r="W205" s="395" t="n"/>
    </row>
    <row r="206">
      <c r="A206" s="389">
        <f>IF(Rechnungsstand!B200="","",Rechnungsstand!A200)</f>
        <v/>
      </c>
      <c r="B206" s="390">
        <f>IF(Rechnungsstand!B200="","",Rechnungsstand!B200)</f>
        <v/>
      </c>
      <c r="C206" s="391">
        <f>IF(Rechnungsstand!B200="","",Rechnungsstand!C200)</f>
        <v/>
      </c>
      <c r="D206" s="392">
        <f>IF(Rechnungsstand!B200="","",Rechnungsstand!F200)</f>
        <v/>
      </c>
      <c r="E206" s="393">
        <f>IF(D206="","",SUM($D$12:D206))</f>
        <v/>
      </c>
      <c r="F206" s="393">
        <f>IF(D206="","",D206*$B$7)</f>
        <v/>
      </c>
      <c r="G206" s="393">
        <f>IF(D206="","",D206*$B$8)</f>
        <v/>
      </c>
      <c r="H206" s="393">
        <f>IF(D206="","",D206*$B$9)</f>
        <v/>
      </c>
      <c r="I206" s="393">
        <f>IF(D206="","",IF(C206="Abschlagsrechnung",MAX(0,MIN(D206*$E$7,IF($E$8&gt;0,$B$6*$E$8-SUM($I$12:I205),D206*$E$7))),0))</f>
        <v/>
      </c>
      <c r="J206" s="393">
        <f>IF(D206="","",SUM(F206:I206))</f>
        <v/>
      </c>
      <c r="K206" s="393">
        <f>IF(D206="","",D206-J206)</f>
        <v/>
      </c>
      <c r="L206" s="399" t="n"/>
      <c r="M206" s="400" t="n"/>
      <c r="N206" s="401" t="n"/>
      <c r="O206" s="401" t="n"/>
      <c r="P206" s="401" t="n"/>
      <c r="Q206" s="401" t="n"/>
      <c r="R206" s="401" t="n"/>
      <c r="S206" s="393">
        <f>IF(COUNTA(O206:R206)=0,"",SUM(O206:R206))</f>
        <v/>
      </c>
      <c r="T206" s="393">
        <f>IF(N206="","",N206-IF(S206="",0,S206))</f>
        <v/>
      </c>
      <c r="U206" s="402">
        <f>IF(OR(D206="",N206=""),"",N206-D206)</f>
        <v/>
      </c>
      <c r="V206" s="393">
        <f>IF(OR(K206="",T206=""),"",T206-K206)</f>
        <v/>
      </c>
      <c r="W206" s="395" t="n"/>
    </row>
    <row r="207">
      <c r="A207" s="389">
        <f>IF(Rechnungsstand!B201="","",Rechnungsstand!A201)</f>
        <v/>
      </c>
      <c r="B207" s="390">
        <f>IF(Rechnungsstand!B201="","",Rechnungsstand!B201)</f>
        <v/>
      </c>
      <c r="C207" s="391">
        <f>IF(Rechnungsstand!B201="","",Rechnungsstand!C201)</f>
        <v/>
      </c>
      <c r="D207" s="392">
        <f>IF(Rechnungsstand!B201="","",Rechnungsstand!F201)</f>
        <v/>
      </c>
      <c r="E207" s="393">
        <f>IF(D207="","",SUM($D$12:D207))</f>
        <v/>
      </c>
      <c r="F207" s="393">
        <f>IF(D207="","",D207*$B$7)</f>
        <v/>
      </c>
      <c r="G207" s="393">
        <f>IF(D207="","",D207*$B$8)</f>
        <v/>
      </c>
      <c r="H207" s="393">
        <f>IF(D207="","",D207*$B$9)</f>
        <v/>
      </c>
      <c r="I207" s="393">
        <f>IF(D207="","",IF(C207="Abschlagsrechnung",MAX(0,MIN(D207*$E$7,IF($E$8&gt;0,$B$6*$E$8-SUM($I$12:I206),D207*$E$7))),0))</f>
        <v/>
      </c>
      <c r="J207" s="393">
        <f>IF(D207="","",SUM(F207:I207))</f>
        <v/>
      </c>
      <c r="K207" s="393">
        <f>IF(D207="","",D207-J207)</f>
        <v/>
      </c>
      <c r="L207" s="399" t="n"/>
      <c r="M207" s="400" t="n"/>
      <c r="N207" s="401" t="n"/>
      <c r="O207" s="401" t="n"/>
      <c r="P207" s="401" t="n"/>
      <c r="Q207" s="401" t="n"/>
      <c r="R207" s="401" t="n"/>
      <c r="S207" s="393">
        <f>IF(COUNTA(O207:R207)=0,"",SUM(O207:R207))</f>
        <v/>
      </c>
      <c r="T207" s="393">
        <f>IF(N207="","",N207-IF(S207="",0,S207))</f>
        <v/>
      </c>
      <c r="U207" s="402">
        <f>IF(OR(D207="",N207=""),"",N207-D207)</f>
        <v/>
      </c>
      <c r="V207" s="393">
        <f>IF(OR(K207="",T207=""),"",T207-K207)</f>
        <v/>
      </c>
      <c r="W207" s="395" t="n"/>
    </row>
    <row r="208">
      <c r="A208" s="389">
        <f>IF(Rechnungsstand!B202="","",Rechnungsstand!A202)</f>
        <v/>
      </c>
      <c r="B208" s="390">
        <f>IF(Rechnungsstand!B202="","",Rechnungsstand!B202)</f>
        <v/>
      </c>
      <c r="C208" s="391">
        <f>IF(Rechnungsstand!B202="","",Rechnungsstand!C202)</f>
        <v/>
      </c>
      <c r="D208" s="392">
        <f>IF(Rechnungsstand!B202="","",Rechnungsstand!F202)</f>
        <v/>
      </c>
      <c r="E208" s="393">
        <f>IF(D208="","",SUM($D$12:D208))</f>
        <v/>
      </c>
      <c r="F208" s="393">
        <f>IF(D208="","",D208*$B$7)</f>
        <v/>
      </c>
      <c r="G208" s="393">
        <f>IF(D208="","",D208*$B$8)</f>
        <v/>
      </c>
      <c r="H208" s="393">
        <f>IF(D208="","",D208*$B$9)</f>
        <v/>
      </c>
      <c r="I208" s="393">
        <f>IF(D208="","",IF(C208="Abschlagsrechnung",MAX(0,MIN(D208*$E$7,IF($E$8&gt;0,$B$6*$E$8-SUM($I$12:I207),D208*$E$7))),0))</f>
        <v/>
      </c>
      <c r="J208" s="393">
        <f>IF(D208="","",SUM(F208:I208))</f>
        <v/>
      </c>
      <c r="K208" s="393">
        <f>IF(D208="","",D208-J208)</f>
        <v/>
      </c>
      <c r="L208" s="399" t="n"/>
      <c r="M208" s="400" t="n"/>
      <c r="N208" s="401" t="n"/>
      <c r="O208" s="401" t="n"/>
      <c r="P208" s="401" t="n"/>
      <c r="Q208" s="401" t="n"/>
      <c r="R208" s="401" t="n"/>
      <c r="S208" s="393">
        <f>IF(COUNTA(O208:R208)=0,"",SUM(O208:R208))</f>
        <v/>
      </c>
      <c r="T208" s="393">
        <f>IF(N208="","",N208-IF(S208="",0,S208))</f>
        <v/>
      </c>
      <c r="U208" s="402">
        <f>IF(OR(D208="",N208=""),"",N208-D208)</f>
        <v/>
      </c>
      <c r="V208" s="393">
        <f>IF(OR(K208="",T208=""),"",T208-K208)</f>
        <v/>
      </c>
      <c r="W208" s="395" t="n"/>
    </row>
    <row r="209">
      <c r="A209" s="389">
        <f>IF(Rechnungsstand!B203="","",Rechnungsstand!A203)</f>
        <v/>
      </c>
      <c r="B209" s="390">
        <f>IF(Rechnungsstand!B203="","",Rechnungsstand!B203)</f>
        <v/>
      </c>
      <c r="C209" s="391">
        <f>IF(Rechnungsstand!B203="","",Rechnungsstand!C203)</f>
        <v/>
      </c>
      <c r="D209" s="392">
        <f>IF(Rechnungsstand!B203="","",Rechnungsstand!F203)</f>
        <v/>
      </c>
      <c r="E209" s="393">
        <f>IF(D209="","",SUM($D$12:D209))</f>
        <v/>
      </c>
      <c r="F209" s="393">
        <f>IF(D209="","",D209*$B$7)</f>
        <v/>
      </c>
      <c r="G209" s="393">
        <f>IF(D209="","",D209*$B$8)</f>
        <v/>
      </c>
      <c r="H209" s="393">
        <f>IF(D209="","",D209*$B$9)</f>
        <v/>
      </c>
      <c r="I209" s="393">
        <f>IF(D209="","",IF(C209="Abschlagsrechnung",MAX(0,MIN(D209*$E$7,IF($E$8&gt;0,$B$6*$E$8-SUM($I$12:I208),D209*$E$7))),0))</f>
        <v/>
      </c>
      <c r="J209" s="393">
        <f>IF(D209="","",SUM(F209:I209))</f>
        <v/>
      </c>
      <c r="K209" s="393">
        <f>IF(D209="","",D209-J209)</f>
        <v/>
      </c>
      <c r="L209" s="399" t="n"/>
      <c r="M209" s="400" t="n"/>
      <c r="N209" s="401" t="n"/>
      <c r="O209" s="401" t="n"/>
      <c r="P209" s="401" t="n"/>
      <c r="Q209" s="401" t="n"/>
      <c r="R209" s="401" t="n"/>
      <c r="S209" s="393">
        <f>IF(COUNTA(O209:R209)=0,"",SUM(O209:R209))</f>
        <v/>
      </c>
      <c r="T209" s="393">
        <f>IF(N209="","",N209-IF(S209="",0,S209))</f>
        <v/>
      </c>
      <c r="U209" s="402">
        <f>IF(OR(D209="",N209=""),"",N209-D209)</f>
        <v/>
      </c>
      <c r="V209" s="393">
        <f>IF(OR(K209="",T209=""),"",T209-K209)</f>
        <v/>
      </c>
      <c r="W209" s="395" t="n"/>
    </row>
    <row r="210">
      <c r="A210" s="389">
        <f>IF(Rechnungsstand!B204="","",Rechnungsstand!A204)</f>
        <v/>
      </c>
      <c r="B210" s="390">
        <f>IF(Rechnungsstand!B204="","",Rechnungsstand!B204)</f>
        <v/>
      </c>
      <c r="C210" s="391">
        <f>IF(Rechnungsstand!B204="","",Rechnungsstand!C204)</f>
        <v/>
      </c>
      <c r="D210" s="392">
        <f>IF(Rechnungsstand!B204="","",Rechnungsstand!F204)</f>
        <v/>
      </c>
      <c r="E210" s="393">
        <f>IF(D210="","",SUM($D$12:D210))</f>
        <v/>
      </c>
      <c r="F210" s="393">
        <f>IF(D210="","",D210*$B$7)</f>
        <v/>
      </c>
      <c r="G210" s="393">
        <f>IF(D210="","",D210*$B$8)</f>
        <v/>
      </c>
      <c r="H210" s="393">
        <f>IF(D210="","",D210*$B$9)</f>
        <v/>
      </c>
      <c r="I210" s="393">
        <f>IF(D210="","",IF(C210="Abschlagsrechnung",MAX(0,MIN(D210*$E$7,IF($E$8&gt;0,$B$6*$E$8-SUM($I$12:I209),D210*$E$7))),0))</f>
        <v/>
      </c>
      <c r="J210" s="393">
        <f>IF(D210="","",SUM(F210:I210))</f>
        <v/>
      </c>
      <c r="K210" s="393">
        <f>IF(D210="","",D210-J210)</f>
        <v/>
      </c>
      <c r="L210" s="399" t="n"/>
      <c r="M210" s="400" t="n"/>
      <c r="N210" s="401" t="n"/>
      <c r="O210" s="401" t="n"/>
      <c r="P210" s="401" t="n"/>
      <c r="Q210" s="401" t="n"/>
      <c r="R210" s="401" t="n"/>
      <c r="S210" s="393">
        <f>IF(COUNTA(O210:R210)=0,"",SUM(O210:R210))</f>
        <v/>
      </c>
      <c r="T210" s="393">
        <f>IF(N210="","",N210-IF(S210="",0,S210))</f>
        <v/>
      </c>
      <c r="U210" s="402">
        <f>IF(OR(D210="",N210=""),"",N210-D210)</f>
        <v/>
      </c>
      <c r="V210" s="393">
        <f>IF(OR(K210="",T210=""),"",T210-K210)</f>
        <v/>
      </c>
      <c r="W210" s="395" t="n"/>
    </row>
    <row r="211">
      <c r="A211" s="389">
        <f>IF(Rechnungsstand!B205="","",Rechnungsstand!A205)</f>
        <v/>
      </c>
      <c r="B211" s="390">
        <f>IF(Rechnungsstand!B205="","",Rechnungsstand!B205)</f>
        <v/>
      </c>
      <c r="C211" s="391">
        <f>IF(Rechnungsstand!B205="","",Rechnungsstand!C205)</f>
        <v/>
      </c>
      <c r="D211" s="392">
        <f>IF(Rechnungsstand!B205="","",Rechnungsstand!F205)</f>
        <v/>
      </c>
      <c r="E211" s="393">
        <f>IF(D211="","",SUM($D$12:D211))</f>
        <v/>
      </c>
      <c r="F211" s="393">
        <f>IF(D211="","",D211*$B$7)</f>
        <v/>
      </c>
      <c r="G211" s="393">
        <f>IF(D211="","",D211*$B$8)</f>
        <v/>
      </c>
      <c r="H211" s="393">
        <f>IF(D211="","",D211*$B$9)</f>
        <v/>
      </c>
      <c r="I211" s="393">
        <f>IF(D211="","",IF(C211="Abschlagsrechnung",MAX(0,MIN(D211*$E$7,IF($E$8&gt;0,$B$6*$E$8-SUM($I$12:I210),D211*$E$7))),0))</f>
        <v/>
      </c>
      <c r="J211" s="393">
        <f>IF(D211="","",SUM(F211:I211))</f>
        <v/>
      </c>
      <c r="K211" s="393">
        <f>IF(D211="","",D211-J211)</f>
        <v/>
      </c>
      <c r="L211" s="399" t="n"/>
      <c r="M211" s="400" t="n"/>
      <c r="N211" s="401" t="n"/>
      <c r="O211" s="401" t="n"/>
      <c r="P211" s="401" t="n"/>
      <c r="Q211" s="401" t="n"/>
      <c r="R211" s="401" t="n"/>
      <c r="S211" s="393">
        <f>IF(COUNTA(O211:R211)=0,"",SUM(O211:R211))</f>
        <v/>
      </c>
      <c r="T211" s="393">
        <f>IF(N211="","",N211-IF(S211="",0,S211))</f>
        <v/>
      </c>
      <c r="U211" s="402">
        <f>IF(OR(D211="",N211=""),"",N211-D211)</f>
        <v/>
      </c>
      <c r="V211" s="393">
        <f>IF(OR(K211="",T211=""),"",T211-K211)</f>
        <v/>
      </c>
      <c r="W211" s="395" t="n"/>
    </row>
    <row r="212">
      <c r="A212" s="389">
        <f>IF(Rechnungsstand!B206="","",Rechnungsstand!A206)</f>
        <v/>
      </c>
      <c r="B212" s="390">
        <f>IF(Rechnungsstand!B206="","",Rechnungsstand!B206)</f>
        <v/>
      </c>
      <c r="C212" s="391">
        <f>IF(Rechnungsstand!B206="","",Rechnungsstand!C206)</f>
        <v/>
      </c>
      <c r="D212" s="392">
        <f>IF(Rechnungsstand!B206="","",Rechnungsstand!F206)</f>
        <v/>
      </c>
      <c r="E212" s="393">
        <f>IF(D212="","",SUM($D$12:D212))</f>
        <v/>
      </c>
      <c r="F212" s="393">
        <f>IF(D212="","",D212*$B$7)</f>
        <v/>
      </c>
      <c r="G212" s="393">
        <f>IF(D212="","",D212*$B$8)</f>
        <v/>
      </c>
      <c r="H212" s="393">
        <f>IF(D212="","",D212*$B$9)</f>
        <v/>
      </c>
      <c r="I212" s="393">
        <f>IF(D212="","",IF(C212="Abschlagsrechnung",MAX(0,MIN(D212*$E$7,IF($E$8&gt;0,$B$6*$E$8-SUM($I$12:I211),D212*$E$7))),0))</f>
        <v/>
      </c>
      <c r="J212" s="393">
        <f>IF(D212="","",SUM(F212:I212))</f>
        <v/>
      </c>
      <c r="K212" s="393">
        <f>IF(D212="","",D212-J212)</f>
        <v/>
      </c>
      <c r="L212" s="399" t="n"/>
      <c r="M212" s="400" t="n"/>
      <c r="N212" s="401" t="n"/>
      <c r="O212" s="401" t="n"/>
      <c r="P212" s="401" t="n"/>
      <c r="Q212" s="401" t="n"/>
      <c r="R212" s="401" t="n"/>
      <c r="S212" s="393">
        <f>IF(COUNTA(O212:R212)=0,"",SUM(O212:R212))</f>
        <v/>
      </c>
      <c r="T212" s="393">
        <f>IF(N212="","",N212-IF(S212="",0,S212))</f>
        <v/>
      </c>
      <c r="U212" s="402">
        <f>IF(OR(D212="",N212=""),"",N212-D212)</f>
        <v/>
      </c>
      <c r="V212" s="393">
        <f>IF(OR(K212="",T212=""),"",T212-K212)</f>
        <v/>
      </c>
      <c r="W212" s="395" t="n"/>
    </row>
    <row r="213">
      <c r="A213" s="389">
        <f>IF(Rechnungsstand!B207="","",Rechnungsstand!A207)</f>
        <v/>
      </c>
      <c r="B213" s="390">
        <f>IF(Rechnungsstand!B207="","",Rechnungsstand!B207)</f>
        <v/>
      </c>
      <c r="C213" s="391">
        <f>IF(Rechnungsstand!B207="","",Rechnungsstand!C207)</f>
        <v/>
      </c>
      <c r="D213" s="392">
        <f>IF(Rechnungsstand!B207="","",Rechnungsstand!F207)</f>
        <v/>
      </c>
      <c r="E213" s="393">
        <f>IF(D213="","",SUM($D$12:D213))</f>
        <v/>
      </c>
      <c r="F213" s="393">
        <f>IF(D213="","",D213*$B$7)</f>
        <v/>
      </c>
      <c r="G213" s="393">
        <f>IF(D213="","",D213*$B$8)</f>
        <v/>
      </c>
      <c r="H213" s="393">
        <f>IF(D213="","",D213*$B$9)</f>
        <v/>
      </c>
      <c r="I213" s="393">
        <f>IF(D213="","",IF(C213="Abschlagsrechnung",MAX(0,MIN(D213*$E$7,IF($E$8&gt;0,$B$6*$E$8-SUM($I$12:I212),D213*$E$7))),0))</f>
        <v/>
      </c>
      <c r="J213" s="393">
        <f>IF(D213="","",SUM(F213:I213))</f>
        <v/>
      </c>
      <c r="K213" s="393">
        <f>IF(D213="","",D213-J213)</f>
        <v/>
      </c>
      <c r="L213" s="399" t="n"/>
      <c r="M213" s="400" t="n"/>
      <c r="N213" s="401" t="n"/>
      <c r="O213" s="401" t="n"/>
      <c r="P213" s="401" t="n"/>
      <c r="Q213" s="401" t="n"/>
      <c r="R213" s="401" t="n"/>
      <c r="S213" s="393">
        <f>IF(COUNTA(O213:R213)=0,"",SUM(O213:R213))</f>
        <v/>
      </c>
      <c r="T213" s="393">
        <f>IF(N213="","",N213-IF(S213="",0,S213))</f>
        <v/>
      </c>
      <c r="U213" s="402">
        <f>IF(OR(D213="",N213=""),"",N213-D213)</f>
        <v/>
      </c>
      <c r="V213" s="393">
        <f>IF(OR(K213="",T213=""),"",T213-K213)</f>
        <v/>
      </c>
      <c r="W213" s="395" t="n"/>
    </row>
    <row r="214">
      <c r="A214" s="389">
        <f>IF(Rechnungsstand!B208="","",Rechnungsstand!A208)</f>
        <v/>
      </c>
      <c r="B214" s="390">
        <f>IF(Rechnungsstand!B208="","",Rechnungsstand!B208)</f>
        <v/>
      </c>
      <c r="C214" s="391">
        <f>IF(Rechnungsstand!B208="","",Rechnungsstand!C208)</f>
        <v/>
      </c>
      <c r="D214" s="392">
        <f>IF(Rechnungsstand!B208="","",Rechnungsstand!F208)</f>
        <v/>
      </c>
      <c r="E214" s="393">
        <f>IF(D214="","",SUM($D$12:D214))</f>
        <v/>
      </c>
      <c r="F214" s="393">
        <f>IF(D214="","",D214*$B$7)</f>
        <v/>
      </c>
      <c r="G214" s="393">
        <f>IF(D214="","",D214*$B$8)</f>
        <v/>
      </c>
      <c r="H214" s="393">
        <f>IF(D214="","",D214*$B$9)</f>
        <v/>
      </c>
      <c r="I214" s="393">
        <f>IF(D214="","",IF(C214="Abschlagsrechnung",MAX(0,MIN(D214*$E$7,IF($E$8&gt;0,$B$6*$E$8-SUM($I$12:I213),D214*$E$7))),0))</f>
        <v/>
      </c>
      <c r="J214" s="393">
        <f>IF(D214="","",SUM(F214:I214))</f>
        <v/>
      </c>
      <c r="K214" s="393">
        <f>IF(D214="","",D214-J214)</f>
        <v/>
      </c>
      <c r="L214" s="399" t="n"/>
      <c r="M214" s="400" t="n"/>
      <c r="N214" s="401" t="n"/>
      <c r="O214" s="401" t="n"/>
      <c r="P214" s="401" t="n"/>
      <c r="Q214" s="401" t="n"/>
      <c r="R214" s="401" t="n"/>
      <c r="S214" s="393">
        <f>IF(COUNTA(O214:R214)=0,"",SUM(O214:R214))</f>
        <v/>
      </c>
      <c r="T214" s="393">
        <f>IF(N214="","",N214-IF(S214="",0,S214))</f>
        <v/>
      </c>
      <c r="U214" s="402">
        <f>IF(OR(D214="",N214=""),"",N214-D214)</f>
        <v/>
      </c>
      <c r="V214" s="393">
        <f>IF(OR(K214="",T214=""),"",T214-K214)</f>
        <v/>
      </c>
      <c r="W214" s="395" t="n"/>
    </row>
    <row r="215">
      <c r="A215" s="389">
        <f>IF(Rechnungsstand!B209="","",Rechnungsstand!A209)</f>
        <v/>
      </c>
      <c r="B215" s="390">
        <f>IF(Rechnungsstand!B209="","",Rechnungsstand!B209)</f>
        <v/>
      </c>
      <c r="C215" s="391">
        <f>IF(Rechnungsstand!B209="","",Rechnungsstand!C209)</f>
        <v/>
      </c>
      <c r="D215" s="392">
        <f>IF(Rechnungsstand!B209="","",Rechnungsstand!F209)</f>
        <v/>
      </c>
      <c r="E215" s="393">
        <f>IF(D215="","",SUM($D$12:D215))</f>
        <v/>
      </c>
      <c r="F215" s="393">
        <f>IF(D215="","",D215*$B$7)</f>
        <v/>
      </c>
      <c r="G215" s="393">
        <f>IF(D215="","",D215*$B$8)</f>
        <v/>
      </c>
      <c r="H215" s="393">
        <f>IF(D215="","",D215*$B$9)</f>
        <v/>
      </c>
      <c r="I215" s="393">
        <f>IF(D215="","",IF(C215="Abschlagsrechnung",MAX(0,MIN(D215*$E$7,IF($E$8&gt;0,$B$6*$E$8-SUM($I$12:I214),D215*$E$7))),0))</f>
        <v/>
      </c>
      <c r="J215" s="393">
        <f>IF(D215="","",SUM(F215:I215))</f>
        <v/>
      </c>
      <c r="K215" s="393">
        <f>IF(D215="","",D215-J215)</f>
        <v/>
      </c>
      <c r="L215" s="399" t="n"/>
      <c r="M215" s="400" t="n"/>
      <c r="N215" s="401" t="n"/>
      <c r="O215" s="401" t="n"/>
      <c r="P215" s="401" t="n"/>
      <c r="Q215" s="401" t="n"/>
      <c r="R215" s="401" t="n"/>
      <c r="S215" s="393">
        <f>IF(COUNTA(O215:R215)=0,"",SUM(O215:R215))</f>
        <v/>
      </c>
      <c r="T215" s="393">
        <f>IF(N215="","",N215-IF(S215="",0,S215))</f>
        <v/>
      </c>
      <c r="U215" s="402">
        <f>IF(OR(D215="",N215=""),"",N215-D215)</f>
        <v/>
      </c>
      <c r="V215" s="393">
        <f>IF(OR(K215="",T215=""),"",T215-K215)</f>
        <v/>
      </c>
      <c r="W215" s="395" t="n"/>
    </row>
    <row r="216">
      <c r="A216" s="389">
        <f>IF(Rechnungsstand!B210="","",Rechnungsstand!A210)</f>
        <v/>
      </c>
      <c r="B216" s="390">
        <f>IF(Rechnungsstand!B210="","",Rechnungsstand!B210)</f>
        <v/>
      </c>
      <c r="C216" s="391">
        <f>IF(Rechnungsstand!B210="","",Rechnungsstand!C210)</f>
        <v/>
      </c>
      <c r="D216" s="392">
        <f>IF(Rechnungsstand!B210="","",Rechnungsstand!F210)</f>
        <v/>
      </c>
      <c r="E216" s="393">
        <f>IF(D216="","",SUM($D$12:D216))</f>
        <v/>
      </c>
      <c r="F216" s="393">
        <f>IF(D216="","",D216*$B$7)</f>
        <v/>
      </c>
      <c r="G216" s="393">
        <f>IF(D216="","",D216*$B$8)</f>
        <v/>
      </c>
      <c r="H216" s="393">
        <f>IF(D216="","",D216*$B$9)</f>
        <v/>
      </c>
      <c r="I216" s="393">
        <f>IF(D216="","",IF(C216="Abschlagsrechnung",MAX(0,MIN(D216*$E$7,IF($E$8&gt;0,$B$6*$E$8-SUM($I$12:I215),D216*$E$7))),0))</f>
        <v/>
      </c>
      <c r="J216" s="393">
        <f>IF(D216="","",SUM(F216:I216))</f>
        <v/>
      </c>
      <c r="K216" s="393">
        <f>IF(D216="","",D216-J216)</f>
        <v/>
      </c>
      <c r="L216" s="399" t="n"/>
      <c r="M216" s="400" t="n"/>
      <c r="N216" s="401" t="n"/>
      <c r="O216" s="401" t="n"/>
      <c r="P216" s="401" t="n"/>
      <c r="Q216" s="401" t="n"/>
      <c r="R216" s="401" t="n"/>
      <c r="S216" s="393">
        <f>IF(COUNTA(O216:R216)=0,"",SUM(O216:R216))</f>
        <v/>
      </c>
      <c r="T216" s="393">
        <f>IF(N216="","",N216-IF(S216="",0,S216))</f>
        <v/>
      </c>
      <c r="U216" s="402">
        <f>IF(OR(D216="",N216=""),"",N216-D216)</f>
        <v/>
      </c>
      <c r="V216" s="393">
        <f>IF(OR(K216="",T216=""),"",T216-K216)</f>
        <v/>
      </c>
      <c r="W216" s="395" t="n"/>
    </row>
    <row r="217">
      <c r="A217" s="389">
        <f>IF(Rechnungsstand!B211="","",Rechnungsstand!A211)</f>
        <v/>
      </c>
      <c r="B217" s="390">
        <f>IF(Rechnungsstand!B211="","",Rechnungsstand!B211)</f>
        <v/>
      </c>
      <c r="C217" s="391">
        <f>IF(Rechnungsstand!B211="","",Rechnungsstand!C211)</f>
        <v/>
      </c>
      <c r="D217" s="392">
        <f>IF(Rechnungsstand!B211="","",Rechnungsstand!F211)</f>
        <v/>
      </c>
      <c r="E217" s="393">
        <f>IF(D217="","",SUM($D$12:D217))</f>
        <v/>
      </c>
      <c r="F217" s="393">
        <f>IF(D217="","",D217*$B$7)</f>
        <v/>
      </c>
      <c r="G217" s="393">
        <f>IF(D217="","",D217*$B$8)</f>
        <v/>
      </c>
      <c r="H217" s="393">
        <f>IF(D217="","",D217*$B$9)</f>
        <v/>
      </c>
      <c r="I217" s="393">
        <f>IF(D217="","",IF(C217="Abschlagsrechnung",MAX(0,MIN(D217*$E$7,IF($E$8&gt;0,$B$6*$E$8-SUM($I$12:I216),D217*$E$7))),0))</f>
        <v/>
      </c>
      <c r="J217" s="393">
        <f>IF(D217="","",SUM(F217:I217))</f>
        <v/>
      </c>
      <c r="K217" s="393">
        <f>IF(D217="","",D217-J217)</f>
        <v/>
      </c>
      <c r="L217" s="399" t="n"/>
      <c r="M217" s="400" t="n"/>
      <c r="N217" s="401" t="n"/>
      <c r="O217" s="401" t="n"/>
      <c r="P217" s="401" t="n"/>
      <c r="Q217" s="401" t="n"/>
      <c r="R217" s="401" t="n"/>
      <c r="S217" s="393">
        <f>IF(COUNTA(O217:R217)=0,"",SUM(O217:R217))</f>
        <v/>
      </c>
      <c r="T217" s="393">
        <f>IF(N217="","",N217-IF(S217="",0,S217))</f>
        <v/>
      </c>
      <c r="U217" s="402">
        <f>IF(OR(D217="",N217=""),"",N217-D217)</f>
        <v/>
      </c>
      <c r="V217" s="393">
        <f>IF(OR(K217="",T217=""),"",T217-K217)</f>
        <v/>
      </c>
      <c r="W217" s="395" t="n"/>
    </row>
    <row r="218">
      <c r="A218" s="389">
        <f>IF(Rechnungsstand!B212="","",Rechnungsstand!A212)</f>
        <v/>
      </c>
      <c r="B218" s="390">
        <f>IF(Rechnungsstand!B212="","",Rechnungsstand!B212)</f>
        <v/>
      </c>
      <c r="C218" s="391">
        <f>IF(Rechnungsstand!B212="","",Rechnungsstand!C212)</f>
        <v/>
      </c>
      <c r="D218" s="392">
        <f>IF(Rechnungsstand!B212="","",Rechnungsstand!F212)</f>
        <v/>
      </c>
      <c r="E218" s="393">
        <f>IF(D218="","",SUM($D$12:D218))</f>
        <v/>
      </c>
      <c r="F218" s="393">
        <f>IF(D218="","",D218*$B$7)</f>
        <v/>
      </c>
      <c r="G218" s="393">
        <f>IF(D218="","",D218*$B$8)</f>
        <v/>
      </c>
      <c r="H218" s="393">
        <f>IF(D218="","",D218*$B$9)</f>
        <v/>
      </c>
      <c r="I218" s="393">
        <f>IF(D218="","",IF(C218="Abschlagsrechnung",MAX(0,MIN(D218*$E$7,IF($E$8&gt;0,$B$6*$E$8-SUM($I$12:I217),D218*$E$7))),0))</f>
        <v/>
      </c>
      <c r="J218" s="393">
        <f>IF(D218="","",SUM(F218:I218))</f>
        <v/>
      </c>
      <c r="K218" s="393">
        <f>IF(D218="","",D218-J218)</f>
        <v/>
      </c>
      <c r="L218" s="399" t="n"/>
      <c r="M218" s="400" t="n"/>
      <c r="N218" s="401" t="n"/>
      <c r="O218" s="401" t="n"/>
      <c r="P218" s="401" t="n"/>
      <c r="Q218" s="401" t="n"/>
      <c r="R218" s="401" t="n"/>
      <c r="S218" s="393">
        <f>IF(COUNTA(O218:R218)=0,"",SUM(O218:R218))</f>
        <v/>
      </c>
      <c r="T218" s="393">
        <f>IF(N218="","",N218-IF(S218="",0,S218))</f>
        <v/>
      </c>
      <c r="U218" s="402">
        <f>IF(OR(D218="",N218=""),"",N218-D218)</f>
        <v/>
      </c>
      <c r="V218" s="393">
        <f>IF(OR(K218="",T218=""),"",T218-K218)</f>
        <v/>
      </c>
      <c r="W218" s="395" t="n"/>
    </row>
    <row r="219">
      <c r="A219" s="389">
        <f>IF(Rechnungsstand!B213="","",Rechnungsstand!A213)</f>
        <v/>
      </c>
      <c r="B219" s="390">
        <f>IF(Rechnungsstand!B213="","",Rechnungsstand!B213)</f>
        <v/>
      </c>
      <c r="C219" s="391">
        <f>IF(Rechnungsstand!B213="","",Rechnungsstand!C213)</f>
        <v/>
      </c>
      <c r="D219" s="392">
        <f>IF(Rechnungsstand!B213="","",Rechnungsstand!F213)</f>
        <v/>
      </c>
      <c r="E219" s="393">
        <f>IF(D219="","",SUM($D$12:D219))</f>
        <v/>
      </c>
      <c r="F219" s="393">
        <f>IF(D219="","",D219*$B$7)</f>
        <v/>
      </c>
      <c r="G219" s="393">
        <f>IF(D219="","",D219*$B$8)</f>
        <v/>
      </c>
      <c r="H219" s="393">
        <f>IF(D219="","",D219*$B$9)</f>
        <v/>
      </c>
      <c r="I219" s="393">
        <f>IF(D219="","",IF(C219="Abschlagsrechnung",MAX(0,MIN(D219*$E$7,IF($E$8&gt;0,$B$6*$E$8-SUM($I$12:I218),D219*$E$7))),0))</f>
        <v/>
      </c>
      <c r="J219" s="393">
        <f>IF(D219="","",SUM(F219:I219))</f>
        <v/>
      </c>
      <c r="K219" s="393">
        <f>IF(D219="","",D219-J219)</f>
        <v/>
      </c>
      <c r="L219" s="399" t="n"/>
      <c r="M219" s="400" t="n"/>
      <c r="N219" s="401" t="n"/>
      <c r="O219" s="401" t="n"/>
      <c r="P219" s="401" t="n"/>
      <c r="Q219" s="401" t="n"/>
      <c r="R219" s="401" t="n"/>
      <c r="S219" s="393">
        <f>IF(COUNTA(O219:R219)=0,"",SUM(O219:R219))</f>
        <v/>
      </c>
      <c r="T219" s="393">
        <f>IF(N219="","",N219-IF(S219="",0,S219))</f>
        <v/>
      </c>
      <c r="U219" s="402">
        <f>IF(OR(D219="",N219=""),"",N219-D219)</f>
        <v/>
      </c>
      <c r="V219" s="393">
        <f>IF(OR(K219="",T219=""),"",T219-K219)</f>
        <v/>
      </c>
      <c r="W219" s="395" t="n"/>
    </row>
    <row r="220">
      <c r="A220" s="389">
        <f>IF(Rechnungsstand!B214="","",Rechnungsstand!A214)</f>
        <v/>
      </c>
      <c r="B220" s="390">
        <f>IF(Rechnungsstand!B214="","",Rechnungsstand!B214)</f>
        <v/>
      </c>
      <c r="C220" s="391">
        <f>IF(Rechnungsstand!B214="","",Rechnungsstand!C214)</f>
        <v/>
      </c>
      <c r="D220" s="392">
        <f>IF(Rechnungsstand!B214="","",Rechnungsstand!F214)</f>
        <v/>
      </c>
      <c r="E220" s="393">
        <f>IF(D220="","",SUM($D$12:D220))</f>
        <v/>
      </c>
      <c r="F220" s="393">
        <f>IF(D220="","",D220*$B$7)</f>
        <v/>
      </c>
      <c r="G220" s="393">
        <f>IF(D220="","",D220*$B$8)</f>
        <v/>
      </c>
      <c r="H220" s="393">
        <f>IF(D220="","",D220*$B$9)</f>
        <v/>
      </c>
      <c r="I220" s="393">
        <f>IF(D220="","",IF(C220="Abschlagsrechnung",MAX(0,MIN(D220*$E$7,IF($E$8&gt;0,$B$6*$E$8-SUM($I$12:I219),D220*$E$7))),0))</f>
        <v/>
      </c>
      <c r="J220" s="393">
        <f>IF(D220="","",SUM(F220:I220))</f>
        <v/>
      </c>
      <c r="K220" s="393">
        <f>IF(D220="","",D220-J220)</f>
        <v/>
      </c>
      <c r="L220" s="399" t="n"/>
      <c r="M220" s="400" t="n"/>
      <c r="N220" s="401" t="n"/>
      <c r="O220" s="401" t="n"/>
      <c r="P220" s="401" t="n"/>
      <c r="Q220" s="401" t="n"/>
      <c r="R220" s="401" t="n"/>
      <c r="S220" s="393">
        <f>IF(COUNTA(O220:R220)=0,"",SUM(O220:R220))</f>
        <v/>
      </c>
      <c r="T220" s="393">
        <f>IF(N220="","",N220-IF(S220="",0,S220))</f>
        <v/>
      </c>
      <c r="U220" s="402">
        <f>IF(OR(D220="",N220=""),"",N220-D220)</f>
        <v/>
      </c>
      <c r="V220" s="393">
        <f>IF(OR(K220="",T220=""),"",T220-K220)</f>
        <v/>
      </c>
      <c r="W220" s="395" t="n"/>
    </row>
    <row r="221">
      <c r="A221" s="389">
        <f>IF(Rechnungsstand!B215="","",Rechnungsstand!A215)</f>
        <v/>
      </c>
      <c r="B221" s="390">
        <f>IF(Rechnungsstand!B215="","",Rechnungsstand!B215)</f>
        <v/>
      </c>
      <c r="C221" s="391">
        <f>IF(Rechnungsstand!B215="","",Rechnungsstand!C215)</f>
        <v/>
      </c>
      <c r="D221" s="392">
        <f>IF(Rechnungsstand!B215="","",Rechnungsstand!F215)</f>
        <v/>
      </c>
      <c r="E221" s="393">
        <f>IF(D221="","",SUM($D$12:D221))</f>
        <v/>
      </c>
      <c r="F221" s="393">
        <f>IF(D221="","",D221*$B$7)</f>
        <v/>
      </c>
      <c r="G221" s="393">
        <f>IF(D221="","",D221*$B$8)</f>
        <v/>
      </c>
      <c r="H221" s="393">
        <f>IF(D221="","",D221*$B$9)</f>
        <v/>
      </c>
      <c r="I221" s="393">
        <f>IF(D221="","",IF(C221="Abschlagsrechnung",MAX(0,MIN(D221*$E$7,IF($E$8&gt;0,$B$6*$E$8-SUM($I$12:I220),D221*$E$7))),0))</f>
        <v/>
      </c>
      <c r="J221" s="393">
        <f>IF(D221="","",SUM(F221:I221))</f>
        <v/>
      </c>
      <c r="K221" s="393">
        <f>IF(D221="","",D221-J221)</f>
        <v/>
      </c>
      <c r="L221" s="399" t="n"/>
      <c r="M221" s="400" t="n"/>
      <c r="N221" s="401" t="n"/>
      <c r="O221" s="401" t="n"/>
      <c r="P221" s="401" t="n"/>
      <c r="Q221" s="401" t="n"/>
      <c r="R221" s="401" t="n"/>
      <c r="S221" s="393">
        <f>IF(COUNTA(O221:R221)=0,"",SUM(O221:R221))</f>
        <v/>
      </c>
      <c r="T221" s="393">
        <f>IF(N221="","",N221-IF(S221="",0,S221))</f>
        <v/>
      </c>
      <c r="U221" s="402">
        <f>IF(OR(D221="",N221=""),"",N221-D221)</f>
        <v/>
      </c>
      <c r="V221" s="393">
        <f>IF(OR(K221="",T221=""),"",T221-K221)</f>
        <v/>
      </c>
      <c r="W221" s="395" t="n"/>
    </row>
    <row r="222">
      <c r="A222" s="389">
        <f>IF(Rechnungsstand!B216="","",Rechnungsstand!A216)</f>
        <v/>
      </c>
      <c r="B222" s="390">
        <f>IF(Rechnungsstand!B216="","",Rechnungsstand!B216)</f>
        <v/>
      </c>
      <c r="C222" s="391">
        <f>IF(Rechnungsstand!B216="","",Rechnungsstand!C216)</f>
        <v/>
      </c>
      <c r="D222" s="392">
        <f>IF(Rechnungsstand!B216="","",Rechnungsstand!F216)</f>
        <v/>
      </c>
      <c r="E222" s="393">
        <f>IF(D222="","",SUM($D$12:D222))</f>
        <v/>
      </c>
      <c r="F222" s="393">
        <f>IF(D222="","",D222*$B$7)</f>
        <v/>
      </c>
      <c r="G222" s="393">
        <f>IF(D222="","",D222*$B$8)</f>
        <v/>
      </c>
      <c r="H222" s="393">
        <f>IF(D222="","",D222*$B$9)</f>
        <v/>
      </c>
      <c r="I222" s="393">
        <f>IF(D222="","",IF(C222="Abschlagsrechnung",MAX(0,MIN(D222*$E$7,IF($E$8&gt;0,$B$6*$E$8-SUM($I$12:I221),D222*$E$7))),0))</f>
        <v/>
      </c>
      <c r="J222" s="393">
        <f>IF(D222="","",SUM(F222:I222))</f>
        <v/>
      </c>
      <c r="K222" s="393">
        <f>IF(D222="","",D222-J222)</f>
        <v/>
      </c>
      <c r="L222" s="399" t="n"/>
      <c r="M222" s="400" t="n"/>
      <c r="N222" s="401" t="n"/>
      <c r="O222" s="401" t="n"/>
      <c r="P222" s="401" t="n"/>
      <c r="Q222" s="401" t="n"/>
      <c r="R222" s="401" t="n"/>
      <c r="S222" s="393">
        <f>IF(COUNTA(O222:R222)=0,"",SUM(O222:R222))</f>
        <v/>
      </c>
      <c r="T222" s="393">
        <f>IF(N222="","",N222-IF(S222="",0,S222))</f>
        <v/>
      </c>
      <c r="U222" s="402">
        <f>IF(OR(D222="",N222=""),"",N222-D222)</f>
        <v/>
      </c>
      <c r="V222" s="393">
        <f>IF(OR(K222="",T222=""),"",T222-K222)</f>
        <v/>
      </c>
      <c r="W222" s="395" t="n"/>
    </row>
    <row r="223">
      <c r="A223" s="389">
        <f>IF(Rechnungsstand!B217="","",Rechnungsstand!A217)</f>
        <v/>
      </c>
      <c r="B223" s="390">
        <f>IF(Rechnungsstand!B217="","",Rechnungsstand!B217)</f>
        <v/>
      </c>
      <c r="C223" s="391">
        <f>IF(Rechnungsstand!B217="","",Rechnungsstand!C217)</f>
        <v/>
      </c>
      <c r="D223" s="392">
        <f>IF(Rechnungsstand!B217="","",Rechnungsstand!F217)</f>
        <v/>
      </c>
      <c r="E223" s="393">
        <f>IF(D223="","",SUM($D$12:D223))</f>
        <v/>
      </c>
      <c r="F223" s="393">
        <f>IF(D223="","",D223*$B$7)</f>
        <v/>
      </c>
      <c r="G223" s="393">
        <f>IF(D223="","",D223*$B$8)</f>
        <v/>
      </c>
      <c r="H223" s="393">
        <f>IF(D223="","",D223*$B$9)</f>
        <v/>
      </c>
      <c r="I223" s="393">
        <f>IF(D223="","",IF(C223="Abschlagsrechnung",MAX(0,MIN(D223*$E$7,IF($E$8&gt;0,$B$6*$E$8-SUM($I$12:I222),D223*$E$7))),0))</f>
        <v/>
      </c>
      <c r="J223" s="393">
        <f>IF(D223="","",SUM(F223:I223))</f>
        <v/>
      </c>
      <c r="K223" s="393">
        <f>IF(D223="","",D223-J223)</f>
        <v/>
      </c>
      <c r="L223" s="399" t="n"/>
      <c r="M223" s="400" t="n"/>
      <c r="N223" s="401" t="n"/>
      <c r="O223" s="401" t="n"/>
      <c r="P223" s="401" t="n"/>
      <c r="Q223" s="401" t="n"/>
      <c r="R223" s="401" t="n"/>
      <c r="S223" s="393">
        <f>IF(COUNTA(O223:R223)=0,"",SUM(O223:R223))</f>
        <v/>
      </c>
      <c r="T223" s="393">
        <f>IF(N223="","",N223-IF(S223="",0,S223))</f>
        <v/>
      </c>
      <c r="U223" s="402">
        <f>IF(OR(D223="",N223=""),"",N223-D223)</f>
        <v/>
      </c>
      <c r="V223" s="393">
        <f>IF(OR(K223="",T223=""),"",T223-K223)</f>
        <v/>
      </c>
      <c r="W223" s="395" t="n"/>
    </row>
    <row r="224">
      <c r="A224" s="389">
        <f>IF(Rechnungsstand!B218="","",Rechnungsstand!A218)</f>
        <v/>
      </c>
      <c r="B224" s="390">
        <f>IF(Rechnungsstand!B218="","",Rechnungsstand!B218)</f>
        <v/>
      </c>
      <c r="C224" s="391">
        <f>IF(Rechnungsstand!B218="","",Rechnungsstand!C218)</f>
        <v/>
      </c>
      <c r="D224" s="392">
        <f>IF(Rechnungsstand!B218="","",Rechnungsstand!F218)</f>
        <v/>
      </c>
      <c r="E224" s="393">
        <f>IF(D224="","",SUM($D$12:D224))</f>
        <v/>
      </c>
      <c r="F224" s="393">
        <f>IF(D224="","",D224*$B$7)</f>
        <v/>
      </c>
      <c r="G224" s="393">
        <f>IF(D224="","",D224*$B$8)</f>
        <v/>
      </c>
      <c r="H224" s="393">
        <f>IF(D224="","",D224*$B$9)</f>
        <v/>
      </c>
      <c r="I224" s="393">
        <f>IF(D224="","",IF(C224="Abschlagsrechnung",MAX(0,MIN(D224*$E$7,IF($E$8&gt;0,$B$6*$E$8-SUM($I$12:I223),D224*$E$7))),0))</f>
        <v/>
      </c>
      <c r="J224" s="393">
        <f>IF(D224="","",SUM(F224:I224))</f>
        <v/>
      </c>
      <c r="K224" s="393">
        <f>IF(D224="","",D224-J224)</f>
        <v/>
      </c>
      <c r="L224" s="399" t="n"/>
      <c r="M224" s="400" t="n"/>
      <c r="N224" s="401" t="n"/>
      <c r="O224" s="401" t="n"/>
      <c r="P224" s="401" t="n"/>
      <c r="Q224" s="401" t="n"/>
      <c r="R224" s="401" t="n"/>
      <c r="S224" s="393">
        <f>IF(COUNTA(O224:R224)=0,"",SUM(O224:R224))</f>
        <v/>
      </c>
      <c r="T224" s="393">
        <f>IF(N224="","",N224-IF(S224="",0,S224))</f>
        <v/>
      </c>
      <c r="U224" s="402">
        <f>IF(OR(D224="",N224=""),"",N224-D224)</f>
        <v/>
      </c>
      <c r="V224" s="393">
        <f>IF(OR(K224="",T224=""),"",T224-K224)</f>
        <v/>
      </c>
      <c r="W224" s="395" t="n"/>
    </row>
    <row r="225">
      <c r="A225" s="389">
        <f>IF(Rechnungsstand!B219="","",Rechnungsstand!A219)</f>
        <v/>
      </c>
      <c r="B225" s="390">
        <f>IF(Rechnungsstand!B219="","",Rechnungsstand!B219)</f>
        <v/>
      </c>
      <c r="C225" s="391">
        <f>IF(Rechnungsstand!B219="","",Rechnungsstand!C219)</f>
        <v/>
      </c>
      <c r="D225" s="392">
        <f>IF(Rechnungsstand!B219="","",Rechnungsstand!F219)</f>
        <v/>
      </c>
      <c r="E225" s="393">
        <f>IF(D225="","",SUM($D$12:D225))</f>
        <v/>
      </c>
      <c r="F225" s="393">
        <f>IF(D225="","",D225*$B$7)</f>
        <v/>
      </c>
      <c r="G225" s="393">
        <f>IF(D225="","",D225*$B$8)</f>
        <v/>
      </c>
      <c r="H225" s="393">
        <f>IF(D225="","",D225*$B$9)</f>
        <v/>
      </c>
      <c r="I225" s="393">
        <f>IF(D225="","",IF(C225="Abschlagsrechnung",MAX(0,MIN(D225*$E$7,IF($E$8&gt;0,$B$6*$E$8-SUM($I$12:I224),D225*$E$7))),0))</f>
        <v/>
      </c>
      <c r="J225" s="393">
        <f>IF(D225="","",SUM(F225:I225))</f>
        <v/>
      </c>
      <c r="K225" s="393">
        <f>IF(D225="","",D225-J225)</f>
        <v/>
      </c>
      <c r="L225" s="399" t="n"/>
      <c r="M225" s="400" t="n"/>
      <c r="N225" s="401" t="n"/>
      <c r="O225" s="401" t="n"/>
      <c r="P225" s="401" t="n"/>
      <c r="Q225" s="401" t="n"/>
      <c r="R225" s="401" t="n"/>
      <c r="S225" s="393">
        <f>IF(COUNTA(O225:R225)=0,"",SUM(O225:R225))</f>
        <v/>
      </c>
      <c r="T225" s="393">
        <f>IF(N225="","",N225-IF(S225="",0,S225))</f>
        <v/>
      </c>
      <c r="U225" s="402">
        <f>IF(OR(D225="",N225=""),"",N225-D225)</f>
        <v/>
      </c>
      <c r="V225" s="393">
        <f>IF(OR(K225="",T225=""),"",T225-K225)</f>
        <v/>
      </c>
      <c r="W225" s="395" t="n"/>
    </row>
    <row r="226">
      <c r="A226" s="389">
        <f>IF(Rechnungsstand!B220="","",Rechnungsstand!A220)</f>
        <v/>
      </c>
      <c r="B226" s="390">
        <f>IF(Rechnungsstand!B220="","",Rechnungsstand!B220)</f>
        <v/>
      </c>
      <c r="C226" s="391">
        <f>IF(Rechnungsstand!B220="","",Rechnungsstand!C220)</f>
        <v/>
      </c>
      <c r="D226" s="392">
        <f>IF(Rechnungsstand!B220="","",Rechnungsstand!F220)</f>
        <v/>
      </c>
      <c r="E226" s="393">
        <f>IF(D226="","",SUM($D$12:D226))</f>
        <v/>
      </c>
      <c r="F226" s="393">
        <f>IF(D226="","",D226*$B$7)</f>
        <v/>
      </c>
      <c r="G226" s="393">
        <f>IF(D226="","",D226*$B$8)</f>
        <v/>
      </c>
      <c r="H226" s="393">
        <f>IF(D226="","",D226*$B$9)</f>
        <v/>
      </c>
      <c r="I226" s="393">
        <f>IF(D226="","",IF(C226="Abschlagsrechnung",MAX(0,MIN(D226*$E$7,IF($E$8&gt;0,$B$6*$E$8-SUM($I$12:I225),D226*$E$7))),0))</f>
        <v/>
      </c>
      <c r="J226" s="393">
        <f>IF(D226="","",SUM(F226:I226))</f>
        <v/>
      </c>
      <c r="K226" s="393">
        <f>IF(D226="","",D226-J226)</f>
        <v/>
      </c>
      <c r="L226" s="399" t="n"/>
      <c r="M226" s="400" t="n"/>
      <c r="N226" s="401" t="n"/>
      <c r="O226" s="401" t="n"/>
      <c r="P226" s="401" t="n"/>
      <c r="Q226" s="401" t="n"/>
      <c r="R226" s="401" t="n"/>
      <c r="S226" s="393">
        <f>IF(COUNTA(O226:R226)=0,"",SUM(O226:R226))</f>
        <v/>
      </c>
      <c r="T226" s="393">
        <f>IF(N226="","",N226-IF(S226="",0,S226))</f>
        <v/>
      </c>
      <c r="U226" s="402">
        <f>IF(OR(D226="",N226=""),"",N226-D226)</f>
        <v/>
      </c>
      <c r="V226" s="393">
        <f>IF(OR(K226="",T226=""),"",T226-K226)</f>
        <v/>
      </c>
      <c r="W226" s="395" t="n"/>
    </row>
    <row r="227">
      <c r="A227" s="389">
        <f>IF(Rechnungsstand!B221="","",Rechnungsstand!A221)</f>
        <v/>
      </c>
      <c r="B227" s="390">
        <f>IF(Rechnungsstand!B221="","",Rechnungsstand!B221)</f>
        <v/>
      </c>
      <c r="C227" s="391">
        <f>IF(Rechnungsstand!B221="","",Rechnungsstand!C221)</f>
        <v/>
      </c>
      <c r="D227" s="392">
        <f>IF(Rechnungsstand!B221="","",Rechnungsstand!F221)</f>
        <v/>
      </c>
      <c r="E227" s="393">
        <f>IF(D227="","",SUM($D$12:D227))</f>
        <v/>
      </c>
      <c r="F227" s="393">
        <f>IF(D227="","",D227*$B$7)</f>
        <v/>
      </c>
      <c r="G227" s="393">
        <f>IF(D227="","",D227*$B$8)</f>
        <v/>
      </c>
      <c r="H227" s="393">
        <f>IF(D227="","",D227*$B$9)</f>
        <v/>
      </c>
      <c r="I227" s="393">
        <f>IF(D227="","",IF(C227="Abschlagsrechnung",MAX(0,MIN(D227*$E$7,IF($E$8&gt;0,$B$6*$E$8-SUM($I$12:I226),D227*$E$7))),0))</f>
        <v/>
      </c>
      <c r="J227" s="393">
        <f>IF(D227="","",SUM(F227:I227))</f>
        <v/>
      </c>
      <c r="K227" s="393">
        <f>IF(D227="","",D227-J227)</f>
        <v/>
      </c>
      <c r="L227" s="399" t="n"/>
      <c r="M227" s="400" t="n"/>
      <c r="N227" s="401" t="n"/>
      <c r="O227" s="401" t="n"/>
      <c r="P227" s="401" t="n"/>
      <c r="Q227" s="401" t="n"/>
      <c r="R227" s="401" t="n"/>
      <c r="S227" s="393">
        <f>IF(COUNTA(O227:R227)=0,"",SUM(O227:R227))</f>
        <v/>
      </c>
      <c r="T227" s="393">
        <f>IF(N227="","",N227-IF(S227="",0,S227))</f>
        <v/>
      </c>
      <c r="U227" s="402">
        <f>IF(OR(D227="",N227=""),"",N227-D227)</f>
        <v/>
      </c>
      <c r="V227" s="393">
        <f>IF(OR(K227="",T227=""),"",T227-K227)</f>
        <v/>
      </c>
      <c r="W227" s="395" t="n"/>
    </row>
    <row r="228">
      <c r="A228" s="389">
        <f>IF(Rechnungsstand!B222="","",Rechnungsstand!A222)</f>
        <v/>
      </c>
      <c r="B228" s="390">
        <f>IF(Rechnungsstand!B222="","",Rechnungsstand!B222)</f>
        <v/>
      </c>
      <c r="C228" s="391">
        <f>IF(Rechnungsstand!B222="","",Rechnungsstand!C222)</f>
        <v/>
      </c>
      <c r="D228" s="392">
        <f>IF(Rechnungsstand!B222="","",Rechnungsstand!F222)</f>
        <v/>
      </c>
      <c r="E228" s="393">
        <f>IF(D228="","",SUM($D$12:D228))</f>
        <v/>
      </c>
      <c r="F228" s="393">
        <f>IF(D228="","",D228*$B$7)</f>
        <v/>
      </c>
      <c r="G228" s="393">
        <f>IF(D228="","",D228*$B$8)</f>
        <v/>
      </c>
      <c r="H228" s="393">
        <f>IF(D228="","",D228*$B$9)</f>
        <v/>
      </c>
      <c r="I228" s="393">
        <f>IF(D228="","",IF(C228="Abschlagsrechnung",MAX(0,MIN(D228*$E$7,IF($E$8&gt;0,$B$6*$E$8-SUM($I$12:I227),D228*$E$7))),0))</f>
        <v/>
      </c>
      <c r="J228" s="393">
        <f>IF(D228="","",SUM(F228:I228))</f>
        <v/>
      </c>
      <c r="K228" s="393">
        <f>IF(D228="","",D228-J228)</f>
        <v/>
      </c>
      <c r="L228" s="399" t="n"/>
      <c r="M228" s="400" t="n"/>
      <c r="N228" s="401" t="n"/>
      <c r="O228" s="401" t="n"/>
      <c r="P228" s="401" t="n"/>
      <c r="Q228" s="401" t="n"/>
      <c r="R228" s="401" t="n"/>
      <c r="S228" s="393">
        <f>IF(COUNTA(O228:R228)=0,"",SUM(O228:R228))</f>
        <v/>
      </c>
      <c r="T228" s="393">
        <f>IF(N228="","",N228-IF(S228="",0,S228))</f>
        <v/>
      </c>
      <c r="U228" s="402">
        <f>IF(OR(D228="",N228=""),"",N228-D228)</f>
        <v/>
      </c>
      <c r="V228" s="393">
        <f>IF(OR(K228="",T228=""),"",T228-K228)</f>
        <v/>
      </c>
      <c r="W228" s="395" t="n"/>
    </row>
    <row r="229">
      <c r="A229" s="389">
        <f>IF(Rechnungsstand!B223="","",Rechnungsstand!A223)</f>
        <v/>
      </c>
      <c r="B229" s="390">
        <f>IF(Rechnungsstand!B223="","",Rechnungsstand!B223)</f>
        <v/>
      </c>
      <c r="C229" s="391">
        <f>IF(Rechnungsstand!B223="","",Rechnungsstand!C223)</f>
        <v/>
      </c>
      <c r="D229" s="392">
        <f>IF(Rechnungsstand!B223="","",Rechnungsstand!F223)</f>
        <v/>
      </c>
      <c r="E229" s="393">
        <f>IF(D229="","",SUM($D$12:D229))</f>
        <v/>
      </c>
      <c r="F229" s="393">
        <f>IF(D229="","",D229*$B$7)</f>
        <v/>
      </c>
      <c r="G229" s="393">
        <f>IF(D229="","",D229*$B$8)</f>
        <v/>
      </c>
      <c r="H229" s="393">
        <f>IF(D229="","",D229*$B$9)</f>
        <v/>
      </c>
      <c r="I229" s="393">
        <f>IF(D229="","",IF(C229="Abschlagsrechnung",MAX(0,MIN(D229*$E$7,IF($E$8&gt;0,$B$6*$E$8-SUM($I$12:I228),D229*$E$7))),0))</f>
        <v/>
      </c>
      <c r="J229" s="393">
        <f>IF(D229="","",SUM(F229:I229))</f>
        <v/>
      </c>
      <c r="K229" s="393">
        <f>IF(D229="","",D229-J229)</f>
        <v/>
      </c>
      <c r="L229" s="399" t="n"/>
      <c r="M229" s="400" t="n"/>
      <c r="N229" s="401" t="n"/>
      <c r="O229" s="401" t="n"/>
      <c r="P229" s="401" t="n"/>
      <c r="Q229" s="401" t="n"/>
      <c r="R229" s="401" t="n"/>
      <c r="S229" s="393">
        <f>IF(COUNTA(O229:R229)=0,"",SUM(O229:R229))</f>
        <v/>
      </c>
      <c r="T229" s="393">
        <f>IF(N229="","",N229-IF(S229="",0,S229))</f>
        <v/>
      </c>
      <c r="U229" s="402">
        <f>IF(OR(D229="",N229=""),"",N229-D229)</f>
        <v/>
      </c>
      <c r="V229" s="393">
        <f>IF(OR(K229="",T229=""),"",T229-K229)</f>
        <v/>
      </c>
      <c r="W229" s="395" t="n"/>
    </row>
    <row r="230">
      <c r="A230" s="389">
        <f>IF(Rechnungsstand!B224="","",Rechnungsstand!A224)</f>
        <v/>
      </c>
      <c r="B230" s="390">
        <f>IF(Rechnungsstand!B224="","",Rechnungsstand!B224)</f>
        <v/>
      </c>
      <c r="C230" s="391">
        <f>IF(Rechnungsstand!B224="","",Rechnungsstand!C224)</f>
        <v/>
      </c>
      <c r="D230" s="392">
        <f>IF(Rechnungsstand!B224="","",Rechnungsstand!F224)</f>
        <v/>
      </c>
      <c r="E230" s="393">
        <f>IF(D230="","",SUM($D$12:D230))</f>
        <v/>
      </c>
      <c r="F230" s="393">
        <f>IF(D230="","",D230*$B$7)</f>
        <v/>
      </c>
      <c r="G230" s="393">
        <f>IF(D230="","",D230*$B$8)</f>
        <v/>
      </c>
      <c r="H230" s="393">
        <f>IF(D230="","",D230*$B$9)</f>
        <v/>
      </c>
      <c r="I230" s="393">
        <f>IF(D230="","",IF(C230="Abschlagsrechnung",MAX(0,MIN(D230*$E$7,IF($E$8&gt;0,$B$6*$E$8-SUM($I$12:I229),D230*$E$7))),0))</f>
        <v/>
      </c>
      <c r="J230" s="393">
        <f>IF(D230="","",SUM(F230:I230))</f>
        <v/>
      </c>
      <c r="K230" s="393">
        <f>IF(D230="","",D230-J230)</f>
        <v/>
      </c>
      <c r="L230" s="399" t="n"/>
      <c r="M230" s="400" t="n"/>
      <c r="N230" s="401" t="n"/>
      <c r="O230" s="401" t="n"/>
      <c r="P230" s="401" t="n"/>
      <c r="Q230" s="401" t="n"/>
      <c r="R230" s="401" t="n"/>
      <c r="S230" s="393">
        <f>IF(COUNTA(O230:R230)=0,"",SUM(O230:R230))</f>
        <v/>
      </c>
      <c r="T230" s="393">
        <f>IF(N230="","",N230-IF(S230="",0,S230))</f>
        <v/>
      </c>
      <c r="U230" s="402">
        <f>IF(OR(D230="",N230=""),"",N230-D230)</f>
        <v/>
      </c>
      <c r="V230" s="393">
        <f>IF(OR(K230="",T230=""),"",T230-K230)</f>
        <v/>
      </c>
      <c r="W230" s="395" t="n"/>
    </row>
    <row r="231">
      <c r="A231" s="389">
        <f>IF(Rechnungsstand!B225="","",Rechnungsstand!A225)</f>
        <v/>
      </c>
      <c r="B231" s="390">
        <f>IF(Rechnungsstand!B225="","",Rechnungsstand!B225)</f>
        <v/>
      </c>
      <c r="C231" s="391">
        <f>IF(Rechnungsstand!B225="","",Rechnungsstand!C225)</f>
        <v/>
      </c>
      <c r="D231" s="392">
        <f>IF(Rechnungsstand!B225="","",Rechnungsstand!F225)</f>
        <v/>
      </c>
      <c r="E231" s="393">
        <f>IF(D231="","",SUM($D$12:D231))</f>
        <v/>
      </c>
      <c r="F231" s="393">
        <f>IF(D231="","",D231*$B$7)</f>
        <v/>
      </c>
      <c r="G231" s="393">
        <f>IF(D231="","",D231*$B$8)</f>
        <v/>
      </c>
      <c r="H231" s="393">
        <f>IF(D231="","",D231*$B$9)</f>
        <v/>
      </c>
      <c r="I231" s="393">
        <f>IF(D231="","",IF(C231="Abschlagsrechnung",MAX(0,MIN(D231*$E$7,IF($E$8&gt;0,$B$6*$E$8-SUM($I$12:I230),D231*$E$7))),0))</f>
        <v/>
      </c>
      <c r="J231" s="393">
        <f>IF(D231="","",SUM(F231:I231))</f>
        <v/>
      </c>
      <c r="K231" s="393">
        <f>IF(D231="","",D231-J231)</f>
        <v/>
      </c>
      <c r="L231" s="399" t="n"/>
      <c r="M231" s="400" t="n"/>
      <c r="N231" s="401" t="n"/>
      <c r="O231" s="401" t="n"/>
      <c r="P231" s="401" t="n"/>
      <c r="Q231" s="401" t="n"/>
      <c r="R231" s="401" t="n"/>
      <c r="S231" s="393">
        <f>IF(COUNTA(O231:R231)=0,"",SUM(O231:R231))</f>
        <v/>
      </c>
      <c r="T231" s="393">
        <f>IF(N231="","",N231-IF(S231="",0,S231))</f>
        <v/>
      </c>
      <c r="U231" s="402">
        <f>IF(OR(D231="",N231=""),"",N231-D231)</f>
        <v/>
      </c>
      <c r="V231" s="393">
        <f>IF(OR(K231="",T231=""),"",T231-K231)</f>
        <v/>
      </c>
      <c r="W231" s="395" t="n"/>
    </row>
    <row r="232">
      <c r="A232" s="389">
        <f>IF(Rechnungsstand!B226="","",Rechnungsstand!A226)</f>
        <v/>
      </c>
      <c r="B232" s="390">
        <f>IF(Rechnungsstand!B226="","",Rechnungsstand!B226)</f>
        <v/>
      </c>
      <c r="C232" s="391">
        <f>IF(Rechnungsstand!B226="","",Rechnungsstand!C226)</f>
        <v/>
      </c>
      <c r="D232" s="392">
        <f>IF(Rechnungsstand!B226="","",Rechnungsstand!F226)</f>
        <v/>
      </c>
      <c r="E232" s="393">
        <f>IF(D232="","",SUM($D$12:D232))</f>
        <v/>
      </c>
      <c r="F232" s="393">
        <f>IF(D232="","",D232*$B$7)</f>
        <v/>
      </c>
      <c r="G232" s="393">
        <f>IF(D232="","",D232*$B$8)</f>
        <v/>
      </c>
      <c r="H232" s="393">
        <f>IF(D232="","",D232*$B$9)</f>
        <v/>
      </c>
      <c r="I232" s="393">
        <f>IF(D232="","",IF(C232="Abschlagsrechnung",MAX(0,MIN(D232*$E$7,IF($E$8&gt;0,$B$6*$E$8-SUM($I$12:I231),D232*$E$7))),0))</f>
        <v/>
      </c>
      <c r="J232" s="393">
        <f>IF(D232="","",SUM(F232:I232))</f>
        <v/>
      </c>
      <c r="K232" s="393">
        <f>IF(D232="","",D232-J232)</f>
        <v/>
      </c>
      <c r="L232" s="399" t="n"/>
      <c r="M232" s="400" t="n"/>
      <c r="N232" s="401" t="n"/>
      <c r="O232" s="401" t="n"/>
      <c r="P232" s="401" t="n"/>
      <c r="Q232" s="401" t="n"/>
      <c r="R232" s="401" t="n"/>
      <c r="S232" s="393">
        <f>IF(COUNTA(O232:R232)=0,"",SUM(O232:R232))</f>
        <v/>
      </c>
      <c r="T232" s="393">
        <f>IF(N232="","",N232-IF(S232="",0,S232))</f>
        <v/>
      </c>
      <c r="U232" s="402">
        <f>IF(OR(D232="",N232=""),"",N232-D232)</f>
        <v/>
      </c>
      <c r="V232" s="393">
        <f>IF(OR(K232="",T232=""),"",T232-K232)</f>
        <v/>
      </c>
      <c r="W232" s="395" t="n"/>
    </row>
    <row r="233">
      <c r="A233" s="389">
        <f>IF(Rechnungsstand!B227="","",Rechnungsstand!A227)</f>
        <v/>
      </c>
      <c r="B233" s="390">
        <f>IF(Rechnungsstand!B227="","",Rechnungsstand!B227)</f>
        <v/>
      </c>
      <c r="C233" s="391">
        <f>IF(Rechnungsstand!B227="","",Rechnungsstand!C227)</f>
        <v/>
      </c>
      <c r="D233" s="392">
        <f>IF(Rechnungsstand!B227="","",Rechnungsstand!F227)</f>
        <v/>
      </c>
      <c r="E233" s="393">
        <f>IF(D233="","",SUM($D$12:D233))</f>
        <v/>
      </c>
      <c r="F233" s="393">
        <f>IF(D233="","",D233*$B$7)</f>
        <v/>
      </c>
      <c r="G233" s="393">
        <f>IF(D233="","",D233*$B$8)</f>
        <v/>
      </c>
      <c r="H233" s="393">
        <f>IF(D233="","",D233*$B$9)</f>
        <v/>
      </c>
      <c r="I233" s="393">
        <f>IF(D233="","",IF(C233="Abschlagsrechnung",MAX(0,MIN(D233*$E$7,IF($E$8&gt;0,$B$6*$E$8-SUM($I$12:I232),D233*$E$7))),0))</f>
        <v/>
      </c>
      <c r="J233" s="393">
        <f>IF(D233="","",SUM(F233:I233))</f>
        <v/>
      </c>
      <c r="K233" s="393">
        <f>IF(D233="","",D233-J233)</f>
        <v/>
      </c>
      <c r="L233" s="399" t="n"/>
      <c r="M233" s="400" t="n"/>
      <c r="N233" s="401" t="n"/>
      <c r="O233" s="401" t="n"/>
      <c r="P233" s="401" t="n"/>
      <c r="Q233" s="401" t="n"/>
      <c r="R233" s="401" t="n"/>
      <c r="S233" s="393">
        <f>IF(COUNTA(O233:R233)=0,"",SUM(O233:R233))</f>
        <v/>
      </c>
      <c r="T233" s="393">
        <f>IF(N233="","",N233-IF(S233="",0,S233))</f>
        <v/>
      </c>
      <c r="U233" s="402">
        <f>IF(OR(D233="",N233=""),"",N233-D233)</f>
        <v/>
      </c>
      <c r="V233" s="393">
        <f>IF(OR(K233="",T233=""),"",T233-K233)</f>
        <v/>
      </c>
      <c r="W233" s="395" t="n"/>
    </row>
    <row r="234">
      <c r="A234" s="389">
        <f>IF(Rechnungsstand!B228="","",Rechnungsstand!A228)</f>
        <v/>
      </c>
      <c r="B234" s="390">
        <f>IF(Rechnungsstand!B228="","",Rechnungsstand!B228)</f>
        <v/>
      </c>
      <c r="C234" s="391">
        <f>IF(Rechnungsstand!B228="","",Rechnungsstand!C228)</f>
        <v/>
      </c>
      <c r="D234" s="392">
        <f>IF(Rechnungsstand!B228="","",Rechnungsstand!F228)</f>
        <v/>
      </c>
      <c r="E234" s="393">
        <f>IF(D234="","",SUM($D$12:D234))</f>
        <v/>
      </c>
      <c r="F234" s="393">
        <f>IF(D234="","",D234*$B$7)</f>
        <v/>
      </c>
      <c r="G234" s="393">
        <f>IF(D234="","",D234*$B$8)</f>
        <v/>
      </c>
      <c r="H234" s="393">
        <f>IF(D234="","",D234*$B$9)</f>
        <v/>
      </c>
      <c r="I234" s="393">
        <f>IF(D234="","",IF(C234="Abschlagsrechnung",MAX(0,MIN(D234*$E$7,IF($E$8&gt;0,$B$6*$E$8-SUM($I$12:I233),D234*$E$7))),0))</f>
        <v/>
      </c>
      <c r="J234" s="393">
        <f>IF(D234="","",SUM(F234:I234))</f>
        <v/>
      </c>
      <c r="K234" s="393">
        <f>IF(D234="","",D234-J234)</f>
        <v/>
      </c>
      <c r="L234" s="399" t="n"/>
      <c r="M234" s="400" t="n"/>
      <c r="N234" s="401" t="n"/>
      <c r="O234" s="401" t="n"/>
      <c r="P234" s="401" t="n"/>
      <c r="Q234" s="401" t="n"/>
      <c r="R234" s="401" t="n"/>
      <c r="S234" s="393">
        <f>IF(COUNTA(O234:R234)=0,"",SUM(O234:R234))</f>
        <v/>
      </c>
      <c r="T234" s="393">
        <f>IF(N234="","",N234-IF(S234="",0,S234))</f>
        <v/>
      </c>
      <c r="U234" s="402">
        <f>IF(OR(D234="",N234=""),"",N234-D234)</f>
        <v/>
      </c>
      <c r="V234" s="393">
        <f>IF(OR(K234="",T234=""),"",T234-K234)</f>
        <v/>
      </c>
      <c r="W234" s="395" t="n"/>
    </row>
    <row r="235">
      <c r="A235" s="389">
        <f>IF(Rechnungsstand!B229="","",Rechnungsstand!A229)</f>
        <v/>
      </c>
      <c r="B235" s="390">
        <f>IF(Rechnungsstand!B229="","",Rechnungsstand!B229)</f>
        <v/>
      </c>
      <c r="C235" s="391">
        <f>IF(Rechnungsstand!B229="","",Rechnungsstand!C229)</f>
        <v/>
      </c>
      <c r="D235" s="392">
        <f>IF(Rechnungsstand!B229="","",Rechnungsstand!F229)</f>
        <v/>
      </c>
      <c r="E235" s="393">
        <f>IF(D235="","",SUM($D$12:D235))</f>
        <v/>
      </c>
      <c r="F235" s="393">
        <f>IF(D235="","",D235*$B$7)</f>
        <v/>
      </c>
      <c r="G235" s="393">
        <f>IF(D235="","",D235*$B$8)</f>
        <v/>
      </c>
      <c r="H235" s="393">
        <f>IF(D235="","",D235*$B$9)</f>
        <v/>
      </c>
      <c r="I235" s="393">
        <f>IF(D235="","",IF(C235="Abschlagsrechnung",MAX(0,MIN(D235*$E$7,IF($E$8&gt;0,$B$6*$E$8-SUM($I$12:I234),D235*$E$7))),0))</f>
        <v/>
      </c>
      <c r="J235" s="393">
        <f>IF(D235="","",SUM(F235:I235))</f>
        <v/>
      </c>
      <c r="K235" s="393">
        <f>IF(D235="","",D235-J235)</f>
        <v/>
      </c>
      <c r="L235" s="399" t="n"/>
      <c r="M235" s="400" t="n"/>
      <c r="N235" s="401" t="n"/>
      <c r="O235" s="401" t="n"/>
      <c r="P235" s="401" t="n"/>
      <c r="Q235" s="401" t="n"/>
      <c r="R235" s="401" t="n"/>
      <c r="S235" s="393">
        <f>IF(COUNTA(O235:R235)=0,"",SUM(O235:R235))</f>
        <v/>
      </c>
      <c r="T235" s="393">
        <f>IF(N235="","",N235-IF(S235="",0,S235))</f>
        <v/>
      </c>
      <c r="U235" s="402">
        <f>IF(OR(D235="",N235=""),"",N235-D235)</f>
        <v/>
      </c>
      <c r="V235" s="393">
        <f>IF(OR(K235="",T235=""),"",T235-K235)</f>
        <v/>
      </c>
      <c r="W235" s="395" t="n"/>
    </row>
    <row r="236">
      <c r="A236" s="389">
        <f>IF(Rechnungsstand!B230="","",Rechnungsstand!A230)</f>
        <v/>
      </c>
      <c r="B236" s="390">
        <f>IF(Rechnungsstand!B230="","",Rechnungsstand!B230)</f>
        <v/>
      </c>
      <c r="C236" s="391">
        <f>IF(Rechnungsstand!B230="","",Rechnungsstand!C230)</f>
        <v/>
      </c>
      <c r="D236" s="392">
        <f>IF(Rechnungsstand!B230="","",Rechnungsstand!F230)</f>
        <v/>
      </c>
      <c r="E236" s="393">
        <f>IF(D236="","",SUM($D$12:D236))</f>
        <v/>
      </c>
      <c r="F236" s="393">
        <f>IF(D236="","",D236*$B$7)</f>
        <v/>
      </c>
      <c r="G236" s="393">
        <f>IF(D236="","",D236*$B$8)</f>
        <v/>
      </c>
      <c r="H236" s="393">
        <f>IF(D236="","",D236*$B$9)</f>
        <v/>
      </c>
      <c r="I236" s="393">
        <f>IF(D236="","",IF(C236="Abschlagsrechnung",MAX(0,MIN(D236*$E$7,IF($E$8&gt;0,$B$6*$E$8-SUM($I$12:I235),D236*$E$7))),0))</f>
        <v/>
      </c>
      <c r="J236" s="393">
        <f>IF(D236="","",SUM(F236:I236))</f>
        <v/>
      </c>
      <c r="K236" s="393">
        <f>IF(D236="","",D236-J236)</f>
        <v/>
      </c>
      <c r="L236" s="399" t="n"/>
      <c r="M236" s="400" t="n"/>
      <c r="N236" s="401" t="n"/>
      <c r="O236" s="401" t="n"/>
      <c r="P236" s="401" t="n"/>
      <c r="Q236" s="401" t="n"/>
      <c r="R236" s="401" t="n"/>
      <c r="S236" s="393">
        <f>IF(COUNTA(O236:R236)=0,"",SUM(O236:R236))</f>
        <v/>
      </c>
      <c r="T236" s="393">
        <f>IF(N236="","",N236-IF(S236="",0,S236))</f>
        <v/>
      </c>
      <c r="U236" s="402">
        <f>IF(OR(D236="",N236=""),"",N236-D236)</f>
        <v/>
      </c>
      <c r="V236" s="393">
        <f>IF(OR(K236="",T236=""),"",T236-K236)</f>
        <v/>
      </c>
      <c r="W236" s="395" t="n"/>
    </row>
    <row r="237">
      <c r="A237" s="389">
        <f>IF(Rechnungsstand!B231="","",Rechnungsstand!A231)</f>
        <v/>
      </c>
      <c r="B237" s="390">
        <f>IF(Rechnungsstand!B231="","",Rechnungsstand!B231)</f>
        <v/>
      </c>
      <c r="C237" s="391">
        <f>IF(Rechnungsstand!B231="","",Rechnungsstand!C231)</f>
        <v/>
      </c>
      <c r="D237" s="392">
        <f>IF(Rechnungsstand!B231="","",Rechnungsstand!F231)</f>
        <v/>
      </c>
      <c r="E237" s="393">
        <f>IF(D237="","",SUM($D$12:D237))</f>
        <v/>
      </c>
      <c r="F237" s="393">
        <f>IF(D237="","",D237*$B$7)</f>
        <v/>
      </c>
      <c r="G237" s="393">
        <f>IF(D237="","",D237*$B$8)</f>
        <v/>
      </c>
      <c r="H237" s="393">
        <f>IF(D237="","",D237*$B$9)</f>
        <v/>
      </c>
      <c r="I237" s="393">
        <f>IF(D237="","",IF(C237="Abschlagsrechnung",MAX(0,MIN(D237*$E$7,IF($E$8&gt;0,$B$6*$E$8-SUM($I$12:I236),D237*$E$7))),0))</f>
        <v/>
      </c>
      <c r="J237" s="393">
        <f>IF(D237="","",SUM(F237:I237))</f>
        <v/>
      </c>
      <c r="K237" s="393">
        <f>IF(D237="","",D237-J237)</f>
        <v/>
      </c>
      <c r="L237" s="399" t="n"/>
      <c r="M237" s="400" t="n"/>
      <c r="N237" s="401" t="n"/>
      <c r="O237" s="401" t="n"/>
      <c r="P237" s="401" t="n"/>
      <c r="Q237" s="401" t="n"/>
      <c r="R237" s="401" t="n"/>
      <c r="S237" s="393">
        <f>IF(COUNTA(O237:R237)=0,"",SUM(O237:R237))</f>
        <v/>
      </c>
      <c r="T237" s="393">
        <f>IF(N237="","",N237-IF(S237="",0,S237))</f>
        <v/>
      </c>
      <c r="U237" s="402">
        <f>IF(OR(D237="",N237=""),"",N237-D237)</f>
        <v/>
      </c>
      <c r="V237" s="393">
        <f>IF(OR(K237="",T237=""),"",T237-K237)</f>
        <v/>
      </c>
      <c r="W237" s="395" t="n"/>
    </row>
    <row r="238">
      <c r="A238" s="389">
        <f>IF(Rechnungsstand!B232="","",Rechnungsstand!A232)</f>
        <v/>
      </c>
      <c r="B238" s="390">
        <f>IF(Rechnungsstand!B232="","",Rechnungsstand!B232)</f>
        <v/>
      </c>
      <c r="C238" s="391">
        <f>IF(Rechnungsstand!B232="","",Rechnungsstand!C232)</f>
        <v/>
      </c>
      <c r="D238" s="392">
        <f>IF(Rechnungsstand!B232="","",Rechnungsstand!F232)</f>
        <v/>
      </c>
      <c r="E238" s="393">
        <f>IF(D238="","",SUM($D$12:D238))</f>
        <v/>
      </c>
      <c r="F238" s="393">
        <f>IF(D238="","",D238*$B$7)</f>
        <v/>
      </c>
      <c r="G238" s="393">
        <f>IF(D238="","",D238*$B$8)</f>
        <v/>
      </c>
      <c r="H238" s="393">
        <f>IF(D238="","",D238*$B$9)</f>
        <v/>
      </c>
      <c r="I238" s="393">
        <f>IF(D238="","",IF(C238="Abschlagsrechnung",MAX(0,MIN(D238*$E$7,IF($E$8&gt;0,$B$6*$E$8-SUM($I$12:I237),D238*$E$7))),0))</f>
        <v/>
      </c>
      <c r="J238" s="393">
        <f>IF(D238="","",SUM(F238:I238))</f>
        <v/>
      </c>
      <c r="K238" s="393">
        <f>IF(D238="","",D238-J238)</f>
        <v/>
      </c>
      <c r="L238" s="399" t="n"/>
      <c r="M238" s="400" t="n"/>
      <c r="N238" s="401" t="n"/>
      <c r="O238" s="401" t="n"/>
      <c r="P238" s="401" t="n"/>
      <c r="Q238" s="401" t="n"/>
      <c r="R238" s="401" t="n"/>
      <c r="S238" s="393">
        <f>IF(COUNTA(O238:R238)=0,"",SUM(O238:R238))</f>
        <v/>
      </c>
      <c r="T238" s="393">
        <f>IF(N238="","",N238-IF(S238="",0,S238))</f>
        <v/>
      </c>
      <c r="U238" s="402">
        <f>IF(OR(D238="",N238=""),"",N238-D238)</f>
        <v/>
      </c>
      <c r="V238" s="393">
        <f>IF(OR(K238="",T238=""),"",T238-K238)</f>
        <v/>
      </c>
      <c r="W238" s="395" t="n"/>
    </row>
    <row r="239">
      <c r="A239" s="389">
        <f>IF(Rechnungsstand!B233="","",Rechnungsstand!A233)</f>
        <v/>
      </c>
      <c r="B239" s="390">
        <f>IF(Rechnungsstand!B233="","",Rechnungsstand!B233)</f>
        <v/>
      </c>
      <c r="C239" s="391">
        <f>IF(Rechnungsstand!B233="","",Rechnungsstand!C233)</f>
        <v/>
      </c>
      <c r="D239" s="392">
        <f>IF(Rechnungsstand!B233="","",Rechnungsstand!F233)</f>
        <v/>
      </c>
      <c r="E239" s="393">
        <f>IF(D239="","",SUM($D$12:D239))</f>
        <v/>
      </c>
      <c r="F239" s="393">
        <f>IF(D239="","",D239*$B$7)</f>
        <v/>
      </c>
      <c r="G239" s="393">
        <f>IF(D239="","",D239*$B$8)</f>
        <v/>
      </c>
      <c r="H239" s="393">
        <f>IF(D239="","",D239*$B$9)</f>
        <v/>
      </c>
      <c r="I239" s="393">
        <f>IF(D239="","",IF(C239="Abschlagsrechnung",MAX(0,MIN(D239*$E$7,IF($E$8&gt;0,$B$6*$E$8-SUM($I$12:I238),D239*$E$7))),0))</f>
        <v/>
      </c>
      <c r="J239" s="393">
        <f>IF(D239="","",SUM(F239:I239))</f>
        <v/>
      </c>
      <c r="K239" s="393">
        <f>IF(D239="","",D239-J239)</f>
        <v/>
      </c>
      <c r="L239" s="399" t="n"/>
      <c r="M239" s="400" t="n"/>
      <c r="N239" s="401" t="n"/>
      <c r="O239" s="401" t="n"/>
      <c r="P239" s="401" t="n"/>
      <c r="Q239" s="401" t="n"/>
      <c r="R239" s="401" t="n"/>
      <c r="S239" s="393">
        <f>IF(COUNTA(O239:R239)=0,"",SUM(O239:R239))</f>
        <v/>
      </c>
      <c r="T239" s="393">
        <f>IF(N239="","",N239-IF(S239="",0,S239))</f>
        <v/>
      </c>
      <c r="U239" s="402">
        <f>IF(OR(D239="",N239=""),"",N239-D239)</f>
        <v/>
      </c>
      <c r="V239" s="393">
        <f>IF(OR(K239="",T239=""),"",T239-K239)</f>
        <v/>
      </c>
      <c r="W239" s="395" t="n"/>
    </row>
    <row r="240">
      <c r="A240" s="389">
        <f>IF(Rechnungsstand!B234="","",Rechnungsstand!A234)</f>
        <v/>
      </c>
      <c r="B240" s="390">
        <f>IF(Rechnungsstand!B234="","",Rechnungsstand!B234)</f>
        <v/>
      </c>
      <c r="C240" s="391">
        <f>IF(Rechnungsstand!B234="","",Rechnungsstand!C234)</f>
        <v/>
      </c>
      <c r="D240" s="392">
        <f>IF(Rechnungsstand!B234="","",Rechnungsstand!F234)</f>
        <v/>
      </c>
      <c r="E240" s="393">
        <f>IF(D240="","",SUM($D$12:D240))</f>
        <v/>
      </c>
      <c r="F240" s="393">
        <f>IF(D240="","",D240*$B$7)</f>
        <v/>
      </c>
      <c r="G240" s="393">
        <f>IF(D240="","",D240*$B$8)</f>
        <v/>
      </c>
      <c r="H240" s="393">
        <f>IF(D240="","",D240*$B$9)</f>
        <v/>
      </c>
      <c r="I240" s="393">
        <f>IF(D240="","",IF(C240="Abschlagsrechnung",MAX(0,MIN(D240*$E$7,IF($E$8&gt;0,$B$6*$E$8-SUM($I$12:I239),D240*$E$7))),0))</f>
        <v/>
      </c>
      <c r="J240" s="393">
        <f>IF(D240="","",SUM(F240:I240))</f>
        <v/>
      </c>
      <c r="K240" s="393">
        <f>IF(D240="","",D240-J240)</f>
        <v/>
      </c>
      <c r="L240" s="399" t="n"/>
      <c r="M240" s="400" t="n"/>
      <c r="N240" s="401" t="n"/>
      <c r="O240" s="401" t="n"/>
      <c r="P240" s="401" t="n"/>
      <c r="Q240" s="401" t="n"/>
      <c r="R240" s="401" t="n"/>
      <c r="S240" s="393">
        <f>IF(COUNTA(O240:R240)=0,"",SUM(O240:R240))</f>
        <v/>
      </c>
      <c r="T240" s="393">
        <f>IF(N240="","",N240-IF(S240="",0,S240))</f>
        <v/>
      </c>
      <c r="U240" s="402">
        <f>IF(OR(D240="",N240=""),"",N240-D240)</f>
        <v/>
      </c>
      <c r="V240" s="393">
        <f>IF(OR(K240="",T240=""),"",T240-K240)</f>
        <v/>
      </c>
      <c r="W240" s="395" t="n"/>
    </row>
    <row r="241">
      <c r="A241" s="389">
        <f>IF(Rechnungsstand!B235="","",Rechnungsstand!A235)</f>
        <v/>
      </c>
      <c r="B241" s="390">
        <f>IF(Rechnungsstand!B235="","",Rechnungsstand!B235)</f>
        <v/>
      </c>
      <c r="C241" s="391">
        <f>IF(Rechnungsstand!B235="","",Rechnungsstand!C235)</f>
        <v/>
      </c>
      <c r="D241" s="392">
        <f>IF(Rechnungsstand!B235="","",Rechnungsstand!F235)</f>
        <v/>
      </c>
      <c r="E241" s="393">
        <f>IF(D241="","",SUM($D$12:D241))</f>
        <v/>
      </c>
      <c r="F241" s="393">
        <f>IF(D241="","",D241*$B$7)</f>
        <v/>
      </c>
      <c r="G241" s="393">
        <f>IF(D241="","",D241*$B$8)</f>
        <v/>
      </c>
      <c r="H241" s="393">
        <f>IF(D241="","",D241*$B$9)</f>
        <v/>
      </c>
      <c r="I241" s="393">
        <f>IF(D241="","",IF(C241="Abschlagsrechnung",MAX(0,MIN(D241*$E$7,IF($E$8&gt;0,$B$6*$E$8-SUM($I$12:I240),D241*$E$7))),0))</f>
        <v/>
      </c>
      <c r="J241" s="393">
        <f>IF(D241="","",SUM(F241:I241))</f>
        <v/>
      </c>
      <c r="K241" s="393">
        <f>IF(D241="","",D241-J241)</f>
        <v/>
      </c>
      <c r="L241" s="399" t="n"/>
      <c r="M241" s="400" t="n"/>
      <c r="N241" s="401" t="n"/>
      <c r="O241" s="401" t="n"/>
      <c r="P241" s="401" t="n"/>
      <c r="Q241" s="401" t="n"/>
      <c r="R241" s="401" t="n"/>
      <c r="S241" s="393">
        <f>IF(COUNTA(O241:R241)=0,"",SUM(O241:R241))</f>
        <v/>
      </c>
      <c r="T241" s="393">
        <f>IF(N241="","",N241-IF(S241="",0,S241))</f>
        <v/>
      </c>
      <c r="U241" s="402">
        <f>IF(OR(D241="",N241=""),"",N241-D241)</f>
        <v/>
      </c>
      <c r="V241" s="393">
        <f>IF(OR(K241="",T241=""),"",T241-K241)</f>
        <v/>
      </c>
      <c r="W241" s="395" t="n"/>
    </row>
    <row r="242">
      <c r="A242" s="389">
        <f>IF(Rechnungsstand!B236="","",Rechnungsstand!A236)</f>
        <v/>
      </c>
      <c r="B242" s="390">
        <f>IF(Rechnungsstand!B236="","",Rechnungsstand!B236)</f>
        <v/>
      </c>
      <c r="C242" s="391">
        <f>IF(Rechnungsstand!B236="","",Rechnungsstand!C236)</f>
        <v/>
      </c>
      <c r="D242" s="392">
        <f>IF(Rechnungsstand!B236="","",Rechnungsstand!F236)</f>
        <v/>
      </c>
      <c r="E242" s="393">
        <f>IF(D242="","",SUM($D$12:D242))</f>
        <v/>
      </c>
      <c r="F242" s="393">
        <f>IF(D242="","",D242*$B$7)</f>
        <v/>
      </c>
      <c r="G242" s="393">
        <f>IF(D242="","",D242*$B$8)</f>
        <v/>
      </c>
      <c r="H242" s="393">
        <f>IF(D242="","",D242*$B$9)</f>
        <v/>
      </c>
      <c r="I242" s="393">
        <f>IF(D242="","",IF(C242="Abschlagsrechnung",MAX(0,MIN(D242*$E$7,IF($E$8&gt;0,$B$6*$E$8-SUM($I$12:I241),D242*$E$7))),0))</f>
        <v/>
      </c>
      <c r="J242" s="393">
        <f>IF(D242="","",SUM(F242:I242))</f>
        <v/>
      </c>
      <c r="K242" s="393">
        <f>IF(D242="","",D242-J242)</f>
        <v/>
      </c>
      <c r="L242" s="399" t="n"/>
      <c r="M242" s="400" t="n"/>
      <c r="N242" s="401" t="n"/>
      <c r="O242" s="401" t="n"/>
      <c r="P242" s="401" t="n"/>
      <c r="Q242" s="401" t="n"/>
      <c r="R242" s="401" t="n"/>
      <c r="S242" s="393">
        <f>IF(COUNTA(O242:R242)=0,"",SUM(O242:R242))</f>
        <v/>
      </c>
      <c r="T242" s="393">
        <f>IF(N242="","",N242-IF(S242="",0,S242))</f>
        <v/>
      </c>
      <c r="U242" s="402">
        <f>IF(OR(D242="",N242=""),"",N242-D242)</f>
        <v/>
      </c>
      <c r="V242" s="393">
        <f>IF(OR(K242="",T242=""),"",T242-K242)</f>
        <v/>
      </c>
      <c r="W242" s="395" t="n"/>
    </row>
    <row r="243">
      <c r="A243" s="389">
        <f>IF(Rechnungsstand!B237="","",Rechnungsstand!A237)</f>
        <v/>
      </c>
      <c r="B243" s="390">
        <f>IF(Rechnungsstand!B237="","",Rechnungsstand!B237)</f>
        <v/>
      </c>
      <c r="C243" s="391">
        <f>IF(Rechnungsstand!B237="","",Rechnungsstand!C237)</f>
        <v/>
      </c>
      <c r="D243" s="392">
        <f>IF(Rechnungsstand!B237="","",Rechnungsstand!F237)</f>
        <v/>
      </c>
      <c r="E243" s="393">
        <f>IF(D243="","",SUM($D$12:D243))</f>
        <v/>
      </c>
      <c r="F243" s="393">
        <f>IF(D243="","",D243*$B$7)</f>
        <v/>
      </c>
      <c r="G243" s="393">
        <f>IF(D243="","",D243*$B$8)</f>
        <v/>
      </c>
      <c r="H243" s="393">
        <f>IF(D243="","",D243*$B$9)</f>
        <v/>
      </c>
      <c r="I243" s="393">
        <f>IF(D243="","",IF(C243="Abschlagsrechnung",MAX(0,MIN(D243*$E$7,IF($E$8&gt;0,$B$6*$E$8-SUM($I$12:I242),D243*$E$7))),0))</f>
        <v/>
      </c>
      <c r="J243" s="393">
        <f>IF(D243="","",SUM(F243:I243))</f>
        <v/>
      </c>
      <c r="K243" s="393">
        <f>IF(D243="","",D243-J243)</f>
        <v/>
      </c>
      <c r="L243" s="399" t="n"/>
      <c r="M243" s="400" t="n"/>
      <c r="N243" s="401" t="n"/>
      <c r="O243" s="401" t="n"/>
      <c r="P243" s="401" t="n"/>
      <c r="Q243" s="401" t="n"/>
      <c r="R243" s="401" t="n"/>
      <c r="S243" s="393">
        <f>IF(COUNTA(O243:R243)=0,"",SUM(O243:R243))</f>
        <v/>
      </c>
      <c r="T243" s="393">
        <f>IF(N243="","",N243-IF(S243="",0,S243))</f>
        <v/>
      </c>
      <c r="U243" s="402">
        <f>IF(OR(D243="",N243=""),"",N243-D243)</f>
        <v/>
      </c>
      <c r="V243" s="393">
        <f>IF(OR(K243="",T243=""),"",T243-K243)</f>
        <v/>
      </c>
      <c r="W243" s="395" t="n"/>
    </row>
    <row r="244">
      <c r="A244" s="389">
        <f>IF(Rechnungsstand!B238="","",Rechnungsstand!A238)</f>
        <v/>
      </c>
      <c r="B244" s="390">
        <f>IF(Rechnungsstand!B238="","",Rechnungsstand!B238)</f>
        <v/>
      </c>
      <c r="C244" s="391">
        <f>IF(Rechnungsstand!B238="","",Rechnungsstand!C238)</f>
        <v/>
      </c>
      <c r="D244" s="392">
        <f>IF(Rechnungsstand!B238="","",Rechnungsstand!F238)</f>
        <v/>
      </c>
      <c r="E244" s="393">
        <f>IF(D244="","",SUM($D$12:D244))</f>
        <v/>
      </c>
      <c r="F244" s="393">
        <f>IF(D244="","",D244*$B$7)</f>
        <v/>
      </c>
      <c r="G244" s="393">
        <f>IF(D244="","",D244*$B$8)</f>
        <v/>
      </c>
      <c r="H244" s="393">
        <f>IF(D244="","",D244*$B$9)</f>
        <v/>
      </c>
      <c r="I244" s="393">
        <f>IF(D244="","",IF(C244="Abschlagsrechnung",MAX(0,MIN(D244*$E$7,IF($E$8&gt;0,$B$6*$E$8-SUM($I$12:I243),D244*$E$7))),0))</f>
        <v/>
      </c>
      <c r="J244" s="393">
        <f>IF(D244="","",SUM(F244:I244))</f>
        <v/>
      </c>
      <c r="K244" s="393">
        <f>IF(D244="","",D244-J244)</f>
        <v/>
      </c>
      <c r="L244" s="399" t="n"/>
      <c r="M244" s="400" t="n"/>
      <c r="N244" s="401" t="n"/>
      <c r="O244" s="401" t="n"/>
      <c r="P244" s="401" t="n"/>
      <c r="Q244" s="401" t="n"/>
      <c r="R244" s="401" t="n"/>
      <c r="S244" s="393">
        <f>IF(COUNTA(O244:R244)=0,"",SUM(O244:R244))</f>
        <v/>
      </c>
      <c r="T244" s="393">
        <f>IF(N244="","",N244-IF(S244="",0,S244))</f>
        <v/>
      </c>
      <c r="U244" s="402">
        <f>IF(OR(D244="",N244=""),"",N244-D244)</f>
        <v/>
      </c>
      <c r="V244" s="393">
        <f>IF(OR(K244="",T244=""),"",T244-K244)</f>
        <v/>
      </c>
      <c r="W244" s="395" t="n"/>
    </row>
    <row r="245">
      <c r="A245" s="389">
        <f>IF(Rechnungsstand!B239="","",Rechnungsstand!A239)</f>
        <v/>
      </c>
      <c r="B245" s="390">
        <f>IF(Rechnungsstand!B239="","",Rechnungsstand!B239)</f>
        <v/>
      </c>
      <c r="C245" s="391">
        <f>IF(Rechnungsstand!B239="","",Rechnungsstand!C239)</f>
        <v/>
      </c>
      <c r="D245" s="392">
        <f>IF(Rechnungsstand!B239="","",Rechnungsstand!F239)</f>
        <v/>
      </c>
      <c r="E245" s="393">
        <f>IF(D245="","",SUM($D$12:D245))</f>
        <v/>
      </c>
      <c r="F245" s="393">
        <f>IF(D245="","",D245*$B$7)</f>
        <v/>
      </c>
      <c r="G245" s="393">
        <f>IF(D245="","",D245*$B$8)</f>
        <v/>
      </c>
      <c r="H245" s="393">
        <f>IF(D245="","",D245*$B$9)</f>
        <v/>
      </c>
      <c r="I245" s="393">
        <f>IF(D245="","",IF(C245="Abschlagsrechnung",MAX(0,MIN(D245*$E$7,IF($E$8&gt;0,$B$6*$E$8-SUM($I$12:I244),D245*$E$7))),0))</f>
        <v/>
      </c>
      <c r="J245" s="393">
        <f>IF(D245="","",SUM(F245:I245))</f>
        <v/>
      </c>
      <c r="K245" s="393">
        <f>IF(D245="","",D245-J245)</f>
        <v/>
      </c>
      <c r="L245" s="399" t="n"/>
      <c r="M245" s="400" t="n"/>
      <c r="N245" s="401" t="n"/>
      <c r="O245" s="401" t="n"/>
      <c r="P245" s="401" t="n"/>
      <c r="Q245" s="401" t="n"/>
      <c r="R245" s="401" t="n"/>
      <c r="S245" s="393">
        <f>IF(COUNTA(O245:R245)=0,"",SUM(O245:R245))</f>
        <v/>
      </c>
      <c r="T245" s="393">
        <f>IF(N245="","",N245-IF(S245="",0,S245))</f>
        <v/>
      </c>
      <c r="U245" s="402">
        <f>IF(OR(D245="",N245=""),"",N245-D245)</f>
        <v/>
      </c>
      <c r="V245" s="393">
        <f>IF(OR(K245="",T245=""),"",T245-K245)</f>
        <v/>
      </c>
      <c r="W245" s="395" t="n"/>
    </row>
    <row r="246">
      <c r="A246" s="389">
        <f>IF(Rechnungsstand!B240="","",Rechnungsstand!A240)</f>
        <v/>
      </c>
      <c r="B246" s="390">
        <f>IF(Rechnungsstand!B240="","",Rechnungsstand!B240)</f>
        <v/>
      </c>
      <c r="C246" s="391">
        <f>IF(Rechnungsstand!B240="","",Rechnungsstand!C240)</f>
        <v/>
      </c>
      <c r="D246" s="392">
        <f>IF(Rechnungsstand!B240="","",Rechnungsstand!F240)</f>
        <v/>
      </c>
      <c r="E246" s="393">
        <f>IF(D246="","",SUM($D$12:D246))</f>
        <v/>
      </c>
      <c r="F246" s="393">
        <f>IF(D246="","",D246*$B$7)</f>
        <v/>
      </c>
      <c r="G246" s="393">
        <f>IF(D246="","",D246*$B$8)</f>
        <v/>
      </c>
      <c r="H246" s="393">
        <f>IF(D246="","",D246*$B$9)</f>
        <v/>
      </c>
      <c r="I246" s="393">
        <f>IF(D246="","",IF(C246="Abschlagsrechnung",MAX(0,MIN(D246*$E$7,IF($E$8&gt;0,$B$6*$E$8-SUM($I$12:I245),D246*$E$7))),0))</f>
        <v/>
      </c>
      <c r="J246" s="393">
        <f>IF(D246="","",SUM(F246:I246))</f>
        <v/>
      </c>
      <c r="K246" s="393">
        <f>IF(D246="","",D246-J246)</f>
        <v/>
      </c>
      <c r="L246" s="399" t="n"/>
      <c r="M246" s="400" t="n"/>
      <c r="N246" s="401" t="n"/>
      <c r="O246" s="401" t="n"/>
      <c r="P246" s="401" t="n"/>
      <c r="Q246" s="401" t="n"/>
      <c r="R246" s="401" t="n"/>
      <c r="S246" s="393">
        <f>IF(COUNTA(O246:R246)=0,"",SUM(O246:R246))</f>
        <v/>
      </c>
      <c r="T246" s="393">
        <f>IF(N246="","",N246-IF(S246="",0,S246))</f>
        <v/>
      </c>
      <c r="U246" s="402">
        <f>IF(OR(D246="",N246=""),"",N246-D246)</f>
        <v/>
      </c>
      <c r="V246" s="393">
        <f>IF(OR(K246="",T246=""),"",T246-K246)</f>
        <v/>
      </c>
      <c r="W246" s="395" t="n"/>
    </row>
    <row r="247">
      <c r="A247" s="389">
        <f>IF(Rechnungsstand!B241="","",Rechnungsstand!A241)</f>
        <v/>
      </c>
      <c r="B247" s="390">
        <f>IF(Rechnungsstand!B241="","",Rechnungsstand!B241)</f>
        <v/>
      </c>
      <c r="C247" s="391">
        <f>IF(Rechnungsstand!B241="","",Rechnungsstand!C241)</f>
        <v/>
      </c>
      <c r="D247" s="392">
        <f>IF(Rechnungsstand!B241="","",Rechnungsstand!F241)</f>
        <v/>
      </c>
      <c r="E247" s="393">
        <f>IF(D247="","",SUM($D$12:D247))</f>
        <v/>
      </c>
      <c r="F247" s="393">
        <f>IF(D247="","",D247*$B$7)</f>
        <v/>
      </c>
      <c r="G247" s="393">
        <f>IF(D247="","",D247*$B$8)</f>
        <v/>
      </c>
      <c r="H247" s="393">
        <f>IF(D247="","",D247*$B$9)</f>
        <v/>
      </c>
      <c r="I247" s="393">
        <f>IF(D247="","",IF(C247="Abschlagsrechnung",MAX(0,MIN(D247*$E$7,IF($E$8&gt;0,$B$6*$E$8-SUM($I$12:I246),D247*$E$7))),0))</f>
        <v/>
      </c>
      <c r="J247" s="393">
        <f>IF(D247="","",SUM(F247:I247))</f>
        <v/>
      </c>
      <c r="K247" s="393">
        <f>IF(D247="","",D247-J247)</f>
        <v/>
      </c>
      <c r="L247" s="399" t="n"/>
      <c r="M247" s="400" t="n"/>
      <c r="N247" s="401" t="n"/>
      <c r="O247" s="401" t="n"/>
      <c r="P247" s="401" t="n"/>
      <c r="Q247" s="401" t="n"/>
      <c r="R247" s="401" t="n"/>
      <c r="S247" s="393">
        <f>IF(COUNTA(O247:R247)=0,"",SUM(O247:R247))</f>
        <v/>
      </c>
      <c r="T247" s="393">
        <f>IF(N247="","",N247-IF(S247="",0,S247))</f>
        <v/>
      </c>
      <c r="U247" s="402">
        <f>IF(OR(D247="",N247=""),"",N247-D247)</f>
        <v/>
      </c>
      <c r="V247" s="393">
        <f>IF(OR(K247="",T247=""),"",T247-K247)</f>
        <v/>
      </c>
      <c r="W247" s="395" t="n"/>
    </row>
    <row r="248">
      <c r="A248" s="389">
        <f>IF(Rechnungsstand!B242="","",Rechnungsstand!A242)</f>
        <v/>
      </c>
      <c r="B248" s="390">
        <f>IF(Rechnungsstand!B242="","",Rechnungsstand!B242)</f>
        <v/>
      </c>
      <c r="C248" s="391">
        <f>IF(Rechnungsstand!B242="","",Rechnungsstand!C242)</f>
        <v/>
      </c>
      <c r="D248" s="392">
        <f>IF(Rechnungsstand!B242="","",Rechnungsstand!F242)</f>
        <v/>
      </c>
      <c r="E248" s="393">
        <f>IF(D248="","",SUM($D$12:D248))</f>
        <v/>
      </c>
      <c r="F248" s="393">
        <f>IF(D248="","",D248*$B$7)</f>
        <v/>
      </c>
      <c r="G248" s="393">
        <f>IF(D248="","",D248*$B$8)</f>
        <v/>
      </c>
      <c r="H248" s="393">
        <f>IF(D248="","",D248*$B$9)</f>
        <v/>
      </c>
      <c r="I248" s="393">
        <f>IF(D248="","",IF(C248="Abschlagsrechnung",MAX(0,MIN(D248*$E$7,IF($E$8&gt;0,$B$6*$E$8-SUM($I$12:I247),D248*$E$7))),0))</f>
        <v/>
      </c>
      <c r="J248" s="393">
        <f>IF(D248="","",SUM(F248:I248))</f>
        <v/>
      </c>
      <c r="K248" s="393">
        <f>IF(D248="","",D248-J248)</f>
        <v/>
      </c>
      <c r="L248" s="399" t="n"/>
      <c r="M248" s="400" t="n"/>
      <c r="N248" s="401" t="n"/>
      <c r="O248" s="401" t="n"/>
      <c r="P248" s="401" t="n"/>
      <c r="Q248" s="401" t="n"/>
      <c r="R248" s="401" t="n"/>
      <c r="S248" s="393">
        <f>IF(COUNTA(O248:R248)=0,"",SUM(O248:R248))</f>
        <v/>
      </c>
      <c r="T248" s="393">
        <f>IF(N248="","",N248-IF(S248="",0,S248))</f>
        <v/>
      </c>
      <c r="U248" s="402">
        <f>IF(OR(D248="",N248=""),"",N248-D248)</f>
        <v/>
      </c>
      <c r="V248" s="393">
        <f>IF(OR(K248="",T248=""),"",T248-K248)</f>
        <v/>
      </c>
      <c r="W248" s="395" t="n"/>
    </row>
    <row r="249">
      <c r="A249" s="389">
        <f>IF(Rechnungsstand!B243="","",Rechnungsstand!A243)</f>
        <v/>
      </c>
      <c r="B249" s="390">
        <f>IF(Rechnungsstand!B243="","",Rechnungsstand!B243)</f>
        <v/>
      </c>
      <c r="C249" s="391">
        <f>IF(Rechnungsstand!B243="","",Rechnungsstand!C243)</f>
        <v/>
      </c>
      <c r="D249" s="392">
        <f>IF(Rechnungsstand!B243="","",Rechnungsstand!F243)</f>
        <v/>
      </c>
      <c r="E249" s="393">
        <f>IF(D249="","",SUM($D$12:D249))</f>
        <v/>
      </c>
      <c r="F249" s="393">
        <f>IF(D249="","",D249*$B$7)</f>
        <v/>
      </c>
      <c r="G249" s="393">
        <f>IF(D249="","",D249*$B$8)</f>
        <v/>
      </c>
      <c r="H249" s="393">
        <f>IF(D249="","",D249*$B$9)</f>
        <v/>
      </c>
      <c r="I249" s="393">
        <f>IF(D249="","",IF(C249="Abschlagsrechnung",MAX(0,MIN(D249*$E$7,IF($E$8&gt;0,$B$6*$E$8-SUM($I$12:I248),D249*$E$7))),0))</f>
        <v/>
      </c>
      <c r="J249" s="393">
        <f>IF(D249="","",SUM(F249:I249))</f>
        <v/>
      </c>
      <c r="K249" s="393">
        <f>IF(D249="","",D249-J249)</f>
        <v/>
      </c>
      <c r="L249" s="399" t="n"/>
      <c r="M249" s="400" t="n"/>
      <c r="N249" s="401" t="n"/>
      <c r="O249" s="401" t="n"/>
      <c r="P249" s="401" t="n"/>
      <c r="Q249" s="401" t="n"/>
      <c r="R249" s="401" t="n"/>
      <c r="S249" s="393">
        <f>IF(COUNTA(O249:R249)=0,"",SUM(O249:R249))</f>
        <v/>
      </c>
      <c r="T249" s="393">
        <f>IF(N249="","",N249-IF(S249="",0,S249))</f>
        <v/>
      </c>
      <c r="U249" s="402">
        <f>IF(OR(D249="",N249=""),"",N249-D249)</f>
        <v/>
      </c>
      <c r="V249" s="393">
        <f>IF(OR(K249="",T249=""),"",T249-K249)</f>
        <v/>
      </c>
      <c r="W249" s="395" t="n"/>
    </row>
    <row r="250">
      <c r="A250" s="389">
        <f>IF(Rechnungsstand!B244="","",Rechnungsstand!A244)</f>
        <v/>
      </c>
      <c r="B250" s="390">
        <f>IF(Rechnungsstand!B244="","",Rechnungsstand!B244)</f>
        <v/>
      </c>
      <c r="C250" s="391">
        <f>IF(Rechnungsstand!B244="","",Rechnungsstand!C244)</f>
        <v/>
      </c>
      <c r="D250" s="392">
        <f>IF(Rechnungsstand!B244="","",Rechnungsstand!F244)</f>
        <v/>
      </c>
      <c r="E250" s="393">
        <f>IF(D250="","",SUM($D$12:D250))</f>
        <v/>
      </c>
      <c r="F250" s="393">
        <f>IF(D250="","",D250*$B$7)</f>
        <v/>
      </c>
      <c r="G250" s="393">
        <f>IF(D250="","",D250*$B$8)</f>
        <v/>
      </c>
      <c r="H250" s="393">
        <f>IF(D250="","",D250*$B$9)</f>
        <v/>
      </c>
      <c r="I250" s="393">
        <f>IF(D250="","",IF(C250="Abschlagsrechnung",MAX(0,MIN(D250*$E$7,IF($E$8&gt;0,$B$6*$E$8-SUM($I$12:I249),D250*$E$7))),0))</f>
        <v/>
      </c>
      <c r="J250" s="393">
        <f>IF(D250="","",SUM(F250:I250))</f>
        <v/>
      </c>
      <c r="K250" s="393">
        <f>IF(D250="","",D250-J250)</f>
        <v/>
      </c>
      <c r="L250" s="399" t="n"/>
      <c r="M250" s="400" t="n"/>
      <c r="N250" s="401" t="n"/>
      <c r="O250" s="401" t="n"/>
      <c r="P250" s="401" t="n"/>
      <c r="Q250" s="401" t="n"/>
      <c r="R250" s="401" t="n"/>
      <c r="S250" s="393">
        <f>IF(COUNTA(O250:R250)=0,"",SUM(O250:R250))</f>
        <v/>
      </c>
      <c r="T250" s="393">
        <f>IF(N250="","",N250-IF(S250="",0,S250))</f>
        <v/>
      </c>
      <c r="U250" s="402">
        <f>IF(OR(D250="",N250=""),"",N250-D250)</f>
        <v/>
      </c>
      <c r="V250" s="393">
        <f>IF(OR(K250="",T250=""),"",T250-K250)</f>
        <v/>
      </c>
      <c r="W250" s="395" t="n"/>
    </row>
    <row r="251">
      <c r="A251" s="389">
        <f>IF(Rechnungsstand!B245="","",Rechnungsstand!A245)</f>
        <v/>
      </c>
      <c r="B251" s="390">
        <f>IF(Rechnungsstand!B245="","",Rechnungsstand!B245)</f>
        <v/>
      </c>
      <c r="C251" s="391">
        <f>IF(Rechnungsstand!B245="","",Rechnungsstand!C245)</f>
        <v/>
      </c>
      <c r="D251" s="392">
        <f>IF(Rechnungsstand!B245="","",Rechnungsstand!F245)</f>
        <v/>
      </c>
      <c r="E251" s="393">
        <f>IF(D251="","",SUM($D$12:D251))</f>
        <v/>
      </c>
      <c r="F251" s="393">
        <f>IF(D251="","",D251*$B$7)</f>
        <v/>
      </c>
      <c r="G251" s="393">
        <f>IF(D251="","",D251*$B$8)</f>
        <v/>
      </c>
      <c r="H251" s="393">
        <f>IF(D251="","",D251*$B$9)</f>
        <v/>
      </c>
      <c r="I251" s="393">
        <f>IF(D251="","",IF(C251="Abschlagsrechnung",MAX(0,MIN(D251*$E$7,IF($E$8&gt;0,$B$6*$E$8-SUM($I$12:I250),D251*$E$7))),0))</f>
        <v/>
      </c>
      <c r="J251" s="393">
        <f>IF(D251="","",SUM(F251:I251))</f>
        <v/>
      </c>
      <c r="K251" s="393">
        <f>IF(D251="","",D251-J251)</f>
        <v/>
      </c>
      <c r="L251" s="399" t="n"/>
      <c r="M251" s="400" t="n"/>
      <c r="N251" s="401" t="n"/>
      <c r="O251" s="401" t="n"/>
      <c r="P251" s="401" t="n"/>
      <c r="Q251" s="401" t="n"/>
      <c r="R251" s="401" t="n"/>
      <c r="S251" s="393">
        <f>IF(COUNTA(O251:R251)=0,"",SUM(O251:R251))</f>
        <v/>
      </c>
      <c r="T251" s="393">
        <f>IF(N251="","",N251-IF(S251="",0,S251))</f>
        <v/>
      </c>
      <c r="U251" s="402">
        <f>IF(OR(D251="",N251=""),"",N251-D251)</f>
        <v/>
      </c>
      <c r="V251" s="393">
        <f>IF(OR(K251="",T251=""),"",T251-K251)</f>
        <v/>
      </c>
      <c r="W251" s="395" t="n"/>
    </row>
    <row r="252">
      <c r="A252" s="389">
        <f>IF(Rechnungsstand!B246="","",Rechnungsstand!A246)</f>
        <v/>
      </c>
      <c r="B252" s="390">
        <f>IF(Rechnungsstand!B246="","",Rechnungsstand!B246)</f>
        <v/>
      </c>
      <c r="C252" s="391">
        <f>IF(Rechnungsstand!B246="","",Rechnungsstand!C246)</f>
        <v/>
      </c>
      <c r="D252" s="392">
        <f>IF(Rechnungsstand!B246="","",Rechnungsstand!F246)</f>
        <v/>
      </c>
      <c r="E252" s="393">
        <f>IF(D252="","",SUM($D$12:D252))</f>
        <v/>
      </c>
      <c r="F252" s="393">
        <f>IF(D252="","",D252*$B$7)</f>
        <v/>
      </c>
      <c r="G252" s="393">
        <f>IF(D252="","",D252*$B$8)</f>
        <v/>
      </c>
      <c r="H252" s="393">
        <f>IF(D252="","",D252*$B$9)</f>
        <v/>
      </c>
      <c r="I252" s="393">
        <f>IF(D252="","",IF(C252="Abschlagsrechnung",MAX(0,MIN(D252*$E$7,IF($E$8&gt;0,$B$6*$E$8-SUM($I$12:I251),D252*$E$7))),0))</f>
        <v/>
      </c>
      <c r="J252" s="393">
        <f>IF(D252="","",SUM(F252:I252))</f>
        <v/>
      </c>
      <c r="K252" s="393">
        <f>IF(D252="","",D252-J252)</f>
        <v/>
      </c>
      <c r="L252" s="399" t="n"/>
      <c r="M252" s="400" t="n"/>
      <c r="N252" s="401" t="n"/>
      <c r="O252" s="401" t="n"/>
      <c r="P252" s="401" t="n"/>
      <c r="Q252" s="401" t="n"/>
      <c r="R252" s="401" t="n"/>
      <c r="S252" s="393">
        <f>IF(COUNTA(O252:R252)=0,"",SUM(O252:R252))</f>
        <v/>
      </c>
      <c r="T252" s="393">
        <f>IF(N252="","",N252-IF(S252="",0,S252))</f>
        <v/>
      </c>
      <c r="U252" s="402">
        <f>IF(OR(D252="",N252=""),"",N252-D252)</f>
        <v/>
      </c>
      <c r="V252" s="393">
        <f>IF(OR(K252="",T252=""),"",T252-K252)</f>
        <v/>
      </c>
      <c r="W252" s="395" t="n"/>
    </row>
    <row r="253">
      <c r="A253" s="389">
        <f>IF(Rechnungsstand!B247="","",Rechnungsstand!A247)</f>
        <v/>
      </c>
      <c r="B253" s="390">
        <f>IF(Rechnungsstand!B247="","",Rechnungsstand!B247)</f>
        <v/>
      </c>
      <c r="C253" s="391">
        <f>IF(Rechnungsstand!B247="","",Rechnungsstand!C247)</f>
        <v/>
      </c>
      <c r="D253" s="392">
        <f>IF(Rechnungsstand!B247="","",Rechnungsstand!F247)</f>
        <v/>
      </c>
      <c r="E253" s="393">
        <f>IF(D253="","",SUM($D$12:D253))</f>
        <v/>
      </c>
      <c r="F253" s="393">
        <f>IF(D253="","",D253*$B$7)</f>
        <v/>
      </c>
      <c r="G253" s="393">
        <f>IF(D253="","",D253*$B$8)</f>
        <v/>
      </c>
      <c r="H253" s="393">
        <f>IF(D253="","",D253*$B$9)</f>
        <v/>
      </c>
      <c r="I253" s="393">
        <f>IF(D253="","",IF(C253="Abschlagsrechnung",MAX(0,MIN(D253*$E$7,IF($E$8&gt;0,$B$6*$E$8-SUM($I$12:I252),D253*$E$7))),0))</f>
        <v/>
      </c>
      <c r="J253" s="393">
        <f>IF(D253="","",SUM(F253:I253))</f>
        <v/>
      </c>
      <c r="K253" s="393">
        <f>IF(D253="","",D253-J253)</f>
        <v/>
      </c>
      <c r="L253" s="399" t="n"/>
      <c r="M253" s="400" t="n"/>
      <c r="N253" s="401" t="n"/>
      <c r="O253" s="401" t="n"/>
      <c r="P253" s="401" t="n"/>
      <c r="Q253" s="401" t="n"/>
      <c r="R253" s="401" t="n"/>
      <c r="S253" s="393">
        <f>IF(COUNTA(O253:R253)=0,"",SUM(O253:R253))</f>
        <v/>
      </c>
      <c r="T253" s="393">
        <f>IF(N253="","",N253-IF(S253="",0,S253))</f>
        <v/>
      </c>
      <c r="U253" s="402">
        <f>IF(OR(D253="",N253=""),"",N253-D253)</f>
        <v/>
      </c>
      <c r="V253" s="393">
        <f>IF(OR(K253="",T253=""),"",T253-K253)</f>
        <v/>
      </c>
      <c r="W253" s="395" t="n"/>
    </row>
    <row r="254">
      <c r="A254" s="389">
        <f>IF(Rechnungsstand!B248="","",Rechnungsstand!A248)</f>
        <v/>
      </c>
      <c r="B254" s="390">
        <f>IF(Rechnungsstand!B248="","",Rechnungsstand!B248)</f>
        <v/>
      </c>
      <c r="C254" s="391">
        <f>IF(Rechnungsstand!B248="","",Rechnungsstand!C248)</f>
        <v/>
      </c>
      <c r="D254" s="392">
        <f>IF(Rechnungsstand!B248="","",Rechnungsstand!F248)</f>
        <v/>
      </c>
      <c r="E254" s="393">
        <f>IF(D254="","",SUM($D$12:D254))</f>
        <v/>
      </c>
      <c r="F254" s="393">
        <f>IF(D254="","",D254*$B$7)</f>
        <v/>
      </c>
      <c r="G254" s="393">
        <f>IF(D254="","",D254*$B$8)</f>
        <v/>
      </c>
      <c r="H254" s="393">
        <f>IF(D254="","",D254*$B$9)</f>
        <v/>
      </c>
      <c r="I254" s="393">
        <f>IF(D254="","",IF(C254="Abschlagsrechnung",MAX(0,MIN(D254*$E$7,IF($E$8&gt;0,$B$6*$E$8-SUM($I$12:I253),D254*$E$7))),0))</f>
        <v/>
      </c>
      <c r="J254" s="393">
        <f>IF(D254="","",SUM(F254:I254))</f>
        <v/>
      </c>
      <c r="K254" s="393">
        <f>IF(D254="","",D254-J254)</f>
        <v/>
      </c>
      <c r="L254" s="399" t="n"/>
      <c r="M254" s="400" t="n"/>
      <c r="N254" s="401" t="n"/>
      <c r="O254" s="401" t="n"/>
      <c r="P254" s="401" t="n"/>
      <c r="Q254" s="401" t="n"/>
      <c r="R254" s="401" t="n"/>
      <c r="S254" s="393">
        <f>IF(COUNTA(O254:R254)=0,"",SUM(O254:R254))</f>
        <v/>
      </c>
      <c r="T254" s="393">
        <f>IF(N254="","",N254-IF(S254="",0,S254))</f>
        <v/>
      </c>
      <c r="U254" s="402">
        <f>IF(OR(D254="",N254=""),"",N254-D254)</f>
        <v/>
      </c>
      <c r="V254" s="393">
        <f>IF(OR(K254="",T254=""),"",T254-K254)</f>
        <v/>
      </c>
      <c r="W254" s="395" t="n"/>
    </row>
    <row r="255">
      <c r="A255" s="389">
        <f>IF(Rechnungsstand!B249="","",Rechnungsstand!A249)</f>
        <v/>
      </c>
      <c r="B255" s="390">
        <f>IF(Rechnungsstand!B249="","",Rechnungsstand!B249)</f>
        <v/>
      </c>
      <c r="C255" s="391">
        <f>IF(Rechnungsstand!B249="","",Rechnungsstand!C249)</f>
        <v/>
      </c>
      <c r="D255" s="392">
        <f>IF(Rechnungsstand!B249="","",Rechnungsstand!F249)</f>
        <v/>
      </c>
      <c r="E255" s="393">
        <f>IF(D255="","",SUM($D$12:D255))</f>
        <v/>
      </c>
      <c r="F255" s="393">
        <f>IF(D255="","",D255*$B$7)</f>
        <v/>
      </c>
      <c r="G255" s="393">
        <f>IF(D255="","",D255*$B$8)</f>
        <v/>
      </c>
      <c r="H255" s="393">
        <f>IF(D255="","",D255*$B$9)</f>
        <v/>
      </c>
      <c r="I255" s="393">
        <f>IF(D255="","",IF(C255="Abschlagsrechnung",MAX(0,MIN(D255*$E$7,IF($E$8&gt;0,$B$6*$E$8-SUM($I$12:I254),D255*$E$7))),0))</f>
        <v/>
      </c>
      <c r="J255" s="393">
        <f>IF(D255="","",SUM(F255:I255))</f>
        <v/>
      </c>
      <c r="K255" s="393">
        <f>IF(D255="","",D255-J255)</f>
        <v/>
      </c>
      <c r="L255" s="399" t="n"/>
      <c r="M255" s="400" t="n"/>
      <c r="N255" s="401" t="n"/>
      <c r="O255" s="401" t="n"/>
      <c r="P255" s="401" t="n"/>
      <c r="Q255" s="401" t="n"/>
      <c r="R255" s="401" t="n"/>
      <c r="S255" s="393">
        <f>IF(COUNTA(O255:R255)=0,"",SUM(O255:R255))</f>
        <v/>
      </c>
      <c r="T255" s="393">
        <f>IF(N255="","",N255-IF(S255="",0,S255))</f>
        <v/>
      </c>
      <c r="U255" s="402">
        <f>IF(OR(D255="",N255=""),"",N255-D255)</f>
        <v/>
      </c>
      <c r="V255" s="393">
        <f>IF(OR(K255="",T255=""),"",T255-K255)</f>
        <v/>
      </c>
      <c r="W255" s="395" t="n"/>
    </row>
    <row r="256">
      <c r="A256" s="389">
        <f>IF(Rechnungsstand!B250="","",Rechnungsstand!A250)</f>
        <v/>
      </c>
      <c r="B256" s="390">
        <f>IF(Rechnungsstand!B250="","",Rechnungsstand!B250)</f>
        <v/>
      </c>
      <c r="C256" s="391">
        <f>IF(Rechnungsstand!B250="","",Rechnungsstand!C250)</f>
        <v/>
      </c>
      <c r="D256" s="392">
        <f>IF(Rechnungsstand!B250="","",Rechnungsstand!F250)</f>
        <v/>
      </c>
      <c r="E256" s="393">
        <f>IF(D256="","",SUM($D$12:D256))</f>
        <v/>
      </c>
      <c r="F256" s="393">
        <f>IF(D256="","",D256*$B$7)</f>
        <v/>
      </c>
      <c r="G256" s="393">
        <f>IF(D256="","",D256*$B$8)</f>
        <v/>
      </c>
      <c r="H256" s="393">
        <f>IF(D256="","",D256*$B$9)</f>
        <v/>
      </c>
      <c r="I256" s="393">
        <f>IF(D256="","",IF(C256="Abschlagsrechnung",MAX(0,MIN(D256*$E$7,IF($E$8&gt;0,$B$6*$E$8-SUM($I$12:I255),D256*$E$7))),0))</f>
        <v/>
      </c>
      <c r="J256" s="393">
        <f>IF(D256="","",SUM(F256:I256))</f>
        <v/>
      </c>
      <c r="K256" s="393">
        <f>IF(D256="","",D256-J256)</f>
        <v/>
      </c>
      <c r="L256" s="399" t="n"/>
      <c r="M256" s="400" t="n"/>
      <c r="N256" s="401" t="n"/>
      <c r="O256" s="401" t="n"/>
      <c r="P256" s="401" t="n"/>
      <c r="Q256" s="401" t="n"/>
      <c r="R256" s="401" t="n"/>
      <c r="S256" s="393">
        <f>IF(COUNTA(O256:R256)=0,"",SUM(O256:R256))</f>
        <v/>
      </c>
      <c r="T256" s="393">
        <f>IF(N256="","",N256-IF(S256="",0,S256))</f>
        <v/>
      </c>
      <c r="U256" s="402">
        <f>IF(OR(D256="",N256=""),"",N256-D256)</f>
        <v/>
      </c>
      <c r="V256" s="393">
        <f>IF(OR(K256="",T256=""),"",T256-K256)</f>
        <v/>
      </c>
      <c r="W256" s="395" t="n"/>
    </row>
    <row r="257">
      <c r="A257" s="389">
        <f>IF(Rechnungsstand!B251="","",Rechnungsstand!A251)</f>
        <v/>
      </c>
      <c r="B257" s="390">
        <f>IF(Rechnungsstand!B251="","",Rechnungsstand!B251)</f>
        <v/>
      </c>
      <c r="C257" s="391">
        <f>IF(Rechnungsstand!B251="","",Rechnungsstand!C251)</f>
        <v/>
      </c>
      <c r="D257" s="392">
        <f>IF(Rechnungsstand!B251="","",Rechnungsstand!F251)</f>
        <v/>
      </c>
      <c r="E257" s="393">
        <f>IF(D257="","",SUM($D$12:D257))</f>
        <v/>
      </c>
      <c r="F257" s="393">
        <f>IF(D257="","",D257*$B$7)</f>
        <v/>
      </c>
      <c r="G257" s="393">
        <f>IF(D257="","",D257*$B$8)</f>
        <v/>
      </c>
      <c r="H257" s="393">
        <f>IF(D257="","",D257*$B$9)</f>
        <v/>
      </c>
      <c r="I257" s="393">
        <f>IF(D257="","",IF(C257="Abschlagsrechnung",MAX(0,MIN(D257*$E$7,IF($E$8&gt;0,$B$6*$E$8-SUM($I$12:I256),D257*$E$7))),0))</f>
        <v/>
      </c>
      <c r="J257" s="393">
        <f>IF(D257="","",SUM(F257:I257))</f>
        <v/>
      </c>
      <c r="K257" s="393">
        <f>IF(D257="","",D257-J257)</f>
        <v/>
      </c>
      <c r="L257" s="399" t="n"/>
      <c r="M257" s="400" t="n"/>
      <c r="N257" s="401" t="n"/>
      <c r="O257" s="401" t="n"/>
      <c r="P257" s="401" t="n"/>
      <c r="Q257" s="401" t="n"/>
      <c r="R257" s="401" t="n"/>
      <c r="S257" s="393">
        <f>IF(COUNTA(O257:R257)=0,"",SUM(O257:R257))</f>
        <v/>
      </c>
      <c r="T257" s="393">
        <f>IF(N257="","",N257-IF(S257="",0,S257))</f>
        <v/>
      </c>
      <c r="U257" s="402">
        <f>IF(OR(D257="",N257=""),"",N257-D257)</f>
        <v/>
      </c>
      <c r="V257" s="393">
        <f>IF(OR(K257="",T257=""),"",T257-K257)</f>
        <v/>
      </c>
      <c r="W257" s="395" t="n"/>
    </row>
    <row r="258">
      <c r="A258" s="389">
        <f>IF(Rechnungsstand!B252="","",Rechnungsstand!A252)</f>
        <v/>
      </c>
      <c r="B258" s="390">
        <f>IF(Rechnungsstand!B252="","",Rechnungsstand!B252)</f>
        <v/>
      </c>
      <c r="C258" s="391">
        <f>IF(Rechnungsstand!B252="","",Rechnungsstand!C252)</f>
        <v/>
      </c>
      <c r="D258" s="392">
        <f>IF(Rechnungsstand!B252="","",Rechnungsstand!F252)</f>
        <v/>
      </c>
      <c r="E258" s="393">
        <f>IF(D258="","",SUM($D$12:D258))</f>
        <v/>
      </c>
      <c r="F258" s="393">
        <f>IF(D258="","",D258*$B$7)</f>
        <v/>
      </c>
      <c r="G258" s="393">
        <f>IF(D258="","",D258*$B$8)</f>
        <v/>
      </c>
      <c r="H258" s="393">
        <f>IF(D258="","",D258*$B$9)</f>
        <v/>
      </c>
      <c r="I258" s="393">
        <f>IF(D258="","",IF(C258="Abschlagsrechnung",MAX(0,MIN(D258*$E$7,IF($E$8&gt;0,$B$6*$E$8-SUM($I$12:I257),D258*$E$7))),0))</f>
        <v/>
      </c>
      <c r="J258" s="393">
        <f>IF(D258="","",SUM(F258:I258))</f>
        <v/>
      </c>
      <c r="K258" s="393">
        <f>IF(D258="","",D258-J258)</f>
        <v/>
      </c>
      <c r="L258" s="399" t="n"/>
      <c r="M258" s="400" t="n"/>
      <c r="N258" s="401" t="n"/>
      <c r="O258" s="401" t="n"/>
      <c r="P258" s="401" t="n"/>
      <c r="Q258" s="401" t="n"/>
      <c r="R258" s="401" t="n"/>
      <c r="S258" s="393">
        <f>IF(COUNTA(O258:R258)=0,"",SUM(O258:R258))</f>
        <v/>
      </c>
      <c r="T258" s="393">
        <f>IF(N258="","",N258-IF(S258="",0,S258))</f>
        <v/>
      </c>
      <c r="U258" s="402">
        <f>IF(OR(D258="",N258=""),"",N258-D258)</f>
        <v/>
      </c>
      <c r="V258" s="393">
        <f>IF(OR(K258="",T258=""),"",T258-K258)</f>
        <v/>
      </c>
      <c r="W258" s="395" t="n"/>
    </row>
    <row r="259">
      <c r="A259" s="389">
        <f>IF(Rechnungsstand!B253="","",Rechnungsstand!A253)</f>
        <v/>
      </c>
      <c r="B259" s="390">
        <f>IF(Rechnungsstand!B253="","",Rechnungsstand!B253)</f>
        <v/>
      </c>
      <c r="C259" s="391">
        <f>IF(Rechnungsstand!B253="","",Rechnungsstand!C253)</f>
        <v/>
      </c>
      <c r="D259" s="392">
        <f>IF(Rechnungsstand!B253="","",Rechnungsstand!F253)</f>
        <v/>
      </c>
      <c r="E259" s="393">
        <f>IF(D259="","",SUM($D$12:D259))</f>
        <v/>
      </c>
      <c r="F259" s="393">
        <f>IF(D259="","",D259*$B$7)</f>
        <v/>
      </c>
      <c r="G259" s="393">
        <f>IF(D259="","",D259*$B$8)</f>
        <v/>
      </c>
      <c r="H259" s="393">
        <f>IF(D259="","",D259*$B$9)</f>
        <v/>
      </c>
      <c r="I259" s="393">
        <f>IF(D259="","",IF(C259="Abschlagsrechnung",MAX(0,MIN(D259*$E$7,IF($E$8&gt;0,$B$6*$E$8-SUM($I$12:I258),D259*$E$7))),0))</f>
        <v/>
      </c>
      <c r="J259" s="393">
        <f>IF(D259="","",SUM(F259:I259))</f>
        <v/>
      </c>
      <c r="K259" s="393">
        <f>IF(D259="","",D259-J259)</f>
        <v/>
      </c>
      <c r="L259" s="399" t="n"/>
      <c r="M259" s="400" t="n"/>
      <c r="N259" s="401" t="n"/>
      <c r="O259" s="401" t="n"/>
      <c r="P259" s="401" t="n"/>
      <c r="Q259" s="401" t="n"/>
      <c r="R259" s="401" t="n"/>
      <c r="S259" s="393">
        <f>IF(COUNTA(O259:R259)=0,"",SUM(O259:R259))</f>
        <v/>
      </c>
      <c r="T259" s="393">
        <f>IF(N259="","",N259-IF(S259="",0,S259))</f>
        <v/>
      </c>
      <c r="U259" s="402">
        <f>IF(OR(D259="",N259=""),"",N259-D259)</f>
        <v/>
      </c>
      <c r="V259" s="393">
        <f>IF(OR(K259="",T259=""),"",T259-K259)</f>
        <v/>
      </c>
      <c r="W259" s="395" t="n"/>
    </row>
    <row r="260">
      <c r="A260" s="389">
        <f>IF(Rechnungsstand!B254="","",Rechnungsstand!A254)</f>
        <v/>
      </c>
      <c r="B260" s="390">
        <f>IF(Rechnungsstand!B254="","",Rechnungsstand!B254)</f>
        <v/>
      </c>
      <c r="C260" s="391">
        <f>IF(Rechnungsstand!B254="","",Rechnungsstand!C254)</f>
        <v/>
      </c>
      <c r="D260" s="392">
        <f>IF(Rechnungsstand!B254="","",Rechnungsstand!F254)</f>
        <v/>
      </c>
      <c r="E260" s="393">
        <f>IF(D260="","",SUM($D$12:D260))</f>
        <v/>
      </c>
      <c r="F260" s="393">
        <f>IF(D260="","",D260*$B$7)</f>
        <v/>
      </c>
      <c r="G260" s="393">
        <f>IF(D260="","",D260*$B$8)</f>
        <v/>
      </c>
      <c r="H260" s="393">
        <f>IF(D260="","",D260*$B$9)</f>
        <v/>
      </c>
      <c r="I260" s="393">
        <f>IF(D260="","",IF(C260="Abschlagsrechnung",MAX(0,MIN(D260*$E$7,IF($E$8&gt;0,$B$6*$E$8-SUM($I$12:I259),D260*$E$7))),0))</f>
        <v/>
      </c>
      <c r="J260" s="393">
        <f>IF(D260="","",SUM(F260:I260))</f>
        <v/>
      </c>
      <c r="K260" s="393">
        <f>IF(D260="","",D260-J260)</f>
        <v/>
      </c>
      <c r="L260" s="399" t="n"/>
      <c r="M260" s="400" t="n"/>
      <c r="N260" s="401" t="n"/>
      <c r="O260" s="401" t="n"/>
      <c r="P260" s="401" t="n"/>
      <c r="Q260" s="401" t="n"/>
      <c r="R260" s="401" t="n"/>
      <c r="S260" s="393">
        <f>IF(COUNTA(O260:R260)=0,"",SUM(O260:R260))</f>
        <v/>
      </c>
      <c r="T260" s="393">
        <f>IF(N260="","",N260-IF(S260="",0,S260))</f>
        <v/>
      </c>
      <c r="U260" s="402">
        <f>IF(OR(D260="",N260=""),"",N260-D260)</f>
        <v/>
      </c>
      <c r="V260" s="393">
        <f>IF(OR(K260="",T260=""),"",T260-K260)</f>
        <v/>
      </c>
      <c r="W260" s="395" t="n"/>
    </row>
    <row r="261">
      <c r="A261" s="389">
        <f>IF(Rechnungsstand!B255="","",Rechnungsstand!A255)</f>
        <v/>
      </c>
      <c r="B261" s="390">
        <f>IF(Rechnungsstand!B255="","",Rechnungsstand!B255)</f>
        <v/>
      </c>
      <c r="C261" s="391">
        <f>IF(Rechnungsstand!B255="","",Rechnungsstand!C255)</f>
        <v/>
      </c>
      <c r="D261" s="392">
        <f>IF(Rechnungsstand!B255="","",Rechnungsstand!F255)</f>
        <v/>
      </c>
      <c r="E261" s="393">
        <f>IF(D261="","",SUM($D$12:D261))</f>
        <v/>
      </c>
      <c r="F261" s="393">
        <f>IF(D261="","",D261*$B$7)</f>
        <v/>
      </c>
      <c r="G261" s="393">
        <f>IF(D261="","",D261*$B$8)</f>
        <v/>
      </c>
      <c r="H261" s="393">
        <f>IF(D261="","",D261*$B$9)</f>
        <v/>
      </c>
      <c r="I261" s="393">
        <f>IF(D261="","",IF(C261="Abschlagsrechnung",MAX(0,MIN(D261*$E$7,IF($E$8&gt;0,$B$6*$E$8-SUM($I$12:I260),D261*$E$7))),0))</f>
        <v/>
      </c>
      <c r="J261" s="393">
        <f>IF(D261="","",SUM(F261:I261))</f>
        <v/>
      </c>
      <c r="K261" s="393">
        <f>IF(D261="","",D261-J261)</f>
        <v/>
      </c>
      <c r="L261" s="399" t="n"/>
      <c r="M261" s="400" t="n"/>
      <c r="N261" s="401" t="n"/>
      <c r="O261" s="401" t="n"/>
      <c r="P261" s="401" t="n"/>
      <c r="Q261" s="401" t="n"/>
      <c r="R261" s="401" t="n"/>
      <c r="S261" s="393">
        <f>IF(COUNTA(O261:R261)=0,"",SUM(O261:R261))</f>
        <v/>
      </c>
      <c r="T261" s="393">
        <f>IF(N261="","",N261-IF(S261="",0,S261))</f>
        <v/>
      </c>
      <c r="U261" s="402">
        <f>IF(OR(D261="",N261=""),"",N261-D261)</f>
        <v/>
      </c>
      <c r="V261" s="393">
        <f>IF(OR(K261="",T261=""),"",T261-K261)</f>
        <v/>
      </c>
      <c r="W261" s="395" t="n"/>
    </row>
    <row r="262">
      <c r="A262" s="389">
        <f>IF(Rechnungsstand!B256="","",Rechnungsstand!A256)</f>
        <v/>
      </c>
      <c r="B262" s="390">
        <f>IF(Rechnungsstand!B256="","",Rechnungsstand!B256)</f>
        <v/>
      </c>
      <c r="C262" s="391">
        <f>IF(Rechnungsstand!B256="","",Rechnungsstand!C256)</f>
        <v/>
      </c>
      <c r="D262" s="392">
        <f>IF(Rechnungsstand!B256="","",Rechnungsstand!F256)</f>
        <v/>
      </c>
      <c r="E262" s="393">
        <f>IF(D262="","",SUM($D$12:D262))</f>
        <v/>
      </c>
      <c r="F262" s="393">
        <f>IF(D262="","",D262*$B$7)</f>
        <v/>
      </c>
      <c r="G262" s="393">
        <f>IF(D262="","",D262*$B$8)</f>
        <v/>
      </c>
      <c r="H262" s="393">
        <f>IF(D262="","",D262*$B$9)</f>
        <v/>
      </c>
      <c r="I262" s="393">
        <f>IF(D262="","",IF(C262="Abschlagsrechnung",MAX(0,MIN(D262*$E$7,IF($E$8&gt;0,$B$6*$E$8-SUM($I$12:I261),D262*$E$7))),0))</f>
        <v/>
      </c>
      <c r="J262" s="393">
        <f>IF(D262="","",SUM(F262:I262))</f>
        <v/>
      </c>
      <c r="K262" s="393">
        <f>IF(D262="","",D262-J262)</f>
        <v/>
      </c>
      <c r="L262" s="399" t="n"/>
      <c r="M262" s="400" t="n"/>
      <c r="N262" s="401" t="n"/>
      <c r="O262" s="401" t="n"/>
      <c r="P262" s="401" t="n"/>
      <c r="Q262" s="401" t="n"/>
      <c r="R262" s="401" t="n"/>
      <c r="S262" s="393">
        <f>IF(COUNTA(O262:R262)=0,"",SUM(O262:R262))</f>
        <v/>
      </c>
      <c r="T262" s="393">
        <f>IF(N262="","",N262-IF(S262="",0,S262))</f>
        <v/>
      </c>
      <c r="U262" s="402">
        <f>IF(OR(D262="",N262=""),"",N262-D262)</f>
        <v/>
      </c>
      <c r="V262" s="393">
        <f>IF(OR(K262="",T262=""),"",T262-K262)</f>
        <v/>
      </c>
      <c r="W262" s="395" t="n"/>
    </row>
    <row r="263">
      <c r="A263" s="389">
        <f>IF(Rechnungsstand!B257="","",Rechnungsstand!A257)</f>
        <v/>
      </c>
      <c r="B263" s="390">
        <f>IF(Rechnungsstand!B257="","",Rechnungsstand!B257)</f>
        <v/>
      </c>
      <c r="C263" s="391">
        <f>IF(Rechnungsstand!B257="","",Rechnungsstand!C257)</f>
        <v/>
      </c>
      <c r="D263" s="392">
        <f>IF(Rechnungsstand!B257="","",Rechnungsstand!F257)</f>
        <v/>
      </c>
      <c r="E263" s="393">
        <f>IF(D263="","",SUM($D$12:D263))</f>
        <v/>
      </c>
      <c r="F263" s="393">
        <f>IF(D263="","",D263*$B$7)</f>
        <v/>
      </c>
      <c r="G263" s="393">
        <f>IF(D263="","",D263*$B$8)</f>
        <v/>
      </c>
      <c r="H263" s="393">
        <f>IF(D263="","",D263*$B$9)</f>
        <v/>
      </c>
      <c r="I263" s="393">
        <f>IF(D263="","",IF(C263="Abschlagsrechnung",MAX(0,MIN(D263*$E$7,IF($E$8&gt;0,$B$6*$E$8-SUM($I$12:I262),D263*$E$7))),0))</f>
        <v/>
      </c>
      <c r="J263" s="393">
        <f>IF(D263="","",SUM(F263:I263))</f>
        <v/>
      </c>
      <c r="K263" s="393">
        <f>IF(D263="","",D263-J263)</f>
        <v/>
      </c>
      <c r="L263" s="399" t="n"/>
      <c r="M263" s="400" t="n"/>
      <c r="N263" s="401" t="n"/>
      <c r="O263" s="401" t="n"/>
      <c r="P263" s="401" t="n"/>
      <c r="Q263" s="401" t="n"/>
      <c r="R263" s="401" t="n"/>
      <c r="S263" s="393">
        <f>IF(COUNTA(O263:R263)=0,"",SUM(O263:R263))</f>
        <v/>
      </c>
      <c r="T263" s="393">
        <f>IF(N263="","",N263-IF(S263="",0,S263))</f>
        <v/>
      </c>
      <c r="U263" s="402">
        <f>IF(OR(D263="",N263=""),"",N263-D263)</f>
        <v/>
      </c>
      <c r="V263" s="393">
        <f>IF(OR(K263="",T263=""),"",T263-K263)</f>
        <v/>
      </c>
      <c r="W263" s="395" t="n"/>
    </row>
    <row r="264">
      <c r="A264" s="389">
        <f>IF(Rechnungsstand!B258="","",Rechnungsstand!A258)</f>
        <v/>
      </c>
      <c r="B264" s="390">
        <f>IF(Rechnungsstand!B258="","",Rechnungsstand!B258)</f>
        <v/>
      </c>
      <c r="C264" s="391">
        <f>IF(Rechnungsstand!B258="","",Rechnungsstand!C258)</f>
        <v/>
      </c>
      <c r="D264" s="392">
        <f>IF(Rechnungsstand!B258="","",Rechnungsstand!F258)</f>
        <v/>
      </c>
      <c r="E264" s="393">
        <f>IF(D264="","",SUM($D$12:D264))</f>
        <v/>
      </c>
      <c r="F264" s="393">
        <f>IF(D264="","",D264*$B$7)</f>
        <v/>
      </c>
      <c r="G264" s="393">
        <f>IF(D264="","",D264*$B$8)</f>
        <v/>
      </c>
      <c r="H264" s="393">
        <f>IF(D264="","",D264*$B$9)</f>
        <v/>
      </c>
      <c r="I264" s="393">
        <f>IF(D264="","",IF(C264="Abschlagsrechnung",MAX(0,MIN(D264*$E$7,IF($E$8&gt;0,$B$6*$E$8-SUM($I$12:I263),D264*$E$7))),0))</f>
        <v/>
      </c>
      <c r="J264" s="393">
        <f>IF(D264="","",SUM(F264:I264))</f>
        <v/>
      </c>
      <c r="K264" s="393">
        <f>IF(D264="","",D264-J264)</f>
        <v/>
      </c>
      <c r="L264" s="399" t="n"/>
      <c r="M264" s="400" t="n"/>
      <c r="N264" s="401" t="n"/>
      <c r="O264" s="401" t="n"/>
      <c r="P264" s="401" t="n"/>
      <c r="Q264" s="401" t="n"/>
      <c r="R264" s="401" t="n"/>
      <c r="S264" s="393">
        <f>IF(COUNTA(O264:R264)=0,"",SUM(O264:R264))</f>
        <v/>
      </c>
      <c r="T264" s="393">
        <f>IF(N264="","",N264-IF(S264="",0,S264))</f>
        <v/>
      </c>
      <c r="U264" s="402">
        <f>IF(OR(D264="",N264=""),"",N264-D264)</f>
        <v/>
      </c>
      <c r="V264" s="393">
        <f>IF(OR(K264="",T264=""),"",T264-K264)</f>
        <v/>
      </c>
      <c r="W264" s="395" t="n"/>
    </row>
    <row r="265">
      <c r="A265" s="389">
        <f>IF(Rechnungsstand!B259="","",Rechnungsstand!A259)</f>
        <v/>
      </c>
      <c r="B265" s="390">
        <f>IF(Rechnungsstand!B259="","",Rechnungsstand!B259)</f>
        <v/>
      </c>
      <c r="C265" s="391">
        <f>IF(Rechnungsstand!B259="","",Rechnungsstand!C259)</f>
        <v/>
      </c>
      <c r="D265" s="392">
        <f>IF(Rechnungsstand!B259="","",Rechnungsstand!F259)</f>
        <v/>
      </c>
      <c r="E265" s="393">
        <f>IF(D265="","",SUM($D$12:D265))</f>
        <v/>
      </c>
      <c r="F265" s="393">
        <f>IF(D265="","",D265*$B$7)</f>
        <v/>
      </c>
      <c r="G265" s="393">
        <f>IF(D265="","",D265*$B$8)</f>
        <v/>
      </c>
      <c r="H265" s="393">
        <f>IF(D265="","",D265*$B$9)</f>
        <v/>
      </c>
      <c r="I265" s="393">
        <f>IF(D265="","",IF(C265="Abschlagsrechnung",MAX(0,MIN(D265*$E$7,IF($E$8&gt;0,$B$6*$E$8-SUM($I$12:I264),D265*$E$7))),0))</f>
        <v/>
      </c>
      <c r="J265" s="393">
        <f>IF(D265="","",SUM(F265:I265))</f>
        <v/>
      </c>
      <c r="K265" s="393">
        <f>IF(D265="","",D265-J265)</f>
        <v/>
      </c>
      <c r="L265" s="399" t="n"/>
      <c r="M265" s="400" t="n"/>
      <c r="N265" s="401" t="n"/>
      <c r="O265" s="401" t="n"/>
      <c r="P265" s="401" t="n"/>
      <c r="Q265" s="401" t="n"/>
      <c r="R265" s="401" t="n"/>
      <c r="S265" s="393">
        <f>IF(COUNTA(O265:R265)=0,"",SUM(O265:R265))</f>
        <v/>
      </c>
      <c r="T265" s="393">
        <f>IF(N265="","",N265-IF(S265="",0,S265))</f>
        <v/>
      </c>
      <c r="U265" s="402">
        <f>IF(OR(D265="",N265=""),"",N265-D265)</f>
        <v/>
      </c>
      <c r="V265" s="393">
        <f>IF(OR(K265="",T265=""),"",T265-K265)</f>
        <v/>
      </c>
      <c r="W265" s="395" t="n"/>
    </row>
    <row r="266">
      <c r="A266" s="389">
        <f>IF(Rechnungsstand!B260="","",Rechnungsstand!A260)</f>
        <v/>
      </c>
      <c r="B266" s="390">
        <f>IF(Rechnungsstand!B260="","",Rechnungsstand!B260)</f>
        <v/>
      </c>
      <c r="C266" s="391">
        <f>IF(Rechnungsstand!B260="","",Rechnungsstand!C260)</f>
        <v/>
      </c>
      <c r="D266" s="392">
        <f>IF(Rechnungsstand!B260="","",Rechnungsstand!F260)</f>
        <v/>
      </c>
      <c r="E266" s="393">
        <f>IF(D266="","",SUM($D$12:D266))</f>
        <v/>
      </c>
      <c r="F266" s="393">
        <f>IF(D266="","",D266*$B$7)</f>
        <v/>
      </c>
      <c r="G266" s="393">
        <f>IF(D266="","",D266*$B$8)</f>
        <v/>
      </c>
      <c r="H266" s="393">
        <f>IF(D266="","",D266*$B$9)</f>
        <v/>
      </c>
      <c r="I266" s="393">
        <f>IF(D266="","",IF(C266="Abschlagsrechnung",MAX(0,MIN(D266*$E$7,IF($E$8&gt;0,$B$6*$E$8-SUM($I$12:I265),D266*$E$7))),0))</f>
        <v/>
      </c>
      <c r="J266" s="393">
        <f>IF(D266="","",SUM(F266:I266))</f>
        <v/>
      </c>
      <c r="K266" s="393">
        <f>IF(D266="","",D266-J266)</f>
        <v/>
      </c>
      <c r="L266" s="399" t="n"/>
      <c r="M266" s="400" t="n"/>
      <c r="N266" s="401" t="n"/>
      <c r="O266" s="401" t="n"/>
      <c r="P266" s="401" t="n"/>
      <c r="Q266" s="401" t="n"/>
      <c r="R266" s="401" t="n"/>
      <c r="S266" s="393">
        <f>IF(COUNTA(O266:R266)=0,"",SUM(O266:R266))</f>
        <v/>
      </c>
      <c r="T266" s="393">
        <f>IF(N266="","",N266-IF(S266="",0,S266))</f>
        <v/>
      </c>
      <c r="U266" s="402">
        <f>IF(OR(D266="",N266=""),"",N266-D266)</f>
        <v/>
      </c>
      <c r="V266" s="393">
        <f>IF(OR(K266="",T266=""),"",T266-K266)</f>
        <v/>
      </c>
      <c r="W266" s="395" t="n"/>
    </row>
    <row r="267">
      <c r="A267" s="389">
        <f>IF(Rechnungsstand!B261="","",Rechnungsstand!A261)</f>
        <v/>
      </c>
      <c r="B267" s="390">
        <f>IF(Rechnungsstand!B261="","",Rechnungsstand!B261)</f>
        <v/>
      </c>
      <c r="C267" s="391">
        <f>IF(Rechnungsstand!B261="","",Rechnungsstand!C261)</f>
        <v/>
      </c>
      <c r="D267" s="392">
        <f>IF(Rechnungsstand!B261="","",Rechnungsstand!F261)</f>
        <v/>
      </c>
      <c r="E267" s="393">
        <f>IF(D267="","",SUM($D$12:D267))</f>
        <v/>
      </c>
      <c r="F267" s="393">
        <f>IF(D267="","",D267*$B$7)</f>
        <v/>
      </c>
      <c r="G267" s="393">
        <f>IF(D267="","",D267*$B$8)</f>
        <v/>
      </c>
      <c r="H267" s="393">
        <f>IF(D267="","",D267*$B$9)</f>
        <v/>
      </c>
      <c r="I267" s="393">
        <f>IF(D267="","",IF(C267="Abschlagsrechnung",MAX(0,MIN(D267*$E$7,IF($E$8&gt;0,$B$6*$E$8-SUM($I$12:I266),D267*$E$7))),0))</f>
        <v/>
      </c>
      <c r="J267" s="393">
        <f>IF(D267="","",SUM(F267:I267))</f>
        <v/>
      </c>
      <c r="K267" s="393">
        <f>IF(D267="","",D267-J267)</f>
        <v/>
      </c>
      <c r="L267" s="399" t="n"/>
      <c r="M267" s="400" t="n"/>
      <c r="N267" s="401" t="n"/>
      <c r="O267" s="401" t="n"/>
      <c r="P267" s="401" t="n"/>
      <c r="Q267" s="401" t="n"/>
      <c r="R267" s="401" t="n"/>
      <c r="S267" s="393">
        <f>IF(COUNTA(O267:R267)=0,"",SUM(O267:R267))</f>
        <v/>
      </c>
      <c r="T267" s="393">
        <f>IF(N267="","",N267-IF(S267="",0,S267))</f>
        <v/>
      </c>
      <c r="U267" s="402">
        <f>IF(OR(D267="",N267=""),"",N267-D267)</f>
        <v/>
      </c>
      <c r="V267" s="393">
        <f>IF(OR(K267="",T267=""),"",T267-K267)</f>
        <v/>
      </c>
      <c r="W267" s="395" t="n"/>
    </row>
    <row r="268">
      <c r="A268" s="389">
        <f>IF(Rechnungsstand!B262="","",Rechnungsstand!A262)</f>
        <v/>
      </c>
      <c r="B268" s="390">
        <f>IF(Rechnungsstand!B262="","",Rechnungsstand!B262)</f>
        <v/>
      </c>
      <c r="C268" s="391">
        <f>IF(Rechnungsstand!B262="","",Rechnungsstand!C262)</f>
        <v/>
      </c>
      <c r="D268" s="392">
        <f>IF(Rechnungsstand!B262="","",Rechnungsstand!F262)</f>
        <v/>
      </c>
      <c r="E268" s="393">
        <f>IF(D268="","",SUM($D$12:D268))</f>
        <v/>
      </c>
      <c r="F268" s="393">
        <f>IF(D268="","",D268*$B$7)</f>
        <v/>
      </c>
      <c r="G268" s="393">
        <f>IF(D268="","",D268*$B$8)</f>
        <v/>
      </c>
      <c r="H268" s="393">
        <f>IF(D268="","",D268*$B$9)</f>
        <v/>
      </c>
      <c r="I268" s="393">
        <f>IF(D268="","",IF(C268="Abschlagsrechnung",MAX(0,MIN(D268*$E$7,IF($E$8&gt;0,$B$6*$E$8-SUM($I$12:I267),D268*$E$7))),0))</f>
        <v/>
      </c>
      <c r="J268" s="393">
        <f>IF(D268="","",SUM(F268:I268))</f>
        <v/>
      </c>
      <c r="K268" s="393">
        <f>IF(D268="","",D268-J268)</f>
        <v/>
      </c>
      <c r="L268" s="399" t="n"/>
      <c r="M268" s="400" t="n"/>
      <c r="N268" s="401" t="n"/>
      <c r="O268" s="401" t="n"/>
      <c r="P268" s="401" t="n"/>
      <c r="Q268" s="401" t="n"/>
      <c r="R268" s="401" t="n"/>
      <c r="S268" s="393">
        <f>IF(COUNTA(O268:R268)=0,"",SUM(O268:R268))</f>
        <v/>
      </c>
      <c r="T268" s="393">
        <f>IF(N268="","",N268-IF(S268="",0,S268))</f>
        <v/>
      </c>
      <c r="U268" s="402">
        <f>IF(OR(D268="",N268=""),"",N268-D268)</f>
        <v/>
      </c>
      <c r="V268" s="393">
        <f>IF(OR(K268="",T268=""),"",T268-K268)</f>
        <v/>
      </c>
      <c r="W268" s="395" t="n"/>
    </row>
    <row r="269">
      <c r="A269" s="389">
        <f>IF(Rechnungsstand!B263="","",Rechnungsstand!A263)</f>
        <v/>
      </c>
      <c r="B269" s="390">
        <f>IF(Rechnungsstand!B263="","",Rechnungsstand!B263)</f>
        <v/>
      </c>
      <c r="C269" s="391">
        <f>IF(Rechnungsstand!B263="","",Rechnungsstand!C263)</f>
        <v/>
      </c>
      <c r="D269" s="392">
        <f>IF(Rechnungsstand!B263="","",Rechnungsstand!F263)</f>
        <v/>
      </c>
      <c r="E269" s="393">
        <f>IF(D269="","",SUM($D$12:D269))</f>
        <v/>
      </c>
      <c r="F269" s="393">
        <f>IF(D269="","",D269*$B$7)</f>
        <v/>
      </c>
      <c r="G269" s="393">
        <f>IF(D269="","",D269*$B$8)</f>
        <v/>
      </c>
      <c r="H269" s="393">
        <f>IF(D269="","",D269*$B$9)</f>
        <v/>
      </c>
      <c r="I269" s="393">
        <f>IF(D269="","",IF(C269="Abschlagsrechnung",MAX(0,MIN(D269*$E$7,IF($E$8&gt;0,$B$6*$E$8-SUM($I$12:I268),D269*$E$7))),0))</f>
        <v/>
      </c>
      <c r="J269" s="393">
        <f>IF(D269="","",SUM(F269:I269))</f>
        <v/>
      </c>
      <c r="K269" s="393">
        <f>IF(D269="","",D269-J269)</f>
        <v/>
      </c>
      <c r="L269" s="399" t="n"/>
      <c r="M269" s="400" t="n"/>
      <c r="N269" s="401" t="n"/>
      <c r="O269" s="401" t="n"/>
      <c r="P269" s="401" t="n"/>
      <c r="Q269" s="401" t="n"/>
      <c r="R269" s="401" t="n"/>
      <c r="S269" s="393">
        <f>IF(COUNTA(O269:R269)=0,"",SUM(O269:R269))</f>
        <v/>
      </c>
      <c r="T269" s="393">
        <f>IF(N269="","",N269-IF(S269="",0,S269))</f>
        <v/>
      </c>
      <c r="U269" s="402">
        <f>IF(OR(D269="",N269=""),"",N269-D269)</f>
        <v/>
      </c>
      <c r="V269" s="393">
        <f>IF(OR(K269="",T269=""),"",T269-K269)</f>
        <v/>
      </c>
      <c r="W269" s="395" t="n"/>
    </row>
    <row r="270">
      <c r="A270" s="389">
        <f>IF(Rechnungsstand!B264="","",Rechnungsstand!A264)</f>
        <v/>
      </c>
      <c r="B270" s="390">
        <f>IF(Rechnungsstand!B264="","",Rechnungsstand!B264)</f>
        <v/>
      </c>
      <c r="C270" s="391">
        <f>IF(Rechnungsstand!B264="","",Rechnungsstand!C264)</f>
        <v/>
      </c>
      <c r="D270" s="392">
        <f>IF(Rechnungsstand!B264="","",Rechnungsstand!F264)</f>
        <v/>
      </c>
      <c r="E270" s="393">
        <f>IF(D270="","",SUM($D$12:D270))</f>
        <v/>
      </c>
      <c r="F270" s="393">
        <f>IF(D270="","",D270*$B$7)</f>
        <v/>
      </c>
      <c r="G270" s="393">
        <f>IF(D270="","",D270*$B$8)</f>
        <v/>
      </c>
      <c r="H270" s="393">
        <f>IF(D270="","",D270*$B$9)</f>
        <v/>
      </c>
      <c r="I270" s="393">
        <f>IF(D270="","",IF(C270="Abschlagsrechnung",MAX(0,MIN(D270*$E$7,IF($E$8&gt;0,$B$6*$E$8-SUM($I$12:I269),D270*$E$7))),0))</f>
        <v/>
      </c>
      <c r="J270" s="393">
        <f>IF(D270="","",SUM(F270:I270))</f>
        <v/>
      </c>
      <c r="K270" s="393">
        <f>IF(D270="","",D270-J270)</f>
        <v/>
      </c>
      <c r="L270" s="399" t="n"/>
      <c r="M270" s="400" t="n"/>
      <c r="N270" s="401" t="n"/>
      <c r="O270" s="401" t="n"/>
      <c r="P270" s="401" t="n"/>
      <c r="Q270" s="401" t="n"/>
      <c r="R270" s="401" t="n"/>
      <c r="S270" s="393">
        <f>IF(COUNTA(O270:R270)=0,"",SUM(O270:R270))</f>
        <v/>
      </c>
      <c r="T270" s="393">
        <f>IF(N270="","",N270-IF(S270="",0,S270))</f>
        <v/>
      </c>
      <c r="U270" s="402">
        <f>IF(OR(D270="",N270=""),"",N270-D270)</f>
        <v/>
      </c>
      <c r="V270" s="393">
        <f>IF(OR(K270="",T270=""),"",T270-K270)</f>
        <v/>
      </c>
      <c r="W270" s="395" t="n"/>
    </row>
    <row r="271">
      <c r="A271" s="389">
        <f>IF(Rechnungsstand!B265="","",Rechnungsstand!A265)</f>
        <v/>
      </c>
      <c r="B271" s="390">
        <f>IF(Rechnungsstand!B265="","",Rechnungsstand!B265)</f>
        <v/>
      </c>
      <c r="C271" s="391">
        <f>IF(Rechnungsstand!B265="","",Rechnungsstand!C265)</f>
        <v/>
      </c>
      <c r="D271" s="392">
        <f>IF(Rechnungsstand!B265="","",Rechnungsstand!F265)</f>
        <v/>
      </c>
      <c r="E271" s="393">
        <f>IF(D271="","",SUM($D$12:D271))</f>
        <v/>
      </c>
      <c r="F271" s="393">
        <f>IF(D271="","",D271*$B$7)</f>
        <v/>
      </c>
      <c r="G271" s="393">
        <f>IF(D271="","",D271*$B$8)</f>
        <v/>
      </c>
      <c r="H271" s="393">
        <f>IF(D271="","",D271*$B$9)</f>
        <v/>
      </c>
      <c r="I271" s="393">
        <f>IF(D271="","",IF(C271="Abschlagsrechnung",MAX(0,MIN(D271*$E$7,IF($E$8&gt;0,$B$6*$E$8-SUM($I$12:I270),D271*$E$7))),0))</f>
        <v/>
      </c>
      <c r="J271" s="393">
        <f>IF(D271="","",SUM(F271:I271))</f>
        <v/>
      </c>
      <c r="K271" s="393">
        <f>IF(D271="","",D271-J271)</f>
        <v/>
      </c>
      <c r="L271" s="399" t="n"/>
      <c r="M271" s="400" t="n"/>
      <c r="N271" s="401" t="n"/>
      <c r="O271" s="401" t="n"/>
      <c r="P271" s="401" t="n"/>
      <c r="Q271" s="401" t="n"/>
      <c r="R271" s="401" t="n"/>
      <c r="S271" s="393">
        <f>IF(COUNTA(O271:R271)=0,"",SUM(O271:R271))</f>
        <v/>
      </c>
      <c r="T271" s="393">
        <f>IF(N271="","",N271-IF(S271="",0,S271))</f>
        <v/>
      </c>
      <c r="U271" s="402">
        <f>IF(OR(D271="",N271=""),"",N271-D271)</f>
        <v/>
      </c>
      <c r="V271" s="393">
        <f>IF(OR(K271="",T271=""),"",T271-K271)</f>
        <v/>
      </c>
      <c r="W271" s="395" t="n"/>
    </row>
    <row r="272">
      <c r="A272" s="389">
        <f>IF(Rechnungsstand!B266="","",Rechnungsstand!A266)</f>
        <v/>
      </c>
      <c r="B272" s="390">
        <f>IF(Rechnungsstand!B266="","",Rechnungsstand!B266)</f>
        <v/>
      </c>
      <c r="C272" s="391">
        <f>IF(Rechnungsstand!B266="","",Rechnungsstand!C266)</f>
        <v/>
      </c>
      <c r="D272" s="392">
        <f>IF(Rechnungsstand!B266="","",Rechnungsstand!F266)</f>
        <v/>
      </c>
      <c r="E272" s="393">
        <f>IF(D272="","",SUM($D$12:D272))</f>
        <v/>
      </c>
      <c r="F272" s="393">
        <f>IF(D272="","",D272*$B$7)</f>
        <v/>
      </c>
      <c r="G272" s="393">
        <f>IF(D272="","",D272*$B$8)</f>
        <v/>
      </c>
      <c r="H272" s="393">
        <f>IF(D272="","",D272*$B$9)</f>
        <v/>
      </c>
      <c r="I272" s="393">
        <f>IF(D272="","",IF(C272="Abschlagsrechnung",MAX(0,MIN(D272*$E$7,IF($E$8&gt;0,$B$6*$E$8-SUM($I$12:I271),D272*$E$7))),0))</f>
        <v/>
      </c>
      <c r="J272" s="393">
        <f>IF(D272="","",SUM(F272:I272))</f>
        <v/>
      </c>
      <c r="K272" s="393">
        <f>IF(D272="","",D272-J272)</f>
        <v/>
      </c>
      <c r="L272" s="399" t="n"/>
      <c r="M272" s="400" t="n"/>
      <c r="N272" s="401" t="n"/>
      <c r="O272" s="401" t="n"/>
      <c r="P272" s="401" t="n"/>
      <c r="Q272" s="401" t="n"/>
      <c r="R272" s="401" t="n"/>
      <c r="S272" s="393">
        <f>IF(COUNTA(O272:R272)=0,"",SUM(O272:R272))</f>
        <v/>
      </c>
      <c r="T272" s="393">
        <f>IF(N272="","",N272-IF(S272="",0,S272))</f>
        <v/>
      </c>
      <c r="U272" s="402">
        <f>IF(OR(D272="",N272=""),"",N272-D272)</f>
        <v/>
      </c>
      <c r="V272" s="393">
        <f>IF(OR(K272="",T272=""),"",T272-K272)</f>
        <v/>
      </c>
      <c r="W272" s="395" t="n"/>
    </row>
    <row r="273">
      <c r="A273" s="389">
        <f>IF(Rechnungsstand!B267="","",Rechnungsstand!A267)</f>
        <v/>
      </c>
      <c r="B273" s="390">
        <f>IF(Rechnungsstand!B267="","",Rechnungsstand!B267)</f>
        <v/>
      </c>
      <c r="C273" s="391">
        <f>IF(Rechnungsstand!B267="","",Rechnungsstand!C267)</f>
        <v/>
      </c>
      <c r="D273" s="392">
        <f>IF(Rechnungsstand!B267="","",Rechnungsstand!F267)</f>
        <v/>
      </c>
      <c r="E273" s="393">
        <f>IF(D273="","",SUM($D$12:D273))</f>
        <v/>
      </c>
      <c r="F273" s="393">
        <f>IF(D273="","",D273*$B$7)</f>
        <v/>
      </c>
      <c r="G273" s="393">
        <f>IF(D273="","",D273*$B$8)</f>
        <v/>
      </c>
      <c r="H273" s="393">
        <f>IF(D273="","",D273*$B$9)</f>
        <v/>
      </c>
      <c r="I273" s="393">
        <f>IF(D273="","",IF(C273="Abschlagsrechnung",MAX(0,MIN(D273*$E$7,IF($E$8&gt;0,$B$6*$E$8-SUM($I$12:I272),D273*$E$7))),0))</f>
        <v/>
      </c>
      <c r="J273" s="393">
        <f>IF(D273="","",SUM(F273:I273))</f>
        <v/>
      </c>
      <c r="K273" s="393">
        <f>IF(D273="","",D273-J273)</f>
        <v/>
      </c>
      <c r="L273" s="399" t="n"/>
      <c r="M273" s="400" t="n"/>
      <c r="N273" s="401" t="n"/>
      <c r="O273" s="401" t="n"/>
      <c r="P273" s="401" t="n"/>
      <c r="Q273" s="401" t="n"/>
      <c r="R273" s="401" t="n"/>
      <c r="S273" s="393">
        <f>IF(COUNTA(O273:R273)=0,"",SUM(O273:R273))</f>
        <v/>
      </c>
      <c r="T273" s="393">
        <f>IF(N273="","",N273-IF(S273="",0,S273))</f>
        <v/>
      </c>
      <c r="U273" s="402">
        <f>IF(OR(D273="",N273=""),"",N273-D273)</f>
        <v/>
      </c>
      <c r="V273" s="393">
        <f>IF(OR(K273="",T273=""),"",T273-K273)</f>
        <v/>
      </c>
      <c r="W273" s="395" t="n"/>
    </row>
    <row r="274">
      <c r="A274" s="389">
        <f>IF(Rechnungsstand!B268="","",Rechnungsstand!A268)</f>
        <v/>
      </c>
      <c r="B274" s="390">
        <f>IF(Rechnungsstand!B268="","",Rechnungsstand!B268)</f>
        <v/>
      </c>
      <c r="C274" s="391">
        <f>IF(Rechnungsstand!B268="","",Rechnungsstand!C268)</f>
        <v/>
      </c>
      <c r="D274" s="392">
        <f>IF(Rechnungsstand!B268="","",Rechnungsstand!F268)</f>
        <v/>
      </c>
      <c r="E274" s="393">
        <f>IF(D274="","",SUM($D$12:D274))</f>
        <v/>
      </c>
      <c r="F274" s="393">
        <f>IF(D274="","",D274*$B$7)</f>
        <v/>
      </c>
      <c r="G274" s="393">
        <f>IF(D274="","",D274*$B$8)</f>
        <v/>
      </c>
      <c r="H274" s="393">
        <f>IF(D274="","",D274*$B$9)</f>
        <v/>
      </c>
      <c r="I274" s="393">
        <f>IF(D274="","",IF(C274="Abschlagsrechnung",MAX(0,MIN(D274*$E$7,IF($E$8&gt;0,$B$6*$E$8-SUM($I$12:I273),D274*$E$7))),0))</f>
        <v/>
      </c>
      <c r="J274" s="393">
        <f>IF(D274="","",SUM(F274:I274))</f>
        <v/>
      </c>
      <c r="K274" s="393">
        <f>IF(D274="","",D274-J274)</f>
        <v/>
      </c>
      <c r="L274" s="399" t="n"/>
      <c r="M274" s="400" t="n"/>
      <c r="N274" s="401" t="n"/>
      <c r="O274" s="401" t="n"/>
      <c r="P274" s="401" t="n"/>
      <c r="Q274" s="401" t="n"/>
      <c r="R274" s="401" t="n"/>
      <c r="S274" s="393">
        <f>IF(COUNTA(O274:R274)=0,"",SUM(O274:R274))</f>
        <v/>
      </c>
      <c r="T274" s="393">
        <f>IF(N274="","",N274-IF(S274="",0,S274))</f>
        <v/>
      </c>
      <c r="U274" s="402">
        <f>IF(OR(D274="",N274=""),"",N274-D274)</f>
        <v/>
      </c>
      <c r="V274" s="393">
        <f>IF(OR(K274="",T274=""),"",T274-K274)</f>
        <v/>
      </c>
      <c r="W274" s="395" t="n"/>
    </row>
    <row r="275">
      <c r="A275" s="389">
        <f>IF(Rechnungsstand!B269="","",Rechnungsstand!A269)</f>
        <v/>
      </c>
      <c r="B275" s="390">
        <f>IF(Rechnungsstand!B269="","",Rechnungsstand!B269)</f>
        <v/>
      </c>
      <c r="C275" s="391">
        <f>IF(Rechnungsstand!B269="","",Rechnungsstand!C269)</f>
        <v/>
      </c>
      <c r="D275" s="392">
        <f>IF(Rechnungsstand!B269="","",Rechnungsstand!F269)</f>
        <v/>
      </c>
      <c r="E275" s="393">
        <f>IF(D275="","",SUM($D$12:D275))</f>
        <v/>
      </c>
      <c r="F275" s="393">
        <f>IF(D275="","",D275*$B$7)</f>
        <v/>
      </c>
      <c r="G275" s="393">
        <f>IF(D275="","",D275*$B$8)</f>
        <v/>
      </c>
      <c r="H275" s="393">
        <f>IF(D275="","",D275*$B$9)</f>
        <v/>
      </c>
      <c r="I275" s="393">
        <f>IF(D275="","",IF(C275="Abschlagsrechnung",MAX(0,MIN(D275*$E$7,IF($E$8&gt;0,$B$6*$E$8-SUM($I$12:I274),D275*$E$7))),0))</f>
        <v/>
      </c>
      <c r="J275" s="393">
        <f>IF(D275="","",SUM(F275:I275))</f>
        <v/>
      </c>
      <c r="K275" s="393">
        <f>IF(D275="","",D275-J275)</f>
        <v/>
      </c>
      <c r="L275" s="399" t="n"/>
      <c r="M275" s="400" t="n"/>
      <c r="N275" s="401" t="n"/>
      <c r="O275" s="401" t="n"/>
      <c r="P275" s="401" t="n"/>
      <c r="Q275" s="401" t="n"/>
      <c r="R275" s="401" t="n"/>
      <c r="S275" s="393">
        <f>IF(COUNTA(O275:R275)=0,"",SUM(O275:R275))</f>
        <v/>
      </c>
      <c r="T275" s="393">
        <f>IF(N275="","",N275-IF(S275="",0,S275))</f>
        <v/>
      </c>
      <c r="U275" s="402">
        <f>IF(OR(D275="",N275=""),"",N275-D275)</f>
        <v/>
      </c>
      <c r="V275" s="393">
        <f>IF(OR(K275="",T275=""),"",T275-K275)</f>
        <v/>
      </c>
      <c r="W275" s="395" t="n"/>
    </row>
    <row r="276">
      <c r="A276" s="389">
        <f>IF(Rechnungsstand!B270="","",Rechnungsstand!A270)</f>
        <v/>
      </c>
      <c r="B276" s="390">
        <f>IF(Rechnungsstand!B270="","",Rechnungsstand!B270)</f>
        <v/>
      </c>
      <c r="C276" s="391">
        <f>IF(Rechnungsstand!B270="","",Rechnungsstand!C270)</f>
        <v/>
      </c>
      <c r="D276" s="392">
        <f>IF(Rechnungsstand!B270="","",Rechnungsstand!F270)</f>
        <v/>
      </c>
      <c r="E276" s="393">
        <f>IF(D276="","",SUM($D$12:D276))</f>
        <v/>
      </c>
      <c r="F276" s="393">
        <f>IF(D276="","",D276*$B$7)</f>
        <v/>
      </c>
      <c r="G276" s="393">
        <f>IF(D276="","",D276*$B$8)</f>
        <v/>
      </c>
      <c r="H276" s="393">
        <f>IF(D276="","",D276*$B$9)</f>
        <v/>
      </c>
      <c r="I276" s="393">
        <f>IF(D276="","",IF(C276="Abschlagsrechnung",MAX(0,MIN(D276*$E$7,IF($E$8&gt;0,$B$6*$E$8-SUM($I$12:I275),D276*$E$7))),0))</f>
        <v/>
      </c>
      <c r="J276" s="393">
        <f>IF(D276="","",SUM(F276:I276))</f>
        <v/>
      </c>
      <c r="K276" s="393">
        <f>IF(D276="","",D276-J276)</f>
        <v/>
      </c>
      <c r="L276" s="399" t="n"/>
      <c r="M276" s="400" t="n"/>
      <c r="N276" s="401" t="n"/>
      <c r="O276" s="401" t="n"/>
      <c r="P276" s="401" t="n"/>
      <c r="Q276" s="401" t="n"/>
      <c r="R276" s="401" t="n"/>
      <c r="S276" s="393">
        <f>IF(COUNTA(O276:R276)=0,"",SUM(O276:R276))</f>
        <v/>
      </c>
      <c r="T276" s="393">
        <f>IF(N276="","",N276-IF(S276="",0,S276))</f>
        <v/>
      </c>
      <c r="U276" s="402">
        <f>IF(OR(D276="",N276=""),"",N276-D276)</f>
        <v/>
      </c>
      <c r="V276" s="393">
        <f>IF(OR(K276="",T276=""),"",T276-K276)</f>
        <v/>
      </c>
      <c r="W276" s="395" t="n"/>
    </row>
    <row r="277">
      <c r="A277" s="389">
        <f>IF(Rechnungsstand!B271="","",Rechnungsstand!A271)</f>
        <v/>
      </c>
      <c r="B277" s="390">
        <f>IF(Rechnungsstand!B271="","",Rechnungsstand!B271)</f>
        <v/>
      </c>
      <c r="C277" s="391">
        <f>IF(Rechnungsstand!B271="","",Rechnungsstand!C271)</f>
        <v/>
      </c>
      <c r="D277" s="392">
        <f>IF(Rechnungsstand!B271="","",Rechnungsstand!F271)</f>
        <v/>
      </c>
      <c r="E277" s="393">
        <f>IF(D277="","",SUM($D$12:D277))</f>
        <v/>
      </c>
      <c r="F277" s="393">
        <f>IF(D277="","",D277*$B$7)</f>
        <v/>
      </c>
      <c r="G277" s="393">
        <f>IF(D277="","",D277*$B$8)</f>
        <v/>
      </c>
      <c r="H277" s="393">
        <f>IF(D277="","",D277*$B$9)</f>
        <v/>
      </c>
      <c r="I277" s="393">
        <f>IF(D277="","",IF(C277="Abschlagsrechnung",MAX(0,MIN(D277*$E$7,IF($E$8&gt;0,$B$6*$E$8-SUM($I$12:I276),D277*$E$7))),0))</f>
        <v/>
      </c>
      <c r="J277" s="393">
        <f>IF(D277="","",SUM(F277:I277))</f>
        <v/>
      </c>
      <c r="K277" s="393">
        <f>IF(D277="","",D277-J277)</f>
        <v/>
      </c>
      <c r="L277" s="399" t="n"/>
      <c r="M277" s="400" t="n"/>
      <c r="N277" s="401" t="n"/>
      <c r="O277" s="401" t="n"/>
      <c r="P277" s="401" t="n"/>
      <c r="Q277" s="401" t="n"/>
      <c r="R277" s="401" t="n"/>
      <c r="S277" s="393">
        <f>IF(COUNTA(O277:R277)=0,"",SUM(O277:R277))</f>
        <v/>
      </c>
      <c r="T277" s="393">
        <f>IF(N277="","",N277-IF(S277="",0,S277))</f>
        <v/>
      </c>
      <c r="U277" s="402">
        <f>IF(OR(D277="",N277=""),"",N277-D277)</f>
        <v/>
      </c>
      <c r="V277" s="393">
        <f>IF(OR(K277="",T277=""),"",T277-K277)</f>
        <v/>
      </c>
      <c r="W277" s="395" t="n"/>
    </row>
    <row r="278">
      <c r="A278" s="389">
        <f>IF(Rechnungsstand!B272="","",Rechnungsstand!A272)</f>
        <v/>
      </c>
      <c r="B278" s="390">
        <f>IF(Rechnungsstand!B272="","",Rechnungsstand!B272)</f>
        <v/>
      </c>
      <c r="C278" s="391">
        <f>IF(Rechnungsstand!B272="","",Rechnungsstand!C272)</f>
        <v/>
      </c>
      <c r="D278" s="392">
        <f>IF(Rechnungsstand!B272="","",Rechnungsstand!F272)</f>
        <v/>
      </c>
      <c r="E278" s="393">
        <f>IF(D278="","",SUM($D$12:D278))</f>
        <v/>
      </c>
      <c r="F278" s="393">
        <f>IF(D278="","",D278*$B$7)</f>
        <v/>
      </c>
      <c r="G278" s="393">
        <f>IF(D278="","",D278*$B$8)</f>
        <v/>
      </c>
      <c r="H278" s="393">
        <f>IF(D278="","",D278*$B$9)</f>
        <v/>
      </c>
      <c r="I278" s="393">
        <f>IF(D278="","",IF(C278="Abschlagsrechnung",MAX(0,MIN(D278*$E$7,IF($E$8&gt;0,$B$6*$E$8-SUM($I$12:I277),D278*$E$7))),0))</f>
        <v/>
      </c>
      <c r="J278" s="393">
        <f>IF(D278="","",SUM(F278:I278))</f>
        <v/>
      </c>
      <c r="K278" s="393">
        <f>IF(D278="","",D278-J278)</f>
        <v/>
      </c>
      <c r="L278" s="399" t="n"/>
      <c r="M278" s="400" t="n"/>
      <c r="N278" s="401" t="n"/>
      <c r="O278" s="401" t="n"/>
      <c r="P278" s="401" t="n"/>
      <c r="Q278" s="401" t="n"/>
      <c r="R278" s="401" t="n"/>
      <c r="S278" s="393">
        <f>IF(COUNTA(O278:R278)=0,"",SUM(O278:R278))</f>
        <v/>
      </c>
      <c r="T278" s="393">
        <f>IF(N278="","",N278-IF(S278="",0,S278))</f>
        <v/>
      </c>
      <c r="U278" s="402">
        <f>IF(OR(D278="",N278=""),"",N278-D278)</f>
        <v/>
      </c>
      <c r="V278" s="393">
        <f>IF(OR(K278="",T278=""),"",T278-K278)</f>
        <v/>
      </c>
      <c r="W278" s="395" t="n"/>
    </row>
    <row r="279">
      <c r="A279" s="389">
        <f>IF(Rechnungsstand!B273="","",Rechnungsstand!A273)</f>
        <v/>
      </c>
      <c r="B279" s="390">
        <f>IF(Rechnungsstand!B273="","",Rechnungsstand!B273)</f>
        <v/>
      </c>
      <c r="C279" s="391">
        <f>IF(Rechnungsstand!B273="","",Rechnungsstand!C273)</f>
        <v/>
      </c>
      <c r="D279" s="392">
        <f>IF(Rechnungsstand!B273="","",Rechnungsstand!F273)</f>
        <v/>
      </c>
      <c r="E279" s="393">
        <f>IF(D279="","",SUM($D$12:D279))</f>
        <v/>
      </c>
      <c r="F279" s="393">
        <f>IF(D279="","",D279*$B$7)</f>
        <v/>
      </c>
      <c r="G279" s="393">
        <f>IF(D279="","",D279*$B$8)</f>
        <v/>
      </c>
      <c r="H279" s="393">
        <f>IF(D279="","",D279*$B$9)</f>
        <v/>
      </c>
      <c r="I279" s="393">
        <f>IF(D279="","",IF(C279="Abschlagsrechnung",MAX(0,MIN(D279*$E$7,IF($E$8&gt;0,$B$6*$E$8-SUM($I$12:I278),D279*$E$7))),0))</f>
        <v/>
      </c>
      <c r="J279" s="393">
        <f>IF(D279="","",SUM(F279:I279))</f>
        <v/>
      </c>
      <c r="K279" s="393">
        <f>IF(D279="","",D279-J279)</f>
        <v/>
      </c>
      <c r="L279" s="399" t="n"/>
      <c r="M279" s="400" t="n"/>
      <c r="N279" s="401" t="n"/>
      <c r="O279" s="401" t="n"/>
      <c r="P279" s="401" t="n"/>
      <c r="Q279" s="401" t="n"/>
      <c r="R279" s="401" t="n"/>
      <c r="S279" s="393">
        <f>IF(COUNTA(O279:R279)=0,"",SUM(O279:R279))</f>
        <v/>
      </c>
      <c r="T279" s="393">
        <f>IF(N279="","",N279-IF(S279="",0,S279))</f>
        <v/>
      </c>
      <c r="U279" s="402">
        <f>IF(OR(D279="",N279=""),"",N279-D279)</f>
        <v/>
      </c>
      <c r="V279" s="393">
        <f>IF(OR(K279="",T279=""),"",T279-K279)</f>
        <v/>
      </c>
      <c r="W279" s="395" t="n"/>
    </row>
    <row r="280">
      <c r="A280" s="389">
        <f>IF(Rechnungsstand!B274="","",Rechnungsstand!A274)</f>
        <v/>
      </c>
      <c r="B280" s="390">
        <f>IF(Rechnungsstand!B274="","",Rechnungsstand!B274)</f>
        <v/>
      </c>
      <c r="C280" s="391">
        <f>IF(Rechnungsstand!B274="","",Rechnungsstand!C274)</f>
        <v/>
      </c>
      <c r="D280" s="392">
        <f>IF(Rechnungsstand!B274="","",Rechnungsstand!F274)</f>
        <v/>
      </c>
      <c r="E280" s="393">
        <f>IF(D280="","",SUM($D$12:D280))</f>
        <v/>
      </c>
      <c r="F280" s="393">
        <f>IF(D280="","",D280*$B$7)</f>
        <v/>
      </c>
      <c r="G280" s="393">
        <f>IF(D280="","",D280*$B$8)</f>
        <v/>
      </c>
      <c r="H280" s="393">
        <f>IF(D280="","",D280*$B$9)</f>
        <v/>
      </c>
      <c r="I280" s="393">
        <f>IF(D280="","",IF(C280="Abschlagsrechnung",MAX(0,MIN(D280*$E$7,IF($E$8&gt;0,$B$6*$E$8-SUM($I$12:I279),D280*$E$7))),0))</f>
        <v/>
      </c>
      <c r="J280" s="393">
        <f>IF(D280="","",SUM(F280:I280))</f>
        <v/>
      </c>
      <c r="K280" s="393">
        <f>IF(D280="","",D280-J280)</f>
        <v/>
      </c>
      <c r="L280" s="399" t="n"/>
      <c r="M280" s="400" t="n"/>
      <c r="N280" s="401" t="n"/>
      <c r="O280" s="401" t="n"/>
      <c r="P280" s="401" t="n"/>
      <c r="Q280" s="401" t="n"/>
      <c r="R280" s="401" t="n"/>
      <c r="S280" s="393">
        <f>IF(COUNTA(O280:R280)=0,"",SUM(O280:R280))</f>
        <v/>
      </c>
      <c r="T280" s="393">
        <f>IF(N280="","",N280-IF(S280="",0,S280))</f>
        <v/>
      </c>
      <c r="U280" s="402">
        <f>IF(OR(D280="",N280=""),"",N280-D280)</f>
        <v/>
      </c>
      <c r="V280" s="393">
        <f>IF(OR(K280="",T280=""),"",T280-K280)</f>
        <v/>
      </c>
      <c r="W280" s="395" t="n"/>
    </row>
    <row r="281">
      <c r="A281" s="389">
        <f>IF(Rechnungsstand!B275="","",Rechnungsstand!A275)</f>
        <v/>
      </c>
      <c r="B281" s="390">
        <f>IF(Rechnungsstand!B275="","",Rechnungsstand!B275)</f>
        <v/>
      </c>
      <c r="C281" s="391">
        <f>IF(Rechnungsstand!B275="","",Rechnungsstand!C275)</f>
        <v/>
      </c>
      <c r="D281" s="392">
        <f>IF(Rechnungsstand!B275="","",Rechnungsstand!F275)</f>
        <v/>
      </c>
      <c r="E281" s="393">
        <f>IF(D281="","",SUM($D$12:D281))</f>
        <v/>
      </c>
      <c r="F281" s="393">
        <f>IF(D281="","",D281*$B$7)</f>
        <v/>
      </c>
      <c r="G281" s="393">
        <f>IF(D281="","",D281*$B$8)</f>
        <v/>
      </c>
      <c r="H281" s="393">
        <f>IF(D281="","",D281*$B$9)</f>
        <v/>
      </c>
      <c r="I281" s="393">
        <f>IF(D281="","",IF(C281="Abschlagsrechnung",MAX(0,MIN(D281*$E$7,IF($E$8&gt;0,$B$6*$E$8-SUM($I$12:I280),D281*$E$7))),0))</f>
        <v/>
      </c>
      <c r="J281" s="393">
        <f>IF(D281="","",SUM(F281:I281))</f>
        <v/>
      </c>
      <c r="K281" s="393">
        <f>IF(D281="","",D281-J281)</f>
        <v/>
      </c>
      <c r="L281" s="399" t="n"/>
      <c r="M281" s="400" t="n"/>
      <c r="N281" s="401" t="n"/>
      <c r="O281" s="401" t="n"/>
      <c r="P281" s="401" t="n"/>
      <c r="Q281" s="401" t="n"/>
      <c r="R281" s="401" t="n"/>
      <c r="S281" s="393">
        <f>IF(COUNTA(O281:R281)=0,"",SUM(O281:R281))</f>
        <v/>
      </c>
      <c r="T281" s="393">
        <f>IF(N281="","",N281-IF(S281="",0,S281))</f>
        <v/>
      </c>
      <c r="U281" s="402">
        <f>IF(OR(D281="",N281=""),"",N281-D281)</f>
        <v/>
      </c>
      <c r="V281" s="393">
        <f>IF(OR(K281="",T281=""),"",T281-K281)</f>
        <v/>
      </c>
      <c r="W281" s="395" t="n"/>
    </row>
    <row r="282">
      <c r="A282" s="389">
        <f>IF(Rechnungsstand!B276="","",Rechnungsstand!A276)</f>
        <v/>
      </c>
      <c r="B282" s="390">
        <f>IF(Rechnungsstand!B276="","",Rechnungsstand!B276)</f>
        <v/>
      </c>
      <c r="C282" s="391">
        <f>IF(Rechnungsstand!B276="","",Rechnungsstand!C276)</f>
        <v/>
      </c>
      <c r="D282" s="392">
        <f>IF(Rechnungsstand!B276="","",Rechnungsstand!F276)</f>
        <v/>
      </c>
      <c r="E282" s="393">
        <f>IF(D282="","",SUM($D$12:D282))</f>
        <v/>
      </c>
      <c r="F282" s="393">
        <f>IF(D282="","",D282*$B$7)</f>
        <v/>
      </c>
      <c r="G282" s="393">
        <f>IF(D282="","",D282*$B$8)</f>
        <v/>
      </c>
      <c r="H282" s="393">
        <f>IF(D282="","",D282*$B$9)</f>
        <v/>
      </c>
      <c r="I282" s="393">
        <f>IF(D282="","",IF(C282="Abschlagsrechnung",MAX(0,MIN(D282*$E$7,IF($E$8&gt;0,$B$6*$E$8-SUM($I$12:I281),D282*$E$7))),0))</f>
        <v/>
      </c>
      <c r="J282" s="393">
        <f>IF(D282="","",SUM(F282:I282))</f>
        <v/>
      </c>
      <c r="K282" s="393">
        <f>IF(D282="","",D282-J282)</f>
        <v/>
      </c>
      <c r="L282" s="399" t="n"/>
      <c r="M282" s="400" t="n"/>
      <c r="N282" s="401" t="n"/>
      <c r="O282" s="401" t="n"/>
      <c r="P282" s="401" t="n"/>
      <c r="Q282" s="401" t="n"/>
      <c r="R282" s="401" t="n"/>
      <c r="S282" s="393">
        <f>IF(COUNTA(O282:R282)=0,"",SUM(O282:R282))</f>
        <v/>
      </c>
      <c r="T282" s="393">
        <f>IF(N282="","",N282-IF(S282="",0,S282))</f>
        <v/>
      </c>
      <c r="U282" s="402">
        <f>IF(OR(D282="",N282=""),"",N282-D282)</f>
        <v/>
      </c>
      <c r="V282" s="393">
        <f>IF(OR(K282="",T282=""),"",T282-K282)</f>
        <v/>
      </c>
      <c r="W282" s="395" t="n"/>
    </row>
    <row r="283">
      <c r="A283" s="389">
        <f>IF(Rechnungsstand!B277="","",Rechnungsstand!A277)</f>
        <v/>
      </c>
      <c r="B283" s="390">
        <f>IF(Rechnungsstand!B277="","",Rechnungsstand!B277)</f>
        <v/>
      </c>
      <c r="C283" s="391">
        <f>IF(Rechnungsstand!B277="","",Rechnungsstand!C277)</f>
        <v/>
      </c>
      <c r="D283" s="392">
        <f>IF(Rechnungsstand!B277="","",Rechnungsstand!F277)</f>
        <v/>
      </c>
      <c r="E283" s="393">
        <f>IF(D283="","",SUM($D$12:D283))</f>
        <v/>
      </c>
      <c r="F283" s="393">
        <f>IF(D283="","",D283*$B$7)</f>
        <v/>
      </c>
      <c r="G283" s="393">
        <f>IF(D283="","",D283*$B$8)</f>
        <v/>
      </c>
      <c r="H283" s="393">
        <f>IF(D283="","",D283*$B$9)</f>
        <v/>
      </c>
      <c r="I283" s="393">
        <f>IF(D283="","",IF(C283="Abschlagsrechnung",MAX(0,MIN(D283*$E$7,IF($E$8&gt;0,$B$6*$E$8-SUM($I$12:I282),D283*$E$7))),0))</f>
        <v/>
      </c>
      <c r="J283" s="393">
        <f>IF(D283="","",SUM(F283:I283))</f>
        <v/>
      </c>
      <c r="K283" s="393">
        <f>IF(D283="","",D283-J283)</f>
        <v/>
      </c>
      <c r="L283" s="399" t="n"/>
      <c r="M283" s="400" t="n"/>
      <c r="N283" s="401" t="n"/>
      <c r="O283" s="401" t="n"/>
      <c r="P283" s="401" t="n"/>
      <c r="Q283" s="401" t="n"/>
      <c r="R283" s="401" t="n"/>
      <c r="S283" s="393">
        <f>IF(COUNTA(O283:R283)=0,"",SUM(O283:R283))</f>
        <v/>
      </c>
      <c r="T283" s="393">
        <f>IF(N283="","",N283-IF(S283="",0,S283))</f>
        <v/>
      </c>
      <c r="U283" s="402">
        <f>IF(OR(D283="",N283=""),"",N283-D283)</f>
        <v/>
      </c>
      <c r="V283" s="393">
        <f>IF(OR(K283="",T283=""),"",T283-K283)</f>
        <v/>
      </c>
      <c r="W283" s="395" t="n"/>
    </row>
    <row r="284">
      <c r="A284" s="389">
        <f>IF(Rechnungsstand!B278="","",Rechnungsstand!A278)</f>
        <v/>
      </c>
      <c r="B284" s="390">
        <f>IF(Rechnungsstand!B278="","",Rechnungsstand!B278)</f>
        <v/>
      </c>
      <c r="C284" s="391">
        <f>IF(Rechnungsstand!B278="","",Rechnungsstand!C278)</f>
        <v/>
      </c>
      <c r="D284" s="392">
        <f>IF(Rechnungsstand!B278="","",Rechnungsstand!F278)</f>
        <v/>
      </c>
      <c r="E284" s="393">
        <f>IF(D284="","",SUM($D$12:D284))</f>
        <v/>
      </c>
      <c r="F284" s="393">
        <f>IF(D284="","",D284*$B$7)</f>
        <v/>
      </c>
      <c r="G284" s="393">
        <f>IF(D284="","",D284*$B$8)</f>
        <v/>
      </c>
      <c r="H284" s="393">
        <f>IF(D284="","",D284*$B$9)</f>
        <v/>
      </c>
      <c r="I284" s="393">
        <f>IF(D284="","",IF(C284="Abschlagsrechnung",MAX(0,MIN(D284*$E$7,IF($E$8&gt;0,$B$6*$E$8-SUM($I$12:I283),D284*$E$7))),0))</f>
        <v/>
      </c>
      <c r="J284" s="393">
        <f>IF(D284="","",SUM(F284:I284))</f>
        <v/>
      </c>
      <c r="K284" s="393">
        <f>IF(D284="","",D284-J284)</f>
        <v/>
      </c>
      <c r="L284" s="399" t="n"/>
      <c r="M284" s="400" t="n"/>
      <c r="N284" s="401" t="n"/>
      <c r="O284" s="401" t="n"/>
      <c r="P284" s="401" t="n"/>
      <c r="Q284" s="401" t="n"/>
      <c r="R284" s="401" t="n"/>
      <c r="S284" s="393">
        <f>IF(COUNTA(O284:R284)=0,"",SUM(O284:R284))</f>
        <v/>
      </c>
      <c r="T284" s="393">
        <f>IF(N284="","",N284-IF(S284="",0,S284))</f>
        <v/>
      </c>
      <c r="U284" s="402">
        <f>IF(OR(D284="",N284=""),"",N284-D284)</f>
        <v/>
      </c>
      <c r="V284" s="393">
        <f>IF(OR(K284="",T284=""),"",T284-K284)</f>
        <v/>
      </c>
      <c r="W284" s="395" t="n"/>
    </row>
    <row r="285">
      <c r="A285" s="389">
        <f>IF(Rechnungsstand!B279="","",Rechnungsstand!A279)</f>
        <v/>
      </c>
      <c r="B285" s="390">
        <f>IF(Rechnungsstand!B279="","",Rechnungsstand!B279)</f>
        <v/>
      </c>
      <c r="C285" s="391">
        <f>IF(Rechnungsstand!B279="","",Rechnungsstand!C279)</f>
        <v/>
      </c>
      <c r="D285" s="392">
        <f>IF(Rechnungsstand!B279="","",Rechnungsstand!F279)</f>
        <v/>
      </c>
      <c r="E285" s="393">
        <f>IF(D285="","",SUM($D$12:D285))</f>
        <v/>
      </c>
      <c r="F285" s="393">
        <f>IF(D285="","",D285*$B$7)</f>
        <v/>
      </c>
      <c r="G285" s="393">
        <f>IF(D285="","",D285*$B$8)</f>
        <v/>
      </c>
      <c r="H285" s="393">
        <f>IF(D285="","",D285*$B$9)</f>
        <v/>
      </c>
      <c r="I285" s="393">
        <f>IF(D285="","",IF(C285="Abschlagsrechnung",MAX(0,MIN(D285*$E$7,IF($E$8&gt;0,$B$6*$E$8-SUM($I$12:I284),D285*$E$7))),0))</f>
        <v/>
      </c>
      <c r="J285" s="393">
        <f>IF(D285="","",SUM(F285:I285))</f>
        <v/>
      </c>
      <c r="K285" s="393">
        <f>IF(D285="","",D285-J285)</f>
        <v/>
      </c>
      <c r="L285" s="399" t="n"/>
      <c r="M285" s="400" t="n"/>
      <c r="N285" s="401" t="n"/>
      <c r="O285" s="401" t="n"/>
      <c r="P285" s="401" t="n"/>
      <c r="Q285" s="401" t="n"/>
      <c r="R285" s="401" t="n"/>
      <c r="S285" s="393">
        <f>IF(COUNTA(O285:R285)=0,"",SUM(O285:R285))</f>
        <v/>
      </c>
      <c r="T285" s="393">
        <f>IF(N285="","",N285-IF(S285="",0,S285))</f>
        <v/>
      </c>
      <c r="U285" s="402">
        <f>IF(OR(D285="",N285=""),"",N285-D285)</f>
        <v/>
      </c>
      <c r="V285" s="393">
        <f>IF(OR(K285="",T285=""),"",T285-K285)</f>
        <v/>
      </c>
      <c r="W285" s="395" t="n"/>
    </row>
    <row r="286">
      <c r="A286" s="389">
        <f>IF(Rechnungsstand!B280="","",Rechnungsstand!A280)</f>
        <v/>
      </c>
      <c r="B286" s="390">
        <f>IF(Rechnungsstand!B280="","",Rechnungsstand!B280)</f>
        <v/>
      </c>
      <c r="C286" s="391">
        <f>IF(Rechnungsstand!B280="","",Rechnungsstand!C280)</f>
        <v/>
      </c>
      <c r="D286" s="392">
        <f>IF(Rechnungsstand!B280="","",Rechnungsstand!F280)</f>
        <v/>
      </c>
      <c r="E286" s="393">
        <f>IF(D286="","",SUM($D$12:D286))</f>
        <v/>
      </c>
      <c r="F286" s="393">
        <f>IF(D286="","",D286*$B$7)</f>
        <v/>
      </c>
      <c r="G286" s="393">
        <f>IF(D286="","",D286*$B$8)</f>
        <v/>
      </c>
      <c r="H286" s="393">
        <f>IF(D286="","",D286*$B$9)</f>
        <v/>
      </c>
      <c r="I286" s="393">
        <f>IF(D286="","",IF(C286="Abschlagsrechnung",MAX(0,MIN(D286*$E$7,IF($E$8&gt;0,$B$6*$E$8-SUM($I$12:I285),D286*$E$7))),0))</f>
        <v/>
      </c>
      <c r="J286" s="393">
        <f>IF(D286="","",SUM(F286:I286))</f>
        <v/>
      </c>
      <c r="K286" s="393">
        <f>IF(D286="","",D286-J286)</f>
        <v/>
      </c>
      <c r="L286" s="399" t="n"/>
      <c r="M286" s="400" t="n"/>
      <c r="N286" s="401" t="n"/>
      <c r="O286" s="401" t="n"/>
      <c r="P286" s="401" t="n"/>
      <c r="Q286" s="401" t="n"/>
      <c r="R286" s="401" t="n"/>
      <c r="S286" s="393">
        <f>IF(COUNTA(O286:R286)=0,"",SUM(O286:R286))</f>
        <v/>
      </c>
      <c r="T286" s="393">
        <f>IF(N286="","",N286-IF(S286="",0,S286))</f>
        <v/>
      </c>
      <c r="U286" s="402">
        <f>IF(OR(D286="",N286=""),"",N286-D286)</f>
        <v/>
      </c>
      <c r="V286" s="393">
        <f>IF(OR(K286="",T286=""),"",T286-K286)</f>
        <v/>
      </c>
      <c r="W286" s="395" t="n"/>
    </row>
    <row r="287">
      <c r="A287" s="389">
        <f>IF(Rechnungsstand!B281="","",Rechnungsstand!A281)</f>
        <v/>
      </c>
      <c r="B287" s="390">
        <f>IF(Rechnungsstand!B281="","",Rechnungsstand!B281)</f>
        <v/>
      </c>
      <c r="C287" s="391">
        <f>IF(Rechnungsstand!B281="","",Rechnungsstand!C281)</f>
        <v/>
      </c>
      <c r="D287" s="392">
        <f>IF(Rechnungsstand!B281="","",Rechnungsstand!F281)</f>
        <v/>
      </c>
      <c r="E287" s="393">
        <f>IF(D287="","",SUM($D$12:D287))</f>
        <v/>
      </c>
      <c r="F287" s="393">
        <f>IF(D287="","",D287*$B$7)</f>
        <v/>
      </c>
      <c r="G287" s="393">
        <f>IF(D287="","",D287*$B$8)</f>
        <v/>
      </c>
      <c r="H287" s="393">
        <f>IF(D287="","",D287*$B$9)</f>
        <v/>
      </c>
      <c r="I287" s="393">
        <f>IF(D287="","",IF(C287="Abschlagsrechnung",MAX(0,MIN(D287*$E$7,IF($E$8&gt;0,$B$6*$E$8-SUM($I$12:I286),D287*$E$7))),0))</f>
        <v/>
      </c>
      <c r="J287" s="393">
        <f>IF(D287="","",SUM(F287:I287))</f>
        <v/>
      </c>
      <c r="K287" s="393">
        <f>IF(D287="","",D287-J287)</f>
        <v/>
      </c>
      <c r="L287" s="399" t="n"/>
      <c r="M287" s="400" t="n"/>
      <c r="N287" s="401" t="n"/>
      <c r="O287" s="401" t="n"/>
      <c r="P287" s="401" t="n"/>
      <c r="Q287" s="401" t="n"/>
      <c r="R287" s="401" t="n"/>
      <c r="S287" s="393">
        <f>IF(COUNTA(O287:R287)=0,"",SUM(O287:R287))</f>
        <v/>
      </c>
      <c r="T287" s="393">
        <f>IF(N287="","",N287-IF(S287="",0,S287))</f>
        <v/>
      </c>
      <c r="U287" s="402">
        <f>IF(OR(D287="",N287=""),"",N287-D287)</f>
        <v/>
      </c>
      <c r="V287" s="393">
        <f>IF(OR(K287="",T287=""),"",T287-K287)</f>
        <v/>
      </c>
      <c r="W287" s="395" t="n"/>
    </row>
    <row r="288">
      <c r="A288" s="389">
        <f>IF(Rechnungsstand!B282="","",Rechnungsstand!A282)</f>
        <v/>
      </c>
      <c r="B288" s="390">
        <f>IF(Rechnungsstand!B282="","",Rechnungsstand!B282)</f>
        <v/>
      </c>
      <c r="C288" s="391">
        <f>IF(Rechnungsstand!B282="","",Rechnungsstand!C282)</f>
        <v/>
      </c>
      <c r="D288" s="392">
        <f>IF(Rechnungsstand!B282="","",Rechnungsstand!F282)</f>
        <v/>
      </c>
      <c r="E288" s="393">
        <f>IF(D288="","",SUM($D$12:D288))</f>
        <v/>
      </c>
      <c r="F288" s="393">
        <f>IF(D288="","",D288*$B$7)</f>
        <v/>
      </c>
      <c r="G288" s="393">
        <f>IF(D288="","",D288*$B$8)</f>
        <v/>
      </c>
      <c r="H288" s="393">
        <f>IF(D288="","",D288*$B$9)</f>
        <v/>
      </c>
      <c r="I288" s="393">
        <f>IF(D288="","",IF(C288="Abschlagsrechnung",MAX(0,MIN(D288*$E$7,IF($E$8&gt;0,$B$6*$E$8-SUM($I$12:I287),D288*$E$7))),0))</f>
        <v/>
      </c>
      <c r="J288" s="393">
        <f>IF(D288="","",SUM(F288:I288))</f>
        <v/>
      </c>
      <c r="K288" s="393">
        <f>IF(D288="","",D288-J288)</f>
        <v/>
      </c>
      <c r="L288" s="399" t="n"/>
      <c r="M288" s="400" t="n"/>
      <c r="N288" s="401" t="n"/>
      <c r="O288" s="401" t="n"/>
      <c r="P288" s="401" t="n"/>
      <c r="Q288" s="401" t="n"/>
      <c r="R288" s="401" t="n"/>
      <c r="S288" s="393">
        <f>IF(COUNTA(O288:R288)=0,"",SUM(O288:R288))</f>
        <v/>
      </c>
      <c r="T288" s="393">
        <f>IF(N288="","",N288-IF(S288="",0,S288))</f>
        <v/>
      </c>
      <c r="U288" s="402">
        <f>IF(OR(D288="",N288=""),"",N288-D288)</f>
        <v/>
      </c>
      <c r="V288" s="393">
        <f>IF(OR(K288="",T288=""),"",T288-K288)</f>
        <v/>
      </c>
      <c r="W288" s="395" t="n"/>
    </row>
    <row r="289">
      <c r="A289" s="389">
        <f>IF(Rechnungsstand!B283="","",Rechnungsstand!A283)</f>
        <v/>
      </c>
      <c r="B289" s="390">
        <f>IF(Rechnungsstand!B283="","",Rechnungsstand!B283)</f>
        <v/>
      </c>
      <c r="C289" s="391">
        <f>IF(Rechnungsstand!B283="","",Rechnungsstand!C283)</f>
        <v/>
      </c>
      <c r="D289" s="392">
        <f>IF(Rechnungsstand!B283="","",Rechnungsstand!F283)</f>
        <v/>
      </c>
      <c r="E289" s="393">
        <f>IF(D289="","",SUM($D$12:D289))</f>
        <v/>
      </c>
      <c r="F289" s="393">
        <f>IF(D289="","",D289*$B$7)</f>
        <v/>
      </c>
      <c r="G289" s="393">
        <f>IF(D289="","",D289*$B$8)</f>
        <v/>
      </c>
      <c r="H289" s="393">
        <f>IF(D289="","",D289*$B$9)</f>
        <v/>
      </c>
      <c r="I289" s="393">
        <f>IF(D289="","",IF(C289="Abschlagsrechnung",MAX(0,MIN(D289*$E$7,IF($E$8&gt;0,$B$6*$E$8-SUM($I$12:I288),D289*$E$7))),0))</f>
        <v/>
      </c>
      <c r="J289" s="393">
        <f>IF(D289="","",SUM(F289:I289))</f>
        <v/>
      </c>
      <c r="K289" s="393">
        <f>IF(D289="","",D289-J289)</f>
        <v/>
      </c>
      <c r="L289" s="399" t="n"/>
      <c r="M289" s="400" t="n"/>
      <c r="N289" s="401" t="n"/>
      <c r="O289" s="401" t="n"/>
      <c r="P289" s="401" t="n"/>
      <c r="Q289" s="401" t="n"/>
      <c r="R289" s="401" t="n"/>
      <c r="S289" s="393">
        <f>IF(COUNTA(O289:R289)=0,"",SUM(O289:R289))</f>
        <v/>
      </c>
      <c r="T289" s="393">
        <f>IF(N289="","",N289-IF(S289="",0,S289))</f>
        <v/>
      </c>
      <c r="U289" s="402">
        <f>IF(OR(D289="",N289=""),"",N289-D289)</f>
        <v/>
      </c>
      <c r="V289" s="393">
        <f>IF(OR(K289="",T289=""),"",T289-K289)</f>
        <v/>
      </c>
      <c r="W289" s="395" t="n"/>
    </row>
    <row r="290">
      <c r="A290" s="389">
        <f>IF(Rechnungsstand!B284="","",Rechnungsstand!A284)</f>
        <v/>
      </c>
      <c r="B290" s="390">
        <f>IF(Rechnungsstand!B284="","",Rechnungsstand!B284)</f>
        <v/>
      </c>
      <c r="C290" s="391">
        <f>IF(Rechnungsstand!B284="","",Rechnungsstand!C284)</f>
        <v/>
      </c>
      <c r="D290" s="392">
        <f>IF(Rechnungsstand!B284="","",Rechnungsstand!F284)</f>
        <v/>
      </c>
      <c r="E290" s="393">
        <f>IF(D290="","",SUM($D$12:D290))</f>
        <v/>
      </c>
      <c r="F290" s="393">
        <f>IF(D290="","",D290*$B$7)</f>
        <v/>
      </c>
      <c r="G290" s="393">
        <f>IF(D290="","",D290*$B$8)</f>
        <v/>
      </c>
      <c r="H290" s="393">
        <f>IF(D290="","",D290*$B$9)</f>
        <v/>
      </c>
      <c r="I290" s="393">
        <f>IF(D290="","",IF(C290="Abschlagsrechnung",MAX(0,MIN(D290*$E$7,IF($E$8&gt;0,$B$6*$E$8-SUM($I$12:I289),D290*$E$7))),0))</f>
        <v/>
      </c>
      <c r="J290" s="393">
        <f>IF(D290="","",SUM(F290:I290))</f>
        <v/>
      </c>
      <c r="K290" s="393">
        <f>IF(D290="","",D290-J290)</f>
        <v/>
      </c>
      <c r="L290" s="399" t="n"/>
      <c r="M290" s="400" t="n"/>
      <c r="N290" s="401" t="n"/>
      <c r="O290" s="401" t="n"/>
      <c r="P290" s="401" t="n"/>
      <c r="Q290" s="401" t="n"/>
      <c r="R290" s="401" t="n"/>
      <c r="S290" s="393">
        <f>IF(COUNTA(O290:R290)=0,"",SUM(O290:R290))</f>
        <v/>
      </c>
      <c r="T290" s="393">
        <f>IF(N290="","",N290-IF(S290="",0,S290))</f>
        <v/>
      </c>
      <c r="U290" s="402">
        <f>IF(OR(D290="",N290=""),"",N290-D290)</f>
        <v/>
      </c>
      <c r="V290" s="393">
        <f>IF(OR(K290="",T290=""),"",T290-K290)</f>
        <v/>
      </c>
      <c r="W290" s="395" t="n"/>
    </row>
    <row r="291">
      <c r="A291" s="389">
        <f>IF(Rechnungsstand!B285="","",Rechnungsstand!A285)</f>
        <v/>
      </c>
      <c r="B291" s="390">
        <f>IF(Rechnungsstand!B285="","",Rechnungsstand!B285)</f>
        <v/>
      </c>
      <c r="C291" s="391">
        <f>IF(Rechnungsstand!B285="","",Rechnungsstand!C285)</f>
        <v/>
      </c>
      <c r="D291" s="392">
        <f>IF(Rechnungsstand!B285="","",Rechnungsstand!F285)</f>
        <v/>
      </c>
      <c r="E291" s="393">
        <f>IF(D291="","",SUM($D$12:D291))</f>
        <v/>
      </c>
      <c r="F291" s="393">
        <f>IF(D291="","",D291*$B$7)</f>
        <v/>
      </c>
      <c r="G291" s="393">
        <f>IF(D291="","",D291*$B$8)</f>
        <v/>
      </c>
      <c r="H291" s="393">
        <f>IF(D291="","",D291*$B$9)</f>
        <v/>
      </c>
      <c r="I291" s="393">
        <f>IF(D291="","",IF(C291="Abschlagsrechnung",MAX(0,MIN(D291*$E$7,IF($E$8&gt;0,$B$6*$E$8-SUM($I$12:I290),D291*$E$7))),0))</f>
        <v/>
      </c>
      <c r="J291" s="393">
        <f>IF(D291="","",SUM(F291:I291))</f>
        <v/>
      </c>
      <c r="K291" s="393">
        <f>IF(D291="","",D291-J291)</f>
        <v/>
      </c>
      <c r="L291" s="399" t="n"/>
      <c r="M291" s="400" t="n"/>
      <c r="N291" s="401" t="n"/>
      <c r="O291" s="401" t="n"/>
      <c r="P291" s="401" t="n"/>
      <c r="Q291" s="401" t="n"/>
      <c r="R291" s="401" t="n"/>
      <c r="S291" s="393">
        <f>IF(COUNTA(O291:R291)=0,"",SUM(O291:R291))</f>
        <v/>
      </c>
      <c r="T291" s="393">
        <f>IF(N291="","",N291-IF(S291="",0,S291))</f>
        <v/>
      </c>
      <c r="U291" s="402">
        <f>IF(OR(D291="",N291=""),"",N291-D291)</f>
        <v/>
      </c>
      <c r="V291" s="393">
        <f>IF(OR(K291="",T291=""),"",T291-K291)</f>
        <v/>
      </c>
      <c r="W291" s="395" t="n"/>
    </row>
    <row r="292">
      <c r="A292" s="389">
        <f>IF(Rechnungsstand!B286="","",Rechnungsstand!A286)</f>
        <v/>
      </c>
      <c r="B292" s="390">
        <f>IF(Rechnungsstand!B286="","",Rechnungsstand!B286)</f>
        <v/>
      </c>
      <c r="C292" s="391">
        <f>IF(Rechnungsstand!B286="","",Rechnungsstand!C286)</f>
        <v/>
      </c>
      <c r="D292" s="392">
        <f>IF(Rechnungsstand!B286="","",Rechnungsstand!F286)</f>
        <v/>
      </c>
      <c r="E292" s="393">
        <f>IF(D292="","",SUM($D$12:D292))</f>
        <v/>
      </c>
      <c r="F292" s="393">
        <f>IF(D292="","",D292*$B$7)</f>
        <v/>
      </c>
      <c r="G292" s="393">
        <f>IF(D292="","",D292*$B$8)</f>
        <v/>
      </c>
      <c r="H292" s="393">
        <f>IF(D292="","",D292*$B$9)</f>
        <v/>
      </c>
      <c r="I292" s="393">
        <f>IF(D292="","",IF(C292="Abschlagsrechnung",MAX(0,MIN(D292*$E$7,IF($E$8&gt;0,$B$6*$E$8-SUM($I$12:I291),D292*$E$7))),0))</f>
        <v/>
      </c>
      <c r="J292" s="393">
        <f>IF(D292="","",SUM(F292:I292))</f>
        <v/>
      </c>
      <c r="K292" s="393">
        <f>IF(D292="","",D292-J292)</f>
        <v/>
      </c>
      <c r="L292" s="399" t="n"/>
      <c r="M292" s="400" t="n"/>
      <c r="N292" s="401" t="n"/>
      <c r="O292" s="401" t="n"/>
      <c r="P292" s="401" t="n"/>
      <c r="Q292" s="401" t="n"/>
      <c r="R292" s="401" t="n"/>
      <c r="S292" s="393">
        <f>IF(COUNTA(O292:R292)=0,"",SUM(O292:R292))</f>
        <v/>
      </c>
      <c r="T292" s="393">
        <f>IF(N292="","",N292-IF(S292="",0,S292))</f>
        <v/>
      </c>
      <c r="U292" s="402">
        <f>IF(OR(D292="",N292=""),"",N292-D292)</f>
        <v/>
      </c>
      <c r="V292" s="393">
        <f>IF(OR(K292="",T292=""),"",T292-K292)</f>
        <v/>
      </c>
      <c r="W292" s="395" t="n"/>
    </row>
    <row r="293">
      <c r="A293" s="389">
        <f>IF(Rechnungsstand!B287="","",Rechnungsstand!A287)</f>
        <v/>
      </c>
      <c r="B293" s="390">
        <f>IF(Rechnungsstand!B287="","",Rechnungsstand!B287)</f>
        <v/>
      </c>
      <c r="C293" s="391">
        <f>IF(Rechnungsstand!B287="","",Rechnungsstand!C287)</f>
        <v/>
      </c>
      <c r="D293" s="392">
        <f>IF(Rechnungsstand!B287="","",Rechnungsstand!F287)</f>
        <v/>
      </c>
      <c r="E293" s="393">
        <f>IF(D293="","",SUM($D$12:D293))</f>
        <v/>
      </c>
      <c r="F293" s="393">
        <f>IF(D293="","",D293*$B$7)</f>
        <v/>
      </c>
      <c r="G293" s="393">
        <f>IF(D293="","",D293*$B$8)</f>
        <v/>
      </c>
      <c r="H293" s="393">
        <f>IF(D293="","",D293*$B$9)</f>
        <v/>
      </c>
      <c r="I293" s="393">
        <f>IF(D293="","",IF(C293="Abschlagsrechnung",MAX(0,MIN(D293*$E$7,IF($E$8&gt;0,$B$6*$E$8-SUM($I$12:I292),D293*$E$7))),0))</f>
        <v/>
      </c>
      <c r="J293" s="393">
        <f>IF(D293="","",SUM(F293:I293))</f>
        <v/>
      </c>
      <c r="K293" s="393">
        <f>IF(D293="","",D293-J293)</f>
        <v/>
      </c>
      <c r="L293" s="399" t="n"/>
      <c r="M293" s="400" t="n"/>
      <c r="N293" s="401" t="n"/>
      <c r="O293" s="401" t="n"/>
      <c r="P293" s="401" t="n"/>
      <c r="Q293" s="401" t="n"/>
      <c r="R293" s="401" t="n"/>
      <c r="S293" s="393">
        <f>IF(COUNTA(O293:R293)=0,"",SUM(O293:R293))</f>
        <v/>
      </c>
      <c r="T293" s="393">
        <f>IF(N293="","",N293-IF(S293="",0,S293))</f>
        <v/>
      </c>
      <c r="U293" s="402">
        <f>IF(OR(D293="",N293=""),"",N293-D293)</f>
        <v/>
      </c>
      <c r="V293" s="393">
        <f>IF(OR(K293="",T293=""),"",T293-K293)</f>
        <v/>
      </c>
      <c r="W293" s="395" t="n"/>
    </row>
    <row r="294">
      <c r="A294" s="389">
        <f>IF(Rechnungsstand!B288="","",Rechnungsstand!A288)</f>
        <v/>
      </c>
      <c r="B294" s="390">
        <f>IF(Rechnungsstand!B288="","",Rechnungsstand!B288)</f>
        <v/>
      </c>
      <c r="C294" s="391">
        <f>IF(Rechnungsstand!B288="","",Rechnungsstand!C288)</f>
        <v/>
      </c>
      <c r="D294" s="392">
        <f>IF(Rechnungsstand!B288="","",Rechnungsstand!F288)</f>
        <v/>
      </c>
      <c r="E294" s="393">
        <f>IF(D294="","",SUM($D$12:D294))</f>
        <v/>
      </c>
      <c r="F294" s="393">
        <f>IF(D294="","",D294*$B$7)</f>
        <v/>
      </c>
      <c r="G294" s="393">
        <f>IF(D294="","",D294*$B$8)</f>
        <v/>
      </c>
      <c r="H294" s="393">
        <f>IF(D294="","",D294*$B$9)</f>
        <v/>
      </c>
      <c r="I294" s="393">
        <f>IF(D294="","",IF(C294="Abschlagsrechnung",MAX(0,MIN(D294*$E$7,IF($E$8&gt;0,$B$6*$E$8-SUM($I$12:I293),D294*$E$7))),0))</f>
        <v/>
      </c>
      <c r="J294" s="393">
        <f>IF(D294="","",SUM(F294:I294))</f>
        <v/>
      </c>
      <c r="K294" s="393">
        <f>IF(D294="","",D294-J294)</f>
        <v/>
      </c>
      <c r="L294" s="399" t="n"/>
      <c r="M294" s="400" t="n"/>
      <c r="N294" s="401" t="n"/>
      <c r="O294" s="401" t="n"/>
      <c r="P294" s="401" t="n"/>
      <c r="Q294" s="401" t="n"/>
      <c r="R294" s="401" t="n"/>
      <c r="S294" s="393">
        <f>IF(COUNTA(O294:R294)=0,"",SUM(O294:R294))</f>
        <v/>
      </c>
      <c r="T294" s="393">
        <f>IF(N294="","",N294-IF(S294="",0,S294))</f>
        <v/>
      </c>
      <c r="U294" s="402">
        <f>IF(OR(D294="",N294=""),"",N294-D294)</f>
        <v/>
      </c>
      <c r="V294" s="393">
        <f>IF(OR(K294="",T294=""),"",T294-K294)</f>
        <v/>
      </c>
      <c r="W294" s="395" t="n"/>
    </row>
    <row r="295">
      <c r="A295" s="389">
        <f>IF(Rechnungsstand!B289="","",Rechnungsstand!A289)</f>
        <v/>
      </c>
      <c r="B295" s="390">
        <f>IF(Rechnungsstand!B289="","",Rechnungsstand!B289)</f>
        <v/>
      </c>
      <c r="C295" s="391">
        <f>IF(Rechnungsstand!B289="","",Rechnungsstand!C289)</f>
        <v/>
      </c>
      <c r="D295" s="392">
        <f>IF(Rechnungsstand!B289="","",Rechnungsstand!F289)</f>
        <v/>
      </c>
      <c r="E295" s="393">
        <f>IF(D295="","",SUM($D$12:D295))</f>
        <v/>
      </c>
      <c r="F295" s="393">
        <f>IF(D295="","",D295*$B$7)</f>
        <v/>
      </c>
      <c r="G295" s="393">
        <f>IF(D295="","",D295*$B$8)</f>
        <v/>
      </c>
      <c r="H295" s="393">
        <f>IF(D295="","",D295*$B$9)</f>
        <v/>
      </c>
      <c r="I295" s="393">
        <f>IF(D295="","",IF(C295="Abschlagsrechnung",MAX(0,MIN(D295*$E$7,IF($E$8&gt;0,$B$6*$E$8-SUM($I$12:I294),D295*$E$7))),0))</f>
        <v/>
      </c>
      <c r="J295" s="393">
        <f>IF(D295="","",SUM(F295:I295))</f>
        <v/>
      </c>
      <c r="K295" s="393">
        <f>IF(D295="","",D295-J295)</f>
        <v/>
      </c>
      <c r="L295" s="399" t="n"/>
      <c r="M295" s="400" t="n"/>
      <c r="N295" s="401" t="n"/>
      <c r="O295" s="401" t="n"/>
      <c r="P295" s="401" t="n"/>
      <c r="Q295" s="401" t="n"/>
      <c r="R295" s="401" t="n"/>
      <c r="S295" s="393">
        <f>IF(COUNTA(O295:R295)=0,"",SUM(O295:R295))</f>
        <v/>
      </c>
      <c r="T295" s="393">
        <f>IF(N295="","",N295-IF(S295="",0,S295))</f>
        <v/>
      </c>
      <c r="U295" s="402">
        <f>IF(OR(D295="",N295=""),"",N295-D295)</f>
        <v/>
      </c>
      <c r="V295" s="393">
        <f>IF(OR(K295="",T295=""),"",T295-K295)</f>
        <v/>
      </c>
      <c r="W295" s="395" t="n"/>
    </row>
    <row r="296">
      <c r="A296" s="389">
        <f>IF(Rechnungsstand!B290="","",Rechnungsstand!A290)</f>
        <v/>
      </c>
      <c r="B296" s="390">
        <f>IF(Rechnungsstand!B290="","",Rechnungsstand!B290)</f>
        <v/>
      </c>
      <c r="C296" s="391">
        <f>IF(Rechnungsstand!B290="","",Rechnungsstand!C290)</f>
        <v/>
      </c>
      <c r="D296" s="392">
        <f>IF(Rechnungsstand!B290="","",Rechnungsstand!F290)</f>
        <v/>
      </c>
      <c r="E296" s="393">
        <f>IF(D296="","",SUM($D$12:D296))</f>
        <v/>
      </c>
      <c r="F296" s="393">
        <f>IF(D296="","",D296*$B$7)</f>
        <v/>
      </c>
      <c r="G296" s="393">
        <f>IF(D296="","",D296*$B$8)</f>
        <v/>
      </c>
      <c r="H296" s="393">
        <f>IF(D296="","",D296*$B$9)</f>
        <v/>
      </c>
      <c r="I296" s="393">
        <f>IF(D296="","",IF(C296="Abschlagsrechnung",MAX(0,MIN(D296*$E$7,IF($E$8&gt;0,$B$6*$E$8-SUM($I$12:I295),D296*$E$7))),0))</f>
        <v/>
      </c>
      <c r="J296" s="393">
        <f>IF(D296="","",SUM(F296:I296))</f>
        <v/>
      </c>
      <c r="K296" s="393">
        <f>IF(D296="","",D296-J296)</f>
        <v/>
      </c>
      <c r="L296" s="399" t="n"/>
      <c r="M296" s="400" t="n"/>
      <c r="N296" s="401" t="n"/>
      <c r="O296" s="401" t="n"/>
      <c r="P296" s="401" t="n"/>
      <c r="Q296" s="401" t="n"/>
      <c r="R296" s="401" t="n"/>
      <c r="S296" s="393">
        <f>IF(COUNTA(O296:R296)=0,"",SUM(O296:R296))</f>
        <v/>
      </c>
      <c r="T296" s="393">
        <f>IF(N296="","",N296-IF(S296="",0,S296))</f>
        <v/>
      </c>
      <c r="U296" s="402">
        <f>IF(OR(D296="",N296=""),"",N296-D296)</f>
        <v/>
      </c>
      <c r="V296" s="393">
        <f>IF(OR(K296="",T296=""),"",T296-K296)</f>
        <v/>
      </c>
      <c r="W296" s="395" t="n"/>
    </row>
    <row r="297">
      <c r="A297" s="389">
        <f>IF(Rechnungsstand!B291="","",Rechnungsstand!A291)</f>
        <v/>
      </c>
      <c r="B297" s="390">
        <f>IF(Rechnungsstand!B291="","",Rechnungsstand!B291)</f>
        <v/>
      </c>
      <c r="C297" s="391">
        <f>IF(Rechnungsstand!B291="","",Rechnungsstand!C291)</f>
        <v/>
      </c>
      <c r="D297" s="392">
        <f>IF(Rechnungsstand!B291="","",Rechnungsstand!F291)</f>
        <v/>
      </c>
      <c r="E297" s="393">
        <f>IF(D297="","",SUM($D$12:D297))</f>
        <v/>
      </c>
      <c r="F297" s="393">
        <f>IF(D297="","",D297*$B$7)</f>
        <v/>
      </c>
      <c r="G297" s="393">
        <f>IF(D297="","",D297*$B$8)</f>
        <v/>
      </c>
      <c r="H297" s="393">
        <f>IF(D297="","",D297*$B$9)</f>
        <v/>
      </c>
      <c r="I297" s="393">
        <f>IF(D297="","",IF(C297="Abschlagsrechnung",MAX(0,MIN(D297*$E$7,IF($E$8&gt;0,$B$6*$E$8-SUM($I$12:I296),D297*$E$7))),0))</f>
        <v/>
      </c>
      <c r="J297" s="393">
        <f>IF(D297="","",SUM(F297:I297))</f>
        <v/>
      </c>
      <c r="K297" s="393">
        <f>IF(D297="","",D297-J297)</f>
        <v/>
      </c>
      <c r="L297" s="399" t="n"/>
      <c r="M297" s="400" t="n"/>
      <c r="N297" s="401" t="n"/>
      <c r="O297" s="401" t="n"/>
      <c r="P297" s="401" t="n"/>
      <c r="Q297" s="401" t="n"/>
      <c r="R297" s="401" t="n"/>
      <c r="S297" s="393">
        <f>IF(COUNTA(O297:R297)=0,"",SUM(O297:R297))</f>
        <v/>
      </c>
      <c r="T297" s="393">
        <f>IF(N297="","",N297-IF(S297="",0,S297))</f>
        <v/>
      </c>
      <c r="U297" s="402">
        <f>IF(OR(D297="",N297=""),"",N297-D297)</f>
        <v/>
      </c>
      <c r="V297" s="393">
        <f>IF(OR(K297="",T297=""),"",T297-K297)</f>
        <v/>
      </c>
      <c r="W297" s="395" t="n"/>
    </row>
    <row r="298">
      <c r="A298" s="389">
        <f>IF(Rechnungsstand!B292="","",Rechnungsstand!A292)</f>
        <v/>
      </c>
      <c r="B298" s="390">
        <f>IF(Rechnungsstand!B292="","",Rechnungsstand!B292)</f>
        <v/>
      </c>
      <c r="C298" s="391">
        <f>IF(Rechnungsstand!B292="","",Rechnungsstand!C292)</f>
        <v/>
      </c>
      <c r="D298" s="392">
        <f>IF(Rechnungsstand!B292="","",Rechnungsstand!F292)</f>
        <v/>
      </c>
      <c r="E298" s="393">
        <f>IF(D298="","",SUM($D$12:D298))</f>
        <v/>
      </c>
      <c r="F298" s="393">
        <f>IF(D298="","",D298*$B$7)</f>
        <v/>
      </c>
      <c r="G298" s="393">
        <f>IF(D298="","",D298*$B$8)</f>
        <v/>
      </c>
      <c r="H298" s="393">
        <f>IF(D298="","",D298*$B$9)</f>
        <v/>
      </c>
      <c r="I298" s="393">
        <f>IF(D298="","",IF(C298="Abschlagsrechnung",MAX(0,MIN(D298*$E$7,IF($E$8&gt;0,$B$6*$E$8-SUM($I$12:I297),D298*$E$7))),0))</f>
        <v/>
      </c>
      <c r="J298" s="393">
        <f>IF(D298="","",SUM(F298:I298))</f>
        <v/>
      </c>
      <c r="K298" s="393">
        <f>IF(D298="","",D298-J298)</f>
        <v/>
      </c>
      <c r="L298" s="399" t="n"/>
      <c r="M298" s="400" t="n"/>
      <c r="N298" s="401" t="n"/>
      <c r="O298" s="401" t="n"/>
      <c r="P298" s="401" t="n"/>
      <c r="Q298" s="401" t="n"/>
      <c r="R298" s="401" t="n"/>
      <c r="S298" s="393">
        <f>IF(COUNTA(O298:R298)=0,"",SUM(O298:R298))</f>
        <v/>
      </c>
      <c r="T298" s="393">
        <f>IF(N298="","",N298-IF(S298="",0,S298))</f>
        <v/>
      </c>
      <c r="U298" s="402">
        <f>IF(OR(D298="",N298=""),"",N298-D298)</f>
        <v/>
      </c>
      <c r="V298" s="393">
        <f>IF(OR(K298="",T298=""),"",T298-K298)</f>
        <v/>
      </c>
      <c r="W298" s="395" t="n"/>
    </row>
    <row r="299">
      <c r="A299" s="389">
        <f>IF(Rechnungsstand!B293="","",Rechnungsstand!A293)</f>
        <v/>
      </c>
      <c r="B299" s="390">
        <f>IF(Rechnungsstand!B293="","",Rechnungsstand!B293)</f>
        <v/>
      </c>
      <c r="C299" s="391">
        <f>IF(Rechnungsstand!B293="","",Rechnungsstand!C293)</f>
        <v/>
      </c>
      <c r="D299" s="392">
        <f>IF(Rechnungsstand!B293="","",Rechnungsstand!F293)</f>
        <v/>
      </c>
      <c r="E299" s="393">
        <f>IF(D299="","",SUM($D$12:D299))</f>
        <v/>
      </c>
      <c r="F299" s="393">
        <f>IF(D299="","",D299*$B$7)</f>
        <v/>
      </c>
      <c r="G299" s="393">
        <f>IF(D299="","",D299*$B$8)</f>
        <v/>
      </c>
      <c r="H299" s="393">
        <f>IF(D299="","",D299*$B$9)</f>
        <v/>
      </c>
      <c r="I299" s="393">
        <f>IF(D299="","",IF(C299="Abschlagsrechnung",MAX(0,MIN(D299*$E$7,IF($E$8&gt;0,$B$6*$E$8-SUM($I$12:I298),D299*$E$7))),0))</f>
        <v/>
      </c>
      <c r="J299" s="393">
        <f>IF(D299="","",SUM(F299:I299))</f>
        <v/>
      </c>
      <c r="K299" s="393">
        <f>IF(D299="","",D299-J299)</f>
        <v/>
      </c>
      <c r="L299" s="399" t="n"/>
      <c r="M299" s="400" t="n"/>
      <c r="N299" s="401" t="n"/>
      <c r="O299" s="401" t="n"/>
      <c r="P299" s="401" t="n"/>
      <c r="Q299" s="401" t="n"/>
      <c r="R299" s="401" t="n"/>
      <c r="S299" s="393">
        <f>IF(COUNTA(O299:R299)=0,"",SUM(O299:R299))</f>
        <v/>
      </c>
      <c r="T299" s="393">
        <f>IF(N299="","",N299-IF(S299="",0,S299))</f>
        <v/>
      </c>
      <c r="U299" s="402">
        <f>IF(OR(D299="",N299=""),"",N299-D299)</f>
        <v/>
      </c>
      <c r="V299" s="393">
        <f>IF(OR(K299="",T299=""),"",T299-K299)</f>
        <v/>
      </c>
      <c r="W299" s="395" t="n"/>
    </row>
    <row r="300">
      <c r="A300" s="389">
        <f>IF(Rechnungsstand!B294="","",Rechnungsstand!A294)</f>
        <v/>
      </c>
      <c r="B300" s="390">
        <f>IF(Rechnungsstand!B294="","",Rechnungsstand!B294)</f>
        <v/>
      </c>
      <c r="C300" s="391">
        <f>IF(Rechnungsstand!B294="","",Rechnungsstand!C294)</f>
        <v/>
      </c>
      <c r="D300" s="392">
        <f>IF(Rechnungsstand!B294="","",Rechnungsstand!F294)</f>
        <v/>
      </c>
      <c r="E300" s="393">
        <f>IF(D300="","",SUM($D$12:D300))</f>
        <v/>
      </c>
      <c r="F300" s="393">
        <f>IF(D300="","",D300*$B$7)</f>
        <v/>
      </c>
      <c r="G300" s="393">
        <f>IF(D300="","",D300*$B$8)</f>
        <v/>
      </c>
      <c r="H300" s="393">
        <f>IF(D300="","",D300*$B$9)</f>
        <v/>
      </c>
      <c r="I300" s="393">
        <f>IF(D300="","",IF(C300="Abschlagsrechnung",MAX(0,MIN(D300*$E$7,IF($E$8&gt;0,$B$6*$E$8-SUM($I$12:I299),D300*$E$7))),0))</f>
        <v/>
      </c>
      <c r="J300" s="393">
        <f>IF(D300="","",SUM(F300:I300))</f>
        <v/>
      </c>
      <c r="K300" s="393">
        <f>IF(D300="","",D300-J300)</f>
        <v/>
      </c>
      <c r="L300" s="399" t="n"/>
      <c r="M300" s="400" t="n"/>
      <c r="N300" s="401" t="n"/>
      <c r="O300" s="401" t="n"/>
      <c r="P300" s="401" t="n"/>
      <c r="Q300" s="401" t="n"/>
      <c r="R300" s="401" t="n"/>
      <c r="S300" s="393">
        <f>IF(COUNTA(O300:R300)=0,"",SUM(O300:R300))</f>
        <v/>
      </c>
      <c r="T300" s="393">
        <f>IF(N300="","",N300-IF(S300="",0,S300))</f>
        <v/>
      </c>
      <c r="U300" s="402">
        <f>IF(OR(D300="",N300=""),"",N300-D300)</f>
        <v/>
      </c>
      <c r="V300" s="393">
        <f>IF(OR(K300="",T300=""),"",T300-K300)</f>
        <v/>
      </c>
      <c r="W300" s="395" t="n"/>
    </row>
    <row r="301">
      <c r="A301" s="389">
        <f>IF(Rechnungsstand!B295="","",Rechnungsstand!A295)</f>
        <v/>
      </c>
      <c r="B301" s="390">
        <f>IF(Rechnungsstand!B295="","",Rechnungsstand!B295)</f>
        <v/>
      </c>
      <c r="C301" s="391">
        <f>IF(Rechnungsstand!B295="","",Rechnungsstand!C295)</f>
        <v/>
      </c>
      <c r="D301" s="392">
        <f>IF(Rechnungsstand!B295="","",Rechnungsstand!F295)</f>
        <v/>
      </c>
      <c r="E301" s="393">
        <f>IF(D301="","",SUM($D$12:D301))</f>
        <v/>
      </c>
      <c r="F301" s="393">
        <f>IF(D301="","",D301*$B$7)</f>
        <v/>
      </c>
      <c r="G301" s="393">
        <f>IF(D301="","",D301*$B$8)</f>
        <v/>
      </c>
      <c r="H301" s="393">
        <f>IF(D301="","",D301*$B$9)</f>
        <v/>
      </c>
      <c r="I301" s="393">
        <f>IF(D301="","",IF(C301="Abschlagsrechnung",MAX(0,MIN(D301*$E$7,IF($E$8&gt;0,$B$6*$E$8-SUM($I$12:I300),D301*$E$7))),0))</f>
        <v/>
      </c>
      <c r="J301" s="393">
        <f>IF(D301="","",SUM(F301:I301))</f>
        <v/>
      </c>
      <c r="K301" s="393">
        <f>IF(D301="","",D301-J301)</f>
        <v/>
      </c>
      <c r="L301" s="399" t="n"/>
      <c r="M301" s="400" t="n"/>
      <c r="N301" s="401" t="n"/>
      <c r="O301" s="401" t="n"/>
      <c r="P301" s="401" t="n"/>
      <c r="Q301" s="401" t="n"/>
      <c r="R301" s="401" t="n"/>
      <c r="S301" s="393">
        <f>IF(COUNTA(O301:R301)=0,"",SUM(O301:R301))</f>
        <v/>
      </c>
      <c r="T301" s="393">
        <f>IF(N301="","",N301-IF(S301="",0,S301))</f>
        <v/>
      </c>
      <c r="U301" s="402">
        <f>IF(OR(D301="",N301=""),"",N301-D301)</f>
        <v/>
      </c>
      <c r="V301" s="393">
        <f>IF(OR(K301="",T301=""),"",T301-K301)</f>
        <v/>
      </c>
      <c r="W301" s="395" t="n"/>
    </row>
    <row r="302">
      <c r="A302" s="389">
        <f>IF(Rechnungsstand!B296="","",Rechnungsstand!A296)</f>
        <v/>
      </c>
      <c r="B302" s="390">
        <f>IF(Rechnungsstand!B296="","",Rechnungsstand!B296)</f>
        <v/>
      </c>
      <c r="C302" s="391">
        <f>IF(Rechnungsstand!B296="","",Rechnungsstand!C296)</f>
        <v/>
      </c>
      <c r="D302" s="392">
        <f>IF(Rechnungsstand!B296="","",Rechnungsstand!F296)</f>
        <v/>
      </c>
      <c r="E302" s="393">
        <f>IF(D302="","",SUM($D$12:D302))</f>
        <v/>
      </c>
      <c r="F302" s="393">
        <f>IF(D302="","",D302*$B$7)</f>
        <v/>
      </c>
      <c r="G302" s="393">
        <f>IF(D302="","",D302*$B$8)</f>
        <v/>
      </c>
      <c r="H302" s="393">
        <f>IF(D302="","",D302*$B$9)</f>
        <v/>
      </c>
      <c r="I302" s="393">
        <f>IF(D302="","",IF(C302="Abschlagsrechnung",MAX(0,MIN(D302*$E$7,IF($E$8&gt;0,$B$6*$E$8-SUM($I$12:I301),D302*$E$7))),0))</f>
        <v/>
      </c>
      <c r="J302" s="393">
        <f>IF(D302="","",SUM(F302:I302))</f>
        <v/>
      </c>
      <c r="K302" s="393">
        <f>IF(D302="","",D302-J302)</f>
        <v/>
      </c>
      <c r="L302" s="399" t="n"/>
      <c r="M302" s="400" t="n"/>
      <c r="N302" s="401" t="n"/>
      <c r="O302" s="401" t="n"/>
      <c r="P302" s="401" t="n"/>
      <c r="Q302" s="401" t="n"/>
      <c r="R302" s="401" t="n"/>
      <c r="S302" s="393">
        <f>IF(COUNTA(O302:R302)=0,"",SUM(O302:R302))</f>
        <v/>
      </c>
      <c r="T302" s="393">
        <f>IF(N302="","",N302-IF(S302="",0,S302))</f>
        <v/>
      </c>
      <c r="U302" s="402">
        <f>IF(OR(D302="",N302=""),"",N302-D302)</f>
        <v/>
      </c>
      <c r="V302" s="393">
        <f>IF(OR(K302="",T302=""),"",T302-K302)</f>
        <v/>
      </c>
      <c r="W302" s="395" t="n"/>
    </row>
    <row r="303">
      <c r="A303" s="389">
        <f>IF(Rechnungsstand!B297="","",Rechnungsstand!A297)</f>
        <v/>
      </c>
      <c r="B303" s="390">
        <f>IF(Rechnungsstand!B297="","",Rechnungsstand!B297)</f>
        <v/>
      </c>
      <c r="C303" s="391">
        <f>IF(Rechnungsstand!B297="","",Rechnungsstand!C297)</f>
        <v/>
      </c>
      <c r="D303" s="392">
        <f>IF(Rechnungsstand!B297="","",Rechnungsstand!F297)</f>
        <v/>
      </c>
      <c r="E303" s="393">
        <f>IF(D303="","",SUM($D$12:D303))</f>
        <v/>
      </c>
      <c r="F303" s="393">
        <f>IF(D303="","",D303*$B$7)</f>
        <v/>
      </c>
      <c r="G303" s="393">
        <f>IF(D303="","",D303*$B$8)</f>
        <v/>
      </c>
      <c r="H303" s="393">
        <f>IF(D303="","",D303*$B$9)</f>
        <v/>
      </c>
      <c r="I303" s="393">
        <f>IF(D303="","",IF(C303="Abschlagsrechnung",MAX(0,MIN(D303*$E$7,IF($E$8&gt;0,$B$6*$E$8-SUM($I$12:I302),D303*$E$7))),0))</f>
        <v/>
      </c>
      <c r="J303" s="393">
        <f>IF(D303="","",SUM(F303:I303))</f>
        <v/>
      </c>
      <c r="K303" s="393">
        <f>IF(D303="","",D303-J303)</f>
        <v/>
      </c>
      <c r="L303" s="399" t="n"/>
      <c r="M303" s="400" t="n"/>
      <c r="N303" s="401" t="n"/>
      <c r="O303" s="401" t="n"/>
      <c r="P303" s="401" t="n"/>
      <c r="Q303" s="401" t="n"/>
      <c r="R303" s="401" t="n"/>
      <c r="S303" s="393">
        <f>IF(COUNTA(O303:R303)=0,"",SUM(O303:R303))</f>
        <v/>
      </c>
      <c r="T303" s="393">
        <f>IF(N303="","",N303-IF(S303="",0,S303))</f>
        <v/>
      </c>
      <c r="U303" s="402">
        <f>IF(OR(D303="",N303=""),"",N303-D303)</f>
        <v/>
      </c>
      <c r="V303" s="393">
        <f>IF(OR(K303="",T303=""),"",T303-K303)</f>
        <v/>
      </c>
      <c r="W303" s="395" t="n"/>
    </row>
    <row r="304">
      <c r="A304" s="389">
        <f>IF(Rechnungsstand!B298="","",Rechnungsstand!A298)</f>
        <v/>
      </c>
      <c r="B304" s="390">
        <f>IF(Rechnungsstand!B298="","",Rechnungsstand!B298)</f>
        <v/>
      </c>
      <c r="C304" s="391">
        <f>IF(Rechnungsstand!B298="","",Rechnungsstand!C298)</f>
        <v/>
      </c>
      <c r="D304" s="392">
        <f>IF(Rechnungsstand!B298="","",Rechnungsstand!F298)</f>
        <v/>
      </c>
      <c r="E304" s="393">
        <f>IF(D304="","",SUM($D$12:D304))</f>
        <v/>
      </c>
      <c r="F304" s="393">
        <f>IF(D304="","",D304*$B$7)</f>
        <v/>
      </c>
      <c r="G304" s="393">
        <f>IF(D304="","",D304*$B$8)</f>
        <v/>
      </c>
      <c r="H304" s="393">
        <f>IF(D304="","",D304*$B$9)</f>
        <v/>
      </c>
      <c r="I304" s="393">
        <f>IF(D304="","",IF(C304="Abschlagsrechnung",MAX(0,MIN(D304*$E$7,IF($E$8&gt;0,$B$6*$E$8-SUM($I$12:I303),D304*$E$7))),0))</f>
        <v/>
      </c>
      <c r="J304" s="393">
        <f>IF(D304="","",SUM(F304:I304))</f>
        <v/>
      </c>
      <c r="K304" s="393">
        <f>IF(D304="","",D304-J304)</f>
        <v/>
      </c>
      <c r="L304" s="399" t="n"/>
      <c r="M304" s="400" t="n"/>
      <c r="N304" s="401" t="n"/>
      <c r="O304" s="401" t="n"/>
      <c r="P304" s="401" t="n"/>
      <c r="Q304" s="401" t="n"/>
      <c r="R304" s="401" t="n"/>
      <c r="S304" s="393">
        <f>IF(COUNTA(O304:R304)=0,"",SUM(O304:R304))</f>
        <v/>
      </c>
      <c r="T304" s="393">
        <f>IF(N304="","",N304-IF(S304="",0,S304))</f>
        <v/>
      </c>
      <c r="U304" s="402">
        <f>IF(OR(D304="",N304=""),"",N304-D304)</f>
        <v/>
      </c>
      <c r="V304" s="393">
        <f>IF(OR(K304="",T304=""),"",T304-K304)</f>
        <v/>
      </c>
      <c r="W304" s="395" t="n"/>
    </row>
    <row r="305">
      <c r="A305" s="389">
        <f>IF(Rechnungsstand!B299="","",Rechnungsstand!A299)</f>
        <v/>
      </c>
      <c r="B305" s="390">
        <f>IF(Rechnungsstand!B299="","",Rechnungsstand!B299)</f>
        <v/>
      </c>
      <c r="C305" s="391">
        <f>IF(Rechnungsstand!B299="","",Rechnungsstand!C299)</f>
        <v/>
      </c>
      <c r="D305" s="392">
        <f>IF(Rechnungsstand!B299="","",Rechnungsstand!F299)</f>
        <v/>
      </c>
      <c r="E305" s="393">
        <f>IF(D305="","",SUM($D$12:D305))</f>
        <v/>
      </c>
      <c r="F305" s="393">
        <f>IF(D305="","",D305*$B$7)</f>
        <v/>
      </c>
      <c r="G305" s="393">
        <f>IF(D305="","",D305*$B$8)</f>
        <v/>
      </c>
      <c r="H305" s="393">
        <f>IF(D305="","",D305*$B$9)</f>
        <v/>
      </c>
      <c r="I305" s="393">
        <f>IF(D305="","",IF(C305="Abschlagsrechnung",MAX(0,MIN(D305*$E$7,IF($E$8&gt;0,$B$6*$E$8-SUM($I$12:I304),D305*$E$7))),0))</f>
        <v/>
      </c>
      <c r="J305" s="393">
        <f>IF(D305="","",SUM(F305:I305))</f>
        <v/>
      </c>
      <c r="K305" s="393">
        <f>IF(D305="","",D305-J305)</f>
        <v/>
      </c>
      <c r="L305" s="399" t="n"/>
      <c r="M305" s="400" t="n"/>
      <c r="N305" s="401" t="n"/>
      <c r="O305" s="401" t="n"/>
      <c r="P305" s="401" t="n"/>
      <c r="Q305" s="401" t="n"/>
      <c r="R305" s="401" t="n"/>
      <c r="S305" s="393">
        <f>IF(COUNTA(O305:R305)=0,"",SUM(O305:R305))</f>
        <v/>
      </c>
      <c r="T305" s="393">
        <f>IF(N305="","",N305-IF(S305="",0,S305))</f>
        <v/>
      </c>
      <c r="U305" s="402">
        <f>IF(OR(D305="",N305=""),"",N305-D305)</f>
        <v/>
      </c>
      <c r="V305" s="393">
        <f>IF(OR(K305="",T305=""),"",T305-K305)</f>
        <v/>
      </c>
      <c r="W305" s="395" t="n"/>
    </row>
    <row r="306">
      <c r="A306" s="389">
        <f>IF(Rechnungsstand!B300="","",Rechnungsstand!A300)</f>
        <v/>
      </c>
      <c r="B306" s="390">
        <f>IF(Rechnungsstand!B300="","",Rechnungsstand!B300)</f>
        <v/>
      </c>
      <c r="C306" s="391">
        <f>IF(Rechnungsstand!B300="","",Rechnungsstand!C300)</f>
        <v/>
      </c>
      <c r="D306" s="392">
        <f>IF(Rechnungsstand!B300="","",Rechnungsstand!F300)</f>
        <v/>
      </c>
      <c r="E306" s="393">
        <f>IF(D306="","",SUM($D$12:D306))</f>
        <v/>
      </c>
      <c r="F306" s="393">
        <f>IF(D306="","",D306*$B$7)</f>
        <v/>
      </c>
      <c r="G306" s="393">
        <f>IF(D306="","",D306*$B$8)</f>
        <v/>
      </c>
      <c r="H306" s="393">
        <f>IF(D306="","",D306*$B$9)</f>
        <v/>
      </c>
      <c r="I306" s="393">
        <f>IF(D306="","",IF(C306="Abschlagsrechnung",MAX(0,MIN(D306*$E$7,IF($E$8&gt;0,$B$6*$E$8-SUM($I$12:I305),D306*$E$7))),0))</f>
        <v/>
      </c>
      <c r="J306" s="393">
        <f>IF(D306="","",SUM(F306:I306))</f>
        <v/>
      </c>
      <c r="K306" s="393">
        <f>IF(D306="","",D306-J306)</f>
        <v/>
      </c>
      <c r="L306" s="399" t="n"/>
      <c r="M306" s="400" t="n"/>
      <c r="N306" s="401" t="n"/>
      <c r="O306" s="401" t="n"/>
      <c r="P306" s="401" t="n"/>
      <c r="Q306" s="401" t="n"/>
      <c r="R306" s="401" t="n"/>
      <c r="S306" s="393">
        <f>IF(COUNTA(O306:R306)=0,"",SUM(O306:R306))</f>
        <v/>
      </c>
      <c r="T306" s="393">
        <f>IF(N306="","",N306-IF(S306="",0,S306))</f>
        <v/>
      </c>
      <c r="U306" s="402">
        <f>IF(OR(D306="",N306=""),"",N306-D306)</f>
        <v/>
      </c>
      <c r="V306" s="393">
        <f>IF(OR(K306="",T306=""),"",T306-K306)</f>
        <v/>
      </c>
      <c r="W306" s="395" t="n"/>
    </row>
    <row r="307">
      <c r="A307" s="389">
        <f>IF(Rechnungsstand!B301="","",Rechnungsstand!A301)</f>
        <v/>
      </c>
      <c r="B307" s="390">
        <f>IF(Rechnungsstand!B301="","",Rechnungsstand!B301)</f>
        <v/>
      </c>
      <c r="C307" s="391">
        <f>IF(Rechnungsstand!B301="","",Rechnungsstand!C301)</f>
        <v/>
      </c>
      <c r="D307" s="392">
        <f>IF(Rechnungsstand!B301="","",Rechnungsstand!F301)</f>
        <v/>
      </c>
      <c r="E307" s="393">
        <f>IF(D307="","",SUM($D$12:D307))</f>
        <v/>
      </c>
      <c r="F307" s="393">
        <f>IF(D307="","",D307*$B$7)</f>
        <v/>
      </c>
      <c r="G307" s="393">
        <f>IF(D307="","",D307*$B$8)</f>
        <v/>
      </c>
      <c r="H307" s="393">
        <f>IF(D307="","",D307*$B$9)</f>
        <v/>
      </c>
      <c r="I307" s="393">
        <f>IF(D307="","",IF(C307="Abschlagsrechnung",MAX(0,MIN(D307*$E$7,IF($E$8&gt;0,$B$6*$E$8-SUM($I$12:I306),D307*$E$7))),0))</f>
        <v/>
      </c>
      <c r="J307" s="393">
        <f>IF(D307="","",SUM(F307:I307))</f>
        <v/>
      </c>
      <c r="K307" s="393">
        <f>IF(D307="","",D307-J307)</f>
        <v/>
      </c>
      <c r="L307" s="399" t="n"/>
      <c r="M307" s="400" t="n"/>
      <c r="N307" s="401" t="n"/>
      <c r="O307" s="401" t="n"/>
      <c r="P307" s="401" t="n"/>
      <c r="Q307" s="401" t="n"/>
      <c r="R307" s="401" t="n"/>
      <c r="S307" s="393">
        <f>IF(COUNTA(O307:R307)=0,"",SUM(O307:R307))</f>
        <v/>
      </c>
      <c r="T307" s="393">
        <f>IF(N307="","",N307-IF(S307="",0,S307))</f>
        <v/>
      </c>
      <c r="U307" s="402">
        <f>IF(OR(D307="",N307=""),"",N307-D307)</f>
        <v/>
      </c>
      <c r="V307" s="393">
        <f>IF(OR(K307="",T307=""),"",T307-K307)</f>
        <v/>
      </c>
      <c r="W307" s="395" t="n"/>
    </row>
    <row r="308">
      <c r="A308" s="389">
        <f>IF(Rechnungsstand!B302="","",Rechnungsstand!A302)</f>
        <v/>
      </c>
      <c r="B308" s="390">
        <f>IF(Rechnungsstand!B302="","",Rechnungsstand!B302)</f>
        <v/>
      </c>
      <c r="C308" s="391">
        <f>IF(Rechnungsstand!B302="","",Rechnungsstand!C302)</f>
        <v/>
      </c>
      <c r="D308" s="392">
        <f>IF(Rechnungsstand!B302="","",Rechnungsstand!F302)</f>
        <v/>
      </c>
      <c r="E308" s="393">
        <f>IF(D308="","",SUM($D$12:D308))</f>
        <v/>
      </c>
      <c r="F308" s="393">
        <f>IF(D308="","",D308*$B$7)</f>
        <v/>
      </c>
      <c r="G308" s="393">
        <f>IF(D308="","",D308*$B$8)</f>
        <v/>
      </c>
      <c r="H308" s="393">
        <f>IF(D308="","",D308*$B$9)</f>
        <v/>
      </c>
      <c r="I308" s="393">
        <f>IF(D308="","",IF(C308="Abschlagsrechnung",MAX(0,MIN(D308*$E$7,IF($E$8&gt;0,$B$6*$E$8-SUM($I$12:I307),D308*$E$7))),0))</f>
        <v/>
      </c>
      <c r="J308" s="393">
        <f>IF(D308="","",SUM(F308:I308))</f>
        <v/>
      </c>
      <c r="K308" s="393">
        <f>IF(D308="","",D308-J308)</f>
        <v/>
      </c>
      <c r="L308" s="399" t="n"/>
      <c r="M308" s="400" t="n"/>
      <c r="N308" s="401" t="n"/>
      <c r="O308" s="401" t="n"/>
      <c r="P308" s="401" t="n"/>
      <c r="Q308" s="401" t="n"/>
      <c r="R308" s="401" t="n"/>
      <c r="S308" s="393">
        <f>IF(COUNTA(O308:R308)=0,"",SUM(O308:R308))</f>
        <v/>
      </c>
      <c r="T308" s="393">
        <f>IF(N308="","",N308-IF(S308="",0,S308))</f>
        <v/>
      </c>
      <c r="U308" s="402">
        <f>IF(OR(D308="",N308=""),"",N308-D308)</f>
        <v/>
      </c>
      <c r="V308" s="393">
        <f>IF(OR(K308="",T308=""),"",T308-K308)</f>
        <v/>
      </c>
      <c r="W308" s="395" t="n"/>
    </row>
    <row r="309">
      <c r="A309" s="389">
        <f>IF(Rechnungsstand!B303="","",Rechnungsstand!A303)</f>
        <v/>
      </c>
      <c r="B309" s="390">
        <f>IF(Rechnungsstand!B303="","",Rechnungsstand!B303)</f>
        <v/>
      </c>
      <c r="C309" s="391">
        <f>IF(Rechnungsstand!B303="","",Rechnungsstand!C303)</f>
        <v/>
      </c>
      <c r="D309" s="392">
        <f>IF(Rechnungsstand!B303="","",Rechnungsstand!F303)</f>
        <v/>
      </c>
      <c r="E309" s="393">
        <f>IF(D309="","",SUM($D$12:D309))</f>
        <v/>
      </c>
      <c r="F309" s="393">
        <f>IF(D309="","",D309*$B$7)</f>
        <v/>
      </c>
      <c r="G309" s="393">
        <f>IF(D309="","",D309*$B$8)</f>
        <v/>
      </c>
      <c r="H309" s="393">
        <f>IF(D309="","",D309*$B$9)</f>
        <v/>
      </c>
      <c r="I309" s="393">
        <f>IF(D309="","",IF(C309="Abschlagsrechnung",MAX(0,MIN(D309*$E$7,IF($E$8&gt;0,$B$6*$E$8-SUM($I$12:I308),D309*$E$7))),0))</f>
        <v/>
      </c>
      <c r="J309" s="393">
        <f>IF(D309="","",SUM(F309:I309))</f>
        <v/>
      </c>
      <c r="K309" s="393">
        <f>IF(D309="","",D309-J309)</f>
        <v/>
      </c>
      <c r="L309" s="399" t="n"/>
      <c r="M309" s="400" t="n"/>
      <c r="N309" s="401" t="n"/>
      <c r="O309" s="401" t="n"/>
      <c r="P309" s="401" t="n"/>
      <c r="Q309" s="401" t="n"/>
      <c r="R309" s="401" t="n"/>
      <c r="S309" s="393">
        <f>IF(COUNTA(O309:R309)=0,"",SUM(O309:R309))</f>
        <v/>
      </c>
      <c r="T309" s="393">
        <f>IF(N309="","",N309-IF(S309="",0,S309))</f>
        <v/>
      </c>
      <c r="U309" s="402">
        <f>IF(OR(D309="",N309=""),"",N309-D309)</f>
        <v/>
      </c>
      <c r="V309" s="393">
        <f>IF(OR(K309="",T309=""),"",T309-K309)</f>
        <v/>
      </c>
      <c r="W309" s="395" t="n"/>
    </row>
    <row r="310">
      <c r="A310" s="389">
        <f>IF(Rechnungsstand!B304="","",Rechnungsstand!A304)</f>
        <v/>
      </c>
      <c r="B310" s="390">
        <f>IF(Rechnungsstand!B304="","",Rechnungsstand!B304)</f>
        <v/>
      </c>
      <c r="C310" s="391">
        <f>IF(Rechnungsstand!B304="","",Rechnungsstand!C304)</f>
        <v/>
      </c>
      <c r="D310" s="392">
        <f>IF(Rechnungsstand!B304="","",Rechnungsstand!F304)</f>
        <v/>
      </c>
      <c r="E310" s="393">
        <f>IF(D310="","",SUM($D$12:D310))</f>
        <v/>
      </c>
      <c r="F310" s="393">
        <f>IF(D310="","",D310*$B$7)</f>
        <v/>
      </c>
      <c r="G310" s="393">
        <f>IF(D310="","",D310*$B$8)</f>
        <v/>
      </c>
      <c r="H310" s="393">
        <f>IF(D310="","",D310*$B$9)</f>
        <v/>
      </c>
      <c r="I310" s="393">
        <f>IF(D310="","",IF(C310="Abschlagsrechnung",MAX(0,MIN(D310*$E$7,IF($E$8&gt;0,$B$6*$E$8-SUM($I$12:I309),D310*$E$7))),0))</f>
        <v/>
      </c>
      <c r="J310" s="393">
        <f>IF(D310="","",SUM(F310:I310))</f>
        <v/>
      </c>
      <c r="K310" s="393">
        <f>IF(D310="","",D310-J310)</f>
        <v/>
      </c>
      <c r="L310" s="399" t="n"/>
      <c r="M310" s="400" t="n"/>
      <c r="N310" s="401" t="n"/>
      <c r="O310" s="401" t="n"/>
      <c r="P310" s="401" t="n"/>
      <c r="Q310" s="401" t="n"/>
      <c r="R310" s="401" t="n"/>
      <c r="S310" s="393">
        <f>IF(COUNTA(O310:R310)=0,"",SUM(O310:R310))</f>
        <v/>
      </c>
      <c r="T310" s="393">
        <f>IF(N310="","",N310-IF(S310="",0,S310))</f>
        <v/>
      </c>
      <c r="U310" s="402">
        <f>IF(OR(D310="",N310=""),"",N310-D310)</f>
        <v/>
      </c>
      <c r="V310" s="393">
        <f>IF(OR(K310="",T310=""),"",T310-K310)</f>
        <v/>
      </c>
      <c r="W310" s="395" t="n"/>
    </row>
    <row r="311">
      <c r="A311" s="389">
        <f>IF(Rechnungsstand!B305="","",Rechnungsstand!A305)</f>
        <v/>
      </c>
      <c r="B311" s="390">
        <f>IF(Rechnungsstand!B305="","",Rechnungsstand!B305)</f>
        <v/>
      </c>
      <c r="C311" s="391">
        <f>IF(Rechnungsstand!B305="","",Rechnungsstand!C305)</f>
        <v/>
      </c>
      <c r="D311" s="392">
        <f>IF(Rechnungsstand!B305="","",Rechnungsstand!F305)</f>
        <v/>
      </c>
      <c r="E311" s="393">
        <f>IF(D311="","",SUM($D$12:D311))</f>
        <v/>
      </c>
      <c r="F311" s="393">
        <f>IF(D311="","",D311*$B$7)</f>
        <v/>
      </c>
      <c r="G311" s="393">
        <f>IF(D311="","",D311*$B$8)</f>
        <v/>
      </c>
      <c r="H311" s="393">
        <f>IF(D311="","",D311*$B$9)</f>
        <v/>
      </c>
      <c r="I311" s="393">
        <f>IF(D311="","",IF(C311="Abschlagsrechnung",MAX(0,MIN(D311*$E$7,IF($E$8&gt;0,$B$6*$E$8-SUM($I$12:I310),D311*$E$7))),0))</f>
        <v/>
      </c>
      <c r="J311" s="393">
        <f>IF(D311="","",SUM(F311:I311))</f>
        <v/>
      </c>
      <c r="K311" s="393">
        <f>IF(D311="","",D311-J311)</f>
        <v/>
      </c>
      <c r="L311" s="399" t="n"/>
      <c r="M311" s="400" t="n"/>
      <c r="N311" s="401" t="n"/>
      <c r="O311" s="401" t="n"/>
      <c r="P311" s="401" t="n"/>
      <c r="Q311" s="401" t="n"/>
      <c r="R311" s="401" t="n"/>
      <c r="S311" s="393">
        <f>IF(COUNTA(O311:R311)=0,"",SUM(O311:R311))</f>
        <v/>
      </c>
      <c r="T311" s="393">
        <f>IF(N311="","",N311-IF(S311="",0,S311))</f>
        <v/>
      </c>
      <c r="U311" s="402">
        <f>IF(OR(D311="",N311=""),"",N311-D311)</f>
        <v/>
      </c>
      <c r="V311" s="393">
        <f>IF(OR(K311="",T311=""),"",T311-K311)</f>
        <v/>
      </c>
      <c r="W311" s="395" t="n"/>
    </row>
    <row r="314">
      <c r="A314" s="396" t="inlineStr">
        <is>
          <t>Hinweis zur VOB/B-Logik</t>
        </is>
      </c>
    </row>
    <row r="315">
      <c r="A315" s="397" t="inlineStr">
        <is>
          <t>Abschlagszahlungen werden nach § 16 VOB/B auf Grundlage nachgewiesener vertragsgemäßer Leistungen geprüft. Sicherheitsabzüge setzen eine vertragliche Vereinbarung voraus. § 17 Abs. 6 VOB/B begrenzt den Einbehalt je Zahlung auf höchstens 10 %, bis die vereinbarte Sicherheitssumme erreicht ist. Baustrom, Versicherung und Infrastruktur sind keine pauschalen VOB/B-Sätze und müssen aus dem jeweiligen Vertrag/Prüfblatt übernommen werden. Bei Teil-/Schlussrechnungen ist die Behandlung bestehender Sicherheiten nach Vertrag und Abnahmestand zu prüfen. Quellen: https://dejure.org/gesetze/VOB-B/16.html ; https://dejure.org/gesetze/VOB-B/17.html ; https://www.vob-online.de/de/vob-2016-202072</t>
        </is>
      </c>
    </row>
    <row r="316"/>
    <row r="317"/>
  </sheetData>
  <autoFilter ref="A11:W311"/>
  <mergeCells count="9">
    <mergeCell ref="A1:T2"/>
    <mergeCell ref="L10:T10"/>
    <mergeCell ref="A3:T3"/>
    <mergeCell ref="U10:W10"/>
    <mergeCell ref="A5:F5"/>
    <mergeCell ref="G5:U5"/>
    <mergeCell ref="A10:K10"/>
    <mergeCell ref="A315:U317"/>
    <mergeCell ref="L9:T9"/>
  </mergeCells>
  <conditionalFormatting sqref="U12:V311">
    <cfRule type="cellIs" priority="2" operator="notEqual" dxfId="10">
      <formula>0</formula>
    </cfRule>
  </conditionalFormatting>
  <hyperlinks>
    <hyperlink xmlns:r="http://schemas.openxmlformats.org/officeDocument/2006/relationships" ref="U3" r:id="rId1"/>
  </hyperlinks>
  <pageMargins left="0.75" right="0.75" top="1" bottom="1" header="0.5" footer="0.5"/>
  <pageSetup orientation="landscape" paperSize="8" fitToHeight="0" fitToWidth="1"/>
  <headerFooter>
    <oddHeader/>
    <oddFooter>&amp;CF+K Projektbau GmbH · Rechnungsprüfung&amp;RSeite &amp;P von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autoPageBreaks="0" fitToPage="1"/>
  </sheetPr>
  <dimension ref="A1:M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18" customWidth="1" min="4" max="4"/>
    <col width="19" customWidth="1" min="5" max="5"/>
    <col width="23" customWidth="1" min="6" max="6"/>
    <col width="18" customWidth="1" min="7" max="7"/>
    <col width="17" customWidth="1" min="8" max="8"/>
    <col width="12" customWidth="1" min="9" max="9"/>
    <col width="31" customWidth="1" min="10" max="10"/>
    <col width="13" customWidth="1" min="11" max="11"/>
    <col width="13" customWidth="1" min="12" max="12"/>
    <col width="13" customWidth="1" min="13" max="13"/>
  </cols>
  <sheetData>
    <row r="1" ht="28" customHeight="1">
      <c r="A1" s="283" t="inlineStr">
        <is>
          <t>NACHUNTERNEHMER · EINKAUF UND WEITERVERRECHNUNG</t>
        </is>
      </c>
      <c r="K1" s="263" t="inlineStr">
        <is>
          <t>←  ZUM COCKPIT</t>
        </is>
      </c>
      <c r="L1" s="269" t="n"/>
      <c r="M1" s="270" t="n"/>
    </row>
    <row r="2" ht="20" customHeight="1">
      <c r="A2" s="285" t="inlineStr">
        <is>
          <t>Eine Zeile je zugeordneter Leistung: NU-Einkauf, Kundenrechnung und Kundenposition unmittelbar miteinander verknüpfen.</t>
        </is>
      </c>
      <c r="K2" s="271" t="n"/>
      <c r="L2" s="272" t="n"/>
      <c r="M2" s="273" t="n"/>
    </row>
    <row r="3" ht="22" customHeight="1">
      <c r="A3" s="286" t="inlineStr">
        <is>
          <t>NU-KOSTEN NETTO</t>
        </is>
      </c>
      <c r="B3" s="282" t="n"/>
      <c r="C3" s="288" t="inlineStr">
        <is>
          <t>KUNDENWERT NETTO</t>
        </is>
      </c>
      <c r="D3" s="282" t="n"/>
      <c r="E3" s="290" t="inlineStr">
        <is>
          <t>GEWINN / DECKUNGSBEITRAG</t>
        </is>
      </c>
      <c r="F3" s="281" t="n"/>
      <c r="G3" s="282" t="n"/>
      <c r="H3" s="292" t="inlineStr">
        <is>
          <t>MARGE NACHUNTERNEHMER</t>
        </is>
      </c>
      <c r="I3" s="281" t="n"/>
      <c r="J3" s="282" t="n"/>
    </row>
    <row r="4" ht="31" customHeight="1">
      <c r="A4" s="315">
        <f>IF(COUNT($D$7:$D$106)=0,"",SUM($D$7:$D$106))</f>
        <v/>
      </c>
      <c r="B4" s="282" t="n"/>
      <c r="C4" s="316">
        <f>IF(COUNT($G$7:$G$106)=0,"",SUM($G$7:$G$106))</f>
        <v/>
      </c>
      <c r="D4" s="282" t="n"/>
      <c r="E4" s="317">
        <f>IF(COUNT($D$7:$D$106,$G$7:$G$106)=0,"",N(C4)-N(A4))</f>
        <v/>
      </c>
      <c r="F4" s="281" t="n"/>
      <c r="G4" s="282" t="n"/>
      <c r="H4" s="300">
        <f>IF(COUNT(C4)=0,"",IF(C4=0,"",E4/C4))</f>
        <v/>
      </c>
      <c r="I4" s="281" t="n"/>
      <c r="J4" s="282" t="n"/>
    </row>
    <row r="5" ht="8" customHeight="1"/>
    <row r="6" ht="36" customHeight="1">
      <c r="A6" s="145" t="inlineStr">
        <is>
          <t>GEWERK</t>
        </is>
      </c>
      <c r="B6" s="145" t="inlineStr">
        <is>
          <t>NACHUNTERNEHMER</t>
        </is>
      </c>
      <c r="C6" s="145" t="inlineStr">
        <is>
          <t>NU-RECHNUNG / BELEG</t>
        </is>
      </c>
      <c r="D6" s="145" t="inlineStr">
        <is>
          <t>EINKAUF NU NETTO</t>
        </is>
      </c>
      <c r="E6" s="145" t="inlineStr">
        <is>
          <t>KUNDENRECHNUNG</t>
        </is>
      </c>
      <c r="F6" s="145" t="inlineStr">
        <is>
          <t>RECHNUNGSPOSITION(EN)</t>
        </is>
      </c>
      <c r="G6" s="145" t="inlineStr">
        <is>
          <t>KUNDENWERT NETTO</t>
        </is>
      </c>
      <c r="H6" s="145" t="inlineStr">
        <is>
          <t>GEWINN / DB</t>
        </is>
      </c>
      <c r="I6" s="145" t="inlineStr">
        <is>
          <t>MARGE</t>
        </is>
      </c>
      <c r="J6" s="145" t="inlineStr">
        <is>
          <t>KURZBESCHREIBUNG / ZUORDNUNG</t>
        </is>
      </c>
    </row>
    <row r="7" ht="25" customHeight="1">
      <c r="A7" s="302" t="n"/>
      <c r="B7" s="302" t="n"/>
      <c r="C7" s="302" t="n"/>
      <c r="D7" s="318" t="n"/>
      <c r="E7" s="302" t="n"/>
      <c r="F7" s="304" t="n"/>
      <c r="G7" s="318" t="n"/>
      <c r="H7" s="319">
        <f>IF(COUNT(D7,G7)&lt;2,"",G7-D7)</f>
        <v/>
      </c>
      <c r="I7" s="306">
        <f>IF(COUNT(G7)=0,"",IF(G7=0,"",H7/G7))</f>
        <v/>
      </c>
      <c r="J7" s="304" t="n"/>
    </row>
    <row r="8" ht="25" customHeight="1">
      <c r="A8" s="307" t="n"/>
      <c r="B8" s="307" t="n"/>
      <c r="C8" s="307" t="n"/>
      <c r="D8" s="320" t="n"/>
      <c r="E8" s="307" t="n"/>
      <c r="F8" s="309" t="n"/>
      <c r="G8" s="320" t="n"/>
      <c r="H8" s="321">
        <f>IF(COUNT(D8,G8)&lt;2,"",G8-D8)</f>
        <v/>
      </c>
      <c r="I8" s="311">
        <f>IF(COUNT(G8)=0,"",IF(G8=0,"",H8/G8))</f>
        <v/>
      </c>
      <c r="J8" s="309" t="n"/>
    </row>
    <row r="9" ht="25" customHeight="1">
      <c r="A9" s="302" t="n"/>
      <c r="B9" s="302" t="n"/>
      <c r="C9" s="302" t="n"/>
      <c r="D9" s="318" t="n"/>
      <c r="E9" s="302" t="n"/>
      <c r="F9" s="304" t="n"/>
      <c r="G9" s="318" t="n"/>
      <c r="H9" s="319">
        <f>IF(COUNT(D9,G9)&lt;2,"",G9-D9)</f>
        <v/>
      </c>
      <c r="I9" s="306">
        <f>IF(COUNT(G9)=0,"",IF(G9=0,"",H9/G9))</f>
        <v/>
      </c>
      <c r="J9" s="304" t="n"/>
    </row>
    <row r="10" ht="25" customHeight="1">
      <c r="A10" s="307" t="n"/>
      <c r="B10" s="307" t="n"/>
      <c r="C10" s="307" t="n"/>
      <c r="D10" s="320" t="n"/>
      <c r="E10" s="307" t="n"/>
      <c r="F10" s="309" t="n"/>
      <c r="G10" s="320" t="n"/>
      <c r="H10" s="321">
        <f>IF(COUNT(D10,G10)&lt;2,"",G10-D10)</f>
        <v/>
      </c>
      <c r="I10" s="311">
        <f>IF(COUNT(G10)=0,"",IF(G10=0,"",H10/G10))</f>
        <v/>
      </c>
      <c r="J10" s="309" t="n"/>
    </row>
    <row r="11" ht="25" customHeight="1">
      <c r="A11" s="302" t="n"/>
      <c r="B11" s="302" t="n"/>
      <c r="C11" s="302" t="n"/>
      <c r="D11" s="318" t="n"/>
      <c r="E11" s="302" t="n"/>
      <c r="F11" s="304" t="n"/>
      <c r="G11" s="318" t="n"/>
      <c r="H11" s="319">
        <f>IF(COUNT(D11,G11)&lt;2,"",G11-D11)</f>
        <v/>
      </c>
      <c r="I11" s="306">
        <f>IF(COUNT(G11)=0,"",IF(G11=0,"",H11/G11))</f>
        <v/>
      </c>
      <c r="J11" s="304" t="n"/>
    </row>
    <row r="12" ht="25" customHeight="1">
      <c r="A12" s="307" t="n"/>
      <c r="B12" s="307" t="n"/>
      <c r="C12" s="307" t="n"/>
      <c r="D12" s="320" t="n"/>
      <c r="E12" s="307" t="n"/>
      <c r="F12" s="309" t="n"/>
      <c r="G12" s="320" t="n"/>
      <c r="H12" s="321">
        <f>IF(COUNT(D12,G12)&lt;2,"",G12-D12)</f>
        <v/>
      </c>
      <c r="I12" s="311">
        <f>IF(COUNT(G12)=0,"",IF(G12=0,"",H12/G12))</f>
        <v/>
      </c>
      <c r="J12" s="309" t="n"/>
    </row>
    <row r="13" ht="25" customHeight="1">
      <c r="A13" s="302" t="n"/>
      <c r="B13" s="302" t="n"/>
      <c r="C13" s="302" t="n"/>
      <c r="D13" s="318" t="n"/>
      <c r="E13" s="302" t="n"/>
      <c r="F13" s="304" t="n"/>
      <c r="G13" s="318" t="n"/>
      <c r="H13" s="319">
        <f>IF(COUNT(D13,G13)&lt;2,"",G13-D13)</f>
        <v/>
      </c>
      <c r="I13" s="306">
        <f>IF(COUNT(G13)=0,"",IF(G13=0,"",H13/G13))</f>
        <v/>
      </c>
      <c r="J13" s="304" t="n"/>
    </row>
    <row r="14" ht="25" customHeight="1">
      <c r="A14" s="307" t="n"/>
      <c r="B14" s="307" t="n"/>
      <c r="C14" s="307" t="n"/>
      <c r="D14" s="320" t="n"/>
      <c r="E14" s="307" t="n"/>
      <c r="F14" s="309" t="n"/>
      <c r="G14" s="320" t="n"/>
      <c r="H14" s="321">
        <f>IF(COUNT(D14,G14)&lt;2,"",G14-D14)</f>
        <v/>
      </c>
      <c r="I14" s="311">
        <f>IF(COUNT(G14)=0,"",IF(G14=0,"",H14/G14))</f>
        <v/>
      </c>
      <c r="J14" s="309" t="n"/>
    </row>
    <row r="15" ht="25" customHeight="1">
      <c r="A15" s="302" t="n"/>
      <c r="B15" s="302" t="n"/>
      <c r="C15" s="302" t="n"/>
      <c r="D15" s="318" t="n"/>
      <c r="E15" s="302" t="n"/>
      <c r="F15" s="304" t="n"/>
      <c r="G15" s="318" t="n"/>
      <c r="H15" s="319">
        <f>IF(COUNT(D15,G15)&lt;2,"",G15-D15)</f>
        <v/>
      </c>
      <c r="I15" s="306">
        <f>IF(COUNT(G15)=0,"",IF(G15=0,"",H15/G15))</f>
        <v/>
      </c>
      <c r="J15" s="304" t="n"/>
    </row>
    <row r="16" ht="25" customHeight="1">
      <c r="A16" s="307" t="n"/>
      <c r="B16" s="307" t="n"/>
      <c r="C16" s="307" t="n"/>
      <c r="D16" s="320" t="n"/>
      <c r="E16" s="307" t="n"/>
      <c r="F16" s="309" t="n"/>
      <c r="G16" s="320" t="n"/>
      <c r="H16" s="321">
        <f>IF(COUNT(D16,G16)&lt;2,"",G16-D16)</f>
        <v/>
      </c>
      <c r="I16" s="311">
        <f>IF(COUNT(G16)=0,"",IF(G16=0,"",H16/G16))</f>
        <v/>
      </c>
      <c r="J16" s="309" t="n"/>
    </row>
    <row r="17" ht="25" customHeight="1">
      <c r="A17" s="302" t="n"/>
      <c r="B17" s="302" t="n"/>
      <c r="C17" s="302" t="n"/>
      <c r="D17" s="318" t="n"/>
      <c r="E17" s="302" t="n"/>
      <c r="F17" s="304" t="n"/>
      <c r="G17" s="318" t="n"/>
      <c r="H17" s="319">
        <f>IF(COUNT(D17,G17)&lt;2,"",G17-D17)</f>
        <v/>
      </c>
      <c r="I17" s="306">
        <f>IF(COUNT(G17)=0,"",IF(G17=0,"",H17/G17))</f>
        <v/>
      </c>
      <c r="J17" s="304" t="n"/>
    </row>
    <row r="18" ht="25" customHeight="1">
      <c r="A18" s="307" t="n"/>
      <c r="B18" s="307" t="n"/>
      <c r="C18" s="307" t="n"/>
      <c r="D18" s="320" t="n"/>
      <c r="E18" s="307" t="n"/>
      <c r="F18" s="309" t="n"/>
      <c r="G18" s="320" t="n"/>
      <c r="H18" s="321">
        <f>IF(COUNT(D18,G18)&lt;2,"",G18-D18)</f>
        <v/>
      </c>
      <c r="I18" s="311">
        <f>IF(COUNT(G18)=0,"",IF(G18=0,"",H18/G18))</f>
        <v/>
      </c>
      <c r="J18" s="309" t="n"/>
    </row>
    <row r="19" ht="25" customHeight="1">
      <c r="A19" s="302" t="n"/>
      <c r="B19" s="302" t="n"/>
      <c r="C19" s="302" t="n"/>
      <c r="D19" s="318" t="n"/>
      <c r="E19" s="302" t="n"/>
      <c r="F19" s="304" t="n"/>
      <c r="G19" s="318" t="n"/>
      <c r="H19" s="319">
        <f>IF(COUNT(D19,G19)&lt;2,"",G19-D19)</f>
        <v/>
      </c>
      <c r="I19" s="306">
        <f>IF(COUNT(G19)=0,"",IF(G19=0,"",H19/G19))</f>
        <v/>
      </c>
      <c r="J19" s="304" t="n"/>
    </row>
    <row r="20" ht="25" customHeight="1">
      <c r="A20" s="307" t="n"/>
      <c r="B20" s="307" t="n"/>
      <c r="C20" s="307" t="n"/>
      <c r="D20" s="320" t="n"/>
      <c r="E20" s="307" t="n"/>
      <c r="F20" s="309" t="n"/>
      <c r="G20" s="320" t="n"/>
      <c r="H20" s="321">
        <f>IF(COUNT(D20,G20)&lt;2,"",G20-D20)</f>
        <v/>
      </c>
      <c r="I20" s="311">
        <f>IF(COUNT(G20)=0,"",IF(G20=0,"",H20/G20))</f>
        <v/>
      </c>
      <c r="J20" s="309" t="n"/>
    </row>
    <row r="21" ht="25" customHeight="1">
      <c r="A21" s="302" t="n"/>
      <c r="B21" s="302" t="n"/>
      <c r="C21" s="302" t="n"/>
      <c r="D21" s="318" t="n"/>
      <c r="E21" s="302" t="n"/>
      <c r="F21" s="304" t="n"/>
      <c r="G21" s="318" t="n"/>
      <c r="H21" s="319">
        <f>IF(COUNT(D21,G21)&lt;2,"",G21-D21)</f>
        <v/>
      </c>
      <c r="I21" s="306">
        <f>IF(COUNT(G21)=0,"",IF(G21=0,"",H21/G21))</f>
        <v/>
      </c>
      <c r="J21" s="304" t="n"/>
    </row>
    <row r="22" ht="25" customHeight="1">
      <c r="A22" s="307" t="n"/>
      <c r="B22" s="307" t="n"/>
      <c r="C22" s="307" t="n"/>
      <c r="D22" s="320" t="n"/>
      <c r="E22" s="307" t="n"/>
      <c r="F22" s="309" t="n"/>
      <c r="G22" s="320" t="n"/>
      <c r="H22" s="321">
        <f>IF(COUNT(D22,G22)&lt;2,"",G22-D22)</f>
        <v/>
      </c>
      <c r="I22" s="311">
        <f>IF(COUNT(G22)=0,"",IF(G22=0,"",H22/G22))</f>
        <v/>
      </c>
      <c r="J22" s="309" t="n"/>
    </row>
    <row r="23" ht="25" customHeight="1">
      <c r="A23" s="302" t="n"/>
      <c r="B23" s="302" t="n"/>
      <c r="C23" s="302" t="n"/>
      <c r="D23" s="318" t="n"/>
      <c r="E23" s="302" t="n"/>
      <c r="F23" s="304" t="n"/>
      <c r="G23" s="318" t="n"/>
      <c r="H23" s="319">
        <f>IF(COUNT(D23,G23)&lt;2,"",G23-D23)</f>
        <v/>
      </c>
      <c r="I23" s="306">
        <f>IF(COUNT(G23)=0,"",IF(G23=0,"",H23/G23))</f>
        <v/>
      </c>
      <c r="J23" s="304" t="n"/>
    </row>
    <row r="24" ht="25" customHeight="1">
      <c r="A24" s="307" t="n"/>
      <c r="B24" s="307" t="n"/>
      <c r="C24" s="307" t="n"/>
      <c r="D24" s="320" t="n"/>
      <c r="E24" s="307" t="n"/>
      <c r="F24" s="309" t="n"/>
      <c r="G24" s="320" t="n"/>
      <c r="H24" s="321">
        <f>IF(COUNT(D24,G24)&lt;2,"",G24-D24)</f>
        <v/>
      </c>
      <c r="I24" s="311">
        <f>IF(COUNT(G24)=0,"",IF(G24=0,"",H24/G24))</f>
        <v/>
      </c>
      <c r="J24" s="309" t="n"/>
    </row>
    <row r="25" ht="25" customHeight="1">
      <c r="A25" s="302" t="n"/>
      <c r="B25" s="302" t="n"/>
      <c r="C25" s="302" t="n"/>
      <c r="D25" s="318" t="n"/>
      <c r="E25" s="302" t="n"/>
      <c r="F25" s="304" t="n"/>
      <c r="G25" s="318" t="n"/>
      <c r="H25" s="319">
        <f>IF(COUNT(D25,G25)&lt;2,"",G25-D25)</f>
        <v/>
      </c>
      <c r="I25" s="306">
        <f>IF(COUNT(G25)=0,"",IF(G25=0,"",H25/G25))</f>
        <v/>
      </c>
      <c r="J25" s="304" t="n"/>
    </row>
    <row r="26" ht="25" customHeight="1">
      <c r="A26" s="307" t="n"/>
      <c r="B26" s="307" t="n"/>
      <c r="C26" s="307" t="n"/>
      <c r="D26" s="320" t="n"/>
      <c r="E26" s="307" t="n"/>
      <c r="F26" s="309" t="n"/>
      <c r="G26" s="320" t="n"/>
      <c r="H26" s="321">
        <f>IF(COUNT(D26,G26)&lt;2,"",G26-D26)</f>
        <v/>
      </c>
      <c r="I26" s="311">
        <f>IF(COUNT(G26)=0,"",IF(G26=0,"",H26/G26))</f>
        <v/>
      </c>
      <c r="J26" s="309" t="n"/>
    </row>
    <row r="27" ht="25" customHeight="1">
      <c r="A27" s="302" t="n"/>
      <c r="B27" s="302" t="n"/>
      <c r="C27" s="302" t="n"/>
      <c r="D27" s="318" t="n"/>
      <c r="E27" s="302" t="n"/>
      <c r="F27" s="304" t="n"/>
      <c r="G27" s="318" t="n"/>
      <c r="H27" s="319">
        <f>IF(COUNT(D27,G27)&lt;2,"",G27-D27)</f>
        <v/>
      </c>
      <c r="I27" s="306">
        <f>IF(COUNT(G27)=0,"",IF(G27=0,"",H27/G27))</f>
        <v/>
      </c>
      <c r="J27" s="304" t="n"/>
    </row>
    <row r="28" ht="25" customHeight="1">
      <c r="A28" s="307" t="n"/>
      <c r="B28" s="307" t="n"/>
      <c r="C28" s="307" t="n"/>
      <c r="D28" s="320" t="n"/>
      <c r="E28" s="307" t="n"/>
      <c r="F28" s="309" t="n"/>
      <c r="G28" s="320" t="n"/>
      <c r="H28" s="321">
        <f>IF(COUNT(D28,G28)&lt;2,"",G28-D28)</f>
        <v/>
      </c>
      <c r="I28" s="311">
        <f>IF(COUNT(G28)=0,"",IF(G28=0,"",H28/G28))</f>
        <v/>
      </c>
      <c r="J28" s="309" t="n"/>
    </row>
    <row r="29" ht="25" customHeight="1">
      <c r="A29" s="302" t="n"/>
      <c r="B29" s="302" t="n"/>
      <c r="C29" s="302" t="n"/>
      <c r="D29" s="318" t="n"/>
      <c r="E29" s="302" t="n"/>
      <c r="F29" s="304" t="n"/>
      <c r="G29" s="318" t="n"/>
      <c r="H29" s="319">
        <f>IF(COUNT(D29,G29)&lt;2,"",G29-D29)</f>
        <v/>
      </c>
      <c r="I29" s="306">
        <f>IF(COUNT(G29)=0,"",IF(G29=0,"",H29/G29))</f>
        <v/>
      </c>
      <c r="J29" s="304" t="n"/>
    </row>
    <row r="30" ht="25" customHeight="1">
      <c r="A30" s="307" t="n"/>
      <c r="B30" s="307" t="n"/>
      <c r="C30" s="307" t="n"/>
      <c r="D30" s="320" t="n"/>
      <c r="E30" s="307" t="n"/>
      <c r="F30" s="309" t="n"/>
      <c r="G30" s="320" t="n"/>
      <c r="H30" s="321">
        <f>IF(COUNT(D30,G30)&lt;2,"",G30-D30)</f>
        <v/>
      </c>
      <c r="I30" s="311">
        <f>IF(COUNT(G30)=0,"",IF(G30=0,"",H30/G30))</f>
        <v/>
      </c>
      <c r="J30" s="309" t="n"/>
    </row>
    <row r="31" ht="25" customHeight="1">
      <c r="A31" s="302" t="n"/>
      <c r="B31" s="302" t="n"/>
      <c r="C31" s="302" t="n"/>
      <c r="D31" s="318" t="n"/>
      <c r="E31" s="302" t="n"/>
      <c r="F31" s="304" t="n"/>
      <c r="G31" s="318" t="n"/>
      <c r="H31" s="319">
        <f>IF(COUNT(D31,G31)&lt;2,"",G31-D31)</f>
        <v/>
      </c>
      <c r="I31" s="306">
        <f>IF(COUNT(G31)=0,"",IF(G31=0,"",H31/G31))</f>
        <v/>
      </c>
      <c r="J31" s="304" t="n"/>
    </row>
    <row r="32" ht="25" customHeight="1">
      <c r="A32" s="307" t="n"/>
      <c r="B32" s="307" t="n"/>
      <c r="C32" s="307" t="n"/>
      <c r="D32" s="320" t="n"/>
      <c r="E32" s="307" t="n"/>
      <c r="F32" s="309" t="n"/>
      <c r="G32" s="320" t="n"/>
      <c r="H32" s="321">
        <f>IF(COUNT(D32,G32)&lt;2,"",G32-D32)</f>
        <v/>
      </c>
      <c r="I32" s="311">
        <f>IF(COUNT(G32)=0,"",IF(G32=0,"",H32/G32))</f>
        <v/>
      </c>
      <c r="J32" s="309" t="n"/>
    </row>
    <row r="33" ht="25" customHeight="1">
      <c r="A33" s="302" t="n"/>
      <c r="B33" s="302" t="n"/>
      <c r="C33" s="302" t="n"/>
      <c r="D33" s="318" t="n"/>
      <c r="E33" s="302" t="n"/>
      <c r="F33" s="304" t="n"/>
      <c r="G33" s="318" t="n"/>
      <c r="H33" s="319">
        <f>IF(COUNT(D33,G33)&lt;2,"",G33-D33)</f>
        <v/>
      </c>
      <c r="I33" s="306">
        <f>IF(COUNT(G33)=0,"",IF(G33=0,"",H33/G33))</f>
        <v/>
      </c>
      <c r="J33" s="304" t="n"/>
    </row>
    <row r="34" ht="25" customHeight="1">
      <c r="A34" s="307" t="n"/>
      <c r="B34" s="307" t="n"/>
      <c r="C34" s="307" t="n"/>
      <c r="D34" s="320" t="n"/>
      <c r="E34" s="307" t="n"/>
      <c r="F34" s="309" t="n"/>
      <c r="G34" s="320" t="n"/>
      <c r="H34" s="321">
        <f>IF(COUNT(D34,G34)&lt;2,"",G34-D34)</f>
        <v/>
      </c>
      <c r="I34" s="311">
        <f>IF(COUNT(G34)=0,"",IF(G34=0,"",H34/G34))</f>
        <v/>
      </c>
      <c r="J34" s="309" t="n"/>
    </row>
    <row r="35" ht="25" customHeight="1">
      <c r="A35" s="302" t="n"/>
      <c r="B35" s="302" t="n"/>
      <c r="C35" s="302" t="n"/>
      <c r="D35" s="318" t="n"/>
      <c r="E35" s="302" t="n"/>
      <c r="F35" s="304" t="n"/>
      <c r="G35" s="318" t="n"/>
      <c r="H35" s="319">
        <f>IF(COUNT(D35,G35)&lt;2,"",G35-D35)</f>
        <v/>
      </c>
      <c r="I35" s="306">
        <f>IF(COUNT(G35)=0,"",IF(G35=0,"",H35/G35))</f>
        <v/>
      </c>
      <c r="J35" s="304" t="n"/>
    </row>
    <row r="36" ht="25" customHeight="1">
      <c r="A36" s="307" t="n"/>
      <c r="B36" s="307" t="n"/>
      <c r="C36" s="307" t="n"/>
      <c r="D36" s="320" t="n"/>
      <c r="E36" s="307" t="n"/>
      <c r="F36" s="309" t="n"/>
      <c r="G36" s="320" t="n"/>
      <c r="H36" s="321">
        <f>IF(COUNT(D36,G36)&lt;2,"",G36-D36)</f>
        <v/>
      </c>
      <c r="I36" s="311">
        <f>IF(COUNT(G36)=0,"",IF(G36=0,"",H36/G36))</f>
        <v/>
      </c>
      <c r="J36" s="309" t="n"/>
    </row>
    <row r="37" ht="25" customHeight="1">
      <c r="A37" s="302" t="n"/>
      <c r="B37" s="302" t="n"/>
      <c r="C37" s="302" t="n"/>
      <c r="D37" s="318" t="n"/>
      <c r="E37" s="302" t="n"/>
      <c r="F37" s="304" t="n"/>
      <c r="G37" s="318" t="n"/>
      <c r="H37" s="319">
        <f>IF(COUNT(D37,G37)&lt;2,"",G37-D37)</f>
        <v/>
      </c>
      <c r="I37" s="306">
        <f>IF(COUNT(G37)=0,"",IF(G37=0,"",H37/G37))</f>
        <v/>
      </c>
      <c r="J37" s="304" t="n"/>
    </row>
    <row r="38" ht="25" customHeight="1">
      <c r="A38" s="307" t="n"/>
      <c r="B38" s="307" t="n"/>
      <c r="C38" s="307" t="n"/>
      <c r="D38" s="320" t="n"/>
      <c r="E38" s="307" t="n"/>
      <c r="F38" s="309" t="n"/>
      <c r="G38" s="320" t="n"/>
      <c r="H38" s="321">
        <f>IF(COUNT(D38,G38)&lt;2,"",G38-D38)</f>
        <v/>
      </c>
      <c r="I38" s="311">
        <f>IF(COUNT(G38)=0,"",IF(G38=0,"",H38/G38))</f>
        <v/>
      </c>
      <c r="J38" s="309" t="n"/>
    </row>
    <row r="39" ht="25" customHeight="1">
      <c r="A39" s="302" t="n"/>
      <c r="B39" s="302" t="n"/>
      <c r="C39" s="302" t="n"/>
      <c r="D39" s="318" t="n"/>
      <c r="E39" s="302" t="n"/>
      <c r="F39" s="304" t="n"/>
      <c r="G39" s="318" t="n"/>
      <c r="H39" s="319">
        <f>IF(COUNT(D39,G39)&lt;2,"",G39-D39)</f>
        <v/>
      </c>
      <c r="I39" s="306">
        <f>IF(COUNT(G39)=0,"",IF(G39=0,"",H39/G39))</f>
        <v/>
      </c>
      <c r="J39" s="304" t="n"/>
    </row>
    <row r="40" ht="25" customHeight="1">
      <c r="A40" s="307" t="n"/>
      <c r="B40" s="307" t="n"/>
      <c r="C40" s="307" t="n"/>
      <c r="D40" s="320" t="n"/>
      <c r="E40" s="307" t="n"/>
      <c r="F40" s="309" t="n"/>
      <c r="G40" s="320" t="n"/>
      <c r="H40" s="321">
        <f>IF(COUNT(D40,G40)&lt;2,"",G40-D40)</f>
        <v/>
      </c>
      <c r="I40" s="311">
        <f>IF(COUNT(G40)=0,"",IF(G40=0,"",H40/G40))</f>
        <v/>
      </c>
      <c r="J40" s="309" t="n"/>
    </row>
    <row r="41" ht="25" customHeight="1">
      <c r="A41" s="302" t="n"/>
      <c r="B41" s="302" t="n"/>
      <c r="C41" s="302" t="n"/>
      <c r="D41" s="318" t="n"/>
      <c r="E41" s="302" t="n"/>
      <c r="F41" s="304" t="n"/>
      <c r="G41" s="318" t="n"/>
      <c r="H41" s="319">
        <f>IF(COUNT(D41,G41)&lt;2,"",G41-D41)</f>
        <v/>
      </c>
      <c r="I41" s="306">
        <f>IF(COUNT(G41)=0,"",IF(G41=0,"",H41/G41))</f>
        <v/>
      </c>
      <c r="J41" s="304" t="n"/>
    </row>
    <row r="42" ht="25" customHeight="1">
      <c r="A42" s="307" t="n"/>
      <c r="B42" s="307" t="n"/>
      <c r="C42" s="307" t="n"/>
      <c r="D42" s="320" t="n"/>
      <c r="E42" s="307" t="n"/>
      <c r="F42" s="309" t="n"/>
      <c r="G42" s="320" t="n"/>
      <c r="H42" s="321">
        <f>IF(COUNT(D42,G42)&lt;2,"",G42-D42)</f>
        <v/>
      </c>
      <c r="I42" s="311">
        <f>IF(COUNT(G42)=0,"",IF(G42=0,"",H42/G42))</f>
        <v/>
      </c>
      <c r="J42" s="309" t="n"/>
    </row>
    <row r="43" ht="25" customHeight="1">
      <c r="A43" s="302" t="n"/>
      <c r="B43" s="302" t="n"/>
      <c r="C43" s="302" t="n"/>
      <c r="D43" s="318" t="n"/>
      <c r="E43" s="302" t="n"/>
      <c r="F43" s="304" t="n"/>
      <c r="G43" s="318" t="n"/>
      <c r="H43" s="319">
        <f>IF(COUNT(D43,G43)&lt;2,"",G43-D43)</f>
        <v/>
      </c>
      <c r="I43" s="306">
        <f>IF(COUNT(G43)=0,"",IF(G43=0,"",H43/G43))</f>
        <v/>
      </c>
      <c r="J43" s="304" t="n"/>
    </row>
    <row r="44" ht="25" customHeight="1">
      <c r="A44" s="307" t="n"/>
      <c r="B44" s="307" t="n"/>
      <c r="C44" s="307" t="n"/>
      <c r="D44" s="320" t="n"/>
      <c r="E44" s="307" t="n"/>
      <c r="F44" s="309" t="n"/>
      <c r="G44" s="320" t="n"/>
      <c r="H44" s="321">
        <f>IF(COUNT(D44,G44)&lt;2,"",G44-D44)</f>
        <v/>
      </c>
      <c r="I44" s="311">
        <f>IF(COUNT(G44)=0,"",IF(G44=0,"",H44/G44))</f>
        <v/>
      </c>
      <c r="J44" s="309" t="n"/>
    </row>
    <row r="45" ht="25" customHeight="1">
      <c r="A45" s="302" t="n"/>
      <c r="B45" s="302" t="n"/>
      <c r="C45" s="302" t="n"/>
      <c r="D45" s="318" t="n"/>
      <c r="E45" s="302" t="n"/>
      <c r="F45" s="304" t="n"/>
      <c r="G45" s="318" t="n"/>
      <c r="H45" s="319">
        <f>IF(COUNT(D45,G45)&lt;2,"",G45-D45)</f>
        <v/>
      </c>
      <c r="I45" s="306">
        <f>IF(COUNT(G45)=0,"",IF(G45=0,"",H45/G45))</f>
        <v/>
      </c>
      <c r="J45" s="304" t="n"/>
    </row>
    <row r="46" ht="25" customHeight="1">
      <c r="A46" s="307" t="n"/>
      <c r="B46" s="307" t="n"/>
      <c r="C46" s="307" t="n"/>
      <c r="D46" s="320" t="n"/>
      <c r="E46" s="307" t="n"/>
      <c r="F46" s="309" t="n"/>
      <c r="G46" s="320" t="n"/>
      <c r="H46" s="321">
        <f>IF(COUNT(D46,G46)&lt;2,"",G46-D46)</f>
        <v/>
      </c>
      <c r="I46" s="311">
        <f>IF(COUNT(G46)=0,"",IF(G46=0,"",H46/G46))</f>
        <v/>
      </c>
      <c r="J46" s="309" t="n"/>
    </row>
    <row r="47" ht="25" customHeight="1">
      <c r="A47" s="302" t="n"/>
      <c r="B47" s="302" t="n"/>
      <c r="C47" s="302" t="n"/>
      <c r="D47" s="318" t="n"/>
      <c r="E47" s="302" t="n"/>
      <c r="F47" s="304" t="n"/>
      <c r="G47" s="318" t="n"/>
      <c r="H47" s="319">
        <f>IF(COUNT(D47,G47)&lt;2,"",G47-D47)</f>
        <v/>
      </c>
      <c r="I47" s="306">
        <f>IF(COUNT(G47)=0,"",IF(G47=0,"",H47/G47))</f>
        <v/>
      </c>
      <c r="J47" s="304" t="n"/>
    </row>
    <row r="48" ht="25" customHeight="1">
      <c r="A48" s="307" t="n"/>
      <c r="B48" s="307" t="n"/>
      <c r="C48" s="307" t="n"/>
      <c r="D48" s="320" t="n"/>
      <c r="E48" s="307" t="n"/>
      <c r="F48" s="309" t="n"/>
      <c r="G48" s="320" t="n"/>
      <c r="H48" s="321">
        <f>IF(COUNT(D48,G48)&lt;2,"",G48-D48)</f>
        <v/>
      </c>
      <c r="I48" s="311">
        <f>IF(COUNT(G48)=0,"",IF(G48=0,"",H48/G48))</f>
        <v/>
      </c>
      <c r="J48" s="309" t="n"/>
    </row>
    <row r="49" ht="25" customHeight="1">
      <c r="A49" s="302" t="n"/>
      <c r="B49" s="302" t="n"/>
      <c r="C49" s="302" t="n"/>
      <c r="D49" s="318" t="n"/>
      <c r="E49" s="302" t="n"/>
      <c r="F49" s="304" t="n"/>
      <c r="G49" s="318" t="n"/>
      <c r="H49" s="319">
        <f>IF(COUNT(D49,G49)&lt;2,"",G49-D49)</f>
        <v/>
      </c>
      <c r="I49" s="306">
        <f>IF(COUNT(G49)=0,"",IF(G49=0,"",H49/G49))</f>
        <v/>
      </c>
      <c r="J49" s="304" t="n"/>
    </row>
    <row r="50" ht="25" customHeight="1">
      <c r="A50" s="307" t="n"/>
      <c r="B50" s="307" t="n"/>
      <c r="C50" s="307" t="n"/>
      <c r="D50" s="320" t="n"/>
      <c r="E50" s="307" t="n"/>
      <c r="F50" s="309" t="n"/>
      <c r="G50" s="320" t="n"/>
      <c r="H50" s="321">
        <f>IF(COUNT(D50,G50)&lt;2,"",G50-D50)</f>
        <v/>
      </c>
      <c r="I50" s="311">
        <f>IF(COUNT(G50)=0,"",IF(G50=0,"",H50/G50))</f>
        <v/>
      </c>
      <c r="J50" s="309" t="n"/>
    </row>
    <row r="51" ht="25" customHeight="1">
      <c r="A51" s="302" t="n"/>
      <c r="B51" s="302" t="n"/>
      <c r="C51" s="302" t="n"/>
      <c r="D51" s="318" t="n"/>
      <c r="E51" s="302" t="n"/>
      <c r="F51" s="304" t="n"/>
      <c r="G51" s="318" t="n"/>
      <c r="H51" s="319">
        <f>IF(COUNT(D51,G51)&lt;2,"",G51-D51)</f>
        <v/>
      </c>
      <c r="I51" s="306">
        <f>IF(COUNT(G51)=0,"",IF(G51=0,"",H51/G51))</f>
        <v/>
      </c>
      <c r="J51" s="304" t="n"/>
    </row>
    <row r="52" ht="25" customHeight="1">
      <c r="A52" s="307" t="n"/>
      <c r="B52" s="307" t="n"/>
      <c r="C52" s="307" t="n"/>
      <c r="D52" s="320" t="n"/>
      <c r="E52" s="307" t="n"/>
      <c r="F52" s="309" t="n"/>
      <c r="G52" s="320" t="n"/>
      <c r="H52" s="321">
        <f>IF(COUNT(D52,G52)&lt;2,"",G52-D52)</f>
        <v/>
      </c>
      <c r="I52" s="311">
        <f>IF(COUNT(G52)=0,"",IF(G52=0,"",H52/G52))</f>
        <v/>
      </c>
      <c r="J52" s="309" t="n"/>
    </row>
    <row r="53" ht="25" customHeight="1">
      <c r="A53" s="302" t="n"/>
      <c r="B53" s="302" t="n"/>
      <c r="C53" s="302" t="n"/>
      <c r="D53" s="318" t="n"/>
      <c r="E53" s="302" t="n"/>
      <c r="F53" s="304" t="n"/>
      <c r="G53" s="318" t="n"/>
      <c r="H53" s="319">
        <f>IF(COUNT(D53,G53)&lt;2,"",G53-D53)</f>
        <v/>
      </c>
      <c r="I53" s="306">
        <f>IF(COUNT(G53)=0,"",IF(G53=0,"",H53/G53))</f>
        <v/>
      </c>
      <c r="J53" s="304" t="n"/>
    </row>
    <row r="54" ht="25" customHeight="1">
      <c r="A54" s="307" t="n"/>
      <c r="B54" s="307" t="n"/>
      <c r="C54" s="307" t="n"/>
      <c r="D54" s="320" t="n"/>
      <c r="E54" s="307" t="n"/>
      <c r="F54" s="309" t="n"/>
      <c r="G54" s="320" t="n"/>
      <c r="H54" s="321">
        <f>IF(COUNT(D54,G54)&lt;2,"",G54-D54)</f>
        <v/>
      </c>
      <c r="I54" s="311">
        <f>IF(COUNT(G54)=0,"",IF(G54=0,"",H54/G54))</f>
        <v/>
      </c>
      <c r="J54" s="309" t="n"/>
    </row>
    <row r="55" ht="25" customHeight="1">
      <c r="A55" s="302" t="n"/>
      <c r="B55" s="302" t="n"/>
      <c r="C55" s="302" t="n"/>
      <c r="D55" s="318" t="n"/>
      <c r="E55" s="302" t="n"/>
      <c r="F55" s="304" t="n"/>
      <c r="G55" s="318" t="n"/>
      <c r="H55" s="319">
        <f>IF(COUNT(D55,G55)&lt;2,"",G55-D55)</f>
        <v/>
      </c>
      <c r="I55" s="306">
        <f>IF(COUNT(G55)=0,"",IF(G55=0,"",H55/G55))</f>
        <v/>
      </c>
      <c r="J55" s="304" t="n"/>
    </row>
    <row r="56" ht="25" customHeight="1">
      <c r="A56" s="307" t="n"/>
      <c r="B56" s="307" t="n"/>
      <c r="C56" s="307" t="n"/>
      <c r="D56" s="320" t="n"/>
      <c r="E56" s="307" t="n"/>
      <c r="F56" s="309" t="n"/>
      <c r="G56" s="320" t="n"/>
      <c r="H56" s="321">
        <f>IF(COUNT(D56,G56)&lt;2,"",G56-D56)</f>
        <v/>
      </c>
      <c r="I56" s="311">
        <f>IF(COUNT(G56)=0,"",IF(G56=0,"",H56/G56))</f>
        <v/>
      </c>
      <c r="J56" s="309" t="n"/>
    </row>
    <row r="57" ht="25" customHeight="1">
      <c r="A57" s="302" t="n"/>
      <c r="B57" s="302" t="n"/>
      <c r="C57" s="302" t="n"/>
      <c r="D57" s="318" t="n"/>
      <c r="E57" s="302" t="n"/>
      <c r="F57" s="304" t="n"/>
      <c r="G57" s="318" t="n"/>
      <c r="H57" s="319">
        <f>IF(COUNT(D57,G57)&lt;2,"",G57-D57)</f>
        <v/>
      </c>
      <c r="I57" s="306">
        <f>IF(COUNT(G57)=0,"",IF(G57=0,"",H57/G57))</f>
        <v/>
      </c>
      <c r="J57" s="304" t="n"/>
    </row>
    <row r="58" ht="25" customHeight="1">
      <c r="A58" s="307" t="n"/>
      <c r="B58" s="307" t="n"/>
      <c r="C58" s="307" t="n"/>
      <c r="D58" s="320" t="n"/>
      <c r="E58" s="307" t="n"/>
      <c r="F58" s="309" t="n"/>
      <c r="G58" s="320" t="n"/>
      <c r="H58" s="321">
        <f>IF(COUNT(D58,G58)&lt;2,"",G58-D58)</f>
        <v/>
      </c>
      <c r="I58" s="311">
        <f>IF(COUNT(G58)=0,"",IF(G58=0,"",H58/G58))</f>
        <v/>
      </c>
      <c r="J58" s="309" t="n"/>
    </row>
    <row r="59" ht="25" customHeight="1">
      <c r="A59" s="302" t="n"/>
      <c r="B59" s="302" t="n"/>
      <c r="C59" s="302" t="n"/>
      <c r="D59" s="318" t="n"/>
      <c r="E59" s="302" t="n"/>
      <c r="F59" s="304" t="n"/>
      <c r="G59" s="318" t="n"/>
      <c r="H59" s="319">
        <f>IF(COUNT(D59,G59)&lt;2,"",G59-D59)</f>
        <v/>
      </c>
      <c r="I59" s="306">
        <f>IF(COUNT(G59)=0,"",IF(G59=0,"",H59/G59))</f>
        <v/>
      </c>
      <c r="J59" s="304" t="n"/>
    </row>
    <row r="60" ht="25" customHeight="1">
      <c r="A60" s="307" t="n"/>
      <c r="B60" s="307" t="n"/>
      <c r="C60" s="307" t="n"/>
      <c r="D60" s="320" t="n"/>
      <c r="E60" s="307" t="n"/>
      <c r="F60" s="309" t="n"/>
      <c r="G60" s="320" t="n"/>
      <c r="H60" s="321">
        <f>IF(COUNT(D60,G60)&lt;2,"",G60-D60)</f>
        <v/>
      </c>
      <c r="I60" s="311">
        <f>IF(COUNT(G60)=0,"",IF(G60=0,"",H60/G60))</f>
        <v/>
      </c>
      <c r="J60" s="309" t="n"/>
    </row>
    <row r="61" ht="25" customHeight="1">
      <c r="A61" s="302" t="n"/>
      <c r="B61" s="302" t="n"/>
      <c r="C61" s="302" t="n"/>
      <c r="D61" s="318" t="n"/>
      <c r="E61" s="302" t="n"/>
      <c r="F61" s="304" t="n"/>
      <c r="G61" s="318" t="n"/>
      <c r="H61" s="319">
        <f>IF(COUNT(D61,G61)&lt;2,"",G61-D61)</f>
        <v/>
      </c>
      <c r="I61" s="306">
        <f>IF(COUNT(G61)=0,"",IF(G61=0,"",H61/G61))</f>
        <v/>
      </c>
      <c r="J61" s="304" t="n"/>
    </row>
    <row r="62" ht="25" customHeight="1">
      <c r="A62" s="307" t="n"/>
      <c r="B62" s="307" t="n"/>
      <c r="C62" s="307" t="n"/>
      <c r="D62" s="320" t="n"/>
      <c r="E62" s="307" t="n"/>
      <c r="F62" s="309" t="n"/>
      <c r="G62" s="320" t="n"/>
      <c r="H62" s="321">
        <f>IF(COUNT(D62,G62)&lt;2,"",G62-D62)</f>
        <v/>
      </c>
      <c r="I62" s="311">
        <f>IF(COUNT(G62)=0,"",IF(G62=0,"",H62/G62))</f>
        <v/>
      </c>
      <c r="J62" s="309" t="n"/>
    </row>
    <row r="63" ht="25" customHeight="1">
      <c r="A63" s="302" t="n"/>
      <c r="B63" s="302" t="n"/>
      <c r="C63" s="302" t="n"/>
      <c r="D63" s="318" t="n"/>
      <c r="E63" s="302" t="n"/>
      <c r="F63" s="304" t="n"/>
      <c r="G63" s="318" t="n"/>
      <c r="H63" s="319">
        <f>IF(COUNT(D63,G63)&lt;2,"",G63-D63)</f>
        <v/>
      </c>
      <c r="I63" s="306">
        <f>IF(COUNT(G63)=0,"",IF(G63=0,"",H63/G63))</f>
        <v/>
      </c>
      <c r="J63" s="304" t="n"/>
    </row>
    <row r="64" ht="25" customHeight="1">
      <c r="A64" s="307" t="n"/>
      <c r="B64" s="307" t="n"/>
      <c r="C64" s="307" t="n"/>
      <c r="D64" s="320" t="n"/>
      <c r="E64" s="307" t="n"/>
      <c r="F64" s="309" t="n"/>
      <c r="G64" s="320" t="n"/>
      <c r="H64" s="321">
        <f>IF(COUNT(D64,G64)&lt;2,"",G64-D64)</f>
        <v/>
      </c>
      <c r="I64" s="311">
        <f>IF(COUNT(G64)=0,"",IF(G64=0,"",H64/G64))</f>
        <v/>
      </c>
      <c r="J64" s="309" t="n"/>
    </row>
    <row r="65" ht="25" customHeight="1">
      <c r="A65" s="302" t="n"/>
      <c r="B65" s="302" t="n"/>
      <c r="C65" s="302" t="n"/>
      <c r="D65" s="318" t="n"/>
      <c r="E65" s="302" t="n"/>
      <c r="F65" s="304" t="n"/>
      <c r="G65" s="318" t="n"/>
      <c r="H65" s="319">
        <f>IF(COUNT(D65,G65)&lt;2,"",G65-D65)</f>
        <v/>
      </c>
      <c r="I65" s="306">
        <f>IF(COUNT(G65)=0,"",IF(G65=0,"",H65/G65))</f>
        <v/>
      </c>
      <c r="J65" s="304" t="n"/>
    </row>
    <row r="66" ht="25" customHeight="1">
      <c r="A66" s="307" t="n"/>
      <c r="B66" s="307" t="n"/>
      <c r="C66" s="307" t="n"/>
      <c r="D66" s="320" t="n"/>
      <c r="E66" s="307" t="n"/>
      <c r="F66" s="309" t="n"/>
      <c r="G66" s="320" t="n"/>
      <c r="H66" s="321">
        <f>IF(COUNT(D66,G66)&lt;2,"",G66-D66)</f>
        <v/>
      </c>
      <c r="I66" s="311">
        <f>IF(COUNT(G66)=0,"",IF(G66=0,"",H66/G66))</f>
        <v/>
      </c>
      <c r="J66" s="309" t="n"/>
    </row>
    <row r="67" ht="25" customHeight="1">
      <c r="A67" s="302" t="n"/>
      <c r="B67" s="302" t="n"/>
      <c r="C67" s="302" t="n"/>
      <c r="D67" s="318" t="n"/>
      <c r="E67" s="302" t="n"/>
      <c r="F67" s="304" t="n"/>
      <c r="G67" s="318" t="n"/>
      <c r="H67" s="319">
        <f>IF(COUNT(D67,G67)&lt;2,"",G67-D67)</f>
        <v/>
      </c>
      <c r="I67" s="306">
        <f>IF(COUNT(G67)=0,"",IF(G67=0,"",H67/G67))</f>
        <v/>
      </c>
      <c r="J67" s="304" t="n"/>
    </row>
    <row r="68" ht="25" customHeight="1">
      <c r="A68" s="307" t="n"/>
      <c r="B68" s="307" t="n"/>
      <c r="C68" s="307" t="n"/>
      <c r="D68" s="320" t="n"/>
      <c r="E68" s="307" t="n"/>
      <c r="F68" s="309" t="n"/>
      <c r="G68" s="320" t="n"/>
      <c r="H68" s="321">
        <f>IF(COUNT(D68,G68)&lt;2,"",G68-D68)</f>
        <v/>
      </c>
      <c r="I68" s="311">
        <f>IF(COUNT(G68)=0,"",IF(G68=0,"",H68/G68))</f>
        <v/>
      </c>
      <c r="J68" s="309" t="n"/>
    </row>
    <row r="69" ht="25" customHeight="1">
      <c r="A69" s="302" t="n"/>
      <c r="B69" s="302" t="n"/>
      <c r="C69" s="302" t="n"/>
      <c r="D69" s="318" t="n"/>
      <c r="E69" s="302" t="n"/>
      <c r="F69" s="304" t="n"/>
      <c r="G69" s="318" t="n"/>
      <c r="H69" s="319">
        <f>IF(COUNT(D69,G69)&lt;2,"",G69-D69)</f>
        <v/>
      </c>
      <c r="I69" s="306">
        <f>IF(COUNT(G69)=0,"",IF(G69=0,"",H69/G69))</f>
        <v/>
      </c>
      <c r="J69" s="304" t="n"/>
    </row>
    <row r="70" ht="25" customHeight="1">
      <c r="A70" s="307" t="n"/>
      <c r="B70" s="307" t="n"/>
      <c r="C70" s="307" t="n"/>
      <c r="D70" s="320" t="n"/>
      <c r="E70" s="307" t="n"/>
      <c r="F70" s="309" t="n"/>
      <c r="G70" s="320" t="n"/>
      <c r="H70" s="321">
        <f>IF(COUNT(D70,G70)&lt;2,"",G70-D70)</f>
        <v/>
      </c>
      <c r="I70" s="311">
        <f>IF(COUNT(G70)=0,"",IF(G70=0,"",H70/G70))</f>
        <v/>
      </c>
      <c r="J70" s="309" t="n"/>
    </row>
    <row r="71" ht="25" customHeight="1">
      <c r="A71" s="302" t="n"/>
      <c r="B71" s="302" t="n"/>
      <c r="C71" s="302" t="n"/>
      <c r="D71" s="318" t="n"/>
      <c r="E71" s="302" t="n"/>
      <c r="F71" s="304" t="n"/>
      <c r="G71" s="318" t="n"/>
      <c r="H71" s="319">
        <f>IF(COUNT(D71,G71)&lt;2,"",G71-D71)</f>
        <v/>
      </c>
      <c r="I71" s="306">
        <f>IF(COUNT(G71)=0,"",IF(G71=0,"",H71/G71))</f>
        <v/>
      </c>
      <c r="J71" s="304" t="n"/>
    </row>
    <row r="72" ht="25" customHeight="1">
      <c r="A72" s="307" t="n"/>
      <c r="B72" s="307" t="n"/>
      <c r="C72" s="307" t="n"/>
      <c r="D72" s="320" t="n"/>
      <c r="E72" s="307" t="n"/>
      <c r="F72" s="309" t="n"/>
      <c r="G72" s="320" t="n"/>
      <c r="H72" s="321">
        <f>IF(COUNT(D72,G72)&lt;2,"",G72-D72)</f>
        <v/>
      </c>
      <c r="I72" s="311">
        <f>IF(COUNT(G72)=0,"",IF(G72=0,"",H72/G72))</f>
        <v/>
      </c>
      <c r="J72" s="309" t="n"/>
    </row>
    <row r="73" ht="25" customHeight="1">
      <c r="A73" s="302" t="n"/>
      <c r="B73" s="302" t="n"/>
      <c r="C73" s="302" t="n"/>
      <c r="D73" s="318" t="n"/>
      <c r="E73" s="302" t="n"/>
      <c r="F73" s="304" t="n"/>
      <c r="G73" s="318" t="n"/>
      <c r="H73" s="319">
        <f>IF(COUNT(D73,G73)&lt;2,"",G73-D73)</f>
        <v/>
      </c>
      <c r="I73" s="306">
        <f>IF(COUNT(G73)=0,"",IF(G73=0,"",H73/G73))</f>
        <v/>
      </c>
      <c r="J73" s="304" t="n"/>
    </row>
    <row r="74" ht="25" customHeight="1">
      <c r="A74" s="307" t="n"/>
      <c r="B74" s="307" t="n"/>
      <c r="C74" s="307" t="n"/>
      <c r="D74" s="320" t="n"/>
      <c r="E74" s="307" t="n"/>
      <c r="F74" s="309" t="n"/>
      <c r="G74" s="320" t="n"/>
      <c r="H74" s="321">
        <f>IF(COUNT(D74,G74)&lt;2,"",G74-D74)</f>
        <v/>
      </c>
      <c r="I74" s="311">
        <f>IF(COUNT(G74)=0,"",IF(G74=0,"",H74/G74))</f>
        <v/>
      </c>
      <c r="J74" s="309" t="n"/>
    </row>
    <row r="75" ht="25" customHeight="1">
      <c r="A75" s="302" t="n"/>
      <c r="B75" s="302" t="n"/>
      <c r="C75" s="302" t="n"/>
      <c r="D75" s="318" t="n"/>
      <c r="E75" s="302" t="n"/>
      <c r="F75" s="304" t="n"/>
      <c r="G75" s="318" t="n"/>
      <c r="H75" s="319">
        <f>IF(COUNT(D75,G75)&lt;2,"",G75-D75)</f>
        <v/>
      </c>
      <c r="I75" s="306">
        <f>IF(COUNT(G75)=0,"",IF(G75=0,"",H75/G75))</f>
        <v/>
      </c>
      <c r="J75" s="304" t="n"/>
    </row>
    <row r="76" ht="25" customHeight="1">
      <c r="A76" s="307" t="n"/>
      <c r="B76" s="307" t="n"/>
      <c r="C76" s="307" t="n"/>
      <c r="D76" s="320" t="n"/>
      <c r="E76" s="307" t="n"/>
      <c r="F76" s="309" t="n"/>
      <c r="G76" s="320" t="n"/>
      <c r="H76" s="321">
        <f>IF(COUNT(D76,G76)&lt;2,"",G76-D76)</f>
        <v/>
      </c>
      <c r="I76" s="311">
        <f>IF(COUNT(G76)=0,"",IF(G76=0,"",H76/G76))</f>
        <v/>
      </c>
      <c r="J76" s="309" t="n"/>
    </row>
    <row r="77" ht="25" customHeight="1">
      <c r="A77" s="302" t="n"/>
      <c r="B77" s="302" t="n"/>
      <c r="C77" s="302" t="n"/>
      <c r="D77" s="318" t="n"/>
      <c r="E77" s="302" t="n"/>
      <c r="F77" s="304" t="n"/>
      <c r="G77" s="318" t="n"/>
      <c r="H77" s="319">
        <f>IF(COUNT(D77,G77)&lt;2,"",G77-D77)</f>
        <v/>
      </c>
      <c r="I77" s="306">
        <f>IF(COUNT(G77)=0,"",IF(G77=0,"",H77/G77))</f>
        <v/>
      </c>
      <c r="J77" s="304" t="n"/>
    </row>
    <row r="78" ht="25" customHeight="1">
      <c r="A78" s="307" t="n"/>
      <c r="B78" s="307" t="n"/>
      <c r="C78" s="307" t="n"/>
      <c r="D78" s="320" t="n"/>
      <c r="E78" s="307" t="n"/>
      <c r="F78" s="309" t="n"/>
      <c r="G78" s="320" t="n"/>
      <c r="H78" s="321">
        <f>IF(COUNT(D78,G78)&lt;2,"",G78-D78)</f>
        <v/>
      </c>
      <c r="I78" s="311">
        <f>IF(COUNT(G78)=0,"",IF(G78=0,"",H78/G78))</f>
        <v/>
      </c>
      <c r="J78" s="309" t="n"/>
    </row>
    <row r="79" ht="25" customHeight="1">
      <c r="A79" s="302" t="n"/>
      <c r="B79" s="302" t="n"/>
      <c r="C79" s="302" t="n"/>
      <c r="D79" s="318" t="n"/>
      <c r="E79" s="302" t="n"/>
      <c r="F79" s="304" t="n"/>
      <c r="G79" s="318" t="n"/>
      <c r="H79" s="319">
        <f>IF(COUNT(D79,G79)&lt;2,"",G79-D79)</f>
        <v/>
      </c>
      <c r="I79" s="306">
        <f>IF(COUNT(G79)=0,"",IF(G79=0,"",H79/G79))</f>
        <v/>
      </c>
      <c r="J79" s="304" t="n"/>
    </row>
    <row r="80" ht="25" customHeight="1">
      <c r="A80" s="307" t="n"/>
      <c r="B80" s="307" t="n"/>
      <c r="C80" s="307" t="n"/>
      <c r="D80" s="320" t="n"/>
      <c r="E80" s="307" t="n"/>
      <c r="F80" s="309" t="n"/>
      <c r="G80" s="320" t="n"/>
      <c r="H80" s="321">
        <f>IF(COUNT(D80,G80)&lt;2,"",G80-D80)</f>
        <v/>
      </c>
      <c r="I80" s="311">
        <f>IF(COUNT(G80)=0,"",IF(G80=0,"",H80/G80))</f>
        <v/>
      </c>
      <c r="J80" s="309" t="n"/>
    </row>
    <row r="81" ht="25" customHeight="1">
      <c r="A81" s="302" t="n"/>
      <c r="B81" s="302" t="n"/>
      <c r="C81" s="302" t="n"/>
      <c r="D81" s="318" t="n"/>
      <c r="E81" s="302" t="n"/>
      <c r="F81" s="304" t="n"/>
      <c r="G81" s="318" t="n"/>
      <c r="H81" s="319">
        <f>IF(COUNT(D81,G81)&lt;2,"",G81-D81)</f>
        <v/>
      </c>
      <c r="I81" s="306">
        <f>IF(COUNT(G81)=0,"",IF(G81=0,"",H81/G81))</f>
        <v/>
      </c>
      <c r="J81" s="304" t="n"/>
    </row>
    <row r="82" ht="25" customHeight="1">
      <c r="A82" s="307" t="n"/>
      <c r="B82" s="307" t="n"/>
      <c r="C82" s="307" t="n"/>
      <c r="D82" s="320" t="n"/>
      <c r="E82" s="307" t="n"/>
      <c r="F82" s="309" t="n"/>
      <c r="G82" s="320" t="n"/>
      <c r="H82" s="321">
        <f>IF(COUNT(D82,G82)&lt;2,"",G82-D82)</f>
        <v/>
      </c>
      <c r="I82" s="311">
        <f>IF(COUNT(G82)=0,"",IF(G82=0,"",H82/G82))</f>
        <v/>
      </c>
      <c r="J82" s="309" t="n"/>
    </row>
    <row r="83" ht="25" customHeight="1">
      <c r="A83" s="302" t="n"/>
      <c r="B83" s="302" t="n"/>
      <c r="C83" s="302" t="n"/>
      <c r="D83" s="318" t="n"/>
      <c r="E83" s="302" t="n"/>
      <c r="F83" s="304" t="n"/>
      <c r="G83" s="318" t="n"/>
      <c r="H83" s="319">
        <f>IF(COUNT(D83,G83)&lt;2,"",G83-D83)</f>
        <v/>
      </c>
      <c r="I83" s="306">
        <f>IF(COUNT(G83)=0,"",IF(G83=0,"",H83/G83))</f>
        <v/>
      </c>
      <c r="J83" s="304" t="n"/>
    </row>
    <row r="84" ht="25" customHeight="1">
      <c r="A84" s="307" t="n"/>
      <c r="B84" s="307" t="n"/>
      <c r="C84" s="307" t="n"/>
      <c r="D84" s="320" t="n"/>
      <c r="E84" s="307" t="n"/>
      <c r="F84" s="309" t="n"/>
      <c r="G84" s="320" t="n"/>
      <c r="H84" s="321">
        <f>IF(COUNT(D84,G84)&lt;2,"",G84-D84)</f>
        <v/>
      </c>
      <c r="I84" s="311">
        <f>IF(COUNT(G84)=0,"",IF(G84=0,"",H84/G84))</f>
        <v/>
      </c>
      <c r="J84" s="309" t="n"/>
    </row>
    <row r="85" ht="25" customHeight="1">
      <c r="A85" s="302" t="n"/>
      <c r="B85" s="302" t="n"/>
      <c r="C85" s="302" t="n"/>
      <c r="D85" s="318" t="n"/>
      <c r="E85" s="302" t="n"/>
      <c r="F85" s="304" t="n"/>
      <c r="G85" s="318" t="n"/>
      <c r="H85" s="319">
        <f>IF(COUNT(D85,G85)&lt;2,"",G85-D85)</f>
        <v/>
      </c>
      <c r="I85" s="306">
        <f>IF(COUNT(G85)=0,"",IF(G85=0,"",H85/G85))</f>
        <v/>
      </c>
      <c r="J85" s="304" t="n"/>
    </row>
    <row r="86" ht="25" customHeight="1">
      <c r="A86" s="307" t="n"/>
      <c r="B86" s="307" t="n"/>
      <c r="C86" s="307" t="n"/>
      <c r="D86" s="320" t="n"/>
      <c r="E86" s="307" t="n"/>
      <c r="F86" s="309" t="n"/>
      <c r="G86" s="320" t="n"/>
      <c r="H86" s="321">
        <f>IF(COUNT(D86,G86)&lt;2,"",G86-D86)</f>
        <v/>
      </c>
      <c r="I86" s="311">
        <f>IF(COUNT(G86)=0,"",IF(G86=0,"",H86/G86))</f>
        <v/>
      </c>
      <c r="J86" s="309" t="n"/>
    </row>
    <row r="87" ht="25" customHeight="1">
      <c r="A87" s="302" t="n"/>
      <c r="B87" s="302" t="n"/>
      <c r="C87" s="302" t="n"/>
      <c r="D87" s="318" t="n"/>
      <c r="E87" s="302" t="n"/>
      <c r="F87" s="304" t="n"/>
      <c r="G87" s="318" t="n"/>
      <c r="H87" s="319">
        <f>IF(COUNT(D87,G87)&lt;2,"",G87-D87)</f>
        <v/>
      </c>
      <c r="I87" s="306">
        <f>IF(COUNT(G87)=0,"",IF(G87=0,"",H87/G87))</f>
        <v/>
      </c>
      <c r="J87" s="304" t="n"/>
    </row>
    <row r="88" ht="25" customHeight="1">
      <c r="A88" s="307" t="n"/>
      <c r="B88" s="307" t="n"/>
      <c r="C88" s="307" t="n"/>
      <c r="D88" s="320" t="n"/>
      <c r="E88" s="307" t="n"/>
      <c r="F88" s="309" t="n"/>
      <c r="G88" s="320" t="n"/>
      <c r="H88" s="321">
        <f>IF(COUNT(D88,G88)&lt;2,"",G88-D88)</f>
        <v/>
      </c>
      <c r="I88" s="311">
        <f>IF(COUNT(G88)=0,"",IF(G88=0,"",H88/G88))</f>
        <v/>
      </c>
      <c r="J88" s="309" t="n"/>
    </row>
    <row r="89" ht="25" customHeight="1">
      <c r="A89" s="302" t="n"/>
      <c r="B89" s="302" t="n"/>
      <c r="C89" s="302" t="n"/>
      <c r="D89" s="318" t="n"/>
      <c r="E89" s="302" t="n"/>
      <c r="F89" s="304" t="n"/>
      <c r="G89" s="318" t="n"/>
      <c r="H89" s="319">
        <f>IF(COUNT(D89,G89)&lt;2,"",G89-D89)</f>
        <v/>
      </c>
      <c r="I89" s="306">
        <f>IF(COUNT(G89)=0,"",IF(G89=0,"",H89/G89))</f>
        <v/>
      </c>
      <c r="J89" s="304" t="n"/>
    </row>
    <row r="90" ht="25" customHeight="1">
      <c r="A90" s="307" t="n"/>
      <c r="B90" s="307" t="n"/>
      <c r="C90" s="307" t="n"/>
      <c r="D90" s="320" t="n"/>
      <c r="E90" s="307" t="n"/>
      <c r="F90" s="309" t="n"/>
      <c r="G90" s="320" t="n"/>
      <c r="H90" s="321">
        <f>IF(COUNT(D90,G90)&lt;2,"",G90-D90)</f>
        <v/>
      </c>
      <c r="I90" s="311">
        <f>IF(COUNT(G90)=0,"",IF(G90=0,"",H90/G90))</f>
        <v/>
      </c>
      <c r="J90" s="309" t="n"/>
    </row>
    <row r="91" ht="25" customHeight="1">
      <c r="A91" s="302" t="n"/>
      <c r="B91" s="302" t="n"/>
      <c r="C91" s="302" t="n"/>
      <c r="D91" s="318" t="n"/>
      <c r="E91" s="302" t="n"/>
      <c r="F91" s="304" t="n"/>
      <c r="G91" s="318" t="n"/>
      <c r="H91" s="319">
        <f>IF(COUNT(D91,G91)&lt;2,"",G91-D91)</f>
        <v/>
      </c>
      <c r="I91" s="306">
        <f>IF(COUNT(G91)=0,"",IF(G91=0,"",H91/G91))</f>
        <v/>
      </c>
      <c r="J91" s="304" t="n"/>
    </row>
    <row r="92" ht="25" customHeight="1">
      <c r="A92" s="307" t="n"/>
      <c r="B92" s="307" t="n"/>
      <c r="C92" s="307" t="n"/>
      <c r="D92" s="320" t="n"/>
      <c r="E92" s="307" t="n"/>
      <c r="F92" s="309" t="n"/>
      <c r="G92" s="320" t="n"/>
      <c r="H92" s="321">
        <f>IF(COUNT(D92,G92)&lt;2,"",G92-D92)</f>
        <v/>
      </c>
      <c r="I92" s="311">
        <f>IF(COUNT(G92)=0,"",IF(G92=0,"",H92/G92))</f>
        <v/>
      </c>
      <c r="J92" s="309" t="n"/>
    </row>
    <row r="93" ht="25" customHeight="1">
      <c r="A93" s="302" t="n"/>
      <c r="B93" s="302" t="n"/>
      <c r="C93" s="302" t="n"/>
      <c r="D93" s="318" t="n"/>
      <c r="E93" s="302" t="n"/>
      <c r="F93" s="304" t="n"/>
      <c r="G93" s="318" t="n"/>
      <c r="H93" s="319">
        <f>IF(COUNT(D93,G93)&lt;2,"",G93-D93)</f>
        <v/>
      </c>
      <c r="I93" s="306">
        <f>IF(COUNT(G93)=0,"",IF(G93=0,"",H93/G93))</f>
        <v/>
      </c>
      <c r="J93" s="304" t="n"/>
    </row>
    <row r="94" ht="25" customHeight="1">
      <c r="A94" s="307" t="n"/>
      <c r="B94" s="307" t="n"/>
      <c r="C94" s="307" t="n"/>
      <c r="D94" s="320" t="n"/>
      <c r="E94" s="307" t="n"/>
      <c r="F94" s="309" t="n"/>
      <c r="G94" s="320" t="n"/>
      <c r="H94" s="321">
        <f>IF(COUNT(D94,G94)&lt;2,"",G94-D94)</f>
        <v/>
      </c>
      <c r="I94" s="311">
        <f>IF(COUNT(G94)=0,"",IF(G94=0,"",H94/G94))</f>
        <v/>
      </c>
      <c r="J94" s="309" t="n"/>
    </row>
    <row r="95" ht="25" customHeight="1">
      <c r="A95" s="302" t="n"/>
      <c r="B95" s="302" t="n"/>
      <c r="C95" s="302" t="n"/>
      <c r="D95" s="318" t="n"/>
      <c r="E95" s="302" t="n"/>
      <c r="F95" s="304" t="n"/>
      <c r="G95" s="318" t="n"/>
      <c r="H95" s="319">
        <f>IF(COUNT(D95,G95)&lt;2,"",G95-D95)</f>
        <v/>
      </c>
      <c r="I95" s="306">
        <f>IF(COUNT(G95)=0,"",IF(G95=0,"",H95/G95))</f>
        <v/>
      </c>
      <c r="J95" s="304" t="n"/>
    </row>
    <row r="96" ht="25" customHeight="1">
      <c r="A96" s="307" t="n"/>
      <c r="B96" s="307" t="n"/>
      <c r="C96" s="307" t="n"/>
      <c r="D96" s="320" t="n"/>
      <c r="E96" s="307" t="n"/>
      <c r="F96" s="309" t="n"/>
      <c r="G96" s="320" t="n"/>
      <c r="H96" s="321">
        <f>IF(COUNT(D96,G96)&lt;2,"",G96-D96)</f>
        <v/>
      </c>
      <c r="I96" s="311">
        <f>IF(COUNT(G96)=0,"",IF(G96=0,"",H96/G96))</f>
        <v/>
      </c>
      <c r="J96" s="309" t="n"/>
    </row>
    <row r="97" ht="25" customHeight="1">
      <c r="A97" s="302" t="n"/>
      <c r="B97" s="302" t="n"/>
      <c r="C97" s="302" t="n"/>
      <c r="D97" s="318" t="n"/>
      <c r="E97" s="302" t="n"/>
      <c r="F97" s="304" t="n"/>
      <c r="G97" s="318" t="n"/>
      <c r="H97" s="319">
        <f>IF(COUNT(D97,G97)&lt;2,"",G97-D97)</f>
        <v/>
      </c>
      <c r="I97" s="306">
        <f>IF(COUNT(G97)=0,"",IF(G97=0,"",H97/G97))</f>
        <v/>
      </c>
      <c r="J97" s="304" t="n"/>
    </row>
    <row r="98" ht="25" customHeight="1">
      <c r="A98" s="307" t="n"/>
      <c r="B98" s="307" t="n"/>
      <c r="C98" s="307" t="n"/>
      <c r="D98" s="320" t="n"/>
      <c r="E98" s="307" t="n"/>
      <c r="F98" s="309" t="n"/>
      <c r="G98" s="320" t="n"/>
      <c r="H98" s="321">
        <f>IF(COUNT(D98,G98)&lt;2,"",G98-D98)</f>
        <v/>
      </c>
      <c r="I98" s="311">
        <f>IF(COUNT(G98)=0,"",IF(G98=0,"",H98/G98))</f>
        <v/>
      </c>
      <c r="J98" s="309" t="n"/>
    </row>
    <row r="99" ht="25" customHeight="1">
      <c r="A99" s="302" t="n"/>
      <c r="B99" s="302" t="n"/>
      <c r="C99" s="302" t="n"/>
      <c r="D99" s="318" t="n"/>
      <c r="E99" s="302" t="n"/>
      <c r="F99" s="304" t="n"/>
      <c r="G99" s="318" t="n"/>
      <c r="H99" s="319">
        <f>IF(COUNT(D99,G99)&lt;2,"",G99-D99)</f>
        <v/>
      </c>
      <c r="I99" s="306">
        <f>IF(COUNT(G99)=0,"",IF(G99=0,"",H99/G99))</f>
        <v/>
      </c>
      <c r="J99" s="304" t="n"/>
    </row>
    <row r="100" ht="25" customHeight="1">
      <c r="A100" s="307" t="n"/>
      <c r="B100" s="307" t="n"/>
      <c r="C100" s="307" t="n"/>
      <c r="D100" s="320" t="n"/>
      <c r="E100" s="307" t="n"/>
      <c r="F100" s="309" t="n"/>
      <c r="G100" s="320" t="n"/>
      <c r="H100" s="321">
        <f>IF(COUNT(D100,G100)&lt;2,"",G100-D100)</f>
        <v/>
      </c>
      <c r="I100" s="311">
        <f>IF(COUNT(G100)=0,"",IF(G100=0,"",H100/G100))</f>
        <v/>
      </c>
      <c r="J100" s="309" t="n"/>
    </row>
    <row r="101" ht="25" customHeight="1">
      <c r="A101" s="302" t="n"/>
      <c r="B101" s="302" t="n"/>
      <c r="C101" s="302" t="n"/>
      <c r="D101" s="318" t="n"/>
      <c r="E101" s="302" t="n"/>
      <c r="F101" s="304" t="n"/>
      <c r="G101" s="318" t="n"/>
      <c r="H101" s="319">
        <f>IF(COUNT(D101,G101)&lt;2,"",G101-D101)</f>
        <v/>
      </c>
      <c r="I101" s="306">
        <f>IF(COUNT(G101)=0,"",IF(G101=0,"",H101/G101))</f>
        <v/>
      </c>
      <c r="J101" s="304" t="n"/>
    </row>
    <row r="102" ht="25" customHeight="1">
      <c r="A102" s="307" t="n"/>
      <c r="B102" s="307" t="n"/>
      <c r="C102" s="307" t="n"/>
      <c r="D102" s="320" t="n"/>
      <c r="E102" s="307" t="n"/>
      <c r="F102" s="309" t="n"/>
      <c r="G102" s="320" t="n"/>
      <c r="H102" s="321">
        <f>IF(COUNT(D102,G102)&lt;2,"",G102-D102)</f>
        <v/>
      </c>
      <c r="I102" s="311">
        <f>IF(COUNT(G102)=0,"",IF(G102=0,"",H102/G102))</f>
        <v/>
      </c>
      <c r="J102" s="309" t="n"/>
    </row>
    <row r="103" ht="25" customHeight="1">
      <c r="A103" s="302" t="n"/>
      <c r="B103" s="302" t="n"/>
      <c r="C103" s="302" t="n"/>
      <c r="D103" s="318" t="n"/>
      <c r="E103" s="302" t="n"/>
      <c r="F103" s="304" t="n"/>
      <c r="G103" s="318" t="n"/>
      <c r="H103" s="319">
        <f>IF(COUNT(D103,G103)&lt;2,"",G103-D103)</f>
        <v/>
      </c>
      <c r="I103" s="306">
        <f>IF(COUNT(G103)=0,"",IF(G103=0,"",H103/G103))</f>
        <v/>
      </c>
      <c r="J103" s="304" t="n"/>
    </row>
    <row r="104" ht="25" customHeight="1">
      <c r="A104" s="307" t="n"/>
      <c r="B104" s="307" t="n"/>
      <c r="C104" s="307" t="n"/>
      <c r="D104" s="320" t="n"/>
      <c r="E104" s="307" t="n"/>
      <c r="F104" s="309" t="n"/>
      <c r="G104" s="320" t="n"/>
      <c r="H104" s="321">
        <f>IF(COUNT(D104,G104)&lt;2,"",G104-D104)</f>
        <v/>
      </c>
      <c r="I104" s="311">
        <f>IF(COUNT(G104)=0,"",IF(G104=0,"",H104/G104))</f>
        <v/>
      </c>
      <c r="J104" s="309" t="n"/>
    </row>
    <row r="105" ht="25" customHeight="1">
      <c r="A105" s="302" t="n"/>
      <c r="B105" s="302" t="n"/>
      <c r="C105" s="302" t="n"/>
      <c r="D105" s="318" t="n"/>
      <c r="E105" s="302" t="n"/>
      <c r="F105" s="304" t="n"/>
      <c r="G105" s="318" t="n"/>
      <c r="H105" s="319">
        <f>IF(COUNT(D105,G105)&lt;2,"",G105-D105)</f>
        <v/>
      </c>
      <c r="I105" s="306">
        <f>IF(COUNT(G105)=0,"",IF(G105=0,"",H105/G105))</f>
        <v/>
      </c>
      <c r="J105" s="304" t="n"/>
    </row>
    <row r="106" ht="25" customHeight="1">
      <c r="A106" s="307" t="n"/>
      <c r="B106" s="307" t="n"/>
      <c r="C106" s="307" t="n"/>
      <c r="D106" s="320" t="n"/>
      <c r="E106" s="307" t="n"/>
      <c r="F106" s="309" t="n"/>
      <c r="G106" s="320" t="n"/>
      <c r="H106" s="321">
        <f>IF(COUNT(D106,G106)&lt;2,"",G106-D106)</f>
        <v/>
      </c>
      <c r="I106" s="311">
        <f>IF(COUNT(G106)=0,"",IF(G106=0,"",H106/G106))</f>
        <v/>
      </c>
      <c r="J106" s="309" t="n"/>
    </row>
  </sheetData>
  <autoFilter ref="A6:J106"/>
  <mergeCells count="11">
    <mergeCell ref="A4:B4"/>
    <mergeCell ref="A1:J1"/>
    <mergeCell ref="K1:M2"/>
    <mergeCell ref="H4:J4"/>
    <mergeCell ref="E4:G4"/>
    <mergeCell ref="E3:G3"/>
    <mergeCell ref="A2:J2"/>
    <mergeCell ref="H3:J3"/>
    <mergeCell ref="C3:D3"/>
    <mergeCell ref="A3:B3"/>
    <mergeCell ref="C4:D4"/>
  </mergeCells>
  <conditionalFormatting sqref="H7:H106">
    <cfRule type="cellIs" priority="1" operator="lessThan" dxfId="9">
      <formula>0</formula>
    </cfRule>
  </conditionalFormatting>
  <conditionalFormatting sqref="I7:I106">
    <cfRule type="cellIs" priority="2" operator="lessThan" dxfId="9">
      <formula>0</formula>
    </cfRule>
  </conditionalFormatting>
  <dataValidations count="1">
    <dataValidation sqref="A7:A106" showDropDown="0" showInputMessage="1" showErrorMessage="1" allowBlank="1" errorTitle="Ungültiges Gewerk" error="Bitte ein vorbelegtes Gewerk auswählen." promptTitle="Gewerk" prompt="Gewerk aus der Liste auswählen." type="list">
      <formula1>=NUGewerkeListe</formula1>
    </dataValidation>
  </dataValidations>
  <hyperlinks>
    <hyperlink xmlns:r="http://schemas.openxmlformats.org/officeDocument/2006/relationships" ref="K1" r:id="rId1"/>
  </hyperlinks>
  <printOptions horizontalCentered="1"/>
  <pageMargins left="0.25" right="0.25" top="0.45" bottom="0.45" header="0.2" footer="0.2"/>
  <pageSetup orientation="landscape" paperSize="9" fitToHeight="0" fitToWidth="1"/>
  <headerFooter>
    <oddHeader/>
    <oddFooter>&amp;CSeite &amp;P von &amp;N&amp;RF+K Projektbau GmbH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autoPageBreaks="0" fitToPage="1"/>
  </sheetPr>
  <dimension ref="A1:N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40" customWidth="1" min="3" max="3"/>
    <col width="17" customWidth="1" min="4" max="4"/>
    <col width="17" customWidth="1" min="5" max="5"/>
    <col width="14" customWidth="1" min="6" max="6"/>
    <col width="17" customWidth="1" min="7" max="7"/>
    <col width="17" customWidth="1" min="8" max="8"/>
    <col width="18" customWidth="1" min="9" max="9"/>
    <col width="28" customWidth="1" min="10" max="10"/>
    <col width="13" customWidth="1" min="12" max="12"/>
    <col width="13" customWidth="1" min="13" max="13"/>
    <col width="13" customWidth="1" min="14" max="14"/>
  </cols>
  <sheetData>
    <row r="1" ht="30" customHeight="1">
      <c r="A1" s="198" t="inlineStr">
        <is>
          <t>EIGENLEISTUNGS-KALKULATION</t>
        </is>
      </c>
      <c r="L1" s="263" t="inlineStr">
        <is>
          <t>←  ZUM COCKPIT</t>
        </is>
      </c>
      <c r="M1" s="269" t="n"/>
      <c r="N1" s="270" t="n"/>
    </row>
    <row r="2" ht="20" customHeight="1">
      <c r="A2" s="199" t="inlineStr">
        <is>
          <t>Je Gewerk eine Zeile verwenden. Kundenwert und interner Kostensatz werden manuell erfasst; Ist-Stunden kommen automatisch aus der Zeiterfassung.</t>
        </is>
      </c>
      <c r="L2" s="271" t="n"/>
      <c r="M2" s="272" t="n"/>
      <c r="N2" s="273" t="n"/>
    </row>
    <row r="3">
      <c r="A3" s="200" t="inlineStr">
        <is>
          <t>Leistungswert netto</t>
        </is>
      </c>
      <c r="B3" s="201">
        <f>IF(COUNTA($A$6:$E$105)=0,"",SUM($D$6:$D$105))</f>
        <v/>
      </c>
      <c r="C3" s="200" t="inlineStr">
        <is>
          <t>Stunden Ist</t>
        </is>
      </c>
      <c r="D3" s="209">
        <f>IF(COUNTA($A$6:$E$105)=0,"",SUM($F$6:$F$105))</f>
        <v/>
      </c>
      <c r="E3" s="200" t="inlineStr">
        <is>
          <t>Eigenkosten</t>
        </is>
      </c>
      <c r="F3" s="201">
        <f>IF(B3="","",SUM($G$6:$G$105))</f>
        <v/>
      </c>
      <c r="G3" s="200" t="inlineStr">
        <is>
          <t>Eigenleistungsmarge</t>
        </is>
      </c>
      <c r="H3" s="202">
        <f>IF(COUNT(B3,F3)&lt;2,"",IF(B3=0,"",(B3-F3)/B3))</f>
        <v/>
      </c>
      <c r="I3" s="210" t="inlineStr">
        <is>
          <t>Je Gewerk nur 1 Zeile</t>
        </is>
      </c>
      <c r="J3" s="203" t="n"/>
    </row>
    <row r="5" ht="32" customHeight="1">
      <c r="A5" s="204" t="inlineStr">
        <is>
          <t>Gewerk</t>
        </is>
      </c>
      <c r="B5" s="204" t="inlineStr">
        <is>
          <t>Rechnungsposition(en)</t>
        </is>
      </c>
      <c r="C5" s="204" t="inlineStr">
        <is>
          <t>Leistung / Beschreibung</t>
        </is>
      </c>
      <c r="D5" s="204" t="inlineStr">
        <is>
          <t>Kundenpreis netto</t>
        </is>
      </c>
      <c r="E5" s="204" t="inlineStr">
        <is>
          <t>Interner Kostensatz €/Std.</t>
        </is>
      </c>
      <c r="F5" s="204" t="inlineStr">
        <is>
          <t>Stunden Ist</t>
        </is>
      </c>
      <c r="G5" s="204" t="inlineStr">
        <is>
          <t>Eigenkosten Ist</t>
        </is>
      </c>
      <c r="H5" s="204" t="inlineStr">
        <is>
          <t>Deckungsbeitrag</t>
        </is>
      </c>
      <c r="I5" s="204" t="inlineStr">
        <is>
          <t>Eigenleistungsmarge</t>
        </is>
      </c>
      <c r="J5" s="204" t="inlineStr">
        <is>
          <t>Bemerkung</t>
        </is>
      </c>
    </row>
    <row r="6" ht="21" customHeight="1">
      <c r="A6" s="205" t="n"/>
      <c r="B6" s="205" t="n"/>
      <c r="C6" s="205" t="n"/>
      <c r="D6" s="206" t="n"/>
      <c r="E6" s="206" t="n"/>
      <c r="F6" s="211">
        <f>IF(A6="","",SUMIF(Zeiterfassung!$E$6:$E$3665,A6,Zeiterfassung!$H$6:$H$3665))</f>
        <v/>
      </c>
      <c r="G6" s="207">
        <f>IF(OR(E6="",F6=""),"",E6*F6)</f>
        <v/>
      </c>
      <c r="H6" s="207">
        <f>IF(D6="","",D6-IF(G6="",0,G6))</f>
        <v/>
      </c>
      <c r="I6" s="208">
        <f>IF(D6&gt;0,H6/D6,"")</f>
        <v/>
      </c>
      <c r="J6" s="205" t="n"/>
    </row>
    <row r="7" ht="21" customHeight="1">
      <c r="A7" s="205" t="n"/>
      <c r="B7" s="205" t="n"/>
      <c r="C7" s="205" t="n"/>
      <c r="D7" s="206" t="n"/>
      <c r="E7" s="206" t="n"/>
      <c r="F7" s="211">
        <f>IF(A7="","",SUMIF(Zeiterfassung!$E$6:$E$3665,A7,Zeiterfassung!$H$6:$H$3665))</f>
        <v/>
      </c>
      <c r="G7" s="207">
        <f>IF(OR(E7="",F7=""),"",E7*F7)</f>
        <v/>
      </c>
      <c r="H7" s="207">
        <f>IF(D7="","",D7-IF(G7="",0,G7))</f>
        <v/>
      </c>
      <c r="I7" s="208">
        <f>IF(D7&gt;0,H7/D7,"")</f>
        <v/>
      </c>
      <c r="J7" s="205" t="n"/>
    </row>
    <row r="8" ht="21" customHeight="1">
      <c r="A8" s="205" t="n"/>
      <c r="B8" s="205" t="n"/>
      <c r="C8" s="205" t="n"/>
      <c r="D8" s="206" t="n"/>
      <c r="E8" s="206" t="n"/>
      <c r="F8" s="211">
        <f>IF(A8="","",SUMIF(Zeiterfassung!$E$6:$E$3665,A8,Zeiterfassung!$H$6:$H$3665))</f>
        <v/>
      </c>
      <c r="G8" s="207">
        <f>IF(OR(E8="",F8=""),"",E8*F8)</f>
        <v/>
      </c>
      <c r="H8" s="207">
        <f>IF(D8="","",D8-IF(G8="",0,G8))</f>
        <v/>
      </c>
      <c r="I8" s="208">
        <f>IF(D8&gt;0,H8/D8,"")</f>
        <v/>
      </c>
      <c r="J8" s="205" t="n"/>
    </row>
    <row r="9" ht="21" customHeight="1">
      <c r="A9" s="205" t="n"/>
      <c r="B9" s="205" t="n"/>
      <c r="C9" s="205" t="n"/>
      <c r="D9" s="206" t="n"/>
      <c r="E9" s="206" t="n"/>
      <c r="F9" s="211">
        <f>IF(A9="","",SUMIF(Zeiterfassung!$E$6:$E$3665,A9,Zeiterfassung!$H$6:$H$3665))</f>
        <v/>
      </c>
      <c r="G9" s="207">
        <f>IF(OR(E9="",F9=""),"",E9*F9)</f>
        <v/>
      </c>
      <c r="H9" s="207">
        <f>IF(D9="","",D9-IF(G9="",0,G9))</f>
        <v/>
      </c>
      <c r="I9" s="208">
        <f>IF(D9&gt;0,H9/D9,"")</f>
        <v/>
      </c>
      <c r="J9" s="205" t="n"/>
    </row>
    <row r="10" ht="21" customHeight="1">
      <c r="A10" s="205" t="n"/>
      <c r="B10" s="205" t="n"/>
      <c r="C10" s="205" t="n"/>
      <c r="D10" s="206" t="n"/>
      <c r="E10" s="206" t="n"/>
      <c r="F10" s="211">
        <f>IF(A10="","",SUMIF(Zeiterfassung!$E$6:$E$3665,A10,Zeiterfassung!$H$6:$H$3665))</f>
        <v/>
      </c>
      <c r="G10" s="207">
        <f>IF(OR(E10="",F10=""),"",E10*F10)</f>
        <v/>
      </c>
      <c r="H10" s="207">
        <f>IF(D10="","",D10-IF(G10="",0,G10))</f>
        <v/>
      </c>
      <c r="I10" s="208">
        <f>IF(D10&gt;0,H10/D10,"")</f>
        <v/>
      </c>
      <c r="J10" s="205" t="n"/>
    </row>
    <row r="11" ht="21" customHeight="1">
      <c r="A11" s="205" t="n"/>
      <c r="B11" s="205" t="n"/>
      <c r="C11" s="205" t="n"/>
      <c r="D11" s="206" t="n"/>
      <c r="E11" s="206" t="n"/>
      <c r="F11" s="211">
        <f>IF(A11="","",SUMIF(Zeiterfassung!$E$6:$E$3665,A11,Zeiterfassung!$H$6:$H$3665))</f>
        <v/>
      </c>
      <c r="G11" s="207">
        <f>IF(OR(E11="",F11=""),"",E11*F11)</f>
        <v/>
      </c>
      <c r="H11" s="207">
        <f>IF(D11="","",D11-IF(G11="",0,G11))</f>
        <v/>
      </c>
      <c r="I11" s="208">
        <f>IF(D11&gt;0,H11/D11,"")</f>
        <v/>
      </c>
      <c r="J11" s="205" t="n"/>
    </row>
    <row r="12" ht="21" customHeight="1">
      <c r="A12" s="205" t="n"/>
      <c r="B12" s="205" t="n"/>
      <c r="C12" s="205" t="n"/>
      <c r="D12" s="206" t="n"/>
      <c r="E12" s="206" t="n"/>
      <c r="F12" s="211">
        <f>IF(A12="","",SUMIF(Zeiterfassung!$E$6:$E$3665,A12,Zeiterfassung!$H$6:$H$3665))</f>
        <v/>
      </c>
      <c r="G12" s="207">
        <f>IF(OR(E12="",F12=""),"",E12*F12)</f>
        <v/>
      </c>
      <c r="H12" s="207">
        <f>IF(D12="","",D12-IF(G12="",0,G12))</f>
        <v/>
      </c>
      <c r="I12" s="208">
        <f>IF(D12&gt;0,H12/D12,"")</f>
        <v/>
      </c>
      <c r="J12" s="205" t="n"/>
    </row>
    <row r="13" ht="21" customHeight="1">
      <c r="A13" s="205" t="n"/>
      <c r="B13" s="205" t="n"/>
      <c r="C13" s="205" t="n"/>
      <c r="D13" s="206" t="n"/>
      <c r="E13" s="206" t="n"/>
      <c r="F13" s="211">
        <f>IF(A13="","",SUMIF(Zeiterfassung!$E$6:$E$3665,A13,Zeiterfassung!$H$6:$H$3665))</f>
        <v/>
      </c>
      <c r="G13" s="207">
        <f>IF(OR(E13="",F13=""),"",E13*F13)</f>
        <v/>
      </c>
      <c r="H13" s="207">
        <f>IF(D13="","",D13-IF(G13="",0,G13))</f>
        <v/>
      </c>
      <c r="I13" s="208">
        <f>IF(D13&gt;0,H13/D13,"")</f>
        <v/>
      </c>
      <c r="J13" s="205" t="n"/>
    </row>
    <row r="14" ht="21" customHeight="1">
      <c r="A14" s="205" t="n"/>
      <c r="B14" s="205" t="n"/>
      <c r="C14" s="205" t="n"/>
      <c r="D14" s="206" t="n"/>
      <c r="E14" s="206" t="n"/>
      <c r="F14" s="211">
        <f>IF(A14="","",SUMIF(Zeiterfassung!$E$6:$E$3665,A14,Zeiterfassung!$H$6:$H$3665))</f>
        <v/>
      </c>
      <c r="G14" s="207">
        <f>IF(OR(E14="",F14=""),"",E14*F14)</f>
        <v/>
      </c>
      <c r="H14" s="207">
        <f>IF(D14="","",D14-IF(G14="",0,G14))</f>
        <v/>
      </c>
      <c r="I14" s="208">
        <f>IF(D14&gt;0,H14/D14,"")</f>
        <v/>
      </c>
      <c r="J14" s="205" t="n"/>
    </row>
    <row r="15" ht="21" customHeight="1">
      <c r="A15" s="205" t="n"/>
      <c r="B15" s="205" t="n"/>
      <c r="C15" s="205" t="n"/>
      <c r="D15" s="206" t="n"/>
      <c r="E15" s="206" t="n"/>
      <c r="F15" s="211">
        <f>IF(A15="","",SUMIF(Zeiterfassung!$E$6:$E$3665,A15,Zeiterfassung!$H$6:$H$3665))</f>
        <v/>
      </c>
      <c r="G15" s="207">
        <f>IF(OR(E15="",F15=""),"",E15*F15)</f>
        <v/>
      </c>
      <c r="H15" s="207">
        <f>IF(D15="","",D15-IF(G15="",0,G15))</f>
        <v/>
      </c>
      <c r="I15" s="208">
        <f>IF(D15&gt;0,H15/D15,"")</f>
        <v/>
      </c>
      <c r="J15" s="205" t="n"/>
    </row>
    <row r="16" ht="21" customHeight="1">
      <c r="A16" s="205" t="n"/>
      <c r="B16" s="205" t="n"/>
      <c r="C16" s="205" t="n"/>
      <c r="D16" s="206" t="n"/>
      <c r="E16" s="206" t="n"/>
      <c r="F16" s="211">
        <f>IF(A16="","",SUMIF(Zeiterfassung!$E$6:$E$3665,A16,Zeiterfassung!$H$6:$H$3665))</f>
        <v/>
      </c>
      <c r="G16" s="207">
        <f>IF(OR(E16="",F16=""),"",E16*F16)</f>
        <v/>
      </c>
      <c r="H16" s="207">
        <f>IF(D16="","",D16-IF(G16="",0,G16))</f>
        <v/>
      </c>
      <c r="I16" s="208">
        <f>IF(D16&gt;0,H16/D16,"")</f>
        <v/>
      </c>
      <c r="J16" s="205" t="n"/>
    </row>
    <row r="17" ht="21" customHeight="1">
      <c r="A17" s="205" t="n"/>
      <c r="B17" s="205" t="n"/>
      <c r="C17" s="205" t="n"/>
      <c r="D17" s="206" t="n"/>
      <c r="E17" s="206" t="n"/>
      <c r="F17" s="211">
        <f>IF(A17="","",SUMIF(Zeiterfassung!$E$6:$E$3665,A17,Zeiterfassung!$H$6:$H$3665))</f>
        <v/>
      </c>
      <c r="G17" s="207">
        <f>IF(OR(E17="",F17=""),"",E17*F17)</f>
        <v/>
      </c>
      <c r="H17" s="207">
        <f>IF(D17="","",D17-IF(G17="",0,G17))</f>
        <v/>
      </c>
      <c r="I17" s="208">
        <f>IF(D17&gt;0,H17/D17,"")</f>
        <v/>
      </c>
      <c r="J17" s="205" t="n"/>
    </row>
    <row r="18" ht="21" customHeight="1">
      <c r="A18" s="205" t="n"/>
      <c r="B18" s="205" t="n"/>
      <c r="C18" s="205" t="n"/>
      <c r="D18" s="206" t="n"/>
      <c r="E18" s="206" t="n"/>
      <c r="F18" s="211">
        <f>IF(A18="","",SUMIF(Zeiterfassung!$E$6:$E$3665,A18,Zeiterfassung!$H$6:$H$3665))</f>
        <v/>
      </c>
      <c r="G18" s="207">
        <f>IF(OR(E18="",F18=""),"",E18*F18)</f>
        <v/>
      </c>
      <c r="H18" s="207">
        <f>IF(D18="","",D18-IF(G18="",0,G18))</f>
        <v/>
      </c>
      <c r="I18" s="208">
        <f>IF(D18&gt;0,H18/D18,"")</f>
        <v/>
      </c>
      <c r="J18" s="205" t="n"/>
    </row>
    <row r="19" ht="21" customHeight="1">
      <c r="A19" s="205" t="n"/>
      <c r="B19" s="205" t="n"/>
      <c r="C19" s="205" t="n"/>
      <c r="D19" s="206" t="n"/>
      <c r="E19" s="206" t="n"/>
      <c r="F19" s="211">
        <f>IF(A19="","",SUMIF(Zeiterfassung!$E$6:$E$3665,A19,Zeiterfassung!$H$6:$H$3665))</f>
        <v/>
      </c>
      <c r="G19" s="207">
        <f>IF(OR(E19="",F19=""),"",E19*F19)</f>
        <v/>
      </c>
      <c r="H19" s="207">
        <f>IF(D19="","",D19-IF(G19="",0,G19))</f>
        <v/>
      </c>
      <c r="I19" s="208">
        <f>IF(D19&gt;0,H19/D19,"")</f>
        <v/>
      </c>
      <c r="J19" s="205" t="n"/>
    </row>
    <row r="20" ht="21" customHeight="1">
      <c r="A20" s="205" t="n"/>
      <c r="B20" s="205" t="n"/>
      <c r="C20" s="205" t="n"/>
      <c r="D20" s="206" t="n"/>
      <c r="E20" s="206" t="n"/>
      <c r="F20" s="211">
        <f>IF(A20="","",SUMIF(Zeiterfassung!$E$6:$E$3665,A20,Zeiterfassung!$H$6:$H$3665))</f>
        <v/>
      </c>
      <c r="G20" s="207">
        <f>IF(OR(E20="",F20=""),"",E20*F20)</f>
        <v/>
      </c>
      <c r="H20" s="207">
        <f>IF(D20="","",D20-IF(G20="",0,G20))</f>
        <v/>
      </c>
      <c r="I20" s="208">
        <f>IF(D20&gt;0,H20/D20,"")</f>
        <v/>
      </c>
      <c r="J20" s="205" t="n"/>
    </row>
    <row r="21" ht="21" customHeight="1">
      <c r="A21" s="205" t="n"/>
      <c r="B21" s="205" t="n"/>
      <c r="C21" s="205" t="n"/>
      <c r="D21" s="206" t="n"/>
      <c r="E21" s="206" t="n"/>
      <c r="F21" s="211">
        <f>IF(A21="","",SUMIF(Zeiterfassung!$E$6:$E$3665,A21,Zeiterfassung!$H$6:$H$3665))</f>
        <v/>
      </c>
      <c r="G21" s="207">
        <f>IF(OR(E21="",F21=""),"",E21*F21)</f>
        <v/>
      </c>
      <c r="H21" s="207">
        <f>IF(D21="","",D21-IF(G21="",0,G21))</f>
        <v/>
      </c>
      <c r="I21" s="208">
        <f>IF(D21&gt;0,H21/D21,"")</f>
        <v/>
      </c>
      <c r="J21" s="205" t="n"/>
    </row>
    <row r="22" ht="21" customHeight="1">
      <c r="A22" s="205" t="n"/>
      <c r="B22" s="205" t="n"/>
      <c r="C22" s="205" t="n"/>
      <c r="D22" s="206" t="n"/>
      <c r="E22" s="206" t="n"/>
      <c r="F22" s="211">
        <f>IF(A22="","",SUMIF(Zeiterfassung!$E$6:$E$3665,A22,Zeiterfassung!$H$6:$H$3665))</f>
        <v/>
      </c>
      <c r="G22" s="207">
        <f>IF(OR(E22="",F22=""),"",E22*F22)</f>
        <v/>
      </c>
      <c r="H22" s="207">
        <f>IF(D22="","",D22-IF(G22="",0,G22))</f>
        <v/>
      </c>
      <c r="I22" s="208">
        <f>IF(D22&gt;0,H22/D22,"")</f>
        <v/>
      </c>
      <c r="J22" s="205" t="n"/>
    </row>
    <row r="23" ht="21" customHeight="1">
      <c r="A23" s="205" t="n"/>
      <c r="B23" s="205" t="n"/>
      <c r="C23" s="205" t="n"/>
      <c r="D23" s="206" t="n"/>
      <c r="E23" s="206" t="n"/>
      <c r="F23" s="211">
        <f>IF(A23="","",SUMIF(Zeiterfassung!$E$6:$E$3665,A23,Zeiterfassung!$H$6:$H$3665))</f>
        <v/>
      </c>
      <c r="G23" s="207">
        <f>IF(OR(E23="",F23=""),"",E23*F23)</f>
        <v/>
      </c>
      <c r="H23" s="207">
        <f>IF(D23="","",D23-IF(G23="",0,G23))</f>
        <v/>
      </c>
      <c r="I23" s="208">
        <f>IF(D23&gt;0,H23/D23,"")</f>
        <v/>
      </c>
      <c r="J23" s="205" t="n"/>
    </row>
    <row r="24" ht="21" customHeight="1">
      <c r="A24" s="205" t="n"/>
      <c r="B24" s="205" t="n"/>
      <c r="C24" s="205" t="n"/>
      <c r="D24" s="206" t="n"/>
      <c r="E24" s="206" t="n"/>
      <c r="F24" s="211">
        <f>IF(A24="","",SUMIF(Zeiterfassung!$E$6:$E$3665,A24,Zeiterfassung!$H$6:$H$3665))</f>
        <v/>
      </c>
      <c r="G24" s="207">
        <f>IF(OR(E24="",F24=""),"",E24*F24)</f>
        <v/>
      </c>
      <c r="H24" s="207">
        <f>IF(D24="","",D24-IF(G24="",0,G24))</f>
        <v/>
      </c>
      <c r="I24" s="208">
        <f>IF(D24&gt;0,H24/D24,"")</f>
        <v/>
      </c>
      <c r="J24" s="205" t="n"/>
    </row>
    <row r="25" ht="21" customHeight="1">
      <c r="A25" s="205" t="n"/>
      <c r="B25" s="205" t="n"/>
      <c r="C25" s="205" t="n"/>
      <c r="D25" s="206" t="n"/>
      <c r="E25" s="206" t="n"/>
      <c r="F25" s="211">
        <f>IF(A25="","",SUMIF(Zeiterfassung!$E$6:$E$3665,A25,Zeiterfassung!$H$6:$H$3665))</f>
        <v/>
      </c>
      <c r="G25" s="207">
        <f>IF(OR(E25="",F25=""),"",E25*F25)</f>
        <v/>
      </c>
      <c r="H25" s="207">
        <f>IF(D25="","",D25-IF(G25="",0,G25))</f>
        <v/>
      </c>
      <c r="I25" s="208">
        <f>IF(D25&gt;0,H25/D25,"")</f>
        <v/>
      </c>
      <c r="J25" s="205" t="n"/>
    </row>
    <row r="26" ht="21" customHeight="1">
      <c r="A26" s="205" t="n"/>
      <c r="B26" s="205" t="n"/>
      <c r="C26" s="205" t="n"/>
      <c r="D26" s="206" t="n"/>
      <c r="E26" s="206" t="n"/>
      <c r="F26" s="211">
        <f>IF(A26="","",SUMIF(Zeiterfassung!$E$6:$E$3665,A26,Zeiterfassung!$H$6:$H$3665))</f>
        <v/>
      </c>
      <c r="G26" s="207">
        <f>IF(OR(E26="",F26=""),"",E26*F26)</f>
        <v/>
      </c>
      <c r="H26" s="207">
        <f>IF(D26="","",D26-IF(G26="",0,G26))</f>
        <v/>
      </c>
      <c r="I26" s="208">
        <f>IF(D26&gt;0,H26/D26,"")</f>
        <v/>
      </c>
      <c r="J26" s="205" t="n"/>
    </row>
    <row r="27" ht="21" customHeight="1">
      <c r="A27" s="205" t="n"/>
      <c r="B27" s="205" t="n"/>
      <c r="C27" s="205" t="n"/>
      <c r="D27" s="206" t="n"/>
      <c r="E27" s="206" t="n"/>
      <c r="F27" s="211">
        <f>IF(A27="","",SUMIF(Zeiterfassung!$E$6:$E$3665,A27,Zeiterfassung!$H$6:$H$3665))</f>
        <v/>
      </c>
      <c r="G27" s="207">
        <f>IF(OR(E27="",F27=""),"",E27*F27)</f>
        <v/>
      </c>
      <c r="H27" s="207">
        <f>IF(D27="","",D27-IF(G27="",0,G27))</f>
        <v/>
      </c>
      <c r="I27" s="208">
        <f>IF(D27&gt;0,H27/D27,"")</f>
        <v/>
      </c>
      <c r="J27" s="205" t="n"/>
    </row>
    <row r="28" ht="21" customHeight="1">
      <c r="A28" s="205" t="n"/>
      <c r="B28" s="205" t="n"/>
      <c r="C28" s="205" t="n"/>
      <c r="D28" s="206" t="n"/>
      <c r="E28" s="206" t="n"/>
      <c r="F28" s="211">
        <f>IF(A28="","",SUMIF(Zeiterfassung!$E$6:$E$3665,A28,Zeiterfassung!$H$6:$H$3665))</f>
        <v/>
      </c>
      <c r="G28" s="207">
        <f>IF(OR(E28="",F28=""),"",E28*F28)</f>
        <v/>
      </c>
      <c r="H28" s="207">
        <f>IF(D28="","",D28-IF(G28="",0,G28))</f>
        <v/>
      </c>
      <c r="I28" s="208">
        <f>IF(D28&gt;0,H28/D28,"")</f>
        <v/>
      </c>
      <c r="J28" s="205" t="n"/>
    </row>
    <row r="29" ht="21" customHeight="1">
      <c r="A29" s="205" t="n"/>
      <c r="B29" s="205" t="n"/>
      <c r="C29" s="205" t="n"/>
      <c r="D29" s="206" t="n"/>
      <c r="E29" s="206" t="n"/>
      <c r="F29" s="211">
        <f>IF(A29="","",SUMIF(Zeiterfassung!$E$6:$E$3665,A29,Zeiterfassung!$H$6:$H$3665))</f>
        <v/>
      </c>
      <c r="G29" s="207">
        <f>IF(OR(E29="",F29=""),"",E29*F29)</f>
        <v/>
      </c>
      <c r="H29" s="207">
        <f>IF(D29="","",D29-IF(G29="",0,G29))</f>
        <v/>
      </c>
      <c r="I29" s="208">
        <f>IF(D29&gt;0,H29/D29,"")</f>
        <v/>
      </c>
      <c r="J29" s="205" t="n"/>
    </row>
    <row r="30" ht="21" customHeight="1">
      <c r="A30" s="205" t="n"/>
      <c r="B30" s="205" t="n"/>
      <c r="C30" s="205" t="n"/>
      <c r="D30" s="206" t="n"/>
      <c r="E30" s="206" t="n"/>
      <c r="F30" s="211">
        <f>IF(A30="","",SUMIF(Zeiterfassung!$E$6:$E$3665,A30,Zeiterfassung!$H$6:$H$3665))</f>
        <v/>
      </c>
      <c r="G30" s="207">
        <f>IF(OR(E30="",F30=""),"",E30*F30)</f>
        <v/>
      </c>
      <c r="H30" s="207">
        <f>IF(D30="","",D30-IF(G30="",0,G30))</f>
        <v/>
      </c>
      <c r="I30" s="208">
        <f>IF(D30&gt;0,H30/D30,"")</f>
        <v/>
      </c>
      <c r="J30" s="205" t="n"/>
    </row>
    <row r="31" ht="21" customHeight="1">
      <c r="A31" s="205" t="n"/>
      <c r="B31" s="205" t="n"/>
      <c r="C31" s="205" t="n"/>
      <c r="D31" s="206" t="n"/>
      <c r="E31" s="206" t="n"/>
      <c r="F31" s="211">
        <f>IF(A31="","",SUMIF(Zeiterfassung!$E$6:$E$3665,A31,Zeiterfassung!$H$6:$H$3665))</f>
        <v/>
      </c>
      <c r="G31" s="207">
        <f>IF(OR(E31="",F31=""),"",E31*F31)</f>
        <v/>
      </c>
      <c r="H31" s="207">
        <f>IF(D31="","",D31-IF(G31="",0,G31))</f>
        <v/>
      </c>
      <c r="I31" s="208">
        <f>IF(D31&gt;0,H31/D31,"")</f>
        <v/>
      </c>
      <c r="J31" s="205" t="n"/>
    </row>
    <row r="32" ht="21" customHeight="1">
      <c r="A32" s="205" t="n"/>
      <c r="B32" s="205" t="n"/>
      <c r="C32" s="205" t="n"/>
      <c r="D32" s="206" t="n"/>
      <c r="E32" s="206" t="n"/>
      <c r="F32" s="211">
        <f>IF(A32="","",SUMIF(Zeiterfassung!$E$6:$E$3665,A32,Zeiterfassung!$H$6:$H$3665))</f>
        <v/>
      </c>
      <c r="G32" s="207">
        <f>IF(OR(E32="",F32=""),"",E32*F32)</f>
        <v/>
      </c>
      <c r="H32" s="207">
        <f>IF(D32="","",D32-IF(G32="",0,G32))</f>
        <v/>
      </c>
      <c r="I32" s="208">
        <f>IF(D32&gt;0,H32/D32,"")</f>
        <v/>
      </c>
      <c r="J32" s="205" t="n"/>
    </row>
    <row r="33" ht="21" customHeight="1">
      <c r="A33" s="205" t="n"/>
      <c r="B33" s="205" t="n"/>
      <c r="C33" s="205" t="n"/>
      <c r="D33" s="206" t="n"/>
      <c r="E33" s="206" t="n"/>
      <c r="F33" s="211">
        <f>IF(A33="","",SUMIF(Zeiterfassung!$E$6:$E$3665,A33,Zeiterfassung!$H$6:$H$3665))</f>
        <v/>
      </c>
      <c r="G33" s="207">
        <f>IF(OR(E33="",F33=""),"",E33*F33)</f>
        <v/>
      </c>
      <c r="H33" s="207">
        <f>IF(D33="","",D33-IF(G33="",0,G33))</f>
        <v/>
      </c>
      <c r="I33" s="208">
        <f>IF(D33&gt;0,H33/D33,"")</f>
        <v/>
      </c>
      <c r="J33" s="205" t="n"/>
    </row>
    <row r="34" ht="21" customHeight="1">
      <c r="A34" s="205" t="n"/>
      <c r="B34" s="205" t="n"/>
      <c r="C34" s="205" t="n"/>
      <c r="D34" s="206" t="n"/>
      <c r="E34" s="206" t="n"/>
      <c r="F34" s="211">
        <f>IF(A34="","",SUMIF(Zeiterfassung!$E$6:$E$3665,A34,Zeiterfassung!$H$6:$H$3665))</f>
        <v/>
      </c>
      <c r="G34" s="207">
        <f>IF(OR(E34="",F34=""),"",E34*F34)</f>
        <v/>
      </c>
      <c r="H34" s="207">
        <f>IF(D34="","",D34-IF(G34="",0,G34))</f>
        <v/>
      </c>
      <c r="I34" s="208">
        <f>IF(D34&gt;0,H34/D34,"")</f>
        <v/>
      </c>
      <c r="J34" s="205" t="n"/>
    </row>
    <row r="35" ht="21" customHeight="1">
      <c r="A35" s="205" t="n"/>
      <c r="B35" s="205" t="n"/>
      <c r="C35" s="205" t="n"/>
      <c r="D35" s="206" t="n"/>
      <c r="E35" s="206" t="n"/>
      <c r="F35" s="211">
        <f>IF(A35="","",SUMIF(Zeiterfassung!$E$6:$E$3665,A35,Zeiterfassung!$H$6:$H$3665))</f>
        <v/>
      </c>
      <c r="G35" s="207">
        <f>IF(OR(E35="",F35=""),"",E35*F35)</f>
        <v/>
      </c>
      <c r="H35" s="207">
        <f>IF(D35="","",D35-IF(G35="",0,G35))</f>
        <v/>
      </c>
      <c r="I35" s="208">
        <f>IF(D35&gt;0,H35/D35,"")</f>
        <v/>
      </c>
      <c r="J35" s="205" t="n"/>
    </row>
    <row r="36" ht="21" customHeight="1">
      <c r="A36" s="205" t="n"/>
      <c r="B36" s="205" t="n"/>
      <c r="C36" s="205" t="n"/>
      <c r="D36" s="206" t="n"/>
      <c r="E36" s="206" t="n"/>
      <c r="F36" s="211">
        <f>IF(A36="","",SUMIF(Zeiterfassung!$E$6:$E$3665,A36,Zeiterfassung!$H$6:$H$3665))</f>
        <v/>
      </c>
      <c r="G36" s="207">
        <f>IF(OR(E36="",F36=""),"",E36*F36)</f>
        <v/>
      </c>
      <c r="H36" s="207">
        <f>IF(D36="","",D36-IF(G36="",0,G36))</f>
        <v/>
      </c>
      <c r="I36" s="208">
        <f>IF(D36&gt;0,H36/D36,"")</f>
        <v/>
      </c>
      <c r="J36" s="205" t="n"/>
    </row>
    <row r="37" ht="21" customHeight="1">
      <c r="A37" s="205" t="n"/>
      <c r="B37" s="205" t="n"/>
      <c r="C37" s="205" t="n"/>
      <c r="D37" s="206" t="n"/>
      <c r="E37" s="206" t="n"/>
      <c r="F37" s="211">
        <f>IF(A37="","",SUMIF(Zeiterfassung!$E$6:$E$3665,A37,Zeiterfassung!$H$6:$H$3665))</f>
        <v/>
      </c>
      <c r="G37" s="207">
        <f>IF(OR(E37="",F37=""),"",E37*F37)</f>
        <v/>
      </c>
      <c r="H37" s="207">
        <f>IF(D37="","",D37-IF(G37="",0,G37))</f>
        <v/>
      </c>
      <c r="I37" s="208">
        <f>IF(D37&gt;0,H37/D37,"")</f>
        <v/>
      </c>
      <c r="J37" s="205" t="n"/>
    </row>
    <row r="38" ht="21" customHeight="1">
      <c r="A38" s="205" t="n"/>
      <c r="B38" s="205" t="n"/>
      <c r="C38" s="205" t="n"/>
      <c r="D38" s="206" t="n"/>
      <c r="E38" s="206" t="n"/>
      <c r="F38" s="211">
        <f>IF(A38="","",SUMIF(Zeiterfassung!$E$6:$E$3665,A38,Zeiterfassung!$H$6:$H$3665))</f>
        <v/>
      </c>
      <c r="G38" s="207">
        <f>IF(OR(E38="",F38=""),"",E38*F38)</f>
        <v/>
      </c>
      <c r="H38" s="207">
        <f>IF(D38="","",D38-IF(G38="",0,G38))</f>
        <v/>
      </c>
      <c r="I38" s="208">
        <f>IF(D38&gt;0,H38/D38,"")</f>
        <v/>
      </c>
      <c r="J38" s="205" t="n"/>
    </row>
    <row r="39" ht="21" customHeight="1">
      <c r="A39" s="205" t="n"/>
      <c r="B39" s="205" t="n"/>
      <c r="C39" s="205" t="n"/>
      <c r="D39" s="206" t="n"/>
      <c r="E39" s="206" t="n"/>
      <c r="F39" s="211">
        <f>IF(A39="","",SUMIF(Zeiterfassung!$E$6:$E$3665,A39,Zeiterfassung!$H$6:$H$3665))</f>
        <v/>
      </c>
      <c r="G39" s="207">
        <f>IF(OR(E39="",F39=""),"",E39*F39)</f>
        <v/>
      </c>
      <c r="H39" s="207">
        <f>IF(D39="","",D39-IF(G39="",0,G39))</f>
        <v/>
      </c>
      <c r="I39" s="208">
        <f>IF(D39&gt;0,H39/D39,"")</f>
        <v/>
      </c>
      <c r="J39" s="205" t="n"/>
    </row>
    <row r="40" ht="21" customHeight="1">
      <c r="A40" s="205" t="n"/>
      <c r="B40" s="205" t="n"/>
      <c r="C40" s="205" t="n"/>
      <c r="D40" s="206" t="n"/>
      <c r="E40" s="206" t="n"/>
      <c r="F40" s="211">
        <f>IF(A40="","",SUMIF(Zeiterfassung!$E$6:$E$3665,A40,Zeiterfassung!$H$6:$H$3665))</f>
        <v/>
      </c>
      <c r="G40" s="207">
        <f>IF(OR(E40="",F40=""),"",E40*F40)</f>
        <v/>
      </c>
      <c r="H40" s="207">
        <f>IF(D40="","",D40-IF(G40="",0,G40))</f>
        <v/>
      </c>
      <c r="I40" s="208">
        <f>IF(D40&gt;0,H40/D40,"")</f>
        <v/>
      </c>
      <c r="J40" s="205" t="n"/>
    </row>
    <row r="41" ht="21" customHeight="1">
      <c r="A41" s="205" t="n"/>
      <c r="B41" s="205" t="n"/>
      <c r="C41" s="205" t="n"/>
      <c r="D41" s="206" t="n"/>
      <c r="E41" s="206" t="n"/>
      <c r="F41" s="211">
        <f>IF(A41="","",SUMIF(Zeiterfassung!$E$6:$E$3665,A41,Zeiterfassung!$H$6:$H$3665))</f>
        <v/>
      </c>
      <c r="G41" s="207">
        <f>IF(OR(E41="",F41=""),"",E41*F41)</f>
        <v/>
      </c>
      <c r="H41" s="207">
        <f>IF(D41="","",D41-IF(G41="",0,G41))</f>
        <v/>
      </c>
      <c r="I41" s="208">
        <f>IF(D41&gt;0,H41/D41,"")</f>
        <v/>
      </c>
      <c r="J41" s="205" t="n"/>
    </row>
    <row r="42" ht="21" customHeight="1">
      <c r="A42" s="205" t="n"/>
      <c r="B42" s="205" t="n"/>
      <c r="C42" s="205" t="n"/>
      <c r="D42" s="206" t="n"/>
      <c r="E42" s="206" t="n"/>
      <c r="F42" s="211">
        <f>IF(A42="","",SUMIF(Zeiterfassung!$E$6:$E$3665,A42,Zeiterfassung!$H$6:$H$3665))</f>
        <v/>
      </c>
      <c r="G42" s="207">
        <f>IF(OR(E42="",F42=""),"",E42*F42)</f>
        <v/>
      </c>
      <c r="H42" s="207">
        <f>IF(D42="","",D42-IF(G42="",0,G42))</f>
        <v/>
      </c>
      <c r="I42" s="208">
        <f>IF(D42&gt;0,H42/D42,"")</f>
        <v/>
      </c>
      <c r="J42" s="205" t="n"/>
    </row>
    <row r="43" ht="21" customHeight="1">
      <c r="A43" s="205" t="n"/>
      <c r="B43" s="205" t="n"/>
      <c r="C43" s="205" t="n"/>
      <c r="D43" s="206" t="n"/>
      <c r="E43" s="206" t="n"/>
      <c r="F43" s="211">
        <f>IF(A43="","",SUMIF(Zeiterfassung!$E$6:$E$3665,A43,Zeiterfassung!$H$6:$H$3665))</f>
        <v/>
      </c>
      <c r="G43" s="207">
        <f>IF(OR(E43="",F43=""),"",E43*F43)</f>
        <v/>
      </c>
      <c r="H43" s="207">
        <f>IF(D43="","",D43-IF(G43="",0,G43))</f>
        <v/>
      </c>
      <c r="I43" s="208">
        <f>IF(D43&gt;0,H43/D43,"")</f>
        <v/>
      </c>
      <c r="J43" s="205" t="n"/>
    </row>
    <row r="44" ht="21" customHeight="1">
      <c r="A44" s="205" t="n"/>
      <c r="B44" s="205" t="n"/>
      <c r="C44" s="205" t="n"/>
      <c r="D44" s="206" t="n"/>
      <c r="E44" s="206" t="n"/>
      <c r="F44" s="211">
        <f>IF(A44="","",SUMIF(Zeiterfassung!$E$6:$E$3665,A44,Zeiterfassung!$H$6:$H$3665))</f>
        <v/>
      </c>
      <c r="G44" s="207">
        <f>IF(OR(E44="",F44=""),"",E44*F44)</f>
        <v/>
      </c>
      <c r="H44" s="207">
        <f>IF(D44="","",D44-IF(G44="",0,G44))</f>
        <v/>
      </c>
      <c r="I44" s="208">
        <f>IF(D44&gt;0,H44/D44,"")</f>
        <v/>
      </c>
      <c r="J44" s="205" t="n"/>
    </row>
    <row r="45" ht="21" customHeight="1">
      <c r="A45" s="205" t="n"/>
      <c r="B45" s="205" t="n"/>
      <c r="C45" s="205" t="n"/>
      <c r="D45" s="206" t="n"/>
      <c r="E45" s="206" t="n"/>
      <c r="F45" s="211">
        <f>IF(A45="","",SUMIF(Zeiterfassung!$E$6:$E$3665,A45,Zeiterfassung!$H$6:$H$3665))</f>
        <v/>
      </c>
      <c r="G45" s="207">
        <f>IF(OR(E45="",F45=""),"",E45*F45)</f>
        <v/>
      </c>
      <c r="H45" s="207">
        <f>IF(D45="","",D45-IF(G45="",0,G45))</f>
        <v/>
      </c>
      <c r="I45" s="208">
        <f>IF(D45&gt;0,H45/D45,"")</f>
        <v/>
      </c>
      <c r="J45" s="205" t="n"/>
    </row>
    <row r="46" ht="21" customHeight="1">
      <c r="A46" s="205" t="n"/>
      <c r="B46" s="205" t="n"/>
      <c r="C46" s="205" t="n"/>
      <c r="D46" s="206" t="n"/>
      <c r="E46" s="206" t="n"/>
      <c r="F46" s="211">
        <f>IF(A46="","",SUMIF(Zeiterfassung!$E$6:$E$3665,A46,Zeiterfassung!$H$6:$H$3665))</f>
        <v/>
      </c>
      <c r="G46" s="207">
        <f>IF(OR(E46="",F46=""),"",E46*F46)</f>
        <v/>
      </c>
      <c r="H46" s="207">
        <f>IF(D46="","",D46-IF(G46="",0,G46))</f>
        <v/>
      </c>
      <c r="I46" s="208">
        <f>IF(D46&gt;0,H46/D46,"")</f>
        <v/>
      </c>
      <c r="J46" s="205" t="n"/>
    </row>
    <row r="47" ht="21" customHeight="1">
      <c r="A47" s="205" t="n"/>
      <c r="B47" s="205" t="n"/>
      <c r="C47" s="205" t="n"/>
      <c r="D47" s="206" t="n"/>
      <c r="E47" s="206" t="n"/>
      <c r="F47" s="211">
        <f>IF(A47="","",SUMIF(Zeiterfassung!$E$6:$E$3665,A47,Zeiterfassung!$H$6:$H$3665))</f>
        <v/>
      </c>
      <c r="G47" s="207">
        <f>IF(OR(E47="",F47=""),"",E47*F47)</f>
        <v/>
      </c>
      <c r="H47" s="207">
        <f>IF(D47="","",D47-IF(G47="",0,G47))</f>
        <v/>
      </c>
      <c r="I47" s="208">
        <f>IF(D47&gt;0,H47/D47,"")</f>
        <v/>
      </c>
      <c r="J47" s="205" t="n"/>
    </row>
    <row r="48" ht="21" customHeight="1">
      <c r="A48" s="205" t="n"/>
      <c r="B48" s="205" t="n"/>
      <c r="C48" s="205" t="n"/>
      <c r="D48" s="206" t="n"/>
      <c r="E48" s="206" t="n"/>
      <c r="F48" s="211">
        <f>IF(A48="","",SUMIF(Zeiterfassung!$E$6:$E$3665,A48,Zeiterfassung!$H$6:$H$3665))</f>
        <v/>
      </c>
      <c r="G48" s="207">
        <f>IF(OR(E48="",F48=""),"",E48*F48)</f>
        <v/>
      </c>
      <c r="H48" s="207">
        <f>IF(D48="","",D48-IF(G48="",0,G48))</f>
        <v/>
      </c>
      <c r="I48" s="208">
        <f>IF(D48&gt;0,H48/D48,"")</f>
        <v/>
      </c>
      <c r="J48" s="205" t="n"/>
    </row>
    <row r="49" ht="21" customHeight="1">
      <c r="A49" s="205" t="n"/>
      <c r="B49" s="205" t="n"/>
      <c r="C49" s="205" t="n"/>
      <c r="D49" s="206" t="n"/>
      <c r="E49" s="206" t="n"/>
      <c r="F49" s="211">
        <f>IF(A49="","",SUMIF(Zeiterfassung!$E$6:$E$3665,A49,Zeiterfassung!$H$6:$H$3665))</f>
        <v/>
      </c>
      <c r="G49" s="207">
        <f>IF(OR(E49="",F49=""),"",E49*F49)</f>
        <v/>
      </c>
      <c r="H49" s="207">
        <f>IF(D49="","",D49-IF(G49="",0,G49))</f>
        <v/>
      </c>
      <c r="I49" s="208">
        <f>IF(D49&gt;0,H49/D49,"")</f>
        <v/>
      </c>
      <c r="J49" s="205" t="n"/>
    </row>
    <row r="50" ht="21" customHeight="1">
      <c r="A50" s="205" t="n"/>
      <c r="B50" s="205" t="n"/>
      <c r="C50" s="205" t="n"/>
      <c r="D50" s="206" t="n"/>
      <c r="E50" s="206" t="n"/>
      <c r="F50" s="211">
        <f>IF(A50="","",SUMIF(Zeiterfassung!$E$6:$E$3665,A50,Zeiterfassung!$H$6:$H$3665))</f>
        <v/>
      </c>
      <c r="G50" s="207">
        <f>IF(OR(E50="",F50=""),"",E50*F50)</f>
        <v/>
      </c>
      <c r="H50" s="207">
        <f>IF(D50="","",D50-IF(G50="",0,G50))</f>
        <v/>
      </c>
      <c r="I50" s="208">
        <f>IF(D50&gt;0,H50/D50,"")</f>
        <v/>
      </c>
      <c r="J50" s="205" t="n"/>
    </row>
    <row r="51" ht="21" customHeight="1">
      <c r="A51" s="205" t="n"/>
      <c r="B51" s="205" t="n"/>
      <c r="C51" s="205" t="n"/>
      <c r="D51" s="206" t="n"/>
      <c r="E51" s="206" t="n"/>
      <c r="F51" s="211">
        <f>IF(A51="","",SUMIF(Zeiterfassung!$E$6:$E$3665,A51,Zeiterfassung!$H$6:$H$3665))</f>
        <v/>
      </c>
      <c r="G51" s="207">
        <f>IF(OR(E51="",F51=""),"",E51*F51)</f>
        <v/>
      </c>
      <c r="H51" s="207">
        <f>IF(D51="","",D51-IF(G51="",0,G51))</f>
        <v/>
      </c>
      <c r="I51" s="208">
        <f>IF(D51&gt;0,H51/D51,"")</f>
        <v/>
      </c>
      <c r="J51" s="205" t="n"/>
    </row>
    <row r="52" ht="21" customHeight="1">
      <c r="A52" s="205" t="n"/>
      <c r="B52" s="205" t="n"/>
      <c r="C52" s="205" t="n"/>
      <c r="D52" s="206" t="n"/>
      <c r="E52" s="206" t="n"/>
      <c r="F52" s="211">
        <f>IF(A52="","",SUMIF(Zeiterfassung!$E$6:$E$3665,A52,Zeiterfassung!$H$6:$H$3665))</f>
        <v/>
      </c>
      <c r="G52" s="207">
        <f>IF(OR(E52="",F52=""),"",E52*F52)</f>
        <v/>
      </c>
      <c r="H52" s="207">
        <f>IF(D52="","",D52-IF(G52="",0,G52))</f>
        <v/>
      </c>
      <c r="I52" s="208">
        <f>IF(D52&gt;0,H52/D52,"")</f>
        <v/>
      </c>
      <c r="J52" s="205" t="n"/>
    </row>
    <row r="53" ht="21" customHeight="1">
      <c r="A53" s="205" t="n"/>
      <c r="B53" s="205" t="n"/>
      <c r="C53" s="205" t="n"/>
      <c r="D53" s="206" t="n"/>
      <c r="E53" s="206" t="n"/>
      <c r="F53" s="211">
        <f>IF(A53="","",SUMIF(Zeiterfassung!$E$6:$E$3665,A53,Zeiterfassung!$H$6:$H$3665))</f>
        <v/>
      </c>
      <c r="G53" s="207">
        <f>IF(OR(E53="",F53=""),"",E53*F53)</f>
        <v/>
      </c>
      <c r="H53" s="207">
        <f>IF(D53="","",D53-IF(G53="",0,G53))</f>
        <v/>
      </c>
      <c r="I53" s="208">
        <f>IF(D53&gt;0,H53/D53,"")</f>
        <v/>
      </c>
      <c r="J53" s="205" t="n"/>
    </row>
    <row r="54" ht="21" customHeight="1">
      <c r="A54" s="205" t="n"/>
      <c r="B54" s="205" t="n"/>
      <c r="C54" s="205" t="n"/>
      <c r="D54" s="206" t="n"/>
      <c r="E54" s="206" t="n"/>
      <c r="F54" s="211">
        <f>IF(A54="","",SUMIF(Zeiterfassung!$E$6:$E$3665,A54,Zeiterfassung!$H$6:$H$3665))</f>
        <v/>
      </c>
      <c r="G54" s="207">
        <f>IF(OR(E54="",F54=""),"",E54*F54)</f>
        <v/>
      </c>
      <c r="H54" s="207">
        <f>IF(D54="","",D54-IF(G54="",0,G54))</f>
        <v/>
      </c>
      <c r="I54" s="208">
        <f>IF(D54&gt;0,H54/D54,"")</f>
        <v/>
      </c>
      <c r="J54" s="205" t="n"/>
    </row>
    <row r="55" ht="21" customHeight="1">
      <c r="A55" s="205" t="n"/>
      <c r="B55" s="205" t="n"/>
      <c r="C55" s="205" t="n"/>
      <c r="D55" s="206" t="n"/>
      <c r="E55" s="206" t="n"/>
      <c r="F55" s="211">
        <f>IF(A55="","",SUMIF(Zeiterfassung!$E$6:$E$3665,A55,Zeiterfassung!$H$6:$H$3665))</f>
        <v/>
      </c>
      <c r="G55" s="207">
        <f>IF(OR(E55="",F55=""),"",E55*F55)</f>
        <v/>
      </c>
      <c r="H55" s="207">
        <f>IF(D55="","",D55-IF(G55="",0,G55))</f>
        <v/>
      </c>
      <c r="I55" s="208">
        <f>IF(D55&gt;0,H55/D55,"")</f>
        <v/>
      </c>
      <c r="J55" s="205" t="n"/>
    </row>
    <row r="56" ht="21" customHeight="1">
      <c r="A56" s="205" t="n"/>
      <c r="B56" s="205" t="n"/>
      <c r="C56" s="205" t="n"/>
      <c r="D56" s="206" t="n"/>
      <c r="E56" s="206" t="n"/>
      <c r="F56" s="211">
        <f>IF(A56="","",SUMIF(Zeiterfassung!$E$6:$E$3665,A56,Zeiterfassung!$H$6:$H$3665))</f>
        <v/>
      </c>
      <c r="G56" s="207">
        <f>IF(OR(E56="",F56=""),"",E56*F56)</f>
        <v/>
      </c>
      <c r="H56" s="207">
        <f>IF(D56="","",D56-IF(G56="",0,G56))</f>
        <v/>
      </c>
      <c r="I56" s="208">
        <f>IF(D56&gt;0,H56/D56,"")</f>
        <v/>
      </c>
      <c r="J56" s="205" t="n"/>
    </row>
    <row r="57" ht="21" customHeight="1">
      <c r="A57" s="205" t="n"/>
      <c r="B57" s="205" t="n"/>
      <c r="C57" s="205" t="n"/>
      <c r="D57" s="206" t="n"/>
      <c r="E57" s="206" t="n"/>
      <c r="F57" s="211">
        <f>IF(A57="","",SUMIF(Zeiterfassung!$E$6:$E$3665,A57,Zeiterfassung!$H$6:$H$3665))</f>
        <v/>
      </c>
      <c r="G57" s="207">
        <f>IF(OR(E57="",F57=""),"",E57*F57)</f>
        <v/>
      </c>
      <c r="H57" s="207">
        <f>IF(D57="","",D57-IF(G57="",0,G57))</f>
        <v/>
      </c>
      <c r="I57" s="208">
        <f>IF(D57&gt;0,H57/D57,"")</f>
        <v/>
      </c>
      <c r="J57" s="205" t="n"/>
    </row>
    <row r="58" ht="21" customHeight="1">
      <c r="A58" s="205" t="n"/>
      <c r="B58" s="205" t="n"/>
      <c r="C58" s="205" t="n"/>
      <c r="D58" s="206" t="n"/>
      <c r="E58" s="206" t="n"/>
      <c r="F58" s="211">
        <f>IF(A58="","",SUMIF(Zeiterfassung!$E$6:$E$3665,A58,Zeiterfassung!$H$6:$H$3665))</f>
        <v/>
      </c>
      <c r="G58" s="207">
        <f>IF(OR(E58="",F58=""),"",E58*F58)</f>
        <v/>
      </c>
      <c r="H58" s="207">
        <f>IF(D58="","",D58-IF(G58="",0,G58))</f>
        <v/>
      </c>
      <c r="I58" s="208">
        <f>IF(D58&gt;0,H58/D58,"")</f>
        <v/>
      </c>
      <c r="J58" s="205" t="n"/>
    </row>
    <row r="59" ht="21" customHeight="1">
      <c r="A59" s="205" t="n"/>
      <c r="B59" s="205" t="n"/>
      <c r="C59" s="205" t="n"/>
      <c r="D59" s="206" t="n"/>
      <c r="E59" s="206" t="n"/>
      <c r="F59" s="211">
        <f>IF(A59="","",SUMIF(Zeiterfassung!$E$6:$E$3665,A59,Zeiterfassung!$H$6:$H$3665))</f>
        <v/>
      </c>
      <c r="G59" s="207">
        <f>IF(OR(E59="",F59=""),"",E59*F59)</f>
        <v/>
      </c>
      <c r="H59" s="207">
        <f>IF(D59="","",D59-IF(G59="",0,G59))</f>
        <v/>
      </c>
      <c r="I59" s="208">
        <f>IF(D59&gt;0,H59/D59,"")</f>
        <v/>
      </c>
      <c r="J59" s="205" t="n"/>
    </row>
    <row r="60" ht="21" customHeight="1">
      <c r="A60" s="205" t="n"/>
      <c r="B60" s="205" t="n"/>
      <c r="C60" s="205" t="n"/>
      <c r="D60" s="206" t="n"/>
      <c r="E60" s="206" t="n"/>
      <c r="F60" s="211">
        <f>IF(A60="","",SUMIF(Zeiterfassung!$E$6:$E$3665,A60,Zeiterfassung!$H$6:$H$3665))</f>
        <v/>
      </c>
      <c r="G60" s="207">
        <f>IF(OR(E60="",F60=""),"",E60*F60)</f>
        <v/>
      </c>
      <c r="H60" s="207">
        <f>IF(D60="","",D60-IF(G60="",0,G60))</f>
        <v/>
      </c>
      <c r="I60" s="208">
        <f>IF(D60&gt;0,H60/D60,"")</f>
        <v/>
      </c>
      <c r="J60" s="205" t="n"/>
    </row>
    <row r="61" ht="21" customHeight="1">
      <c r="A61" s="205" t="n"/>
      <c r="B61" s="205" t="n"/>
      <c r="C61" s="205" t="n"/>
      <c r="D61" s="206" t="n"/>
      <c r="E61" s="206" t="n"/>
      <c r="F61" s="211">
        <f>IF(A61="","",SUMIF(Zeiterfassung!$E$6:$E$3665,A61,Zeiterfassung!$H$6:$H$3665))</f>
        <v/>
      </c>
      <c r="G61" s="207">
        <f>IF(OR(E61="",F61=""),"",E61*F61)</f>
        <v/>
      </c>
      <c r="H61" s="207">
        <f>IF(D61="","",D61-IF(G61="",0,G61))</f>
        <v/>
      </c>
      <c r="I61" s="208">
        <f>IF(D61&gt;0,H61/D61,"")</f>
        <v/>
      </c>
      <c r="J61" s="205" t="n"/>
    </row>
    <row r="62" ht="21" customHeight="1">
      <c r="A62" s="205" t="n"/>
      <c r="B62" s="205" t="n"/>
      <c r="C62" s="205" t="n"/>
      <c r="D62" s="206" t="n"/>
      <c r="E62" s="206" t="n"/>
      <c r="F62" s="211">
        <f>IF(A62="","",SUMIF(Zeiterfassung!$E$6:$E$3665,A62,Zeiterfassung!$H$6:$H$3665))</f>
        <v/>
      </c>
      <c r="G62" s="207">
        <f>IF(OR(E62="",F62=""),"",E62*F62)</f>
        <v/>
      </c>
      <c r="H62" s="207">
        <f>IF(D62="","",D62-IF(G62="",0,G62))</f>
        <v/>
      </c>
      <c r="I62" s="208">
        <f>IF(D62&gt;0,H62/D62,"")</f>
        <v/>
      </c>
      <c r="J62" s="205" t="n"/>
    </row>
    <row r="63" ht="21" customHeight="1">
      <c r="A63" s="205" t="n"/>
      <c r="B63" s="205" t="n"/>
      <c r="C63" s="205" t="n"/>
      <c r="D63" s="206" t="n"/>
      <c r="E63" s="206" t="n"/>
      <c r="F63" s="211">
        <f>IF(A63="","",SUMIF(Zeiterfassung!$E$6:$E$3665,A63,Zeiterfassung!$H$6:$H$3665))</f>
        <v/>
      </c>
      <c r="G63" s="207">
        <f>IF(OR(E63="",F63=""),"",E63*F63)</f>
        <v/>
      </c>
      <c r="H63" s="207">
        <f>IF(D63="","",D63-IF(G63="",0,G63))</f>
        <v/>
      </c>
      <c r="I63" s="208">
        <f>IF(D63&gt;0,H63/D63,"")</f>
        <v/>
      </c>
      <c r="J63" s="205" t="n"/>
    </row>
    <row r="64" ht="21" customHeight="1">
      <c r="A64" s="205" t="n"/>
      <c r="B64" s="205" t="n"/>
      <c r="C64" s="205" t="n"/>
      <c r="D64" s="206" t="n"/>
      <c r="E64" s="206" t="n"/>
      <c r="F64" s="211">
        <f>IF(A64="","",SUMIF(Zeiterfassung!$E$6:$E$3665,A64,Zeiterfassung!$H$6:$H$3665))</f>
        <v/>
      </c>
      <c r="G64" s="207">
        <f>IF(OR(E64="",F64=""),"",E64*F64)</f>
        <v/>
      </c>
      <c r="H64" s="207">
        <f>IF(D64="","",D64-IF(G64="",0,G64))</f>
        <v/>
      </c>
      <c r="I64" s="208">
        <f>IF(D64&gt;0,H64/D64,"")</f>
        <v/>
      </c>
      <c r="J64" s="205" t="n"/>
    </row>
    <row r="65" ht="21" customHeight="1">
      <c r="A65" s="205" t="n"/>
      <c r="B65" s="205" t="n"/>
      <c r="C65" s="205" t="n"/>
      <c r="D65" s="206" t="n"/>
      <c r="E65" s="206" t="n"/>
      <c r="F65" s="211">
        <f>IF(A65="","",SUMIF(Zeiterfassung!$E$6:$E$3665,A65,Zeiterfassung!$H$6:$H$3665))</f>
        <v/>
      </c>
      <c r="G65" s="207">
        <f>IF(OR(E65="",F65=""),"",E65*F65)</f>
        <v/>
      </c>
      <c r="H65" s="207">
        <f>IF(D65="","",D65-IF(G65="",0,G65))</f>
        <v/>
      </c>
      <c r="I65" s="208">
        <f>IF(D65&gt;0,H65/D65,"")</f>
        <v/>
      </c>
      <c r="J65" s="205" t="n"/>
    </row>
    <row r="66" ht="21" customHeight="1">
      <c r="A66" s="205" t="n"/>
      <c r="B66" s="205" t="n"/>
      <c r="C66" s="205" t="n"/>
      <c r="D66" s="206" t="n"/>
      <c r="E66" s="206" t="n"/>
      <c r="F66" s="211">
        <f>IF(A66="","",SUMIF(Zeiterfassung!$E$6:$E$3665,A66,Zeiterfassung!$H$6:$H$3665))</f>
        <v/>
      </c>
      <c r="G66" s="207">
        <f>IF(OR(E66="",F66=""),"",E66*F66)</f>
        <v/>
      </c>
      <c r="H66" s="207">
        <f>IF(D66="","",D66-IF(G66="",0,G66))</f>
        <v/>
      </c>
      <c r="I66" s="208">
        <f>IF(D66&gt;0,H66/D66,"")</f>
        <v/>
      </c>
      <c r="J66" s="205" t="n"/>
    </row>
    <row r="67" ht="21" customHeight="1">
      <c r="A67" s="205" t="n"/>
      <c r="B67" s="205" t="n"/>
      <c r="C67" s="205" t="n"/>
      <c r="D67" s="206" t="n"/>
      <c r="E67" s="206" t="n"/>
      <c r="F67" s="211">
        <f>IF(A67="","",SUMIF(Zeiterfassung!$E$6:$E$3665,A67,Zeiterfassung!$H$6:$H$3665))</f>
        <v/>
      </c>
      <c r="G67" s="207">
        <f>IF(OR(E67="",F67=""),"",E67*F67)</f>
        <v/>
      </c>
      <c r="H67" s="207">
        <f>IF(D67="","",D67-IF(G67="",0,G67))</f>
        <v/>
      </c>
      <c r="I67" s="208">
        <f>IF(D67&gt;0,H67/D67,"")</f>
        <v/>
      </c>
      <c r="J67" s="205" t="n"/>
    </row>
    <row r="68" ht="21" customHeight="1">
      <c r="A68" s="205" t="n"/>
      <c r="B68" s="205" t="n"/>
      <c r="C68" s="205" t="n"/>
      <c r="D68" s="206" t="n"/>
      <c r="E68" s="206" t="n"/>
      <c r="F68" s="211">
        <f>IF(A68="","",SUMIF(Zeiterfassung!$E$6:$E$3665,A68,Zeiterfassung!$H$6:$H$3665))</f>
        <v/>
      </c>
      <c r="G68" s="207">
        <f>IF(OR(E68="",F68=""),"",E68*F68)</f>
        <v/>
      </c>
      <c r="H68" s="207">
        <f>IF(D68="","",D68-IF(G68="",0,G68))</f>
        <v/>
      </c>
      <c r="I68" s="208">
        <f>IF(D68&gt;0,H68/D68,"")</f>
        <v/>
      </c>
      <c r="J68" s="205" t="n"/>
    </row>
    <row r="69" ht="21" customHeight="1">
      <c r="A69" s="205" t="n"/>
      <c r="B69" s="205" t="n"/>
      <c r="C69" s="205" t="n"/>
      <c r="D69" s="206" t="n"/>
      <c r="E69" s="206" t="n"/>
      <c r="F69" s="211">
        <f>IF(A69="","",SUMIF(Zeiterfassung!$E$6:$E$3665,A69,Zeiterfassung!$H$6:$H$3665))</f>
        <v/>
      </c>
      <c r="G69" s="207">
        <f>IF(OR(E69="",F69=""),"",E69*F69)</f>
        <v/>
      </c>
      <c r="H69" s="207">
        <f>IF(D69="","",D69-IF(G69="",0,G69))</f>
        <v/>
      </c>
      <c r="I69" s="208">
        <f>IF(D69&gt;0,H69/D69,"")</f>
        <v/>
      </c>
      <c r="J69" s="205" t="n"/>
    </row>
    <row r="70" ht="21" customHeight="1">
      <c r="A70" s="205" t="n"/>
      <c r="B70" s="205" t="n"/>
      <c r="C70" s="205" t="n"/>
      <c r="D70" s="206" t="n"/>
      <c r="E70" s="206" t="n"/>
      <c r="F70" s="211">
        <f>IF(A70="","",SUMIF(Zeiterfassung!$E$6:$E$3665,A70,Zeiterfassung!$H$6:$H$3665))</f>
        <v/>
      </c>
      <c r="G70" s="207">
        <f>IF(OR(E70="",F70=""),"",E70*F70)</f>
        <v/>
      </c>
      <c r="H70" s="207">
        <f>IF(D70="","",D70-IF(G70="",0,G70))</f>
        <v/>
      </c>
      <c r="I70" s="208">
        <f>IF(D70&gt;0,H70/D70,"")</f>
        <v/>
      </c>
      <c r="J70" s="205" t="n"/>
    </row>
    <row r="71" ht="21" customHeight="1">
      <c r="A71" s="205" t="n"/>
      <c r="B71" s="205" t="n"/>
      <c r="C71" s="205" t="n"/>
      <c r="D71" s="206" t="n"/>
      <c r="E71" s="206" t="n"/>
      <c r="F71" s="211">
        <f>IF(A71="","",SUMIF(Zeiterfassung!$E$6:$E$3665,A71,Zeiterfassung!$H$6:$H$3665))</f>
        <v/>
      </c>
      <c r="G71" s="207">
        <f>IF(OR(E71="",F71=""),"",E71*F71)</f>
        <v/>
      </c>
      <c r="H71" s="207">
        <f>IF(D71="","",D71-IF(G71="",0,G71))</f>
        <v/>
      </c>
      <c r="I71" s="208">
        <f>IF(D71&gt;0,H71/D71,"")</f>
        <v/>
      </c>
      <c r="J71" s="205" t="n"/>
    </row>
    <row r="72" ht="21" customHeight="1">
      <c r="A72" s="205" t="n"/>
      <c r="B72" s="205" t="n"/>
      <c r="C72" s="205" t="n"/>
      <c r="D72" s="206" t="n"/>
      <c r="E72" s="206" t="n"/>
      <c r="F72" s="211">
        <f>IF(A72="","",SUMIF(Zeiterfassung!$E$6:$E$3665,A72,Zeiterfassung!$H$6:$H$3665))</f>
        <v/>
      </c>
      <c r="G72" s="207">
        <f>IF(OR(E72="",F72=""),"",E72*F72)</f>
        <v/>
      </c>
      <c r="H72" s="207">
        <f>IF(D72="","",D72-IF(G72="",0,G72))</f>
        <v/>
      </c>
      <c r="I72" s="208">
        <f>IF(D72&gt;0,H72/D72,"")</f>
        <v/>
      </c>
      <c r="J72" s="205" t="n"/>
    </row>
    <row r="73" ht="21" customHeight="1">
      <c r="A73" s="205" t="n"/>
      <c r="B73" s="205" t="n"/>
      <c r="C73" s="205" t="n"/>
      <c r="D73" s="206" t="n"/>
      <c r="E73" s="206" t="n"/>
      <c r="F73" s="211">
        <f>IF(A73="","",SUMIF(Zeiterfassung!$E$6:$E$3665,A73,Zeiterfassung!$H$6:$H$3665))</f>
        <v/>
      </c>
      <c r="G73" s="207">
        <f>IF(OR(E73="",F73=""),"",E73*F73)</f>
        <v/>
      </c>
      <c r="H73" s="207">
        <f>IF(D73="","",D73-IF(G73="",0,G73))</f>
        <v/>
      </c>
      <c r="I73" s="208">
        <f>IF(D73&gt;0,H73/D73,"")</f>
        <v/>
      </c>
      <c r="J73" s="205" t="n"/>
    </row>
    <row r="74" ht="21" customHeight="1">
      <c r="A74" s="205" t="n"/>
      <c r="B74" s="205" t="n"/>
      <c r="C74" s="205" t="n"/>
      <c r="D74" s="206" t="n"/>
      <c r="E74" s="206" t="n"/>
      <c r="F74" s="211">
        <f>IF(A74="","",SUMIF(Zeiterfassung!$E$6:$E$3665,A74,Zeiterfassung!$H$6:$H$3665))</f>
        <v/>
      </c>
      <c r="G74" s="207">
        <f>IF(OR(E74="",F74=""),"",E74*F74)</f>
        <v/>
      </c>
      <c r="H74" s="207">
        <f>IF(D74="","",D74-IF(G74="",0,G74))</f>
        <v/>
      </c>
      <c r="I74" s="208">
        <f>IF(D74&gt;0,H74/D74,"")</f>
        <v/>
      </c>
      <c r="J74" s="205" t="n"/>
    </row>
    <row r="75" ht="21" customHeight="1">
      <c r="A75" s="205" t="n"/>
      <c r="B75" s="205" t="n"/>
      <c r="C75" s="205" t="n"/>
      <c r="D75" s="206" t="n"/>
      <c r="E75" s="206" t="n"/>
      <c r="F75" s="211">
        <f>IF(A75="","",SUMIF(Zeiterfassung!$E$6:$E$3665,A75,Zeiterfassung!$H$6:$H$3665))</f>
        <v/>
      </c>
      <c r="G75" s="207">
        <f>IF(OR(E75="",F75=""),"",E75*F75)</f>
        <v/>
      </c>
      <c r="H75" s="207">
        <f>IF(D75="","",D75-IF(G75="",0,G75))</f>
        <v/>
      </c>
      <c r="I75" s="208">
        <f>IF(D75&gt;0,H75/D75,"")</f>
        <v/>
      </c>
      <c r="J75" s="205" t="n"/>
    </row>
    <row r="76" ht="21" customHeight="1">
      <c r="A76" s="205" t="n"/>
      <c r="B76" s="205" t="n"/>
      <c r="C76" s="205" t="n"/>
      <c r="D76" s="206" t="n"/>
      <c r="E76" s="206" t="n"/>
      <c r="F76" s="211">
        <f>IF(A76="","",SUMIF(Zeiterfassung!$E$6:$E$3665,A76,Zeiterfassung!$H$6:$H$3665))</f>
        <v/>
      </c>
      <c r="G76" s="207">
        <f>IF(OR(E76="",F76=""),"",E76*F76)</f>
        <v/>
      </c>
      <c r="H76" s="207">
        <f>IF(D76="","",D76-IF(G76="",0,G76))</f>
        <v/>
      </c>
      <c r="I76" s="208">
        <f>IF(D76&gt;0,H76/D76,"")</f>
        <v/>
      </c>
      <c r="J76" s="205" t="n"/>
    </row>
    <row r="77" ht="21" customHeight="1">
      <c r="A77" s="205" t="n"/>
      <c r="B77" s="205" t="n"/>
      <c r="C77" s="205" t="n"/>
      <c r="D77" s="206" t="n"/>
      <c r="E77" s="206" t="n"/>
      <c r="F77" s="211">
        <f>IF(A77="","",SUMIF(Zeiterfassung!$E$6:$E$3665,A77,Zeiterfassung!$H$6:$H$3665))</f>
        <v/>
      </c>
      <c r="G77" s="207">
        <f>IF(OR(E77="",F77=""),"",E77*F77)</f>
        <v/>
      </c>
      <c r="H77" s="207">
        <f>IF(D77="","",D77-IF(G77="",0,G77))</f>
        <v/>
      </c>
      <c r="I77" s="208">
        <f>IF(D77&gt;0,H77/D77,"")</f>
        <v/>
      </c>
      <c r="J77" s="205" t="n"/>
    </row>
    <row r="78" ht="21" customHeight="1">
      <c r="A78" s="205" t="n"/>
      <c r="B78" s="205" t="n"/>
      <c r="C78" s="205" t="n"/>
      <c r="D78" s="206" t="n"/>
      <c r="E78" s="206" t="n"/>
      <c r="F78" s="211">
        <f>IF(A78="","",SUMIF(Zeiterfassung!$E$6:$E$3665,A78,Zeiterfassung!$H$6:$H$3665))</f>
        <v/>
      </c>
      <c r="G78" s="207">
        <f>IF(OR(E78="",F78=""),"",E78*F78)</f>
        <v/>
      </c>
      <c r="H78" s="207">
        <f>IF(D78="","",D78-IF(G78="",0,G78))</f>
        <v/>
      </c>
      <c r="I78" s="208">
        <f>IF(D78&gt;0,H78/D78,"")</f>
        <v/>
      </c>
      <c r="J78" s="205" t="n"/>
    </row>
    <row r="79" ht="21" customHeight="1">
      <c r="A79" s="205" t="n"/>
      <c r="B79" s="205" t="n"/>
      <c r="C79" s="205" t="n"/>
      <c r="D79" s="206" t="n"/>
      <c r="E79" s="206" t="n"/>
      <c r="F79" s="211">
        <f>IF(A79="","",SUMIF(Zeiterfassung!$E$6:$E$3665,A79,Zeiterfassung!$H$6:$H$3665))</f>
        <v/>
      </c>
      <c r="G79" s="207">
        <f>IF(OR(E79="",F79=""),"",E79*F79)</f>
        <v/>
      </c>
      <c r="H79" s="207">
        <f>IF(D79="","",D79-IF(G79="",0,G79))</f>
        <v/>
      </c>
      <c r="I79" s="208">
        <f>IF(D79&gt;0,H79/D79,"")</f>
        <v/>
      </c>
      <c r="J79" s="205" t="n"/>
    </row>
    <row r="80" ht="21" customHeight="1">
      <c r="A80" s="205" t="n"/>
      <c r="B80" s="205" t="n"/>
      <c r="C80" s="205" t="n"/>
      <c r="D80" s="206" t="n"/>
      <c r="E80" s="206" t="n"/>
      <c r="F80" s="211">
        <f>IF(A80="","",SUMIF(Zeiterfassung!$E$6:$E$3665,A80,Zeiterfassung!$H$6:$H$3665))</f>
        <v/>
      </c>
      <c r="G80" s="207">
        <f>IF(OR(E80="",F80=""),"",E80*F80)</f>
        <v/>
      </c>
      <c r="H80" s="207">
        <f>IF(D80="","",D80-IF(G80="",0,G80))</f>
        <v/>
      </c>
      <c r="I80" s="208">
        <f>IF(D80&gt;0,H80/D80,"")</f>
        <v/>
      </c>
      <c r="J80" s="205" t="n"/>
    </row>
    <row r="81" ht="21" customHeight="1">
      <c r="A81" s="205" t="n"/>
      <c r="B81" s="205" t="n"/>
      <c r="C81" s="205" t="n"/>
      <c r="D81" s="206" t="n"/>
      <c r="E81" s="206" t="n"/>
      <c r="F81" s="211">
        <f>IF(A81="","",SUMIF(Zeiterfassung!$E$6:$E$3665,A81,Zeiterfassung!$H$6:$H$3665))</f>
        <v/>
      </c>
      <c r="G81" s="207">
        <f>IF(OR(E81="",F81=""),"",E81*F81)</f>
        <v/>
      </c>
      <c r="H81" s="207">
        <f>IF(D81="","",D81-IF(G81="",0,G81))</f>
        <v/>
      </c>
      <c r="I81" s="208">
        <f>IF(D81&gt;0,H81/D81,"")</f>
        <v/>
      </c>
      <c r="J81" s="205" t="n"/>
    </row>
    <row r="82" ht="21" customHeight="1">
      <c r="A82" s="205" t="n"/>
      <c r="B82" s="205" t="n"/>
      <c r="C82" s="205" t="n"/>
      <c r="D82" s="206" t="n"/>
      <c r="E82" s="206" t="n"/>
      <c r="F82" s="211">
        <f>IF(A82="","",SUMIF(Zeiterfassung!$E$6:$E$3665,A82,Zeiterfassung!$H$6:$H$3665))</f>
        <v/>
      </c>
      <c r="G82" s="207">
        <f>IF(OR(E82="",F82=""),"",E82*F82)</f>
        <v/>
      </c>
      <c r="H82" s="207">
        <f>IF(D82="","",D82-IF(G82="",0,G82))</f>
        <v/>
      </c>
      <c r="I82" s="208">
        <f>IF(D82&gt;0,H82/D82,"")</f>
        <v/>
      </c>
      <c r="J82" s="205" t="n"/>
    </row>
    <row r="83" ht="21" customHeight="1">
      <c r="A83" s="205" t="n"/>
      <c r="B83" s="205" t="n"/>
      <c r="C83" s="205" t="n"/>
      <c r="D83" s="206" t="n"/>
      <c r="E83" s="206" t="n"/>
      <c r="F83" s="211">
        <f>IF(A83="","",SUMIF(Zeiterfassung!$E$6:$E$3665,A83,Zeiterfassung!$H$6:$H$3665))</f>
        <v/>
      </c>
      <c r="G83" s="207">
        <f>IF(OR(E83="",F83=""),"",E83*F83)</f>
        <v/>
      </c>
      <c r="H83" s="207">
        <f>IF(D83="","",D83-IF(G83="",0,G83))</f>
        <v/>
      </c>
      <c r="I83" s="208">
        <f>IF(D83&gt;0,H83/D83,"")</f>
        <v/>
      </c>
      <c r="J83" s="205" t="n"/>
    </row>
    <row r="84" ht="21" customHeight="1">
      <c r="A84" s="205" t="n"/>
      <c r="B84" s="205" t="n"/>
      <c r="C84" s="205" t="n"/>
      <c r="D84" s="206" t="n"/>
      <c r="E84" s="206" t="n"/>
      <c r="F84" s="211">
        <f>IF(A84="","",SUMIF(Zeiterfassung!$E$6:$E$3665,A84,Zeiterfassung!$H$6:$H$3665))</f>
        <v/>
      </c>
      <c r="G84" s="207">
        <f>IF(OR(E84="",F84=""),"",E84*F84)</f>
        <v/>
      </c>
      <c r="H84" s="207">
        <f>IF(D84="","",D84-IF(G84="",0,G84))</f>
        <v/>
      </c>
      <c r="I84" s="208">
        <f>IF(D84&gt;0,H84/D84,"")</f>
        <v/>
      </c>
      <c r="J84" s="205" t="n"/>
    </row>
    <row r="85" ht="21" customHeight="1">
      <c r="A85" s="205" t="n"/>
      <c r="B85" s="205" t="n"/>
      <c r="C85" s="205" t="n"/>
      <c r="D85" s="206" t="n"/>
      <c r="E85" s="206" t="n"/>
      <c r="F85" s="211">
        <f>IF(A85="","",SUMIF(Zeiterfassung!$E$6:$E$3665,A85,Zeiterfassung!$H$6:$H$3665))</f>
        <v/>
      </c>
      <c r="G85" s="207">
        <f>IF(OR(E85="",F85=""),"",E85*F85)</f>
        <v/>
      </c>
      <c r="H85" s="207">
        <f>IF(D85="","",D85-IF(G85="",0,G85))</f>
        <v/>
      </c>
      <c r="I85" s="208">
        <f>IF(D85&gt;0,H85/D85,"")</f>
        <v/>
      </c>
      <c r="J85" s="205" t="n"/>
    </row>
    <row r="86" ht="21" customHeight="1">
      <c r="A86" s="205" t="n"/>
      <c r="B86" s="205" t="n"/>
      <c r="C86" s="205" t="n"/>
      <c r="D86" s="206" t="n"/>
      <c r="E86" s="206" t="n"/>
      <c r="F86" s="211">
        <f>IF(A86="","",SUMIF(Zeiterfassung!$E$6:$E$3665,A86,Zeiterfassung!$H$6:$H$3665))</f>
        <v/>
      </c>
      <c r="G86" s="207">
        <f>IF(OR(E86="",F86=""),"",E86*F86)</f>
        <v/>
      </c>
      <c r="H86" s="207">
        <f>IF(D86="","",D86-IF(G86="",0,G86))</f>
        <v/>
      </c>
      <c r="I86" s="208">
        <f>IF(D86&gt;0,H86/D86,"")</f>
        <v/>
      </c>
      <c r="J86" s="205" t="n"/>
    </row>
    <row r="87" ht="21" customHeight="1">
      <c r="A87" s="205" t="n"/>
      <c r="B87" s="205" t="n"/>
      <c r="C87" s="205" t="n"/>
      <c r="D87" s="206" t="n"/>
      <c r="E87" s="206" t="n"/>
      <c r="F87" s="211">
        <f>IF(A87="","",SUMIF(Zeiterfassung!$E$6:$E$3665,A87,Zeiterfassung!$H$6:$H$3665))</f>
        <v/>
      </c>
      <c r="G87" s="207">
        <f>IF(OR(E87="",F87=""),"",E87*F87)</f>
        <v/>
      </c>
      <c r="H87" s="207">
        <f>IF(D87="","",D87-IF(G87="",0,G87))</f>
        <v/>
      </c>
      <c r="I87" s="208">
        <f>IF(D87&gt;0,H87/D87,"")</f>
        <v/>
      </c>
      <c r="J87" s="205" t="n"/>
    </row>
    <row r="88" ht="21" customHeight="1">
      <c r="A88" s="205" t="n"/>
      <c r="B88" s="205" t="n"/>
      <c r="C88" s="205" t="n"/>
      <c r="D88" s="206" t="n"/>
      <c r="E88" s="206" t="n"/>
      <c r="F88" s="211">
        <f>IF(A88="","",SUMIF(Zeiterfassung!$E$6:$E$3665,A88,Zeiterfassung!$H$6:$H$3665))</f>
        <v/>
      </c>
      <c r="G88" s="207">
        <f>IF(OR(E88="",F88=""),"",E88*F88)</f>
        <v/>
      </c>
      <c r="H88" s="207">
        <f>IF(D88="","",D88-IF(G88="",0,G88))</f>
        <v/>
      </c>
      <c r="I88" s="208">
        <f>IF(D88&gt;0,H88/D88,"")</f>
        <v/>
      </c>
      <c r="J88" s="205" t="n"/>
    </row>
    <row r="89" ht="21" customHeight="1">
      <c r="A89" s="205" t="n"/>
      <c r="B89" s="205" t="n"/>
      <c r="C89" s="205" t="n"/>
      <c r="D89" s="206" t="n"/>
      <c r="E89" s="206" t="n"/>
      <c r="F89" s="211">
        <f>IF(A89="","",SUMIF(Zeiterfassung!$E$6:$E$3665,A89,Zeiterfassung!$H$6:$H$3665))</f>
        <v/>
      </c>
      <c r="G89" s="207">
        <f>IF(OR(E89="",F89=""),"",E89*F89)</f>
        <v/>
      </c>
      <c r="H89" s="207">
        <f>IF(D89="","",D89-IF(G89="",0,G89))</f>
        <v/>
      </c>
      <c r="I89" s="208">
        <f>IF(D89&gt;0,H89/D89,"")</f>
        <v/>
      </c>
      <c r="J89" s="205" t="n"/>
    </row>
    <row r="90" ht="21" customHeight="1">
      <c r="A90" s="205" t="n"/>
      <c r="B90" s="205" t="n"/>
      <c r="C90" s="205" t="n"/>
      <c r="D90" s="206" t="n"/>
      <c r="E90" s="206" t="n"/>
      <c r="F90" s="211">
        <f>IF(A90="","",SUMIF(Zeiterfassung!$E$6:$E$3665,A90,Zeiterfassung!$H$6:$H$3665))</f>
        <v/>
      </c>
      <c r="G90" s="207">
        <f>IF(OR(E90="",F90=""),"",E90*F90)</f>
        <v/>
      </c>
      <c r="H90" s="207">
        <f>IF(D90="","",D90-IF(G90="",0,G90))</f>
        <v/>
      </c>
      <c r="I90" s="208">
        <f>IF(D90&gt;0,H90/D90,"")</f>
        <v/>
      </c>
      <c r="J90" s="205" t="n"/>
    </row>
    <row r="91" ht="21" customHeight="1">
      <c r="A91" s="205" t="n"/>
      <c r="B91" s="205" t="n"/>
      <c r="C91" s="205" t="n"/>
      <c r="D91" s="206" t="n"/>
      <c r="E91" s="206" t="n"/>
      <c r="F91" s="211">
        <f>IF(A91="","",SUMIF(Zeiterfassung!$E$6:$E$3665,A91,Zeiterfassung!$H$6:$H$3665))</f>
        <v/>
      </c>
      <c r="G91" s="207">
        <f>IF(OR(E91="",F91=""),"",E91*F91)</f>
        <v/>
      </c>
      <c r="H91" s="207">
        <f>IF(D91="","",D91-IF(G91="",0,G91))</f>
        <v/>
      </c>
      <c r="I91" s="208">
        <f>IF(D91&gt;0,H91/D91,"")</f>
        <v/>
      </c>
      <c r="J91" s="205" t="n"/>
    </row>
    <row r="92" ht="21" customHeight="1">
      <c r="A92" s="205" t="n"/>
      <c r="B92" s="205" t="n"/>
      <c r="C92" s="205" t="n"/>
      <c r="D92" s="206" t="n"/>
      <c r="E92" s="206" t="n"/>
      <c r="F92" s="211">
        <f>IF(A92="","",SUMIF(Zeiterfassung!$E$6:$E$3665,A92,Zeiterfassung!$H$6:$H$3665))</f>
        <v/>
      </c>
      <c r="G92" s="207">
        <f>IF(OR(E92="",F92=""),"",E92*F92)</f>
        <v/>
      </c>
      <c r="H92" s="207">
        <f>IF(D92="","",D92-IF(G92="",0,G92))</f>
        <v/>
      </c>
      <c r="I92" s="208">
        <f>IF(D92&gt;0,H92/D92,"")</f>
        <v/>
      </c>
      <c r="J92" s="205" t="n"/>
    </row>
    <row r="93" ht="21" customHeight="1">
      <c r="A93" s="205" t="n"/>
      <c r="B93" s="205" t="n"/>
      <c r="C93" s="205" t="n"/>
      <c r="D93" s="206" t="n"/>
      <c r="E93" s="206" t="n"/>
      <c r="F93" s="211">
        <f>IF(A93="","",SUMIF(Zeiterfassung!$E$6:$E$3665,A93,Zeiterfassung!$H$6:$H$3665))</f>
        <v/>
      </c>
      <c r="G93" s="207">
        <f>IF(OR(E93="",F93=""),"",E93*F93)</f>
        <v/>
      </c>
      <c r="H93" s="207">
        <f>IF(D93="","",D93-IF(G93="",0,G93))</f>
        <v/>
      </c>
      <c r="I93" s="208">
        <f>IF(D93&gt;0,H93/D93,"")</f>
        <v/>
      </c>
      <c r="J93" s="205" t="n"/>
    </row>
    <row r="94" ht="21" customHeight="1">
      <c r="A94" s="205" t="n"/>
      <c r="B94" s="205" t="n"/>
      <c r="C94" s="205" t="n"/>
      <c r="D94" s="206" t="n"/>
      <c r="E94" s="206" t="n"/>
      <c r="F94" s="211">
        <f>IF(A94="","",SUMIF(Zeiterfassung!$E$6:$E$3665,A94,Zeiterfassung!$H$6:$H$3665))</f>
        <v/>
      </c>
      <c r="G94" s="207">
        <f>IF(OR(E94="",F94=""),"",E94*F94)</f>
        <v/>
      </c>
      <c r="H94" s="207">
        <f>IF(D94="","",D94-IF(G94="",0,G94))</f>
        <v/>
      </c>
      <c r="I94" s="208">
        <f>IF(D94&gt;0,H94/D94,"")</f>
        <v/>
      </c>
      <c r="J94" s="205" t="n"/>
    </row>
    <row r="95" ht="21" customHeight="1">
      <c r="A95" s="205" t="n"/>
      <c r="B95" s="205" t="n"/>
      <c r="C95" s="205" t="n"/>
      <c r="D95" s="206" t="n"/>
      <c r="E95" s="206" t="n"/>
      <c r="F95" s="211">
        <f>IF(A95="","",SUMIF(Zeiterfassung!$E$6:$E$3665,A95,Zeiterfassung!$H$6:$H$3665))</f>
        <v/>
      </c>
      <c r="G95" s="207">
        <f>IF(OR(E95="",F95=""),"",E95*F95)</f>
        <v/>
      </c>
      <c r="H95" s="207">
        <f>IF(D95="","",D95-IF(G95="",0,G95))</f>
        <v/>
      </c>
      <c r="I95" s="208">
        <f>IF(D95&gt;0,H95/D95,"")</f>
        <v/>
      </c>
      <c r="J95" s="205" t="n"/>
    </row>
    <row r="96" ht="21" customHeight="1">
      <c r="A96" s="205" t="n"/>
      <c r="B96" s="205" t="n"/>
      <c r="C96" s="205" t="n"/>
      <c r="D96" s="206" t="n"/>
      <c r="E96" s="206" t="n"/>
      <c r="F96" s="211">
        <f>IF(A96="","",SUMIF(Zeiterfassung!$E$6:$E$3665,A96,Zeiterfassung!$H$6:$H$3665))</f>
        <v/>
      </c>
      <c r="G96" s="207">
        <f>IF(OR(E96="",F96=""),"",E96*F96)</f>
        <v/>
      </c>
      <c r="H96" s="207">
        <f>IF(D96="","",D96-IF(G96="",0,G96))</f>
        <v/>
      </c>
      <c r="I96" s="208">
        <f>IF(D96&gt;0,H96/D96,"")</f>
        <v/>
      </c>
      <c r="J96" s="205" t="n"/>
    </row>
    <row r="97" ht="21" customHeight="1">
      <c r="A97" s="205" t="n"/>
      <c r="B97" s="205" t="n"/>
      <c r="C97" s="205" t="n"/>
      <c r="D97" s="206" t="n"/>
      <c r="E97" s="206" t="n"/>
      <c r="F97" s="211">
        <f>IF(A97="","",SUMIF(Zeiterfassung!$E$6:$E$3665,A97,Zeiterfassung!$H$6:$H$3665))</f>
        <v/>
      </c>
      <c r="G97" s="207">
        <f>IF(OR(E97="",F97=""),"",E97*F97)</f>
        <v/>
      </c>
      <c r="H97" s="207">
        <f>IF(D97="","",D97-IF(G97="",0,G97))</f>
        <v/>
      </c>
      <c r="I97" s="208">
        <f>IF(D97&gt;0,H97/D97,"")</f>
        <v/>
      </c>
      <c r="J97" s="205" t="n"/>
    </row>
    <row r="98" ht="21" customHeight="1">
      <c r="A98" s="205" t="n"/>
      <c r="B98" s="205" t="n"/>
      <c r="C98" s="205" t="n"/>
      <c r="D98" s="206" t="n"/>
      <c r="E98" s="206" t="n"/>
      <c r="F98" s="211">
        <f>IF(A98="","",SUMIF(Zeiterfassung!$E$6:$E$3665,A98,Zeiterfassung!$H$6:$H$3665))</f>
        <v/>
      </c>
      <c r="G98" s="207">
        <f>IF(OR(E98="",F98=""),"",E98*F98)</f>
        <v/>
      </c>
      <c r="H98" s="207">
        <f>IF(D98="","",D98-IF(G98="",0,G98))</f>
        <v/>
      </c>
      <c r="I98" s="208">
        <f>IF(D98&gt;0,H98/D98,"")</f>
        <v/>
      </c>
      <c r="J98" s="205" t="n"/>
    </row>
    <row r="99" ht="21" customHeight="1">
      <c r="A99" s="205" t="n"/>
      <c r="B99" s="205" t="n"/>
      <c r="C99" s="205" t="n"/>
      <c r="D99" s="206" t="n"/>
      <c r="E99" s="206" t="n"/>
      <c r="F99" s="211">
        <f>IF(A99="","",SUMIF(Zeiterfassung!$E$6:$E$3665,A99,Zeiterfassung!$H$6:$H$3665))</f>
        <v/>
      </c>
      <c r="G99" s="207">
        <f>IF(OR(E99="",F99=""),"",E99*F99)</f>
        <v/>
      </c>
      <c r="H99" s="207">
        <f>IF(D99="","",D99-IF(G99="",0,G99))</f>
        <v/>
      </c>
      <c r="I99" s="208">
        <f>IF(D99&gt;0,H99/D99,"")</f>
        <v/>
      </c>
      <c r="J99" s="205" t="n"/>
    </row>
    <row r="100" ht="21" customHeight="1">
      <c r="A100" s="205" t="n"/>
      <c r="B100" s="205" t="n"/>
      <c r="C100" s="205" t="n"/>
      <c r="D100" s="206" t="n"/>
      <c r="E100" s="206" t="n"/>
      <c r="F100" s="211">
        <f>IF(A100="","",SUMIF(Zeiterfassung!$E$6:$E$3665,A100,Zeiterfassung!$H$6:$H$3665))</f>
        <v/>
      </c>
      <c r="G100" s="207">
        <f>IF(OR(E100="",F100=""),"",E100*F100)</f>
        <v/>
      </c>
      <c r="H100" s="207">
        <f>IF(D100="","",D100-IF(G100="",0,G100))</f>
        <v/>
      </c>
      <c r="I100" s="208">
        <f>IF(D100&gt;0,H100/D100,"")</f>
        <v/>
      </c>
      <c r="J100" s="205" t="n"/>
    </row>
    <row r="101" ht="21" customHeight="1">
      <c r="A101" s="205" t="n"/>
      <c r="B101" s="205" t="n"/>
      <c r="C101" s="205" t="n"/>
      <c r="D101" s="206" t="n"/>
      <c r="E101" s="206" t="n"/>
      <c r="F101" s="211">
        <f>IF(A101="","",SUMIF(Zeiterfassung!$E$6:$E$3665,A101,Zeiterfassung!$H$6:$H$3665))</f>
        <v/>
      </c>
      <c r="G101" s="207">
        <f>IF(OR(E101="",F101=""),"",E101*F101)</f>
        <v/>
      </c>
      <c r="H101" s="207">
        <f>IF(D101="","",D101-IF(G101="",0,G101))</f>
        <v/>
      </c>
      <c r="I101" s="208">
        <f>IF(D101&gt;0,H101/D101,"")</f>
        <v/>
      </c>
      <c r="J101" s="205" t="n"/>
    </row>
    <row r="102" ht="21" customHeight="1">
      <c r="A102" s="205" t="n"/>
      <c r="B102" s="205" t="n"/>
      <c r="C102" s="205" t="n"/>
      <c r="D102" s="206" t="n"/>
      <c r="E102" s="206" t="n"/>
      <c r="F102" s="211">
        <f>IF(A102="","",SUMIF(Zeiterfassung!$E$6:$E$3665,A102,Zeiterfassung!$H$6:$H$3665))</f>
        <v/>
      </c>
      <c r="G102" s="207">
        <f>IF(OR(E102="",F102=""),"",E102*F102)</f>
        <v/>
      </c>
      <c r="H102" s="207">
        <f>IF(D102="","",D102-IF(G102="",0,G102))</f>
        <v/>
      </c>
      <c r="I102" s="208">
        <f>IF(D102&gt;0,H102/D102,"")</f>
        <v/>
      </c>
      <c r="J102" s="205" t="n"/>
    </row>
    <row r="103" ht="21" customHeight="1">
      <c r="A103" s="205" t="n"/>
      <c r="B103" s="205" t="n"/>
      <c r="C103" s="205" t="n"/>
      <c r="D103" s="206" t="n"/>
      <c r="E103" s="206" t="n"/>
      <c r="F103" s="211">
        <f>IF(A103="","",SUMIF(Zeiterfassung!$E$6:$E$3665,A103,Zeiterfassung!$H$6:$H$3665))</f>
        <v/>
      </c>
      <c r="G103" s="207">
        <f>IF(OR(E103="",F103=""),"",E103*F103)</f>
        <v/>
      </c>
      <c r="H103" s="207">
        <f>IF(D103="","",D103-IF(G103="",0,G103))</f>
        <v/>
      </c>
      <c r="I103" s="208">
        <f>IF(D103&gt;0,H103/D103,"")</f>
        <v/>
      </c>
      <c r="J103" s="205" t="n"/>
    </row>
    <row r="104" ht="21" customHeight="1">
      <c r="A104" s="205" t="n"/>
      <c r="B104" s="205" t="n"/>
      <c r="C104" s="205" t="n"/>
      <c r="D104" s="206" t="n"/>
      <c r="E104" s="206" t="n"/>
      <c r="F104" s="211">
        <f>IF(A104="","",SUMIF(Zeiterfassung!$E$6:$E$3665,A104,Zeiterfassung!$H$6:$H$3665))</f>
        <v/>
      </c>
      <c r="G104" s="207">
        <f>IF(OR(E104="",F104=""),"",E104*F104)</f>
        <v/>
      </c>
      <c r="H104" s="207">
        <f>IF(D104="","",D104-IF(G104="",0,G104))</f>
        <v/>
      </c>
      <c r="I104" s="208">
        <f>IF(D104&gt;0,H104/D104,"")</f>
        <v/>
      </c>
      <c r="J104" s="205" t="n"/>
    </row>
    <row r="105" ht="21" customHeight="1">
      <c r="A105" s="205" t="n"/>
      <c r="B105" s="205" t="n"/>
      <c r="C105" s="205" t="n"/>
      <c r="D105" s="206" t="n"/>
      <c r="E105" s="206" t="n"/>
      <c r="F105" s="211">
        <f>IF(A105="","",SUMIF(Zeiterfassung!$E$6:$E$3665,A105,Zeiterfassung!$H$6:$H$3665))</f>
        <v/>
      </c>
      <c r="G105" s="207">
        <f>IF(OR(E105="",F105=""),"",E105*F105)</f>
        <v/>
      </c>
      <c r="H105" s="207">
        <f>IF(D105="","",D105-IF(G105="",0,G105))</f>
        <v/>
      </c>
      <c r="I105" s="208">
        <f>IF(D105&gt;0,H105/D105,"")</f>
        <v/>
      </c>
      <c r="J105" s="205" t="n"/>
    </row>
  </sheetData>
  <autoFilter ref="A5:J105"/>
  <mergeCells count="3">
    <mergeCell ref="A1:J1"/>
    <mergeCell ref="L1:N2"/>
    <mergeCell ref="A2:J2"/>
  </mergeCells>
  <conditionalFormatting sqref="A6:A105">
    <cfRule type="expression" priority="1" dxfId="0">
      <formula>AND(A6&lt;&gt;"",COUNTIF($A$6:$A$105,A6)&gt;1)</formula>
    </cfRule>
  </conditionalFormatting>
  <dataValidations count="1">
    <dataValidation sqref="A6:A105" showDropDown="0" showInputMessage="0" showErrorMessage="0" allowBlank="1" errorTitle="Ungültiges Gewerk" error="Bitte ein Gewerk aus der Liste auswählen." type="list">
      <formula1>=GewerkeListe</formula1>
    </dataValidation>
  </dataValidations>
  <hyperlinks>
    <hyperlink xmlns:r="http://schemas.openxmlformats.org/officeDocument/2006/relationships" ref="L1" r:id="rId1"/>
  </hyperlinks>
  <pageMargins left="0.75" right="0.75" top="1" bottom="1" header="0.5" footer="0.5"/>
  <pageSetup orientation="landscape" paperSize="9" fitToHeight="0" fitToWidth="1"/>
  <headerFooter>
    <oddHeader/>
    <oddFooter>&amp;CF+K Projektbau GmbH&amp;RSeite &amp;P von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4" customWidth="1" min="4" max="4"/>
    <col width="60" customWidth="1" min="5" max="5"/>
    <col width="13" customWidth="1" min="7" max="7"/>
    <col width="13" customWidth="1" min="8" max="8"/>
    <col width="13" customWidth="1" min="9" max="9"/>
  </cols>
  <sheetData>
    <row r="2" ht="28" customHeight="1">
      <c r="B2" s="122" t="inlineStr">
        <is>
          <t>KPI-BERECHNUNGSBASIS</t>
        </is>
      </c>
      <c r="G2" s="263" t="inlineStr">
        <is>
          <t>←  ZUM COCKPIT</t>
        </is>
      </c>
      <c r="H2" s="269" t="n"/>
      <c r="I2" s="270" t="n"/>
    </row>
    <row r="3" ht="18" customHeight="1">
      <c r="B3" s="123" t="inlineStr">
        <is>
          <t>Eingaben in Blau. Verknüpfte bzw. berechnete Werte werden automatisch aktualisiert.</t>
        </is>
      </c>
      <c r="G3" s="271" t="n"/>
      <c r="H3" s="272" t="n"/>
      <c r="I3" s="273" t="n"/>
    </row>
    <row r="5">
      <c r="B5" s="212" t="inlineStr">
        <is>
          <t>NACHUNTERNEHMER</t>
        </is>
      </c>
    </row>
    <row r="6">
      <c r="B6" s="125" t="inlineStr">
        <is>
          <t>Auftragssumme netto</t>
        </is>
      </c>
      <c r="C6" s="126">
        <f>'Projektübersicht'!$B$28</f>
        <v/>
      </c>
      <c r="E6" s="127" t="inlineStr">
        <is>
          <t>Gesamter Netto-Auftragswert des Projekts.</t>
        </is>
      </c>
    </row>
    <row r="7">
      <c r="B7" s="125" t="inlineStr">
        <is>
          <t>Leistungswert Nachunternehmer netto</t>
        </is>
      </c>
      <c r="C7" s="213">
        <f>'Nachunternehmer'!$C$4</f>
        <v/>
      </c>
      <c r="E7" s="127" t="inlineStr">
        <is>
          <t>Automatische Übernahme des Netto-Kundenwerts der den NU-Leistungen zugeordneten Kundenpositionen.</t>
        </is>
      </c>
    </row>
    <row r="8">
      <c r="B8" s="125" t="inlineStr">
        <is>
          <t>Nachunternehmerkosten Ist</t>
        </is>
      </c>
      <c r="C8" s="213">
        <f>'Nachunternehmer'!$A$4</f>
        <v/>
      </c>
      <c r="E8" s="127" t="inlineStr">
        <is>
          <t>Automatische Übernahme der Netto-Einkaufssumme der erfassten Nachunternehmerrechnungen.</t>
        </is>
      </c>
    </row>
    <row r="9">
      <c r="B9" s="129" t="inlineStr">
        <is>
          <t>Marge Nachunternehmer</t>
        </is>
      </c>
      <c r="C9" s="214">
        <f>'Nachunternehmer'!$H$4</f>
        <v/>
      </c>
      <c r="E9" s="131" t="inlineStr">
        <is>
          <t>Gewichtete NU-Marge: (Kundenwert − NU-Kosten) ÷ Kundenwert.</t>
        </is>
      </c>
    </row>
    <row r="10" ht="20" customHeight="1">
      <c r="B10" s="212" t="inlineStr">
        <is>
          <t>EIGENE PRODUKTIVITÄT</t>
        </is>
      </c>
    </row>
    <row r="11">
      <c r="B11" s="125" t="inlineStr">
        <is>
          <t>Leistungswert eigene Produktion netto</t>
        </is>
      </c>
      <c r="C11" s="213">
        <f>'Eigenleistung'!$B$3</f>
        <v/>
      </c>
      <c r="E11" s="127" t="inlineStr">
        <is>
          <t>Automatische Übernahme des Kundenwerts der Eigenleistungen.</t>
        </is>
      </c>
    </row>
    <row r="12">
      <c r="B12" s="125" t="inlineStr">
        <is>
          <t>Eigene produktive Stunden Ist</t>
        </is>
      </c>
      <c r="C12" s="132">
        <f>'Eigenleistung'!$D$3</f>
        <v/>
      </c>
      <c r="E12" s="127" t="inlineStr">
        <is>
          <t>Summe der Ist-Stunden aus der Eigenleistungs-Kalkulation / Zeiterfassung.</t>
        </is>
      </c>
    </row>
    <row r="13">
      <c r="B13" s="125" t="inlineStr">
        <is>
          <t>Ø Produktivkostensatz eigene MA €/Std.</t>
        </is>
      </c>
      <c r="C13" s="133">
        <f>IF(COUNT(C12,C14)&lt;2,"",IF(C12=0,"",C14/C12))</f>
        <v/>
      </c>
      <c r="E13" s="127" t="inlineStr">
        <is>
          <t>Gewichteter durchschnittlicher interner Produktivkostensatz.</t>
        </is>
      </c>
    </row>
    <row r="14">
      <c r="B14" s="125" t="inlineStr">
        <is>
          <t>Eigene Produktivkosten Ist</t>
        </is>
      </c>
      <c r="C14" s="126">
        <f>'Eigenleistung'!$F$3</f>
        <v/>
      </c>
      <c r="E14" s="127" t="inlineStr">
        <is>
          <t>Ist-Stunden × interner Kostensatz je Gewerk.</t>
        </is>
      </c>
    </row>
    <row r="15">
      <c r="B15" s="129" t="inlineStr">
        <is>
          <t>Eigenleistungsmarge</t>
        </is>
      </c>
      <c r="C15" s="214">
        <f>'Eigenleistung'!$H$3</f>
        <v/>
      </c>
      <c r="E15" s="131" t="inlineStr">
        <is>
          <t>Gewichtete Marge aller mit eigenen Mitarbeitern erbrachten Leistungen.</t>
        </is>
      </c>
    </row>
    <row r="16" ht="20" customHeight="1">
      <c r="B16" s="124" t="inlineStr">
        <is>
          <t>GESAMTPROJEKT</t>
        </is>
      </c>
    </row>
    <row r="17">
      <c r="B17" s="125" t="inlineStr">
        <is>
          <t>Materialkosten Ist</t>
        </is>
      </c>
      <c r="C17" s="126">
        <f>SUM(Materialkosten!$E$6:$E$305)</f>
        <v/>
      </c>
      <c r="E17" s="127" t="inlineStr">
        <is>
          <t>Automatische Übernahme aus Materialkosten. Nachunternehmerkosten hier nicht nochmals erfassen.</t>
        </is>
      </c>
    </row>
    <row r="18">
      <c r="B18" s="125" t="inlineStr">
        <is>
          <t>Sonstige projektbezogene Kosten Ist</t>
        </is>
      </c>
      <c r="C18" s="128" t="n">
        <v>0</v>
      </c>
      <c r="E18" s="127" t="inlineStr">
        <is>
          <t>Weitere direkte Projektkosten, die weder Material, Nachunternehmer noch produktive Eigenleistung sind.</t>
        </is>
      </c>
    </row>
    <row r="19">
      <c r="B19" s="125" t="inlineStr">
        <is>
          <t>Gesamtprojektkosten Ist</t>
        </is>
      </c>
      <c r="C19" s="134">
        <f>IF(SUM(N(C8),N(C14),N(C17),N(C18))=0,"",SUM(N(C8),N(C14),N(C17),N(C18)))</f>
        <v/>
      </c>
      <c r="E19" s="127" t="inlineStr">
        <is>
          <t>Summe der direkt zurechenbaren Projektkosten.</t>
        </is>
      </c>
    </row>
    <row r="20">
      <c r="B20" s="129" t="inlineStr">
        <is>
          <t>Projektmarge</t>
        </is>
      </c>
      <c r="C20" s="130">
        <f>IF(OR(COUNT(C6)=0,COUNT(C19)=0,C6=0),"",(C6-C19)/C6)</f>
        <v/>
      </c>
      <c r="E20" s="131" t="inlineStr">
        <is>
          <t>Marge des Gesamtprojekts nach Abzug aller erfassten direkten Projektkosten.</t>
        </is>
      </c>
    </row>
    <row r="22">
      <c r="B22" s="191" t="inlineStr">
        <is>
          <t>STUNDENCONTROLLING</t>
        </is>
      </c>
      <c r="C22" s="191" t="n"/>
    </row>
    <row r="23">
      <c r="B23" s="249" t="inlineStr">
        <is>
          <t>Stunden Soll</t>
        </is>
      </c>
      <c r="C23" s="250">
        <f>'Projektübersicht'!$B$22</f>
        <v/>
      </c>
    </row>
    <row r="24">
      <c r="B24" s="249" t="inlineStr">
        <is>
          <t>Stunden Ist</t>
        </is>
      </c>
      <c r="C24" s="250">
        <f>'Projektübersicht'!$F$22</f>
        <v/>
      </c>
    </row>
    <row r="25">
      <c r="B25" s="249" t="inlineStr">
        <is>
          <t>Restbudget Stunden</t>
        </is>
      </c>
      <c r="C25" s="250">
        <f>'Projektübersicht'!$J$22</f>
        <v/>
      </c>
    </row>
  </sheetData>
  <mergeCells count="6">
    <mergeCell ref="G2:I3"/>
    <mergeCell ref="B16:E16"/>
    <mergeCell ref="B3:E3"/>
    <mergeCell ref="B5:E5"/>
    <mergeCell ref="B2:E2"/>
    <mergeCell ref="B10:E10"/>
  </mergeCells>
  <hyperlinks>
    <hyperlink xmlns:r="http://schemas.openxmlformats.org/officeDocument/2006/relationships" ref="G2" r:id="rId1"/>
    <hyperlink xmlns:r="http://schemas.openxmlformats.org/officeDocument/2006/relationships" ref="B5" r:id="rId2"/>
    <hyperlink xmlns:r="http://schemas.openxmlformats.org/officeDocument/2006/relationships" ref="B10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367"/>
  <sheetViews>
    <sheetView showGridLines="0" workbookViewId="0">
      <selection activeCell="A1" sqref="A1"/>
    </sheetView>
  </sheetViews>
  <sheetFormatPr baseColWidth="8" defaultRowHeight="15"/>
  <cols>
    <col width="13" customWidth="1" min="9" max="9"/>
    <col width="13" customWidth="1" min="10" max="10"/>
    <col width="13" customWidth="1" min="11" max="11"/>
    <col width="20" customWidth="1" min="14" max="14"/>
    <col hidden="1" width="13" customWidth="1" min="26" max="26"/>
    <col hidden="1" width="13" customWidth="1" min="27" max="27"/>
  </cols>
  <sheetData>
    <row r="1" ht="18" customHeight="1">
      <c r="A1" t="inlineStr">
        <is>
          <t>Gewerke</t>
        </is>
      </c>
      <c r="B1" s="191" t="inlineStr">
        <is>
          <t>Mitarbeiter</t>
        </is>
      </c>
      <c r="C1" t="inlineStr">
        <is>
          <t>Status</t>
        </is>
      </c>
      <c r="E1" s="108" t="inlineStr">
        <is>
          <t>Feiertage Berlin</t>
        </is>
      </c>
      <c r="F1" s="108" t="inlineStr">
        <is>
          <t>Bezeichnung</t>
        </is>
      </c>
      <c r="G1" s="108" t="inlineStr">
        <is>
          <t>Quelle</t>
        </is>
      </c>
      <c r="I1" s="263" t="inlineStr">
        <is>
          <t>←  ZUM COCKPIT</t>
        </is>
      </c>
      <c r="J1" s="269" t="n"/>
      <c r="K1" s="270" t="n"/>
      <c r="N1" s="151" t="inlineStr">
        <is>
          <t>NU-Gewerke</t>
        </is>
      </c>
      <c r="P1" s="151" t="inlineStr">
        <is>
          <t>Lieferanten</t>
        </is>
      </c>
      <c r="X1" t="inlineStr">
        <is>
          <t>Rechnungsarten</t>
        </is>
      </c>
      <c r="Z1" t="inlineStr">
        <is>
          <t>VOB/B Quellen Rechnungsprüfung</t>
        </is>
      </c>
      <c r="AA1" t="inlineStr">
        <is>
          <t>KW-Navigation</t>
        </is>
      </c>
      <c r="AB1" t="inlineStr">
        <is>
          <t>Datumsnavigation ohne Sonntage</t>
        </is>
      </c>
      <c r="AC1" t="inlineStr">
        <is>
          <t>KW-Navigation</t>
        </is>
      </c>
    </row>
    <row r="2" ht="18" customHeight="1">
      <c r="A2" t="inlineStr">
        <is>
          <t>Bauleitung</t>
        </is>
      </c>
      <c r="B2" s="192" t="inlineStr">
        <is>
          <t>Ahrens</t>
        </is>
      </c>
      <c r="C2" t="inlineStr">
        <is>
          <t>Offen</t>
        </is>
      </c>
      <c r="E2" s="109" t="n">
        <v>45658</v>
      </c>
      <c r="F2" t="inlineStr">
        <is>
          <t>Neujahr</t>
        </is>
      </c>
      <c r="G2" t="inlineStr">
        <is>
          <t>https://gesetze.berlin.de/perma?j=FeiertG_BE</t>
        </is>
      </c>
      <c r="I2" s="271" t="n"/>
      <c r="J2" s="272" t="n"/>
      <c r="K2" s="273" t="n"/>
      <c r="N2" s="312" t="inlineStr">
        <is>
          <t>Rüster</t>
        </is>
      </c>
      <c r="P2" t="inlineStr">
        <is>
          <t>Ohlwein</t>
        </is>
      </c>
      <c r="X2" t="inlineStr">
        <is>
          <t>Abschlagsrechnung</t>
        </is>
      </c>
      <c r="Z2" s="175" t="inlineStr">
        <is>
          <t>https://dejure.org/gesetze/VOB-B/16.html</t>
        </is>
      </c>
      <c r="AA2" t="n">
        <v>1</v>
      </c>
      <c r="AB2" s="175">
        <f>IF(OR('Projektübersicht'!$F$11="",'Projektübersicht'!$F$13="",'Projektübersicht'!$F$11&gt;'Projektübersicht'!$F$13),"",IF(WORKDAY.INTL('Projektübersicht'!$F$11-1,1,"0000001")&lt;='Projektübersicht'!$F$13,WORKDAY.INTL('Projektübersicht'!$F$11-1,1,"0000001"),""))</f>
        <v/>
      </c>
      <c r="AC2" t="n">
        <v>1</v>
      </c>
    </row>
    <row r="3">
      <c r="A3" t="inlineStr">
        <is>
          <t>Rückbau</t>
        </is>
      </c>
      <c r="B3" s="192" t="inlineStr">
        <is>
          <t>Berkhoff</t>
        </is>
      </c>
      <c r="C3" t="inlineStr">
        <is>
          <t>In Arbeit</t>
        </is>
      </c>
      <c r="E3" s="109" t="n">
        <v>45724</v>
      </c>
      <c r="F3" t="inlineStr">
        <is>
          <t>Internationaler Frauentag</t>
        </is>
      </c>
      <c r="G3" t="inlineStr">
        <is>
          <t>https://gesetze.berlin.de/perma?j=FeiertG_BE</t>
        </is>
      </c>
      <c r="N3" s="313" t="inlineStr">
        <is>
          <t>Elektriker</t>
        </is>
      </c>
      <c r="P3" t="inlineStr">
        <is>
          <t>Prosol</t>
        </is>
      </c>
      <c r="X3" t="inlineStr">
        <is>
          <t>Teilschlussrechnung</t>
        </is>
      </c>
      <c r="Z3" s="175" t="inlineStr">
        <is>
          <t>https://dejure.org/gesetze/VOB-B/17.html</t>
        </is>
      </c>
      <c r="AA3" t="n">
        <v>2</v>
      </c>
      <c r="AB3" s="175">
        <f>IF(OR('Projektübersicht'!$F$11="",'Projektübersicht'!$F$13="",'Projektübersicht'!$F$11&gt;'Projektübersicht'!$F$13),"",IF(WORKDAY.INTL('Projektübersicht'!$F$11-1,2,"0000001")&lt;='Projektübersicht'!$F$13,WORKDAY.INTL('Projektübersicht'!$F$11-1,2,"0000001"),""))</f>
        <v/>
      </c>
      <c r="AC3" t="n">
        <v>2</v>
      </c>
    </row>
    <row r="4">
      <c r="A4" t="inlineStr">
        <is>
          <t>Maurer</t>
        </is>
      </c>
      <c r="B4" s="192" t="inlineStr">
        <is>
          <t>Böttger</t>
        </is>
      </c>
      <c r="C4" t="inlineStr">
        <is>
          <t>Erledigt</t>
        </is>
      </c>
      <c r="E4" s="109" t="n">
        <v>45765</v>
      </c>
      <c r="F4" t="inlineStr">
        <is>
          <t>Karfreitag</t>
        </is>
      </c>
      <c r="G4" t="inlineStr">
        <is>
          <t>https://gesetze.berlin.de/perma?j=FeiertG_BE</t>
        </is>
      </c>
      <c r="N4" s="312" t="inlineStr">
        <is>
          <t>Reinigung</t>
        </is>
      </c>
      <c r="P4" t="inlineStr">
        <is>
          <t>Raab</t>
        </is>
      </c>
      <c r="X4" t="inlineStr">
        <is>
          <t>Schlussrechnung</t>
        </is>
      </c>
      <c r="Z4" s="175" t="inlineStr">
        <is>
          <t>https://www.vob-online.de/de/vob-2016-202072</t>
        </is>
      </c>
      <c r="AA4" t="n">
        <v>3</v>
      </c>
      <c r="AB4" s="175">
        <f>IF(OR('Projektübersicht'!$F$11="",'Projektübersicht'!$F$13="",'Projektübersicht'!$F$11&gt;'Projektübersicht'!$F$13),"",IF(WORKDAY.INTL('Projektübersicht'!$F$11-1,3,"0000001")&lt;='Projektübersicht'!$F$13,WORKDAY.INTL('Projektübersicht'!$F$11-1,3,"0000001"),""))</f>
        <v/>
      </c>
      <c r="AC4" t="n">
        <v>3</v>
      </c>
    </row>
    <row r="5">
      <c r="A5" t="inlineStr">
        <is>
          <t>Trockenbau</t>
        </is>
      </c>
      <c r="B5" s="192" t="inlineStr">
        <is>
          <t>Cordes</t>
        </is>
      </c>
      <c r="C5" t="inlineStr">
        <is>
          <t>Wartet</t>
        </is>
      </c>
      <c r="E5" s="109" t="n">
        <v>45768</v>
      </c>
      <c r="F5" t="inlineStr">
        <is>
          <t>Ostermontag</t>
        </is>
      </c>
      <c r="G5" t="inlineStr">
        <is>
          <t>https://gesetze.berlin.de/perma?j=FeiertG_BE</t>
        </is>
      </c>
      <c r="N5" s="313" t="inlineStr">
        <is>
          <t>Tischler</t>
        </is>
      </c>
      <c r="P5" t="inlineStr">
        <is>
          <t>Fliesenparadies</t>
        </is>
      </c>
      <c r="Z5" s="175">
        <f>IF(OR('Projektübersicht'!$F$11="",'Projektübersicht'!$F$13="",'Projektübersicht'!$F$11&gt;'Projektübersicht'!$F$13),"",IF('Projektübersicht'!$F$11+3&lt;='Projektübersicht'!$F$13,'Projektübersicht'!$F$11+3,""))</f>
        <v/>
      </c>
      <c r="AA5" t="n">
        <v>4</v>
      </c>
      <c r="AB5" s="175">
        <f>IF(OR('Projektübersicht'!$F$11="",'Projektübersicht'!$F$13="",'Projektübersicht'!$F$11&gt;'Projektübersicht'!$F$13),"",IF(WORKDAY.INTL('Projektübersicht'!$F$11-1,4,"0000001")&lt;='Projektübersicht'!$F$13,WORKDAY.INTL('Projektübersicht'!$F$11-1,4,"0000001"),""))</f>
        <v/>
      </c>
      <c r="AC5" t="n">
        <v>4</v>
      </c>
    </row>
    <row r="6">
      <c r="A6" t="inlineStr">
        <is>
          <t>Elektro</t>
        </is>
      </c>
      <c r="B6" s="192" t="inlineStr">
        <is>
          <t>S.Dallmann</t>
        </is>
      </c>
      <c r="C6" t="inlineStr">
        <is>
          <t>Abgerechnet</t>
        </is>
      </c>
      <c r="E6" s="109" t="n">
        <v>45778</v>
      </c>
      <c r="F6" t="inlineStr">
        <is>
          <t>Tag der Arbeit</t>
        </is>
      </c>
      <c r="G6" t="inlineStr">
        <is>
          <t>https://gesetze.berlin.de/perma?j=FeiertG_BE</t>
        </is>
      </c>
      <c r="N6" s="312" t="inlineStr">
        <is>
          <t>Betonbauer</t>
        </is>
      </c>
      <c r="P6" t="inlineStr">
        <is>
          <t>Wego</t>
        </is>
      </c>
      <c r="Z6" s="175">
        <f>IF(OR('Projektübersicht'!$F$11="",'Projektübersicht'!$F$13="",'Projektübersicht'!$F$11&gt;'Projektübersicht'!$F$13),"",IF('Projektübersicht'!$F$11+4&lt;='Projektübersicht'!$F$13,'Projektübersicht'!$F$11+4,""))</f>
        <v/>
      </c>
      <c r="AA6" t="n">
        <v>5</v>
      </c>
      <c r="AB6" s="175">
        <f>IF(OR('Projektübersicht'!$F$11="",'Projektübersicht'!$F$13="",'Projektübersicht'!$F$11&gt;'Projektübersicht'!$F$13),"",IF(WORKDAY.INTL('Projektübersicht'!$F$11-1,5,"0000001")&lt;='Projektübersicht'!$F$13,WORKDAY.INTL('Projektübersicht'!$F$11-1,5,"0000001"),""))</f>
        <v/>
      </c>
      <c r="AC6" t="n">
        <v>5</v>
      </c>
    </row>
    <row r="7">
      <c r="A7" t="inlineStr">
        <is>
          <t>Sanitär/Heizung</t>
        </is>
      </c>
      <c r="B7" s="192" t="inlineStr">
        <is>
          <t>D. Dallmann</t>
        </is>
      </c>
      <c r="E7" s="109" t="n">
        <v>45806</v>
      </c>
      <c r="F7" t="inlineStr">
        <is>
          <t>Christi Himmelfahrt</t>
        </is>
      </c>
      <c r="G7" t="inlineStr">
        <is>
          <t>https://gesetze.berlin.de/perma?j=FeiertG_BE</t>
        </is>
      </c>
      <c r="N7" s="313" t="inlineStr">
        <is>
          <t>Galabauer</t>
        </is>
      </c>
      <c r="P7" t="inlineStr">
        <is>
          <t>MB Moog</t>
        </is>
      </c>
      <c r="Z7" s="175">
        <f>IF(OR('Projektübersicht'!$F$11="",'Projektübersicht'!$F$13="",'Projektübersicht'!$F$11&gt;'Projektübersicht'!$F$13),"",IF('Projektübersicht'!$F$11+5&lt;='Projektübersicht'!$F$13,'Projektübersicht'!$F$11+5,""))</f>
        <v/>
      </c>
      <c r="AA7" t="n">
        <v>6</v>
      </c>
      <c r="AB7" s="175">
        <f>IF(OR('Projektübersicht'!$F$11="",'Projektübersicht'!$F$13="",'Projektübersicht'!$F$11&gt;'Projektübersicht'!$F$13),"",IF(WORKDAY.INTL('Projektübersicht'!$F$11-1,6,"0000001")&lt;='Projektübersicht'!$F$13,WORKDAY.INTL('Projektübersicht'!$F$11-1,6,"0000001"),""))</f>
        <v/>
      </c>
      <c r="AC7" t="n">
        <v>6</v>
      </c>
    </row>
    <row r="8">
      <c r="A8" t="inlineStr">
        <is>
          <t>Fliesen</t>
        </is>
      </c>
      <c r="B8" s="192" t="inlineStr">
        <is>
          <t>Emmrich</t>
        </is>
      </c>
      <c r="E8" s="109" t="n">
        <v>45817</v>
      </c>
      <c r="F8" t="inlineStr">
        <is>
          <t>Pfingstmontag</t>
        </is>
      </c>
      <c r="G8" t="inlineStr">
        <is>
          <t>https://gesetze.berlin.de/perma?j=FeiertG_BE</t>
        </is>
      </c>
      <c r="N8" s="312" t="inlineStr">
        <is>
          <t>Sanitär</t>
        </is>
      </c>
      <c r="P8" t="inlineStr">
        <is>
          <t>reuter</t>
        </is>
      </c>
      <c r="Z8" s="175">
        <f>IF(OR('Projektübersicht'!$F$11="",'Projektübersicht'!$F$13="",'Projektübersicht'!$F$11&gt;'Projektübersicht'!$F$13),"",IF('Projektübersicht'!$F$11+6&lt;='Projektübersicht'!$F$13,'Projektübersicht'!$F$11+6,""))</f>
        <v/>
      </c>
      <c r="AA8" t="n">
        <v>7</v>
      </c>
      <c r="AB8" s="175">
        <f>IF(OR('Projektübersicht'!$F$11="",'Projektübersicht'!$F$13="",'Projektübersicht'!$F$11&gt;'Projektübersicht'!$F$13),"",IF(WORKDAY.INTL('Projektübersicht'!$F$11-1,7,"0000001")&lt;='Projektübersicht'!$F$13,WORKDAY.INTL('Projektübersicht'!$F$11-1,7,"0000001"),""))</f>
        <v/>
      </c>
      <c r="AC8" t="n">
        <v>7</v>
      </c>
    </row>
    <row r="9">
      <c r="A9" t="inlineStr">
        <is>
          <t>Maler</t>
        </is>
      </c>
      <c r="B9" s="192" t="inlineStr">
        <is>
          <t>Fahnert</t>
        </is>
      </c>
      <c r="E9" s="109" t="n">
        <v>45933</v>
      </c>
      <c r="F9" t="inlineStr">
        <is>
          <t>Tag der Deutschen Einheit</t>
        </is>
      </c>
      <c r="G9" t="inlineStr">
        <is>
          <t>https://gesetze.berlin.de/perma?j=FeiertG_BE</t>
        </is>
      </c>
      <c r="P9" t="inlineStr">
        <is>
          <t>Wiedemann</t>
        </is>
      </c>
      <c r="Z9" s="175">
        <f>IF(OR('Projektübersicht'!$F$11="",'Projektübersicht'!$F$13="",'Projektübersicht'!$F$11&gt;'Projektübersicht'!$F$13),"",IF('Projektübersicht'!$F$11+7&lt;='Projektübersicht'!$F$13,'Projektübersicht'!$F$11+7,""))</f>
        <v/>
      </c>
      <c r="AA9" t="n">
        <v>8</v>
      </c>
      <c r="AB9" s="175">
        <f>IF(OR('Projektübersicht'!$F$11="",'Projektübersicht'!$F$13="",'Projektübersicht'!$F$11&gt;'Projektübersicht'!$F$13),"",IF(WORKDAY.INTL('Projektübersicht'!$F$11-1,8,"0000001")&lt;='Projektübersicht'!$F$13,WORKDAY.INTL('Projektübersicht'!$F$11-1,8,"0000001"),""))</f>
        <v/>
      </c>
      <c r="AC9" t="n">
        <v>8</v>
      </c>
    </row>
    <row r="10">
      <c r="A10" t="inlineStr">
        <is>
          <t>Bodenleger</t>
        </is>
      </c>
      <c r="B10" s="192" t="inlineStr">
        <is>
          <t>Gollnick</t>
        </is>
      </c>
      <c r="E10" s="109" t="n">
        <v>46016</v>
      </c>
      <c r="F10" t="inlineStr">
        <is>
          <t>1. Weihnachtsfeiertag</t>
        </is>
      </c>
      <c r="G10" t="inlineStr">
        <is>
          <t>https://gesetze.berlin.de/perma?j=FeiertG_BE</t>
        </is>
      </c>
      <c r="P10" t="inlineStr">
        <is>
          <t>Bauking</t>
        </is>
      </c>
      <c r="Z10" s="175">
        <f>IF(OR('Projektübersicht'!$F$11="",'Projektübersicht'!$F$13="",'Projektübersicht'!$F$11&gt;'Projektübersicht'!$F$13),"",IF('Projektübersicht'!$F$11+8&lt;='Projektübersicht'!$F$13,'Projektübersicht'!$F$11+8,""))</f>
        <v/>
      </c>
      <c r="AA10" t="n">
        <v>9</v>
      </c>
      <c r="AB10" s="175">
        <f>IF(OR('Projektübersicht'!$F$11="",'Projektübersicht'!$F$13="",'Projektübersicht'!$F$11&gt;'Projektübersicht'!$F$13),"",IF(WORKDAY.INTL('Projektübersicht'!$F$11-1,9,"0000001")&lt;='Projektübersicht'!$F$13,WORKDAY.INTL('Projektübersicht'!$F$11-1,9,"0000001"),""))</f>
        <v/>
      </c>
      <c r="AC10" t="n">
        <v>9</v>
      </c>
    </row>
    <row r="11">
      <c r="A11" t="inlineStr">
        <is>
          <t>Tischler</t>
        </is>
      </c>
      <c r="B11" s="192" t="inlineStr">
        <is>
          <t>Grewe</t>
        </is>
      </c>
      <c r="E11" s="109" t="n">
        <v>46017</v>
      </c>
      <c r="F11" t="inlineStr">
        <is>
          <t>2. Weihnachtsfeiertag</t>
        </is>
      </c>
      <c r="G11" t="inlineStr">
        <is>
          <t>https://gesetze.berlin.de/perma?j=FeiertG_BE</t>
        </is>
      </c>
      <c r="P11" t="inlineStr">
        <is>
          <t>Knittel</t>
        </is>
      </c>
      <c r="Z11" s="175">
        <f>IF(OR('Projektübersicht'!$F$11="",'Projektübersicht'!$F$13="",'Projektübersicht'!$F$11&gt;'Projektübersicht'!$F$13),"",IF('Projektübersicht'!$F$11+9&lt;='Projektübersicht'!$F$13,'Projektübersicht'!$F$11+9,""))</f>
        <v/>
      </c>
      <c r="AA11" t="n">
        <v>10</v>
      </c>
      <c r="AB11" s="175">
        <f>IF(OR('Projektübersicht'!$F$11="",'Projektübersicht'!$F$13="",'Projektübersicht'!$F$11&gt;'Projektübersicht'!$F$13),"",IF(WORKDAY.INTL('Projektübersicht'!$F$11-1,10,"0000001")&lt;='Projektübersicht'!$F$13,WORKDAY.INTL('Projektübersicht'!$F$11-1,10,"0000001"),""))</f>
        <v/>
      </c>
      <c r="AC11" t="n">
        <v>10</v>
      </c>
    </row>
    <row r="12">
      <c r="A12" t="inlineStr">
        <is>
          <t>Reinigung</t>
        </is>
      </c>
      <c r="B12" s="192" t="inlineStr">
        <is>
          <t>Hasselbach</t>
        </is>
      </c>
      <c r="E12" s="109" t="n">
        <v>46023</v>
      </c>
      <c r="F12" t="inlineStr">
        <is>
          <t>Neujahr</t>
        </is>
      </c>
      <c r="G12" t="inlineStr">
        <is>
          <t>https://gesetze.berlin.de/perma?j=FeiertG_BE</t>
        </is>
      </c>
      <c r="P12" t="inlineStr">
        <is>
          <t>Brillux</t>
        </is>
      </c>
      <c r="Z12" s="175">
        <f>IF(OR('Projektübersicht'!$F$11="",'Projektübersicht'!$F$13="",'Projektübersicht'!$F$11&gt;'Projektübersicht'!$F$13),"",IF('Projektübersicht'!$F$11+10&lt;='Projektübersicht'!$F$13,'Projektübersicht'!$F$11+10,""))</f>
        <v/>
      </c>
      <c r="AA12" t="n">
        <v>11</v>
      </c>
      <c r="AB12" s="175">
        <f>IF(OR('Projektübersicht'!$F$11="",'Projektübersicht'!$F$13="",'Projektübersicht'!$F$11&gt;'Projektübersicht'!$F$13),"",IF(WORKDAY.INTL('Projektübersicht'!$F$11-1,11,"0000001")&lt;='Projektübersicht'!$F$13,WORKDAY.INTL('Projektübersicht'!$F$11-1,11,"0000001"),""))</f>
        <v/>
      </c>
      <c r="AC12" t="n">
        <v>11</v>
      </c>
    </row>
    <row r="13">
      <c r="A13" t="inlineStr">
        <is>
          <t>Sonstiges</t>
        </is>
      </c>
      <c r="B13" s="192" t="inlineStr">
        <is>
          <t>Hüttemann</t>
        </is>
      </c>
      <c r="E13" s="109" t="n">
        <v>46089</v>
      </c>
      <c r="F13" t="inlineStr">
        <is>
          <t>Internationaler Frauentag</t>
        </is>
      </c>
      <c r="G13" t="inlineStr">
        <is>
          <t>https://gesetze.berlin.de/perma?j=FeiertG_BE</t>
        </is>
      </c>
      <c r="Z13" s="175">
        <f>IF(OR('Projektübersicht'!$F$11="",'Projektübersicht'!$F$13="",'Projektübersicht'!$F$11&gt;'Projektübersicht'!$F$13),"",IF('Projektübersicht'!$F$11+11&lt;='Projektübersicht'!$F$13,'Projektübersicht'!$F$11+11,""))</f>
        <v/>
      </c>
      <c r="AA13" t="n">
        <v>12</v>
      </c>
      <c r="AB13" s="175">
        <f>IF(OR('Projektübersicht'!$F$11="",'Projektübersicht'!$F$13="",'Projektübersicht'!$F$11&gt;'Projektübersicht'!$F$13),"",IF(WORKDAY.INTL('Projektübersicht'!$F$11-1,12,"0000001")&lt;='Projektübersicht'!$F$13,WORKDAY.INTL('Projektübersicht'!$F$11-1,12,"0000001"),""))</f>
        <v/>
      </c>
      <c r="AC13" t="n">
        <v>12</v>
      </c>
    </row>
    <row r="14">
      <c r="B14" s="192" t="inlineStr">
        <is>
          <t>Immig</t>
        </is>
      </c>
      <c r="E14" s="109" t="n">
        <v>46115</v>
      </c>
      <c r="F14" t="inlineStr">
        <is>
          <t>Karfreitag</t>
        </is>
      </c>
      <c r="G14" t="inlineStr">
        <is>
          <t>https://gesetze.berlin.de/perma?j=FeiertG_BE</t>
        </is>
      </c>
      <c r="Z14" s="175">
        <f>IF(OR('Projektübersicht'!$F$11="",'Projektübersicht'!$F$13="",'Projektübersicht'!$F$11&gt;'Projektübersicht'!$F$13),"",IF('Projektübersicht'!$F$11+12&lt;='Projektübersicht'!$F$13,'Projektübersicht'!$F$11+12,""))</f>
        <v/>
      </c>
      <c r="AA14" t="n">
        <v>13</v>
      </c>
      <c r="AB14" s="175">
        <f>IF(OR('Projektübersicht'!$F$11="",'Projektübersicht'!$F$13="",'Projektübersicht'!$F$11&gt;'Projektübersicht'!$F$13),"",IF(WORKDAY.INTL('Projektübersicht'!$F$11-1,13,"0000001")&lt;='Projektübersicht'!$F$13,WORKDAY.INTL('Projektübersicht'!$F$11-1,13,"0000001"),""))</f>
        <v/>
      </c>
      <c r="AC14" t="n">
        <v>13</v>
      </c>
    </row>
    <row r="15">
      <c r="B15" s="192" t="inlineStr">
        <is>
          <t>Jarosch</t>
        </is>
      </c>
      <c r="E15" s="109" t="n">
        <v>46118</v>
      </c>
      <c r="F15" t="inlineStr">
        <is>
          <t>Ostermontag</t>
        </is>
      </c>
      <c r="G15" t="inlineStr">
        <is>
          <t>https://gesetze.berlin.de/perma?j=FeiertG_BE</t>
        </is>
      </c>
      <c r="Z15" s="175">
        <f>IF(OR('Projektübersicht'!$F$11="",'Projektübersicht'!$F$13="",'Projektübersicht'!$F$11&gt;'Projektübersicht'!$F$13),"",IF('Projektübersicht'!$F$11+13&lt;='Projektübersicht'!$F$13,'Projektübersicht'!$F$11+13,""))</f>
        <v/>
      </c>
      <c r="AA15" t="n">
        <v>14</v>
      </c>
      <c r="AB15" s="175">
        <f>IF(OR('Projektübersicht'!$F$11="",'Projektübersicht'!$F$13="",'Projektübersicht'!$F$11&gt;'Projektübersicht'!$F$13),"",IF(WORKDAY.INTL('Projektübersicht'!$F$11-1,14,"0000001")&lt;='Projektübersicht'!$F$13,WORKDAY.INTL('Projektübersicht'!$F$11-1,14,"0000001"),""))</f>
        <v/>
      </c>
      <c r="AC15" t="n">
        <v>14</v>
      </c>
    </row>
    <row r="16">
      <c r="B16" s="192" t="inlineStr">
        <is>
          <t>Kettler</t>
        </is>
      </c>
      <c r="E16" s="109" t="n">
        <v>46143</v>
      </c>
      <c r="F16" t="inlineStr">
        <is>
          <t>Tag der Arbeit</t>
        </is>
      </c>
      <c r="G16" t="inlineStr">
        <is>
          <t>https://gesetze.berlin.de/perma?j=FeiertG_BE</t>
        </is>
      </c>
      <c r="Z16" s="175">
        <f>IF(OR('Projektübersicht'!$F$11="",'Projektübersicht'!$F$13="",'Projektübersicht'!$F$11&gt;'Projektübersicht'!$F$13),"",IF('Projektübersicht'!$F$11+14&lt;='Projektübersicht'!$F$13,'Projektübersicht'!$F$11+14,""))</f>
        <v/>
      </c>
      <c r="AA16" t="n">
        <v>15</v>
      </c>
      <c r="AB16" s="175">
        <f>IF(OR('Projektübersicht'!$F$11="",'Projektübersicht'!$F$13="",'Projektübersicht'!$F$11&gt;'Projektübersicht'!$F$13),"",IF(WORKDAY.INTL('Projektübersicht'!$F$11-1,15,"0000001")&lt;='Projektübersicht'!$F$13,WORKDAY.INTL('Projektübersicht'!$F$11-1,15,"0000001"),""))</f>
        <v/>
      </c>
      <c r="AC16" t="n">
        <v>15</v>
      </c>
    </row>
    <row r="17">
      <c r="B17" s="192" t="inlineStr">
        <is>
          <t>Lohmeyer</t>
        </is>
      </c>
      <c r="E17" s="109" t="n">
        <v>46156</v>
      </c>
      <c r="F17" t="inlineStr">
        <is>
          <t>Christi Himmelfahrt</t>
        </is>
      </c>
      <c r="G17" t="inlineStr">
        <is>
          <t>https://gesetze.berlin.de/perma?j=FeiertG_BE</t>
        </is>
      </c>
      <c r="Z17" s="175">
        <f>IF(OR('Projektübersicht'!$F$11="",'Projektübersicht'!$F$13="",'Projektübersicht'!$F$11&gt;'Projektübersicht'!$F$13),"",IF('Projektübersicht'!$F$11+15&lt;='Projektübersicht'!$F$13,'Projektübersicht'!$F$11+15,""))</f>
        <v/>
      </c>
      <c r="AA17" t="n">
        <v>16</v>
      </c>
      <c r="AB17" s="175">
        <f>IF(OR('Projektübersicht'!$F$11="",'Projektübersicht'!$F$13="",'Projektübersicht'!$F$11&gt;'Projektübersicht'!$F$13),"",IF(WORKDAY.INTL('Projektübersicht'!$F$11-1,16,"0000001")&lt;='Projektübersicht'!$F$13,WORKDAY.INTL('Projektübersicht'!$F$11-1,16,"0000001"),""))</f>
        <v/>
      </c>
      <c r="AC17" t="n">
        <v>16</v>
      </c>
    </row>
    <row r="18">
      <c r="B18" s="192" t="inlineStr">
        <is>
          <t>Mertens</t>
        </is>
      </c>
      <c r="E18" s="109" t="n">
        <v>46167</v>
      </c>
      <c r="F18" t="inlineStr">
        <is>
          <t>Pfingstmontag</t>
        </is>
      </c>
      <c r="G18" t="inlineStr">
        <is>
          <t>https://gesetze.berlin.de/perma?j=FeiertG_BE</t>
        </is>
      </c>
      <c r="Z18" s="175">
        <f>IF(OR('Projektübersicht'!$F$11="",'Projektübersicht'!$F$13="",'Projektübersicht'!$F$11&gt;'Projektübersicht'!$F$13),"",IF('Projektübersicht'!$F$11+16&lt;='Projektübersicht'!$F$13,'Projektübersicht'!$F$11+16,""))</f>
        <v/>
      </c>
      <c r="AA18" t="n">
        <v>17</v>
      </c>
      <c r="AB18" s="175">
        <f>IF(OR('Projektübersicht'!$F$11="",'Projektübersicht'!$F$13="",'Projektübersicht'!$F$11&gt;'Projektübersicht'!$F$13),"",IF(WORKDAY.INTL('Projektübersicht'!$F$11-1,17,"0000001")&lt;='Projektübersicht'!$F$13,WORKDAY.INTL('Projektübersicht'!$F$11-1,17,"0000001"),""))</f>
        <v/>
      </c>
      <c r="AC18" t="n">
        <v>17</v>
      </c>
    </row>
    <row r="19">
      <c r="B19" s="192" t="inlineStr">
        <is>
          <t>Osterloh</t>
        </is>
      </c>
      <c r="E19" s="109" t="n">
        <v>46298</v>
      </c>
      <c r="F19" t="inlineStr">
        <is>
          <t>Tag der Deutschen Einheit</t>
        </is>
      </c>
      <c r="G19" t="inlineStr">
        <is>
          <t>https://gesetze.berlin.de/perma?j=FeiertG_BE</t>
        </is>
      </c>
      <c r="Z19" s="175">
        <f>IF(OR('Projektübersicht'!$F$11="",'Projektübersicht'!$F$13="",'Projektübersicht'!$F$11&gt;'Projektübersicht'!$F$13),"",IF('Projektübersicht'!$F$11+17&lt;='Projektübersicht'!$F$13,'Projektübersicht'!$F$11+17,""))</f>
        <v/>
      </c>
      <c r="AA19" t="n">
        <v>18</v>
      </c>
      <c r="AB19" s="175">
        <f>IF(OR('Projektübersicht'!$F$11="",'Projektübersicht'!$F$13="",'Projektübersicht'!$F$11&gt;'Projektübersicht'!$F$13),"",IF(WORKDAY.INTL('Projektübersicht'!$F$11-1,18,"0000001")&lt;='Projektübersicht'!$F$13,WORKDAY.INTL('Projektübersicht'!$F$11-1,18,"0000001"),""))</f>
        <v/>
      </c>
      <c r="AC19" t="n">
        <v>18</v>
      </c>
    </row>
    <row r="20">
      <c r="B20" s="192" t="inlineStr">
        <is>
          <t>Petzold</t>
        </is>
      </c>
      <c r="E20" s="109" t="n">
        <v>46381</v>
      </c>
      <c r="F20" t="inlineStr">
        <is>
          <t>1. Weihnachtsfeiertag</t>
        </is>
      </c>
      <c r="G20" t="inlineStr">
        <is>
          <t>https://gesetze.berlin.de/perma?j=FeiertG_BE</t>
        </is>
      </c>
      <c r="Z20" s="175">
        <f>IF(OR('Projektübersicht'!$F$11="",'Projektübersicht'!$F$13="",'Projektübersicht'!$F$11&gt;'Projektübersicht'!$F$13),"",IF('Projektübersicht'!$F$11+18&lt;='Projektübersicht'!$F$13,'Projektübersicht'!$F$11+18,""))</f>
        <v/>
      </c>
      <c r="AA20" t="n">
        <v>19</v>
      </c>
      <c r="AB20" s="175">
        <f>IF(OR('Projektübersicht'!$F$11="",'Projektübersicht'!$F$13="",'Projektübersicht'!$F$11&gt;'Projektübersicht'!$F$13),"",IF(WORKDAY.INTL('Projektübersicht'!$F$11-1,19,"0000001")&lt;='Projektübersicht'!$F$13,WORKDAY.INTL('Projektübersicht'!$F$11-1,19,"0000001"),""))</f>
        <v/>
      </c>
      <c r="AC20" t="n">
        <v>19</v>
      </c>
    </row>
    <row r="21">
      <c r="B21" s="192" t="inlineStr">
        <is>
          <t>Reichardt</t>
        </is>
      </c>
      <c r="E21" s="109" t="n">
        <v>46382</v>
      </c>
      <c r="F21" t="inlineStr">
        <is>
          <t>2. Weihnachtsfeiertag</t>
        </is>
      </c>
      <c r="G21" t="inlineStr">
        <is>
          <t>https://gesetze.berlin.de/perma?j=FeiertG_BE</t>
        </is>
      </c>
      <c r="Z21" s="175">
        <f>IF(OR('Projektübersicht'!$F$11="",'Projektübersicht'!$F$13="",'Projektübersicht'!$F$11&gt;'Projektübersicht'!$F$13),"",IF('Projektübersicht'!$F$11+19&lt;='Projektübersicht'!$F$13,'Projektübersicht'!$F$11+19,""))</f>
        <v/>
      </c>
      <c r="AA21" t="n">
        <v>20</v>
      </c>
      <c r="AB21" s="175">
        <f>IF(OR('Projektübersicht'!$F$11="",'Projektübersicht'!$F$13="",'Projektübersicht'!$F$11&gt;'Projektübersicht'!$F$13),"",IF(WORKDAY.INTL('Projektübersicht'!$F$11-1,20,"0000001")&lt;='Projektübersicht'!$F$13,WORKDAY.INTL('Projektübersicht'!$F$11-1,20,"0000001"),""))</f>
        <v/>
      </c>
      <c r="AC21" t="n">
        <v>20</v>
      </c>
    </row>
    <row r="22">
      <c r="B22" s="192" t="inlineStr">
        <is>
          <t>Sandbrink</t>
        </is>
      </c>
      <c r="E22" s="109" t="n">
        <v>46388</v>
      </c>
      <c r="F22" t="inlineStr">
        <is>
          <t>Neujahr</t>
        </is>
      </c>
      <c r="G22" t="inlineStr">
        <is>
          <t>https://gesetze.berlin.de/perma?j=FeiertG_BE</t>
        </is>
      </c>
      <c r="Z22" s="175">
        <f>IF(OR('Projektübersicht'!$F$11="",'Projektübersicht'!$F$13="",'Projektübersicht'!$F$11&gt;'Projektübersicht'!$F$13),"",IF('Projektübersicht'!$F$11+20&lt;='Projektübersicht'!$F$13,'Projektübersicht'!$F$11+20,""))</f>
        <v/>
      </c>
      <c r="AA22" t="n">
        <v>21</v>
      </c>
      <c r="AB22" s="175">
        <f>IF(OR('Projektübersicht'!$F$11="",'Projektübersicht'!$F$13="",'Projektübersicht'!$F$11&gt;'Projektübersicht'!$F$13),"",IF(WORKDAY.INTL('Projektübersicht'!$F$11-1,21,"0000001")&lt;='Projektübersicht'!$F$13,WORKDAY.INTL('Projektübersicht'!$F$11-1,21,"0000001"),""))</f>
        <v/>
      </c>
      <c r="AC22" t="n">
        <v>21</v>
      </c>
    </row>
    <row r="23">
      <c r="B23" s="192" t="inlineStr">
        <is>
          <t>Terhorst</t>
        </is>
      </c>
      <c r="E23" s="109" t="n">
        <v>46454</v>
      </c>
      <c r="F23" t="inlineStr">
        <is>
          <t>Internationaler Frauentag</t>
        </is>
      </c>
      <c r="G23" t="inlineStr">
        <is>
          <t>https://gesetze.berlin.de/perma?j=FeiertG_BE</t>
        </is>
      </c>
      <c r="Z23" s="175">
        <f>IF(OR('Projektübersicht'!$F$11="",'Projektübersicht'!$F$13="",'Projektübersicht'!$F$11&gt;'Projektübersicht'!$F$13),"",IF('Projektübersicht'!$F$11+21&lt;='Projektübersicht'!$F$13,'Projektübersicht'!$F$11+21,""))</f>
        <v/>
      </c>
      <c r="AA23" t="n">
        <v>22</v>
      </c>
      <c r="AB23" s="175">
        <f>IF(OR('Projektübersicht'!$F$11="",'Projektübersicht'!$F$13="",'Projektübersicht'!$F$11&gt;'Projektübersicht'!$F$13),"",IF(WORKDAY.INTL('Projektübersicht'!$F$11-1,22,"0000001")&lt;='Projektübersicht'!$F$13,WORKDAY.INTL('Projektübersicht'!$F$11-1,22,"0000001"),""))</f>
        <v/>
      </c>
      <c r="AC23" t="n">
        <v>22</v>
      </c>
    </row>
    <row r="24">
      <c r="B24" s="192" t="inlineStr">
        <is>
          <t>SO (extern)</t>
        </is>
      </c>
      <c r="E24" s="109" t="n">
        <v>46472</v>
      </c>
      <c r="F24" t="inlineStr">
        <is>
          <t>Karfreitag</t>
        </is>
      </c>
      <c r="G24" t="inlineStr">
        <is>
          <t>https://gesetze.berlin.de/perma?j=FeiertG_BE</t>
        </is>
      </c>
      <c r="Z24" s="175">
        <f>IF(OR('Projektübersicht'!$F$11="",'Projektübersicht'!$F$13="",'Projektübersicht'!$F$11&gt;'Projektübersicht'!$F$13),"",IF('Projektübersicht'!$F$11+22&lt;='Projektübersicht'!$F$13,'Projektübersicht'!$F$11+22,""))</f>
        <v/>
      </c>
      <c r="AA24" t="n">
        <v>23</v>
      </c>
      <c r="AB24" s="175">
        <f>IF(OR('Projektübersicht'!$F$11="",'Projektübersicht'!$F$13="",'Projektübersicht'!$F$11&gt;'Projektübersicht'!$F$13),"",IF(WORKDAY.INTL('Projektübersicht'!$F$11-1,23,"0000001")&lt;='Projektübersicht'!$F$13,WORKDAY.INTL('Projektübersicht'!$F$11-1,23,"0000001"),""))</f>
        <v/>
      </c>
      <c r="AC24" t="n">
        <v>23</v>
      </c>
    </row>
    <row r="25">
      <c r="B25" s="192" t="inlineStr">
        <is>
          <t>Uhlig</t>
        </is>
      </c>
      <c r="E25" s="109" t="n">
        <v>46475</v>
      </c>
      <c r="F25" t="inlineStr">
        <is>
          <t>Ostermontag</t>
        </is>
      </c>
      <c r="G25" t="inlineStr">
        <is>
          <t>https://gesetze.berlin.de/perma?j=FeiertG_BE</t>
        </is>
      </c>
      <c r="Z25" s="175">
        <f>IF(OR('Projektübersicht'!$F$11="",'Projektübersicht'!$F$13="",'Projektübersicht'!$F$11&gt;'Projektübersicht'!$F$13),"",IF('Projektübersicht'!$F$11+23&lt;='Projektübersicht'!$F$13,'Projektübersicht'!$F$11+23,""))</f>
        <v/>
      </c>
      <c r="AA25" t="n">
        <v>24</v>
      </c>
      <c r="AB25" s="175">
        <f>IF(OR('Projektübersicht'!$F$11="",'Projektübersicht'!$F$13="",'Projektübersicht'!$F$11&gt;'Projektübersicht'!$F$13),"",IF(WORKDAY.INTL('Projektübersicht'!$F$11-1,24,"0000001")&lt;='Projektübersicht'!$F$13,WORKDAY.INTL('Projektübersicht'!$F$11-1,24,"0000001"),""))</f>
        <v/>
      </c>
      <c r="AC25" t="n">
        <v>24</v>
      </c>
    </row>
    <row r="26">
      <c r="B26" s="192" t="inlineStr">
        <is>
          <t>Vollmert</t>
        </is>
      </c>
      <c r="E26" s="109" t="n">
        <v>46508</v>
      </c>
      <c r="F26" t="inlineStr">
        <is>
          <t>Tag der Arbeit</t>
        </is>
      </c>
      <c r="G26" t="inlineStr">
        <is>
          <t>https://gesetze.berlin.de/perma?j=FeiertG_BE</t>
        </is>
      </c>
      <c r="Z26" s="175">
        <f>IF(OR('Projektübersicht'!$F$11="",'Projektübersicht'!$F$13="",'Projektübersicht'!$F$11&gt;'Projektübersicht'!$F$13),"",IF('Projektübersicht'!$F$11+24&lt;='Projektübersicht'!$F$13,'Projektübersicht'!$F$11+24,""))</f>
        <v/>
      </c>
      <c r="AA26" t="n">
        <v>25</v>
      </c>
      <c r="AB26" s="175">
        <f>IF(OR('Projektübersicht'!$F$11="",'Projektübersicht'!$F$13="",'Projektübersicht'!$F$11&gt;'Projektübersicht'!$F$13),"",IF(WORKDAY.INTL('Projektübersicht'!$F$11-1,25,"0000001")&lt;='Projektübersicht'!$F$13,WORKDAY.INTL('Projektübersicht'!$F$11-1,25,"0000001"),""))</f>
        <v/>
      </c>
      <c r="AC26" t="n">
        <v>25</v>
      </c>
    </row>
    <row r="27">
      <c r="B27" s="192" t="inlineStr">
        <is>
          <t>Wesseling</t>
        </is>
      </c>
      <c r="E27" s="109" t="n">
        <v>46513</v>
      </c>
      <c r="F27" t="inlineStr">
        <is>
          <t>Christi Himmelfahrt</t>
        </is>
      </c>
      <c r="G27" t="inlineStr">
        <is>
          <t>https://gesetze.berlin.de/perma?j=FeiertG_BE</t>
        </is>
      </c>
      <c r="Z27" s="175">
        <f>IF(OR('Projektübersicht'!$F$11="",'Projektübersicht'!$F$13="",'Projektübersicht'!$F$11&gt;'Projektübersicht'!$F$13),"",IF('Projektübersicht'!$F$11+25&lt;='Projektübersicht'!$F$13,'Projektübersicht'!$F$11+25,""))</f>
        <v/>
      </c>
      <c r="AA27" t="n">
        <v>26</v>
      </c>
      <c r="AB27" s="175">
        <f>IF(OR('Projektübersicht'!$F$11="",'Projektübersicht'!$F$13="",'Projektübersicht'!$F$11&gt;'Projektübersicht'!$F$13),"",IF(WORKDAY.INTL('Projektübersicht'!$F$11-1,26,"0000001")&lt;='Projektübersicht'!$F$13,WORKDAY.INTL('Projektübersicht'!$F$11-1,26,"0000001"),""))</f>
        <v/>
      </c>
      <c r="AC27" t="n">
        <v>26</v>
      </c>
    </row>
    <row r="28">
      <c r="B28" s="192" t="inlineStr">
        <is>
          <t>Nowak</t>
        </is>
      </c>
      <c r="E28" s="109" t="n">
        <v>46524</v>
      </c>
      <c r="F28" t="inlineStr">
        <is>
          <t>Pfingstmontag</t>
        </is>
      </c>
      <c r="G28" t="inlineStr">
        <is>
          <t>https://gesetze.berlin.de/perma?j=FeiertG_BE</t>
        </is>
      </c>
      <c r="Z28" s="175">
        <f>IF(OR('Projektübersicht'!$F$11="",'Projektübersicht'!$F$13="",'Projektübersicht'!$F$11&gt;'Projektübersicht'!$F$13),"",IF('Projektübersicht'!$F$11+26&lt;='Projektübersicht'!$F$13,'Projektübersicht'!$F$11+26,""))</f>
        <v/>
      </c>
      <c r="AA28" t="n">
        <v>27</v>
      </c>
      <c r="AB28" s="175">
        <f>IF(OR('Projektübersicht'!$F$11="",'Projektübersicht'!$F$13="",'Projektübersicht'!$F$11&gt;'Projektübersicht'!$F$13),"",IF(WORKDAY.INTL('Projektübersicht'!$F$11-1,27,"0000001")&lt;='Projektübersicht'!$F$13,WORKDAY.INTL('Projektübersicht'!$F$11-1,27,"0000001"),""))</f>
        <v/>
      </c>
      <c r="AC28" t="n">
        <v>27</v>
      </c>
    </row>
    <row r="29">
      <c r="B29" s="192" t="inlineStr">
        <is>
          <t>Öztürk</t>
        </is>
      </c>
      <c r="E29" s="109" t="n">
        <v>46663</v>
      </c>
      <c r="F29" t="inlineStr">
        <is>
          <t>Tag der Deutschen Einheit</t>
        </is>
      </c>
      <c r="G29" t="inlineStr">
        <is>
          <t>https://gesetze.berlin.de/perma?j=FeiertG_BE</t>
        </is>
      </c>
      <c r="Z29" s="175">
        <f>IF(OR('Projektübersicht'!$F$11="",'Projektübersicht'!$F$13="",'Projektübersicht'!$F$11&gt;'Projektübersicht'!$F$13),"",IF('Projektübersicht'!$F$11+27&lt;='Projektübersicht'!$F$13,'Projektübersicht'!$F$11+27,""))</f>
        <v/>
      </c>
      <c r="AA29" t="n">
        <v>28</v>
      </c>
      <c r="AB29" s="175">
        <f>IF(OR('Projektübersicht'!$F$11="",'Projektübersicht'!$F$13="",'Projektübersicht'!$F$11&gt;'Projektübersicht'!$F$13),"",IF(WORKDAY.INTL('Projektübersicht'!$F$11-1,28,"0000001")&lt;='Projektübersicht'!$F$13,WORKDAY.INTL('Projektübersicht'!$F$11-1,28,"0000001"),""))</f>
        <v/>
      </c>
      <c r="AC29" t="n">
        <v>28</v>
      </c>
    </row>
    <row r="30">
      <c r="E30" s="109" t="n">
        <v>46746</v>
      </c>
      <c r="F30" t="inlineStr">
        <is>
          <t>1. Weihnachtsfeiertag</t>
        </is>
      </c>
      <c r="G30" t="inlineStr">
        <is>
          <t>https://gesetze.berlin.de/perma?j=FeiertG_BE</t>
        </is>
      </c>
      <c r="Z30" s="175">
        <f>IF(OR('Projektübersicht'!$F$11="",'Projektübersicht'!$F$13="",'Projektübersicht'!$F$11&gt;'Projektübersicht'!$F$13),"",IF('Projektübersicht'!$F$11+28&lt;='Projektübersicht'!$F$13,'Projektübersicht'!$F$11+28,""))</f>
        <v/>
      </c>
      <c r="AA30" t="n">
        <v>29</v>
      </c>
      <c r="AB30" s="175">
        <f>IF(OR('Projektübersicht'!$F$11="",'Projektübersicht'!$F$13="",'Projektübersicht'!$F$11&gt;'Projektübersicht'!$F$13),"",IF(WORKDAY.INTL('Projektübersicht'!$F$11-1,29,"0000001")&lt;='Projektübersicht'!$F$13,WORKDAY.INTL('Projektübersicht'!$F$11-1,29,"0000001"),""))</f>
        <v/>
      </c>
      <c r="AC30" t="n">
        <v>29</v>
      </c>
    </row>
    <row r="31">
      <c r="E31" s="109" t="n">
        <v>46747</v>
      </c>
      <c r="F31" t="inlineStr">
        <is>
          <t>2. Weihnachtsfeiertag</t>
        </is>
      </c>
      <c r="G31" t="inlineStr">
        <is>
          <t>https://gesetze.berlin.de/perma?j=FeiertG_BE</t>
        </is>
      </c>
      <c r="Z31" s="175">
        <f>IF(OR('Projektübersicht'!$F$11="",'Projektübersicht'!$F$13="",'Projektübersicht'!$F$11&gt;'Projektübersicht'!$F$13),"",IF('Projektübersicht'!$F$11+29&lt;='Projektübersicht'!$F$13,'Projektübersicht'!$F$11+29,""))</f>
        <v/>
      </c>
      <c r="AA31" t="n">
        <v>30</v>
      </c>
      <c r="AB31" s="175">
        <f>IF(OR('Projektübersicht'!$F$11="",'Projektübersicht'!$F$13="",'Projektübersicht'!$F$11&gt;'Projektübersicht'!$F$13),"",IF(WORKDAY.INTL('Projektübersicht'!$F$11-1,30,"0000001")&lt;='Projektübersicht'!$F$13,WORKDAY.INTL('Projektübersicht'!$F$11-1,30,"0000001"),""))</f>
        <v/>
      </c>
      <c r="AC31" t="n">
        <v>30</v>
      </c>
    </row>
    <row r="32">
      <c r="E32" s="109" t="n">
        <v>46753</v>
      </c>
      <c r="F32" t="inlineStr">
        <is>
          <t>Neujahr</t>
        </is>
      </c>
      <c r="G32" t="inlineStr">
        <is>
          <t>https://gesetze.berlin.de/perma?j=FeiertG_BE</t>
        </is>
      </c>
      <c r="Z32" s="175">
        <f>IF(OR('Projektübersicht'!$F$11="",'Projektübersicht'!$F$13="",'Projektübersicht'!$F$11&gt;'Projektübersicht'!$F$13),"",IF('Projektübersicht'!$F$11+30&lt;='Projektübersicht'!$F$13,'Projektübersicht'!$F$11+30,""))</f>
        <v/>
      </c>
      <c r="AA32" t="n">
        <v>31</v>
      </c>
      <c r="AB32" s="175">
        <f>IF(OR('Projektübersicht'!$F$11="",'Projektübersicht'!$F$13="",'Projektübersicht'!$F$11&gt;'Projektübersicht'!$F$13),"",IF(WORKDAY.INTL('Projektübersicht'!$F$11-1,31,"0000001")&lt;='Projektübersicht'!$F$13,WORKDAY.INTL('Projektübersicht'!$F$11-1,31,"0000001"),""))</f>
        <v/>
      </c>
      <c r="AC32" t="n">
        <v>31</v>
      </c>
    </row>
    <row r="33">
      <c r="E33" s="109" t="n">
        <v>46820</v>
      </c>
      <c r="F33" t="inlineStr">
        <is>
          <t>Internationaler Frauentag</t>
        </is>
      </c>
      <c r="G33" t="inlineStr">
        <is>
          <t>https://gesetze.berlin.de/perma?j=FeiertG_BE</t>
        </is>
      </c>
      <c r="Z33" s="175">
        <f>IF(OR('Projektübersicht'!$F$11="",'Projektübersicht'!$F$13="",'Projektübersicht'!$F$11&gt;'Projektübersicht'!$F$13),"",IF('Projektübersicht'!$F$11+31&lt;='Projektübersicht'!$F$13,'Projektübersicht'!$F$11+31,""))</f>
        <v/>
      </c>
      <c r="AA33" t="n">
        <v>32</v>
      </c>
      <c r="AB33" s="175">
        <f>IF(OR('Projektübersicht'!$F$11="",'Projektübersicht'!$F$13="",'Projektübersicht'!$F$11&gt;'Projektübersicht'!$F$13),"",IF(WORKDAY.INTL('Projektübersicht'!$F$11-1,32,"0000001")&lt;='Projektübersicht'!$F$13,WORKDAY.INTL('Projektübersicht'!$F$11-1,32,"0000001"),""))</f>
        <v/>
      </c>
      <c r="AC33" t="n">
        <v>32</v>
      </c>
    </row>
    <row r="34">
      <c r="E34" s="109" t="n">
        <v>46857</v>
      </c>
      <c r="F34" t="inlineStr">
        <is>
          <t>Karfreitag</t>
        </is>
      </c>
      <c r="G34" t="inlineStr">
        <is>
          <t>https://gesetze.berlin.de/perma?j=FeiertG_BE</t>
        </is>
      </c>
      <c r="Z34" s="175">
        <f>IF(OR('Projektübersicht'!$F$11="",'Projektübersicht'!$F$13="",'Projektübersicht'!$F$11&gt;'Projektübersicht'!$F$13),"",IF('Projektübersicht'!$F$11+32&lt;='Projektübersicht'!$F$13,'Projektübersicht'!$F$11+32,""))</f>
        <v/>
      </c>
      <c r="AA34" t="n">
        <v>33</v>
      </c>
      <c r="AB34" s="175">
        <f>IF(OR('Projektübersicht'!$F$11="",'Projektübersicht'!$F$13="",'Projektübersicht'!$F$11&gt;'Projektübersicht'!$F$13),"",IF(WORKDAY.INTL('Projektübersicht'!$F$11-1,33,"0000001")&lt;='Projektübersicht'!$F$13,WORKDAY.INTL('Projektübersicht'!$F$11-1,33,"0000001"),""))</f>
        <v/>
      </c>
      <c r="AC34" t="n">
        <v>33</v>
      </c>
    </row>
    <row r="35">
      <c r="E35" s="109" t="n">
        <v>46860</v>
      </c>
      <c r="F35" t="inlineStr">
        <is>
          <t>Ostermontag</t>
        </is>
      </c>
      <c r="G35" t="inlineStr">
        <is>
          <t>https://gesetze.berlin.de/perma?j=FeiertG_BE</t>
        </is>
      </c>
      <c r="Z35" s="175">
        <f>IF(OR('Projektübersicht'!$F$11="",'Projektübersicht'!$F$13="",'Projektübersicht'!$F$11&gt;'Projektübersicht'!$F$13),"",IF('Projektübersicht'!$F$11+33&lt;='Projektübersicht'!$F$13,'Projektübersicht'!$F$11+33,""))</f>
        <v/>
      </c>
      <c r="AA35" t="n">
        <v>34</v>
      </c>
      <c r="AB35" s="175">
        <f>IF(OR('Projektübersicht'!$F$11="",'Projektübersicht'!$F$13="",'Projektübersicht'!$F$11&gt;'Projektübersicht'!$F$13),"",IF(WORKDAY.INTL('Projektübersicht'!$F$11-1,34,"0000001")&lt;='Projektübersicht'!$F$13,WORKDAY.INTL('Projektübersicht'!$F$11-1,34,"0000001"),""))</f>
        <v/>
      </c>
      <c r="AC35" t="n">
        <v>34</v>
      </c>
    </row>
    <row r="36">
      <c r="E36" s="109" t="n">
        <v>46874</v>
      </c>
      <c r="F36" t="inlineStr">
        <is>
          <t>Tag der Arbeit</t>
        </is>
      </c>
      <c r="G36" t="inlineStr">
        <is>
          <t>https://gesetze.berlin.de/perma?j=FeiertG_BE</t>
        </is>
      </c>
      <c r="Z36" s="175">
        <f>IF(OR('Projektübersicht'!$F$11="",'Projektübersicht'!$F$13="",'Projektübersicht'!$F$11&gt;'Projektübersicht'!$F$13),"",IF('Projektübersicht'!$F$11+34&lt;='Projektübersicht'!$F$13,'Projektübersicht'!$F$11+34,""))</f>
        <v/>
      </c>
      <c r="AA36" t="n">
        <v>35</v>
      </c>
      <c r="AB36" s="175">
        <f>IF(OR('Projektübersicht'!$F$11="",'Projektübersicht'!$F$13="",'Projektübersicht'!$F$11&gt;'Projektübersicht'!$F$13),"",IF(WORKDAY.INTL('Projektübersicht'!$F$11-1,35,"0000001")&lt;='Projektübersicht'!$F$13,WORKDAY.INTL('Projektübersicht'!$F$11-1,35,"0000001"),""))</f>
        <v/>
      </c>
      <c r="AC36" t="n">
        <v>35</v>
      </c>
    </row>
    <row r="37">
      <c r="E37" s="109" t="n">
        <v>46898</v>
      </c>
      <c r="F37" t="inlineStr">
        <is>
          <t>Christi Himmelfahrt</t>
        </is>
      </c>
      <c r="G37" t="inlineStr">
        <is>
          <t>https://gesetze.berlin.de/perma?j=FeiertG_BE</t>
        </is>
      </c>
      <c r="Z37" s="175">
        <f>IF(OR('Projektübersicht'!$F$11="",'Projektübersicht'!$F$13="",'Projektübersicht'!$F$11&gt;'Projektübersicht'!$F$13),"",IF('Projektübersicht'!$F$11+35&lt;='Projektübersicht'!$F$13,'Projektübersicht'!$F$11+35,""))</f>
        <v/>
      </c>
      <c r="AA37" t="n">
        <v>36</v>
      </c>
      <c r="AB37" s="175">
        <f>IF(OR('Projektübersicht'!$F$11="",'Projektübersicht'!$F$13="",'Projektübersicht'!$F$11&gt;'Projektübersicht'!$F$13),"",IF(WORKDAY.INTL('Projektübersicht'!$F$11-1,36,"0000001")&lt;='Projektübersicht'!$F$13,WORKDAY.INTL('Projektübersicht'!$F$11-1,36,"0000001"),""))</f>
        <v/>
      </c>
      <c r="AC37" t="n">
        <v>36</v>
      </c>
    </row>
    <row r="38">
      <c r="E38" s="109" t="n">
        <v>46909</v>
      </c>
      <c r="F38" t="inlineStr">
        <is>
          <t>Pfingstmontag</t>
        </is>
      </c>
      <c r="G38" t="inlineStr">
        <is>
          <t>https://gesetze.berlin.de/perma?j=FeiertG_BE</t>
        </is>
      </c>
      <c r="Z38" s="175">
        <f>IF(OR('Projektübersicht'!$F$11="",'Projektübersicht'!$F$13="",'Projektübersicht'!$F$11&gt;'Projektübersicht'!$F$13),"",IF('Projektübersicht'!$F$11+36&lt;='Projektübersicht'!$F$13,'Projektübersicht'!$F$11+36,""))</f>
        <v/>
      </c>
      <c r="AA38" t="n">
        <v>37</v>
      </c>
      <c r="AB38" s="175">
        <f>IF(OR('Projektübersicht'!$F$11="",'Projektübersicht'!$F$13="",'Projektübersicht'!$F$11&gt;'Projektübersicht'!$F$13),"",IF(WORKDAY.INTL('Projektübersicht'!$F$11-1,37,"0000001")&lt;='Projektübersicht'!$F$13,WORKDAY.INTL('Projektübersicht'!$F$11-1,37,"0000001"),""))</f>
        <v/>
      </c>
      <c r="AC38" t="n">
        <v>37</v>
      </c>
    </row>
    <row r="39">
      <c r="E39" s="109" t="n">
        <v>46921</v>
      </c>
      <c r="F39" t="inlineStr">
        <is>
          <t>75. Jahrestag des Volksaufstands vom 17. Juni 1953</t>
        </is>
      </c>
      <c r="G39" t="inlineStr">
        <is>
          <t>https://gesetze.berlin.de/perma?j=FeiertG_BE</t>
        </is>
      </c>
      <c r="Z39" s="175">
        <f>IF(OR('Projektübersicht'!$F$11="",'Projektübersicht'!$F$13="",'Projektübersicht'!$F$11&gt;'Projektübersicht'!$F$13),"",IF('Projektübersicht'!$F$11+37&lt;='Projektübersicht'!$F$13,'Projektübersicht'!$F$11+37,""))</f>
        <v/>
      </c>
      <c r="AA39" t="n">
        <v>38</v>
      </c>
      <c r="AB39" s="175">
        <f>IF(OR('Projektübersicht'!$F$11="",'Projektübersicht'!$F$13="",'Projektübersicht'!$F$11&gt;'Projektübersicht'!$F$13),"",IF(WORKDAY.INTL('Projektübersicht'!$F$11-1,38,"0000001")&lt;='Projektübersicht'!$F$13,WORKDAY.INTL('Projektübersicht'!$F$11-1,38,"0000001"),""))</f>
        <v/>
      </c>
      <c r="AC39" t="n">
        <v>38</v>
      </c>
    </row>
    <row r="40">
      <c r="E40" s="109" t="n">
        <v>47029</v>
      </c>
      <c r="F40" t="inlineStr">
        <is>
          <t>Tag der Deutschen Einheit</t>
        </is>
      </c>
      <c r="G40" t="inlineStr">
        <is>
          <t>https://gesetze.berlin.de/perma?j=FeiertG_BE</t>
        </is>
      </c>
      <c r="Z40" s="175">
        <f>IF(OR('Projektübersicht'!$F$11="",'Projektübersicht'!$F$13="",'Projektübersicht'!$F$11&gt;'Projektübersicht'!$F$13),"",IF('Projektübersicht'!$F$11+38&lt;='Projektübersicht'!$F$13,'Projektübersicht'!$F$11+38,""))</f>
        <v/>
      </c>
      <c r="AA40" t="n">
        <v>39</v>
      </c>
      <c r="AB40" s="175">
        <f>IF(OR('Projektübersicht'!$F$11="",'Projektübersicht'!$F$13="",'Projektübersicht'!$F$11&gt;'Projektübersicht'!$F$13),"",IF(WORKDAY.INTL('Projektübersicht'!$F$11-1,39,"0000001")&lt;='Projektübersicht'!$F$13,WORKDAY.INTL('Projektübersicht'!$F$11-1,39,"0000001"),""))</f>
        <v/>
      </c>
      <c r="AC40" t="n">
        <v>39</v>
      </c>
    </row>
    <row r="41">
      <c r="E41" s="109" t="n">
        <v>47112</v>
      </c>
      <c r="F41" t="inlineStr">
        <is>
          <t>1. Weihnachtsfeiertag</t>
        </is>
      </c>
      <c r="G41" t="inlineStr">
        <is>
          <t>https://gesetze.berlin.de/perma?j=FeiertG_BE</t>
        </is>
      </c>
      <c r="Z41" s="175">
        <f>IF(OR('Projektübersicht'!$F$11="",'Projektübersicht'!$F$13="",'Projektübersicht'!$F$11&gt;'Projektübersicht'!$F$13),"",IF('Projektübersicht'!$F$11+39&lt;='Projektübersicht'!$F$13,'Projektübersicht'!$F$11+39,""))</f>
        <v/>
      </c>
      <c r="AA41" t="n">
        <v>40</v>
      </c>
      <c r="AB41" s="175">
        <f>IF(OR('Projektübersicht'!$F$11="",'Projektübersicht'!$F$13="",'Projektübersicht'!$F$11&gt;'Projektübersicht'!$F$13),"",IF(WORKDAY.INTL('Projektübersicht'!$F$11-1,40,"0000001")&lt;='Projektübersicht'!$F$13,WORKDAY.INTL('Projektübersicht'!$F$11-1,40,"0000001"),""))</f>
        <v/>
      </c>
      <c r="AC41" t="n">
        <v>40</v>
      </c>
    </row>
    <row r="42">
      <c r="E42" s="109" t="n">
        <v>47113</v>
      </c>
      <c r="F42" t="inlineStr">
        <is>
          <t>2. Weihnachtsfeiertag</t>
        </is>
      </c>
      <c r="G42" t="inlineStr">
        <is>
          <t>https://gesetze.berlin.de/perma?j=FeiertG_BE</t>
        </is>
      </c>
      <c r="Z42" s="175">
        <f>IF(OR('Projektübersicht'!$F$11="",'Projektübersicht'!$F$13="",'Projektübersicht'!$F$11&gt;'Projektübersicht'!$F$13),"",IF('Projektübersicht'!$F$11+40&lt;='Projektübersicht'!$F$13,'Projektübersicht'!$F$11+40,""))</f>
        <v/>
      </c>
      <c r="AA42" t="n">
        <v>41</v>
      </c>
      <c r="AB42" s="175">
        <f>IF(OR('Projektübersicht'!$F$11="",'Projektübersicht'!$F$13="",'Projektübersicht'!$F$11&gt;'Projektübersicht'!$F$13),"",IF(WORKDAY.INTL('Projektübersicht'!$F$11-1,41,"0000001")&lt;='Projektübersicht'!$F$13,WORKDAY.INTL('Projektübersicht'!$F$11-1,41,"0000001"),""))</f>
        <v/>
      </c>
      <c r="AC42" t="n">
        <v>41</v>
      </c>
    </row>
    <row r="43">
      <c r="E43" s="109" t="n">
        <v>47119</v>
      </c>
      <c r="F43" t="inlineStr">
        <is>
          <t>Neujahr</t>
        </is>
      </c>
      <c r="G43" t="inlineStr">
        <is>
          <t>https://gesetze.berlin.de/perma?j=FeiertG_BE</t>
        </is>
      </c>
      <c r="Z43" s="175">
        <f>IF(OR('Projektübersicht'!$F$11="",'Projektübersicht'!$F$13="",'Projektübersicht'!$F$11&gt;'Projektübersicht'!$F$13),"",IF('Projektübersicht'!$F$11+41&lt;='Projektübersicht'!$F$13,'Projektübersicht'!$F$11+41,""))</f>
        <v/>
      </c>
      <c r="AA43" t="n">
        <v>42</v>
      </c>
      <c r="AB43" s="175">
        <f>IF(OR('Projektübersicht'!$F$11="",'Projektübersicht'!$F$13="",'Projektübersicht'!$F$11&gt;'Projektübersicht'!$F$13),"",IF(WORKDAY.INTL('Projektübersicht'!$F$11-1,42,"0000001")&lt;='Projektübersicht'!$F$13,WORKDAY.INTL('Projektübersicht'!$F$11-1,42,"0000001"),""))</f>
        <v/>
      </c>
      <c r="AC43" t="n">
        <v>42</v>
      </c>
    </row>
    <row r="44">
      <c r="E44" s="109" t="n">
        <v>47185</v>
      </c>
      <c r="F44" t="inlineStr">
        <is>
          <t>Internationaler Frauentag</t>
        </is>
      </c>
      <c r="G44" t="inlineStr">
        <is>
          <t>https://gesetze.berlin.de/perma?j=FeiertG_BE</t>
        </is>
      </c>
      <c r="Z44" s="175">
        <f>IF(OR('Projektübersicht'!$F$11="",'Projektübersicht'!$F$13="",'Projektübersicht'!$F$11&gt;'Projektübersicht'!$F$13),"",IF('Projektübersicht'!$F$11+42&lt;='Projektübersicht'!$F$13,'Projektübersicht'!$F$11+42,""))</f>
        <v/>
      </c>
      <c r="AA44" t="n">
        <v>43</v>
      </c>
      <c r="AB44" s="175">
        <f>IF(OR('Projektübersicht'!$F$11="",'Projektübersicht'!$F$13="",'Projektübersicht'!$F$11&gt;'Projektübersicht'!$F$13),"",IF(WORKDAY.INTL('Projektübersicht'!$F$11-1,43,"0000001")&lt;='Projektübersicht'!$F$13,WORKDAY.INTL('Projektübersicht'!$F$11-1,43,"0000001"),""))</f>
        <v/>
      </c>
      <c r="AC44" t="n">
        <v>43</v>
      </c>
    </row>
    <row r="45">
      <c r="E45" s="109" t="n">
        <v>47207</v>
      </c>
      <c r="F45" t="inlineStr">
        <is>
          <t>Karfreitag</t>
        </is>
      </c>
      <c r="G45" t="inlineStr">
        <is>
          <t>https://gesetze.berlin.de/perma?j=FeiertG_BE</t>
        </is>
      </c>
      <c r="Z45" s="175">
        <f>IF(OR('Projektübersicht'!$F$11="",'Projektübersicht'!$F$13="",'Projektübersicht'!$F$11&gt;'Projektübersicht'!$F$13),"",IF('Projektübersicht'!$F$11+43&lt;='Projektübersicht'!$F$13,'Projektübersicht'!$F$11+43,""))</f>
        <v/>
      </c>
      <c r="AA45" t="n">
        <v>44</v>
      </c>
      <c r="AB45" s="175">
        <f>IF(OR('Projektübersicht'!$F$11="",'Projektübersicht'!$F$13="",'Projektübersicht'!$F$11&gt;'Projektübersicht'!$F$13),"",IF(WORKDAY.INTL('Projektübersicht'!$F$11-1,44,"0000001")&lt;='Projektübersicht'!$F$13,WORKDAY.INTL('Projektübersicht'!$F$11-1,44,"0000001"),""))</f>
        <v/>
      </c>
      <c r="AC45" t="n">
        <v>44</v>
      </c>
    </row>
    <row r="46">
      <c r="E46" s="109" t="n">
        <v>47210</v>
      </c>
      <c r="F46" t="inlineStr">
        <is>
          <t>Ostermontag</t>
        </is>
      </c>
      <c r="G46" t="inlineStr">
        <is>
          <t>https://gesetze.berlin.de/perma?j=FeiertG_BE</t>
        </is>
      </c>
      <c r="Z46" s="175">
        <f>IF(OR('Projektübersicht'!$F$11="",'Projektübersicht'!$F$13="",'Projektübersicht'!$F$11&gt;'Projektübersicht'!$F$13),"",IF('Projektübersicht'!$F$11+44&lt;='Projektübersicht'!$F$13,'Projektübersicht'!$F$11+44,""))</f>
        <v/>
      </c>
      <c r="AA46" t="n">
        <v>45</v>
      </c>
      <c r="AB46" s="175">
        <f>IF(OR('Projektübersicht'!$F$11="",'Projektübersicht'!$F$13="",'Projektübersicht'!$F$11&gt;'Projektübersicht'!$F$13),"",IF(WORKDAY.INTL('Projektübersicht'!$F$11-1,45,"0000001")&lt;='Projektübersicht'!$F$13,WORKDAY.INTL('Projektübersicht'!$F$11-1,45,"0000001"),""))</f>
        <v/>
      </c>
      <c r="AC46" t="n">
        <v>45</v>
      </c>
    </row>
    <row r="47">
      <c r="E47" s="109" t="n">
        <v>47239</v>
      </c>
      <c r="F47" t="inlineStr">
        <is>
          <t>Tag der Arbeit</t>
        </is>
      </c>
      <c r="G47" t="inlineStr">
        <is>
          <t>https://gesetze.berlin.de/perma?j=FeiertG_BE</t>
        </is>
      </c>
      <c r="Z47" s="175">
        <f>IF(OR('Projektübersicht'!$F$11="",'Projektübersicht'!$F$13="",'Projektübersicht'!$F$11&gt;'Projektübersicht'!$F$13),"",IF('Projektübersicht'!$F$11+45&lt;='Projektübersicht'!$F$13,'Projektübersicht'!$F$11+45,""))</f>
        <v/>
      </c>
      <c r="AA47" t="n">
        <v>46</v>
      </c>
      <c r="AB47" s="175">
        <f>IF(OR('Projektübersicht'!$F$11="",'Projektübersicht'!$F$13="",'Projektübersicht'!$F$11&gt;'Projektübersicht'!$F$13),"",IF(WORKDAY.INTL('Projektübersicht'!$F$11-1,46,"0000001")&lt;='Projektübersicht'!$F$13,WORKDAY.INTL('Projektübersicht'!$F$11-1,46,"0000001"),""))</f>
        <v/>
      </c>
      <c r="AC47" t="n">
        <v>46</v>
      </c>
    </row>
    <row r="48">
      <c r="E48" s="109" t="n">
        <v>47248</v>
      </c>
      <c r="F48" t="inlineStr">
        <is>
          <t>Christi Himmelfahrt</t>
        </is>
      </c>
      <c r="G48" t="inlineStr">
        <is>
          <t>https://gesetze.berlin.de/perma?j=FeiertG_BE</t>
        </is>
      </c>
      <c r="Z48" s="175">
        <f>IF(OR('Projektübersicht'!$F$11="",'Projektübersicht'!$F$13="",'Projektübersicht'!$F$11&gt;'Projektübersicht'!$F$13),"",IF('Projektübersicht'!$F$11+46&lt;='Projektübersicht'!$F$13,'Projektübersicht'!$F$11+46,""))</f>
        <v/>
      </c>
      <c r="AA48" t="n">
        <v>47</v>
      </c>
      <c r="AB48" s="175">
        <f>IF(OR('Projektübersicht'!$F$11="",'Projektübersicht'!$F$13="",'Projektübersicht'!$F$11&gt;'Projektübersicht'!$F$13),"",IF(WORKDAY.INTL('Projektübersicht'!$F$11-1,47,"0000001")&lt;='Projektübersicht'!$F$13,WORKDAY.INTL('Projektübersicht'!$F$11-1,47,"0000001"),""))</f>
        <v/>
      </c>
      <c r="AC48" t="n">
        <v>47</v>
      </c>
    </row>
    <row r="49">
      <c r="E49" s="109" t="n">
        <v>47259</v>
      </c>
      <c r="F49" t="inlineStr">
        <is>
          <t>Pfingstmontag</t>
        </is>
      </c>
      <c r="G49" t="inlineStr">
        <is>
          <t>https://gesetze.berlin.de/perma?j=FeiertG_BE</t>
        </is>
      </c>
      <c r="Z49" s="175">
        <f>IF(OR('Projektübersicht'!$F$11="",'Projektübersicht'!$F$13="",'Projektübersicht'!$F$11&gt;'Projektübersicht'!$F$13),"",IF('Projektübersicht'!$F$11+47&lt;='Projektübersicht'!$F$13,'Projektübersicht'!$F$11+47,""))</f>
        <v/>
      </c>
      <c r="AA49" t="n">
        <v>48</v>
      </c>
      <c r="AB49" s="175">
        <f>IF(OR('Projektübersicht'!$F$11="",'Projektübersicht'!$F$13="",'Projektübersicht'!$F$11&gt;'Projektübersicht'!$F$13),"",IF(WORKDAY.INTL('Projektübersicht'!$F$11-1,48,"0000001")&lt;='Projektübersicht'!$F$13,WORKDAY.INTL('Projektübersicht'!$F$11-1,48,"0000001"),""))</f>
        <v/>
      </c>
      <c r="AC49" t="n">
        <v>48</v>
      </c>
    </row>
    <row r="50">
      <c r="E50" s="109" t="n">
        <v>47394</v>
      </c>
      <c r="F50" t="inlineStr">
        <is>
          <t>Tag der Deutschen Einheit</t>
        </is>
      </c>
      <c r="G50" t="inlineStr">
        <is>
          <t>https://gesetze.berlin.de/perma?j=FeiertG_BE</t>
        </is>
      </c>
      <c r="Z50" s="175">
        <f>IF(OR('Projektübersicht'!$F$11="",'Projektübersicht'!$F$13="",'Projektübersicht'!$F$11&gt;'Projektübersicht'!$F$13),"",IF('Projektübersicht'!$F$11+48&lt;='Projektübersicht'!$F$13,'Projektübersicht'!$F$11+48,""))</f>
        <v/>
      </c>
      <c r="AA50" t="n">
        <v>49</v>
      </c>
      <c r="AB50" s="175">
        <f>IF(OR('Projektübersicht'!$F$11="",'Projektübersicht'!$F$13="",'Projektübersicht'!$F$11&gt;'Projektübersicht'!$F$13),"",IF(WORKDAY.INTL('Projektübersicht'!$F$11-1,49,"0000001")&lt;='Projektübersicht'!$F$13,WORKDAY.INTL('Projektübersicht'!$F$11-1,49,"0000001"),""))</f>
        <v/>
      </c>
      <c r="AC50" t="n">
        <v>49</v>
      </c>
    </row>
    <row r="51">
      <c r="E51" s="109" t="n">
        <v>47477</v>
      </c>
      <c r="F51" t="inlineStr">
        <is>
          <t>1. Weihnachtsfeiertag</t>
        </is>
      </c>
      <c r="G51" t="inlineStr">
        <is>
          <t>https://gesetze.berlin.de/perma?j=FeiertG_BE</t>
        </is>
      </c>
      <c r="Z51" s="175">
        <f>IF(OR('Projektübersicht'!$F$11="",'Projektübersicht'!$F$13="",'Projektübersicht'!$F$11&gt;'Projektübersicht'!$F$13),"",IF('Projektübersicht'!$F$11+49&lt;='Projektübersicht'!$F$13,'Projektübersicht'!$F$11+49,""))</f>
        <v/>
      </c>
      <c r="AA51" t="n">
        <v>50</v>
      </c>
      <c r="AB51" s="175">
        <f>IF(OR('Projektübersicht'!$F$11="",'Projektübersicht'!$F$13="",'Projektübersicht'!$F$11&gt;'Projektübersicht'!$F$13),"",IF(WORKDAY.INTL('Projektübersicht'!$F$11-1,50,"0000001")&lt;='Projektübersicht'!$F$13,WORKDAY.INTL('Projektübersicht'!$F$11-1,50,"0000001"),""))</f>
        <v/>
      </c>
      <c r="AC51" t="n">
        <v>50</v>
      </c>
    </row>
    <row r="52">
      <c r="E52" s="109" t="n">
        <v>47478</v>
      </c>
      <c r="F52" t="inlineStr">
        <is>
          <t>2. Weihnachtsfeiertag</t>
        </is>
      </c>
      <c r="G52" t="inlineStr">
        <is>
          <t>https://gesetze.berlin.de/perma?j=FeiertG_BE</t>
        </is>
      </c>
      <c r="Z52" s="175">
        <f>IF(OR('Projektübersicht'!$F$11="",'Projektübersicht'!$F$13="",'Projektübersicht'!$F$11&gt;'Projektübersicht'!$F$13),"",IF('Projektübersicht'!$F$11+50&lt;='Projektübersicht'!$F$13,'Projektübersicht'!$F$11+50,""))</f>
        <v/>
      </c>
      <c r="AA52" t="n">
        <v>51</v>
      </c>
      <c r="AB52" s="175">
        <f>IF(OR('Projektübersicht'!$F$11="",'Projektübersicht'!$F$13="",'Projektübersicht'!$F$11&gt;'Projektübersicht'!$F$13),"",IF(WORKDAY.INTL('Projektübersicht'!$F$11-1,51,"0000001")&lt;='Projektübersicht'!$F$13,WORKDAY.INTL('Projektübersicht'!$F$11-1,51,"0000001"),""))</f>
        <v/>
      </c>
      <c r="AC52" t="n">
        <v>51</v>
      </c>
    </row>
    <row r="53">
      <c r="E53" s="109" t="n">
        <v>47484</v>
      </c>
      <c r="F53" t="inlineStr">
        <is>
          <t>Neujahr</t>
        </is>
      </c>
      <c r="G53" t="inlineStr">
        <is>
          <t>https://gesetze.berlin.de/perma?j=FeiertG_BE</t>
        </is>
      </c>
      <c r="Z53" s="175">
        <f>IF(OR('Projektübersicht'!$F$11="",'Projektübersicht'!$F$13="",'Projektübersicht'!$F$11&gt;'Projektübersicht'!$F$13),"",IF('Projektübersicht'!$F$11+51&lt;='Projektübersicht'!$F$13,'Projektübersicht'!$F$11+51,""))</f>
        <v/>
      </c>
      <c r="AA53" t="n">
        <v>52</v>
      </c>
      <c r="AB53" s="175">
        <f>IF(OR('Projektübersicht'!$F$11="",'Projektübersicht'!$F$13="",'Projektübersicht'!$F$11&gt;'Projektübersicht'!$F$13),"",IF(WORKDAY.INTL('Projektübersicht'!$F$11-1,52,"0000001")&lt;='Projektübersicht'!$F$13,WORKDAY.INTL('Projektübersicht'!$F$11-1,52,"0000001"),""))</f>
        <v/>
      </c>
      <c r="AC53" t="n">
        <v>52</v>
      </c>
    </row>
    <row r="54">
      <c r="E54" s="109" t="n">
        <v>47550</v>
      </c>
      <c r="F54" t="inlineStr">
        <is>
          <t>Internationaler Frauentag</t>
        </is>
      </c>
      <c r="G54" t="inlineStr">
        <is>
          <t>https://gesetze.berlin.de/perma?j=FeiertG_BE</t>
        </is>
      </c>
      <c r="Z54" s="175">
        <f>IF(OR('Projektübersicht'!$F$11="",'Projektübersicht'!$F$13="",'Projektübersicht'!$F$11&gt;'Projektübersicht'!$F$13),"",IF('Projektübersicht'!$F$11+52&lt;='Projektübersicht'!$F$13,'Projektübersicht'!$F$11+52,""))</f>
        <v/>
      </c>
      <c r="AA54" t="n">
        <v>53</v>
      </c>
      <c r="AB54" s="175">
        <f>IF(OR('Projektübersicht'!$F$11="",'Projektübersicht'!$F$13="",'Projektübersicht'!$F$11&gt;'Projektübersicht'!$F$13),"",IF(WORKDAY.INTL('Projektübersicht'!$F$11-1,53,"0000001")&lt;='Projektübersicht'!$F$13,WORKDAY.INTL('Projektübersicht'!$F$11-1,53,"0000001"),""))</f>
        <v/>
      </c>
      <c r="AC54" t="n">
        <v>53</v>
      </c>
    </row>
    <row r="55">
      <c r="E55" s="109" t="n">
        <v>47592</v>
      </c>
      <c r="F55" t="inlineStr">
        <is>
          <t>Karfreitag</t>
        </is>
      </c>
      <c r="G55" t="inlineStr">
        <is>
          <t>https://gesetze.berlin.de/perma?j=FeiertG_BE</t>
        </is>
      </c>
      <c r="Z55" s="175">
        <f>IF(OR('Projektübersicht'!$F$11="",'Projektübersicht'!$F$13="",'Projektübersicht'!$F$11&gt;'Projektübersicht'!$F$13),"",IF('Projektübersicht'!$F$11+53&lt;='Projektübersicht'!$F$13,'Projektübersicht'!$F$11+53,""))</f>
        <v/>
      </c>
      <c r="AB55" s="175">
        <f>IF(OR('Projektübersicht'!$F$11="",'Projektübersicht'!$F$13="",'Projektübersicht'!$F$11&gt;'Projektübersicht'!$F$13),"",IF(WORKDAY.INTL('Projektübersicht'!$F$11-1,54,"0000001")&lt;='Projektübersicht'!$F$13,WORKDAY.INTL('Projektübersicht'!$F$11-1,54,"0000001"),""))</f>
        <v/>
      </c>
    </row>
    <row r="56">
      <c r="E56" s="109" t="n">
        <v>47595</v>
      </c>
      <c r="F56" t="inlineStr">
        <is>
          <t>Ostermontag</t>
        </is>
      </c>
      <c r="G56" t="inlineStr">
        <is>
          <t>https://gesetze.berlin.de/perma?j=FeiertG_BE</t>
        </is>
      </c>
      <c r="Z56" s="175">
        <f>IF(OR('Projektübersicht'!$F$11="",'Projektübersicht'!$F$13="",'Projektübersicht'!$F$11&gt;'Projektübersicht'!$F$13),"",IF('Projektübersicht'!$F$11+54&lt;='Projektübersicht'!$F$13,'Projektübersicht'!$F$11+54,""))</f>
        <v/>
      </c>
      <c r="AB56" s="175">
        <f>IF(OR('Projektübersicht'!$F$11="",'Projektübersicht'!$F$13="",'Projektübersicht'!$F$11&gt;'Projektübersicht'!$F$13),"",IF(WORKDAY.INTL('Projektübersicht'!$F$11-1,55,"0000001")&lt;='Projektübersicht'!$F$13,WORKDAY.INTL('Projektübersicht'!$F$11-1,55,"0000001"),""))</f>
        <v/>
      </c>
    </row>
    <row r="57">
      <c r="E57" s="109" t="n">
        <v>47604</v>
      </c>
      <c r="F57" t="inlineStr">
        <is>
          <t>Tag der Arbeit</t>
        </is>
      </c>
      <c r="G57" t="inlineStr">
        <is>
          <t>https://gesetze.berlin.de/perma?j=FeiertG_BE</t>
        </is>
      </c>
      <c r="Z57" s="175">
        <f>IF(OR('Projektübersicht'!$F$11="",'Projektübersicht'!$F$13="",'Projektübersicht'!$F$11&gt;'Projektübersicht'!$F$13),"",IF('Projektübersicht'!$F$11+55&lt;='Projektübersicht'!$F$13,'Projektübersicht'!$F$11+55,""))</f>
        <v/>
      </c>
      <c r="AB57" s="175">
        <f>IF(OR('Projektübersicht'!$F$11="",'Projektübersicht'!$F$13="",'Projektübersicht'!$F$11&gt;'Projektübersicht'!$F$13),"",IF(WORKDAY.INTL('Projektübersicht'!$F$11-1,56,"0000001")&lt;='Projektübersicht'!$F$13,WORKDAY.INTL('Projektübersicht'!$F$11-1,56,"0000001"),""))</f>
        <v/>
      </c>
    </row>
    <row r="58">
      <c r="E58" s="109" t="n">
        <v>47633</v>
      </c>
      <c r="F58" t="inlineStr">
        <is>
          <t>Christi Himmelfahrt</t>
        </is>
      </c>
      <c r="G58" t="inlineStr">
        <is>
          <t>https://gesetze.berlin.de/perma?j=FeiertG_BE</t>
        </is>
      </c>
      <c r="Z58" s="175">
        <f>IF(OR('Projektübersicht'!$F$11="",'Projektübersicht'!$F$13="",'Projektübersicht'!$F$11&gt;'Projektübersicht'!$F$13),"",IF('Projektübersicht'!$F$11+56&lt;='Projektübersicht'!$F$13,'Projektübersicht'!$F$11+56,""))</f>
        <v/>
      </c>
      <c r="AB58" s="175">
        <f>IF(OR('Projektübersicht'!$F$11="",'Projektübersicht'!$F$13="",'Projektübersicht'!$F$11&gt;'Projektübersicht'!$F$13),"",IF(WORKDAY.INTL('Projektübersicht'!$F$11-1,57,"0000001")&lt;='Projektübersicht'!$F$13,WORKDAY.INTL('Projektübersicht'!$F$11-1,57,"0000001"),""))</f>
        <v/>
      </c>
    </row>
    <row r="59">
      <c r="E59" s="109" t="n">
        <v>47644</v>
      </c>
      <c r="F59" t="inlineStr">
        <is>
          <t>Pfingstmontag</t>
        </is>
      </c>
      <c r="G59" t="inlineStr">
        <is>
          <t>https://gesetze.berlin.de/perma?j=FeiertG_BE</t>
        </is>
      </c>
      <c r="Z59" s="175">
        <f>IF(OR('Projektübersicht'!$F$11="",'Projektübersicht'!$F$13="",'Projektübersicht'!$F$11&gt;'Projektübersicht'!$F$13),"",IF('Projektübersicht'!$F$11+57&lt;='Projektübersicht'!$F$13,'Projektübersicht'!$F$11+57,""))</f>
        <v/>
      </c>
      <c r="AB59" s="175">
        <f>IF(OR('Projektübersicht'!$F$11="",'Projektübersicht'!$F$13="",'Projektübersicht'!$F$11&gt;'Projektübersicht'!$F$13),"",IF(WORKDAY.INTL('Projektübersicht'!$F$11-1,58,"0000001")&lt;='Projektübersicht'!$F$13,WORKDAY.INTL('Projektübersicht'!$F$11-1,58,"0000001"),""))</f>
        <v/>
      </c>
    </row>
    <row r="60">
      <c r="E60" s="109" t="n">
        <v>47759</v>
      </c>
      <c r="F60" t="inlineStr">
        <is>
          <t>Tag der Deutschen Einheit</t>
        </is>
      </c>
      <c r="G60" t="inlineStr">
        <is>
          <t>https://gesetze.berlin.de/perma?j=FeiertG_BE</t>
        </is>
      </c>
      <c r="Z60" s="175">
        <f>IF(OR('Projektübersicht'!$F$11="",'Projektübersicht'!$F$13="",'Projektübersicht'!$F$11&gt;'Projektübersicht'!$F$13),"",IF('Projektübersicht'!$F$11+58&lt;='Projektübersicht'!$F$13,'Projektübersicht'!$F$11+58,""))</f>
        <v/>
      </c>
      <c r="AB60" s="175">
        <f>IF(OR('Projektübersicht'!$F$11="",'Projektübersicht'!$F$13="",'Projektübersicht'!$F$11&gt;'Projektübersicht'!$F$13),"",IF(WORKDAY.INTL('Projektübersicht'!$F$11-1,59,"0000001")&lt;='Projektübersicht'!$F$13,WORKDAY.INTL('Projektübersicht'!$F$11-1,59,"0000001"),""))</f>
        <v/>
      </c>
    </row>
    <row r="61">
      <c r="E61" s="109" t="n">
        <v>47842</v>
      </c>
      <c r="F61" t="inlineStr">
        <is>
          <t>1. Weihnachtsfeiertag</t>
        </is>
      </c>
      <c r="G61" t="inlineStr">
        <is>
          <t>https://gesetze.berlin.de/perma?j=FeiertG_BE</t>
        </is>
      </c>
      <c r="Z61" s="175">
        <f>IF(OR('Projektübersicht'!$F$11="",'Projektübersicht'!$F$13="",'Projektübersicht'!$F$11&gt;'Projektübersicht'!$F$13),"",IF('Projektübersicht'!$F$11+59&lt;='Projektübersicht'!$F$13,'Projektübersicht'!$F$11+59,""))</f>
        <v/>
      </c>
      <c r="AB61" s="175">
        <f>IF(OR('Projektübersicht'!$F$11="",'Projektübersicht'!$F$13="",'Projektübersicht'!$F$11&gt;'Projektübersicht'!$F$13),"",IF(WORKDAY.INTL('Projektübersicht'!$F$11-1,60,"0000001")&lt;='Projektübersicht'!$F$13,WORKDAY.INTL('Projektübersicht'!$F$11-1,60,"0000001"),""))</f>
        <v/>
      </c>
    </row>
    <row r="62">
      <c r="E62" s="109" t="n">
        <v>47843</v>
      </c>
      <c r="F62" t="inlineStr">
        <is>
          <t>2. Weihnachtsfeiertag</t>
        </is>
      </c>
      <c r="G62" t="inlineStr">
        <is>
          <t>https://gesetze.berlin.de/perma?j=FeiertG_BE</t>
        </is>
      </c>
      <c r="Z62" s="175">
        <f>IF(OR('Projektübersicht'!$F$11="",'Projektübersicht'!$F$13="",'Projektübersicht'!$F$11&gt;'Projektübersicht'!$F$13),"",IF('Projektübersicht'!$F$11+60&lt;='Projektübersicht'!$F$13,'Projektübersicht'!$F$11+60,""))</f>
        <v/>
      </c>
      <c r="AB62" s="175">
        <f>IF(OR('Projektübersicht'!$F$11="",'Projektübersicht'!$F$13="",'Projektübersicht'!$F$11&gt;'Projektübersicht'!$F$13),"",IF(WORKDAY.INTL('Projektübersicht'!$F$11-1,61,"0000001")&lt;='Projektübersicht'!$F$13,WORKDAY.INTL('Projektübersicht'!$F$11-1,61,"0000001"),""))</f>
        <v/>
      </c>
    </row>
    <row r="63">
      <c r="E63" s="109" t="n">
        <v>47849</v>
      </c>
      <c r="F63" t="inlineStr">
        <is>
          <t>Neujahr</t>
        </is>
      </c>
      <c r="G63" t="inlineStr">
        <is>
          <t>https://gesetze.berlin.de/perma?j=FeiertG_BE</t>
        </is>
      </c>
      <c r="Z63" s="175">
        <f>IF(OR('Projektübersicht'!$F$11="",'Projektübersicht'!$F$13="",'Projektübersicht'!$F$11&gt;'Projektübersicht'!$F$13),"",IF('Projektübersicht'!$F$11+61&lt;='Projektübersicht'!$F$13,'Projektübersicht'!$F$11+61,""))</f>
        <v/>
      </c>
      <c r="AB63" s="175">
        <f>IF(OR('Projektübersicht'!$F$11="",'Projektübersicht'!$F$13="",'Projektübersicht'!$F$11&gt;'Projektübersicht'!$F$13),"",IF(WORKDAY.INTL('Projektübersicht'!$F$11-1,62,"0000001")&lt;='Projektübersicht'!$F$13,WORKDAY.INTL('Projektübersicht'!$F$11-1,62,"0000001"),""))</f>
        <v/>
      </c>
    </row>
    <row r="64">
      <c r="E64" s="109" t="n">
        <v>47915</v>
      </c>
      <c r="F64" t="inlineStr">
        <is>
          <t>Internationaler Frauentag</t>
        </is>
      </c>
      <c r="G64" t="inlineStr">
        <is>
          <t>https://gesetze.berlin.de/perma?j=FeiertG_BE</t>
        </is>
      </c>
      <c r="Z64" s="175">
        <f>IF(OR('Projektübersicht'!$F$11="",'Projektübersicht'!$F$13="",'Projektübersicht'!$F$11&gt;'Projektübersicht'!$F$13),"",IF('Projektübersicht'!$F$11+62&lt;='Projektübersicht'!$F$13,'Projektübersicht'!$F$11+62,""))</f>
        <v/>
      </c>
      <c r="AB64" s="175">
        <f>IF(OR('Projektübersicht'!$F$11="",'Projektübersicht'!$F$13="",'Projektübersicht'!$F$11&gt;'Projektübersicht'!$F$13),"",IF(WORKDAY.INTL('Projektübersicht'!$F$11-1,63,"0000001")&lt;='Projektübersicht'!$F$13,WORKDAY.INTL('Projektübersicht'!$F$11-1,63,"0000001"),""))</f>
        <v/>
      </c>
    </row>
    <row r="65">
      <c r="E65" s="109" t="n">
        <v>47949</v>
      </c>
      <c r="F65" t="inlineStr">
        <is>
          <t>Karfreitag</t>
        </is>
      </c>
      <c r="G65" t="inlineStr">
        <is>
          <t>https://gesetze.berlin.de/perma?j=FeiertG_BE</t>
        </is>
      </c>
      <c r="Z65" s="175">
        <f>IF(OR('Projektübersicht'!$F$11="",'Projektübersicht'!$F$13="",'Projektübersicht'!$F$11&gt;'Projektübersicht'!$F$13),"",IF('Projektübersicht'!$F$11+63&lt;='Projektübersicht'!$F$13,'Projektübersicht'!$F$11+63,""))</f>
        <v/>
      </c>
      <c r="AB65" s="175">
        <f>IF(OR('Projektübersicht'!$F$11="",'Projektübersicht'!$F$13="",'Projektübersicht'!$F$11&gt;'Projektübersicht'!$F$13),"",IF(WORKDAY.INTL('Projektübersicht'!$F$11-1,64,"0000001")&lt;='Projektübersicht'!$F$13,WORKDAY.INTL('Projektübersicht'!$F$11-1,64,"0000001"),""))</f>
        <v/>
      </c>
    </row>
    <row r="66">
      <c r="E66" s="109" t="n">
        <v>47952</v>
      </c>
      <c r="F66" t="inlineStr">
        <is>
          <t>Ostermontag</t>
        </is>
      </c>
      <c r="G66" t="inlineStr">
        <is>
          <t>https://gesetze.berlin.de/perma?j=FeiertG_BE</t>
        </is>
      </c>
      <c r="Z66" s="175">
        <f>IF(OR('Projektübersicht'!$F$11="",'Projektübersicht'!$F$13="",'Projektübersicht'!$F$11&gt;'Projektübersicht'!$F$13),"",IF('Projektübersicht'!$F$11+64&lt;='Projektübersicht'!$F$13,'Projektübersicht'!$F$11+64,""))</f>
        <v/>
      </c>
      <c r="AB66" s="175">
        <f>IF(OR('Projektübersicht'!$F$11="",'Projektübersicht'!$F$13="",'Projektübersicht'!$F$11&gt;'Projektübersicht'!$F$13),"",IF(WORKDAY.INTL('Projektübersicht'!$F$11-1,65,"0000001")&lt;='Projektübersicht'!$F$13,WORKDAY.INTL('Projektübersicht'!$F$11-1,65,"0000001"),""))</f>
        <v/>
      </c>
    </row>
    <row r="67">
      <c r="E67" s="109" t="n">
        <v>47969</v>
      </c>
      <c r="F67" t="inlineStr">
        <is>
          <t>Tag der Arbeit</t>
        </is>
      </c>
      <c r="G67" t="inlineStr">
        <is>
          <t>https://gesetze.berlin.de/perma?j=FeiertG_BE</t>
        </is>
      </c>
      <c r="Z67" s="175">
        <f>IF(OR('Projektübersicht'!$F$11="",'Projektübersicht'!$F$13="",'Projektübersicht'!$F$11&gt;'Projektübersicht'!$F$13),"",IF('Projektübersicht'!$F$11+65&lt;='Projektübersicht'!$F$13,'Projektübersicht'!$F$11+65,""))</f>
        <v/>
      </c>
      <c r="AB67" s="175">
        <f>IF(OR('Projektübersicht'!$F$11="",'Projektübersicht'!$F$13="",'Projektübersicht'!$F$11&gt;'Projektübersicht'!$F$13),"",IF(WORKDAY.INTL('Projektübersicht'!$F$11-1,66,"0000001")&lt;='Projektübersicht'!$F$13,WORKDAY.INTL('Projektübersicht'!$F$11-1,66,"0000001"),""))</f>
        <v/>
      </c>
    </row>
    <row r="68">
      <c r="E68" s="109" t="n">
        <v>47990</v>
      </c>
      <c r="F68" t="inlineStr">
        <is>
          <t>Christi Himmelfahrt</t>
        </is>
      </c>
      <c r="G68" t="inlineStr">
        <is>
          <t>https://gesetze.berlin.de/perma?j=FeiertG_BE</t>
        </is>
      </c>
      <c r="Z68" s="175">
        <f>IF(OR('Projektübersicht'!$F$11="",'Projektübersicht'!$F$13="",'Projektübersicht'!$F$11&gt;'Projektübersicht'!$F$13),"",IF('Projektübersicht'!$F$11+66&lt;='Projektübersicht'!$F$13,'Projektübersicht'!$F$11+66,""))</f>
        <v/>
      </c>
      <c r="AB68" s="175">
        <f>IF(OR('Projektübersicht'!$F$11="",'Projektübersicht'!$F$13="",'Projektübersicht'!$F$11&gt;'Projektübersicht'!$F$13),"",IF(WORKDAY.INTL('Projektübersicht'!$F$11-1,67,"0000001")&lt;='Projektübersicht'!$F$13,WORKDAY.INTL('Projektübersicht'!$F$11-1,67,"0000001"),""))</f>
        <v/>
      </c>
    </row>
    <row r="69">
      <c r="E69" s="109" t="n">
        <v>48001</v>
      </c>
      <c r="F69" t="inlineStr">
        <is>
          <t>Pfingstmontag</t>
        </is>
      </c>
      <c r="G69" t="inlineStr">
        <is>
          <t>https://gesetze.berlin.de/perma?j=FeiertG_BE</t>
        </is>
      </c>
      <c r="Z69" s="175">
        <f>IF(OR('Projektübersicht'!$F$11="",'Projektübersicht'!$F$13="",'Projektübersicht'!$F$11&gt;'Projektübersicht'!$F$13),"",IF('Projektübersicht'!$F$11+67&lt;='Projektübersicht'!$F$13,'Projektübersicht'!$F$11+67,""))</f>
        <v/>
      </c>
      <c r="AB69" s="175">
        <f>IF(OR('Projektübersicht'!$F$11="",'Projektübersicht'!$F$13="",'Projektübersicht'!$F$11&gt;'Projektübersicht'!$F$13),"",IF(WORKDAY.INTL('Projektübersicht'!$F$11-1,68,"0000001")&lt;='Projektübersicht'!$F$13,WORKDAY.INTL('Projektübersicht'!$F$11-1,68,"0000001"),""))</f>
        <v/>
      </c>
    </row>
    <row r="70">
      <c r="E70" s="109" t="n">
        <v>48124</v>
      </c>
      <c r="F70" t="inlineStr">
        <is>
          <t>Tag der Deutschen Einheit</t>
        </is>
      </c>
      <c r="G70" t="inlineStr">
        <is>
          <t>https://gesetze.berlin.de/perma?j=FeiertG_BE</t>
        </is>
      </c>
      <c r="Z70" s="175">
        <f>IF(OR('Projektübersicht'!$F$11="",'Projektübersicht'!$F$13="",'Projektübersicht'!$F$11&gt;'Projektübersicht'!$F$13),"",IF('Projektübersicht'!$F$11+68&lt;='Projektübersicht'!$F$13,'Projektübersicht'!$F$11+68,""))</f>
        <v/>
      </c>
      <c r="AB70" s="175">
        <f>IF(OR('Projektübersicht'!$F$11="",'Projektübersicht'!$F$13="",'Projektübersicht'!$F$11&gt;'Projektübersicht'!$F$13),"",IF(WORKDAY.INTL('Projektübersicht'!$F$11-1,69,"0000001")&lt;='Projektübersicht'!$F$13,WORKDAY.INTL('Projektübersicht'!$F$11-1,69,"0000001"),""))</f>
        <v/>
      </c>
    </row>
    <row r="71">
      <c r="E71" s="109" t="n">
        <v>48207</v>
      </c>
      <c r="F71" t="inlineStr">
        <is>
          <t>1. Weihnachtsfeiertag</t>
        </is>
      </c>
      <c r="G71" t="inlineStr">
        <is>
          <t>https://gesetze.berlin.de/perma?j=FeiertG_BE</t>
        </is>
      </c>
      <c r="Z71" s="175">
        <f>IF(OR('Projektübersicht'!$F$11="",'Projektübersicht'!$F$13="",'Projektübersicht'!$F$11&gt;'Projektübersicht'!$F$13),"",IF('Projektübersicht'!$F$11+69&lt;='Projektübersicht'!$F$13,'Projektübersicht'!$F$11+69,""))</f>
        <v/>
      </c>
      <c r="AB71" s="175">
        <f>IF(OR('Projektübersicht'!$F$11="",'Projektübersicht'!$F$13="",'Projektübersicht'!$F$11&gt;'Projektübersicht'!$F$13),"",IF(WORKDAY.INTL('Projektübersicht'!$F$11-1,70,"0000001")&lt;='Projektübersicht'!$F$13,WORKDAY.INTL('Projektübersicht'!$F$11-1,70,"0000001"),""))</f>
        <v/>
      </c>
    </row>
    <row r="72">
      <c r="E72" s="109" t="n">
        <v>48208</v>
      </c>
      <c r="F72" t="inlineStr">
        <is>
          <t>2. Weihnachtsfeiertag</t>
        </is>
      </c>
      <c r="G72" t="inlineStr">
        <is>
          <t>https://gesetze.berlin.de/perma?j=FeiertG_BE</t>
        </is>
      </c>
      <c r="Z72" s="175">
        <f>IF(OR('Projektübersicht'!$F$11="",'Projektübersicht'!$F$13="",'Projektübersicht'!$F$11&gt;'Projektübersicht'!$F$13),"",IF('Projektübersicht'!$F$11+70&lt;='Projektübersicht'!$F$13,'Projektübersicht'!$F$11+70,""))</f>
        <v/>
      </c>
      <c r="AB72" s="175">
        <f>IF(OR('Projektübersicht'!$F$11="",'Projektübersicht'!$F$13="",'Projektübersicht'!$F$11&gt;'Projektübersicht'!$F$13),"",IF(WORKDAY.INTL('Projektübersicht'!$F$11-1,71,"0000001")&lt;='Projektübersicht'!$F$13,WORKDAY.INTL('Projektübersicht'!$F$11-1,71,"0000001"),""))</f>
        <v/>
      </c>
    </row>
    <row r="73">
      <c r="E73" s="109" t="n">
        <v>48214</v>
      </c>
      <c r="F73" t="inlineStr">
        <is>
          <t>Neujahr</t>
        </is>
      </c>
      <c r="G73" t="inlineStr">
        <is>
          <t>https://gesetze.berlin.de/perma?j=FeiertG_BE</t>
        </is>
      </c>
      <c r="Z73" s="175">
        <f>IF(OR('Projektübersicht'!$F$11="",'Projektübersicht'!$F$13="",'Projektübersicht'!$F$11&gt;'Projektübersicht'!$F$13),"",IF('Projektübersicht'!$F$11+71&lt;='Projektübersicht'!$F$13,'Projektübersicht'!$F$11+71,""))</f>
        <v/>
      </c>
      <c r="AB73" s="175">
        <f>IF(OR('Projektübersicht'!$F$11="",'Projektübersicht'!$F$13="",'Projektübersicht'!$F$11&gt;'Projektübersicht'!$F$13),"",IF(WORKDAY.INTL('Projektübersicht'!$F$11-1,72,"0000001")&lt;='Projektübersicht'!$F$13,WORKDAY.INTL('Projektübersicht'!$F$11-1,72,"0000001"),""))</f>
        <v/>
      </c>
    </row>
    <row r="74">
      <c r="E74" s="109" t="n">
        <v>48281</v>
      </c>
      <c r="F74" t="inlineStr">
        <is>
          <t>Internationaler Frauentag</t>
        </is>
      </c>
      <c r="G74" t="inlineStr">
        <is>
          <t>https://gesetze.berlin.de/perma?j=FeiertG_BE</t>
        </is>
      </c>
      <c r="Z74" s="175">
        <f>IF(OR('Projektübersicht'!$F$11="",'Projektübersicht'!$F$13="",'Projektübersicht'!$F$11&gt;'Projektübersicht'!$F$13),"",IF('Projektübersicht'!$F$11+72&lt;='Projektübersicht'!$F$13,'Projektübersicht'!$F$11+72,""))</f>
        <v/>
      </c>
      <c r="AB74" s="175">
        <f>IF(OR('Projektübersicht'!$F$11="",'Projektübersicht'!$F$13="",'Projektübersicht'!$F$11&gt;'Projektübersicht'!$F$13),"",IF(WORKDAY.INTL('Projektübersicht'!$F$11-1,73,"0000001")&lt;='Projektübersicht'!$F$13,WORKDAY.INTL('Projektübersicht'!$F$11-1,73,"0000001"),""))</f>
        <v/>
      </c>
    </row>
    <row r="75">
      <c r="E75" s="109" t="n">
        <v>48299</v>
      </c>
      <c r="F75" t="inlineStr">
        <is>
          <t>Karfreitag</t>
        </is>
      </c>
      <c r="G75" t="inlineStr">
        <is>
          <t>https://gesetze.berlin.de/perma?j=FeiertG_BE</t>
        </is>
      </c>
      <c r="Z75" s="175">
        <f>IF(OR('Projektübersicht'!$F$11="",'Projektübersicht'!$F$13="",'Projektübersicht'!$F$11&gt;'Projektübersicht'!$F$13),"",IF('Projektübersicht'!$F$11+73&lt;='Projektübersicht'!$F$13,'Projektübersicht'!$F$11+73,""))</f>
        <v/>
      </c>
      <c r="AB75" s="175">
        <f>IF(OR('Projektübersicht'!$F$11="",'Projektübersicht'!$F$13="",'Projektübersicht'!$F$11&gt;'Projektübersicht'!$F$13),"",IF(WORKDAY.INTL('Projektübersicht'!$F$11-1,74,"0000001")&lt;='Projektübersicht'!$F$13,WORKDAY.INTL('Projektübersicht'!$F$11-1,74,"0000001"),""))</f>
        <v/>
      </c>
    </row>
    <row r="76">
      <c r="E76" s="109" t="n">
        <v>48302</v>
      </c>
      <c r="F76" t="inlineStr">
        <is>
          <t>Ostermontag</t>
        </is>
      </c>
      <c r="G76" t="inlineStr">
        <is>
          <t>https://gesetze.berlin.de/perma?j=FeiertG_BE</t>
        </is>
      </c>
      <c r="Z76" s="175">
        <f>IF(OR('Projektübersicht'!$F$11="",'Projektübersicht'!$F$13="",'Projektübersicht'!$F$11&gt;'Projektübersicht'!$F$13),"",IF('Projektübersicht'!$F$11+74&lt;='Projektübersicht'!$F$13,'Projektübersicht'!$F$11+74,""))</f>
        <v/>
      </c>
      <c r="AB76" s="175">
        <f>IF(OR('Projektübersicht'!$F$11="",'Projektübersicht'!$F$13="",'Projektübersicht'!$F$11&gt;'Projektübersicht'!$F$13),"",IF(WORKDAY.INTL('Projektübersicht'!$F$11-1,75,"0000001")&lt;='Projektübersicht'!$F$13,WORKDAY.INTL('Projektübersicht'!$F$11-1,75,"0000001"),""))</f>
        <v/>
      </c>
    </row>
    <row r="77">
      <c r="E77" s="109" t="n">
        <v>48335</v>
      </c>
      <c r="F77" t="inlineStr">
        <is>
          <t>Tag der Arbeit</t>
        </is>
      </c>
      <c r="G77" t="inlineStr">
        <is>
          <t>https://gesetze.berlin.de/perma?j=FeiertG_BE</t>
        </is>
      </c>
      <c r="Z77" s="175">
        <f>IF(OR('Projektübersicht'!$F$11="",'Projektübersicht'!$F$13="",'Projektübersicht'!$F$11&gt;'Projektübersicht'!$F$13),"",IF('Projektübersicht'!$F$11+75&lt;='Projektübersicht'!$F$13,'Projektübersicht'!$F$11+75,""))</f>
        <v/>
      </c>
      <c r="AB77" s="175">
        <f>IF(OR('Projektübersicht'!$F$11="",'Projektübersicht'!$F$13="",'Projektübersicht'!$F$11&gt;'Projektübersicht'!$F$13),"",IF(WORKDAY.INTL('Projektübersicht'!$F$11-1,76,"0000001")&lt;='Projektübersicht'!$F$13,WORKDAY.INTL('Projektübersicht'!$F$11-1,76,"0000001"),""))</f>
        <v/>
      </c>
    </row>
    <row r="78">
      <c r="E78" s="109" t="n">
        <v>48340</v>
      </c>
      <c r="F78" t="inlineStr">
        <is>
          <t>Christi Himmelfahrt</t>
        </is>
      </c>
      <c r="G78" t="inlineStr">
        <is>
          <t>https://gesetze.berlin.de/perma?j=FeiertG_BE</t>
        </is>
      </c>
      <c r="Z78" s="175">
        <f>IF(OR('Projektübersicht'!$F$11="",'Projektübersicht'!$F$13="",'Projektübersicht'!$F$11&gt;'Projektübersicht'!$F$13),"",IF('Projektübersicht'!$F$11+76&lt;='Projektübersicht'!$F$13,'Projektübersicht'!$F$11+76,""))</f>
        <v/>
      </c>
      <c r="AB78" s="175">
        <f>IF(OR('Projektübersicht'!$F$11="",'Projektübersicht'!$F$13="",'Projektübersicht'!$F$11&gt;'Projektübersicht'!$F$13),"",IF(WORKDAY.INTL('Projektübersicht'!$F$11-1,77,"0000001")&lt;='Projektübersicht'!$F$13,WORKDAY.INTL('Projektübersicht'!$F$11-1,77,"0000001"),""))</f>
        <v/>
      </c>
    </row>
    <row r="79">
      <c r="E79" s="109" t="n">
        <v>48351</v>
      </c>
      <c r="F79" t="inlineStr">
        <is>
          <t>Pfingstmontag</t>
        </is>
      </c>
      <c r="G79" t="inlineStr">
        <is>
          <t>https://gesetze.berlin.de/perma?j=FeiertG_BE</t>
        </is>
      </c>
      <c r="Z79" s="175">
        <f>IF(OR('Projektübersicht'!$F$11="",'Projektübersicht'!$F$13="",'Projektübersicht'!$F$11&gt;'Projektübersicht'!$F$13),"",IF('Projektübersicht'!$F$11+77&lt;='Projektübersicht'!$F$13,'Projektübersicht'!$F$11+77,""))</f>
        <v/>
      </c>
      <c r="AB79" s="175">
        <f>IF(OR('Projektübersicht'!$F$11="",'Projektübersicht'!$F$13="",'Projektübersicht'!$F$11&gt;'Projektübersicht'!$F$13),"",IF(WORKDAY.INTL('Projektübersicht'!$F$11-1,78,"0000001")&lt;='Projektübersicht'!$F$13,WORKDAY.INTL('Projektübersicht'!$F$11-1,78,"0000001"),""))</f>
        <v/>
      </c>
    </row>
    <row r="80">
      <c r="E80" s="109" t="n">
        <v>48490</v>
      </c>
      <c r="F80" t="inlineStr">
        <is>
          <t>Tag der Deutschen Einheit</t>
        </is>
      </c>
      <c r="G80" t="inlineStr">
        <is>
          <t>https://gesetze.berlin.de/perma?j=FeiertG_BE</t>
        </is>
      </c>
      <c r="Z80" s="175">
        <f>IF(OR('Projektübersicht'!$F$11="",'Projektübersicht'!$F$13="",'Projektübersicht'!$F$11&gt;'Projektübersicht'!$F$13),"",IF('Projektübersicht'!$F$11+78&lt;='Projektübersicht'!$F$13,'Projektübersicht'!$F$11+78,""))</f>
        <v/>
      </c>
      <c r="AB80" s="175">
        <f>IF(OR('Projektübersicht'!$F$11="",'Projektübersicht'!$F$13="",'Projektübersicht'!$F$11&gt;'Projektübersicht'!$F$13),"",IF(WORKDAY.INTL('Projektübersicht'!$F$11-1,79,"0000001")&lt;='Projektübersicht'!$F$13,WORKDAY.INTL('Projektübersicht'!$F$11-1,79,"0000001"),""))</f>
        <v/>
      </c>
    </row>
    <row r="81">
      <c r="E81" s="109" t="n">
        <v>48573</v>
      </c>
      <c r="F81" t="inlineStr">
        <is>
          <t>1. Weihnachtsfeiertag</t>
        </is>
      </c>
      <c r="G81" t="inlineStr">
        <is>
          <t>https://gesetze.berlin.de/perma?j=FeiertG_BE</t>
        </is>
      </c>
      <c r="Z81" s="175">
        <f>IF(OR('Projektübersicht'!$F$11="",'Projektübersicht'!$F$13="",'Projektübersicht'!$F$11&gt;'Projektübersicht'!$F$13),"",IF('Projektübersicht'!$F$11+79&lt;='Projektübersicht'!$F$13,'Projektübersicht'!$F$11+79,""))</f>
        <v/>
      </c>
      <c r="AB81" s="175">
        <f>IF(OR('Projektübersicht'!$F$11="",'Projektübersicht'!$F$13="",'Projektübersicht'!$F$11&gt;'Projektübersicht'!$F$13),"",IF(WORKDAY.INTL('Projektübersicht'!$F$11-1,80,"0000001")&lt;='Projektübersicht'!$F$13,WORKDAY.INTL('Projektübersicht'!$F$11-1,80,"0000001"),""))</f>
        <v/>
      </c>
    </row>
    <row r="82">
      <c r="E82" s="109" t="n">
        <v>48574</v>
      </c>
      <c r="F82" t="inlineStr">
        <is>
          <t>2. Weihnachtsfeiertag</t>
        </is>
      </c>
      <c r="G82" t="inlineStr">
        <is>
          <t>https://gesetze.berlin.de/perma?j=FeiertG_BE</t>
        </is>
      </c>
      <c r="Z82" s="175">
        <f>IF(OR('Projektübersicht'!$F$11="",'Projektübersicht'!$F$13="",'Projektübersicht'!$F$11&gt;'Projektübersicht'!$F$13),"",IF('Projektübersicht'!$F$11+80&lt;='Projektübersicht'!$F$13,'Projektübersicht'!$F$11+80,""))</f>
        <v/>
      </c>
      <c r="AB82" s="175">
        <f>IF(OR('Projektübersicht'!$F$11="",'Projektübersicht'!$F$13="",'Projektübersicht'!$F$11&gt;'Projektübersicht'!$F$13),"",IF(WORKDAY.INTL('Projektübersicht'!$F$11-1,81,"0000001")&lt;='Projektübersicht'!$F$13,WORKDAY.INTL('Projektübersicht'!$F$11-1,81,"0000001"),""))</f>
        <v/>
      </c>
    </row>
    <row r="83">
      <c r="Z83" s="175">
        <f>IF(OR('Projektübersicht'!$F$11="",'Projektübersicht'!$F$13="",'Projektübersicht'!$F$11&gt;'Projektübersicht'!$F$13),"",IF('Projektübersicht'!$F$11+81&lt;='Projektübersicht'!$F$13,'Projektübersicht'!$F$11+81,""))</f>
        <v/>
      </c>
      <c r="AB83" s="175">
        <f>IF(OR('Projektübersicht'!$F$11="",'Projektübersicht'!$F$13="",'Projektübersicht'!$F$11&gt;'Projektübersicht'!$F$13),"",IF(WORKDAY.INTL('Projektübersicht'!$F$11-1,82,"0000001")&lt;='Projektübersicht'!$F$13,WORKDAY.INTL('Projektübersicht'!$F$11-1,82,"0000001"),""))</f>
        <v/>
      </c>
    </row>
    <row r="84">
      <c r="Z84" s="175">
        <f>IF(OR('Projektübersicht'!$F$11="",'Projektübersicht'!$F$13="",'Projektübersicht'!$F$11&gt;'Projektübersicht'!$F$13),"",IF('Projektübersicht'!$F$11+82&lt;='Projektübersicht'!$F$13,'Projektübersicht'!$F$11+82,""))</f>
        <v/>
      </c>
      <c r="AB84" s="175">
        <f>IF(OR('Projektübersicht'!$F$11="",'Projektübersicht'!$F$13="",'Projektübersicht'!$F$11&gt;'Projektübersicht'!$F$13),"",IF(WORKDAY.INTL('Projektübersicht'!$F$11-1,83,"0000001")&lt;='Projektübersicht'!$F$13,WORKDAY.INTL('Projektübersicht'!$F$11-1,83,"0000001"),""))</f>
        <v/>
      </c>
    </row>
    <row r="85">
      <c r="Z85" s="175">
        <f>IF(OR('Projektübersicht'!$F$11="",'Projektübersicht'!$F$13="",'Projektübersicht'!$F$11&gt;'Projektübersicht'!$F$13),"",IF('Projektübersicht'!$F$11+83&lt;='Projektübersicht'!$F$13,'Projektübersicht'!$F$11+83,""))</f>
        <v/>
      </c>
      <c r="AB85" s="175">
        <f>IF(OR('Projektübersicht'!$F$11="",'Projektübersicht'!$F$13="",'Projektübersicht'!$F$11&gt;'Projektübersicht'!$F$13),"",IF(WORKDAY.INTL('Projektübersicht'!$F$11-1,84,"0000001")&lt;='Projektübersicht'!$F$13,WORKDAY.INTL('Projektübersicht'!$F$11-1,84,"0000001"),""))</f>
        <v/>
      </c>
    </row>
    <row r="86">
      <c r="Z86" s="175">
        <f>IF(OR('Projektübersicht'!$F$11="",'Projektübersicht'!$F$13="",'Projektübersicht'!$F$11&gt;'Projektübersicht'!$F$13),"",IF('Projektübersicht'!$F$11+84&lt;='Projektübersicht'!$F$13,'Projektübersicht'!$F$11+84,""))</f>
        <v/>
      </c>
      <c r="AB86" s="175">
        <f>IF(OR('Projektübersicht'!$F$11="",'Projektübersicht'!$F$13="",'Projektübersicht'!$F$11&gt;'Projektübersicht'!$F$13),"",IF(WORKDAY.INTL('Projektübersicht'!$F$11-1,85,"0000001")&lt;='Projektübersicht'!$F$13,WORKDAY.INTL('Projektübersicht'!$F$11-1,85,"0000001"),""))</f>
        <v/>
      </c>
    </row>
    <row r="87">
      <c r="Z87" s="175">
        <f>IF(OR('Projektübersicht'!$F$11="",'Projektübersicht'!$F$13="",'Projektübersicht'!$F$11&gt;'Projektübersicht'!$F$13),"",IF('Projektübersicht'!$F$11+85&lt;='Projektübersicht'!$F$13,'Projektübersicht'!$F$11+85,""))</f>
        <v/>
      </c>
      <c r="AB87" s="175">
        <f>IF(OR('Projektübersicht'!$F$11="",'Projektübersicht'!$F$13="",'Projektübersicht'!$F$11&gt;'Projektübersicht'!$F$13),"",IF(WORKDAY.INTL('Projektübersicht'!$F$11-1,86,"0000001")&lt;='Projektübersicht'!$F$13,WORKDAY.INTL('Projektübersicht'!$F$11-1,86,"0000001"),""))</f>
        <v/>
      </c>
    </row>
    <row r="88">
      <c r="Z88" s="175">
        <f>IF(OR('Projektübersicht'!$F$11="",'Projektübersicht'!$F$13="",'Projektübersicht'!$F$11&gt;'Projektübersicht'!$F$13),"",IF('Projektübersicht'!$F$11+86&lt;='Projektübersicht'!$F$13,'Projektübersicht'!$F$11+86,""))</f>
        <v/>
      </c>
      <c r="AB88" s="175">
        <f>IF(OR('Projektübersicht'!$F$11="",'Projektübersicht'!$F$13="",'Projektübersicht'!$F$11&gt;'Projektübersicht'!$F$13),"",IF(WORKDAY.INTL('Projektübersicht'!$F$11-1,87,"0000001")&lt;='Projektübersicht'!$F$13,WORKDAY.INTL('Projektübersicht'!$F$11-1,87,"0000001"),""))</f>
        <v/>
      </c>
    </row>
    <row r="89">
      <c r="Z89" s="175">
        <f>IF(OR('Projektübersicht'!$F$11="",'Projektübersicht'!$F$13="",'Projektübersicht'!$F$11&gt;'Projektübersicht'!$F$13),"",IF('Projektübersicht'!$F$11+87&lt;='Projektübersicht'!$F$13,'Projektübersicht'!$F$11+87,""))</f>
        <v/>
      </c>
      <c r="AB89" s="175">
        <f>IF(OR('Projektübersicht'!$F$11="",'Projektübersicht'!$F$13="",'Projektübersicht'!$F$11&gt;'Projektübersicht'!$F$13),"",IF(WORKDAY.INTL('Projektübersicht'!$F$11-1,88,"0000001")&lt;='Projektübersicht'!$F$13,WORKDAY.INTL('Projektübersicht'!$F$11-1,88,"0000001"),""))</f>
        <v/>
      </c>
    </row>
    <row r="90">
      <c r="Z90" s="175">
        <f>IF(OR('Projektübersicht'!$F$11="",'Projektübersicht'!$F$13="",'Projektübersicht'!$F$11&gt;'Projektübersicht'!$F$13),"",IF('Projektübersicht'!$F$11+88&lt;='Projektübersicht'!$F$13,'Projektübersicht'!$F$11+88,""))</f>
        <v/>
      </c>
      <c r="AB90" s="175">
        <f>IF(OR('Projektübersicht'!$F$11="",'Projektübersicht'!$F$13="",'Projektübersicht'!$F$11&gt;'Projektübersicht'!$F$13),"",IF(WORKDAY.INTL('Projektübersicht'!$F$11-1,89,"0000001")&lt;='Projektübersicht'!$F$13,WORKDAY.INTL('Projektübersicht'!$F$11-1,89,"0000001"),""))</f>
        <v/>
      </c>
    </row>
    <row r="91">
      <c r="Z91" s="175">
        <f>IF(OR('Projektübersicht'!$F$11="",'Projektübersicht'!$F$13="",'Projektübersicht'!$F$11&gt;'Projektübersicht'!$F$13),"",IF('Projektübersicht'!$F$11+89&lt;='Projektübersicht'!$F$13,'Projektübersicht'!$F$11+89,""))</f>
        <v/>
      </c>
      <c r="AB91" s="175">
        <f>IF(OR('Projektübersicht'!$F$11="",'Projektübersicht'!$F$13="",'Projektübersicht'!$F$11&gt;'Projektübersicht'!$F$13),"",IF(WORKDAY.INTL('Projektübersicht'!$F$11-1,90,"0000001")&lt;='Projektübersicht'!$F$13,WORKDAY.INTL('Projektübersicht'!$F$11-1,90,"0000001"),""))</f>
        <v/>
      </c>
    </row>
    <row r="92">
      <c r="Z92" s="175">
        <f>IF(OR('Projektübersicht'!$F$11="",'Projektübersicht'!$F$13="",'Projektübersicht'!$F$11&gt;'Projektübersicht'!$F$13),"",IF('Projektübersicht'!$F$11+90&lt;='Projektübersicht'!$F$13,'Projektübersicht'!$F$11+90,""))</f>
        <v/>
      </c>
      <c r="AB92" s="175">
        <f>IF(OR('Projektübersicht'!$F$11="",'Projektübersicht'!$F$13="",'Projektübersicht'!$F$11&gt;'Projektübersicht'!$F$13),"",IF(WORKDAY.INTL('Projektübersicht'!$F$11-1,91,"0000001")&lt;='Projektübersicht'!$F$13,WORKDAY.INTL('Projektübersicht'!$F$11-1,91,"0000001"),""))</f>
        <v/>
      </c>
    </row>
    <row r="93">
      <c r="Z93" s="175">
        <f>IF(OR('Projektübersicht'!$F$11="",'Projektübersicht'!$F$13="",'Projektübersicht'!$F$11&gt;'Projektübersicht'!$F$13),"",IF('Projektübersicht'!$F$11+91&lt;='Projektübersicht'!$F$13,'Projektübersicht'!$F$11+91,""))</f>
        <v/>
      </c>
      <c r="AB93" s="175">
        <f>IF(OR('Projektübersicht'!$F$11="",'Projektübersicht'!$F$13="",'Projektübersicht'!$F$11&gt;'Projektübersicht'!$F$13),"",IF(WORKDAY.INTL('Projektübersicht'!$F$11-1,92,"0000001")&lt;='Projektübersicht'!$F$13,WORKDAY.INTL('Projektübersicht'!$F$11-1,92,"0000001"),""))</f>
        <v/>
      </c>
    </row>
    <row r="94">
      <c r="Z94" s="175">
        <f>IF(OR('Projektübersicht'!$F$11="",'Projektübersicht'!$F$13="",'Projektübersicht'!$F$11&gt;'Projektübersicht'!$F$13),"",IF('Projektübersicht'!$F$11+92&lt;='Projektübersicht'!$F$13,'Projektübersicht'!$F$11+92,""))</f>
        <v/>
      </c>
      <c r="AB94" s="175">
        <f>IF(OR('Projektübersicht'!$F$11="",'Projektübersicht'!$F$13="",'Projektübersicht'!$F$11&gt;'Projektübersicht'!$F$13),"",IF(WORKDAY.INTL('Projektübersicht'!$F$11-1,93,"0000001")&lt;='Projektübersicht'!$F$13,WORKDAY.INTL('Projektübersicht'!$F$11-1,93,"0000001"),""))</f>
        <v/>
      </c>
    </row>
    <row r="95">
      <c r="Z95" s="175">
        <f>IF(OR('Projektübersicht'!$F$11="",'Projektübersicht'!$F$13="",'Projektübersicht'!$F$11&gt;'Projektübersicht'!$F$13),"",IF('Projektübersicht'!$F$11+93&lt;='Projektübersicht'!$F$13,'Projektübersicht'!$F$11+93,""))</f>
        <v/>
      </c>
      <c r="AB95" s="175">
        <f>IF(OR('Projektübersicht'!$F$11="",'Projektübersicht'!$F$13="",'Projektübersicht'!$F$11&gt;'Projektübersicht'!$F$13),"",IF(WORKDAY.INTL('Projektübersicht'!$F$11-1,94,"0000001")&lt;='Projektübersicht'!$F$13,WORKDAY.INTL('Projektübersicht'!$F$11-1,94,"0000001"),""))</f>
        <v/>
      </c>
    </row>
    <row r="96">
      <c r="Z96" s="175">
        <f>IF(OR('Projektübersicht'!$F$11="",'Projektübersicht'!$F$13="",'Projektübersicht'!$F$11&gt;'Projektübersicht'!$F$13),"",IF('Projektübersicht'!$F$11+94&lt;='Projektübersicht'!$F$13,'Projektübersicht'!$F$11+94,""))</f>
        <v/>
      </c>
      <c r="AB96" s="175">
        <f>IF(OR('Projektübersicht'!$F$11="",'Projektübersicht'!$F$13="",'Projektübersicht'!$F$11&gt;'Projektübersicht'!$F$13),"",IF(WORKDAY.INTL('Projektübersicht'!$F$11-1,95,"0000001")&lt;='Projektübersicht'!$F$13,WORKDAY.INTL('Projektübersicht'!$F$11-1,95,"0000001"),""))</f>
        <v/>
      </c>
    </row>
    <row r="97">
      <c r="Z97" s="175">
        <f>IF(OR('Projektübersicht'!$F$11="",'Projektübersicht'!$F$13="",'Projektübersicht'!$F$11&gt;'Projektübersicht'!$F$13),"",IF('Projektübersicht'!$F$11+95&lt;='Projektübersicht'!$F$13,'Projektübersicht'!$F$11+95,""))</f>
        <v/>
      </c>
      <c r="AB97" s="175">
        <f>IF(OR('Projektübersicht'!$F$11="",'Projektübersicht'!$F$13="",'Projektübersicht'!$F$11&gt;'Projektübersicht'!$F$13),"",IF(WORKDAY.INTL('Projektübersicht'!$F$11-1,96,"0000001")&lt;='Projektübersicht'!$F$13,WORKDAY.INTL('Projektübersicht'!$F$11-1,96,"0000001"),""))</f>
        <v/>
      </c>
    </row>
    <row r="98">
      <c r="Z98" s="175">
        <f>IF(OR('Projektübersicht'!$F$11="",'Projektübersicht'!$F$13="",'Projektübersicht'!$F$11&gt;'Projektübersicht'!$F$13),"",IF('Projektübersicht'!$F$11+96&lt;='Projektübersicht'!$F$13,'Projektübersicht'!$F$11+96,""))</f>
        <v/>
      </c>
      <c r="AB98" s="175">
        <f>IF(OR('Projektübersicht'!$F$11="",'Projektübersicht'!$F$13="",'Projektübersicht'!$F$11&gt;'Projektübersicht'!$F$13),"",IF(WORKDAY.INTL('Projektübersicht'!$F$11-1,97,"0000001")&lt;='Projektübersicht'!$F$13,WORKDAY.INTL('Projektübersicht'!$F$11-1,97,"0000001"),""))</f>
        <v/>
      </c>
    </row>
    <row r="99">
      <c r="Z99" s="175">
        <f>IF(OR('Projektübersicht'!$F$11="",'Projektübersicht'!$F$13="",'Projektübersicht'!$F$11&gt;'Projektübersicht'!$F$13),"",IF('Projektübersicht'!$F$11+97&lt;='Projektübersicht'!$F$13,'Projektübersicht'!$F$11+97,""))</f>
        <v/>
      </c>
      <c r="AB99" s="175">
        <f>IF(OR('Projektübersicht'!$F$11="",'Projektübersicht'!$F$13="",'Projektübersicht'!$F$11&gt;'Projektübersicht'!$F$13),"",IF(WORKDAY.INTL('Projektübersicht'!$F$11-1,98,"0000001")&lt;='Projektübersicht'!$F$13,WORKDAY.INTL('Projektübersicht'!$F$11-1,98,"0000001"),""))</f>
        <v/>
      </c>
    </row>
    <row r="100">
      <c r="Z100" s="175">
        <f>IF(OR('Projektübersicht'!$F$11="",'Projektübersicht'!$F$13="",'Projektübersicht'!$F$11&gt;'Projektübersicht'!$F$13),"",IF('Projektübersicht'!$F$11+98&lt;='Projektübersicht'!$F$13,'Projektübersicht'!$F$11+98,""))</f>
        <v/>
      </c>
      <c r="AB100" s="175">
        <f>IF(OR('Projektübersicht'!$F$11="",'Projektübersicht'!$F$13="",'Projektübersicht'!$F$11&gt;'Projektübersicht'!$F$13),"",IF(WORKDAY.INTL('Projektübersicht'!$F$11-1,99,"0000001")&lt;='Projektübersicht'!$F$13,WORKDAY.INTL('Projektübersicht'!$F$11-1,99,"0000001"),""))</f>
        <v/>
      </c>
    </row>
    <row r="101">
      <c r="Z101" s="175">
        <f>IF(OR('Projektübersicht'!$F$11="",'Projektübersicht'!$F$13="",'Projektübersicht'!$F$11&gt;'Projektübersicht'!$F$13),"",IF('Projektübersicht'!$F$11+99&lt;='Projektübersicht'!$F$13,'Projektübersicht'!$F$11+99,""))</f>
        <v/>
      </c>
      <c r="AB101" s="175">
        <f>IF(OR('Projektübersicht'!$F$11="",'Projektübersicht'!$F$13="",'Projektübersicht'!$F$11&gt;'Projektübersicht'!$F$13),"",IF(WORKDAY.INTL('Projektübersicht'!$F$11-1,100,"0000001")&lt;='Projektübersicht'!$F$13,WORKDAY.INTL('Projektübersicht'!$F$11-1,100,"0000001"),""))</f>
        <v/>
      </c>
    </row>
    <row r="102">
      <c r="Z102" s="175">
        <f>IF(OR('Projektübersicht'!$F$11="",'Projektübersicht'!$F$13="",'Projektübersicht'!$F$11&gt;'Projektübersicht'!$F$13),"",IF('Projektübersicht'!$F$11+100&lt;='Projektübersicht'!$F$13,'Projektübersicht'!$F$11+100,""))</f>
        <v/>
      </c>
      <c r="AB102" s="175">
        <f>IF(OR('Projektübersicht'!$F$11="",'Projektübersicht'!$F$13="",'Projektübersicht'!$F$11&gt;'Projektübersicht'!$F$13),"",IF(WORKDAY.INTL('Projektübersicht'!$F$11-1,101,"0000001")&lt;='Projektübersicht'!$F$13,WORKDAY.INTL('Projektübersicht'!$F$11-1,101,"0000001"),""))</f>
        <v/>
      </c>
    </row>
    <row r="103">
      <c r="Z103" s="175">
        <f>IF(OR('Projektübersicht'!$F$11="",'Projektübersicht'!$F$13="",'Projektübersicht'!$F$11&gt;'Projektübersicht'!$F$13),"",IF('Projektübersicht'!$F$11+101&lt;='Projektübersicht'!$F$13,'Projektübersicht'!$F$11+101,""))</f>
        <v/>
      </c>
      <c r="AB103" s="175">
        <f>IF(OR('Projektübersicht'!$F$11="",'Projektübersicht'!$F$13="",'Projektübersicht'!$F$11&gt;'Projektübersicht'!$F$13),"",IF(WORKDAY.INTL('Projektübersicht'!$F$11-1,102,"0000001")&lt;='Projektübersicht'!$F$13,WORKDAY.INTL('Projektübersicht'!$F$11-1,102,"0000001"),""))</f>
        <v/>
      </c>
    </row>
    <row r="104">
      <c r="Z104" s="175">
        <f>IF(OR('Projektübersicht'!$F$11="",'Projektübersicht'!$F$13="",'Projektübersicht'!$F$11&gt;'Projektübersicht'!$F$13),"",IF('Projektübersicht'!$F$11+102&lt;='Projektübersicht'!$F$13,'Projektübersicht'!$F$11+102,""))</f>
        <v/>
      </c>
      <c r="AB104" s="175">
        <f>IF(OR('Projektübersicht'!$F$11="",'Projektübersicht'!$F$13="",'Projektübersicht'!$F$11&gt;'Projektübersicht'!$F$13),"",IF(WORKDAY.INTL('Projektübersicht'!$F$11-1,103,"0000001")&lt;='Projektübersicht'!$F$13,WORKDAY.INTL('Projektübersicht'!$F$11-1,103,"0000001"),""))</f>
        <v/>
      </c>
    </row>
    <row r="105">
      <c r="Z105" s="175">
        <f>IF(OR('Projektübersicht'!$F$11="",'Projektübersicht'!$F$13="",'Projektübersicht'!$F$11&gt;'Projektübersicht'!$F$13),"",IF('Projektübersicht'!$F$11+103&lt;='Projektübersicht'!$F$13,'Projektübersicht'!$F$11+103,""))</f>
        <v/>
      </c>
      <c r="AB105" s="175">
        <f>IF(OR('Projektübersicht'!$F$11="",'Projektübersicht'!$F$13="",'Projektübersicht'!$F$11&gt;'Projektübersicht'!$F$13),"",IF(WORKDAY.INTL('Projektübersicht'!$F$11-1,104,"0000001")&lt;='Projektübersicht'!$F$13,WORKDAY.INTL('Projektübersicht'!$F$11-1,104,"0000001"),""))</f>
        <v/>
      </c>
    </row>
    <row r="106">
      <c r="Z106" s="175">
        <f>IF(OR('Projektübersicht'!$F$11="",'Projektübersicht'!$F$13="",'Projektübersicht'!$F$11&gt;'Projektübersicht'!$F$13),"",IF('Projektübersicht'!$F$11+104&lt;='Projektübersicht'!$F$13,'Projektübersicht'!$F$11+104,""))</f>
        <v/>
      </c>
      <c r="AB106" s="175">
        <f>IF(OR('Projektübersicht'!$F$11="",'Projektübersicht'!$F$13="",'Projektübersicht'!$F$11&gt;'Projektübersicht'!$F$13),"",IF(WORKDAY.INTL('Projektübersicht'!$F$11-1,105,"0000001")&lt;='Projektübersicht'!$F$13,WORKDAY.INTL('Projektübersicht'!$F$11-1,105,"0000001"),""))</f>
        <v/>
      </c>
    </row>
    <row r="107">
      <c r="Z107" s="175">
        <f>IF(OR('Projektübersicht'!$F$11="",'Projektübersicht'!$F$13="",'Projektübersicht'!$F$11&gt;'Projektübersicht'!$F$13),"",IF('Projektübersicht'!$F$11+105&lt;='Projektübersicht'!$F$13,'Projektübersicht'!$F$11+105,""))</f>
        <v/>
      </c>
      <c r="AB107" s="175">
        <f>IF(OR('Projektübersicht'!$F$11="",'Projektübersicht'!$F$13="",'Projektübersicht'!$F$11&gt;'Projektübersicht'!$F$13),"",IF(WORKDAY.INTL('Projektübersicht'!$F$11-1,106,"0000001")&lt;='Projektübersicht'!$F$13,WORKDAY.INTL('Projektübersicht'!$F$11-1,106,"0000001"),""))</f>
        <v/>
      </c>
    </row>
    <row r="108">
      <c r="Z108" s="175">
        <f>IF(OR('Projektübersicht'!$F$11="",'Projektübersicht'!$F$13="",'Projektübersicht'!$F$11&gt;'Projektübersicht'!$F$13),"",IF('Projektübersicht'!$F$11+106&lt;='Projektübersicht'!$F$13,'Projektübersicht'!$F$11+106,""))</f>
        <v/>
      </c>
      <c r="AB108" s="175">
        <f>IF(OR('Projektübersicht'!$F$11="",'Projektübersicht'!$F$13="",'Projektübersicht'!$F$11&gt;'Projektübersicht'!$F$13),"",IF(WORKDAY.INTL('Projektübersicht'!$F$11-1,107,"0000001")&lt;='Projektübersicht'!$F$13,WORKDAY.INTL('Projektübersicht'!$F$11-1,107,"0000001"),""))</f>
        <v/>
      </c>
    </row>
    <row r="109">
      <c r="Z109" s="175">
        <f>IF(OR('Projektübersicht'!$F$11="",'Projektübersicht'!$F$13="",'Projektübersicht'!$F$11&gt;'Projektübersicht'!$F$13),"",IF('Projektübersicht'!$F$11+107&lt;='Projektübersicht'!$F$13,'Projektübersicht'!$F$11+107,""))</f>
        <v/>
      </c>
      <c r="AB109" s="175">
        <f>IF(OR('Projektübersicht'!$F$11="",'Projektübersicht'!$F$13="",'Projektübersicht'!$F$11&gt;'Projektübersicht'!$F$13),"",IF(WORKDAY.INTL('Projektübersicht'!$F$11-1,108,"0000001")&lt;='Projektübersicht'!$F$13,WORKDAY.INTL('Projektübersicht'!$F$11-1,108,"0000001"),""))</f>
        <v/>
      </c>
    </row>
    <row r="110">
      <c r="Z110" s="175">
        <f>IF(OR('Projektübersicht'!$F$11="",'Projektübersicht'!$F$13="",'Projektübersicht'!$F$11&gt;'Projektübersicht'!$F$13),"",IF('Projektübersicht'!$F$11+108&lt;='Projektübersicht'!$F$13,'Projektübersicht'!$F$11+108,""))</f>
        <v/>
      </c>
      <c r="AB110" s="175">
        <f>IF(OR('Projektübersicht'!$F$11="",'Projektübersicht'!$F$13="",'Projektübersicht'!$F$11&gt;'Projektübersicht'!$F$13),"",IF(WORKDAY.INTL('Projektübersicht'!$F$11-1,109,"0000001")&lt;='Projektübersicht'!$F$13,WORKDAY.INTL('Projektübersicht'!$F$11-1,109,"0000001"),""))</f>
        <v/>
      </c>
    </row>
    <row r="111">
      <c r="Z111" s="175">
        <f>IF(OR('Projektübersicht'!$F$11="",'Projektübersicht'!$F$13="",'Projektübersicht'!$F$11&gt;'Projektübersicht'!$F$13),"",IF('Projektübersicht'!$F$11+109&lt;='Projektübersicht'!$F$13,'Projektübersicht'!$F$11+109,""))</f>
        <v/>
      </c>
      <c r="AB111" s="175">
        <f>IF(OR('Projektübersicht'!$F$11="",'Projektübersicht'!$F$13="",'Projektübersicht'!$F$11&gt;'Projektübersicht'!$F$13),"",IF(WORKDAY.INTL('Projektübersicht'!$F$11-1,110,"0000001")&lt;='Projektübersicht'!$F$13,WORKDAY.INTL('Projektübersicht'!$F$11-1,110,"0000001"),""))</f>
        <v/>
      </c>
    </row>
    <row r="112">
      <c r="Z112" s="175">
        <f>IF(OR('Projektübersicht'!$F$11="",'Projektübersicht'!$F$13="",'Projektübersicht'!$F$11&gt;'Projektübersicht'!$F$13),"",IF('Projektübersicht'!$F$11+110&lt;='Projektübersicht'!$F$13,'Projektübersicht'!$F$11+110,""))</f>
        <v/>
      </c>
      <c r="AB112" s="175">
        <f>IF(OR('Projektübersicht'!$F$11="",'Projektübersicht'!$F$13="",'Projektübersicht'!$F$11&gt;'Projektübersicht'!$F$13),"",IF(WORKDAY.INTL('Projektübersicht'!$F$11-1,111,"0000001")&lt;='Projektübersicht'!$F$13,WORKDAY.INTL('Projektübersicht'!$F$11-1,111,"0000001"),""))</f>
        <v/>
      </c>
    </row>
    <row r="113">
      <c r="Z113" s="175">
        <f>IF(OR('Projektübersicht'!$F$11="",'Projektübersicht'!$F$13="",'Projektübersicht'!$F$11&gt;'Projektübersicht'!$F$13),"",IF('Projektübersicht'!$F$11+111&lt;='Projektübersicht'!$F$13,'Projektübersicht'!$F$11+111,""))</f>
        <v/>
      </c>
      <c r="AB113" s="175">
        <f>IF(OR('Projektübersicht'!$F$11="",'Projektübersicht'!$F$13="",'Projektübersicht'!$F$11&gt;'Projektübersicht'!$F$13),"",IF(WORKDAY.INTL('Projektübersicht'!$F$11-1,112,"0000001")&lt;='Projektübersicht'!$F$13,WORKDAY.INTL('Projektübersicht'!$F$11-1,112,"0000001"),""))</f>
        <v/>
      </c>
    </row>
    <row r="114">
      <c r="Z114" s="175">
        <f>IF(OR('Projektübersicht'!$F$11="",'Projektübersicht'!$F$13="",'Projektübersicht'!$F$11&gt;'Projektübersicht'!$F$13),"",IF('Projektübersicht'!$F$11+112&lt;='Projektübersicht'!$F$13,'Projektübersicht'!$F$11+112,""))</f>
        <v/>
      </c>
      <c r="AB114" s="175">
        <f>IF(OR('Projektübersicht'!$F$11="",'Projektübersicht'!$F$13="",'Projektübersicht'!$F$11&gt;'Projektübersicht'!$F$13),"",IF(WORKDAY.INTL('Projektübersicht'!$F$11-1,113,"0000001")&lt;='Projektübersicht'!$F$13,WORKDAY.INTL('Projektübersicht'!$F$11-1,113,"0000001"),""))</f>
        <v/>
      </c>
    </row>
    <row r="115">
      <c r="Z115" s="175">
        <f>IF(OR('Projektübersicht'!$F$11="",'Projektübersicht'!$F$13="",'Projektübersicht'!$F$11&gt;'Projektübersicht'!$F$13),"",IF('Projektübersicht'!$F$11+113&lt;='Projektübersicht'!$F$13,'Projektübersicht'!$F$11+113,""))</f>
        <v/>
      </c>
      <c r="AB115" s="175">
        <f>IF(OR('Projektübersicht'!$F$11="",'Projektübersicht'!$F$13="",'Projektübersicht'!$F$11&gt;'Projektübersicht'!$F$13),"",IF(WORKDAY.INTL('Projektübersicht'!$F$11-1,114,"0000001")&lt;='Projektübersicht'!$F$13,WORKDAY.INTL('Projektübersicht'!$F$11-1,114,"0000001"),""))</f>
        <v/>
      </c>
    </row>
    <row r="116">
      <c r="Z116" s="175">
        <f>IF(OR('Projektübersicht'!$F$11="",'Projektübersicht'!$F$13="",'Projektübersicht'!$F$11&gt;'Projektübersicht'!$F$13),"",IF('Projektübersicht'!$F$11+114&lt;='Projektübersicht'!$F$13,'Projektübersicht'!$F$11+114,""))</f>
        <v/>
      </c>
      <c r="AB116" s="175">
        <f>IF(OR('Projektübersicht'!$F$11="",'Projektübersicht'!$F$13="",'Projektübersicht'!$F$11&gt;'Projektübersicht'!$F$13),"",IF(WORKDAY.INTL('Projektübersicht'!$F$11-1,115,"0000001")&lt;='Projektübersicht'!$F$13,WORKDAY.INTL('Projektübersicht'!$F$11-1,115,"0000001"),""))</f>
        <v/>
      </c>
    </row>
    <row r="117">
      <c r="Z117" s="175">
        <f>IF(OR('Projektübersicht'!$F$11="",'Projektübersicht'!$F$13="",'Projektübersicht'!$F$11&gt;'Projektübersicht'!$F$13),"",IF('Projektübersicht'!$F$11+115&lt;='Projektübersicht'!$F$13,'Projektübersicht'!$F$11+115,""))</f>
        <v/>
      </c>
      <c r="AB117" s="175">
        <f>IF(OR('Projektübersicht'!$F$11="",'Projektübersicht'!$F$13="",'Projektübersicht'!$F$11&gt;'Projektübersicht'!$F$13),"",IF(WORKDAY.INTL('Projektübersicht'!$F$11-1,116,"0000001")&lt;='Projektübersicht'!$F$13,WORKDAY.INTL('Projektübersicht'!$F$11-1,116,"0000001"),""))</f>
        <v/>
      </c>
    </row>
    <row r="118">
      <c r="Z118" s="175">
        <f>IF(OR('Projektübersicht'!$F$11="",'Projektübersicht'!$F$13="",'Projektübersicht'!$F$11&gt;'Projektübersicht'!$F$13),"",IF('Projektübersicht'!$F$11+116&lt;='Projektübersicht'!$F$13,'Projektübersicht'!$F$11+116,""))</f>
        <v/>
      </c>
      <c r="AB118" s="175">
        <f>IF(OR('Projektübersicht'!$F$11="",'Projektübersicht'!$F$13="",'Projektübersicht'!$F$11&gt;'Projektübersicht'!$F$13),"",IF(WORKDAY.INTL('Projektübersicht'!$F$11-1,117,"0000001")&lt;='Projektübersicht'!$F$13,WORKDAY.INTL('Projektübersicht'!$F$11-1,117,"0000001"),""))</f>
        <v/>
      </c>
    </row>
    <row r="119">
      <c r="Z119" s="175">
        <f>IF(OR('Projektübersicht'!$F$11="",'Projektübersicht'!$F$13="",'Projektübersicht'!$F$11&gt;'Projektübersicht'!$F$13),"",IF('Projektübersicht'!$F$11+117&lt;='Projektübersicht'!$F$13,'Projektübersicht'!$F$11+117,""))</f>
        <v/>
      </c>
      <c r="AB119" s="175">
        <f>IF(OR('Projektübersicht'!$F$11="",'Projektübersicht'!$F$13="",'Projektübersicht'!$F$11&gt;'Projektübersicht'!$F$13),"",IF(WORKDAY.INTL('Projektübersicht'!$F$11-1,118,"0000001")&lt;='Projektübersicht'!$F$13,WORKDAY.INTL('Projektübersicht'!$F$11-1,118,"0000001"),""))</f>
        <v/>
      </c>
    </row>
    <row r="120">
      <c r="Z120" s="175">
        <f>IF(OR('Projektübersicht'!$F$11="",'Projektübersicht'!$F$13="",'Projektübersicht'!$F$11&gt;'Projektübersicht'!$F$13),"",IF('Projektübersicht'!$F$11+118&lt;='Projektübersicht'!$F$13,'Projektübersicht'!$F$11+118,""))</f>
        <v/>
      </c>
      <c r="AB120" s="175">
        <f>IF(OR('Projektübersicht'!$F$11="",'Projektübersicht'!$F$13="",'Projektübersicht'!$F$11&gt;'Projektübersicht'!$F$13),"",IF(WORKDAY.INTL('Projektübersicht'!$F$11-1,119,"0000001")&lt;='Projektübersicht'!$F$13,WORKDAY.INTL('Projektübersicht'!$F$11-1,119,"0000001"),""))</f>
        <v/>
      </c>
    </row>
    <row r="121">
      <c r="Z121" s="175">
        <f>IF(OR('Projektübersicht'!$F$11="",'Projektübersicht'!$F$13="",'Projektübersicht'!$F$11&gt;'Projektübersicht'!$F$13),"",IF('Projektübersicht'!$F$11+119&lt;='Projektübersicht'!$F$13,'Projektübersicht'!$F$11+119,""))</f>
        <v/>
      </c>
      <c r="AB121" s="175">
        <f>IF(OR('Projektübersicht'!$F$11="",'Projektübersicht'!$F$13="",'Projektübersicht'!$F$11&gt;'Projektübersicht'!$F$13),"",IF(WORKDAY.INTL('Projektübersicht'!$F$11-1,120,"0000001")&lt;='Projektübersicht'!$F$13,WORKDAY.INTL('Projektübersicht'!$F$11-1,120,"0000001"),""))</f>
        <v/>
      </c>
    </row>
    <row r="122">
      <c r="Z122" s="175">
        <f>IF(OR('Projektübersicht'!$F$11="",'Projektübersicht'!$F$13="",'Projektübersicht'!$F$11&gt;'Projektübersicht'!$F$13),"",IF('Projektübersicht'!$F$11+120&lt;='Projektübersicht'!$F$13,'Projektübersicht'!$F$11+120,""))</f>
        <v/>
      </c>
      <c r="AB122" s="175">
        <f>IF(OR('Projektübersicht'!$F$11="",'Projektübersicht'!$F$13="",'Projektübersicht'!$F$11&gt;'Projektübersicht'!$F$13),"",IF(WORKDAY.INTL('Projektübersicht'!$F$11-1,121,"0000001")&lt;='Projektübersicht'!$F$13,WORKDAY.INTL('Projektübersicht'!$F$11-1,121,"0000001"),""))</f>
        <v/>
      </c>
    </row>
    <row r="123">
      <c r="Z123" s="175">
        <f>IF(OR('Projektübersicht'!$F$11="",'Projektübersicht'!$F$13="",'Projektübersicht'!$F$11&gt;'Projektübersicht'!$F$13),"",IF('Projektübersicht'!$F$11+121&lt;='Projektübersicht'!$F$13,'Projektübersicht'!$F$11+121,""))</f>
        <v/>
      </c>
      <c r="AB123" s="175">
        <f>IF(OR('Projektübersicht'!$F$11="",'Projektübersicht'!$F$13="",'Projektübersicht'!$F$11&gt;'Projektübersicht'!$F$13),"",IF(WORKDAY.INTL('Projektübersicht'!$F$11-1,122,"0000001")&lt;='Projektübersicht'!$F$13,WORKDAY.INTL('Projektübersicht'!$F$11-1,122,"0000001"),""))</f>
        <v/>
      </c>
    </row>
    <row r="124">
      <c r="Z124" s="175">
        <f>IF(OR('Projektübersicht'!$F$11="",'Projektübersicht'!$F$13="",'Projektübersicht'!$F$11&gt;'Projektübersicht'!$F$13),"",IF('Projektübersicht'!$F$11+122&lt;='Projektübersicht'!$F$13,'Projektübersicht'!$F$11+122,""))</f>
        <v/>
      </c>
      <c r="AB124" s="175">
        <f>IF(OR('Projektübersicht'!$F$11="",'Projektübersicht'!$F$13="",'Projektübersicht'!$F$11&gt;'Projektübersicht'!$F$13),"",IF(WORKDAY.INTL('Projektübersicht'!$F$11-1,123,"0000001")&lt;='Projektübersicht'!$F$13,WORKDAY.INTL('Projektübersicht'!$F$11-1,123,"0000001"),""))</f>
        <v/>
      </c>
    </row>
    <row r="125">
      <c r="Z125" s="175">
        <f>IF(OR('Projektübersicht'!$F$11="",'Projektübersicht'!$F$13="",'Projektübersicht'!$F$11&gt;'Projektübersicht'!$F$13),"",IF('Projektübersicht'!$F$11+123&lt;='Projektübersicht'!$F$13,'Projektübersicht'!$F$11+123,""))</f>
        <v/>
      </c>
      <c r="AB125" s="175">
        <f>IF(OR('Projektübersicht'!$F$11="",'Projektübersicht'!$F$13="",'Projektübersicht'!$F$11&gt;'Projektübersicht'!$F$13),"",IF(WORKDAY.INTL('Projektübersicht'!$F$11-1,124,"0000001")&lt;='Projektübersicht'!$F$13,WORKDAY.INTL('Projektübersicht'!$F$11-1,124,"0000001"),""))</f>
        <v/>
      </c>
    </row>
    <row r="126">
      <c r="Z126" s="175">
        <f>IF(OR('Projektübersicht'!$F$11="",'Projektübersicht'!$F$13="",'Projektübersicht'!$F$11&gt;'Projektübersicht'!$F$13),"",IF('Projektübersicht'!$F$11+124&lt;='Projektübersicht'!$F$13,'Projektübersicht'!$F$11+124,""))</f>
        <v/>
      </c>
      <c r="AB126" s="175">
        <f>IF(OR('Projektübersicht'!$F$11="",'Projektübersicht'!$F$13="",'Projektübersicht'!$F$11&gt;'Projektübersicht'!$F$13),"",IF(WORKDAY.INTL('Projektübersicht'!$F$11-1,125,"0000001")&lt;='Projektübersicht'!$F$13,WORKDAY.INTL('Projektübersicht'!$F$11-1,125,"0000001"),""))</f>
        <v/>
      </c>
    </row>
    <row r="127">
      <c r="Z127" s="175">
        <f>IF(OR('Projektübersicht'!$F$11="",'Projektübersicht'!$F$13="",'Projektübersicht'!$F$11&gt;'Projektübersicht'!$F$13),"",IF('Projektübersicht'!$F$11+125&lt;='Projektübersicht'!$F$13,'Projektübersicht'!$F$11+125,""))</f>
        <v/>
      </c>
      <c r="AB127" s="175">
        <f>IF(OR('Projektübersicht'!$F$11="",'Projektübersicht'!$F$13="",'Projektübersicht'!$F$11&gt;'Projektübersicht'!$F$13),"",IF(WORKDAY.INTL('Projektübersicht'!$F$11-1,126,"0000001")&lt;='Projektübersicht'!$F$13,WORKDAY.INTL('Projektübersicht'!$F$11-1,126,"0000001"),""))</f>
        <v/>
      </c>
    </row>
    <row r="128">
      <c r="Z128" s="175">
        <f>IF(OR('Projektübersicht'!$F$11="",'Projektübersicht'!$F$13="",'Projektübersicht'!$F$11&gt;'Projektübersicht'!$F$13),"",IF('Projektübersicht'!$F$11+126&lt;='Projektübersicht'!$F$13,'Projektübersicht'!$F$11+126,""))</f>
        <v/>
      </c>
      <c r="AB128" s="175">
        <f>IF(OR('Projektübersicht'!$F$11="",'Projektübersicht'!$F$13="",'Projektübersicht'!$F$11&gt;'Projektübersicht'!$F$13),"",IF(WORKDAY.INTL('Projektübersicht'!$F$11-1,127,"0000001")&lt;='Projektübersicht'!$F$13,WORKDAY.INTL('Projektübersicht'!$F$11-1,127,"0000001"),""))</f>
        <v/>
      </c>
    </row>
    <row r="129">
      <c r="Z129" s="175">
        <f>IF(OR('Projektübersicht'!$F$11="",'Projektübersicht'!$F$13="",'Projektübersicht'!$F$11&gt;'Projektübersicht'!$F$13),"",IF('Projektübersicht'!$F$11+127&lt;='Projektübersicht'!$F$13,'Projektübersicht'!$F$11+127,""))</f>
        <v/>
      </c>
      <c r="AB129" s="175">
        <f>IF(OR('Projektübersicht'!$F$11="",'Projektübersicht'!$F$13="",'Projektübersicht'!$F$11&gt;'Projektübersicht'!$F$13),"",IF(WORKDAY.INTL('Projektübersicht'!$F$11-1,128,"0000001")&lt;='Projektübersicht'!$F$13,WORKDAY.INTL('Projektübersicht'!$F$11-1,128,"0000001"),""))</f>
        <v/>
      </c>
    </row>
    <row r="130">
      <c r="Z130" s="175">
        <f>IF(OR('Projektübersicht'!$F$11="",'Projektübersicht'!$F$13="",'Projektübersicht'!$F$11&gt;'Projektübersicht'!$F$13),"",IF('Projektübersicht'!$F$11+128&lt;='Projektübersicht'!$F$13,'Projektübersicht'!$F$11+128,""))</f>
        <v/>
      </c>
      <c r="AB130" s="175">
        <f>IF(OR('Projektübersicht'!$F$11="",'Projektübersicht'!$F$13="",'Projektübersicht'!$F$11&gt;'Projektübersicht'!$F$13),"",IF(WORKDAY.INTL('Projektübersicht'!$F$11-1,129,"0000001")&lt;='Projektübersicht'!$F$13,WORKDAY.INTL('Projektübersicht'!$F$11-1,129,"0000001"),""))</f>
        <v/>
      </c>
    </row>
    <row r="131">
      <c r="Z131" s="175">
        <f>IF(OR('Projektübersicht'!$F$11="",'Projektübersicht'!$F$13="",'Projektübersicht'!$F$11&gt;'Projektübersicht'!$F$13),"",IF('Projektübersicht'!$F$11+129&lt;='Projektübersicht'!$F$13,'Projektübersicht'!$F$11+129,""))</f>
        <v/>
      </c>
      <c r="AB131" s="175">
        <f>IF(OR('Projektübersicht'!$F$11="",'Projektübersicht'!$F$13="",'Projektübersicht'!$F$11&gt;'Projektübersicht'!$F$13),"",IF(WORKDAY.INTL('Projektübersicht'!$F$11-1,130,"0000001")&lt;='Projektübersicht'!$F$13,WORKDAY.INTL('Projektübersicht'!$F$11-1,130,"0000001"),""))</f>
        <v/>
      </c>
    </row>
    <row r="132">
      <c r="Z132" s="175">
        <f>IF(OR('Projektübersicht'!$F$11="",'Projektübersicht'!$F$13="",'Projektübersicht'!$F$11&gt;'Projektübersicht'!$F$13),"",IF('Projektübersicht'!$F$11+130&lt;='Projektübersicht'!$F$13,'Projektübersicht'!$F$11+130,""))</f>
        <v/>
      </c>
      <c r="AB132" s="175">
        <f>IF(OR('Projektübersicht'!$F$11="",'Projektübersicht'!$F$13="",'Projektübersicht'!$F$11&gt;'Projektübersicht'!$F$13),"",IF(WORKDAY.INTL('Projektübersicht'!$F$11-1,131,"0000001")&lt;='Projektübersicht'!$F$13,WORKDAY.INTL('Projektübersicht'!$F$11-1,131,"0000001"),""))</f>
        <v/>
      </c>
    </row>
    <row r="133">
      <c r="Z133" s="175">
        <f>IF(OR('Projektübersicht'!$F$11="",'Projektübersicht'!$F$13="",'Projektübersicht'!$F$11&gt;'Projektübersicht'!$F$13),"",IF('Projektübersicht'!$F$11+131&lt;='Projektübersicht'!$F$13,'Projektübersicht'!$F$11+131,""))</f>
        <v/>
      </c>
      <c r="AB133" s="175">
        <f>IF(OR('Projektübersicht'!$F$11="",'Projektübersicht'!$F$13="",'Projektübersicht'!$F$11&gt;'Projektübersicht'!$F$13),"",IF(WORKDAY.INTL('Projektübersicht'!$F$11-1,132,"0000001")&lt;='Projektübersicht'!$F$13,WORKDAY.INTL('Projektübersicht'!$F$11-1,132,"0000001"),""))</f>
        <v/>
      </c>
    </row>
    <row r="134">
      <c r="Z134" s="175">
        <f>IF(OR('Projektübersicht'!$F$11="",'Projektübersicht'!$F$13="",'Projektübersicht'!$F$11&gt;'Projektübersicht'!$F$13),"",IF('Projektübersicht'!$F$11+132&lt;='Projektübersicht'!$F$13,'Projektübersicht'!$F$11+132,""))</f>
        <v/>
      </c>
      <c r="AB134" s="175">
        <f>IF(OR('Projektübersicht'!$F$11="",'Projektübersicht'!$F$13="",'Projektübersicht'!$F$11&gt;'Projektübersicht'!$F$13),"",IF(WORKDAY.INTL('Projektübersicht'!$F$11-1,133,"0000001")&lt;='Projektübersicht'!$F$13,WORKDAY.INTL('Projektübersicht'!$F$11-1,133,"0000001"),""))</f>
        <v/>
      </c>
    </row>
    <row r="135">
      <c r="Z135" s="175">
        <f>IF(OR('Projektübersicht'!$F$11="",'Projektübersicht'!$F$13="",'Projektübersicht'!$F$11&gt;'Projektübersicht'!$F$13),"",IF('Projektübersicht'!$F$11+133&lt;='Projektübersicht'!$F$13,'Projektübersicht'!$F$11+133,""))</f>
        <v/>
      </c>
      <c r="AB135" s="175">
        <f>IF(OR('Projektübersicht'!$F$11="",'Projektübersicht'!$F$13="",'Projektübersicht'!$F$11&gt;'Projektübersicht'!$F$13),"",IF(WORKDAY.INTL('Projektübersicht'!$F$11-1,134,"0000001")&lt;='Projektübersicht'!$F$13,WORKDAY.INTL('Projektübersicht'!$F$11-1,134,"0000001"),""))</f>
        <v/>
      </c>
    </row>
    <row r="136">
      <c r="Z136" s="175">
        <f>IF(OR('Projektübersicht'!$F$11="",'Projektübersicht'!$F$13="",'Projektübersicht'!$F$11&gt;'Projektübersicht'!$F$13),"",IF('Projektübersicht'!$F$11+134&lt;='Projektübersicht'!$F$13,'Projektübersicht'!$F$11+134,""))</f>
        <v/>
      </c>
      <c r="AB136" s="175">
        <f>IF(OR('Projektübersicht'!$F$11="",'Projektübersicht'!$F$13="",'Projektübersicht'!$F$11&gt;'Projektübersicht'!$F$13),"",IF(WORKDAY.INTL('Projektübersicht'!$F$11-1,135,"0000001")&lt;='Projektübersicht'!$F$13,WORKDAY.INTL('Projektübersicht'!$F$11-1,135,"0000001"),""))</f>
        <v/>
      </c>
    </row>
    <row r="137">
      <c r="Z137" s="175">
        <f>IF(OR('Projektübersicht'!$F$11="",'Projektübersicht'!$F$13="",'Projektübersicht'!$F$11&gt;'Projektübersicht'!$F$13),"",IF('Projektübersicht'!$F$11+135&lt;='Projektübersicht'!$F$13,'Projektübersicht'!$F$11+135,""))</f>
        <v/>
      </c>
      <c r="AB137" s="175">
        <f>IF(OR('Projektübersicht'!$F$11="",'Projektübersicht'!$F$13="",'Projektübersicht'!$F$11&gt;'Projektübersicht'!$F$13),"",IF(WORKDAY.INTL('Projektübersicht'!$F$11-1,136,"0000001")&lt;='Projektübersicht'!$F$13,WORKDAY.INTL('Projektübersicht'!$F$11-1,136,"0000001"),""))</f>
        <v/>
      </c>
    </row>
    <row r="138">
      <c r="Z138" s="175">
        <f>IF(OR('Projektübersicht'!$F$11="",'Projektübersicht'!$F$13="",'Projektübersicht'!$F$11&gt;'Projektübersicht'!$F$13),"",IF('Projektübersicht'!$F$11+136&lt;='Projektübersicht'!$F$13,'Projektübersicht'!$F$11+136,""))</f>
        <v/>
      </c>
      <c r="AB138" s="175">
        <f>IF(OR('Projektübersicht'!$F$11="",'Projektübersicht'!$F$13="",'Projektübersicht'!$F$11&gt;'Projektübersicht'!$F$13),"",IF(WORKDAY.INTL('Projektübersicht'!$F$11-1,137,"0000001")&lt;='Projektübersicht'!$F$13,WORKDAY.INTL('Projektübersicht'!$F$11-1,137,"0000001"),""))</f>
        <v/>
      </c>
    </row>
    <row r="139">
      <c r="Z139" s="175">
        <f>IF(OR('Projektübersicht'!$F$11="",'Projektübersicht'!$F$13="",'Projektübersicht'!$F$11&gt;'Projektübersicht'!$F$13),"",IF('Projektübersicht'!$F$11+137&lt;='Projektübersicht'!$F$13,'Projektübersicht'!$F$11+137,""))</f>
        <v/>
      </c>
      <c r="AB139" s="175">
        <f>IF(OR('Projektübersicht'!$F$11="",'Projektübersicht'!$F$13="",'Projektübersicht'!$F$11&gt;'Projektübersicht'!$F$13),"",IF(WORKDAY.INTL('Projektübersicht'!$F$11-1,138,"0000001")&lt;='Projektübersicht'!$F$13,WORKDAY.INTL('Projektübersicht'!$F$11-1,138,"0000001"),""))</f>
        <v/>
      </c>
    </row>
    <row r="140">
      <c r="Z140" s="175">
        <f>IF(OR('Projektübersicht'!$F$11="",'Projektübersicht'!$F$13="",'Projektübersicht'!$F$11&gt;'Projektübersicht'!$F$13),"",IF('Projektübersicht'!$F$11+138&lt;='Projektübersicht'!$F$13,'Projektübersicht'!$F$11+138,""))</f>
        <v/>
      </c>
      <c r="AB140" s="175">
        <f>IF(OR('Projektübersicht'!$F$11="",'Projektübersicht'!$F$13="",'Projektübersicht'!$F$11&gt;'Projektübersicht'!$F$13),"",IF(WORKDAY.INTL('Projektübersicht'!$F$11-1,139,"0000001")&lt;='Projektübersicht'!$F$13,WORKDAY.INTL('Projektübersicht'!$F$11-1,139,"0000001"),""))</f>
        <v/>
      </c>
    </row>
    <row r="141">
      <c r="Z141" s="175">
        <f>IF(OR('Projektübersicht'!$F$11="",'Projektübersicht'!$F$13="",'Projektübersicht'!$F$11&gt;'Projektübersicht'!$F$13),"",IF('Projektübersicht'!$F$11+139&lt;='Projektübersicht'!$F$13,'Projektübersicht'!$F$11+139,""))</f>
        <v/>
      </c>
      <c r="AB141" s="175">
        <f>IF(OR('Projektübersicht'!$F$11="",'Projektübersicht'!$F$13="",'Projektübersicht'!$F$11&gt;'Projektübersicht'!$F$13),"",IF(WORKDAY.INTL('Projektübersicht'!$F$11-1,140,"0000001")&lt;='Projektübersicht'!$F$13,WORKDAY.INTL('Projektübersicht'!$F$11-1,140,"0000001"),""))</f>
        <v/>
      </c>
    </row>
    <row r="142">
      <c r="Z142" s="175">
        <f>IF(OR('Projektübersicht'!$F$11="",'Projektübersicht'!$F$13="",'Projektübersicht'!$F$11&gt;'Projektübersicht'!$F$13),"",IF('Projektübersicht'!$F$11+140&lt;='Projektübersicht'!$F$13,'Projektübersicht'!$F$11+140,""))</f>
        <v/>
      </c>
      <c r="AB142" s="175">
        <f>IF(OR('Projektübersicht'!$F$11="",'Projektübersicht'!$F$13="",'Projektübersicht'!$F$11&gt;'Projektübersicht'!$F$13),"",IF(WORKDAY.INTL('Projektübersicht'!$F$11-1,141,"0000001")&lt;='Projektübersicht'!$F$13,WORKDAY.INTL('Projektübersicht'!$F$11-1,141,"0000001"),""))</f>
        <v/>
      </c>
    </row>
    <row r="143">
      <c r="Z143" s="175">
        <f>IF(OR('Projektübersicht'!$F$11="",'Projektübersicht'!$F$13="",'Projektübersicht'!$F$11&gt;'Projektübersicht'!$F$13),"",IF('Projektübersicht'!$F$11+141&lt;='Projektübersicht'!$F$13,'Projektübersicht'!$F$11+141,""))</f>
        <v/>
      </c>
      <c r="AB143" s="175">
        <f>IF(OR('Projektübersicht'!$F$11="",'Projektübersicht'!$F$13="",'Projektübersicht'!$F$11&gt;'Projektübersicht'!$F$13),"",IF(WORKDAY.INTL('Projektübersicht'!$F$11-1,142,"0000001")&lt;='Projektübersicht'!$F$13,WORKDAY.INTL('Projektübersicht'!$F$11-1,142,"0000001"),""))</f>
        <v/>
      </c>
    </row>
    <row r="144">
      <c r="Z144" s="175">
        <f>IF(OR('Projektübersicht'!$F$11="",'Projektübersicht'!$F$13="",'Projektübersicht'!$F$11&gt;'Projektübersicht'!$F$13),"",IF('Projektübersicht'!$F$11+142&lt;='Projektübersicht'!$F$13,'Projektübersicht'!$F$11+142,""))</f>
        <v/>
      </c>
      <c r="AB144" s="175">
        <f>IF(OR('Projektübersicht'!$F$11="",'Projektübersicht'!$F$13="",'Projektübersicht'!$F$11&gt;'Projektübersicht'!$F$13),"",IF(WORKDAY.INTL('Projektübersicht'!$F$11-1,143,"0000001")&lt;='Projektübersicht'!$F$13,WORKDAY.INTL('Projektübersicht'!$F$11-1,143,"0000001"),""))</f>
        <v/>
      </c>
    </row>
    <row r="145">
      <c r="Z145" s="175">
        <f>IF(OR('Projektübersicht'!$F$11="",'Projektübersicht'!$F$13="",'Projektübersicht'!$F$11&gt;'Projektübersicht'!$F$13),"",IF('Projektübersicht'!$F$11+143&lt;='Projektübersicht'!$F$13,'Projektübersicht'!$F$11+143,""))</f>
        <v/>
      </c>
      <c r="AB145" s="175">
        <f>IF(OR('Projektübersicht'!$F$11="",'Projektübersicht'!$F$13="",'Projektübersicht'!$F$11&gt;'Projektübersicht'!$F$13),"",IF(WORKDAY.INTL('Projektübersicht'!$F$11-1,144,"0000001")&lt;='Projektübersicht'!$F$13,WORKDAY.INTL('Projektübersicht'!$F$11-1,144,"0000001"),""))</f>
        <v/>
      </c>
    </row>
    <row r="146">
      <c r="Z146" s="175">
        <f>IF(OR('Projektübersicht'!$F$11="",'Projektübersicht'!$F$13="",'Projektübersicht'!$F$11&gt;'Projektübersicht'!$F$13),"",IF('Projektübersicht'!$F$11+144&lt;='Projektübersicht'!$F$13,'Projektübersicht'!$F$11+144,""))</f>
        <v/>
      </c>
      <c r="AB146" s="175">
        <f>IF(OR('Projektübersicht'!$F$11="",'Projektübersicht'!$F$13="",'Projektübersicht'!$F$11&gt;'Projektübersicht'!$F$13),"",IF(WORKDAY.INTL('Projektübersicht'!$F$11-1,145,"0000001")&lt;='Projektübersicht'!$F$13,WORKDAY.INTL('Projektübersicht'!$F$11-1,145,"0000001"),""))</f>
        <v/>
      </c>
    </row>
    <row r="147">
      <c r="Z147" s="175">
        <f>IF(OR('Projektübersicht'!$F$11="",'Projektübersicht'!$F$13="",'Projektübersicht'!$F$11&gt;'Projektübersicht'!$F$13),"",IF('Projektübersicht'!$F$11+145&lt;='Projektübersicht'!$F$13,'Projektübersicht'!$F$11+145,""))</f>
        <v/>
      </c>
      <c r="AB147" s="175">
        <f>IF(OR('Projektübersicht'!$F$11="",'Projektübersicht'!$F$13="",'Projektübersicht'!$F$11&gt;'Projektübersicht'!$F$13),"",IF(WORKDAY.INTL('Projektübersicht'!$F$11-1,146,"0000001")&lt;='Projektübersicht'!$F$13,WORKDAY.INTL('Projektübersicht'!$F$11-1,146,"0000001"),""))</f>
        <v/>
      </c>
    </row>
    <row r="148">
      <c r="Z148" s="175">
        <f>IF(OR('Projektübersicht'!$F$11="",'Projektübersicht'!$F$13="",'Projektübersicht'!$F$11&gt;'Projektübersicht'!$F$13),"",IF('Projektübersicht'!$F$11+146&lt;='Projektübersicht'!$F$13,'Projektübersicht'!$F$11+146,""))</f>
        <v/>
      </c>
      <c r="AB148" s="175">
        <f>IF(OR('Projektübersicht'!$F$11="",'Projektübersicht'!$F$13="",'Projektübersicht'!$F$11&gt;'Projektübersicht'!$F$13),"",IF(WORKDAY.INTL('Projektübersicht'!$F$11-1,147,"0000001")&lt;='Projektübersicht'!$F$13,WORKDAY.INTL('Projektübersicht'!$F$11-1,147,"0000001"),""))</f>
        <v/>
      </c>
    </row>
    <row r="149">
      <c r="Z149" s="175">
        <f>IF(OR('Projektübersicht'!$F$11="",'Projektübersicht'!$F$13="",'Projektübersicht'!$F$11&gt;'Projektübersicht'!$F$13),"",IF('Projektübersicht'!$F$11+147&lt;='Projektübersicht'!$F$13,'Projektübersicht'!$F$11+147,""))</f>
        <v/>
      </c>
      <c r="AB149" s="175">
        <f>IF(OR('Projektübersicht'!$F$11="",'Projektübersicht'!$F$13="",'Projektübersicht'!$F$11&gt;'Projektübersicht'!$F$13),"",IF(WORKDAY.INTL('Projektübersicht'!$F$11-1,148,"0000001")&lt;='Projektübersicht'!$F$13,WORKDAY.INTL('Projektübersicht'!$F$11-1,148,"0000001"),""))</f>
        <v/>
      </c>
    </row>
    <row r="150">
      <c r="Z150" s="175">
        <f>IF(OR('Projektübersicht'!$F$11="",'Projektübersicht'!$F$13="",'Projektübersicht'!$F$11&gt;'Projektübersicht'!$F$13),"",IF('Projektübersicht'!$F$11+148&lt;='Projektübersicht'!$F$13,'Projektübersicht'!$F$11+148,""))</f>
        <v/>
      </c>
      <c r="AB150" s="175">
        <f>IF(OR('Projektübersicht'!$F$11="",'Projektübersicht'!$F$13="",'Projektübersicht'!$F$11&gt;'Projektübersicht'!$F$13),"",IF(WORKDAY.INTL('Projektübersicht'!$F$11-1,149,"0000001")&lt;='Projektübersicht'!$F$13,WORKDAY.INTL('Projektübersicht'!$F$11-1,149,"0000001"),""))</f>
        <v/>
      </c>
    </row>
    <row r="151">
      <c r="Z151" s="175">
        <f>IF(OR('Projektübersicht'!$F$11="",'Projektübersicht'!$F$13="",'Projektübersicht'!$F$11&gt;'Projektübersicht'!$F$13),"",IF('Projektübersicht'!$F$11+149&lt;='Projektübersicht'!$F$13,'Projektübersicht'!$F$11+149,""))</f>
        <v/>
      </c>
      <c r="AB151" s="175">
        <f>IF(OR('Projektübersicht'!$F$11="",'Projektübersicht'!$F$13="",'Projektübersicht'!$F$11&gt;'Projektübersicht'!$F$13),"",IF(WORKDAY.INTL('Projektübersicht'!$F$11-1,150,"0000001")&lt;='Projektübersicht'!$F$13,WORKDAY.INTL('Projektübersicht'!$F$11-1,150,"0000001"),""))</f>
        <v/>
      </c>
    </row>
    <row r="152">
      <c r="Z152" s="175">
        <f>IF(OR('Projektübersicht'!$F$11="",'Projektübersicht'!$F$13="",'Projektübersicht'!$F$11&gt;'Projektübersicht'!$F$13),"",IF('Projektübersicht'!$F$11+150&lt;='Projektübersicht'!$F$13,'Projektübersicht'!$F$11+150,""))</f>
        <v/>
      </c>
      <c r="AB152" s="175">
        <f>IF(OR('Projektübersicht'!$F$11="",'Projektübersicht'!$F$13="",'Projektübersicht'!$F$11&gt;'Projektübersicht'!$F$13),"",IF(WORKDAY.INTL('Projektübersicht'!$F$11-1,151,"0000001")&lt;='Projektübersicht'!$F$13,WORKDAY.INTL('Projektübersicht'!$F$11-1,151,"0000001"),""))</f>
        <v/>
      </c>
    </row>
    <row r="153">
      <c r="Z153" s="175">
        <f>IF(OR('Projektübersicht'!$F$11="",'Projektübersicht'!$F$13="",'Projektübersicht'!$F$11&gt;'Projektübersicht'!$F$13),"",IF('Projektübersicht'!$F$11+151&lt;='Projektübersicht'!$F$13,'Projektübersicht'!$F$11+151,""))</f>
        <v/>
      </c>
      <c r="AB153" s="175">
        <f>IF(OR('Projektübersicht'!$F$11="",'Projektübersicht'!$F$13="",'Projektübersicht'!$F$11&gt;'Projektübersicht'!$F$13),"",IF(WORKDAY.INTL('Projektübersicht'!$F$11-1,152,"0000001")&lt;='Projektübersicht'!$F$13,WORKDAY.INTL('Projektübersicht'!$F$11-1,152,"0000001"),""))</f>
        <v/>
      </c>
    </row>
    <row r="154">
      <c r="Z154" s="175">
        <f>IF(OR('Projektübersicht'!$F$11="",'Projektübersicht'!$F$13="",'Projektübersicht'!$F$11&gt;'Projektübersicht'!$F$13),"",IF('Projektübersicht'!$F$11+152&lt;='Projektübersicht'!$F$13,'Projektübersicht'!$F$11+152,""))</f>
        <v/>
      </c>
      <c r="AB154" s="175">
        <f>IF(OR('Projektübersicht'!$F$11="",'Projektübersicht'!$F$13="",'Projektübersicht'!$F$11&gt;'Projektübersicht'!$F$13),"",IF(WORKDAY.INTL('Projektübersicht'!$F$11-1,153,"0000001")&lt;='Projektübersicht'!$F$13,WORKDAY.INTL('Projektübersicht'!$F$11-1,153,"0000001"),""))</f>
        <v/>
      </c>
    </row>
    <row r="155">
      <c r="Z155" s="175">
        <f>IF(OR('Projektübersicht'!$F$11="",'Projektübersicht'!$F$13="",'Projektübersicht'!$F$11&gt;'Projektübersicht'!$F$13),"",IF('Projektübersicht'!$F$11+153&lt;='Projektübersicht'!$F$13,'Projektübersicht'!$F$11+153,""))</f>
        <v/>
      </c>
      <c r="AB155" s="175">
        <f>IF(OR('Projektübersicht'!$F$11="",'Projektübersicht'!$F$13="",'Projektübersicht'!$F$11&gt;'Projektübersicht'!$F$13),"",IF(WORKDAY.INTL('Projektübersicht'!$F$11-1,154,"0000001")&lt;='Projektübersicht'!$F$13,WORKDAY.INTL('Projektübersicht'!$F$11-1,154,"0000001"),""))</f>
        <v/>
      </c>
    </row>
    <row r="156">
      <c r="Z156" s="175">
        <f>IF(OR('Projektübersicht'!$F$11="",'Projektübersicht'!$F$13="",'Projektübersicht'!$F$11&gt;'Projektübersicht'!$F$13),"",IF('Projektübersicht'!$F$11+154&lt;='Projektübersicht'!$F$13,'Projektübersicht'!$F$11+154,""))</f>
        <v/>
      </c>
      <c r="AB156" s="175">
        <f>IF(OR('Projektübersicht'!$F$11="",'Projektübersicht'!$F$13="",'Projektübersicht'!$F$11&gt;'Projektübersicht'!$F$13),"",IF(WORKDAY.INTL('Projektübersicht'!$F$11-1,155,"0000001")&lt;='Projektübersicht'!$F$13,WORKDAY.INTL('Projektübersicht'!$F$11-1,155,"0000001"),""))</f>
        <v/>
      </c>
    </row>
    <row r="157">
      <c r="Z157" s="175">
        <f>IF(OR('Projektübersicht'!$F$11="",'Projektübersicht'!$F$13="",'Projektübersicht'!$F$11&gt;'Projektübersicht'!$F$13),"",IF('Projektübersicht'!$F$11+155&lt;='Projektübersicht'!$F$13,'Projektübersicht'!$F$11+155,""))</f>
        <v/>
      </c>
      <c r="AB157" s="175">
        <f>IF(OR('Projektübersicht'!$F$11="",'Projektübersicht'!$F$13="",'Projektübersicht'!$F$11&gt;'Projektübersicht'!$F$13),"",IF(WORKDAY.INTL('Projektübersicht'!$F$11-1,156,"0000001")&lt;='Projektübersicht'!$F$13,WORKDAY.INTL('Projektübersicht'!$F$11-1,156,"0000001"),""))</f>
        <v/>
      </c>
    </row>
    <row r="158">
      <c r="Z158" s="175">
        <f>IF(OR('Projektübersicht'!$F$11="",'Projektübersicht'!$F$13="",'Projektübersicht'!$F$11&gt;'Projektübersicht'!$F$13),"",IF('Projektübersicht'!$F$11+156&lt;='Projektübersicht'!$F$13,'Projektübersicht'!$F$11+156,""))</f>
        <v/>
      </c>
      <c r="AB158" s="175">
        <f>IF(OR('Projektübersicht'!$F$11="",'Projektübersicht'!$F$13="",'Projektübersicht'!$F$11&gt;'Projektübersicht'!$F$13),"",IF(WORKDAY.INTL('Projektübersicht'!$F$11-1,157,"0000001")&lt;='Projektübersicht'!$F$13,WORKDAY.INTL('Projektübersicht'!$F$11-1,157,"0000001"),""))</f>
        <v/>
      </c>
    </row>
    <row r="159">
      <c r="Z159" s="175">
        <f>IF(OR('Projektübersicht'!$F$11="",'Projektübersicht'!$F$13="",'Projektübersicht'!$F$11&gt;'Projektübersicht'!$F$13),"",IF('Projektübersicht'!$F$11+157&lt;='Projektübersicht'!$F$13,'Projektübersicht'!$F$11+157,""))</f>
        <v/>
      </c>
      <c r="AB159" s="175">
        <f>IF(OR('Projektübersicht'!$F$11="",'Projektübersicht'!$F$13="",'Projektübersicht'!$F$11&gt;'Projektübersicht'!$F$13),"",IF(WORKDAY.INTL('Projektübersicht'!$F$11-1,158,"0000001")&lt;='Projektübersicht'!$F$13,WORKDAY.INTL('Projektübersicht'!$F$11-1,158,"0000001"),""))</f>
        <v/>
      </c>
    </row>
    <row r="160">
      <c r="Z160" s="175">
        <f>IF(OR('Projektübersicht'!$F$11="",'Projektübersicht'!$F$13="",'Projektübersicht'!$F$11&gt;'Projektübersicht'!$F$13),"",IF('Projektübersicht'!$F$11+158&lt;='Projektübersicht'!$F$13,'Projektübersicht'!$F$11+158,""))</f>
        <v/>
      </c>
      <c r="AB160" s="175">
        <f>IF(OR('Projektübersicht'!$F$11="",'Projektübersicht'!$F$13="",'Projektübersicht'!$F$11&gt;'Projektübersicht'!$F$13),"",IF(WORKDAY.INTL('Projektübersicht'!$F$11-1,159,"0000001")&lt;='Projektübersicht'!$F$13,WORKDAY.INTL('Projektübersicht'!$F$11-1,159,"0000001"),""))</f>
        <v/>
      </c>
    </row>
    <row r="161">
      <c r="Z161" s="175">
        <f>IF(OR('Projektübersicht'!$F$11="",'Projektübersicht'!$F$13="",'Projektübersicht'!$F$11&gt;'Projektübersicht'!$F$13),"",IF('Projektübersicht'!$F$11+159&lt;='Projektübersicht'!$F$13,'Projektübersicht'!$F$11+159,""))</f>
        <v/>
      </c>
      <c r="AB161" s="175">
        <f>IF(OR('Projektübersicht'!$F$11="",'Projektübersicht'!$F$13="",'Projektübersicht'!$F$11&gt;'Projektübersicht'!$F$13),"",IF(WORKDAY.INTL('Projektübersicht'!$F$11-1,160,"0000001")&lt;='Projektübersicht'!$F$13,WORKDAY.INTL('Projektübersicht'!$F$11-1,160,"0000001"),""))</f>
        <v/>
      </c>
    </row>
    <row r="162">
      <c r="Z162" s="175">
        <f>IF(OR('Projektübersicht'!$F$11="",'Projektübersicht'!$F$13="",'Projektübersicht'!$F$11&gt;'Projektübersicht'!$F$13),"",IF('Projektübersicht'!$F$11+160&lt;='Projektübersicht'!$F$13,'Projektübersicht'!$F$11+160,""))</f>
        <v/>
      </c>
      <c r="AB162" s="175">
        <f>IF(OR('Projektübersicht'!$F$11="",'Projektübersicht'!$F$13="",'Projektübersicht'!$F$11&gt;'Projektübersicht'!$F$13),"",IF(WORKDAY.INTL('Projektübersicht'!$F$11-1,161,"0000001")&lt;='Projektübersicht'!$F$13,WORKDAY.INTL('Projektübersicht'!$F$11-1,161,"0000001"),""))</f>
        <v/>
      </c>
    </row>
    <row r="163">
      <c r="Z163" s="175">
        <f>IF(OR('Projektübersicht'!$F$11="",'Projektübersicht'!$F$13="",'Projektübersicht'!$F$11&gt;'Projektübersicht'!$F$13),"",IF('Projektübersicht'!$F$11+161&lt;='Projektübersicht'!$F$13,'Projektübersicht'!$F$11+161,""))</f>
        <v/>
      </c>
      <c r="AB163" s="175">
        <f>IF(OR('Projektübersicht'!$F$11="",'Projektübersicht'!$F$13="",'Projektübersicht'!$F$11&gt;'Projektübersicht'!$F$13),"",IF(WORKDAY.INTL('Projektübersicht'!$F$11-1,162,"0000001")&lt;='Projektübersicht'!$F$13,WORKDAY.INTL('Projektübersicht'!$F$11-1,162,"0000001"),""))</f>
        <v/>
      </c>
    </row>
    <row r="164">
      <c r="Z164" s="175">
        <f>IF(OR('Projektübersicht'!$F$11="",'Projektübersicht'!$F$13="",'Projektübersicht'!$F$11&gt;'Projektübersicht'!$F$13),"",IF('Projektübersicht'!$F$11+162&lt;='Projektübersicht'!$F$13,'Projektübersicht'!$F$11+162,""))</f>
        <v/>
      </c>
      <c r="AB164" s="175">
        <f>IF(OR('Projektübersicht'!$F$11="",'Projektübersicht'!$F$13="",'Projektübersicht'!$F$11&gt;'Projektübersicht'!$F$13),"",IF(WORKDAY.INTL('Projektübersicht'!$F$11-1,163,"0000001")&lt;='Projektübersicht'!$F$13,WORKDAY.INTL('Projektübersicht'!$F$11-1,163,"0000001"),""))</f>
        <v/>
      </c>
    </row>
    <row r="165">
      <c r="Z165" s="175">
        <f>IF(OR('Projektübersicht'!$F$11="",'Projektübersicht'!$F$13="",'Projektübersicht'!$F$11&gt;'Projektübersicht'!$F$13),"",IF('Projektübersicht'!$F$11+163&lt;='Projektübersicht'!$F$13,'Projektübersicht'!$F$11+163,""))</f>
        <v/>
      </c>
      <c r="AB165" s="175">
        <f>IF(OR('Projektübersicht'!$F$11="",'Projektübersicht'!$F$13="",'Projektübersicht'!$F$11&gt;'Projektübersicht'!$F$13),"",IF(WORKDAY.INTL('Projektübersicht'!$F$11-1,164,"0000001")&lt;='Projektübersicht'!$F$13,WORKDAY.INTL('Projektübersicht'!$F$11-1,164,"0000001"),""))</f>
        <v/>
      </c>
    </row>
    <row r="166">
      <c r="Z166" s="175">
        <f>IF(OR('Projektübersicht'!$F$11="",'Projektübersicht'!$F$13="",'Projektübersicht'!$F$11&gt;'Projektübersicht'!$F$13),"",IF('Projektübersicht'!$F$11+164&lt;='Projektübersicht'!$F$13,'Projektübersicht'!$F$11+164,""))</f>
        <v/>
      </c>
      <c r="AB166" s="175">
        <f>IF(OR('Projektübersicht'!$F$11="",'Projektübersicht'!$F$13="",'Projektübersicht'!$F$11&gt;'Projektübersicht'!$F$13),"",IF(WORKDAY.INTL('Projektübersicht'!$F$11-1,165,"0000001")&lt;='Projektübersicht'!$F$13,WORKDAY.INTL('Projektübersicht'!$F$11-1,165,"0000001"),""))</f>
        <v/>
      </c>
    </row>
    <row r="167">
      <c r="Z167" s="175">
        <f>IF(OR('Projektübersicht'!$F$11="",'Projektübersicht'!$F$13="",'Projektübersicht'!$F$11&gt;'Projektübersicht'!$F$13),"",IF('Projektübersicht'!$F$11+165&lt;='Projektübersicht'!$F$13,'Projektübersicht'!$F$11+165,""))</f>
        <v/>
      </c>
      <c r="AB167" s="175">
        <f>IF(OR('Projektübersicht'!$F$11="",'Projektübersicht'!$F$13="",'Projektübersicht'!$F$11&gt;'Projektübersicht'!$F$13),"",IF(WORKDAY.INTL('Projektübersicht'!$F$11-1,166,"0000001")&lt;='Projektübersicht'!$F$13,WORKDAY.INTL('Projektübersicht'!$F$11-1,166,"0000001"),""))</f>
        <v/>
      </c>
    </row>
    <row r="168">
      <c r="Z168" s="175">
        <f>IF(OR('Projektübersicht'!$F$11="",'Projektübersicht'!$F$13="",'Projektübersicht'!$F$11&gt;'Projektübersicht'!$F$13),"",IF('Projektübersicht'!$F$11+166&lt;='Projektübersicht'!$F$13,'Projektübersicht'!$F$11+166,""))</f>
        <v/>
      </c>
      <c r="AB168" s="175">
        <f>IF(OR('Projektübersicht'!$F$11="",'Projektübersicht'!$F$13="",'Projektübersicht'!$F$11&gt;'Projektübersicht'!$F$13),"",IF(WORKDAY.INTL('Projektübersicht'!$F$11-1,167,"0000001")&lt;='Projektübersicht'!$F$13,WORKDAY.INTL('Projektübersicht'!$F$11-1,167,"0000001"),""))</f>
        <v/>
      </c>
    </row>
    <row r="169">
      <c r="Z169" s="175">
        <f>IF(OR('Projektübersicht'!$F$11="",'Projektübersicht'!$F$13="",'Projektübersicht'!$F$11&gt;'Projektübersicht'!$F$13),"",IF('Projektübersicht'!$F$11+167&lt;='Projektübersicht'!$F$13,'Projektübersicht'!$F$11+167,""))</f>
        <v/>
      </c>
      <c r="AB169" s="175">
        <f>IF(OR('Projektübersicht'!$F$11="",'Projektübersicht'!$F$13="",'Projektübersicht'!$F$11&gt;'Projektübersicht'!$F$13),"",IF(WORKDAY.INTL('Projektübersicht'!$F$11-1,168,"0000001")&lt;='Projektübersicht'!$F$13,WORKDAY.INTL('Projektübersicht'!$F$11-1,168,"0000001"),""))</f>
        <v/>
      </c>
    </row>
    <row r="170">
      <c r="Z170" s="175">
        <f>IF(OR('Projektübersicht'!$F$11="",'Projektübersicht'!$F$13="",'Projektübersicht'!$F$11&gt;'Projektübersicht'!$F$13),"",IF('Projektübersicht'!$F$11+168&lt;='Projektübersicht'!$F$13,'Projektübersicht'!$F$11+168,""))</f>
        <v/>
      </c>
      <c r="AB170" s="175">
        <f>IF(OR('Projektübersicht'!$F$11="",'Projektübersicht'!$F$13="",'Projektübersicht'!$F$11&gt;'Projektübersicht'!$F$13),"",IF(WORKDAY.INTL('Projektübersicht'!$F$11-1,169,"0000001")&lt;='Projektübersicht'!$F$13,WORKDAY.INTL('Projektübersicht'!$F$11-1,169,"0000001"),""))</f>
        <v/>
      </c>
    </row>
    <row r="171">
      <c r="Z171" s="175">
        <f>IF(OR('Projektübersicht'!$F$11="",'Projektübersicht'!$F$13="",'Projektübersicht'!$F$11&gt;'Projektübersicht'!$F$13),"",IF('Projektübersicht'!$F$11+169&lt;='Projektübersicht'!$F$13,'Projektübersicht'!$F$11+169,""))</f>
        <v/>
      </c>
      <c r="AB171" s="175">
        <f>IF(OR('Projektübersicht'!$F$11="",'Projektübersicht'!$F$13="",'Projektübersicht'!$F$11&gt;'Projektübersicht'!$F$13),"",IF(WORKDAY.INTL('Projektübersicht'!$F$11-1,170,"0000001")&lt;='Projektübersicht'!$F$13,WORKDAY.INTL('Projektübersicht'!$F$11-1,170,"0000001"),""))</f>
        <v/>
      </c>
    </row>
    <row r="172">
      <c r="Z172" s="175">
        <f>IF(OR('Projektübersicht'!$F$11="",'Projektübersicht'!$F$13="",'Projektübersicht'!$F$11&gt;'Projektübersicht'!$F$13),"",IF('Projektübersicht'!$F$11+170&lt;='Projektübersicht'!$F$13,'Projektübersicht'!$F$11+170,""))</f>
        <v/>
      </c>
      <c r="AB172" s="175">
        <f>IF(OR('Projektübersicht'!$F$11="",'Projektübersicht'!$F$13="",'Projektübersicht'!$F$11&gt;'Projektübersicht'!$F$13),"",IF(WORKDAY.INTL('Projektübersicht'!$F$11-1,171,"0000001")&lt;='Projektübersicht'!$F$13,WORKDAY.INTL('Projektübersicht'!$F$11-1,171,"0000001"),""))</f>
        <v/>
      </c>
    </row>
    <row r="173">
      <c r="Z173" s="175">
        <f>IF(OR('Projektübersicht'!$F$11="",'Projektübersicht'!$F$13="",'Projektübersicht'!$F$11&gt;'Projektübersicht'!$F$13),"",IF('Projektübersicht'!$F$11+171&lt;='Projektübersicht'!$F$13,'Projektübersicht'!$F$11+171,""))</f>
        <v/>
      </c>
      <c r="AB173" s="175">
        <f>IF(OR('Projektübersicht'!$F$11="",'Projektübersicht'!$F$13="",'Projektübersicht'!$F$11&gt;'Projektübersicht'!$F$13),"",IF(WORKDAY.INTL('Projektübersicht'!$F$11-1,172,"0000001")&lt;='Projektübersicht'!$F$13,WORKDAY.INTL('Projektübersicht'!$F$11-1,172,"0000001"),""))</f>
        <v/>
      </c>
    </row>
    <row r="174">
      <c r="Z174" s="175">
        <f>IF(OR('Projektübersicht'!$F$11="",'Projektübersicht'!$F$13="",'Projektübersicht'!$F$11&gt;'Projektübersicht'!$F$13),"",IF('Projektübersicht'!$F$11+172&lt;='Projektübersicht'!$F$13,'Projektübersicht'!$F$11+172,""))</f>
        <v/>
      </c>
      <c r="AB174" s="175">
        <f>IF(OR('Projektübersicht'!$F$11="",'Projektübersicht'!$F$13="",'Projektübersicht'!$F$11&gt;'Projektübersicht'!$F$13),"",IF(WORKDAY.INTL('Projektübersicht'!$F$11-1,173,"0000001")&lt;='Projektübersicht'!$F$13,WORKDAY.INTL('Projektübersicht'!$F$11-1,173,"0000001"),""))</f>
        <v/>
      </c>
    </row>
    <row r="175">
      <c r="Z175" s="175">
        <f>IF(OR('Projektübersicht'!$F$11="",'Projektübersicht'!$F$13="",'Projektübersicht'!$F$11&gt;'Projektübersicht'!$F$13),"",IF('Projektübersicht'!$F$11+173&lt;='Projektübersicht'!$F$13,'Projektübersicht'!$F$11+173,""))</f>
        <v/>
      </c>
      <c r="AB175" s="175">
        <f>IF(OR('Projektübersicht'!$F$11="",'Projektübersicht'!$F$13="",'Projektübersicht'!$F$11&gt;'Projektübersicht'!$F$13),"",IF(WORKDAY.INTL('Projektübersicht'!$F$11-1,174,"0000001")&lt;='Projektübersicht'!$F$13,WORKDAY.INTL('Projektübersicht'!$F$11-1,174,"0000001"),""))</f>
        <v/>
      </c>
    </row>
    <row r="176">
      <c r="Z176" s="175">
        <f>IF(OR('Projektübersicht'!$F$11="",'Projektübersicht'!$F$13="",'Projektübersicht'!$F$11&gt;'Projektübersicht'!$F$13),"",IF('Projektübersicht'!$F$11+174&lt;='Projektübersicht'!$F$13,'Projektübersicht'!$F$11+174,""))</f>
        <v/>
      </c>
      <c r="AB176" s="175">
        <f>IF(OR('Projektübersicht'!$F$11="",'Projektübersicht'!$F$13="",'Projektübersicht'!$F$11&gt;'Projektübersicht'!$F$13),"",IF(WORKDAY.INTL('Projektübersicht'!$F$11-1,175,"0000001")&lt;='Projektübersicht'!$F$13,WORKDAY.INTL('Projektübersicht'!$F$11-1,175,"0000001"),""))</f>
        <v/>
      </c>
    </row>
    <row r="177">
      <c r="Z177" s="175">
        <f>IF(OR('Projektübersicht'!$F$11="",'Projektübersicht'!$F$13="",'Projektübersicht'!$F$11&gt;'Projektübersicht'!$F$13),"",IF('Projektübersicht'!$F$11+175&lt;='Projektübersicht'!$F$13,'Projektübersicht'!$F$11+175,""))</f>
        <v/>
      </c>
      <c r="AB177" s="175">
        <f>IF(OR('Projektübersicht'!$F$11="",'Projektübersicht'!$F$13="",'Projektübersicht'!$F$11&gt;'Projektübersicht'!$F$13),"",IF(WORKDAY.INTL('Projektübersicht'!$F$11-1,176,"0000001")&lt;='Projektübersicht'!$F$13,WORKDAY.INTL('Projektübersicht'!$F$11-1,176,"0000001"),""))</f>
        <v/>
      </c>
    </row>
    <row r="178">
      <c r="Z178" s="175">
        <f>IF(OR('Projektübersicht'!$F$11="",'Projektübersicht'!$F$13="",'Projektübersicht'!$F$11&gt;'Projektübersicht'!$F$13),"",IF('Projektübersicht'!$F$11+176&lt;='Projektübersicht'!$F$13,'Projektübersicht'!$F$11+176,""))</f>
        <v/>
      </c>
      <c r="AB178" s="175">
        <f>IF(OR('Projektübersicht'!$F$11="",'Projektübersicht'!$F$13="",'Projektübersicht'!$F$11&gt;'Projektübersicht'!$F$13),"",IF(WORKDAY.INTL('Projektübersicht'!$F$11-1,177,"0000001")&lt;='Projektübersicht'!$F$13,WORKDAY.INTL('Projektübersicht'!$F$11-1,177,"0000001"),""))</f>
        <v/>
      </c>
    </row>
    <row r="179">
      <c r="Z179" s="175">
        <f>IF(OR('Projektübersicht'!$F$11="",'Projektübersicht'!$F$13="",'Projektübersicht'!$F$11&gt;'Projektübersicht'!$F$13),"",IF('Projektübersicht'!$F$11+177&lt;='Projektübersicht'!$F$13,'Projektübersicht'!$F$11+177,""))</f>
        <v/>
      </c>
      <c r="AB179" s="175">
        <f>IF(OR('Projektübersicht'!$F$11="",'Projektübersicht'!$F$13="",'Projektübersicht'!$F$11&gt;'Projektübersicht'!$F$13),"",IF(WORKDAY.INTL('Projektübersicht'!$F$11-1,178,"0000001")&lt;='Projektübersicht'!$F$13,WORKDAY.INTL('Projektübersicht'!$F$11-1,178,"0000001"),""))</f>
        <v/>
      </c>
    </row>
    <row r="180">
      <c r="Z180" s="175">
        <f>IF(OR('Projektübersicht'!$F$11="",'Projektübersicht'!$F$13="",'Projektübersicht'!$F$11&gt;'Projektübersicht'!$F$13),"",IF('Projektübersicht'!$F$11+178&lt;='Projektübersicht'!$F$13,'Projektübersicht'!$F$11+178,""))</f>
        <v/>
      </c>
      <c r="AB180" s="175">
        <f>IF(OR('Projektübersicht'!$F$11="",'Projektübersicht'!$F$13="",'Projektübersicht'!$F$11&gt;'Projektübersicht'!$F$13),"",IF(WORKDAY.INTL('Projektübersicht'!$F$11-1,179,"0000001")&lt;='Projektübersicht'!$F$13,WORKDAY.INTL('Projektübersicht'!$F$11-1,179,"0000001"),""))</f>
        <v/>
      </c>
    </row>
    <row r="181">
      <c r="Z181" s="175">
        <f>IF(OR('Projektübersicht'!$F$11="",'Projektübersicht'!$F$13="",'Projektübersicht'!$F$11&gt;'Projektübersicht'!$F$13),"",IF('Projektübersicht'!$F$11+179&lt;='Projektübersicht'!$F$13,'Projektübersicht'!$F$11+179,""))</f>
        <v/>
      </c>
      <c r="AB181" s="175">
        <f>IF(OR('Projektübersicht'!$F$11="",'Projektübersicht'!$F$13="",'Projektübersicht'!$F$11&gt;'Projektübersicht'!$F$13),"",IF(WORKDAY.INTL('Projektübersicht'!$F$11-1,180,"0000001")&lt;='Projektübersicht'!$F$13,WORKDAY.INTL('Projektübersicht'!$F$11-1,180,"0000001"),""))</f>
        <v/>
      </c>
    </row>
    <row r="182">
      <c r="Z182" s="175">
        <f>IF(OR('Projektübersicht'!$F$11="",'Projektübersicht'!$F$13="",'Projektübersicht'!$F$11&gt;'Projektübersicht'!$F$13),"",IF('Projektübersicht'!$F$11+180&lt;='Projektübersicht'!$F$13,'Projektübersicht'!$F$11+180,""))</f>
        <v/>
      </c>
      <c r="AB182" s="175">
        <f>IF(OR('Projektübersicht'!$F$11="",'Projektübersicht'!$F$13="",'Projektübersicht'!$F$11&gt;'Projektübersicht'!$F$13),"",IF(WORKDAY.INTL('Projektübersicht'!$F$11-1,181,"0000001")&lt;='Projektübersicht'!$F$13,WORKDAY.INTL('Projektübersicht'!$F$11-1,181,"0000001"),""))</f>
        <v/>
      </c>
    </row>
    <row r="183">
      <c r="Z183" s="175">
        <f>IF(OR('Projektübersicht'!$F$11="",'Projektübersicht'!$F$13="",'Projektübersicht'!$F$11&gt;'Projektübersicht'!$F$13),"",IF('Projektübersicht'!$F$11+181&lt;='Projektübersicht'!$F$13,'Projektübersicht'!$F$11+181,""))</f>
        <v/>
      </c>
      <c r="AB183" s="175">
        <f>IF(OR('Projektübersicht'!$F$11="",'Projektübersicht'!$F$13="",'Projektübersicht'!$F$11&gt;'Projektübersicht'!$F$13),"",IF(WORKDAY.INTL('Projektübersicht'!$F$11-1,182,"0000001")&lt;='Projektübersicht'!$F$13,WORKDAY.INTL('Projektübersicht'!$F$11-1,182,"0000001"),""))</f>
        <v/>
      </c>
    </row>
    <row r="184">
      <c r="Z184" s="175">
        <f>IF(OR('Projektübersicht'!$F$11="",'Projektübersicht'!$F$13="",'Projektübersicht'!$F$11&gt;'Projektübersicht'!$F$13),"",IF('Projektübersicht'!$F$11+182&lt;='Projektübersicht'!$F$13,'Projektübersicht'!$F$11+182,""))</f>
        <v/>
      </c>
      <c r="AB184" s="175">
        <f>IF(OR('Projektübersicht'!$F$11="",'Projektübersicht'!$F$13="",'Projektübersicht'!$F$11&gt;'Projektübersicht'!$F$13),"",IF(WORKDAY.INTL('Projektübersicht'!$F$11-1,183,"0000001")&lt;='Projektübersicht'!$F$13,WORKDAY.INTL('Projektübersicht'!$F$11-1,183,"0000001"),""))</f>
        <v/>
      </c>
    </row>
    <row r="185">
      <c r="Z185" s="175">
        <f>IF(OR('Projektübersicht'!$F$11="",'Projektübersicht'!$F$13="",'Projektübersicht'!$F$11&gt;'Projektübersicht'!$F$13),"",IF('Projektübersicht'!$F$11+183&lt;='Projektübersicht'!$F$13,'Projektübersicht'!$F$11+183,""))</f>
        <v/>
      </c>
      <c r="AB185" s="175">
        <f>IF(OR('Projektübersicht'!$F$11="",'Projektübersicht'!$F$13="",'Projektübersicht'!$F$11&gt;'Projektübersicht'!$F$13),"",IF(WORKDAY.INTL('Projektübersicht'!$F$11-1,184,"0000001")&lt;='Projektübersicht'!$F$13,WORKDAY.INTL('Projektübersicht'!$F$11-1,184,"0000001"),""))</f>
        <v/>
      </c>
    </row>
    <row r="186">
      <c r="Z186" s="175">
        <f>IF(OR('Projektübersicht'!$F$11="",'Projektübersicht'!$F$13="",'Projektübersicht'!$F$11&gt;'Projektübersicht'!$F$13),"",IF('Projektübersicht'!$F$11+184&lt;='Projektübersicht'!$F$13,'Projektübersicht'!$F$11+184,""))</f>
        <v/>
      </c>
      <c r="AB186" s="175">
        <f>IF(OR('Projektübersicht'!$F$11="",'Projektübersicht'!$F$13="",'Projektübersicht'!$F$11&gt;'Projektübersicht'!$F$13),"",IF(WORKDAY.INTL('Projektübersicht'!$F$11-1,185,"0000001")&lt;='Projektübersicht'!$F$13,WORKDAY.INTL('Projektübersicht'!$F$11-1,185,"0000001"),""))</f>
        <v/>
      </c>
    </row>
    <row r="187">
      <c r="Z187" s="175">
        <f>IF(OR('Projektübersicht'!$F$11="",'Projektübersicht'!$F$13="",'Projektübersicht'!$F$11&gt;'Projektübersicht'!$F$13),"",IF('Projektübersicht'!$F$11+185&lt;='Projektübersicht'!$F$13,'Projektübersicht'!$F$11+185,""))</f>
        <v/>
      </c>
      <c r="AB187" s="175">
        <f>IF(OR('Projektübersicht'!$F$11="",'Projektübersicht'!$F$13="",'Projektübersicht'!$F$11&gt;'Projektübersicht'!$F$13),"",IF(WORKDAY.INTL('Projektübersicht'!$F$11-1,186,"0000001")&lt;='Projektübersicht'!$F$13,WORKDAY.INTL('Projektübersicht'!$F$11-1,186,"0000001"),""))</f>
        <v/>
      </c>
    </row>
    <row r="188">
      <c r="Z188" s="175">
        <f>IF(OR('Projektübersicht'!$F$11="",'Projektübersicht'!$F$13="",'Projektübersicht'!$F$11&gt;'Projektübersicht'!$F$13),"",IF('Projektübersicht'!$F$11+186&lt;='Projektübersicht'!$F$13,'Projektübersicht'!$F$11+186,""))</f>
        <v/>
      </c>
      <c r="AB188" s="175">
        <f>IF(OR('Projektübersicht'!$F$11="",'Projektübersicht'!$F$13="",'Projektübersicht'!$F$11&gt;'Projektübersicht'!$F$13),"",IF(WORKDAY.INTL('Projektübersicht'!$F$11-1,187,"0000001")&lt;='Projektübersicht'!$F$13,WORKDAY.INTL('Projektübersicht'!$F$11-1,187,"0000001"),""))</f>
        <v/>
      </c>
    </row>
    <row r="189">
      <c r="Z189" s="175">
        <f>IF(OR('Projektübersicht'!$F$11="",'Projektübersicht'!$F$13="",'Projektübersicht'!$F$11&gt;'Projektübersicht'!$F$13),"",IF('Projektübersicht'!$F$11+187&lt;='Projektübersicht'!$F$13,'Projektübersicht'!$F$11+187,""))</f>
        <v/>
      </c>
      <c r="AB189" s="175">
        <f>IF(OR('Projektübersicht'!$F$11="",'Projektübersicht'!$F$13="",'Projektübersicht'!$F$11&gt;'Projektübersicht'!$F$13),"",IF(WORKDAY.INTL('Projektübersicht'!$F$11-1,188,"0000001")&lt;='Projektübersicht'!$F$13,WORKDAY.INTL('Projektübersicht'!$F$11-1,188,"0000001"),""))</f>
        <v/>
      </c>
    </row>
    <row r="190">
      <c r="Z190" s="175">
        <f>IF(OR('Projektübersicht'!$F$11="",'Projektübersicht'!$F$13="",'Projektübersicht'!$F$11&gt;'Projektübersicht'!$F$13),"",IF('Projektübersicht'!$F$11+188&lt;='Projektübersicht'!$F$13,'Projektübersicht'!$F$11+188,""))</f>
        <v/>
      </c>
      <c r="AB190" s="175">
        <f>IF(OR('Projektübersicht'!$F$11="",'Projektübersicht'!$F$13="",'Projektübersicht'!$F$11&gt;'Projektübersicht'!$F$13),"",IF(WORKDAY.INTL('Projektübersicht'!$F$11-1,189,"0000001")&lt;='Projektübersicht'!$F$13,WORKDAY.INTL('Projektübersicht'!$F$11-1,189,"0000001"),""))</f>
        <v/>
      </c>
    </row>
    <row r="191">
      <c r="Z191" s="175">
        <f>IF(OR('Projektübersicht'!$F$11="",'Projektübersicht'!$F$13="",'Projektübersicht'!$F$11&gt;'Projektübersicht'!$F$13),"",IF('Projektübersicht'!$F$11+189&lt;='Projektübersicht'!$F$13,'Projektübersicht'!$F$11+189,""))</f>
        <v/>
      </c>
      <c r="AB191" s="175">
        <f>IF(OR('Projektübersicht'!$F$11="",'Projektübersicht'!$F$13="",'Projektübersicht'!$F$11&gt;'Projektübersicht'!$F$13),"",IF(WORKDAY.INTL('Projektübersicht'!$F$11-1,190,"0000001")&lt;='Projektübersicht'!$F$13,WORKDAY.INTL('Projektübersicht'!$F$11-1,190,"0000001"),""))</f>
        <v/>
      </c>
    </row>
    <row r="192">
      <c r="Z192" s="175">
        <f>IF(OR('Projektübersicht'!$F$11="",'Projektübersicht'!$F$13="",'Projektübersicht'!$F$11&gt;'Projektübersicht'!$F$13),"",IF('Projektübersicht'!$F$11+190&lt;='Projektübersicht'!$F$13,'Projektübersicht'!$F$11+190,""))</f>
        <v/>
      </c>
      <c r="AB192" s="175">
        <f>IF(OR('Projektübersicht'!$F$11="",'Projektübersicht'!$F$13="",'Projektübersicht'!$F$11&gt;'Projektübersicht'!$F$13),"",IF(WORKDAY.INTL('Projektübersicht'!$F$11-1,191,"0000001")&lt;='Projektübersicht'!$F$13,WORKDAY.INTL('Projektübersicht'!$F$11-1,191,"0000001"),""))</f>
        <v/>
      </c>
    </row>
    <row r="193">
      <c r="Z193" s="175">
        <f>IF(OR('Projektübersicht'!$F$11="",'Projektübersicht'!$F$13="",'Projektübersicht'!$F$11&gt;'Projektübersicht'!$F$13),"",IF('Projektübersicht'!$F$11+191&lt;='Projektübersicht'!$F$13,'Projektübersicht'!$F$11+191,""))</f>
        <v/>
      </c>
      <c r="AB193" s="175">
        <f>IF(OR('Projektübersicht'!$F$11="",'Projektübersicht'!$F$13="",'Projektübersicht'!$F$11&gt;'Projektübersicht'!$F$13),"",IF(WORKDAY.INTL('Projektübersicht'!$F$11-1,192,"0000001")&lt;='Projektübersicht'!$F$13,WORKDAY.INTL('Projektübersicht'!$F$11-1,192,"0000001"),""))</f>
        <v/>
      </c>
    </row>
    <row r="194">
      <c r="Z194" s="175">
        <f>IF(OR('Projektübersicht'!$F$11="",'Projektübersicht'!$F$13="",'Projektübersicht'!$F$11&gt;'Projektübersicht'!$F$13),"",IF('Projektübersicht'!$F$11+192&lt;='Projektübersicht'!$F$13,'Projektübersicht'!$F$11+192,""))</f>
        <v/>
      </c>
      <c r="AB194" s="175">
        <f>IF(OR('Projektübersicht'!$F$11="",'Projektübersicht'!$F$13="",'Projektübersicht'!$F$11&gt;'Projektübersicht'!$F$13),"",IF(WORKDAY.INTL('Projektübersicht'!$F$11-1,193,"0000001")&lt;='Projektübersicht'!$F$13,WORKDAY.INTL('Projektübersicht'!$F$11-1,193,"0000001"),""))</f>
        <v/>
      </c>
    </row>
    <row r="195">
      <c r="Z195" s="175">
        <f>IF(OR('Projektübersicht'!$F$11="",'Projektübersicht'!$F$13="",'Projektübersicht'!$F$11&gt;'Projektübersicht'!$F$13),"",IF('Projektübersicht'!$F$11+193&lt;='Projektübersicht'!$F$13,'Projektübersicht'!$F$11+193,""))</f>
        <v/>
      </c>
      <c r="AB195" s="175">
        <f>IF(OR('Projektübersicht'!$F$11="",'Projektübersicht'!$F$13="",'Projektübersicht'!$F$11&gt;'Projektübersicht'!$F$13),"",IF(WORKDAY.INTL('Projektübersicht'!$F$11-1,194,"0000001")&lt;='Projektübersicht'!$F$13,WORKDAY.INTL('Projektübersicht'!$F$11-1,194,"0000001"),""))</f>
        <v/>
      </c>
    </row>
    <row r="196">
      <c r="Z196" s="175">
        <f>IF(OR('Projektübersicht'!$F$11="",'Projektübersicht'!$F$13="",'Projektübersicht'!$F$11&gt;'Projektübersicht'!$F$13),"",IF('Projektübersicht'!$F$11+194&lt;='Projektübersicht'!$F$13,'Projektübersicht'!$F$11+194,""))</f>
        <v/>
      </c>
      <c r="AB196" s="175">
        <f>IF(OR('Projektübersicht'!$F$11="",'Projektübersicht'!$F$13="",'Projektübersicht'!$F$11&gt;'Projektübersicht'!$F$13),"",IF(WORKDAY.INTL('Projektübersicht'!$F$11-1,195,"0000001")&lt;='Projektübersicht'!$F$13,WORKDAY.INTL('Projektübersicht'!$F$11-1,195,"0000001"),""))</f>
        <v/>
      </c>
    </row>
    <row r="197">
      <c r="Z197" s="175">
        <f>IF(OR('Projektübersicht'!$F$11="",'Projektübersicht'!$F$13="",'Projektübersicht'!$F$11&gt;'Projektübersicht'!$F$13),"",IF('Projektübersicht'!$F$11+195&lt;='Projektübersicht'!$F$13,'Projektübersicht'!$F$11+195,""))</f>
        <v/>
      </c>
      <c r="AB197" s="175">
        <f>IF(OR('Projektübersicht'!$F$11="",'Projektübersicht'!$F$13="",'Projektübersicht'!$F$11&gt;'Projektübersicht'!$F$13),"",IF(WORKDAY.INTL('Projektübersicht'!$F$11-1,196,"0000001")&lt;='Projektübersicht'!$F$13,WORKDAY.INTL('Projektübersicht'!$F$11-1,196,"0000001"),""))</f>
        <v/>
      </c>
    </row>
    <row r="198">
      <c r="Z198" s="175">
        <f>IF(OR('Projektübersicht'!$F$11="",'Projektübersicht'!$F$13="",'Projektübersicht'!$F$11&gt;'Projektübersicht'!$F$13),"",IF('Projektübersicht'!$F$11+196&lt;='Projektübersicht'!$F$13,'Projektübersicht'!$F$11+196,""))</f>
        <v/>
      </c>
      <c r="AB198" s="175">
        <f>IF(OR('Projektübersicht'!$F$11="",'Projektübersicht'!$F$13="",'Projektübersicht'!$F$11&gt;'Projektübersicht'!$F$13),"",IF(WORKDAY.INTL('Projektübersicht'!$F$11-1,197,"0000001")&lt;='Projektübersicht'!$F$13,WORKDAY.INTL('Projektübersicht'!$F$11-1,197,"0000001"),""))</f>
        <v/>
      </c>
    </row>
    <row r="199">
      <c r="Z199" s="175">
        <f>IF(OR('Projektübersicht'!$F$11="",'Projektübersicht'!$F$13="",'Projektübersicht'!$F$11&gt;'Projektübersicht'!$F$13),"",IF('Projektübersicht'!$F$11+197&lt;='Projektübersicht'!$F$13,'Projektübersicht'!$F$11+197,""))</f>
        <v/>
      </c>
      <c r="AB199" s="175">
        <f>IF(OR('Projektübersicht'!$F$11="",'Projektübersicht'!$F$13="",'Projektübersicht'!$F$11&gt;'Projektübersicht'!$F$13),"",IF(WORKDAY.INTL('Projektübersicht'!$F$11-1,198,"0000001")&lt;='Projektübersicht'!$F$13,WORKDAY.INTL('Projektübersicht'!$F$11-1,198,"0000001"),""))</f>
        <v/>
      </c>
    </row>
    <row r="200">
      <c r="Z200" s="175">
        <f>IF(OR('Projektübersicht'!$F$11="",'Projektübersicht'!$F$13="",'Projektübersicht'!$F$11&gt;'Projektübersicht'!$F$13),"",IF('Projektübersicht'!$F$11+198&lt;='Projektübersicht'!$F$13,'Projektübersicht'!$F$11+198,""))</f>
        <v/>
      </c>
      <c r="AB200" s="175">
        <f>IF(OR('Projektübersicht'!$F$11="",'Projektübersicht'!$F$13="",'Projektübersicht'!$F$11&gt;'Projektübersicht'!$F$13),"",IF(WORKDAY.INTL('Projektübersicht'!$F$11-1,199,"0000001")&lt;='Projektübersicht'!$F$13,WORKDAY.INTL('Projektübersicht'!$F$11-1,199,"0000001"),""))</f>
        <v/>
      </c>
    </row>
    <row r="201">
      <c r="Z201" s="175">
        <f>IF(OR('Projektübersicht'!$F$11="",'Projektübersicht'!$F$13="",'Projektübersicht'!$F$11&gt;'Projektübersicht'!$F$13),"",IF('Projektübersicht'!$F$11+199&lt;='Projektübersicht'!$F$13,'Projektübersicht'!$F$11+199,""))</f>
        <v/>
      </c>
      <c r="AB201" s="175">
        <f>IF(OR('Projektübersicht'!$F$11="",'Projektübersicht'!$F$13="",'Projektübersicht'!$F$11&gt;'Projektübersicht'!$F$13),"",IF(WORKDAY.INTL('Projektübersicht'!$F$11-1,200,"0000001")&lt;='Projektübersicht'!$F$13,WORKDAY.INTL('Projektübersicht'!$F$11-1,200,"0000001"),""))</f>
        <v/>
      </c>
    </row>
    <row r="202">
      <c r="Z202" s="175">
        <f>IF(OR('Projektübersicht'!$F$11="",'Projektübersicht'!$F$13="",'Projektübersicht'!$F$11&gt;'Projektübersicht'!$F$13),"",IF('Projektübersicht'!$F$11+200&lt;='Projektübersicht'!$F$13,'Projektübersicht'!$F$11+200,""))</f>
        <v/>
      </c>
      <c r="AB202" s="175">
        <f>IF(OR('Projektübersicht'!$F$11="",'Projektübersicht'!$F$13="",'Projektübersicht'!$F$11&gt;'Projektübersicht'!$F$13),"",IF(WORKDAY.INTL('Projektübersicht'!$F$11-1,201,"0000001")&lt;='Projektübersicht'!$F$13,WORKDAY.INTL('Projektübersicht'!$F$11-1,201,"0000001"),""))</f>
        <v/>
      </c>
    </row>
    <row r="203">
      <c r="Z203" s="175">
        <f>IF(OR('Projektübersicht'!$F$11="",'Projektübersicht'!$F$13="",'Projektübersicht'!$F$11&gt;'Projektübersicht'!$F$13),"",IF('Projektübersicht'!$F$11+201&lt;='Projektübersicht'!$F$13,'Projektübersicht'!$F$11+201,""))</f>
        <v/>
      </c>
      <c r="AB203" s="175">
        <f>IF(OR('Projektübersicht'!$F$11="",'Projektübersicht'!$F$13="",'Projektübersicht'!$F$11&gt;'Projektübersicht'!$F$13),"",IF(WORKDAY.INTL('Projektübersicht'!$F$11-1,202,"0000001")&lt;='Projektübersicht'!$F$13,WORKDAY.INTL('Projektübersicht'!$F$11-1,202,"0000001"),""))</f>
        <v/>
      </c>
    </row>
    <row r="204">
      <c r="Z204" s="175">
        <f>IF(OR('Projektübersicht'!$F$11="",'Projektübersicht'!$F$13="",'Projektübersicht'!$F$11&gt;'Projektübersicht'!$F$13),"",IF('Projektübersicht'!$F$11+202&lt;='Projektübersicht'!$F$13,'Projektübersicht'!$F$11+202,""))</f>
        <v/>
      </c>
      <c r="AB204" s="175">
        <f>IF(OR('Projektübersicht'!$F$11="",'Projektübersicht'!$F$13="",'Projektübersicht'!$F$11&gt;'Projektübersicht'!$F$13),"",IF(WORKDAY.INTL('Projektübersicht'!$F$11-1,203,"0000001")&lt;='Projektübersicht'!$F$13,WORKDAY.INTL('Projektübersicht'!$F$11-1,203,"0000001"),""))</f>
        <v/>
      </c>
    </row>
    <row r="205">
      <c r="Z205" s="175">
        <f>IF(OR('Projektübersicht'!$F$11="",'Projektübersicht'!$F$13="",'Projektübersicht'!$F$11&gt;'Projektübersicht'!$F$13),"",IF('Projektübersicht'!$F$11+203&lt;='Projektübersicht'!$F$13,'Projektübersicht'!$F$11+203,""))</f>
        <v/>
      </c>
      <c r="AB205" s="175">
        <f>IF(OR('Projektübersicht'!$F$11="",'Projektübersicht'!$F$13="",'Projektübersicht'!$F$11&gt;'Projektübersicht'!$F$13),"",IF(WORKDAY.INTL('Projektübersicht'!$F$11-1,204,"0000001")&lt;='Projektübersicht'!$F$13,WORKDAY.INTL('Projektübersicht'!$F$11-1,204,"0000001"),""))</f>
        <v/>
      </c>
    </row>
    <row r="206">
      <c r="Z206" s="175">
        <f>IF(OR('Projektübersicht'!$F$11="",'Projektübersicht'!$F$13="",'Projektübersicht'!$F$11&gt;'Projektübersicht'!$F$13),"",IF('Projektübersicht'!$F$11+204&lt;='Projektübersicht'!$F$13,'Projektübersicht'!$F$11+204,""))</f>
        <v/>
      </c>
      <c r="AB206" s="175">
        <f>IF(OR('Projektübersicht'!$F$11="",'Projektübersicht'!$F$13="",'Projektübersicht'!$F$11&gt;'Projektübersicht'!$F$13),"",IF(WORKDAY.INTL('Projektübersicht'!$F$11-1,205,"0000001")&lt;='Projektübersicht'!$F$13,WORKDAY.INTL('Projektübersicht'!$F$11-1,205,"0000001"),""))</f>
        <v/>
      </c>
    </row>
    <row r="207">
      <c r="Z207" s="175">
        <f>IF(OR('Projektübersicht'!$F$11="",'Projektübersicht'!$F$13="",'Projektübersicht'!$F$11&gt;'Projektübersicht'!$F$13),"",IF('Projektübersicht'!$F$11+205&lt;='Projektübersicht'!$F$13,'Projektübersicht'!$F$11+205,""))</f>
        <v/>
      </c>
      <c r="AB207" s="175">
        <f>IF(OR('Projektübersicht'!$F$11="",'Projektübersicht'!$F$13="",'Projektübersicht'!$F$11&gt;'Projektübersicht'!$F$13),"",IF(WORKDAY.INTL('Projektübersicht'!$F$11-1,206,"0000001")&lt;='Projektübersicht'!$F$13,WORKDAY.INTL('Projektübersicht'!$F$11-1,206,"0000001"),""))</f>
        <v/>
      </c>
    </row>
    <row r="208">
      <c r="Z208" s="175">
        <f>IF(OR('Projektübersicht'!$F$11="",'Projektübersicht'!$F$13="",'Projektübersicht'!$F$11&gt;'Projektübersicht'!$F$13),"",IF('Projektübersicht'!$F$11+206&lt;='Projektübersicht'!$F$13,'Projektübersicht'!$F$11+206,""))</f>
        <v/>
      </c>
      <c r="AB208" s="175">
        <f>IF(OR('Projektübersicht'!$F$11="",'Projektübersicht'!$F$13="",'Projektübersicht'!$F$11&gt;'Projektübersicht'!$F$13),"",IF(WORKDAY.INTL('Projektübersicht'!$F$11-1,207,"0000001")&lt;='Projektübersicht'!$F$13,WORKDAY.INTL('Projektübersicht'!$F$11-1,207,"0000001"),""))</f>
        <v/>
      </c>
    </row>
    <row r="209">
      <c r="Z209" s="175">
        <f>IF(OR('Projektübersicht'!$F$11="",'Projektübersicht'!$F$13="",'Projektübersicht'!$F$11&gt;'Projektübersicht'!$F$13),"",IF('Projektübersicht'!$F$11+207&lt;='Projektübersicht'!$F$13,'Projektübersicht'!$F$11+207,""))</f>
        <v/>
      </c>
      <c r="AB209" s="175">
        <f>IF(OR('Projektübersicht'!$F$11="",'Projektübersicht'!$F$13="",'Projektübersicht'!$F$11&gt;'Projektübersicht'!$F$13),"",IF(WORKDAY.INTL('Projektübersicht'!$F$11-1,208,"0000001")&lt;='Projektübersicht'!$F$13,WORKDAY.INTL('Projektübersicht'!$F$11-1,208,"0000001"),""))</f>
        <v/>
      </c>
    </row>
    <row r="210">
      <c r="Z210" s="175">
        <f>IF(OR('Projektübersicht'!$F$11="",'Projektübersicht'!$F$13="",'Projektübersicht'!$F$11&gt;'Projektübersicht'!$F$13),"",IF('Projektübersicht'!$F$11+208&lt;='Projektübersicht'!$F$13,'Projektübersicht'!$F$11+208,""))</f>
        <v/>
      </c>
      <c r="AB210" s="175">
        <f>IF(OR('Projektübersicht'!$F$11="",'Projektübersicht'!$F$13="",'Projektübersicht'!$F$11&gt;'Projektübersicht'!$F$13),"",IF(WORKDAY.INTL('Projektübersicht'!$F$11-1,209,"0000001")&lt;='Projektübersicht'!$F$13,WORKDAY.INTL('Projektübersicht'!$F$11-1,209,"0000001"),""))</f>
        <v/>
      </c>
    </row>
    <row r="211">
      <c r="Z211" s="175">
        <f>IF(OR('Projektübersicht'!$F$11="",'Projektübersicht'!$F$13="",'Projektübersicht'!$F$11&gt;'Projektübersicht'!$F$13),"",IF('Projektübersicht'!$F$11+209&lt;='Projektübersicht'!$F$13,'Projektübersicht'!$F$11+209,""))</f>
        <v/>
      </c>
      <c r="AB211" s="175">
        <f>IF(OR('Projektübersicht'!$F$11="",'Projektübersicht'!$F$13="",'Projektübersicht'!$F$11&gt;'Projektübersicht'!$F$13),"",IF(WORKDAY.INTL('Projektübersicht'!$F$11-1,210,"0000001")&lt;='Projektübersicht'!$F$13,WORKDAY.INTL('Projektübersicht'!$F$11-1,210,"0000001"),""))</f>
        <v/>
      </c>
    </row>
    <row r="212">
      <c r="Z212" s="175">
        <f>IF(OR('Projektübersicht'!$F$11="",'Projektübersicht'!$F$13="",'Projektübersicht'!$F$11&gt;'Projektübersicht'!$F$13),"",IF('Projektübersicht'!$F$11+210&lt;='Projektübersicht'!$F$13,'Projektübersicht'!$F$11+210,""))</f>
        <v/>
      </c>
      <c r="AB212" s="175">
        <f>IF(OR('Projektübersicht'!$F$11="",'Projektübersicht'!$F$13="",'Projektübersicht'!$F$11&gt;'Projektübersicht'!$F$13),"",IF(WORKDAY.INTL('Projektübersicht'!$F$11-1,211,"0000001")&lt;='Projektübersicht'!$F$13,WORKDAY.INTL('Projektübersicht'!$F$11-1,211,"0000001"),""))</f>
        <v/>
      </c>
    </row>
    <row r="213">
      <c r="Z213" s="175">
        <f>IF(OR('Projektübersicht'!$F$11="",'Projektübersicht'!$F$13="",'Projektübersicht'!$F$11&gt;'Projektübersicht'!$F$13),"",IF('Projektübersicht'!$F$11+211&lt;='Projektübersicht'!$F$13,'Projektübersicht'!$F$11+211,""))</f>
        <v/>
      </c>
      <c r="AB213" s="175">
        <f>IF(OR('Projektübersicht'!$F$11="",'Projektübersicht'!$F$13="",'Projektübersicht'!$F$11&gt;'Projektübersicht'!$F$13),"",IF(WORKDAY.INTL('Projektübersicht'!$F$11-1,212,"0000001")&lt;='Projektübersicht'!$F$13,WORKDAY.INTL('Projektübersicht'!$F$11-1,212,"0000001"),""))</f>
        <v/>
      </c>
    </row>
    <row r="214">
      <c r="Z214" s="175">
        <f>IF(OR('Projektübersicht'!$F$11="",'Projektübersicht'!$F$13="",'Projektübersicht'!$F$11&gt;'Projektübersicht'!$F$13),"",IF('Projektübersicht'!$F$11+212&lt;='Projektübersicht'!$F$13,'Projektübersicht'!$F$11+212,""))</f>
        <v/>
      </c>
      <c r="AB214" s="175">
        <f>IF(OR('Projektübersicht'!$F$11="",'Projektübersicht'!$F$13="",'Projektübersicht'!$F$11&gt;'Projektübersicht'!$F$13),"",IF(WORKDAY.INTL('Projektübersicht'!$F$11-1,213,"0000001")&lt;='Projektübersicht'!$F$13,WORKDAY.INTL('Projektübersicht'!$F$11-1,213,"0000001"),""))</f>
        <v/>
      </c>
    </row>
    <row r="215">
      <c r="Z215" s="175">
        <f>IF(OR('Projektübersicht'!$F$11="",'Projektübersicht'!$F$13="",'Projektübersicht'!$F$11&gt;'Projektübersicht'!$F$13),"",IF('Projektübersicht'!$F$11+213&lt;='Projektübersicht'!$F$13,'Projektübersicht'!$F$11+213,""))</f>
        <v/>
      </c>
      <c r="AB215" s="175">
        <f>IF(OR('Projektübersicht'!$F$11="",'Projektübersicht'!$F$13="",'Projektübersicht'!$F$11&gt;'Projektübersicht'!$F$13),"",IF(WORKDAY.INTL('Projektübersicht'!$F$11-1,214,"0000001")&lt;='Projektübersicht'!$F$13,WORKDAY.INTL('Projektübersicht'!$F$11-1,214,"0000001"),""))</f>
        <v/>
      </c>
    </row>
    <row r="216">
      <c r="Z216" s="175">
        <f>IF(OR('Projektübersicht'!$F$11="",'Projektübersicht'!$F$13="",'Projektübersicht'!$F$11&gt;'Projektübersicht'!$F$13),"",IF('Projektübersicht'!$F$11+214&lt;='Projektübersicht'!$F$13,'Projektübersicht'!$F$11+214,""))</f>
        <v/>
      </c>
      <c r="AB216" s="175">
        <f>IF(OR('Projektübersicht'!$F$11="",'Projektübersicht'!$F$13="",'Projektübersicht'!$F$11&gt;'Projektübersicht'!$F$13),"",IF(WORKDAY.INTL('Projektübersicht'!$F$11-1,215,"0000001")&lt;='Projektübersicht'!$F$13,WORKDAY.INTL('Projektübersicht'!$F$11-1,215,"0000001"),""))</f>
        <v/>
      </c>
    </row>
    <row r="217">
      <c r="Z217" s="175">
        <f>IF(OR('Projektübersicht'!$F$11="",'Projektübersicht'!$F$13="",'Projektübersicht'!$F$11&gt;'Projektübersicht'!$F$13),"",IF('Projektübersicht'!$F$11+215&lt;='Projektübersicht'!$F$13,'Projektübersicht'!$F$11+215,""))</f>
        <v/>
      </c>
      <c r="AB217" s="175">
        <f>IF(OR('Projektübersicht'!$F$11="",'Projektübersicht'!$F$13="",'Projektübersicht'!$F$11&gt;'Projektübersicht'!$F$13),"",IF(WORKDAY.INTL('Projektübersicht'!$F$11-1,216,"0000001")&lt;='Projektübersicht'!$F$13,WORKDAY.INTL('Projektübersicht'!$F$11-1,216,"0000001"),""))</f>
        <v/>
      </c>
    </row>
    <row r="218">
      <c r="Z218" s="175">
        <f>IF(OR('Projektübersicht'!$F$11="",'Projektübersicht'!$F$13="",'Projektübersicht'!$F$11&gt;'Projektübersicht'!$F$13),"",IF('Projektübersicht'!$F$11+216&lt;='Projektübersicht'!$F$13,'Projektübersicht'!$F$11+216,""))</f>
        <v/>
      </c>
      <c r="AB218" s="175">
        <f>IF(OR('Projektübersicht'!$F$11="",'Projektübersicht'!$F$13="",'Projektübersicht'!$F$11&gt;'Projektübersicht'!$F$13),"",IF(WORKDAY.INTL('Projektübersicht'!$F$11-1,217,"0000001")&lt;='Projektübersicht'!$F$13,WORKDAY.INTL('Projektübersicht'!$F$11-1,217,"0000001"),""))</f>
        <v/>
      </c>
    </row>
    <row r="219">
      <c r="Z219" s="175">
        <f>IF(OR('Projektübersicht'!$F$11="",'Projektübersicht'!$F$13="",'Projektübersicht'!$F$11&gt;'Projektübersicht'!$F$13),"",IF('Projektübersicht'!$F$11+217&lt;='Projektübersicht'!$F$13,'Projektübersicht'!$F$11+217,""))</f>
        <v/>
      </c>
      <c r="AB219" s="175">
        <f>IF(OR('Projektübersicht'!$F$11="",'Projektübersicht'!$F$13="",'Projektübersicht'!$F$11&gt;'Projektübersicht'!$F$13),"",IF(WORKDAY.INTL('Projektübersicht'!$F$11-1,218,"0000001")&lt;='Projektübersicht'!$F$13,WORKDAY.INTL('Projektübersicht'!$F$11-1,218,"0000001"),""))</f>
        <v/>
      </c>
    </row>
    <row r="220">
      <c r="Z220" s="175">
        <f>IF(OR('Projektübersicht'!$F$11="",'Projektübersicht'!$F$13="",'Projektübersicht'!$F$11&gt;'Projektübersicht'!$F$13),"",IF('Projektübersicht'!$F$11+218&lt;='Projektübersicht'!$F$13,'Projektübersicht'!$F$11+218,""))</f>
        <v/>
      </c>
      <c r="AB220" s="175">
        <f>IF(OR('Projektübersicht'!$F$11="",'Projektübersicht'!$F$13="",'Projektübersicht'!$F$11&gt;'Projektübersicht'!$F$13),"",IF(WORKDAY.INTL('Projektübersicht'!$F$11-1,219,"0000001")&lt;='Projektübersicht'!$F$13,WORKDAY.INTL('Projektübersicht'!$F$11-1,219,"0000001"),""))</f>
        <v/>
      </c>
    </row>
    <row r="221">
      <c r="Z221" s="175">
        <f>IF(OR('Projektübersicht'!$F$11="",'Projektübersicht'!$F$13="",'Projektübersicht'!$F$11&gt;'Projektübersicht'!$F$13),"",IF('Projektübersicht'!$F$11+219&lt;='Projektübersicht'!$F$13,'Projektübersicht'!$F$11+219,""))</f>
        <v/>
      </c>
      <c r="AB221" s="175">
        <f>IF(OR('Projektübersicht'!$F$11="",'Projektübersicht'!$F$13="",'Projektübersicht'!$F$11&gt;'Projektübersicht'!$F$13),"",IF(WORKDAY.INTL('Projektübersicht'!$F$11-1,220,"0000001")&lt;='Projektübersicht'!$F$13,WORKDAY.INTL('Projektübersicht'!$F$11-1,220,"0000001"),""))</f>
        <v/>
      </c>
    </row>
    <row r="222">
      <c r="Z222" s="175">
        <f>IF(OR('Projektübersicht'!$F$11="",'Projektübersicht'!$F$13="",'Projektübersicht'!$F$11&gt;'Projektübersicht'!$F$13),"",IF('Projektübersicht'!$F$11+220&lt;='Projektübersicht'!$F$13,'Projektübersicht'!$F$11+220,""))</f>
        <v/>
      </c>
      <c r="AB222" s="175">
        <f>IF(OR('Projektübersicht'!$F$11="",'Projektübersicht'!$F$13="",'Projektübersicht'!$F$11&gt;'Projektübersicht'!$F$13),"",IF(WORKDAY.INTL('Projektübersicht'!$F$11-1,221,"0000001")&lt;='Projektübersicht'!$F$13,WORKDAY.INTL('Projektübersicht'!$F$11-1,221,"0000001"),""))</f>
        <v/>
      </c>
    </row>
    <row r="223">
      <c r="Z223" s="175">
        <f>IF(OR('Projektübersicht'!$F$11="",'Projektübersicht'!$F$13="",'Projektübersicht'!$F$11&gt;'Projektübersicht'!$F$13),"",IF('Projektübersicht'!$F$11+221&lt;='Projektübersicht'!$F$13,'Projektübersicht'!$F$11+221,""))</f>
        <v/>
      </c>
      <c r="AB223" s="175">
        <f>IF(OR('Projektübersicht'!$F$11="",'Projektübersicht'!$F$13="",'Projektübersicht'!$F$11&gt;'Projektübersicht'!$F$13),"",IF(WORKDAY.INTL('Projektübersicht'!$F$11-1,222,"0000001")&lt;='Projektübersicht'!$F$13,WORKDAY.INTL('Projektübersicht'!$F$11-1,222,"0000001"),""))</f>
        <v/>
      </c>
    </row>
    <row r="224">
      <c r="Z224" s="175">
        <f>IF(OR('Projektübersicht'!$F$11="",'Projektübersicht'!$F$13="",'Projektübersicht'!$F$11&gt;'Projektübersicht'!$F$13),"",IF('Projektübersicht'!$F$11+222&lt;='Projektübersicht'!$F$13,'Projektübersicht'!$F$11+222,""))</f>
        <v/>
      </c>
      <c r="AB224" s="175">
        <f>IF(OR('Projektübersicht'!$F$11="",'Projektübersicht'!$F$13="",'Projektübersicht'!$F$11&gt;'Projektübersicht'!$F$13),"",IF(WORKDAY.INTL('Projektübersicht'!$F$11-1,223,"0000001")&lt;='Projektübersicht'!$F$13,WORKDAY.INTL('Projektübersicht'!$F$11-1,223,"0000001"),""))</f>
        <v/>
      </c>
    </row>
    <row r="225">
      <c r="Z225" s="175">
        <f>IF(OR('Projektübersicht'!$F$11="",'Projektübersicht'!$F$13="",'Projektübersicht'!$F$11&gt;'Projektübersicht'!$F$13),"",IF('Projektübersicht'!$F$11+223&lt;='Projektübersicht'!$F$13,'Projektübersicht'!$F$11+223,""))</f>
        <v/>
      </c>
      <c r="AB225" s="175">
        <f>IF(OR('Projektübersicht'!$F$11="",'Projektübersicht'!$F$13="",'Projektübersicht'!$F$11&gt;'Projektübersicht'!$F$13),"",IF(WORKDAY.INTL('Projektübersicht'!$F$11-1,224,"0000001")&lt;='Projektübersicht'!$F$13,WORKDAY.INTL('Projektübersicht'!$F$11-1,224,"0000001"),""))</f>
        <v/>
      </c>
    </row>
    <row r="226">
      <c r="Z226" s="175">
        <f>IF(OR('Projektübersicht'!$F$11="",'Projektübersicht'!$F$13="",'Projektübersicht'!$F$11&gt;'Projektübersicht'!$F$13),"",IF('Projektübersicht'!$F$11+224&lt;='Projektübersicht'!$F$13,'Projektübersicht'!$F$11+224,""))</f>
        <v/>
      </c>
      <c r="AB226" s="175">
        <f>IF(OR('Projektübersicht'!$F$11="",'Projektübersicht'!$F$13="",'Projektübersicht'!$F$11&gt;'Projektübersicht'!$F$13),"",IF(WORKDAY.INTL('Projektübersicht'!$F$11-1,225,"0000001")&lt;='Projektübersicht'!$F$13,WORKDAY.INTL('Projektübersicht'!$F$11-1,225,"0000001"),""))</f>
        <v/>
      </c>
    </row>
    <row r="227">
      <c r="Z227" s="175">
        <f>IF(OR('Projektübersicht'!$F$11="",'Projektübersicht'!$F$13="",'Projektübersicht'!$F$11&gt;'Projektübersicht'!$F$13),"",IF('Projektübersicht'!$F$11+225&lt;='Projektübersicht'!$F$13,'Projektübersicht'!$F$11+225,""))</f>
        <v/>
      </c>
      <c r="AB227" s="175">
        <f>IF(OR('Projektübersicht'!$F$11="",'Projektübersicht'!$F$13="",'Projektübersicht'!$F$11&gt;'Projektübersicht'!$F$13),"",IF(WORKDAY.INTL('Projektübersicht'!$F$11-1,226,"0000001")&lt;='Projektübersicht'!$F$13,WORKDAY.INTL('Projektübersicht'!$F$11-1,226,"0000001"),""))</f>
        <v/>
      </c>
    </row>
    <row r="228">
      <c r="Z228" s="175">
        <f>IF(OR('Projektübersicht'!$F$11="",'Projektübersicht'!$F$13="",'Projektübersicht'!$F$11&gt;'Projektübersicht'!$F$13),"",IF('Projektübersicht'!$F$11+226&lt;='Projektübersicht'!$F$13,'Projektübersicht'!$F$11+226,""))</f>
        <v/>
      </c>
      <c r="AB228" s="175">
        <f>IF(OR('Projektübersicht'!$F$11="",'Projektübersicht'!$F$13="",'Projektübersicht'!$F$11&gt;'Projektübersicht'!$F$13),"",IF(WORKDAY.INTL('Projektübersicht'!$F$11-1,227,"0000001")&lt;='Projektübersicht'!$F$13,WORKDAY.INTL('Projektübersicht'!$F$11-1,227,"0000001"),""))</f>
        <v/>
      </c>
    </row>
    <row r="229">
      <c r="Z229" s="175">
        <f>IF(OR('Projektübersicht'!$F$11="",'Projektübersicht'!$F$13="",'Projektübersicht'!$F$11&gt;'Projektübersicht'!$F$13),"",IF('Projektübersicht'!$F$11+227&lt;='Projektübersicht'!$F$13,'Projektübersicht'!$F$11+227,""))</f>
        <v/>
      </c>
      <c r="AB229" s="175">
        <f>IF(OR('Projektübersicht'!$F$11="",'Projektübersicht'!$F$13="",'Projektübersicht'!$F$11&gt;'Projektübersicht'!$F$13),"",IF(WORKDAY.INTL('Projektübersicht'!$F$11-1,228,"0000001")&lt;='Projektübersicht'!$F$13,WORKDAY.INTL('Projektübersicht'!$F$11-1,228,"0000001"),""))</f>
        <v/>
      </c>
    </row>
    <row r="230">
      <c r="Z230" s="175">
        <f>IF(OR('Projektübersicht'!$F$11="",'Projektübersicht'!$F$13="",'Projektübersicht'!$F$11&gt;'Projektübersicht'!$F$13),"",IF('Projektübersicht'!$F$11+228&lt;='Projektübersicht'!$F$13,'Projektübersicht'!$F$11+228,""))</f>
        <v/>
      </c>
      <c r="AB230" s="175">
        <f>IF(OR('Projektübersicht'!$F$11="",'Projektübersicht'!$F$13="",'Projektübersicht'!$F$11&gt;'Projektübersicht'!$F$13),"",IF(WORKDAY.INTL('Projektübersicht'!$F$11-1,229,"0000001")&lt;='Projektübersicht'!$F$13,WORKDAY.INTL('Projektübersicht'!$F$11-1,229,"0000001"),""))</f>
        <v/>
      </c>
    </row>
    <row r="231">
      <c r="Z231" s="175">
        <f>IF(OR('Projektübersicht'!$F$11="",'Projektübersicht'!$F$13="",'Projektübersicht'!$F$11&gt;'Projektübersicht'!$F$13),"",IF('Projektübersicht'!$F$11+229&lt;='Projektübersicht'!$F$13,'Projektübersicht'!$F$11+229,""))</f>
        <v/>
      </c>
      <c r="AB231" s="175">
        <f>IF(OR('Projektübersicht'!$F$11="",'Projektübersicht'!$F$13="",'Projektübersicht'!$F$11&gt;'Projektübersicht'!$F$13),"",IF(WORKDAY.INTL('Projektübersicht'!$F$11-1,230,"0000001")&lt;='Projektübersicht'!$F$13,WORKDAY.INTL('Projektübersicht'!$F$11-1,230,"0000001"),""))</f>
        <v/>
      </c>
    </row>
    <row r="232">
      <c r="Z232" s="175">
        <f>IF(OR('Projektübersicht'!$F$11="",'Projektübersicht'!$F$13="",'Projektübersicht'!$F$11&gt;'Projektübersicht'!$F$13),"",IF('Projektübersicht'!$F$11+230&lt;='Projektübersicht'!$F$13,'Projektübersicht'!$F$11+230,""))</f>
        <v/>
      </c>
      <c r="AB232" s="175">
        <f>IF(OR('Projektübersicht'!$F$11="",'Projektübersicht'!$F$13="",'Projektübersicht'!$F$11&gt;'Projektübersicht'!$F$13),"",IF(WORKDAY.INTL('Projektübersicht'!$F$11-1,231,"0000001")&lt;='Projektübersicht'!$F$13,WORKDAY.INTL('Projektübersicht'!$F$11-1,231,"0000001"),""))</f>
        <v/>
      </c>
    </row>
    <row r="233">
      <c r="Z233" s="175">
        <f>IF(OR('Projektübersicht'!$F$11="",'Projektübersicht'!$F$13="",'Projektübersicht'!$F$11&gt;'Projektübersicht'!$F$13),"",IF('Projektübersicht'!$F$11+231&lt;='Projektübersicht'!$F$13,'Projektübersicht'!$F$11+231,""))</f>
        <v/>
      </c>
      <c r="AB233" s="175">
        <f>IF(OR('Projektübersicht'!$F$11="",'Projektübersicht'!$F$13="",'Projektübersicht'!$F$11&gt;'Projektübersicht'!$F$13),"",IF(WORKDAY.INTL('Projektübersicht'!$F$11-1,232,"0000001")&lt;='Projektübersicht'!$F$13,WORKDAY.INTL('Projektübersicht'!$F$11-1,232,"0000001"),""))</f>
        <v/>
      </c>
    </row>
    <row r="234">
      <c r="Z234" s="175">
        <f>IF(OR('Projektübersicht'!$F$11="",'Projektübersicht'!$F$13="",'Projektübersicht'!$F$11&gt;'Projektübersicht'!$F$13),"",IF('Projektübersicht'!$F$11+232&lt;='Projektübersicht'!$F$13,'Projektübersicht'!$F$11+232,""))</f>
        <v/>
      </c>
      <c r="AB234" s="175">
        <f>IF(OR('Projektübersicht'!$F$11="",'Projektübersicht'!$F$13="",'Projektübersicht'!$F$11&gt;'Projektübersicht'!$F$13),"",IF(WORKDAY.INTL('Projektübersicht'!$F$11-1,233,"0000001")&lt;='Projektübersicht'!$F$13,WORKDAY.INTL('Projektübersicht'!$F$11-1,233,"0000001"),""))</f>
        <v/>
      </c>
    </row>
    <row r="235">
      <c r="Z235" s="175">
        <f>IF(OR('Projektübersicht'!$F$11="",'Projektübersicht'!$F$13="",'Projektübersicht'!$F$11&gt;'Projektübersicht'!$F$13),"",IF('Projektübersicht'!$F$11+233&lt;='Projektübersicht'!$F$13,'Projektübersicht'!$F$11+233,""))</f>
        <v/>
      </c>
      <c r="AB235" s="175">
        <f>IF(OR('Projektübersicht'!$F$11="",'Projektübersicht'!$F$13="",'Projektübersicht'!$F$11&gt;'Projektübersicht'!$F$13),"",IF(WORKDAY.INTL('Projektübersicht'!$F$11-1,234,"0000001")&lt;='Projektübersicht'!$F$13,WORKDAY.INTL('Projektübersicht'!$F$11-1,234,"0000001"),""))</f>
        <v/>
      </c>
    </row>
    <row r="236">
      <c r="Z236" s="175">
        <f>IF(OR('Projektübersicht'!$F$11="",'Projektübersicht'!$F$13="",'Projektübersicht'!$F$11&gt;'Projektübersicht'!$F$13),"",IF('Projektübersicht'!$F$11+234&lt;='Projektübersicht'!$F$13,'Projektübersicht'!$F$11+234,""))</f>
        <v/>
      </c>
      <c r="AB236" s="175">
        <f>IF(OR('Projektübersicht'!$F$11="",'Projektübersicht'!$F$13="",'Projektübersicht'!$F$11&gt;'Projektübersicht'!$F$13),"",IF(WORKDAY.INTL('Projektübersicht'!$F$11-1,235,"0000001")&lt;='Projektübersicht'!$F$13,WORKDAY.INTL('Projektübersicht'!$F$11-1,235,"0000001"),""))</f>
        <v/>
      </c>
    </row>
    <row r="237">
      <c r="Z237" s="175">
        <f>IF(OR('Projektübersicht'!$F$11="",'Projektübersicht'!$F$13="",'Projektübersicht'!$F$11&gt;'Projektübersicht'!$F$13),"",IF('Projektübersicht'!$F$11+235&lt;='Projektübersicht'!$F$13,'Projektübersicht'!$F$11+235,""))</f>
        <v/>
      </c>
      <c r="AB237" s="175">
        <f>IF(OR('Projektübersicht'!$F$11="",'Projektübersicht'!$F$13="",'Projektübersicht'!$F$11&gt;'Projektübersicht'!$F$13),"",IF(WORKDAY.INTL('Projektübersicht'!$F$11-1,236,"0000001")&lt;='Projektübersicht'!$F$13,WORKDAY.INTL('Projektübersicht'!$F$11-1,236,"0000001"),""))</f>
        <v/>
      </c>
    </row>
    <row r="238">
      <c r="Z238" s="175">
        <f>IF(OR('Projektübersicht'!$F$11="",'Projektübersicht'!$F$13="",'Projektübersicht'!$F$11&gt;'Projektübersicht'!$F$13),"",IF('Projektübersicht'!$F$11+236&lt;='Projektübersicht'!$F$13,'Projektübersicht'!$F$11+236,""))</f>
        <v/>
      </c>
      <c r="AB238" s="175">
        <f>IF(OR('Projektübersicht'!$F$11="",'Projektübersicht'!$F$13="",'Projektübersicht'!$F$11&gt;'Projektübersicht'!$F$13),"",IF(WORKDAY.INTL('Projektübersicht'!$F$11-1,237,"0000001")&lt;='Projektübersicht'!$F$13,WORKDAY.INTL('Projektübersicht'!$F$11-1,237,"0000001"),""))</f>
        <v/>
      </c>
    </row>
    <row r="239">
      <c r="Z239" s="175">
        <f>IF(OR('Projektübersicht'!$F$11="",'Projektübersicht'!$F$13="",'Projektübersicht'!$F$11&gt;'Projektübersicht'!$F$13),"",IF('Projektübersicht'!$F$11+237&lt;='Projektübersicht'!$F$13,'Projektübersicht'!$F$11+237,""))</f>
        <v/>
      </c>
      <c r="AB239" s="175">
        <f>IF(OR('Projektübersicht'!$F$11="",'Projektübersicht'!$F$13="",'Projektübersicht'!$F$11&gt;'Projektübersicht'!$F$13),"",IF(WORKDAY.INTL('Projektübersicht'!$F$11-1,238,"0000001")&lt;='Projektübersicht'!$F$13,WORKDAY.INTL('Projektübersicht'!$F$11-1,238,"0000001"),""))</f>
        <v/>
      </c>
    </row>
    <row r="240">
      <c r="Z240" s="175">
        <f>IF(OR('Projektübersicht'!$F$11="",'Projektübersicht'!$F$13="",'Projektübersicht'!$F$11&gt;'Projektübersicht'!$F$13),"",IF('Projektübersicht'!$F$11+238&lt;='Projektübersicht'!$F$13,'Projektübersicht'!$F$11+238,""))</f>
        <v/>
      </c>
      <c r="AB240" s="175">
        <f>IF(OR('Projektübersicht'!$F$11="",'Projektübersicht'!$F$13="",'Projektübersicht'!$F$11&gt;'Projektübersicht'!$F$13),"",IF(WORKDAY.INTL('Projektübersicht'!$F$11-1,239,"0000001")&lt;='Projektübersicht'!$F$13,WORKDAY.INTL('Projektübersicht'!$F$11-1,239,"0000001"),""))</f>
        <v/>
      </c>
    </row>
    <row r="241">
      <c r="Z241" s="175">
        <f>IF(OR('Projektübersicht'!$F$11="",'Projektübersicht'!$F$13="",'Projektübersicht'!$F$11&gt;'Projektübersicht'!$F$13),"",IF('Projektübersicht'!$F$11+239&lt;='Projektübersicht'!$F$13,'Projektübersicht'!$F$11+239,""))</f>
        <v/>
      </c>
      <c r="AB241" s="175">
        <f>IF(OR('Projektübersicht'!$F$11="",'Projektübersicht'!$F$13="",'Projektübersicht'!$F$11&gt;'Projektübersicht'!$F$13),"",IF(WORKDAY.INTL('Projektübersicht'!$F$11-1,240,"0000001")&lt;='Projektübersicht'!$F$13,WORKDAY.INTL('Projektübersicht'!$F$11-1,240,"0000001"),""))</f>
        <v/>
      </c>
    </row>
    <row r="242">
      <c r="Z242" s="175">
        <f>IF(OR('Projektübersicht'!$F$11="",'Projektübersicht'!$F$13="",'Projektübersicht'!$F$11&gt;'Projektübersicht'!$F$13),"",IF('Projektübersicht'!$F$11+240&lt;='Projektübersicht'!$F$13,'Projektübersicht'!$F$11+240,""))</f>
        <v/>
      </c>
      <c r="AB242" s="175">
        <f>IF(OR('Projektübersicht'!$F$11="",'Projektübersicht'!$F$13="",'Projektübersicht'!$F$11&gt;'Projektübersicht'!$F$13),"",IF(WORKDAY.INTL('Projektübersicht'!$F$11-1,241,"0000001")&lt;='Projektübersicht'!$F$13,WORKDAY.INTL('Projektübersicht'!$F$11-1,241,"0000001"),""))</f>
        <v/>
      </c>
    </row>
    <row r="243">
      <c r="Z243" s="175">
        <f>IF(OR('Projektübersicht'!$F$11="",'Projektübersicht'!$F$13="",'Projektübersicht'!$F$11&gt;'Projektübersicht'!$F$13),"",IF('Projektübersicht'!$F$11+241&lt;='Projektübersicht'!$F$13,'Projektübersicht'!$F$11+241,""))</f>
        <v/>
      </c>
      <c r="AB243" s="175">
        <f>IF(OR('Projektübersicht'!$F$11="",'Projektübersicht'!$F$13="",'Projektübersicht'!$F$11&gt;'Projektübersicht'!$F$13),"",IF(WORKDAY.INTL('Projektübersicht'!$F$11-1,242,"0000001")&lt;='Projektübersicht'!$F$13,WORKDAY.INTL('Projektübersicht'!$F$11-1,242,"0000001"),""))</f>
        <v/>
      </c>
    </row>
    <row r="244">
      <c r="Z244" s="175">
        <f>IF(OR('Projektübersicht'!$F$11="",'Projektübersicht'!$F$13="",'Projektübersicht'!$F$11&gt;'Projektübersicht'!$F$13),"",IF('Projektübersicht'!$F$11+242&lt;='Projektübersicht'!$F$13,'Projektübersicht'!$F$11+242,""))</f>
        <v/>
      </c>
      <c r="AB244" s="175">
        <f>IF(OR('Projektübersicht'!$F$11="",'Projektübersicht'!$F$13="",'Projektübersicht'!$F$11&gt;'Projektübersicht'!$F$13),"",IF(WORKDAY.INTL('Projektübersicht'!$F$11-1,243,"0000001")&lt;='Projektübersicht'!$F$13,WORKDAY.INTL('Projektübersicht'!$F$11-1,243,"0000001"),""))</f>
        <v/>
      </c>
    </row>
    <row r="245">
      <c r="Z245" s="175">
        <f>IF(OR('Projektübersicht'!$F$11="",'Projektübersicht'!$F$13="",'Projektübersicht'!$F$11&gt;'Projektübersicht'!$F$13),"",IF('Projektübersicht'!$F$11+243&lt;='Projektübersicht'!$F$13,'Projektübersicht'!$F$11+243,""))</f>
        <v/>
      </c>
      <c r="AB245" s="175">
        <f>IF(OR('Projektübersicht'!$F$11="",'Projektübersicht'!$F$13="",'Projektübersicht'!$F$11&gt;'Projektübersicht'!$F$13),"",IF(WORKDAY.INTL('Projektübersicht'!$F$11-1,244,"0000001")&lt;='Projektübersicht'!$F$13,WORKDAY.INTL('Projektübersicht'!$F$11-1,244,"0000001"),""))</f>
        <v/>
      </c>
    </row>
    <row r="246">
      <c r="Z246" s="175">
        <f>IF(OR('Projektübersicht'!$F$11="",'Projektübersicht'!$F$13="",'Projektübersicht'!$F$11&gt;'Projektübersicht'!$F$13),"",IF('Projektübersicht'!$F$11+244&lt;='Projektübersicht'!$F$13,'Projektübersicht'!$F$11+244,""))</f>
        <v/>
      </c>
      <c r="AB246" s="175">
        <f>IF(OR('Projektübersicht'!$F$11="",'Projektübersicht'!$F$13="",'Projektübersicht'!$F$11&gt;'Projektübersicht'!$F$13),"",IF(WORKDAY.INTL('Projektübersicht'!$F$11-1,245,"0000001")&lt;='Projektübersicht'!$F$13,WORKDAY.INTL('Projektübersicht'!$F$11-1,245,"0000001"),""))</f>
        <v/>
      </c>
    </row>
    <row r="247">
      <c r="Z247" s="175">
        <f>IF(OR('Projektübersicht'!$F$11="",'Projektübersicht'!$F$13="",'Projektübersicht'!$F$11&gt;'Projektübersicht'!$F$13),"",IF('Projektübersicht'!$F$11+245&lt;='Projektübersicht'!$F$13,'Projektübersicht'!$F$11+245,""))</f>
        <v/>
      </c>
      <c r="AB247" s="175">
        <f>IF(OR('Projektübersicht'!$F$11="",'Projektübersicht'!$F$13="",'Projektübersicht'!$F$11&gt;'Projektübersicht'!$F$13),"",IF(WORKDAY.INTL('Projektübersicht'!$F$11-1,246,"0000001")&lt;='Projektübersicht'!$F$13,WORKDAY.INTL('Projektübersicht'!$F$11-1,246,"0000001"),""))</f>
        <v/>
      </c>
    </row>
    <row r="248">
      <c r="Z248" s="175">
        <f>IF(OR('Projektübersicht'!$F$11="",'Projektübersicht'!$F$13="",'Projektübersicht'!$F$11&gt;'Projektübersicht'!$F$13),"",IF('Projektübersicht'!$F$11+246&lt;='Projektübersicht'!$F$13,'Projektübersicht'!$F$11+246,""))</f>
        <v/>
      </c>
      <c r="AB248" s="175">
        <f>IF(OR('Projektübersicht'!$F$11="",'Projektübersicht'!$F$13="",'Projektübersicht'!$F$11&gt;'Projektübersicht'!$F$13),"",IF(WORKDAY.INTL('Projektübersicht'!$F$11-1,247,"0000001")&lt;='Projektübersicht'!$F$13,WORKDAY.INTL('Projektübersicht'!$F$11-1,247,"0000001"),""))</f>
        <v/>
      </c>
    </row>
    <row r="249">
      <c r="Z249" s="175">
        <f>IF(OR('Projektübersicht'!$F$11="",'Projektübersicht'!$F$13="",'Projektübersicht'!$F$11&gt;'Projektübersicht'!$F$13),"",IF('Projektübersicht'!$F$11+247&lt;='Projektübersicht'!$F$13,'Projektübersicht'!$F$11+247,""))</f>
        <v/>
      </c>
      <c r="AB249" s="175">
        <f>IF(OR('Projektübersicht'!$F$11="",'Projektübersicht'!$F$13="",'Projektübersicht'!$F$11&gt;'Projektübersicht'!$F$13),"",IF(WORKDAY.INTL('Projektübersicht'!$F$11-1,248,"0000001")&lt;='Projektübersicht'!$F$13,WORKDAY.INTL('Projektübersicht'!$F$11-1,248,"0000001"),""))</f>
        <v/>
      </c>
    </row>
    <row r="250">
      <c r="Z250" s="175">
        <f>IF(OR('Projektübersicht'!$F$11="",'Projektübersicht'!$F$13="",'Projektübersicht'!$F$11&gt;'Projektübersicht'!$F$13),"",IF('Projektübersicht'!$F$11+248&lt;='Projektübersicht'!$F$13,'Projektübersicht'!$F$11+248,""))</f>
        <v/>
      </c>
      <c r="AB250" s="175">
        <f>IF(OR('Projektübersicht'!$F$11="",'Projektübersicht'!$F$13="",'Projektübersicht'!$F$11&gt;'Projektübersicht'!$F$13),"",IF(WORKDAY.INTL('Projektübersicht'!$F$11-1,249,"0000001")&lt;='Projektübersicht'!$F$13,WORKDAY.INTL('Projektübersicht'!$F$11-1,249,"0000001"),""))</f>
        <v/>
      </c>
    </row>
    <row r="251">
      <c r="Z251" s="175">
        <f>IF(OR('Projektübersicht'!$F$11="",'Projektübersicht'!$F$13="",'Projektübersicht'!$F$11&gt;'Projektübersicht'!$F$13),"",IF('Projektübersicht'!$F$11+249&lt;='Projektübersicht'!$F$13,'Projektübersicht'!$F$11+249,""))</f>
        <v/>
      </c>
      <c r="AB251" s="175">
        <f>IF(OR('Projektübersicht'!$F$11="",'Projektübersicht'!$F$13="",'Projektübersicht'!$F$11&gt;'Projektübersicht'!$F$13),"",IF(WORKDAY.INTL('Projektübersicht'!$F$11-1,250,"0000001")&lt;='Projektübersicht'!$F$13,WORKDAY.INTL('Projektübersicht'!$F$11-1,250,"0000001"),""))</f>
        <v/>
      </c>
    </row>
    <row r="252">
      <c r="Z252" s="175">
        <f>IF(OR('Projektübersicht'!$F$11="",'Projektübersicht'!$F$13="",'Projektübersicht'!$F$11&gt;'Projektübersicht'!$F$13),"",IF('Projektübersicht'!$F$11+250&lt;='Projektübersicht'!$F$13,'Projektübersicht'!$F$11+250,""))</f>
        <v/>
      </c>
      <c r="AB252" s="175">
        <f>IF(OR('Projektübersicht'!$F$11="",'Projektübersicht'!$F$13="",'Projektübersicht'!$F$11&gt;'Projektübersicht'!$F$13),"",IF(WORKDAY.INTL('Projektübersicht'!$F$11-1,251,"0000001")&lt;='Projektübersicht'!$F$13,WORKDAY.INTL('Projektübersicht'!$F$11-1,251,"0000001"),""))</f>
        <v/>
      </c>
    </row>
    <row r="253">
      <c r="Z253" s="175">
        <f>IF(OR('Projektübersicht'!$F$11="",'Projektübersicht'!$F$13="",'Projektübersicht'!$F$11&gt;'Projektübersicht'!$F$13),"",IF('Projektübersicht'!$F$11+251&lt;='Projektübersicht'!$F$13,'Projektübersicht'!$F$11+251,""))</f>
        <v/>
      </c>
      <c r="AB253" s="175">
        <f>IF(OR('Projektübersicht'!$F$11="",'Projektübersicht'!$F$13="",'Projektübersicht'!$F$11&gt;'Projektübersicht'!$F$13),"",IF(WORKDAY.INTL('Projektübersicht'!$F$11-1,252,"0000001")&lt;='Projektübersicht'!$F$13,WORKDAY.INTL('Projektübersicht'!$F$11-1,252,"0000001"),""))</f>
        <v/>
      </c>
    </row>
    <row r="254">
      <c r="Z254" s="175">
        <f>IF(OR('Projektübersicht'!$F$11="",'Projektübersicht'!$F$13="",'Projektübersicht'!$F$11&gt;'Projektübersicht'!$F$13),"",IF('Projektübersicht'!$F$11+252&lt;='Projektübersicht'!$F$13,'Projektübersicht'!$F$11+252,""))</f>
        <v/>
      </c>
      <c r="AB254" s="175">
        <f>IF(OR('Projektübersicht'!$F$11="",'Projektübersicht'!$F$13="",'Projektübersicht'!$F$11&gt;'Projektübersicht'!$F$13),"",IF(WORKDAY.INTL('Projektübersicht'!$F$11-1,253,"0000001")&lt;='Projektübersicht'!$F$13,WORKDAY.INTL('Projektübersicht'!$F$11-1,253,"0000001"),""))</f>
        <v/>
      </c>
    </row>
    <row r="255">
      <c r="Z255" s="175">
        <f>IF(OR('Projektübersicht'!$F$11="",'Projektübersicht'!$F$13="",'Projektübersicht'!$F$11&gt;'Projektübersicht'!$F$13),"",IF('Projektübersicht'!$F$11+253&lt;='Projektübersicht'!$F$13,'Projektübersicht'!$F$11+253,""))</f>
        <v/>
      </c>
      <c r="AB255" s="175">
        <f>IF(OR('Projektübersicht'!$F$11="",'Projektübersicht'!$F$13="",'Projektübersicht'!$F$11&gt;'Projektübersicht'!$F$13),"",IF(WORKDAY.INTL('Projektübersicht'!$F$11-1,254,"0000001")&lt;='Projektübersicht'!$F$13,WORKDAY.INTL('Projektübersicht'!$F$11-1,254,"0000001"),""))</f>
        <v/>
      </c>
    </row>
    <row r="256">
      <c r="Z256" s="175">
        <f>IF(OR('Projektübersicht'!$F$11="",'Projektübersicht'!$F$13="",'Projektübersicht'!$F$11&gt;'Projektübersicht'!$F$13),"",IF('Projektübersicht'!$F$11+254&lt;='Projektübersicht'!$F$13,'Projektübersicht'!$F$11+254,""))</f>
        <v/>
      </c>
      <c r="AB256" s="175">
        <f>IF(OR('Projektübersicht'!$F$11="",'Projektübersicht'!$F$13="",'Projektübersicht'!$F$11&gt;'Projektübersicht'!$F$13),"",IF(WORKDAY.INTL('Projektübersicht'!$F$11-1,255,"0000001")&lt;='Projektübersicht'!$F$13,WORKDAY.INTL('Projektübersicht'!$F$11-1,255,"0000001"),""))</f>
        <v/>
      </c>
    </row>
    <row r="257">
      <c r="Z257" s="175">
        <f>IF(OR('Projektübersicht'!$F$11="",'Projektübersicht'!$F$13="",'Projektübersicht'!$F$11&gt;'Projektübersicht'!$F$13),"",IF('Projektübersicht'!$F$11+255&lt;='Projektübersicht'!$F$13,'Projektübersicht'!$F$11+255,""))</f>
        <v/>
      </c>
      <c r="AB257" s="175">
        <f>IF(OR('Projektübersicht'!$F$11="",'Projektübersicht'!$F$13="",'Projektübersicht'!$F$11&gt;'Projektübersicht'!$F$13),"",IF(WORKDAY.INTL('Projektübersicht'!$F$11-1,256,"0000001")&lt;='Projektübersicht'!$F$13,WORKDAY.INTL('Projektübersicht'!$F$11-1,256,"0000001"),""))</f>
        <v/>
      </c>
    </row>
    <row r="258">
      <c r="Z258" s="175">
        <f>IF(OR('Projektübersicht'!$F$11="",'Projektübersicht'!$F$13="",'Projektübersicht'!$F$11&gt;'Projektübersicht'!$F$13),"",IF('Projektübersicht'!$F$11+256&lt;='Projektübersicht'!$F$13,'Projektübersicht'!$F$11+256,""))</f>
        <v/>
      </c>
      <c r="AB258" s="175">
        <f>IF(OR('Projektübersicht'!$F$11="",'Projektübersicht'!$F$13="",'Projektübersicht'!$F$11&gt;'Projektübersicht'!$F$13),"",IF(WORKDAY.INTL('Projektübersicht'!$F$11-1,257,"0000001")&lt;='Projektübersicht'!$F$13,WORKDAY.INTL('Projektübersicht'!$F$11-1,257,"0000001"),""))</f>
        <v/>
      </c>
    </row>
    <row r="259">
      <c r="Z259" s="175">
        <f>IF(OR('Projektübersicht'!$F$11="",'Projektübersicht'!$F$13="",'Projektübersicht'!$F$11&gt;'Projektübersicht'!$F$13),"",IF('Projektübersicht'!$F$11+257&lt;='Projektübersicht'!$F$13,'Projektübersicht'!$F$11+257,""))</f>
        <v/>
      </c>
      <c r="AB259" s="175">
        <f>IF(OR('Projektübersicht'!$F$11="",'Projektübersicht'!$F$13="",'Projektübersicht'!$F$11&gt;'Projektübersicht'!$F$13),"",IF(WORKDAY.INTL('Projektübersicht'!$F$11-1,258,"0000001")&lt;='Projektübersicht'!$F$13,WORKDAY.INTL('Projektübersicht'!$F$11-1,258,"0000001"),""))</f>
        <v/>
      </c>
    </row>
    <row r="260">
      <c r="Z260" s="175">
        <f>IF(OR('Projektübersicht'!$F$11="",'Projektübersicht'!$F$13="",'Projektübersicht'!$F$11&gt;'Projektübersicht'!$F$13),"",IF('Projektübersicht'!$F$11+258&lt;='Projektübersicht'!$F$13,'Projektübersicht'!$F$11+258,""))</f>
        <v/>
      </c>
      <c r="AB260" s="175">
        <f>IF(OR('Projektübersicht'!$F$11="",'Projektübersicht'!$F$13="",'Projektübersicht'!$F$11&gt;'Projektübersicht'!$F$13),"",IF(WORKDAY.INTL('Projektübersicht'!$F$11-1,259,"0000001")&lt;='Projektübersicht'!$F$13,WORKDAY.INTL('Projektübersicht'!$F$11-1,259,"0000001"),""))</f>
        <v/>
      </c>
    </row>
    <row r="261">
      <c r="Z261" s="175">
        <f>IF(OR('Projektübersicht'!$F$11="",'Projektübersicht'!$F$13="",'Projektübersicht'!$F$11&gt;'Projektübersicht'!$F$13),"",IF('Projektübersicht'!$F$11+259&lt;='Projektübersicht'!$F$13,'Projektübersicht'!$F$11+259,""))</f>
        <v/>
      </c>
      <c r="AB261" s="175">
        <f>IF(OR('Projektübersicht'!$F$11="",'Projektübersicht'!$F$13="",'Projektübersicht'!$F$11&gt;'Projektübersicht'!$F$13),"",IF(WORKDAY.INTL('Projektübersicht'!$F$11-1,260,"0000001")&lt;='Projektübersicht'!$F$13,WORKDAY.INTL('Projektübersicht'!$F$11-1,260,"0000001"),""))</f>
        <v/>
      </c>
    </row>
    <row r="262">
      <c r="Z262" s="175">
        <f>IF(OR('Projektübersicht'!$F$11="",'Projektübersicht'!$F$13="",'Projektübersicht'!$F$11&gt;'Projektübersicht'!$F$13),"",IF('Projektübersicht'!$F$11+260&lt;='Projektübersicht'!$F$13,'Projektübersicht'!$F$11+260,""))</f>
        <v/>
      </c>
      <c r="AB262" s="175">
        <f>IF(OR('Projektübersicht'!$F$11="",'Projektübersicht'!$F$13="",'Projektübersicht'!$F$11&gt;'Projektübersicht'!$F$13),"",IF(WORKDAY.INTL('Projektübersicht'!$F$11-1,261,"0000001")&lt;='Projektübersicht'!$F$13,WORKDAY.INTL('Projektübersicht'!$F$11-1,261,"0000001"),""))</f>
        <v/>
      </c>
    </row>
    <row r="263">
      <c r="Z263" s="175">
        <f>IF(OR('Projektübersicht'!$F$11="",'Projektübersicht'!$F$13="",'Projektübersicht'!$F$11&gt;'Projektübersicht'!$F$13),"",IF('Projektübersicht'!$F$11+261&lt;='Projektübersicht'!$F$13,'Projektübersicht'!$F$11+261,""))</f>
        <v/>
      </c>
      <c r="AB263" s="175">
        <f>IF(OR('Projektübersicht'!$F$11="",'Projektübersicht'!$F$13="",'Projektübersicht'!$F$11&gt;'Projektübersicht'!$F$13),"",IF(WORKDAY.INTL('Projektübersicht'!$F$11-1,262,"0000001")&lt;='Projektübersicht'!$F$13,WORKDAY.INTL('Projektübersicht'!$F$11-1,262,"0000001"),""))</f>
        <v/>
      </c>
    </row>
    <row r="264">
      <c r="Z264" s="175">
        <f>IF(OR('Projektübersicht'!$F$11="",'Projektübersicht'!$F$13="",'Projektübersicht'!$F$11&gt;'Projektübersicht'!$F$13),"",IF('Projektübersicht'!$F$11+262&lt;='Projektübersicht'!$F$13,'Projektübersicht'!$F$11+262,""))</f>
        <v/>
      </c>
      <c r="AB264" s="175">
        <f>IF(OR('Projektübersicht'!$F$11="",'Projektübersicht'!$F$13="",'Projektübersicht'!$F$11&gt;'Projektübersicht'!$F$13),"",IF(WORKDAY.INTL('Projektübersicht'!$F$11-1,263,"0000001")&lt;='Projektübersicht'!$F$13,WORKDAY.INTL('Projektübersicht'!$F$11-1,263,"0000001"),""))</f>
        <v/>
      </c>
    </row>
    <row r="265">
      <c r="Z265" s="175">
        <f>IF(OR('Projektübersicht'!$F$11="",'Projektübersicht'!$F$13="",'Projektübersicht'!$F$11&gt;'Projektübersicht'!$F$13),"",IF('Projektübersicht'!$F$11+263&lt;='Projektübersicht'!$F$13,'Projektübersicht'!$F$11+263,""))</f>
        <v/>
      </c>
      <c r="AB265" s="175">
        <f>IF(OR('Projektübersicht'!$F$11="",'Projektübersicht'!$F$13="",'Projektübersicht'!$F$11&gt;'Projektübersicht'!$F$13),"",IF(WORKDAY.INTL('Projektübersicht'!$F$11-1,264,"0000001")&lt;='Projektübersicht'!$F$13,WORKDAY.INTL('Projektübersicht'!$F$11-1,264,"0000001"),""))</f>
        <v/>
      </c>
    </row>
    <row r="266">
      <c r="Z266" s="175">
        <f>IF(OR('Projektübersicht'!$F$11="",'Projektübersicht'!$F$13="",'Projektübersicht'!$F$11&gt;'Projektübersicht'!$F$13),"",IF('Projektübersicht'!$F$11+264&lt;='Projektübersicht'!$F$13,'Projektübersicht'!$F$11+264,""))</f>
        <v/>
      </c>
      <c r="AB266" s="175">
        <f>IF(OR('Projektübersicht'!$F$11="",'Projektübersicht'!$F$13="",'Projektübersicht'!$F$11&gt;'Projektübersicht'!$F$13),"",IF(WORKDAY.INTL('Projektübersicht'!$F$11-1,265,"0000001")&lt;='Projektübersicht'!$F$13,WORKDAY.INTL('Projektübersicht'!$F$11-1,265,"0000001"),""))</f>
        <v/>
      </c>
    </row>
    <row r="267">
      <c r="Z267" s="175">
        <f>IF(OR('Projektübersicht'!$F$11="",'Projektübersicht'!$F$13="",'Projektübersicht'!$F$11&gt;'Projektübersicht'!$F$13),"",IF('Projektübersicht'!$F$11+265&lt;='Projektübersicht'!$F$13,'Projektübersicht'!$F$11+265,""))</f>
        <v/>
      </c>
      <c r="AB267" s="175">
        <f>IF(OR('Projektübersicht'!$F$11="",'Projektübersicht'!$F$13="",'Projektübersicht'!$F$11&gt;'Projektübersicht'!$F$13),"",IF(WORKDAY.INTL('Projektübersicht'!$F$11-1,266,"0000001")&lt;='Projektübersicht'!$F$13,WORKDAY.INTL('Projektübersicht'!$F$11-1,266,"0000001"),""))</f>
        <v/>
      </c>
    </row>
    <row r="268">
      <c r="Z268" s="175">
        <f>IF(OR('Projektübersicht'!$F$11="",'Projektübersicht'!$F$13="",'Projektübersicht'!$F$11&gt;'Projektübersicht'!$F$13),"",IF('Projektübersicht'!$F$11+266&lt;='Projektübersicht'!$F$13,'Projektübersicht'!$F$11+266,""))</f>
        <v/>
      </c>
      <c r="AB268" s="175">
        <f>IF(OR('Projektübersicht'!$F$11="",'Projektübersicht'!$F$13="",'Projektübersicht'!$F$11&gt;'Projektübersicht'!$F$13),"",IF(WORKDAY.INTL('Projektübersicht'!$F$11-1,267,"0000001")&lt;='Projektübersicht'!$F$13,WORKDAY.INTL('Projektübersicht'!$F$11-1,267,"0000001"),""))</f>
        <v/>
      </c>
    </row>
    <row r="269">
      <c r="Z269" s="175">
        <f>IF(OR('Projektübersicht'!$F$11="",'Projektübersicht'!$F$13="",'Projektübersicht'!$F$11&gt;'Projektübersicht'!$F$13),"",IF('Projektübersicht'!$F$11+267&lt;='Projektübersicht'!$F$13,'Projektübersicht'!$F$11+267,""))</f>
        <v/>
      </c>
      <c r="AB269" s="175">
        <f>IF(OR('Projektübersicht'!$F$11="",'Projektübersicht'!$F$13="",'Projektübersicht'!$F$11&gt;'Projektübersicht'!$F$13),"",IF(WORKDAY.INTL('Projektübersicht'!$F$11-1,268,"0000001")&lt;='Projektübersicht'!$F$13,WORKDAY.INTL('Projektübersicht'!$F$11-1,268,"0000001"),""))</f>
        <v/>
      </c>
    </row>
    <row r="270">
      <c r="Z270" s="175">
        <f>IF(OR('Projektübersicht'!$F$11="",'Projektübersicht'!$F$13="",'Projektübersicht'!$F$11&gt;'Projektübersicht'!$F$13),"",IF('Projektübersicht'!$F$11+268&lt;='Projektübersicht'!$F$13,'Projektübersicht'!$F$11+268,""))</f>
        <v/>
      </c>
      <c r="AB270" s="175">
        <f>IF(OR('Projektübersicht'!$F$11="",'Projektübersicht'!$F$13="",'Projektübersicht'!$F$11&gt;'Projektübersicht'!$F$13),"",IF(WORKDAY.INTL('Projektübersicht'!$F$11-1,269,"0000001")&lt;='Projektübersicht'!$F$13,WORKDAY.INTL('Projektübersicht'!$F$11-1,269,"0000001"),""))</f>
        <v/>
      </c>
    </row>
    <row r="271">
      <c r="Z271" s="175">
        <f>IF(OR('Projektübersicht'!$F$11="",'Projektübersicht'!$F$13="",'Projektübersicht'!$F$11&gt;'Projektübersicht'!$F$13),"",IF('Projektübersicht'!$F$11+269&lt;='Projektübersicht'!$F$13,'Projektübersicht'!$F$11+269,""))</f>
        <v/>
      </c>
      <c r="AB271" s="175">
        <f>IF(OR('Projektübersicht'!$F$11="",'Projektübersicht'!$F$13="",'Projektübersicht'!$F$11&gt;'Projektübersicht'!$F$13),"",IF(WORKDAY.INTL('Projektübersicht'!$F$11-1,270,"0000001")&lt;='Projektübersicht'!$F$13,WORKDAY.INTL('Projektübersicht'!$F$11-1,270,"0000001"),""))</f>
        <v/>
      </c>
    </row>
    <row r="272">
      <c r="Z272" s="175">
        <f>IF(OR('Projektübersicht'!$F$11="",'Projektübersicht'!$F$13="",'Projektübersicht'!$F$11&gt;'Projektübersicht'!$F$13),"",IF('Projektübersicht'!$F$11+270&lt;='Projektübersicht'!$F$13,'Projektübersicht'!$F$11+270,""))</f>
        <v/>
      </c>
      <c r="AB272" s="175">
        <f>IF(OR('Projektübersicht'!$F$11="",'Projektübersicht'!$F$13="",'Projektübersicht'!$F$11&gt;'Projektübersicht'!$F$13),"",IF(WORKDAY.INTL('Projektübersicht'!$F$11-1,271,"0000001")&lt;='Projektübersicht'!$F$13,WORKDAY.INTL('Projektübersicht'!$F$11-1,271,"0000001"),""))</f>
        <v/>
      </c>
    </row>
    <row r="273">
      <c r="Z273" s="175">
        <f>IF(OR('Projektübersicht'!$F$11="",'Projektübersicht'!$F$13="",'Projektübersicht'!$F$11&gt;'Projektübersicht'!$F$13),"",IF('Projektübersicht'!$F$11+271&lt;='Projektübersicht'!$F$13,'Projektübersicht'!$F$11+271,""))</f>
        <v/>
      </c>
      <c r="AB273" s="175">
        <f>IF(OR('Projektübersicht'!$F$11="",'Projektübersicht'!$F$13="",'Projektübersicht'!$F$11&gt;'Projektübersicht'!$F$13),"",IF(WORKDAY.INTL('Projektübersicht'!$F$11-1,272,"0000001")&lt;='Projektübersicht'!$F$13,WORKDAY.INTL('Projektübersicht'!$F$11-1,272,"0000001"),""))</f>
        <v/>
      </c>
    </row>
    <row r="274">
      <c r="Z274" s="175">
        <f>IF(OR('Projektübersicht'!$F$11="",'Projektübersicht'!$F$13="",'Projektübersicht'!$F$11&gt;'Projektübersicht'!$F$13),"",IF('Projektübersicht'!$F$11+272&lt;='Projektübersicht'!$F$13,'Projektübersicht'!$F$11+272,""))</f>
        <v/>
      </c>
      <c r="AB274" s="175">
        <f>IF(OR('Projektübersicht'!$F$11="",'Projektübersicht'!$F$13="",'Projektübersicht'!$F$11&gt;'Projektübersicht'!$F$13),"",IF(WORKDAY.INTL('Projektübersicht'!$F$11-1,273,"0000001")&lt;='Projektübersicht'!$F$13,WORKDAY.INTL('Projektübersicht'!$F$11-1,273,"0000001"),""))</f>
        <v/>
      </c>
    </row>
    <row r="275">
      <c r="Z275" s="175">
        <f>IF(OR('Projektübersicht'!$F$11="",'Projektübersicht'!$F$13="",'Projektübersicht'!$F$11&gt;'Projektübersicht'!$F$13),"",IF('Projektübersicht'!$F$11+273&lt;='Projektübersicht'!$F$13,'Projektübersicht'!$F$11+273,""))</f>
        <v/>
      </c>
      <c r="AB275" s="175">
        <f>IF(OR('Projektübersicht'!$F$11="",'Projektübersicht'!$F$13="",'Projektübersicht'!$F$11&gt;'Projektübersicht'!$F$13),"",IF(WORKDAY.INTL('Projektübersicht'!$F$11-1,274,"0000001")&lt;='Projektübersicht'!$F$13,WORKDAY.INTL('Projektübersicht'!$F$11-1,274,"0000001"),""))</f>
        <v/>
      </c>
    </row>
    <row r="276">
      <c r="Z276" s="175">
        <f>IF(OR('Projektübersicht'!$F$11="",'Projektübersicht'!$F$13="",'Projektübersicht'!$F$11&gt;'Projektübersicht'!$F$13),"",IF('Projektübersicht'!$F$11+274&lt;='Projektübersicht'!$F$13,'Projektübersicht'!$F$11+274,""))</f>
        <v/>
      </c>
      <c r="AB276" s="175">
        <f>IF(OR('Projektübersicht'!$F$11="",'Projektübersicht'!$F$13="",'Projektübersicht'!$F$11&gt;'Projektübersicht'!$F$13),"",IF(WORKDAY.INTL('Projektübersicht'!$F$11-1,275,"0000001")&lt;='Projektübersicht'!$F$13,WORKDAY.INTL('Projektübersicht'!$F$11-1,275,"0000001"),""))</f>
        <v/>
      </c>
    </row>
    <row r="277">
      <c r="Z277" s="175">
        <f>IF(OR('Projektübersicht'!$F$11="",'Projektübersicht'!$F$13="",'Projektübersicht'!$F$11&gt;'Projektübersicht'!$F$13),"",IF('Projektübersicht'!$F$11+275&lt;='Projektübersicht'!$F$13,'Projektübersicht'!$F$11+275,""))</f>
        <v/>
      </c>
      <c r="AB277" s="175">
        <f>IF(OR('Projektübersicht'!$F$11="",'Projektübersicht'!$F$13="",'Projektübersicht'!$F$11&gt;'Projektübersicht'!$F$13),"",IF(WORKDAY.INTL('Projektübersicht'!$F$11-1,276,"0000001")&lt;='Projektübersicht'!$F$13,WORKDAY.INTL('Projektübersicht'!$F$11-1,276,"0000001"),""))</f>
        <v/>
      </c>
    </row>
    <row r="278">
      <c r="Z278" s="175">
        <f>IF(OR('Projektübersicht'!$F$11="",'Projektübersicht'!$F$13="",'Projektübersicht'!$F$11&gt;'Projektübersicht'!$F$13),"",IF('Projektübersicht'!$F$11+276&lt;='Projektübersicht'!$F$13,'Projektübersicht'!$F$11+276,""))</f>
        <v/>
      </c>
      <c r="AB278" s="175">
        <f>IF(OR('Projektübersicht'!$F$11="",'Projektübersicht'!$F$13="",'Projektübersicht'!$F$11&gt;'Projektübersicht'!$F$13),"",IF(WORKDAY.INTL('Projektübersicht'!$F$11-1,277,"0000001")&lt;='Projektübersicht'!$F$13,WORKDAY.INTL('Projektübersicht'!$F$11-1,277,"0000001"),""))</f>
        <v/>
      </c>
    </row>
    <row r="279">
      <c r="Z279" s="175">
        <f>IF(OR('Projektübersicht'!$F$11="",'Projektübersicht'!$F$13="",'Projektübersicht'!$F$11&gt;'Projektübersicht'!$F$13),"",IF('Projektübersicht'!$F$11+277&lt;='Projektübersicht'!$F$13,'Projektübersicht'!$F$11+277,""))</f>
        <v/>
      </c>
      <c r="AB279" s="175">
        <f>IF(OR('Projektübersicht'!$F$11="",'Projektübersicht'!$F$13="",'Projektübersicht'!$F$11&gt;'Projektübersicht'!$F$13),"",IF(WORKDAY.INTL('Projektübersicht'!$F$11-1,278,"0000001")&lt;='Projektübersicht'!$F$13,WORKDAY.INTL('Projektübersicht'!$F$11-1,278,"0000001"),""))</f>
        <v/>
      </c>
    </row>
    <row r="280">
      <c r="Z280" s="175">
        <f>IF(OR('Projektübersicht'!$F$11="",'Projektübersicht'!$F$13="",'Projektübersicht'!$F$11&gt;'Projektübersicht'!$F$13),"",IF('Projektübersicht'!$F$11+278&lt;='Projektübersicht'!$F$13,'Projektübersicht'!$F$11+278,""))</f>
        <v/>
      </c>
      <c r="AB280" s="175">
        <f>IF(OR('Projektübersicht'!$F$11="",'Projektübersicht'!$F$13="",'Projektübersicht'!$F$11&gt;'Projektübersicht'!$F$13),"",IF(WORKDAY.INTL('Projektübersicht'!$F$11-1,279,"0000001")&lt;='Projektübersicht'!$F$13,WORKDAY.INTL('Projektübersicht'!$F$11-1,279,"0000001"),""))</f>
        <v/>
      </c>
    </row>
    <row r="281">
      <c r="Z281" s="175">
        <f>IF(OR('Projektübersicht'!$F$11="",'Projektübersicht'!$F$13="",'Projektübersicht'!$F$11&gt;'Projektübersicht'!$F$13),"",IF('Projektübersicht'!$F$11+279&lt;='Projektübersicht'!$F$13,'Projektübersicht'!$F$11+279,""))</f>
        <v/>
      </c>
      <c r="AB281" s="175">
        <f>IF(OR('Projektübersicht'!$F$11="",'Projektübersicht'!$F$13="",'Projektübersicht'!$F$11&gt;'Projektübersicht'!$F$13),"",IF(WORKDAY.INTL('Projektübersicht'!$F$11-1,280,"0000001")&lt;='Projektübersicht'!$F$13,WORKDAY.INTL('Projektübersicht'!$F$11-1,280,"0000001"),""))</f>
        <v/>
      </c>
    </row>
    <row r="282">
      <c r="Z282" s="175">
        <f>IF(OR('Projektübersicht'!$F$11="",'Projektübersicht'!$F$13="",'Projektübersicht'!$F$11&gt;'Projektübersicht'!$F$13),"",IF('Projektübersicht'!$F$11+280&lt;='Projektübersicht'!$F$13,'Projektübersicht'!$F$11+280,""))</f>
        <v/>
      </c>
      <c r="AB282" s="175">
        <f>IF(OR('Projektübersicht'!$F$11="",'Projektübersicht'!$F$13="",'Projektübersicht'!$F$11&gt;'Projektübersicht'!$F$13),"",IF(WORKDAY.INTL('Projektübersicht'!$F$11-1,281,"0000001")&lt;='Projektübersicht'!$F$13,WORKDAY.INTL('Projektübersicht'!$F$11-1,281,"0000001"),""))</f>
        <v/>
      </c>
    </row>
    <row r="283">
      <c r="Z283" s="175">
        <f>IF(OR('Projektübersicht'!$F$11="",'Projektübersicht'!$F$13="",'Projektübersicht'!$F$11&gt;'Projektübersicht'!$F$13),"",IF('Projektübersicht'!$F$11+281&lt;='Projektübersicht'!$F$13,'Projektübersicht'!$F$11+281,""))</f>
        <v/>
      </c>
      <c r="AB283" s="175">
        <f>IF(OR('Projektübersicht'!$F$11="",'Projektübersicht'!$F$13="",'Projektübersicht'!$F$11&gt;'Projektübersicht'!$F$13),"",IF(WORKDAY.INTL('Projektübersicht'!$F$11-1,282,"0000001")&lt;='Projektübersicht'!$F$13,WORKDAY.INTL('Projektübersicht'!$F$11-1,282,"0000001"),""))</f>
        <v/>
      </c>
    </row>
    <row r="284">
      <c r="Z284" s="175">
        <f>IF(OR('Projektübersicht'!$F$11="",'Projektübersicht'!$F$13="",'Projektübersicht'!$F$11&gt;'Projektübersicht'!$F$13),"",IF('Projektübersicht'!$F$11+282&lt;='Projektübersicht'!$F$13,'Projektübersicht'!$F$11+282,""))</f>
        <v/>
      </c>
      <c r="AB284" s="175">
        <f>IF(OR('Projektübersicht'!$F$11="",'Projektübersicht'!$F$13="",'Projektübersicht'!$F$11&gt;'Projektübersicht'!$F$13),"",IF(WORKDAY.INTL('Projektübersicht'!$F$11-1,283,"0000001")&lt;='Projektübersicht'!$F$13,WORKDAY.INTL('Projektübersicht'!$F$11-1,283,"0000001"),""))</f>
        <v/>
      </c>
    </row>
    <row r="285">
      <c r="Z285" s="175">
        <f>IF(OR('Projektübersicht'!$F$11="",'Projektübersicht'!$F$13="",'Projektübersicht'!$F$11&gt;'Projektübersicht'!$F$13),"",IF('Projektübersicht'!$F$11+283&lt;='Projektübersicht'!$F$13,'Projektübersicht'!$F$11+283,""))</f>
        <v/>
      </c>
      <c r="AB285" s="175">
        <f>IF(OR('Projektübersicht'!$F$11="",'Projektübersicht'!$F$13="",'Projektübersicht'!$F$11&gt;'Projektübersicht'!$F$13),"",IF(WORKDAY.INTL('Projektübersicht'!$F$11-1,284,"0000001")&lt;='Projektübersicht'!$F$13,WORKDAY.INTL('Projektübersicht'!$F$11-1,284,"0000001"),""))</f>
        <v/>
      </c>
    </row>
    <row r="286">
      <c r="Z286" s="175">
        <f>IF(OR('Projektübersicht'!$F$11="",'Projektübersicht'!$F$13="",'Projektübersicht'!$F$11&gt;'Projektübersicht'!$F$13),"",IF('Projektübersicht'!$F$11+284&lt;='Projektübersicht'!$F$13,'Projektübersicht'!$F$11+284,""))</f>
        <v/>
      </c>
      <c r="AB286" s="175">
        <f>IF(OR('Projektübersicht'!$F$11="",'Projektübersicht'!$F$13="",'Projektübersicht'!$F$11&gt;'Projektübersicht'!$F$13),"",IF(WORKDAY.INTL('Projektübersicht'!$F$11-1,285,"0000001")&lt;='Projektübersicht'!$F$13,WORKDAY.INTL('Projektübersicht'!$F$11-1,285,"0000001"),""))</f>
        <v/>
      </c>
    </row>
    <row r="287">
      <c r="Z287" s="175">
        <f>IF(OR('Projektübersicht'!$F$11="",'Projektübersicht'!$F$13="",'Projektübersicht'!$F$11&gt;'Projektübersicht'!$F$13),"",IF('Projektübersicht'!$F$11+285&lt;='Projektübersicht'!$F$13,'Projektübersicht'!$F$11+285,""))</f>
        <v/>
      </c>
      <c r="AB287" s="175">
        <f>IF(OR('Projektübersicht'!$F$11="",'Projektübersicht'!$F$13="",'Projektübersicht'!$F$11&gt;'Projektübersicht'!$F$13),"",IF(WORKDAY.INTL('Projektübersicht'!$F$11-1,286,"0000001")&lt;='Projektübersicht'!$F$13,WORKDAY.INTL('Projektübersicht'!$F$11-1,286,"0000001"),""))</f>
        <v/>
      </c>
    </row>
    <row r="288">
      <c r="Z288" s="175">
        <f>IF(OR('Projektübersicht'!$F$11="",'Projektübersicht'!$F$13="",'Projektübersicht'!$F$11&gt;'Projektübersicht'!$F$13),"",IF('Projektübersicht'!$F$11+286&lt;='Projektübersicht'!$F$13,'Projektübersicht'!$F$11+286,""))</f>
        <v/>
      </c>
      <c r="AB288" s="175">
        <f>IF(OR('Projektübersicht'!$F$11="",'Projektübersicht'!$F$13="",'Projektübersicht'!$F$11&gt;'Projektübersicht'!$F$13),"",IF(WORKDAY.INTL('Projektübersicht'!$F$11-1,287,"0000001")&lt;='Projektübersicht'!$F$13,WORKDAY.INTL('Projektübersicht'!$F$11-1,287,"0000001"),""))</f>
        <v/>
      </c>
    </row>
    <row r="289">
      <c r="Z289" s="175">
        <f>IF(OR('Projektübersicht'!$F$11="",'Projektübersicht'!$F$13="",'Projektübersicht'!$F$11&gt;'Projektübersicht'!$F$13),"",IF('Projektübersicht'!$F$11+287&lt;='Projektübersicht'!$F$13,'Projektübersicht'!$F$11+287,""))</f>
        <v/>
      </c>
      <c r="AB289" s="175">
        <f>IF(OR('Projektübersicht'!$F$11="",'Projektübersicht'!$F$13="",'Projektübersicht'!$F$11&gt;'Projektübersicht'!$F$13),"",IF(WORKDAY.INTL('Projektübersicht'!$F$11-1,288,"0000001")&lt;='Projektübersicht'!$F$13,WORKDAY.INTL('Projektübersicht'!$F$11-1,288,"0000001"),""))</f>
        <v/>
      </c>
    </row>
    <row r="290">
      <c r="Z290" s="175">
        <f>IF(OR('Projektübersicht'!$F$11="",'Projektübersicht'!$F$13="",'Projektübersicht'!$F$11&gt;'Projektübersicht'!$F$13),"",IF('Projektübersicht'!$F$11+288&lt;='Projektübersicht'!$F$13,'Projektübersicht'!$F$11+288,""))</f>
        <v/>
      </c>
      <c r="AB290" s="175">
        <f>IF(OR('Projektübersicht'!$F$11="",'Projektübersicht'!$F$13="",'Projektübersicht'!$F$11&gt;'Projektübersicht'!$F$13),"",IF(WORKDAY.INTL('Projektübersicht'!$F$11-1,289,"0000001")&lt;='Projektübersicht'!$F$13,WORKDAY.INTL('Projektübersicht'!$F$11-1,289,"0000001"),""))</f>
        <v/>
      </c>
    </row>
    <row r="291">
      <c r="Z291" s="175">
        <f>IF(OR('Projektübersicht'!$F$11="",'Projektübersicht'!$F$13="",'Projektübersicht'!$F$11&gt;'Projektübersicht'!$F$13),"",IF('Projektübersicht'!$F$11+289&lt;='Projektübersicht'!$F$13,'Projektübersicht'!$F$11+289,""))</f>
        <v/>
      </c>
      <c r="AB291" s="175">
        <f>IF(OR('Projektübersicht'!$F$11="",'Projektübersicht'!$F$13="",'Projektübersicht'!$F$11&gt;'Projektübersicht'!$F$13),"",IF(WORKDAY.INTL('Projektübersicht'!$F$11-1,290,"0000001")&lt;='Projektübersicht'!$F$13,WORKDAY.INTL('Projektübersicht'!$F$11-1,290,"0000001"),""))</f>
        <v/>
      </c>
    </row>
    <row r="292">
      <c r="Z292" s="175">
        <f>IF(OR('Projektübersicht'!$F$11="",'Projektübersicht'!$F$13="",'Projektübersicht'!$F$11&gt;'Projektübersicht'!$F$13),"",IF('Projektübersicht'!$F$11+290&lt;='Projektübersicht'!$F$13,'Projektübersicht'!$F$11+290,""))</f>
        <v/>
      </c>
      <c r="AB292" s="175">
        <f>IF(OR('Projektübersicht'!$F$11="",'Projektübersicht'!$F$13="",'Projektübersicht'!$F$11&gt;'Projektübersicht'!$F$13),"",IF(WORKDAY.INTL('Projektübersicht'!$F$11-1,291,"0000001")&lt;='Projektübersicht'!$F$13,WORKDAY.INTL('Projektübersicht'!$F$11-1,291,"0000001"),""))</f>
        <v/>
      </c>
    </row>
    <row r="293">
      <c r="Z293" s="175">
        <f>IF(OR('Projektübersicht'!$F$11="",'Projektübersicht'!$F$13="",'Projektübersicht'!$F$11&gt;'Projektübersicht'!$F$13),"",IF('Projektübersicht'!$F$11+291&lt;='Projektübersicht'!$F$13,'Projektübersicht'!$F$11+291,""))</f>
        <v/>
      </c>
      <c r="AB293" s="175">
        <f>IF(OR('Projektübersicht'!$F$11="",'Projektübersicht'!$F$13="",'Projektübersicht'!$F$11&gt;'Projektübersicht'!$F$13),"",IF(WORKDAY.INTL('Projektübersicht'!$F$11-1,292,"0000001")&lt;='Projektübersicht'!$F$13,WORKDAY.INTL('Projektübersicht'!$F$11-1,292,"0000001"),""))</f>
        <v/>
      </c>
    </row>
    <row r="294">
      <c r="Z294" s="175">
        <f>IF(OR('Projektübersicht'!$F$11="",'Projektübersicht'!$F$13="",'Projektübersicht'!$F$11&gt;'Projektübersicht'!$F$13),"",IF('Projektübersicht'!$F$11+292&lt;='Projektübersicht'!$F$13,'Projektübersicht'!$F$11+292,""))</f>
        <v/>
      </c>
      <c r="AB294" s="175">
        <f>IF(OR('Projektübersicht'!$F$11="",'Projektübersicht'!$F$13="",'Projektübersicht'!$F$11&gt;'Projektübersicht'!$F$13),"",IF(WORKDAY.INTL('Projektübersicht'!$F$11-1,293,"0000001")&lt;='Projektübersicht'!$F$13,WORKDAY.INTL('Projektübersicht'!$F$11-1,293,"0000001"),""))</f>
        <v/>
      </c>
    </row>
    <row r="295">
      <c r="Z295" s="175">
        <f>IF(OR('Projektübersicht'!$F$11="",'Projektübersicht'!$F$13="",'Projektübersicht'!$F$11&gt;'Projektübersicht'!$F$13),"",IF('Projektübersicht'!$F$11+293&lt;='Projektübersicht'!$F$13,'Projektübersicht'!$F$11+293,""))</f>
        <v/>
      </c>
      <c r="AB295" s="175">
        <f>IF(OR('Projektübersicht'!$F$11="",'Projektübersicht'!$F$13="",'Projektübersicht'!$F$11&gt;'Projektübersicht'!$F$13),"",IF(WORKDAY.INTL('Projektübersicht'!$F$11-1,294,"0000001")&lt;='Projektübersicht'!$F$13,WORKDAY.INTL('Projektübersicht'!$F$11-1,294,"0000001"),""))</f>
        <v/>
      </c>
    </row>
    <row r="296">
      <c r="Z296" s="175">
        <f>IF(OR('Projektübersicht'!$F$11="",'Projektübersicht'!$F$13="",'Projektübersicht'!$F$11&gt;'Projektübersicht'!$F$13),"",IF('Projektübersicht'!$F$11+294&lt;='Projektübersicht'!$F$13,'Projektübersicht'!$F$11+294,""))</f>
        <v/>
      </c>
      <c r="AB296" s="175">
        <f>IF(OR('Projektübersicht'!$F$11="",'Projektübersicht'!$F$13="",'Projektübersicht'!$F$11&gt;'Projektübersicht'!$F$13),"",IF(WORKDAY.INTL('Projektübersicht'!$F$11-1,295,"0000001")&lt;='Projektübersicht'!$F$13,WORKDAY.INTL('Projektübersicht'!$F$11-1,295,"0000001"),""))</f>
        <v/>
      </c>
    </row>
    <row r="297">
      <c r="Z297" s="175">
        <f>IF(OR('Projektübersicht'!$F$11="",'Projektübersicht'!$F$13="",'Projektübersicht'!$F$11&gt;'Projektübersicht'!$F$13),"",IF('Projektübersicht'!$F$11+295&lt;='Projektübersicht'!$F$13,'Projektübersicht'!$F$11+295,""))</f>
        <v/>
      </c>
      <c r="AB297" s="175">
        <f>IF(OR('Projektübersicht'!$F$11="",'Projektübersicht'!$F$13="",'Projektübersicht'!$F$11&gt;'Projektübersicht'!$F$13),"",IF(WORKDAY.INTL('Projektübersicht'!$F$11-1,296,"0000001")&lt;='Projektübersicht'!$F$13,WORKDAY.INTL('Projektübersicht'!$F$11-1,296,"0000001"),""))</f>
        <v/>
      </c>
    </row>
    <row r="298">
      <c r="Z298" s="175">
        <f>IF(OR('Projektübersicht'!$F$11="",'Projektübersicht'!$F$13="",'Projektübersicht'!$F$11&gt;'Projektübersicht'!$F$13),"",IF('Projektübersicht'!$F$11+296&lt;='Projektübersicht'!$F$13,'Projektübersicht'!$F$11+296,""))</f>
        <v/>
      </c>
      <c r="AB298" s="175">
        <f>IF(OR('Projektübersicht'!$F$11="",'Projektübersicht'!$F$13="",'Projektübersicht'!$F$11&gt;'Projektübersicht'!$F$13),"",IF(WORKDAY.INTL('Projektübersicht'!$F$11-1,297,"0000001")&lt;='Projektübersicht'!$F$13,WORKDAY.INTL('Projektübersicht'!$F$11-1,297,"0000001"),""))</f>
        <v/>
      </c>
    </row>
    <row r="299">
      <c r="Z299" s="175">
        <f>IF(OR('Projektübersicht'!$F$11="",'Projektübersicht'!$F$13="",'Projektübersicht'!$F$11&gt;'Projektübersicht'!$F$13),"",IF('Projektübersicht'!$F$11+297&lt;='Projektübersicht'!$F$13,'Projektübersicht'!$F$11+297,""))</f>
        <v/>
      </c>
      <c r="AB299" s="175">
        <f>IF(OR('Projektübersicht'!$F$11="",'Projektübersicht'!$F$13="",'Projektübersicht'!$F$11&gt;'Projektübersicht'!$F$13),"",IF(WORKDAY.INTL('Projektübersicht'!$F$11-1,298,"0000001")&lt;='Projektübersicht'!$F$13,WORKDAY.INTL('Projektübersicht'!$F$11-1,298,"0000001"),""))</f>
        <v/>
      </c>
    </row>
    <row r="300">
      <c r="Z300" s="175">
        <f>IF(OR('Projektübersicht'!$F$11="",'Projektübersicht'!$F$13="",'Projektübersicht'!$F$11&gt;'Projektübersicht'!$F$13),"",IF('Projektübersicht'!$F$11+298&lt;='Projektübersicht'!$F$13,'Projektübersicht'!$F$11+298,""))</f>
        <v/>
      </c>
      <c r="AB300" s="175">
        <f>IF(OR('Projektübersicht'!$F$11="",'Projektübersicht'!$F$13="",'Projektübersicht'!$F$11&gt;'Projektübersicht'!$F$13),"",IF(WORKDAY.INTL('Projektübersicht'!$F$11-1,299,"0000001")&lt;='Projektübersicht'!$F$13,WORKDAY.INTL('Projektübersicht'!$F$11-1,299,"0000001"),""))</f>
        <v/>
      </c>
    </row>
    <row r="301">
      <c r="Z301" s="175">
        <f>IF(OR('Projektübersicht'!$F$11="",'Projektübersicht'!$F$13="",'Projektübersicht'!$F$11&gt;'Projektübersicht'!$F$13),"",IF('Projektübersicht'!$F$11+299&lt;='Projektübersicht'!$F$13,'Projektübersicht'!$F$11+299,""))</f>
        <v/>
      </c>
      <c r="AB301" s="175">
        <f>IF(OR('Projektübersicht'!$F$11="",'Projektübersicht'!$F$13="",'Projektübersicht'!$F$11&gt;'Projektübersicht'!$F$13),"",IF(WORKDAY.INTL('Projektübersicht'!$F$11-1,300,"0000001")&lt;='Projektübersicht'!$F$13,WORKDAY.INTL('Projektübersicht'!$F$11-1,300,"0000001"),""))</f>
        <v/>
      </c>
    </row>
    <row r="302">
      <c r="Z302" s="175">
        <f>IF(OR('Projektübersicht'!$F$11="",'Projektübersicht'!$F$13="",'Projektübersicht'!$F$11&gt;'Projektübersicht'!$F$13),"",IF('Projektübersicht'!$F$11+300&lt;='Projektübersicht'!$F$13,'Projektübersicht'!$F$11+300,""))</f>
        <v/>
      </c>
      <c r="AB302" s="175">
        <f>IF(OR('Projektübersicht'!$F$11="",'Projektübersicht'!$F$13="",'Projektübersicht'!$F$11&gt;'Projektübersicht'!$F$13),"",IF(WORKDAY.INTL('Projektübersicht'!$F$11-1,301,"0000001")&lt;='Projektübersicht'!$F$13,WORKDAY.INTL('Projektübersicht'!$F$11-1,301,"0000001"),""))</f>
        <v/>
      </c>
    </row>
    <row r="303">
      <c r="Z303" s="175">
        <f>IF(OR('Projektübersicht'!$F$11="",'Projektübersicht'!$F$13="",'Projektübersicht'!$F$11&gt;'Projektübersicht'!$F$13),"",IF('Projektübersicht'!$F$11+301&lt;='Projektübersicht'!$F$13,'Projektübersicht'!$F$11+301,""))</f>
        <v/>
      </c>
      <c r="AB303" s="175">
        <f>IF(OR('Projektübersicht'!$F$11="",'Projektübersicht'!$F$13="",'Projektübersicht'!$F$11&gt;'Projektübersicht'!$F$13),"",IF(WORKDAY.INTL('Projektübersicht'!$F$11-1,302,"0000001")&lt;='Projektübersicht'!$F$13,WORKDAY.INTL('Projektübersicht'!$F$11-1,302,"0000001"),""))</f>
        <v/>
      </c>
    </row>
    <row r="304">
      <c r="Z304" s="175">
        <f>IF(OR('Projektübersicht'!$F$11="",'Projektübersicht'!$F$13="",'Projektübersicht'!$F$11&gt;'Projektübersicht'!$F$13),"",IF('Projektübersicht'!$F$11+302&lt;='Projektübersicht'!$F$13,'Projektübersicht'!$F$11+302,""))</f>
        <v/>
      </c>
      <c r="AB304" s="175">
        <f>IF(OR('Projektübersicht'!$F$11="",'Projektübersicht'!$F$13="",'Projektübersicht'!$F$11&gt;'Projektübersicht'!$F$13),"",IF(WORKDAY.INTL('Projektübersicht'!$F$11-1,303,"0000001")&lt;='Projektübersicht'!$F$13,WORKDAY.INTL('Projektübersicht'!$F$11-1,303,"0000001"),""))</f>
        <v/>
      </c>
    </row>
    <row r="305">
      <c r="Z305" s="175">
        <f>IF(OR('Projektübersicht'!$F$11="",'Projektübersicht'!$F$13="",'Projektübersicht'!$F$11&gt;'Projektübersicht'!$F$13),"",IF('Projektübersicht'!$F$11+303&lt;='Projektübersicht'!$F$13,'Projektübersicht'!$F$11+303,""))</f>
        <v/>
      </c>
      <c r="AB305" s="175">
        <f>IF(OR('Projektübersicht'!$F$11="",'Projektübersicht'!$F$13="",'Projektübersicht'!$F$11&gt;'Projektübersicht'!$F$13),"",IF(WORKDAY.INTL('Projektübersicht'!$F$11-1,304,"0000001")&lt;='Projektübersicht'!$F$13,WORKDAY.INTL('Projektübersicht'!$F$11-1,304,"0000001"),""))</f>
        <v/>
      </c>
    </row>
    <row r="306">
      <c r="Z306" s="175">
        <f>IF(OR('Projektübersicht'!$F$11="",'Projektübersicht'!$F$13="",'Projektübersicht'!$F$11&gt;'Projektübersicht'!$F$13),"",IF('Projektübersicht'!$F$11+304&lt;='Projektübersicht'!$F$13,'Projektübersicht'!$F$11+304,""))</f>
        <v/>
      </c>
      <c r="AB306" s="175">
        <f>IF(OR('Projektübersicht'!$F$11="",'Projektübersicht'!$F$13="",'Projektübersicht'!$F$11&gt;'Projektübersicht'!$F$13),"",IF(WORKDAY.INTL('Projektübersicht'!$F$11-1,305,"0000001")&lt;='Projektübersicht'!$F$13,WORKDAY.INTL('Projektübersicht'!$F$11-1,305,"0000001"),""))</f>
        <v/>
      </c>
    </row>
    <row r="307">
      <c r="Z307" s="175">
        <f>IF(OR('Projektübersicht'!$F$11="",'Projektübersicht'!$F$13="",'Projektübersicht'!$F$11&gt;'Projektübersicht'!$F$13),"",IF('Projektübersicht'!$F$11+305&lt;='Projektübersicht'!$F$13,'Projektübersicht'!$F$11+305,""))</f>
        <v/>
      </c>
      <c r="AB307" s="175">
        <f>IF(OR('Projektübersicht'!$F$11="",'Projektübersicht'!$F$13="",'Projektübersicht'!$F$11&gt;'Projektübersicht'!$F$13),"",IF(WORKDAY.INTL('Projektübersicht'!$F$11-1,306,"0000001")&lt;='Projektübersicht'!$F$13,WORKDAY.INTL('Projektübersicht'!$F$11-1,306,"0000001"),""))</f>
        <v/>
      </c>
    </row>
    <row r="308">
      <c r="Z308" s="175">
        <f>IF(OR('Projektübersicht'!$F$11="",'Projektübersicht'!$F$13="",'Projektübersicht'!$F$11&gt;'Projektübersicht'!$F$13),"",IF('Projektübersicht'!$F$11+306&lt;='Projektübersicht'!$F$13,'Projektübersicht'!$F$11+306,""))</f>
        <v/>
      </c>
      <c r="AB308" s="175">
        <f>IF(OR('Projektübersicht'!$F$11="",'Projektübersicht'!$F$13="",'Projektübersicht'!$F$11&gt;'Projektübersicht'!$F$13),"",IF(WORKDAY.INTL('Projektübersicht'!$F$11-1,307,"0000001")&lt;='Projektübersicht'!$F$13,WORKDAY.INTL('Projektübersicht'!$F$11-1,307,"0000001"),""))</f>
        <v/>
      </c>
    </row>
    <row r="309">
      <c r="Z309" s="175">
        <f>IF(OR('Projektübersicht'!$F$11="",'Projektübersicht'!$F$13="",'Projektübersicht'!$F$11&gt;'Projektübersicht'!$F$13),"",IF('Projektübersicht'!$F$11+307&lt;='Projektübersicht'!$F$13,'Projektübersicht'!$F$11+307,""))</f>
        <v/>
      </c>
      <c r="AB309" s="175">
        <f>IF(OR('Projektübersicht'!$F$11="",'Projektübersicht'!$F$13="",'Projektübersicht'!$F$11&gt;'Projektübersicht'!$F$13),"",IF(WORKDAY.INTL('Projektübersicht'!$F$11-1,308,"0000001")&lt;='Projektübersicht'!$F$13,WORKDAY.INTL('Projektübersicht'!$F$11-1,308,"0000001"),""))</f>
        <v/>
      </c>
    </row>
    <row r="310">
      <c r="Z310" s="175">
        <f>IF(OR('Projektübersicht'!$F$11="",'Projektübersicht'!$F$13="",'Projektübersicht'!$F$11&gt;'Projektübersicht'!$F$13),"",IF('Projektübersicht'!$F$11+308&lt;='Projektübersicht'!$F$13,'Projektübersicht'!$F$11+308,""))</f>
        <v/>
      </c>
      <c r="AB310" s="175">
        <f>IF(OR('Projektübersicht'!$F$11="",'Projektübersicht'!$F$13="",'Projektübersicht'!$F$11&gt;'Projektübersicht'!$F$13),"",IF(WORKDAY.INTL('Projektübersicht'!$F$11-1,309,"0000001")&lt;='Projektübersicht'!$F$13,WORKDAY.INTL('Projektübersicht'!$F$11-1,309,"0000001"),""))</f>
        <v/>
      </c>
    </row>
    <row r="311">
      <c r="Z311" s="175">
        <f>IF(OR('Projektübersicht'!$F$11="",'Projektübersicht'!$F$13="",'Projektübersicht'!$F$11&gt;'Projektübersicht'!$F$13),"",IF('Projektübersicht'!$F$11+309&lt;='Projektübersicht'!$F$13,'Projektübersicht'!$F$11+309,""))</f>
        <v/>
      </c>
      <c r="AB311" s="175">
        <f>IF(OR('Projektübersicht'!$F$11="",'Projektübersicht'!$F$13="",'Projektübersicht'!$F$11&gt;'Projektübersicht'!$F$13),"",IF(WORKDAY.INTL('Projektübersicht'!$F$11-1,310,"0000001")&lt;='Projektübersicht'!$F$13,WORKDAY.INTL('Projektübersicht'!$F$11-1,310,"0000001"),""))</f>
        <v/>
      </c>
    </row>
    <row r="312">
      <c r="Z312" s="175">
        <f>IF(OR('Projektübersicht'!$F$11="",'Projektübersicht'!$F$13="",'Projektübersicht'!$F$11&gt;'Projektübersicht'!$F$13),"",IF('Projektübersicht'!$F$11+310&lt;='Projektübersicht'!$F$13,'Projektübersicht'!$F$11+310,""))</f>
        <v/>
      </c>
      <c r="AB312" s="175">
        <f>IF(OR('Projektübersicht'!$F$11="",'Projektübersicht'!$F$13="",'Projektübersicht'!$F$11&gt;'Projektübersicht'!$F$13),"",IF(WORKDAY.INTL('Projektübersicht'!$F$11-1,311,"0000001")&lt;='Projektübersicht'!$F$13,WORKDAY.INTL('Projektübersicht'!$F$11-1,311,"0000001"),""))</f>
        <v/>
      </c>
    </row>
    <row r="313">
      <c r="Z313" s="175">
        <f>IF(OR('Projektübersicht'!$F$11="",'Projektübersicht'!$F$13="",'Projektübersicht'!$F$11&gt;'Projektübersicht'!$F$13),"",IF('Projektübersicht'!$F$11+311&lt;='Projektübersicht'!$F$13,'Projektübersicht'!$F$11+311,""))</f>
        <v/>
      </c>
      <c r="AB313" s="175">
        <f>IF(OR('Projektübersicht'!$F$11="",'Projektübersicht'!$F$13="",'Projektübersicht'!$F$11&gt;'Projektübersicht'!$F$13),"",IF(WORKDAY.INTL('Projektübersicht'!$F$11-1,312,"0000001")&lt;='Projektübersicht'!$F$13,WORKDAY.INTL('Projektübersicht'!$F$11-1,312,"0000001"),""))</f>
        <v/>
      </c>
    </row>
    <row r="314">
      <c r="Z314" s="175">
        <f>IF(OR('Projektübersicht'!$F$11="",'Projektübersicht'!$F$13="",'Projektübersicht'!$F$11&gt;'Projektübersicht'!$F$13),"",IF('Projektübersicht'!$F$11+312&lt;='Projektübersicht'!$F$13,'Projektübersicht'!$F$11+312,""))</f>
        <v/>
      </c>
      <c r="AB314" s="175">
        <f>IF(OR('Projektübersicht'!$F$11="",'Projektübersicht'!$F$13="",'Projektübersicht'!$F$11&gt;'Projektübersicht'!$F$13),"",IF(WORKDAY.INTL('Projektübersicht'!$F$11-1,313,"0000001")&lt;='Projektübersicht'!$F$13,WORKDAY.INTL('Projektübersicht'!$F$11-1,313,"0000001"),""))</f>
        <v/>
      </c>
    </row>
    <row r="315">
      <c r="Z315" s="175">
        <f>IF(OR('Projektübersicht'!$F$11="",'Projektübersicht'!$F$13="",'Projektübersicht'!$F$11&gt;'Projektübersicht'!$F$13),"",IF('Projektübersicht'!$F$11+313&lt;='Projektübersicht'!$F$13,'Projektübersicht'!$F$11+313,""))</f>
        <v/>
      </c>
      <c r="AB315" s="175">
        <f>IF(OR('Projektübersicht'!$F$11="",'Projektübersicht'!$F$13="",'Projektübersicht'!$F$11&gt;'Projektübersicht'!$F$13),"",IF(WORKDAY.INTL('Projektübersicht'!$F$11-1,314,"0000001")&lt;='Projektübersicht'!$F$13,WORKDAY.INTL('Projektübersicht'!$F$11-1,314,"0000001"),""))</f>
        <v/>
      </c>
    </row>
    <row r="316">
      <c r="Z316" s="175">
        <f>IF(OR('Projektübersicht'!$F$11="",'Projektübersicht'!$F$13="",'Projektübersicht'!$F$11&gt;'Projektübersicht'!$F$13),"",IF('Projektübersicht'!$F$11+314&lt;='Projektübersicht'!$F$13,'Projektübersicht'!$F$11+314,""))</f>
        <v/>
      </c>
      <c r="AB316" s="175">
        <f>IF(OR('Projektübersicht'!$F$11="",'Projektübersicht'!$F$13="",'Projektübersicht'!$F$11&gt;'Projektübersicht'!$F$13),"",IF(WORKDAY.INTL('Projektübersicht'!$F$11-1,315,"0000001")&lt;='Projektübersicht'!$F$13,WORKDAY.INTL('Projektübersicht'!$F$11-1,315,"0000001"),""))</f>
        <v/>
      </c>
    </row>
    <row r="317">
      <c r="Z317" s="175">
        <f>IF(OR('Projektübersicht'!$F$11="",'Projektübersicht'!$F$13="",'Projektübersicht'!$F$11&gt;'Projektübersicht'!$F$13),"",IF('Projektübersicht'!$F$11+315&lt;='Projektübersicht'!$F$13,'Projektübersicht'!$F$11+315,""))</f>
        <v/>
      </c>
      <c r="AB317" s="175">
        <f>IF(OR('Projektübersicht'!$F$11="",'Projektübersicht'!$F$13="",'Projektübersicht'!$F$11&gt;'Projektübersicht'!$F$13),"",IF(WORKDAY.INTL('Projektübersicht'!$F$11-1,316,"0000001")&lt;='Projektübersicht'!$F$13,WORKDAY.INTL('Projektübersicht'!$F$11-1,316,"0000001"),""))</f>
        <v/>
      </c>
    </row>
    <row r="318">
      <c r="Z318" s="175">
        <f>IF(OR('Projektübersicht'!$F$11="",'Projektübersicht'!$F$13="",'Projektübersicht'!$F$11&gt;'Projektübersicht'!$F$13),"",IF('Projektübersicht'!$F$11+316&lt;='Projektübersicht'!$F$13,'Projektübersicht'!$F$11+316,""))</f>
        <v/>
      </c>
      <c r="AB318" s="175">
        <f>IF(OR('Projektübersicht'!$F$11="",'Projektübersicht'!$F$13="",'Projektübersicht'!$F$11&gt;'Projektübersicht'!$F$13),"",IF(WORKDAY.INTL('Projektübersicht'!$F$11-1,317,"0000001")&lt;='Projektübersicht'!$F$13,WORKDAY.INTL('Projektübersicht'!$F$11-1,317,"0000001"),""))</f>
        <v/>
      </c>
    </row>
    <row r="319">
      <c r="Z319" s="175">
        <f>IF(OR('Projektübersicht'!$F$11="",'Projektübersicht'!$F$13="",'Projektübersicht'!$F$11&gt;'Projektübersicht'!$F$13),"",IF('Projektübersicht'!$F$11+317&lt;='Projektübersicht'!$F$13,'Projektübersicht'!$F$11+317,""))</f>
        <v/>
      </c>
      <c r="AB319" s="175">
        <f>IF(OR('Projektübersicht'!$F$11="",'Projektübersicht'!$F$13="",'Projektübersicht'!$F$11&gt;'Projektübersicht'!$F$13),"",IF(WORKDAY.INTL('Projektübersicht'!$F$11-1,318,"0000001")&lt;='Projektübersicht'!$F$13,WORKDAY.INTL('Projektübersicht'!$F$11-1,318,"0000001"),""))</f>
        <v/>
      </c>
    </row>
    <row r="320">
      <c r="Z320" s="175">
        <f>IF(OR('Projektübersicht'!$F$11="",'Projektübersicht'!$F$13="",'Projektübersicht'!$F$11&gt;'Projektübersicht'!$F$13),"",IF('Projektübersicht'!$F$11+318&lt;='Projektübersicht'!$F$13,'Projektübersicht'!$F$11+318,""))</f>
        <v/>
      </c>
      <c r="AB320" s="175">
        <f>IF(OR('Projektübersicht'!$F$11="",'Projektübersicht'!$F$13="",'Projektübersicht'!$F$11&gt;'Projektübersicht'!$F$13),"",IF(WORKDAY.INTL('Projektübersicht'!$F$11-1,319,"0000001")&lt;='Projektübersicht'!$F$13,WORKDAY.INTL('Projektübersicht'!$F$11-1,319,"0000001"),""))</f>
        <v/>
      </c>
    </row>
    <row r="321">
      <c r="Z321" s="175">
        <f>IF(OR('Projektübersicht'!$F$11="",'Projektübersicht'!$F$13="",'Projektübersicht'!$F$11&gt;'Projektübersicht'!$F$13),"",IF('Projektübersicht'!$F$11+319&lt;='Projektübersicht'!$F$13,'Projektübersicht'!$F$11+319,""))</f>
        <v/>
      </c>
      <c r="AB321" s="175">
        <f>IF(OR('Projektübersicht'!$F$11="",'Projektübersicht'!$F$13="",'Projektübersicht'!$F$11&gt;'Projektübersicht'!$F$13),"",IF(WORKDAY.INTL('Projektübersicht'!$F$11-1,320,"0000001")&lt;='Projektübersicht'!$F$13,WORKDAY.INTL('Projektübersicht'!$F$11-1,320,"0000001"),""))</f>
        <v/>
      </c>
    </row>
    <row r="322">
      <c r="Z322" s="175">
        <f>IF(OR('Projektübersicht'!$F$11="",'Projektübersicht'!$F$13="",'Projektübersicht'!$F$11&gt;'Projektübersicht'!$F$13),"",IF('Projektübersicht'!$F$11+320&lt;='Projektübersicht'!$F$13,'Projektübersicht'!$F$11+320,""))</f>
        <v/>
      </c>
      <c r="AB322" s="175">
        <f>IF(OR('Projektübersicht'!$F$11="",'Projektübersicht'!$F$13="",'Projektübersicht'!$F$11&gt;'Projektübersicht'!$F$13),"",IF(WORKDAY.INTL('Projektübersicht'!$F$11-1,321,"0000001")&lt;='Projektübersicht'!$F$13,WORKDAY.INTL('Projektübersicht'!$F$11-1,321,"0000001"),""))</f>
        <v/>
      </c>
    </row>
    <row r="323">
      <c r="Z323" s="175">
        <f>IF(OR('Projektübersicht'!$F$11="",'Projektübersicht'!$F$13="",'Projektübersicht'!$F$11&gt;'Projektübersicht'!$F$13),"",IF('Projektübersicht'!$F$11+321&lt;='Projektübersicht'!$F$13,'Projektübersicht'!$F$11+321,""))</f>
        <v/>
      </c>
      <c r="AB323" s="175">
        <f>IF(OR('Projektübersicht'!$F$11="",'Projektübersicht'!$F$13="",'Projektübersicht'!$F$11&gt;'Projektübersicht'!$F$13),"",IF(WORKDAY.INTL('Projektübersicht'!$F$11-1,322,"0000001")&lt;='Projektübersicht'!$F$13,WORKDAY.INTL('Projektübersicht'!$F$11-1,322,"0000001"),""))</f>
        <v/>
      </c>
    </row>
    <row r="324">
      <c r="Z324" s="175">
        <f>IF(OR('Projektübersicht'!$F$11="",'Projektübersicht'!$F$13="",'Projektübersicht'!$F$11&gt;'Projektübersicht'!$F$13),"",IF('Projektübersicht'!$F$11+322&lt;='Projektübersicht'!$F$13,'Projektübersicht'!$F$11+322,""))</f>
        <v/>
      </c>
      <c r="AB324" s="175">
        <f>IF(OR('Projektübersicht'!$F$11="",'Projektübersicht'!$F$13="",'Projektübersicht'!$F$11&gt;'Projektübersicht'!$F$13),"",IF(WORKDAY.INTL('Projektübersicht'!$F$11-1,323,"0000001")&lt;='Projektübersicht'!$F$13,WORKDAY.INTL('Projektübersicht'!$F$11-1,323,"0000001"),""))</f>
        <v/>
      </c>
    </row>
    <row r="325">
      <c r="Z325" s="175">
        <f>IF(OR('Projektübersicht'!$F$11="",'Projektübersicht'!$F$13="",'Projektübersicht'!$F$11&gt;'Projektübersicht'!$F$13),"",IF('Projektübersicht'!$F$11+323&lt;='Projektübersicht'!$F$13,'Projektübersicht'!$F$11+323,""))</f>
        <v/>
      </c>
      <c r="AB325" s="175">
        <f>IF(OR('Projektübersicht'!$F$11="",'Projektübersicht'!$F$13="",'Projektübersicht'!$F$11&gt;'Projektübersicht'!$F$13),"",IF(WORKDAY.INTL('Projektübersicht'!$F$11-1,324,"0000001")&lt;='Projektübersicht'!$F$13,WORKDAY.INTL('Projektübersicht'!$F$11-1,324,"0000001"),""))</f>
        <v/>
      </c>
    </row>
    <row r="326">
      <c r="Z326" s="175">
        <f>IF(OR('Projektübersicht'!$F$11="",'Projektübersicht'!$F$13="",'Projektübersicht'!$F$11&gt;'Projektübersicht'!$F$13),"",IF('Projektübersicht'!$F$11+324&lt;='Projektübersicht'!$F$13,'Projektübersicht'!$F$11+324,""))</f>
        <v/>
      </c>
      <c r="AB326" s="175">
        <f>IF(OR('Projektübersicht'!$F$11="",'Projektübersicht'!$F$13="",'Projektübersicht'!$F$11&gt;'Projektübersicht'!$F$13),"",IF(WORKDAY.INTL('Projektübersicht'!$F$11-1,325,"0000001")&lt;='Projektübersicht'!$F$13,WORKDAY.INTL('Projektübersicht'!$F$11-1,325,"0000001"),""))</f>
        <v/>
      </c>
    </row>
    <row r="327">
      <c r="Z327" s="175">
        <f>IF(OR('Projektübersicht'!$F$11="",'Projektübersicht'!$F$13="",'Projektübersicht'!$F$11&gt;'Projektübersicht'!$F$13),"",IF('Projektübersicht'!$F$11+325&lt;='Projektübersicht'!$F$13,'Projektübersicht'!$F$11+325,""))</f>
        <v/>
      </c>
      <c r="AB327" s="175">
        <f>IF(OR('Projektübersicht'!$F$11="",'Projektübersicht'!$F$13="",'Projektübersicht'!$F$11&gt;'Projektübersicht'!$F$13),"",IF(WORKDAY.INTL('Projektübersicht'!$F$11-1,326,"0000001")&lt;='Projektübersicht'!$F$13,WORKDAY.INTL('Projektübersicht'!$F$11-1,326,"0000001"),""))</f>
        <v/>
      </c>
    </row>
    <row r="328">
      <c r="Z328" s="175">
        <f>IF(OR('Projektübersicht'!$F$11="",'Projektübersicht'!$F$13="",'Projektübersicht'!$F$11&gt;'Projektübersicht'!$F$13),"",IF('Projektübersicht'!$F$11+326&lt;='Projektübersicht'!$F$13,'Projektübersicht'!$F$11+326,""))</f>
        <v/>
      </c>
      <c r="AB328" s="175">
        <f>IF(OR('Projektübersicht'!$F$11="",'Projektübersicht'!$F$13="",'Projektübersicht'!$F$11&gt;'Projektübersicht'!$F$13),"",IF(WORKDAY.INTL('Projektübersicht'!$F$11-1,327,"0000001")&lt;='Projektübersicht'!$F$13,WORKDAY.INTL('Projektübersicht'!$F$11-1,327,"0000001"),""))</f>
        <v/>
      </c>
    </row>
    <row r="329">
      <c r="Z329" s="175">
        <f>IF(OR('Projektübersicht'!$F$11="",'Projektübersicht'!$F$13="",'Projektübersicht'!$F$11&gt;'Projektübersicht'!$F$13),"",IF('Projektübersicht'!$F$11+327&lt;='Projektübersicht'!$F$13,'Projektübersicht'!$F$11+327,""))</f>
        <v/>
      </c>
      <c r="AB329" s="175">
        <f>IF(OR('Projektübersicht'!$F$11="",'Projektübersicht'!$F$13="",'Projektübersicht'!$F$11&gt;'Projektübersicht'!$F$13),"",IF(WORKDAY.INTL('Projektübersicht'!$F$11-1,328,"0000001")&lt;='Projektübersicht'!$F$13,WORKDAY.INTL('Projektübersicht'!$F$11-1,328,"0000001"),""))</f>
        <v/>
      </c>
    </row>
    <row r="330">
      <c r="Z330" s="175">
        <f>IF(OR('Projektübersicht'!$F$11="",'Projektübersicht'!$F$13="",'Projektübersicht'!$F$11&gt;'Projektübersicht'!$F$13),"",IF('Projektübersicht'!$F$11+328&lt;='Projektübersicht'!$F$13,'Projektübersicht'!$F$11+328,""))</f>
        <v/>
      </c>
      <c r="AB330" s="175">
        <f>IF(OR('Projektübersicht'!$F$11="",'Projektübersicht'!$F$13="",'Projektübersicht'!$F$11&gt;'Projektübersicht'!$F$13),"",IF(WORKDAY.INTL('Projektübersicht'!$F$11-1,329,"0000001")&lt;='Projektübersicht'!$F$13,WORKDAY.INTL('Projektübersicht'!$F$11-1,329,"0000001"),""))</f>
        <v/>
      </c>
    </row>
    <row r="331">
      <c r="Z331" s="175">
        <f>IF(OR('Projektübersicht'!$F$11="",'Projektübersicht'!$F$13="",'Projektübersicht'!$F$11&gt;'Projektübersicht'!$F$13),"",IF('Projektübersicht'!$F$11+329&lt;='Projektübersicht'!$F$13,'Projektübersicht'!$F$11+329,""))</f>
        <v/>
      </c>
      <c r="AB331" s="175">
        <f>IF(OR('Projektübersicht'!$F$11="",'Projektübersicht'!$F$13="",'Projektübersicht'!$F$11&gt;'Projektübersicht'!$F$13),"",IF(WORKDAY.INTL('Projektübersicht'!$F$11-1,330,"0000001")&lt;='Projektübersicht'!$F$13,WORKDAY.INTL('Projektübersicht'!$F$11-1,330,"0000001"),""))</f>
        <v/>
      </c>
    </row>
    <row r="332">
      <c r="Z332" s="175">
        <f>IF(OR('Projektübersicht'!$F$11="",'Projektübersicht'!$F$13="",'Projektübersicht'!$F$11&gt;'Projektübersicht'!$F$13),"",IF('Projektübersicht'!$F$11+330&lt;='Projektübersicht'!$F$13,'Projektübersicht'!$F$11+330,""))</f>
        <v/>
      </c>
      <c r="AB332" s="175">
        <f>IF(OR('Projektübersicht'!$F$11="",'Projektübersicht'!$F$13="",'Projektübersicht'!$F$11&gt;'Projektübersicht'!$F$13),"",IF(WORKDAY.INTL('Projektübersicht'!$F$11-1,331,"0000001")&lt;='Projektübersicht'!$F$13,WORKDAY.INTL('Projektübersicht'!$F$11-1,331,"0000001"),""))</f>
        <v/>
      </c>
    </row>
    <row r="333">
      <c r="Z333" s="175">
        <f>IF(OR('Projektübersicht'!$F$11="",'Projektübersicht'!$F$13="",'Projektübersicht'!$F$11&gt;'Projektübersicht'!$F$13),"",IF('Projektübersicht'!$F$11+331&lt;='Projektübersicht'!$F$13,'Projektübersicht'!$F$11+331,""))</f>
        <v/>
      </c>
      <c r="AB333" s="175">
        <f>IF(OR('Projektübersicht'!$F$11="",'Projektübersicht'!$F$13="",'Projektübersicht'!$F$11&gt;'Projektübersicht'!$F$13),"",IF(WORKDAY.INTL('Projektübersicht'!$F$11-1,332,"0000001")&lt;='Projektübersicht'!$F$13,WORKDAY.INTL('Projektübersicht'!$F$11-1,332,"0000001"),""))</f>
        <v/>
      </c>
    </row>
    <row r="334">
      <c r="Z334" s="175">
        <f>IF(OR('Projektübersicht'!$F$11="",'Projektübersicht'!$F$13="",'Projektübersicht'!$F$11&gt;'Projektübersicht'!$F$13),"",IF('Projektübersicht'!$F$11+332&lt;='Projektübersicht'!$F$13,'Projektübersicht'!$F$11+332,""))</f>
        <v/>
      </c>
      <c r="AB334" s="175">
        <f>IF(OR('Projektübersicht'!$F$11="",'Projektübersicht'!$F$13="",'Projektübersicht'!$F$11&gt;'Projektübersicht'!$F$13),"",IF(WORKDAY.INTL('Projektübersicht'!$F$11-1,333,"0000001")&lt;='Projektübersicht'!$F$13,WORKDAY.INTL('Projektübersicht'!$F$11-1,333,"0000001"),""))</f>
        <v/>
      </c>
    </row>
    <row r="335">
      <c r="Z335" s="175">
        <f>IF(OR('Projektübersicht'!$F$11="",'Projektübersicht'!$F$13="",'Projektübersicht'!$F$11&gt;'Projektübersicht'!$F$13),"",IF('Projektübersicht'!$F$11+333&lt;='Projektübersicht'!$F$13,'Projektübersicht'!$F$11+333,""))</f>
        <v/>
      </c>
      <c r="AB335" s="175">
        <f>IF(OR('Projektübersicht'!$F$11="",'Projektübersicht'!$F$13="",'Projektübersicht'!$F$11&gt;'Projektübersicht'!$F$13),"",IF(WORKDAY.INTL('Projektübersicht'!$F$11-1,334,"0000001")&lt;='Projektübersicht'!$F$13,WORKDAY.INTL('Projektübersicht'!$F$11-1,334,"0000001"),""))</f>
        <v/>
      </c>
    </row>
    <row r="336">
      <c r="Z336" s="175">
        <f>IF(OR('Projektübersicht'!$F$11="",'Projektübersicht'!$F$13="",'Projektübersicht'!$F$11&gt;'Projektübersicht'!$F$13),"",IF('Projektübersicht'!$F$11+334&lt;='Projektübersicht'!$F$13,'Projektübersicht'!$F$11+334,""))</f>
        <v/>
      </c>
      <c r="AB336" s="175">
        <f>IF(OR('Projektübersicht'!$F$11="",'Projektübersicht'!$F$13="",'Projektübersicht'!$F$11&gt;'Projektübersicht'!$F$13),"",IF(WORKDAY.INTL('Projektübersicht'!$F$11-1,335,"0000001")&lt;='Projektübersicht'!$F$13,WORKDAY.INTL('Projektübersicht'!$F$11-1,335,"0000001"),""))</f>
        <v/>
      </c>
    </row>
    <row r="337">
      <c r="Z337" s="175">
        <f>IF(OR('Projektübersicht'!$F$11="",'Projektübersicht'!$F$13="",'Projektübersicht'!$F$11&gt;'Projektübersicht'!$F$13),"",IF('Projektübersicht'!$F$11+335&lt;='Projektübersicht'!$F$13,'Projektübersicht'!$F$11+335,""))</f>
        <v/>
      </c>
      <c r="AB337" s="175">
        <f>IF(OR('Projektübersicht'!$F$11="",'Projektübersicht'!$F$13="",'Projektübersicht'!$F$11&gt;'Projektübersicht'!$F$13),"",IF(WORKDAY.INTL('Projektübersicht'!$F$11-1,336,"0000001")&lt;='Projektübersicht'!$F$13,WORKDAY.INTL('Projektübersicht'!$F$11-1,336,"0000001"),""))</f>
        <v/>
      </c>
    </row>
    <row r="338">
      <c r="Z338" s="175">
        <f>IF(OR('Projektübersicht'!$F$11="",'Projektübersicht'!$F$13="",'Projektübersicht'!$F$11&gt;'Projektübersicht'!$F$13),"",IF('Projektübersicht'!$F$11+336&lt;='Projektübersicht'!$F$13,'Projektübersicht'!$F$11+336,""))</f>
        <v/>
      </c>
      <c r="AB338" s="175">
        <f>IF(OR('Projektübersicht'!$F$11="",'Projektübersicht'!$F$13="",'Projektübersicht'!$F$11&gt;'Projektübersicht'!$F$13),"",IF(WORKDAY.INTL('Projektübersicht'!$F$11-1,337,"0000001")&lt;='Projektübersicht'!$F$13,WORKDAY.INTL('Projektübersicht'!$F$11-1,337,"0000001"),""))</f>
        <v/>
      </c>
    </row>
    <row r="339">
      <c r="Z339" s="175">
        <f>IF(OR('Projektübersicht'!$F$11="",'Projektübersicht'!$F$13="",'Projektübersicht'!$F$11&gt;'Projektübersicht'!$F$13),"",IF('Projektübersicht'!$F$11+337&lt;='Projektübersicht'!$F$13,'Projektübersicht'!$F$11+337,""))</f>
        <v/>
      </c>
      <c r="AB339" s="175">
        <f>IF(OR('Projektübersicht'!$F$11="",'Projektübersicht'!$F$13="",'Projektübersicht'!$F$11&gt;'Projektübersicht'!$F$13),"",IF(WORKDAY.INTL('Projektübersicht'!$F$11-1,338,"0000001")&lt;='Projektübersicht'!$F$13,WORKDAY.INTL('Projektübersicht'!$F$11-1,338,"0000001"),""))</f>
        <v/>
      </c>
    </row>
    <row r="340">
      <c r="Z340" s="175">
        <f>IF(OR('Projektübersicht'!$F$11="",'Projektübersicht'!$F$13="",'Projektübersicht'!$F$11&gt;'Projektübersicht'!$F$13),"",IF('Projektübersicht'!$F$11+338&lt;='Projektübersicht'!$F$13,'Projektübersicht'!$F$11+338,""))</f>
        <v/>
      </c>
      <c r="AB340" s="175">
        <f>IF(OR('Projektübersicht'!$F$11="",'Projektübersicht'!$F$13="",'Projektübersicht'!$F$11&gt;'Projektübersicht'!$F$13),"",IF(WORKDAY.INTL('Projektübersicht'!$F$11-1,339,"0000001")&lt;='Projektübersicht'!$F$13,WORKDAY.INTL('Projektübersicht'!$F$11-1,339,"0000001"),""))</f>
        <v/>
      </c>
    </row>
    <row r="341">
      <c r="Z341" s="175">
        <f>IF(OR('Projektübersicht'!$F$11="",'Projektübersicht'!$F$13="",'Projektübersicht'!$F$11&gt;'Projektübersicht'!$F$13),"",IF('Projektübersicht'!$F$11+339&lt;='Projektübersicht'!$F$13,'Projektübersicht'!$F$11+339,""))</f>
        <v/>
      </c>
      <c r="AB341" s="175">
        <f>IF(OR('Projektübersicht'!$F$11="",'Projektübersicht'!$F$13="",'Projektübersicht'!$F$11&gt;'Projektübersicht'!$F$13),"",IF(WORKDAY.INTL('Projektübersicht'!$F$11-1,340,"0000001")&lt;='Projektübersicht'!$F$13,WORKDAY.INTL('Projektübersicht'!$F$11-1,340,"0000001"),""))</f>
        <v/>
      </c>
    </row>
    <row r="342">
      <c r="Z342" s="175">
        <f>IF(OR('Projektübersicht'!$F$11="",'Projektübersicht'!$F$13="",'Projektübersicht'!$F$11&gt;'Projektübersicht'!$F$13),"",IF('Projektübersicht'!$F$11+340&lt;='Projektübersicht'!$F$13,'Projektübersicht'!$F$11+340,""))</f>
        <v/>
      </c>
      <c r="AB342" s="175">
        <f>IF(OR('Projektübersicht'!$F$11="",'Projektübersicht'!$F$13="",'Projektübersicht'!$F$11&gt;'Projektübersicht'!$F$13),"",IF(WORKDAY.INTL('Projektübersicht'!$F$11-1,341,"0000001")&lt;='Projektübersicht'!$F$13,WORKDAY.INTL('Projektübersicht'!$F$11-1,341,"0000001"),""))</f>
        <v/>
      </c>
    </row>
    <row r="343">
      <c r="Z343" s="175">
        <f>IF(OR('Projektübersicht'!$F$11="",'Projektübersicht'!$F$13="",'Projektübersicht'!$F$11&gt;'Projektübersicht'!$F$13),"",IF('Projektübersicht'!$F$11+341&lt;='Projektübersicht'!$F$13,'Projektübersicht'!$F$11+341,""))</f>
        <v/>
      </c>
      <c r="AB343" s="175">
        <f>IF(OR('Projektübersicht'!$F$11="",'Projektübersicht'!$F$13="",'Projektübersicht'!$F$11&gt;'Projektübersicht'!$F$13),"",IF(WORKDAY.INTL('Projektübersicht'!$F$11-1,342,"0000001")&lt;='Projektübersicht'!$F$13,WORKDAY.INTL('Projektübersicht'!$F$11-1,342,"0000001"),""))</f>
        <v/>
      </c>
    </row>
    <row r="344">
      <c r="Z344" s="175">
        <f>IF(OR('Projektübersicht'!$F$11="",'Projektübersicht'!$F$13="",'Projektübersicht'!$F$11&gt;'Projektübersicht'!$F$13),"",IF('Projektübersicht'!$F$11+342&lt;='Projektübersicht'!$F$13,'Projektübersicht'!$F$11+342,""))</f>
        <v/>
      </c>
      <c r="AB344" s="175">
        <f>IF(OR('Projektübersicht'!$F$11="",'Projektübersicht'!$F$13="",'Projektübersicht'!$F$11&gt;'Projektübersicht'!$F$13),"",IF(WORKDAY.INTL('Projektübersicht'!$F$11-1,343,"0000001")&lt;='Projektübersicht'!$F$13,WORKDAY.INTL('Projektübersicht'!$F$11-1,343,"0000001"),""))</f>
        <v/>
      </c>
    </row>
    <row r="345">
      <c r="Z345" s="175">
        <f>IF(OR('Projektübersicht'!$F$11="",'Projektübersicht'!$F$13="",'Projektübersicht'!$F$11&gt;'Projektübersicht'!$F$13),"",IF('Projektübersicht'!$F$11+343&lt;='Projektübersicht'!$F$13,'Projektübersicht'!$F$11+343,""))</f>
        <v/>
      </c>
      <c r="AB345" s="175">
        <f>IF(OR('Projektübersicht'!$F$11="",'Projektübersicht'!$F$13="",'Projektübersicht'!$F$11&gt;'Projektübersicht'!$F$13),"",IF(WORKDAY.INTL('Projektübersicht'!$F$11-1,344,"0000001")&lt;='Projektübersicht'!$F$13,WORKDAY.INTL('Projektübersicht'!$F$11-1,344,"0000001"),""))</f>
        <v/>
      </c>
    </row>
    <row r="346">
      <c r="Z346" s="175">
        <f>IF(OR('Projektübersicht'!$F$11="",'Projektübersicht'!$F$13="",'Projektübersicht'!$F$11&gt;'Projektübersicht'!$F$13),"",IF('Projektübersicht'!$F$11+344&lt;='Projektübersicht'!$F$13,'Projektübersicht'!$F$11+344,""))</f>
        <v/>
      </c>
      <c r="AB346" s="175">
        <f>IF(OR('Projektübersicht'!$F$11="",'Projektübersicht'!$F$13="",'Projektübersicht'!$F$11&gt;'Projektübersicht'!$F$13),"",IF(WORKDAY.INTL('Projektübersicht'!$F$11-1,345,"0000001")&lt;='Projektübersicht'!$F$13,WORKDAY.INTL('Projektübersicht'!$F$11-1,345,"0000001"),""))</f>
        <v/>
      </c>
    </row>
    <row r="347">
      <c r="Z347" s="175">
        <f>IF(OR('Projektübersicht'!$F$11="",'Projektübersicht'!$F$13="",'Projektübersicht'!$F$11&gt;'Projektübersicht'!$F$13),"",IF('Projektübersicht'!$F$11+345&lt;='Projektübersicht'!$F$13,'Projektübersicht'!$F$11+345,""))</f>
        <v/>
      </c>
      <c r="AB347" s="175">
        <f>IF(OR('Projektübersicht'!$F$11="",'Projektübersicht'!$F$13="",'Projektübersicht'!$F$11&gt;'Projektübersicht'!$F$13),"",IF(WORKDAY.INTL('Projektübersicht'!$F$11-1,346,"0000001")&lt;='Projektübersicht'!$F$13,WORKDAY.INTL('Projektübersicht'!$F$11-1,346,"0000001"),""))</f>
        <v/>
      </c>
    </row>
    <row r="348">
      <c r="Z348" s="175">
        <f>IF(OR('Projektübersicht'!$F$11="",'Projektübersicht'!$F$13="",'Projektübersicht'!$F$11&gt;'Projektübersicht'!$F$13),"",IF('Projektübersicht'!$F$11+346&lt;='Projektübersicht'!$F$13,'Projektübersicht'!$F$11+346,""))</f>
        <v/>
      </c>
      <c r="AB348" s="175">
        <f>IF(OR('Projektübersicht'!$F$11="",'Projektübersicht'!$F$13="",'Projektübersicht'!$F$11&gt;'Projektübersicht'!$F$13),"",IF(WORKDAY.INTL('Projektübersicht'!$F$11-1,347,"0000001")&lt;='Projektübersicht'!$F$13,WORKDAY.INTL('Projektübersicht'!$F$11-1,347,"0000001"),""))</f>
        <v/>
      </c>
    </row>
    <row r="349">
      <c r="Z349" s="175">
        <f>IF(OR('Projektübersicht'!$F$11="",'Projektübersicht'!$F$13="",'Projektübersicht'!$F$11&gt;'Projektübersicht'!$F$13),"",IF('Projektübersicht'!$F$11+347&lt;='Projektübersicht'!$F$13,'Projektübersicht'!$F$11+347,""))</f>
        <v/>
      </c>
      <c r="AB349" s="175">
        <f>IF(OR('Projektübersicht'!$F$11="",'Projektübersicht'!$F$13="",'Projektübersicht'!$F$11&gt;'Projektübersicht'!$F$13),"",IF(WORKDAY.INTL('Projektübersicht'!$F$11-1,348,"0000001")&lt;='Projektübersicht'!$F$13,WORKDAY.INTL('Projektübersicht'!$F$11-1,348,"0000001"),""))</f>
        <v/>
      </c>
    </row>
    <row r="350">
      <c r="Z350" s="175">
        <f>IF(OR('Projektübersicht'!$F$11="",'Projektübersicht'!$F$13="",'Projektübersicht'!$F$11&gt;'Projektübersicht'!$F$13),"",IF('Projektübersicht'!$F$11+348&lt;='Projektübersicht'!$F$13,'Projektübersicht'!$F$11+348,""))</f>
        <v/>
      </c>
      <c r="AB350" s="175">
        <f>IF(OR('Projektübersicht'!$F$11="",'Projektübersicht'!$F$13="",'Projektübersicht'!$F$11&gt;'Projektübersicht'!$F$13),"",IF(WORKDAY.INTL('Projektübersicht'!$F$11-1,349,"0000001")&lt;='Projektübersicht'!$F$13,WORKDAY.INTL('Projektübersicht'!$F$11-1,349,"0000001"),""))</f>
        <v/>
      </c>
    </row>
    <row r="351">
      <c r="Z351" s="175">
        <f>IF(OR('Projektübersicht'!$F$11="",'Projektübersicht'!$F$13="",'Projektübersicht'!$F$11&gt;'Projektübersicht'!$F$13),"",IF('Projektübersicht'!$F$11+349&lt;='Projektübersicht'!$F$13,'Projektübersicht'!$F$11+349,""))</f>
        <v/>
      </c>
      <c r="AB351" s="175">
        <f>IF(OR('Projektübersicht'!$F$11="",'Projektübersicht'!$F$13="",'Projektübersicht'!$F$11&gt;'Projektübersicht'!$F$13),"",IF(WORKDAY.INTL('Projektübersicht'!$F$11-1,350,"0000001")&lt;='Projektübersicht'!$F$13,WORKDAY.INTL('Projektübersicht'!$F$11-1,350,"0000001"),""))</f>
        <v/>
      </c>
    </row>
    <row r="352">
      <c r="Z352" s="175">
        <f>IF(OR('Projektübersicht'!$F$11="",'Projektübersicht'!$F$13="",'Projektübersicht'!$F$11&gt;'Projektübersicht'!$F$13),"",IF('Projektübersicht'!$F$11+350&lt;='Projektübersicht'!$F$13,'Projektübersicht'!$F$11+350,""))</f>
        <v/>
      </c>
      <c r="AB352" s="175">
        <f>IF(OR('Projektübersicht'!$F$11="",'Projektübersicht'!$F$13="",'Projektübersicht'!$F$11&gt;'Projektübersicht'!$F$13),"",IF(WORKDAY.INTL('Projektübersicht'!$F$11-1,351,"0000001")&lt;='Projektübersicht'!$F$13,WORKDAY.INTL('Projektübersicht'!$F$11-1,351,"0000001"),""))</f>
        <v/>
      </c>
    </row>
    <row r="353">
      <c r="Z353" s="175">
        <f>IF(OR('Projektübersicht'!$F$11="",'Projektübersicht'!$F$13="",'Projektübersicht'!$F$11&gt;'Projektübersicht'!$F$13),"",IF('Projektübersicht'!$F$11+351&lt;='Projektübersicht'!$F$13,'Projektübersicht'!$F$11+351,""))</f>
        <v/>
      </c>
      <c r="AB353" s="175">
        <f>IF(OR('Projektübersicht'!$F$11="",'Projektübersicht'!$F$13="",'Projektübersicht'!$F$11&gt;'Projektübersicht'!$F$13),"",IF(WORKDAY.INTL('Projektübersicht'!$F$11-1,352,"0000001")&lt;='Projektübersicht'!$F$13,WORKDAY.INTL('Projektübersicht'!$F$11-1,352,"0000001"),""))</f>
        <v/>
      </c>
    </row>
    <row r="354">
      <c r="Z354" s="175">
        <f>IF(OR('Projektübersicht'!$F$11="",'Projektübersicht'!$F$13="",'Projektübersicht'!$F$11&gt;'Projektübersicht'!$F$13),"",IF('Projektübersicht'!$F$11+352&lt;='Projektübersicht'!$F$13,'Projektübersicht'!$F$11+352,""))</f>
        <v/>
      </c>
      <c r="AB354" s="175">
        <f>IF(OR('Projektübersicht'!$F$11="",'Projektübersicht'!$F$13="",'Projektübersicht'!$F$11&gt;'Projektübersicht'!$F$13),"",IF(WORKDAY.INTL('Projektübersicht'!$F$11-1,353,"0000001")&lt;='Projektübersicht'!$F$13,WORKDAY.INTL('Projektübersicht'!$F$11-1,353,"0000001"),""))</f>
        <v/>
      </c>
    </row>
    <row r="355">
      <c r="Z355" s="175">
        <f>IF(OR('Projektübersicht'!$F$11="",'Projektübersicht'!$F$13="",'Projektübersicht'!$F$11&gt;'Projektübersicht'!$F$13),"",IF('Projektübersicht'!$F$11+353&lt;='Projektübersicht'!$F$13,'Projektübersicht'!$F$11+353,""))</f>
        <v/>
      </c>
      <c r="AB355" s="175">
        <f>IF(OR('Projektübersicht'!$F$11="",'Projektübersicht'!$F$13="",'Projektübersicht'!$F$11&gt;'Projektübersicht'!$F$13),"",IF(WORKDAY.INTL('Projektübersicht'!$F$11-1,354,"0000001")&lt;='Projektübersicht'!$F$13,WORKDAY.INTL('Projektübersicht'!$F$11-1,354,"0000001"),""))</f>
        <v/>
      </c>
    </row>
    <row r="356">
      <c r="Z356" s="175">
        <f>IF(OR('Projektübersicht'!$F$11="",'Projektübersicht'!$F$13="",'Projektübersicht'!$F$11&gt;'Projektübersicht'!$F$13),"",IF('Projektübersicht'!$F$11+354&lt;='Projektübersicht'!$F$13,'Projektübersicht'!$F$11+354,""))</f>
        <v/>
      </c>
      <c r="AB356" s="175">
        <f>IF(OR('Projektübersicht'!$F$11="",'Projektübersicht'!$F$13="",'Projektübersicht'!$F$11&gt;'Projektübersicht'!$F$13),"",IF(WORKDAY.INTL('Projektübersicht'!$F$11-1,355,"0000001")&lt;='Projektübersicht'!$F$13,WORKDAY.INTL('Projektübersicht'!$F$11-1,355,"0000001"),""))</f>
        <v/>
      </c>
    </row>
    <row r="357">
      <c r="Z357" s="175">
        <f>IF(OR('Projektübersicht'!$F$11="",'Projektübersicht'!$F$13="",'Projektübersicht'!$F$11&gt;'Projektübersicht'!$F$13),"",IF('Projektübersicht'!$F$11+355&lt;='Projektübersicht'!$F$13,'Projektübersicht'!$F$11+355,""))</f>
        <v/>
      </c>
      <c r="AB357" s="175">
        <f>IF(OR('Projektübersicht'!$F$11="",'Projektübersicht'!$F$13="",'Projektübersicht'!$F$11&gt;'Projektübersicht'!$F$13),"",IF(WORKDAY.INTL('Projektübersicht'!$F$11-1,356,"0000001")&lt;='Projektübersicht'!$F$13,WORKDAY.INTL('Projektübersicht'!$F$11-1,356,"0000001"),""))</f>
        <v/>
      </c>
    </row>
    <row r="358">
      <c r="Z358" s="175">
        <f>IF(OR('Projektübersicht'!$F$11="",'Projektübersicht'!$F$13="",'Projektübersicht'!$F$11&gt;'Projektübersicht'!$F$13),"",IF('Projektübersicht'!$F$11+356&lt;='Projektübersicht'!$F$13,'Projektübersicht'!$F$11+356,""))</f>
        <v/>
      </c>
      <c r="AB358" s="175">
        <f>IF(OR('Projektübersicht'!$F$11="",'Projektübersicht'!$F$13="",'Projektübersicht'!$F$11&gt;'Projektübersicht'!$F$13),"",IF(WORKDAY.INTL('Projektübersicht'!$F$11-1,357,"0000001")&lt;='Projektübersicht'!$F$13,WORKDAY.INTL('Projektübersicht'!$F$11-1,357,"0000001"),""))</f>
        <v/>
      </c>
    </row>
    <row r="359">
      <c r="Z359" s="175">
        <f>IF(OR('Projektübersicht'!$F$11="",'Projektübersicht'!$F$13="",'Projektübersicht'!$F$11&gt;'Projektübersicht'!$F$13),"",IF('Projektübersicht'!$F$11+357&lt;='Projektübersicht'!$F$13,'Projektübersicht'!$F$11+357,""))</f>
        <v/>
      </c>
      <c r="AB359" s="175">
        <f>IF(OR('Projektübersicht'!$F$11="",'Projektübersicht'!$F$13="",'Projektübersicht'!$F$11&gt;'Projektübersicht'!$F$13),"",IF(WORKDAY.INTL('Projektübersicht'!$F$11-1,358,"0000001")&lt;='Projektübersicht'!$F$13,WORKDAY.INTL('Projektübersicht'!$F$11-1,358,"0000001"),""))</f>
        <v/>
      </c>
    </row>
    <row r="360">
      <c r="Z360" s="175">
        <f>IF(OR('Projektübersicht'!$F$11="",'Projektübersicht'!$F$13="",'Projektübersicht'!$F$11&gt;'Projektübersicht'!$F$13),"",IF('Projektübersicht'!$F$11+358&lt;='Projektübersicht'!$F$13,'Projektübersicht'!$F$11+358,""))</f>
        <v/>
      </c>
      <c r="AB360" s="175">
        <f>IF(OR('Projektübersicht'!$F$11="",'Projektübersicht'!$F$13="",'Projektübersicht'!$F$11&gt;'Projektübersicht'!$F$13),"",IF(WORKDAY.INTL('Projektübersicht'!$F$11-1,359,"0000001")&lt;='Projektübersicht'!$F$13,WORKDAY.INTL('Projektübersicht'!$F$11-1,359,"0000001"),""))</f>
        <v/>
      </c>
    </row>
    <row r="361">
      <c r="Z361" s="175">
        <f>IF(OR('Projektübersicht'!$F$11="",'Projektübersicht'!$F$13="",'Projektübersicht'!$F$11&gt;'Projektübersicht'!$F$13),"",IF('Projektübersicht'!$F$11+359&lt;='Projektübersicht'!$F$13,'Projektübersicht'!$F$11+359,""))</f>
        <v/>
      </c>
      <c r="AB361" s="175">
        <f>IF(OR('Projektübersicht'!$F$11="",'Projektübersicht'!$F$13="",'Projektübersicht'!$F$11&gt;'Projektübersicht'!$F$13),"",IF(WORKDAY.INTL('Projektübersicht'!$F$11-1,360,"0000001")&lt;='Projektübersicht'!$F$13,WORKDAY.INTL('Projektübersicht'!$F$11-1,360,"0000001"),""))</f>
        <v/>
      </c>
    </row>
    <row r="362">
      <c r="Z362" s="175">
        <f>IF(OR('Projektübersicht'!$F$11="",'Projektübersicht'!$F$13="",'Projektübersicht'!$F$11&gt;'Projektübersicht'!$F$13),"",IF('Projektübersicht'!$F$11+360&lt;='Projektübersicht'!$F$13,'Projektübersicht'!$F$11+360,""))</f>
        <v/>
      </c>
      <c r="AB362" s="175">
        <f>IF(OR('Projektübersicht'!$F$11="",'Projektübersicht'!$F$13="",'Projektübersicht'!$F$11&gt;'Projektübersicht'!$F$13),"",IF(WORKDAY.INTL('Projektübersicht'!$F$11-1,361,"0000001")&lt;='Projektübersicht'!$F$13,WORKDAY.INTL('Projektübersicht'!$F$11-1,361,"0000001"),""))</f>
        <v/>
      </c>
    </row>
    <row r="363">
      <c r="Z363" s="175">
        <f>IF(OR('Projektübersicht'!$F$11="",'Projektübersicht'!$F$13="",'Projektübersicht'!$F$11&gt;'Projektübersicht'!$F$13),"",IF('Projektübersicht'!$F$11+361&lt;='Projektübersicht'!$F$13,'Projektübersicht'!$F$11+361,""))</f>
        <v/>
      </c>
      <c r="AB363" s="175">
        <f>IF(OR('Projektübersicht'!$F$11="",'Projektübersicht'!$F$13="",'Projektübersicht'!$F$11&gt;'Projektübersicht'!$F$13),"",IF(WORKDAY.INTL('Projektübersicht'!$F$11-1,362,"0000001")&lt;='Projektübersicht'!$F$13,WORKDAY.INTL('Projektübersicht'!$F$11-1,362,"0000001"),""))</f>
        <v/>
      </c>
    </row>
    <row r="364">
      <c r="Z364" s="175">
        <f>IF(OR('Projektübersicht'!$F$11="",'Projektübersicht'!$F$13="",'Projektübersicht'!$F$11&gt;'Projektübersicht'!$F$13),"",IF('Projektübersicht'!$F$11+362&lt;='Projektübersicht'!$F$13,'Projektübersicht'!$F$11+362,""))</f>
        <v/>
      </c>
      <c r="AB364" s="175">
        <f>IF(OR('Projektübersicht'!$F$11="",'Projektübersicht'!$F$13="",'Projektübersicht'!$F$11&gt;'Projektübersicht'!$F$13),"",IF(WORKDAY.INTL('Projektübersicht'!$F$11-1,363,"0000001")&lt;='Projektübersicht'!$F$13,WORKDAY.INTL('Projektübersicht'!$F$11-1,363,"0000001"),""))</f>
        <v/>
      </c>
    </row>
    <row r="365">
      <c r="Z365" s="175">
        <f>IF(OR('Projektübersicht'!$F$11="",'Projektübersicht'!$F$13="",'Projektübersicht'!$F$11&gt;'Projektübersicht'!$F$13),"",IF('Projektübersicht'!$F$11+363&lt;='Projektübersicht'!$F$13,'Projektübersicht'!$F$11+363,""))</f>
        <v/>
      </c>
      <c r="AB365" s="175">
        <f>IF(OR('Projektübersicht'!$F$11="",'Projektübersicht'!$F$13="",'Projektübersicht'!$F$11&gt;'Projektübersicht'!$F$13),"",IF(WORKDAY.INTL('Projektübersicht'!$F$11-1,364,"0000001")&lt;='Projektübersicht'!$F$13,WORKDAY.INTL('Projektübersicht'!$F$11-1,364,"0000001"),""))</f>
        <v/>
      </c>
    </row>
    <row r="366">
      <c r="Z366" s="175">
        <f>IF(OR('Projektübersicht'!$F$11="",'Projektübersicht'!$F$13="",'Projektübersicht'!$F$11&gt;'Projektübersicht'!$F$13),"",IF('Projektübersicht'!$F$11+364&lt;='Projektübersicht'!$F$13,'Projektübersicht'!$F$11+364,""))</f>
        <v/>
      </c>
      <c r="AB366" s="175">
        <f>IF(OR('Projektübersicht'!$F$11="",'Projektübersicht'!$F$13="",'Projektübersicht'!$F$11&gt;'Projektübersicht'!$F$13),"",IF(WORKDAY.INTL('Projektübersicht'!$F$11-1,365,"0000001")&lt;='Projektübersicht'!$F$13,WORKDAY.INTL('Projektübersicht'!$F$11-1,365,"0000001"),""))</f>
        <v/>
      </c>
    </row>
    <row r="367">
      <c r="Z367" s="175">
        <f>IF(OR('Projektübersicht'!$F$11="",'Projektübersicht'!$F$13="",'Projektübersicht'!$F$11&gt;'Projektübersicht'!$F$13),"",IF('Projektübersicht'!$F$11+365&lt;='Projektübersicht'!$F$13,'Projektübersicht'!$F$11+365,""))</f>
        <v/>
      </c>
      <c r="AB367" s="175">
        <f>IF(OR('Projektübersicht'!$F$11="",'Projektübersicht'!$F$13="",'Projektübersicht'!$F$11&gt;'Projektübersicht'!$F$13),"",IF(WORKDAY.INTL('Projektübersicht'!$F$11-1,366,"0000001")&lt;='Projektübersicht'!$F$13,WORKDAY.INTL('Projektübersicht'!$F$11-1,366,"0000001"),""))</f>
        <v/>
      </c>
    </row>
  </sheetData>
  <mergeCells count="1">
    <mergeCell ref="I1:K2"/>
  </mergeCells>
  <hyperlinks>
    <hyperlink xmlns:r="http://schemas.openxmlformats.org/officeDocument/2006/relationships" ref="I1" r:id="rId1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:title>Bauablaufmappe Projektcontrolling</dc:title>
  <dc:subject>Projektübersicht, Zeiterfassung, Materialkosten und Rechnungsstand</dc:subject>
  <dcterms:created xsi:type="dcterms:W3CDTF">2026-07-29T12:46:07Z</dcterms:created>
  <dcterms:modified xsi:type="dcterms:W3CDTF">2026-09-01T09:34:19Z</dcterms:modified>
</cp:coreProperties>
</file>